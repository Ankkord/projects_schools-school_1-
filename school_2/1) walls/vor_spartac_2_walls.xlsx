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28800" windowHeight="12504" tabRatio="890" firstSheet="9" activeTab="21"/>
  </bookViews>
  <sheets>
    <sheet name="11.n" sheetId="46" r:id="rId1"/>
    <sheet name="11" sheetId="48" r:id="rId2"/>
    <sheet name="12.n" sheetId="47" r:id="rId3"/>
    <sheet name="12" sheetId="49" r:id="rId4"/>
    <sheet name="Лист1" sheetId="28" r:id="rId5"/>
    <sheet name="1.n" sheetId="32" r:id="rId6"/>
    <sheet name="1.n7s2f" sheetId="33" r:id="rId7"/>
    <sheet name="2.n" sheetId="34" r:id="rId8"/>
    <sheet name="2.n6s2f" sheetId="35" r:id="rId9"/>
    <sheet name="3.n" sheetId="36" r:id="rId10"/>
    <sheet name="3.n5s2f" sheetId="37" r:id="rId11"/>
    <sheet name="4.n" sheetId="39" r:id="rId12"/>
    <sheet name="4.n4s2f" sheetId="38" r:id="rId13"/>
    <sheet name="5.n" sheetId="42" r:id="rId14"/>
    <sheet name="5.n7654s3f" sheetId="40" r:id="rId15"/>
    <sheet name="6.n" sheetId="43" r:id="rId16"/>
    <sheet name="6.n21s3f" sheetId="50" r:id="rId17"/>
    <sheet name="7.n" sheetId="51" r:id="rId18"/>
    <sheet name="7.n21s2f" sheetId="52" r:id="rId19"/>
    <sheet name="8.n" sheetId="44" r:id="rId20"/>
    <sheet name="8.n4sf2" sheetId="45" r:id="rId21"/>
    <sheet name="9.n" sheetId="53" r:id="rId22"/>
    <sheet name="9.n3s2f" sheetId="41" r:id="rId23"/>
    <sheet name="10.n" sheetId="54" r:id="rId24"/>
    <sheet name="10.n3s2f" sheetId="55" r:id="rId25"/>
    <sheet name="Table 1" sheetId="15" r:id="rId26"/>
    <sheet name="Таб.1этап" sheetId="31" r:id="rId27"/>
  </sheets>
  <calcPr calcId="152511"/>
  <fileRecoveryPr autoRecover="0"/>
</workbook>
</file>

<file path=xl/calcChain.xml><?xml version="1.0" encoding="utf-8"?>
<calcChain xmlns="http://schemas.openxmlformats.org/spreadsheetml/2006/main">
  <c r="BA57" i="28" l="1"/>
  <c r="BB57" i="28"/>
  <c r="BC57" i="28"/>
  <c r="BD57" i="28"/>
  <c r="BE57" i="28"/>
  <c r="BF57" i="28"/>
  <c r="BG57" i="28"/>
  <c r="AZ58" i="28"/>
  <c r="BA58" i="28"/>
  <c r="BB58" i="28"/>
  <c r="BC58" i="28"/>
  <c r="BD58" i="28"/>
  <c r="BE58" i="28"/>
  <c r="BF58" i="28"/>
  <c r="BG58" i="28"/>
  <c r="AZ59" i="28"/>
  <c r="BA59" i="28"/>
  <c r="BB59" i="28"/>
  <c r="BC59" i="28"/>
  <c r="BD59" i="28"/>
  <c r="BE59" i="28"/>
  <c r="BF59" i="28"/>
  <c r="BG59" i="28"/>
  <c r="AZ61" i="28"/>
  <c r="BA61" i="28"/>
  <c r="BB61" i="28"/>
  <c r="BC61" i="28"/>
  <c r="BD61" i="28"/>
  <c r="BE61" i="28"/>
  <c r="BF61" i="28"/>
  <c r="BG61" i="28"/>
  <c r="AZ62" i="28"/>
  <c r="BA62" i="28"/>
  <c r="BB62" i="28"/>
  <c r="BC62" i="28"/>
  <c r="BD62" i="28"/>
  <c r="BE62" i="28"/>
  <c r="BF62" i="28"/>
  <c r="BG62" i="28"/>
  <c r="AZ63" i="28"/>
  <c r="BA63" i="28"/>
  <c r="BB63" i="28"/>
  <c r="BC63" i="28"/>
  <c r="BD63" i="28"/>
  <c r="BE63" i="28"/>
  <c r="BF63" i="28"/>
  <c r="BG63" i="28"/>
  <c r="AZ65" i="28"/>
  <c r="BA65" i="28"/>
  <c r="BB65" i="28"/>
  <c r="BC65" i="28"/>
  <c r="BD65" i="28"/>
  <c r="BE65" i="28"/>
  <c r="BF65" i="28"/>
  <c r="BG65" i="28"/>
  <c r="AZ66" i="28"/>
  <c r="BA66" i="28"/>
  <c r="BB66" i="28"/>
  <c r="BC66" i="28"/>
  <c r="BD66" i="28"/>
  <c r="BE66" i="28"/>
  <c r="BF66" i="28"/>
  <c r="BG66" i="28"/>
  <c r="AZ67" i="28"/>
  <c r="BA67" i="28"/>
  <c r="BB67" i="28"/>
  <c r="BC67" i="28"/>
  <c r="BD67" i="28"/>
  <c r="BE67" i="28"/>
  <c r="BF67" i="28"/>
  <c r="BG67" i="28"/>
  <c r="BI25" i="28"/>
  <c r="BH25" i="28"/>
  <c r="AM58" i="28"/>
  <c r="AM59" i="28"/>
  <c r="C16" i="40"/>
  <c r="D16" i="40"/>
  <c r="E15" i="35" l="1"/>
  <c r="E16" i="35"/>
  <c r="E17" i="35"/>
  <c r="E18" i="35"/>
  <c r="E19" i="35"/>
  <c r="C12" i="33" l="1"/>
  <c r="D12" i="33"/>
  <c r="S7" i="15"/>
  <c r="T7" i="15"/>
  <c r="S8" i="15"/>
  <c r="T8" i="15"/>
  <c r="S9" i="15"/>
  <c r="T9" i="15"/>
  <c r="S10" i="15"/>
  <c r="T10" i="15"/>
  <c r="S11" i="15"/>
  <c r="T11" i="15"/>
  <c r="S12" i="15"/>
  <c r="T12" i="15"/>
  <c r="S13" i="15"/>
  <c r="T13" i="15"/>
  <c r="S14" i="15"/>
  <c r="T14" i="15"/>
  <c r="S15" i="15"/>
  <c r="T15" i="15"/>
  <c r="S16" i="15"/>
  <c r="T16" i="15"/>
  <c r="S17" i="15"/>
  <c r="T17" i="15"/>
  <c r="S18" i="15"/>
  <c r="T18" i="15"/>
  <c r="S19" i="15"/>
  <c r="T19" i="15"/>
  <c r="S20" i="15"/>
  <c r="T20" i="15"/>
  <c r="S21" i="15"/>
  <c r="T21" i="15"/>
  <c r="S22" i="15"/>
  <c r="T22" i="15"/>
  <c r="S23" i="15"/>
  <c r="T23" i="15"/>
  <c r="S24" i="15"/>
  <c r="T24" i="15"/>
  <c r="S25" i="15"/>
  <c r="T25" i="15"/>
  <c r="S26" i="15"/>
  <c r="T26" i="15"/>
  <c r="S27" i="15"/>
  <c r="T27" i="15"/>
  <c r="S28" i="15"/>
  <c r="T28" i="15"/>
  <c r="S29" i="15"/>
  <c r="T29" i="15"/>
  <c r="S30" i="15"/>
  <c r="T30" i="15"/>
  <c r="S31" i="15"/>
  <c r="T31" i="15"/>
  <c r="S32" i="15"/>
  <c r="T32" i="15"/>
  <c r="S33" i="15"/>
  <c r="T33" i="15"/>
  <c r="S34" i="15"/>
  <c r="T34" i="15"/>
  <c r="S35" i="15"/>
  <c r="T35" i="15"/>
  <c r="S36" i="15"/>
  <c r="T36" i="15"/>
  <c r="S37" i="15"/>
  <c r="T37" i="15"/>
  <c r="S38" i="15"/>
  <c r="T38" i="15"/>
  <c r="S39" i="15"/>
  <c r="T39" i="15"/>
  <c r="S40" i="15"/>
  <c r="T40" i="15"/>
  <c r="S41" i="15"/>
  <c r="T41" i="15"/>
  <c r="S42" i="15"/>
  <c r="T42" i="15"/>
  <c r="S43" i="15"/>
  <c r="T43" i="15"/>
  <c r="S44" i="15"/>
  <c r="T44" i="15"/>
  <c r="S45" i="15"/>
  <c r="T45" i="15"/>
  <c r="S46" i="15"/>
  <c r="T46" i="15"/>
  <c r="S47" i="15"/>
  <c r="T47" i="15"/>
  <c r="S48" i="15"/>
  <c r="T48" i="15"/>
  <c r="S49" i="15"/>
  <c r="T49" i="15"/>
  <c r="S50" i="15"/>
  <c r="T50" i="15"/>
  <c r="S51" i="15"/>
  <c r="T51" i="15"/>
  <c r="S52" i="15"/>
  <c r="T52" i="15"/>
  <c r="S53" i="15"/>
  <c r="T53" i="15"/>
  <c r="S54" i="15"/>
  <c r="T54" i="15"/>
  <c r="S55" i="15"/>
  <c r="T55" i="15"/>
  <c r="S56" i="15"/>
  <c r="T56" i="15"/>
  <c r="S57" i="15"/>
  <c r="T57" i="15"/>
  <c r="S58" i="15"/>
  <c r="T58" i="15"/>
  <c r="S59" i="15"/>
  <c r="T59" i="15"/>
  <c r="S60" i="15"/>
  <c r="T60" i="15"/>
  <c r="S61" i="15"/>
  <c r="T61" i="15"/>
  <c r="S62" i="15"/>
  <c r="T62" i="15"/>
  <c r="S63" i="15"/>
  <c r="T63" i="15"/>
  <c r="S64" i="15"/>
  <c r="T64" i="15"/>
  <c r="S65" i="15"/>
  <c r="T65" i="15"/>
  <c r="S66" i="15"/>
  <c r="T66" i="15"/>
  <c r="S67" i="15"/>
  <c r="T67" i="15"/>
  <c r="S68" i="15"/>
  <c r="T68" i="15"/>
  <c r="S69" i="15"/>
  <c r="T69" i="15"/>
  <c r="S70" i="15"/>
  <c r="T70" i="15"/>
  <c r="S71" i="15"/>
  <c r="T71" i="15"/>
  <c r="S72" i="15"/>
  <c r="T72" i="15"/>
  <c r="S73" i="15"/>
  <c r="T73" i="15"/>
  <c r="S74" i="15"/>
  <c r="T74" i="15"/>
  <c r="S75" i="15"/>
  <c r="T75" i="15"/>
  <c r="S76" i="15"/>
  <c r="T76" i="15"/>
  <c r="S77" i="15"/>
  <c r="T77" i="15"/>
  <c r="S78" i="15"/>
  <c r="T78" i="15"/>
  <c r="S79" i="15"/>
  <c r="T79" i="15"/>
  <c r="S80" i="15"/>
  <c r="T80" i="15"/>
  <c r="S81" i="15"/>
  <c r="T81" i="15"/>
  <c r="S82" i="15"/>
  <c r="T82" i="15"/>
  <c r="S83" i="15"/>
  <c r="T83" i="15"/>
  <c r="S84" i="15"/>
  <c r="T84" i="15"/>
  <c r="S85" i="15"/>
  <c r="T85" i="15"/>
  <c r="S86" i="15"/>
  <c r="T86" i="15"/>
  <c r="S87" i="15"/>
  <c r="T87" i="15"/>
  <c r="S88" i="15"/>
  <c r="T88" i="15"/>
  <c r="S89" i="15"/>
  <c r="T89" i="15"/>
  <c r="S90" i="15"/>
  <c r="T90" i="15"/>
  <c r="S91" i="15"/>
  <c r="T91" i="15"/>
  <c r="S92" i="15"/>
  <c r="T92" i="15"/>
  <c r="S93" i="15"/>
  <c r="T93" i="15"/>
  <c r="S94" i="15"/>
  <c r="T94" i="15"/>
  <c r="S95" i="15"/>
  <c r="T95" i="15"/>
  <c r="S96" i="15"/>
  <c r="T96" i="15"/>
  <c r="S97" i="15"/>
  <c r="T97" i="15"/>
  <c r="S98" i="15"/>
  <c r="T98" i="15"/>
  <c r="S99" i="15"/>
  <c r="T99" i="15"/>
  <c r="S100" i="15"/>
  <c r="T100" i="15"/>
  <c r="S101" i="15"/>
  <c r="T101" i="15"/>
  <c r="S102" i="15"/>
  <c r="T102" i="15"/>
  <c r="S103" i="15"/>
  <c r="T103" i="15"/>
  <c r="S104" i="15"/>
  <c r="T104" i="15"/>
  <c r="S105" i="15"/>
  <c r="T105" i="15"/>
  <c r="S106" i="15"/>
  <c r="T106" i="15"/>
  <c r="S107" i="15"/>
  <c r="T107" i="15"/>
  <c r="S108" i="15"/>
  <c r="T108" i="15"/>
  <c r="S109" i="15"/>
  <c r="T109" i="15"/>
  <c r="S110" i="15"/>
  <c r="T110" i="15"/>
  <c r="S111" i="15"/>
  <c r="T111" i="15"/>
  <c r="S112" i="15"/>
  <c r="T112" i="15"/>
  <c r="S113" i="15"/>
  <c r="T113" i="15"/>
  <c r="S114" i="15"/>
  <c r="T114" i="15"/>
  <c r="S115" i="15"/>
  <c r="T115" i="15"/>
  <c r="S116" i="15"/>
  <c r="T116" i="15"/>
  <c r="S117" i="15"/>
  <c r="T117" i="15"/>
  <c r="S118" i="15"/>
  <c r="T118" i="15"/>
  <c r="S119" i="15"/>
  <c r="T119" i="15"/>
  <c r="S120" i="15"/>
  <c r="T120" i="15"/>
  <c r="S121" i="15"/>
  <c r="T121" i="15"/>
  <c r="S122" i="15"/>
  <c r="T122" i="15"/>
  <c r="S123" i="15"/>
  <c r="T123" i="15"/>
  <c r="S124" i="15"/>
  <c r="T124" i="15"/>
  <c r="S125" i="15"/>
  <c r="T125" i="15"/>
  <c r="S126" i="15"/>
  <c r="T126" i="15"/>
  <c r="S127" i="15"/>
  <c r="T127" i="15"/>
  <c r="S128" i="15"/>
  <c r="T128" i="15"/>
  <c r="S129" i="15"/>
  <c r="T129" i="15"/>
  <c r="S130" i="15"/>
  <c r="T130" i="15"/>
  <c r="S131" i="15"/>
  <c r="T131" i="15"/>
  <c r="S132" i="15"/>
  <c r="T132" i="15"/>
  <c r="S133" i="15"/>
  <c r="T133" i="15"/>
  <c r="S134" i="15"/>
  <c r="T134" i="15"/>
  <c r="S135" i="15"/>
  <c r="T135" i="15"/>
  <c r="S136" i="15"/>
  <c r="T136" i="15"/>
  <c r="S137" i="15"/>
  <c r="T137" i="15"/>
  <c r="S138" i="15"/>
  <c r="T138" i="15"/>
  <c r="S139" i="15"/>
  <c r="T139" i="15"/>
  <c r="S140" i="15"/>
  <c r="T140" i="15"/>
  <c r="S141" i="15"/>
  <c r="T141" i="15"/>
  <c r="S142" i="15"/>
  <c r="T142" i="15"/>
  <c r="T6" i="15"/>
  <c r="S6" i="15"/>
  <c r="I143" i="15"/>
  <c r="E143" i="15"/>
  <c r="CH51" i="28"/>
  <c r="CH25" i="28"/>
  <c r="CH26" i="28"/>
  <c r="CH27" i="28"/>
  <c r="CH28" i="28"/>
  <c r="CH29" i="28"/>
  <c r="CH30" i="28"/>
  <c r="CH31" i="28"/>
  <c r="CH32" i="28"/>
  <c r="CH33" i="28"/>
  <c r="CH34" i="28"/>
  <c r="CH35" i="28"/>
  <c r="CH36" i="28"/>
  <c r="CH37" i="28"/>
  <c r="CH38" i="28"/>
  <c r="CH39" i="28"/>
  <c r="CH40" i="28"/>
  <c r="CH41" i="28"/>
  <c r="CH42" i="28"/>
  <c r="CH43" i="28"/>
  <c r="CH44" i="28"/>
  <c r="CH45" i="28"/>
  <c r="CH46" i="28"/>
  <c r="CH47" i="28"/>
  <c r="CH48" i="28"/>
  <c r="CH49" i="28"/>
  <c r="CH50" i="28"/>
  <c r="CH52" i="28"/>
  <c r="CH53" i="28"/>
  <c r="CH54" i="28"/>
  <c r="CH55" i="28"/>
  <c r="CH56" i="28"/>
  <c r="CH57" i="28"/>
  <c r="CH58" i="28"/>
  <c r="CH59" i="28"/>
  <c r="CH60" i="28"/>
  <c r="CH61" i="28"/>
  <c r="CH62" i="28"/>
  <c r="CH63" i="28"/>
  <c r="CH64" i="28"/>
  <c r="CH65" i="28"/>
  <c r="CH66" i="28"/>
  <c r="CH67" i="28"/>
  <c r="CH68" i="28"/>
  <c r="R160" i="15"/>
  <c r="Q160" i="15"/>
  <c r="P160" i="15"/>
  <c r="AT68" i="28" s="1"/>
  <c r="O160" i="15"/>
  <c r="N160" i="15"/>
  <c r="M160" i="15"/>
  <c r="L160" i="15"/>
  <c r="K160" i="15"/>
  <c r="J160" i="15"/>
  <c r="I160" i="15"/>
  <c r="H160" i="15"/>
  <c r="G160" i="15"/>
  <c r="F160" i="15"/>
  <c r="E160" i="15"/>
  <c r="R159" i="15"/>
  <c r="Q159" i="15"/>
  <c r="P159" i="15"/>
  <c r="AT64" i="28" s="1"/>
  <c r="O159" i="15"/>
  <c r="N159" i="15"/>
  <c r="M159" i="15"/>
  <c r="L159" i="15"/>
  <c r="K159" i="15"/>
  <c r="J159" i="15"/>
  <c r="I159" i="15"/>
  <c r="H159" i="15"/>
  <c r="G159" i="15"/>
  <c r="F159" i="15"/>
  <c r="E159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E158" i="15"/>
  <c r="E157" i="15"/>
  <c r="R158" i="15"/>
  <c r="Q158" i="15"/>
  <c r="P158" i="15"/>
  <c r="O158" i="15"/>
  <c r="N158" i="15"/>
  <c r="M158" i="15"/>
  <c r="L158" i="15"/>
  <c r="K158" i="15"/>
  <c r="J158" i="15"/>
  <c r="I158" i="15"/>
  <c r="H158" i="15"/>
  <c r="G158" i="15"/>
  <c r="F158" i="15"/>
  <c r="F153" i="15"/>
  <c r="G153" i="15"/>
  <c r="H153" i="15"/>
  <c r="I153" i="15"/>
  <c r="J153" i="15"/>
  <c r="K153" i="15"/>
  <c r="AM56" i="28" s="1"/>
  <c r="L153" i="15"/>
  <c r="M153" i="15"/>
  <c r="AN56" i="28" s="1"/>
  <c r="N153" i="15"/>
  <c r="O153" i="15"/>
  <c r="P153" i="15"/>
  <c r="AS56" i="28" s="1"/>
  <c r="AS25" i="28" s="1"/>
  <c r="Q153" i="15"/>
  <c r="R153" i="15"/>
  <c r="F154" i="15"/>
  <c r="G154" i="15"/>
  <c r="H154" i="15"/>
  <c r="I154" i="15"/>
  <c r="J154" i="15"/>
  <c r="K154" i="15"/>
  <c r="L154" i="15"/>
  <c r="M154" i="15"/>
  <c r="AN60" i="28" s="1"/>
  <c r="AN25" i="28" s="1"/>
  <c r="N154" i="15"/>
  <c r="O154" i="15"/>
  <c r="P154" i="15"/>
  <c r="AS60" i="28" s="1"/>
  <c r="Q154" i="15"/>
  <c r="R154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E151" i="15"/>
  <c r="E152" i="15"/>
  <c r="E154" i="15"/>
  <c r="E153" i="15"/>
  <c r="D22" i="52"/>
  <c r="C22" i="52"/>
  <c r="AL25" i="28"/>
  <c r="AR25" i="28"/>
  <c r="AT25" i="28"/>
  <c r="AU25" i="28"/>
  <c r="AV25" i="28"/>
  <c r="AK25" i="28"/>
  <c r="AJ28" i="28"/>
  <c r="E6" i="54"/>
  <c r="D17" i="55"/>
  <c r="C17" i="55"/>
  <c r="E5" i="54" s="1"/>
  <c r="E16" i="55"/>
  <c r="E17" i="55" s="1"/>
  <c r="D10" i="55"/>
  <c r="E8" i="54" s="1"/>
  <c r="C10" i="55"/>
  <c r="E7" i="54" s="1"/>
  <c r="E9" i="55"/>
  <c r="E8" i="55"/>
  <c r="E7" i="55"/>
  <c r="E6" i="55"/>
  <c r="E5" i="55"/>
  <c r="E20" i="41"/>
  <c r="E21" i="41"/>
  <c r="E22" i="41"/>
  <c r="J25" i="52"/>
  <c r="J31" i="52" s="1"/>
  <c r="E6" i="51" s="1"/>
  <c r="I25" i="52"/>
  <c r="I31" i="52" s="1"/>
  <c r="E5" i="51" s="1"/>
  <c r="K24" i="52"/>
  <c r="K23" i="52"/>
  <c r="K22" i="52"/>
  <c r="K21" i="52"/>
  <c r="E21" i="52"/>
  <c r="E22" i="52" s="1"/>
  <c r="J9" i="52"/>
  <c r="I9" i="52"/>
  <c r="K8" i="52"/>
  <c r="K7" i="52"/>
  <c r="K6" i="52"/>
  <c r="K5" i="52"/>
  <c r="E14" i="52"/>
  <c r="D15" i="52"/>
  <c r="C15" i="52"/>
  <c r="E13" i="52"/>
  <c r="E12" i="52"/>
  <c r="E11" i="52"/>
  <c r="E10" i="52"/>
  <c r="E9" i="52"/>
  <c r="E8" i="52"/>
  <c r="E7" i="52"/>
  <c r="E6" i="52"/>
  <c r="E5" i="52"/>
  <c r="C28" i="50"/>
  <c r="E7" i="43" s="1"/>
  <c r="J22" i="50"/>
  <c r="I22" i="50"/>
  <c r="I28" i="50" s="1"/>
  <c r="E5" i="43" s="1"/>
  <c r="K21" i="50"/>
  <c r="K20" i="50"/>
  <c r="K19" i="50"/>
  <c r="K18" i="50"/>
  <c r="K22" i="50" s="1"/>
  <c r="J9" i="50"/>
  <c r="I9" i="50"/>
  <c r="K8" i="50"/>
  <c r="K7" i="50"/>
  <c r="K6" i="50"/>
  <c r="K5" i="50"/>
  <c r="D19" i="50"/>
  <c r="C19" i="50"/>
  <c r="E18" i="50"/>
  <c r="E19" i="50" s="1"/>
  <c r="D12" i="50"/>
  <c r="D28" i="50" s="1"/>
  <c r="E8" i="43" s="1"/>
  <c r="C12" i="50"/>
  <c r="E11" i="50"/>
  <c r="E10" i="50"/>
  <c r="E9" i="50"/>
  <c r="E8" i="50"/>
  <c r="E7" i="50"/>
  <c r="E6" i="50"/>
  <c r="E5" i="50"/>
  <c r="AO68" i="28" l="1"/>
  <c r="AP64" i="28"/>
  <c r="AO64" i="28"/>
  <c r="AM60" i="28"/>
  <c r="AM25" i="28" s="1"/>
  <c r="AM57" i="28"/>
  <c r="AZ57" i="28" s="1"/>
  <c r="AQ56" i="28"/>
  <c r="AQ60" i="28"/>
  <c r="AP68" i="28"/>
  <c r="K28" i="50"/>
  <c r="J28" i="50"/>
  <c r="E6" i="43" s="1"/>
  <c r="C31" i="52"/>
  <c r="E7" i="51" s="1"/>
  <c r="K25" i="52"/>
  <c r="K31" i="52" s="1"/>
  <c r="E10" i="55"/>
  <c r="E4" i="54" s="1"/>
  <c r="D31" i="52"/>
  <c r="E8" i="51" s="1"/>
  <c r="K9" i="52"/>
  <c r="E15" i="52"/>
  <c r="K9" i="50"/>
  <c r="E12" i="50"/>
  <c r="E28" i="50" s="1"/>
  <c r="E4" i="43" s="1"/>
  <c r="E5" i="38"/>
  <c r="E6" i="38"/>
  <c r="E7" i="38"/>
  <c r="E8" i="38"/>
  <c r="E9" i="38"/>
  <c r="E10" i="38"/>
  <c r="E11" i="38"/>
  <c r="E12" i="38"/>
  <c r="C13" i="38"/>
  <c r="D13" i="38"/>
  <c r="E6" i="39" s="1"/>
  <c r="E3" i="47"/>
  <c r="E5" i="47"/>
  <c r="E4" i="47"/>
  <c r="E3" i="46"/>
  <c r="E5" i="46"/>
  <c r="E4" i="46"/>
  <c r="D12" i="49"/>
  <c r="C12" i="49"/>
  <c r="E11" i="49"/>
  <c r="E10" i="49"/>
  <c r="E9" i="49"/>
  <c r="E8" i="49"/>
  <c r="E7" i="49"/>
  <c r="E6" i="49"/>
  <c r="E5" i="49"/>
  <c r="D12" i="48"/>
  <c r="C12" i="48"/>
  <c r="E11" i="48"/>
  <c r="E10" i="48"/>
  <c r="E9" i="48"/>
  <c r="E8" i="48"/>
  <c r="E7" i="48"/>
  <c r="E6" i="48"/>
  <c r="E5" i="48"/>
  <c r="E6" i="44"/>
  <c r="E5" i="44"/>
  <c r="E6" i="45"/>
  <c r="E5" i="45"/>
  <c r="D7" i="45"/>
  <c r="C7" i="45"/>
  <c r="J7" i="40"/>
  <c r="D44" i="40" s="1"/>
  <c r="E8" i="42" s="1"/>
  <c r="I7" i="40"/>
  <c r="C44" i="40" s="1"/>
  <c r="E7" i="42" s="1"/>
  <c r="K6" i="40"/>
  <c r="K5" i="40"/>
  <c r="K7" i="40" s="1"/>
  <c r="K23" i="40"/>
  <c r="K24" i="40"/>
  <c r="K25" i="40"/>
  <c r="K26" i="40"/>
  <c r="J36" i="40"/>
  <c r="I36" i="40"/>
  <c r="K35" i="40"/>
  <c r="K34" i="40"/>
  <c r="K33" i="40"/>
  <c r="J27" i="40"/>
  <c r="I27" i="40"/>
  <c r="K22" i="40"/>
  <c r="K21" i="40"/>
  <c r="K20" i="40"/>
  <c r="K19" i="40"/>
  <c r="K18" i="40"/>
  <c r="E34" i="40"/>
  <c r="E35" i="40"/>
  <c r="E36" i="40"/>
  <c r="E37" i="40"/>
  <c r="E33" i="40"/>
  <c r="E23" i="40"/>
  <c r="E24" i="40"/>
  <c r="E25" i="40"/>
  <c r="E26" i="40"/>
  <c r="E22" i="40"/>
  <c r="E6" i="40"/>
  <c r="E7" i="40"/>
  <c r="E8" i="40"/>
  <c r="E9" i="40"/>
  <c r="E10" i="40"/>
  <c r="E11" i="40"/>
  <c r="E12" i="40"/>
  <c r="E13" i="40"/>
  <c r="E14" i="40"/>
  <c r="E15" i="40"/>
  <c r="E5" i="40"/>
  <c r="D27" i="40"/>
  <c r="C27" i="40"/>
  <c r="D24" i="41"/>
  <c r="E6" i="53" s="1"/>
  <c r="C24" i="41"/>
  <c r="E5" i="53" s="1"/>
  <c r="E23" i="41"/>
  <c r="E19" i="41"/>
  <c r="E18" i="41"/>
  <c r="E17" i="41"/>
  <c r="E16" i="41"/>
  <c r="D10" i="41"/>
  <c r="E8" i="53" s="1"/>
  <c r="C10" i="41"/>
  <c r="E7" i="53" s="1"/>
  <c r="E9" i="41"/>
  <c r="E8" i="41"/>
  <c r="E7" i="41"/>
  <c r="E6" i="41"/>
  <c r="E5" i="41"/>
  <c r="D38" i="40"/>
  <c r="J44" i="40" s="1"/>
  <c r="E6" i="42" s="1"/>
  <c r="C38" i="40"/>
  <c r="I44" i="40" s="1"/>
  <c r="E5" i="42" s="1"/>
  <c r="D8" i="37"/>
  <c r="E6" i="36" s="1"/>
  <c r="C8" i="37"/>
  <c r="E5" i="36" s="1"/>
  <c r="E7" i="37"/>
  <c r="E6" i="37"/>
  <c r="E5" i="37"/>
  <c r="E8" i="37" s="1"/>
  <c r="E4" i="36" s="1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R76" i="15"/>
  <c r="R77" i="15"/>
  <c r="R78" i="15"/>
  <c r="R79" i="15"/>
  <c r="R80" i="15"/>
  <c r="R81" i="15"/>
  <c r="R82" i="15"/>
  <c r="R83" i="15"/>
  <c r="R84" i="15"/>
  <c r="R85" i="15"/>
  <c r="R86" i="15"/>
  <c r="R87" i="15"/>
  <c r="R88" i="15"/>
  <c r="R89" i="15"/>
  <c r="R90" i="15"/>
  <c r="R91" i="15"/>
  <c r="R92" i="15"/>
  <c r="R93" i="15"/>
  <c r="R94" i="15"/>
  <c r="R95" i="15"/>
  <c r="R96" i="15"/>
  <c r="R97" i="15"/>
  <c r="R98" i="15"/>
  <c r="R99" i="15"/>
  <c r="R100" i="15"/>
  <c r="R101" i="15"/>
  <c r="R102" i="15"/>
  <c r="R103" i="15"/>
  <c r="R104" i="15"/>
  <c r="R105" i="15"/>
  <c r="R106" i="15"/>
  <c r="R107" i="15"/>
  <c r="R108" i="15"/>
  <c r="R109" i="15"/>
  <c r="R110" i="15"/>
  <c r="R111" i="15"/>
  <c r="R112" i="15"/>
  <c r="R113" i="15"/>
  <c r="R114" i="15"/>
  <c r="R115" i="15"/>
  <c r="R116" i="15"/>
  <c r="R117" i="15"/>
  <c r="R118" i="15"/>
  <c r="R119" i="15"/>
  <c r="R120" i="15"/>
  <c r="R121" i="15"/>
  <c r="R122" i="15"/>
  <c r="R123" i="15"/>
  <c r="R124" i="15"/>
  <c r="R125" i="15"/>
  <c r="R126" i="15"/>
  <c r="R127" i="15"/>
  <c r="R128" i="15"/>
  <c r="R129" i="15"/>
  <c r="R130" i="15"/>
  <c r="R131" i="15"/>
  <c r="R132" i="15"/>
  <c r="R133" i="15"/>
  <c r="R134" i="15"/>
  <c r="R135" i="15"/>
  <c r="R136" i="15"/>
  <c r="R137" i="15"/>
  <c r="R138" i="15"/>
  <c r="R139" i="15"/>
  <c r="R140" i="15"/>
  <c r="R141" i="15"/>
  <c r="R142" i="15"/>
  <c r="E5" i="34"/>
  <c r="E4" i="34"/>
  <c r="E20" i="35"/>
  <c r="E6" i="35"/>
  <c r="E7" i="35"/>
  <c r="E8" i="35"/>
  <c r="E5" i="35"/>
  <c r="E9" i="35" s="1"/>
  <c r="E6" i="33"/>
  <c r="E7" i="33"/>
  <c r="E8" i="33"/>
  <c r="E9" i="33"/>
  <c r="E10" i="33"/>
  <c r="E11" i="33"/>
  <c r="E5" i="33"/>
  <c r="D20" i="35"/>
  <c r="E6" i="34" s="1"/>
  <c r="C20" i="35"/>
  <c r="D9" i="35"/>
  <c r="E8" i="34" s="1"/>
  <c r="C9" i="35"/>
  <c r="E7" i="34" s="1"/>
  <c r="E6" i="32"/>
  <c r="E5" i="32"/>
  <c r="X203" i="28"/>
  <c r="W39" i="28"/>
  <c r="Y36" i="28"/>
  <c r="AB60" i="28"/>
  <c r="AA60" i="28"/>
  <c r="X181" i="28"/>
  <c r="X202" i="28"/>
  <c r="X12" i="28"/>
  <c r="Y22" i="28"/>
  <c r="W167" i="28"/>
  <c r="X34" i="28"/>
  <c r="X138" i="28"/>
  <c r="W29" i="28"/>
  <c r="X25" i="28"/>
  <c r="X55" i="28"/>
  <c r="AF64" i="28"/>
  <c r="X101" i="28"/>
  <c r="Y64" i="28"/>
  <c r="W203" i="28"/>
  <c r="X104" i="28"/>
  <c r="W6" i="28"/>
  <c r="Z41" i="28"/>
  <c r="W64" i="28"/>
  <c r="X24" i="28"/>
  <c r="W48" i="28"/>
  <c r="W184" i="28"/>
  <c r="X214" i="28"/>
  <c r="W40" i="28"/>
  <c r="X96" i="28"/>
  <c r="X125" i="28"/>
  <c r="X241" i="28"/>
  <c r="X56" i="28"/>
  <c r="X84" i="28"/>
  <c r="W111" i="28"/>
  <c r="X98" i="28"/>
  <c r="X224" i="28"/>
  <c r="X179" i="28"/>
  <c r="AD56" i="28"/>
  <c r="X184" i="28"/>
  <c r="X20" i="28"/>
  <c r="AH68" i="28"/>
  <c r="X54" i="28"/>
  <c r="W52" i="28"/>
  <c r="X171" i="28"/>
  <c r="X252" i="28"/>
  <c r="Y28" i="28"/>
  <c r="Y60" i="28"/>
  <c r="W73" i="28"/>
  <c r="AF46" i="28"/>
  <c r="X140" i="28"/>
  <c r="W36" i="28"/>
  <c r="X70" i="28"/>
  <c r="W75" i="28"/>
  <c r="X88" i="28"/>
  <c r="W46" i="28"/>
  <c r="X110" i="28"/>
  <c r="X63" i="28"/>
  <c r="W216" i="28"/>
  <c r="W186" i="28"/>
  <c r="W33" i="28"/>
  <c r="X22" i="28"/>
  <c r="X43" i="28"/>
  <c r="Z28" i="28"/>
  <c r="W113" i="28"/>
  <c r="AF25" i="28"/>
  <c r="AG68" i="28"/>
  <c r="AF68" i="28"/>
  <c r="X183" i="28"/>
  <c r="W31" i="28"/>
  <c r="W246" i="28"/>
  <c r="W95" i="28"/>
  <c r="W150" i="28"/>
  <c r="W65" i="28"/>
  <c r="X155" i="28"/>
  <c r="W189" i="28"/>
  <c r="AG56" i="28"/>
  <c r="W99" i="28"/>
  <c r="W174" i="28"/>
  <c r="X9" i="28"/>
  <c r="X229" i="28"/>
  <c r="AB56" i="28"/>
  <c r="W165" i="28"/>
  <c r="W82" i="28"/>
  <c r="W9" i="28"/>
  <c r="W156" i="28"/>
  <c r="AD28" i="28"/>
  <c r="AG22" i="28"/>
  <c r="W207" i="28"/>
  <c r="W224" i="28"/>
  <c r="X30" i="28"/>
  <c r="W32" i="28"/>
  <c r="X204" i="28"/>
  <c r="Y19" i="28"/>
  <c r="X123" i="28"/>
  <c r="W195" i="28"/>
  <c r="W92" i="28"/>
  <c r="AF28" i="28"/>
  <c r="X58" i="28"/>
  <c r="X189" i="28"/>
  <c r="X150" i="28"/>
  <c r="W79" i="28"/>
  <c r="W175" i="28"/>
  <c r="AB64" i="28"/>
  <c r="AA36" i="28"/>
  <c r="X216" i="28"/>
  <c r="W107" i="28"/>
  <c r="W60" i="28"/>
  <c r="X83" i="28"/>
  <c r="W59" i="28"/>
  <c r="X35" i="28"/>
  <c r="W205" i="28"/>
  <c r="X131" i="28"/>
  <c r="AH28" i="28"/>
  <c r="X233" i="28"/>
  <c r="W88" i="28"/>
  <c r="W26" i="28"/>
  <c r="W30" i="28"/>
  <c r="Z36" i="28"/>
  <c r="X186" i="28"/>
  <c r="X120" i="28"/>
  <c r="W183" i="28"/>
  <c r="X27" i="28"/>
  <c r="W144" i="28"/>
  <c r="X230" i="28"/>
  <c r="W178" i="28"/>
  <c r="W24" i="28"/>
  <c r="W100" i="28"/>
  <c r="X28" i="28"/>
  <c r="X105" i="28"/>
  <c r="X45" i="28"/>
  <c r="X199" i="28"/>
  <c r="W53" i="28"/>
  <c r="W146" i="28"/>
  <c r="X176" i="28"/>
  <c r="AE56" i="28"/>
  <c r="AD51" i="28"/>
  <c r="W179" i="28"/>
  <c r="X137" i="28"/>
  <c r="W110" i="28"/>
  <c r="X197" i="28"/>
  <c r="W225" i="28"/>
  <c r="X64" i="28"/>
  <c r="X159" i="28"/>
  <c r="X173" i="28"/>
  <c r="X162" i="28"/>
  <c r="AE60" i="28"/>
  <c r="X231" i="28"/>
  <c r="X221" i="28"/>
  <c r="W226" i="28"/>
  <c r="AB41" i="28"/>
  <c r="X210" i="28"/>
  <c r="X99" i="28"/>
  <c r="AE41" i="28"/>
  <c r="W137" i="28"/>
  <c r="W93" i="28"/>
  <c r="X102" i="28"/>
  <c r="W11" i="28"/>
  <c r="X111" i="28"/>
  <c r="X188" i="28"/>
  <c r="W204" i="28"/>
  <c r="W132" i="28"/>
  <c r="X77" i="28"/>
  <c r="W17" i="28"/>
  <c r="X108" i="28"/>
  <c r="X13" i="28"/>
  <c r="Z64" i="28"/>
  <c r="W57" i="28"/>
  <c r="X14" i="28"/>
  <c r="X114" i="28"/>
  <c r="W56" i="28"/>
  <c r="AG19" i="28"/>
  <c r="AB25" i="28"/>
  <c r="AG25" i="28"/>
  <c r="X167" i="28"/>
  <c r="W23" i="28"/>
  <c r="X205" i="28"/>
  <c r="X97" i="28"/>
  <c r="W71" i="28"/>
  <c r="W122" i="28"/>
  <c r="AE36" i="28"/>
  <c r="W44" i="28"/>
  <c r="X190" i="28"/>
  <c r="W149" i="28"/>
  <c r="W126" i="28"/>
  <c r="AG28" i="28"/>
  <c r="W13" i="28"/>
  <c r="AE28" i="28"/>
  <c r="W228" i="28"/>
  <c r="W37" i="28"/>
  <c r="W22" i="28"/>
  <c r="AA19" i="28"/>
  <c r="X251" i="28"/>
  <c r="W244" i="28"/>
  <c r="AG36" i="28"/>
  <c r="AH22" i="28"/>
  <c r="W243" i="28"/>
  <c r="X226" i="28"/>
  <c r="W173" i="28"/>
  <c r="W16" i="28"/>
  <c r="W245" i="28"/>
  <c r="W192" i="28"/>
  <c r="X78" i="28"/>
  <c r="X236" i="28"/>
  <c r="X67" i="28"/>
  <c r="W212" i="28"/>
  <c r="Z60" i="28"/>
  <c r="X132" i="28"/>
  <c r="AA51" i="28"/>
  <c r="W66" i="28"/>
  <c r="X212" i="28"/>
  <c r="AH64" i="28"/>
  <c r="X10" i="28"/>
  <c r="X201" i="28"/>
  <c r="X95" i="28"/>
  <c r="AA68" i="28"/>
  <c r="X218" i="28"/>
  <c r="W250" i="28"/>
  <c r="AB19" i="28"/>
  <c r="AF22" i="28"/>
  <c r="X207" i="28"/>
  <c r="W190" i="28"/>
  <c r="AB46" i="28"/>
  <c r="X228" i="28"/>
  <c r="X48" i="28"/>
  <c r="W170" i="28"/>
  <c r="W180" i="28"/>
  <c r="W161" i="28"/>
  <c r="X94" i="28"/>
  <c r="Y51" i="28"/>
  <c r="W80" i="28"/>
  <c r="X75" i="28"/>
  <c r="X164" i="28"/>
  <c r="X198" i="28"/>
  <c r="AF60" i="28"/>
  <c r="X143" i="28"/>
  <c r="X128" i="28"/>
  <c r="AF51" i="28"/>
  <c r="AA25" i="28"/>
  <c r="AF36" i="28"/>
  <c r="X234" i="28"/>
  <c r="X219" i="28"/>
  <c r="W98" i="28"/>
  <c r="W43" i="28"/>
  <c r="AH41" i="28"/>
  <c r="W159" i="28"/>
  <c r="X17" i="28"/>
  <c r="X91" i="28"/>
  <c r="W47" i="28"/>
  <c r="W42" i="28"/>
  <c r="W223" i="28"/>
  <c r="W21" i="28"/>
  <c r="AB22" i="28"/>
  <c r="W198" i="28"/>
  <c r="AF41" i="28"/>
  <c r="W153" i="28"/>
  <c r="X119" i="28"/>
  <c r="X250" i="28"/>
  <c r="X53" i="28"/>
  <c r="X21" i="28"/>
  <c r="W128" i="28"/>
  <c r="W50" i="28"/>
  <c r="X15" i="28"/>
  <c r="W202" i="28"/>
  <c r="AA22" i="28"/>
  <c r="W27" i="28"/>
  <c r="X57" i="28"/>
  <c r="W68" i="28"/>
  <c r="W35" i="28"/>
  <c r="W208" i="28"/>
  <c r="AH56" i="28"/>
  <c r="X193" i="28"/>
  <c r="Z46" i="28"/>
  <c r="W61" i="28"/>
  <c r="W114" i="28"/>
  <c r="W97" i="28"/>
  <c r="W125" i="28"/>
  <c r="W249" i="28"/>
  <c r="X44" i="28"/>
  <c r="W197" i="28"/>
  <c r="W105" i="28"/>
  <c r="W54" i="28"/>
  <c r="W15" i="28"/>
  <c r="AB68" i="28"/>
  <c r="W84" i="28"/>
  <c r="X7" i="28"/>
  <c r="W141" i="28"/>
  <c r="W252" i="28"/>
  <c r="Y46" i="28"/>
  <c r="W240" i="28"/>
  <c r="X37" i="28"/>
  <c r="X47" i="28"/>
  <c r="W158" i="28"/>
  <c r="X213" i="28"/>
  <c r="W76" i="28"/>
  <c r="X113" i="28"/>
  <c r="W143" i="28"/>
  <c r="X240" i="28"/>
  <c r="W213" i="28"/>
  <c r="X18" i="28"/>
  <c r="W188" i="28"/>
  <c r="X5" i="28"/>
  <c r="X41" i="28"/>
  <c r="X11" i="28"/>
  <c r="Y41" i="28"/>
  <c r="W5" i="28"/>
  <c r="X146" i="28"/>
  <c r="AG64" i="28"/>
  <c r="W119" i="28"/>
  <c r="X8" i="28"/>
  <c r="X76" i="28"/>
  <c r="W235" i="28"/>
  <c r="W77" i="28"/>
  <c r="X168" i="28"/>
  <c r="W117" i="28"/>
  <c r="AD60" i="28"/>
  <c r="W239" i="28"/>
  <c r="X92" i="28"/>
  <c r="X103" i="28"/>
  <c r="W63" i="28"/>
  <c r="X215" i="28"/>
  <c r="W210" i="28"/>
  <c r="AE51" i="28"/>
  <c r="W74" i="28"/>
  <c r="W230" i="28"/>
  <c r="W140" i="28"/>
  <c r="X195" i="28"/>
  <c r="AD41" i="28"/>
  <c r="X178" i="28"/>
  <c r="AB36" i="28"/>
  <c r="W87" i="28"/>
  <c r="AE22" i="28"/>
  <c r="W8" i="28"/>
  <c r="W219" i="28"/>
  <c r="AD46" i="28"/>
  <c r="W209" i="28"/>
  <c r="X117" i="28"/>
  <c r="X116" i="28"/>
  <c r="AD22" i="28"/>
  <c r="X81" i="28"/>
  <c r="W45" i="28"/>
  <c r="X243" i="28"/>
  <c r="X32" i="28"/>
  <c r="W251" i="28"/>
  <c r="X73" i="28"/>
  <c r="W185" i="28"/>
  <c r="W116" i="28"/>
  <c r="W7" i="28"/>
  <c r="AA64" i="28"/>
  <c r="W241" i="28"/>
  <c r="W101" i="28"/>
  <c r="X141" i="28"/>
  <c r="W181" i="28"/>
  <c r="X244" i="28"/>
  <c r="W229" i="28"/>
  <c r="X29" i="28"/>
  <c r="X180" i="28"/>
  <c r="X62" i="28"/>
  <c r="X247" i="28"/>
  <c r="X69" i="28"/>
  <c r="X107" i="28"/>
  <c r="W41" i="28"/>
  <c r="W131" i="28"/>
  <c r="W78" i="28"/>
  <c r="W214" i="28"/>
  <c r="AH19" i="28"/>
  <c r="W94" i="28"/>
  <c r="W90" i="28"/>
  <c r="W58" i="28"/>
  <c r="AB28" i="28"/>
  <c r="AD68" i="28"/>
  <c r="W201" i="28"/>
  <c r="X71" i="28"/>
  <c r="AE19" i="28"/>
  <c r="W62" i="28"/>
  <c r="Y25" i="28"/>
  <c r="W231" i="28"/>
  <c r="X52" i="28"/>
  <c r="W194" i="28"/>
  <c r="AD64" i="28"/>
  <c r="X147" i="28"/>
  <c r="Z51" i="28"/>
  <c r="W233" i="28"/>
  <c r="W247" i="28"/>
  <c r="X19" i="28"/>
  <c r="X66" i="28"/>
  <c r="X246" i="28"/>
  <c r="X89" i="28"/>
  <c r="W221" i="28"/>
  <c r="X161" i="28"/>
  <c r="X74" i="28"/>
  <c r="W18" i="28"/>
  <c r="X59" i="28"/>
  <c r="W49" i="28"/>
  <c r="W85" i="28"/>
  <c r="W168" i="28"/>
  <c r="X153" i="28"/>
  <c r="Z19" i="28"/>
  <c r="X208" i="28"/>
  <c r="X225" i="28"/>
  <c r="X223" i="28"/>
  <c r="W135" i="28"/>
  <c r="X249" i="28"/>
  <c r="X134" i="28"/>
  <c r="X129" i="28"/>
  <c r="W102" i="28"/>
  <c r="W83" i="28"/>
  <c r="W199" i="28"/>
  <c r="W171" i="28"/>
  <c r="X135" i="28"/>
  <c r="W138" i="28"/>
  <c r="X100" i="28"/>
  <c r="W104" i="28"/>
  <c r="W234" i="28"/>
  <c r="W134" i="28"/>
  <c r="AE46" i="28"/>
  <c r="X50" i="28"/>
  <c r="X40" i="28"/>
  <c r="AA56" i="28"/>
  <c r="W89" i="28"/>
  <c r="Y56" i="28"/>
  <c r="X51" i="28"/>
  <c r="AH46" i="28"/>
  <c r="AH25" i="28"/>
  <c r="AA41" i="28"/>
  <c r="W67" i="28"/>
  <c r="W164" i="28"/>
  <c r="AA46" i="28"/>
  <c r="X220" i="28"/>
  <c r="AD36" i="28"/>
  <c r="X23" i="28"/>
  <c r="X68" i="28"/>
  <c r="X90" i="28"/>
  <c r="W20" i="28"/>
  <c r="X93" i="28"/>
  <c r="X174" i="28"/>
  <c r="X49" i="28"/>
  <c r="W19" i="28"/>
  <c r="X192" i="28"/>
  <c r="W38" i="28"/>
  <c r="W91" i="28"/>
  <c r="W12" i="28"/>
  <c r="AG60" i="28"/>
  <c r="W69" i="28"/>
  <c r="W51" i="28"/>
  <c r="AE64" i="28"/>
  <c r="X144" i="28"/>
  <c r="W218" i="28"/>
  <c r="W81" i="28"/>
  <c r="AG41" i="28"/>
  <c r="W220" i="28"/>
  <c r="W129" i="28"/>
  <c r="W123" i="28"/>
  <c r="AG46" i="28"/>
  <c r="X60" i="28"/>
  <c r="W176" i="28"/>
  <c r="W28" i="28"/>
  <c r="Z68" i="28"/>
  <c r="X170" i="28"/>
  <c r="X65" i="28"/>
  <c r="X175" i="28"/>
  <c r="AH36" i="28"/>
  <c r="W120" i="28"/>
  <c r="W155" i="28"/>
  <c r="W70" i="28"/>
  <c r="AE68" i="28"/>
  <c r="X31" i="28"/>
  <c r="AF56" i="28"/>
  <c r="X36" i="28"/>
  <c r="W34" i="28"/>
  <c r="W238" i="28"/>
  <c r="W103" i="28"/>
  <c r="W55" i="28"/>
  <c r="X165" i="28"/>
  <c r="AF19" i="28"/>
  <c r="X194" i="28"/>
  <c r="W96" i="28"/>
  <c r="X122" i="28"/>
  <c r="X39" i="28"/>
  <c r="W14" i="28"/>
  <c r="AG51" i="28"/>
  <c r="AB51" i="28"/>
  <c r="X46" i="28"/>
  <c r="W86" i="28"/>
  <c r="Y68" i="28"/>
  <c r="X239" i="28"/>
  <c r="W152" i="28"/>
  <c r="X185" i="28"/>
  <c r="X238" i="28"/>
  <c r="X86" i="28"/>
  <c r="AH51" i="28"/>
  <c r="W10" i="28"/>
  <c r="X152" i="28"/>
  <c r="X245" i="28"/>
  <c r="W236" i="28"/>
  <c r="X42" i="28"/>
  <c r="X85" i="28"/>
  <c r="X156" i="28"/>
  <c r="X158" i="28"/>
  <c r="W193" i="28"/>
  <c r="X26" i="28"/>
  <c r="X149" i="28"/>
  <c r="X80" i="28"/>
  <c r="Z22" i="28"/>
  <c r="X16" i="28"/>
  <c r="X235" i="28"/>
  <c r="X33" i="28"/>
  <c r="W215" i="28"/>
  <c r="AH60" i="28"/>
  <c r="AD19" i="28"/>
  <c r="W147" i="28"/>
  <c r="X126" i="28"/>
  <c r="X61" i="28"/>
  <c r="X38" i="28"/>
  <c r="X82" i="28"/>
  <c r="W162" i="28"/>
  <c r="X6" i="28"/>
  <c r="X209" i="28"/>
  <c r="X79" i="28"/>
  <c r="X87" i="28"/>
  <c r="W108" i="28"/>
  <c r="E13" i="38" l="1"/>
  <c r="E4" i="39" s="1"/>
  <c r="E5" i="39"/>
  <c r="AO25" i="28"/>
  <c r="BA60" i="28"/>
  <c r="AP25" i="28"/>
  <c r="AQ25" i="28"/>
  <c r="AX58" i="28"/>
  <c r="AX62" i="28"/>
  <c r="AY67" i="28"/>
  <c r="BG60" i="28"/>
  <c r="AY62" i="28"/>
  <c r="AX57" i="28"/>
  <c r="AY66" i="28"/>
  <c r="AZ60" i="28"/>
  <c r="BC60" i="28"/>
  <c r="AX64" i="28"/>
  <c r="BG68" i="28"/>
  <c r="BE68" i="28"/>
  <c r="AX65" i="28"/>
  <c r="AY63" i="28"/>
  <c r="AY61" i="28"/>
  <c r="AX61" i="28"/>
  <c r="AX66" i="28"/>
  <c r="AY57" i="28"/>
  <c r="AY68" i="28"/>
  <c r="BB68" i="28"/>
  <c r="AZ68" i="28"/>
  <c r="AY58" i="28"/>
  <c r="AX67" i="28"/>
  <c r="BE60" i="28"/>
  <c r="AX68" i="28"/>
  <c r="BE64" i="28"/>
  <c r="BB64" i="28"/>
  <c r="BG64" i="28"/>
  <c r="AY65" i="28"/>
  <c r="BA64" i="28"/>
  <c r="AY64" i="28"/>
  <c r="AX63" i="28"/>
  <c r="BC64" i="28"/>
  <c r="AY60" i="28"/>
  <c r="AY59" i="28"/>
  <c r="BC68" i="28"/>
  <c r="BF60" i="28"/>
  <c r="BF68" i="28"/>
  <c r="AZ64" i="28"/>
  <c r="BB60" i="28"/>
  <c r="AX60" i="28"/>
  <c r="AX59" i="28"/>
  <c r="BA68" i="28"/>
  <c r="BF64" i="28"/>
  <c r="AY56" i="28"/>
  <c r="AZ56" i="28"/>
  <c r="BF56" i="28"/>
  <c r="BE56" i="28"/>
  <c r="BB56" i="28"/>
  <c r="BG56" i="28"/>
  <c r="BC56" i="28"/>
  <c r="AX56" i="28"/>
  <c r="E12" i="33"/>
  <c r="E4" i="32" s="1"/>
  <c r="T143" i="15"/>
  <c r="X143" i="15" s="1"/>
  <c r="S143" i="15"/>
  <c r="W143" i="15" s="1"/>
  <c r="E31" i="52"/>
  <c r="E4" i="51" s="1"/>
  <c r="J95" i="28"/>
  <c r="J175" i="28"/>
  <c r="J80" i="28"/>
  <c r="J160" i="28"/>
  <c r="I160" i="28" s="1"/>
  <c r="J65" i="28"/>
  <c r="J225" i="28"/>
  <c r="J63" i="28"/>
  <c r="J49" i="28"/>
  <c r="J223" i="28"/>
  <c r="J129" i="28"/>
  <c r="J48" i="28"/>
  <c r="J209" i="28"/>
  <c r="J128" i="28"/>
  <c r="J47" i="28"/>
  <c r="J208" i="28"/>
  <c r="J127" i="28"/>
  <c r="I127" i="28" s="1"/>
  <c r="J33" i="28"/>
  <c r="J241" i="28"/>
  <c r="J240" i="28"/>
  <c r="J145" i="28"/>
  <c r="I145" i="28" s="1"/>
  <c r="J144" i="28"/>
  <c r="J224" i="28"/>
  <c r="J143" i="28"/>
  <c r="J207" i="28"/>
  <c r="J113" i="28"/>
  <c r="J32" i="28"/>
  <c r="J176" i="28"/>
  <c r="J81" i="28"/>
  <c r="J161" i="28"/>
  <c r="J79" i="28"/>
  <c r="J159" i="28"/>
  <c r="J239" i="28"/>
  <c r="J193" i="28"/>
  <c r="J112" i="28"/>
  <c r="I112" i="28" s="1"/>
  <c r="J31" i="28"/>
  <c r="J192" i="28"/>
  <c r="J111" i="28"/>
  <c r="J17" i="28"/>
  <c r="J191" i="28"/>
  <c r="I191" i="28" s="1"/>
  <c r="J97" i="28"/>
  <c r="J16" i="28"/>
  <c r="J177" i="28"/>
  <c r="I177" i="28" s="1"/>
  <c r="J96" i="28"/>
  <c r="J15" i="28"/>
  <c r="J174" i="28"/>
  <c r="J142" i="28"/>
  <c r="I142" i="28" s="1"/>
  <c r="J62" i="28"/>
  <c r="J157" i="28"/>
  <c r="I157" i="28" s="1"/>
  <c r="J13" i="28"/>
  <c r="J204" i="28"/>
  <c r="J155" i="28"/>
  <c r="J27" i="28"/>
  <c r="J250" i="28"/>
  <c r="J202" i="28"/>
  <c r="J170" i="28"/>
  <c r="J138" i="28"/>
  <c r="J122" i="28"/>
  <c r="J90" i="28"/>
  <c r="J58" i="28"/>
  <c r="J10" i="28"/>
  <c r="J233" i="28"/>
  <c r="J201" i="28"/>
  <c r="J169" i="28"/>
  <c r="I169" i="28" s="1"/>
  <c r="J137" i="28"/>
  <c r="J121" i="28"/>
  <c r="I121" i="28" s="1"/>
  <c r="J89" i="28"/>
  <c r="J73" i="28"/>
  <c r="J57" i="28"/>
  <c r="J9" i="28"/>
  <c r="J248" i="28"/>
  <c r="I248" i="28" s="1"/>
  <c r="J232" i="28"/>
  <c r="I232" i="28" s="1"/>
  <c r="J216" i="28"/>
  <c r="J200" i="28"/>
  <c r="I200" i="28" s="1"/>
  <c r="J184" i="28"/>
  <c r="J168" i="28"/>
  <c r="J152" i="28"/>
  <c r="J136" i="28"/>
  <c r="I136" i="28" s="1"/>
  <c r="J120" i="28"/>
  <c r="J104" i="28"/>
  <c r="J88" i="28"/>
  <c r="J72" i="28"/>
  <c r="I72" i="28" s="1"/>
  <c r="J40" i="28"/>
  <c r="J24" i="28"/>
  <c r="J8" i="28"/>
  <c r="J222" i="28"/>
  <c r="I222" i="28" s="1"/>
  <c r="J158" i="28"/>
  <c r="J14" i="28"/>
  <c r="J189" i="28"/>
  <c r="J93" i="28"/>
  <c r="J61" i="28"/>
  <c r="J220" i="28"/>
  <c r="J124" i="28"/>
  <c r="I124" i="28" s="1"/>
  <c r="J12" i="28"/>
  <c r="J203" i="28"/>
  <c r="J11" i="28"/>
  <c r="J234" i="28"/>
  <c r="J218" i="28"/>
  <c r="J186" i="28"/>
  <c r="J154" i="28"/>
  <c r="I154" i="28" s="1"/>
  <c r="J106" i="28"/>
  <c r="I106" i="28" s="1"/>
  <c r="J74" i="28"/>
  <c r="J42" i="28"/>
  <c r="J26" i="28"/>
  <c r="J249" i="28"/>
  <c r="J217" i="28"/>
  <c r="I217" i="28" s="1"/>
  <c r="J185" i="28"/>
  <c r="J153" i="28"/>
  <c r="J105" i="28"/>
  <c r="J247" i="28"/>
  <c r="J231" i="28"/>
  <c r="J215" i="28"/>
  <c r="J199" i="28"/>
  <c r="J183" i="28"/>
  <c r="J167" i="28"/>
  <c r="J151" i="28"/>
  <c r="I151" i="28" s="1"/>
  <c r="J135" i="28"/>
  <c r="J119" i="28"/>
  <c r="J103" i="28"/>
  <c r="J87" i="28"/>
  <c r="J71" i="28"/>
  <c r="J55" i="28"/>
  <c r="J39" i="28"/>
  <c r="J23" i="28"/>
  <c r="J7" i="28"/>
  <c r="J206" i="28"/>
  <c r="I206" i="28" s="1"/>
  <c r="J126" i="28"/>
  <c r="J78" i="28"/>
  <c r="J221" i="28"/>
  <c r="J141" i="28"/>
  <c r="J29" i="28"/>
  <c r="J236" i="28"/>
  <c r="J156" i="28"/>
  <c r="J108" i="28"/>
  <c r="J251" i="28"/>
  <c r="J187" i="28"/>
  <c r="I187" i="28" s="1"/>
  <c r="J107" i="28"/>
  <c r="J75" i="28"/>
  <c r="J198" i="28"/>
  <c r="J166" i="28"/>
  <c r="I166" i="28" s="1"/>
  <c r="J102" i="28"/>
  <c r="J70" i="28"/>
  <c r="J245" i="28"/>
  <c r="J229" i="28"/>
  <c r="J213" i="28"/>
  <c r="J197" i="28"/>
  <c r="J181" i="28"/>
  <c r="J165" i="28"/>
  <c r="J149" i="28"/>
  <c r="J133" i="28"/>
  <c r="I133" i="28" s="1"/>
  <c r="J117" i="28"/>
  <c r="J101" i="28"/>
  <c r="J85" i="28"/>
  <c r="J69" i="28"/>
  <c r="J53" i="28"/>
  <c r="J37" i="28"/>
  <c r="J21" i="28"/>
  <c r="J5" i="28"/>
  <c r="J244" i="28"/>
  <c r="J228" i="28"/>
  <c r="J212" i="28"/>
  <c r="J196" i="28"/>
  <c r="I196" i="28" s="1"/>
  <c r="J180" i="28"/>
  <c r="J164" i="28"/>
  <c r="J148" i="28"/>
  <c r="I148" i="28" s="1"/>
  <c r="J132" i="28"/>
  <c r="J116" i="28"/>
  <c r="J100" i="28"/>
  <c r="J84" i="28"/>
  <c r="J52" i="28"/>
  <c r="J20" i="28"/>
  <c r="J190" i="28"/>
  <c r="J94" i="28"/>
  <c r="J30" i="28"/>
  <c r="J205" i="28"/>
  <c r="J173" i="28"/>
  <c r="J109" i="28"/>
  <c r="I109" i="28" s="1"/>
  <c r="J77" i="28"/>
  <c r="J172" i="28"/>
  <c r="I172" i="28" s="1"/>
  <c r="J92" i="28"/>
  <c r="J76" i="28"/>
  <c r="J219" i="28"/>
  <c r="J139" i="28"/>
  <c r="I139" i="28" s="1"/>
  <c r="J59" i="28"/>
  <c r="J230" i="28"/>
  <c r="J134" i="28"/>
  <c r="J38" i="28"/>
  <c r="J238" i="28"/>
  <c r="J110" i="28"/>
  <c r="J237" i="28"/>
  <c r="I237" i="28" s="1"/>
  <c r="J125" i="28"/>
  <c r="J45" i="28"/>
  <c r="J252" i="28"/>
  <c r="J188" i="28"/>
  <c r="J140" i="28"/>
  <c r="J44" i="28"/>
  <c r="J235" i="28"/>
  <c r="J171" i="28"/>
  <c r="J123" i="28"/>
  <c r="J91" i="28"/>
  <c r="J43" i="28"/>
  <c r="J246" i="28"/>
  <c r="J214" i="28"/>
  <c r="J182" i="28"/>
  <c r="I182" i="28" s="1"/>
  <c r="J150" i="28"/>
  <c r="J118" i="28"/>
  <c r="I118" i="28" s="1"/>
  <c r="J86" i="28"/>
  <c r="J54" i="28"/>
  <c r="J6" i="28"/>
  <c r="J243" i="28"/>
  <c r="J227" i="28"/>
  <c r="I227" i="28" s="1"/>
  <c r="J211" i="28"/>
  <c r="I211" i="28" s="1"/>
  <c r="J195" i="28"/>
  <c r="J179" i="28"/>
  <c r="J163" i="28"/>
  <c r="I163" i="28" s="1"/>
  <c r="J147" i="28"/>
  <c r="J131" i="28"/>
  <c r="J115" i="28"/>
  <c r="I115" i="28" s="1"/>
  <c r="J99" i="28"/>
  <c r="J83" i="28"/>
  <c r="J67" i="28"/>
  <c r="J35" i="28"/>
  <c r="J3" i="28"/>
  <c r="J242" i="28"/>
  <c r="I242" i="28" s="1"/>
  <c r="J226" i="28"/>
  <c r="J210" i="28"/>
  <c r="J194" i="28"/>
  <c r="J178" i="28"/>
  <c r="J162" i="28"/>
  <c r="J146" i="28"/>
  <c r="J130" i="28"/>
  <c r="I130" i="28" s="1"/>
  <c r="J114" i="28"/>
  <c r="J98" i="28"/>
  <c r="J82" i="28"/>
  <c r="J66" i="28"/>
  <c r="J50" i="28"/>
  <c r="J34" i="28"/>
  <c r="J18" i="28"/>
  <c r="J2" i="28"/>
  <c r="E12" i="49"/>
  <c r="E12" i="48"/>
  <c r="E7" i="45"/>
  <c r="E4" i="44" s="1"/>
  <c r="K36" i="40"/>
  <c r="K27" i="40"/>
  <c r="E27" i="40"/>
  <c r="E16" i="40"/>
  <c r="E44" i="40" s="1"/>
  <c r="E4" i="42" s="1"/>
  <c r="E38" i="40"/>
  <c r="K44" i="40" s="1"/>
  <c r="E24" i="41"/>
  <c r="E10" i="41"/>
  <c r="E4" i="53" s="1"/>
  <c r="Z25" i="28"/>
  <c r="AD25" i="28"/>
  <c r="AA28" i="28"/>
  <c r="Z56" i="28"/>
  <c r="AE25" i="28"/>
  <c r="W25" i="28"/>
  <c r="BA56" i="28" l="1"/>
  <c r="BA25" i="28" s="1"/>
  <c r="BG25" i="28"/>
  <c r="BC25" i="28"/>
  <c r="BB25" i="28"/>
  <c r="BF25" i="28"/>
  <c r="AZ25" i="28"/>
  <c r="AY25" i="28"/>
  <c r="AX25" i="28"/>
  <c r="BE25" i="28"/>
  <c r="BQ19" i="28"/>
  <c r="E3" i="34" s="1"/>
  <c r="BR19" i="28"/>
  <c r="E3" i="36" s="1"/>
  <c r="BS19" i="28"/>
  <c r="BT19" i="28"/>
  <c r="E3" i="53" s="1"/>
  <c r="BU19" i="28"/>
  <c r="BV19" i="28"/>
  <c r="BQ20" i="28"/>
  <c r="BR20" i="28"/>
  <c r="BS20" i="28"/>
  <c r="BT20" i="28"/>
  <c r="BU20" i="28"/>
  <c r="BV20" i="28"/>
  <c r="BQ21" i="28"/>
  <c r="BR21" i="28"/>
  <c r="BS21" i="28"/>
  <c r="BT21" i="28"/>
  <c r="BU21" i="28"/>
  <c r="BV21" i="28"/>
  <c r="BQ22" i="28"/>
  <c r="BR22" i="28"/>
  <c r="BS22" i="28"/>
  <c r="BT22" i="28"/>
  <c r="E3" i="54" s="1"/>
  <c r="BU22" i="28"/>
  <c r="BV22" i="28"/>
  <c r="BP22" i="28"/>
  <c r="BP19" i="28"/>
  <c r="E3" i="32" s="1"/>
  <c r="BP20" i="28"/>
  <c r="BP21" i="28"/>
  <c r="X4" i="28"/>
  <c r="AF4" i="28"/>
  <c r="AE4" i="28"/>
  <c r="W4" i="28"/>
  <c r="Y4" i="28"/>
  <c r="E3" i="42" l="1"/>
  <c r="E3" i="51"/>
  <c r="E3" i="44"/>
  <c r="E3" i="39"/>
  <c r="E3" i="43"/>
  <c r="U51" i="15"/>
  <c r="U85" i="15"/>
  <c r="U101" i="15"/>
  <c r="U25" i="15"/>
  <c r="U61" i="15"/>
  <c r="U77" i="15"/>
  <c r="U135" i="15"/>
  <c r="U71" i="15"/>
  <c r="U39" i="15"/>
  <c r="U41" i="15"/>
  <c r="U115" i="15"/>
  <c r="U103" i="15"/>
  <c r="U91" i="15"/>
  <c r="U117" i="15"/>
  <c r="U79" i="15"/>
  <c r="U47" i="15"/>
  <c r="U15" i="15"/>
  <c r="U93" i="15"/>
  <c r="U123" i="15"/>
  <c r="U59" i="15"/>
  <c r="U19" i="15"/>
  <c r="U53" i="15"/>
  <c r="U105" i="15"/>
  <c r="U9" i="15"/>
  <c r="U97" i="15"/>
  <c r="U63" i="15"/>
  <c r="U83" i="15"/>
  <c r="U73" i="15"/>
  <c r="U68" i="15"/>
  <c r="U119" i="15"/>
  <c r="U57" i="15"/>
  <c r="U129" i="15"/>
  <c r="U139" i="15"/>
  <c r="U113" i="15"/>
  <c r="U87" i="15"/>
  <c r="U107" i="15"/>
  <c r="U45" i="15"/>
  <c r="U27" i="15"/>
  <c r="U127" i="15"/>
  <c r="U29" i="15"/>
  <c r="U137" i="15"/>
  <c r="U13" i="15"/>
  <c r="U141" i="15"/>
  <c r="U43" i="15"/>
  <c r="U33" i="15"/>
  <c r="U65" i="15"/>
  <c r="U75" i="15"/>
  <c r="U109" i="15"/>
  <c r="U125" i="15"/>
  <c r="U111" i="15"/>
  <c r="U89" i="15"/>
  <c r="U69" i="15"/>
  <c r="U121" i="15"/>
  <c r="U31" i="15"/>
  <c r="U11" i="15"/>
  <c r="U17" i="15"/>
  <c r="U21" i="15"/>
  <c r="U23" i="15"/>
  <c r="U37" i="15"/>
  <c r="U81" i="15"/>
  <c r="U95" i="15"/>
  <c r="U55" i="15"/>
  <c r="U131" i="15"/>
  <c r="U26" i="15"/>
  <c r="U92" i="15"/>
  <c r="U40" i="15"/>
  <c r="U35" i="15"/>
  <c r="U49" i="15"/>
  <c r="U58" i="15"/>
  <c r="U124" i="15"/>
  <c r="U72" i="15"/>
  <c r="U67" i="15"/>
  <c r="U133" i="15"/>
  <c r="U100" i="15"/>
  <c r="U90" i="15"/>
  <c r="U104" i="15"/>
  <c r="U99" i="15"/>
  <c r="U28" i="15"/>
  <c r="U14" i="15"/>
  <c r="U132" i="15"/>
  <c r="U122" i="15"/>
  <c r="U136" i="15"/>
  <c r="U60" i="15"/>
  <c r="U8" i="15"/>
  <c r="U36" i="15"/>
  <c r="U126" i="15"/>
  <c r="U30" i="15"/>
  <c r="U80" i="15"/>
  <c r="U16" i="15"/>
  <c r="U98" i="15"/>
  <c r="U134" i="15"/>
  <c r="U70" i="15"/>
  <c r="U106" i="15"/>
  <c r="U74" i="15"/>
  <c r="U42" i="15"/>
  <c r="U10" i="15"/>
  <c r="U108" i="15"/>
  <c r="U66" i="15"/>
  <c r="U52" i="15"/>
  <c r="U20" i="15"/>
  <c r="U24" i="15"/>
  <c r="U140" i="15"/>
  <c r="U76" i="15"/>
  <c r="U12" i="15"/>
  <c r="U62" i="15"/>
  <c r="U112" i="15"/>
  <c r="U48" i="15"/>
  <c r="U130" i="15"/>
  <c r="U116" i="15"/>
  <c r="U102" i="15"/>
  <c r="U38" i="15"/>
  <c r="U56" i="15"/>
  <c r="U110" i="15"/>
  <c r="U78" i="15"/>
  <c r="U64" i="15"/>
  <c r="U32" i="15"/>
  <c r="U114" i="15"/>
  <c r="U82" i="15"/>
  <c r="U50" i="15"/>
  <c r="U18" i="15"/>
  <c r="U44" i="15"/>
  <c r="U120" i="15"/>
  <c r="U138" i="15"/>
  <c r="U96" i="15"/>
  <c r="U118" i="15"/>
  <c r="U86" i="15"/>
  <c r="U54" i="15"/>
  <c r="U22" i="15"/>
  <c r="U94" i="15"/>
  <c r="U34" i="15"/>
  <c r="U84" i="15"/>
  <c r="U88" i="15"/>
  <c r="U142" i="15"/>
  <c r="U46" i="15"/>
  <c r="U128" i="15"/>
  <c r="U7" i="15"/>
  <c r="U6" i="15"/>
  <c r="AD4" i="28"/>
  <c r="Z4" i="28"/>
  <c r="AB4" i="28"/>
  <c r="AA4" i="28"/>
  <c r="U143" i="15" l="1"/>
  <c r="BT121" i="28"/>
  <c r="BW26" i="28"/>
  <c r="BW27" i="28"/>
  <c r="BW29" i="28"/>
  <c r="BW30" i="28"/>
  <c r="BW31" i="28"/>
  <c r="BW32" i="28"/>
  <c r="BW33" i="28"/>
  <c r="BW34" i="28"/>
  <c r="BW35" i="28"/>
  <c r="BQ25" i="28"/>
  <c r="BR25" i="28"/>
  <c r="BT25" i="28"/>
  <c r="BU25" i="28"/>
  <c r="BV25" i="28"/>
  <c r="BP25" i="28"/>
  <c r="BQ28" i="28"/>
  <c r="BR28" i="28"/>
  <c r="BS28" i="28"/>
  <c r="BT28" i="28"/>
  <c r="BU28" i="28"/>
  <c r="BV28" i="28"/>
  <c r="BP28" i="28"/>
  <c r="BW36" i="28"/>
  <c r="BW37" i="28"/>
  <c r="BW38" i="28"/>
  <c r="BW39" i="28"/>
  <c r="BW40" i="28"/>
  <c r="BW41" i="28"/>
  <c r="BW42" i="28"/>
  <c r="BW43" i="28"/>
  <c r="BW44" i="28"/>
  <c r="BW45" i="28"/>
  <c r="BW46" i="28"/>
  <c r="BW47" i="28"/>
  <c r="BW48" i="28"/>
  <c r="BW49" i="28"/>
  <c r="BW50" i="28"/>
  <c r="BW51" i="28"/>
  <c r="BW52" i="28"/>
  <c r="BW53" i="28"/>
  <c r="BW54" i="28"/>
  <c r="BW55" i="28"/>
  <c r="BW56" i="28"/>
  <c r="BW57" i="28"/>
  <c r="BW58" i="28"/>
  <c r="BW59" i="28"/>
  <c r="BW60" i="28"/>
  <c r="BW61" i="28"/>
  <c r="BW62" i="28"/>
  <c r="BW63" i="28"/>
  <c r="BW64" i="28"/>
  <c r="BW65" i="28"/>
  <c r="BW66" i="28"/>
  <c r="BW67" i="28"/>
  <c r="BW68" i="28"/>
  <c r="BW25" i="28" l="1"/>
  <c r="BW28" i="28"/>
  <c r="T28" i="28"/>
  <c r="P28" i="28"/>
  <c r="T51" i="28"/>
  <c r="T46" i="28"/>
  <c r="T68" i="28"/>
  <c r="T64" i="28"/>
  <c r="T65" i="28"/>
  <c r="P51" i="28"/>
  <c r="P46" i="28"/>
  <c r="P68" i="28"/>
  <c r="P64" i="28"/>
  <c r="M60" i="28"/>
  <c r="M56" i="28"/>
  <c r="M25" i="28"/>
  <c r="L25" i="28"/>
  <c r="K25" i="28"/>
  <c r="L60" i="28"/>
  <c r="L56" i="28"/>
  <c r="K56" i="28"/>
  <c r="K60" i="28"/>
  <c r="T2" i="28"/>
  <c r="T3" i="28"/>
  <c r="T4" i="28"/>
  <c r="T5" i="28"/>
  <c r="T6" i="28"/>
  <c r="T7" i="28"/>
  <c r="T8" i="28"/>
  <c r="T9" i="28"/>
  <c r="T10" i="28"/>
  <c r="T11" i="28"/>
  <c r="T12" i="28"/>
  <c r="T13" i="28"/>
  <c r="T14" i="28"/>
  <c r="T15" i="28"/>
  <c r="T16" i="28"/>
  <c r="T17" i="28"/>
  <c r="T18" i="28"/>
  <c r="T20" i="28"/>
  <c r="T21" i="28"/>
  <c r="T23" i="28"/>
  <c r="T24" i="28"/>
  <c r="T26" i="28"/>
  <c r="T27" i="28"/>
  <c r="T29" i="28"/>
  <c r="T30" i="28"/>
  <c r="T31" i="28"/>
  <c r="T32" i="28"/>
  <c r="T33" i="28"/>
  <c r="T34" i="28"/>
  <c r="T35" i="28"/>
  <c r="T37" i="28"/>
  <c r="T38" i="28"/>
  <c r="T39" i="28"/>
  <c r="T40" i="28"/>
  <c r="T42" i="28"/>
  <c r="T43" i="28"/>
  <c r="T44" i="28"/>
  <c r="T45" i="28"/>
  <c r="T47" i="28"/>
  <c r="T48" i="28"/>
  <c r="T49" i="28"/>
  <c r="T50" i="28"/>
  <c r="T52" i="28"/>
  <c r="T53" i="28"/>
  <c r="T54" i="28"/>
  <c r="T55" i="28"/>
  <c r="T57" i="28"/>
  <c r="T58" i="28"/>
  <c r="T59" i="28"/>
  <c r="T61" i="28"/>
  <c r="T62" i="28"/>
  <c r="T63" i="28"/>
  <c r="T66" i="28"/>
  <c r="T67" i="28"/>
  <c r="T69" i="28"/>
  <c r="T70" i="28"/>
  <c r="T71" i="28"/>
  <c r="T73" i="28"/>
  <c r="T74" i="28"/>
  <c r="T75" i="28"/>
  <c r="T76" i="28"/>
  <c r="T77" i="28"/>
  <c r="T78" i="28"/>
  <c r="T79" i="28"/>
  <c r="T80" i="28"/>
  <c r="T81" i="28"/>
  <c r="T82" i="28"/>
  <c r="T83" i="28"/>
  <c r="T84" i="28"/>
  <c r="T85" i="28"/>
  <c r="T86" i="28"/>
  <c r="T87" i="28"/>
  <c r="T88" i="28"/>
  <c r="T89" i="28"/>
  <c r="T90" i="28"/>
  <c r="T91" i="28"/>
  <c r="T92" i="28"/>
  <c r="T93" i="28"/>
  <c r="T94" i="28"/>
  <c r="T95" i="28"/>
  <c r="T96" i="28"/>
  <c r="T97" i="28"/>
  <c r="T98" i="28"/>
  <c r="T99" i="28"/>
  <c r="T100" i="28"/>
  <c r="T101" i="28"/>
  <c r="T102" i="28"/>
  <c r="T103" i="28"/>
  <c r="T104" i="28"/>
  <c r="T105" i="28"/>
  <c r="T107" i="28"/>
  <c r="T108" i="28"/>
  <c r="T110" i="28"/>
  <c r="T111" i="28"/>
  <c r="T113" i="28"/>
  <c r="T114" i="28"/>
  <c r="T116" i="28"/>
  <c r="T117" i="28"/>
  <c r="T119" i="28"/>
  <c r="T120" i="28"/>
  <c r="T122" i="28"/>
  <c r="T123" i="28"/>
  <c r="T125" i="28"/>
  <c r="T126" i="28"/>
  <c r="T128" i="28"/>
  <c r="T129" i="28"/>
  <c r="T131" i="28"/>
  <c r="T132" i="28"/>
  <c r="T134" i="28"/>
  <c r="T135" i="28"/>
  <c r="T137" i="28"/>
  <c r="T138" i="28"/>
  <c r="T140" i="28"/>
  <c r="T141" i="28"/>
  <c r="T143" i="28"/>
  <c r="T144" i="28"/>
  <c r="T146" i="28"/>
  <c r="T147" i="28"/>
  <c r="T149" i="28"/>
  <c r="T150" i="28"/>
  <c r="T152" i="28"/>
  <c r="T153" i="28"/>
  <c r="T155" i="28"/>
  <c r="T156" i="28"/>
  <c r="T158" i="28"/>
  <c r="T159" i="28"/>
  <c r="T161" i="28"/>
  <c r="T162" i="28"/>
  <c r="T164" i="28"/>
  <c r="T165" i="28"/>
  <c r="T167" i="28"/>
  <c r="T168" i="28"/>
  <c r="T170" i="28"/>
  <c r="T171" i="28"/>
  <c r="T173" i="28"/>
  <c r="T174" i="28"/>
  <c r="T175" i="28"/>
  <c r="T176" i="28"/>
  <c r="T178" i="28"/>
  <c r="T179" i="28"/>
  <c r="T180" i="28"/>
  <c r="T181" i="28"/>
  <c r="T183" i="28"/>
  <c r="T184" i="28"/>
  <c r="T185" i="28"/>
  <c r="T186" i="28"/>
  <c r="T188" i="28"/>
  <c r="T189" i="28"/>
  <c r="T190" i="28"/>
  <c r="T192" i="28"/>
  <c r="T193" i="28"/>
  <c r="T194" i="28"/>
  <c r="T195" i="28"/>
  <c r="T197" i="28"/>
  <c r="T198" i="28"/>
  <c r="T199" i="28"/>
  <c r="T201" i="28"/>
  <c r="T202" i="28"/>
  <c r="T203" i="28"/>
  <c r="T204" i="28"/>
  <c r="T205" i="28"/>
  <c r="T207" i="28"/>
  <c r="T208" i="28"/>
  <c r="T209" i="28"/>
  <c r="T210" i="28"/>
  <c r="T212" i="28"/>
  <c r="T213" i="28"/>
  <c r="T214" i="28"/>
  <c r="T215" i="28"/>
  <c r="T216" i="28"/>
  <c r="T218" i="28"/>
  <c r="T219" i="28"/>
  <c r="T220" i="28"/>
  <c r="T221" i="28"/>
  <c r="T223" i="28"/>
  <c r="T224" i="28"/>
  <c r="T225" i="28"/>
  <c r="T226" i="28"/>
  <c r="T228" i="28"/>
  <c r="T229" i="28"/>
  <c r="T230" i="28"/>
  <c r="T231" i="28"/>
  <c r="T233" i="28"/>
  <c r="T234" i="28"/>
  <c r="T235" i="28"/>
  <c r="T236" i="28"/>
  <c r="T238" i="28"/>
  <c r="T239" i="28"/>
  <c r="T240" i="28"/>
  <c r="T241" i="28"/>
  <c r="T243" i="28"/>
  <c r="T244" i="28"/>
  <c r="T245" i="28"/>
  <c r="T246" i="28"/>
  <c r="T247" i="28"/>
  <c r="T249" i="28"/>
  <c r="T250" i="28"/>
  <c r="T251" i="28"/>
  <c r="T252" i="28"/>
  <c r="S2" i="28"/>
  <c r="S3" i="28"/>
  <c r="S4" i="28"/>
  <c r="S5" i="28"/>
  <c r="S6" i="28"/>
  <c r="S15" i="28"/>
  <c r="S26" i="28"/>
  <c r="S27" i="28"/>
  <c r="S33" i="28"/>
  <c r="S34" i="28"/>
  <c r="S35" i="28"/>
  <c r="S37" i="28"/>
  <c r="S38" i="28"/>
  <c r="S39" i="28"/>
  <c r="S40" i="28"/>
  <c r="S42" i="28"/>
  <c r="S43" i="28"/>
  <c r="S44" i="28"/>
  <c r="S45" i="28"/>
  <c r="S47" i="28"/>
  <c r="S48" i="28"/>
  <c r="S49" i="28"/>
  <c r="S50" i="28"/>
  <c r="S52" i="28"/>
  <c r="S53" i="28"/>
  <c r="S54" i="28"/>
  <c r="S55" i="28"/>
  <c r="S57" i="28"/>
  <c r="S58" i="28"/>
  <c r="S59" i="28"/>
  <c r="S61" i="28"/>
  <c r="S62" i="28"/>
  <c r="S63" i="28"/>
  <c r="S65" i="28"/>
  <c r="S66" i="28"/>
  <c r="S67" i="28"/>
  <c r="S69" i="28"/>
  <c r="S70" i="28"/>
  <c r="S71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7" i="28"/>
  <c r="S108" i="28"/>
  <c r="S110" i="28"/>
  <c r="S111" i="28"/>
  <c r="S113" i="28"/>
  <c r="S114" i="28"/>
  <c r="S116" i="28"/>
  <c r="S117" i="28"/>
  <c r="S119" i="28"/>
  <c r="S120" i="28"/>
  <c r="S122" i="28"/>
  <c r="S123" i="28"/>
  <c r="S125" i="28"/>
  <c r="S126" i="28"/>
  <c r="S128" i="28"/>
  <c r="S129" i="28"/>
  <c r="S131" i="28"/>
  <c r="S132" i="28"/>
  <c r="S134" i="28"/>
  <c r="S135" i="28"/>
  <c r="S137" i="28"/>
  <c r="S138" i="28"/>
  <c r="S140" i="28"/>
  <c r="S141" i="28"/>
  <c r="S143" i="28"/>
  <c r="S144" i="28"/>
  <c r="S146" i="28"/>
  <c r="S147" i="28"/>
  <c r="S149" i="28"/>
  <c r="S150" i="28"/>
  <c r="S152" i="28"/>
  <c r="S153" i="28"/>
  <c r="S155" i="28"/>
  <c r="S156" i="28"/>
  <c r="S158" i="28"/>
  <c r="S159" i="28"/>
  <c r="S161" i="28"/>
  <c r="S162" i="28"/>
  <c r="S164" i="28"/>
  <c r="S165" i="28"/>
  <c r="S167" i="28"/>
  <c r="S168" i="28"/>
  <c r="S170" i="28"/>
  <c r="S171" i="28"/>
  <c r="S173" i="28"/>
  <c r="S174" i="28"/>
  <c r="S175" i="28"/>
  <c r="S176" i="28"/>
  <c r="S178" i="28"/>
  <c r="S179" i="28"/>
  <c r="S180" i="28"/>
  <c r="S181" i="28"/>
  <c r="S183" i="28"/>
  <c r="S184" i="28"/>
  <c r="S185" i="28"/>
  <c r="S186" i="28"/>
  <c r="S188" i="28"/>
  <c r="S189" i="28"/>
  <c r="S190" i="28"/>
  <c r="S192" i="28"/>
  <c r="S193" i="28"/>
  <c r="S194" i="28"/>
  <c r="S195" i="28"/>
  <c r="S197" i="28"/>
  <c r="S198" i="28"/>
  <c r="S199" i="28"/>
  <c r="S201" i="28"/>
  <c r="S202" i="28"/>
  <c r="S203" i="28"/>
  <c r="S204" i="28"/>
  <c r="S205" i="28"/>
  <c r="S207" i="28"/>
  <c r="S208" i="28"/>
  <c r="S209" i="28"/>
  <c r="S210" i="28"/>
  <c r="S212" i="28"/>
  <c r="S213" i="28"/>
  <c r="S214" i="28"/>
  <c r="S215" i="28"/>
  <c r="S216" i="28"/>
  <c r="S218" i="28"/>
  <c r="S219" i="28"/>
  <c r="S220" i="28"/>
  <c r="S221" i="28"/>
  <c r="S223" i="28"/>
  <c r="S224" i="28"/>
  <c r="S225" i="28"/>
  <c r="S226" i="28"/>
  <c r="S228" i="28"/>
  <c r="S229" i="28"/>
  <c r="S230" i="28"/>
  <c r="S231" i="28"/>
  <c r="S233" i="28"/>
  <c r="S234" i="28"/>
  <c r="S235" i="28"/>
  <c r="S236" i="28"/>
  <c r="S238" i="28"/>
  <c r="S239" i="28"/>
  <c r="S240" i="28"/>
  <c r="S241" i="28"/>
  <c r="S243" i="28"/>
  <c r="S244" i="28"/>
  <c r="S245" i="28"/>
  <c r="S246" i="28"/>
  <c r="S247" i="28"/>
  <c r="S249" i="28"/>
  <c r="S250" i="28"/>
  <c r="S251" i="28"/>
  <c r="S252" i="28"/>
  <c r="R2" i="28"/>
  <c r="R3" i="28"/>
  <c r="R16" i="28"/>
  <c r="R17" i="28"/>
  <c r="R18" i="28"/>
  <c r="R23" i="28"/>
  <c r="R24" i="28"/>
  <c r="R26" i="28"/>
  <c r="R27" i="28"/>
  <c r="R29" i="28"/>
  <c r="R30" i="28"/>
  <c r="R31" i="28"/>
  <c r="R32" i="28"/>
  <c r="R33" i="28"/>
  <c r="R34" i="28"/>
  <c r="R35" i="28"/>
  <c r="R37" i="28"/>
  <c r="R38" i="28"/>
  <c r="R39" i="28"/>
  <c r="R40" i="28"/>
  <c r="R42" i="28"/>
  <c r="R43" i="28"/>
  <c r="R44" i="28"/>
  <c r="R45" i="28"/>
  <c r="R47" i="28"/>
  <c r="R48" i="28"/>
  <c r="R49" i="28"/>
  <c r="R50" i="28"/>
  <c r="R52" i="28"/>
  <c r="R53" i="28"/>
  <c r="R54" i="28"/>
  <c r="R55" i="28"/>
  <c r="R57" i="28"/>
  <c r="R58" i="28"/>
  <c r="R59" i="28"/>
  <c r="R61" i="28"/>
  <c r="R62" i="28"/>
  <c r="R63" i="28"/>
  <c r="R65" i="28"/>
  <c r="R66" i="28"/>
  <c r="R67" i="28"/>
  <c r="R69" i="28"/>
  <c r="R70" i="28"/>
  <c r="R71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7" i="28"/>
  <c r="R108" i="28"/>
  <c r="R110" i="28"/>
  <c r="R111" i="28"/>
  <c r="R113" i="28"/>
  <c r="R114" i="28"/>
  <c r="R116" i="28"/>
  <c r="R117" i="28"/>
  <c r="R119" i="28"/>
  <c r="R120" i="28"/>
  <c r="R122" i="28"/>
  <c r="R123" i="28"/>
  <c r="R125" i="28"/>
  <c r="R126" i="28"/>
  <c r="R128" i="28"/>
  <c r="R129" i="28"/>
  <c r="R131" i="28"/>
  <c r="R132" i="28"/>
  <c r="R134" i="28"/>
  <c r="R135" i="28"/>
  <c r="R137" i="28"/>
  <c r="R138" i="28"/>
  <c r="R140" i="28"/>
  <c r="R141" i="28"/>
  <c r="R143" i="28"/>
  <c r="R144" i="28"/>
  <c r="R146" i="28"/>
  <c r="R147" i="28"/>
  <c r="R149" i="28"/>
  <c r="R150" i="28"/>
  <c r="R152" i="28"/>
  <c r="R153" i="28"/>
  <c r="R155" i="28"/>
  <c r="R156" i="28"/>
  <c r="R158" i="28"/>
  <c r="R159" i="28"/>
  <c r="R161" i="28"/>
  <c r="R162" i="28"/>
  <c r="R164" i="28"/>
  <c r="R165" i="28"/>
  <c r="R167" i="28"/>
  <c r="R168" i="28"/>
  <c r="R170" i="28"/>
  <c r="R171" i="28"/>
  <c r="R173" i="28"/>
  <c r="R174" i="28"/>
  <c r="R175" i="28"/>
  <c r="R176" i="28"/>
  <c r="R178" i="28"/>
  <c r="R179" i="28"/>
  <c r="R180" i="28"/>
  <c r="R181" i="28"/>
  <c r="R183" i="28"/>
  <c r="R184" i="28"/>
  <c r="R185" i="28"/>
  <c r="R186" i="28"/>
  <c r="R188" i="28"/>
  <c r="R189" i="28"/>
  <c r="R190" i="28"/>
  <c r="R192" i="28"/>
  <c r="R193" i="28"/>
  <c r="R194" i="28"/>
  <c r="R195" i="28"/>
  <c r="R197" i="28"/>
  <c r="R198" i="28"/>
  <c r="R199" i="28"/>
  <c r="R201" i="28"/>
  <c r="R202" i="28"/>
  <c r="R203" i="28"/>
  <c r="R204" i="28"/>
  <c r="R205" i="28"/>
  <c r="R207" i="28"/>
  <c r="R208" i="28"/>
  <c r="R209" i="28"/>
  <c r="R210" i="28"/>
  <c r="R212" i="28"/>
  <c r="R213" i="28"/>
  <c r="R214" i="28"/>
  <c r="R215" i="28"/>
  <c r="R216" i="28"/>
  <c r="R218" i="28"/>
  <c r="R219" i="28"/>
  <c r="R220" i="28"/>
  <c r="R221" i="28"/>
  <c r="R223" i="28"/>
  <c r="R224" i="28"/>
  <c r="R225" i="28"/>
  <c r="R226" i="28"/>
  <c r="R228" i="28"/>
  <c r="R229" i="28"/>
  <c r="R230" i="28"/>
  <c r="R231" i="28"/>
  <c r="R233" i="28"/>
  <c r="R234" i="28"/>
  <c r="R235" i="28"/>
  <c r="R236" i="28"/>
  <c r="R238" i="28"/>
  <c r="R239" i="28"/>
  <c r="R240" i="28"/>
  <c r="R241" i="28"/>
  <c r="R243" i="28"/>
  <c r="R244" i="28"/>
  <c r="R245" i="28"/>
  <c r="R246" i="28"/>
  <c r="R247" i="28"/>
  <c r="R249" i="28"/>
  <c r="R250" i="28"/>
  <c r="R251" i="28"/>
  <c r="R252" i="28"/>
  <c r="Q2" i="28"/>
  <c r="Q3" i="28"/>
  <c r="Q4" i="28"/>
  <c r="Q5" i="28"/>
  <c r="Q6" i="28"/>
  <c r="Q26" i="28"/>
  <c r="Q27" i="28"/>
  <c r="Q33" i="28"/>
  <c r="Q34" i="28"/>
  <c r="Q35" i="28"/>
  <c r="Q37" i="28"/>
  <c r="Q38" i="28"/>
  <c r="Q39" i="28"/>
  <c r="Q40" i="28"/>
  <c r="Q42" i="28"/>
  <c r="Q43" i="28"/>
  <c r="Q47" i="28"/>
  <c r="Q50" i="28"/>
  <c r="Q52" i="28"/>
  <c r="Q53" i="28"/>
  <c r="Q54" i="28"/>
  <c r="Q55" i="28"/>
  <c r="Q57" i="28"/>
  <c r="Q58" i="28"/>
  <c r="Q59" i="28"/>
  <c r="Q61" i="28"/>
  <c r="Q62" i="28"/>
  <c r="Q63" i="28"/>
  <c r="Q65" i="28"/>
  <c r="Q66" i="28"/>
  <c r="Q67" i="28"/>
  <c r="Q69" i="28"/>
  <c r="Q70" i="28"/>
  <c r="Q71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Q93" i="28"/>
  <c r="Q94" i="28"/>
  <c r="Q95" i="28"/>
  <c r="Q96" i="28"/>
  <c r="Q97" i="28"/>
  <c r="Q98" i="28"/>
  <c r="Q99" i="28"/>
  <c r="Q100" i="28"/>
  <c r="Q101" i="28"/>
  <c r="Q102" i="28"/>
  <c r="Q103" i="28"/>
  <c r="Q104" i="28"/>
  <c r="Q105" i="28"/>
  <c r="Q107" i="28"/>
  <c r="Q108" i="28"/>
  <c r="Q110" i="28"/>
  <c r="Q111" i="28"/>
  <c r="Q113" i="28"/>
  <c r="Q114" i="28"/>
  <c r="Q116" i="28"/>
  <c r="Q117" i="28"/>
  <c r="Q119" i="28"/>
  <c r="Q120" i="28"/>
  <c r="Q122" i="28"/>
  <c r="Q123" i="28"/>
  <c r="Q125" i="28"/>
  <c r="Q126" i="28"/>
  <c r="Q128" i="28"/>
  <c r="Q129" i="28"/>
  <c r="Q131" i="28"/>
  <c r="Q132" i="28"/>
  <c r="Q134" i="28"/>
  <c r="Q135" i="28"/>
  <c r="Q137" i="28"/>
  <c r="Q138" i="28"/>
  <c r="Q140" i="28"/>
  <c r="Q141" i="28"/>
  <c r="Q143" i="28"/>
  <c r="Q144" i="28"/>
  <c r="Q146" i="28"/>
  <c r="Q147" i="28"/>
  <c r="Q149" i="28"/>
  <c r="Q150" i="28"/>
  <c r="Q152" i="28"/>
  <c r="Q153" i="28"/>
  <c r="Q155" i="28"/>
  <c r="Q156" i="28"/>
  <c r="Q158" i="28"/>
  <c r="Q159" i="28"/>
  <c r="Q161" i="28"/>
  <c r="Q162" i="28"/>
  <c r="Q164" i="28"/>
  <c r="Q165" i="28"/>
  <c r="Q167" i="28"/>
  <c r="Q168" i="28"/>
  <c r="Q170" i="28"/>
  <c r="Q171" i="28"/>
  <c r="Q173" i="28"/>
  <c r="Q174" i="28"/>
  <c r="Q175" i="28"/>
  <c r="Q176" i="28"/>
  <c r="Q178" i="28"/>
  <c r="Q179" i="28"/>
  <c r="Q180" i="28"/>
  <c r="Q181" i="28"/>
  <c r="Q183" i="28"/>
  <c r="Q184" i="28"/>
  <c r="Q185" i="28"/>
  <c r="Q186" i="28"/>
  <c r="Q188" i="28"/>
  <c r="Q189" i="28"/>
  <c r="Q190" i="28"/>
  <c r="Q192" i="28"/>
  <c r="Q193" i="28"/>
  <c r="Q194" i="28"/>
  <c r="Q195" i="28"/>
  <c r="Q197" i="28"/>
  <c r="Q198" i="28"/>
  <c r="Q199" i="28"/>
  <c r="Q201" i="28"/>
  <c r="Q202" i="28"/>
  <c r="Q203" i="28"/>
  <c r="Q204" i="28"/>
  <c r="Q205" i="28"/>
  <c r="Q207" i="28"/>
  <c r="Q208" i="28"/>
  <c r="Q209" i="28"/>
  <c r="Q210" i="28"/>
  <c r="Q212" i="28"/>
  <c r="Q213" i="28"/>
  <c r="Q214" i="28"/>
  <c r="Q215" i="28"/>
  <c r="Q216" i="28"/>
  <c r="Q218" i="28"/>
  <c r="Q219" i="28"/>
  <c r="Q220" i="28"/>
  <c r="Q221" i="28"/>
  <c r="Q223" i="28"/>
  <c r="Q224" i="28"/>
  <c r="Q225" i="28"/>
  <c r="Q226" i="28"/>
  <c r="Q228" i="28"/>
  <c r="Q229" i="28"/>
  <c r="Q230" i="28"/>
  <c r="Q231" i="28"/>
  <c r="Q233" i="28"/>
  <c r="Q234" i="28"/>
  <c r="Q235" i="28"/>
  <c r="Q236" i="28"/>
  <c r="Q238" i="28"/>
  <c r="Q239" i="28"/>
  <c r="Q240" i="28"/>
  <c r="Q241" i="28"/>
  <c r="Q243" i="28"/>
  <c r="Q244" i="28"/>
  <c r="Q245" i="28"/>
  <c r="Q246" i="28"/>
  <c r="Q247" i="28"/>
  <c r="Q249" i="28"/>
  <c r="Q250" i="28"/>
  <c r="Q251" i="28"/>
  <c r="Q252" i="28"/>
  <c r="P2" i="28"/>
  <c r="P3" i="28"/>
  <c r="P4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20" i="28"/>
  <c r="P21" i="28"/>
  <c r="P23" i="28"/>
  <c r="P24" i="28"/>
  <c r="P26" i="28"/>
  <c r="P27" i="28"/>
  <c r="P29" i="28"/>
  <c r="P30" i="28"/>
  <c r="P31" i="28"/>
  <c r="P32" i="28"/>
  <c r="P33" i="28"/>
  <c r="P34" i="28"/>
  <c r="P35" i="28"/>
  <c r="P37" i="28"/>
  <c r="P38" i="28"/>
  <c r="P39" i="28"/>
  <c r="P40" i="28"/>
  <c r="P42" i="28"/>
  <c r="P43" i="28"/>
  <c r="P44" i="28"/>
  <c r="P45" i="28"/>
  <c r="P47" i="28"/>
  <c r="P48" i="28"/>
  <c r="P49" i="28"/>
  <c r="P50" i="28"/>
  <c r="P52" i="28"/>
  <c r="P53" i="28"/>
  <c r="P54" i="28"/>
  <c r="P55" i="28"/>
  <c r="P57" i="28"/>
  <c r="P58" i="28"/>
  <c r="P59" i="28"/>
  <c r="P61" i="28"/>
  <c r="P62" i="28"/>
  <c r="P63" i="28"/>
  <c r="P65" i="28"/>
  <c r="P66" i="28"/>
  <c r="P67" i="28"/>
  <c r="P69" i="28"/>
  <c r="P70" i="28"/>
  <c r="P71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P93" i="28"/>
  <c r="P94" i="28"/>
  <c r="P95" i="28"/>
  <c r="P96" i="28"/>
  <c r="P97" i="28"/>
  <c r="P98" i="28"/>
  <c r="P99" i="28"/>
  <c r="P100" i="28"/>
  <c r="P101" i="28"/>
  <c r="P102" i="28"/>
  <c r="P103" i="28"/>
  <c r="P104" i="28"/>
  <c r="P105" i="28"/>
  <c r="P107" i="28"/>
  <c r="P108" i="28"/>
  <c r="P110" i="28"/>
  <c r="P111" i="28"/>
  <c r="P113" i="28"/>
  <c r="P114" i="28"/>
  <c r="P116" i="28"/>
  <c r="P117" i="28"/>
  <c r="P119" i="28"/>
  <c r="P120" i="28"/>
  <c r="P122" i="28"/>
  <c r="P123" i="28"/>
  <c r="P125" i="28"/>
  <c r="P126" i="28"/>
  <c r="P128" i="28"/>
  <c r="P129" i="28"/>
  <c r="P131" i="28"/>
  <c r="P132" i="28"/>
  <c r="P134" i="28"/>
  <c r="P135" i="28"/>
  <c r="P137" i="28"/>
  <c r="P138" i="28"/>
  <c r="P140" i="28"/>
  <c r="P141" i="28"/>
  <c r="P143" i="28"/>
  <c r="P144" i="28"/>
  <c r="P146" i="28"/>
  <c r="P147" i="28"/>
  <c r="P149" i="28"/>
  <c r="P150" i="28"/>
  <c r="P152" i="28"/>
  <c r="P153" i="28"/>
  <c r="P155" i="28"/>
  <c r="P156" i="28"/>
  <c r="P158" i="28"/>
  <c r="P159" i="28"/>
  <c r="P161" i="28"/>
  <c r="P162" i="28"/>
  <c r="P164" i="28"/>
  <c r="P165" i="28"/>
  <c r="P167" i="28"/>
  <c r="P168" i="28"/>
  <c r="P170" i="28"/>
  <c r="P171" i="28"/>
  <c r="P173" i="28"/>
  <c r="P174" i="28"/>
  <c r="P175" i="28"/>
  <c r="P176" i="28"/>
  <c r="P178" i="28"/>
  <c r="P179" i="28"/>
  <c r="P180" i="28"/>
  <c r="P181" i="28"/>
  <c r="P183" i="28"/>
  <c r="P184" i="28"/>
  <c r="P185" i="28"/>
  <c r="P186" i="28"/>
  <c r="P188" i="28"/>
  <c r="P189" i="28"/>
  <c r="P190" i="28"/>
  <c r="P192" i="28"/>
  <c r="P193" i="28"/>
  <c r="P194" i="28"/>
  <c r="P195" i="28"/>
  <c r="P197" i="28"/>
  <c r="P198" i="28"/>
  <c r="P199" i="28"/>
  <c r="P201" i="28"/>
  <c r="P202" i="28"/>
  <c r="P203" i="28"/>
  <c r="P204" i="28"/>
  <c r="P205" i="28"/>
  <c r="P207" i="28"/>
  <c r="P208" i="28"/>
  <c r="P209" i="28"/>
  <c r="P210" i="28"/>
  <c r="P212" i="28"/>
  <c r="P213" i="28"/>
  <c r="P214" i="28"/>
  <c r="P215" i="28"/>
  <c r="P216" i="28"/>
  <c r="P218" i="28"/>
  <c r="P219" i="28"/>
  <c r="P220" i="28"/>
  <c r="P221" i="28"/>
  <c r="P223" i="28"/>
  <c r="P224" i="28"/>
  <c r="P225" i="28"/>
  <c r="P226" i="28"/>
  <c r="P228" i="28"/>
  <c r="P229" i="28"/>
  <c r="P230" i="28"/>
  <c r="P231" i="28"/>
  <c r="P233" i="28"/>
  <c r="P234" i="28"/>
  <c r="P235" i="28"/>
  <c r="P236" i="28"/>
  <c r="P238" i="28"/>
  <c r="P239" i="28"/>
  <c r="P240" i="28"/>
  <c r="P241" i="28"/>
  <c r="P243" i="28"/>
  <c r="P244" i="28"/>
  <c r="P245" i="28"/>
  <c r="P246" i="28"/>
  <c r="P247" i="28"/>
  <c r="P249" i="28"/>
  <c r="P250" i="28"/>
  <c r="P251" i="28"/>
  <c r="P252" i="28"/>
  <c r="O2" i="28"/>
  <c r="O3" i="28"/>
  <c r="O4" i="28"/>
  <c r="O5" i="28"/>
  <c r="O6" i="28"/>
  <c r="O15" i="28"/>
  <c r="O16" i="28"/>
  <c r="O17" i="28"/>
  <c r="O18" i="28"/>
  <c r="O23" i="28"/>
  <c r="O24" i="28"/>
  <c r="O26" i="28"/>
  <c r="O27" i="28"/>
  <c r="O29" i="28"/>
  <c r="O30" i="28"/>
  <c r="O31" i="28"/>
  <c r="O32" i="28"/>
  <c r="O33" i="28"/>
  <c r="O34" i="28"/>
  <c r="O35" i="28"/>
  <c r="O37" i="28"/>
  <c r="O38" i="28"/>
  <c r="O39" i="28"/>
  <c r="O40" i="28"/>
  <c r="O42" i="28"/>
  <c r="O43" i="28"/>
  <c r="O44" i="28"/>
  <c r="O45" i="28"/>
  <c r="O47" i="28"/>
  <c r="O48" i="28"/>
  <c r="O49" i="28"/>
  <c r="O50" i="28"/>
  <c r="O52" i="28"/>
  <c r="O53" i="28"/>
  <c r="O54" i="28"/>
  <c r="O55" i="28"/>
  <c r="O57" i="28"/>
  <c r="O58" i="28"/>
  <c r="O59" i="28"/>
  <c r="O61" i="28"/>
  <c r="O62" i="28"/>
  <c r="O63" i="28"/>
  <c r="O65" i="28"/>
  <c r="O66" i="28"/>
  <c r="O67" i="28"/>
  <c r="O69" i="28"/>
  <c r="O70" i="28"/>
  <c r="O71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7" i="28"/>
  <c r="O108" i="28"/>
  <c r="O110" i="28"/>
  <c r="O111" i="28"/>
  <c r="O113" i="28"/>
  <c r="O114" i="28"/>
  <c r="O116" i="28"/>
  <c r="O117" i="28"/>
  <c r="O119" i="28"/>
  <c r="O120" i="28"/>
  <c r="O122" i="28"/>
  <c r="O123" i="28"/>
  <c r="O125" i="28"/>
  <c r="O126" i="28"/>
  <c r="O128" i="28"/>
  <c r="O129" i="28"/>
  <c r="O131" i="28"/>
  <c r="O132" i="28"/>
  <c r="O134" i="28"/>
  <c r="O135" i="28"/>
  <c r="O137" i="28"/>
  <c r="O138" i="28"/>
  <c r="O140" i="28"/>
  <c r="O141" i="28"/>
  <c r="O143" i="28"/>
  <c r="O144" i="28"/>
  <c r="O146" i="28"/>
  <c r="O147" i="28"/>
  <c r="O149" i="28"/>
  <c r="O150" i="28"/>
  <c r="O152" i="28"/>
  <c r="O153" i="28"/>
  <c r="O155" i="28"/>
  <c r="O156" i="28"/>
  <c r="O158" i="28"/>
  <c r="O159" i="28"/>
  <c r="O161" i="28"/>
  <c r="O162" i="28"/>
  <c r="O164" i="28"/>
  <c r="O165" i="28"/>
  <c r="O167" i="28"/>
  <c r="O168" i="28"/>
  <c r="O170" i="28"/>
  <c r="O171" i="28"/>
  <c r="O173" i="28"/>
  <c r="O174" i="28"/>
  <c r="O175" i="28"/>
  <c r="O176" i="28"/>
  <c r="O178" i="28"/>
  <c r="O179" i="28"/>
  <c r="O180" i="28"/>
  <c r="O181" i="28"/>
  <c r="O183" i="28"/>
  <c r="O184" i="28"/>
  <c r="O185" i="28"/>
  <c r="O186" i="28"/>
  <c r="O188" i="28"/>
  <c r="O189" i="28"/>
  <c r="O190" i="28"/>
  <c r="O192" i="28"/>
  <c r="O193" i="28"/>
  <c r="O194" i="28"/>
  <c r="O195" i="28"/>
  <c r="O197" i="28"/>
  <c r="O198" i="28"/>
  <c r="O199" i="28"/>
  <c r="O201" i="28"/>
  <c r="O202" i="28"/>
  <c r="O203" i="28"/>
  <c r="O204" i="28"/>
  <c r="O205" i="28"/>
  <c r="O207" i="28"/>
  <c r="O208" i="28"/>
  <c r="O209" i="28"/>
  <c r="O210" i="28"/>
  <c r="O212" i="28"/>
  <c r="O213" i="28"/>
  <c r="O214" i="28"/>
  <c r="O215" i="28"/>
  <c r="O216" i="28"/>
  <c r="O218" i="28"/>
  <c r="O219" i="28"/>
  <c r="O220" i="28"/>
  <c r="O221" i="28"/>
  <c r="O223" i="28"/>
  <c r="O224" i="28"/>
  <c r="O225" i="28"/>
  <c r="O226" i="28"/>
  <c r="O228" i="28"/>
  <c r="O229" i="28"/>
  <c r="O230" i="28"/>
  <c r="O231" i="28"/>
  <c r="O233" i="28"/>
  <c r="O234" i="28"/>
  <c r="O235" i="28"/>
  <c r="O236" i="28"/>
  <c r="O238" i="28"/>
  <c r="O239" i="28"/>
  <c r="O240" i="28"/>
  <c r="O241" i="28"/>
  <c r="O243" i="28"/>
  <c r="O244" i="28"/>
  <c r="O245" i="28"/>
  <c r="O246" i="28"/>
  <c r="O247" i="28"/>
  <c r="O249" i="28"/>
  <c r="O250" i="28"/>
  <c r="O251" i="28"/>
  <c r="O252" i="28"/>
  <c r="N2" i="28"/>
  <c r="N3" i="28"/>
  <c r="N4" i="28"/>
  <c r="N5" i="28"/>
  <c r="N6" i="28"/>
  <c r="N15" i="28"/>
  <c r="N16" i="28"/>
  <c r="N17" i="28"/>
  <c r="N18" i="28"/>
  <c r="N23" i="28"/>
  <c r="N24" i="28"/>
  <c r="N26" i="28"/>
  <c r="N27" i="28"/>
  <c r="N29" i="28"/>
  <c r="N30" i="28"/>
  <c r="N31" i="28"/>
  <c r="N32" i="28"/>
  <c r="N33" i="28"/>
  <c r="N34" i="28"/>
  <c r="N35" i="28"/>
  <c r="N37" i="28"/>
  <c r="N38" i="28"/>
  <c r="N39" i="28"/>
  <c r="N40" i="28"/>
  <c r="N42" i="28"/>
  <c r="N43" i="28"/>
  <c r="N44" i="28"/>
  <c r="N45" i="28"/>
  <c r="N47" i="28"/>
  <c r="N48" i="28"/>
  <c r="N49" i="28"/>
  <c r="N50" i="28"/>
  <c r="N52" i="28"/>
  <c r="N53" i="28"/>
  <c r="N54" i="28"/>
  <c r="N55" i="28"/>
  <c r="N57" i="28"/>
  <c r="N58" i="28"/>
  <c r="N59" i="28"/>
  <c r="N61" i="28"/>
  <c r="N62" i="28"/>
  <c r="N63" i="28"/>
  <c r="N65" i="28"/>
  <c r="N66" i="28"/>
  <c r="N67" i="28"/>
  <c r="N69" i="28"/>
  <c r="N70" i="28"/>
  <c r="N71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7" i="28"/>
  <c r="N108" i="28"/>
  <c r="N110" i="28"/>
  <c r="N111" i="28"/>
  <c r="N113" i="28"/>
  <c r="N114" i="28"/>
  <c r="N116" i="28"/>
  <c r="N117" i="28"/>
  <c r="N119" i="28"/>
  <c r="N120" i="28"/>
  <c r="N122" i="28"/>
  <c r="N123" i="28"/>
  <c r="N125" i="28"/>
  <c r="N126" i="28"/>
  <c r="N128" i="28"/>
  <c r="N129" i="28"/>
  <c r="N131" i="28"/>
  <c r="N132" i="28"/>
  <c r="N134" i="28"/>
  <c r="N135" i="28"/>
  <c r="N137" i="28"/>
  <c r="N138" i="28"/>
  <c r="N140" i="28"/>
  <c r="N141" i="28"/>
  <c r="N143" i="28"/>
  <c r="N144" i="28"/>
  <c r="N146" i="28"/>
  <c r="N147" i="28"/>
  <c r="N149" i="28"/>
  <c r="N150" i="28"/>
  <c r="N152" i="28"/>
  <c r="N153" i="28"/>
  <c r="N155" i="28"/>
  <c r="N156" i="28"/>
  <c r="N158" i="28"/>
  <c r="N159" i="28"/>
  <c r="N161" i="28"/>
  <c r="N162" i="28"/>
  <c r="N164" i="28"/>
  <c r="N165" i="28"/>
  <c r="N167" i="28"/>
  <c r="N168" i="28"/>
  <c r="N170" i="28"/>
  <c r="N171" i="28"/>
  <c r="N173" i="28"/>
  <c r="N174" i="28"/>
  <c r="N175" i="28"/>
  <c r="N176" i="28"/>
  <c r="N178" i="28"/>
  <c r="N179" i="28"/>
  <c r="N180" i="28"/>
  <c r="N181" i="28"/>
  <c r="N183" i="28"/>
  <c r="N184" i="28"/>
  <c r="N185" i="28"/>
  <c r="N186" i="28"/>
  <c r="N188" i="28"/>
  <c r="N189" i="28"/>
  <c r="N190" i="28"/>
  <c r="N192" i="28"/>
  <c r="N193" i="28"/>
  <c r="N194" i="28"/>
  <c r="N195" i="28"/>
  <c r="N197" i="28"/>
  <c r="N198" i="28"/>
  <c r="N199" i="28"/>
  <c r="N201" i="28"/>
  <c r="N202" i="28"/>
  <c r="N203" i="28"/>
  <c r="N204" i="28"/>
  <c r="N205" i="28"/>
  <c r="N207" i="28"/>
  <c r="N208" i="28"/>
  <c r="N209" i="28"/>
  <c r="N210" i="28"/>
  <c r="N212" i="28"/>
  <c r="N213" i="28"/>
  <c r="N214" i="28"/>
  <c r="N215" i="28"/>
  <c r="N216" i="28"/>
  <c r="N218" i="28"/>
  <c r="N219" i="28"/>
  <c r="N220" i="28"/>
  <c r="N221" i="28"/>
  <c r="N223" i="28"/>
  <c r="N224" i="28"/>
  <c r="N225" i="28"/>
  <c r="N226" i="28"/>
  <c r="N228" i="28"/>
  <c r="N229" i="28"/>
  <c r="N230" i="28"/>
  <c r="N231" i="28"/>
  <c r="N233" i="28"/>
  <c r="N234" i="28"/>
  <c r="N235" i="28"/>
  <c r="N236" i="28"/>
  <c r="N238" i="28"/>
  <c r="N239" i="28"/>
  <c r="N240" i="28"/>
  <c r="N241" i="28"/>
  <c r="N243" i="28"/>
  <c r="N244" i="28"/>
  <c r="N245" i="28"/>
  <c r="N246" i="28"/>
  <c r="N247" i="28"/>
  <c r="N249" i="28"/>
  <c r="N250" i="28"/>
  <c r="N251" i="28"/>
  <c r="N252" i="28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20" i="28"/>
  <c r="M21" i="28"/>
  <c r="M23" i="28"/>
  <c r="M24" i="28"/>
  <c r="M26" i="28"/>
  <c r="M27" i="28"/>
  <c r="M29" i="28"/>
  <c r="M30" i="28"/>
  <c r="M31" i="28"/>
  <c r="M32" i="28"/>
  <c r="M33" i="28"/>
  <c r="M34" i="28"/>
  <c r="M35" i="28"/>
  <c r="M37" i="28"/>
  <c r="M38" i="28"/>
  <c r="M39" i="28"/>
  <c r="M40" i="28"/>
  <c r="M42" i="28"/>
  <c r="M43" i="28"/>
  <c r="M44" i="28"/>
  <c r="M45" i="28"/>
  <c r="M47" i="28"/>
  <c r="M48" i="28"/>
  <c r="M49" i="28"/>
  <c r="M50" i="28"/>
  <c r="M52" i="28"/>
  <c r="M53" i="28"/>
  <c r="M54" i="28"/>
  <c r="M55" i="28"/>
  <c r="M57" i="28"/>
  <c r="M58" i="28"/>
  <c r="M59" i="28"/>
  <c r="M61" i="28"/>
  <c r="M62" i="28"/>
  <c r="M63" i="28"/>
  <c r="M65" i="28"/>
  <c r="M66" i="28"/>
  <c r="M67" i="28"/>
  <c r="M69" i="28"/>
  <c r="M70" i="28"/>
  <c r="M71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7" i="28"/>
  <c r="M108" i="28"/>
  <c r="M110" i="28"/>
  <c r="M111" i="28"/>
  <c r="M113" i="28"/>
  <c r="M114" i="28"/>
  <c r="M116" i="28"/>
  <c r="M117" i="28"/>
  <c r="M119" i="28"/>
  <c r="M120" i="28"/>
  <c r="M122" i="28"/>
  <c r="M123" i="28"/>
  <c r="M125" i="28"/>
  <c r="M126" i="28"/>
  <c r="M128" i="28"/>
  <c r="M129" i="28"/>
  <c r="M131" i="28"/>
  <c r="M132" i="28"/>
  <c r="M134" i="28"/>
  <c r="M135" i="28"/>
  <c r="M137" i="28"/>
  <c r="M138" i="28"/>
  <c r="M140" i="28"/>
  <c r="M141" i="28"/>
  <c r="M143" i="28"/>
  <c r="M144" i="28"/>
  <c r="M146" i="28"/>
  <c r="M147" i="28"/>
  <c r="M149" i="28"/>
  <c r="M150" i="28"/>
  <c r="M152" i="28"/>
  <c r="M153" i="28"/>
  <c r="M155" i="28"/>
  <c r="M156" i="28"/>
  <c r="M158" i="28"/>
  <c r="M159" i="28"/>
  <c r="M161" i="28"/>
  <c r="M162" i="28"/>
  <c r="M164" i="28"/>
  <c r="M165" i="28"/>
  <c r="M167" i="28"/>
  <c r="M168" i="28"/>
  <c r="M170" i="28"/>
  <c r="M171" i="28"/>
  <c r="M173" i="28"/>
  <c r="M174" i="28"/>
  <c r="M175" i="28"/>
  <c r="M176" i="28"/>
  <c r="M178" i="28"/>
  <c r="M179" i="28"/>
  <c r="M180" i="28"/>
  <c r="M181" i="28"/>
  <c r="M183" i="28"/>
  <c r="M184" i="28"/>
  <c r="M185" i="28"/>
  <c r="M186" i="28"/>
  <c r="M188" i="28"/>
  <c r="M189" i="28"/>
  <c r="M190" i="28"/>
  <c r="M192" i="28"/>
  <c r="M193" i="28"/>
  <c r="M194" i="28"/>
  <c r="M195" i="28"/>
  <c r="M197" i="28"/>
  <c r="M198" i="28"/>
  <c r="M199" i="28"/>
  <c r="M201" i="28"/>
  <c r="M202" i="28"/>
  <c r="M203" i="28"/>
  <c r="M204" i="28"/>
  <c r="M205" i="28"/>
  <c r="M207" i="28"/>
  <c r="M208" i="28"/>
  <c r="M209" i="28"/>
  <c r="M210" i="28"/>
  <c r="M212" i="28"/>
  <c r="M213" i="28"/>
  <c r="M214" i="28"/>
  <c r="M215" i="28"/>
  <c r="M216" i="28"/>
  <c r="M218" i="28"/>
  <c r="M219" i="28"/>
  <c r="M220" i="28"/>
  <c r="M221" i="28"/>
  <c r="M223" i="28"/>
  <c r="M224" i="28"/>
  <c r="M225" i="28"/>
  <c r="M226" i="28"/>
  <c r="M228" i="28"/>
  <c r="M229" i="28"/>
  <c r="M230" i="28"/>
  <c r="M231" i="28"/>
  <c r="M233" i="28"/>
  <c r="M234" i="28"/>
  <c r="M235" i="28"/>
  <c r="M236" i="28"/>
  <c r="M238" i="28"/>
  <c r="M239" i="28"/>
  <c r="M240" i="28"/>
  <c r="M241" i="28"/>
  <c r="M243" i="28"/>
  <c r="M244" i="28"/>
  <c r="M245" i="28"/>
  <c r="M246" i="28"/>
  <c r="M247" i="28"/>
  <c r="M249" i="28"/>
  <c r="M250" i="28"/>
  <c r="M251" i="28"/>
  <c r="M252" i="28"/>
  <c r="L2" i="28"/>
  <c r="L3" i="28"/>
  <c r="L4" i="28"/>
  <c r="L5" i="28"/>
  <c r="L6" i="28"/>
  <c r="L7" i="28"/>
  <c r="L8" i="28"/>
  <c r="L9" i="28"/>
  <c r="L10" i="28"/>
  <c r="L11" i="28"/>
  <c r="L12" i="28"/>
  <c r="L13" i="28"/>
  <c r="L14" i="28"/>
  <c r="L15" i="28"/>
  <c r="L16" i="28"/>
  <c r="L17" i="28"/>
  <c r="L18" i="28"/>
  <c r="L20" i="28"/>
  <c r="L21" i="28"/>
  <c r="L23" i="28"/>
  <c r="L24" i="28"/>
  <c r="L26" i="28"/>
  <c r="L27" i="28"/>
  <c r="L29" i="28"/>
  <c r="L30" i="28"/>
  <c r="L31" i="28"/>
  <c r="L32" i="28"/>
  <c r="L33" i="28"/>
  <c r="L34" i="28"/>
  <c r="L35" i="28"/>
  <c r="L37" i="28"/>
  <c r="L38" i="28"/>
  <c r="L39" i="28"/>
  <c r="L40" i="28"/>
  <c r="L42" i="28"/>
  <c r="L43" i="28"/>
  <c r="L44" i="28"/>
  <c r="L45" i="28"/>
  <c r="L47" i="28"/>
  <c r="L48" i="28"/>
  <c r="L49" i="28"/>
  <c r="L50" i="28"/>
  <c r="L52" i="28"/>
  <c r="L53" i="28"/>
  <c r="L54" i="28"/>
  <c r="L55" i="28"/>
  <c r="L57" i="28"/>
  <c r="L58" i="28"/>
  <c r="L59" i="28"/>
  <c r="L61" i="28"/>
  <c r="L62" i="28"/>
  <c r="L63" i="28"/>
  <c r="L65" i="28"/>
  <c r="L66" i="28"/>
  <c r="L67" i="28"/>
  <c r="L69" i="28"/>
  <c r="L70" i="28"/>
  <c r="L71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7" i="28"/>
  <c r="L108" i="28"/>
  <c r="L110" i="28"/>
  <c r="L111" i="28"/>
  <c r="L113" i="28"/>
  <c r="L114" i="28"/>
  <c r="L116" i="28"/>
  <c r="L117" i="28"/>
  <c r="L119" i="28"/>
  <c r="L120" i="28"/>
  <c r="L122" i="28"/>
  <c r="L123" i="28"/>
  <c r="L125" i="28"/>
  <c r="L126" i="28"/>
  <c r="L128" i="28"/>
  <c r="L129" i="28"/>
  <c r="L131" i="28"/>
  <c r="L132" i="28"/>
  <c r="L134" i="28"/>
  <c r="L135" i="28"/>
  <c r="L137" i="28"/>
  <c r="L138" i="28"/>
  <c r="L140" i="28"/>
  <c r="L141" i="28"/>
  <c r="L143" i="28"/>
  <c r="L144" i="28"/>
  <c r="L146" i="28"/>
  <c r="L147" i="28"/>
  <c r="L149" i="28"/>
  <c r="L150" i="28"/>
  <c r="L152" i="28"/>
  <c r="L153" i="28"/>
  <c r="L155" i="28"/>
  <c r="L156" i="28"/>
  <c r="L158" i="28"/>
  <c r="L159" i="28"/>
  <c r="L161" i="28"/>
  <c r="L162" i="28"/>
  <c r="L164" i="28"/>
  <c r="L165" i="28"/>
  <c r="L167" i="28"/>
  <c r="L168" i="28"/>
  <c r="L170" i="28"/>
  <c r="L171" i="28"/>
  <c r="L173" i="28"/>
  <c r="L174" i="28"/>
  <c r="L175" i="28"/>
  <c r="L176" i="28"/>
  <c r="L178" i="28"/>
  <c r="L179" i="28"/>
  <c r="L180" i="28"/>
  <c r="L181" i="28"/>
  <c r="L183" i="28"/>
  <c r="L184" i="28"/>
  <c r="L185" i="28"/>
  <c r="L186" i="28"/>
  <c r="L188" i="28"/>
  <c r="L189" i="28"/>
  <c r="L190" i="28"/>
  <c r="L192" i="28"/>
  <c r="L193" i="28"/>
  <c r="L194" i="28"/>
  <c r="L195" i="28"/>
  <c r="L197" i="28"/>
  <c r="L198" i="28"/>
  <c r="L199" i="28"/>
  <c r="L201" i="28"/>
  <c r="L202" i="28"/>
  <c r="L203" i="28"/>
  <c r="L204" i="28"/>
  <c r="L205" i="28"/>
  <c r="L207" i="28"/>
  <c r="L208" i="28"/>
  <c r="L209" i="28"/>
  <c r="L210" i="28"/>
  <c r="L212" i="28"/>
  <c r="L213" i="28"/>
  <c r="L214" i="28"/>
  <c r="L215" i="28"/>
  <c r="L216" i="28"/>
  <c r="L218" i="28"/>
  <c r="L219" i="28"/>
  <c r="L220" i="28"/>
  <c r="L221" i="28"/>
  <c r="L223" i="28"/>
  <c r="L224" i="28"/>
  <c r="L225" i="28"/>
  <c r="L226" i="28"/>
  <c r="L228" i="28"/>
  <c r="L229" i="28"/>
  <c r="L230" i="28"/>
  <c r="L231" i="28"/>
  <c r="L233" i="28"/>
  <c r="L234" i="28"/>
  <c r="L235" i="28"/>
  <c r="L236" i="28"/>
  <c r="L238" i="28"/>
  <c r="L239" i="28"/>
  <c r="L240" i="28"/>
  <c r="L241" i="28"/>
  <c r="L243" i="28"/>
  <c r="L244" i="28"/>
  <c r="L245" i="28"/>
  <c r="L246" i="28"/>
  <c r="L247" i="28"/>
  <c r="L249" i="28"/>
  <c r="L250" i="28"/>
  <c r="L251" i="28"/>
  <c r="L252" i="28"/>
  <c r="K2" i="28"/>
  <c r="K3" i="28"/>
  <c r="K4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20" i="28"/>
  <c r="K21" i="28"/>
  <c r="K23" i="28"/>
  <c r="K24" i="28"/>
  <c r="K26" i="28"/>
  <c r="K27" i="28"/>
  <c r="K29" i="28"/>
  <c r="K30" i="28"/>
  <c r="K31" i="28"/>
  <c r="K32" i="28"/>
  <c r="K33" i="28"/>
  <c r="K34" i="28"/>
  <c r="K35" i="28"/>
  <c r="K37" i="28"/>
  <c r="K38" i="28"/>
  <c r="K39" i="28"/>
  <c r="K40" i="28"/>
  <c r="K42" i="28"/>
  <c r="K43" i="28"/>
  <c r="K44" i="28"/>
  <c r="K45" i="28"/>
  <c r="K47" i="28"/>
  <c r="K48" i="28"/>
  <c r="K49" i="28"/>
  <c r="K50" i="28"/>
  <c r="K52" i="28"/>
  <c r="K53" i="28"/>
  <c r="K54" i="28"/>
  <c r="K55" i="28"/>
  <c r="K57" i="28"/>
  <c r="K58" i="28"/>
  <c r="K59" i="28"/>
  <c r="K61" i="28"/>
  <c r="K62" i="28"/>
  <c r="K63" i="28"/>
  <c r="K65" i="28"/>
  <c r="K66" i="28"/>
  <c r="K67" i="28"/>
  <c r="K69" i="28"/>
  <c r="K70" i="28"/>
  <c r="K71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7" i="28"/>
  <c r="K108" i="28"/>
  <c r="K110" i="28"/>
  <c r="K111" i="28"/>
  <c r="K113" i="28"/>
  <c r="K114" i="28"/>
  <c r="K116" i="28"/>
  <c r="K117" i="28"/>
  <c r="K119" i="28"/>
  <c r="K120" i="28"/>
  <c r="K122" i="28"/>
  <c r="K123" i="28"/>
  <c r="K125" i="28"/>
  <c r="K126" i="28"/>
  <c r="K128" i="28"/>
  <c r="K129" i="28"/>
  <c r="K131" i="28"/>
  <c r="K132" i="28"/>
  <c r="K134" i="28"/>
  <c r="K135" i="28"/>
  <c r="K137" i="28"/>
  <c r="K138" i="28"/>
  <c r="K140" i="28"/>
  <c r="K141" i="28"/>
  <c r="K143" i="28"/>
  <c r="K144" i="28"/>
  <c r="K146" i="28"/>
  <c r="K147" i="28"/>
  <c r="K149" i="28"/>
  <c r="K150" i="28"/>
  <c r="K152" i="28"/>
  <c r="K153" i="28"/>
  <c r="K155" i="28"/>
  <c r="K156" i="28"/>
  <c r="K158" i="28"/>
  <c r="K159" i="28"/>
  <c r="K161" i="28"/>
  <c r="K162" i="28"/>
  <c r="K164" i="28"/>
  <c r="K165" i="28"/>
  <c r="K167" i="28"/>
  <c r="K168" i="28"/>
  <c r="K170" i="28"/>
  <c r="K171" i="28"/>
  <c r="K173" i="28"/>
  <c r="K174" i="28"/>
  <c r="K175" i="28"/>
  <c r="K176" i="28"/>
  <c r="K178" i="28"/>
  <c r="K179" i="28"/>
  <c r="K180" i="28"/>
  <c r="K181" i="28"/>
  <c r="K183" i="28"/>
  <c r="K184" i="28"/>
  <c r="K185" i="28"/>
  <c r="K186" i="28"/>
  <c r="K188" i="28"/>
  <c r="K189" i="28"/>
  <c r="K190" i="28"/>
  <c r="K192" i="28"/>
  <c r="K193" i="28"/>
  <c r="K194" i="28"/>
  <c r="I194" i="28" s="1"/>
  <c r="K195" i="28"/>
  <c r="K197" i="28"/>
  <c r="K198" i="28"/>
  <c r="K199" i="28"/>
  <c r="K201" i="28"/>
  <c r="K202" i="28"/>
  <c r="K203" i="28"/>
  <c r="K204" i="28"/>
  <c r="K205" i="28"/>
  <c r="K207" i="28"/>
  <c r="K208" i="28"/>
  <c r="K209" i="28"/>
  <c r="K210" i="28"/>
  <c r="K212" i="28"/>
  <c r="K213" i="28"/>
  <c r="K214" i="28"/>
  <c r="K215" i="28"/>
  <c r="K216" i="28"/>
  <c r="K218" i="28"/>
  <c r="K219" i="28"/>
  <c r="K220" i="28"/>
  <c r="K221" i="28"/>
  <c r="K223" i="28"/>
  <c r="K224" i="28"/>
  <c r="K225" i="28"/>
  <c r="K226" i="28"/>
  <c r="K228" i="28"/>
  <c r="K229" i="28"/>
  <c r="K230" i="28"/>
  <c r="K231" i="28"/>
  <c r="K233" i="28"/>
  <c r="K234" i="28"/>
  <c r="K235" i="28"/>
  <c r="K236" i="28"/>
  <c r="K238" i="28"/>
  <c r="K239" i="28"/>
  <c r="K240" i="28"/>
  <c r="K241" i="28"/>
  <c r="K243" i="28"/>
  <c r="K244" i="28"/>
  <c r="K245" i="28"/>
  <c r="K246" i="28"/>
  <c r="K247" i="28"/>
  <c r="K249" i="28"/>
  <c r="K250" i="28"/>
  <c r="K251" i="28"/>
  <c r="K252" i="28"/>
  <c r="I219" i="28" l="1"/>
  <c r="I40" i="28"/>
  <c r="I183" i="28"/>
  <c r="I37" i="28"/>
  <c r="I16" i="28"/>
  <c r="I35" i="28"/>
  <c r="I15" i="28"/>
  <c r="I199" i="28"/>
  <c r="I34" i="28"/>
  <c r="I14" i="28"/>
  <c r="I18" i="28"/>
  <c r="I33" i="28"/>
  <c r="I20" i="28"/>
  <c r="I223" i="28"/>
  <c r="I11" i="28"/>
  <c r="I10" i="28"/>
  <c r="I29" i="28"/>
  <c r="I9" i="28"/>
  <c r="I204" i="28"/>
  <c r="I38" i="28"/>
  <c r="I13" i="28"/>
  <c r="I31" i="28"/>
  <c r="I26" i="28"/>
  <c r="I7" i="28"/>
  <c r="I39" i="28"/>
  <c r="I12" i="28"/>
  <c r="I30" i="28"/>
  <c r="I231" i="28"/>
  <c r="I8" i="28"/>
  <c r="I24" i="28"/>
  <c r="I162" i="28"/>
  <c r="I17" i="28"/>
  <c r="I214" i="28"/>
  <c r="I27" i="28"/>
  <c r="I23" i="28"/>
  <c r="I32" i="28"/>
  <c r="I186" i="28"/>
  <c r="I21" i="28"/>
  <c r="S36" i="28" l="1"/>
  <c r="S16" i="28"/>
  <c r="S41" i="28"/>
  <c r="S21" i="28"/>
  <c r="S56" i="28"/>
  <c r="S7" i="28"/>
  <c r="S60" i="28"/>
  <c r="S11" i="28"/>
  <c r="S14" i="28"/>
  <c r="S10" i="28"/>
  <c r="S8" i="28"/>
  <c r="S9" i="28"/>
  <c r="S13" i="28"/>
  <c r="S12" i="28"/>
  <c r="R15" i="28"/>
  <c r="R4" i="28"/>
  <c r="R25" i="28"/>
  <c r="R13" i="28"/>
  <c r="R10" i="28"/>
  <c r="S25" i="28" l="1"/>
  <c r="S29" i="28"/>
  <c r="R20" i="28"/>
  <c r="R60" i="28"/>
  <c r="R11" i="28"/>
  <c r="R56" i="28"/>
  <c r="R7" i="28"/>
  <c r="S23" i="28"/>
  <c r="S24" i="28"/>
  <c r="S18" i="28"/>
  <c r="S20" i="28"/>
  <c r="S17" i="28"/>
  <c r="R8" i="28"/>
  <c r="R9" i="28"/>
  <c r="R14" i="28"/>
  <c r="R12" i="28"/>
  <c r="Q15" i="28"/>
  <c r="S30" i="28" l="1"/>
  <c r="R21" i="28"/>
  <c r="R6" i="28"/>
  <c r="R5" i="28"/>
  <c r="S32" i="28" l="1"/>
  <c r="S31" i="28"/>
  <c r="AC25" i="28"/>
  <c r="AC41" i="28"/>
  <c r="AC68" i="28"/>
  <c r="AC60" i="28"/>
  <c r="AC28" i="28"/>
  <c r="AC56" i="28"/>
  <c r="AC46" i="28"/>
  <c r="AC22" i="28"/>
  <c r="AC64" i="28"/>
  <c r="AC19" i="28"/>
  <c r="AC51" i="28"/>
  <c r="AC36" i="28"/>
  <c r="AC4" i="28"/>
  <c r="BD60" i="28" l="1"/>
  <c r="BD68" i="28"/>
  <c r="BD64" i="28"/>
  <c r="BD56" i="28"/>
  <c r="J4" i="28"/>
  <c r="I4" i="28" s="1"/>
  <c r="J56" i="28"/>
  <c r="I56" i="28" s="1"/>
  <c r="J36" i="28"/>
  <c r="I36" i="28" s="1"/>
  <c r="J46" i="28"/>
  <c r="I46" i="28" s="1"/>
  <c r="J25" i="28"/>
  <c r="I25" i="28" s="1"/>
  <c r="J19" i="28"/>
  <c r="I19" i="28" s="1"/>
  <c r="J68" i="28"/>
  <c r="I68" i="28" s="1"/>
  <c r="J51" i="28"/>
  <c r="I51" i="28" s="1"/>
  <c r="J64" i="28"/>
  <c r="I64" i="28" s="1"/>
  <c r="J60" i="28"/>
  <c r="I60" i="28" s="1"/>
  <c r="J41" i="28"/>
  <c r="I41" i="28" s="1"/>
  <c r="J22" i="28"/>
  <c r="I22" i="28" s="1"/>
  <c r="J28" i="28"/>
  <c r="I28" i="28" s="1"/>
  <c r="BD25" i="28" l="1"/>
  <c r="Q45" i="28"/>
  <c r="Q44" i="28"/>
  <c r="Q20" i="28" l="1"/>
  <c r="Q36" i="28"/>
  <c r="Q16" i="28"/>
  <c r="Q41" i="28"/>
  <c r="Q21" i="28"/>
  <c r="Q23" i="28"/>
  <c r="Q24" i="28"/>
  <c r="Q49" i="28"/>
  <c r="Q48" i="28"/>
  <c r="Q17" i="28"/>
  <c r="Q18" i="28"/>
  <c r="Q14" i="28" l="1"/>
  <c r="Q60" i="28"/>
  <c r="Q11" i="28"/>
  <c r="Q13" i="28"/>
  <c r="Q56" i="28"/>
  <c r="Q7" i="28"/>
  <c r="Q12" i="28"/>
  <c r="Q10" i="28"/>
  <c r="Q9" i="28"/>
  <c r="Q8" i="28"/>
  <c r="Q29" i="28" l="1"/>
  <c r="Q25" i="28"/>
  <c r="Q30" i="28" l="1"/>
  <c r="O7" i="28" l="1"/>
  <c r="O64" i="28"/>
  <c r="O11" i="28"/>
  <c r="O68" i="28"/>
  <c r="Q32" i="28"/>
  <c r="Q31" i="28"/>
  <c r="O12" i="28"/>
  <c r="O10" i="28"/>
  <c r="O14" i="28" l="1"/>
  <c r="O13" i="28"/>
  <c r="O8" i="28"/>
  <c r="O28" i="28"/>
  <c r="O9" i="28"/>
  <c r="O21" i="28" l="1"/>
  <c r="O20" i="28"/>
  <c r="K6" i="28"/>
  <c r="K5" i="28"/>
  <c r="N14" i="28" l="1"/>
  <c r="N11" i="28"/>
  <c r="N60" i="28"/>
  <c r="N9" i="28"/>
  <c r="N56" i="28"/>
  <c r="N7" i="28"/>
  <c r="I5" i="28"/>
  <c r="I6" i="28"/>
  <c r="N13" i="28"/>
  <c r="N10" i="28"/>
  <c r="N12" i="28"/>
  <c r="N8" i="28"/>
  <c r="N21" i="28" l="1"/>
  <c r="N25" i="28"/>
  <c r="N20" i="28"/>
</calcChain>
</file>

<file path=xl/sharedStrings.xml><?xml version="1.0" encoding="utf-8"?>
<sst xmlns="http://schemas.openxmlformats.org/spreadsheetml/2006/main" count="2924" uniqueCount="697">
  <si>
    <t>№ п.п.</t>
  </si>
  <si>
    <t>Ед. изм.</t>
  </si>
  <si>
    <t>Объем</t>
  </si>
  <si>
    <t>кг</t>
  </si>
  <si>
    <t>пог. м</t>
  </si>
  <si>
    <t>Грунтовка универсальный ЛАСТИМИН_ / LP-51 А</t>
  </si>
  <si>
    <t>Профиль маячковый_/ПМ6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</si>
  <si>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</si>
  <si>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</si>
  <si>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</si>
  <si>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</si>
  <si>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</si>
  <si>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</si>
  <si>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</si>
  <si>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</si>
  <si>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</si>
  <si>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</si>
  <si>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</si>
  <si>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</si>
  <si>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</si>
  <si>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сумма:</t>
  </si>
  <si>
    <t>2.048</t>
  </si>
  <si>
    <t>2.049</t>
  </si>
  <si>
    <t>2.050</t>
  </si>
  <si>
    <t>2.051</t>
  </si>
  <si>
    <t>2.052</t>
  </si>
  <si>
    <t>2.053</t>
  </si>
  <si>
    <t>2.055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</si>
  <si>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</si>
  <si>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</si>
  <si>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</si>
  <si>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</si>
  <si>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</si>
  <si>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</si>
  <si>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</si>
  <si>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</si>
  <si>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</si>
  <si>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</si>
  <si>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</si>
  <si>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</si>
  <si>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</si>
  <si>
    <t>3.050</t>
  </si>
  <si>
    <t>3.051</t>
  </si>
  <si>
    <t>3.054</t>
  </si>
  <si>
    <t>3.058</t>
  </si>
  <si>
    <t>3.061</t>
  </si>
  <si>
    <t>3.062</t>
  </si>
  <si>
    <t>3.053</t>
  </si>
  <si>
    <t>3.059</t>
  </si>
  <si>
    <t>3.049</t>
  </si>
  <si>
    <t>3.060</t>
  </si>
  <si>
    <t>3.005</t>
  </si>
  <si>
    <t>3.046</t>
  </si>
  <si>
    <t>3.043</t>
  </si>
  <si>
    <t>3.039</t>
  </si>
  <si>
    <t>3.041</t>
  </si>
  <si>
    <t>3.044</t>
  </si>
  <si>
    <t>3.045</t>
  </si>
  <si>
    <t>3.038</t>
  </si>
  <si>
    <t>3.040</t>
  </si>
  <si>
    <t>3.042</t>
  </si>
  <si>
    <t>3.037</t>
  </si>
  <si>
    <t>3.036</t>
  </si>
  <si>
    <t>3.027</t>
  </si>
  <si>
    <t>3.028</t>
  </si>
  <si>
    <t>3.030</t>
  </si>
  <si>
    <t>3.066</t>
  </si>
  <si>
    <t>3.031</t>
  </si>
  <si>
    <t>3.057</t>
  </si>
  <si>
    <t>3.055</t>
  </si>
  <si>
    <t>3.064</t>
  </si>
  <si>
    <t>3.033</t>
  </si>
  <si>
    <t>3.032</t>
  </si>
  <si>
    <t>3.035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</si>
  <si>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</si>
  <si>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</si>
  <si>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 секция)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</si>
  <si>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</si>
  <si>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</si>
  <si>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</si>
  <si>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</si>
  <si>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</si>
  <si>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</si>
  <si>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</si>
  <si>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</si>
  <si>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Столбец9</t>
  </si>
  <si>
    <t>Столбец10</t>
  </si>
  <si>
    <t>Столбец11</t>
  </si>
  <si>
    <t>Столбец13</t>
  </si>
  <si>
    <t>Столбец14</t>
  </si>
  <si>
    <t>Столбец15</t>
  </si>
  <si>
    <t>Столбец16</t>
  </si>
  <si>
    <t>Столбец17</t>
  </si>
  <si>
    <t>Грунтовка БЕТОН-КОНТАКТ_/</t>
  </si>
  <si>
    <t>Сетка штукатурная_/пластиковая/5*5</t>
  </si>
  <si>
    <t>Штукатурка цементная</t>
  </si>
  <si>
    <t>м2</t>
  </si>
  <si>
    <t>Сумма</t>
  </si>
  <si>
    <t>-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</si>
  <si>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</si>
  <si>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</si>
  <si>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</si>
  <si>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</si>
  <si>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</si>
  <si>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</si>
  <si>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</si>
  <si>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</si>
  <si>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</si>
  <si>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</si>
  <si>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</si>
  <si>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</si>
  <si>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</si>
  <si>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</si>
  <si>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</si>
  <si>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2 этаж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</si>
  <si>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</si>
  <si>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</si>
  <si>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</si>
  <si>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1.1.1.1.1.2.1.2.2</t>
  </si>
  <si>
    <t>1.1.1.1.1.2.1.2.3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</si>
  <si>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</si>
  <si>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</si>
  <si>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</si>
  <si>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</si>
  <si>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1.1.1.1.1.2.1.3.1</t>
  </si>
  <si>
    <t>Шпаклевка гипсовая Старатели базовая белая 20 кг</t>
  </si>
  <si>
    <t>1.1.1.1.1.2.1.3.2</t>
  </si>
  <si>
    <t>Уголок малярный_ / L=3м /25х25 мм</t>
  </si>
  <si>
    <t>шт</t>
  </si>
  <si>
    <t>1.1.1.1.1.2.1.3.3</t>
  </si>
  <si>
    <t>Лента армированная Серпянка 150мм</t>
  </si>
  <si>
    <t>1.1.1.1.1.2.1.3.4</t>
  </si>
  <si>
    <t>1.1.1.1.1.2.1.4</t>
  </si>
  <si>
    <t>2 этаж. Шпатлёвка финишная</t>
  </si>
  <si>
    <t>1.1.1.1.1.2.1.4.1</t>
  </si>
  <si>
    <t>1.1.1.1.1.2.1.4.2</t>
  </si>
  <si>
    <t>Шпаклевка гипсовая Старатели финишная 20 кг</t>
  </si>
  <si>
    <t>1.1.1.1.1.2.1.5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</si>
  <si>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</si>
  <si>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</si>
  <si>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</si>
  <si>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1.1.1.1.1.2.1.5.1</t>
  </si>
  <si>
    <t xml:space="preserve">Шпатлевка финишная TERRACO HANDYCOAT ALL PURPOSE </t>
  </si>
  <si>
    <t>1.1.1.1.1.2.1.5.2</t>
  </si>
  <si>
    <t>1.1.1.1.1.2.1.6</t>
  </si>
  <si>
    <t>3 этаж. Шпаклевка финишная для высококачественной отделки.</t>
  </si>
  <si>
    <t>1.1.1.1.1.2.1.6.1</t>
  </si>
  <si>
    <t>1.1.1.1.1.2.1.6.2</t>
  </si>
  <si>
    <t>1.1.1.1.1.2.1.7</t>
  </si>
  <si>
    <t>2 этаж. Шпаклевка базовая.</t>
  </si>
  <si>
    <t>1.1.1.1.1.2.1.7.1</t>
  </si>
  <si>
    <t>1.1.1.1.1.2.1.7.2</t>
  </si>
  <si>
    <t>1.1.1.1.1.2.1.8</t>
  </si>
  <si>
    <t>3 этаж. Шпаклевка базовая.</t>
  </si>
  <si>
    <t>1.1.1.1.1.2.1.8.1</t>
  </si>
  <si>
    <t>1.1.1.1.1.2.1.8.2</t>
  </si>
  <si>
    <t>1.1.1.1.1.2.1.9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</si>
  <si>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</si>
  <si>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</si>
  <si>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1.1.1.1.1.2.1.9.1</t>
  </si>
  <si>
    <t>Штукатурка цементная Основит Техно РС21 M 25 кг</t>
  </si>
  <si>
    <t>1.1.1.1.1.2.1.9.2</t>
  </si>
  <si>
    <t>1.1.1.1.1.2.1.9.3</t>
  </si>
  <si>
    <t>1.1.1.1.1.2.1.9.4</t>
  </si>
  <si>
    <t>1.1.1.1.1.2.1.10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</si>
  <si>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</si>
  <si>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</si>
  <si>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</si>
  <si>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1.1.1.1.1.2.1.10.1</t>
  </si>
  <si>
    <t>1.1.1.1.1.2.1.10.2</t>
  </si>
  <si>
    <t>1.1.1.1.1.2.1.10.3</t>
  </si>
  <si>
    <t>1.1.1.1.1.2.1.10.4</t>
  </si>
  <si>
    <t>1.1.1.1.1.2.1.11</t>
  </si>
  <si>
    <t>2 этаж. Штукатурка по блоку, ГСП, ПГП. Толщина слоя согласованна с ПГ</t>
  </si>
  <si>
    <t>1.1.1.1.1.2.1.11.1</t>
  </si>
  <si>
    <t>1.1.1.1.1.2.1.11.2</t>
  </si>
  <si>
    <t>1.1.1.1.1.2.1.11.3</t>
  </si>
  <si>
    <t>1.1.1.1.1.2.1.11.4</t>
  </si>
  <si>
    <t>1.1.1.1.1.2.1.12</t>
  </si>
  <si>
    <t>3 этаж. Штукатурка по ЖБ. Толщина слоя согласованна с ПГ.</t>
  </si>
  <si>
    <t>1.1.1.1.1.2.1.12.1</t>
  </si>
  <si>
    <t>1.1.1.1.1.2.1.12.2</t>
  </si>
  <si>
    <t>1.1.1.1.1.2.1.12.3</t>
  </si>
  <si>
    <t>1.1.1.1.1.2.1.12.4</t>
  </si>
  <si>
    <t>1.1.1.1.1.2.1.13</t>
  </si>
  <si>
    <t>3 этаж. Штукатурка по блоку, ГСП, ПГП. Толщина слоя согласованна с ПГ</t>
  </si>
  <si>
    <t>1.1.1.1.1.2.1.13.1</t>
  </si>
  <si>
    <t>1.1.1.1.1.2.1.13.2</t>
  </si>
  <si>
    <t>1.1.1.1.1.2.1.13.3</t>
  </si>
  <si>
    <t>1.1.1.1.1.2.1.13.4</t>
  </si>
  <si>
    <t>1.1.1.1.1.2.1.14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</si>
  <si>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</si>
  <si>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</si>
  <si>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1.1.1.1.1.2.1.14.1</t>
  </si>
  <si>
    <t>1.1.1.1.1.2.1.14.2</t>
  </si>
  <si>
    <t>1.1.1.1.1.2.1.14.3</t>
  </si>
  <si>
    <t>1.1.1.1.1.2.1.15</t>
  </si>
  <si>
    <t>2 этаж. Штукатурка по блоку и ПГП. Толщина слоя согласованна с ПГ</t>
  </si>
  <si>
    <t>1.1.1.1.1.2.1.15.1</t>
  </si>
  <si>
    <t>1.1.1.1.1.2.1.15.2</t>
  </si>
  <si>
    <t>1.1.1.1.1.2.1.15.3</t>
  </si>
  <si>
    <t>1.1.1.1.1.2.1.16</t>
  </si>
  <si>
    <t>1.1.1.1.1.2.1.16.1</t>
  </si>
  <si>
    <t>1.1.1.1.1.2.1.16.2</t>
  </si>
  <si>
    <t>1.1.1.1.1.2.1.16.3</t>
  </si>
  <si>
    <t>1.1.1.1.1.2.1.17</t>
  </si>
  <si>
    <t>3 этаж. Штукатурка по блоку и ПГП. Толщина слоя согласованна с ПГ</t>
  </si>
  <si>
    <t>1.1.1.1.1.2.1.17.1</t>
  </si>
  <si>
    <t>1.1.1.1.1.2.1.17.2</t>
  </si>
  <si>
    <t>1.1.1.1.1.2.1.17.3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</si>
  <si>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</si>
  <si>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</si>
  <si>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</si>
  <si>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</si>
  <si>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</si>
  <si>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</si>
  <si>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</si>
  <si>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</si>
  <si>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</si>
  <si>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Плиточный клей_ / Унифицированный по ПИК-СТАНДАРТ</t>
  </si>
  <si>
    <t>Клей для плитки Стройбриг Базакс АС10 серый класс С0 Т 25 кг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</si>
  <si>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</si>
  <si>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</si>
  <si>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</si>
  <si>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</si>
  <si>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Затирка Цезерит СE33_/04 серебристо-серый</t>
  </si>
  <si>
    <t>1.1.1.1.1.2.2.1.5</t>
  </si>
  <si>
    <t>Грунтовка _ / универсальная водно-дисперсионная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</si>
  <si>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</si>
  <si>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</si>
  <si>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</si>
  <si>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</si>
  <si>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</si>
  <si>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</si>
  <si>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</si>
  <si>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</si>
  <si>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</si>
  <si>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</si>
  <si>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</si>
  <si>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</si>
  <si>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</si>
  <si>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</si>
  <si>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</si>
  <si>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</si>
  <si>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</si>
  <si>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</si>
  <si>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</si>
  <si>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</si>
  <si>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</si>
  <si>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</si>
  <si>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</si>
  <si>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</si>
  <si>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</si>
  <si>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</si>
  <si>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</si>
  <si>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</si>
  <si>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</si>
  <si>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</si>
  <si>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</si>
  <si>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</si>
  <si>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</si>
  <si>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</si>
  <si>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</si>
  <si>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</si>
  <si>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</si>
  <si>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</si>
  <si>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</si>
  <si>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</si>
  <si>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</si>
  <si>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</si>
  <si>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</si>
  <si>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</si>
  <si>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</si>
  <si>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</si>
  <si>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</si>
  <si>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</si>
  <si>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</si>
  <si>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</si>
  <si>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</si>
  <si>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</si>
  <si>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</si>
  <si>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</si>
  <si>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</si>
  <si>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</si>
  <si>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</si>
  <si>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</si>
  <si>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</si>
  <si>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</si>
  <si>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</si>
  <si>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</si>
  <si>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</si>
  <si>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</si>
  <si>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</si>
  <si>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</si>
  <si>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</si>
  <si>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</si>
  <si>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</si>
  <si>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</si>
  <si>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</si>
  <si>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</si>
  <si>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</si>
  <si>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</si>
  <si>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</si>
  <si>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</si>
  <si>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</si>
  <si>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</si>
  <si>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</si>
  <si>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</si>
  <si>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</si>
  <si>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</si>
  <si>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</si>
  <si>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</si>
  <si>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</si>
  <si>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</si>
  <si>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</si>
  <si>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</si>
  <si>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</si>
  <si>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</si>
  <si>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</si>
  <si>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</si>
  <si>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</si>
  <si>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</si>
  <si>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</si>
  <si>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</si>
  <si>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</si>
  <si>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</si>
  <si>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</si>
  <si>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</si>
  <si>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</si>
  <si>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</si>
  <si>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</si>
  <si>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</si>
  <si>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</si>
  <si>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</si>
  <si>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</si>
  <si>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</si>
  <si>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</si>
  <si>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</si>
  <si>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</si>
  <si>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</si>
  <si>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</si>
  <si>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</si>
  <si>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</si>
  <si>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</si>
  <si>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</si>
  <si>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</si>
  <si>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</si>
  <si>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</si>
  <si>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</si>
  <si>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</si>
  <si>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</si>
  <si>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</si>
  <si>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</si>
  <si>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</si>
  <si>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</si>
  <si>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</si>
  <si>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</si>
  <si>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</si>
  <si>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</si>
  <si>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</si>
  <si>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</si>
  <si>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</si>
  <si>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</si>
  <si>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</si>
  <si>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</si>
  <si>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</si>
  <si>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</si>
  <si>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</si>
  <si>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</si>
  <si>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</si>
  <si>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</si>
  <si>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</si>
  <si>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</si>
  <si>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</si>
  <si>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</si>
  <si>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</si>
  <si>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</si>
  <si>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</si>
  <si>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</si>
  <si>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1.1.1.1.1.2.2.32.1</t>
  </si>
  <si>
    <t>1.1.1.1.1.2.2.32.2</t>
  </si>
  <si>
    <t>1.1.1.1.1.2.2.32.3</t>
  </si>
  <si>
    <t>Плиточный клей_ /  Унифицированный по ПИК-СТАНДАРТ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</si>
  <si>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</si>
  <si>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</si>
  <si>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</si>
  <si>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1.1.1.1.1.2.2.33</t>
  </si>
  <si>
    <t>2 этаж. СТ-6.2</t>
  </si>
  <si>
    <t>1.1.1.1.1.2.2.33.1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</si>
  <si>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</si>
  <si>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</si>
  <si>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1.1.1.1.1.2.2.33.2</t>
  </si>
  <si>
    <t>1.1.1.1.1.2.2.33.3</t>
  </si>
  <si>
    <t>1.1.1.1.1.2.2.33.4</t>
  </si>
  <si>
    <t>1.1.1.1.1.2.2.34</t>
  </si>
  <si>
    <t>2 этаж. СТ-6.3</t>
  </si>
  <si>
    <t>1.1.1.1.1.2.2.34.1</t>
  </si>
  <si>
    <t>1.1.1.1.1.2.2.34.2</t>
  </si>
  <si>
    <t>1.1.1.1.1.2.2.34.3</t>
  </si>
  <si>
    <t>1.1.1.1.1.2.2.34.4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</si>
  <si>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</si>
  <si>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</si>
  <si>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</si>
  <si>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</si>
  <si>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</si>
  <si>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</si>
  <si>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</si>
  <si>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1.1.1.1.1.2.2.35.2</t>
  </si>
  <si>
    <t>1.1.1.1.1.2.2.35.3</t>
  </si>
  <si>
    <t>1.1.1.1.1.2.2.36</t>
  </si>
  <si>
    <t>2 этаж. СТ-6.5</t>
  </si>
  <si>
    <t>1.1.1.1.1.2.2.36.1</t>
  </si>
  <si>
    <t>1.1.1.1.1.2.2.36.2</t>
  </si>
  <si>
    <t>1.1.1.1.1.2.2.36.3</t>
  </si>
  <si>
    <t>1.1.1.1.1.2.2.36.4</t>
  </si>
  <si>
    <t>Kerama Marazzi Калейдоскоп 5109 ярко-желтый, 200х200х6,9мм</t>
  </si>
  <si>
    <t>1.1.1.1.1.2.2.37</t>
  </si>
  <si>
    <t>2 этаж. СТ-8</t>
  </si>
  <si>
    <t>1.1.1.1.1.2.2.37.1</t>
  </si>
  <si>
    <t xml:space="preserve"> Kerama Marazzi Белое солнце 8000, 300х200х6,9мм</t>
  </si>
  <si>
    <t>1.1.1.1.1.2.2.37.2</t>
  </si>
  <si>
    <t>1.1.1.1.1.2.2.37.3</t>
  </si>
  <si>
    <t>1.1.1.1.1.2.2.38</t>
  </si>
  <si>
    <t>2 этаж. СТ-11</t>
  </si>
  <si>
    <t>1.1.1.1.1.2.2.38.1</t>
  </si>
  <si>
    <t>Ceresit 07 серая</t>
  </si>
  <si>
    <t>1.1.1.1.1.2.2.38.2</t>
  </si>
  <si>
    <t>1.1.1.1.1.2.2.38.3</t>
  </si>
  <si>
    <t>ПР-2. Профиль Y-образный алюминиевый ПО-97-02, цвет: 02 серебро матовое</t>
  </si>
  <si>
    <t>1.1.1.1.1.2.2.38.4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</si>
  <si>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</si>
  <si>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</si>
  <si>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1.1.1.1.1.2.2.38.5</t>
  </si>
  <si>
    <t>Kerama Marazzi Мечты о Париже Про Матрикс 11259R серый, 300х600х9мм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</si>
  <si>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</si>
  <si>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</si>
  <si>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</si>
  <si>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</si>
  <si>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1.1.1.1.1.2.2.39.2</t>
  </si>
  <si>
    <t xml:space="preserve">ПР-1. Профиль Г-образный для внешнего угла ПО Г10, цвет 02, серебро матовое
</t>
  </si>
  <si>
    <t>1.1.1.1.1.2.2.39.3</t>
  </si>
  <si>
    <t>1.1.1.1.1.2.2.39.4</t>
  </si>
  <si>
    <t>1.1.1.1.1.2.2.39.5</t>
  </si>
  <si>
    <t>1.1.1.1.1.2.2.40</t>
  </si>
  <si>
    <t>3 этаж. СТ-6.2</t>
  </si>
  <si>
    <t>1.1.1.1.1.2.2.40.1</t>
  </si>
  <si>
    <t>1.1.1.1.1.2.2.40.2</t>
  </si>
  <si>
    <t>1.1.1.1.1.2.2.40.3</t>
  </si>
  <si>
    <t>1.1.1.1.1.2.2.40.4</t>
  </si>
  <si>
    <t>1.1.1.1.1.2.2.41</t>
  </si>
  <si>
    <t>3 этаж. СТ-6.3</t>
  </si>
  <si>
    <t>1.1.1.1.1.2.2.41.1</t>
  </si>
  <si>
    <t>1.1.1.1.1.2.2.41.2</t>
  </si>
  <si>
    <t>1.1.1.1.1.2.2.41.3</t>
  </si>
  <si>
    <t>1.1.1.1.1.2.2.41.4</t>
  </si>
  <si>
    <t>1.1.1.1.1.2.2.42</t>
  </si>
  <si>
    <t>3 этаж. СТ-6.4</t>
  </si>
  <si>
    <t>1.1.1.1.1.2.2.42.1</t>
  </si>
  <si>
    <t>1.1.1.1.1.2.2.42.2</t>
  </si>
  <si>
    <t>1.1.1.1.1.2.2.42.3</t>
  </si>
  <si>
    <t>1.1.1.1.1.2.2.42.4</t>
  </si>
  <si>
    <t xml:space="preserve"> Kerama Marazzi Калейдоскоп 5111 зеленый, 200х200х6,9мм</t>
  </si>
  <si>
    <t>1.1.1.1.1.2.2.43</t>
  </si>
  <si>
    <t>3 этаж. СТ-6.5</t>
  </si>
  <si>
    <t>1.1.1.1.1.2.2.43.1</t>
  </si>
  <si>
    <t>1.1.1.1.1.2.2.43.2</t>
  </si>
  <si>
    <t>1.1.1.1.1.2.2.43.3</t>
  </si>
  <si>
    <t>1.1.1.1.1.2.2.43.4</t>
  </si>
  <si>
    <t>1.1.1.1.1.2.2.44</t>
  </si>
  <si>
    <t>3 этаж. СТ-8</t>
  </si>
  <si>
    <t>1.1.1.1.1.2.2.44.1</t>
  </si>
  <si>
    <t>1.1.1.1.1.2.2.44.2</t>
  </si>
  <si>
    <t>1.1.1.1.1.2.2.44.3</t>
  </si>
  <si>
    <t>1.1.1.1.1.2.2.44.4</t>
  </si>
  <si>
    <t>Kerama Marazzi Белое солнце 8000, 300х200х6,9мм</t>
  </si>
  <si>
    <t>1.1.1.1.1.2.2.45</t>
  </si>
  <si>
    <t>3 этаж. СТ-11</t>
  </si>
  <si>
    <t>1.1.1.1.1.2.2.45.1</t>
  </si>
  <si>
    <t>1.1.1.1.1.2.2.45.2</t>
  </si>
  <si>
    <t>1.1.1.1.1.2.2.45.3</t>
  </si>
  <si>
    <t>1.1.1.1.1.2.2.45.4</t>
  </si>
  <si>
    <t>1.1.1.1.1.2.2.45.5</t>
  </si>
  <si>
    <t>Затирка Цезерит СE33_/16 графит</t>
  </si>
  <si>
    <t xml:space="preserve"> Ceresit 07 серая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</si>
  <si>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</si>
  <si>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</si>
  <si>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</si>
  <si>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</si>
  <si>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</si>
  <si>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</si>
  <si>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</si>
  <si>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1.1.1.1.1.2.2.46.2</t>
  </si>
  <si>
    <t>1.1.1.1.1.2.2.46.3</t>
  </si>
  <si>
    <t>1.1.1.1.1.2.2.46.4</t>
  </si>
  <si>
    <t>1.1.1.1.1.2.2.47</t>
  </si>
  <si>
    <t>3 этаж. СТ-14</t>
  </si>
  <si>
    <t>Номер п/п</t>
  </si>
  <si>
    <t>Код узла ИСР</t>
  </si>
  <si>
    <t>Наименование затрат</t>
  </si>
  <si>
    <t>Комментарий по ИСР</t>
  </si>
  <si>
    <t>Коэф.расхода</t>
  </si>
  <si>
    <t>Общее кол-во</t>
  </si>
  <si>
    <t>Осталось 
закрыть</t>
  </si>
  <si>
    <t>1.1.1.1.1.2.2.47.1</t>
  </si>
  <si>
    <t>1.1.1.1.1.2.2.47.2</t>
  </si>
  <si>
    <t>1.1.1.1.1.2.2.47.3</t>
  </si>
  <si>
    <t>1.1.1.1.1.2.2.47.4</t>
  </si>
  <si>
    <t>Керамический гранит Kerama marazzi_ / Светлый серый /  DD600300R, Estima LF01 UnitileVento grey PG  / 600х600х10мм</t>
  </si>
  <si>
    <t xml:space="preserve"> Kerama Marazzi Про Матрикс, арт. DD602020R 600х600х9мм</t>
  </si>
  <si>
    <t>1.n</t>
  </si>
  <si>
    <t>2.n</t>
  </si>
  <si>
    <t>3.n</t>
  </si>
  <si>
    <t>4.n</t>
  </si>
  <si>
    <t>5.n</t>
  </si>
  <si>
    <t>6.n</t>
  </si>
  <si>
    <t>7.n</t>
  </si>
  <si>
    <t>8.n</t>
  </si>
  <si>
    <t>9.n</t>
  </si>
  <si>
    <t>10.n</t>
  </si>
  <si>
    <t>Столбец22</t>
  </si>
  <si>
    <t>Номер секции</t>
  </si>
  <si>
    <t>11.n</t>
  </si>
  <si>
    <t>12.n</t>
  </si>
  <si>
    <t xml:space="preserve">второй свет театра </t>
  </si>
  <si>
    <t>швы 2эт</t>
  </si>
  <si>
    <t>швы 3эт</t>
  </si>
  <si>
    <t>Железобетон</t>
  </si>
  <si>
    <t>Кирпич</t>
  </si>
  <si>
    <t>Газобетон</t>
  </si>
  <si>
    <t>ГСП</t>
  </si>
  <si>
    <t>ПГП</t>
  </si>
  <si>
    <t>Утеплитель</t>
  </si>
  <si>
    <t>Раздевальная</t>
  </si>
  <si>
    <t>Душевая</t>
  </si>
  <si>
    <t>Туалет</t>
  </si>
  <si>
    <t>Коридор</t>
  </si>
  <si>
    <t>Лаборантская</t>
  </si>
  <si>
    <t>Книгохранилище</t>
  </si>
  <si>
    <t>Кладовая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</si>
  <si>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2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этажа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(начало)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</si>
  <si>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я</t>
    </r>
  </si>
  <si>
    <r>
      <rPr>
        <i/>
        <sz val="10"/>
        <rFont val="ГОСТ тип А"/>
        <family val="2"/>
        <charset val="204"/>
      </rPr>
      <t>Наименование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</si>
  <si>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ЧЕРНОВАЯ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ИЛИ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ПЕРЕГОРОДОК</t>
    </r>
  </si>
  <si>
    <r>
      <rPr>
        <i/>
        <sz val="10"/>
        <rFont val="ГОСТ тип А"/>
        <family val="2"/>
        <charset val="204"/>
      </rPr>
      <t>Финишный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слой</t>
    </r>
  </si>
  <si>
    <r>
      <rPr>
        <i/>
        <sz val="10"/>
        <rFont val="ГОСТ тип А"/>
        <family val="2"/>
        <charset val="204"/>
      </rPr>
      <t>Вид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</si>
  <si>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</si>
  <si>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Универсальное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проведения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занятий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внеурочное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время,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числе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продленного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дня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</si>
  <si>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"Бетоноконтакт";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гипсовая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штукатурка;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шпатлёвка;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
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=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25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мм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</si>
  <si>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гипсовая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штукатурка;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шпатлёвка;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
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=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25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мм</t>
    </r>
  </si>
  <si>
    <r>
      <rPr>
        <i/>
        <sz val="10"/>
        <rFont val="ГОСТ тип А"/>
        <family val="2"/>
        <charset val="204"/>
      </rPr>
      <t>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АИ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</si>
  <si>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начальных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коридором)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</si>
  <si>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рабочим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пространством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учителей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</si>
  <si>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шпатлёвка;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
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=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мм</t>
    </r>
  </si>
  <si>
    <r>
      <rPr>
        <i/>
        <sz val="10"/>
        <rFont val="ГОСТ тип А"/>
        <family val="2"/>
        <charset val="204"/>
      </rPr>
      <t>Административный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</si>
  <si>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актового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зала</t>
    </r>
  </si>
  <si>
    <r>
      <rPr>
        <i/>
        <sz val="10"/>
        <rFont val="ГОСТ тип А"/>
        <family val="2"/>
        <charset val="204"/>
      </rPr>
      <t>Технический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центр</t>
    </r>
  </si>
  <si>
    <r>
      <rPr>
        <i/>
        <sz val="10"/>
        <rFont val="ГОСТ тип А"/>
        <family val="2"/>
        <charset val="204"/>
      </rPr>
      <t>Лестничная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клетка</t>
    </r>
  </si>
  <si>
    <r>
      <rPr>
        <i/>
        <sz val="10"/>
        <rFont val="ГОСТ тип А"/>
        <family val="2"/>
        <charset val="204"/>
      </rPr>
      <t>Лифтовый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холл.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</si>
  <si>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</si>
  <si>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"Бетоноконтакт";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штукатурка
цементно-песчаным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раствором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М100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(армированная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стекловолоконной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или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пластиковой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сеткой);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
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=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20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мм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</si>
  <si>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штукатурка
цементно-песчаным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раствором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М100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(армированная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стекловолоконной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или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пластиковой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сеткой);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
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=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20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мм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</si>
  <si>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уборочного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инвентаря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</si>
  <si>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(2-4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</si>
  <si>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</si>
  <si>
    <r>
      <rPr>
        <i/>
        <sz val="10"/>
        <rFont val="ГОСТ тип А"/>
        <family val="2"/>
        <charset val="204"/>
      </rPr>
      <t>Туалет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детей)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</si>
  <si>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персонала,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</si>
  <si>
    <r>
      <rPr>
        <i/>
        <sz val="10"/>
        <rFont val="ГОСТ тип А"/>
        <family val="2"/>
        <charset val="204"/>
      </rPr>
      <t>Многофункциональный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информационный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библиотечный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центр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индивидуальных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групповых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занятий,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медиатеки,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закрытый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фонд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выдачи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книг</t>
    </r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</si>
  <si>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инструктора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</si>
  <si>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Раздевальная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</si>
  <si>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Инвентарная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(снарядная)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</si>
  <si>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иностранного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языка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</si>
  <si>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спортивный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18x30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разделительным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занавесом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электрическом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приводе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</si>
  <si>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музыки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</si>
  <si>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5-9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</si>
  <si>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коридором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</si>
  <si>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экология+география+ОБЖ)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зонами</t>
    </r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</si>
  <si>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АВ)</t>
    </r>
  </si>
  <si>
    <r>
      <rPr>
        <i/>
        <sz val="10"/>
        <rFont val="ГОСТ тип А"/>
        <family val="2"/>
        <charset val="204"/>
      </rPr>
      <t>Инженерный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</si>
  <si>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</si>
  <si>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</si>
  <si>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многофункционального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пространства</t>
    </r>
  </si>
  <si>
    <r>
      <rPr>
        <i/>
        <sz val="10"/>
        <rFont val="ГОСТ тип А"/>
        <family val="2"/>
        <charset val="204"/>
      </rPr>
      <t>Академический
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</si>
  <si>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Лекционная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аудитория</t>
    </r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</si>
  <si>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</si>
  <si>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</si>
  <si>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Шахматный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кружок</t>
    </r>
  </si>
  <si>
    <r>
      <rPr>
        <i/>
        <sz val="10"/>
        <rFont val="ГОСТ тип А"/>
        <family val="2"/>
        <charset val="204"/>
      </rPr>
      <t>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</si>
  <si>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</si>
  <si>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(10-11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</si>
  <si>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физика+химия+биология)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</si>
  <si>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</si>
  <si>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информатики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</si>
  <si>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Медицинский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</si>
  <si>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IT-полигон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</si>
  <si>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Мастерская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акварельной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живописи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рисунка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c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кладовой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</si>
  <si>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старшей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</si>
  <si>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(физика)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</si>
  <si>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обработки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</si>
  <si>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установки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технологического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</si>
  <si>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расходных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</si>
  <si>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t>Ведомость работ и используемых материалов</t>
  </si>
  <si>
    <t>Штукатурка стен гипсовыми смесями  и базовая шпаклевка</t>
  </si>
  <si>
    <t>Штукатурка стен цементным, цементно-песчаным раствором</t>
  </si>
  <si>
    <t>2.054</t>
  </si>
  <si>
    <t>2.069</t>
  </si>
  <si>
    <t>2.033</t>
  </si>
  <si>
    <t>2.037</t>
  </si>
  <si>
    <t>2.044</t>
  </si>
  <si>
    <t>3.052</t>
  </si>
  <si>
    <t>3.065</t>
  </si>
  <si>
    <t>3.047</t>
  </si>
  <si>
    <t>Спецификация выполненных работ (4 секция)</t>
  </si>
  <si>
    <t>3.023</t>
  </si>
  <si>
    <t>Итог:</t>
  </si>
  <si>
    <t>3.006</t>
  </si>
  <si>
    <t>3.016</t>
  </si>
  <si>
    <t>3.020</t>
  </si>
  <si>
    <t>3.024</t>
  </si>
  <si>
    <t>3.034</t>
  </si>
  <si>
    <t>2.008</t>
  </si>
  <si>
    <t>2.019</t>
  </si>
  <si>
    <t>2.023</t>
  </si>
  <si>
    <t>2.024</t>
  </si>
  <si>
    <t>2.056</t>
  </si>
  <si>
    <t>2.063</t>
  </si>
  <si>
    <t>1.n1</t>
  </si>
  <si>
    <t>2.n1</t>
  </si>
  <si>
    <t>3.n1</t>
  </si>
  <si>
    <t>4.n1</t>
  </si>
  <si>
    <t>5.n1</t>
  </si>
  <si>
    <t>6.n1</t>
  </si>
  <si>
    <t>7.n1</t>
  </si>
  <si>
    <t>8.n1</t>
  </si>
  <si>
    <t>9.n1</t>
  </si>
  <si>
    <t>10.n1</t>
  </si>
  <si>
    <t>11.n1</t>
  </si>
  <si>
    <t>12.n1</t>
  </si>
  <si>
    <t>3.001</t>
  </si>
  <si>
    <t>3.002</t>
  </si>
  <si>
    <t>3.003</t>
  </si>
  <si>
    <t>3.004</t>
  </si>
  <si>
    <t>3.007</t>
  </si>
  <si>
    <t>3.010</t>
  </si>
  <si>
    <t>3.011</t>
  </si>
  <si>
    <t>3.009</t>
  </si>
  <si>
    <t>Спецификация выполненных работ (1 секция)</t>
  </si>
  <si>
    <t>Спецификация выполненных работ (2 секция)</t>
  </si>
  <si>
    <t>3.012</t>
  </si>
  <si>
    <t>3.013</t>
  </si>
  <si>
    <t>3.014</t>
  </si>
  <si>
    <t>3.015</t>
  </si>
  <si>
    <t>3.017</t>
  </si>
  <si>
    <t>3.018</t>
  </si>
  <si>
    <t>3.019</t>
  </si>
  <si>
    <t>3.021</t>
  </si>
  <si>
    <t>3.022</t>
  </si>
  <si>
    <t>3.026</t>
  </si>
  <si>
    <t>3.029</t>
  </si>
  <si>
    <t>3.048</t>
  </si>
  <si>
    <t>3.063</t>
  </si>
  <si>
    <t>3.067</t>
  </si>
  <si>
    <t>2.001</t>
  </si>
  <si>
    <t>2.002</t>
  </si>
  <si>
    <t>2.003</t>
  </si>
  <si>
    <t>2.004</t>
  </si>
  <si>
    <t>2.005</t>
  </si>
  <si>
    <t>2.007</t>
  </si>
  <si>
    <t>2.009</t>
  </si>
  <si>
    <t>2.010</t>
  </si>
  <si>
    <t>2.012</t>
  </si>
  <si>
    <t>2.013</t>
  </si>
  <si>
    <t>2.014</t>
  </si>
  <si>
    <t>2.015</t>
  </si>
  <si>
    <t>2.016</t>
  </si>
  <si>
    <t>2.017</t>
  </si>
  <si>
    <t>2.070</t>
  </si>
  <si>
    <t>2.018</t>
  </si>
  <si>
    <t>2.020</t>
  </si>
  <si>
    <t>2.021</t>
  </si>
  <si>
    <t>2.059</t>
  </si>
  <si>
    <t>2.022</t>
  </si>
  <si>
    <t>2.025</t>
  </si>
  <si>
    <t>2.030</t>
  </si>
  <si>
    <t>2.067</t>
  </si>
  <si>
    <t>2.068</t>
  </si>
  <si>
    <t>2.026</t>
  </si>
  <si>
    <t>2.027</t>
  </si>
  <si>
    <t>2.028</t>
  </si>
  <si>
    <t>2.029</t>
  </si>
  <si>
    <t>2.031</t>
  </si>
  <si>
    <t>2.032</t>
  </si>
  <si>
    <t>2.035</t>
  </si>
  <si>
    <t>2.065</t>
  </si>
  <si>
    <t>Лестничная  клетка</t>
  </si>
  <si>
    <t>-  грунтовка  "Бетоноконтакт";
-  штукатурка
цементно-песчаным  раствором М100  (армированная стекловолоконной  или пластиковой  сеткой);
-  грунтовка  глубокого проникновения
δ  =  20  мм</t>
  </si>
  <si>
    <t>без лестниц</t>
  </si>
  <si>
    <t>Описание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</si>
</sst>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32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theme="0" tint="-0.34998626667073579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i/>
      <sz val="10"/>
      <color rgb="FF000000"/>
      <name val="ГОСТ тип А"/>
      <family val="2"/>
      <charset val="204"/>
    </font>
    <font>
      <sz val="12"/>
      <color rgb="FFFF0000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</font>
    <font>
      <i/>
      <sz val="12"/>
      <color theme="0" tint="-0.34998626667073579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sz val="12"/>
      <color theme="0" tint="-0.14999847407452621"/>
      <name val="Times New Roman"/>
      <family val="1"/>
      <charset val="204"/>
    </font>
    <font>
      <sz val="12"/>
      <color theme="0" tint="-0.249977111117893"/>
      <name val="Times New Roman"/>
      <family val="1"/>
      <charset val="204"/>
    </font>
    <font>
      <b/>
      <sz val="12"/>
      <color rgb="FF002060"/>
      <name val="Times New Roman"/>
      <family val="1"/>
      <charset val="204"/>
    </font>
    <font>
      <b/>
      <sz val="12"/>
      <color rgb="FF0070C0"/>
      <name val="Calibri"/>
      <family val="2"/>
      <charset val="204"/>
    </font>
    <font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2"/>
      <name val="Calibri"/>
      <family val="2"/>
      <charset val="204"/>
      <scheme val="minor"/>
    </font>
    <font>
      <b/>
      <sz val="10"/>
      <name val="ГОСТ тип А"/>
      <family val="2"/>
      <charset val="204"/>
    </font>
    <font>
      <i/>
      <sz val="10"/>
      <color rgb="FF000000"/>
      <name val="ГОСТ тип А"/>
    </font>
    <font>
      <sz val="10"/>
      <color rgb="FF000000"/>
      <name val="ГОСТ тип А"/>
    </font>
    <font>
      <i/>
      <sz val="10"/>
      <name val="ГОСТ тип А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</fonts>
  <fills count="2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9FFCC"/>
        <bgColor rgb="FF000000"/>
      </patternFill>
    </fill>
    <fill>
      <patternFill patternType="solid">
        <fgColor rgb="FF99FFCC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1"/>
        <bgColor theme="0" tint="-0.14999847407452621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theme="0" tint="-0.14999847407452621"/>
      </patternFill>
    </fill>
    <fill>
      <patternFill patternType="solid">
        <fgColor theme="4" tint="0.59999389629810485"/>
        <bgColor theme="0" tint="-0.1499984740745262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0" tint="-0.1499984740745262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249977111117893"/>
        <bgColor theme="0" tint="-0.14999847407452621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394">
    <xf numFmtId="0" fontId="0" fillId="0" borderId="0" xfId="0"/>
    <xf numFmtId="2" fontId="2" fillId="0" borderId="5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1" xfId="0" applyFont="1" applyBorder="1" applyAlignment="1">
      <alignment horizontal="right" vertical="center"/>
    </xf>
    <xf numFmtId="0" fontId="2" fillId="0" borderId="0" xfId="0" applyFont="1"/>
    <xf numFmtId="0" fontId="2" fillId="0" borderId="5" xfId="0" applyFont="1" applyBorder="1"/>
    <xf numFmtId="49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2" fontId="1" fillId="0" borderId="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9" borderId="18" xfId="0" applyFont="1" applyFill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9" borderId="18" xfId="0" applyFont="1" applyFill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8" fillId="9" borderId="18" xfId="0" applyFont="1" applyFill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9" fillId="9" borderId="18" xfId="0" applyFont="1" applyFill="1" applyBorder="1" applyAlignment="1">
      <alignment horizontal="left" vertical="center"/>
    </xf>
    <xf numFmtId="0" fontId="7" fillId="6" borderId="18" xfId="0" applyFont="1" applyFill="1" applyBorder="1" applyAlignment="1">
      <alignment horizontal="left" vertical="center"/>
    </xf>
    <xf numFmtId="0" fontId="6" fillId="0" borderId="26" xfId="0" applyFont="1" applyBorder="1" applyAlignment="1">
      <alignment horizontal="center" vertical="center" wrapText="1"/>
    </xf>
    <xf numFmtId="0" fontId="6" fillId="9" borderId="26" xfId="0" applyFont="1" applyFill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9" borderId="26" xfId="0" applyFont="1" applyFill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8" fillId="9" borderId="26" xfId="0" applyFont="1" applyFill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9" fillId="9" borderId="26" xfId="0" applyFont="1" applyFill="1" applyBorder="1" applyAlignment="1">
      <alignment horizontal="left" vertical="center"/>
    </xf>
    <xf numFmtId="0" fontId="7" fillId="6" borderId="26" xfId="0" applyFont="1" applyFill="1" applyBorder="1" applyAlignment="1">
      <alignment horizontal="left" vertical="center"/>
    </xf>
    <xf numFmtId="0" fontId="9" fillId="5" borderId="21" xfId="0" applyFont="1" applyFill="1" applyBorder="1" applyAlignment="1">
      <alignment vertical="center"/>
    </xf>
    <xf numFmtId="165" fontId="9" fillId="5" borderId="21" xfId="0" applyNumberFormat="1" applyFont="1" applyFill="1" applyBorder="1" applyAlignment="1">
      <alignment horizontal="center" vertical="center" wrapText="1"/>
    </xf>
    <xf numFmtId="165" fontId="11" fillId="5" borderId="21" xfId="0" applyNumberFormat="1" applyFont="1" applyFill="1" applyBorder="1" applyAlignment="1">
      <alignment horizontal="center" vertical="center"/>
    </xf>
    <xf numFmtId="165" fontId="11" fillId="5" borderId="21" xfId="0" applyNumberFormat="1" applyFont="1" applyFill="1" applyBorder="1" applyAlignment="1">
      <alignment horizontal="center" vertical="center" wrapText="1"/>
    </xf>
    <xf numFmtId="165" fontId="9" fillId="5" borderId="21" xfId="0" applyNumberFormat="1" applyFont="1" applyFill="1" applyBorder="1" applyAlignment="1">
      <alignment horizontal="center" vertical="center"/>
    </xf>
    <xf numFmtId="0" fontId="12" fillId="0" borderId="0" xfId="0" applyFont="1"/>
    <xf numFmtId="0" fontId="11" fillId="9" borderId="26" xfId="0" applyFont="1" applyFill="1" applyBorder="1" applyAlignment="1">
      <alignment horizontal="left" vertical="center"/>
    </xf>
    <xf numFmtId="0" fontId="11" fillId="9" borderId="18" xfId="0" applyFont="1" applyFill="1" applyBorder="1" applyAlignment="1">
      <alignment horizontal="left" vertical="center"/>
    </xf>
    <xf numFmtId="0" fontId="9" fillId="9" borderId="18" xfId="0" applyFont="1" applyFill="1" applyBorder="1" applyAlignment="1">
      <alignment vertical="center"/>
    </xf>
    <xf numFmtId="0" fontId="9" fillId="9" borderId="26" xfId="0" applyFont="1" applyFill="1" applyBorder="1" applyAlignment="1">
      <alignment vertical="center"/>
    </xf>
    <xf numFmtId="0" fontId="11" fillId="0" borderId="26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9" fillId="0" borderId="18" xfId="0" applyFont="1" applyBorder="1" applyAlignment="1">
      <alignment vertical="center"/>
    </xf>
    <xf numFmtId="0" fontId="9" fillId="0" borderId="26" xfId="0" applyFont="1" applyBorder="1" applyAlignment="1">
      <alignment vertical="center"/>
    </xf>
    <xf numFmtId="0" fontId="6" fillId="9" borderId="18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horizontal="center" vertical="center" wrapText="1"/>
    </xf>
    <xf numFmtId="165" fontId="6" fillId="9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right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0" fontId="14" fillId="9" borderId="18" xfId="0" applyFont="1" applyFill="1" applyBorder="1" applyAlignment="1">
      <alignment horizontal="right" vertical="center" wrapText="1"/>
    </xf>
    <xf numFmtId="0" fontId="7" fillId="9" borderId="18" xfId="0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center" vertical="center"/>
    </xf>
    <xf numFmtId="165" fontId="7" fillId="9" borderId="18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vertical="center" wrapText="1"/>
    </xf>
    <xf numFmtId="165" fontId="7" fillId="0" borderId="18" xfId="0" applyNumberFormat="1" applyFont="1" applyBorder="1" applyAlignment="1">
      <alignment horizontal="center" vertical="center" wrapText="1"/>
    </xf>
    <xf numFmtId="0" fontId="14" fillId="0" borderId="18" xfId="0" applyFont="1" applyBorder="1" applyAlignment="1">
      <alignment horizontal="right" vertical="center" wrapText="1"/>
    </xf>
    <xf numFmtId="4" fontId="8" fillId="11" borderId="23" xfId="0" applyNumberFormat="1" applyFont="1" applyFill="1" applyBorder="1" applyAlignment="1">
      <alignment horizontal="center" vertical="center" wrapText="1"/>
    </xf>
    <xf numFmtId="4" fontId="7" fillId="10" borderId="25" xfId="0" applyNumberFormat="1" applyFont="1" applyFill="1" applyBorder="1" applyAlignment="1">
      <alignment horizontal="center" vertical="center"/>
    </xf>
    <xf numFmtId="4" fontId="8" fillId="11" borderId="25" xfId="0" applyNumberFormat="1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left" vertical="center" wrapText="1"/>
    </xf>
    <xf numFmtId="165" fontId="7" fillId="9" borderId="18" xfId="0" applyNumberFormat="1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11" borderId="25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right" vertical="center" wrapText="1"/>
    </xf>
    <xf numFmtId="0" fontId="8" fillId="9" borderId="18" xfId="0" applyFont="1" applyFill="1" applyBorder="1" applyAlignment="1">
      <alignment horizontal="center" vertical="center" wrapText="1"/>
    </xf>
    <xf numFmtId="0" fontId="8" fillId="9" borderId="18" xfId="0" applyFont="1" applyFill="1" applyBorder="1" applyAlignment="1">
      <alignment horizontal="center" vertical="center"/>
    </xf>
    <xf numFmtId="165" fontId="8" fillId="9" borderId="18" xfId="0" applyNumberFormat="1" applyFont="1" applyFill="1" applyBorder="1" applyAlignment="1">
      <alignment horizontal="center" vertical="center"/>
    </xf>
    <xf numFmtId="0" fontId="15" fillId="0" borderId="18" xfId="0" applyFont="1" applyBorder="1" applyAlignment="1">
      <alignment horizontal="right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165" fontId="8" fillId="0" borderId="18" xfId="0" applyNumberFormat="1" applyFont="1" applyBorder="1" applyAlignment="1">
      <alignment horizontal="center" vertical="center"/>
    </xf>
    <xf numFmtId="0" fontId="13" fillId="11" borderId="22" xfId="0" applyFont="1" applyFill="1" applyBorder="1"/>
    <xf numFmtId="4" fontId="16" fillId="10" borderId="25" xfId="0" applyNumberFormat="1" applyFont="1" applyFill="1" applyBorder="1" applyAlignment="1">
      <alignment horizontal="center" vertical="center"/>
    </xf>
    <xf numFmtId="4" fontId="16" fillId="11" borderId="25" xfId="0" applyNumberFormat="1" applyFont="1" applyFill="1" applyBorder="1" applyAlignment="1">
      <alignment horizontal="center" vertical="center" wrapText="1"/>
    </xf>
    <xf numFmtId="4" fontId="17" fillId="10" borderId="25" xfId="0" applyNumberFormat="1" applyFont="1" applyFill="1" applyBorder="1" applyAlignment="1">
      <alignment horizontal="center" vertical="center"/>
    </xf>
    <xf numFmtId="4" fontId="17" fillId="11" borderId="25" xfId="0" applyNumberFormat="1" applyFont="1" applyFill="1" applyBorder="1" applyAlignment="1">
      <alignment horizontal="center" vertical="center" wrapText="1"/>
    </xf>
    <xf numFmtId="4" fontId="8" fillId="10" borderId="25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right" vertical="center" wrapText="1"/>
    </xf>
    <xf numFmtId="0" fontId="7" fillId="9" borderId="18" xfId="0" applyFont="1" applyFill="1" applyBorder="1" applyAlignment="1">
      <alignment horizontal="right" vertical="center" wrapText="1"/>
    </xf>
    <xf numFmtId="4" fontId="18" fillId="11" borderId="25" xfId="0" applyNumberFormat="1" applyFont="1" applyFill="1" applyBorder="1" applyAlignment="1">
      <alignment horizontal="center" vertical="center" wrapText="1"/>
    </xf>
    <xf numFmtId="0" fontId="9" fillId="9" borderId="18" xfId="0" applyFont="1" applyFill="1" applyBorder="1" applyAlignment="1">
      <alignment horizontal="left" vertical="center" wrapText="1"/>
    </xf>
    <xf numFmtId="0" fontId="9" fillId="9" borderId="18" xfId="0" applyFont="1" applyFill="1" applyBorder="1" applyAlignment="1">
      <alignment horizontal="center" vertical="center" wrapText="1"/>
    </xf>
    <xf numFmtId="165" fontId="9" fillId="9" borderId="18" xfId="0" applyNumberFormat="1" applyFont="1" applyFill="1" applyBorder="1" applyAlignment="1">
      <alignment horizontal="center" vertical="center" wrapText="1"/>
    </xf>
    <xf numFmtId="0" fontId="14" fillId="8" borderId="18" xfId="0" applyFont="1" applyFill="1" applyBorder="1" applyAlignment="1">
      <alignment horizontal="right" vertical="center" wrapText="1"/>
    </xf>
    <xf numFmtId="0" fontId="14" fillId="6" borderId="18" xfId="0" applyFont="1" applyFill="1" applyBorder="1" applyAlignment="1">
      <alignment horizontal="right" vertical="center" wrapText="1"/>
    </xf>
    <xf numFmtId="0" fontId="7" fillId="6" borderId="18" xfId="0" applyFont="1" applyFill="1" applyBorder="1" applyAlignment="1">
      <alignment horizontal="center" vertical="center" wrapText="1"/>
    </xf>
    <xf numFmtId="0" fontId="7" fillId="6" borderId="18" xfId="0" applyFont="1" applyFill="1" applyBorder="1" applyAlignment="1">
      <alignment horizontal="center" vertical="center"/>
    </xf>
    <xf numFmtId="165" fontId="7" fillId="6" borderId="18" xfId="0" applyNumberFormat="1" applyFont="1" applyFill="1" applyBorder="1" applyAlignment="1">
      <alignment horizontal="center" vertical="center"/>
    </xf>
    <xf numFmtId="0" fontId="7" fillId="8" borderId="18" xfId="0" applyFont="1" applyFill="1" applyBorder="1" applyAlignment="1">
      <alignment horizontal="right" vertical="center" wrapText="1"/>
    </xf>
    <xf numFmtId="0" fontId="7" fillId="6" borderId="18" xfId="0" applyFont="1" applyFill="1" applyBorder="1" applyAlignment="1">
      <alignment horizontal="right" vertical="center" wrapText="1"/>
    </xf>
    <xf numFmtId="4" fontId="7" fillId="10" borderId="24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2" fontId="12" fillId="0" borderId="5" xfId="0" applyNumberFormat="1" applyFont="1" applyBorder="1"/>
    <xf numFmtId="2" fontId="12" fillId="0" borderId="0" xfId="0" applyNumberFormat="1" applyFont="1"/>
    <xf numFmtId="164" fontId="13" fillId="10" borderId="0" xfId="0" applyNumberFormat="1" applyFont="1" applyFill="1" applyBorder="1"/>
    <xf numFmtId="4" fontId="8" fillId="11" borderId="0" xfId="0" applyNumberFormat="1" applyFont="1" applyFill="1" applyBorder="1" applyAlignment="1">
      <alignment horizontal="center" vertical="center" wrapText="1"/>
    </xf>
    <xf numFmtId="4" fontId="7" fillId="10" borderId="0" xfId="0" applyNumberFormat="1" applyFont="1" applyFill="1" applyBorder="1" applyAlignment="1">
      <alignment horizontal="center" vertical="center"/>
    </xf>
    <xf numFmtId="4" fontId="7" fillId="11" borderId="0" xfId="0" applyNumberFormat="1" applyFont="1" applyFill="1" applyBorder="1" applyAlignment="1">
      <alignment horizontal="center" vertical="center" wrapText="1"/>
    </xf>
    <xf numFmtId="4" fontId="16" fillId="10" borderId="0" xfId="0" applyNumberFormat="1" applyFont="1" applyFill="1" applyBorder="1" applyAlignment="1">
      <alignment horizontal="center" vertical="center"/>
    </xf>
    <xf numFmtId="4" fontId="16" fillId="11" borderId="0" xfId="0" applyNumberFormat="1" applyFont="1" applyFill="1" applyBorder="1" applyAlignment="1">
      <alignment horizontal="center" vertical="center" wrapText="1"/>
    </xf>
    <xf numFmtId="4" fontId="17" fillId="10" borderId="0" xfId="0" applyNumberFormat="1" applyFont="1" applyFill="1" applyBorder="1" applyAlignment="1">
      <alignment horizontal="center" vertical="center"/>
    </xf>
    <xf numFmtId="4" fontId="17" fillId="11" borderId="0" xfId="0" applyNumberFormat="1" applyFont="1" applyFill="1" applyBorder="1" applyAlignment="1">
      <alignment horizontal="center" vertical="center" wrapText="1"/>
    </xf>
    <xf numFmtId="4" fontId="8" fillId="10" borderId="0" xfId="0" applyNumberFormat="1" applyFont="1" applyFill="1" applyBorder="1" applyAlignment="1">
      <alignment horizontal="center" vertical="center"/>
    </xf>
    <xf numFmtId="4" fontId="18" fillId="11" borderId="0" xfId="0" applyNumberFormat="1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/>
    </xf>
    <xf numFmtId="4" fontId="7" fillId="10" borderId="23" xfId="0" applyNumberFormat="1" applyFont="1" applyFill="1" applyBorder="1" applyAlignment="1">
      <alignment horizontal="center" vertical="center"/>
    </xf>
    <xf numFmtId="0" fontId="13" fillId="10" borderId="28" xfId="0" applyFont="1" applyFill="1" applyBorder="1"/>
    <xf numFmtId="4" fontId="17" fillId="10" borderId="23" xfId="0" applyNumberFormat="1" applyFont="1" applyFill="1" applyBorder="1" applyAlignment="1">
      <alignment horizontal="center" vertical="center"/>
    </xf>
    <xf numFmtId="4" fontId="8" fillId="10" borderId="23" xfId="0" applyNumberFormat="1" applyFont="1" applyFill="1" applyBorder="1" applyAlignment="1">
      <alignment horizontal="center" vertical="center"/>
    </xf>
    <xf numFmtId="4" fontId="18" fillId="11" borderId="23" xfId="0" applyNumberFormat="1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vertical="center" wrapText="1"/>
    </xf>
    <xf numFmtId="0" fontId="9" fillId="5" borderId="5" xfId="0" applyFont="1" applyFill="1" applyBorder="1" applyAlignment="1">
      <alignment vertical="center"/>
    </xf>
    <xf numFmtId="164" fontId="13" fillId="10" borderId="5" xfId="0" applyNumberFormat="1" applyFont="1" applyFill="1" applyBorder="1"/>
    <xf numFmtId="164" fontId="9" fillId="5" borderId="5" xfId="0" applyNumberFormat="1" applyFont="1" applyFill="1" applyBorder="1" applyAlignment="1">
      <alignment vertical="center"/>
    </xf>
    <xf numFmtId="164" fontId="13" fillId="11" borderId="0" xfId="0" applyNumberFormat="1" applyFont="1" applyFill="1" applyBorder="1"/>
    <xf numFmtId="0" fontId="2" fillId="0" borderId="5" xfId="0" applyFont="1" applyBorder="1" applyAlignment="1">
      <alignment horizontal="center" vertical="center" wrapText="1"/>
    </xf>
    <xf numFmtId="164" fontId="19" fillId="10" borderId="5" xfId="0" applyNumberFormat="1" applyFont="1" applyFill="1" applyBorder="1" applyAlignment="1">
      <alignment horizontal="center" vertical="center"/>
    </xf>
    <xf numFmtId="165" fontId="9" fillId="12" borderId="21" xfId="0" applyNumberFormat="1" applyFont="1" applyFill="1" applyBorder="1" applyAlignment="1">
      <alignment horizontal="center" vertical="center" wrapText="1"/>
    </xf>
    <xf numFmtId="2" fontId="12" fillId="12" borderId="5" xfId="0" applyNumberFormat="1" applyFont="1" applyFill="1" applyBorder="1"/>
    <xf numFmtId="0" fontId="12" fillId="12" borderId="0" xfId="0" applyFont="1" applyFill="1"/>
    <xf numFmtId="0" fontId="6" fillId="13" borderId="26" xfId="0" applyFont="1" applyFill="1" applyBorder="1" applyAlignment="1">
      <alignment horizontal="left" vertical="center"/>
    </xf>
    <xf numFmtId="0" fontId="6" fillId="13" borderId="18" xfId="0" applyFont="1" applyFill="1" applyBorder="1" applyAlignment="1">
      <alignment horizontal="left" vertical="center"/>
    </xf>
    <xf numFmtId="0" fontId="6" fillId="13" borderId="18" xfId="0" applyFont="1" applyFill="1" applyBorder="1" applyAlignment="1">
      <alignment horizontal="left" vertical="center" wrapText="1"/>
    </xf>
    <xf numFmtId="0" fontId="6" fillId="13" borderId="18" xfId="0" applyFont="1" applyFill="1" applyBorder="1" applyAlignment="1">
      <alignment horizontal="center" vertical="center" wrapText="1"/>
    </xf>
    <xf numFmtId="165" fontId="6" fillId="13" borderId="18" xfId="0" applyNumberFormat="1" applyFont="1" applyFill="1" applyBorder="1" applyAlignment="1">
      <alignment horizontal="center" vertical="center" wrapText="1"/>
    </xf>
    <xf numFmtId="165" fontId="9" fillId="14" borderId="21" xfId="0" applyNumberFormat="1" applyFont="1" applyFill="1" applyBorder="1" applyAlignment="1">
      <alignment horizontal="center" vertical="center" wrapText="1"/>
    </xf>
    <xf numFmtId="2" fontId="12" fillId="14" borderId="5" xfId="0" applyNumberFormat="1" applyFont="1" applyFill="1" applyBorder="1"/>
    <xf numFmtId="0" fontId="12" fillId="14" borderId="0" xfId="0" applyFont="1" applyFill="1"/>
    <xf numFmtId="0" fontId="6" fillId="15" borderId="26" xfId="0" applyFont="1" applyFill="1" applyBorder="1" applyAlignment="1">
      <alignment horizontal="left" vertical="center"/>
    </xf>
    <xf numFmtId="0" fontId="6" fillId="15" borderId="18" xfId="0" applyFont="1" applyFill="1" applyBorder="1" applyAlignment="1">
      <alignment horizontal="left" vertical="center"/>
    </xf>
    <xf numFmtId="0" fontId="6" fillId="15" borderId="18" xfId="0" applyFont="1" applyFill="1" applyBorder="1" applyAlignment="1">
      <alignment horizontal="left" vertical="center" wrapText="1"/>
    </xf>
    <xf numFmtId="0" fontId="6" fillId="15" borderId="18" xfId="0" applyFont="1" applyFill="1" applyBorder="1" applyAlignment="1">
      <alignment horizontal="center" vertical="center" wrapText="1"/>
    </xf>
    <xf numFmtId="165" fontId="6" fillId="15" borderId="18" xfId="0" applyNumberFormat="1" applyFont="1" applyFill="1" applyBorder="1" applyAlignment="1">
      <alignment horizontal="center" vertical="center" wrapText="1"/>
    </xf>
    <xf numFmtId="165" fontId="9" fillId="4" borderId="21" xfId="0" applyNumberFormat="1" applyFont="1" applyFill="1" applyBorder="1" applyAlignment="1">
      <alignment horizontal="center" vertical="center" wrapText="1"/>
    </xf>
    <xf numFmtId="2" fontId="12" fillId="4" borderId="5" xfId="0" applyNumberFormat="1" applyFont="1" applyFill="1" applyBorder="1"/>
    <xf numFmtId="0" fontId="12" fillId="4" borderId="0" xfId="0" applyFont="1" applyFill="1"/>
    <xf numFmtId="0" fontId="6" fillId="16" borderId="26" xfId="0" applyFont="1" applyFill="1" applyBorder="1" applyAlignment="1">
      <alignment horizontal="left" vertical="center"/>
    </xf>
    <xf numFmtId="0" fontId="6" fillId="16" borderId="18" xfId="0" applyFont="1" applyFill="1" applyBorder="1" applyAlignment="1">
      <alignment horizontal="left" vertical="center"/>
    </xf>
    <xf numFmtId="0" fontId="6" fillId="16" borderId="18" xfId="0" applyFont="1" applyFill="1" applyBorder="1" applyAlignment="1">
      <alignment horizontal="left" vertical="center" wrapText="1"/>
    </xf>
    <xf numFmtId="0" fontId="6" fillId="16" borderId="18" xfId="0" applyFont="1" applyFill="1" applyBorder="1" applyAlignment="1">
      <alignment horizontal="center" vertical="center" wrapText="1"/>
    </xf>
    <xf numFmtId="165" fontId="6" fillId="16" borderId="18" xfId="0" applyNumberFormat="1" applyFont="1" applyFill="1" applyBorder="1" applyAlignment="1">
      <alignment horizontal="center" vertical="center" wrapText="1"/>
    </xf>
    <xf numFmtId="165" fontId="9" fillId="17" borderId="21" xfId="0" applyNumberFormat="1" applyFont="1" applyFill="1" applyBorder="1" applyAlignment="1">
      <alignment horizontal="center" vertical="center" wrapText="1"/>
    </xf>
    <xf numFmtId="2" fontId="12" fillId="17" borderId="5" xfId="0" applyNumberFormat="1" applyFont="1" applyFill="1" applyBorder="1"/>
    <xf numFmtId="0" fontId="12" fillId="17" borderId="0" xfId="0" applyFont="1" applyFill="1"/>
    <xf numFmtId="0" fontId="6" fillId="18" borderId="26" xfId="0" applyFont="1" applyFill="1" applyBorder="1" applyAlignment="1">
      <alignment horizontal="left" vertical="center"/>
    </xf>
    <xf numFmtId="0" fontId="6" fillId="18" borderId="18" xfId="0" applyFont="1" applyFill="1" applyBorder="1" applyAlignment="1">
      <alignment horizontal="left" vertical="center"/>
    </xf>
    <xf numFmtId="0" fontId="6" fillId="18" borderId="18" xfId="0" applyFont="1" applyFill="1" applyBorder="1" applyAlignment="1">
      <alignment horizontal="left" vertical="center" wrapText="1"/>
    </xf>
    <xf numFmtId="0" fontId="6" fillId="18" borderId="18" xfId="0" applyFont="1" applyFill="1" applyBorder="1" applyAlignment="1">
      <alignment horizontal="center" vertical="center" wrapText="1"/>
    </xf>
    <xf numFmtId="165" fontId="6" fillId="18" borderId="18" xfId="0" applyNumberFormat="1" applyFont="1" applyFill="1" applyBorder="1" applyAlignment="1">
      <alignment horizontal="center" vertical="center" wrapText="1"/>
    </xf>
    <xf numFmtId="165" fontId="9" fillId="3" borderId="21" xfId="0" applyNumberFormat="1" applyFont="1" applyFill="1" applyBorder="1" applyAlignment="1">
      <alignment horizontal="center" vertical="center" wrapText="1"/>
    </xf>
    <xf numFmtId="2" fontId="12" fillId="3" borderId="5" xfId="0" applyNumberFormat="1" applyFont="1" applyFill="1" applyBorder="1"/>
    <xf numFmtId="0" fontId="12" fillId="3" borderId="0" xfId="0" applyFont="1" applyFill="1"/>
    <xf numFmtId="165" fontId="9" fillId="19" borderId="21" xfId="0" applyNumberFormat="1" applyFont="1" applyFill="1" applyBorder="1" applyAlignment="1">
      <alignment horizontal="center" vertical="center" wrapText="1"/>
    </xf>
    <xf numFmtId="2" fontId="12" fillId="19" borderId="5" xfId="0" applyNumberFormat="1" applyFont="1" applyFill="1" applyBorder="1"/>
    <xf numFmtId="0" fontId="12" fillId="19" borderId="0" xfId="0" applyFont="1" applyFill="1"/>
    <xf numFmtId="0" fontId="6" fillId="20" borderId="26" xfId="0" applyFont="1" applyFill="1" applyBorder="1" applyAlignment="1">
      <alignment horizontal="left" vertical="center"/>
    </xf>
    <xf numFmtId="0" fontId="6" fillId="20" borderId="18" xfId="0" applyFont="1" applyFill="1" applyBorder="1" applyAlignment="1">
      <alignment horizontal="left" vertical="center"/>
    </xf>
    <xf numFmtId="0" fontId="6" fillId="20" borderId="18" xfId="0" applyFont="1" applyFill="1" applyBorder="1" applyAlignment="1">
      <alignment horizontal="left" vertical="center" wrapText="1"/>
    </xf>
    <xf numFmtId="0" fontId="6" fillId="20" borderId="18" xfId="0" applyFont="1" applyFill="1" applyBorder="1" applyAlignment="1">
      <alignment horizontal="center" vertical="center" wrapText="1"/>
    </xf>
    <xf numFmtId="165" fontId="6" fillId="20" borderId="18" xfId="0" applyNumberFormat="1" applyFont="1" applyFill="1" applyBorder="1" applyAlignment="1">
      <alignment horizontal="center" vertical="center" wrapText="1"/>
    </xf>
    <xf numFmtId="165" fontId="9" fillId="21" borderId="21" xfId="0" applyNumberFormat="1" applyFont="1" applyFill="1" applyBorder="1" applyAlignment="1">
      <alignment horizontal="center" vertical="center" wrapText="1"/>
    </xf>
    <xf numFmtId="2" fontId="12" fillId="21" borderId="5" xfId="0" applyNumberFormat="1" applyFont="1" applyFill="1" applyBorder="1"/>
    <xf numFmtId="0" fontId="12" fillId="21" borderId="0" xfId="0" applyFont="1" applyFill="1"/>
    <xf numFmtId="0" fontId="6" fillId="12" borderId="26" xfId="0" applyFont="1" applyFill="1" applyBorder="1" applyAlignment="1">
      <alignment horizontal="left" vertical="center"/>
    </xf>
    <xf numFmtId="0" fontId="6" fillId="12" borderId="18" xfId="0" applyFont="1" applyFill="1" applyBorder="1" applyAlignment="1">
      <alignment horizontal="left" vertical="center"/>
    </xf>
    <xf numFmtId="0" fontId="6" fillId="12" borderId="18" xfId="0" applyFont="1" applyFill="1" applyBorder="1" applyAlignment="1">
      <alignment horizontal="left" vertical="center" wrapText="1"/>
    </xf>
    <xf numFmtId="0" fontId="6" fillId="12" borderId="18" xfId="0" applyFont="1" applyFill="1" applyBorder="1" applyAlignment="1">
      <alignment horizontal="center" vertical="center" wrapText="1"/>
    </xf>
    <xf numFmtId="165" fontId="6" fillId="12" borderId="18" xfId="0" applyNumberFormat="1" applyFont="1" applyFill="1" applyBorder="1" applyAlignment="1">
      <alignment horizontal="center" vertical="center" wrapText="1"/>
    </xf>
    <xf numFmtId="0" fontId="6" fillId="19" borderId="26" xfId="0" applyFont="1" applyFill="1" applyBorder="1" applyAlignment="1">
      <alignment horizontal="left" vertical="center"/>
    </xf>
    <xf numFmtId="0" fontId="6" fillId="19" borderId="18" xfId="0" applyFont="1" applyFill="1" applyBorder="1" applyAlignment="1">
      <alignment horizontal="left" vertical="center"/>
    </xf>
    <xf numFmtId="0" fontId="6" fillId="19" borderId="18" xfId="0" applyFont="1" applyFill="1" applyBorder="1" applyAlignment="1">
      <alignment horizontal="left" vertical="center" wrapText="1"/>
    </xf>
    <xf numFmtId="0" fontId="6" fillId="19" borderId="18" xfId="0" applyFont="1" applyFill="1" applyBorder="1" applyAlignment="1">
      <alignment horizontal="center" vertical="center" wrapText="1"/>
    </xf>
    <xf numFmtId="165" fontId="6" fillId="19" borderId="18" xfId="0" applyNumberFormat="1" applyFont="1" applyFill="1" applyBorder="1" applyAlignment="1">
      <alignment horizontal="center" vertical="center" wrapText="1"/>
    </xf>
    <xf numFmtId="0" fontId="12" fillId="0" borderId="5" xfId="0" applyFont="1" applyBorder="1"/>
    <xf numFmtId="0" fontId="12" fillId="0" borderId="0" xfId="0" applyFont="1" applyFill="1"/>
    <xf numFmtId="164" fontId="12" fillId="0" borderId="5" xfId="0" applyNumberFormat="1" applyFont="1" applyBorder="1"/>
    <xf numFmtId="164" fontId="12" fillId="14" borderId="5" xfId="0" applyNumberFormat="1" applyFont="1" applyFill="1" applyBorder="1"/>
    <xf numFmtId="164" fontId="12" fillId="19" borderId="5" xfId="0" applyNumberFormat="1" applyFont="1" applyFill="1" applyBorder="1"/>
    <xf numFmtId="164" fontId="12" fillId="21" borderId="5" xfId="0" applyNumberFormat="1" applyFont="1" applyFill="1" applyBorder="1"/>
    <xf numFmtId="164" fontId="12" fillId="12" borderId="5" xfId="0" applyNumberFormat="1" applyFont="1" applyFill="1" applyBorder="1"/>
    <xf numFmtId="164" fontId="12" fillId="4" borderId="5" xfId="0" applyNumberFormat="1" applyFont="1" applyFill="1" applyBorder="1"/>
    <xf numFmtId="164" fontId="12" fillId="3" borderId="5" xfId="0" applyNumberFormat="1" applyFont="1" applyFill="1" applyBorder="1"/>
    <xf numFmtId="164" fontId="12" fillId="17" borderId="5" xfId="0" applyNumberFormat="1" applyFont="1" applyFill="1" applyBorder="1"/>
    <xf numFmtId="164" fontId="12" fillId="22" borderId="5" xfId="0" applyNumberFormat="1" applyFont="1" applyFill="1" applyBorder="1"/>
    <xf numFmtId="0" fontId="20" fillId="0" borderId="0" xfId="2" applyFont="1" applyFill="1" applyBorder="1" applyAlignment="1">
      <alignment vertical="center"/>
    </xf>
    <xf numFmtId="0" fontId="20" fillId="0" borderId="0" xfId="2" applyFont="1" applyFill="1" applyBorder="1" applyAlignment="1">
      <alignment vertical="center" wrapText="1"/>
    </xf>
    <xf numFmtId="0" fontId="20" fillId="0" borderId="16" xfId="2" applyFont="1" applyFill="1" applyBorder="1" applyAlignment="1">
      <alignment vertical="center" wrapText="1"/>
    </xf>
    <xf numFmtId="0" fontId="20" fillId="0" borderId="20" xfId="2" applyFont="1" applyFill="1" applyBorder="1" applyAlignment="1">
      <alignment vertical="center" wrapText="1"/>
    </xf>
    <xf numFmtId="0" fontId="20" fillId="0" borderId="18" xfId="2" applyFont="1" applyFill="1" applyBorder="1" applyAlignment="1">
      <alignment vertical="center" wrapText="1"/>
    </xf>
    <xf numFmtId="3" fontId="10" fillId="0" borderId="20" xfId="2" applyNumberFormat="1" applyFont="1" applyFill="1" applyBorder="1" applyAlignment="1">
      <alignment vertical="center" shrinkToFit="1"/>
    </xf>
    <xf numFmtId="164" fontId="10" fillId="0" borderId="20" xfId="2" applyNumberFormat="1" applyFont="1" applyFill="1" applyBorder="1" applyAlignment="1">
      <alignment vertical="center" shrinkToFit="1"/>
    </xf>
    <xf numFmtId="0" fontId="22" fillId="0" borderId="20" xfId="2" applyFont="1" applyFill="1" applyBorder="1" applyAlignment="1">
      <alignment vertical="center" wrapText="1"/>
    </xf>
    <xf numFmtId="3" fontId="10" fillId="0" borderId="16" xfId="2" applyNumberFormat="1" applyFont="1" applyFill="1" applyBorder="1" applyAlignment="1">
      <alignment vertical="center" shrinkToFit="1"/>
    </xf>
    <xf numFmtId="164" fontId="10" fillId="0" borderId="16" xfId="2" applyNumberFormat="1" applyFont="1" applyFill="1" applyBorder="1" applyAlignment="1">
      <alignment vertical="center" shrinkToFit="1"/>
    </xf>
    <xf numFmtId="0" fontId="22" fillId="0" borderId="16" xfId="2" applyFont="1" applyFill="1" applyBorder="1" applyAlignment="1">
      <alignment vertical="center" wrapText="1"/>
    </xf>
    <xf numFmtId="3" fontId="10" fillId="0" borderId="18" xfId="2" applyNumberFormat="1" applyFont="1" applyFill="1" applyBorder="1" applyAlignment="1">
      <alignment vertical="center" shrinkToFit="1"/>
    </xf>
    <xf numFmtId="164" fontId="10" fillId="0" borderId="18" xfId="2" applyNumberFormat="1" applyFont="1" applyFill="1" applyBorder="1" applyAlignment="1">
      <alignment vertical="center" shrinkToFit="1"/>
    </xf>
    <xf numFmtId="0" fontId="22" fillId="0" borderId="18" xfId="2" applyFont="1" applyFill="1" applyBorder="1" applyAlignment="1">
      <alignment vertical="center" wrapText="1"/>
    </xf>
    <xf numFmtId="164" fontId="10" fillId="2" borderId="18" xfId="2" applyNumberFormat="1" applyFont="1" applyFill="1" applyBorder="1" applyAlignment="1">
      <alignment vertical="center" shrinkToFit="1"/>
    </xf>
    <xf numFmtId="164" fontId="10" fillId="2" borderId="16" xfId="2" applyNumberFormat="1" applyFont="1" applyFill="1" applyBorder="1" applyAlignment="1">
      <alignment vertical="center" shrinkToFit="1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horizontal="center" vertical="center" wrapText="1"/>
    </xf>
    <xf numFmtId="0" fontId="10" fillId="0" borderId="14" xfId="2" applyFont="1" applyFill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left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center" wrapText="1"/>
    </xf>
    <xf numFmtId="0" fontId="21" fillId="13" borderId="5" xfId="0" applyFont="1" applyFill="1" applyBorder="1" applyAlignment="1">
      <alignment horizontal="left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left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left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left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5" borderId="5" xfId="0" applyFont="1" applyFill="1" applyBorder="1" applyAlignment="1">
      <alignment horizontal="left" vertical="center" wrapText="1"/>
    </xf>
    <xf numFmtId="0" fontId="21" fillId="1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left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left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2" fontId="23" fillId="12" borderId="5" xfId="0" applyNumberFormat="1" applyFont="1" applyFill="1" applyBorder="1"/>
    <xf numFmtId="2" fontId="23" fillId="14" borderId="5" xfId="0" applyNumberFormat="1" applyFont="1" applyFill="1" applyBorder="1"/>
    <xf numFmtId="2" fontId="23" fillId="19" borderId="5" xfId="0" applyNumberFormat="1" applyFont="1" applyFill="1" applyBorder="1"/>
    <xf numFmtId="2" fontId="23" fillId="21" borderId="5" xfId="0" applyNumberFormat="1" applyFont="1" applyFill="1" applyBorder="1"/>
    <xf numFmtId="2" fontId="23" fillId="4" borderId="5" xfId="0" applyNumberFormat="1" applyFont="1" applyFill="1" applyBorder="1"/>
    <xf numFmtId="2" fontId="23" fillId="3" borderId="5" xfId="0" applyNumberFormat="1" applyFont="1" applyFill="1" applyBorder="1"/>
    <xf numFmtId="2" fontId="23" fillId="17" borderId="5" xfId="0" applyNumberFormat="1" applyFont="1" applyFill="1" applyBorder="1"/>
    <xf numFmtId="2" fontId="12" fillId="0" borderId="0" xfId="0" applyNumberFormat="1" applyFont="1" applyBorder="1"/>
    <xf numFmtId="0" fontId="6" fillId="0" borderId="7" xfId="0" applyFont="1" applyBorder="1" applyAlignment="1">
      <alignment horizontal="center" vertical="center" wrapText="1"/>
    </xf>
    <xf numFmtId="164" fontId="13" fillId="10" borderId="5" xfId="0" applyNumberFormat="1" applyFont="1" applyFill="1" applyBorder="1" applyAlignment="1">
      <alignment horizontal="center" vertical="center"/>
    </xf>
    <xf numFmtId="0" fontId="6" fillId="0" borderId="29" xfId="0" applyFont="1" applyBorder="1" applyAlignment="1">
      <alignment horizontal="center" vertical="center" wrapText="1"/>
    </xf>
    <xf numFmtId="0" fontId="20" fillId="0" borderId="20" xfId="2" applyFont="1" applyFill="1" applyBorder="1" applyAlignment="1">
      <alignment horizontal="center" vertical="center" wrapText="1"/>
    </xf>
    <xf numFmtId="0" fontId="20" fillId="0" borderId="18" xfId="2" applyFont="1" applyFill="1" applyBorder="1" applyAlignment="1">
      <alignment horizontal="center" vertical="center" wrapText="1"/>
    </xf>
    <xf numFmtId="0" fontId="20" fillId="0" borderId="0" xfId="2" applyFont="1" applyFill="1" applyBorder="1" applyAlignment="1">
      <alignment horizontal="center" vertical="center"/>
    </xf>
    <xf numFmtId="2" fontId="23" fillId="0" borderId="5" xfId="0" applyNumberFormat="1" applyFont="1" applyBorder="1" applyAlignment="1">
      <alignment horizontal="center" vertical="center"/>
    </xf>
    <xf numFmtId="1" fontId="19" fillId="10" borderId="5" xfId="0" applyNumberFormat="1" applyFont="1" applyFill="1" applyBorder="1" applyAlignment="1">
      <alignment horizontal="center" vertical="center"/>
    </xf>
    <xf numFmtId="0" fontId="12" fillId="0" borderId="5" xfId="0" applyFont="1" applyFill="1" applyBorder="1"/>
    <xf numFmtId="164" fontId="20" fillId="0" borderId="0" xfId="2" applyNumberFormat="1" applyFont="1" applyFill="1" applyBorder="1" applyAlignment="1">
      <alignment vertical="center"/>
    </xf>
    <xf numFmtId="0" fontId="24" fillId="9" borderId="5" xfId="0" applyFont="1" applyFill="1" applyBorder="1" applyAlignment="1">
      <alignment horizontal="center" vertical="center" wrapText="1"/>
    </xf>
    <xf numFmtId="0" fontId="3" fillId="0" borderId="0" xfId="2" applyFont="1" applyFill="1" applyBorder="1" applyAlignment="1">
      <alignment vertical="center"/>
    </xf>
    <xf numFmtId="164" fontId="12" fillId="0" borderId="0" xfId="0" applyNumberFormat="1" applyFont="1" applyFill="1"/>
    <xf numFmtId="0" fontId="10" fillId="0" borderId="0" xfId="0" applyNumberFormat="1" applyFont="1" applyFill="1" applyBorder="1" applyAlignment="1" applyProtection="1">
      <alignment horizontal="center" vertical="center"/>
    </xf>
    <xf numFmtId="3" fontId="25" fillId="0" borderId="19" xfId="0" applyNumberFormat="1" applyFont="1" applyFill="1" applyBorder="1" applyAlignment="1" applyProtection="1">
      <alignment vertical="center" shrinkToFit="1"/>
    </xf>
    <xf numFmtId="0" fontId="26" fillId="0" borderId="33" xfId="0" applyNumberFormat="1" applyFont="1" applyFill="1" applyBorder="1" applyAlignment="1" applyProtection="1">
      <alignment vertical="center" wrapText="1"/>
    </xf>
    <xf numFmtId="0" fontId="26" fillId="0" borderId="18" xfId="0" applyNumberFormat="1" applyFont="1" applyFill="1" applyBorder="1" applyAlignment="1" applyProtection="1">
      <alignment vertical="center" wrapText="1"/>
    </xf>
    <xf numFmtId="0" fontId="26" fillId="0" borderId="0" xfId="0" applyNumberFormat="1" applyFont="1" applyFill="1" applyBorder="1" applyAlignment="1" applyProtection="1">
      <alignment vertical="center" wrapText="1"/>
    </xf>
    <xf numFmtId="164" fontId="25" fillId="0" borderId="19" xfId="0" applyNumberFormat="1" applyFont="1" applyFill="1" applyBorder="1" applyAlignment="1" applyProtection="1">
      <alignment vertical="center" shrinkToFit="1"/>
    </xf>
    <xf numFmtId="0" fontId="27" fillId="0" borderId="19" xfId="0" applyNumberFormat="1" applyFont="1" applyFill="1" applyBorder="1" applyAlignment="1" applyProtection="1">
      <alignment vertical="center" wrapText="1"/>
    </xf>
    <xf numFmtId="0" fontId="26" fillId="0" borderId="19" xfId="0" applyNumberFormat="1" applyFont="1" applyFill="1" applyBorder="1" applyAlignment="1" applyProtection="1">
      <alignment vertical="center" wrapText="1"/>
    </xf>
    <xf numFmtId="49" fontId="28" fillId="0" borderId="5" xfId="0" applyNumberFormat="1" applyFont="1" applyBorder="1" applyAlignment="1">
      <alignment horizontal="center" vertical="center"/>
    </xf>
    <xf numFmtId="0" fontId="28" fillId="0" borderId="5" xfId="0" applyFont="1" applyBorder="1" applyAlignment="1">
      <alignment horizontal="left" vertical="center"/>
    </xf>
    <xf numFmtId="2" fontId="28" fillId="0" borderId="5" xfId="0" applyNumberFormat="1" applyFont="1" applyBorder="1" applyAlignment="1">
      <alignment horizontal="center" vertical="center"/>
    </xf>
    <xf numFmtId="0" fontId="29" fillId="0" borderId="5" xfId="0" applyFont="1" applyBorder="1"/>
    <xf numFmtId="0" fontId="29" fillId="0" borderId="0" xfId="0" applyFont="1"/>
    <xf numFmtId="0" fontId="30" fillId="0" borderId="5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30" fillId="9" borderId="5" xfId="0" applyFont="1" applyFill="1" applyBorder="1" applyAlignment="1">
      <alignment horizontal="left" vertical="center" wrapText="1"/>
    </xf>
    <xf numFmtId="0" fontId="30" fillId="9" borderId="18" xfId="0" applyFont="1" applyFill="1" applyBorder="1" applyAlignment="1">
      <alignment horizontal="center" vertical="center" wrapText="1"/>
    </xf>
    <xf numFmtId="0" fontId="30" fillId="9" borderId="5" xfId="0" applyFont="1" applyFill="1" applyBorder="1" applyAlignment="1">
      <alignment horizontal="center" vertical="center" wrapText="1"/>
    </xf>
    <xf numFmtId="164" fontId="28" fillId="0" borderId="5" xfId="0" applyNumberFormat="1" applyFont="1" applyBorder="1" applyAlignment="1">
      <alignment horizontal="right" vertical="center"/>
    </xf>
    <xf numFmtId="0" fontId="30" fillId="0" borderId="5" xfId="0" applyFont="1" applyBorder="1" applyAlignment="1">
      <alignment horizontal="left" vertical="center" wrapText="1"/>
    </xf>
    <xf numFmtId="0" fontId="30" fillId="15" borderId="5" xfId="0" applyFont="1" applyFill="1" applyBorder="1" applyAlignment="1">
      <alignment horizontal="left" vertical="center" wrapText="1"/>
    </xf>
    <xf numFmtId="0" fontId="30" fillId="15" borderId="5" xfId="0" applyFont="1" applyFill="1" applyBorder="1" applyAlignment="1">
      <alignment horizontal="center" vertical="center" wrapText="1"/>
    </xf>
    <xf numFmtId="0" fontId="30" fillId="18" borderId="5" xfId="0" applyFont="1" applyFill="1" applyBorder="1" applyAlignment="1">
      <alignment horizontal="left" vertical="center" wrapText="1"/>
    </xf>
    <xf numFmtId="0" fontId="30" fillId="18" borderId="5" xfId="0" applyFont="1" applyFill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/>
    </xf>
    <xf numFmtId="49" fontId="31" fillId="0" borderId="5" xfId="0" applyNumberFormat="1" applyFont="1" applyBorder="1" applyAlignment="1">
      <alignment horizontal="center" vertical="center"/>
    </xf>
    <xf numFmtId="2" fontId="29" fillId="0" borderId="5" xfId="0" applyNumberFormat="1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2" fontId="29" fillId="0" borderId="5" xfId="0" applyNumberFormat="1" applyFont="1" applyBorder="1" applyAlignment="1">
      <alignment horizontal="center" vertical="center"/>
    </xf>
    <xf numFmtId="164" fontId="29" fillId="0" borderId="5" xfId="0" applyNumberFormat="1" applyFont="1" applyBorder="1" applyAlignment="1">
      <alignment horizontal="center" vertical="center"/>
    </xf>
    <xf numFmtId="164" fontId="29" fillId="0" borderId="6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0" borderId="11" xfId="0" applyFont="1" applyBorder="1" applyAlignment="1">
      <alignment horizontal="right" vertical="center"/>
    </xf>
    <xf numFmtId="164" fontId="29" fillId="0" borderId="11" xfId="0" applyNumberFormat="1" applyFont="1" applyBorder="1" applyAlignment="1">
      <alignment horizontal="center" vertical="center"/>
    </xf>
    <xf numFmtId="164" fontId="29" fillId="0" borderId="13" xfId="0" applyNumberFormat="1" applyFont="1" applyBorder="1" applyAlignment="1">
      <alignment horizontal="center" vertical="center"/>
    </xf>
    <xf numFmtId="0" fontId="30" fillId="20" borderId="5" xfId="0" applyFont="1" applyFill="1" applyBorder="1" applyAlignment="1">
      <alignment horizontal="left" vertical="center" wrapText="1"/>
    </xf>
    <xf numFmtId="0" fontId="30" fillId="20" borderId="5" xfId="0" applyFont="1" applyFill="1" applyBorder="1" applyAlignment="1">
      <alignment horizontal="center" vertical="center" wrapText="1"/>
    </xf>
    <xf numFmtId="0" fontId="30" fillId="12" borderId="5" xfId="0" applyFont="1" applyFill="1" applyBorder="1" applyAlignment="1">
      <alignment horizontal="left" vertical="center" wrapText="1"/>
    </xf>
    <xf numFmtId="0" fontId="30" fillId="12" borderId="5" xfId="0" applyFont="1" applyFill="1" applyBorder="1" applyAlignment="1">
      <alignment horizontal="center" vertical="center" wrapText="1"/>
    </xf>
    <xf numFmtId="0" fontId="30" fillId="13" borderId="5" xfId="0" applyFont="1" applyFill="1" applyBorder="1" applyAlignment="1">
      <alignment horizontal="left" vertical="center" wrapText="1"/>
    </xf>
    <xf numFmtId="0" fontId="30" fillId="13" borderId="5" xfId="0" applyFont="1" applyFill="1" applyBorder="1" applyAlignment="1">
      <alignment horizontal="center" vertical="center" wrapText="1"/>
    </xf>
    <xf numFmtId="0" fontId="30" fillId="16" borderId="5" xfId="0" applyFont="1" applyFill="1" applyBorder="1" applyAlignment="1">
      <alignment horizontal="left" vertical="center" wrapText="1"/>
    </xf>
    <xf numFmtId="0" fontId="30" fillId="16" borderId="5" xfId="0" applyFont="1" applyFill="1" applyBorder="1" applyAlignment="1">
      <alignment horizontal="center" vertical="center" wrapText="1"/>
    </xf>
    <xf numFmtId="0" fontId="30" fillId="19" borderId="5" xfId="0" applyFont="1" applyFill="1" applyBorder="1" applyAlignment="1">
      <alignment horizontal="left" vertical="center" wrapText="1"/>
    </xf>
    <xf numFmtId="0" fontId="30" fillId="19" borderId="5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right" vertical="center"/>
    </xf>
    <xf numFmtId="164" fontId="29" fillId="0" borderId="2" xfId="0" applyNumberFormat="1" applyFont="1" applyBorder="1" applyAlignment="1">
      <alignment horizontal="center" vertical="center"/>
    </xf>
    <xf numFmtId="164" fontId="29" fillId="0" borderId="3" xfId="0" applyNumberFormat="1" applyFont="1" applyBorder="1" applyAlignment="1">
      <alignment horizontal="center" vertical="center"/>
    </xf>
    <xf numFmtId="0" fontId="29" fillId="23" borderId="4" xfId="0" applyFont="1" applyFill="1" applyBorder="1" applyAlignment="1">
      <alignment horizontal="center" vertical="center"/>
    </xf>
    <xf numFmtId="49" fontId="31" fillId="23" borderId="5" xfId="0" applyNumberFormat="1" applyFont="1" applyFill="1" applyBorder="1" applyAlignment="1">
      <alignment horizontal="center" vertical="center"/>
    </xf>
    <xf numFmtId="2" fontId="29" fillId="23" borderId="5" xfId="0" applyNumberFormat="1" applyFont="1" applyFill="1" applyBorder="1" applyAlignment="1">
      <alignment horizontal="center" vertical="center" wrapText="1"/>
    </xf>
    <xf numFmtId="0" fontId="29" fillId="23" borderId="5" xfId="0" applyFont="1" applyFill="1" applyBorder="1" applyAlignment="1">
      <alignment horizontal="center" vertical="center" wrapText="1"/>
    </xf>
    <xf numFmtId="0" fontId="29" fillId="23" borderId="6" xfId="0" applyFont="1" applyFill="1" applyBorder="1" applyAlignment="1">
      <alignment horizontal="center" vertical="center"/>
    </xf>
    <xf numFmtId="0" fontId="31" fillId="23" borderId="5" xfId="0" applyFont="1" applyFill="1" applyBorder="1" applyAlignment="1">
      <alignment horizontal="center" vertical="center"/>
    </xf>
    <xf numFmtId="2" fontId="29" fillId="23" borderId="5" xfId="0" applyNumberFormat="1" applyFont="1" applyFill="1" applyBorder="1" applyAlignment="1">
      <alignment horizontal="center" vertical="center"/>
    </xf>
    <xf numFmtId="2" fontId="29" fillId="23" borderId="6" xfId="0" applyNumberFormat="1" applyFont="1" applyFill="1" applyBorder="1" applyAlignment="1">
      <alignment horizontal="center" vertical="center"/>
    </xf>
    <xf numFmtId="164" fontId="29" fillId="23" borderId="5" xfId="0" applyNumberFormat="1" applyFont="1" applyFill="1" applyBorder="1" applyAlignment="1">
      <alignment horizontal="center" vertical="center"/>
    </xf>
    <xf numFmtId="164" fontId="29" fillId="23" borderId="6" xfId="0" applyNumberFormat="1" applyFont="1" applyFill="1" applyBorder="1" applyAlignment="1">
      <alignment horizontal="center" vertical="center"/>
    </xf>
    <xf numFmtId="0" fontId="29" fillId="23" borderId="1" xfId="0" applyFont="1" applyFill="1" applyBorder="1" applyAlignment="1">
      <alignment horizontal="center" vertical="center"/>
    </xf>
    <xf numFmtId="0" fontId="31" fillId="23" borderId="2" xfId="0" applyFont="1" applyFill="1" applyBorder="1" applyAlignment="1">
      <alignment horizontal="center" vertical="center"/>
    </xf>
    <xf numFmtId="164" fontId="29" fillId="23" borderId="2" xfId="0" applyNumberFormat="1" applyFont="1" applyFill="1" applyBorder="1" applyAlignment="1">
      <alignment horizontal="center" vertical="center"/>
    </xf>
    <xf numFmtId="164" fontId="29" fillId="23" borderId="3" xfId="0" applyNumberFormat="1" applyFont="1" applyFill="1" applyBorder="1" applyAlignment="1">
      <alignment horizontal="center" vertical="center"/>
    </xf>
    <xf numFmtId="0" fontId="29" fillId="24" borderId="4" xfId="0" applyFont="1" applyFill="1" applyBorder="1" applyAlignment="1">
      <alignment horizontal="center" vertical="center"/>
    </xf>
    <xf numFmtId="49" fontId="31" fillId="24" borderId="5" xfId="0" applyNumberFormat="1" applyFont="1" applyFill="1" applyBorder="1" applyAlignment="1">
      <alignment horizontal="center" vertical="center"/>
    </xf>
    <xf numFmtId="2" fontId="29" fillId="24" borderId="5" xfId="0" applyNumberFormat="1" applyFont="1" applyFill="1" applyBorder="1" applyAlignment="1">
      <alignment horizontal="center" vertical="center" wrapText="1"/>
    </xf>
    <xf numFmtId="0" fontId="29" fillId="24" borderId="5" xfId="0" applyFont="1" applyFill="1" applyBorder="1" applyAlignment="1">
      <alignment horizontal="center" vertical="center" wrapText="1"/>
    </xf>
    <xf numFmtId="0" fontId="29" fillId="24" borderId="6" xfId="0" applyFont="1" applyFill="1" applyBorder="1" applyAlignment="1">
      <alignment horizontal="center" vertical="center"/>
    </xf>
    <xf numFmtId="0" fontId="31" fillId="24" borderId="5" xfId="0" applyFont="1" applyFill="1" applyBorder="1" applyAlignment="1">
      <alignment horizontal="center" vertical="center"/>
    </xf>
    <xf numFmtId="2" fontId="29" fillId="24" borderId="5" xfId="0" applyNumberFormat="1" applyFont="1" applyFill="1" applyBorder="1" applyAlignment="1">
      <alignment horizontal="center" vertical="center"/>
    </xf>
    <xf numFmtId="164" fontId="29" fillId="24" borderId="5" xfId="0" applyNumberFormat="1" applyFont="1" applyFill="1" applyBorder="1" applyAlignment="1">
      <alignment horizontal="center" vertical="center"/>
    </xf>
    <xf numFmtId="164" fontId="29" fillId="24" borderId="6" xfId="0" applyNumberFormat="1" applyFont="1" applyFill="1" applyBorder="1" applyAlignment="1">
      <alignment horizontal="center" vertical="center"/>
    </xf>
    <xf numFmtId="0" fontId="29" fillId="24" borderId="12" xfId="0" applyFont="1" applyFill="1" applyBorder="1" applyAlignment="1">
      <alignment horizontal="center" vertical="center"/>
    </xf>
    <xf numFmtId="0" fontId="29" fillId="24" borderId="11" xfId="0" applyFont="1" applyFill="1" applyBorder="1" applyAlignment="1">
      <alignment horizontal="right" vertical="center"/>
    </xf>
    <xf numFmtId="164" fontId="29" fillId="24" borderId="11" xfId="0" applyNumberFormat="1" applyFont="1" applyFill="1" applyBorder="1" applyAlignment="1">
      <alignment horizontal="center" vertical="center"/>
    </xf>
    <xf numFmtId="2" fontId="29" fillId="24" borderId="6" xfId="0" applyNumberFormat="1" applyFont="1" applyFill="1" applyBorder="1" applyAlignment="1">
      <alignment horizontal="center" vertical="center"/>
    </xf>
    <xf numFmtId="2" fontId="29" fillId="24" borderId="11" xfId="0" applyNumberFormat="1" applyFont="1" applyFill="1" applyBorder="1" applyAlignment="1">
      <alignment horizontal="center" vertical="center"/>
    </xf>
    <xf numFmtId="0" fontId="29" fillId="23" borderId="0" xfId="0" applyFont="1" applyFill="1"/>
    <xf numFmtId="0" fontId="29" fillId="23" borderId="12" xfId="0" applyFont="1" applyFill="1" applyBorder="1" applyAlignment="1">
      <alignment horizontal="center" vertical="center"/>
    </xf>
    <xf numFmtId="0" fontId="29" fillId="23" borderId="11" xfId="0" applyFont="1" applyFill="1" applyBorder="1" applyAlignment="1">
      <alignment horizontal="right" vertical="center"/>
    </xf>
    <xf numFmtId="164" fontId="29" fillId="23" borderId="11" xfId="0" applyNumberFormat="1" applyFont="1" applyFill="1" applyBorder="1" applyAlignment="1">
      <alignment horizontal="center" vertical="center"/>
    </xf>
    <xf numFmtId="164" fontId="29" fillId="23" borderId="13" xfId="0" applyNumberFormat="1" applyFont="1" applyFill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9" fillId="0" borderId="5" xfId="0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49" fontId="31" fillId="0" borderId="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9" fillId="24" borderId="8" xfId="0" applyFont="1" applyFill="1" applyBorder="1" applyAlignment="1">
      <alignment horizontal="center" vertical="center"/>
    </xf>
    <xf numFmtId="0" fontId="29" fillId="24" borderId="9" xfId="0" applyFont="1" applyFill="1" applyBorder="1" applyAlignment="1">
      <alignment horizontal="center" vertical="center"/>
    </xf>
    <xf numFmtId="0" fontId="29" fillId="24" borderId="10" xfId="0" applyFont="1" applyFill="1" applyBorder="1" applyAlignment="1">
      <alignment horizontal="center" vertical="center"/>
    </xf>
    <xf numFmtId="0" fontId="29" fillId="24" borderId="4" xfId="0" applyFont="1" applyFill="1" applyBorder="1" applyAlignment="1">
      <alignment horizontal="center" vertical="center" wrapText="1"/>
    </xf>
    <xf numFmtId="0" fontId="29" fillId="24" borderId="5" xfId="0" applyFont="1" applyFill="1" applyBorder="1" applyAlignment="1">
      <alignment horizontal="center" vertical="center" wrapText="1"/>
    </xf>
    <xf numFmtId="0" fontId="29" fillId="24" borderId="6" xfId="0" applyFont="1" applyFill="1" applyBorder="1" applyAlignment="1">
      <alignment horizontal="center" vertical="center" wrapText="1"/>
    </xf>
    <xf numFmtId="0" fontId="28" fillId="23" borderId="8" xfId="0" applyFont="1" applyFill="1" applyBorder="1" applyAlignment="1">
      <alignment horizontal="center" vertical="center"/>
    </xf>
    <xf numFmtId="0" fontId="28" fillId="23" borderId="9" xfId="0" applyFont="1" applyFill="1" applyBorder="1" applyAlignment="1">
      <alignment horizontal="center" vertical="center"/>
    </xf>
    <xf numFmtId="0" fontId="28" fillId="23" borderId="10" xfId="0" applyFont="1" applyFill="1" applyBorder="1" applyAlignment="1">
      <alignment horizontal="center" vertical="center"/>
    </xf>
    <xf numFmtId="0" fontId="28" fillId="23" borderId="4" xfId="0" applyFont="1" applyFill="1" applyBorder="1" applyAlignment="1">
      <alignment horizontal="center" vertical="center" wrapText="1"/>
    </xf>
    <xf numFmtId="0" fontId="28" fillId="23" borderId="5" xfId="0" applyFont="1" applyFill="1" applyBorder="1" applyAlignment="1">
      <alignment horizontal="center" vertical="center" wrapText="1"/>
    </xf>
    <xf numFmtId="0" fontId="28" fillId="23" borderId="6" xfId="0" applyFont="1" applyFill="1" applyBorder="1" applyAlignment="1">
      <alignment horizontal="center" vertical="center" wrapText="1"/>
    </xf>
    <xf numFmtId="0" fontId="28" fillId="24" borderId="8" xfId="0" applyFont="1" applyFill="1" applyBorder="1" applyAlignment="1">
      <alignment horizontal="center" vertical="center"/>
    </xf>
    <xf numFmtId="0" fontId="28" fillId="24" borderId="9" xfId="0" applyFont="1" applyFill="1" applyBorder="1" applyAlignment="1">
      <alignment horizontal="center" vertical="center"/>
    </xf>
    <xf numFmtId="0" fontId="28" fillId="24" borderId="10" xfId="0" applyFont="1" applyFill="1" applyBorder="1" applyAlignment="1">
      <alignment horizontal="center" vertical="center"/>
    </xf>
    <xf numFmtId="0" fontId="28" fillId="24" borderId="4" xfId="0" applyFont="1" applyFill="1" applyBorder="1" applyAlignment="1">
      <alignment horizontal="center" vertical="center" wrapText="1"/>
    </xf>
    <xf numFmtId="0" fontId="28" fillId="24" borderId="5" xfId="0" applyFont="1" applyFill="1" applyBorder="1" applyAlignment="1">
      <alignment horizontal="center" vertical="center" wrapText="1"/>
    </xf>
    <xf numFmtId="0" fontId="28" fillId="24" borderId="6" xfId="0" applyFont="1" applyFill="1" applyBorder="1" applyAlignment="1">
      <alignment horizontal="center" vertical="center" wrapText="1"/>
    </xf>
    <xf numFmtId="0" fontId="29" fillId="23" borderId="8" xfId="0" applyFont="1" applyFill="1" applyBorder="1" applyAlignment="1">
      <alignment horizontal="center" vertical="center"/>
    </xf>
    <xf numFmtId="0" fontId="29" fillId="23" borderId="9" xfId="0" applyFont="1" applyFill="1" applyBorder="1" applyAlignment="1">
      <alignment horizontal="center" vertical="center"/>
    </xf>
    <xf numFmtId="0" fontId="29" fillId="23" borderId="10" xfId="0" applyFont="1" applyFill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22" fillId="0" borderId="16" xfId="2" applyFont="1" applyFill="1" applyBorder="1" applyAlignment="1">
      <alignment vertical="center" wrapText="1"/>
    </xf>
    <xf numFmtId="0" fontId="22" fillId="0" borderId="17" xfId="2" applyFont="1" applyFill="1" applyBorder="1" applyAlignment="1">
      <alignment vertical="center" wrapText="1"/>
    </xf>
    <xf numFmtId="0" fontId="20" fillId="0" borderId="16" xfId="2" applyFont="1" applyFill="1" applyBorder="1" applyAlignment="1">
      <alignment vertical="center" wrapText="1"/>
    </xf>
    <xf numFmtId="0" fontId="20" fillId="0" borderId="17" xfId="2" applyFont="1" applyFill="1" applyBorder="1" applyAlignment="1">
      <alignment vertical="center" wrapText="1"/>
    </xf>
    <xf numFmtId="0" fontId="20" fillId="0" borderId="17" xfId="2" applyFont="1" applyFill="1" applyBorder="1" applyAlignment="1">
      <alignment horizontal="center" vertical="center" wrapText="1"/>
    </xf>
    <xf numFmtId="0" fontId="20" fillId="0" borderId="18" xfId="2" applyFont="1" applyFill="1" applyBorder="1" applyAlignment="1">
      <alignment vertical="center" wrapText="1"/>
    </xf>
    <xf numFmtId="0" fontId="20" fillId="0" borderId="19" xfId="2" applyFont="1" applyFill="1" applyBorder="1" applyAlignment="1">
      <alignment vertical="center" wrapText="1"/>
    </xf>
    <xf numFmtId="0" fontId="20" fillId="0" borderId="20" xfId="2" applyFont="1" applyFill="1" applyBorder="1" applyAlignment="1">
      <alignment vertical="center" wrapText="1"/>
    </xf>
    <xf numFmtId="0" fontId="22" fillId="0" borderId="18" xfId="2" applyFont="1" applyFill="1" applyBorder="1" applyAlignment="1">
      <alignment horizontal="center" vertical="center" wrapText="1"/>
    </xf>
    <xf numFmtId="0" fontId="20" fillId="0" borderId="19" xfId="2" applyFont="1" applyFill="1" applyBorder="1" applyAlignment="1">
      <alignment horizontal="center" vertical="center" wrapText="1"/>
    </xf>
    <xf numFmtId="0" fontId="20" fillId="0" borderId="20" xfId="2" applyFont="1" applyFill="1" applyBorder="1" applyAlignment="1">
      <alignment horizontal="center" vertical="center" wrapText="1"/>
    </xf>
  </cellXfs>
  <cellStyles count="3">
    <cellStyle name="Обычный" xfId="0" builtinId="0"/>
    <cellStyle name="Обычный 2" xfId="1"/>
    <cellStyle name="Обычный 3" xfId="2"/>
  </cellStyles>
  <dxfs count="86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</dxf>
    <dxf>
      <border outline="0">
        <bottom style="thin">
          <color rgb="FF000000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0" formatCode="General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strike val="0"/>
        <outline val="0"/>
        <shadow val="0"/>
        <u val="none"/>
        <vertAlign val="baseline"/>
        <sz val="12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numFmt numFmtId="164" formatCode="0.0"/>
      <fill>
        <patternFill patternType="solid">
          <fgColor rgb="FF000000"/>
          <bgColor rgb="FF99FFC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numFmt numFmtId="4" formatCode="#,##0.00"/>
      <fill>
        <patternFill patternType="solid">
          <fgColor rgb="FF000000"/>
          <bgColor rgb="FF99FFCC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Times New Roman"/>
        <scheme val="none"/>
      </font>
      <numFmt numFmtId="165" formatCode="#,##0.000"/>
      <fill>
        <patternFill patternType="solid">
          <fgColor indexed="64"/>
          <bgColor rgb="FFCCFFCC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numFmt numFmtId="165" formatCode="#,##0.0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34998626667073579"/>
        <name val="Times New Roman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Таблица2" displayName="Таблица2" ref="A1:AH252" totalsRowShown="0" headerRowDxfId="85" dataDxfId="84" tableBorderDxfId="83">
  <autoFilter ref="A1:AH252">
    <filterColumn colId="1">
      <customFilters>
        <customFilter operator="notEqual" val=" "/>
      </customFilters>
    </filterColumn>
    <filterColumn colId="7">
      <customFilters>
        <customFilter operator="notEqual" val="0"/>
      </customFilters>
    </filterColumn>
  </autoFilter>
  <tableColumns count="34">
    <tableColumn id="1" name="Номер п/п" dataDxfId="82"/>
    <tableColumn id="2" name="Код узла ИСР" dataDxfId="81"/>
    <tableColumn id="3" name="Наименование затрат" dataDxfId="80"/>
    <tableColumn id="4" name="Комментарий по ИСР" dataDxfId="79"/>
    <tableColumn id="5" name="Описание" dataDxfId="78"/>
    <tableColumn id="6" name="Ед. изм." dataDxfId="77"/>
    <tableColumn id="7" name="Коэф.расхода" dataDxfId="76"/>
    <tableColumn id="9" name="Общее кол-во" dataDxfId="75"/>
    <tableColumn id="10" name="Осталось _x000a_закрыть" dataDxfId="74"/>
    <tableColumn id="8" name="Сумма" dataDxfId="73">
      <calculatedColumnFormula>SUM(Таблица2[[#This Row],[1.n]:[12.n]])</calculatedColumnFormula>
    </tableColumn>
    <tableColumn id="11" name="1.n1" dataDxfId="72">
      <calculatedColumnFormula>#REF!</calculatedColumnFormula>
    </tableColumn>
    <tableColumn id="12" name="2.n1" dataDxfId="71">
      <calculatedColumnFormula>#REF!</calculatedColumnFormula>
    </tableColumn>
    <tableColumn id="13" name="3.n1" dataDxfId="70">
      <calculatedColumnFormula>#REF!</calculatedColumnFormula>
    </tableColumn>
    <tableColumn id="14" name="4.n1" dataDxfId="69">
      <calculatedColumnFormula>'4.n'!#REF!</calculatedColumnFormula>
    </tableColumn>
    <tableColumn id="15" name="5.n1" dataDxfId="68">
      <calculatedColumnFormula>#REF!</calculatedColumnFormula>
    </tableColumn>
    <tableColumn id="16" name="6.n1" dataDxfId="67">
      <calculatedColumnFormula>#REF!</calculatedColumnFormula>
    </tableColumn>
    <tableColumn id="17" name="7.n1" dataDxfId="66">
      <calculatedColumnFormula>#REF!</calculatedColumnFormula>
    </tableColumn>
    <tableColumn id="18" name="8.n1" dataDxfId="65">
      <calculatedColumnFormula>#REF!</calculatedColumnFormula>
    </tableColumn>
    <tableColumn id="19" name="9.n1" dataDxfId="64">
      <calculatedColumnFormula>#REF!</calculatedColumnFormula>
    </tableColumn>
    <tableColumn id="20" name="10.n1" dataDxfId="63">
      <calculatedColumnFormula>#REF!</calculatedColumnFormula>
    </tableColumn>
    <tableColumn id="21" name="11.n1" dataDxfId="62"/>
    <tableColumn id="22" name="12.n1" dataDxfId="61"/>
    <tableColumn id="23" name="1.n" dataDxfId="60">
      <calculatedColumnFormula>IFERROR(
    VLOOKUP(
        Таблица2[[#This Row],[Наименование затрат]],
        INDIRECT("'" &amp; INDIRECT(ADDRESS(1, COLUMN())) &amp; "'!$B$2:$D$1000"),
        4,
        FALSE
    ),
    0
)</calculatedColumnFormula>
    </tableColumn>
    <tableColumn id="24" name="2.n" dataDxfId="59">
      <calculatedColumnFormula>INDIRECT(ADDRESS(1, COLUMN()))</calculatedColumnFormula>
    </tableColumn>
    <tableColumn id="25" name="3.n" dataDxfId="58"/>
    <tableColumn id="26" name="4.n" dataDxfId="57"/>
    <tableColumn id="27" name="5.n" dataDxfId="56"/>
    <tableColumn id="28" name="6.n" dataDxfId="55"/>
    <tableColumn id="29" name="7.n" dataDxfId="54"/>
    <tableColumn id="30" name="8.n" dataDxfId="53"/>
    <tableColumn id="31" name="9.n" dataDxfId="52"/>
    <tableColumn id="32" name="10.n" dataDxfId="51"/>
    <tableColumn id="33" name="11.n" dataDxfId="50"/>
    <tableColumn id="34" name="12.n" dataDxfId="4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5:Q143" totalsRowCount="1" headerRowDxfId="48" dataDxfId="46" headerRowBorderDxfId="47" tableBorderDxfId="45" headerRowCellStyle="Обычный 3" dataCellStyle="Обычный 3">
  <autoFilter ref="A5:Q142">
    <filterColumn colId="0">
      <customFilters>
        <customFilter operator="lessThan" val="3000"/>
      </customFilters>
    </filterColumn>
    <filterColumn colId="2">
      <filters>
        <filter val="4"/>
      </filters>
    </filterColumn>
  </autoFilter>
  <tableColumns count="17">
    <tableColumn id="1" name="Столбец1" dataDxfId="44" totalsRowDxfId="43" dataCellStyle="Обычный 3"/>
    <tableColumn id="2" name="Столбец2" dataDxfId="42" totalsRowDxfId="41" dataCellStyle="Обычный 3"/>
    <tableColumn id="12" name="Столбец22" dataDxfId="40" totalsRowDxfId="39" dataCellStyle="Обычный 3"/>
    <tableColumn id="3" name="Столбец3" dataDxfId="38" totalsRowDxfId="37" dataCellStyle="Обычный 3"/>
    <tableColumn id="4" name="Столбец4" totalsRowFunction="custom" dataDxfId="36" totalsRowDxfId="35" dataCellStyle="Обычный 3">
      <totalsRowFormula>SUM(Таблица3[Столбец4])</totalsRowFormula>
    </tableColumn>
    <tableColumn id="5" name="Столбец5" dataDxfId="34" totalsRowDxfId="33" dataCellStyle="Обычный 3"/>
    <tableColumn id="6" name="Столбец6" dataDxfId="32" totalsRowDxfId="31" dataCellStyle="Обычный 3"/>
    <tableColumn id="7" name="Столбец7" dataDxfId="30" totalsRowDxfId="29" dataCellStyle="Обычный 3"/>
    <tableColumn id="8" name="Столбец8" totalsRowFunction="custom" dataDxfId="28" totalsRowDxfId="27" dataCellStyle="Обычный 3">
      <totalsRowFormula>SUM(Таблица3[Столбец8])+SUM(Таблица3[Столбец10])+SUM(Таблица3[Столбец13])</totalsRowFormula>
    </tableColumn>
    <tableColumn id="9" name="Столбец9" dataDxfId="26" totalsRowDxfId="25" dataCellStyle="Обычный 3"/>
    <tableColumn id="10" name="Столбец10" dataDxfId="24" totalsRowDxfId="23" dataCellStyle="Обычный 3"/>
    <tableColumn id="11" name="Столбец11" dataDxfId="22" totalsRowDxfId="21" dataCellStyle="Обычный 3"/>
    <tableColumn id="13" name="Столбец13" dataDxfId="20" totalsRowDxfId="19" dataCellStyle="Обычный 3"/>
    <tableColumn id="14" name="Столбец14" dataDxfId="18" totalsRowDxfId="17" dataCellStyle="Обычный 3"/>
    <tableColumn id="15" name="Столбец15" dataDxfId="16" totalsRowDxfId="15" dataCellStyle="Обычный 3"/>
    <tableColumn id="16" name="Столбец16" dataDxfId="14" totalsRowDxfId="13" dataCellStyle="Обычный 3"/>
    <tableColumn id="17" name="Столбец17" dataDxfId="12" totalsRowDxfId="11" dataCellStyle="Обычный 3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R4:U143" totalsRowCount="1" dataDxfId="9" headerRowBorderDxfId="10" tableBorderDxfId="8" dataCellStyle="Обычный 3">
  <autoFilter ref="R4:U142"/>
  <tableColumns count="4">
    <tableColumn id="1" name="Столбец1" dataDxfId="7" totalsRowDxfId="6" dataCellStyle="Обычный 3">
      <calculatedColumnFormula>REPLACE(TEXT(Таблица3[[#This Row],[Столбец1]],"0"),2,0,".")</calculatedColumnFormula>
    </tableColumn>
    <tableColumn id="2" name="по ж/б поверхностям" totalsRowFunction="sum" dataDxfId="5" totalsRowDxfId="4" dataCellStyle="Обычный 3"/>
    <tableColumn id="3" name=" по газобетонному блоку и ПГП" totalsRowFunction="custom" dataDxfId="3" totalsRowDxfId="2" dataCellStyle="Обычный 3">
      <calculatedColumnFormula>ROUND(
    MAX(
        IF(
            SUM(Таблица3[[#This Row],[Столбец6]:[Столбец13]]) * 0.99 &gt;= 20,
            SUM(Таблица3[[#This Row],[Столбец6]:[Столбец13]]) * 0.99 - RANDBETWEEN(1,3) - RANDBETWEEN(1,10)/10,
            SUM(Таблица3[[#This Row],[Столбец6]:[Столбец13]]) * 0.99 - RANDBETWEEN(1,8)/10
        ),
    0),
1)</calculatedColumnFormula>
      <totalsRowFormula>SUM(Таблица1[[ по газобетонному блоку и ПГП]])</totalsRowFormula>
    </tableColumn>
    <tableColumn id="4" name="Итог" totalsRowFunction="sum" dataDxfId="1" totalsRowDxfId="0" dataCellStyle="Обычный 3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E5"/>
  <sheetViews>
    <sheetView workbookViewId="0">
      <selection activeCell="D11" sqref="D11"/>
    </sheetView>
  </sheetViews>
  <sheetFormatPr defaultRowHeight="13.2" x14ac:dyDescent="0.25"/>
  <cols>
    <col min="1" max="1" width="12" style="9" customWidth="1"/>
    <col min="2" max="2" width="37.88671875" style="9" customWidth="1"/>
    <col min="3" max="3" width="42.44140625" style="9" customWidth="1"/>
    <col min="4" max="4" width="13.77734375" style="9" customWidth="1"/>
    <col min="5" max="16384" width="8.88671875" style="9"/>
  </cols>
  <sheetData>
    <row r="1" spans="1:5" x14ac:dyDescent="0.25">
      <c r="A1" s="11"/>
      <c r="B1" s="12" t="s">
        <v>600</v>
      </c>
      <c r="C1" s="13"/>
      <c r="D1" s="13"/>
      <c r="E1" s="10"/>
    </row>
    <row r="2" spans="1:5" x14ac:dyDescent="0.25">
      <c r="A2" s="11" t="s">
        <v>0</v>
      </c>
      <c r="B2" s="211" t="s">
        <v>498</v>
      </c>
      <c r="C2" s="211" t="s">
        <v>696</v>
      </c>
      <c r="D2" s="211" t="s">
        <v>1</v>
      </c>
      <c r="E2" s="13" t="s">
        <v>2</v>
      </c>
    </row>
    <row r="3" spans="1:5" ht="26.4" x14ac:dyDescent="0.25">
      <c r="A3" s="229">
        <v>1</v>
      </c>
      <c r="B3" s="214" t="s">
        <v>139</v>
      </c>
      <c r="C3" s="211" t="s">
        <v>149</v>
      </c>
      <c r="D3" s="211" t="s">
        <v>96</v>
      </c>
      <c r="E3" s="231">
        <f>'11'!E12</f>
        <v>678</v>
      </c>
    </row>
    <row r="4" spans="1:5" ht="52.8" x14ac:dyDescent="0.25">
      <c r="A4" s="229">
        <v>2</v>
      </c>
      <c r="B4" s="223" t="s">
        <v>192</v>
      </c>
      <c r="C4" s="224" t="s">
        <v>167</v>
      </c>
      <c r="D4" s="224" t="s">
        <v>96</v>
      </c>
      <c r="E4" s="231">
        <f>'11'!C12</f>
        <v>649.29999999999995</v>
      </c>
    </row>
    <row r="5" spans="1:5" ht="52.8" x14ac:dyDescent="0.25">
      <c r="A5" s="229">
        <v>3</v>
      </c>
      <c r="B5" s="225" t="s">
        <v>192</v>
      </c>
      <c r="C5" s="226" t="s">
        <v>197</v>
      </c>
      <c r="D5" s="226" t="s">
        <v>96</v>
      </c>
      <c r="E5" s="231">
        <f>'11'!D12</f>
        <v>28.700000000000003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12"/>
  <sheetViews>
    <sheetView workbookViewId="0">
      <selection activeCell="E18" sqref="E18"/>
    </sheetView>
  </sheetViews>
  <sheetFormatPr defaultRowHeight="14.4" x14ac:dyDescent="0.3"/>
  <cols>
    <col min="2" max="2" width="13.6640625" customWidth="1"/>
    <col min="3" max="3" width="12.6640625" customWidth="1"/>
    <col min="4" max="4" width="17" customWidth="1"/>
  </cols>
  <sheetData>
    <row r="1" spans="1:5" x14ac:dyDescent="0.3">
      <c r="A1" s="343" t="s">
        <v>8</v>
      </c>
      <c r="B1" s="344"/>
      <c r="C1" s="344"/>
      <c r="D1" s="344"/>
      <c r="E1" s="345"/>
    </row>
    <row r="2" spans="1:5" x14ac:dyDescent="0.3">
      <c r="A2" s="346" t="s">
        <v>601</v>
      </c>
      <c r="B2" s="347"/>
      <c r="C2" s="347"/>
      <c r="D2" s="347"/>
      <c r="E2" s="348"/>
    </row>
    <row r="3" spans="1:5" ht="26.4" x14ac:dyDescent="0.3">
      <c r="A3" s="2"/>
      <c r="B3" s="5"/>
      <c r="C3" s="3" t="s">
        <v>10</v>
      </c>
      <c r="D3" s="120" t="s">
        <v>11</v>
      </c>
      <c r="E3" s="6" t="s">
        <v>19</v>
      </c>
    </row>
    <row r="4" spans="1:5" x14ac:dyDescent="0.3">
      <c r="A4" s="2" t="s">
        <v>0</v>
      </c>
      <c r="B4" s="4" t="s">
        <v>7</v>
      </c>
      <c r="C4" s="1" t="s">
        <v>9</v>
      </c>
      <c r="D4" s="1" t="s">
        <v>9</v>
      </c>
      <c r="E4" s="6" t="s">
        <v>9</v>
      </c>
    </row>
    <row r="5" spans="1:5" x14ac:dyDescent="0.3">
      <c r="A5" s="2">
        <v>1</v>
      </c>
      <c r="B5" s="5" t="s">
        <v>619</v>
      </c>
      <c r="C5" s="230">
        <v>97.7</v>
      </c>
      <c r="D5" s="230">
        <v>0</v>
      </c>
      <c r="E5" s="232">
        <f>C5+D5</f>
        <v>97.7</v>
      </c>
    </row>
    <row r="6" spans="1:5" x14ac:dyDescent="0.3">
      <c r="A6" s="2">
        <v>2</v>
      </c>
      <c r="B6" s="5" t="s">
        <v>620</v>
      </c>
      <c r="C6" s="230">
        <v>98</v>
      </c>
      <c r="D6" s="230">
        <v>14.4</v>
      </c>
      <c r="E6" s="232">
        <f t="shared" ref="E6:E11" si="0">C6+D6</f>
        <v>112.4</v>
      </c>
    </row>
    <row r="7" spans="1:5" x14ac:dyDescent="0.3">
      <c r="A7" s="2">
        <v>3</v>
      </c>
      <c r="B7" s="5" t="s">
        <v>621</v>
      </c>
      <c r="C7" s="230">
        <v>74.2</v>
      </c>
      <c r="D7" s="230">
        <v>14.3</v>
      </c>
      <c r="E7" s="232">
        <f t="shared" si="0"/>
        <v>88.5</v>
      </c>
    </row>
    <row r="8" spans="1:5" x14ac:dyDescent="0.3">
      <c r="A8" s="2">
        <v>4</v>
      </c>
      <c r="B8" s="5" t="s">
        <v>622</v>
      </c>
      <c r="C8" s="230">
        <v>87.3</v>
      </c>
      <c r="D8" s="230">
        <v>0</v>
      </c>
      <c r="E8" s="232">
        <f t="shared" si="0"/>
        <v>87.3</v>
      </c>
    </row>
    <row r="9" spans="1:5" x14ac:dyDescent="0.3">
      <c r="A9" s="2">
        <v>5</v>
      </c>
      <c r="B9" s="5" t="s">
        <v>607</v>
      </c>
      <c r="C9" s="230">
        <v>105.7</v>
      </c>
      <c r="D9" s="230">
        <v>0</v>
      </c>
      <c r="E9" s="232">
        <f t="shared" si="0"/>
        <v>105.7</v>
      </c>
    </row>
    <row r="10" spans="1:5" x14ac:dyDescent="0.3">
      <c r="A10" s="2">
        <v>6</v>
      </c>
      <c r="B10" s="5" t="s">
        <v>623</v>
      </c>
      <c r="C10" s="230">
        <v>105.4</v>
      </c>
      <c r="D10" s="230">
        <v>0</v>
      </c>
      <c r="E10" s="232">
        <f t="shared" si="0"/>
        <v>105.4</v>
      </c>
    </row>
    <row r="11" spans="1:5" x14ac:dyDescent="0.3">
      <c r="A11" s="2">
        <v>7</v>
      </c>
      <c r="B11" s="5" t="s">
        <v>624</v>
      </c>
      <c r="C11" s="230">
        <v>81</v>
      </c>
      <c r="D11" s="230">
        <v>0</v>
      </c>
      <c r="E11" s="232">
        <f t="shared" si="0"/>
        <v>81</v>
      </c>
    </row>
    <row r="12" spans="1:5" ht="15" thickBot="1" x14ac:dyDescent="0.35">
      <c r="A12" s="7"/>
      <c r="B12" s="8" t="s">
        <v>20</v>
      </c>
      <c r="C12" s="233">
        <f>SUM(C5:C11)</f>
        <v>649.29999999999995</v>
      </c>
      <c r="D12" s="233">
        <f>SUM(D5:D11)</f>
        <v>28.700000000000003</v>
      </c>
      <c r="E12" s="233">
        <f>SUM(E5:E11)</f>
        <v>678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E5"/>
  <sheetViews>
    <sheetView workbookViewId="0">
      <selection activeCell="E19" sqref="E19"/>
    </sheetView>
  </sheetViews>
  <sheetFormatPr defaultRowHeight="13.2" x14ac:dyDescent="0.25"/>
  <cols>
    <col min="1" max="1" width="12" style="9" customWidth="1"/>
    <col min="2" max="2" width="37.88671875" style="9" customWidth="1"/>
    <col min="3" max="3" width="42.44140625" style="9" customWidth="1"/>
    <col min="4" max="4" width="13.77734375" style="9" customWidth="1"/>
    <col min="5" max="16384" width="8.88671875" style="9"/>
  </cols>
  <sheetData>
    <row r="1" spans="1:5" x14ac:dyDescent="0.25">
      <c r="A1" s="11"/>
      <c r="B1" s="12" t="s">
        <v>600</v>
      </c>
      <c r="C1" s="13"/>
      <c r="D1" s="13"/>
      <c r="E1" s="10"/>
    </row>
    <row r="2" spans="1:5" x14ac:dyDescent="0.25">
      <c r="A2" s="11" t="s">
        <v>0</v>
      </c>
      <c r="B2" s="211" t="s">
        <v>498</v>
      </c>
      <c r="C2" s="211" t="s">
        <v>696</v>
      </c>
      <c r="D2" s="211" t="s">
        <v>1</v>
      </c>
      <c r="E2" s="13" t="s">
        <v>2</v>
      </c>
    </row>
    <row r="3" spans="1:5" ht="26.4" x14ac:dyDescent="0.25">
      <c r="A3" s="229">
        <v>1</v>
      </c>
      <c r="B3" s="212" t="s">
        <v>139</v>
      </c>
      <c r="C3" s="213" t="s">
        <v>153</v>
      </c>
      <c r="D3" s="213" t="s">
        <v>96</v>
      </c>
      <c r="E3" s="231">
        <f>'12'!E12</f>
        <v>685.4</v>
      </c>
    </row>
    <row r="4" spans="1:5" ht="52.8" x14ac:dyDescent="0.25">
      <c r="A4" s="229">
        <v>2</v>
      </c>
      <c r="B4" s="215" t="s">
        <v>192</v>
      </c>
      <c r="C4" s="216" t="s">
        <v>179</v>
      </c>
      <c r="D4" s="216" t="s">
        <v>96</v>
      </c>
      <c r="E4" s="231">
        <f>'12'!C12</f>
        <v>656.6</v>
      </c>
    </row>
    <row r="5" spans="1:5" ht="52.8" x14ac:dyDescent="0.25">
      <c r="A5" s="229">
        <v>3</v>
      </c>
      <c r="B5" s="227" t="s">
        <v>192</v>
      </c>
      <c r="C5" s="228" t="s">
        <v>206</v>
      </c>
      <c r="D5" s="228" t="s">
        <v>96</v>
      </c>
      <c r="E5" s="231">
        <f>'12'!D12</f>
        <v>28.799999999999997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12"/>
  <sheetViews>
    <sheetView workbookViewId="0">
      <selection activeCell="D16" sqref="D16"/>
    </sheetView>
  </sheetViews>
  <sheetFormatPr defaultRowHeight="14.4" x14ac:dyDescent="0.3"/>
  <cols>
    <col min="2" max="2" width="13.6640625" customWidth="1"/>
    <col min="3" max="3" width="12.6640625" customWidth="1"/>
    <col min="4" max="4" width="17" customWidth="1"/>
  </cols>
  <sheetData>
    <row r="1" spans="1:5" x14ac:dyDescent="0.3">
      <c r="A1" s="343" t="s">
        <v>8</v>
      </c>
      <c r="B1" s="344"/>
      <c r="C1" s="344"/>
      <c r="D1" s="344"/>
      <c r="E1" s="345"/>
    </row>
    <row r="2" spans="1:5" x14ac:dyDescent="0.3">
      <c r="A2" s="346" t="s">
        <v>601</v>
      </c>
      <c r="B2" s="347"/>
      <c r="C2" s="347"/>
      <c r="D2" s="347"/>
      <c r="E2" s="348"/>
    </row>
    <row r="3" spans="1:5" ht="26.4" x14ac:dyDescent="0.3">
      <c r="A3" s="2"/>
      <c r="B3" s="5"/>
      <c r="C3" s="3" t="s">
        <v>10</v>
      </c>
      <c r="D3" s="120" t="s">
        <v>11</v>
      </c>
      <c r="E3" s="6" t="s">
        <v>19</v>
      </c>
    </row>
    <row r="4" spans="1:5" x14ac:dyDescent="0.3">
      <c r="A4" s="2" t="s">
        <v>0</v>
      </c>
      <c r="B4" s="4" t="s">
        <v>7</v>
      </c>
      <c r="C4" s="1" t="s">
        <v>9</v>
      </c>
      <c r="D4" s="1" t="s">
        <v>9</v>
      </c>
      <c r="E4" s="6" t="s">
        <v>9</v>
      </c>
    </row>
    <row r="5" spans="1:5" x14ac:dyDescent="0.3">
      <c r="A5" s="2">
        <v>1</v>
      </c>
      <c r="B5" s="5" t="s">
        <v>614</v>
      </c>
      <c r="C5" s="230">
        <v>98.9</v>
      </c>
      <c r="D5" s="230">
        <v>0</v>
      </c>
      <c r="E5" s="232">
        <f>C5+D5</f>
        <v>98.9</v>
      </c>
    </row>
    <row r="6" spans="1:5" x14ac:dyDescent="0.3">
      <c r="A6" s="2">
        <v>2</v>
      </c>
      <c r="B6" s="5" t="s">
        <v>615</v>
      </c>
      <c r="C6" s="230">
        <v>97.7</v>
      </c>
      <c r="D6" s="230">
        <v>14.1</v>
      </c>
      <c r="E6" s="232">
        <f t="shared" ref="E6:E11" si="0">C6+D6</f>
        <v>111.8</v>
      </c>
    </row>
    <row r="7" spans="1:5" x14ac:dyDescent="0.3">
      <c r="A7" s="2">
        <v>3</v>
      </c>
      <c r="B7" s="5" t="s">
        <v>616</v>
      </c>
      <c r="C7" s="230">
        <v>72.5</v>
      </c>
      <c r="D7" s="230">
        <v>14.7</v>
      </c>
      <c r="E7" s="232">
        <f t="shared" si="0"/>
        <v>87.2</v>
      </c>
    </row>
    <row r="8" spans="1:5" x14ac:dyDescent="0.3">
      <c r="A8" s="2">
        <v>4</v>
      </c>
      <c r="B8" s="5" t="s">
        <v>617</v>
      </c>
      <c r="C8" s="230">
        <v>86.5</v>
      </c>
      <c r="D8" s="230">
        <v>0</v>
      </c>
      <c r="E8" s="232">
        <f t="shared" si="0"/>
        <v>86.5</v>
      </c>
    </row>
    <row r="9" spans="1:5" x14ac:dyDescent="0.3">
      <c r="A9" s="2">
        <v>5</v>
      </c>
      <c r="B9" s="5" t="s">
        <v>618</v>
      </c>
      <c r="C9" s="230">
        <v>108.5</v>
      </c>
      <c r="D9" s="230">
        <v>0</v>
      </c>
      <c r="E9" s="232">
        <f t="shared" si="0"/>
        <v>108.5</v>
      </c>
    </row>
    <row r="10" spans="1:5" x14ac:dyDescent="0.3">
      <c r="A10" s="2">
        <v>6</v>
      </c>
      <c r="B10" s="5" t="s">
        <v>610</v>
      </c>
      <c r="C10" s="230">
        <v>106.7</v>
      </c>
      <c r="D10" s="230">
        <v>0</v>
      </c>
      <c r="E10" s="232">
        <f t="shared" si="0"/>
        <v>106.7</v>
      </c>
    </row>
    <row r="11" spans="1:5" x14ac:dyDescent="0.3">
      <c r="A11" s="2">
        <v>7</v>
      </c>
      <c r="B11" s="5" t="s">
        <v>608</v>
      </c>
      <c r="C11" s="230">
        <v>85.8</v>
      </c>
      <c r="D11" s="230">
        <v>0</v>
      </c>
      <c r="E11" s="232">
        <f t="shared" si="0"/>
        <v>85.8</v>
      </c>
    </row>
    <row r="12" spans="1:5" ht="15" thickBot="1" x14ac:dyDescent="0.35">
      <c r="A12" s="7"/>
      <c r="B12" s="8" t="s">
        <v>20</v>
      </c>
      <c r="C12" s="233">
        <f>SUM(C5:C11)</f>
        <v>656.6</v>
      </c>
      <c r="D12" s="233">
        <f>SUM(D5:D11)</f>
        <v>28.799999999999997</v>
      </c>
      <c r="E12" s="233">
        <f>SUM(E5:E11)</f>
        <v>685.4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HI252"/>
  <sheetViews>
    <sheetView topLeftCell="E1" zoomScale="55" zoomScaleNormal="55" workbookViewId="0">
      <selection activeCell="AD25" sqref="AD25"/>
    </sheetView>
  </sheetViews>
  <sheetFormatPr defaultRowHeight="15.6" x14ac:dyDescent="0.3"/>
  <cols>
    <col min="1" max="1" width="18.5546875" style="37" hidden="1" customWidth="1"/>
    <col min="2" max="2" width="16.77734375" style="37" hidden="1" customWidth="1"/>
    <col min="3" max="3" width="66.33203125" style="37" customWidth="1"/>
    <col min="4" max="4" width="17.77734375" style="37" hidden="1" customWidth="1"/>
    <col min="5" max="5" width="50.21875" style="37" customWidth="1"/>
    <col min="6" max="6" width="11.109375" style="37" hidden="1" customWidth="1"/>
    <col min="7" max="7" width="16.44140625" style="37" hidden="1" customWidth="1"/>
    <col min="8" max="8" width="14" style="37" customWidth="1"/>
    <col min="9" max="10" width="17" style="37" customWidth="1"/>
    <col min="11" max="11" width="14.88671875" style="37" hidden="1" customWidth="1"/>
    <col min="12" max="20" width="8.88671875" style="37" hidden="1" customWidth="1"/>
    <col min="21" max="21" width="9.21875" style="37" hidden="1" customWidth="1"/>
    <col min="22" max="22" width="8.88671875" style="37" hidden="1" customWidth="1"/>
    <col min="23" max="23" width="8.88671875" style="37" customWidth="1"/>
    <col min="24" max="24" width="12.6640625" style="37" customWidth="1"/>
    <col min="25" max="25" width="8.88671875" style="37" customWidth="1"/>
    <col min="26" max="26" width="12.5546875" style="37" customWidth="1"/>
    <col min="27" max="32" width="8.88671875" style="37" customWidth="1"/>
    <col min="33" max="34" width="8.88671875" style="37" hidden="1" customWidth="1"/>
    <col min="35" max="35" width="8.88671875" style="179" hidden="1" customWidth="1"/>
    <col min="36" max="46" width="8.88671875" style="179" customWidth="1"/>
    <col min="47" max="48" width="8.88671875" style="179" hidden="1" customWidth="1"/>
    <col min="49" max="67" width="8.88671875" style="179" customWidth="1"/>
    <col min="68" max="74" width="8.88671875" style="37" customWidth="1"/>
    <col min="75" max="75" width="8.88671875" style="179" customWidth="1"/>
    <col min="76" max="217" width="8.88671875" style="179"/>
    <col min="218" max="16384" width="8.88671875" style="37"/>
  </cols>
  <sheetData>
    <row r="1" spans="1:84" ht="55.2" customHeight="1" x14ac:dyDescent="0.3">
      <c r="A1" s="23" t="s">
        <v>496</v>
      </c>
      <c r="B1" s="14" t="s">
        <v>497</v>
      </c>
      <c r="C1" s="14" t="s">
        <v>498</v>
      </c>
      <c r="D1" s="14" t="s">
        <v>499</v>
      </c>
      <c r="E1" s="14" t="s">
        <v>696</v>
      </c>
      <c r="F1" s="14" t="s">
        <v>1</v>
      </c>
      <c r="G1" s="14" t="s">
        <v>500</v>
      </c>
      <c r="H1" s="109" t="s">
        <v>501</v>
      </c>
      <c r="I1" s="115" t="s">
        <v>502</v>
      </c>
      <c r="J1" s="115" t="s">
        <v>97</v>
      </c>
      <c r="K1" s="96" t="s">
        <v>625</v>
      </c>
      <c r="L1" s="96" t="s">
        <v>626</v>
      </c>
      <c r="M1" s="96" t="s">
        <v>627</v>
      </c>
      <c r="N1" s="96" t="s">
        <v>628</v>
      </c>
      <c r="O1" s="96" t="s">
        <v>629</v>
      </c>
      <c r="P1" s="96" t="s">
        <v>630</v>
      </c>
      <c r="Q1" s="96" t="s">
        <v>631</v>
      </c>
      <c r="R1" s="96" t="s">
        <v>632</v>
      </c>
      <c r="S1" s="96" t="s">
        <v>633</v>
      </c>
      <c r="T1" s="96" t="s">
        <v>634</v>
      </c>
      <c r="U1" s="96" t="s">
        <v>635</v>
      </c>
      <c r="V1" s="96" t="s">
        <v>636</v>
      </c>
      <c r="W1" s="242" t="s">
        <v>509</v>
      </c>
      <c r="X1" s="242" t="s">
        <v>510</v>
      </c>
      <c r="Y1" s="242" t="s">
        <v>511</v>
      </c>
      <c r="Z1" s="242" t="s">
        <v>512</v>
      </c>
      <c r="AA1" s="242" t="s">
        <v>513</v>
      </c>
      <c r="AB1" s="242" t="s">
        <v>514</v>
      </c>
      <c r="AC1" s="242" t="s">
        <v>515</v>
      </c>
      <c r="AD1" s="242" t="s">
        <v>516</v>
      </c>
      <c r="AE1" s="242" t="s">
        <v>517</v>
      </c>
      <c r="AF1" s="242" t="s">
        <v>518</v>
      </c>
      <c r="AG1" s="242" t="s">
        <v>521</v>
      </c>
      <c r="AH1" s="242" t="s">
        <v>522</v>
      </c>
      <c r="AK1" s="244" t="s">
        <v>509</v>
      </c>
      <c r="AL1" s="244" t="s">
        <v>510</v>
      </c>
      <c r="AM1" s="244" t="s">
        <v>511</v>
      </c>
      <c r="AN1" s="244" t="s">
        <v>512</v>
      </c>
      <c r="AO1" s="244" t="s">
        <v>513</v>
      </c>
      <c r="AP1" s="244" t="s">
        <v>514</v>
      </c>
      <c r="AQ1" s="244" t="s">
        <v>515</v>
      </c>
      <c r="AR1" s="244" t="s">
        <v>516</v>
      </c>
      <c r="AS1" s="244" t="s">
        <v>517</v>
      </c>
      <c r="AT1" s="244" t="s">
        <v>518</v>
      </c>
      <c r="AU1" s="244" t="s">
        <v>521</v>
      </c>
      <c r="AV1" s="244" t="s">
        <v>522</v>
      </c>
      <c r="AX1" s="244" t="s">
        <v>509</v>
      </c>
      <c r="AY1" s="244" t="s">
        <v>510</v>
      </c>
      <c r="AZ1" s="244" t="s">
        <v>511</v>
      </c>
      <c r="BA1" s="244" t="s">
        <v>512</v>
      </c>
      <c r="BB1" s="244" t="s">
        <v>513</v>
      </c>
      <c r="BC1" s="244" t="s">
        <v>514</v>
      </c>
      <c r="BD1" s="244" t="s">
        <v>515</v>
      </c>
      <c r="BE1" s="244" t="s">
        <v>516</v>
      </c>
      <c r="BF1" s="244" t="s">
        <v>517</v>
      </c>
      <c r="BG1" s="244" t="s">
        <v>518</v>
      </c>
      <c r="BH1" s="244" t="s">
        <v>521</v>
      </c>
      <c r="BI1" s="244" t="s">
        <v>522</v>
      </c>
      <c r="BP1" s="178">
        <v>7</v>
      </c>
      <c r="BQ1" s="178">
        <v>6</v>
      </c>
      <c r="BR1" s="178">
        <v>5</v>
      </c>
      <c r="BS1" s="178">
        <v>4</v>
      </c>
      <c r="BT1" s="178">
        <v>3</v>
      </c>
      <c r="BU1" s="178">
        <v>2</v>
      </c>
      <c r="BV1" s="178">
        <v>1</v>
      </c>
      <c r="BZ1" s="178">
        <v>7</v>
      </c>
      <c r="CA1" s="178">
        <v>6</v>
      </c>
      <c r="CB1" s="178">
        <v>5</v>
      </c>
      <c r="CC1" s="178">
        <v>4</v>
      </c>
      <c r="CD1" s="178">
        <v>3</v>
      </c>
      <c r="CE1" s="178">
        <v>2</v>
      </c>
      <c r="CF1" s="178">
        <v>1</v>
      </c>
    </row>
    <row r="2" spans="1:84" x14ac:dyDescent="0.3">
      <c r="A2" s="38" t="s">
        <v>99</v>
      </c>
      <c r="B2" s="39" t="s">
        <v>100</v>
      </c>
      <c r="C2" s="40" t="s">
        <v>101</v>
      </c>
      <c r="D2" s="41"/>
      <c r="E2" s="41"/>
      <c r="F2" s="41"/>
      <c r="G2" s="41"/>
      <c r="H2" s="32"/>
      <c r="I2" s="116"/>
      <c r="J2" s="118">
        <f>SUM(Таблица2[[#This Row],[1.n]:[12.n]])</f>
        <v>0</v>
      </c>
      <c r="K2" s="97" t="e">
        <f>#REF!</f>
        <v>#REF!</v>
      </c>
      <c r="L2" s="97" t="e">
        <f>#REF!</f>
        <v>#REF!</v>
      </c>
      <c r="M2" s="97" t="e">
        <f>#REF!</f>
        <v>#REF!</v>
      </c>
      <c r="N2" s="97" t="e">
        <f>'4.n'!#REF!</f>
        <v>#REF!</v>
      </c>
      <c r="O2" s="97" t="e">
        <f>#REF!</f>
        <v>#REF!</v>
      </c>
      <c r="P2" s="97" t="e">
        <f>#REF!</f>
        <v>#REF!</v>
      </c>
      <c r="Q2" s="97" t="e">
        <f>#REF!</f>
        <v>#REF!</v>
      </c>
      <c r="R2" s="97" t="e">
        <f>#REF!</f>
        <v>#REF!</v>
      </c>
      <c r="S2" s="97" t="e">
        <f>#REF!</f>
        <v>#REF!</v>
      </c>
      <c r="T2" s="97" t="e">
        <f>#REF!</f>
        <v>#REF!</v>
      </c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BP2" s="180"/>
      <c r="BQ2" s="180"/>
      <c r="BR2" s="180"/>
      <c r="BS2" s="180"/>
      <c r="BT2" s="180"/>
      <c r="BU2" s="180"/>
      <c r="BV2" s="180"/>
      <c r="BZ2" s="180"/>
      <c r="CA2" s="180"/>
      <c r="CB2" s="180"/>
      <c r="CC2" s="180"/>
      <c r="CD2" s="180"/>
      <c r="CE2" s="180"/>
      <c r="CF2" s="180"/>
    </row>
    <row r="3" spans="1:84" x14ac:dyDescent="0.3">
      <c r="A3" s="42" t="s">
        <v>102</v>
      </c>
      <c r="B3" s="43" t="s">
        <v>103</v>
      </c>
      <c r="C3" s="44" t="s">
        <v>104</v>
      </c>
      <c r="D3" s="45"/>
      <c r="E3" s="45"/>
      <c r="F3" s="45"/>
      <c r="G3" s="45"/>
      <c r="H3" s="32"/>
      <c r="I3" s="116"/>
      <c r="J3" s="118">
        <f>SUM(Таблица2[[#This Row],[1.n]:[12.n]])</f>
        <v>0</v>
      </c>
      <c r="K3" s="97" t="e">
        <f>#REF!</f>
        <v>#REF!</v>
      </c>
      <c r="L3" s="97" t="e">
        <f>#REF!</f>
        <v>#REF!</v>
      </c>
      <c r="M3" s="97" t="e">
        <f>#REF!</f>
        <v>#REF!</v>
      </c>
      <c r="N3" s="97" t="e">
        <f>'4.n'!#REF!</f>
        <v>#REF!</v>
      </c>
      <c r="O3" s="97" t="e">
        <f>#REF!</f>
        <v>#REF!</v>
      </c>
      <c r="P3" s="97" t="e">
        <f>#REF!</f>
        <v>#REF!</v>
      </c>
      <c r="Q3" s="97" t="e">
        <f>#REF!</f>
        <v>#REF!</v>
      </c>
      <c r="R3" s="97" t="e">
        <f>#REF!</f>
        <v>#REF!</v>
      </c>
      <c r="S3" s="97" t="e">
        <f>#REF!</f>
        <v>#REF!</v>
      </c>
      <c r="T3" s="97" t="e">
        <f>#REF!</f>
        <v>#REF!</v>
      </c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BP3" s="180"/>
      <c r="BQ3" s="180"/>
      <c r="BR3" s="180"/>
      <c r="BS3" s="180"/>
      <c r="BT3" s="180"/>
      <c r="BU3" s="180"/>
      <c r="BV3" s="180"/>
      <c r="BZ3" s="180"/>
      <c r="CA3" s="180"/>
      <c r="CB3" s="180"/>
      <c r="CC3" s="180"/>
      <c r="CD3" s="180"/>
      <c r="CE3" s="180"/>
      <c r="CF3" s="180"/>
    </row>
    <row r="4" spans="1:84" ht="46.8" x14ac:dyDescent="0.3">
      <c r="A4" s="24" t="s">
        <v>105</v>
      </c>
      <c r="B4" s="15" t="s">
        <v>106</v>
      </c>
      <c r="C4" s="46" t="s">
        <v>28</v>
      </c>
      <c r="D4" s="47"/>
      <c r="E4" s="47" t="s">
        <v>107</v>
      </c>
      <c r="F4" s="47" t="s">
        <v>4</v>
      </c>
      <c r="G4" s="48">
        <v>1</v>
      </c>
      <c r="H4" s="33">
        <v>3479</v>
      </c>
      <c r="I4" s="121">
        <f ca="1">H4-J4</f>
        <v>-151.01899999999978</v>
      </c>
      <c r="J4" s="243">
        <f ca="1">SUM(Таблица2[[#This Row],[1.n]:[12.n]])</f>
        <v>3630.0189999999998</v>
      </c>
      <c r="K4" s="97" t="e">
        <f>#REF!</f>
        <v>#REF!</v>
      </c>
      <c r="L4" s="97" t="e">
        <f>#REF!</f>
        <v>#REF!</v>
      </c>
      <c r="M4" s="97" t="e">
        <f>#REF!</f>
        <v>#REF!</v>
      </c>
      <c r="N4" s="97" t="e">
        <f>'4.n'!#REF!</f>
        <v>#REF!</v>
      </c>
      <c r="O4" s="97" t="e">
        <f>#REF!</f>
        <v>#REF!</v>
      </c>
      <c r="P4" s="97" t="e">
        <f>#REF!</f>
        <v>#REF!</v>
      </c>
      <c r="Q4" s="97" t="e">
        <f>#REF!</f>
        <v>#REF!</v>
      </c>
      <c r="R4" s="97" t="e">
        <f>#REF!</f>
        <v>#REF!</v>
      </c>
      <c r="S4" s="97" t="e">
        <f>#REF!</f>
        <v>#REF!</v>
      </c>
      <c r="T4" s="97" t="e">
        <f>#REF!</f>
        <v>#REF!</v>
      </c>
      <c r="U4" s="97"/>
      <c r="V4" s="97"/>
      <c r="W4" s="248">
        <f ca="1">VLOOKUP(
    $C4,
    INDIRECT("'" &amp; INDIRECT(ADDRESS(1,COLUMN())) &amp; "'!B2:E1000"),
    4,
)</f>
        <v>244.15</v>
      </c>
      <c r="X4" s="248">
        <f ca="1">VLOOKUP(
    $C4,
    INDIRECT("'" &amp; INDIRECT(ADDRESS(1,COLUMN())) &amp; "'!B2:E1000"),
    4,
)</f>
        <v>188.68899999999999</v>
      </c>
      <c r="Y4" s="248">
        <f t="shared" ref="Y4:AF4" ca="1" si="0">VLOOKUP(
    $C4,
    INDIRECT("'" &amp; INDIRECT(ADDRESS(1,COLUMN())) &amp; "'!B2:E1000"),
    4,
)</f>
        <v>139.53600000000003</v>
      </c>
      <c r="Z4" s="248">
        <f t="shared" ca="1" si="0"/>
        <v>196.93500000000003</v>
      </c>
      <c r="AA4" s="248">
        <f t="shared" ca="1" si="0"/>
        <v>1099.8000000000002</v>
      </c>
      <c r="AB4" s="248">
        <f t="shared" ca="1" si="0"/>
        <v>538.60799999999995</v>
      </c>
      <c r="AC4" s="248">
        <f t="shared" ca="1" si="0"/>
        <v>466.71600000000001</v>
      </c>
      <c r="AD4" s="248">
        <f t="shared" ca="1" si="0"/>
        <v>131.29000000000002</v>
      </c>
      <c r="AE4" s="248">
        <f t="shared" ca="1" si="0"/>
        <v>336.77499999999998</v>
      </c>
      <c r="AF4" s="248">
        <f t="shared" ca="1" si="0"/>
        <v>287.52</v>
      </c>
      <c r="AG4" s="248">
        <v>0</v>
      </c>
      <c r="AH4" s="248">
        <v>0</v>
      </c>
      <c r="BP4" s="180"/>
      <c r="BQ4" s="180"/>
      <c r="BR4" s="180"/>
      <c r="BS4" s="180"/>
      <c r="BT4" s="180"/>
      <c r="BU4" s="180"/>
      <c r="BV4" s="180"/>
      <c r="BZ4" s="180"/>
      <c r="CA4" s="180"/>
      <c r="CB4" s="180"/>
      <c r="CC4" s="180"/>
      <c r="CD4" s="180"/>
      <c r="CE4" s="180"/>
      <c r="CF4" s="180"/>
    </row>
    <row r="5" spans="1:84" ht="31.2" hidden="1" x14ac:dyDescent="0.3">
      <c r="A5" s="25" t="s">
        <v>108</v>
      </c>
      <c r="B5" s="16"/>
      <c r="C5" s="49" t="s">
        <v>109</v>
      </c>
      <c r="D5" s="50"/>
      <c r="E5" s="50"/>
      <c r="F5" s="51" t="s">
        <v>3</v>
      </c>
      <c r="G5" s="52">
        <v>0.3</v>
      </c>
      <c r="H5" s="34">
        <v>1043.7</v>
      </c>
      <c r="I5" s="117" t="e">
        <f>Таблица2[[#This Row],[Общее кол-во]]-SUM(Таблица2[[#This Row],[1.n1]:[11.n1]])</f>
        <v>#REF!</v>
      </c>
      <c r="J5" s="119">
        <f ca="1">SUM(Таблица2[[#This Row],[1.n]:[12.n]])</f>
        <v>0</v>
      </c>
      <c r="K5" s="98" t="e">
        <f>#REF!</f>
        <v>#REF!</v>
      </c>
      <c r="L5" s="98" t="e">
        <f>#REF!</f>
        <v>#REF!</v>
      </c>
      <c r="M5" s="98" t="e">
        <f>#REF!</f>
        <v>#REF!</v>
      </c>
      <c r="N5" s="98" t="e">
        <f>'4.n'!#REF!</f>
        <v>#REF!</v>
      </c>
      <c r="O5" s="98" t="e">
        <f>#REF!</f>
        <v>#REF!</v>
      </c>
      <c r="P5" s="98" t="e">
        <f>#REF!</f>
        <v>#REF!</v>
      </c>
      <c r="Q5" s="98" t="e">
        <f>#REF!</f>
        <v>#REF!</v>
      </c>
      <c r="R5" s="98" t="e">
        <f>#REF!</f>
        <v>#REF!</v>
      </c>
      <c r="S5" s="98" t="e">
        <f>#REF!</f>
        <v>#REF!</v>
      </c>
      <c r="T5" s="98" t="e">
        <f>#REF!</f>
        <v>#REF!</v>
      </c>
      <c r="U5" s="98"/>
      <c r="V5" s="98"/>
      <c r="W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" s="98" t="str">
        <f t="shared" ref="X5:X65" ca="1" si="1">INDIRECT(ADDRESS(1, COLUMN()))</f>
        <v>2.n</v>
      </c>
      <c r="Y5" s="98"/>
      <c r="Z5" s="98"/>
      <c r="AA5" s="98"/>
      <c r="AB5" s="98"/>
      <c r="AC5" s="98"/>
      <c r="AD5" s="98"/>
      <c r="AE5" s="98"/>
      <c r="AF5" s="98"/>
      <c r="AG5" s="98"/>
      <c r="AH5" s="98"/>
      <c r="BP5" s="180"/>
      <c r="BQ5" s="180"/>
      <c r="BR5" s="180"/>
      <c r="BS5" s="180"/>
      <c r="BT5" s="180"/>
      <c r="BU5" s="180"/>
      <c r="BV5" s="180"/>
    </row>
    <row r="6" spans="1:84" hidden="1" x14ac:dyDescent="0.3">
      <c r="A6" s="26" t="s">
        <v>110</v>
      </c>
      <c r="B6" s="17"/>
      <c r="C6" s="53" t="s">
        <v>29</v>
      </c>
      <c r="D6" s="54"/>
      <c r="E6" s="54"/>
      <c r="F6" s="55" t="s">
        <v>4</v>
      </c>
      <c r="G6" s="56">
        <v>1.1000000000000001</v>
      </c>
      <c r="H6" s="34">
        <v>3826.9</v>
      </c>
      <c r="I6" s="117" t="e">
        <f>Таблица2[[#This Row],[Общее кол-во]]-SUM(Таблица2[[#This Row],[1.n1]:[11.n1]])</f>
        <v>#REF!</v>
      </c>
      <c r="J6" s="119">
        <f ca="1">SUM(Таблица2[[#This Row],[1.n]:[12.n]])</f>
        <v>0</v>
      </c>
      <c r="K6" s="98" t="e">
        <f>#REF!</f>
        <v>#REF!</v>
      </c>
      <c r="L6" s="98" t="e">
        <f>#REF!</f>
        <v>#REF!</v>
      </c>
      <c r="M6" s="98" t="e">
        <f>#REF!</f>
        <v>#REF!</v>
      </c>
      <c r="N6" s="98" t="e">
        <f>'4.n'!#REF!</f>
        <v>#REF!</v>
      </c>
      <c r="O6" s="98" t="e">
        <f>#REF!</f>
        <v>#REF!</v>
      </c>
      <c r="P6" s="98" t="e">
        <f>#REF!</f>
        <v>#REF!</v>
      </c>
      <c r="Q6" s="98" t="e">
        <f>#REF!</f>
        <v>#REF!</v>
      </c>
      <c r="R6" s="98" t="e">
        <f>#REF!</f>
        <v>#REF!</v>
      </c>
      <c r="S6" s="98" t="e">
        <f>#REF!</f>
        <v>#REF!</v>
      </c>
      <c r="T6" s="98" t="e">
        <f>#REF!</f>
        <v>#REF!</v>
      </c>
      <c r="U6" s="98"/>
      <c r="V6" s="98"/>
      <c r="W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" s="98" t="str">
        <f t="shared" ca="1" si="1"/>
        <v>2.n</v>
      </c>
      <c r="Y6" s="98"/>
      <c r="Z6" s="98"/>
      <c r="AA6" s="98"/>
      <c r="AB6" s="98"/>
      <c r="AC6" s="98"/>
      <c r="AD6" s="98"/>
      <c r="AE6" s="98"/>
      <c r="AF6" s="98"/>
      <c r="AG6" s="98"/>
      <c r="AH6" s="98"/>
      <c r="BP6" s="180"/>
      <c r="BQ6" s="180"/>
      <c r="BR6" s="180"/>
      <c r="BS6" s="180"/>
      <c r="BT6" s="180"/>
      <c r="BU6" s="180"/>
      <c r="BV6" s="180"/>
    </row>
    <row r="7" spans="1:84" ht="31.2" hidden="1" x14ac:dyDescent="0.3">
      <c r="A7" s="25" t="s">
        <v>111</v>
      </c>
      <c r="B7" s="16" t="s">
        <v>112</v>
      </c>
      <c r="C7" s="57" t="s">
        <v>113</v>
      </c>
      <c r="D7" s="50"/>
      <c r="E7" s="50" t="s">
        <v>114</v>
      </c>
      <c r="F7" s="50" t="s">
        <v>96</v>
      </c>
      <c r="G7" s="58">
        <v>1</v>
      </c>
      <c r="H7" s="35">
        <v>0</v>
      </c>
      <c r="I7" s="117" t="e">
        <f>Таблица2[[#This Row],[Общее кол-во]]-SUM(Таблица2[[#This Row],[1.n1]:[11.n1]])</f>
        <v>#REF!</v>
      </c>
      <c r="J7" s="119">
        <f ca="1">SUM(Таблица2[[#This Row],[1.n]:[12.n]])</f>
        <v>0</v>
      </c>
      <c r="K7" s="98" t="e">
        <f>#REF!</f>
        <v>#REF!</v>
      </c>
      <c r="L7" s="98" t="e">
        <f>#REF!</f>
        <v>#REF!</v>
      </c>
      <c r="M7" s="98" t="e">
        <f>#REF!</f>
        <v>#REF!</v>
      </c>
      <c r="N7" s="98" t="e">
        <f>'4.n'!#REF!</f>
        <v>#REF!</v>
      </c>
      <c r="O7" s="98" t="e">
        <f>#REF!</f>
        <v>#REF!</v>
      </c>
      <c r="P7" s="98" t="e">
        <f>#REF!</f>
        <v>#REF!</v>
      </c>
      <c r="Q7" s="98" t="e">
        <f>#REF!</f>
        <v>#REF!</v>
      </c>
      <c r="R7" s="98" t="e">
        <f>#REF!</f>
        <v>#REF!</v>
      </c>
      <c r="S7" s="98" t="e">
        <f>#REF!</f>
        <v>#REF!</v>
      </c>
      <c r="T7" s="98" t="e">
        <f>#REF!</f>
        <v>#REF!</v>
      </c>
      <c r="U7" s="98"/>
      <c r="V7" s="98"/>
      <c r="W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" s="98" t="str">
        <f t="shared" ca="1" si="1"/>
        <v>2.n</v>
      </c>
      <c r="Y7" s="98"/>
      <c r="Z7" s="98"/>
      <c r="AA7" s="98"/>
      <c r="AB7" s="98"/>
      <c r="AC7" s="98"/>
      <c r="AD7" s="98"/>
      <c r="AE7" s="98"/>
      <c r="AF7" s="98"/>
      <c r="AG7" s="98"/>
      <c r="AH7" s="98"/>
      <c r="BP7" s="180"/>
      <c r="BQ7" s="180"/>
      <c r="BR7" s="180"/>
      <c r="BS7" s="180"/>
      <c r="BT7" s="180"/>
      <c r="BU7" s="180"/>
      <c r="BV7" s="180"/>
    </row>
    <row r="8" spans="1:84" ht="31.2" hidden="1" x14ac:dyDescent="0.3">
      <c r="A8" s="26" t="s">
        <v>115</v>
      </c>
      <c r="B8" s="17"/>
      <c r="C8" s="49" t="s">
        <v>116</v>
      </c>
      <c r="D8" s="54"/>
      <c r="E8" s="54" t="s">
        <v>117</v>
      </c>
      <c r="F8" s="55" t="s">
        <v>3</v>
      </c>
      <c r="G8" s="56">
        <v>1</v>
      </c>
      <c r="H8" s="34">
        <v>0</v>
      </c>
      <c r="I8" s="117" t="e">
        <f>Таблица2[[#This Row],[Общее кол-во]]-SUM(Таблица2[[#This Row],[1.n1]:[11.n1]])</f>
        <v>#REF!</v>
      </c>
      <c r="J8" s="119">
        <f ca="1">SUM(Таблица2[[#This Row],[1.n]:[12.n]])</f>
        <v>0</v>
      </c>
      <c r="K8" s="98" t="e">
        <f>#REF!</f>
        <v>#REF!</v>
      </c>
      <c r="L8" s="98" t="e">
        <f>#REF!</f>
        <v>#REF!</v>
      </c>
      <c r="M8" s="98" t="e">
        <f>#REF!</f>
        <v>#REF!</v>
      </c>
      <c r="N8" s="98" t="e">
        <f>'4.n'!#REF!</f>
        <v>#REF!</v>
      </c>
      <c r="O8" s="98" t="e">
        <f>#REF!</f>
        <v>#REF!</v>
      </c>
      <c r="P8" s="98" t="e">
        <f>#REF!</f>
        <v>#REF!</v>
      </c>
      <c r="Q8" s="98" t="e">
        <f>#REF!</f>
        <v>#REF!</v>
      </c>
      <c r="R8" s="98" t="e">
        <f>#REF!</f>
        <v>#REF!</v>
      </c>
      <c r="S8" s="98" t="e">
        <f>#REF!</f>
        <v>#REF!</v>
      </c>
      <c r="T8" s="98" t="e">
        <f>#REF!</f>
        <v>#REF!</v>
      </c>
      <c r="U8" s="98"/>
      <c r="V8" s="98"/>
      <c r="W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" s="98" t="str">
        <f t="shared" ca="1" si="1"/>
        <v>2.n</v>
      </c>
      <c r="Y8" s="98"/>
      <c r="Z8" s="98"/>
      <c r="AA8" s="98"/>
      <c r="AB8" s="98"/>
      <c r="AC8" s="98"/>
      <c r="AD8" s="98"/>
      <c r="AE8" s="98"/>
      <c r="AF8" s="98"/>
      <c r="AG8" s="98"/>
      <c r="AH8" s="98"/>
      <c r="BP8" s="180"/>
      <c r="BQ8" s="180"/>
      <c r="BR8" s="180"/>
      <c r="BS8" s="180"/>
      <c r="BT8" s="180"/>
      <c r="BU8" s="180"/>
      <c r="BV8" s="180"/>
    </row>
    <row r="9" spans="1:84" hidden="1" x14ac:dyDescent="0.3">
      <c r="A9" s="25" t="s">
        <v>118</v>
      </c>
      <c r="B9" s="16"/>
      <c r="C9" s="59" t="s">
        <v>93</v>
      </c>
      <c r="D9" s="50"/>
      <c r="E9" s="50"/>
      <c r="F9" s="51" t="s">
        <v>3</v>
      </c>
      <c r="G9" s="52">
        <v>0.25</v>
      </c>
      <c r="H9" s="34">
        <v>0</v>
      </c>
      <c r="I9" s="117" t="e">
        <f>Таблица2[[#This Row],[Общее кол-во]]-SUM(Таблица2[[#This Row],[1.n1]:[11.n1]])</f>
        <v>#REF!</v>
      </c>
      <c r="J9" s="119">
        <f ca="1">SUM(Таблица2[[#This Row],[1.n]:[12.n]])</f>
        <v>0</v>
      </c>
      <c r="K9" s="98" t="e">
        <f>#REF!</f>
        <v>#REF!</v>
      </c>
      <c r="L9" s="98" t="e">
        <f>#REF!</f>
        <v>#REF!</v>
      </c>
      <c r="M9" s="98" t="e">
        <f>#REF!</f>
        <v>#REF!</v>
      </c>
      <c r="N9" s="98" t="e">
        <f>'4.n'!#REF!</f>
        <v>#REF!</v>
      </c>
      <c r="O9" s="98" t="e">
        <f>#REF!</f>
        <v>#REF!</v>
      </c>
      <c r="P9" s="98" t="e">
        <f>#REF!</f>
        <v>#REF!</v>
      </c>
      <c r="Q9" s="98" t="e">
        <f>#REF!</f>
        <v>#REF!</v>
      </c>
      <c r="R9" s="98" t="e">
        <f>#REF!</f>
        <v>#REF!</v>
      </c>
      <c r="S9" s="98" t="e">
        <f>#REF!</f>
        <v>#REF!</v>
      </c>
      <c r="T9" s="98" t="e">
        <f>#REF!</f>
        <v>#REF!</v>
      </c>
      <c r="U9" s="98"/>
      <c r="V9" s="98"/>
      <c r="W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" s="98" t="str">
        <f t="shared" ca="1" si="1"/>
        <v>2.n</v>
      </c>
      <c r="Y9" s="98"/>
      <c r="Z9" s="98"/>
      <c r="AA9" s="98"/>
      <c r="AB9" s="98"/>
      <c r="AC9" s="98"/>
      <c r="AD9" s="98"/>
      <c r="AE9" s="98"/>
      <c r="AF9" s="98"/>
      <c r="AG9" s="98"/>
      <c r="AH9" s="98"/>
      <c r="BP9" s="180"/>
      <c r="BQ9" s="180"/>
      <c r="BR9" s="180"/>
      <c r="BS9" s="180"/>
      <c r="BT9" s="180"/>
      <c r="BU9" s="180"/>
      <c r="BV9" s="180"/>
    </row>
    <row r="10" spans="1:84" hidden="1" x14ac:dyDescent="0.3">
      <c r="A10" s="26" t="s">
        <v>119</v>
      </c>
      <c r="B10" s="17"/>
      <c r="C10" s="53" t="s">
        <v>6</v>
      </c>
      <c r="D10" s="54"/>
      <c r="E10" s="54"/>
      <c r="F10" s="55" t="s">
        <v>4</v>
      </c>
      <c r="G10" s="56">
        <v>1.05</v>
      </c>
      <c r="H10" s="34">
        <v>0</v>
      </c>
      <c r="I10" s="117" t="e">
        <f>Таблица2[[#This Row],[Общее кол-во]]-SUM(Таблица2[[#This Row],[1.n1]:[11.n1]])</f>
        <v>#REF!</v>
      </c>
      <c r="J10" s="119">
        <f ca="1">SUM(Таблица2[[#This Row],[1.n]:[12.n]])</f>
        <v>0</v>
      </c>
      <c r="K10" s="98" t="e">
        <f>#REF!</f>
        <v>#REF!</v>
      </c>
      <c r="L10" s="98" t="e">
        <f>#REF!</f>
        <v>#REF!</v>
      </c>
      <c r="M10" s="98" t="e">
        <f>#REF!</f>
        <v>#REF!</v>
      </c>
      <c r="N10" s="98" t="e">
        <f>'4.n'!#REF!</f>
        <v>#REF!</v>
      </c>
      <c r="O10" s="98" t="e">
        <f>#REF!</f>
        <v>#REF!</v>
      </c>
      <c r="P10" s="98" t="e">
        <f>#REF!</f>
        <v>#REF!</v>
      </c>
      <c r="Q10" s="98" t="e">
        <f>#REF!</f>
        <v>#REF!</v>
      </c>
      <c r="R10" s="98" t="e">
        <f>#REF!</f>
        <v>#REF!</v>
      </c>
      <c r="S10" s="98" t="e">
        <f>#REF!</f>
        <v>#REF!</v>
      </c>
      <c r="T10" s="98" t="e">
        <f>#REF!</f>
        <v>#REF!</v>
      </c>
      <c r="U10" s="98"/>
      <c r="V10" s="98"/>
      <c r="W1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" s="98" t="str">
        <f t="shared" ca="1" si="1"/>
        <v>2.n</v>
      </c>
      <c r="Y10" s="98"/>
      <c r="Z10" s="98"/>
      <c r="AA10" s="98"/>
      <c r="AB10" s="98"/>
      <c r="AC10" s="98"/>
      <c r="AD10" s="98"/>
      <c r="AE10" s="98"/>
      <c r="AF10" s="98"/>
      <c r="AG10" s="98"/>
      <c r="AH10" s="98"/>
      <c r="BP10" s="180"/>
      <c r="BQ10" s="180"/>
      <c r="BR10" s="180"/>
      <c r="BS10" s="180"/>
      <c r="BT10" s="180"/>
      <c r="BU10" s="180"/>
      <c r="BV10" s="180"/>
    </row>
    <row r="11" spans="1:84" ht="31.2" hidden="1" x14ac:dyDescent="0.3">
      <c r="A11" s="25" t="s">
        <v>120</v>
      </c>
      <c r="B11" s="16" t="s">
        <v>121</v>
      </c>
      <c r="C11" s="57" t="s">
        <v>122</v>
      </c>
      <c r="D11" s="50"/>
      <c r="E11" s="50" t="s">
        <v>123</v>
      </c>
      <c r="F11" s="50" t="s">
        <v>96</v>
      </c>
      <c r="G11" s="58">
        <v>1</v>
      </c>
      <c r="H11" s="35">
        <v>0</v>
      </c>
      <c r="I11" s="117" t="e">
        <f>Таблица2[[#This Row],[Общее кол-во]]-SUM(Таблица2[[#This Row],[1.n1]:[11.n1]])</f>
        <v>#REF!</v>
      </c>
      <c r="J11" s="100">
        <f ca="1">SUM(Таблица2[[#This Row],[1.n]:[12.n]])</f>
        <v>0</v>
      </c>
      <c r="K11" s="98" t="e">
        <f>#REF!</f>
        <v>#REF!</v>
      </c>
      <c r="L11" s="98" t="e">
        <f>#REF!</f>
        <v>#REF!</v>
      </c>
      <c r="M11" s="98" t="e">
        <f>#REF!</f>
        <v>#REF!</v>
      </c>
      <c r="N11" s="98" t="e">
        <f>'4.n'!#REF!</f>
        <v>#REF!</v>
      </c>
      <c r="O11" s="98" t="e">
        <f>#REF!</f>
        <v>#REF!</v>
      </c>
      <c r="P11" s="98" t="e">
        <f>#REF!</f>
        <v>#REF!</v>
      </c>
      <c r="Q11" s="98" t="e">
        <f>#REF!</f>
        <v>#REF!</v>
      </c>
      <c r="R11" s="98" t="e">
        <f>#REF!</f>
        <v>#REF!</v>
      </c>
      <c r="S11" s="98" t="e">
        <f>#REF!</f>
        <v>#REF!</v>
      </c>
      <c r="T11" s="98" t="e">
        <f>#REF!</f>
        <v>#REF!</v>
      </c>
      <c r="U11" s="98"/>
      <c r="V11" s="98"/>
      <c r="W1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" s="98" t="str">
        <f t="shared" ca="1" si="1"/>
        <v>2.n</v>
      </c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BP11" s="180"/>
      <c r="BQ11" s="180"/>
      <c r="BR11" s="180"/>
      <c r="BS11" s="180"/>
      <c r="BT11" s="180"/>
      <c r="BU11" s="180"/>
      <c r="BV11" s="180"/>
    </row>
    <row r="12" spans="1:84" ht="31.2" hidden="1" x14ac:dyDescent="0.3">
      <c r="A12" s="26" t="s">
        <v>124</v>
      </c>
      <c r="B12" s="17"/>
      <c r="C12" s="49" t="s">
        <v>109</v>
      </c>
      <c r="D12" s="54"/>
      <c r="E12" s="54" t="s">
        <v>125</v>
      </c>
      <c r="F12" s="55" t="s">
        <v>3</v>
      </c>
      <c r="G12" s="56">
        <v>1.8</v>
      </c>
      <c r="H12" s="34">
        <v>0</v>
      </c>
      <c r="I12" s="117" t="e">
        <f>Таблица2[[#This Row],[Общее кол-во]]-SUM(Таблица2[[#This Row],[1.n1]:[11.n1]])</f>
        <v>#REF!</v>
      </c>
      <c r="J12" s="101">
        <f ca="1">SUM(Таблица2[[#This Row],[1.n]:[12.n]])</f>
        <v>0</v>
      </c>
      <c r="K12" s="98" t="e">
        <f>#REF!</f>
        <v>#REF!</v>
      </c>
      <c r="L12" s="98" t="e">
        <f>#REF!</f>
        <v>#REF!</v>
      </c>
      <c r="M12" s="98" t="e">
        <f>#REF!</f>
        <v>#REF!</v>
      </c>
      <c r="N12" s="98" t="e">
        <f>'4.n'!#REF!</f>
        <v>#REF!</v>
      </c>
      <c r="O12" s="98" t="e">
        <f>#REF!</f>
        <v>#REF!</v>
      </c>
      <c r="P12" s="98" t="e">
        <f>#REF!</f>
        <v>#REF!</v>
      </c>
      <c r="Q12" s="98" t="e">
        <f>#REF!</f>
        <v>#REF!</v>
      </c>
      <c r="R12" s="98" t="e">
        <f>#REF!</f>
        <v>#REF!</v>
      </c>
      <c r="S12" s="98" t="e">
        <f>#REF!</f>
        <v>#REF!</v>
      </c>
      <c r="T12" s="98" t="e">
        <f>#REF!</f>
        <v>#REF!</v>
      </c>
      <c r="U12" s="98"/>
      <c r="V12" s="98"/>
      <c r="W1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" s="98" t="str">
        <f t="shared" ca="1" si="1"/>
        <v>2.n</v>
      </c>
      <c r="Y12" s="98"/>
      <c r="Z12" s="98"/>
      <c r="AA12" s="98"/>
      <c r="AB12" s="98"/>
      <c r="AC12" s="98"/>
      <c r="AD12" s="98"/>
      <c r="AE12" s="98"/>
      <c r="AF12" s="98"/>
      <c r="AG12" s="98"/>
      <c r="AH12" s="98"/>
      <c r="BP12" s="180"/>
      <c r="BQ12" s="180"/>
      <c r="BR12" s="180"/>
      <c r="BS12" s="180"/>
      <c r="BT12" s="180"/>
      <c r="BU12" s="180"/>
      <c r="BV12" s="180"/>
    </row>
    <row r="13" spans="1:84" hidden="1" x14ac:dyDescent="0.3">
      <c r="A13" s="25" t="s">
        <v>126</v>
      </c>
      <c r="B13" s="16"/>
      <c r="C13" s="59" t="s">
        <v>127</v>
      </c>
      <c r="D13" s="50"/>
      <c r="E13" s="50"/>
      <c r="F13" s="51" t="s">
        <v>128</v>
      </c>
      <c r="G13" s="52">
        <v>0.3</v>
      </c>
      <c r="H13" s="34">
        <v>0</v>
      </c>
      <c r="I13" s="117" t="e">
        <f>Таблица2[[#This Row],[Общее кол-во]]-SUM(Таблица2[[#This Row],[1.n1]:[11.n1]])</f>
        <v>#REF!</v>
      </c>
      <c r="J13" s="101">
        <f ca="1">SUM(Таблица2[[#This Row],[1.n]:[12.n]])</f>
        <v>0</v>
      </c>
      <c r="K13" s="98" t="e">
        <f>#REF!</f>
        <v>#REF!</v>
      </c>
      <c r="L13" s="98" t="e">
        <f>#REF!</f>
        <v>#REF!</v>
      </c>
      <c r="M13" s="98" t="e">
        <f>#REF!</f>
        <v>#REF!</v>
      </c>
      <c r="N13" s="98" t="e">
        <f>'4.n'!#REF!</f>
        <v>#REF!</v>
      </c>
      <c r="O13" s="98" t="e">
        <f>#REF!</f>
        <v>#REF!</v>
      </c>
      <c r="P13" s="98" t="e">
        <f>#REF!</f>
        <v>#REF!</v>
      </c>
      <c r="Q13" s="98" t="e">
        <f>#REF!</f>
        <v>#REF!</v>
      </c>
      <c r="R13" s="98" t="e">
        <f>#REF!</f>
        <v>#REF!</v>
      </c>
      <c r="S13" s="98" t="e">
        <f>#REF!</f>
        <v>#REF!</v>
      </c>
      <c r="T13" s="98" t="e">
        <f>#REF!</f>
        <v>#REF!</v>
      </c>
      <c r="U13" s="98"/>
      <c r="V13" s="98"/>
      <c r="W1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3" s="98" t="str">
        <f t="shared" ca="1" si="1"/>
        <v>2.n</v>
      </c>
      <c r="Y13" s="98"/>
      <c r="Z13" s="98"/>
      <c r="AA13" s="98"/>
      <c r="AB13" s="98"/>
      <c r="AC13" s="98"/>
      <c r="AD13" s="98"/>
      <c r="AE13" s="98"/>
      <c r="AF13" s="98"/>
      <c r="AG13" s="98"/>
      <c r="AH13" s="98"/>
      <c r="BP13" s="180"/>
      <c r="BQ13" s="180"/>
      <c r="BR13" s="180"/>
      <c r="BS13" s="180"/>
      <c r="BT13" s="180"/>
      <c r="BU13" s="180"/>
      <c r="BV13" s="180"/>
    </row>
    <row r="14" spans="1:84" hidden="1" x14ac:dyDescent="0.3">
      <c r="A14" s="26" t="s">
        <v>129</v>
      </c>
      <c r="B14" s="17"/>
      <c r="C14" s="53" t="s">
        <v>130</v>
      </c>
      <c r="D14" s="54"/>
      <c r="E14" s="54"/>
      <c r="F14" s="55" t="s">
        <v>4</v>
      </c>
      <c r="G14" s="56">
        <v>1</v>
      </c>
      <c r="H14" s="34">
        <v>0</v>
      </c>
      <c r="I14" s="117" t="e">
        <f>Таблица2[[#This Row],[Общее кол-во]]-SUM(Таблица2[[#This Row],[1.n1]:[11.n1]])</f>
        <v>#REF!</v>
      </c>
      <c r="J14" s="100">
        <f ca="1">SUM(Таблица2[[#This Row],[1.n]:[12.n]])</f>
        <v>0</v>
      </c>
      <c r="K14" s="98" t="e">
        <f>#REF!</f>
        <v>#REF!</v>
      </c>
      <c r="L14" s="98" t="e">
        <f>#REF!</f>
        <v>#REF!</v>
      </c>
      <c r="M14" s="98" t="e">
        <f>#REF!</f>
        <v>#REF!</v>
      </c>
      <c r="N14" s="98" t="e">
        <f>'4.n'!#REF!</f>
        <v>#REF!</v>
      </c>
      <c r="O14" s="98" t="e">
        <f>#REF!</f>
        <v>#REF!</v>
      </c>
      <c r="P14" s="98" t="e">
        <f>#REF!</f>
        <v>#REF!</v>
      </c>
      <c r="Q14" s="98" t="e">
        <f>#REF!</f>
        <v>#REF!</v>
      </c>
      <c r="R14" s="98" t="e">
        <f>#REF!</f>
        <v>#REF!</v>
      </c>
      <c r="S14" s="98" t="e">
        <f>#REF!</f>
        <v>#REF!</v>
      </c>
      <c r="T14" s="98" t="e">
        <f>#REF!</f>
        <v>#REF!</v>
      </c>
      <c r="U14" s="98"/>
      <c r="V14" s="98"/>
      <c r="W1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" s="98" t="str">
        <f t="shared" ca="1" si="1"/>
        <v>2.n</v>
      </c>
      <c r="Y14" s="98"/>
      <c r="Z14" s="98"/>
      <c r="AA14" s="98"/>
      <c r="AB14" s="98"/>
      <c r="AC14" s="98"/>
      <c r="AD14" s="98"/>
      <c r="AE14" s="98"/>
      <c r="AF14" s="98"/>
      <c r="AG14" s="98"/>
      <c r="AH14" s="98"/>
      <c r="BP14" s="180"/>
      <c r="BQ14" s="180"/>
      <c r="BR14" s="180"/>
      <c r="BS14" s="180"/>
      <c r="BT14" s="180"/>
      <c r="BU14" s="180"/>
      <c r="BV14" s="180"/>
    </row>
    <row r="15" spans="1:84" hidden="1" x14ac:dyDescent="0.3">
      <c r="A15" s="25" t="s">
        <v>131</v>
      </c>
      <c r="B15" s="16"/>
      <c r="C15" s="59" t="s">
        <v>5</v>
      </c>
      <c r="D15" s="50"/>
      <c r="E15" s="50"/>
      <c r="F15" s="51" t="s">
        <v>3</v>
      </c>
      <c r="G15" s="52">
        <v>0.15</v>
      </c>
      <c r="H15" s="34">
        <v>0</v>
      </c>
      <c r="I15" s="117" t="e">
        <f>Таблица2[[#This Row],[Общее кол-во]]-SUM(Таблица2[[#This Row],[1.n1]:[11.n1]])</f>
        <v>#REF!</v>
      </c>
      <c r="J15" s="101">
        <f ca="1">SUM(Таблица2[[#This Row],[1.n]:[12.n]])</f>
        <v>0</v>
      </c>
      <c r="K15" s="98" t="e">
        <f>#REF!</f>
        <v>#REF!</v>
      </c>
      <c r="L15" s="98" t="e">
        <f>#REF!</f>
        <v>#REF!</v>
      </c>
      <c r="M15" s="98" t="e">
        <f>#REF!</f>
        <v>#REF!</v>
      </c>
      <c r="N15" s="98" t="e">
        <f>'4.n'!#REF!</f>
        <v>#REF!</v>
      </c>
      <c r="O15" s="98" t="e">
        <f>#REF!</f>
        <v>#REF!</v>
      </c>
      <c r="P15" s="98" t="e">
        <f>#REF!</f>
        <v>#REF!</v>
      </c>
      <c r="Q15" s="98" t="e">
        <f>#REF!</f>
        <v>#REF!</v>
      </c>
      <c r="R15" s="98" t="e">
        <f>#REF!</f>
        <v>#REF!</v>
      </c>
      <c r="S15" s="98" t="e">
        <f>#REF!</f>
        <v>#REF!</v>
      </c>
      <c r="T15" s="98" t="e">
        <f>#REF!</f>
        <v>#REF!</v>
      </c>
      <c r="U15" s="98"/>
      <c r="V15" s="98"/>
      <c r="W1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" s="98" t="str">
        <f t="shared" ca="1" si="1"/>
        <v>2.n</v>
      </c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BP15" s="180"/>
      <c r="BQ15" s="180"/>
      <c r="BR15" s="180"/>
      <c r="BS15" s="180"/>
      <c r="BT15" s="180"/>
      <c r="BU15" s="180"/>
      <c r="BV15" s="180"/>
    </row>
    <row r="16" spans="1:84" ht="31.2" hidden="1" x14ac:dyDescent="0.3">
      <c r="A16" s="26" t="s">
        <v>132</v>
      </c>
      <c r="B16" s="17" t="s">
        <v>121</v>
      </c>
      <c r="C16" s="63" t="s">
        <v>122</v>
      </c>
      <c r="D16" s="54"/>
      <c r="E16" s="54" t="s">
        <v>133</v>
      </c>
      <c r="F16" s="54" t="s">
        <v>96</v>
      </c>
      <c r="G16" s="64">
        <v>1</v>
      </c>
      <c r="H16" s="35">
        <v>0</v>
      </c>
      <c r="I16" s="117" t="e">
        <f>Таблица2[[#This Row],[Общее кол-во]]-SUM(Таблица2[[#This Row],[1.n1]:[11.n1]])</f>
        <v>#REF!</v>
      </c>
      <c r="J16" s="101">
        <f ca="1">SUM(Таблица2[[#This Row],[1.n]:[12.n]])</f>
        <v>0</v>
      </c>
      <c r="K16" s="98" t="e">
        <f>#REF!</f>
        <v>#REF!</v>
      </c>
      <c r="L16" s="98" t="e">
        <f>#REF!</f>
        <v>#REF!</v>
      </c>
      <c r="M16" s="98" t="e">
        <f>#REF!</f>
        <v>#REF!</v>
      </c>
      <c r="N16" s="98" t="e">
        <f>'4.n'!#REF!</f>
        <v>#REF!</v>
      </c>
      <c r="O16" s="98" t="e">
        <f>#REF!</f>
        <v>#REF!</v>
      </c>
      <c r="P16" s="98" t="e">
        <f>#REF!</f>
        <v>#REF!</v>
      </c>
      <c r="Q16" s="98" t="e">
        <f>#REF!</f>
        <v>#REF!</v>
      </c>
      <c r="R16" s="98" t="e">
        <f>#REF!</f>
        <v>#REF!</v>
      </c>
      <c r="S16" s="98" t="e">
        <f>#REF!</f>
        <v>#REF!</v>
      </c>
      <c r="T16" s="98" t="e">
        <f>#REF!</f>
        <v>#REF!</v>
      </c>
      <c r="U16" s="98"/>
      <c r="V16" s="98"/>
      <c r="W1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6" s="98" t="str">
        <f t="shared" ca="1" si="1"/>
        <v>2.n</v>
      </c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BP16" s="180"/>
      <c r="BQ16" s="180"/>
      <c r="BR16" s="180"/>
      <c r="BS16" s="180"/>
      <c r="BT16" s="180"/>
      <c r="BU16" s="180"/>
      <c r="BV16" s="180"/>
    </row>
    <row r="17" spans="1:86" hidden="1" x14ac:dyDescent="0.3">
      <c r="A17" s="25" t="s">
        <v>134</v>
      </c>
      <c r="B17" s="16"/>
      <c r="C17" s="59" t="s">
        <v>5</v>
      </c>
      <c r="D17" s="50"/>
      <c r="E17" s="50"/>
      <c r="F17" s="51" t="s">
        <v>3</v>
      </c>
      <c r="G17" s="52">
        <v>0.15</v>
      </c>
      <c r="H17" s="34">
        <v>0</v>
      </c>
      <c r="I17" s="117" t="e">
        <f>Таблица2[[#This Row],[Общее кол-во]]-SUM(Таблица2[[#This Row],[1.n1]:[11.n1]])</f>
        <v>#REF!</v>
      </c>
      <c r="J17" s="101">
        <f ca="1">SUM(Таблица2[[#This Row],[1.n]:[12.n]])</f>
        <v>0</v>
      </c>
      <c r="K17" s="98" t="e">
        <f>#REF!</f>
        <v>#REF!</v>
      </c>
      <c r="L17" s="98" t="e">
        <f>#REF!</f>
        <v>#REF!</v>
      </c>
      <c r="M17" s="98" t="e">
        <f>#REF!</f>
        <v>#REF!</v>
      </c>
      <c r="N17" s="98" t="e">
        <f>'4.n'!#REF!</f>
        <v>#REF!</v>
      </c>
      <c r="O17" s="98" t="e">
        <f>#REF!</f>
        <v>#REF!</v>
      </c>
      <c r="P17" s="98" t="e">
        <f>#REF!</f>
        <v>#REF!</v>
      </c>
      <c r="Q17" s="98" t="e">
        <f>#REF!</f>
        <v>#REF!</v>
      </c>
      <c r="R17" s="98" t="e">
        <f>#REF!</f>
        <v>#REF!</v>
      </c>
      <c r="S17" s="98" t="e">
        <f>#REF!</f>
        <v>#REF!</v>
      </c>
      <c r="T17" s="98" t="e">
        <f>#REF!</f>
        <v>#REF!</v>
      </c>
      <c r="U17" s="98"/>
      <c r="V17" s="98"/>
      <c r="W1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" s="98" t="str">
        <f t="shared" ca="1" si="1"/>
        <v>2.n</v>
      </c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BP17" s="180"/>
      <c r="BQ17" s="180"/>
      <c r="BR17" s="180"/>
      <c r="BS17" s="180"/>
      <c r="BT17" s="180"/>
      <c r="BU17" s="180"/>
      <c r="BV17" s="180"/>
    </row>
    <row r="18" spans="1:86" ht="31.2" hidden="1" x14ac:dyDescent="0.3">
      <c r="A18" s="26" t="s">
        <v>135</v>
      </c>
      <c r="B18" s="17"/>
      <c r="C18" s="49" t="s">
        <v>109</v>
      </c>
      <c r="D18" s="54"/>
      <c r="E18" s="54" t="s">
        <v>136</v>
      </c>
      <c r="F18" s="55" t="s">
        <v>3</v>
      </c>
      <c r="G18" s="56">
        <v>1.8</v>
      </c>
      <c r="H18" s="34">
        <v>0</v>
      </c>
      <c r="I18" s="117" t="e">
        <f>Таблица2[[#This Row],[Общее кол-во]]-SUM(Таблица2[[#This Row],[1.n1]:[11.n1]])</f>
        <v>#REF!</v>
      </c>
      <c r="J18" s="100">
        <f ca="1">SUM(Таблица2[[#This Row],[1.n]:[12.n]])</f>
        <v>0</v>
      </c>
      <c r="K18" s="98" t="e">
        <f>#REF!</f>
        <v>#REF!</v>
      </c>
      <c r="L18" s="98" t="e">
        <f>#REF!</f>
        <v>#REF!</v>
      </c>
      <c r="M18" s="98" t="e">
        <f>#REF!</f>
        <v>#REF!</v>
      </c>
      <c r="N18" s="98" t="e">
        <f>'4.n'!#REF!</f>
        <v>#REF!</v>
      </c>
      <c r="O18" s="98" t="e">
        <f>#REF!</f>
        <v>#REF!</v>
      </c>
      <c r="P18" s="98" t="e">
        <f>#REF!</f>
        <v>#REF!</v>
      </c>
      <c r="Q18" s="98" t="e">
        <f>#REF!</f>
        <v>#REF!</v>
      </c>
      <c r="R18" s="98" t="e">
        <f>#REF!</f>
        <v>#REF!</v>
      </c>
      <c r="S18" s="98" t="e">
        <f>#REF!</f>
        <v>#REF!</v>
      </c>
      <c r="T18" s="98" t="e">
        <f>#REF!</f>
        <v>#REF!</v>
      </c>
      <c r="U18" s="98"/>
      <c r="V18" s="98"/>
      <c r="W1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" s="98" t="str">
        <f t="shared" ca="1" si="1"/>
        <v>2.n</v>
      </c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BP18" s="180"/>
      <c r="BQ18" s="180"/>
      <c r="BR18" s="180"/>
      <c r="BS18" s="180"/>
      <c r="BT18" s="180"/>
      <c r="BU18" s="180"/>
      <c r="BV18" s="180"/>
    </row>
    <row r="19" spans="1:86" ht="31.2" x14ac:dyDescent="0.3">
      <c r="A19" s="27" t="s">
        <v>137</v>
      </c>
      <c r="B19" s="18" t="s">
        <v>138</v>
      </c>
      <c r="C19" s="65" t="s">
        <v>139</v>
      </c>
      <c r="D19" s="14"/>
      <c r="E19" s="14" t="s">
        <v>140</v>
      </c>
      <c r="F19" s="14" t="s">
        <v>96</v>
      </c>
      <c r="G19" s="66">
        <v>1</v>
      </c>
      <c r="H19" s="33">
        <v>8128.4</v>
      </c>
      <c r="I19" s="121">
        <f ca="1">H19-J19</f>
        <v>8128.4</v>
      </c>
      <c r="J19" s="243">
        <f ca="1">SUM(Таблица2[[#This Row],[1.n]:[12.n]])</f>
        <v>0</v>
      </c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248">
        <f ca="1">SUMIFS(
    INDIRECT("'" &amp; INDIRECT(ADDRESS(1,COLUMN())) &amp; "'!$E$2:$E$1000"),
    INDIRECT("'" &amp; INDIRECT(ADDRESS(1,COLUMN())) &amp; "'!$B$2:$B$1000"),
    $C19,
    INDIRECT("'" &amp; INDIRECT(ADDRESS(1,COLUMN())) &amp; "'!$C$2:$C$1000"),
    $E19)</f>
        <v>0</v>
      </c>
      <c r="X19" s="248">
        <f ca="1">SUMIFS(
    INDIRECT("'" &amp; INDIRECT(ADDRESS(1,COLUMN())) &amp; "'!$E$2:$E$1000"),
    INDIRECT("'" &amp; INDIRECT(ADDRESS(1,COLUMN())) &amp; "'!$B$2:$B$1000"),
    $C19,
    INDIRECT("'" &amp; INDIRECT(ADDRESS(1,COLUMN())) &amp; "'!$C$2:$C$1000"),
    $E19)</f>
        <v>0</v>
      </c>
      <c r="Y19" s="248">
        <f ca="1">SUMIFS(
    INDIRECT("'" &amp; INDIRECT(ADDRESS(1,COLUMN())) &amp; "'!$E$2:$E$1000"),
    INDIRECT("'" &amp; INDIRECT(ADDRESS(1,COLUMN())) &amp; "'!$B$2:$B$1000"),
    $C19,
    INDIRECT("'" &amp; INDIRECT(ADDRESS(1,COLUMN())) &amp; "'!$C$2:$C$1000"),
    $E19)</f>
        <v>0</v>
      </c>
      <c r="Z19" s="248">
        <f t="shared" ref="Z19:AH19" ca="1" si="2">SUMIFS(
    INDIRECT("'" &amp; INDIRECT(ADDRESS(1,COLUMN())) &amp; "'!$E$2:$E$1000"),
    INDIRECT("'" &amp; INDIRECT(ADDRESS(1,COLUMN())) &amp; "'!$B$2:$B$1000"),
    $C19,
    INDIRECT("'" &amp; INDIRECT(ADDRESS(1,COLUMN())) &amp; "'!$C$2:$C$1000"),
    $E19)</f>
        <v>0</v>
      </c>
      <c r="AA19" s="248">
        <f t="shared" ca="1" si="2"/>
        <v>0</v>
      </c>
      <c r="AB19" s="248">
        <f t="shared" ca="1" si="2"/>
        <v>0</v>
      </c>
      <c r="AC19" s="248">
        <f t="shared" ca="1" si="2"/>
        <v>0</v>
      </c>
      <c r="AD19" s="248">
        <f t="shared" ca="1" si="2"/>
        <v>0</v>
      </c>
      <c r="AE19" s="248">
        <f t="shared" ca="1" si="2"/>
        <v>0</v>
      </c>
      <c r="AF19" s="248">
        <f t="shared" ca="1" si="2"/>
        <v>0</v>
      </c>
      <c r="AG19" s="248">
        <f t="shared" ca="1" si="2"/>
        <v>0</v>
      </c>
      <c r="AH19" s="248">
        <f t="shared" ca="1" si="2"/>
        <v>0</v>
      </c>
      <c r="BP19" s="180">
        <f>(BP36+BP41+BP56+BP60)*0.19</f>
        <v>244.15</v>
      </c>
      <c r="BQ19" s="180">
        <f t="shared" ref="BQ19:BV19" si="3">(BQ36+BQ41+BQ56+BQ60)*0.19</f>
        <v>188.68899999999999</v>
      </c>
      <c r="BR19" s="180">
        <f t="shared" si="3"/>
        <v>139.53600000000003</v>
      </c>
      <c r="BS19" s="180">
        <f t="shared" si="3"/>
        <v>328.22500000000002</v>
      </c>
      <c r="BT19" s="180">
        <f t="shared" si="3"/>
        <v>336.77499999999998</v>
      </c>
      <c r="BU19" s="180">
        <f t="shared" si="3"/>
        <v>183.02700000000002</v>
      </c>
      <c r="BV19" s="180">
        <f t="shared" si="3"/>
        <v>283.68899999999996</v>
      </c>
      <c r="BW19" s="179" t="s">
        <v>524</v>
      </c>
      <c r="BZ19" s="180"/>
      <c r="CA19" s="180"/>
      <c r="CB19" s="180"/>
      <c r="CC19" s="180"/>
      <c r="CD19" s="180"/>
      <c r="CE19" s="180"/>
      <c r="CF19" s="180"/>
    </row>
    <row r="20" spans="1:86" hidden="1" x14ac:dyDescent="0.3">
      <c r="A20" s="26" t="s">
        <v>141</v>
      </c>
      <c r="B20" s="17"/>
      <c r="C20" s="53" t="s">
        <v>142</v>
      </c>
      <c r="D20" s="54"/>
      <c r="E20" s="54"/>
      <c r="F20" s="55" t="s">
        <v>3</v>
      </c>
      <c r="G20" s="56">
        <v>1</v>
      </c>
      <c r="H20" s="34">
        <v>8128.4</v>
      </c>
      <c r="I20" s="117" t="e">
        <f>Таблица2[[#This Row],[Общее кол-во]]-SUM(Таблица2[[#This Row],[1.n1]:[11.n1]])</f>
        <v>#REF!</v>
      </c>
      <c r="J20" s="102">
        <f ca="1">SUM(Таблица2[[#This Row],[1.n]:[12.n]])</f>
        <v>0</v>
      </c>
      <c r="K20" s="98" t="e">
        <f>#REF!</f>
        <v>#REF!</v>
      </c>
      <c r="L20" s="98" t="e">
        <f>#REF!</f>
        <v>#REF!</v>
      </c>
      <c r="M20" s="98" t="e">
        <f>#REF!</f>
        <v>#REF!</v>
      </c>
      <c r="N20" s="98" t="e">
        <f>'4.n'!#REF!</f>
        <v>#REF!</v>
      </c>
      <c r="O20" s="98" t="e">
        <f>#REF!</f>
        <v>#REF!</v>
      </c>
      <c r="P20" s="98" t="e">
        <f>#REF!</f>
        <v>#REF!</v>
      </c>
      <c r="Q20" s="98" t="e">
        <f>#REF!</f>
        <v>#REF!</v>
      </c>
      <c r="R20" s="98" t="e">
        <f>#REF!</f>
        <v>#REF!</v>
      </c>
      <c r="S20" s="98" t="e">
        <f>#REF!</f>
        <v>#REF!</v>
      </c>
      <c r="T20" s="98" t="e">
        <f>#REF!</f>
        <v>#REF!</v>
      </c>
      <c r="U20" s="98"/>
      <c r="V20" s="98"/>
      <c r="W2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" s="98" t="str">
        <f t="shared" ca="1" si="1"/>
        <v>2.n</v>
      </c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BP20" s="180">
        <f t="shared" ref="BP20:BP21" si="4">(BP37+BP42+BP57+BP61)*0.2037</f>
        <v>0</v>
      </c>
      <c r="BQ20" s="180">
        <f t="shared" ref="BQ20:BV20" si="5">(BQ37+BQ42+BQ57+BQ61)*0.2037</f>
        <v>0</v>
      </c>
      <c r="BR20" s="180">
        <f t="shared" si="5"/>
        <v>0</v>
      </c>
      <c r="BS20" s="180">
        <f t="shared" si="5"/>
        <v>0</v>
      </c>
      <c r="BT20" s="180">
        <f t="shared" si="5"/>
        <v>0</v>
      </c>
      <c r="BU20" s="180">
        <f t="shared" si="5"/>
        <v>0</v>
      </c>
      <c r="BV20" s="180">
        <f t="shared" si="5"/>
        <v>0</v>
      </c>
      <c r="BZ20" s="180"/>
      <c r="CA20" s="180"/>
      <c r="CB20" s="180"/>
      <c r="CC20" s="180"/>
      <c r="CD20" s="180"/>
      <c r="CE20" s="180"/>
      <c r="CF20" s="180"/>
    </row>
    <row r="21" spans="1:86" hidden="1" x14ac:dyDescent="0.3">
      <c r="A21" s="25" t="s">
        <v>143</v>
      </c>
      <c r="B21" s="16"/>
      <c r="C21" s="59" t="s">
        <v>5</v>
      </c>
      <c r="D21" s="50"/>
      <c r="E21" s="50"/>
      <c r="F21" s="51" t="s">
        <v>3</v>
      </c>
      <c r="G21" s="52">
        <v>0.15</v>
      </c>
      <c r="H21" s="34">
        <v>1219.26</v>
      </c>
      <c r="I21" s="117" t="e">
        <f>Таблица2[[#This Row],[Общее кол-во]]-SUM(Таблица2[[#This Row],[1.n1]:[11.n1]])</f>
        <v>#REF!</v>
      </c>
      <c r="J21" s="101">
        <f ca="1">SUM(Таблица2[[#This Row],[1.n]:[12.n]])</f>
        <v>0</v>
      </c>
      <c r="K21" s="98" t="e">
        <f>#REF!</f>
        <v>#REF!</v>
      </c>
      <c r="L21" s="98" t="e">
        <f>#REF!</f>
        <v>#REF!</v>
      </c>
      <c r="M21" s="98" t="e">
        <f>#REF!</f>
        <v>#REF!</v>
      </c>
      <c r="N21" s="98" t="e">
        <f>'4.n'!#REF!</f>
        <v>#REF!</v>
      </c>
      <c r="O21" s="98" t="e">
        <f>#REF!</f>
        <v>#REF!</v>
      </c>
      <c r="P21" s="98" t="e">
        <f>#REF!</f>
        <v>#REF!</v>
      </c>
      <c r="Q21" s="98" t="e">
        <f>#REF!</f>
        <v>#REF!</v>
      </c>
      <c r="R21" s="98" t="e">
        <f>#REF!</f>
        <v>#REF!</v>
      </c>
      <c r="S21" s="98" t="e">
        <f>#REF!</f>
        <v>#REF!</v>
      </c>
      <c r="T21" s="98" t="e">
        <f>#REF!</f>
        <v>#REF!</v>
      </c>
      <c r="U21" s="98"/>
      <c r="V21" s="98"/>
      <c r="W2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" s="98" t="str">
        <f t="shared" ca="1" si="1"/>
        <v>2.n</v>
      </c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BP21" s="180">
        <f t="shared" si="4"/>
        <v>0</v>
      </c>
      <c r="BQ21" s="180">
        <f t="shared" ref="BQ21:BV21" si="6">(BQ38+BQ43+BQ58+BQ62)*0.2037</f>
        <v>0</v>
      </c>
      <c r="BR21" s="180">
        <f t="shared" si="6"/>
        <v>0</v>
      </c>
      <c r="BS21" s="180">
        <f t="shared" si="6"/>
        <v>0</v>
      </c>
      <c r="BT21" s="180">
        <f t="shared" si="6"/>
        <v>0</v>
      </c>
      <c r="BU21" s="180">
        <f t="shared" si="6"/>
        <v>0</v>
      </c>
      <c r="BV21" s="180">
        <f t="shared" si="6"/>
        <v>0</v>
      </c>
      <c r="BZ21" s="180"/>
      <c r="CA21" s="180"/>
      <c r="CB21" s="180"/>
      <c r="CC21" s="180"/>
      <c r="CD21" s="180"/>
      <c r="CE21" s="180"/>
      <c r="CF21" s="180"/>
    </row>
    <row r="22" spans="1:86" ht="31.2" x14ac:dyDescent="0.3">
      <c r="A22" s="24" t="s">
        <v>144</v>
      </c>
      <c r="B22" s="15" t="s">
        <v>138</v>
      </c>
      <c r="C22" s="46" t="s">
        <v>139</v>
      </c>
      <c r="D22" s="47"/>
      <c r="E22" s="47" t="s">
        <v>145</v>
      </c>
      <c r="F22" s="47" t="s">
        <v>96</v>
      </c>
      <c r="G22" s="48">
        <v>1</v>
      </c>
      <c r="H22" s="33">
        <v>7374</v>
      </c>
      <c r="I22" s="121">
        <f ca="1">H22-J22</f>
        <v>7374</v>
      </c>
      <c r="J22" s="243">
        <f ca="1">SUM(Таблица2[[#This Row],[1.n]:[12.n]])</f>
        <v>0</v>
      </c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248">
        <f ca="1">SUMIFS(
    INDIRECT("'" &amp; INDIRECT(ADDRESS(1,COLUMN())) &amp; "'!$E$2:$E$1000"),
    INDIRECT("'" &amp; INDIRECT(ADDRESS(1,COLUMN())) &amp; "'!$B$2:$B$1000"),
    $C22,
    INDIRECT("'" &amp; INDIRECT(ADDRESS(1,COLUMN())) &amp; "'!$C$2:$C$1000"),
    $E22)</f>
        <v>0</v>
      </c>
      <c r="X22" s="248">
        <f ca="1">SUMIFS(
    INDIRECT("'" &amp; INDIRECT(ADDRESS(1,COLUMN())) &amp; "'!$E$2:$E$1000"),
    INDIRECT("'" &amp; INDIRECT(ADDRESS(1,COLUMN())) &amp; "'!$B$2:$B$1000"),
    $C22,
    INDIRECT("'" &amp; INDIRECT(ADDRESS(1,COLUMN())) &amp; "'!$C$2:$C$1000"),
    $E22)</f>
        <v>0</v>
      </c>
      <c r="Y22" s="248">
        <f ca="1">SUMIFS(
    INDIRECT("'" &amp; INDIRECT(ADDRESS(1,COLUMN())) &amp; "'!$E$2:$E$1000"),
    INDIRECT("'" &amp; INDIRECT(ADDRESS(1,COLUMN())) &amp; "'!$B$2:$B$1000"),
    $C22,
    INDIRECT("'" &amp; INDIRECT(ADDRESS(1,COLUMN())) &amp; "'!$C$2:$C$1000"),
    $E22)</f>
        <v>0</v>
      </c>
      <c r="Z22" s="248">
        <f t="shared" ref="Z22:AH22" ca="1" si="7">SUMIFS(
    INDIRECT("'" &amp; INDIRECT(ADDRESS(1,COLUMN())) &amp; "'!$E$2:$E$1000"),
    INDIRECT("'" &amp; INDIRECT(ADDRESS(1,COLUMN())) &amp; "'!$B$2:$B$1000"),
    $C22,
    INDIRECT("'" &amp; INDIRECT(ADDRESS(1,COLUMN())) &amp; "'!$C$2:$C$1000"),
    $E22)</f>
        <v>0</v>
      </c>
      <c r="AA22" s="248">
        <f t="shared" ca="1" si="7"/>
        <v>0</v>
      </c>
      <c r="AB22" s="248">
        <f t="shared" ca="1" si="7"/>
        <v>0</v>
      </c>
      <c r="AC22" s="248">
        <f t="shared" ca="1" si="7"/>
        <v>0</v>
      </c>
      <c r="AD22" s="248">
        <f t="shared" ca="1" si="7"/>
        <v>0</v>
      </c>
      <c r="AE22" s="248">
        <f t="shared" ca="1" si="7"/>
        <v>0</v>
      </c>
      <c r="AF22" s="248">
        <f t="shared" ca="1" si="7"/>
        <v>0</v>
      </c>
      <c r="AG22" s="248">
        <f t="shared" ca="1" si="7"/>
        <v>0</v>
      </c>
      <c r="AH22" s="248">
        <f t="shared" ca="1" si="7"/>
        <v>0</v>
      </c>
      <c r="BP22" s="180">
        <f>(BP46+BP51+BP64+BP68)*0.24</f>
        <v>364.03200000000004</v>
      </c>
      <c r="BQ22" s="180">
        <f t="shared" ref="BQ22:BV22" si="8">(BQ46+BQ51+BQ64+BQ68)*0.24</f>
        <v>301.39200000000005</v>
      </c>
      <c r="BR22" s="180">
        <f t="shared" si="8"/>
        <v>86.903999999999996</v>
      </c>
      <c r="BS22" s="180">
        <f t="shared" si="8"/>
        <v>347.47199999999998</v>
      </c>
      <c r="BT22" s="180">
        <f t="shared" si="8"/>
        <v>287.52</v>
      </c>
      <c r="BU22" s="180">
        <f t="shared" si="8"/>
        <v>229.96799999999999</v>
      </c>
      <c r="BV22" s="180">
        <f t="shared" si="8"/>
        <v>308.64</v>
      </c>
      <c r="BW22" s="179" t="s">
        <v>525</v>
      </c>
      <c r="BZ22" s="180"/>
      <c r="CA22" s="180"/>
      <c r="CB22" s="180"/>
      <c r="CC22" s="180"/>
      <c r="CD22" s="180"/>
      <c r="CE22" s="180"/>
      <c r="CF22" s="180"/>
    </row>
    <row r="23" spans="1:86" hidden="1" x14ac:dyDescent="0.3">
      <c r="A23" s="25" t="s">
        <v>146</v>
      </c>
      <c r="B23" s="16"/>
      <c r="C23" s="59" t="s">
        <v>5</v>
      </c>
      <c r="D23" s="50"/>
      <c r="E23" s="50"/>
      <c r="F23" s="51" t="s">
        <v>3</v>
      </c>
      <c r="G23" s="52">
        <v>0.15</v>
      </c>
      <c r="H23" s="34">
        <v>1106.0999999999999</v>
      </c>
      <c r="I23" s="117" t="e">
        <f>Таблица2[[#This Row],[Общее кол-во]]-SUM(Таблица2[[#This Row],[1.n1]:[11.n1]])</f>
        <v>#REF!</v>
      </c>
      <c r="J23" s="101">
        <f ca="1">SUM(Таблица2[[#This Row],[1.n]:[12.n]])</f>
        <v>0</v>
      </c>
      <c r="K23" s="98" t="e">
        <f>#REF!</f>
        <v>#REF!</v>
      </c>
      <c r="L23" s="98" t="e">
        <f>#REF!</f>
        <v>#REF!</v>
      </c>
      <c r="M23" s="98" t="e">
        <f>#REF!</f>
        <v>#REF!</v>
      </c>
      <c r="N23" s="98" t="e">
        <f>'4.n'!#REF!</f>
        <v>#REF!</v>
      </c>
      <c r="O23" s="98" t="e">
        <f>#REF!</f>
        <v>#REF!</v>
      </c>
      <c r="P23" s="98" t="e">
        <f>#REF!</f>
        <v>#REF!</v>
      </c>
      <c r="Q23" s="98" t="e">
        <f>#REF!</f>
        <v>#REF!</v>
      </c>
      <c r="R23" s="98" t="e">
        <f>#REF!</f>
        <v>#REF!</v>
      </c>
      <c r="S23" s="98" t="e">
        <f>#REF!</f>
        <v>#REF!</v>
      </c>
      <c r="T23" s="98" t="e">
        <f>#REF!</f>
        <v>#REF!</v>
      </c>
      <c r="U23" s="98"/>
      <c r="V23" s="98"/>
      <c r="W2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" s="98" t="str">
        <f t="shared" ca="1" si="1"/>
        <v>2.n</v>
      </c>
      <c r="Y23" s="98"/>
      <c r="Z23" s="98"/>
      <c r="AA23" s="98"/>
      <c r="AB23" s="98"/>
      <c r="AC23" s="98"/>
      <c r="AD23" s="98"/>
      <c r="AE23" s="98"/>
      <c r="AF23" s="98"/>
      <c r="AG23" s="98"/>
      <c r="AH23" s="98"/>
      <c r="BP23" s="180"/>
      <c r="BQ23" s="180"/>
      <c r="BR23" s="180"/>
      <c r="BS23" s="180"/>
      <c r="BT23" s="180"/>
      <c r="BU23" s="180"/>
      <c r="BV23" s="180"/>
      <c r="BZ23" s="180"/>
      <c r="CA23" s="180"/>
      <c r="CB23" s="180"/>
      <c r="CC23" s="180"/>
      <c r="CD23" s="180"/>
      <c r="CE23" s="180"/>
      <c r="CF23" s="180"/>
    </row>
    <row r="24" spans="1:86" hidden="1" x14ac:dyDescent="0.3">
      <c r="A24" s="26" t="s">
        <v>147</v>
      </c>
      <c r="B24" s="17"/>
      <c r="C24" s="53" t="s">
        <v>142</v>
      </c>
      <c r="D24" s="54"/>
      <c r="E24" s="54"/>
      <c r="F24" s="55" t="s">
        <v>3</v>
      </c>
      <c r="G24" s="56">
        <v>1</v>
      </c>
      <c r="H24" s="34">
        <v>7374</v>
      </c>
      <c r="I24" s="117" t="e">
        <f>Таблица2[[#This Row],[Общее кол-во]]-SUM(Таблица2[[#This Row],[1.n1]:[11.n1]])</f>
        <v>#REF!</v>
      </c>
      <c r="J24" s="101">
        <f ca="1">SUM(Таблица2[[#This Row],[1.n]:[12.n]])</f>
        <v>0</v>
      </c>
      <c r="K24" s="98" t="e">
        <f>#REF!</f>
        <v>#REF!</v>
      </c>
      <c r="L24" s="98" t="e">
        <f>#REF!</f>
        <v>#REF!</v>
      </c>
      <c r="M24" s="98" t="e">
        <f>#REF!</f>
        <v>#REF!</v>
      </c>
      <c r="N24" s="98" t="e">
        <f>'4.n'!#REF!</f>
        <v>#REF!</v>
      </c>
      <c r="O24" s="98" t="e">
        <f>#REF!</f>
        <v>#REF!</v>
      </c>
      <c r="P24" s="98" t="e">
        <f>#REF!</f>
        <v>#REF!</v>
      </c>
      <c r="Q24" s="98" t="e">
        <f>#REF!</f>
        <v>#REF!</v>
      </c>
      <c r="R24" s="98" t="e">
        <f>#REF!</f>
        <v>#REF!</v>
      </c>
      <c r="S24" s="98" t="e">
        <f>#REF!</f>
        <v>#REF!</v>
      </c>
      <c r="T24" s="98" t="e">
        <f>#REF!</f>
        <v>#REF!</v>
      </c>
      <c r="U24" s="98"/>
      <c r="V24" s="98"/>
      <c r="W2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" s="98" t="str">
        <f t="shared" ca="1" si="1"/>
        <v>2.n</v>
      </c>
      <c r="Y24" s="98"/>
      <c r="Z24" s="98"/>
      <c r="AA24" s="98"/>
      <c r="AB24" s="98"/>
      <c r="AC24" s="98"/>
      <c r="AD24" s="98"/>
      <c r="AE24" s="98"/>
      <c r="AF24" s="98"/>
      <c r="AG24" s="98"/>
      <c r="AH24" s="98"/>
      <c r="BP24" s="180"/>
      <c r="BQ24" s="180"/>
      <c r="BR24" s="180"/>
      <c r="BS24" s="180"/>
      <c r="BT24" s="180"/>
      <c r="BU24" s="180"/>
      <c r="BV24" s="180"/>
      <c r="BZ24" s="180"/>
      <c r="CA24" s="180"/>
      <c r="CB24" s="180"/>
      <c r="CC24" s="180"/>
      <c r="CD24" s="180"/>
      <c r="CE24" s="180"/>
      <c r="CF24" s="180"/>
    </row>
    <row r="25" spans="1:86" x14ac:dyDescent="0.3">
      <c r="A25" s="27" t="s">
        <v>148</v>
      </c>
      <c r="B25" s="18" t="s">
        <v>138</v>
      </c>
      <c r="C25" s="65" t="s">
        <v>139</v>
      </c>
      <c r="D25" s="14"/>
      <c r="E25" s="14" t="s">
        <v>149</v>
      </c>
      <c r="F25" s="14" t="s">
        <v>96</v>
      </c>
      <c r="G25" s="66">
        <v>1</v>
      </c>
      <c r="H25" s="33">
        <v>8128.4</v>
      </c>
      <c r="I25" s="249">
        <f ca="1">H25-J25</f>
        <v>313.19999999999982</v>
      </c>
      <c r="J25" s="243">
        <f ca="1">SUM(Таблица2[[#This Row],[1.n]:[12.n]])</f>
        <v>7815.2</v>
      </c>
      <c r="K25" s="97" t="e">
        <f>#REF!</f>
        <v>#REF!</v>
      </c>
      <c r="L25" s="97" t="e">
        <f>#REF!</f>
        <v>#REF!</v>
      </c>
      <c r="M25" s="97" t="e">
        <f>#REF!</f>
        <v>#REF!</v>
      </c>
      <c r="N25" s="97" t="e">
        <f>'4.n'!#REF!</f>
        <v>#REF!</v>
      </c>
      <c r="O25" s="97"/>
      <c r="P25" s="97"/>
      <c r="Q25" s="97" t="e">
        <f>#REF!</f>
        <v>#REF!</v>
      </c>
      <c r="R25" s="97" t="e">
        <f>#REF!</f>
        <v>#REF!</v>
      </c>
      <c r="S25" s="97" t="e">
        <f>#REF!</f>
        <v>#REF!</v>
      </c>
      <c r="T25" s="97"/>
      <c r="U25" s="97">
        <v>0</v>
      </c>
      <c r="V25" s="97"/>
      <c r="W25" s="248">
        <f ca="1">SUMIFS(
    INDIRECT("'" &amp; INDIRECT(ADDRESS(1,COLUMN())) &amp; "'!$E$2:$E$1000"),
    INDIRECT("'" &amp; INDIRECT(ADDRESS(1,COLUMN())) &amp; "'!$B$2:$B$1000"),
    $C25,
    INDIRECT("'" &amp; INDIRECT(ADDRESS(1,COLUMN())) &amp; "'!$C$2:$C$1000"),
    $E25)</f>
        <v>1178.9000000000001</v>
      </c>
      <c r="X25" s="248">
        <f ca="1">SUMIFS(
    INDIRECT("'" &amp; INDIRECT(ADDRESS(1,COLUMN())) &amp; "'!$E$2:$E$1000"),
    INDIRECT("'" &amp; INDIRECT(ADDRESS(1,COLUMN())) &amp; "'!$B$2:$B$1000"),
    $C25,
    INDIRECT("'" &amp; INDIRECT(ADDRESS(1,COLUMN())) &amp; "'!$C$2:$C$1000"),
    $E25)</f>
        <v>630.70000000000005</v>
      </c>
      <c r="Y25" s="248">
        <f ca="1">SUMIFS(
    INDIRECT("'" &amp; INDIRECT(ADDRESS(1,COLUMN())) &amp; "'!$E$2:$E$1000"),
    INDIRECT("'" &amp; INDIRECT(ADDRESS(1,COLUMN())) &amp; "'!$B$2:$B$1000"),
    $C25,
    INDIRECT("'" &amp; INDIRECT(ADDRESS(1,COLUMN())) &amp; "'!$C$2:$C$1000"),
    $E25)</f>
        <v>716.89999999999986</v>
      </c>
      <c r="Z25" s="248">
        <f t="shared" ref="Z25:AH25" ca="1" si="9">SUMIFS(
    INDIRECT("'" &amp; INDIRECT(ADDRESS(1,COLUMN())) &amp; "'!$E$2:$E$1000"),
    INDIRECT("'" &amp; INDIRECT(ADDRESS(1,COLUMN())) &amp; "'!$B$2:$B$1000"),
    $C25,
    INDIRECT("'" &amp; INDIRECT(ADDRESS(1,COLUMN())) &amp; "'!$C$2:$C$1000"),
    $E25)</f>
        <v>932.8</v>
      </c>
      <c r="AA25" s="248">
        <f t="shared" ca="1" si="9"/>
        <v>0</v>
      </c>
      <c r="AB25" s="248">
        <f t="shared" ca="1" si="9"/>
        <v>0</v>
      </c>
      <c r="AC25" s="248">
        <f t="shared" ca="1" si="9"/>
        <v>1915.6999999999998</v>
      </c>
      <c r="AD25" s="248">
        <f t="shared" ca="1" si="9"/>
        <v>653.50000000000011</v>
      </c>
      <c r="AE25" s="248">
        <f t="shared" ca="1" si="9"/>
        <v>1108.6999999999998</v>
      </c>
      <c r="AF25" s="248">
        <f t="shared" ca="1" si="9"/>
        <v>0</v>
      </c>
      <c r="AG25" s="248">
        <f t="shared" ca="1" si="9"/>
        <v>678</v>
      </c>
      <c r="AH25" s="248">
        <f t="shared" ca="1" si="9"/>
        <v>0</v>
      </c>
      <c r="AJ25" s="179">
        <v>8052.2</v>
      </c>
      <c r="AK25" s="250">
        <f>AK56+AK60+AK64+AK68</f>
        <v>1198.9000000000001</v>
      </c>
      <c r="AL25" s="250">
        <f t="shared" ref="AL25:AV25" si="10">AL56+AL60+AL64+AL68</f>
        <v>638.9</v>
      </c>
      <c r="AM25" s="250">
        <f t="shared" si="10"/>
        <v>734.39999999999986</v>
      </c>
      <c r="AN25" s="250">
        <f t="shared" si="10"/>
        <v>1618.1</v>
      </c>
      <c r="AO25" s="250">
        <f t="shared" si="10"/>
        <v>5308</v>
      </c>
      <c r="AP25" s="250">
        <f t="shared" si="10"/>
        <v>1929.3</v>
      </c>
      <c r="AQ25" s="250">
        <f t="shared" si="10"/>
        <v>1954.3</v>
      </c>
      <c r="AR25" s="250">
        <f t="shared" si="10"/>
        <v>668</v>
      </c>
      <c r="AS25" s="250">
        <f t="shared" si="10"/>
        <v>1136.3</v>
      </c>
      <c r="AT25" s="250">
        <f t="shared" si="10"/>
        <v>994.8</v>
      </c>
      <c r="AU25" s="250">
        <f t="shared" si="10"/>
        <v>0</v>
      </c>
      <c r="AV25" s="250">
        <f t="shared" si="10"/>
        <v>0</v>
      </c>
      <c r="AX25" s="250">
        <f ca="1">AX56+AX60+AX64+AX68</f>
        <v>19.999999999999886</v>
      </c>
      <c r="AY25" s="250">
        <f t="shared" ref="AY25:BI25" ca="1" si="11">AY56+AY60+AY64+AY68</f>
        <v>8.1999999999999886</v>
      </c>
      <c r="AZ25" s="250">
        <f t="shared" ca="1" si="11"/>
        <v>17.499999999999943</v>
      </c>
      <c r="BA25" s="250">
        <f t="shared" ca="1" si="11"/>
        <v>31.800000000000011</v>
      </c>
      <c r="BB25" s="250">
        <f t="shared" ca="1" si="11"/>
        <v>1412</v>
      </c>
      <c r="BC25" s="250">
        <f t="shared" ca="1" si="11"/>
        <v>224</v>
      </c>
      <c r="BD25" s="250">
        <f t="shared" ca="1" si="11"/>
        <v>38.600000000000023</v>
      </c>
      <c r="BE25" s="250">
        <f t="shared" ca="1" si="11"/>
        <v>14.499999999999943</v>
      </c>
      <c r="BF25" s="250">
        <f t="shared" ca="1" si="11"/>
        <v>27.600000000000023</v>
      </c>
      <c r="BG25" s="250">
        <f t="shared" ca="1" si="11"/>
        <v>149.6999999999999</v>
      </c>
      <c r="BH25" s="250">
        <f t="shared" si="11"/>
        <v>0</v>
      </c>
      <c r="BI25" s="250">
        <f t="shared" si="11"/>
        <v>0</v>
      </c>
      <c r="BP25" s="180">
        <f>SUM(BP56:BP60)</f>
        <v>1285</v>
      </c>
      <c r="BQ25" s="180">
        <f t="shared" ref="BQ25:BV25" si="12">SUM(BQ56:BQ60)</f>
        <v>747.3</v>
      </c>
      <c r="BR25" s="180">
        <f t="shared" si="12"/>
        <v>734.40000000000009</v>
      </c>
      <c r="BS25" s="188">
        <v>1883.2</v>
      </c>
      <c r="BT25" s="180">
        <f t="shared" si="12"/>
        <v>1319</v>
      </c>
      <c r="BU25" s="180">
        <f t="shared" si="12"/>
        <v>770.6</v>
      </c>
      <c r="BV25" s="180">
        <f t="shared" si="12"/>
        <v>1402.3</v>
      </c>
      <c r="BW25" s="179">
        <f>SUM(BP25:BV25)-Таблица2[[#This Row],[Общее кол-во]]</f>
        <v>13.400000000000546</v>
      </c>
      <c r="BZ25" s="180"/>
      <c r="CA25" s="180"/>
      <c r="CB25" s="180"/>
      <c r="CC25" s="180"/>
      <c r="CD25" s="180"/>
      <c r="CE25" s="180"/>
      <c r="CF25" s="180"/>
      <c r="CH25" s="254">
        <f t="shared" ref="CH25:CH35" si="13">SUM(BZ25:CF25)</f>
        <v>0</v>
      </c>
    </row>
    <row r="26" spans="1:86" ht="31.2" hidden="1" x14ac:dyDescent="0.3">
      <c r="A26" s="28" t="s">
        <v>150</v>
      </c>
      <c r="B26" s="19"/>
      <c r="C26" s="68" t="s">
        <v>109</v>
      </c>
      <c r="D26" s="69"/>
      <c r="E26" s="69"/>
      <c r="F26" s="70" t="s">
        <v>3</v>
      </c>
      <c r="G26" s="71">
        <v>1.8</v>
      </c>
      <c r="H26" s="34">
        <v>14631.12</v>
      </c>
      <c r="I26" s="117" t="e">
        <f>Таблица2[[#This Row],[Общее кол-во]]-SUM(Таблица2[[#This Row],[1.n1]:[11.n1]])</f>
        <v>#REF!</v>
      </c>
      <c r="J26" s="101">
        <f ca="1">SUM(Таблица2[[#This Row],[1.n]:[12.n]])</f>
        <v>0</v>
      </c>
      <c r="K26" s="98" t="e">
        <f>#REF!</f>
        <v>#REF!</v>
      </c>
      <c r="L26" s="98" t="e">
        <f>#REF!</f>
        <v>#REF!</v>
      </c>
      <c r="M26" s="98" t="e">
        <f>#REF!</f>
        <v>#REF!</v>
      </c>
      <c r="N26" s="98" t="e">
        <f>#REF!</f>
        <v>#REF!</v>
      </c>
      <c r="O26" s="98" t="e">
        <f>#REF!</f>
        <v>#REF!</v>
      </c>
      <c r="P26" s="98" t="e">
        <f>#REF!</f>
        <v>#REF!</v>
      </c>
      <c r="Q26" s="98" t="e">
        <f>#REF!</f>
        <v>#REF!</v>
      </c>
      <c r="R26" s="98" t="e">
        <f>#REF!</f>
        <v>#REF!</v>
      </c>
      <c r="S26" s="98" t="e">
        <f>#REF!</f>
        <v>#REF!</v>
      </c>
      <c r="T26" s="98" t="e">
        <f>#REF!</f>
        <v>#REF!</v>
      </c>
      <c r="U26" s="98"/>
      <c r="V26" s="98"/>
      <c r="W2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6" s="98" t="str">
        <f t="shared" ca="1" si="1"/>
        <v>2.n</v>
      </c>
      <c r="Y26" s="98"/>
      <c r="Z26" s="98"/>
      <c r="AA26" s="98"/>
      <c r="AB26" s="98"/>
      <c r="AC26" s="98"/>
      <c r="AD26" s="98"/>
      <c r="AE26" s="98"/>
      <c r="AF26" s="98"/>
      <c r="AG26" s="98"/>
      <c r="AH26" s="98"/>
      <c r="AK26" s="250"/>
      <c r="AL26" s="250"/>
      <c r="AM26" s="250"/>
      <c r="AN26" s="250"/>
      <c r="AO26" s="250"/>
      <c r="AP26" s="250"/>
      <c r="AQ26" s="250"/>
      <c r="AR26" s="250"/>
      <c r="AS26" s="250"/>
      <c r="AT26" s="250"/>
      <c r="AU26" s="250"/>
      <c r="AV26" s="250"/>
      <c r="AX26" s="250"/>
      <c r="AY26" s="250"/>
      <c r="AZ26" s="250"/>
      <c r="BA26" s="250"/>
      <c r="BB26" s="250"/>
      <c r="BC26" s="250"/>
      <c r="BD26" s="250"/>
      <c r="BE26" s="250"/>
      <c r="BF26" s="250"/>
      <c r="BG26" s="250"/>
      <c r="BH26" s="250"/>
      <c r="BI26" s="250"/>
      <c r="BP26" s="180"/>
      <c r="BQ26" s="180"/>
      <c r="BR26" s="180"/>
      <c r="BS26" s="180"/>
      <c r="BT26" s="180"/>
      <c r="BU26" s="180"/>
      <c r="BV26" s="180"/>
      <c r="BW26" s="179">
        <f>SUM(BP26:BV26)-Таблица2[[#This Row],[Общее кол-во]]</f>
        <v>-14631.12</v>
      </c>
      <c r="BZ26" s="180"/>
      <c r="CA26" s="180"/>
      <c r="CB26" s="180"/>
      <c r="CC26" s="180"/>
      <c r="CD26" s="180"/>
      <c r="CE26" s="180"/>
      <c r="CF26" s="180"/>
      <c r="CH26" s="254">
        <f t="shared" si="13"/>
        <v>0</v>
      </c>
    </row>
    <row r="27" spans="1:86" hidden="1" x14ac:dyDescent="0.3">
      <c r="A27" s="29" t="s">
        <v>151</v>
      </c>
      <c r="B27" s="20"/>
      <c r="C27" s="72" t="s">
        <v>5</v>
      </c>
      <c r="D27" s="73"/>
      <c r="E27" s="73"/>
      <c r="F27" s="74" t="s">
        <v>3</v>
      </c>
      <c r="G27" s="75">
        <v>0.15</v>
      </c>
      <c r="H27" s="34">
        <v>1219.26</v>
      </c>
      <c r="I27" s="117" t="e">
        <f>Таблица2[[#This Row],[Общее кол-во]]-SUM(Таблица2[[#This Row],[1.n1]:[11.n1]])</f>
        <v>#REF!</v>
      </c>
      <c r="J27" s="101">
        <f ca="1">SUM(Таблица2[[#This Row],[1.n]:[12.n]])</f>
        <v>0</v>
      </c>
      <c r="K27" s="98" t="e">
        <f>#REF!</f>
        <v>#REF!</v>
      </c>
      <c r="L27" s="98" t="e">
        <f>#REF!</f>
        <v>#REF!</v>
      </c>
      <c r="M27" s="98" t="e">
        <f>#REF!</f>
        <v>#REF!</v>
      </c>
      <c r="N27" s="98" t="e">
        <f>#REF!</f>
        <v>#REF!</v>
      </c>
      <c r="O27" s="98" t="e">
        <f>#REF!</f>
        <v>#REF!</v>
      </c>
      <c r="P27" s="98" t="e">
        <f>#REF!</f>
        <v>#REF!</v>
      </c>
      <c r="Q27" s="98" t="e">
        <f>#REF!</f>
        <v>#REF!</v>
      </c>
      <c r="R27" s="98" t="e">
        <f>#REF!</f>
        <v>#REF!</v>
      </c>
      <c r="S27" s="98" t="e">
        <f>#REF!</f>
        <v>#REF!</v>
      </c>
      <c r="T27" s="98" t="e">
        <f>#REF!</f>
        <v>#REF!</v>
      </c>
      <c r="U27" s="98"/>
      <c r="V27" s="98"/>
      <c r="W2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7" s="98" t="str">
        <f t="shared" ca="1" si="1"/>
        <v>2.n</v>
      </c>
      <c r="Y27" s="98"/>
      <c r="Z27" s="98"/>
      <c r="AA27" s="98"/>
      <c r="AB27" s="98"/>
      <c r="AC27" s="98"/>
      <c r="AD27" s="98"/>
      <c r="AE27" s="98"/>
      <c r="AF27" s="98"/>
      <c r="AG27" s="98"/>
      <c r="AH27" s="98"/>
      <c r="AK27" s="250"/>
      <c r="AL27" s="250"/>
      <c r="AM27" s="250"/>
      <c r="AN27" s="250"/>
      <c r="AO27" s="250"/>
      <c r="AP27" s="250"/>
      <c r="AQ27" s="250"/>
      <c r="AR27" s="250"/>
      <c r="AS27" s="250"/>
      <c r="AT27" s="250"/>
      <c r="AU27" s="250"/>
      <c r="AV27" s="250"/>
      <c r="AX27" s="250"/>
      <c r="AY27" s="250"/>
      <c r="AZ27" s="250"/>
      <c r="BA27" s="250"/>
      <c r="BB27" s="250"/>
      <c r="BC27" s="250"/>
      <c r="BD27" s="250"/>
      <c r="BE27" s="250"/>
      <c r="BF27" s="250"/>
      <c r="BG27" s="250"/>
      <c r="BH27" s="250"/>
      <c r="BI27" s="250"/>
      <c r="BP27" s="180"/>
      <c r="BQ27" s="180"/>
      <c r="BR27" s="180"/>
      <c r="BS27" s="180"/>
      <c r="BT27" s="180"/>
      <c r="BU27" s="180"/>
      <c r="BV27" s="180"/>
      <c r="BW27" s="179">
        <f>SUM(BP27:BV27)-Таблица2[[#This Row],[Общее кол-во]]</f>
        <v>-1219.26</v>
      </c>
      <c r="BZ27" s="180"/>
      <c r="CA27" s="180"/>
      <c r="CB27" s="180"/>
      <c r="CC27" s="180"/>
      <c r="CD27" s="180"/>
      <c r="CE27" s="180"/>
      <c r="CF27" s="180"/>
      <c r="CH27" s="254">
        <f t="shared" si="13"/>
        <v>0</v>
      </c>
    </row>
    <row r="28" spans="1:86" x14ac:dyDescent="0.3">
      <c r="A28" s="24" t="s">
        <v>152</v>
      </c>
      <c r="B28" s="15" t="s">
        <v>138</v>
      </c>
      <c r="C28" s="46" t="s">
        <v>139</v>
      </c>
      <c r="D28" s="47"/>
      <c r="E28" s="47" t="s">
        <v>153</v>
      </c>
      <c r="F28" s="47" t="s">
        <v>96</v>
      </c>
      <c r="G28" s="48">
        <v>1</v>
      </c>
      <c r="H28" s="33">
        <v>7374</v>
      </c>
      <c r="I28" s="121">
        <f ca="1">H28-J28</f>
        <v>242.20000000000073</v>
      </c>
      <c r="J28" s="243">
        <f ca="1">SUM(Таблица2[[#This Row],[1.n]:[12.n]])</f>
        <v>7131.7999999999993</v>
      </c>
      <c r="K28" s="97"/>
      <c r="L28" s="97"/>
      <c r="M28" s="97"/>
      <c r="N28" s="97"/>
      <c r="O28" s="97" t="e">
        <f>#REF!</f>
        <v>#REF!</v>
      </c>
      <c r="P28" s="97" t="e">
        <f>#REF!</f>
        <v>#REF!</v>
      </c>
      <c r="Q28" s="97"/>
      <c r="R28" s="97"/>
      <c r="S28" s="97"/>
      <c r="T28" s="97" t="e">
        <f>#REF!</f>
        <v>#REF!</v>
      </c>
      <c r="U28" s="97"/>
      <c r="V28" s="97">
        <v>0</v>
      </c>
      <c r="W28" s="248">
        <f ca="1">SUMIFS(
    INDIRECT("'" &amp; INDIRECT(ADDRESS(1,COLUMN())) &amp; "'!$E$2:$E$1000"),
    INDIRECT("'" &amp; INDIRECT(ADDRESS(1,COLUMN())) &amp; "'!$B$2:$B$1000"),
    $C28,
    INDIRECT("'" &amp; INDIRECT(ADDRESS(1,COLUMN())) &amp; "'!$C$2:$C$1000"),
    $E28)</f>
        <v>0</v>
      </c>
      <c r="X28" s="248">
        <f ca="1">SUMIFS(
    INDIRECT("'" &amp; INDIRECT(ADDRESS(1,COLUMN())) &amp; "'!$E$2:$E$1000"),
    INDIRECT("'" &amp; INDIRECT(ADDRESS(1,COLUMN())) &amp; "'!$B$2:$B$1000"),
    $C28,
    INDIRECT("'" &amp; INDIRECT(ADDRESS(1,COLUMN())) &amp; "'!$C$2:$C$1000"),
    $E28)</f>
        <v>0</v>
      </c>
      <c r="Y28" s="248">
        <f ca="1">SUMIFS(
    INDIRECT("'" &amp; INDIRECT(ADDRESS(1,COLUMN())) &amp; "'!$E$2:$E$1000"),
    INDIRECT("'" &amp; INDIRECT(ADDRESS(1,COLUMN())) &amp; "'!$B$2:$B$1000"),
    $C28,
    INDIRECT("'" &amp; INDIRECT(ADDRESS(1,COLUMN())) &amp; "'!$C$2:$C$1000"),
    $E28)</f>
        <v>0</v>
      </c>
      <c r="Z28" s="248">
        <f t="shared" ref="Z28:AH28" ca="1" si="14">SUMIFS(
    INDIRECT("'" &amp; INDIRECT(ADDRESS(1,COLUMN())) &amp; "'!$E$2:$E$1000"),
    INDIRECT("'" &amp; INDIRECT(ADDRESS(1,COLUMN())) &amp; "'!$B$2:$B$1000"),
    $C28,
    INDIRECT("'" &amp; INDIRECT(ADDRESS(1,COLUMN())) &amp; "'!$C$2:$C$1000"),
    $E28)</f>
        <v>0</v>
      </c>
      <c r="AA28" s="248">
        <f t="shared" ca="1" si="14"/>
        <v>3896</v>
      </c>
      <c r="AB28" s="248">
        <f t="shared" ca="1" si="14"/>
        <v>1705.3000000000002</v>
      </c>
      <c r="AC28" s="248">
        <f t="shared" ca="1" si="14"/>
        <v>0</v>
      </c>
      <c r="AD28" s="248">
        <f t="shared" ca="1" si="14"/>
        <v>0</v>
      </c>
      <c r="AE28" s="248">
        <f t="shared" ca="1" si="14"/>
        <v>0</v>
      </c>
      <c r="AF28" s="248">
        <f t="shared" ca="1" si="14"/>
        <v>845.09999999999991</v>
      </c>
      <c r="AG28" s="248">
        <f t="shared" ca="1" si="14"/>
        <v>0</v>
      </c>
      <c r="AH28" s="248">
        <f t="shared" ca="1" si="14"/>
        <v>685.4</v>
      </c>
      <c r="AJ28" s="179">
        <f>AJ64+AJ68</f>
        <v>7298.0999999999995</v>
      </c>
      <c r="AK28" s="250">
        <v>0</v>
      </c>
      <c r="AL28" s="250"/>
      <c r="AM28" s="250"/>
      <c r="AN28" s="250"/>
      <c r="AO28" s="250"/>
      <c r="AP28" s="250"/>
      <c r="AQ28" s="250"/>
      <c r="AR28" s="250"/>
      <c r="AS28" s="250"/>
      <c r="AT28" s="250"/>
      <c r="AU28" s="250"/>
      <c r="AV28" s="250"/>
      <c r="AX28" s="250">
        <v>0</v>
      </c>
      <c r="AY28" s="250"/>
      <c r="AZ28" s="250"/>
      <c r="BA28" s="250"/>
      <c r="BB28" s="250"/>
      <c r="BC28" s="250"/>
      <c r="BD28" s="250"/>
      <c r="BE28" s="250"/>
      <c r="BF28" s="250"/>
      <c r="BG28" s="250"/>
      <c r="BH28" s="250"/>
      <c r="BI28" s="250"/>
      <c r="BP28" s="180">
        <f>SUM(BP64:BP68)</f>
        <v>1516.8000000000002</v>
      </c>
      <c r="BQ28" s="180">
        <f t="shared" ref="BQ28:BV28" si="15">SUM(BQ64:BQ68)</f>
        <v>1010</v>
      </c>
      <c r="BR28" s="180">
        <f t="shared" si="15"/>
        <v>362.1</v>
      </c>
      <c r="BS28" s="180">
        <f t="shared" si="15"/>
        <v>1293.0999999999999</v>
      </c>
      <c r="BT28" s="180">
        <f t="shared" si="15"/>
        <v>1155.9000000000001</v>
      </c>
      <c r="BU28" s="180">
        <f t="shared" si="15"/>
        <v>765</v>
      </c>
      <c r="BV28" s="180">
        <f t="shared" si="15"/>
        <v>1195.2</v>
      </c>
      <c r="BW28" s="179">
        <f>SUM(BP28:BV28)-Таблица2[[#This Row],[Общее кол-во]]</f>
        <v>-75.900000000000546</v>
      </c>
      <c r="BZ28" s="180"/>
      <c r="CA28" s="180"/>
      <c r="CB28" s="180"/>
      <c r="CC28" s="180"/>
      <c r="CD28" s="180"/>
      <c r="CE28" s="180"/>
      <c r="CF28" s="180"/>
      <c r="CH28" s="254">
        <f t="shared" si="13"/>
        <v>0</v>
      </c>
    </row>
    <row r="29" spans="1:86" hidden="1" x14ac:dyDescent="0.3">
      <c r="A29" s="25" t="s">
        <v>154</v>
      </c>
      <c r="B29" s="16"/>
      <c r="C29" s="59" t="s">
        <v>5</v>
      </c>
      <c r="D29" s="50"/>
      <c r="E29" s="50"/>
      <c r="F29" s="51" t="s">
        <v>3</v>
      </c>
      <c r="G29" s="52">
        <v>0.15</v>
      </c>
      <c r="H29" s="34">
        <v>1106.0999999999999</v>
      </c>
      <c r="I29" s="117" t="e">
        <f>Таблица2[[#This Row],[Общее кол-во]]-SUM(Таблица2[[#This Row],[1.n1]:[11.n1]])</f>
        <v>#REF!</v>
      </c>
      <c r="J29" s="101">
        <f ca="1">SUM(Таблица2[[#This Row],[1.n]:[12.n]])</f>
        <v>0</v>
      </c>
      <c r="K29" s="98" t="e">
        <f>#REF!</f>
        <v>#REF!</v>
      </c>
      <c r="L29" s="98" t="e">
        <f>#REF!</f>
        <v>#REF!</v>
      </c>
      <c r="M29" s="98" t="e">
        <f>#REF!</f>
        <v>#REF!</v>
      </c>
      <c r="N29" s="98" t="e">
        <f>#REF!</f>
        <v>#REF!</v>
      </c>
      <c r="O29" s="98" t="e">
        <f>#REF!</f>
        <v>#REF!</v>
      </c>
      <c r="P29" s="98" t="e">
        <f>#REF!</f>
        <v>#REF!</v>
      </c>
      <c r="Q29" s="98" t="e">
        <f>#REF!</f>
        <v>#REF!</v>
      </c>
      <c r="R29" s="98" t="e">
        <f>#REF!</f>
        <v>#REF!</v>
      </c>
      <c r="S29" s="98" t="e">
        <f>#REF!</f>
        <v>#REF!</v>
      </c>
      <c r="T29" s="98" t="e">
        <f>#REF!</f>
        <v>#REF!</v>
      </c>
      <c r="U29" s="98"/>
      <c r="V29" s="98"/>
      <c r="W2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9" s="98" t="str">
        <f t="shared" ca="1" si="1"/>
        <v>2.n</v>
      </c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K29" s="250"/>
      <c r="AL29" s="250"/>
      <c r="AM29" s="250"/>
      <c r="AN29" s="250"/>
      <c r="AO29" s="250"/>
      <c r="AP29" s="250"/>
      <c r="AQ29" s="250"/>
      <c r="AR29" s="250"/>
      <c r="AS29" s="250"/>
      <c r="AT29" s="250"/>
      <c r="AU29" s="250"/>
      <c r="AV29" s="250"/>
      <c r="AX29" s="250"/>
      <c r="AY29" s="250"/>
      <c r="AZ29" s="250"/>
      <c r="BA29" s="250"/>
      <c r="BB29" s="250"/>
      <c r="BC29" s="250"/>
      <c r="BD29" s="250"/>
      <c r="BE29" s="250"/>
      <c r="BF29" s="250"/>
      <c r="BG29" s="250"/>
      <c r="BH29" s="250"/>
      <c r="BI29" s="250"/>
      <c r="BP29" s="180"/>
      <c r="BQ29" s="180"/>
      <c r="BR29" s="180"/>
      <c r="BS29" s="180"/>
      <c r="BT29" s="180"/>
      <c r="BU29" s="180"/>
      <c r="BV29" s="180"/>
      <c r="BW29" s="179">
        <f>SUM(BP29:BV29)-Таблица2[[#This Row],[Общее кол-во]]</f>
        <v>-1106.0999999999999</v>
      </c>
      <c r="BZ29" s="180"/>
      <c r="CA29" s="180"/>
      <c r="CB29" s="180"/>
      <c r="CC29" s="180"/>
      <c r="CD29" s="180"/>
      <c r="CE29" s="180"/>
      <c r="CF29" s="180"/>
      <c r="CH29" s="254">
        <f t="shared" si="13"/>
        <v>0</v>
      </c>
    </row>
    <row r="30" spans="1:86" ht="31.2" hidden="1" x14ac:dyDescent="0.3">
      <c r="A30" s="26" t="s">
        <v>155</v>
      </c>
      <c r="B30" s="17"/>
      <c r="C30" s="49" t="s">
        <v>109</v>
      </c>
      <c r="D30" s="54"/>
      <c r="E30" s="54"/>
      <c r="F30" s="55" t="s">
        <v>3</v>
      </c>
      <c r="G30" s="56">
        <v>1.8</v>
      </c>
      <c r="H30" s="34">
        <v>13273.2</v>
      </c>
      <c r="I30" s="117" t="e">
        <f>Таблица2[[#This Row],[Общее кол-во]]-SUM(Таблица2[[#This Row],[1.n1]:[11.n1]])</f>
        <v>#REF!</v>
      </c>
      <c r="J30" s="101">
        <f ca="1">SUM(Таблица2[[#This Row],[1.n]:[12.n]])</f>
        <v>0</v>
      </c>
      <c r="K30" s="98" t="e">
        <f>#REF!</f>
        <v>#REF!</v>
      </c>
      <c r="L30" s="98" t="e">
        <f>#REF!</f>
        <v>#REF!</v>
      </c>
      <c r="M30" s="98" t="e">
        <f>#REF!</f>
        <v>#REF!</v>
      </c>
      <c r="N30" s="98" t="e">
        <f>#REF!</f>
        <v>#REF!</v>
      </c>
      <c r="O30" s="98" t="e">
        <f>#REF!</f>
        <v>#REF!</v>
      </c>
      <c r="P30" s="98" t="e">
        <f>#REF!</f>
        <v>#REF!</v>
      </c>
      <c r="Q30" s="98" t="e">
        <f>#REF!</f>
        <v>#REF!</v>
      </c>
      <c r="R30" s="98" t="e">
        <f>#REF!</f>
        <v>#REF!</v>
      </c>
      <c r="S30" s="98" t="e">
        <f>#REF!</f>
        <v>#REF!</v>
      </c>
      <c r="T30" s="98" t="e">
        <f>#REF!</f>
        <v>#REF!</v>
      </c>
      <c r="U30" s="98"/>
      <c r="V30" s="98"/>
      <c r="W3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0" s="98" t="str">
        <f t="shared" ca="1" si="1"/>
        <v>2.n</v>
      </c>
      <c r="Y30" s="98"/>
      <c r="Z30" s="98"/>
      <c r="AA30" s="98"/>
      <c r="AB30" s="98"/>
      <c r="AC30" s="98"/>
      <c r="AD30" s="98"/>
      <c r="AE30" s="98"/>
      <c r="AF30" s="98"/>
      <c r="AG30" s="98"/>
      <c r="AH30" s="98"/>
      <c r="AK30" s="250"/>
      <c r="AL30" s="250"/>
      <c r="AM30" s="250"/>
      <c r="AN30" s="250"/>
      <c r="AO30" s="250"/>
      <c r="AP30" s="250"/>
      <c r="AQ30" s="250"/>
      <c r="AR30" s="250"/>
      <c r="AS30" s="250"/>
      <c r="AT30" s="250"/>
      <c r="AU30" s="250"/>
      <c r="AV30" s="250"/>
      <c r="AX30" s="250"/>
      <c r="AY30" s="250"/>
      <c r="AZ30" s="250"/>
      <c r="BA30" s="250"/>
      <c r="BB30" s="250"/>
      <c r="BC30" s="250"/>
      <c r="BD30" s="250"/>
      <c r="BE30" s="250"/>
      <c r="BF30" s="250"/>
      <c r="BG30" s="250"/>
      <c r="BH30" s="250"/>
      <c r="BI30" s="250"/>
      <c r="BP30" s="180"/>
      <c r="BQ30" s="180"/>
      <c r="BR30" s="180"/>
      <c r="BS30" s="180"/>
      <c r="BT30" s="180"/>
      <c r="BU30" s="180"/>
      <c r="BV30" s="180"/>
      <c r="BW30" s="179">
        <f>SUM(BP30:BV30)-Таблица2[[#This Row],[Общее кол-во]]</f>
        <v>-13273.2</v>
      </c>
      <c r="BZ30" s="180"/>
      <c r="CA30" s="180"/>
      <c r="CB30" s="180"/>
      <c r="CC30" s="180"/>
      <c r="CD30" s="180"/>
      <c r="CE30" s="180"/>
      <c r="CF30" s="180"/>
      <c r="CH30" s="254">
        <f t="shared" si="13"/>
        <v>0</v>
      </c>
    </row>
    <row r="31" spans="1:86" ht="46.8" hidden="1" x14ac:dyDescent="0.3">
      <c r="A31" s="25" t="s">
        <v>156</v>
      </c>
      <c r="B31" s="16" t="s">
        <v>157</v>
      </c>
      <c r="C31" s="57" t="s">
        <v>158</v>
      </c>
      <c r="D31" s="50"/>
      <c r="E31" s="50" t="s">
        <v>114</v>
      </c>
      <c r="F31" s="50" t="s">
        <v>96</v>
      </c>
      <c r="G31" s="58">
        <v>1</v>
      </c>
      <c r="H31" s="35">
        <v>0</v>
      </c>
      <c r="I31" s="117" t="e">
        <f>Таблица2[[#This Row],[Общее кол-во]]-SUM(Таблица2[[#This Row],[1.n1]:[11.n1]])</f>
        <v>#REF!</v>
      </c>
      <c r="J31" s="101">
        <f ca="1">SUM(Таблица2[[#This Row],[1.n]:[12.n]])</f>
        <v>0</v>
      </c>
      <c r="K31" s="98" t="e">
        <f>#REF!</f>
        <v>#REF!</v>
      </c>
      <c r="L31" s="98" t="e">
        <f>#REF!</f>
        <v>#REF!</v>
      </c>
      <c r="M31" s="98" t="e">
        <f>#REF!</f>
        <v>#REF!</v>
      </c>
      <c r="N31" s="98" t="e">
        <f>#REF!</f>
        <v>#REF!</v>
      </c>
      <c r="O31" s="98" t="e">
        <f>#REF!</f>
        <v>#REF!</v>
      </c>
      <c r="P31" s="98" t="e">
        <f>#REF!</f>
        <v>#REF!</v>
      </c>
      <c r="Q31" s="98" t="e">
        <f>#REF!</f>
        <v>#REF!</v>
      </c>
      <c r="R31" s="98" t="e">
        <f>#REF!</f>
        <v>#REF!</v>
      </c>
      <c r="S31" s="98" t="e">
        <f>#REF!</f>
        <v>#REF!</v>
      </c>
      <c r="T31" s="98" t="e">
        <f>#REF!</f>
        <v>#REF!</v>
      </c>
      <c r="U31" s="98"/>
      <c r="V31" s="98"/>
      <c r="W3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1" s="98" t="str">
        <f t="shared" ca="1" si="1"/>
        <v>2.n</v>
      </c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K31" s="250"/>
      <c r="AL31" s="250"/>
      <c r="AM31" s="250"/>
      <c r="AN31" s="250"/>
      <c r="AO31" s="250"/>
      <c r="AP31" s="250"/>
      <c r="AQ31" s="250"/>
      <c r="AR31" s="250"/>
      <c r="AS31" s="250"/>
      <c r="AT31" s="250"/>
      <c r="AU31" s="250"/>
      <c r="AV31" s="250"/>
      <c r="AX31" s="250"/>
      <c r="AY31" s="250"/>
      <c r="AZ31" s="250"/>
      <c r="BA31" s="250"/>
      <c r="BB31" s="250"/>
      <c r="BC31" s="250"/>
      <c r="BD31" s="250"/>
      <c r="BE31" s="250"/>
      <c r="BF31" s="250"/>
      <c r="BG31" s="250"/>
      <c r="BH31" s="250"/>
      <c r="BI31" s="250"/>
      <c r="BP31" s="180"/>
      <c r="BQ31" s="180"/>
      <c r="BR31" s="180"/>
      <c r="BS31" s="180"/>
      <c r="BT31" s="180"/>
      <c r="BU31" s="180"/>
      <c r="BV31" s="180"/>
      <c r="BW31" s="179">
        <f>SUM(BP31:BV31)-Таблица2[[#This Row],[Общее кол-во]]</f>
        <v>0</v>
      </c>
      <c r="BZ31" s="180"/>
      <c r="CA31" s="180"/>
      <c r="CB31" s="180"/>
      <c r="CC31" s="180"/>
      <c r="CD31" s="180"/>
      <c r="CE31" s="180"/>
      <c r="CF31" s="180"/>
      <c r="CH31" s="254">
        <f t="shared" si="13"/>
        <v>0</v>
      </c>
    </row>
    <row r="32" spans="1:86" ht="31.2" hidden="1" x14ac:dyDescent="0.3">
      <c r="A32" s="26" t="s">
        <v>159</v>
      </c>
      <c r="B32" s="17"/>
      <c r="C32" s="53" t="s">
        <v>95</v>
      </c>
      <c r="D32" s="54"/>
      <c r="E32" s="54" t="s">
        <v>160</v>
      </c>
      <c r="F32" s="55" t="s">
        <v>3</v>
      </c>
      <c r="G32" s="56">
        <v>1.3</v>
      </c>
      <c r="H32" s="34">
        <v>0</v>
      </c>
      <c r="I32" s="117" t="e">
        <f>Таблица2[[#This Row],[Общее кол-во]]-SUM(Таблица2[[#This Row],[1.n1]:[11.n1]])</f>
        <v>#REF!</v>
      </c>
      <c r="J32" s="101">
        <f ca="1">SUM(Таблица2[[#This Row],[1.n]:[12.n]])</f>
        <v>0</v>
      </c>
      <c r="K32" s="98" t="e">
        <f>#REF!</f>
        <v>#REF!</v>
      </c>
      <c r="L32" s="98" t="e">
        <f>#REF!</f>
        <v>#REF!</v>
      </c>
      <c r="M32" s="98" t="e">
        <f>#REF!</f>
        <v>#REF!</v>
      </c>
      <c r="N32" s="98" t="e">
        <f>#REF!</f>
        <v>#REF!</v>
      </c>
      <c r="O32" s="98" t="e">
        <f>#REF!</f>
        <v>#REF!</v>
      </c>
      <c r="P32" s="98" t="e">
        <f>#REF!</f>
        <v>#REF!</v>
      </c>
      <c r="Q32" s="98" t="e">
        <f>#REF!</f>
        <v>#REF!</v>
      </c>
      <c r="R32" s="98" t="e">
        <f>#REF!</f>
        <v>#REF!</v>
      </c>
      <c r="S32" s="98" t="e">
        <f>#REF!</f>
        <v>#REF!</v>
      </c>
      <c r="T32" s="98" t="e">
        <f>#REF!</f>
        <v>#REF!</v>
      </c>
      <c r="U32" s="98"/>
      <c r="V32" s="98"/>
      <c r="W3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2" s="98" t="str">
        <f t="shared" ca="1" si="1"/>
        <v>2.n</v>
      </c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K32" s="250"/>
      <c r="AL32" s="250"/>
      <c r="AM32" s="250"/>
      <c r="AN32" s="250"/>
      <c r="AO32" s="250"/>
      <c r="AP32" s="250"/>
      <c r="AQ32" s="250"/>
      <c r="AR32" s="250"/>
      <c r="AS32" s="250"/>
      <c r="AT32" s="250"/>
      <c r="AU32" s="250"/>
      <c r="AV32" s="250"/>
      <c r="AX32" s="250"/>
      <c r="AY32" s="250"/>
      <c r="AZ32" s="250"/>
      <c r="BA32" s="250"/>
      <c r="BB32" s="250"/>
      <c r="BC32" s="250"/>
      <c r="BD32" s="250"/>
      <c r="BE32" s="250"/>
      <c r="BF32" s="250"/>
      <c r="BG32" s="250"/>
      <c r="BH32" s="250"/>
      <c r="BI32" s="250"/>
      <c r="BP32" s="180"/>
      <c r="BQ32" s="180"/>
      <c r="BR32" s="180"/>
      <c r="BS32" s="180"/>
      <c r="BT32" s="180"/>
      <c r="BU32" s="180"/>
      <c r="BV32" s="180"/>
      <c r="BW32" s="179">
        <f>SUM(BP32:BV32)-Таблица2[[#This Row],[Общее кол-во]]</f>
        <v>0</v>
      </c>
      <c r="BZ32" s="180"/>
      <c r="CA32" s="180"/>
      <c r="CB32" s="180"/>
      <c r="CC32" s="180"/>
      <c r="CD32" s="180"/>
      <c r="CE32" s="180"/>
      <c r="CF32" s="180"/>
      <c r="CH32" s="254">
        <f t="shared" si="13"/>
        <v>0</v>
      </c>
    </row>
    <row r="33" spans="1:217" hidden="1" x14ac:dyDescent="0.3">
      <c r="A33" s="25" t="s">
        <v>161</v>
      </c>
      <c r="B33" s="16"/>
      <c r="C33" s="59" t="s">
        <v>94</v>
      </c>
      <c r="D33" s="50"/>
      <c r="E33" s="50"/>
      <c r="F33" s="51" t="s">
        <v>96</v>
      </c>
      <c r="G33" s="52">
        <v>1.1000000000000001</v>
      </c>
      <c r="H33" s="34">
        <v>0</v>
      </c>
      <c r="I33" s="117" t="e">
        <f>Таблица2[[#This Row],[Общее кол-во]]-SUM(Таблица2[[#This Row],[1.n1]:[11.n1]])</f>
        <v>#REF!</v>
      </c>
      <c r="J33" s="101">
        <f ca="1">SUM(Таблица2[[#This Row],[1.n]:[12.n]])</f>
        <v>0</v>
      </c>
      <c r="K33" s="98" t="e">
        <f>#REF!</f>
        <v>#REF!</v>
      </c>
      <c r="L33" s="98" t="e">
        <f>#REF!</f>
        <v>#REF!</v>
      </c>
      <c r="M33" s="98" t="e">
        <f>#REF!</f>
        <v>#REF!</v>
      </c>
      <c r="N33" s="98" t="e">
        <f>#REF!</f>
        <v>#REF!</v>
      </c>
      <c r="O33" s="98" t="e">
        <f>#REF!</f>
        <v>#REF!</v>
      </c>
      <c r="P33" s="98" t="e">
        <f>#REF!</f>
        <v>#REF!</v>
      </c>
      <c r="Q33" s="98" t="e">
        <f>#REF!</f>
        <v>#REF!</v>
      </c>
      <c r="R33" s="98" t="e">
        <f>#REF!</f>
        <v>#REF!</v>
      </c>
      <c r="S33" s="98" t="e">
        <f>#REF!</f>
        <v>#REF!</v>
      </c>
      <c r="T33" s="98" t="e">
        <f>#REF!</f>
        <v>#REF!</v>
      </c>
      <c r="U33" s="98"/>
      <c r="V33" s="98"/>
      <c r="W3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3" s="98" t="str">
        <f t="shared" ca="1" si="1"/>
        <v>2.n</v>
      </c>
      <c r="Y33" s="98"/>
      <c r="Z33" s="98"/>
      <c r="AA33" s="98"/>
      <c r="AB33" s="98"/>
      <c r="AC33" s="98"/>
      <c r="AD33" s="98"/>
      <c r="AE33" s="98"/>
      <c r="AF33" s="98"/>
      <c r="AG33" s="98"/>
      <c r="AH33" s="98"/>
      <c r="AK33" s="250"/>
      <c r="AL33" s="250"/>
      <c r="AM33" s="250"/>
      <c r="AN33" s="250"/>
      <c r="AO33" s="250"/>
      <c r="AP33" s="250"/>
      <c r="AQ33" s="250"/>
      <c r="AR33" s="250"/>
      <c r="AS33" s="250"/>
      <c r="AT33" s="250"/>
      <c r="AU33" s="250"/>
      <c r="AV33" s="250"/>
      <c r="AX33" s="250"/>
      <c r="AY33" s="250"/>
      <c r="AZ33" s="250"/>
      <c r="BA33" s="250"/>
      <c r="BB33" s="250"/>
      <c r="BC33" s="250"/>
      <c r="BD33" s="250"/>
      <c r="BE33" s="250"/>
      <c r="BF33" s="250"/>
      <c r="BG33" s="250"/>
      <c r="BH33" s="250"/>
      <c r="BI33" s="250"/>
      <c r="BP33" s="180"/>
      <c r="BQ33" s="180"/>
      <c r="BR33" s="180"/>
      <c r="BS33" s="180"/>
      <c r="BT33" s="180"/>
      <c r="BU33" s="180"/>
      <c r="BV33" s="180"/>
      <c r="BW33" s="179">
        <f>SUM(BP33:BV33)-Таблица2[[#This Row],[Общее кол-во]]</f>
        <v>0</v>
      </c>
      <c r="BZ33" s="180"/>
      <c r="CA33" s="180"/>
      <c r="CB33" s="180"/>
      <c r="CC33" s="180"/>
      <c r="CD33" s="180"/>
      <c r="CE33" s="180"/>
      <c r="CF33" s="180"/>
      <c r="CH33" s="254">
        <f t="shared" si="13"/>
        <v>0</v>
      </c>
    </row>
    <row r="34" spans="1:217" hidden="1" x14ac:dyDescent="0.3">
      <c r="A34" s="26" t="s">
        <v>162</v>
      </c>
      <c r="B34" s="17"/>
      <c r="C34" s="53" t="s">
        <v>6</v>
      </c>
      <c r="D34" s="54"/>
      <c r="E34" s="54"/>
      <c r="F34" s="55" t="s">
        <v>4</v>
      </c>
      <c r="G34" s="56">
        <v>1</v>
      </c>
      <c r="H34" s="34">
        <v>0</v>
      </c>
      <c r="I34" s="117" t="e">
        <f>Таблица2[[#This Row],[Общее кол-во]]-SUM(Таблица2[[#This Row],[1.n1]:[11.n1]])</f>
        <v>#REF!</v>
      </c>
      <c r="J34" s="101">
        <f ca="1">SUM(Таблица2[[#This Row],[1.n]:[12.n]])</f>
        <v>0</v>
      </c>
      <c r="K34" s="98" t="e">
        <f>#REF!</f>
        <v>#REF!</v>
      </c>
      <c r="L34" s="98" t="e">
        <f>#REF!</f>
        <v>#REF!</v>
      </c>
      <c r="M34" s="98" t="e">
        <f>#REF!</f>
        <v>#REF!</v>
      </c>
      <c r="N34" s="98" t="e">
        <f>#REF!</f>
        <v>#REF!</v>
      </c>
      <c r="O34" s="98" t="e">
        <f>#REF!</f>
        <v>#REF!</v>
      </c>
      <c r="P34" s="98" t="e">
        <f>#REF!</f>
        <v>#REF!</v>
      </c>
      <c r="Q34" s="98" t="e">
        <f>#REF!</f>
        <v>#REF!</v>
      </c>
      <c r="R34" s="98" t="e">
        <f>#REF!</f>
        <v>#REF!</v>
      </c>
      <c r="S34" s="98" t="e">
        <f>#REF!</f>
        <v>#REF!</v>
      </c>
      <c r="T34" s="98" t="e">
        <f>#REF!</f>
        <v>#REF!</v>
      </c>
      <c r="U34" s="98"/>
      <c r="V34" s="98"/>
      <c r="W3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4" s="98" t="str">
        <f t="shared" ca="1" si="1"/>
        <v>2.n</v>
      </c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K34" s="250"/>
      <c r="AL34" s="250"/>
      <c r="AM34" s="250"/>
      <c r="AN34" s="250"/>
      <c r="AO34" s="250"/>
      <c r="AP34" s="250"/>
      <c r="AQ34" s="250"/>
      <c r="AR34" s="250"/>
      <c r="AS34" s="250"/>
      <c r="AT34" s="250"/>
      <c r="AU34" s="250"/>
      <c r="AV34" s="250"/>
      <c r="AX34" s="250"/>
      <c r="AY34" s="250"/>
      <c r="AZ34" s="250"/>
      <c r="BA34" s="250"/>
      <c r="BB34" s="250"/>
      <c r="BC34" s="250"/>
      <c r="BD34" s="250"/>
      <c r="BE34" s="250"/>
      <c r="BF34" s="250"/>
      <c r="BG34" s="250"/>
      <c r="BH34" s="250"/>
      <c r="BI34" s="250"/>
      <c r="BP34" s="180"/>
      <c r="BQ34" s="180"/>
      <c r="BR34" s="180"/>
      <c r="BS34" s="180"/>
      <c r="BT34" s="180"/>
      <c r="BU34" s="180"/>
      <c r="BV34" s="180"/>
      <c r="BW34" s="179">
        <f>SUM(BP34:BV34)-Таблица2[[#This Row],[Общее кол-во]]</f>
        <v>0</v>
      </c>
      <c r="BZ34" s="180"/>
      <c r="CA34" s="180"/>
      <c r="CB34" s="180"/>
      <c r="CC34" s="180"/>
      <c r="CD34" s="180"/>
      <c r="CE34" s="180"/>
      <c r="CF34" s="180"/>
      <c r="CH34" s="254">
        <f t="shared" si="13"/>
        <v>0</v>
      </c>
    </row>
    <row r="35" spans="1:217" hidden="1" x14ac:dyDescent="0.3">
      <c r="A35" s="25" t="s">
        <v>163</v>
      </c>
      <c r="B35" s="16"/>
      <c r="C35" s="59" t="s">
        <v>93</v>
      </c>
      <c r="D35" s="50"/>
      <c r="E35" s="50"/>
      <c r="F35" s="51" t="s">
        <v>3</v>
      </c>
      <c r="G35" s="52">
        <v>0.25</v>
      </c>
      <c r="H35" s="34">
        <v>0</v>
      </c>
      <c r="I35" s="117" t="e">
        <f>Таблица2[[#This Row],[Общее кол-во]]-SUM(Таблица2[[#This Row],[1.n1]:[11.n1]])</f>
        <v>#REF!</v>
      </c>
      <c r="J35" s="101">
        <f ca="1">SUM(Таблица2[[#This Row],[1.n]:[12.n]])</f>
        <v>0</v>
      </c>
      <c r="K35" s="98" t="e">
        <f>#REF!</f>
        <v>#REF!</v>
      </c>
      <c r="L35" s="98" t="e">
        <f>#REF!</f>
        <v>#REF!</v>
      </c>
      <c r="M35" s="98" t="e">
        <f>#REF!</f>
        <v>#REF!</v>
      </c>
      <c r="N35" s="98" t="e">
        <f>#REF!</f>
        <v>#REF!</v>
      </c>
      <c r="O35" s="98" t="e">
        <f>#REF!</f>
        <v>#REF!</v>
      </c>
      <c r="P35" s="98" t="e">
        <f>#REF!</f>
        <v>#REF!</v>
      </c>
      <c r="Q35" s="98" t="e">
        <f>#REF!</f>
        <v>#REF!</v>
      </c>
      <c r="R35" s="98" t="e">
        <f>#REF!</f>
        <v>#REF!</v>
      </c>
      <c r="S35" s="98" t="e">
        <f>#REF!</f>
        <v>#REF!</v>
      </c>
      <c r="T35" s="98" t="e">
        <f>#REF!</f>
        <v>#REF!</v>
      </c>
      <c r="U35" s="98"/>
      <c r="V35" s="98"/>
      <c r="W3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5" s="98" t="str">
        <f t="shared" ca="1" si="1"/>
        <v>2.n</v>
      </c>
      <c r="Y35" s="98"/>
      <c r="Z35" s="98"/>
      <c r="AA35" s="98"/>
      <c r="AB35" s="98"/>
      <c r="AC35" s="98"/>
      <c r="AD35" s="98"/>
      <c r="AE35" s="98"/>
      <c r="AF35" s="98"/>
      <c r="AG35" s="98"/>
      <c r="AH35" s="98"/>
      <c r="AK35" s="250"/>
      <c r="AL35" s="250"/>
      <c r="AM35" s="250"/>
      <c r="AN35" s="250"/>
      <c r="AO35" s="250"/>
      <c r="AP35" s="250"/>
      <c r="AQ35" s="250"/>
      <c r="AR35" s="250"/>
      <c r="AS35" s="250"/>
      <c r="AT35" s="250"/>
      <c r="AU35" s="250"/>
      <c r="AV35" s="250"/>
      <c r="AX35" s="250"/>
      <c r="AY35" s="250"/>
      <c r="AZ35" s="250"/>
      <c r="BA35" s="250"/>
      <c r="BB35" s="250"/>
      <c r="BC35" s="250"/>
      <c r="BD35" s="250"/>
      <c r="BE35" s="250"/>
      <c r="BF35" s="250"/>
      <c r="BG35" s="250"/>
      <c r="BH35" s="250"/>
      <c r="BI35" s="250"/>
      <c r="BP35" s="180"/>
      <c r="BQ35" s="180"/>
      <c r="BR35" s="180"/>
      <c r="BS35" s="180"/>
      <c r="BT35" s="180"/>
      <c r="BU35" s="180"/>
      <c r="BV35" s="180"/>
      <c r="BW35" s="179">
        <f>SUM(BP35:BV35)-Таблица2[[#This Row],[Общее кол-во]]</f>
        <v>0</v>
      </c>
      <c r="BZ35" s="180"/>
      <c r="CA35" s="180"/>
      <c r="CB35" s="180"/>
      <c r="CC35" s="180"/>
      <c r="CD35" s="180"/>
      <c r="CE35" s="180"/>
      <c r="CF35" s="180"/>
      <c r="CH35" s="254">
        <f t="shared" si="13"/>
        <v>0</v>
      </c>
    </row>
    <row r="36" spans="1:217" s="132" customFormat="1" ht="46.8" x14ac:dyDescent="0.3">
      <c r="A36" s="125" t="s">
        <v>164</v>
      </c>
      <c r="B36" s="126" t="s">
        <v>165</v>
      </c>
      <c r="C36" s="127" t="s">
        <v>166</v>
      </c>
      <c r="D36" s="128"/>
      <c r="E36" s="128" t="s">
        <v>167</v>
      </c>
      <c r="F36" s="128" t="s">
        <v>96</v>
      </c>
      <c r="G36" s="129">
        <v>1</v>
      </c>
      <c r="H36" s="130">
        <v>174.8</v>
      </c>
      <c r="I36" s="121">
        <f ca="1">H36-J36</f>
        <v>3.3000000000000398</v>
      </c>
      <c r="J36" s="243">
        <f ca="1">SUM(Таблица2[[#This Row],[1.n]:[12.n]])</f>
        <v>171.49999999999997</v>
      </c>
      <c r="K36" s="235"/>
      <c r="L36" s="235"/>
      <c r="M36" s="235"/>
      <c r="N36" s="235"/>
      <c r="O36" s="235"/>
      <c r="P36" s="235"/>
      <c r="Q36" s="235" t="e">
        <f>#REF!</f>
        <v>#REF!</v>
      </c>
      <c r="R36" s="235"/>
      <c r="S36" s="235" t="e">
        <f>#REF!</f>
        <v>#REF!</v>
      </c>
      <c r="T36" s="235"/>
      <c r="U36" s="131"/>
      <c r="V36" s="131"/>
      <c r="W36" s="248">
        <f ca="1">SUMIFS(
    INDIRECT("'" &amp; INDIRECT(ADDRESS(1,COLUMN())) &amp; "'!$E$2:$E$1000"),
    INDIRECT("'" &amp; INDIRECT(ADDRESS(1,COLUMN())) &amp; "'!$B$2:$B$1000"),
    $C36,
    INDIRECT("'" &amp; INDIRECT(ADDRESS(1,COLUMN())) &amp; "'!$C$2:$C$1000"),
    $E36)</f>
        <v>0</v>
      </c>
      <c r="X36" s="248">
        <f ca="1">SUMIFS(
    INDIRECT("'" &amp; INDIRECT(ADDRESS(1,COLUMN())) &amp; "'!$E$2:$E$1000"),
    INDIRECT("'" &amp; INDIRECT(ADDRESS(1,COLUMN())) &amp; "'!$B$2:$B$1000"),
    $C36,
    INDIRECT("'" &amp; INDIRECT(ADDRESS(1,COLUMN())) &amp; "'!$C$2:$C$1000"),
    $E36)</f>
        <v>65.899999999999991</v>
      </c>
      <c r="Y36" s="248">
        <f ca="1">SUMIFS(
    INDIRECT("'" &amp; INDIRECT(ADDRESS(1,COLUMN())) &amp; "'!$E$2:$E$1000"),
    INDIRECT("'" &amp; INDIRECT(ADDRESS(1,COLUMN())) &amp; "'!$B$2:$B$1000"),
    $C36,
    INDIRECT("'" &amp; INDIRECT(ADDRESS(1,COLUMN())) &amp; "'!$C$2:$C$1000"),
    $E36)</f>
        <v>0</v>
      </c>
      <c r="Z36" s="248">
        <f t="shared" ref="Z36:AH36" ca="1" si="16">SUMIFS(
    INDIRECT("'" &amp; INDIRECT(ADDRESS(1,COLUMN())) &amp; "'!$E$2:$E$1000"),
    INDIRECT("'" &amp; INDIRECT(ADDRESS(1,COLUMN())) &amp; "'!$B$2:$B$1000"),
    $C36,
    INDIRECT("'" &amp; INDIRECT(ADDRESS(1,COLUMN())) &amp; "'!$C$2:$C$1000"),
    $E36)</f>
        <v>0</v>
      </c>
      <c r="AA36" s="248">
        <f t="shared" ca="1" si="16"/>
        <v>0</v>
      </c>
      <c r="AB36" s="248">
        <f t="shared" ca="1" si="16"/>
        <v>0</v>
      </c>
      <c r="AC36" s="248">
        <f t="shared" ca="1" si="16"/>
        <v>67.5</v>
      </c>
      <c r="AD36" s="248">
        <f t="shared" ca="1" si="16"/>
        <v>0</v>
      </c>
      <c r="AE36" s="248">
        <f t="shared" ca="1" si="16"/>
        <v>38.1</v>
      </c>
      <c r="AF36" s="248">
        <f t="shared" ca="1" si="16"/>
        <v>0</v>
      </c>
      <c r="AG36" s="248">
        <f t="shared" ca="1" si="16"/>
        <v>0</v>
      </c>
      <c r="AH36" s="248">
        <f t="shared" ca="1" si="16"/>
        <v>0</v>
      </c>
      <c r="AI36" s="179"/>
      <c r="AJ36" s="179">
        <v>174.8</v>
      </c>
      <c r="AK36" s="250">
        <v>0</v>
      </c>
      <c r="AL36" s="250"/>
      <c r="AM36" s="250"/>
      <c r="AN36" s="250"/>
      <c r="AO36" s="250"/>
      <c r="AP36" s="250"/>
      <c r="AQ36" s="250"/>
      <c r="AR36" s="250"/>
      <c r="AS36" s="250"/>
      <c r="AT36" s="250"/>
      <c r="AU36" s="250"/>
      <c r="AV36" s="250"/>
      <c r="AW36" s="179"/>
      <c r="AX36" s="250">
        <v>0</v>
      </c>
      <c r="AY36" s="250"/>
      <c r="AZ36" s="250"/>
      <c r="BA36" s="250"/>
      <c r="BB36" s="250"/>
      <c r="BC36" s="250"/>
      <c r="BD36" s="250"/>
      <c r="BE36" s="250"/>
      <c r="BF36" s="250"/>
      <c r="BG36" s="250"/>
      <c r="BH36" s="250"/>
      <c r="BI36" s="250"/>
      <c r="BJ36" s="179"/>
      <c r="BK36" s="179"/>
      <c r="BL36" s="179"/>
      <c r="BM36" s="179"/>
      <c r="BN36" s="179"/>
      <c r="BO36" s="179"/>
      <c r="BP36" s="181">
        <v>0</v>
      </c>
      <c r="BQ36" s="181">
        <v>67.3</v>
      </c>
      <c r="BR36" s="181">
        <v>0</v>
      </c>
      <c r="BS36" s="181">
        <v>0</v>
      </c>
      <c r="BT36" s="181">
        <v>38.9</v>
      </c>
      <c r="BU36" s="181">
        <v>57.8</v>
      </c>
      <c r="BV36" s="181">
        <v>10.8</v>
      </c>
      <c r="BW36" s="179">
        <f>SUM(BP36:BV36)-Таблица2[[#This Row],[Общее кол-во]]</f>
        <v>0</v>
      </c>
      <c r="BX36" s="179"/>
      <c r="BY36" s="179"/>
      <c r="BZ36" s="180">
        <v>0</v>
      </c>
      <c r="CA36" s="180">
        <v>67.3</v>
      </c>
      <c r="CB36" s="180">
        <v>0</v>
      </c>
      <c r="CC36" s="180">
        <v>0</v>
      </c>
      <c r="CD36" s="180">
        <v>38.900000000000006</v>
      </c>
      <c r="CE36" s="180">
        <v>57.800000000000004</v>
      </c>
      <c r="CF36" s="180">
        <v>10.8</v>
      </c>
      <c r="CG36" s="179"/>
      <c r="CH36" s="254">
        <f t="shared" ref="CH36:CH67" si="17">SUM(BZ36:CF36)</f>
        <v>174.8</v>
      </c>
      <c r="CI36" s="179"/>
      <c r="CJ36" s="179"/>
      <c r="CK36" s="179"/>
      <c r="CL36" s="179"/>
      <c r="CM36" s="179"/>
      <c r="CN36" s="179"/>
      <c r="CO36" s="179"/>
      <c r="CP36" s="179"/>
      <c r="CQ36" s="179"/>
      <c r="CR36" s="179"/>
      <c r="CS36" s="179"/>
      <c r="CT36" s="179"/>
      <c r="CU36" s="179"/>
      <c r="CV36" s="179"/>
      <c r="CW36" s="179"/>
      <c r="CX36" s="179"/>
      <c r="CY36" s="179"/>
      <c r="CZ36" s="179"/>
      <c r="DA36" s="179"/>
      <c r="DB36" s="179"/>
      <c r="DC36" s="179"/>
      <c r="DD36" s="179"/>
      <c r="DE36" s="179"/>
      <c r="DF36" s="179"/>
      <c r="DG36" s="179"/>
      <c r="DH36" s="179"/>
      <c r="DI36" s="179"/>
      <c r="DJ36" s="179"/>
      <c r="DK36" s="179"/>
      <c r="DL36" s="179"/>
      <c r="DM36" s="179"/>
      <c r="DN36" s="179"/>
      <c r="DO36" s="179"/>
      <c r="DP36" s="179"/>
      <c r="DQ36" s="179"/>
      <c r="DR36" s="179"/>
      <c r="DS36" s="179"/>
      <c r="DT36" s="179"/>
      <c r="DU36" s="179"/>
      <c r="DV36" s="179"/>
      <c r="DW36" s="179"/>
      <c r="DX36" s="179"/>
      <c r="DY36" s="179"/>
      <c r="DZ36" s="179"/>
      <c r="EA36" s="179"/>
      <c r="EB36" s="179"/>
      <c r="EC36" s="179"/>
      <c r="ED36" s="179"/>
      <c r="EE36" s="179"/>
      <c r="EF36" s="179"/>
      <c r="EG36" s="179"/>
      <c r="EH36" s="179"/>
      <c r="EI36" s="179"/>
      <c r="EJ36" s="179"/>
      <c r="EK36" s="179"/>
      <c r="EL36" s="179"/>
      <c r="EM36" s="179"/>
      <c r="EN36" s="179"/>
      <c r="EO36" s="179"/>
      <c r="EP36" s="179"/>
      <c r="EQ36" s="179"/>
      <c r="ER36" s="179"/>
      <c r="ES36" s="179"/>
      <c r="ET36" s="179"/>
      <c r="EU36" s="179"/>
      <c r="EV36" s="179"/>
      <c r="EW36" s="179"/>
      <c r="EX36" s="179"/>
      <c r="EY36" s="179"/>
      <c r="EZ36" s="179"/>
      <c r="FA36" s="179"/>
      <c r="FB36" s="179"/>
      <c r="FC36" s="179"/>
      <c r="FD36" s="179"/>
      <c r="FE36" s="179"/>
      <c r="FF36" s="179"/>
      <c r="FG36" s="179"/>
      <c r="FH36" s="179"/>
      <c r="FI36" s="179"/>
      <c r="FJ36" s="179"/>
      <c r="FK36" s="179"/>
      <c r="FL36" s="179"/>
      <c r="FM36" s="179"/>
      <c r="FN36" s="179"/>
      <c r="FO36" s="179"/>
      <c r="FP36" s="179"/>
      <c r="FQ36" s="179"/>
      <c r="FR36" s="179"/>
      <c r="FS36" s="179"/>
      <c r="FT36" s="179"/>
      <c r="FU36" s="179"/>
      <c r="FV36" s="179"/>
      <c r="FW36" s="179"/>
      <c r="FX36" s="179"/>
      <c r="FY36" s="179"/>
      <c r="FZ36" s="179"/>
      <c r="GA36" s="179"/>
      <c r="GB36" s="179"/>
      <c r="GC36" s="179"/>
      <c r="GD36" s="179"/>
      <c r="GE36" s="179"/>
      <c r="GF36" s="179"/>
      <c r="GG36" s="179"/>
      <c r="GH36" s="179"/>
      <c r="GI36" s="179"/>
      <c r="GJ36" s="179"/>
      <c r="GK36" s="179"/>
      <c r="GL36" s="179"/>
      <c r="GM36" s="179"/>
      <c r="GN36" s="179"/>
      <c r="GO36" s="179"/>
      <c r="GP36" s="179"/>
      <c r="GQ36" s="179"/>
      <c r="GR36" s="179"/>
      <c r="GS36" s="179"/>
      <c r="GT36" s="179"/>
      <c r="GU36" s="179"/>
      <c r="GV36" s="179"/>
      <c r="GW36" s="179"/>
      <c r="GX36" s="179"/>
      <c r="GY36" s="179"/>
      <c r="GZ36" s="179"/>
      <c r="HA36" s="179"/>
      <c r="HB36" s="179"/>
      <c r="HC36" s="179"/>
      <c r="HD36" s="179"/>
      <c r="HE36" s="179"/>
      <c r="HF36" s="179"/>
      <c r="HG36" s="179"/>
      <c r="HH36" s="179"/>
      <c r="HI36" s="179"/>
    </row>
    <row r="37" spans="1:217" hidden="1" x14ac:dyDescent="0.3">
      <c r="A37" s="25" t="s">
        <v>168</v>
      </c>
      <c r="B37" s="16"/>
      <c r="C37" s="59" t="s">
        <v>95</v>
      </c>
      <c r="D37" s="50"/>
      <c r="E37" s="50"/>
      <c r="F37" s="51" t="s">
        <v>3</v>
      </c>
      <c r="G37" s="52">
        <v>1.3</v>
      </c>
      <c r="H37" s="34">
        <v>7953.4</v>
      </c>
      <c r="I37" s="117" t="e">
        <f>Таблица2[[#This Row],[Общее кол-во]]-SUM(Таблица2[[#This Row],[1.n1]:[11.n1]])</f>
        <v>#REF!</v>
      </c>
      <c r="J37" s="101">
        <f ca="1">SUM(Таблица2[[#This Row],[1.n]:[12.n]])</f>
        <v>0</v>
      </c>
      <c r="K37" s="98" t="e">
        <f>#REF!</f>
        <v>#REF!</v>
      </c>
      <c r="L37" s="98" t="e">
        <f>#REF!</f>
        <v>#REF!</v>
      </c>
      <c r="M37" s="98" t="e">
        <f>#REF!</f>
        <v>#REF!</v>
      </c>
      <c r="N37" s="98" t="e">
        <f>#REF!</f>
        <v>#REF!</v>
      </c>
      <c r="O37" s="98" t="e">
        <f>#REF!</f>
        <v>#REF!</v>
      </c>
      <c r="P37" s="98" t="e">
        <f>#REF!</f>
        <v>#REF!</v>
      </c>
      <c r="Q37" s="98" t="e">
        <f>#REF!</f>
        <v>#REF!</v>
      </c>
      <c r="R37" s="98" t="e">
        <f>#REF!</f>
        <v>#REF!</v>
      </c>
      <c r="S37" s="98" t="e">
        <f>#REF!</f>
        <v>#REF!</v>
      </c>
      <c r="T37" s="98" t="e">
        <f>#REF!</f>
        <v>#REF!</v>
      </c>
      <c r="U37" s="98"/>
      <c r="V37" s="98"/>
      <c r="W37" s="15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7" s="158" t="str">
        <f t="shared" ca="1" si="1"/>
        <v>2.n</v>
      </c>
      <c r="Y37" s="98"/>
      <c r="Z37" s="98"/>
      <c r="AA37" s="98"/>
      <c r="AB37" s="98"/>
      <c r="AC37" s="98"/>
      <c r="AD37" s="98"/>
      <c r="AE37" s="98"/>
      <c r="AF37" s="98"/>
      <c r="AG37" s="98"/>
      <c r="AH37" s="98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P37" s="180"/>
      <c r="BQ37" s="180"/>
      <c r="BR37" s="180"/>
      <c r="BS37" s="180"/>
      <c r="BT37" s="180"/>
      <c r="BU37" s="180"/>
      <c r="BV37" s="180"/>
      <c r="BW37" s="179">
        <f>SUM(BP37:BV37)-Таблица2[[#This Row],[Общее кол-во]]</f>
        <v>-7953.4</v>
      </c>
      <c r="BZ37" s="180"/>
      <c r="CA37" s="180"/>
      <c r="CB37" s="180"/>
      <c r="CC37" s="180"/>
      <c r="CD37" s="180"/>
      <c r="CE37" s="180"/>
      <c r="CF37" s="180"/>
      <c r="CH37" s="254">
        <f t="shared" si="17"/>
        <v>0</v>
      </c>
    </row>
    <row r="38" spans="1:217" hidden="1" x14ac:dyDescent="0.3">
      <c r="A38" s="26" t="s">
        <v>169</v>
      </c>
      <c r="B38" s="17"/>
      <c r="C38" s="53" t="s">
        <v>94</v>
      </c>
      <c r="D38" s="54"/>
      <c r="E38" s="54"/>
      <c r="F38" s="55" t="s">
        <v>96</v>
      </c>
      <c r="G38" s="56">
        <v>1.1000000000000001</v>
      </c>
      <c r="H38" s="34">
        <v>192.28</v>
      </c>
      <c r="I38" s="117" t="e">
        <f>Таблица2[[#This Row],[Общее кол-во]]-SUM(Таблица2[[#This Row],[1.n1]:[11.n1]])</f>
        <v>#REF!</v>
      </c>
      <c r="J38" s="101">
        <f ca="1">SUM(Таблица2[[#This Row],[1.n]:[12.n]])</f>
        <v>0</v>
      </c>
      <c r="K38" s="98" t="e">
        <f>#REF!</f>
        <v>#REF!</v>
      </c>
      <c r="L38" s="98" t="e">
        <f>#REF!</f>
        <v>#REF!</v>
      </c>
      <c r="M38" s="98" t="e">
        <f>#REF!</f>
        <v>#REF!</v>
      </c>
      <c r="N38" s="98" t="e">
        <f>#REF!</f>
        <v>#REF!</v>
      </c>
      <c r="O38" s="98" t="e">
        <f>#REF!</f>
        <v>#REF!</v>
      </c>
      <c r="P38" s="98" t="e">
        <f>#REF!</f>
        <v>#REF!</v>
      </c>
      <c r="Q38" s="98" t="e">
        <f>#REF!</f>
        <v>#REF!</v>
      </c>
      <c r="R38" s="98" t="e">
        <f>#REF!</f>
        <v>#REF!</v>
      </c>
      <c r="S38" s="98" t="e">
        <f>#REF!</f>
        <v>#REF!</v>
      </c>
      <c r="T38" s="98" t="e">
        <f>#REF!</f>
        <v>#REF!</v>
      </c>
      <c r="U38" s="98"/>
      <c r="V38" s="98"/>
      <c r="W38" s="166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8" s="166" t="str">
        <f t="shared" ca="1" si="1"/>
        <v>2.n</v>
      </c>
      <c r="Y38" s="98"/>
      <c r="Z38" s="98"/>
      <c r="AA38" s="98"/>
      <c r="AB38" s="98"/>
      <c r="AC38" s="98"/>
      <c r="AD38" s="98"/>
      <c r="AE38" s="98"/>
      <c r="AF38" s="98"/>
      <c r="AG38" s="98"/>
      <c r="AH38" s="98"/>
      <c r="AK38" s="250"/>
      <c r="AL38" s="250"/>
      <c r="AM38" s="250"/>
      <c r="AN38" s="250"/>
      <c r="AO38" s="250"/>
      <c r="AP38" s="250"/>
      <c r="AQ38" s="250"/>
      <c r="AR38" s="250"/>
      <c r="AS38" s="250"/>
      <c r="AT38" s="250"/>
      <c r="AU38" s="250"/>
      <c r="AV38" s="250"/>
      <c r="AX38" s="250"/>
      <c r="AY38" s="250"/>
      <c r="AZ38" s="250"/>
      <c r="BA38" s="250"/>
      <c r="BB38" s="250"/>
      <c r="BC38" s="250"/>
      <c r="BD38" s="250"/>
      <c r="BE38" s="250"/>
      <c r="BF38" s="250"/>
      <c r="BG38" s="250"/>
      <c r="BH38" s="250"/>
      <c r="BI38" s="250"/>
      <c r="BP38" s="180"/>
      <c r="BQ38" s="180"/>
      <c r="BR38" s="180"/>
      <c r="BS38" s="180"/>
      <c r="BT38" s="180"/>
      <c r="BU38" s="180"/>
      <c r="BV38" s="180"/>
      <c r="BW38" s="179">
        <f>SUM(BP38:BV38)-Таблица2[[#This Row],[Общее кол-во]]</f>
        <v>-192.28</v>
      </c>
      <c r="BZ38" s="180"/>
      <c r="CA38" s="180"/>
      <c r="CB38" s="180"/>
      <c r="CC38" s="180"/>
      <c r="CD38" s="180"/>
      <c r="CE38" s="180"/>
      <c r="CF38" s="180"/>
      <c r="CH38" s="254">
        <f t="shared" si="17"/>
        <v>0</v>
      </c>
    </row>
    <row r="39" spans="1:217" hidden="1" x14ac:dyDescent="0.3">
      <c r="A39" s="25" t="s">
        <v>170</v>
      </c>
      <c r="B39" s="16"/>
      <c r="C39" s="59" t="s">
        <v>6</v>
      </c>
      <c r="D39" s="50"/>
      <c r="E39" s="50"/>
      <c r="F39" s="51" t="s">
        <v>4</v>
      </c>
      <c r="G39" s="52">
        <v>1</v>
      </c>
      <c r="H39" s="34">
        <v>174.8</v>
      </c>
      <c r="I39" s="117" t="e">
        <f>Таблица2[[#This Row],[Общее кол-во]]-SUM(Таблица2[[#This Row],[1.n1]:[11.n1]])</f>
        <v>#REF!</v>
      </c>
      <c r="J39" s="101">
        <f ca="1">SUM(Таблица2[[#This Row],[1.n]:[12.n]])</f>
        <v>0</v>
      </c>
      <c r="K39" s="98" t="e">
        <f>#REF!</f>
        <v>#REF!</v>
      </c>
      <c r="L39" s="98" t="e">
        <f>#REF!</f>
        <v>#REF!</v>
      </c>
      <c r="M39" s="98" t="e">
        <f>#REF!</f>
        <v>#REF!</v>
      </c>
      <c r="N39" s="98" t="e">
        <f>#REF!</f>
        <v>#REF!</v>
      </c>
      <c r="O39" s="98" t="e">
        <f>#REF!</f>
        <v>#REF!</v>
      </c>
      <c r="P39" s="98" t="e">
        <f>#REF!</f>
        <v>#REF!</v>
      </c>
      <c r="Q39" s="98" t="e">
        <f>#REF!</f>
        <v>#REF!</v>
      </c>
      <c r="R39" s="98" t="e">
        <f>#REF!</f>
        <v>#REF!</v>
      </c>
      <c r="S39" s="98" t="e">
        <f>#REF!</f>
        <v>#REF!</v>
      </c>
      <c r="T39" s="98" t="e">
        <f>#REF!</f>
        <v>#REF!</v>
      </c>
      <c r="U39" s="98"/>
      <c r="V39" s="98"/>
      <c r="W39" s="123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39" s="123" t="str">
        <f t="shared" ca="1" si="1"/>
        <v>2.n</v>
      </c>
      <c r="Y39" s="98"/>
      <c r="Z39" s="98"/>
      <c r="AA39" s="98"/>
      <c r="AB39" s="98"/>
      <c r="AC39" s="98"/>
      <c r="AD39" s="98"/>
      <c r="AE39" s="98"/>
      <c r="AF39" s="98"/>
      <c r="AG39" s="98"/>
      <c r="AH39" s="98"/>
      <c r="AK39" s="250"/>
      <c r="AL39" s="250"/>
      <c r="AM39" s="250"/>
      <c r="AN39" s="250"/>
      <c r="AO39" s="250"/>
      <c r="AP39" s="250"/>
      <c r="AQ39" s="250"/>
      <c r="AR39" s="250"/>
      <c r="AS39" s="250"/>
      <c r="AT39" s="250"/>
      <c r="AU39" s="250"/>
      <c r="AV39" s="250"/>
      <c r="AX39" s="250"/>
      <c r="AY39" s="250"/>
      <c r="AZ39" s="250"/>
      <c r="BA39" s="250"/>
      <c r="BB39" s="250"/>
      <c r="BC39" s="250"/>
      <c r="BD39" s="250"/>
      <c r="BE39" s="250"/>
      <c r="BF39" s="250"/>
      <c r="BG39" s="250"/>
      <c r="BH39" s="250"/>
      <c r="BI39" s="250"/>
      <c r="BP39" s="180"/>
      <c r="BQ39" s="180"/>
      <c r="BR39" s="180"/>
      <c r="BS39" s="180"/>
      <c r="BT39" s="180"/>
      <c r="BU39" s="180"/>
      <c r="BV39" s="180"/>
      <c r="BW39" s="179">
        <f>SUM(BP39:BV39)-Таблица2[[#This Row],[Общее кол-во]]</f>
        <v>-174.8</v>
      </c>
      <c r="BZ39" s="180"/>
      <c r="CA39" s="180"/>
      <c r="CB39" s="180"/>
      <c r="CC39" s="180"/>
      <c r="CD39" s="180"/>
      <c r="CE39" s="180"/>
      <c r="CF39" s="180"/>
      <c r="CH39" s="254">
        <f t="shared" si="17"/>
        <v>0</v>
      </c>
    </row>
    <row r="40" spans="1:217" hidden="1" x14ac:dyDescent="0.3">
      <c r="A40" s="26" t="s">
        <v>171</v>
      </c>
      <c r="B40" s="17"/>
      <c r="C40" s="53" t="s">
        <v>93</v>
      </c>
      <c r="D40" s="54"/>
      <c r="E40" s="54"/>
      <c r="F40" s="55" t="s">
        <v>3</v>
      </c>
      <c r="G40" s="56">
        <v>0.25</v>
      </c>
      <c r="H40" s="34">
        <v>43.7</v>
      </c>
      <c r="I40" s="117" t="e">
        <f>Таблица2[[#This Row],[Общее кол-во]]-SUM(Таблица2[[#This Row],[1.n1]:[11.n1]])</f>
        <v>#REF!</v>
      </c>
      <c r="J40" s="101">
        <f ca="1">SUM(Таблица2[[#This Row],[1.n]:[12.n]])</f>
        <v>0</v>
      </c>
      <c r="K40" s="98" t="e">
        <f>#REF!</f>
        <v>#REF!</v>
      </c>
      <c r="L40" s="98" t="e">
        <f>#REF!</f>
        <v>#REF!</v>
      </c>
      <c r="M40" s="98" t="e">
        <f>#REF!</f>
        <v>#REF!</v>
      </c>
      <c r="N40" s="98" t="e">
        <f>#REF!</f>
        <v>#REF!</v>
      </c>
      <c r="O40" s="98" t="e">
        <f>#REF!</f>
        <v>#REF!</v>
      </c>
      <c r="P40" s="98" t="e">
        <f>#REF!</f>
        <v>#REF!</v>
      </c>
      <c r="Q40" s="98" t="e">
        <f>#REF!</f>
        <v>#REF!</v>
      </c>
      <c r="R40" s="98" t="e">
        <f>#REF!</f>
        <v>#REF!</v>
      </c>
      <c r="S40" s="98" t="e">
        <f>#REF!</f>
        <v>#REF!</v>
      </c>
      <c r="T40" s="98" t="e">
        <f>#REF!</f>
        <v>#REF!</v>
      </c>
      <c r="U40" s="98"/>
      <c r="V40" s="98"/>
      <c r="W40" s="139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0" s="139" t="str">
        <f t="shared" ca="1" si="1"/>
        <v>2.n</v>
      </c>
      <c r="Y40" s="98"/>
      <c r="Z40" s="98"/>
      <c r="AA40" s="98"/>
      <c r="AB40" s="98"/>
      <c r="AC40" s="98"/>
      <c r="AD40" s="98"/>
      <c r="AE40" s="98"/>
      <c r="AF40" s="98"/>
      <c r="AG40" s="98"/>
      <c r="AH40" s="98"/>
      <c r="AK40" s="250"/>
      <c r="AL40" s="250"/>
      <c r="AM40" s="250"/>
      <c r="AN40" s="250"/>
      <c r="AO40" s="250"/>
      <c r="AP40" s="250"/>
      <c r="AQ40" s="250"/>
      <c r="AR40" s="250"/>
      <c r="AS40" s="250"/>
      <c r="AT40" s="250"/>
      <c r="AU40" s="250"/>
      <c r="AV40" s="250"/>
      <c r="AX40" s="250"/>
      <c r="AY40" s="250"/>
      <c r="AZ40" s="250"/>
      <c r="BA40" s="250"/>
      <c r="BB40" s="250"/>
      <c r="BC40" s="250"/>
      <c r="BD40" s="250"/>
      <c r="BE40" s="250"/>
      <c r="BF40" s="250"/>
      <c r="BG40" s="250"/>
      <c r="BH40" s="250"/>
      <c r="BI40" s="250"/>
      <c r="BP40" s="180"/>
      <c r="BQ40" s="180"/>
      <c r="BR40" s="180"/>
      <c r="BS40" s="180"/>
      <c r="BT40" s="180"/>
      <c r="BU40" s="180"/>
      <c r="BV40" s="180"/>
      <c r="BW40" s="179">
        <f>SUM(BP40:BV40)-Таблица2[[#This Row],[Общее кол-во]]</f>
        <v>-43.7</v>
      </c>
      <c r="BZ40" s="180"/>
      <c r="CA40" s="180"/>
      <c r="CB40" s="180"/>
      <c r="CC40" s="180"/>
      <c r="CD40" s="180"/>
      <c r="CE40" s="180"/>
      <c r="CF40" s="180"/>
      <c r="CH40" s="254">
        <f t="shared" si="17"/>
        <v>0</v>
      </c>
    </row>
    <row r="41" spans="1:217" s="159" customFormat="1" ht="46.8" x14ac:dyDescent="0.3">
      <c r="A41" s="173" t="s">
        <v>172</v>
      </c>
      <c r="B41" s="174" t="s">
        <v>165</v>
      </c>
      <c r="C41" s="175" t="s">
        <v>166</v>
      </c>
      <c r="D41" s="176"/>
      <c r="E41" s="176" t="s">
        <v>173</v>
      </c>
      <c r="F41" s="176" t="s">
        <v>96</v>
      </c>
      <c r="G41" s="177">
        <v>1</v>
      </c>
      <c r="H41" s="157">
        <v>808</v>
      </c>
      <c r="I41" s="121">
        <f ca="1">H41-J41</f>
        <v>14.800000000000068</v>
      </c>
      <c r="J41" s="243">
        <f ca="1">SUM(Таблица2[[#This Row],[1.n]:[12.n]])</f>
        <v>793.19999999999993</v>
      </c>
      <c r="K41" s="236"/>
      <c r="L41" s="236"/>
      <c r="M41" s="236"/>
      <c r="N41" s="236"/>
      <c r="O41" s="236"/>
      <c r="P41" s="236"/>
      <c r="Q41" s="236" t="e">
        <f>#REF!</f>
        <v>#REF!</v>
      </c>
      <c r="R41" s="236"/>
      <c r="S41" s="236" t="e">
        <f>#REF!</f>
        <v>#REF!</v>
      </c>
      <c r="T41" s="236"/>
      <c r="U41" s="158"/>
      <c r="V41" s="158"/>
      <c r="W41" s="248">
        <f ca="1">SUMIFS(
    INDIRECT("'" &amp; INDIRECT(ADDRESS(1,COLUMN())) &amp; "'!$E$2:$E$1000"),
    INDIRECT("'" &amp; INDIRECT(ADDRESS(1,COLUMN())) &amp; "'!$B$2:$B$1000"),
    $C41,
    INDIRECT("'" &amp; INDIRECT(ADDRESS(1,COLUMN())) &amp; "'!$C$2:$C$1000"),
    $E41)</f>
        <v>0</v>
      </c>
      <c r="X41" s="248">
        <f ca="1">SUMIFS(
    INDIRECT("'" &amp; INDIRECT(ADDRESS(1,COLUMN())) &amp; "'!$E$2:$E$1000"),
    INDIRECT("'" &amp; INDIRECT(ADDRESS(1,COLUMN())) &amp; "'!$B$2:$B$1000"),
    $C41,
    INDIRECT("'" &amp; INDIRECT(ADDRESS(1,COLUMN())) &amp; "'!$C$2:$C$1000"),
    $E41)</f>
        <v>175.4</v>
      </c>
      <c r="Y41" s="248">
        <f ca="1">SUMIFS(
    INDIRECT("'" &amp; INDIRECT(ADDRESS(1,COLUMN())) &amp; "'!$E$2:$E$1000"),
    INDIRECT("'" &amp; INDIRECT(ADDRESS(1,COLUMN())) &amp; "'!$B$2:$B$1000"),
    $C41,
    INDIRECT("'" &amp; INDIRECT(ADDRESS(1,COLUMN())) &amp; "'!$C$2:$C$1000"),
    $E41)</f>
        <v>0</v>
      </c>
      <c r="Z41" s="248">
        <f t="shared" ref="Z41:AH41" ca="1" si="18">SUMIFS(
    INDIRECT("'" &amp; INDIRECT(ADDRESS(1,COLUMN())) &amp; "'!$E$2:$E$1000"),
    INDIRECT("'" &amp; INDIRECT(ADDRESS(1,COLUMN())) &amp; "'!$B$2:$B$1000"),
    $C41,
    INDIRECT("'" &amp; INDIRECT(ADDRESS(1,COLUMN())) &amp; "'!$C$2:$C$1000"),
    $E41)</f>
        <v>0</v>
      </c>
      <c r="AA41" s="248">
        <f t="shared" ca="1" si="18"/>
        <v>0</v>
      </c>
      <c r="AB41" s="248">
        <f t="shared" ca="1" si="18"/>
        <v>0</v>
      </c>
      <c r="AC41" s="248">
        <f t="shared" ca="1" si="18"/>
        <v>211.39999999999998</v>
      </c>
      <c r="AD41" s="248">
        <f t="shared" ca="1" si="18"/>
        <v>0</v>
      </c>
      <c r="AE41" s="248">
        <f t="shared" ca="1" si="18"/>
        <v>406.4</v>
      </c>
      <c r="AF41" s="248">
        <f t="shared" ca="1" si="18"/>
        <v>0</v>
      </c>
      <c r="AG41" s="248">
        <f t="shared" ca="1" si="18"/>
        <v>0</v>
      </c>
      <c r="AH41" s="248">
        <f t="shared" ca="1" si="18"/>
        <v>0</v>
      </c>
      <c r="AI41" s="179"/>
      <c r="AJ41" s="179">
        <v>808</v>
      </c>
      <c r="AK41" s="250">
        <v>0</v>
      </c>
      <c r="AL41" s="250"/>
      <c r="AM41" s="250"/>
      <c r="AN41" s="250"/>
      <c r="AO41" s="250"/>
      <c r="AP41" s="250"/>
      <c r="AQ41" s="250"/>
      <c r="AR41" s="250"/>
      <c r="AS41" s="250"/>
      <c r="AT41" s="250"/>
      <c r="AU41" s="250"/>
      <c r="AV41" s="250"/>
      <c r="AW41" s="179"/>
      <c r="AX41" s="250">
        <v>0</v>
      </c>
      <c r="AY41" s="250"/>
      <c r="AZ41" s="250"/>
      <c r="BA41" s="250"/>
      <c r="BB41" s="250"/>
      <c r="BC41" s="250"/>
      <c r="BD41" s="250"/>
      <c r="BE41" s="250"/>
      <c r="BF41" s="250"/>
      <c r="BG41" s="250"/>
      <c r="BH41" s="250"/>
      <c r="BI41" s="250"/>
      <c r="BJ41" s="179"/>
      <c r="BK41" s="179"/>
      <c r="BL41" s="179"/>
      <c r="BM41" s="179"/>
      <c r="BN41" s="179"/>
      <c r="BO41" s="179"/>
      <c r="BP41" s="182">
        <v>0</v>
      </c>
      <c r="BQ41" s="182">
        <v>178.5</v>
      </c>
      <c r="BR41" s="182">
        <v>0</v>
      </c>
      <c r="BS41" s="182">
        <v>0</v>
      </c>
      <c r="BT41" s="182">
        <v>414.6</v>
      </c>
      <c r="BU41" s="182">
        <v>134.9</v>
      </c>
      <c r="BV41" s="182">
        <v>80</v>
      </c>
      <c r="BW41" s="179">
        <f>SUM(BP41:BV41)-Таблица2[[#This Row],[Общее кол-во]]</f>
        <v>0</v>
      </c>
      <c r="BX41" s="179"/>
      <c r="BY41" s="179"/>
      <c r="BZ41" s="180">
        <v>0</v>
      </c>
      <c r="CA41" s="180">
        <v>178.5</v>
      </c>
      <c r="CB41" s="180">
        <v>0</v>
      </c>
      <c r="CC41" s="180">
        <v>0</v>
      </c>
      <c r="CD41" s="180">
        <v>414.59999999999997</v>
      </c>
      <c r="CE41" s="180">
        <v>134.9</v>
      </c>
      <c r="CF41" s="180">
        <v>80</v>
      </c>
      <c r="CG41" s="179"/>
      <c r="CH41" s="254">
        <f t="shared" si="17"/>
        <v>807.99999999999989</v>
      </c>
      <c r="CI41" s="179"/>
      <c r="CJ41" s="179"/>
      <c r="CK41" s="179"/>
      <c r="CL41" s="179"/>
      <c r="CM41" s="179"/>
      <c r="CN41" s="179"/>
      <c r="CO41" s="179"/>
      <c r="CP41" s="179"/>
      <c r="CQ41" s="179"/>
      <c r="CR41" s="179"/>
      <c r="CS41" s="179"/>
      <c r="CT41" s="179"/>
      <c r="CU41" s="179"/>
      <c r="CV41" s="179"/>
      <c r="CW41" s="179"/>
      <c r="CX41" s="179"/>
      <c r="CY41" s="179"/>
      <c r="CZ41" s="179"/>
      <c r="DA41" s="179"/>
      <c r="DB41" s="179"/>
      <c r="DC41" s="179"/>
      <c r="DD41" s="179"/>
      <c r="DE41" s="179"/>
      <c r="DF41" s="179"/>
      <c r="DG41" s="179"/>
      <c r="DH41" s="179"/>
      <c r="DI41" s="179"/>
      <c r="DJ41" s="179"/>
      <c r="DK41" s="179"/>
      <c r="DL41" s="179"/>
      <c r="DM41" s="179"/>
      <c r="DN41" s="179"/>
      <c r="DO41" s="179"/>
      <c r="DP41" s="179"/>
      <c r="DQ41" s="179"/>
      <c r="DR41" s="179"/>
      <c r="DS41" s="179"/>
      <c r="DT41" s="179"/>
      <c r="DU41" s="179"/>
      <c r="DV41" s="179"/>
      <c r="DW41" s="179"/>
      <c r="DX41" s="179"/>
      <c r="DY41" s="179"/>
      <c r="DZ41" s="179"/>
      <c r="EA41" s="179"/>
      <c r="EB41" s="179"/>
      <c r="EC41" s="179"/>
      <c r="ED41" s="179"/>
      <c r="EE41" s="179"/>
      <c r="EF41" s="179"/>
      <c r="EG41" s="179"/>
      <c r="EH41" s="179"/>
      <c r="EI41" s="179"/>
      <c r="EJ41" s="179"/>
      <c r="EK41" s="179"/>
      <c r="EL41" s="179"/>
      <c r="EM41" s="179"/>
      <c r="EN41" s="179"/>
      <c r="EO41" s="179"/>
      <c r="EP41" s="179"/>
      <c r="EQ41" s="179"/>
      <c r="ER41" s="179"/>
      <c r="ES41" s="179"/>
      <c r="ET41" s="179"/>
      <c r="EU41" s="179"/>
      <c r="EV41" s="179"/>
      <c r="EW41" s="179"/>
      <c r="EX41" s="179"/>
      <c r="EY41" s="179"/>
      <c r="EZ41" s="179"/>
      <c r="FA41" s="179"/>
      <c r="FB41" s="179"/>
      <c r="FC41" s="179"/>
      <c r="FD41" s="179"/>
      <c r="FE41" s="179"/>
      <c r="FF41" s="179"/>
      <c r="FG41" s="179"/>
      <c r="FH41" s="179"/>
      <c r="FI41" s="179"/>
      <c r="FJ41" s="179"/>
      <c r="FK41" s="179"/>
      <c r="FL41" s="179"/>
      <c r="FM41" s="179"/>
      <c r="FN41" s="179"/>
      <c r="FO41" s="179"/>
      <c r="FP41" s="179"/>
      <c r="FQ41" s="179"/>
      <c r="FR41" s="179"/>
      <c r="FS41" s="179"/>
      <c r="FT41" s="179"/>
      <c r="FU41" s="179"/>
      <c r="FV41" s="179"/>
      <c r="FW41" s="179"/>
      <c r="FX41" s="179"/>
      <c r="FY41" s="179"/>
      <c r="FZ41" s="179"/>
      <c r="GA41" s="179"/>
      <c r="GB41" s="179"/>
      <c r="GC41" s="179"/>
      <c r="GD41" s="179"/>
      <c r="GE41" s="179"/>
      <c r="GF41" s="179"/>
      <c r="GG41" s="179"/>
      <c r="GH41" s="179"/>
      <c r="GI41" s="179"/>
      <c r="GJ41" s="179"/>
      <c r="GK41" s="179"/>
      <c r="GL41" s="179"/>
      <c r="GM41" s="179"/>
      <c r="GN41" s="179"/>
      <c r="GO41" s="179"/>
      <c r="GP41" s="179"/>
      <c r="GQ41" s="179"/>
      <c r="GR41" s="179"/>
      <c r="GS41" s="179"/>
      <c r="GT41" s="179"/>
      <c r="GU41" s="179"/>
      <c r="GV41" s="179"/>
      <c r="GW41" s="179"/>
      <c r="GX41" s="179"/>
      <c r="GY41" s="179"/>
      <c r="GZ41" s="179"/>
      <c r="HA41" s="179"/>
      <c r="HB41" s="179"/>
      <c r="HC41" s="179"/>
      <c r="HD41" s="179"/>
      <c r="HE41" s="179"/>
      <c r="HF41" s="179"/>
      <c r="HG41" s="179"/>
      <c r="HH41" s="179"/>
      <c r="HI41" s="179"/>
    </row>
    <row r="42" spans="1:217" hidden="1" x14ac:dyDescent="0.3">
      <c r="A42" s="26" t="s">
        <v>174</v>
      </c>
      <c r="B42" s="17"/>
      <c r="C42" s="53" t="s">
        <v>5</v>
      </c>
      <c r="D42" s="54"/>
      <c r="E42" s="54"/>
      <c r="F42" s="55" t="s">
        <v>3</v>
      </c>
      <c r="G42" s="56">
        <v>0.15</v>
      </c>
      <c r="H42" s="34">
        <v>121.2</v>
      </c>
      <c r="I42" s="60"/>
      <c r="J42" s="100">
        <f ca="1">SUM(Таблица2[[#This Row],[1.n]:[12.n]])</f>
        <v>0</v>
      </c>
      <c r="K42" s="98" t="e">
        <f>#REF!</f>
        <v>#REF!</v>
      </c>
      <c r="L42" s="98" t="e">
        <f>#REF!</f>
        <v>#REF!</v>
      </c>
      <c r="M42" s="98" t="e">
        <f>#REF!</f>
        <v>#REF!</v>
      </c>
      <c r="N42" s="98" t="e">
        <f>#REF!</f>
        <v>#REF!</v>
      </c>
      <c r="O42" s="98" t="e">
        <f>#REF!</f>
        <v>#REF!</v>
      </c>
      <c r="P42" s="98" t="e">
        <f>#REF!</f>
        <v>#REF!</v>
      </c>
      <c r="Q42" s="98" t="e">
        <f>#REF!</f>
        <v>#REF!</v>
      </c>
      <c r="R42" s="98" t="e">
        <f>#REF!</f>
        <v>#REF!</v>
      </c>
      <c r="S42" s="98" t="e">
        <f>#REF!</f>
        <v>#REF!</v>
      </c>
      <c r="T42" s="98" t="e">
        <f>#REF!</f>
        <v>#REF!</v>
      </c>
      <c r="U42" s="98"/>
      <c r="V42" s="98"/>
      <c r="W42" s="131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2" s="131" t="str">
        <f t="shared" ca="1" si="1"/>
        <v>2.n</v>
      </c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K42" s="250"/>
      <c r="AL42" s="250"/>
      <c r="AM42" s="250"/>
      <c r="AN42" s="250"/>
      <c r="AO42" s="250"/>
      <c r="AP42" s="250"/>
      <c r="AQ42" s="250"/>
      <c r="AR42" s="250"/>
      <c r="AS42" s="250"/>
      <c r="AT42" s="250"/>
      <c r="AU42" s="250"/>
      <c r="AV42" s="250"/>
      <c r="AX42" s="250"/>
      <c r="AY42" s="250"/>
      <c r="AZ42" s="250"/>
      <c r="BA42" s="250"/>
      <c r="BB42" s="250"/>
      <c r="BC42" s="250"/>
      <c r="BD42" s="250"/>
      <c r="BE42" s="250"/>
      <c r="BF42" s="250"/>
      <c r="BG42" s="250"/>
      <c r="BH42" s="250"/>
      <c r="BI42" s="250"/>
      <c r="BP42" s="180"/>
      <c r="BQ42" s="180"/>
      <c r="BR42" s="180"/>
      <c r="BS42" s="180"/>
      <c r="BT42" s="180"/>
      <c r="BU42" s="180"/>
      <c r="BV42" s="180"/>
      <c r="BW42" s="179">
        <f>SUM(BP42:BV42)-Таблица2[[#This Row],[Общее кол-во]]</f>
        <v>-121.2</v>
      </c>
      <c r="BZ42" s="180"/>
      <c r="CA42" s="180"/>
      <c r="CB42" s="180"/>
      <c r="CC42" s="180"/>
      <c r="CD42" s="180"/>
      <c r="CE42" s="180"/>
      <c r="CF42" s="180"/>
      <c r="CH42" s="254">
        <f t="shared" si="17"/>
        <v>0</v>
      </c>
    </row>
    <row r="43" spans="1:217" hidden="1" x14ac:dyDescent="0.3">
      <c r="A43" s="25" t="s">
        <v>175</v>
      </c>
      <c r="B43" s="16"/>
      <c r="C43" s="59" t="s">
        <v>6</v>
      </c>
      <c r="D43" s="50"/>
      <c r="E43" s="50"/>
      <c r="F43" s="51" t="s">
        <v>4</v>
      </c>
      <c r="G43" s="52">
        <v>1</v>
      </c>
      <c r="H43" s="34">
        <v>808</v>
      </c>
      <c r="I43" s="61"/>
      <c r="J43" s="101">
        <f ca="1">SUM(Таблица2[[#This Row],[1.n]:[12.n]])</f>
        <v>0</v>
      </c>
      <c r="K43" s="98" t="e">
        <f>#REF!</f>
        <v>#REF!</v>
      </c>
      <c r="L43" s="98" t="e">
        <f>#REF!</f>
        <v>#REF!</v>
      </c>
      <c r="M43" s="98" t="e">
        <f>#REF!</f>
        <v>#REF!</v>
      </c>
      <c r="N43" s="98" t="e">
        <f>#REF!</f>
        <v>#REF!</v>
      </c>
      <c r="O43" s="98" t="e">
        <f>#REF!</f>
        <v>#REF!</v>
      </c>
      <c r="P43" s="98" t="e">
        <f>#REF!</f>
        <v>#REF!</v>
      </c>
      <c r="Q43" s="98" t="e">
        <f>#REF!</f>
        <v>#REF!</v>
      </c>
      <c r="R43" s="98" t="e">
        <f>#REF!</f>
        <v>#REF!</v>
      </c>
      <c r="S43" s="98" t="e">
        <f>#REF!</f>
        <v>#REF!</v>
      </c>
      <c r="T43" s="98" t="e">
        <f>#REF!</f>
        <v>#REF!</v>
      </c>
      <c r="U43" s="98"/>
      <c r="V43" s="98"/>
      <c r="W43" s="147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3" s="147" t="str">
        <f t="shared" ca="1" si="1"/>
        <v>2.n</v>
      </c>
      <c r="Y43" s="98"/>
      <c r="Z43" s="98"/>
      <c r="AA43" s="98"/>
      <c r="AB43" s="98"/>
      <c r="AC43" s="98"/>
      <c r="AD43" s="98"/>
      <c r="AE43" s="98"/>
      <c r="AF43" s="98"/>
      <c r="AG43" s="98"/>
      <c r="AH43" s="98"/>
      <c r="AK43" s="250"/>
      <c r="AL43" s="250"/>
      <c r="AM43" s="250"/>
      <c r="AN43" s="250"/>
      <c r="AO43" s="250"/>
      <c r="AP43" s="250"/>
      <c r="AQ43" s="250"/>
      <c r="AR43" s="250"/>
      <c r="AS43" s="250"/>
      <c r="AT43" s="250"/>
      <c r="AU43" s="250"/>
      <c r="AV43" s="250"/>
      <c r="AX43" s="250"/>
      <c r="AY43" s="250"/>
      <c r="AZ43" s="250"/>
      <c r="BA43" s="250"/>
      <c r="BB43" s="250"/>
      <c r="BC43" s="250"/>
      <c r="BD43" s="250"/>
      <c r="BE43" s="250"/>
      <c r="BF43" s="250"/>
      <c r="BG43" s="250"/>
      <c r="BH43" s="250"/>
      <c r="BI43" s="250"/>
      <c r="BP43" s="180"/>
      <c r="BQ43" s="180"/>
      <c r="BR43" s="180"/>
      <c r="BS43" s="180"/>
      <c r="BT43" s="180"/>
      <c r="BU43" s="180"/>
      <c r="BV43" s="180"/>
      <c r="BW43" s="179">
        <f>SUM(BP43:BV43)-Таблица2[[#This Row],[Общее кол-во]]</f>
        <v>-808</v>
      </c>
      <c r="BZ43" s="180"/>
      <c r="CA43" s="180"/>
      <c r="CB43" s="180"/>
      <c r="CC43" s="180"/>
      <c r="CD43" s="180"/>
      <c r="CE43" s="180"/>
      <c r="CF43" s="180"/>
      <c r="CH43" s="254">
        <f t="shared" si="17"/>
        <v>0</v>
      </c>
    </row>
    <row r="44" spans="1:217" hidden="1" x14ac:dyDescent="0.3">
      <c r="A44" s="26" t="s">
        <v>176</v>
      </c>
      <c r="B44" s="17"/>
      <c r="C44" s="53" t="s">
        <v>94</v>
      </c>
      <c r="D44" s="54"/>
      <c r="E44" s="54"/>
      <c r="F44" s="55" t="s">
        <v>96</v>
      </c>
      <c r="G44" s="56">
        <v>1.1000000000000001</v>
      </c>
      <c r="H44" s="34">
        <v>888.8</v>
      </c>
      <c r="I44" s="61"/>
      <c r="J44" s="101">
        <f ca="1">SUM(Таблица2[[#This Row],[1.n]:[12.n]])</f>
        <v>0</v>
      </c>
      <c r="K44" s="98" t="e">
        <f>#REF!</f>
        <v>#REF!</v>
      </c>
      <c r="L44" s="98" t="e">
        <f>#REF!</f>
        <v>#REF!</v>
      </c>
      <c r="M44" s="98" t="e">
        <f>#REF!</f>
        <v>#REF!</v>
      </c>
      <c r="N44" s="98" t="e">
        <f>#REF!</f>
        <v>#REF!</v>
      </c>
      <c r="O44" s="98" t="e">
        <f>#REF!</f>
        <v>#REF!</v>
      </c>
      <c r="P44" s="98" t="e">
        <f>#REF!</f>
        <v>#REF!</v>
      </c>
      <c r="Q44" s="98" t="e">
        <f>#REF!</f>
        <v>#REF!</v>
      </c>
      <c r="R44" s="98" t="e">
        <f>#REF!</f>
        <v>#REF!</v>
      </c>
      <c r="S44" s="98" t="e">
        <f>#REF!</f>
        <v>#REF!</v>
      </c>
      <c r="T44" s="98" t="e">
        <f>#REF!</f>
        <v>#REF!</v>
      </c>
      <c r="U44" s="98"/>
      <c r="V44" s="98"/>
      <c r="W44" s="131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4" s="131" t="str">
        <f t="shared" ca="1" si="1"/>
        <v>2.n</v>
      </c>
      <c r="Y44" s="98"/>
      <c r="Z44" s="98"/>
      <c r="AA44" s="98"/>
      <c r="AB44" s="98"/>
      <c r="AC44" s="98"/>
      <c r="AD44" s="98"/>
      <c r="AE44" s="98"/>
      <c r="AF44" s="98"/>
      <c r="AG44" s="98"/>
      <c r="AH44" s="98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X44" s="250"/>
      <c r="AY44" s="250"/>
      <c r="AZ44" s="250"/>
      <c r="BA44" s="250"/>
      <c r="BB44" s="250"/>
      <c r="BC44" s="250"/>
      <c r="BD44" s="250"/>
      <c r="BE44" s="250"/>
      <c r="BF44" s="250"/>
      <c r="BG44" s="250"/>
      <c r="BH44" s="250"/>
      <c r="BI44" s="250"/>
      <c r="BP44" s="180"/>
      <c r="BQ44" s="180"/>
      <c r="BR44" s="180"/>
      <c r="BS44" s="180"/>
      <c r="BT44" s="180"/>
      <c r="BU44" s="180"/>
      <c r="BV44" s="180"/>
      <c r="BW44" s="179">
        <f>SUM(BP44:BV44)-Таблица2[[#This Row],[Общее кол-во]]</f>
        <v>-888.8</v>
      </c>
      <c r="BZ44" s="180"/>
      <c r="CA44" s="180"/>
      <c r="CB44" s="180"/>
      <c r="CC44" s="180"/>
      <c r="CD44" s="180"/>
      <c r="CE44" s="180"/>
      <c r="CF44" s="180"/>
      <c r="CH44" s="254">
        <f t="shared" si="17"/>
        <v>0</v>
      </c>
    </row>
    <row r="45" spans="1:217" hidden="1" x14ac:dyDescent="0.3">
      <c r="A45" s="25" t="s">
        <v>177</v>
      </c>
      <c r="B45" s="16"/>
      <c r="C45" s="59" t="s">
        <v>95</v>
      </c>
      <c r="D45" s="50"/>
      <c r="E45" s="50"/>
      <c r="F45" s="51" t="s">
        <v>3</v>
      </c>
      <c r="G45" s="52">
        <v>1.3</v>
      </c>
      <c r="H45" s="34">
        <v>36764</v>
      </c>
      <c r="I45" s="61"/>
      <c r="J45" s="101">
        <f ca="1">SUM(Таблица2[[#This Row],[1.n]:[12.n]])</f>
        <v>0</v>
      </c>
      <c r="K45" s="98" t="e">
        <f>#REF!</f>
        <v>#REF!</v>
      </c>
      <c r="L45" s="98" t="e">
        <f>#REF!</f>
        <v>#REF!</v>
      </c>
      <c r="M45" s="98" t="e">
        <f>#REF!</f>
        <v>#REF!</v>
      </c>
      <c r="N45" s="98" t="e">
        <f>#REF!</f>
        <v>#REF!</v>
      </c>
      <c r="O45" s="98" t="e">
        <f>#REF!</f>
        <v>#REF!</v>
      </c>
      <c r="P45" s="98" t="e">
        <f>#REF!</f>
        <v>#REF!</v>
      </c>
      <c r="Q45" s="98" t="e">
        <f>#REF!</f>
        <v>#REF!</v>
      </c>
      <c r="R45" s="98" t="e">
        <f>#REF!</f>
        <v>#REF!</v>
      </c>
      <c r="S45" s="98" t="e">
        <f>#REF!</f>
        <v>#REF!</v>
      </c>
      <c r="T45" s="98" t="e">
        <f>#REF!</f>
        <v>#REF!</v>
      </c>
      <c r="U45" s="98"/>
      <c r="V45" s="98"/>
      <c r="W45" s="15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5" s="158" t="str">
        <f t="shared" ca="1" si="1"/>
        <v>2.n</v>
      </c>
      <c r="Y45" s="98"/>
      <c r="Z45" s="98"/>
      <c r="AA45" s="98"/>
      <c r="AB45" s="98"/>
      <c r="AC45" s="98"/>
      <c r="AD45" s="98"/>
      <c r="AE45" s="98"/>
      <c r="AF45" s="98"/>
      <c r="AG45" s="98"/>
      <c r="AH45" s="98"/>
      <c r="AK45" s="250"/>
      <c r="AL45" s="250"/>
      <c r="AM45" s="250"/>
      <c r="AN45" s="250"/>
      <c r="AO45" s="250"/>
      <c r="AP45" s="250"/>
      <c r="AQ45" s="250"/>
      <c r="AR45" s="250"/>
      <c r="AS45" s="250"/>
      <c r="AT45" s="250"/>
      <c r="AU45" s="250"/>
      <c r="AV45" s="250"/>
      <c r="AX45" s="250"/>
      <c r="AY45" s="250"/>
      <c r="AZ45" s="250"/>
      <c r="BA45" s="250"/>
      <c r="BB45" s="250"/>
      <c r="BC45" s="250"/>
      <c r="BD45" s="250"/>
      <c r="BE45" s="250"/>
      <c r="BF45" s="250"/>
      <c r="BG45" s="250"/>
      <c r="BH45" s="250"/>
      <c r="BI45" s="250"/>
      <c r="BP45" s="180"/>
      <c r="BQ45" s="180"/>
      <c r="BR45" s="180"/>
      <c r="BS45" s="180"/>
      <c r="BT45" s="180"/>
      <c r="BU45" s="180"/>
      <c r="BV45" s="180"/>
      <c r="BW45" s="179">
        <f>SUM(BP45:BV45)-Таблица2[[#This Row],[Общее кол-во]]</f>
        <v>-36764</v>
      </c>
      <c r="BZ45" s="180"/>
      <c r="CA45" s="180"/>
      <c r="CB45" s="180"/>
      <c r="CC45" s="180"/>
      <c r="CD45" s="180"/>
      <c r="CE45" s="180"/>
      <c r="CF45" s="180"/>
      <c r="CH45" s="254">
        <f t="shared" si="17"/>
        <v>0</v>
      </c>
    </row>
    <row r="46" spans="1:217" s="167" customFormat="1" ht="46.8" x14ac:dyDescent="0.3">
      <c r="A46" s="160" t="s">
        <v>178</v>
      </c>
      <c r="B46" s="161" t="s">
        <v>165</v>
      </c>
      <c r="C46" s="162" t="s">
        <v>166</v>
      </c>
      <c r="D46" s="163"/>
      <c r="E46" s="163" t="s">
        <v>179</v>
      </c>
      <c r="F46" s="163" t="s">
        <v>96</v>
      </c>
      <c r="G46" s="164">
        <v>1</v>
      </c>
      <c r="H46" s="165">
        <v>154.19999999999999</v>
      </c>
      <c r="I46" s="121">
        <f ca="1">H46-J46</f>
        <v>3.5</v>
      </c>
      <c r="J46" s="243">
        <f ca="1">SUM(Таблица2[[#This Row],[1.n]:[12.n]])</f>
        <v>150.69999999999999</v>
      </c>
      <c r="K46" s="237"/>
      <c r="L46" s="237"/>
      <c r="M46" s="237"/>
      <c r="N46" s="237"/>
      <c r="O46" s="237"/>
      <c r="P46" s="237" t="e">
        <f>#REF!</f>
        <v>#REF!</v>
      </c>
      <c r="Q46" s="237"/>
      <c r="R46" s="237"/>
      <c r="S46" s="237"/>
      <c r="T46" s="237" t="e">
        <f>#REF!</f>
        <v>#REF!</v>
      </c>
      <c r="U46" s="166"/>
      <c r="V46" s="166"/>
      <c r="W46" s="248">
        <f ca="1">SUMIFS(
    INDIRECT("'" &amp; INDIRECT(ADDRESS(1,COLUMN())) &amp; "'!$E$2:$E$1000"),
    INDIRECT("'" &amp; INDIRECT(ADDRESS(1,COLUMN())) &amp; "'!$B$2:$B$1000"),
    $C46,
    INDIRECT("'" &amp; INDIRECT(ADDRESS(1,COLUMN())) &amp; "'!$C$2:$C$1000"),
    $E46)</f>
        <v>0</v>
      </c>
      <c r="X46" s="248">
        <f ca="1">SUMIFS(
    INDIRECT("'" &amp; INDIRECT(ADDRESS(1,COLUMN())) &amp; "'!$E$2:$E$1000"),
    INDIRECT("'" &amp; INDIRECT(ADDRESS(1,COLUMN())) &amp; "'!$B$2:$B$1000"),
    $C46,
    INDIRECT("'" &amp; INDIRECT(ADDRESS(1,COLUMN())) &amp; "'!$C$2:$C$1000"),
    $E46)</f>
        <v>0</v>
      </c>
      <c r="Y46" s="248">
        <f ca="1">SUMIFS(
    INDIRECT("'" &amp; INDIRECT(ADDRESS(1,COLUMN())) &amp; "'!$E$2:$E$1000"),
    INDIRECT("'" &amp; INDIRECT(ADDRESS(1,COLUMN())) &amp; "'!$B$2:$B$1000"),
    $C46,
    INDIRECT("'" &amp; INDIRECT(ADDRESS(1,COLUMN())) &amp; "'!$C$2:$C$1000"),
    $E46)</f>
        <v>0</v>
      </c>
      <c r="Z46" s="248">
        <f t="shared" ref="Z46:AH46" ca="1" si="19">SUMIFS(
    INDIRECT("'" &amp; INDIRECT(ADDRESS(1,COLUMN())) &amp; "'!$E$2:$E$1000"),
    INDIRECT("'" &amp; INDIRECT(ADDRESS(1,COLUMN())) &amp; "'!$B$2:$B$1000"),
    $C46,
    INDIRECT("'" &amp; INDIRECT(ADDRESS(1,COLUMN())) &amp; "'!$C$2:$C$1000"),
    $E46)</f>
        <v>0</v>
      </c>
      <c r="AA46" s="248">
        <f t="shared" ca="1" si="19"/>
        <v>77.599999999999994</v>
      </c>
      <c r="AB46" s="248">
        <f t="shared" ca="1" si="19"/>
        <v>70.099999999999994</v>
      </c>
      <c r="AC46" s="248">
        <f t="shared" ca="1" si="19"/>
        <v>0</v>
      </c>
      <c r="AD46" s="248">
        <f t="shared" ca="1" si="19"/>
        <v>0</v>
      </c>
      <c r="AE46" s="248">
        <f t="shared" ca="1" si="19"/>
        <v>0</v>
      </c>
      <c r="AF46" s="248">
        <f t="shared" ca="1" si="19"/>
        <v>3</v>
      </c>
      <c r="AG46" s="248">
        <f t="shared" ca="1" si="19"/>
        <v>0</v>
      </c>
      <c r="AH46" s="248">
        <f t="shared" ca="1" si="19"/>
        <v>0</v>
      </c>
      <c r="AI46" s="179"/>
      <c r="AJ46" s="179">
        <v>154.19999999999999</v>
      </c>
      <c r="AK46" s="250">
        <v>0</v>
      </c>
      <c r="AL46" s="250"/>
      <c r="AM46" s="250"/>
      <c r="AN46" s="250"/>
      <c r="AO46" s="250"/>
      <c r="AP46" s="250"/>
      <c r="AQ46" s="250"/>
      <c r="AR46" s="250"/>
      <c r="AS46" s="250"/>
      <c r="AT46" s="250"/>
      <c r="AU46" s="250"/>
      <c r="AV46" s="250"/>
      <c r="AW46" s="179"/>
      <c r="AX46" s="250">
        <v>0</v>
      </c>
      <c r="AY46" s="250"/>
      <c r="AZ46" s="250"/>
      <c r="BA46" s="250"/>
      <c r="BB46" s="250"/>
      <c r="BC46" s="250"/>
      <c r="BD46" s="250"/>
      <c r="BE46" s="250"/>
      <c r="BF46" s="250"/>
      <c r="BG46" s="250"/>
      <c r="BH46" s="250"/>
      <c r="BI46" s="250"/>
      <c r="BJ46" s="179"/>
      <c r="BK46" s="179"/>
      <c r="BL46" s="179"/>
      <c r="BM46" s="179"/>
      <c r="BN46" s="179"/>
      <c r="BO46" s="179"/>
      <c r="BP46" s="183">
        <v>0</v>
      </c>
      <c r="BQ46" s="183">
        <v>67.5</v>
      </c>
      <c r="BR46" s="183">
        <v>0</v>
      </c>
      <c r="BS46" s="183">
        <v>12</v>
      </c>
      <c r="BT46" s="183">
        <v>3.1</v>
      </c>
      <c r="BU46" s="183">
        <v>60.7</v>
      </c>
      <c r="BV46" s="183">
        <v>10.9</v>
      </c>
      <c r="BW46" s="179">
        <f>SUM(BP46:BV46)-Таблица2[[#This Row],[Общее кол-во]]</f>
        <v>0</v>
      </c>
      <c r="BX46" s="179"/>
      <c r="BY46" s="179"/>
      <c r="BZ46" s="180">
        <v>0</v>
      </c>
      <c r="CA46" s="180">
        <v>67.5</v>
      </c>
      <c r="CB46" s="180">
        <v>0</v>
      </c>
      <c r="CC46" s="180">
        <v>12</v>
      </c>
      <c r="CD46" s="180">
        <v>3.1</v>
      </c>
      <c r="CE46" s="180">
        <v>60.7</v>
      </c>
      <c r="CF46" s="180">
        <v>10.9</v>
      </c>
      <c r="CG46" s="179"/>
      <c r="CH46" s="254">
        <f t="shared" si="17"/>
        <v>154.20000000000002</v>
      </c>
      <c r="CI46" s="179"/>
      <c r="CJ46" s="179"/>
      <c r="CK46" s="179"/>
      <c r="CL46" s="179"/>
      <c r="CM46" s="179"/>
      <c r="CN46" s="179"/>
      <c r="CO46" s="179"/>
      <c r="CP46" s="179"/>
      <c r="CQ46" s="179"/>
      <c r="CR46" s="179"/>
      <c r="CS46" s="179"/>
      <c r="CT46" s="179"/>
      <c r="CU46" s="179"/>
      <c r="CV46" s="179"/>
      <c r="CW46" s="179"/>
      <c r="CX46" s="179"/>
      <c r="CY46" s="179"/>
      <c r="CZ46" s="179"/>
      <c r="DA46" s="179"/>
      <c r="DB46" s="179"/>
      <c r="DC46" s="179"/>
      <c r="DD46" s="179"/>
      <c r="DE46" s="179"/>
      <c r="DF46" s="179"/>
      <c r="DG46" s="179"/>
      <c r="DH46" s="179"/>
      <c r="DI46" s="179"/>
      <c r="DJ46" s="179"/>
      <c r="DK46" s="179"/>
      <c r="DL46" s="179"/>
      <c r="DM46" s="179"/>
      <c r="DN46" s="179"/>
      <c r="DO46" s="179"/>
      <c r="DP46" s="179"/>
      <c r="DQ46" s="179"/>
      <c r="DR46" s="179"/>
      <c r="DS46" s="179"/>
      <c r="DT46" s="179"/>
      <c r="DU46" s="179"/>
      <c r="DV46" s="179"/>
      <c r="DW46" s="179"/>
      <c r="DX46" s="179"/>
      <c r="DY46" s="179"/>
      <c r="DZ46" s="179"/>
      <c r="EA46" s="179"/>
      <c r="EB46" s="179"/>
      <c r="EC46" s="179"/>
      <c r="ED46" s="179"/>
      <c r="EE46" s="179"/>
      <c r="EF46" s="179"/>
      <c r="EG46" s="179"/>
      <c r="EH46" s="179"/>
      <c r="EI46" s="179"/>
      <c r="EJ46" s="179"/>
      <c r="EK46" s="179"/>
      <c r="EL46" s="179"/>
      <c r="EM46" s="179"/>
      <c r="EN46" s="179"/>
      <c r="EO46" s="179"/>
      <c r="EP46" s="179"/>
      <c r="EQ46" s="179"/>
      <c r="ER46" s="179"/>
      <c r="ES46" s="179"/>
      <c r="ET46" s="179"/>
      <c r="EU46" s="179"/>
      <c r="EV46" s="179"/>
      <c r="EW46" s="179"/>
      <c r="EX46" s="179"/>
      <c r="EY46" s="179"/>
      <c r="EZ46" s="179"/>
      <c r="FA46" s="179"/>
      <c r="FB46" s="179"/>
      <c r="FC46" s="179"/>
      <c r="FD46" s="179"/>
      <c r="FE46" s="179"/>
      <c r="FF46" s="179"/>
      <c r="FG46" s="179"/>
      <c r="FH46" s="179"/>
      <c r="FI46" s="179"/>
      <c r="FJ46" s="179"/>
      <c r="FK46" s="179"/>
      <c r="FL46" s="179"/>
      <c r="FM46" s="179"/>
      <c r="FN46" s="179"/>
      <c r="FO46" s="179"/>
      <c r="FP46" s="179"/>
      <c r="FQ46" s="179"/>
      <c r="FR46" s="179"/>
      <c r="FS46" s="179"/>
      <c r="FT46" s="179"/>
      <c r="FU46" s="179"/>
      <c r="FV46" s="179"/>
      <c r="FW46" s="179"/>
      <c r="FX46" s="179"/>
      <c r="FY46" s="179"/>
      <c r="FZ46" s="179"/>
      <c r="GA46" s="179"/>
      <c r="GB46" s="179"/>
      <c r="GC46" s="179"/>
      <c r="GD46" s="179"/>
      <c r="GE46" s="179"/>
      <c r="GF46" s="179"/>
      <c r="GG46" s="179"/>
      <c r="GH46" s="179"/>
      <c r="GI46" s="179"/>
      <c r="GJ46" s="179"/>
      <c r="GK46" s="179"/>
      <c r="GL46" s="179"/>
      <c r="GM46" s="179"/>
      <c r="GN46" s="179"/>
      <c r="GO46" s="179"/>
      <c r="GP46" s="179"/>
      <c r="GQ46" s="179"/>
      <c r="GR46" s="179"/>
      <c r="GS46" s="179"/>
      <c r="GT46" s="179"/>
      <c r="GU46" s="179"/>
      <c r="GV46" s="179"/>
      <c r="GW46" s="179"/>
      <c r="GX46" s="179"/>
      <c r="GY46" s="179"/>
      <c r="GZ46" s="179"/>
      <c r="HA46" s="179"/>
      <c r="HB46" s="179"/>
      <c r="HC46" s="179"/>
      <c r="HD46" s="179"/>
      <c r="HE46" s="179"/>
      <c r="HF46" s="179"/>
      <c r="HG46" s="179"/>
      <c r="HH46" s="179"/>
      <c r="HI46" s="179"/>
    </row>
    <row r="47" spans="1:217" hidden="1" x14ac:dyDescent="0.3">
      <c r="A47" s="25" t="s">
        <v>180</v>
      </c>
      <c r="B47" s="16"/>
      <c r="C47" s="59" t="s">
        <v>95</v>
      </c>
      <c r="D47" s="50"/>
      <c r="E47" s="50"/>
      <c r="F47" s="51" t="s">
        <v>3</v>
      </c>
      <c r="G47" s="52">
        <v>1.3</v>
      </c>
      <c r="H47" s="34">
        <v>7016.1</v>
      </c>
      <c r="I47" s="111">
        <v>314</v>
      </c>
      <c r="J47" s="99">
        <f ca="1">SUM(Таблица2[[#This Row],[1.n]:[12.n]])</f>
        <v>0</v>
      </c>
      <c r="K47" s="98" t="e">
        <f>#REF!</f>
        <v>#REF!</v>
      </c>
      <c r="L47" s="98" t="e">
        <f>#REF!</f>
        <v>#REF!</v>
      </c>
      <c r="M47" s="98" t="e">
        <f>#REF!</f>
        <v>#REF!</v>
      </c>
      <c r="N47" s="98" t="e">
        <f>#REF!</f>
        <v>#REF!</v>
      </c>
      <c r="O47" s="98" t="e">
        <f>#REF!</f>
        <v>#REF!</v>
      </c>
      <c r="P47" s="98" t="e">
        <f>#REF!</f>
        <v>#REF!</v>
      </c>
      <c r="Q47" s="98" t="e">
        <f>#REF!</f>
        <v>#REF!</v>
      </c>
      <c r="R47" s="98" t="e">
        <f>#REF!</f>
        <v>#REF!</v>
      </c>
      <c r="S47" s="98" t="e">
        <f>#REF!</f>
        <v>#REF!</v>
      </c>
      <c r="T47" s="98" t="e">
        <f>#REF!</f>
        <v>#REF!</v>
      </c>
      <c r="U47" s="98"/>
      <c r="V47" s="98"/>
      <c r="W47" s="123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7" s="123" t="str">
        <f t="shared" ca="1" si="1"/>
        <v>2.n</v>
      </c>
      <c r="Y47" s="98"/>
      <c r="Z47" s="98"/>
      <c r="AA47" s="98"/>
      <c r="AB47" s="98"/>
      <c r="AC47" s="98"/>
      <c r="AD47" s="98"/>
      <c r="AE47" s="98"/>
      <c r="AF47" s="98"/>
      <c r="AG47" s="98"/>
      <c r="AH47" s="98"/>
      <c r="AK47" s="250"/>
      <c r="AL47" s="250"/>
      <c r="AM47" s="250"/>
      <c r="AN47" s="250"/>
      <c r="AO47" s="250"/>
      <c r="AP47" s="250"/>
      <c r="AQ47" s="250"/>
      <c r="AR47" s="250"/>
      <c r="AS47" s="250"/>
      <c r="AT47" s="250"/>
      <c r="AU47" s="250"/>
      <c r="AV47" s="250"/>
      <c r="AX47" s="250"/>
      <c r="AY47" s="250"/>
      <c r="AZ47" s="250"/>
      <c r="BA47" s="250"/>
      <c r="BB47" s="250"/>
      <c r="BC47" s="250"/>
      <c r="BD47" s="250"/>
      <c r="BE47" s="250"/>
      <c r="BF47" s="250"/>
      <c r="BG47" s="250"/>
      <c r="BH47" s="250"/>
      <c r="BI47" s="250"/>
      <c r="BP47" s="180"/>
      <c r="BQ47" s="180"/>
      <c r="BR47" s="180"/>
      <c r="BS47" s="180"/>
      <c r="BT47" s="180"/>
      <c r="BU47" s="180"/>
      <c r="BV47" s="180"/>
      <c r="BW47" s="179">
        <f>SUM(BP47:BV47)-Таблица2[[#This Row],[Общее кол-во]]</f>
        <v>-7016.1</v>
      </c>
      <c r="BZ47" s="180"/>
      <c r="CA47" s="180"/>
      <c r="CB47" s="180"/>
      <c r="CC47" s="180"/>
      <c r="CD47" s="180"/>
      <c r="CE47" s="180"/>
      <c r="CF47" s="180"/>
      <c r="CH47" s="254">
        <f t="shared" si="17"/>
        <v>0</v>
      </c>
    </row>
    <row r="48" spans="1:217" hidden="1" x14ac:dyDescent="0.3">
      <c r="A48" s="26" t="s">
        <v>181</v>
      </c>
      <c r="B48" s="17"/>
      <c r="C48" s="53" t="s">
        <v>94</v>
      </c>
      <c r="D48" s="54"/>
      <c r="E48" s="54"/>
      <c r="F48" s="55" t="s">
        <v>96</v>
      </c>
      <c r="G48" s="56">
        <v>1.1000000000000001</v>
      </c>
      <c r="H48" s="34">
        <v>169.62</v>
      </c>
      <c r="I48" s="62"/>
      <c r="J48" s="100">
        <f ca="1">SUM(Таблица2[[#This Row],[1.n]:[12.n]])</f>
        <v>0</v>
      </c>
      <c r="K48" s="98" t="e">
        <f>#REF!</f>
        <v>#REF!</v>
      </c>
      <c r="L48" s="98" t="e">
        <f>#REF!</f>
        <v>#REF!</v>
      </c>
      <c r="M48" s="98" t="e">
        <f>#REF!</f>
        <v>#REF!</v>
      </c>
      <c r="N48" s="98" t="e">
        <f>#REF!</f>
        <v>#REF!</v>
      </c>
      <c r="O48" s="98" t="e">
        <f>#REF!</f>
        <v>#REF!</v>
      </c>
      <c r="P48" s="98" t="e">
        <f>#REF!</f>
        <v>#REF!</v>
      </c>
      <c r="Q48" s="98" t="e">
        <f>#REF!</f>
        <v>#REF!</v>
      </c>
      <c r="R48" s="98" t="e">
        <f>#REF!</f>
        <v>#REF!</v>
      </c>
      <c r="S48" s="98" t="e">
        <f>#REF!</f>
        <v>#REF!</v>
      </c>
      <c r="T48" s="98" t="e">
        <f>#REF!</f>
        <v>#REF!</v>
      </c>
      <c r="U48" s="98"/>
      <c r="V48" s="98"/>
      <c r="W48" s="139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8" s="139" t="str">
        <f t="shared" ca="1" si="1"/>
        <v>2.n</v>
      </c>
      <c r="Y48" s="98"/>
      <c r="Z48" s="98"/>
      <c r="AA48" s="98"/>
      <c r="AB48" s="98"/>
      <c r="AC48" s="98"/>
      <c r="AD48" s="98"/>
      <c r="AE48" s="98"/>
      <c r="AF48" s="98"/>
      <c r="AG48" s="98"/>
      <c r="AH48" s="98"/>
      <c r="AK48" s="250"/>
      <c r="AL48" s="250"/>
      <c r="AM48" s="250"/>
      <c r="AN48" s="250"/>
      <c r="AO48" s="250"/>
      <c r="AP48" s="250"/>
      <c r="AQ48" s="250"/>
      <c r="AR48" s="250"/>
      <c r="AS48" s="250"/>
      <c r="AT48" s="250"/>
      <c r="AU48" s="250"/>
      <c r="AV48" s="250"/>
      <c r="AX48" s="250"/>
      <c r="AY48" s="250"/>
      <c r="AZ48" s="250"/>
      <c r="BA48" s="250"/>
      <c r="BB48" s="250"/>
      <c r="BC48" s="250"/>
      <c r="BD48" s="250"/>
      <c r="BE48" s="250"/>
      <c r="BF48" s="250"/>
      <c r="BG48" s="250"/>
      <c r="BH48" s="250"/>
      <c r="BI48" s="250"/>
      <c r="BP48" s="180"/>
      <c r="BQ48" s="180"/>
      <c r="BR48" s="180"/>
      <c r="BS48" s="180"/>
      <c r="BT48" s="180"/>
      <c r="BU48" s="180"/>
      <c r="BV48" s="180"/>
      <c r="BW48" s="179">
        <f>SUM(BP48:BV48)-Таблица2[[#This Row],[Общее кол-во]]</f>
        <v>-169.62</v>
      </c>
      <c r="BZ48" s="180"/>
      <c r="CA48" s="180"/>
      <c r="CB48" s="180"/>
      <c r="CC48" s="180"/>
      <c r="CD48" s="180"/>
      <c r="CE48" s="180"/>
      <c r="CF48" s="180"/>
      <c r="CH48" s="254">
        <f t="shared" si="17"/>
        <v>0</v>
      </c>
    </row>
    <row r="49" spans="1:217" hidden="1" x14ac:dyDescent="0.3">
      <c r="A49" s="25" t="s">
        <v>182</v>
      </c>
      <c r="B49" s="16"/>
      <c r="C49" s="59" t="s">
        <v>6</v>
      </c>
      <c r="D49" s="50"/>
      <c r="E49" s="50"/>
      <c r="F49" s="51" t="s">
        <v>4</v>
      </c>
      <c r="G49" s="52">
        <v>1</v>
      </c>
      <c r="H49" s="34">
        <v>154.19999999999999</v>
      </c>
      <c r="I49" s="61"/>
      <c r="J49" s="101">
        <f ca="1">SUM(Таблица2[[#This Row],[1.n]:[12.n]])</f>
        <v>0</v>
      </c>
      <c r="K49" s="98" t="e">
        <f>#REF!</f>
        <v>#REF!</v>
      </c>
      <c r="L49" s="98" t="e">
        <f>#REF!</f>
        <v>#REF!</v>
      </c>
      <c r="M49" s="98" t="e">
        <f>#REF!</f>
        <v>#REF!</v>
      </c>
      <c r="N49" s="98" t="e">
        <f>#REF!</f>
        <v>#REF!</v>
      </c>
      <c r="O49" s="98" t="e">
        <f>#REF!</f>
        <v>#REF!</v>
      </c>
      <c r="P49" s="98" t="e">
        <f>#REF!</f>
        <v>#REF!</v>
      </c>
      <c r="Q49" s="98" t="e">
        <f>#REF!</f>
        <v>#REF!</v>
      </c>
      <c r="R49" s="98" t="e">
        <f>#REF!</f>
        <v>#REF!</v>
      </c>
      <c r="S49" s="98" t="e">
        <f>#REF!</f>
        <v>#REF!</v>
      </c>
      <c r="T49" s="98" t="e">
        <f>#REF!</f>
        <v>#REF!</v>
      </c>
      <c r="U49" s="98"/>
      <c r="V49" s="98"/>
      <c r="W49" s="155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49" s="155" t="str">
        <f t="shared" ca="1" si="1"/>
        <v>2.n</v>
      </c>
      <c r="Y49" s="98"/>
      <c r="Z49" s="98"/>
      <c r="AA49" s="98"/>
      <c r="AB49" s="98"/>
      <c r="AC49" s="98"/>
      <c r="AD49" s="98"/>
      <c r="AE49" s="98"/>
      <c r="AF49" s="98"/>
      <c r="AG49" s="98"/>
      <c r="AH49" s="98"/>
      <c r="AK49" s="250"/>
      <c r="AL49" s="250"/>
      <c r="AM49" s="250"/>
      <c r="AN49" s="250"/>
      <c r="AO49" s="250"/>
      <c r="AP49" s="250"/>
      <c r="AQ49" s="250"/>
      <c r="AR49" s="250"/>
      <c r="AS49" s="250"/>
      <c r="AT49" s="250"/>
      <c r="AU49" s="250"/>
      <c r="AV49" s="250"/>
      <c r="AX49" s="250"/>
      <c r="AY49" s="250"/>
      <c r="AZ49" s="250"/>
      <c r="BA49" s="250"/>
      <c r="BB49" s="250"/>
      <c r="BC49" s="250"/>
      <c r="BD49" s="250"/>
      <c r="BE49" s="250"/>
      <c r="BF49" s="250"/>
      <c r="BG49" s="250"/>
      <c r="BH49" s="250"/>
      <c r="BI49" s="250"/>
      <c r="BP49" s="180"/>
      <c r="BQ49" s="180"/>
      <c r="BR49" s="180"/>
      <c r="BS49" s="180"/>
      <c r="BT49" s="180"/>
      <c r="BU49" s="180"/>
      <c r="BV49" s="180"/>
      <c r="BW49" s="179">
        <f>SUM(BP49:BV49)-Таблица2[[#This Row],[Общее кол-во]]</f>
        <v>-154.19999999999999</v>
      </c>
      <c r="BZ49" s="180"/>
      <c r="CA49" s="180"/>
      <c r="CB49" s="180"/>
      <c r="CC49" s="180"/>
      <c r="CD49" s="180"/>
      <c r="CE49" s="180"/>
      <c r="CF49" s="180"/>
      <c r="CH49" s="254">
        <f t="shared" si="17"/>
        <v>0</v>
      </c>
    </row>
    <row r="50" spans="1:217" hidden="1" x14ac:dyDescent="0.3">
      <c r="A50" s="26" t="s">
        <v>183</v>
      </c>
      <c r="B50" s="17"/>
      <c r="C50" s="53" t="s">
        <v>93</v>
      </c>
      <c r="D50" s="54"/>
      <c r="E50" s="54"/>
      <c r="F50" s="55" t="s">
        <v>3</v>
      </c>
      <c r="G50" s="56">
        <v>0.25</v>
      </c>
      <c r="H50" s="34">
        <v>38.549999999999997</v>
      </c>
      <c r="I50" s="61"/>
      <c r="J50" s="101">
        <f ca="1">SUM(Таблица2[[#This Row],[1.n]:[12.n]])</f>
        <v>0</v>
      </c>
      <c r="K50" s="98" t="e">
        <f>#REF!</f>
        <v>#REF!</v>
      </c>
      <c r="L50" s="98" t="e">
        <f>#REF!</f>
        <v>#REF!</v>
      </c>
      <c r="M50" s="98" t="e">
        <f>#REF!</f>
        <v>#REF!</v>
      </c>
      <c r="N50" s="98" t="e">
        <f>#REF!</f>
        <v>#REF!</v>
      </c>
      <c r="O50" s="98" t="e">
        <f>#REF!</f>
        <v>#REF!</v>
      </c>
      <c r="P50" s="98" t="e">
        <f>#REF!</f>
        <v>#REF!</v>
      </c>
      <c r="Q50" s="98" t="e">
        <f>#REF!</f>
        <v>#REF!</v>
      </c>
      <c r="R50" s="98" t="e">
        <f>#REF!</f>
        <v>#REF!</v>
      </c>
      <c r="S50" s="98" t="e">
        <f>#REF!</f>
        <v>#REF!</v>
      </c>
      <c r="T50" s="98" t="e">
        <f>#REF!</f>
        <v>#REF!</v>
      </c>
      <c r="U50" s="98"/>
      <c r="V50" s="98"/>
      <c r="W50" s="131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0" s="131" t="str">
        <f t="shared" ca="1" si="1"/>
        <v>2.n</v>
      </c>
      <c r="Y50" s="98"/>
      <c r="Z50" s="98"/>
      <c r="AA50" s="98"/>
      <c r="AB50" s="98"/>
      <c r="AC50" s="98"/>
      <c r="AD50" s="98"/>
      <c r="AE50" s="98"/>
      <c r="AF50" s="98"/>
      <c r="AG50" s="98"/>
      <c r="AH50" s="98"/>
      <c r="AK50" s="250"/>
      <c r="AL50" s="250"/>
      <c r="AM50" s="250"/>
      <c r="AN50" s="250"/>
      <c r="AO50" s="250"/>
      <c r="AP50" s="250"/>
      <c r="AQ50" s="250"/>
      <c r="AR50" s="250"/>
      <c r="AS50" s="250"/>
      <c r="AT50" s="250"/>
      <c r="AU50" s="250"/>
      <c r="AV50" s="250"/>
      <c r="AX50" s="250"/>
      <c r="AY50" s="250"/>
      <c r="AZ50" s="250"/>
      <c r="BA50" s="250"/>
      <c r="BB50" s="250"/>
      <c r="BC50" s="250"/>
      <c r="BD50" s="250"/>
      <c r="BE50" s="250"/>
      <c r="BF50" s="250"/>
      <c r="BG50" s="250"/>
      <c r="BH50" s="250"/>
      <c r="BI50" s="250"/>
      <c r="BP50" s="180"/>
      <c r="BQ50" s="180"/>
      <c r="BR50" s="180"/>
      <c r="BS50" s="180"/>
      <c r="BT50" s="180"/>
      <c r="BU50" s="180"/>
      <c r="BV50" s="180"/>
      <c r="BW50" s="179">
        <f>SUM(BP50:BV50)-Таблица2[[#This Row],[Общее кол-во]]</f>
        <v>-38.549999999999997</v>
      </c>
      <c r="BZ50" s="180"/>
      <c r="CA50" s="180"/>
      <c r="CB50" s="180"/>
      <c r="CC50" s="180"/>
      <c r="CD50" s="180"/>
      <c r="CE50" s="180"/>
      <c r="CF50" s="180"/>
      <c r="CH50" s="254">
        <f t="shared" si="17"/>
        <v>0</v>
      </c>
    </row>
    <row r="51" spans="1:217" s="124" customFormat="1" ht="46.8" x14ac:dyDescent="0.3">
      <c r="A51" s="168" t="s">
        <v>184</v>
      </c>
      <c r="B51" s="169" t="s">
        <v>165</v>
      </c>
      <c r="C51" s="170" t="s">
        <v>166</v>
      </c>
      <c r="D51" s="171"/>
      <c r="E51" s="171" t="s">
        <v>185</v>
      </c>
      <c r="F51" s="171" t="s">
        <v>96</v>
      </c>
      <c r="G51" s="172">
        <v>1</v>
      </c>
      <c r="H51" s="122">
        <v>572.4</v>
      </c>
      <c r="I51" s="121">
        <f ca="1">H51-J51</f>
        <v>10.300000000000068</v>
      </c>
      <c r="J51" s="243">
        <f ca="1">SUM(Таблица2[[#This Row],[1.n]:[12.n]])</f>
        <v>562.09999999999991</v>
      </c>
      <c r="K51" s="234"/>
      <c r="L51" s="234"/>
      <c r="M51" s="234"/>
      <c r="N51" s="234"/>
      <c r="O51" s="234"/>
      <c r="P51" s="234" t="e">
        <f>#REF!</f>
        <v>#REF!</v>
      </c>
      <c r="Q51" s="234"/>
      <c r="R51" s="234"/>
      <c r="S51" s="234"/>
      <c r="T51" s="234" t="e">
        <f>#REF!</f>
        <v>#REF!</v>
      </c>
      <c r="U51" s="123"/>
      <c r="V51" s="123"/>
      <c r="W51" s="248">
        <f ca="1">SUMIFS(
    INDIRECT("'" &amp; INDIRECT(ADDRESS(1,COLUMN())) &amp; "'!$E$2:$E$1000"),
    INDIRECT("'" &amp; INDIRECT(ADDRESS(1,COLUMN())) &amp; "'!$B$2:$B$1000"),
    $C51,
    INDIRECT("'" &amp; INDIRECT(ADDRESS(1,COLUMN())) &amp; "'!$C$2:$C$1000"),
    $E51)</f>
        <v>0</v>
      </c>
      <c r="X51" s="248">
        <f ca="1">SUMIFS(
    INDIRECT("'" &amp; INDIRECT(ADDRESS(1,COLUMN())) &amp; "'!$E$2:$E$1000"),
    INDIRECT("'" &amp; INDIRECT(ADDRESS(1,COLUMN())) &amp; "'!$B$2:$B$1000"),
    $C51,
    INDIRECT("'" &amp; INDIRECT(ADDRESS(1,COLUMN())) &amp; "'!$C$2:$C$1000"),
    $E51)</f>
        <v>0</v>
      </c>
      <c r="Y51" s="248">
        <f ca="1">SUMIFS(
    INDIRECT("'" &amp; INDIRECT(ADDRESS(1,COLUMN())) &amp; "'!$E$2:$E$1000"),
    INDIRECT("'" &amp; INDIRECT(ADDRESS(1,COLUMN())) &amp; "'!$B$2:$B$1000"),
    $C51,
    INDIRECT("'" &amp; INDIRECT(ADDRESS(1,COLUMN())) &amp; "'!$C$2:$C$1000"),
    $E51)</f>
        <v>0</v>
      </c>
      <c r="Z51" s="248">
        <f t="shared" ref="Z51:AH51" ca="1" si="20">SUMIFS(
    INDIRECT("'" &amp; INDIRECT(ADDRESS(1,COLUMN())) &amp; "'!$E$2:$E$1000"),
    INDIRECT("'" &amp; INDIRECT(ADDRESS(1,COLUMN())) &amp; "'!$B$2:$B$1000"),
    $C51,
    INDIRECT("'" &amp; INDIRECT(ADDRESS(1,COLUMN())) &amp; "'!$C$2:$C$1000"),
    $E51)</f>
        <v>0</v>
      </c>
      <c r="AA51" s="248">
        <f t="shared" ca="1" si="20"/>
        <v>316</v>
      </c>
      <c r="AB51" s="248">
        <f t="shared" ca="1" si="20"/>
        <v>208.3</v>
      </c>
      <c r="AC51" s="248">
        <f t="shared" ca="1" si="20"/>
        <v>0</v>
      </c>
      <c r="AD51" s="248">
        <f t="shared" ca="1" si="20"/>
        <v>0</v>
      </c>
      <c r="AE51" s="248">
        <f t="shared" ca="1" si="20"/>
        <v>0</v>
      </c>
      <c r="AF51" s="248">
        <f t="shared" ca="1" si="20"/>
        <v>37.799999999999997</v>
      </c>
      <c r="AG51" s="248">
        <f t="shared" ca="1" si="20"/>
        <v>0</v>
      </c>
      <c r="AH51" s="248">
        <f t="shared" ca="1" si="20"/>
        <v>0</v>
      </c>
      <c r="AI51" s="179"/>
      <c r="AJ51" s="179">
        <v>572.4</v>
      </c>
      <c r="AK51" s="250">
        <v>0</v>
      </c>
      <c r="AL51" s="250"/>
      <c r="AM51" s="250"/>
      <c r="AN51" s="250"/>
      <c r="AO51" s="250"/>
      <c r="AP51" s="250"/>
      <c r="AQ51" s="250"/>
      <c r="AR51" s="250"/>
      <c r="AS51" s="250"/>
      <c r="AT51" s="250"/>
      <c r="AU51" s="250"/>
      <c r="AV51" s="250"/>
      <c r="AW51" s="179"/>
      <c r="AX51" s="250">
        <v>0</v>
      </c>
      <c r="AY51" s="250"/>
      <c r="AZ51" s="250"/>
      <c r="BA51" s="250"/>
      <c r="BB51" s="250"/>
      <c r="BC51" s="250"/>
      <c r="BD51" s="250"/>
      <c r="BE51" s="250"/>
      <c r="BF51" s="250"/>
      <c r="BG51" s="250"/>
      <c r="BH51" s="250"/>
      <c r="BI51" s="250"/>
      <c r="BJ51" s="179"/>
      <c r="BK51" s="179"/>
      <c r="BL51" s="179"/>
      <c r="BM51" s="179"/>
      <c r="BN51" s="179"/>
      <c r="BO51" s="179"/>
      <c r="BP51" s="184">
        <v>0</v>
      </c>
      <c r="BQ51" s="184">
        <v>178.3</v>
      </c>
      <c r="BR51" s="184">
        <v>0</v>
      </c>
      <c r="BS51" s="184">
        <v>142.69999999999999</v>
      </c>
      <c r="BT51" s="184">
        <v>39</v>
      </c>
      <c r="BU51" s="184">
        <v>132.5</v>
      </c>
      <c r="BV51" s="184">
        <v>79.900000000000006</v>
      </c>
      <c r="BW51" s="179">
        <f>SUM(BP51:BV51)-Таблица2[[#This Row],[Общее кол-во]]</f>
        <v>0</v>
      </c>
      <c r="BX51" s="179"/>
      <c r="BY51" s="179"/>
      <c r="BZ51" s="180">
        <v>0</v>
      </c>
      <c r="CA51" s="180">
        <v>178.5</v>
      </c>
      <c r="CB51" s="180">
        <v>0</v>
      </c>
      <c r="CC51" s="180">
        <v>0</v>
      </c>
      <c r="CD51" s="180">
        <v>414.59999999999997</v>
      </c>
      <c r="CE51" s="180">
        <v>134.9</v>
      </c>
      <c r="CF51" s="180">
        <v>80</v>
      </c>
      <c r="CG51" s="179"/>
      <c r="CH51" s="254">
        <f t="shared" si="17"/>
        <v>807.99999999999989</v>
      </c>
      <c r="CI51" s="179"/>
      <c r="CJ51" s="179"/>
      <c r="CK51" s="179"/>
      <c r="CL51" s="179"/>
      <c r="CM51" s="179"/>
      <c r="CN51" s="179"/>
      <c r="CO51" s="179"/>
      <c r="CP51" s="179"/>
      <c r="CQ51" s="179"/>
      <c r="CR51" s="179"/>
      <c r="CS51" s="179"/>
      <c r="CT51" s="179"/>
      <c r="CU51" s="179"/>
      <c r="CV51" s="179"/>
      <c r="CW51" s="179"/>
      <c r="CX51" s="179"/>
      <c r="CY51" s="179"/>
      <c r="CZ51" s="179"/>
      <c r="DA51" s="179"/>
      <c r="DB51" s="179"/>
      <c r="DC51" s="179"/>
      <c r="DD51" s="179"/>
      <c r="DE51" s="179"/>
      <c r="DF51" s="179"/>
      <c r="DG51" s="179"/>
      <c r="DH51" s="179"/>
      <c r="DI51" s="179"/>
      <c r="DJ51" s="179"/>
      <c r="DK51" s="179"/>
      <c r="DL51" s="179"/>
      <c r="DM51" s="179"/>
      <c r="DN51" s="179"/>
      <c r="DO51" s="179"/>
      <c r="DP51" s="179"/>
      <c r="DQ51" s="179"/>
      <c r="DR51" s="179"/>
      <c r="DS51" s="179"/>
      <c r="DT51" s="179"/>
      <c r="DU51" s="179"/>
      <c r="DV51" s="179"/>
      <c r="DW51" s="179"/>
      <c r="DX51" s="179"/>
      <c r="DY51" s="179"/>
      <c r="DZ51" s="179"/>
      <c r="EA51" s="179"/>
      <c r="EB51" s="179"/>
      <c r="EC51" s="179"/>
      <c r="ED51" s="179"/>
      <c r="EE51" s="179"/>
      <c r="EF51" s="179"/>
      <c r="EG51" s="179"/>
      <c r="EH51" s="179"/>
      <c r="EI51" s="179"/>
      <c r="EJ51" s="179"/>
      <c r="EK51" s="179"/>
      <c r="EL51" s="179"/>
      <c r="EM51" s="179"/>
      <c r="EN51" s="179"/>
      <c r="EO51" s="179"/>
      <c r="EP51" s="179"/>
      <c r="EQ51" s="179"/>
      <c r="ER51" s="179"/>
      <c r="ES51" s="179"/>
      <c r="ET51" s="179"/>
      <c r="EU51" s="179"/>
      <c r="EV51" s="179"/>
      <c r="EW51" s="179"/>
      <c r="EX51" s="179"/>
      <c r="EY51" s="179"/>
      <c r="EZ51" s="179"/>
      <c r="FA51" s="179"/>
      <c r="FB51" s="179"/>
      <c r="FC51" s="179"/>
      <c r="FD51" s="179"/>
      <c r="FE51" s="179"/>
      <c r="FF51" s="179"/>
      <c r="FG51" s="179"/>
      <c r="FH51" s="179"/>
      <c r="FI51" s="179"/>
      <c r="FJ51" s="179"/>
      <c r="FK51" s="179"/>
      <c r="FL51" s="179"/>
      <c r="FM51" s="179"/>
      <c r="FN51" s="179"/>
      <c r="FO51" s="179"/>
      <c r="FP51" s="179"/>
      <c r="FQ51" s="179"/>
      <c r="FR51" s="179"/>
      <c r="FS51" s="179"/>
      <c r="FT51" s="179"/>
      <c r="FU51" s="179"/>
      <c r="FV51" s="179"/>
      <c r="FW51" s="179"/>
      <c r="FX51" s="179"/>
      <c r="FY51" s="179"/>
      <c r="FZ51" s="179"/>
      <c r="GA51" s="179"/>
      <c r="GB51" s="179"/>
      <c r="GC51" s="179"/>
      <c r="GD51" s="179"/>
      <c r="GE51" s="179"/>
      <c r="GF51" s="179"/>
      <c r="GG51" s="179"/>
      <c r="GH51" s="179"/>
      <c r="GI51" s="179"/>
      <c r="GJ51" s="179"/>
      <c r="GK51" s="179"/>
      <c r="GL51" s="179"/>
      <c r="GM51" s="179"/>
      <c r="GN51" s="179"/>
      <c r="GO51" s="179"/>
      <c r="GP51" s="179"/>
      <c r="GQ51" s="179"/>
      <c r="GR51" s="179"/>
      <c r="GS51" s="179"/>
      <c r="GT51" s="179"/>
      <c r="GU51" s="179"/>
      <c r="GV51" s="179"/>
      <c r="GW51" s="179"/>
      <c r="GX51" s="179"/>
      <c r="GY51" s="179"/>
      <c r="GZ51" s="179"/>
      <c r="HA51" s="179"/>
      <c r="HB51" s="179"/>
      <c r="HC51" s="179"/>
      <c r="HD51" s="179"/>
      <c r="HE51" s="179"/>
      <c r="HF51" s="179"/>
      <c r="HG51" s="179"/>
      <c r="HH51" s="179"/>
      <c r="HI51" s="179"/>
    </row>
    <row r="52" spans="1:217" hidden="1" x14ac:dyDescent="0.3">
      <c r="A52" s="26" t="s">
        <v>186</v>
      </c>
      <c r="B52" s="17"/>
      <c r="C52" s="53" t="s">
        <v>5</v>
      </c>
      <c r="D52" s="54"/>
      <c r="E52" s="54"/>
      <c r="F52" s="55" t="s">
        <v>3</v>
      </c>
      <c r="G52" s="56">
        <v>0.15</v>
      </c>
      <c r="H52" s="34">
        <v>85.86</v>
      </c>
      <c r="I52" s="110"/>
      <c r="J52" s="101">
        <f ca="1">SUM(Таблица2[[#This Row],[1.n]:[12.n]])</f>
        <v>0</v>
      </c>
      <c r="K52" s="98" t="e">
        <f>#REF!</f>
        <v>#REF!</v>
      </c>
      <c r="L52" s="98" t="e">
        <f>#REF!</f>
        <v>#REF!</v>
      </c>
      <c r="M52" s="98" t="e">
        <f>#REF!</f>
        <v>#REF!</v>
      </c>
      <c r="N52" s="98" t="e">
        <f>#REF!</f>
        <v>#REF!</v>
      </c>
      <c r="O52" s="98" t="e">
        <f>#REF!</f>
        <v>#REF!</v>
      </c>
      <c r="P52" s="98" t="e">
        <f>#REF!</f>
        <v>#REF!</v>
      </c>
      <c r="Q52" s="98" t="e">
        <f>#REF!</f>
        <v>#REF!</v>
      </c>
      <c r="R52" s="98" t="e">
        <f>#REF!</f>
        <v>#REF!</v>
      </c>
      <c r="S52" s="98" t="e">
        <f>#REF!</f>
        <v>#REF!</v>
      </c>
      <c r="T52" s="98" t="e">
        <f>#REF!</f>
        <v>#REF!</v>
      </c>
      <c r="U52" s="98"/>
      <c r="V52" s="98"/>
      <c r="W52" s="131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2" s="131" t="str">
        <f t="shared" ca="1" si="1"/>
        <v>2.n</v>
      </c>
      <c r="Y52" s="98"/>
      <c r="Z52" s="98"/>
      <c r="AA52" s="98"/>
      <c r="AB52" s="98"/>
      <c r="AC52" s="98"/>
      <c r="AD52" s="98"/>
      <c r="AE52" s="98"/>
      <c r="AF52" s="98"/>
      <c r="AG52" s="98"/>
      <c r="AH52" s="98"/>
      <c r="AK52" s="250"/>
      <c r="AL52" s="250"/>
      <c r="AM52" s="250"/>
      <c r="AN52" s="250"/>
      <c r="AO52" s="250"/>
      <c r="AP52" s="250"/>
      <c r="AQ52" s="250"/>
      <c r="AR52" s="250"/>
      <c r="AS52" s="250"/>
      <c r="AT52" s="250"/>
      <c r="AU52" s="250"/>
      <c r="AV52" s="250"/>
      <c r="AX52" s="250"/>
      <c r="AY52" s="250"/>
      <c r="AZ52" s="250"/>
      <c r="BA52" s="250"/>
      <c r="BB52" s="250"/>
      <c r="BC52" s="250"/>
      <c r="BD52" s="250"/>
      <c r="BE52" s="250"/>
      <c r="BF52" s="250"/>
      <c r="BG52" s="250"/>
      <c r="BH52" s="250"/>
      <c r="BI52" s="250"/>
      <c r="BP52" s="180"/>
      <c r="BQ52" s="180"/>
      <c r="BR52" s="180"/>
      <c r="BS52" s="180"/>
      <c r="BT52" s="180"/>
      <c r="BU52" s="180"/>
      <c r="BV52" s="180"/>
      <c r="BW52" s="179">
        <f>SUM(BP52:BV52)-Таблица2[[#This Row],[Общее кол-во]]</f>
        <v>-85.86</v>
      </c>
      <c r="BZ52" s="180"/>
      <c r="CA52" s="180"/>
      <c r="CB52" s="180"/>
      <c r="CC52" s="180"/>
      <c r="CD52" s="180"/>
      <c r="CE52" s="180"/>
      <c r="CF52" s="180"/>
      <c r="CH52" s="254">
        <f t="shared" si="17"/>
        <v>0</v>
      </c>
    </row>
    <row r="53" spans="1:217" hidden="1" x14ac:dyDescent="0.3">
      <c r="A53" s="25" t="s">
        <v>187</v>
      </c>
      <c r="B53" s="16"/>
      <c r="C53" s="59" t="s">
        <v>6</v>
      </c>
      <c r="D53" s="50"/>
      <c r="E53" s="50"/>
      <c r="F53" s="51" t="s">
        <v>4</v>
      </c>
      <c r="G53" s="52">
        <v>1</v>
      </c>
      <c r="H53" s="34">
        <v>572.4</v>
      </c>
      <c r="I53" s="61"/>
      <c r="J53" s="101">
        <f ca="1">SUM(Таблица2[[#This Row],[1.n]:[12.n]])</f>
        <v>0</v>
      </c>
      <c r="K53" s="98" t="e">
        <f>#REF!</f>
        <v>#REF!</v>
      </c>
      <c r="L53" s="98" t="e">
        <f>#REF!</f>
        <v>#REF!</v>
      </c>
      <c r="M53" s="98" t="e">
        <f>#REF!</f>
        <v>#REF!</v>
      </c>
      <c r="N53" s="98" t="e">
        <f>#REF!</f>
        <v>#REF!</v>
      </c>
      <c r="O53" s="98" t="e">
        <f>#REF!</f>
        <v>#REF!</v>
      </c>
      <c r="P53" s="98" t="e">
        <f>#REF!</f>
        <v>#REF!</v>
      </c>
      <c r="Q53" s="98" t="e">
        <f>#REF!</f>
        <v>#REF!</v>
      </c>
      <c r="R53" s="98" t="e">
        <f>#REF!</f>
        <v>#REF!</v>
      </c>
      <c r="S53" s="98" t="e">
        <f>#REF!</f>
        <v>#REF!</v>
      </c>
      <c r="T53" s="98" t="e">
        <f>#REF!</f>
        <v>#REF!</v>
      </c>
      <c r="U53" s="98"/>
      <c r="V53" s="98"/>
      <c r="W53" s="15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3" s="158" t="str">
        <f t="shared" ca="1" si="1"/>
        <v>2.n</v>
      </c>
      <c r="Y53" s="98"/>
      <c r="Z53" s="98"/>
      <c r="AA53" s="98"/>
      <c r="AB53" s="98"/>
      <c r="AC53" s="98"/>
      <c r="AD53" s="98"/>
      <c r="AE53" s="98"/>
      <c r="AF53" s="98"/>
      <c r="AG53" s="98"/>
      <c r="AH53" s="98"/>
      <c r="AK53" s="250"/>
      <c r="AL53" s="250"/>
      <c r="AM53" s="250"/>
      <c r="AN53" s="250"/>
      <c r="AO53" s="250"/>
      <c r="AP53" s="250"/>
      <c r="AQ53" s="250"/>
      <c r="AR53" s="250"/>
      <c r="AS53" s="250"/>
      <c r="AT53" s="250"/>
      <c r="AU53" s="250"/>
      <c r="AV53" s="250"/>
      <c r="AX53" s="250"/>
      <c r="AY53" s="250"/>
      <c r="AZ53" s="250"/>
      <c r="BA53" s="250"/>
      <c r="BB53" s="250"/>
      <c r="BC53" s="250"/>
      <c r="BD53" s="250"/>
      <c r="BE53" s="250"/>
      <c r="BF53" s="250"/>
      <c r="BG53" s="250"/>
      <c r="BH53" s="250"/>
      <c r="BI53" s="250"/>
      <c r="BP53" s="180"/>
      <c r="BQ53" s="180"/>
      <c r="BR53" s="180"/>
      <c r="BS53" s="180"/>
      <c r="BT53" s="180"/>
      <c r="BU53" s="180"/>
      <c r="BV53" s="180"/>
      <c r="BW53" s="179">
        <f>SUM(BP53:BV53)-Таблица2[[#This Row],[Общее кол-во]]</f>
        <v>-572.4</v>
      </c>
      <c r="BZ53" s="180"/>
      <c r="CA53" s="180"/>
      <c r="CB53" s="180"/>
      <c r="CC53" s="180"/>
      <c r="CD53" s="180"/>
      <c r="CE53" s="180"/>
      <c r="CF53" s="180"/>
      <c r="CH53" s="254">
        <f t="shared" si="17"/>
        <v>0</v>
      </c>
    </row>
    <row r="54" spans="1:217" hidden="1" x14ac:dyDescent="0.3">
      <c r="A54" s="26" t="s">
        <v>188</v>
      </c>
      <c r="B54" s="17"/>
      <c r="C54" s="53" t="s">
        <v>94</v>
      </c>
      <c r="D54" s="54"/>
      <c r="E54" s="54"/>
      <c r="F54" s="55" t="s">
        <v>96</v>
      </c>
      <c r="G54" s="56">
        <v>1.1000000000000001</v>
      </c>
      <c r="H54" s="34">
        <v>629.64</v>
      </c>
      <c r="I54" s="67"/>
      <c r="J54" s="102">
        <f ca="1">SUM(Таблица2[[#This Row],[1.n]:[12.n]])</f>
        <v>0</v>
      </c>
      <c r="K54" s="98" t="e">
        <f>#REF!</f>
        <v>#REF!</v>
      </c>
      <c r="L54" s="98" t="e">
        <f>#REF!</f>
        <v>#REF!</v>
      </c>
      <c r="M54" s="98" t="e">
        <f>#REF!</f>
        <v>#REF!</v>
      </c>
      <c r="N54" s="98" t="e">
        <f>#REF!</f>
        <v>#REF!</v>
      </c>
      <c r="O54" s="98" t="e">
        <f>#REF!</f>
        <v>#REF!</v>
      </c>
      <c r="P54" s="98" t="e">
        <f>#REF!</f>
        <v>#REF!</v>
      </c>
      <c r="Q54" s="98" t="e">
        <f>#REF!</f>
        <v>#REF!</v>
      </c>
      <c r="R54" s="98" t="e">
        <f>#REF!</f>
        <v>#REF!</v>
      </c>
      <c r="S54" s="98" t="e">
        <f>#REF!</f>
        <v>#REF!</v>
      </c>
      <c r="T54" s="98" t="e">
        <f>#REF!</f>
        <v>#REF!</v>
      </c>
      <c r="U54" s="98"/>
      <c r="V54" s="98"/>
      <c r="W54" s="166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4" s="166" t="str">
        <f t="shared" ca="1" si="1"/>
        <v>2.n</v>
      </c>
      <c r="Y54" s="98"/>
      <c r="Z54" s="98"/>
      <c r="AA54" s="98"/>
      <c r="AB54" s="98"/>
      <c r="AC54" s="98"/>
      <c r="AD54" s="98"/>
      <c r="AE54" s="98"/>
      <c r="AF54" s="98"/>
      <c r="AG54" s="98"/>
      <c r="AH54" s="98"/>
      <c r="AK54" s="250"/>
      <c r="AL54" s="250"/>
      <c r="AM54" s="250"/>
      <c r="AN54" s="250"/>
      <c r="AO54" s="250"/>
      <c r="AP54" s="250"/>
      <c r="AQ54" s="250"/>
      <c r="AR54" s="250"/>
      <c r="AS54" s="250"/>
      <c r="AT54" s="250"/>
      <c r="AU54" s="250"/>
      <c r="AV54" s="250"/>
      <c r="AX54" s="250"/>
      <c r="AY54" s="250"/>
      <c r="AZ54" s="250"/>
      <c r="BA54" s="250"/>
      <c r="BB54" s="250"/>
      <c r="BC54" s="250"/>
      <c r="BD54" s="250"/>
      <c r="BE54" s="250"/>
      <c r="BF54" s="250"/>
      <c r="BG54" s="250"/>
      <c r="BH54" s="250"/>
      <c r="BI54" s="250"/>
      <c r="BP54" s="180"/>
      <c r="BQ54" s="180"/>
      <c r="BR54" s="180"/>
      <c r="BS54" s="180"/>
      <c r="BT54" s="180"/>
      <c r="BU54" s="180"/>
      <c r="BV54" s="180"/>
      <c r="BW54" s="179">
        <f>SUM(BP54:BV54)-Таблица2[[#This Row],[Общее кол-во]]</f>
        <v>-629.64</v>
      </c>
      <c r="BZ54" s="180"/>
      <c r="CA54" s="180"/>
      <c r="CB54" s="180"/>
      <c r="CC54" s="180"/>
      <c r="CD54" s="180"/>
      <c r="CE54" s="180"/>
      <c r="CF54" s="180"/>
      <c r="CH54" s="254">
        <f t="shared" si="17"/>
        <v>0</v>
      </c>
    </row>
    <row r="55" spans="1:217" hidden="1" x14ac:dyDescent="0.3">
      <c r="A55" s="25" t="s">
        <v>189</v>
      </c>
      <c r="B55" s="16"/>
      <c r="C55" s="59" t="s">
        <v>95</v>
      </c>
      <c r="D55" s="50"/>
      <c r="E55" s="50"/>
      <c r="F55" s="51" t="s">
        <v>3</v>
      </c>
      <c r="G55" s="52">
        <v>1.3</v>
      </c>
      <c r="H55" s="34">
        <v>26044.2</v>
      </c>
      <c r="I55" s="61"/>
      <c r="J55" s="101">
        <f ca="1">SUM(Таблица2[[#This Row],[1.n]:[12.n]])</f>
        <v>0</v>
      </c>
      <c r="K55" s="98" t="e">
        <f>#REF!</f>
        <v>#REF!</v>
      </c>
      <c r="L55" s="98" t="e">
        <f>#REF!</f>
        <v>#REF!</v>
      </c>
      <c r="M55" s="98" t="e">
        <f>#REF!</f>
        <v>#REF!</v>
      </c>
      <c r="N55" s="98" t="e">
        <f>#REF!</f>
        <v>#REF!</v>
      </c>
      <c r="O55" s="98" t="e">
        <f>#REF!</f>
        <v>#REF!</v>
      </c>
      <c r="P55" s="98" t="e">
        <f>#REF!</f>
        <v>#REF!</v>
      </c>
      <c r="Q55" s="98" t="e">
        <f>#REF!</f>
        <v>#REF!</v>
      </c>
      <c r="R55" s="98" t="e">
        <f>#REF!</f>
        <v>#REF!</v>
      </c>
      <c r="S55" s="98" t="e">
        <f>#REF!</f>
        <v>#REF!</v>
      </c>
      <c r="T55" s="98" t="e">
        <f>#REF!</f>
        <v>#REF!</v>
      </c>
      <c r="U55" s="98"/>
      <c r="V55" s="98"/>
      <c r="W55" s="123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5" s="123" t="str">
        <f t="shared" ca="1" si="1"/>
        <v>2.n</v>
      </c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K55" s="250"/>
      <c r="AL55" s="250"/>
      <c r="AM55" s="250"/>
      <c r="AN55" s="250"/>
      <c r="AO55" s="250"/>
      <c r="AP55" s="250"/>
      <c r="AQ55" s="250"/>
      <c r="AR55" s="250"/>
      <c r="AS55" s="250"/>
      <c r="AT55" s="250"/>
      <c r="AU55" s="250"/>
      <c r="AV55" s="250"/>
      <c r="AX55" s="250"/>
      <c r="AY55" s="250"/>
      <c r="AZ55" s="250"/>
      <c r="BA55" s="250"/>
      <c r="BB55" s="250"/>
      <c r="BC55" s="250"/>
      <c r="BD55" s="250"/>
      <c r="BE55" s="250"/>
      <c r="BF55" s="250"/>
      <c r="BG55" s="250"/>
      <c r="BH55" s="250"/>
      <c r="BI55" s="250"/>
      <c r="BP55" s="180"/>
      <c r="BQ55" s="180"/>
      <c r="BR55" s="180"/>
      <c r="BS55" s="180"/>
      <c r="BT55" s="180"/>
      <c r="BU55" s="180"/>
      <c r="BV55" s="180"/>
      <c r="BW55" s="179">
        <f>SUM(BP55:BV55)-Таблица2[[#This Row],[Общее кол-во]]</f>
        <v>-26044.2</v>
      </c>
      <c r="BZ55" s="180"/>
      <c r="CA55" s="180"/>
      <c r="CB55" s="180"/>
      <c r="CC55" s="180"/>
      <c r="CD55" s="180"/>
      <c r="CE55" s="180"/>
      <c r="CF55" s="180"/>
      <c r="CH55" s="254">
        <f t="shared" si="17"/>
        <v>0</v>
      </c>
    </row>
    <row r="56" spans="1:217" s="140" customFormat="1" ht="46.8" x14ac:dyDescent="0.3">
      <c r="A56" s="133" t="s">
        <v>190</v>
      </c>
      <c r="B56" s="134" t="s">
        <v>191</v>
      </c>
      <c r="C56" s="135" t="s">
        <v>192</v>
      </c>
      <c r="D56" s="136"/>
      <c r="E56" s="136" t="s">
        <v>167</v>
      </c>
      <c r="F56" s="136" t="s">
        <v>96</v>
      </c>
      <c r="G56" s="137">
        <v>1</v>
      </c>
      <c r="H56" s="138">
        <v>3617.6</v>
      </c>
      <c r="I56" s="121">
        <f ca="1">H56-J56</f>
        <v>98.399999999999181</v>
      </c>
      <c r="J56" s="243">
        <f ca="1">SUM(Таблица2[[#This Row],[1.n]:[12.n]])</f>
        <v>3519.2000000000007</v>
      </c>
      <c r="K56" s="238" t="e">
        <f>#REF!</f>
        <v>#REF!</v>
      </c>
      <c r="L56" s="238" t="e">
        <f>#REF!</f>
        <v>#REF!</v>
      </c>
      <c r="M56" s="238" t="e">
        <f>#REF!</f>
        <v>#REF!</v>
      </c>
      <c r="N56" s="238" t="e">
        <f>'4.n'!#REF!</f>
        <v>#REF!</v>
      </c>
      <c r="O56" s="238"/>
      <c r="P56" s="238"/>
      <c r="Q56" s="238" t="e">
        <f>#REF!</f>
        <v>#REF!</v>
      </c>
      <c r="R56" s="238" t="e">
        <f>#REF!</f>
        <v>#REF!</v>
      </c>
      <c r="S56" s="238" t="e">
        <f>#REF!</f>
        <v>#REF!</v>
      </c>
      <c r="T56" s="238"/>
      <c r="U56" s="139">
        <v>0</v>
      </c>
      <c r="V56" s="139"/>
      <c r="W56" s="248">
        <f ca="1">SUMIFS(
    INDIRECT("'" &amp; INDIRECT(ADDRESS(1,COLUMN())) &amp; "'!$E$2:$E$1000"),
    INDIRECT("'" &amp; INDIRECT(ADDRESS(1,COLUMN())) &amp; "'!$B$2:$B$1000"),
    $C56,
    INDIRECT("'" &amp; INDIRECT(ADDRESS(1,COLUMN())) &amp; "'!$C$2:$C$1000"),
    $E56)</f>
        <v>485.5</v>
      </c>
      <c r="X56" s="248">
        <f ca="1">SUMIFS(
    INDIRECT("'" &amp; INDIRECT(ADDRESS(1,COLUMN())) &amp; "'!$E$2:$E$1000"),
    INDIRECT("'" &amp; INDIRECT(ADDRESS(1,COLUMN())) &amp; "'!$B$2:$B$1000"),
    $C56,
    INDIRECT("'" &amp; INDIRECT(ADDRESS(1,COLUMN())) &amp; "'!$C$2:$C$1000"),
    $E56)</f>
        <v>314.90000000000003</v>
      </c>
      <c r="Y56" s="248">
        <f ca="1">SUMIFS(
    INDIRECT("'" &amp; INDIRECT(ADDRESS(1,COLUMN())) &amp; "'!$E$2:$E$1000"),
    INDIRECT("'" &amp; INDIRECT(ADDRESS(1,COLUMN())) &amp; "'!$B$2:$B$1000"),
    $C56,
    INDIRECT("'" &amp; INDIRECT(ADDRESS(1,COLUMN())) &amp; "'!$C$2:$C$1000"),
    $E56)</f>
        <v>287.8</v>
      </c>
      <c r="Z56" s="248">
        <f t="shared" ref="Z56:AH56" ca="1" si="21">SUMIFS(
    INDIRECT("'" &amp; INDIRECT(ADDRESS(1,COLUMN())) &amp; "'!$E$2:$E$1000"),
    INDIRECT("'" &amp; INDIRECT(ADDRESS(1,COLUMN())) &amp; "'!$B$2:$B$1000"),
    $C56,
    INDIRECT("'" &amp; INDIRECT(ADDRESS(1,COLUMN())) &amp; "'!$C$2:$C$1000"),
    $E56)</f>
        <v>363</v>
      </c>
      <c r="AA56" s="248">
        <f t="shared" ca="1" si="21"/>
        <v>0</v>
      </c>
      <c r="AB56" s="248">
        <f t="shared" ca="1" si="21"/>
        <v>0</v>
      </c>
      <c r="AC56" s="248">
        <f t="shared" ca="1" si="21"/>
        <v>774.69999999999993</v>
      </c>
      <c r="AD56" s="248">
        <f t="shared" ca="1" si="21"/>
        <v>304.70000000000005</v>
      </c>
      <c r="AE56" s="248">
        <f t="shared" ca="1" si="21"/>
        <v>339.29999999999995</v>
      </c>
      <c r="AF56" s="248">
        <f t="shared" ca="1" si="21"/>
        <v>0</v>
      </c>
      <c r="AG56" s="248">
        <f t="shared" ca="1" si="21"/>
        <v>649.29999999999995</v>
      </c>
      <c r="AH56" s="248">
        <f t="shared" ca="1" si="21"/>
        <v>0</v>
      </c>
      <c r="AI56" s="179"/>
      <c r="AJ56" s="179">
        <v>3617.6</v>
      </c>
      <c r="AK56" s="250">
        <v>493.1</v>
      </c>
      <c r="AL56" s="250">
        <v>318.89999999999998</v>
      </c>
      <c r="AM56" s="250">
        <f>'Table 1'!K153</f>
        <v>293.59999999999997</v>
      </c>
      <c r="AN56" s="250">
        <f>'Table 1'!M153</f>
        <v>679.8</v>
      </c>
      <c r="AO56" s="250"/>
      <c r="AP56" s="250"/>
      <c r="AQ56" s="250">
        <f>'Table 1'!Q153+'Table 1'!R153</f>
        <v>790.8</v>
      </c>
      <c r="AR56" s="250">
        <v>308</v>
      </c>
      <c r="AS56" s="250">
        <f>'Table 1'!P153</f>
        <v>345</v>
      </c>
      <c r="AT56" s="250"/>
      <c r="AU56" s="250"/>
      <c r="AV56" s="250"/>
      <c r="AW56" s="179"/>
      <c r="AX56" s="250">
        <f ca="1">AK56-Таблица2[[#This Row],[1.n]]</f>
        <v>7.6000000000000227</v>
      </c>
      <c r="AY56" s="250">
        <f ca="1">AL56-Таблица2[[#This Row],[2.n]]</f>
        <v>3.9999999999999432</v>
      </c>
      <c r="AZ56" s="250">
        <f ca="1">AM56-Таблица2[[#This Row],[3.n]]</f>
        <v>5.7999999999999545</v>
      </c>
      <c r="BA56" s="250">
        <f ca="1">AN56-Таблица2[[#This Row],[4.n]]-Таблица2[[#This Row],[8.n]]</f>
        <v>12.099999999999909</v>
      </c>
      <c r="BB56" s="250">
        <f ca="1">AO56-Таблица2[[#This Row],[5.n]]</f>
        <v>0</v>
      </c>
      <c r="BC56" s="250">
        <f ca="1">AP56-Таблица2[[#This Row],[6.n]]</f>
        <v>0</v>
      </c>
      <c r="BD56" s="250">
        <f ca="1">AQ56-Таблица2[[#This Row],[7.n]]</f>
        <v>16.100000000000023</v>
      </c>
      <c r="BE56" s="250">
        <f ca="1">AR56-Таблица2[[#This Row],[8.n]]</f>
        <v>3.2999999999999545</v>
      </c>
      <c r="BF56" s="250">
        <f ca="1">AS56-Таблица2[[#This Row],[9.n]]</f>
        <v>5.7000000000000455</v>
      </c>
      <c r="BG56" s="250">
        <f ca="1">AT56-Таблица2[[#This Row],[10.n]]</f>
        <v>0</v>
      </c>
      <c r="BH56" s="250"/>
      <c r="BI56" s="250"/>
      <c r="BJ56" s="179"/>
      <c r="BK56" s="179"/>
      <c r="BL56" s="179"/>
      <c r="BM56" s="179"/>
      <c r="BN56" s="179"/>
      <c r="BO56" s="179"/>
      <c r="BP56" s="185">
        <v>579.20000000000005</v>
      </c>
      <c r="BQ56" s="185">
        <v>427.3</v>
      </c>
      <c r="BR56" s="185">
        <v>293.60000000000002</v>
      </c>
      <c r="BS56" s="185">
        <v>789.2</v>
      </c>
      <c r="BT56" s="185">
        <v>513.20000000000005</v>
      </c>
      <c r="BU56" s="185">
        <v>397</v>
      </c>
      <c r="BV56" s="185">
        <v>597.79999999999995</v>
      </c>
      <c r="BW56" s="179">
        <f>SUM(BP56:BV56)-Таблица2[[#This Row],[Общее кол-во]]</f>
        <v>-20.299999999999727</v>
      </c>
      <c r="BX56" s="179" t="s">
        <v>523</v>
      </c>
      <c r="BY56" s="179"/>
      <c r="BZ56" s="180">
        <v>493.4</v>
      </c>
      <c r="CA56" s="180">
        <v>318.89999999999998</v>
      </c>
      <c r="CB56" s="180">
        <v>293.59999999999997</v>
      </c>
      <c r="CC56" s="180">
        <v>679.8</v>
      </c>
      <c r="CD56" s="180">
        <v>345</v>
      </c>
      <c r="CE56" s="180">
        <v>294.7</v>
      </c>
      <c r="CF56" s="180">
        <v>496.09999999999997</v>
      </c>
      <c r="CG56" s="179"/>
      <c r="CH56" s="254">
        <f t="shared" si="17"/>
        <v>2921.4999999999995</v>
      </c>
      <c r="CI56" s="179"/>
      <c r="CJ56" s="179"/>
      <c r="CK56" s="179"/>
      <c r="CL56" s="179"/>
      <c r="CM56" s="179"/>
      <c r="CN56" s="179"/>
      <c r="CO56" s="179"/>
      <c r="CP56" s="179"/>
      <c r="CQ56" s="179"/>
      <c r="CR56" s="179"/>
      <c r="CS56" s="179"/>
      <c r="CT56" s="179"/>
      <c r="CU56" s="179"/>
      <c r="CV56" s="179"/>
      <c r="CW56" s="179"/>
      <c r="CX56" s="179"/>
      <c r="CY56" s="179"/>
      <c r="CZ56" s="179"/>
      <c r="DA56" s="179"/>
      <c r="DB56" s="179"/>
      <c r="DC56" s="179"/>
      <c r="DD56" s="179"/>
      <c r="DE56" s="179"/>
      <c r="DF56" s="179"/>
      <c r="DG56" s="179"/>
      <c r="DH56" s="179"/>
      <c r="DI56" s="179"/>
      <c r="DJ56" s="179"/>
      <c r="DK56" s="179"/>
      <c r="DL56" s="179"/>
      <c r="DM56" s="179"/>
      <c r="DN56" s="179"/>
      <c r="DO56" s="179"/>
      <c r="DP56" s="179"/>
      <c r="DQ56" s="179"/>
      <c r="DR56" s="179"/>
      <c r="DS56" s="179"/>
      <c r="DT56" s="179"/>
      <c r="DU56" s="179"/>
      <c r="DV56" s="179"/>
      <c r="DW56" s="179"/>
      <c r="DX56" s="179"/>
      <c r="DY56" s="179"/>
      <c r="DZ56" s="179"/>
      <c r="EA56" s="179"/>
      <c r="EB56" s="179"/>
      <c r="EC56" s="179"/>
      <c r="ED56" s="179"/>
      <c r="EE56" s="179"/>
      <c r="EF56" s="179"/>
      <c r="EG56" s="179"/>
      <c r="EH56" s="179"/>
      <c r="EI56" s="179"/>
      <c r="EJ56" s="179"/>
      <c r="EK56" s="179"/>
      <c r="EL56" s="179"/>
      <c r="EM56" s="179"/>
      <c r="EN56" s="179"/>
      <c r="EO56" s="179"/>
      <c r="EP56" s="179"/>
      <c r="EQ56" s="179"/>
      <c r="ER56" s="179"/>
      <c r="ES56" s="179"/>
      <c r="ET56" s="179"/>
      <c r="EU56" s="179"/>
      <c r="EV56" s="179"/>
      <c r="EW56" s="179"/>
      <c r="EX56" s="179"/>
      <c r="EY56" s="179"/>
      <c r="EZ56" s="179"/>
      <c r="FA56" s="179"/>
      <c r="FB56" s="179"/>
      <c r="FC56" s="179"/>
      <c r="FD56" s="179"/>
      <c r="FE56" s="179"/>
      <c r="FF56" s="179"/>
      <c r="FG56" s="179"/>
      <c r="FH56" s="179"/>
      <c r="FI56" s="179"/>
      <c r="FJ56" s="179"/>
      <c r="FK56" s="179"/>
      <c r="FL56" s="179"/>
      <c r="FM56" s="179"/>
      <c r="FN56" s="179"/>
      <c r="FO56" s="179"/>
      <c r="FP56" s="179"/>
      <c r="FQ56" s="179"/>
      <c r="FR56" s="179"/>
      <c r="FS56" s="179"/>
      <c r="FT56" s="179"/>
      <c r="FU56" s="179"/>
      <c r="FV56" s="179"/>
      <c r="FW56" s="179"/>
      <c r="FX56" s="179"/>
      <c r="FY56" s="179"/>
      <c r="FZ56" s="179"/>
      <c r="GA56" s="179"/>
      <c r="GB56" s="179"/>
      <c r="GC56" s="179"/>
      <c r="GD56" s="179"/>
      <c r="GE56" s="179"/>
      <c r="GF56" s="179"/>
      <c r="GG56" s="179"/>
      <c r="GH56" s="179"/>
      <c r="GI56" s="179"/>
      <c r="GJ56" s="179"/>
      <c r="GK56" s="179"/>
      <c r="GL56" s="179"/>
      <c r="GM56" s="179"/>
      <c r="GN56" s="179"/>
      <c r="GO56" s="179"/>
      <c r="GP56" s="179"/>
      <c r="GQ56" s="179"/>
      <c r="GR56" s="179"/>
      <c r="GS56" s="179"/>
      <c r="GT56" s="179"/>
      <c r="GU56" s="179"/>
      <c r="GV56" s="179"/>
      <c r="GW56" s="179"/>
      <c r="GX56" s="179"/>
      <c r="GY56" s="179"/>
      <c r="GZ56" s="179"/>
      <c r="HA56" s="179"/>
      <c r="HB56" s="179"/>
      <c r="HC56" s="179"/>
      <c r="HD56" s="179"/>
      <c r="HE56" s="179"/>
      <c r="HF56" s="179"/>
      <c r="HG56" s="179"/>
      <c r="HH56" s="179"/>
      <c r="HI56" s="179"/>
    </row>
    <row r="57" spans="1:217" ht="31.2" hidden="1" x14ac:dyDescent="0.3">
      <c r="A57" s="25" t="s">
        <v>193</v>
      </c>
      <c r="B57" s="16"/>
      <c r="C57" s="49" t="s">
        <v>116</v>
      </c>
      <c r="D57" s="50"/>
      <c r="E57" s="50"/>
      <c r="F57" s="51" t="s">
        <v>3</v>
      </c>
      <c r="G57" s="52">
        <v>1</v>
      </c>
      <c r="H57" s="34">
        <v>126616</v>
      </c>
      <c r="I57" s="110"/>
      <c r="J57" s="101">
        <f ca="1">SUM(Таблица2[[#This Row],[1.n]:[12.n]])</f>
        <v>0</v>
      </c>
      <c r="K57" s="98" t="e">
        <f>#REF!</f>
        <v>#REF!</v>
      </c>
      <c r="L57" s="98" t="e">
        <f>#REF!</f>
        <v>#REF!</v>
      </c>
      <c r="M57" s="98" t="e">
        <f>#REF!</f>
        <v>#REF!</v>
      </c>
      <c r="N57" s="98" t="e">
        <f>#REF!</f>
        <v>#REF!</v>
      </c>
      <c r="O57" s="98" t="e">
        <f>#REF!</f>
        <v>#REF!</v>
      </c>
      <c r="P57" s="98" t="e">
        <f>#REF!</f>
        <v>#REF!</v>
      </c>
      <c r="Q57" s="98" t="e">
        <f>#REF!</f>
        <v>#REF!</v>
      </c>
      <c r="R57" s="98" t="e">
        <f>#REF!</f>
        <v>#REF!</v>
      </c>
      <c r="S57" s="98" t="e">
        <f>#REF!</f>
        <v>#REF!</v>
      </c>
      <c r="T57" s="98" t="e">
        <f>#REF!</f>
        <v>#REF!</v>
      </c>
      <c r="U57" s="98"/>
      <c r="V57" s="98"/>
      <c r="W57" s="155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7" s="155" t="str">
        <f t="shared" ca="1" si="1"/>
        <v>2.n</v>
      </c>
      <c r="Y57" s="98"/>
      <c r="Z57" s="98"/>
      <c r="AA57" s="98"/>
      <c r="AB57" s="98"/>
      <c r="AC57" s="98"/>
      <c r="AD57" s="98"/>
      <c r="AE57" s="98"/>
      <c r="AF57" s="98"/>
      <c r="AG57" s="98"/>
      <c r="AH57" s="98"/>
      <c r="AK57" s="250"/>
      <c r="AL57" s="250"/>
      <c r="AM57" s="250">
        <f>'Table 1'!K154</f>
        <v>440.79999999999995</v>
      </c>
      <c r="AN57" s="250"/>
      <c r="AO57" s="250"/>
      <c r="AP57" s="250"/>
      <c r="AQ57" s="250"/>
      <c r="AR57" s="250"/>
      <c r="AS57" s="250"/>
      <c r="AT57" s="250"/>
      <c r="AU57" s="250"/>
      <c r="AV57" s="250"/>
      <c r="AX57" s="250">
        <f ca="1">AK57-Таблица2[[#This Row],[1.n]]</f>
        <v>0</v>
      </c>
      <c r="AY57" s="250" t="e">
        <f ca="1">AL57-Таблица2[[#This Row],[2.n]]</f>
        <v>#VALUE!</v>
      </c>
      <c r="AZ57" s="250">
        <f>AM57-Таблица2[[#This Row],[3.n]]</f>
        <v>440.79999999999995</v>
      </c>
      <c r="BA57" s="250">
        <f>AN57-Таблица2[[#This Row],[4.n]]</f>
        <v>0</v>
      </c>
      <c r="BB57" s="250">
        <f>AO57-Таблица2[[#This Row],[5.n]]</f>
        <v>0</v>
      </c>
      <c r="BC57" s="250">
        <f>AP57-Таблица2[[#This Row],[6.n]]</f>
        <v>0</v>
      </c>
      <c r="BD57" s="250">
        <f>AQ57-Таблица2[[#This Row],[7.n]]</f>
        <v>0</v>
      </c>
      <c r="BE57" s="250">
        <f>AR57-Таблица2[[#This Row],[8.n]]</f>
        <v>0</v>
      </c>
      <c r="BF57" s="250">
        <f>AS57-Таблица2[[#This Row],[9.n]]</f>
        <v>0</v>
      </c>
      <c r="BG57" s="250">
        <f>AT57-Таблица2[[#This Row],[10.n]]</f>
        <v>0</v>
      </c>
      <c r="BH57" s="250"/>
      <c r="BI57" s="250"/>
      <c r="BP57" s="180"/>
      <c r="BQ57" s="180"/>
      <c r="BR57" s="180"/>
      <c r="BS57" s="180"/>
      <c r="BT57" s="180"/>
      <c r="BU57" s="180"/>
      <c r="BV57" s="180"/>
      <c r="BW57" s="179">
        <f>SUM(BP57:BV57)-Таблица2[[#This Row],[Общее кол-во]]</f>
        <v>-126616</v>
      </c>
      <c r="BZ57" s="180"/>
      <c r="CA57" s="180"/>
      <c r="CB57" s="180"/>
      <c r="CC57" s="180"/>
      <c r="CD57" s="180"/>
      <c r="CE57" s="180"/>
      <c r="CF57" s="180"/>
      <c r="CH57" s="254">
        <f t="shared" si="17"/>
        <v>0</v>
      </c>
    </row>
    <row r="58" spans="1:217" hidden="1" x14ac:dyDescent="0.3">
      <c r="A58" s="26" t="s">
        <v>194</v>
      </c>
      <c r="B58" s="17"/>
      <c r="C58" s="53" t="s">
        <v>6</v>
      </c>
      <c r="D58" s="54"/>
      <c r="E58" s="54"/>
      <c r="F58" s="55" t="s">
        <v>4</v>
      </c>
      <c r="G58" s="56">
        <v>1</v>
      </c>
      <c r="H58" s="34">
        <v>3617.6</v>
      </c>
      <c r="I58" s="61"/>
      <c r="J58" s="101">
        <f ca="1">SUM(Таблица2[[#This Row],[1.n]:[12.n]])</f>
        <v>0</v>
      </c>
      <c r="K58" s="98" t="e">
        <f>#REF!</f>
        <v>#REF!</v>
      </c>
      <c r="L58" s="98" t="e">
        <f>#REF!</f>
        <v>#REF!</v>
      </c>
      <c r="M58" s="98" t="e">
        <f>#REF!</f>
        <v>#REF!</v>
      </c>
      <c r="N58" s="98" t="e">
        <f>#REF!</f>
        <v>#REF!</v>
      </c>
      <c r="O58" s="98" t="e">
        <f>#REF!</f>
        <v>#REF!</v>
      </c>
      <c r="P58" s="98" t="e">
        <f>#REF!</f>
        <v>#REF!</v>
      </c>
      <c r="Q58" s="98" t="e">
        <f>#REF!</f>
        <v>#REF!</v>
      </c>
      <c r="R58" s="98" t="e">
        <f>#REF!</f>
        <v>#REF!</v>
      </c>
      <c r="S58" s="98" t="e">
        <f>#REF!</f>
        <v>#REF!</v>
      </c>
      <c r="T58" s="98" t="e">
        <f>#REF!</f>
        <v>#REF!</v>
      </c>
      <c r="U58" s="98"/>
      <c r="V58" s="98"/>
      <c r="W58" s="131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8" s="131" t="str">
        <f t="shared" ca="1" si="1"/>
        <v>2.n</v>
      </c>
      <c r="Y58" s="98"/>
      <c r="Z58" s="98"/>
      <c r="AA58" s="98"/>
      <c r="AB58" s="98"/>
      <c r="AC58" s="98"/>
      <c r="AD58" s="98"/>
      <c r="AE58" s="98"/>
      <c r="AF58" s="98"/>
      <c r="AG58" s="98"/>
      <c r="AH58" s="98"/>
      <c r="AK58" s="250"/>
      <c r="AL58" s="250"/>
      <c r="AM58" s="250">
        <f>'Table 1'!K155</f>
        <v>0</v>
      </c>
      <c r="AN58" s="250"/>
      <c r="AO58" s="250"/>
      <c r="AP58" s="250"/>
      <c r="AQ58" s="250"/>
      <c r="AR58" s="250"/>
      <c r="AS58" s="250"/>
      <c r="AT58" s="250"/>
      <c r="AU58" s="250"/>
      <c r="AV58" s="250"/>
      <c r="AX58" s="250">
        <f ca="1">AK58-Таблица2[[#This Row],[1.n]]</f>
        <v>0</v>
      </c>
      <c r="AY58" s="250" t="e">
        <f ca="1">AL58-Таблица2[[#This Row],[2.n]]</f>
        <v>#VALUE!</v>
      </c>
      <c r="AZ58" s="250">
        <f>AM58-Таблица2[[#This Row],[3.n]]</f>
        <v>0</v>
      </c>
      <c r="BA58" s="250">
        <f>AN58-Таблица2[[#This Row],[4.n]]</f>
        <v>0</v>
      </c>
      <c r="BB58" s="250">
        <f>AO58-Таблица2[[#This Row],[5.n]]</f>
        <v>0</v>
      </c>
      <c r="BC58" s="250">
        <f>AP58-Таблица2[[#This Row],[6.n]]</f>
        <v>0</v>
      </c>
      <c r="BD58" s="250">
        <f>AQ58-Таблица2[[#This Row],[7.n]]</f>
        <v>0</v>
      </c>
      <c r="BE58" s="250">
        <f>AR58-Таблица2[[#This Row],[8.n]]</f>
        <v>0</v>
      </c>
      <c r="BF58" s="250">
        <f>AS58-Таблица2[[#This Row],[9.n]]</f>
        <v>0</v>
      </c>
      <c r="BG58" s="250">
        <f>AT58-Таблица2[[#This Row],[10.n]]</f>
        <v>0</v>
      </c>
      <c r="BH58" s="250"/>
      <c r="BI58" s="250"/>
      <c r="BP58" s="180"/>
      <c r="BQ58" s="180"/>
      <c r="BR58" s="180"/>
      <c r="BS58" s="180"/>
      <c r="BT58" s="180"/>
      <c r="BU58" s="180"/>
      <c r="BV58" s="180"/>
      <c r="BW58" s="179">
        <f>SUM(BP58:BV58)-Таблица2[[#This Row],[Общее кол-во]]</f>
        <v>-3617.6</v>
      </c>
      <c r="BZ58" s="180"/>
      <c r="CA58" s="180"/>
      <c r="CB58" s="180"/>
      <c r="CC58" s="180"/>
      <c r="CD58" s="180"/>
      <c r="CE58" s="180"/>
      <c r="CF58" s="180"/>
      <c r="CH58" s="254">
        <f t="shared" si="17"/>
        <v>0</v>
      </c>
    </row>
    <row r="59" spans="1:217" hidden="1" x14ac:dyDescent="0.3">
      <c r="A59" s="25" t="s">
        <v>195</v>
      </c>
      <c r="B59" s="16"/>
      <c r="C59" s="59" t="s">
        <v>93</v>
      </c>
      <c r="D59" s="50"/>
      <c r="E59" s="50"/>
      <c r="F59" s="51" t="s">
        <v>3</v>
      </c>
      <c r="G59" s="52">
        <v>0.25</v>
      </c>
      <c r="H59" s="34">
        <v>904.4</v>
      </c>
      <c r="I59" s="61"/>
      <c r="J59" s="101">
        <f ca="1">SUM(Таблица2[[#This Row],[1.n]:[12.n]])</f>
        <v>0</v>
      </c>
      <c r="K59" s="98" t="e">
        <f>#REF!</f>
        <v>#REF!</v>
      </c>
      <c r="L59" s="98" t="e">
        <f>#REF!</f>
        <v>#REF!</v>
      </c>
      <c r="M59" s="98" t="e">
        <f>#REF!</f>
        <v>#REF!</v>
      </c>
      <c r="N59" s="98" t="e">
        <f>#REF!</f>
        <v>#REF!</v>
      </c>
      <c r="O59" s="98" t="e">
        <f>#REF!</f>
        <v>#REF!</v>
      </c>
      <c r="P59" s="98" t="e">
        <f>#REF!</f>
        <v>#REF!</v>
      </c>
      <c r="Q59" s="98" t="e">
        <f>#REF!</f>
        <v>#REF!</v>
      </c>
      <c r="R59" s="98" t="e">
        <f>#REF!</f>
        <v>#REF!</v>
      </c>
      <c r="S59" s="98" t="e">
        <f>#REF!</f>
        <v>#REF!</v>
      </c>
      <c r="T59" s="98" t="e">
        <f>#REF!</f>
        <v>#REF!</v>
      </c>
      <c r="U59" s="98"/>
      <c r="V59" s="98"/>
      <c r="W59" s="147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59" s="147" t="str">
        <f t="shared" ca="1" si="1"/>
        <v>2.n</v>
      </c>
      <c r="Y59" s="98"/>
      <c r="Z59" s="98"/>
      <c r="AA59" s="98"/>
      <c r="AB59" s="98"/>
      <c r="AC59" s="98"/>
      <c r="AD59" s="98"/>
      <c r="AE59" s="98"/>
      <c r="AF59" s="98"/>
      <c r="AG59" s="98"/>
      <c r="AH59" s="98"/>
      <c r="AK59" s="250"/>
      <c r="AL59" s="250"/>
      <c r="AM59" s="250">
        <f>'Table 1'!K156</f>
        <v>5</v>
      </c>
      <c r="AN59" s="250"/>
      <c r="AO59" s="250"/>
      <c r="AP59" s="250"/>
      <c r="AQ59" s="250"/>
      <c r="AR59" s="250"/>
      <c r="AS59" s="250"/>
      <c r="AT59" s="250"/>
      <c r="AU59" s="250"/>
      <c r="AV59" s="250"/>
      <c r="AX59" s="250">
        <f ca="1">AK59-Таблица2[[#This Row],[1.n]]</f>
        <v>0</v>
      </c>
      <c r="AY59" s="250" t="e">
        <f ca="1">AL59-Таблица2[[#This Row],[2.n]]</f>
        <v>#VALUE!</v>
      </c>
      <c r="AZ59" s="250">
        <f>AM59-Таблица2[[#This Row],[3.n]]</f>
        <v>5</v>
      </c>
      <c r="BA59" s="250">
        <f>AN59-Таблица2[[#This Row],[4.n]]</f>
        <v>0</v>
      </c>
      <c r="BB59" s="250">
        <f>AO59-Таблица2[[#This Row],[5.n]]</f>
        <v>0</v>
      </c>
      <c r="BC59" s="250">
        <f>AP59-Таблица2[[#This Row],[6.n]]</f>
        <v>0</v>
      </c>
      <c r="BD59" s="250">
        <f>AQ59-Таблица2[[#This Row],[7.n]]</f>
        <v>0</v>
      </c>
      <c r="BE59" s="250">
        <f>AR59-Таблица2[[#This Row],[8.n]]</f>
        <v>0</v>
      </c>
      <c r="BF59" s="250">
        <f>AS59-Таблица2[[#This Row],[9.n]]</f>
        <v>0</v>
      </c>
      <c r="BG59" s="250">
        <f>AT59-Таблица2[[#This Row],[10.n]]</f>
        <v>0</v>
      </c>
      <c r="BH59" s="250"/>
      <c r="BI59" s="250"/>
      <c r="BP59" s="180"/>
      <c r="BQ59" s="180"/>
      <c r="BR59" s="180"/>
      <c r="BS59" s="180"/>
      <c r="BT59" s="180"/>
      <c r="BU59" s="180"/>
      <c r="BV59" s="180"/>
      <c r="BW59" s="179">
        <f>SUM(BP59:BV59)-Таблица2[[#This Row],[Общее кол-во]]</f>
        <v>-904.4</v>
      </c>
      <c r="BZ59" s="180"/>
      <c r="CA59" s="180"/>
      <c r="CB59" s="180"/>
      <c r="CC59" s="180"/>
      <c r="CD59" s="180"/>
      <c r="CE59" s="180"/>
      <c r="CF59" s="180"/>
      <c r="CH59" s="254">
        <f t="shared" si="17"/>
        <v>0</v>
      </c>
    </row>
    <row r="60" spans="1:217" s="156" customFormat="1" ht="46.8" x14ac:dyDescent="0.3">
      <c r="A60" s="149" t="s">
        <v>196</v>
      </c>
      <c r="B60" s="150" t="s">
        <v>191</v>
      </c>
      <c r="C60" s="151" t="s">
        <v>192</v>
      </c>
      <c r="D60" s="152"/>
      <c r="E60" s="152" t="s">
        <v>197</v>
      </c>
      <c r="F60" s="152" t="s">
        <v>96</v>
      </c>
      <c r="G60" s="153">
        <v>1</v>
      </c>
      <c r="H60" s="154">
        <v>4460.8</v>
      </c>
      <c r="I60" s="121">
        <f ca="1">H60-J60</f>
        <v>164.80000000000018</v>
      </c>
      <c r="J60" s="243">
        <f ca="1">SUM(Таблица2[[#This Row],[1.n]:[12.n]])</f>
        <v>4296</v>
      </c>
      <c r="K60" s="239" t="e">
        <f>#REF!</f>
        <v>#REF!</v>
      </c>
      <c r="L60" s="239" t="e">
        <f>#REF!</f>
        <v>#REF!</v>
      </c>
      <c r="M60" s="239" t="e">
        <f>#REF!</f>
        <v>#REF!</v>
      </c>
      <c r="N60" s="239" t="e">
        <f>'4.n'!#REF!</f>
        <v>#REF!</v>
      </c>
      <c r="O60" s="239"/>
      <c r="P60" s="239"/>
      <c r="Q60" s="239" t="e">
        <f>#REF!</f>
        <v>#REF!</v>
      </c>
      <c r="R60" s="239" t="e">
        <f>#REF!</f>
        <v>#REF!</v>
      </c>
      <c r="S60" s="239" t="e">
        <f>#REF!</f>
        <v>#REF!</v>
      </c>
      <c r="T60" s="239"/>
      <c r="U60" s="155">
        <v>0</v>
      </c>
      <c r="V60" s="155"/>
      <c r="W60" s="248">
        <f ca="1">SUMIFS(
    INDIRECT("'" &amp; INDIRECT(ADDRESS(1,COLUMN())) &amp; "'!$E$2:$E$1000"),
    INDIRECT("'" &amp; INDIRECT(ADDRESS(1,COLUMN())) &amp; "'!$B$2:$B$1000"),
    $C60,
    INDIRECT("'" &amp; INDIRECT(ADDRESS(1,COLUMN())) &amp; "'!$C$2:$C$1000"),
    $E60)</f>
        <v>693.40000000000009</v>
      </c>
      <c r="X60" s="248">
        <f ca="1">SUMIFS(
    INDIRECT("'" &amp; INDIRECT(ADDRESS(1,COLUMN())) &amp; "'!$E$2:$E$1000"),
    INDIRECT("'" &amp; INDIRECT(ADDRESS(1,COLUMN())) &amp; "'!$B$2:$B$1000"),
    $C60,
    INDIRECT("'" &amp; INDIRECT(ADDRESS(1,COLUMN())) &amp; "'!$C$2:$C$1000"),
    $E60)</f>
        <v>315.79999999999995</v>
      </c>
      <c r="Y60" s="248">
        <f ca="1">SUMIFS(
    INDIRECT("'" &amp; INDIRECT(ADDRESS(1,COLUMN())) &amp; "'!$E$2:$E$1000"),
    INDIRECT("'" &amp; INDIRECT(ADDRESS(1,COLUMN())) &amp; "'!$B$2:$B$1000"),
    $C60,
    INDIRECT("'" &amp; INDIRECT(ADDRESS(1,COLUMN())) &amp; "'!$C$2:$C$1000"),
    $E60)</f>
        <v>429.09999999999997</v>
      </c>
      <c r="Z60" s="248">
        <f t="shared" ref="Z60:AH60" ca="1" si="22">SUMIFS(
    INDIRECT("'" &amp; INDIRECT(ADDRESS(1,COLUMN())) &amp; "'!$E$2:$E$1000"),
    INDIRECT("'" &amp; INDIRECT(ADDRESS(1,COLUMN())) &amp; "'!$B$2:$B$1000"),
    $C60,
    INDIRECT("'" &amp; INDIRECT(ADDRESS(1,COLUMN())) &amp; "'!$C$2:$C$1000"),
    $E60)</f>
        <v>569.79999999999995</v>
      </c>
      <c r="AA60" s="248">
        <f t="shared" ca="1" si="22"/>
        <v>0</v>
      </c>
      <c r="AB60" s="248">
        <f t="shared" ca="1" si="22"/>
        <v>0</v>
      </c>
      <c r="AC60" s="248">
        <f t="shared" ca="1" si="22"/>
        <v>1141</v>
      </c>
      <c r="AD60" s="248">
        <f t="shared" ca="1" si="22"/>
        <v>348.8</v>
      </c>
      <c r="AE60" s="248">
        <f t="shared" ca="1" si="22"/>
        <v>769.4</v>
      </c>
      <c r="AF60" s="248">
        <f t="shared" ca="1" si="22"/>
        <v>0</v>
      </c>
      <c r="AG60" s="248">
        <f t="shared" ca="1" si="22"/>
        <v>28.700000000000003</v>
      </c>
      <c r="AH60" s="248">
        <f t="shared" ca="1" si="22"/>
        <v>0</v>
      </c>
      <c r="AI60" s="179"/>
      <c r="AJ60" s="179">
        <v>4434.6000000000004</v>
      </c>
      <c r="AK60" s="250">
        <v>705.8</v>
      </c>
      <c r="AL60" s="250">
        <v>320</v>
      </c>
      <c r="AM60" s="250">
        <f>'Table 1'!K154</f>
        <v>440.79999999999995</v>
      </c>
      <c r="AN60" s="250">
        <f>'Table 1'!M154</f>
        <v>938.30000000000007</v>
      </c>
      <c r="AO60" s="250"/>
      <c r="AP60" s="250"/>
      <c r="AQ60" s="250">
        <f>'Table 1'!Q154+'Table 1'!R154</f>
        <v>1163.5</v>
      </c>
      <c r="AR60" s="250">
        <v>360</v>
      </c>
      <c r="AS60" s="250">
        <f>'Table 1'!P154</f>
        <v>791.3</v>
      </c>
      <c r="AT60" s="250"/>
      <c r="AU60" s="250"/>
      <c r="AV60" s="250"/>
      <c r="AW60" s="179"/>
      <c r="AX60" s="250">
        <f ca="1">AK60-Таблица2[[#This Row],[1.n]]</f>
        <v>12.399999999999864</v>
      </c>
      <c r="AY60" s="250">
        <f ca="1">AL60-Таблица2[[#This Row],[2.n]]</f>
        <v>4.2000000000000455</v>
      </c>
      <c r="AZ60" s="250">
        <f ca="1">AM60-Таблица2[[#This Row],[3.n]]</f>
        <v>11.699999999999989</v>
      </c>
      <c r="BA60" s="250">
        <f ca="1">AN60-Таблица2[[#This Row],[4.n]]-Таблица2[[#This Row],[8.n]]</f>
        <v>19.700000000000102</v>
      </c>
      <c r="BB60" s="250">
        <f ca="1">AO60-Таблица2[[#This Row],[5.n]]</f>
        <v>0</v>
      </c>
      <c r="BC60" s="250">
        <f ca="1">AP60-Таблица2[[#This Row],[6.n]]</f>
        <v>0</v>
      </c>
      <c r="BD60" s="250">
        <f ca="1">AQ60-Таблица2[[#This Row],[7.n]]</f>
        <v>22.5</v>
      </c>
      <c r="BE60" s="250">
        <f ca="1">AR60-Таблица2[[#This Row],[8.n]]</f>
        <v>11.199999999999989</v>
      </c>
      <c r="BF60" s="250">
        <f ca="1">AS60-Таблица2[[#This Row],[9.n]]</f>
        <v>21.899999999999977</v>
      </c>
      <c r="BG60" s="250">
        <f ca="1">AT60-Таблица2[[#This Row],[10.n]]</f>
        <v>0</v>
      </c>
      <c r="BH60" s="250"/>
      <c r="BI60" s="250"/>
      <c r="BJ60" s="179"/>
      <c r="BK60" s="179"/>
      <c r="BL60" s="179"/>
      <c r="BM60" s="179"/>
      <c r="BN60" s="179"/>
      <c r="BO60" s="179"/>
      <c r="BP60" s="186">
        <v>705.8</v>
      </c>
      <c r="BQ60" s="186">
        <v>320</v>
      </c>
      <c r="BR60" s="186">
        <v>440.8</v>
      </c>
      <c r="BS60" s="186">
        <v>938.3</v>
      </c>
      <c r="BT60" s="186">
        <v>805.8</v>
      </c>
      <c r="BU60" s="186">
        <v>373.6</v>
      </c>
      <c r="BV60" s="186">
        <v>804.5</v>
      </c>
      <c r="BW60" s="179">
        <f>SUM(BP60:BV60)-Таблица2[[#This Row],[Общее кол-во]]</f>
        <v>-72.000000000000909</v>
      </c>
      <c r="BX60" s="179" t="s">
        <v>523</v>
      </c>
      <c r="BY60" s="179"/>
      <c r="BZ60" s="180">
        <v>705.80000000000007</v>
      </c>
      <c r="CA60" s="180">
        <v>320</v>
      </c>
      <c r="CB60" s="180">
        <v>440.79999999999995</v>
      </c>
      <c r="CC60" s="180">
        <v>938.30000000000007</v>
      </c>
      <c r="CD60" s="180">
        <v>791.3</v>
      </c>
      <c r="CE60" s="180">
        <v>359</v>
      </c>
      <c r="CF60" s="180">
        <v>804.49999999999989</v>
      </c>
      <c r="CG60" s="179"/>
      <c r="CH60" s="254">
        <f t="shared" si="17"/>
        <v>4359.7</v>
      </c>
      <c r="CI60" s="179"/>
      <c r="CJ60" s="179"/>
      <c r="CK60" s="179"/>
      <c r="CL60" s="179"/>
      <c r="CM60" s="179"/>
      <c r="CN60" s="179"/>
      <c r="CO60" s="179"/>
      <c r="CP60" s="179"/>
      <c r="CQ60" s="179"/>
      <c r="CR60" s="179"/>
      <c r="CS60" s="179"/>
      <c r="CT60" s="179"/>
      <c r="CU60" s="179"/>
      <c r="CV60" s="179"/>
      <c r="CW60" s="179"/>
      <c r="CX60" s="179"/>
      <c r="CY60" s="179"/>
      <c r="CZ60" s="179"/>
      <c r="DA60" s="179"/>
      <c r="DB60" s="179"/>
      <c r="DC60" s="179"/>
      <c r="DD60" s="179"/>
      <c r="DE60" s="179"/>
      <c r="DF60" s="179"/>
      <c r="DG60" s="179"/>
      <c r="DH60" s="179"/>
      <c r="DI60" s="179"/>
      <c r="DJ60" s="179"/>
      <c r="DK60" s="179"/>
      <c r="DL60" s="179"/>
      <c r="DM60" s="179"/>
      <c r="DN60" s="179"/>
      <c r="DO60" s="179"/>
      <c r="DP60" s="179"/>
      <c r="DQ60" s="179"/>
      <c r="DR60" s="179"/>
      <c r="DS60" s="179"/>
      <c r="DT60" s="179"/>
      <c r="DU60" s="179"/>
      <c r="DV60" s="179"/>
      <c r="DW60" s="179"/>
      <c r="DX60" s="179"/>
      <c r="DY60" s="179"/>
      <c r="DZ60" s="179"/>
      <c r="EA60" s="179"/>
      <c r="EB60" s="179"/>
      <c r="EC60" s="179"/>
      <c r="ED60" s="179"/>
      <c r="EE60" s="179"/>
      <c r="EF60" s="179"/>
      <c r="EG60" s="179"/>
      <c r="EH60" s="179"/>
      <c r="EI60" s="179"/>
      <c r="EJ60" s="179"/>
      <c r="EK60" s="179"/>
      <c r="EL60" s="179"/>
      <c r="EM60" s="179"/>
      <c r="EN60" s="179"/>
      <c r="EO60" s="179"/>
      <c r="EP60" s="179"/>
      <c r="EQ60" s="179"/>
      <c r="ER60" s="179"/>
      <c r="ES60" s="179"/>
      <c r="ET60" s="179"/>
      <c r="EU60" s="179"/>
      <c r="EV60" s="179"/>
      <c r="EW60" s="179"/>
      <c r="EX60" s="179"/>
      <c r="EY60" s="179"/>
      <c r="EZ60" s="179"/>
      <c r="FA60" s="179"/>
      <c r="FB60" s="179"/>
      <c r="FC60" s="179"/>
      <c r="FD60" s="179"/>
      <c r="FE60" s="179"/>
      <c r="FF60" s="179"/>
      <c r="FG60" s="179"/>
      <c r="FH60" s="179"/>
      <c r="FI60" s="179"/>
      <c r="FJ60" s="179"/>
      <c r="FK60" s="179"/>
      <c r="FL60" s="179"/>
      <c r="FM60" s="179"/>
      <c r="FN60" s="179"/>
      <c r="FO60" s="179"/>
      <c r="FP60" s="179"/>
      <c r="FQ60" s="179"/>
      <c r="FR60" s="179"/>
      <c r="FS60" s="179"/>
      <c r="FT60" s="179"/>
      <c r="FU60" s="179"/>
      <c r="FV60" s="179"/>
      <c r="FW60" s="179"/>
      <c r="FX60" s="179"/>
      <c r="FY60" s="179"/>
      <c r="FZ60" s="179"/>
      <c r="GA60" s="179"/>
      <c r="GB60" s="179"/>
      <c r="GC60" s="179"/>
      <c r="GD60" s="179"/>
      <c r="GE60" s="179"/>
      <c r="GF60" s="179"/>
      <c r="GG60" s="179"/>
      <c r="GH60" s="179"/>
      <c r="GI60" s="179"/>
      <c r="GJ60" s="179"/>
      <c r="GK60" s="179"/>
      <c r="GL60" s="179"/>
      <c r="GM60" s="179"/>
      <c r="GN60" s="179"/>
      <c r="GO60" s="179"/>
      <c r="GP60" s="179"/>
      <c r="GQ60" s="179"/>
      <c r="GR60" s="179"/>
      <c r="GS60" s="179"/>
      <c r="GT60" s="179"/>
      <c r="GU60" s="179"/>
      <c r="GV60" s="179"/>
      <c r="GW60" s="179"/>
      <c r="GX60" s="179"/>
      <c r="GY60" s="179"/>
      <c r="GZ60" s="179"/>
      <c r="HA60" s="179"/>
      <c r="HB60" s="179"/>
      <c r="HC60" s="179"/>
      <c r="HD60" s="179"/>
      <c r="HE60" s="179"/>
      <c r="HF60" s="179"/>
      <c r="HG60" s="179"/>
      <c r="HH60" s="179"/>
      <c r="HI60" s="179"/>
    </row>
    <row r="61" spans="1:217" hidden="1" x14ac:dyDescent="0.3">
      <c r="A61" s="25" t="s">
        <v>198</v>
      </c>
      <c r="B61" s="16"/>
      <c r="C61" s="59" t="s">
        <v>5</v>
      </c>
      <c r="D61" s="50"/>
      <c r="E61" s="50"/>
      <c r="F61" s="51" t="s">
        <v>3</v>
      </c>
      <c r="G61" s="52">
        <v>0.15</v>
      </c>
      <c r="H61" s="34">
        <v>669.12</v>
      </c>
      <c r="I61" s="110"/>
      <c r="J61" s="101">
        <f ca="1">SUM(Таблица2[[#This Row],[1.n]:[12.n]])</f>
        <v>0</v>
      </c>
      <c r="K61" s="98" t="e">
        <f>#REF!</f>
        <v>#REF!</v>
      </c>
      <c r="L61" s="98" t="e">
        <f>#REF!</f>
        <v>#REF!</v>
      </c>
      <c r="M61" s="98" t="e">
        <f>#REF!</f>
        <v>#REF!</v>
      </c>
      <c r="N61" s="98" t="e">
        <f>#REF!</f>
        <v>#REF!</v>
      </c>
      <c r="O61" s="98" t="e">
        <f>#REF!</f>
        <v>#REF!</v>
      </c>
      <c r="P61" s="98" t="e">
        <f>#REF!</f>
        <v>#REF!</v>
      </c>
      <c r="Q61" s="98" t="e">
        <f>#REF!</f>
        <v>#REF!</v>
      </c>
      <c r="R61" s="98" t="e">
        <f>#REF!</f>
        <v>#REF!</v>
      </c>
      <c r="S61" s="98" t="e">
        <f>#REF!</f>
        <v>#REF!</v>
      </c>
      <c r="T61" s="98" t="e">
        <f>#REF!</f>
        <v>#REF!</v>
      </c>
      <c r="U61" s="98"/>
      <c r="V61" s="98"/>
      <c r="W61" s="15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1" s="158" t="str">
        <f t="shared" ca="1" si="1"/>
        <v>2.n</v>
      </c>
      <c r="Y61" s="98"/>
      <c r="Z61" s="98"/>
      <c r="AA61" s="98"/>
      <c r="AB61" s="98"/>
      <c r="AC61" s="98"/>
      <c r="AD61" s="98"/>
      <c r="AE61" s="98"/>
      <c r="AF61" s="98"/>
      <c r="AG61" s="98"/>
      <c r="AH61" s="98"/>
      <c r="AK61" s="250"/>
      <c r="AL61" s="250"/>
      <c r="AM61" s="250"/>
      <c r="AN61" s="250"/>
      <c r="AO61" s="250"/>
      <c r="AP61" s="250"/>
      <c r="AQ61" s="250"/>
      <c r="AR61" s="250"/>
      <c r="AS61" s="250"/>
      <c r="AT61" s="250"/>
      <c r="AU61" s="250"/>
      <c r="AV61" s="250"/>
      <c r="AX61" s="250">
        <f ca="1">AK61-Таблица2[[#This Row],[1.n]]</f>
        <v>0</v>
      </c>
      <c r="AY61" s="250" t="e">
        <f ca="1">AL61-Таблица2[[#This Row],[2.n]]</f>
        <v>#VALUE!</v>
      </c>
      <c r="AZ61" s="250">
        <f>AM61-Таблица2[[#This Row],[3.n]]</f>
        <v>0</v>
      </c>
      <c r="BA61" s="250">
        <f>AN61-Таблица2[[#This Row],[4.n]]</f>
        <v>0</v>
      </c>
      <c r="BB61" s="250">
        <f>AO61-Таблица2[[#This Row],[5.n]]</f>
        <v>0</v>
      </c>
      <c r="BC61" s="250">
        <f>AP61-Таблица2[[#This Row],[6.n]]</f>
        <v>0</v>
      </c>
      <c r="BD61" s="250">
        <f>AQ61-Таблица2[[#This Row],[7.n]]</f>
        <v>0</v>
      </c>
      <c r="BE61" s="250">
        <f>AR61-Таблица2[[#This Row],[8.n]]</f>
        <v>0</v>
      </c>
      <c r="BF61" s="250">
        <f>AS61-Таблица2[[#This Row],[9.n]]</f>
        <v>0</v>
      </c>
      <c r="BG61" s="250">
        <f>AT61-Таблица2[[#This Row],[10.n]]</f>
        <v>0</v>
      </c>
      <c r="BH61" s="250"/>
      <c r="BI61" s="250"/>
      <c r="BP61" s="180"/>
      <c r="BQ61" s="180"/>
      <c r="BR61" s="180"/>
      <c r="BS61" s="180"/>
      <c r="BT61" s="180"/>
      <c r="BU61" s="180"/>
      <c r="BV61" s="180"/>
      <c r="BW61" s="179">
        <f>SUM(BP61:BV61)-Таблица2[[#This Row],[Общее кол-во]]</f>
        <v>-669.12</v>
      </c>
      <c r="BZ61" s="180"/>
      <c r="CA61" s="180"/>
      <c r="CB61" s="180"/>
      <c r="CC61" s="180"/>
      <c r="CD61" s="180"/>
      <c r="CE61" s="180"/>
      <c r="CF61" s="180"/>
      <c r="CH61" s="254">
        <f t="shared" si="17"/>
        <v>0</v>
      </c>
    </row>
    <row r="62" spans="1:217" hidden="1" x14ac:dyDescent="0.3">
      <c r="A62" s="26" t="s">
        <v>199</v>
      </c>
      <c r="B62" s="17"/>
      <c r="C62" s="53" t="s">
        <v>6</v>
      </c>
      <c r="D62" s="54"/>
      <c r="E62" s="54"/>
      <c r="F62" s="55" t="s">
        <v>4</v>
      </c>
      <c r="G62" s="56">
        <v>1</v>
      </c>
      <c r="H62" s="34">
        <v>4460.8</v>
      </c>
      <c r="I62" s="62"/>
      <c r="J62" s="100">
        <f ca="1">SUM(Таблица2[[#This Row],[1.n]:[12.n]])</f>
        <v>0</v>
      </c>
      <c r="K62" s="98" t="e">
        <f>#REF!</f>
        <v>#REF!</v>
      </c>
      <c r="L62" s="98" t="e">
        <f>#REF!</f>
        <v>#REF!</v>
      </c>
      <c r="M62" s="98" t="e">
        <f>#REF!</f>
        <v>#REF!</v>
      </c>
      <c r="N62" s="98" t="e">
        <f>#REF!</f>
        <v>#REF!</v>
      </c>
      <c r="O62" s="98" t="e">
        <f>#REF!</f>
        <v>#REF!</v>
      </c>
      <c r="P62" s="98" t="e">
        <f>#REF!</f>
        <v>#REF!</v>
      </c>
      <c r="Q62" s="98" t="e">
        <f>#REF!</f>
        <v>#REF!</v>
      </c>
      <c r="R62" s="98" t="e">
        <f>#REF!</f>
        <v>#REF!</v>
      </c>
      <c r="S62" s="98" t="e">
        <f>#REF!</f>
        <v>#REF!</v>
      </c>
      <c r="T62" s="98" t="e">
        <f>#REF!</f>
        <v>#REF!</v>
      </c>
      <c r="U62" s="98"/>
      <c r="V62" s="98"/>
      <c r="W62" s="166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2" s="166" t="str">
        <f t="shared" ca="1" si="1"/>
        <v>2.n</v>
      </c>
      <c r="Y62" s="98"/>
      <c r="Z62" s="98"/>
      <c r="AA62" s="98"/>
      <c r="AB62" s="98"/>
      <c r="AC62" s="98"/>
      <c r="AD62" s="98"/>
      <c r="AE62" s="98"/>
      <c r="AF62" s="98"/>
      <c r="AG62" s="98"/>
      <c r="AH62" s="98"/>
      <c r="AK62" s="250"/>
      <c r="AL62" s="250"/>
      <c r="AM62" s="250"/>
      <c r="AN62" s="250"/>
      <c r="AO62" s="250"/>
      <c r="AP62" s="250"/>
      <c r="AQ62" s="250"/>
      <c r="AR62" s="250"/>
      <c r="AS62" s="250"/>
      <c r="AT62" s="250"/>
      <c r="AU62" s="250"/>
      <c r="AV62" s="250"/>
      <c r="AX62" s="250">
        <f ca="1">AK62-Таблица2[[#This Row],[1.n]]</f>
        <v>0</v>
      </c>
      <c r="AY62" s="250" t="e">
        <f ca="1">AL62-Таблица2[[#This Row],[2.n]]</f>
        <v>#VALUE!</v>
      </c>
      <c r="AZ62" s="250">
        <f>AM62-Таблица2[[#This Row],[3.n]]</f>
        <v>0</v>
      </c>
      <c r="BA62" s="250">
        <f>AN62-Таблица2[[#This Row],[4.n]]</f>
        <v>0</v>
      </c>
      <c r="BB62" s="250">
        <f>AO62-Таблица2[[#This Row],[5.n]]</f>
        <v>0</v>
      </c>
      <c r="BC62" s="250">
        <f>AP62-Таблица2[[#This Row],[6.n]]</f>
        <v>0</v>
      </c>
      <c r="BD62" s="250">
        <f>AQ62-Таблица2[[#This Row],[7.n]]</f>
        <v>0</v>
      </c>
      <c r="BE62" s="250">
        <f>AR62-Таблица2[[#This Row],[8.n]]</f>
        <v>0</v>
      </c>
      <c r="BF62" s="250">
        <f>AS62-Таблица2[[#This Row],[9.n]]</f>
        <v>0</v>
      </c>
      <c r="BG62" s="250">
        <f>AT62-Таблица2[[#This Row],[10.n]]</f>
        <v>0</v>
      </c>
      <c r="BH62" s="250"/>
      <c r="BI62" s="250"/>
      <c r="BP62" s="180"/>
      <c r="BQ62" s="180"/>
      <c r="BR62" s="180"/>
      <c r="BS62" s="180"/>
      <c r="BT62" s="180"/>
      <c r="BU62" s="180"/>
      <c r="BV62" s="180"/>
      <c r="BW62" s="179">
        <f>SUM(BP62:BV62)-Таблица2[[#This Row],[Общее кол-во]]</f>
        <v>-4460.8</v>
      </c>
      <c r="BZ62" s="180"/>
      <c r="CA62" s="180"/>
      <c r="CB62" s="180"/>
      <c r="CC62" s="180"/>
      <c r="CD62" s="180"/>
      <c r="CE62" s="180"/>
      <c r="CF62" s="180"/>
      <c r="CH62" s="254">
        <f t="shared" si="17"/>
        <v>0</v>
      </c>
    </row>
    <row r="63" spans="1:217" ht="31.2" hidden="1" x14ac:dyDescent="0.3">
      <c r="A63" s="25" t="s">
        <v>200</v>
      </c>
      <c r="B63" s="16"/>
      <c r="C63" s="49" t="s">
        <v>116</v>
      </c>
      <c r="D63" s="50"/>
      <c r="E63" s="50"/>
      <c r="F63" s="51" t="s">
        <v>3</v>
      </c>
      <c r="G63" s="52">
        <v>1</v>
      </c>
      <c r="H63" s="34">
        <v>156128</v>
      </c>
      <c r="I63" s="61"/>
      <c r="J63" s="101">
        <f ca="1">SUM(Таблица2[[#This Row],[1.n]:[12.n]])</f>
        <v>0</v>
      </c>
      <c r="K63" s="98" t="e">
        <f>#REF!</f>
        <v>#REF!</v>
      </c>
      <c r="L63" s="98" t="e">
        <f>#REF!</f>
        <v>#REF!</v>
      </c>
      <c r="M63" s="98" t="e">
        <f>#REF!</f>
        <v>#REF!</v>
      </c>
      <c r="N63" s="98" t="e">
        <f>#REF!</f>
        <v>#REF!</v>
      </c>
      <c r="O63" s="98" t="e">
        <f>#REF!</f>
        <v>#REF!</v>
      </c>
      <c r="P63" s="98" t="e">
        <f>#REF!</f>
        <v>#REF!</v>
      </c>
      <c r="Q63" s="98" t="e">
        <f>#REF!</f>
        <v>#REF!</v>
      </c>
      <c r="R63" s="98" t="e">
        <f>#REF!</f>
        <v>#REF!</v>
      </c>
      <c r="S63" s="98" t="e">
        <f>#REF!</f>
        <v>#REF!</v>
      </c>
      <c r="T63" s="98" t="e">
        <f>#REF!</f>
        <v>#REF!</v>
      </c>
      <c r="U63" s="98"/>
      <c r="V63" s="98"/>
      <c r="W63" s="123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3" s="123" t="str">
        <f t="shared" ca="1" si="1"/>
        <v>2.n</v>
      </c>
      <c r="Y63" s="98"/>
      <c r="Z63" s="98"/>
      <c r="AA63" s="98"/>
      <c r="AB63" s="98"/>
      <c r="AC63" s="98"/>
      <c r="AD63" s="98"/>
      <c r="AE63" s="98"/>
      <c r="AF63" s="98"/>
      <c r="AG63" s="98"/>
      <c r="AH63" s="98"/>
      <c r="AK63" s="250"/>
      <c r="AL63" s="250"/>
      <c r="AM63" s="250"/>
      <c r="AN63" s="250"/>
      <c r="AO63" s="250"/>
      <c r="AP63" s="250"/>
      <c r="AQ63" s="250"/>
      <c r="AR63" s="250"/>
      <c r="AS63" s="250"/>
      <c r="AT63" s="250"/>
      <c r="AU63" s="250"/>
      <c r="AV63" s="250"/>
      <c r="AX63" s="250">
        <f ca="1">AK63-Таблица2[[#This Row],[1.n]]</f>
        <v>0</v>
      </c>
      <c r="AY63" s="250" t="e">
        <f ca="1">AL63-Таблица2[[#This Row],[2.n]]</f>
        <v>#VALUE!</v>
      </c>
      <c r="AZ63" s="250">
        <f>AM63-Таблица2[[#This Row],[3.n]]</f>
        <v>0</v>
      </c>
      <c r="BA63" s="250">
        <f>AN63-Таблица2[[#This Row],[4.n]]</f>
        <v>0</v>
      </c>
      <c r="BB63" s="250">
        <f>AO63-Таблица2[[#This Row],[5.n]]</f>
        <v>0</v>
      </c>
      <c r="BC63" s="250">
        <f>AP63-Таблица2[[#This Row],[6.n]]</f>
        <v>0</v>
      </c>
      <c r="BD63" s="250">
        <f>AQ63-Таблица2[[#This Row],[7.n]]</f>
        <v>0</v>
      </c>
      <c r="BE63" s="250">
        <f>AR63-Таблица2[[#This Row],[8.n]]</f>
        <v>0</v>
      </c>
      <c r="BF63" s="250">
        <f>AS63-Таблица2[[#This Row],[9.n]]</f>
        <v>0</v>
      </c>
      <c r="BG63" s="250">
        <f>AT63-Таблица2[[#This Row],[10.n]]</f>
        <v>0</v>
      </c>
      <c r="BH63" s="250"/>
      <c r="BI63" s="250"/>
      <c r="BP63" s="180"/>
      <c r="BQ63" s="180"/>
      <c r="BR63" s="180"/>
      <c r="BS63" s="180"/>
      <c r="BT63" s="180"/>
      <c r="BU63" s="180"/>
      <c r="BV63" s="180"/>
      <c r="BW63" s="179">
        <f>SUM(BP63:BV63)-Таблица2[[#This Row],[Общее кол-во]]</f>
        <v>-156128</v>
      </c>
      <c r="BZ63" s="180"/>
      <c r="CA63" s="180"/>
      <c r="CB63" s="180"/>
      <c r="CC63" s="180"/>
      <c r="CD63" s="180"/>
      <c r="CE63" s="180"/>
      <c r="CF63" s="180"/>
      <c r="CH63" s="254">
        <f t="shared" si="17"/>
        <v>0</v>
      </c>
    </row>
    <row r="64" spans="1:217" s="132" customFormat="1" ht="46.8" x14ac:dyDescent="0.3">
      <c r="A64" s="125" t="s">
        <v>201</v>
      </c>
      <c r="B64" s="126" t="s">
        <v>191</v>
      </c>
      <c r="C64" s="127" t="s">
        <v>192</v>
      </c>
      <c r="D64" s="128"/>
      <c r="E64" s="128" t="s">
        <v>179</v>
      </c>
      <c r="F64" s="128" t="s">
        <v>96</v>
      </c>
      <c r="G64" s="129">
        <v>1</v>
      </c>
      <c r="H64" s="130">
        <v>3125.2</v>
      </c>
      <c r="I64" s="121">
        <f ca="1">H64-J64</f>
        <v>74.399999999999636</v>
      </c>
      <c r="J64" s="243">
        <f ca="1">SUM(Таблица2[[#This Row],[1.n]:[12.n]])</f>
        <v>3050.8</v>
      </c>
      <c r="K64" s="235"/>
      <c r="L64" s="235"/>
      <c r="M64" s="235"/>
      <c r="N64" s="235"/>
      <c r="O64" s="235" t="e">
        <f>#REF!</f>
        <v>#REF!</v>
      </c>
      <c r="P64" s="235" t="e">
        <f>#REF!</f>
        <v>#REF!</v>
      </c>
      <c r="Q64" s="235"/>
      <c r="R64" s="235"/>
      <c r="S64" s="235"/>
      <c r="T64" s="235" t="e">
        <f>#REF!</f>
        <v>#REF!</v>
      </c>
      <c r="U64" s="131"/>
      <c r="V64" s="131">
        <v>0</v>
      </c>
      <c r="W64" s="248">
        <f ca="1">SUMIFS(
    INDIRECT("'" &amp; INDIRECT(ADDRESS(1,COLUMN())) &amp; "'!$E$2:$E$1000"),
    INDIRECT("'" &amp; INDIRECT(ADDRESS(1,COLUMN())) &amp; "'!$B$2:$B$1000"),
    $C64,
    INDIRECT("'" &amp; INDIRECT(ADDRESS(1,COLUMN())) &amp; "'!$C$2:$C$1000"),
    $E64)</f>
        <v>0</v>
      </c>
      <c r="X64" s="248">
        <f ca="1">SUMIFS(
    INDIRECT("'" &amp; INDIRECT(ADDRESS(1,COLUMN())) &amp; "'!$E$2:$E$1000"),
    INDIRECT("'" &amp; INDIRECT(ADDRESS(1,COLUMN())) &amp; "'!$B$2:$B$1000"),
    $C64,
    INDIRECT("'" &amp; INDIRECT(ADDRESS(1,COLUMN())) &amp; "'!$C$2:$C$1000"),
    $E64)</f>
        <v>0</v>
      </c>
      <c r="Y64" s="248">
        <f ca="1">SUMIFS(
    INDIRECT("'" &amp; INDIRECT(ADDRESS(1,COLUMN())) &amp; "'!$E$2:$E$1000"),
    INDIRECT("'" &amp; INDIRECT(ADDRESS(1,COLUMN())) &amp; "'!$B$2:$B$1000"),
    $C64,
    INDIRECT("'" &amp; INDIRECT(ADDRESS(1,COLUMN())) &amp; "'!$C$2:$C$1000"),
    $E64)</f>
        <v>0</v>
      </c>
      <c r="Z64" s="248">
        <f t="shared" ref="Z64:AH64" ca="1" si="23">SUMIFS(
    INDIRECT("'" &amp; INDIRECT(ADDRESS(1,COLUMN())) &amp; "'!$E$2:$E$1000"),
    INDIRECT("'" &amp; INDIRECT(ADDRESS(1,COLUMN())) &amp; "'!$B$2:$B$1000"),
    $C64,
    INDIRECT("'" &amp; INDIRECT(ADDRESS(1,COLUMN())) &amp; "'!$C$2:$C$1000"),
    $E64)</f>
        <v>0</v>
      </c>
      <c r="AA64" s="248">
        <f t="shared" ca="1" si="23"/>
        <v>1445.1000000000001</v>
      </c>
      <c r="AB64" s="248">
        <f t="shared" ca="1" si="23"/>
        <v>749.7</v>
      </c>
      <c r="AC64" s="248">
        <f t="shared" ca="1" si="23"/>
        <v>0</v>
      </c>
      <c r="AD64" s="248">
        <f t="shared" ca="1" si="23"/>
        <v>0</v>
      </c>
      <c r="AE64" s="248">
        <f t="shared" ca="1" si="23"/>
        <v>0</v>
      </c>
      <c r="AF64" s="248">
        <f t="shared" ca="1" si="23"/>
        <v>199.4</v>
      </c>
      <c r="AG64" s="248">
        <f t="shared" ca="1" si="23"/>
        <v>0</v>
      </c>
      <c r="AH64" s="248">
        <f t="shared" ca="1" si="23"/>
        <v>656.6</v>
      </c>
      <c r="AI64" s="179"/>
      <c r="AJ64" s="179">
        <v>3125.2</v>
      </c>
      <c r="AK64" s="250">
        <v>0</v>
      </c>
      <c r="AL64" s="250">
        <v>0</v>
      </c>
      <c r="AM64" s="250"/>
      <c r="AN64" s="250"/>
      <c r="AO64" s="250">
        <f>SUM('Table 1'!E159:M159)</f>
        <v>1958.5000000000002</v>
      </c>
      <c r="AP64" s="250">
        <f>'Table 1'!R159+'Table 1'!Q159</f>
        <v>765.8</v>
      </c>
      <c r="AQ64" s="250"/>
      <c r="AR64" s="250"/>
      <c r="AS64" s="250"/>
      <c r="AT64" s="250">
        <f>'Table 1'!P159</f>
        <v>203.5</v>
      </c>
      <c r="AU64" s="250"/>
      <c r="AV64" s="250"/>
      <c r="AW64" s="179"/>
      <c r="AX64" s="250">
        <f ca="1">AK64-Таблица2[[#This Row],[1.n]]</f>
        <v>0</v>
      </c>
      <c r="AY64" s="250">
        <f ca="1">AL64-Таблица2[[#This Row],[2.n]]</f>
        <v>0</v>
      </c>
      <c r="AZ64" s="250">
        <f ca="1">AM64-Таблица2[[#This Row],[3.n]]</f>
        <v>0</v>
      </c>
      <c r="BA64" s="250">
        <f ca="1">AN64-Таблица2[[#This Row],[4.n]]</f>
        <v>0</v>
      </c>
      <c r="BB64" s="250">
        <f ca="1">AO64-Таблица2[[#This Row],[5.n]]</f>
        <v>513.40000000000009</v>
      </c>
      <c r="BC64" s="250">
        <f ca="1">AP64-Таблица2[[#This Row],[6.n]]</f>
        <v>16.099999999999909</v>
      </c>
      <c r="BD64" s="250">
        <f ca="1">AQ64-Таблица2[[#This Row],[7.n]]</f>
        <v>0</v>
      </c>
      <c r="BE64" s="250">
        <f ca="1">AR64-Таблица2[[#This Row],[8.n]]</f>
        <v>0</v>
      </c>
      <c r="BF64" s="250">
        <f ca="1">AS64-Таблица2[[#This Row],[9.n]]</f>
        <v>0</v>
      </c>
      <c r="BG64" s="250">
        <f ca="1">AT64-Таблица2[[#This Row],[10.n]]</f>
        <v>4.0999999999999943</v>
      </c>
      <c r="BH64" s="250"/>
      <c r="BI64" s="250"/>
      <c r="BJ64" s="179"/>
      <c r="BK64" s="179"/>
      <c r="BL64" s="179"/>
      <c r="BM64" s="179"/>
      <c r="BN64" s="179"/>
      <c r="BO64" s="179"/>
      <c r="BP64" s="181">
        <v>572.20000000000005</v>
      </c>
      <c r="BQ64" s="181">
        <v>516.6</v>
      </c>
      <c r="BR64" s="181">
        <v>118.4</v>
      </c>
      <c r="BS64" s="181">
        <v>466.7</v>
      </c>
      <c r="BT64" s="181">
        <v>480.5</v>
      </c>
      <c r="BU64" s="181">
        <v>377.2</v>
      </c>
      <c r="BV64" s="181">
        <v>593.6</v>
      </c>
      <c r="BW64" s="179">
        <f>SUM(BP64:BV64)-Таблица2[[#This Row],[Общее кол-во]]</f>
        <v>0</v>
      </c>
      <c r="BX64" s="179"/>
      <c r="BY64" s="179"/>
      <c r="BZ64" s="180">
        <v>483.1</v>
      </c>
      <c r="CA64" s="180">
        <v>407.2</v>
      </c>
      <c r="CB64" s="180">
        <v>118.39999999999999</v>
      </c>
      <c r="CC64" s="180">
        <v>466.7</v>
      </c>
      <c r="CD64" s="180">
        <v>203.5</v>
      </c>
      <c r="CE64" s="180">
        <v>274.89999999999998</v>
      </c>
      <c r="CF64" s="180">
        <v>490.90000000000003</v>
      </c>
      <c r="CG64" s="179"/>
      <c r="CH64" s="254">
        <f t="shared" si="17"/>
        <v>2444.6999999999998</v>
      </c>
      <c r="CI64" s="179"/>
      <c r="CJ64" s="179"/>
      <c r="CK64" s="179"/>
      <c r="CL64" s="179"/>
      <c r="CM64" s="179"/>
      <c r="CN64" s="179"/>
      <c r="CO64" s="179"/>
      <c r="CP64" s="179"/>
      <c r="CQ64" s="179"/>
      <c r="CR64" s="179"/>
      <c r="CS64" s="179"/>
      <c r="CT64" s="179"/>
      <c r="CU64" s="179"/>
      <c r="CV64" s="179"/>
      <c r="CW64" s="179"/>
      <c r="CX64" s="179"/>
      <c r="CY64" s="179"/>
      <c r="CZ64" s="179"/>
      <c r="DA64" s="179"/>
      <c r="DB64" s="179"/>
      <c r="DC64" s="179"/>
      <c r="DD64" s="179"/>
      <c r="DE64" s="179"/>
      <c r="DF64" s="179"/>
      <c r="DG64" s="179"/>
      <c r="DH64" s="179"/>
      <c r="DI64" s="179"/>
      <c r="DJ64" s="179"/>
      <c r="DK64" s="179"/>
      <c r="DL64" s="179"/>
      <c r="DM64" s="179"/>
      <c r="DN64" s="179"/>
      <c r="DO64" s="179"/>
      <c r="DP64" s="179"/>
      <c r="DQ64" s="179"/>
      <c r="DR64" s="179"/>
      <c r="DS64" s="179"/>
      <c r="DT64" s="179"/>
      <c r="DU64" s="179"/>
      <c r="DV64" s="179"/>
      <c r="DW64" s="179"/>
      <c r="DX64" s="179"/>
      <c r="DY64" s="179"/>
      <c r="DZ64" s="179"/>
      <c r="EA64" s="179"/>
      <c r="EB64" s="179"/>
      <c r="EC64" s="179"/>
      <c r="ED64" s="179"/>
      <c r="EE64" s="179"/>
      <c r="EF64" s="179"/>
      <c r="EG64" s="179"/>
      <c r="EH64" s="179"/>
      <c r="EI64" s="179"/>
      <c r="EJ64" s="179"/>
      <c r="EK64" s="179"/>
      <c r="EL64" s="179"/>
      <c r="EM64" s="179"/>
      <c r="EN64" s="179"/>
      <c r="EO64" s="179"/>
      <c r="EP64" s="179"/>
      <c r="EQ64" s="179"/>
      <c r="ER64" s="179"/>
      <c r="ES64" s="179"/>
      <c r="ET64" s="179"/>
      <c r="EU64" s="179"/>
      <c r="EV64" s="179"/>
      <c r="EW64" s="179"/>
      <c r="EX64" s="179"/>
      <c r="EY64" s="179"/>
      <c r="EZ64" s="179"/>
      <c r="FA64" s="179"/>
      <c r="FB64" s="179"/>
      <c r="FC64" s="179"/>
      <c r="FD64" s="179"/>
      <c r="FE64" s="179"/>
      <c r="FF64" s="179"/>
      <c r="FG64" s="179"/>
      <c r="FH64" s="179"/>
      <c r="FI64" s="179"/>
      <c r="FJ64" s="179"/>
      <c r="FK64" s="179"/>
      <c r="FL64" s="179"/>
      <c r="FM64" s="179"/>
      <c r="FN64" s="179"/>
      <c r="FO64" s="179"/>
      <c r="FP64" s="179"/>
      <c r="FQ64" s="179"/>
      <c r="FR64" s="179"/>
      <c r="FS64" s="179"/>
      <c r="FT64" s="179"/>
      <c r="FU64" s="179"/>
      <c r="FV64" s="179"/>
      <c r="FW64" s="179"/>
      <c r="FX64" s="179"/>
      <c r="FY64" s="179"/>
      <c r="FZ64" s="179"/>
      <c r="GA64" s="179"/>
      <c r="GB64" s="179"/>
      <c r="GC64" s="179"/>
      <c r="GD64" s="179"/>
      <c r="GE64" s="179"/>
      <c r="GF64" s="179"/>
      <c r="GG64" s="179"/>
      <c r="GH64" s="179"/>
      <c r="GI64" s="179"/>
      <c r="GJ64" s="179"/>
      <c r="GK64" s="179"/>
      <c r="GL64" s="179"/>
      <c r="GM64" s="179"/>
      <c r="GN64" s="179"/>
      <c r="GO64" s="179"/>
      <c r="GP64" s="179"/>
      <c r="GQ64" s="179"/>
      <c r="GR64" s="179"/>
      <c r="GS64" s="179"/>
      <c r="GT64" s="179"/>
      <c r="GU64" s="179"/>
      <c r="GV64" s="179"/>
      <c r="GW64" s="179"/>
      <c r="GX64" s="179"/>
      <c r="GY64" s="179"/>
      <c r="GZ64" s="179"/>
      <c r="HA64" s="179"/>
      <c r="HB64" s="179"/>
      <c r="HC64" s="179"/>
      <c r="HD64" s="179"/>
      <c r="HE64" s="179"/>
      <c r="HF64" s="179"/>
      <c r="HG64" s="179"/>
      <c r="HH64" s="179"/>
      <c r="HI64" s="179"/>
    </row>
    <row r="65" spans="1:217" ht="31.2" hidden="1" x14ac:dyDescent="0.3">
      <c r="A65" s="25" t="s">
        <v>202</v>
      </c>
      <c r="B65" s="16"/>
      <c r="C65" s="49" t="s">
        <v>116</v>
      </c>
      <c r="D65" s="50"/>
      <c r="E65" s="50"/>
      <c r="F65" s="51" t="s">
        <v>3</v>
      </c>
      <c r="G65" s="52">
        <v>1</v>
      </c>
      <c r="H65" s="34">
        <v>109382</v>
      </c>
      <c r="I65" s="110"/>
      <c r="J65" s="101">
        <f ca="1">SUM(Таблица2[[#This Row],[1.n]:[12.n]])</f>
        <v>0</v>
      </c>
      <c r="K65" s="98" t="e">
        <f>#REF!</f>
        <v>#REF!</v>
      </c>
      <c r="L65" s="98" t="e">
        <f>#REF!</f>
        <v>#REF!</v>
      </c>
      <c r="M65" s="98" t="e">
        <f>#REF!</f>
        <v>#REF!</v>
      </c>
      <c r="N65" s="98" t="e">
        <f>#REF!</f>
        <v>#REF!</v>
      </c>
      <c r="O65" s="98" t="e">
        <f>#REF!</f>
        <v>#REF!</v>
      </c>
      <c r="P65" s="98" t="e">
        <f>#REF!</f>
        <v>#REF!</v>
      </c>
      <c r="Q65" s="98" t="e">
        <f>#REF!</f>
        <v>#REF!</v>
      </c>
      <c r="R65" s="98" t="e">
        <f>#REF!</f>
        <v>#REF!</v>
      </c>
      <c r="S65" s="98" t="e">
        <f>#REF!</f>
        <v>#REF!</v>
      </c>
      <c r="T65" s="98" t="e">
        <f>#REF!</f>
        <v>#REF!</v>
      </c>
      <c r="U65" s="98"/>
      <c r="V65" s="98"/>
      <c r="W65" s="155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5" s="155" t="str">
        <f t="shared" ca="1" si="1"/>
        <v>2.n</v>
      </c>
      <c r="Y65" s="98"/>
      <c r="Z65" s="98"/>
      <c r="AA65" s="98"/>
      <c r="AB65" s="98"/>
      <c r="AC65" s="98"/>
      <c r="AD65" s="98"/>
      <c r="AE65" s="98"/>
      <c r="AF65" s="98"/>
      <c r="AG65" s="98"/>
      <c r="AH65" s="98"/>
      <c r="AK65" s="250"/>
      <c r="AL65" s="250"/>
      <c r="AM65" s="250"/>
      <c r="AN65" s="250"/>
      <c r="AO65" s="250"/>
      <c r="AP65" s="250"/>
      <c r="AQ65" s="250"/>
      <c r="AR65" s="250"/>
      <c r="AS65" s="250"/>
      <c r="AT65" s="250"/>
      <c r="AU65" s="250"/>
      <c r="AV65" s="250"/>
      <c r="AX65" s="250">
        <f ca="1">AK65-Таблица2[[#This Row],[1.n]]</f>
        <v>0</v>
      </c>
      <c r="AY65" s="250" t="e">
        <f ca="1">AL65-Таблица2[[#This Row],[2.n]]</f>
        <v>#VALUE!</v>
      </c>
      <c r="AZ65" s="250">
        <f>AM65-Таблица2[[#This Row],[3.n]]</f>
        <v>0</v>
      </c>
      <c r="BA65" s="250">
        <f>AN65-Таблица2[[#This Row],[4.n]]</f>
        <v>0</v>
      </c>
      <c r="BB65" s="250">
        <f>AO65-Таблица2[[#This Row],[5.n]]</f>
        <v>0</v>
      </c>
      <c r="BC65" s="250">
        <f>AP65-Таблица2[[#This Row],[6.n]]</f>
        <v>0</v>
      </c>
      <c r="BD65" s="250">
        <f>AQ65-Таблица2[[#This Row],[7.n]]</f>
        <v>0</v>
      </c>
      <c r="BE65" s="250">
        <f>AR65-Таблица2[[#This Row],[8.n]]</f>
        <v>0</v>
      </c>
      <c r="BF65" s="250">
        <f>AS65-Таблица2[[#This Row],[9.n]]</f>
        <v>0</v>
      </c>
      <c r="BG65" s="250">
        <f>AT65-Таблица2[[#This Row],[10.n]]</f>
        <v>0</v>
      </c>
      <c r="BH65" s="250"/>
      <c r="BI65" s="250"/>
      <c r="BP65" s="180"/>
      <c r="BQ65" s="180"/>
      <c r="BR65" s="180"/>
      <c r="BS65" s="180"/>
      <c r="BT65" s="180"/>
      <c r="BU65" s="180"/>
      <c r="BV65" s="180"/>
      <c r="BW65" s="179">
        <f>SUM(BP65:BV65)-Таблица2[[#This Row],[Общее кол-во]]</f>
        <v>-109382</v>
      </c>
      <c r="BZ65" s="180"/>
      <c r="CA65" s="180"/>
      <c r="CB65" s="180"/>
      <c r="CC65" s="180"/>
      <c r="CD65" s="180"/>
      <c r="CE65" s="180"/>
      <c r="CF65" s="180"/>
      <c r="CH65" s="254">
        <f t="shared" si="17"/>
        <v>0</v>
      </c>
    </row>
    <row r="66" spans="1:217" hidden="1" x14ac:dyDescent="0.3">
      <c r="A66" s="26" t="s">
        <v>203</v>
      </c>
      <c r="B66" s="17"/>
      <c r="C66" s="53" t="s">
        <v>6</v>
      </c>
      <c r="D66" s="54"/>
      <c r="E66" s="54"/>
      <c r="F66" s="55" t="s">
        <v>4</v>
      </c>
      <c r="G66" s="56">
        <v>1</v>
      </c>
      <c r="H66" s="34">
        <v>3125.2</v>
      </c>
      <c r="I66" s="61"/>
      <c r="J66" s="101">
        <f ca="1">SUM(Таблица2[[#This Row],[1.n]:[12.n]])</f>
        <v>0</v>
      </c>
      <c r="K66" s="98" t="e">
        <f>#REF!</f>
        <v>#REF!</v>
      </c>
      <c r="L66" s="98" t="e">
        <f>#REF!</f>
        <v>#REF!</v>
      </c>
      <c r="M66" s="98" t="e">
        <f>#REF!</f>
        <v>#REF!</v>
      </c>
      <c r="N66" s="98" t="e">
        <f>#REF!</f>
        <v>#REF!</v>
      </c>
      <c r="O66" s="98" t="e">
        <f>#REF!</f>
        <v>#REF!</v>
      </c>
      <c r="P66" s="98" t="e">
        <f>#REF!</f>
        <v>#REF!</v>
      </c>
      <c r="Q66" s="98" t="e">
        <f>#REF!</f>
        <v>#REF!</v>
      </c>
      <c r="R66" s="98" t="e">
        <f>#REF!</f>
        <v>#REF!</v>
      </c>
      <c r="S66" s="98" t="e">
        <f>#REF!</f>
        <v>#REF!</v>
      </c>
      <c r="T66" s="98" t="e">
        <f>#REF!</f>
        <v>#REF!</v>
      </c>
      <c r="U66" s="98"/>
      <c r="V66" s="98"/>
      <c r="W66" s="131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6" s="131" t="str">
        <f t="shared" ref="X66:X129" ca="1" si="24">INDIRECT(ADDRESS(1, COLUMN()))</f>
        <v>2.n</v>
      </c>
      <c r="Y66" s="98"/>
      <c r="Z66" s="98"/>
      <c r="AA66" s="98"/>
      <c r="AB66" s="98"/>
      <c r="AC66" s="98"/>
      <c r="AD66" s="98"/>
      <c r="AE66" s="98"/>
      <c r="AF66" s="98"/>
      <c r="AG66" s="98"/>
      <c r="AH66" s="98"/>
      <c r="AK66" s="250"/>
      <c r="AL66" s="250"/>
      <c r="AM66" s="250"/>
      <c r="AN66" s="250"/>
      <c r="AO66" s="250"/>
      <c r="AP66" s="250"/>
      <c r="AQ66" s="250"/>
      <c r="AR66" s="250"/>
      <c r="AS66" s="250"/>
      <c r="AT66" s="250"/>
      <c r="AU66" s="250"/>
      <c r="AV66" s="250"/>
      <c r="AX66" s="250">
        <f ca="1">AK66-Таблица2[[#This Row],[1.n]]</f>
        <v>0</v>
      </c>
      <c r="AY66" s="250" t="e">
        <f ca="1">AL66-Таблица2[[#This Row],[2.n]]</f>
        <v>#VALUE!</v>
      </c>
      <c r="AZ66" s="250">
        <f>AM66-Таблица2[[#This Row],[3.n]]</f>
        <v>0</v>
      </c>
      <c r="BA66" s="250">
        <f>AN66-Таблица2[[#This Row],[4.n]]</f>
        <v>0</v>
      </c>
      <c r="BB66" s="250">
        <f>AO66-Таблица2[[#This Row],[5.n]]</f>
        <v>0</v>
      </c>
      <c r="BC66" s="250">
        <f>AP66-Таблица2[[#This Row],[6.n]]</f>
        <v>0</v>
      </c>
      <c r="BD66" s="250">
        <f>AQ66-Таблица2[[#This Row],[7.n]]</f>
        <v>0</v>
      </c>
      <c r="BE66" s="250">
        <f>AR66-Таблица2[[#This Row],[8.n]]</f>
        <v>0</v>
      </c>
      <c r="BF66" s="250">
        <f>AS66-Таблица2[[#This Row],[9.n]]</f>
        <v>0</v>
      </c>
      <c r="BG66" s="250">
        <f>AT66-Таблица2[[#This Row],[10.n]]</f>
        <v>0</v>
      </c>
      <c r="BH66" s="250"/>
      <c r="BI66" s="250"/>
      <c r="BP66" s="180"/>
      <c r="BQ66" s="180"/>
      <c r="BR66" s="180"/>
      <c r="BS66" s="180"/>
      <c r="BT66" s="180"/>
      <c r="BU66" s="180"/>
      <c r="BV66" s="180"/>
      <c r="BW66" s="179">
        <f>SUM(BP66:BV66)-Таблица2[[#This Row],[Общее кол-во]]</f>
        <v>-3125.2</v>
      </c>
      <c r="BZ66" s="180"/>
      <c r="CA66" s="180"/>
      <c r="CB66" s="180"/>
      <c r="CC66" s="180"/>
      <c r="CD66" s="180"/>
      <c r="CE66" s="180"/>
      <c r="CF66" s="180"/>
      <c r="CH66" s="254">
        <f t="shared" si="17"/>
        <v>0</v>
      </c>
    </row>
    <row r="67" spans="1:217" hidden="1" x14ac:dyDescent="0.3">
      <c r="A67" s="25" t="s">
        <v>204</v>
      </c>
      <c r="B67" s="16"/>
      <c r="C67" s="59" t="s">
        <v>93</v>
      </c>
      <c r="D67" s="50"/>
      <c r="E67" s="50"/>
      <c r="F67" s="51" t="s">
        <v>3</v>
      </c>
      <c r="G67" s="52">
        <v>0.25</v>
      </c>
      <c r="H67" s="34">
        <v>781.3</v>
      </c>
      <c r="I67" s="61"/>
      <c r="J67" s="101">
        <f ca="1">SUM(Таблица2[[#This Row],[1.n]:[12.n]])</f>
        <v>0</v>
      </c>
      <c r="K67" s="98" t="e">
        <f>#REF!</f>
        <v>#REF!</v>
      </c>
      <c r="L67" s="98" t="e">
        <f>#REF!</f>
        <v>#REF!</v>
      </c>
      <c r="M67" s="98" t="e">
        <f>#REF!</f>
        <v>#REF!</v>
      </c>
      <c r="N67" s="98" t="e">
        <f>#REF!</f>
        <v>#REF!</v>
      </c>
      <c r="O67" s="98" t="e">
        <f>#REF!</f>
        <v>#REF!</v>
      </c>
      <c r="P67" s="98" t="e">
        <f>#REF!</f>
        <v>#REF!</v>
      </c>
      <c r="Q67" s="98" t="e">
        <f>#REF!</f>
        <v>#REF!</v>
      </c>
      <c r="R67" s="98" t="e">
        <f>#REF!</f>
        <v>#REF!</v>
      </c>
      <c r="S67" s="98" t="e">
        <f>#REF!</f>
        <v>#REF!</v>
      </c>
      <c r="T67" s="98" t="e">
        <f>#REF!</f>
        <v>#REF!</v>
      </c>
      <c r="U67" s="98"/>
      <c r="V67" s="98"/>
      <c r="W67" s="147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7" s="147" t="str">
        <f t="shared" ca="1" si="24"/>
        <v>2.n</v>
      </c>
      <c r="Y67" s="98"/>
      <c r="Z67" s="98"/>
      <c r="AA67" s="98"/>
      <c r="AB67" s="98"/>
      <c r="AC67" s="98"/>
      <c r="AD67" s="98"/>
      <c r="AE67" s="98"/>
      <c r="AF67" s="98"/>
      <c r="AG67" s="98"/>
      <c r="AH67" s="98"/>
      <c r="AK67" s="250"/>
      <c r="AL67" s="250"/>
      <c r="AM67" s="250"/>
      <c r="AN67" s="250"/>
      <c r="AO67" s="250"/>
      <c r="AP67" s="250"/>
      <c r="AQ67" s="250"/>
      <c r="AR67" s="250"/>
      <c r="AS67" s="250"/>
      <c r="AT67" s="250"/>
      <c r="AU67" s="250"/>
      <c r="AV67" s="250"/>
      <c r="AX67" s="250">
        <f ca="1">AK67-Таблица2[[#This Row],[1.n]]</f>
        <v>0</v>
      </c>
      <c r="AY67" s="250" t="e">
        <f ca="1">AL67-Таблица2[[#This Row],[2.n]]</f>
        <v>#VALUE!</v>
      </c>
      <c r="AZ67" s="250">
        <f>AM67-Таблица2[[#This Row],[3.n]]</f>
        <v>0</v>
      </c>
      <c r="BA67" s="250">
        <f>AN67-Таблица2[[#This Row],[4.n]]</f>
        <v>0</v>
      </c>
      <c r="BB67" s="250">
        <f>AO67-Таблица2[[#This Row],[5.n]]</f>
        <v>0</v>
      </c>
      <c r="BC67" s="250">
        <f>AP67-Таблица2[[#This Row],[6.n]]</f>
        <v>0</v>
      </c>
      <c r="BD67" s="250">
        <f>AQ67-Таблица2[[#This Row],[7.n]]</f>
        <v>0</v>
      </c>
      <c r="BE67" s="250">
        <f>AR67-Таблица2[[#This Row],[8.n]]</f>
        <v>0</v>
      </c>
      <c r="BF67" s="250">
        <f>AS67-Таблица2[[#This Row],[9.n]]</f>
        <v>0</v>
      </c>
      <c r="BG67" s="250">
        <f>AT67-Таблица2[[#This Row],[10.n]]</f>
        <v>0</v>
      </c>
      <c r="BH67" s="250"/>
      <c r="BI67" s="250"/>
      <c r="BP67" s="180"/>
      <c r="BQ67" s="180"/>
      <c r="BR67" s="180"/>
      <c r="BS67" s="180"/>
      <c r="BT67" s="180"/>
      <c r="BU67" s="180"/>
      <c r="BV67" s="180"/>
      <c r="BW67" s="179">
        <f>SUM(BP67:BV67)-Таблица2[[#This Row],[Общее кол-во]]</f>
        <v>-781.3</v>
      </c>
      <c r="BZ67" s="180"/>
      <c r="CA67" s="180"/>
      <c r="CB67" s="180"/>
      <c r="CC67" s="180"/>
      <c r="CD67" s="180"/>
      <c r="CE67" s="180"/>
      <c r="CF67" s="180"/>
      <c r="CH67" s="254">
        <f t="shared" si="17"/>
        <v>0</v>
      </c>
    </row>
    <row r="68" spans="1:217" s="148" customFormat="1" ht="46.8" x14ac:dyDescent="0.3">
      <c r="A68" s="141" t="s">
        <v>205</v>
      </c>
      <c r="B68" s="142" t="s">
        <v>191</v>
      </c>
      <c r="C68" s="143" t="s">
        <v>192</v>
      </c>
      <c r="D68" s="144"/>
      <c r="E68" s="144" t="s">
        <v>206</v>
      </c>
      <c r="F68" s="144" t="s">
        <v>96</v>
      </c>
      <c r="G68" s="145">
        <v>1</v>
      </c>
      <c r="H68" s="146">
        <v>4198.8</v>
      </c>
      <c r="I68" s="121">
        <f ca="1">H68-J68</f>
        <v>117.80000000000018</v>
      </c>
      <c r="J68" s="243">
        <f ca="1">SUM(Таблица2[[#This Row],[1.n]:[12.n]])</f>
        <v>4081</v>
      </c>
      <c r="K68" s="240"/>
      <c r="L68" s="240"/>
      <c r="M68" s="240"/>
      <c r="N68" s="240"/>
      <c r="O68" s="240" t="e">
        <f>#REF!</f>
        <v>#REF!</v>
      </c>
      <c r="P68" s="240" t="e">
        <f>#REF!</f>
        <v>#REF!</v>
      </c>
      <c r="Q68" s="240"/>
      <c r="R68" s="240"/>
      <c r="S68" s="240"/>
      <c r="T68" s="240" t="e">
        <f>#REF!</f>
        <v>#REF!</v>
      </c>
      <c r="U68" s="147"/>
      <c r="V68" s="147">
        <v>0</v>
      </c>
      <c r="W68" s="248">
        <f ca="1">SUMIFS(
    INDIRECT("'" &amp; INDIRECT(ADDRESS(1,COLUMN())) &amp; "'!$E$2:$E$1000"),
    INDIRECT("'" &amp; INDIRECT(ADDRESS(1,COLUMN())) &amp; "'!$B$2:$B$1000"),
    $C68,
    INDIRECT("'" &amp; INDIRECT(ADDRESS(1,COLUMN())) &amp; "'!$C$2:$C$1000"),
    $E68)</f>
        <v>0</v>
      </c>
      <c r="X68" s="248">
        <f ca="1">SUMIFS(
    INDIRECT("'" &amp; INDIRECT(ADDRESS(1,COLUMN())) &amp; "'!$E$2:$E$1000"),
    INDIRECT("'" &amp; INDIRECT(ADDRESS(1,COLUMN())) &amp; "'!$B$2:$B$1000"),
    $C68,
    INDIRECT("'" &amp; INDIRECT(ADDRESS(1,COLUMN())) &amp; "'!$C$2:$C$1000"),
    $E68)</f>
        <v>0</v>
      </c>
      <c r="Y68" s="248">
        <f ca="1">SUMIFS(
    INDIRECT("'" &amp; INDIRECT(ADDRESS(1,COLUMN())) &amp; "'!$E$2:$E$1000"),
    INDIRECT("'" &amp; INDIRECT(ADDRESS(1,COLUMN())) &amp; "'!$B$2:$B$1000"),
    $C68,
    INDIRECT("'" &amp; INDIRECT(ADDRESS(1,COLUMN())) &amp; "'!$C$2:$C$1000"),
    $E68)</f>
        <v>0</v>
      </c>
      <c r="Z68" s="248">
        <f t="shared" ref="Z68:AH68" ca="1" si="25">SUMIFS(
    INDIRECT("'" &amp; INDIRECT(ADDRESS(1,COLUMN())) &amp; "'!$E$2:$E$1000"),
    INDIRECT("'" &amp; INDIRECT(ADDRESS(1,COLUMN())) &amp; "'!$B$2:$B$1000"),
    $C68,
    INDIRECT("'" &amp; INDIRECT(ADDRESS(1,COLUMN())) &amp; "'!$C$2:$C$1000"),
    $E68)</f>
        <v>0</v>
      </c>
      <c r="AA68" s="248">
        <f t="shared" ca="1" si="25"/>
        <v>2450.9</v>
      </c>
      <c r="AB68" s="248">
        <f t="shared" ca="1" si="25"/>
        <v>955.59999999999991</v>
      </c>
      <c r="AC68" s="248">
        <f t="shared" ca="1" si="25"/>
        <v>0</v>
      </c>
      <c r="AD68" s="248">
        <f t="shared" ca="1" si="25"/>
        <v>0</v>
      </c>
      <c r="AE68" s="248">
        <f t="shared" ca="1" si="25"/>
        <v>0</v>
      </c>
      <c r="AF68" s="248">
        <f t="shared" ca="1" si="25"/>
        <v>645.70000000000005</v>
      </c>
      <c r="AG68" s="248">
        <f t="shared" ca="1" si="25"/>
        <v>0</v>
      </c>
      <c r="AH68" s="248">
        <f t="shared" ca="1" si="25"/>
        <v>28.799999999999997</v>
      </c>
      <c r="AI68" s="179"/>
      <c r="AJ68" s="179">
        <v>4172.8999999999996</v>
      </c>
      <c r="AK68" s="250">
        <v>0</v>
      </c>
      <c r="AL68" s="250">
        <v>0</v>
      </c>
      <c r="AM68" s="250"/>
      <c r="AN68" s="250"/>
      <c r="AO68" s="250">
        <f>SUM('Table 1'!E160:M160)</f>
        <v>3349.5</v>
      </c>
      <c r="AP68" s="250">
        <f>'Table 1'!R160+'Table 1'!Q160</f>
        <v>1163.5</v>
      </c>
      <c r="AQ68" s="250"/>
      <c r="AR68" s="250"/>
      <c r="AS68" s="250"/>
      <c r="AT68" s="250">
        <f>'Table 1'!P160</f>
        <v>791.3</v>
      </c>
      <c r="AU68" s="250"/>
      <c r="AV68" s="250"/>
      <c r="AW68" s="179"/>
      <c r="AX68" s="250">
        <f ca="1">AK68-Таблица2[[#This Row],[1.n]]</f>
        <v>0</v>
      </c>
      <c r="AY68" s="250">
        <f ca="1">AL68-Таблица2[[#This Row],[2.n]]</f>
        <v>0</v>
      </c>
      <c r="AZ68" s="250">
        <f ca="1">AM68-Таблица2[[#This Row],[3.n]]</f>
        <v>0</v>
      </c>
      <c r="BA68" s="250">
        <f ca="1">AN68-Таблица2[[#This Row],[4.n]]</f>
        <v>0</v>
      </c>
      <c r="BB68" s="250">
        <f ca="1">AO68-Таблица2[[#This Row],[5.n]]</f>
        <v>898.59999999999991</v>
      </c>
      <c r="BC68" s="250">
        <f ca="1">AP68-Таблица2[[#This Row],[6.n]]</f>
        <v>207.90000000000009</v>
      </c>
      <c r="BD68" s="250">
        <f ca="1">AQ68-Таблица2[[#This Row],[7.n]]</f>
        <v>0</v>
      </c>
      <c r="BE68" s="250">
        <f ca="1">AR68-Таблица2[[#This Row],[8.n]]</f>
        <v>0</v>
      </c>
      <c r="BF68" s="250">
        <f ca="1">AS68-Таблица2[[#This Row],[9.n]]</f>
        <v>0</v>
      </c>
      <c r="BG68" s="250">
        <f ca="1">AT68-Таблица2[[#This Row],[10.n]]</f>
        <v>145.59999999999991</v>
      </c>
      <c r="BH68" s="250"/>
      <c r="BI68" s="250"/>
      <c r="BJ68" s="179"/>
      <c r="BK68" s="179"/>
      <c r="BL68" s="179"/>
      <c r="BM68" s="179"/>
      <c r="BN68" s="179"/>
      <c r="BO68" s="179"/>
      <c r="BP68" s="187">
        <v>944.6</v>
      </c>
      <c r="BQ68" s="187">
        <v>493.4</v>
      </c>
      <c r="BR68" s="187">
        <v>243.7</v>
      </c>
      <c r="BS68" s="187">
        <v>826.4</v>
      </c>
      <c r="BT68" s="187">
        <v>675.4</v>
      </c>
      <c r="BU68" s="187">
        <v>387.8</v>
      </c>
      <c r="BV68" s="187">
        <v>601.6</v>
      </c>
      <c r="BW68" s="179">
        <f>SUM(BP68:BV68)-Таблица2[[#This Row],[Общее кол-во]]</f>
        <v>-25.899999999999636</v>
      </c>
      <c r="BX68" s="179"/>
      <c r="BY68" s="179"/>
      <c r="BZ68" s="180">
        <v>944.59999999999991</v>
      </c>
      <c r="CA68" s="180">
        <v>320</v>
      </c>
      <c r="CB68" s="180">
        <v>440.79999999999995</v>
      </c>
      <c r="CC68" s="180">
        <v>938.30000000000007</v>
      </c>
      <c r="CD68" s="180">
        <v>791.3</v>
      </c>
      <c r="CE68" s="180">
        <v>359</v>
      </c>
      <c r="CF68" s="180">
        <v>804.49999999999989</v>
      </c>
      <c r="CG68" s="179"/>
      <c r="CH68" s="254">
        <f t="shared" ref="CH68" si="26">SUM(BZ68:CF68)</f>
        <v>4598.5</v>
      </c>
      <c r="CI68" s="179"/>
      <c r="CJ68" s="179"/>
      <c r="CK68" s="179"/>
      <c r="CL68" s="179"/>
      <c r="CM68" s="179"/>
      <c r="CN68" s="179"/>
      <c r="CO68" s="179"/>
      <c r="CP68" s="179"/>
      <c r="CQ68" s="179"/>
      <c r="CR68" s="179"/>
      <c r="CS68" s="179"/>
      <c r="CT68" s="179"/>
      <c r="CU68" s="179"/>
      <c r="CV68" s="179"/>
      <c r="CW68" s="179"/>
      <c r="CX68" s="179"/>
      <c r="CY68" s="179"/>
      <c r="CZ68" s="179"/>
      <c r="DA68" s="179"/>
      <c r="DB68" s="179"/>
      <c r="DC68" s="179"/>
      <c r="DD68" s="179"/>
      <c r="DE68" s="179"/>
      <c r="DF68" s="179"/>
      <c r="DG68" s="179"/>
      <c r="DH68" s="179"/>
      <c r="DI68" s="179"/>
      <c r="DJ68" s="179"/>
      <c r="DK68" s="179"/>
      <c r="DL68" s="179"/>
      <c r="DM68" s="179"/>
      <c r="DN68" s="179"/>
      <c r="DO68" s="179"/>
      <c r="DP68" s="179"/>
      <c r="DQ68" s="179"/>
      <c r="DR68" s="179"/>
      <c r="DS68" s="179"/>
      <c r="DT68" s="179"/>
      <c r="DU68" s="179"/>
      <c r="DV68" s="179"/>
      <c r="DW68" s="179"/>
      <c r="DX68" s="179"/>
      <c r="DY68" s="179"/>
      <c r="DZ68" s="179"/>
      <c r="EA68" s="179"/>
      <c r="EB68" s="179"/>
      <c r="EC68" s="179"/>
      <c r="ED68" s="179"/>
      <c r="EE68" s="179"/>
      <c r="EF68" s="179"/>
      <c r="EG68" s="179"/>
      <c r="EH68" s="179"/>
      <c r="EI68" s="179"/>
      <c r="EJ68" s="179"/>
      <c r="EK68" s="179"/>
      <c r="EL68" s="179"/>
      <c r="EM68" s="179"/>
      <c r="EN68" s="179"/>
      <c r="EO68" s="179"/>
      <c r="EP68" s="179"/>
      <c r="EQ68" s="179"/>
      <c r="ER68" s="179"/>
      <c r="ES68" s="179"/>
      <c r="ET68" s="179"/>
      <c r="EU68" s="179"/>
      <c r="EV68" s="179"/>
      <c r="EW68" s="179"/>
      <c r="EX68" s="179"/>
      <c r="EY68" s="179"/>
      <c r="EZ68" s="179"/>
      <c r="FA68" s="179"/>
      <c r="FB68" s="179"/>
      <c r="FC68" s="179"/>
      <c r="FD68" s="179"/>
      <c r="FE68" s="179"/>
      <c r="FF68" s="179"/>
      <c r="FG68" s="179"/>
      <c r="FH68" s="179"/>
      <c r="FI68" s="179"/>
      <c r="FJ68" s="179"/>
      <c r="FK68" s="179"/>
      <c r="FL68" s="179"/>
      <c r="FM68" s="179"/>
      <c r="FN68" s="179"/>
      <c r="FO68" s="179"/>
      <c r="FP68" s="179"/>
      <c r="FQ68" s="179"/>
      <c r="FR68" s="179"/>
      <c r="FS68" s="179"/>
      <c r="FT68" s="179"/>
      <c r="FU68" s="179"/>
      <c r="FV68" s="179"/>
      <c r="FW68" s="179"/>
      <c r="FX68" s="179"/>
      <c r="FY68" s="179"/>
      <c r="FZ68" s="179"/>
      <c r="GA68" s="179"/>
      <c r="GB68" s="179"/>
      <c r="GC68" s="179"/>
      <c r="GD68" s="179"/>
      <c r="GE68" s="179"/>
      <c r="GF68" s="179"/>
      <c r="GG68" s="179"/>
      <c r="GH68" s="179"/>
      <c r="GI68" s="179"/>
      <c r="GJ68" s="179"/>
      <c r="GK68" s="179"/>
      <c r="GL68" s="179"/>
      <c r="GM68" s="179"/>
      <c r="GN68" s="179"/>
      <c r="GO68" s="179"/>
      <c r="GP68" s="179"/>
      <c r="GQ68" s="179"/>
      <c r="GR68" s="179"/>
      <c r="GS68" s="179"/>
      <c r="GT68" s="179"/>
      <c r="GU68" s="179"/>
      <c r="GV68" s="179"/>
      <c r="GW68" s="179"/>
      <c r="GX68" s="179"/>
      <c r="GY68" s="179"/>
      <c r="GZ68" s="179"/>
      <c r="HA68" s="179"/>
      <c r="HB68" s="179"/>
      <c r="HC68" s="179"/>
      <c r="HD68" s="179"/>
      <c r="HE68" s="179"/>
      <c r="HF68" s="179"/>
      <c r="HG68" s="179"/>
      <c r="HH68" s="179"/>
      <c r="HI68" s="179"/>
    </row>
    <row r="69" spans="1:217" hidden="1" x14ac:dyDescent="0.3">
      <c r="A69" s="25" t="s">
        <v>207</v>
      </c>
      <c r="B69" s="16"/>
      <c r="C69" s="59" t="s">
        <v>5</v>
      </c>
      <c r="D69" s="50"/>
      <c r="E69" s="50"/>
      <c r="F69" s="51" t="s">
        <v>3</v>
      </c>
      <c r="G69" s="52">
        <v>0.15</v>
      </c>
      <c r="H69" s="34">
        <v>629.82000000000005</v>
      </c>
      <c r="I69" s="110"/>
      <c r="J69" s="101">
        <f ca="1">SUM(Таблица2[[#This Row],[1.n]:[12.n]])</f>
        <v>0</v>
      </c>
      <c r="K69" s="98" t="e">
        <f>#REF!</f>
        <v>#REF!</v>
      </c>
      <c r="L69" s="98" t="e">
        <f>#REF!</f>
        <v>#REF!</v>
      </c>
      <c r="M69" s="98" t="e">
        <f>#REF!</f>
        <v>#REF!</v>
      </c>
      <c r="N69" s="98" t="e">
        <f>#REF!</f>
        <v>#REF!</v>
      </c>
      <c r="O69" s="98" t="e">
        <f>#REF!</f>
        <v>#REF!</v>
      </c>
      <c r="P69" s="98" t="e">
        <f>#REF!</f>
        <v>#REF!</v>
      </c>
      <c r="Q69" s="98" t="e">
        <f>#REF!</f>
        <v>#REF!</v>
      </c>
      <c r="R69" s="98" t="e">
        <f>#REF!</f>
        <v>#REF!</v>
      </c>
      <c r="S69" s="98" t="e">
        <f>#REF!</f>
        <v>#REF!</v>
      </c>
      <c r="T69" s="98" t="e">
        <f>#REF!</f>
        <v>#REF!</v>
      </c>
      <c r="U69" s="98"/>
      <c r="V69" s="98"/>
      <c r="W69" s="15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69" s="158" t="str">
        <f t="shared" ca="1" si="24"/>
        <v>2.n</v>
      </c>
      <c r="Y69" s="98"/>
      <c r="Z69" s="98"/>
      <c r="AA69" s="98"/>
      <c r="AB69" s="98"/>
      <c r="AC69" s="98"/>
      <c r="AD69" s="98"/>
      <c r="AE69" s="98"/>
      <c r="AF69" s="98"/>
      <c r="AG69" s="98"/>
      <c r="AH69" s="98"/>
    </row>
    <row r="70" spans="1:217" hidden="1" x14ac:dyDescent="0.3">
      <c r="A70" s="26" t="s">
        <v>208</v>
      </c>
      <c r="B70" s="17"/>
      <c r="C70" s="53" t="s">
        <v>6</v>
      </c>
      <c r="D70" s="54"/>
      <c r="E70" s="54"/>
      <c r="F70" s="55" t="s">
        <v>4</v>
      </c>
      <c r="G70" s="56">
        <v>1</v>
      </c>
      <c r="H70" s="34">
        <v>4198.8</v>
      </c>
      <c r="I70" s="61"/>
      <c r="J70" s="101">
        <f ca="1">SUM(Таблица2[[#This Row],[1.n]:[12.n]])</f>
        <v>0</v>
      </c>
      <c r="K70" s="98" t="e">
        <f>#REF!</f>
        <v>#REF!</v>
      </c>
      <c r="L70" s="98" t="e">
        <f>#REF!</f>
        <v>#REF!</v>
      </c>
      <c r="M70" s="98" t="e">
        <f>#REF!</f>
        <v>#REF!</v>
      </c>
      <c r="N70" s="98" t="e">
        <f>#REF!</f>
        <v>#REF!</v>
      </c>
      <c r="O70" s="98" t="e">
        <f>#REF!</f>
        <v>#REF!</v>
      </c>
      <c r="P70" s="98" t="e">
        <f>#REF!</f>
        <v>#REF!</v>
      </c>
      <c r="Q70" s="98" t="e">
        <f>#REF!</f>
        <v>#REF!</v>
      </c>
      <c r="R70" s="98" t="e">
        <f>#REF!</f>
        <v>#REF!</v>
      </c>
      <c r="S70" s="98" t="e">
        <f>#REF!</f>
        <v>#REF!</v>
      </c>
      <c r="T70" s="98" t="e">
        <f>#REF!</f>
        <v>#REF!</v>
      </c>
      <c r="U70" s="98"/>
      <c r="V70" s="98"/>
      <c r="W70" s="166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0" s="166" t="str">
        <f t="shared" ca="1" si="24"/>
        <v>2.n</v>
      </c>
      <c r="Y70" s="98"/>
      <c r="Z70" s="98"/>
      <c r="AA70" s="98"/>
      <c r="AB70" s="98"/>
      <c r="AC70" s="98"/>
      <c r="AD70" s="98"/>
      <c r="AE70" s="98"/>
      <c r="AF70" s="98"/>
      <c r="AG70" s="98"/>
      <c r="AH70" s="98"/>
    </row>
    <row r="71" spans="1:217" ht="31.2" hidden="1" x14ac:dyDescent="0.3">
      <c r="A71" s="25" t="s">
        <v>209</v>
      </c>
      <c r="B71" s="16"/>
      <c r="C71" s="49" t="s">
        <v>116</v>
      </c>
      <c r="D71" s="50"/>
      <c r="E71" s="50"/>
      <c r="F71" s="51" t="s">
        <v>3</v>
      </c>
      <c r="G71" s="52">
        <v>1</v>
      </c>
      <c r="H71" s="34">
        <v>146958</v>
      </c>
      <c r="I71" s="61"/>
      <c r="J71" s="101">
        <f ca="1">SUM(Таблица2[[#This Row],[1.n]:[12.n]])</f>
        <v>0</v>
      </c>
      <c r="K71" s="98" t="e">
        <f>#REF!</f>
        <v>#REF!</v>
      </c>
      <c r="L71" s="98" t="e">
        <f>#REF!</f>
        <v>#REF!</v>
      </c>
      <c r="M71" s="98" t="e">
        <f>#REF!</f>
        <v>#REF!</v>
      </c>
      <c r="N71" s="98" t="e">
        <f>#REF!</f>
        <v>#REF!</v>
      </c>
      <c r="O71" s="98" t="e">
        <f>#REF!</f>
        <v>#REF!</v>
      </c>
      <c r="P71" s="98" t="e">
        <f>#REF!</f>
        <v>#REF!</v>
      </c>
      <c r="Q71" s="98" t="e">
        <f>#REF!</f>
        <v>#REF!</v>
      </c>
      <c r="R71" s="98" t="e">
        <f>#REF!</f>
        <v>#REF!</v>
      </c>
      <c r="S71" s="98" t="e">
        <f>#REF!</f>
        <v>#REF!</v>
      </c>
      <c r="T71" s="98" t="e">
        <f>#REF!</f>
        <v>#REF!</v>
      </c>
      <c r="U71" s="98"/>
      <c r="V71" s="98"/>
      <c r="W71" s="123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1" s="123" t="str">
        <f t="shared" ca="1" si="24"/>
        <v>2.n</v>
      </c>
      <c r="Y71" s="98"/>
      <c r="Z71" s="98"/>
      <c r="AA71" s="98"/>
      <c r="AB71" s="98"/>
      <c r="AC71" s="98"/>
      <c r="AD71" s="98"/>
      <c r="AE71" s="98"/>
      <c r="AF71" s="98"/>
      <c r="AG71" s="98"/>
      <c r="AH71" s="98"/>
    </row>
    <row r="72" spans="1:217" x14ac:dyDescent="0.3">
      <c r="A72" s="30" t="s">
        <v>210</v>
      </c>
      <c r="B72" s="21" t="s">
        <v>211</v>
      </c>
      <c r="C72" s="40" t="s">
        <v>212</v>
      </c>
      <c r="D72" s="41"/>
      <c r="E72" s="41"/>
      <c r="F72" s="41"/>
      <c r="G72" s="41"/>
      <c r="H72" s="32"/>
      <c r="I72" s="121">
        <f>H72-J72</f>
        <v>0</v>
      </c>
      <c r="J72" s="243">
        <f>SUM(Таблица2[[#This Row],[1.n]:[12.n]])</f>
        <v>0</v>
      </c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139"/>
      <c r="X72" s="97"/>
      <c r="Y72" s="97"/>
      <c r="Z72" s="97"/>
      <c r="AA72" s="97"/>
      <c r="AB72" s="97"/>
      <c r="AC72" s="97"/>
      <c r="AD72" s="97"/>
      <c r="AE72" s="97"/>
      <c r="AF72" s="97"/>
      <c r="AG72" s="97"/>
      <c r="AH72" s="97"/>
    </row>
    <row r="73" spans="1:217" ht="31.2" hidden="1" x14ac:dyDescent="0.3">
      <c r="A73" s="25" t="s">
        <v>213</v>
      </c>
      <c r="B73" s="16" t="s">
        <v>214</v>
      </c>
      <c r="C73" s="57" t="s">
        <v>215</v>
      </c>
      <c r="D73" s="50"/>
      <c r="E73" s="50" t="s">
        <v>114</v>
      </c>
      <c r="F73" s="50" t="s">
        <v>96</v>
      </c>
      <c r="G73" s="58">
        <v>1</v>
      </c>
      <c r="H73" s="35">
        <v>0</v>
      </c>
      <c r="I73" s="110"/>
      <c r="J73" s="101">
        <f ca="1">SUM(Таблица2[[#This Row],[1.n]:[12.n]])</f>
        <v>0</v>
      </c>
      <c r="K73" s="98" t="e">
        <f>#REF!</f>
        <v>#REF!</v>
      </c>
      <c r="L73" s="98" t="e">
        <f>#REF!</f>
        <v>#REF!</v>
      </c>
      <c r="M73" s="98" t="e">
        <f>#REF!</f>
        <v>#REF!</v>
      </c>
      <c r="N73" s="98" t="e">
        <f>#REF!</f>
        <v>#REF!</v>
      </c>
      <c r="O73" s="98" t="e">
        <f>#REF!</f>
        <v>#REF!</v>
      </c>
      <c r="P73" s="98" t="e">
        <f>#REF!</f>
        <v>#REF!</v>
      </c>
      <c r="Q73" s="98" t="e">
        <f>#REF!</f>
        <v>#REF!</v>
      </c>
      <c r="R73" s="98" t="e">
        <f>#REF!</f>
        <v>#REF!</v>
      </c>
      <c r="S73" s="98" t="e">
        <f>#REF!</f>
        <v>#REF!</v>
      </c>
      <c r="T73" s="98" t="e">
        <f>#REF!</f>
        <v>#REF!</v>
      </c>
      <c r="U73" s="98"/>
      <c r="V73" s="98"/>
      <c r="W73" s="155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3" s="155" t="str">
        <f t="shared" ca="1" si="24"/>
        <v>2.n</v>
      </c>
      <c r="Y73" s="98"/>
      <c r="Z73" s="98"/>
      <c r="AA73" s="98"/>
      <c r="AB73" s="98"/>
      <c r="AC73" s="98"/>
      <c r="AD73" s="98"/>
      <c r="AE73" s="98"/>
      <c r="AF73" s="98"/>
      <c r="AG73" s="98"/>
      <c r="AH73" s="98"/>
    </row>
    <row r="74" spans="1:217" ht="31.2" hidden="1" x14ac:dyDescent="0.3">
      <c r="A74" s="26" t="s">
        <v>216</v>
      </c>
      <c r="B74" s="17"/>
      <c r="C74" s="53" t="s">
        <v>217</v>
      </c>
      <c r="D74" s="54"/>
      <c r="E74" s="54"/>
      <c r="F74" s="55" t="s">
        <v>4</v>
      </c>
      <c r="G74" s="56">
        <v>0.23</v>
      </c>
      <c r="H74" s="34">
        <v>0</v>
      </c>
      <c r="I74" s="76"/>
      <c r="J74" s="119">
        <f ca="1">SUM(Таблица2[[#This Row],[1.n]:[12.n]])</f>
        <v>0</v>
      </c>
      <c r="K74" s="98" t="e">
        <f>#REF!</f>
        <v>#REF!</v>
      </c>
      <c r="L74" s="98" t="e">
        <f>#REF!</f>
        <v>#REF!</v>
      </c>
      <c r="M74" s="98" t="e">
        <f>#REF!</f>
        <v>#REF!</v>
      </c>
      <c r="N74" s="98" t="e">
        <f>#REF!</f>
        <v>#REF!</v>
      </c>
      <c r="O74" s="98" t="e">
        <f>#REF!</f>
        <v>#REF!</v>
      </c>
      <c r="P74" s="98" t="e">
        <f>#REF!</f>
        <v>#REF!</v>
      </c>
      <c r="Q74" s="98" t="e">
        <f>#REF!</f>
        <v>#REF!</v>
      </c>
      <c r="R74" s="98" t="e">
        <f>#REF!</f>
        <v>#REF!</v>
      </c>
      <c r="S74" s="98" t="e">
        <f>#REF!</f>
        <v>#REF!</v>
      </c>
      <c r="T74" s="98" t="e">
        <f>#REF!</f>
        <v>#REF!</v>
      </c>
      <c r="U74" s="98"/>
      <c r="V74" s="98"/>
      <c r="W74" s="131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4" s="131" t="str">
        <f t="shared" ca="1" si="24"/>
        <v>2.n</v>
      </c>
      <c r="Y74" s="98"/>
      <c r="Z74" s="98"/>
      <c r="AA74" s="98"/>
      <c r="AB74" s="98"/>
      <c r="AC74" s="98"/>
      <c r="AD74" s="98"/>
      <c r="AE74" s="98"/>
      <c r="AF74" s="98"/>
      <c r="AG74" s="98"/>
      <c r="AH74" s="98"/>
    </row>
    <row r="75" spans="1:217" ht="31.2" hidden="1" x14ac:dyDescent="0.3">
      <c r="A75" s="25" t="s">
        <v>218</v>
      </c>
      <c r="B75" s="16"/>
      <c r="C75" s="49" t="s">
        <v>219</v>
      </c>
      <c r="D75" s="50"/>
      <c r="E75" s="50" t="s">
        <v>220</v>
      </c>
      <c r="F75" s="51" t="s">
        <v>3</v>
      </c>
      <c r="G75" s="52">
        <v>1.2</v>
      </c>
      <c r="H75" s="34">
        <v>0</v>
      </c>
      <c r="I75" s="62"/>
      <c r="J75" s="100">
        <f ca="1">SUM(Таблица2[[#This Row],[1.n]:[12.n]])</f>
        <v>0</v>
      </c>
      <c r="K75" s="98" t="e">
        <f>#REF!</f>
        <v>#REF!</v>
      </c>
      <c r="L75" s="98" t="e">
        <f>#REF!</f>
        <v>#REF!</v>
      </c>
      <c r="M75" s="98" t="e">
        <f>#REF!</f>
        <v>#REF!</v>
      </c>
      <c r="N75" s="98" t="e">
        <f>#REF!</f>
        <v>#REF!</v>
      </c>
      <c r="O75" s="98" t="e">
        <f>#REF!</f>
        <v>#REF!</v>
      </c>
      <c r="P75" s="98" t="e">
        <f>#REF!</f>
        <v>#REF!</v>
      </c>
      <c r="Q75" s="98" t="e">
        <f>#REF!</f>
        <v>#REF!</v>
      </c>
      <c r="R75" s="98" t="e">
        <f>#REF!</f>
        <v>#REF!</v>
      </c>
      <c r="S75" s="98" t="e">
        <f>#REF!</f>
        <v>#REF!</v>
      </c>
      <c r="T75" s="98" t="e">
        <f>#REF!</f>
        <v>#REF!</v>
      </c>
      <c r="U75" s="98"/>
      <c r="V75" s="98"/>
      <c r="W75" s="147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5" s="147" t="str">
        <f t="shared" ca="1" si="24"/>
        <v>2.n</v>
      </c>
      <c r="Y75" s="98"/>
      <c r="Z75" s="98"/>
      <c r="AA75" s="98"/>
      <c r="AB75" s="98"/>
      <c r="AC75" s="98"/>
      <c r="AD75" s="98"/>
      <c r="AE75" s="98"/>
      <c r="AF75" s="98"/>
      <c r="AG75" s="98"/>
      <c r="AH75" s="98"/>
    </row>
    <row r="76" spans="1:217" ht="46.8" hidden="1" x14ac:dyDescent="0.3">
      <c r="A76" s="26" t="s">
        <v>221</v>
      </c>
      <c r="B76" s="17"/>
      <c r="C76" s="49" t="s">
        <v>222</v>
      </c>
      <c r="D76" s="54"/>
      <c r="E76" s="54" t="s">
        <v>223</v>
      </c>
      <c r="F76" s="55" t="s">
        <v>96</v>
      </c>
      <c r="G76" s="56">
        <v>1.07</v>
      </c>
      <c r="H76" s="34">
        <v>0</v>
      </c>
      <c r="I76" s="61"/>
      <c r="J76" s="101">
        <f ca="1">SUM(Таблица2[[#This Row],[1.n]:[12.n]])</f>
        <v>0</v>
      </c>
      <c r="K76" s="98" t="e">
        <f>#REF!</f>
        <v>#REF!</v>
      </c>
      <c r="L76" s="98" t="e">
        <f>#REF!</f>
        <v>#REF!</v>
      </c>
      <c r="M76" s="98" t="e">
        <f>#REF!</f>
        <v>#REF!</v>
      </c>
      <c r="N76" s="98" t="e">
        <f>#REF!</f>
        <v>#REF!</v>
      </c>
      <c r="O76" s="98" t="e">
        <f>#REF!</f>
        <v>#REF!</v>
      </c>
      <c r="P76" s="98" t="e">
        <f>#REF!</f>
        <v>#REF!</v>
      </c>
      <c r="Q76" s="98" t="e">
        <f>#REF!</f>
        <v>#REF!</v>
      </c>
      <c r="R76" s="98" t="e">
        <f>#REF!</f>
        <v>#REF!</v>
      </c>
      <c r="S76" s="98" t="e">
        <f>#REF!</f>
        <v>#REF!</v>
      </c>
      <c r="T76" s="98" t="e">
        <f>#REF!</f>
        <v>#REF!</v>
      </c>
      <c r="U76" s="98"/>
      <c r="V76" s="98"/>
      <c r="W7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6" s="98" t="str">
        <f t="shared" ca="1" si="24"/>
        <v>2.n</v>
      </c>
      <c r="Y76" s="98"/>
      <c r="Z76" s="98"/>
      <c r="AA76" s="98"/>
      <c r="AB76" s="98"/>
      <c r="AC76" s="98"/>
      <c r="AD76" s="98"/>
      <c r="AE76" s="98"/>
      <c r="AF76" s="98"/>
      <c r="AG76" s="98"/>
      <c r="AH76" s="98"/>
    </row>
    <row r="77" spans="1:217" hidden="1" x14ac:dyDescent="0.3">
      <c r="A77" s="25" t="s">
        <v>224</v>
      </c>
      <c r="B77" s="16"/>
      <c r="C77" s="59" t="s">
        <v>225</v>
      </c>
      <c r="D77" s="50"/>
      <c r="E77" s="50"/>
      <c r="F77" s="51" t="s">
        <v>3</v>
      </c>
      <c r="G77" s="52">
        <v>0.25</v>
      </c>
      <c r="H77" s="34">
        <v>0</v>
      </c>
      <c r="I77" s="61"/>
      <c r="J77" s="101">
        <f ca="1">SUM(Таблица2[[#This Row],[1.n]:[12.n]])</f>
        <v>0</v>
      </c>
      <c r="K77" s="98" t="e">
        <f>#REF!</f>
        <v>#REF!</v>
      </c>
      <c r="L77" s="98" t="e">
        <f>#REF!</f>
        <v>#REF!</v>
      </c>
      <c r="M77" s="98" t="e">
        <f>#REF!</f>
        <v>#REF!</v>
      </c>
      <c r="N77" s="98" t="e">
        <f>#REF!</f>
        <v>#REF!</v>
      </c>
      <c r="O77" s="98" t="e">
        <f>#REF!</f>
        <v>#REF!</v>
      </c>
      <c r="P77" s="98" t="e">
        <f>#REF!</f>
        <v>#REF!</v>
      </c>
      <c r="Q77" s="98" t="e">
        <f>#REF!</f>
        <v>#REF!</v>
      </c>
      <c r="R77" s="98" t="e">
        <f>#REF!</f>
        <v>#REF!</v>
      </c>
      <c r="S77" s="98" t="e">
        <f>#REF!</f>
        <v>#REF!</v>
      </c>
      <c r="T77" s="98" t="e">
        <f>#REF!</f>
        <v>#REF!</v>
      </c>
      <c r="U77" s="98"/>
      <c r="V77" s="98"/>
      <c r="W7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7" s="98" t="str">
        <f t="shared" ca="1" si="24"/>
        <v>2.n</v>
      </c>
      <c r="Y77" s="98"/>
      <c r="Z77" s="98"/>
      <c r="AA77" s="98"/>
      <c r="AB77" s="98"/>
      <c r="AC77" s="98"/>
      <c r="AD77" s="98"/>
      <c r="AE77" s="98"/>
      <c r="AF77" s="98"/>
      <c r="AG77" s="98"/>
      <c r="AH77" s="98"/>
    </row>
    <row r="78" spans="1:217" hidden="1" x14ac:dyDescent="0.3">
      <c r="A78" s="26" t="s">
        <v>226</v>
      </c>
      <c r="B78" s="17"/>
      <c r="C78" s="53" t="s">
        <v>227</v>
      </c>
      <c r="D78" s="54"/>
      <c r="E78" s="54"/>
      <c r="F78" s="55" t="s">
        <v>3</v>
      </c>
      <c r="G78" s="56">
        <v>0.15</v>
      </c>
      <c r="H78" s="34">
        <v>0</v>
      </c>
      <c r="I78" s="67"/>
      <c r="J78" s="102">
        <f ca="1">SUM(Таблица2[[#This Row],[1.n]:[12.n]])</f>
        <v>0</v>
      </c>
      <c r="K78" s="98" t="e">
        <f>#REF!</f>
        <v>#REF!</v>
      </c>
      <c r="L78" s="98" t="e">
        <f>#REF!</f>
        <v>#REF!</v>
      </c>
      <c r="M78" s="98" t="e">
        <f>#REF!</f>
        <v>#REF!</v>
      </c>
      <c r="N78" s="98" t="e">
        <f>#REF!</f>
        <v>#REF!</v>
      </c>
      <c r="O78" s="98" t="e">
        <f>#REF!</f>
        <v>#REF!</v>
      </c>
      <c r="P78" s="98" t="e">
        <f>#REF!</f>
        <v>#REF!</v>
      </c>
      <c r="Q78" s="98" t="e">
        <f>#REF!</f>
        <v>#REF!</v>
      </c>
      <c r="R78" s="98" t="e">
        <f>#REF!</f>
        <v>#REF!</v>
      </c>
      <c r="S78" s="98" t="e">
        <f>#REF!</f>
        <v>#REF!</v>
      </c>
      <c r="T78" s="98" t="e">
        <f>#REF!</f>
        <v>#REF!</v>
      </c>
      <c r="U78" s="98"/>
      <c r="V78" s="98"/>
      <c r="W7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8" s="98" t="str">
        <f t="shared" ca="1" si="24"/>
        <v>2.n</v>
      </c>
      <c r="Y78" s="98"/>
      <c r="Z78" s="98"/>
      <c r="AA78" s="98"/>
      <c r="AB78" s="98"/>
      <c r="AC78" s="98"/>
      <c r="AD78" s="98"/>
      <c r="AE78" s="98"/>
      <c r="AF78" s="98"/>
      <c r="AG78" s="98"/>
      <c r="AH78" s="98"/>
    </row>
    <row r="79" spans="1:217" ht="31.2" hidden="1" x14ac:dyDescent="0.3">
      <c r="A79" s="25" t="s">
        <v>228</v>
      </c>
      <c r="B79" s="16" t="s">
        <v>214</v>
      </c>
      <c r="C79" s="57" t="s">
        <v>215</v>
      </c>
      <c r="D79" s="50"/>
      <c r="E79" s="50" t="s">
        <v>114</v>
      </c>
      <c r="F79" s="50" t="s">
        <v>96</v>
      </c>
      <c r="G79" s="58">
        <v>1</v>
      </c>
      <c r="H79" s="35">
        <v>0</v>
      </c>
      <c r="I79" s="61"/>
      <c r="J79" s="101">
        <f ca="1">SUM(Таблица2[[#This Row],[1.n]:[12.n]])</f>
        <v>0</v>
      </c>
      <c r="K79" s="98" t="e">
        <f>#REF!</f>
        <v>#REF!</v>
      </c>
      <c r="L79" s="98" t="e">
        <f>#REF!</f>
        <v>#REF!</v>
      </c>
      <c r="M79" s="98" t="e">
        <f>#REF!</f>
        <v>#REF!</v>
      </c>
      <c r="N79" s="98" t="e">
        <f>#REF!</f>
        <v>#REF!</v>
      </c>
      <c r="O79" s="98" t="e">
        <f>#REF!</f>
        <v>#REF!</v>
      </c>
      <c r="P79" s="98" t="e">
        <f>#REF!</f>
        <v>#REF!</v>
      </c>
      <c r="Q79" s="98" t="e">
        <f>#REF!</f>
        <v>#REF!</v>
      </c>
      <c r="R79" s="98" t="e">
        <f>#REF!</f>
        <v>#REF!</v>
      </c>
      <c r="S79" s="98" t="e">
        <f>#REF!</f>
        <v>#REF!</v>
      </c>
      <c r="T79" s="98" t="e">
        <f>#REF!</f>
        <v>#REF!</v>
      </c>
      <c r="U79" s="98"/>
      <c r="V79" s="98"/>
      <c r="W7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79" s="98" t="str">
        <f t="shared" ca="1" si="24"/>
        <v>2.n</v>
      </c>
      <c r="Y79" s="98"/>
      <c r="Z79" s="98"/>
      <c r="AA79" s="98"/>
      <c r="AB79" s="98"/>
      <c r="AC79" s="98"/>
      <c r="AD79" s="98"/>
      <c r="AE79" s="98"/>
      <c r="AF79" s="98"/>
      <c r="AG79" s="98"/>
      <c r="AH79" s="98"/>
    </row>
    <row r="80" spans="1:217" hidden="1" x14ac:dyDescent="0.3">
      <c r="A80" s="26" t="s">
        <v>229</v>
      </c>
      <c r="B80" s="17"/>
      <c r="C80" s="53" t="s">
        <v>227</v>
      </c>
      <c r="D80" s="54"/>
      <c r="E80" s="54"/>
      <c r="F80" s="55" t="s">
        <v>3</v>
      </c>
      <c r="G80" s="56">
        <v>0.15</v>
      </c>
      <c r="H80" s="34">
        <v>0</v>
      </c>
      <c r="I80" s="61"/>
      <c r="J80" s="101">
        <f ca="1">SUM(Таблица2[[#This Row],[1.n]:[12.n]])</f>
        <v>0</v>
      </c>
      <c r="K80" s="98" t="e">
        <f>#REF!</f>
        <v>#REF!</v>
      </c>
      <c r="L80" s="98" t="e">
        <f>#REF!</f>
        <v>#REF!</v>
      </c>
      <c r="M80" s="98" t="e">
        <f>#REF!</f>
        <v>#REF!</v>
      </c>
      <c r="N80" s="98" t="e">
        <f>#REF!</f>
        <v>#REF!</v>
      </c>
      <c r="O80" s="98" t="e">
        <f>#REF!</f>
        <v>#REF!</v>
      </c>
      <c r="P80" s="98" t="e">
        <f>#REF!</f>
        <v>#REF!</v>
      </c>
      <c r="Q80" s="98" t="e">
        <f>#REF!</f>
        <v>#REF!</v>
      </c>
      <c r="R80" s="98" t="e">
        <f>#REF!</f>
        <v>#REF!</v>
      </c>
      <c r="S80" s="98" t="e">
        <f>#REF!</f>
        <v>#REF!</v>
      </c>
      <c r="T80" s="98" t="e">
        <f>#REF!</f>
        <v>#REF!</v>
      </c>
      <c r="U80" s="98"/>
      <c r="V80" s="98"/>
      <c r="W8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0" s="98" t="str">
        <f t="shared" ca="1" si="24"/>
        <v>2.n</v>
      </c>
      <c r="Y80" s="98"/>
      <c r="Z80" s="98"/>
      <c r="AA80" s="98"/>
      <c r="AB80" s="98"/>
      <c r="AC80" s="98"/>
      <c r="AD80" s="98"/>
      <c r="AE80" s="98"/>
      <c r="AF80" s="98"/>
      <c r="AG80" s="98"/>
      <c r="AH80" s="98"/>
    </row>
    <row r="81" spans="1:34" hidden="1" x14ac:dyDescent="0.3">
      <c r="A81" s="25" t="s">
        <v>230</v>
      </c>
      <c r="B81" s="16"/>
      <c r="C81" s="59" t="s">
        <v>231</v>
      </c>
      <c r="D81" s="50"/>
      <c r="E81" s="50" t="s">
        <v>232</v>
      </c>
      <c r="F81" s="51" t="s">
        <v>3</v>
      </c>
      <c r="G81" s="52">
        <v>0.25</v>
      </c>
      <c r="H81" s="34">
        <v>0</v>
      </c>
      <c r="I81" s="62"/>
      <c r="J81" s="100">
        <f ca="1">SUM(Таблица2[[#This Row],[1.n]:[12.n]])</f>
        <v>0</v>
      </c>
      <c r="K81" s="98" t="e">
        <f>#REF!</f>
        <v>#REF!</v>
      </c>
      <c r="L81" s="98" t="e">
        <f>#REF!</f>
        <v>#REF!</v>
      </c>
      <c r="M81" s="98" t="e">
        <f>#REF!</f>
        <v>#REF!</v>
      </c>
      <c r="N81" s="98" t="e">
        <f>#REF!</f>
        <v>#REF!</v>
      </c>
      <c r="O81" s="98" t="e">
        <f>#REF!</f>
        <v>#REF!</v>
      </c>
      <c r="P81" s="98" t="e">
        <f>#REF!</f>
        <v>#REF!</v>
      </c>
      <c r="Q81" s="98" t="e">
        <f>#REF!</f>
        <v>#REF!</v>
      </c>
      <c r="R81" s="98" t="e">
        <f>#REF!</f>
        <v>#REF!</v>
      </c>
      <c r="S81" s="98" t="e">
        <f>#REF!</f>
        <v>#REF!</v>
      </c>
      <c r="T81" s="98" t="e">
        <f>#REF!</f>
        <v>#REF!</v>
      </c>
      <c r="U81" s="98"/>
      <c r="V81" s="98"/>
      <c r="W8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1" s="98" t="str">
        <f t="shared" ca="1" si="24"/>
        <v>2.n</v>
      </c>
      <c r="Y81" s="98"/>
      <c r="Z81" s="98"/>
      <c r="AA81" s="98"/>
      <c r="AB81" s="98"/>
      <c r="AC81" s="98"/>
      <c r="AD81" s="98"/>
      <c r="AE81" s="98"/>
      <c r="AF81" s="98"/>
      <c r="AG81" s="98"/>
      <c r="AH81" s="98"/>
    </row>
    <row r="82" spans="1:34" ht="46.8" hidden="1" x14ac:dyDescent="0.3">
      <c r="A82" s="26" t="s">
        <v>233</v>
      </c>
      <c r="B82" s="17"/>
      <c r="C82" s="53" t="s">
        <v>234</v>
      </c>
      <c r="D82" s="54"/>
      <c r="E82" s="54" t="s">
        <v>235</v>
      </c>
      <c r="F82" s="55" t="s">
        <v>96</v>
      </c>
      <c r="G82" s="56">
        <v>1.07</v>
      </c>
      <c r="H82" s="34">
        <v>0</v>
      </c>
      <c r="I82" s="61"/>
      <c r="J82" s="101">
        <f ca="1">SUM(Таблица2[[#This Row],[1.n]:[12.n]])</f>
        <v>0</v>
      </c>
      <c r="K82" s="98" t="e">
        <f>#REF!</f>
        <v>#REF!</v>
      </c>
      <c r="L82" s="98" t="e">
        <f>#REF!</f>
        <v>#REF!</v>
      </c>
      <c r="M82" s="98" t="e">
        <f>#REF!</f>
        <v>#REF!</v>
      </c>
      <c r="N82" s="98" t="e">
        <f>#REF!</f>
        <v>#REF!</v>
      </c>
      <c r="O82" s="98" t="e">
        <f>#REF!</f>
        <v>#REF!</v>
      </c>
      <c r="P82" s="98" t="e">
        <f>#REF!</f>
        <v>#REF!</v>
      </c>
      <c r="Q82" s="98" t="e">
        <f>#REF!</f>
        <v>#REF!</v>
      </c>
      <c r="R82" s="98" t="e">
        <f>#REF!</f>
        <v>#REF!</v>
      </c>
      <c r="S82" s="98" t="e">
        <f>#REF!</f>
        <v>#REF!</v>
      </c>
      <c r="T82" s="98" t="e">
        <f>#REF!</f>
        <v>#REF!</v>
      </c>
      <c r="U82" s="98"/>
      <c r="V82" s="98"/>
      <c r="W8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2" s="98" t="str">
        <f t="shared" ca="1" si="24"/>
        <v>2.n</v>
      </c>
      <c r="Y82" s="98"/>
      <c r="Z82" s="98"/>
      <c r="AA82" s="98"/>
      <c r="AB82" s="98"/>
      <c r="AC82" s="98"/>
      <c r="AD82" s="98"/>
      <c r="AE82" s="98"/>
      <c r="AF82" s="98"/>
      <c r="AG82" s="98"/>
      <c r="AH82" s="98"/>
    </row>
    <row r="83" spans="1:34" ht="31.2" hidden="1" x14ac:dyDescent="0.3">
      <c r="A83" s="25" t="s">
        <v>236</v>
      </c>
      <c r="B83" s="16"/>
      <c r="C83" s="49" t="s">
        <v>219</v>
      </c>
      <c r="D83" s="50"/>
      <c r="E83" s="50" t="s">
        <v>220</v>
      </c>
      <c r="F83" s="51" t="s">
        <v>3</v>
      </c>
      <c r="G83" s="52">
        <v>1.2</v>
      </c>
      <c r="H83" s="34">
        <v>0</v>
      </c>
      <c r="I83" s="67"/>
      <c r="J83" s="102">
        <f ca="1">SUM(Таблица2[[#This Row],[1.n]:[12.n]])</f>
        <v>0</v>
      </c>
      <c r="K83" s="98" t="e">
        <f>#REF!</f>
        <v>#REF!</v>
      </c>
      <c r="L83" s="98" t="e">
        <f>#REF!</f>
        <v>#REF!</v>
      </c>
      <c r="M83" s="98" t="e">
        <f>#REF!</f>
        <v>#REF!</v>
      </c>
      <c r="N83" s="98" t="e">
        <f>#REF!</f>
        <v>#REF!</v>
      </c>
      <c r="O83" s="98" t="e">
        <f>#REF!</f>
        <v>#REF!</v>
      </c>
      <c r="P83" s="98" t="e">
        <f>#REF!</f>
        <v>#REF!</v>
      </c>
      <c r="Q83" s="98" t="e">
        <f>#REF!</f>
        <v>#REF!</v>
      </c>
      <c r="R83" s="98" t="e">
        <f>#REF!</f>
        <v>#REF!</v>
      </c>
      <c r="S83" s="98" t="e">
        <f>#REF!</f>
        <v>#REF!</v>
      </c>
      <c r="T83" s="98" t="e">
        <f>#REF!</f>
        <v>#REF!</v>
      </c>
      <c r="U83" s="98"/>
      <c r="V83" s="98"/>
      <c r="W8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3" s="98" t="str">
        <f t="shared" ca="1" si="24"/>
        <v>2.n</v>
      </c>
      <c r="Y83" s="98"/>
      <c r="Z83" s="98"/>
      <c r="AA83" s="98"/>
      <c r="AB83" s="98"/>
      <c r="AC83" s="98"/>
      <c r="AD83" s="98"/>
      <c r="AE83" s="98"/>
      <c r="AF83" s="98"/>
      <c r="AG83" s="98"/>
      <c r="AH83" s="98"/>
    </row>
    <row r="84" spans="1:34" ht="31.2" hidden="1" x14ac:dyDescent="0.3">
      <c r="A84" s="26" t="s">
        <v>237</v>
      </c>
      <c r="B84" s="17"/>
      <c r="C84" s="53" t="s">
        <v>217</v>
      </c>
      <c r="D84" s="54"/>
      <c r="E84" s="54"/>
      <c r="F84" s="55" t="s">
        <v>4</v>
      </c>
      <c r="G84" s="56">
        <v>0.23</v>
      </c>
      <c r="H84" s="34">
        <v>0</v>
      </c>
      <c r="I84" s="61"/>
      <c r="J84" s="101">
        <f ca="1">SUM(Таблица2[[#This Row],[1.n]:[12.n]])</f>
        <v>0</v>
      </c>
      <c r="K84" s="98" t="e">
        <f>#REF!</f>
        <v>#REF!</v>
      </c>
      <c r="L84" s="98" t="e">
        <f>#REF!</f>
        <v>#REF!</v>
      </c>
      <c r="M84" s="98" t="e">
        <f>#REF!</f>
        <v>#REF!</v>
      </c>
      <c r="N84" s="98" t="e">
        <f>#REF!</f>
        <v>#REF!</v>
      </c>
      <c r="O84" s="98" t="e">
        <f>#REF!</f>
        <v>#REF!</v>
      </c>
      <c r="P84" s="98" t="e">
        <f>#REF!</f>
        <v>#REF!</v>
      </c>
      <c r="Q84" s="98" t="e">
        <f>#REF!</f>
        <v>#REF!</v>
      </c>
      <c r="R84" s="98" t="e">
        <f>#REF!</f>
        <v>#REF!</v>
      </c>
      <c r="S84" s="98" t="e">
        <f>#REF!</f>
        <v>#REF!</v>
      </c>
      <c r="T84" s="98" t="e">
        <f>#REF!</f>
        <v>#REF!</v>
      </c>
      <c r="U84" s="98"/>
      <c r="V84" s="98"/>
      <c r="W8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4" s="98" t="str">
        <f t="shared" ca="1" si="24"/>
        <v>2.n</v>
      </c>
      <c r="Y84" s="98"/>
      <c r="Z84" s="98"/>
      <c r="AA84" s="98"/>
      <c r="AB84" s="98"/>
      <c r="AC84" s="98"/>
      <c r="AD84" s="98"/>
      <c r="AE84" s="98"/>
      <c r="AF84" s="98"/>
      <c r="AG84" s="98"/>
      <c r="AH84" s="98"/>
    </row>
    <row r="85" spans="1:34" ht="31.2" hidden="1" x14ac:dyDescent="0.3">
      <c r="A85" s="25" t="s">
        <v>238</v>
      </c>
      <c r="B85" s="16" t="s">
        <v>239</v>
      </c>
      <c r="C85" s="57" t="s">
        <v>240</v>
      </c>
      <c r="D85" s="50"/>
      <c r="E85" s="50" t="s">
        <v>114</v>
      </c>
      <c r="F85" s="50" t="s">
        <v>96</v>
      </c>
      <c r="G85" s="58">
        <v>1</v>
      </c>
      <c r="H85" s="35">
        <v>0</v>
      </c>
      <c r="I85" s="67"/>
      <c r="J85" s="102">
        <f ca="1">SUM(Таблица2[[#This Row],[1.n]:[12.n]])</f>
        <v>0</v>
      </c>
      <c r="K85" s="98" t="e">
        <f>#REF!</f>
        <v>#REF!</v>
      </c>
      <c r="L85" s="98" t="e">
        <f>#REF!</f>
        <v>#REF!</v>
      </c>
      <c r="M85" s="98" t="e">
        <f>#REF!</f>
        <v>#REF!</v>
      </c>
      <c r="N85" s="98" t="e">
        <f>#REF!</f>
        <v>#REF!</v>
      </c>
      <c r="O85" s="98" t="e">
        <f>#REF!</f>
        <v>#REF!</v>
      </c>
      <c r="P85" s="98" t="e">
        <f>#REF!</f>
        <v>#REF!</v>
      </c>
      <c r="Q85" s="98" t="e">
        <f>#REF!</f>
        <v>#REF!</v>
      </c>
      <c r="R85" s="98" t="e">
        <f>#REF!</f>
        <v>#REF!</v>
      </c>
      <c r="S85" s="98" t="e">
        <f>#REF!</f>
        <v>#REF!</v>
      </c>
      <c r="T85" s="98" t="e">
        <f>#REF!</f>
        <v>#REF!</v>
      </c>
      <c r="U85" s="98"/>
      <c r="V85" s="98"/>
      <c r="W8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5" s="98" t="str">
        <f t="shared" ca="1" si="24"/>
        <v>2.n</v>
      </c>
      <c r="Y85" s="98"/>
      <c r="Z85" s="98"/>
      <c r="AA85" s="98"/>
      <c r="AB85" s="98"/>
      <c r="AC85" s="98"/>
      <c r="AD85" s="98"/>
      <c r="AE85" s="98"/>
      <c r="AF85" s="98"/>
      <c r="AG85" s="98"/>
      <c r="AH85" s="98"/>
    </row>
    <row r="86" spans="1:34" hidden="1" x14ac:dyDescent="0.3">
      <c r="A86" s="26" t="s">
        <v>241</v>
      </c>
      <c r="B86" s="17"/>
      <c r="C86" s="53" t="s">
        <v>5</v>
      </c>
      <c r="D86" s="54"/>
      <c r="E86" s="54"/>
      <c r="F86" s="55" t="s">
        <v>3</v>
      </c>
      <c r="G86" s="56">
        <v>0.15</v>
      </c>
      <c r="H86" s="34">
        <v>0</v>
      </c>
      <c r="I86" s="61"/>
      <c r="J86" s="101">
        <f ca="1">SUM(Таблица2[[#This Row],[1.n]:[12.n]])</f>
        <v>0</v>
      </c>
      <c r="K86" s="98" t="e">
        <f>#REF!</f>
        <v>#REF!</v>
      </c>
      <c r="L86" s="98" t="e">
        <f>#REF!</f>
        <v>#REF!</v>
      </c>
      <c r="M86" s="98" t="e">
        <f>#REF!</f>
        <v>#REF!</v>
      </c>
      <c r="N86" s="98" t="e">
        <f>#REF!</f>
        <v>#REF!</v>
      </c>
      <c r="O86" s="98" t="e">
        <f>#REF!</f>
        <v>#REF!</v>
      </c>
      <c r="P86" s="98" t="e">
        <f>#REF!</f>
        <v>#REF!</v>
      </c>
      <c r="Q86" s="98" t="e">
        <f>#REF!</f>
        <v>#REF!</v>
      </c>
      <c r="R86" s="98" t="e">
        <f>#REF!</f>
        <v>#REF!</v>
      </c>
      <c r="S86" s="98" t="e">
        <f>#REF!</f>
        <v>#REF!</v>
      </c>
      <c r="T86" s="98" t="e">
        <f>#REF!</f>
        <v>#REF!</v>
      </c>
      <c r="U86" s="98"/>
      <c r="V86" s="98"/>
      <c r="W8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6" s="98" t="str">
        <f t="shared" ca="1" si="24"/>
        <v>2.n</v>
      </c>
      <c r="Y86" s="98"/>
      <c r="Z86" s="98"/>
      <c r="AA86" s="98"/>
      <c r="AB86" s="98"/>
      <c r="AC86" s="98"/>
      <c r="AD86" s="98"/>
      <c r="AE86" s="98"/>
      <c r="AF86" s="98"/>
      <c r="AG86" s="98"/>
      <c r="AH86" s="98"/>
    </row>
    <row r="87" spans="1:34" ht="46.8" hidden="1" x14ac:dyDescent="0.3">
      <c r="A87" s="25" t="s">
        <v>242</v>
      </c>
      <c r="B87" s="16"/>
      <c r="C87" s="59" t="s">
        <v>243</v>
      </c>
      <c r="D87" s="50"/>
      <c r="E87" s="50" t="s">
        <v>244</v>
      </c>
      <c r="F87" s="51" t="s">
        <v>3</v>
      </c>
      <c r="G87" s="52">
        <v>0.3</v>
      </c>
      <c r="H87" s="34">
        <v>0</v>
      </c>
      <c r="I87" s="62"/>
      <c r="J87" s="100">
        <f ca="1">SUM(Таблица2[[#This Row],[1.n]:[12.n]])</f>
        <v>0</v>
      </c>
      <c r="K87" s="98" t="e">
        <f>#REF!</f>
        <v>#REF!</v>
      </c>
      <c r="L87" s="98" t="e">
        <f>#REF!</f>
        <v>#REF!</v>
      </c>
      <c r="M87" s="98" t="e">
        <f>#REF!</f>
        <v>#REF!</v>
      </c>
      <c r="N87" s="98" t="e">
        <f>#REF!</f>
        <v>#REF!</v>
      </c>
      <c r="O87" s="98" t="e">
        <f>#REF!</f>
        <v>#REF!</v>
      </c>
      <c r="P87" s="98" t="e">
        <f>#REF!</f>
        <v>#REF!</v>
      </c>
      <c r="Q87" s="98" t="e">
        <f>#REF!</f>
        <v>#REF!</v>
      </c>
      <c r="R87" s="98" t="e">
        <f>#REF!</f>
        <v>#REF!</v>
      </c>
      <c r="S87" s="98" t="e">
        <f>#REF!</f>
        <v>#REF!</v>
      </c>
      <c r="T87" s="98" t="e">
        <f>#REF!</f>
        <v>#REF!</v>
      </c>
      <c r="U87" s="98"/>
      <c r="V87" s="98"/>
      <c r="W8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7" s="98" t="str">
        <f t="shared" ca="1" si="24"/>
        <v>2.n</v>
      </c>
      <c r="Y87" s="98"/>
      <c r="Z87" s="98"/>
      <c r="AA87" s="98"/>
      <c r="AB87" s="98"/>
      <c r="AC87" s="98"/>
      <c r="AD87" s="98"/>
      <c r="AE87" s="98"/>
      <c r="AF87" s="98"/>
      <c r="AG87" s="98"/>
      <c r="AH87" s="98"/>
    </row>
    <row r="88" spans="1:34" ht="31.2" hidden="1" x14ac:dyDescent="0.3">
      <c r="A88" s="26" t="s">
        <v>245</v>
      </c>
      <c r="B88" s="17" t="s">
        <v>239</v>
      </c>
      <c r="C88" s="63" t="s">
        <v>240</v>
      </c>
      <c r="D88" s="54"/>
      <c r="E88" s="54" t="s">
        <v>114</v>
      </c>
      <c r="F88" s="54" t="s">
        <v>96</v>
      </c>
      <c r="G88" s="64">
        <v>1</v>
      </c>
      <c r="H88" s="35">
        <v>0</v>
      </c>
      <c r="I88" s="77"/>
      <c r="J88" s="103">
        <f ca="1">SUM(Таблица2[[#This Row],[1.n]:[12.n]])</f>
        <v>0</v>
      </c>
      <c r="K88" s="98" t="e">
        <f>#REF!</f>
        <v>#REF!</v>
      </c>
      <c r="L88" s="98" t="e">
        <f>#REF!</f>
        <v>#REF!</v>
      </c>
      <c r="M88" s="98" t="e">
        <f>#REF!</f>
        <v>#REF!</v>
      </c>
      <c r="N88" s="98" t="e">
        <f>#REF!</f>
        <v>#REF!</v>
      </c>
      <c r="O88" s="98" t="e">
        <f>#REF!</f>
        <v>#REF!</v>
      </c>
      <c r="P88" s="98" t="e">
        <f>#REF!</f>
        <v>#REF!</v>
      </c>
      <c r="Q88" s="98" t="e">
        <f>#REF!</f>
        <v>#REF!</v>
      </c>
      <c r="R88" s="98" t="e">
        <f>#REF!</f>
        <v>#REF!</v>
      </c>
      <c r="S88" s="98" t="e">
        <f>#REF!</f>
        <v>#REF!</v>
      </c>
      <c r="T88" s="98" t="e">
        <f>#REF!</f>
        <v>#REF!</v>
      </c>
      <c r="U88" s="98"/>
      <c r="V88" s="98"/>
      <c r="W8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8" s="98" t="str">
        <f t="shared" ca="1" si="24"/>
        <v>2.n</v>
      </c>
      <c r="Y88" s="98"/>
      <c r="Z88" s="98"/>
      <c r="AA88" s="98"/>
      <c r="AB88" s="98"/>
      <c r="AC88" s="98"/>
      <c r="AD88" s="98"/>
      <c r="AE88" s="98"/>
      <c r="AF88" s="98"/>
      <c r="AG88" s="98"/>
      <c r="AH88" s="98"/>
    </row>
    <row r="89" spans="1:34" ht="46.8" hidden="1" x14ac:dyDescent="0.3">
      <c r="A89" s="25" t="s">
        <v>246</v>
      </c>
      <c r="B89" s="16"/>
      <c r="C89" s="59" t="s">
        <v>247</v>
      </c>
      <c r="D89" s="50"/>
      <c r="E89" s="50" t="s">
        <v>248</v>
      </c>
      <c r="F89" s="51" t="s">
        <v>3</v>
      </c>
      <c r="G89" s="52">
        <v>0.3</v>
      </c>
      <c r="H89" s="34">
        <v>0</v>
      </c>
      <c r="I89" s="76"/>
      <c r="J89" s="119">
        <f ca="1">SUM(Таблица2[[#This Row],[1.n]:[12.n]])</f>
        <v>0</v>
      </c>
      <c r="K89" s="98" t="e">
        <f>#REF!</f>
        <v>#REF!</v>
      </c>
      <c r="L89" s="98" t="e">
        <f>#REF!</f>
        <v>#REF!</v>
      </c>
      <c r="M89" s="98" t="e">
        <f>#REF!</f>
        <v>#REF!</v>
      </c>
      <c r="N89" s="98" t="e">
        <f>#REF!</f>
        <v>#REF!</v>
      </c>
      <c r="O89" s="98" t="e">
        <f>#REF!</f>
        <v>#REF!</v>
      </c>
      <c r="P89" s="98" t="e">
        <f>#REF!</f>
        <v>#REF!</v>
      </c>
      <c r="Q89" s="98" t="e">
        <f>#REF!</f>
        <v>#REF!</v>
      </c>
      <c r="R89" s="98" t="e">
        <f>#REF!</f>
        <v>#REF!</v>
      </c>
      <c r="S89" s="98" t="e">
        <f>#REF!</f>
        <v>#REF!</v>
      </c>
      <c r="T89" s="98" t="e">
        <f>#REF!</f>
        <v>#REF!</v>
      </c>
      <c r="U89" s="98"/>
      <c r="V89" s="98"/>
      <c r="W8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89" s="98" t="str">
        <f t="shared" ca="1" si="24"/>
        <v>2.n</v>
      </c>
      <c r="Y89" s="98"/>
      <c r="Z89" s="98"/>
      <c r="AA89" s="98"/>
      <c r="AB89" s="98"/>
      <c r="AC89" s="98"/>
      <c r="AD89" s="98"/>
      <c r="AE89" s="98"/>
      <c r="AF89" s="98"/>
      <c r="AG89" s="98"/>
      <c r="AH89" s="98"/>
    </row>
    <row r="90" spans="1:34" hidden="1" x14ac:dyDescent="0.3">
      <c r="A90" s="26" t="s">
        <v>249</v>
      </c>
      <c r="B90" s="17"/>
      <c r="C90" s="53" t="s">
        <v>5</v>
      </c>
      <c r="D90" s="54"/>
      <c r="E90" s="54"/>
      <c r="F90" s="55" t="s">
        <v>3</v>
      </c>
      <c r="G90" s="56">
        <v>0.15</v>
      </c>
      <c r="H90" s="34">
        <v>0</v>
      </c>
      <c r="I90" s="78"/>
      <c r="J90" s="104">
        <f ca="1">SUM(Таблица2[[#This Row],[1.n]:[12.n]])</f>
        <v>0</v>
      </c>
      <c r="K90" s="98" t="e">
        <f>#REF!</f>
        <v>#REF!</v>
      </c>
      <c r="L90" s="98" t="e">
        <f>#REF!</f>
        <v>#REF!</v>
      </c>
      <c r="M90" s="98" t="e">
        <f>#REF!</f>
        <v>#REF!</v>
      </c>
      <c r="N90" s="98" t="e">
        <f>#REF!</f>
        <v>#REF!</v>
      </c>
      <c r="O90" s="98" t="e">
        <f>#REF!</f>
        <v>#REF!</v>
      </c>
      <c r="P90" s="98" t="e">
        <f>#REF!</f>
        <v>#REF!</v>
      </c>
      <c r="Q90" s="98" t="e">
        <f>#REF!</f>
        <v>#REF!</v>
      </c>
      <c r="R90" s="98" t="e">
        <f>#REF!</f>
        <v>#REF!</v>
      </c>
      <c r="S90" s="98" t="e">
        <f>#REF!</f>
        <v>#REF!</v>
      </c>
      <c r="T90" s="98" t="e">
        <f>#REF!</f>
        <v>#REF!</v>
      </c>
      <c r="U90" s="98"/>
      <c r="V90" s="98"/>
      <c r="W9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0" s="98" t="str">
        <f t="shared" ca="1" si="24"/>
        <v>2.n</v>
      </c>
      <c r="Y90" s="98"/>
      <c r="Z90" s="98"/>
      <c r="AA90" s="98"/>
      <c r="AB90" s="98"/>
      <c r="AC90" s="98"/>
      <c r="AD90" s="98"/>
      <c r="AE90" s="98"/>
      <c r="AF90" s="98"/>
      <c r="AG90" s="98"/>
      <c r="AH90" s="98"/>
    </row>
    <row r="91" spans="1:34" ht="31.2" hidden="1" x14ac:dyDescent="0.3">
      <c r="A91" s="25" t="s">
        <v>250</v>
      </c>
      <c r="B91" s="16" t="s">
        <v>239</v>
      </c>
      <c r="C91" s="57" t="s">
        <v>240</v>
      </c>
      <c r="D91" s="50"/>
      <c r="E91" s="50" t="s">
        <v>114</v>
      </c>
      <c r="F91" s="50" t="s">
        <v>96</v>
      </c>
      <c r="G91" s="58">
        <v>1</v>
      </c>
      <c r="H91" s="35">
        <v>0</v>
      </c>
      <c r="I91" s="77"/>
      <c r="J91" s="103">
        <f ca="1">SUM(Таблица2[[#This Row],[1.n]:[12.n]])</f>
        <v>0</v>
      </c>
      <c r="K91" s="98" t="e">
        <f>#REF!</f>
        <v>#REF!</v>
      </c>
      <c r="L91" s="98" t="e">
        <f>#REF!</f>
        <v>#REF!</v>
      </c>
      <c r="M91" s="98" t="e">
        <f>#REF!</f>
        <v>#REF!</v>
      </c>
      <c r="N91" s="98" t="e">
        <f>#REF!</f>
        <v>#REF!</v>
      </c>
      <c r="O91" s="98" t="e">
        <f>#REF!</f>
        <v>#REF!</v>
      </c>
      <c r="P91" s="98" t="e">
        <f>#REF!</f>
        <v>#REF!</v>
      </c>
      <c r="Q91" s="98" t="e">
        <f>#REF!</f>
        <v>#REF!</v>
      </c>
      <c r="R91" s="98" t="e">
        <f>#REF!</f>
        <v>#REF!</v>
      </c>
      <c r="S91" s="98" t="e">
        <f>#REF!</f>
        <v>#REF!</v>
      </c>
      <c r="T91" s="98" t="e">
        <f>#REF!</f>
        <v>#REF!</v>
      </c>
      <c r="U91" s="98"/>
      <c r="V91" s="98"/>
      <c r="W9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1" s="98" t="str">
        <f t="shared" ca="1" si="24"/>
        <v>2.n</v>
      </c>
      <c r="Y91" s="98"/>
      <c r="Z91" s="98"/>
      <c r="AA91" s="98"/>
      <c r="AB91" s="98"/>
      <c r="AC91" s="98"/>
      <c r="AD91" s="98"/>
      <c r="AE91" s="98"/>
      <c r="AF91" s="98"/>
      <c r="AG91" s="98"/>
      <c r="AH91" s="98"/>
    </row>
    <row r="92" spans="1:34" hidden="1" x14ac:dyDescent="0.3">
      <c r="A92" s="26" t="s">
        <v>251</v>
      </c>
      <c r="B92" s="17"/>
      <c r="C92" s="53" t="s">
        <v>5</v>
      </c>
      <c r="D92" s="54"/>
      <c r="E92" s="54"/>
      <c r="F92" s="55" t="s">
        <v>3</v>
      </c>
      <c r="G92" s="56">
        <v>0.15</v>
      </c>
      <c r="H92" s="34">
        <v>0</v>
      </c>
      <c r="I92" s="77"/>
      <c r="J92" s="103">
        <f ca="1">SUM(Таблица2[[#This Row],[1.n]:[12.n]])</f>
        <v>0</v>
      </c>
      <c r="K92" s="98" t="e">
        <f>#REF!</f>
        <v>#REF!</v>
      </c>
      <c r="L92" s="98" t="e">
        <f>#REF!</f>
        <v>#REF!</v>
      </c>
      <c r="M92" s="98" t="e">
        <f>#REF!</f>
        <v>#REF!</v>
      </c>
      <c r="N92" s="98" t="e">
        <f>#REF!</f>
        <v>#REF!</v>
      </c>
      <c r="O92" s="98" t="e">
        <f>#REF!</f>
        <v>#REF!</v>
      </c>
      <c r="P92" s="98" t="e">
        <f>#REF!</f>
        <v>#REF!</v>
      </c>
      <c r="Q92" s="98" t="e">
        <f>#REF!</f>
        <v>#REF!</v>
      </c>
      <c r="R92" s="98" t="e">
        <f>#REF!</f>
        <v>#REF!</v>
      </c>
      <c r="S92" s="98" t="e">
        <f>#REF!</f>
        <v>#REF!</v>
      </c>
      <c r="T92" s="98" t="e">
        <f>#REF!</f>
        <v>#REF!</v>
      </c>
      <c r="U92" s="98"/>
      <c r="V92" s="98"/>
      <c r="W9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2" s="98" t="str">
        <f t="shared" ca="1" si="24"/>
        <v>2.n</v>
      </c>
      <c r="Y92" s="98"/>
      <c r="Z92" s="98"/>
      <c r="AA92" s="98"/>
      <c r="AB92" s="98"/>
      <c r="AC92" s="98"/>
      <c r="AD92" s="98"/>
      <c r="AE92" s="98"/>
      <c r="AF92" s="98"/>
      <c r="AG92" s="98"/>
      <c r="AH92" s="98"/>
    </row>
    <row r="93" spans="1:34" ht="31.2" hidden="1" x14ac:dyDescent="0.3">
      <c r="A93" s="25" t="s">
        <v>252</v>
      </c>
      <c r="B93" s="16"/>
      <c r="C93" s="59" t="s">
        <v>253</v>
      </c>
      <c r="D93" s="50"/>
      <c r="E93" s="50" t="s">
        <v>254</v>
      </c>
      <c r="F93" s="51" t="s">
        <v>3</v>
      </c>
      <c r="G93" s="52">
        <v>0.3</v>
      </c>
      <c r="H93" s="34">
        <v>0</v>
      </c>
      <c r="I93" s="77"/>
      <c r="J93" s="103">
        <f ca="1">SUM(Таблица2[[#This Row],[1.n]:[12.n]])</f>
        <v>0</v>
      </c>
      <c r="K93" s="98" t="e">
        <f>#REF!</f>
        <v>#REF!</v>
      </c>
      <c r="L93" s="98" t="e">
        <f>#REF!</f>
        <v>#REF!</v>
      </c>
      <c r="M93" s="98" t="e">
        <f>#REF!</f>
        <v>#REF!</v>
      </c>
      <c r="N93" s="98" t="e">
        <f>#REF!</f>
        <v>#REF!</v>
      </c>
      <c r="O93" s="98" t="e">
        <f>#REF!</f>
        <v>#REF!</v>
      </c>
      <c r="P93" s="98" t="e">
        <f>#REF!</f>
        <v>#REF!</v>
      </c>
      <c r="Q93" s="98" t="e">
        <f>#REF!</f>
        <v>#REF!</v>
      </c>
      <c r="R93" s="98" t="e">
        <f>#REF!</f>
        <v>#REF!</v>
      </c>
      <c r="S93" s="98" t="e">
        <f>#REF!</f>
        <v>#REF!</v>
      </c>
      <c r="T93" s="98" t="e">
        <f>#REF!</f>
        <v>#REF!</v>
      </c>
      <c r="U93" s="98"/>
      <c r="V93" s="98"/>
      <c r="W9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3" s="98" t="str">
        <f t="shared" ca="1" si="24"/>
        <v>2.n</v>
      </c>
      <c r="Y93" s="98"/>
      <c r="Z93" s="98"/>
      <c r="AA93" s="98"/>
      <c r="AB93" s="98"/>
      <c r="AC93" s="98"/>
      <c r="AD93" s="98"/>
      <c r="AE93" s="98"/>
      <c r="AF93" s="98"/>
      <c r="AG93" s="98"/>
      <c r="AH93" s="98"/>
    </row>
    <row r="94" spans="1:34" ht="31.2" hidden="1" x14ac:dyDescent="0.3">
      <c r="A94" s="26" t="s">
        <v>255</v>
      </c>
      <c r="B94" s="17" t="s">
        <v>239</v>
      </c>
      <c r="C94" s="63" t="s">
        <v>240</v>
      </c>
      <c r="D94" s="54"/>
      <c r="E94" s="54" t="s">
        <v>114</v>
      </c>
      <c r="F94" s="54" t="s">
        <v>96</v>
      </c>
      <c r="G94" s="64">
        <v>1</v>
      </c>
      <c r="H94" s="35">
        <v>0</v>
      </c>
      <c r="I94" s="77"/>
      <c r="J94" s="103">
        <f ca="1">SUM(Таблица2[[#This Row],[1.n]:[12.n]])</f>
        <v>0</v>
      </c>
      <c r="K94" s="98" t="e">
        <f>#REF!</f>
        <v>#REF!</v>
      </c>
      <c r="L94" s="98" t="e">
        <f>#REF!</f>
        <v>#REF!</v>
      </c>
      <c r="M94" s="98" t="e">
        <f>#REF!</f>
        <v>#REF!</v>
      </c>
      <c r="N94" s="98" t="e">
        <f>#REF!</f>
        <v>#REF!</v>
      </c>
      <c r="O94" s="98" t="e">
        <f>#REF!</f>
        <v>#REF!</v>
      </c>
      <c r="P94" s="98" t="e">
        <f>#REF!</f>
        <v>#REF!</v>
      </c>
      <c r="Q94" s="98" t="e">
        <f>#REF!</f>
        <v>#REF!</v>
      </c>
      <c r="R94" s="98" t="e">
        <f>#REF!</f>
        <v>#REF!</v>
      </c>
      <c r="S94" s="98" t="e">
        <f>#REF!</f>
        <v>#REF!</v>
      </c>
      <c r="T94" s="98" t="e">
        <f>#REF!</f>
        <v>#REF!</v>
      </c>
      <c r="U94" s="98"/>
      <c r="V94" s="98"/>
      <c r="W9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4" s="98" t="str">
        <f t="shared" ca="1" si="24"/>
        <v>2.n</v>
      </c>
      <c r="Y94" s="98"/>
      <c r="Z94" s="98"/>
      <c r="AA94" s="98"/>
      <c r="AB94" s="98"/>
      <c r="AC94" s="98"/>
      <c r="AD94" s="98"/>
      <c r="AE94" s="98"/>
      <c r="AF94" s="98"/>
      <c r="AG94" s="98"/>
      <c r="AH94" s="98"/>
    </row>
    <row r="95" spans="1:34" ht="62.4" hidden="1" x14ac:dyDescent="0.3">
      <c r="A95" s="25" t="s">
        <v>256</v>
      </c>
      <c r="B95" s="16"/>
      <c r="C95" s="59" t="s">
        <v>247</v>
      </c>
      <c r="D95" s="50"/>
      <c r="E95" s="50" t="s">
        <v>257</v>
      </c>
      <c r="F95" s="51" t="s">
        <v>3</v>
      </c>
      <c r="G95" s="52">
        <v>0.3</v>
      </c>
      <c r="H95" s="34">
        <v>0</v>
      </c>
      <c r="I95" s="77"/>
      <c r="J95" s="103">
        <f ca="1">SUM(Таблица2[[#This Row],[1.n]:[12.n]])</f>
        <v>0</v>
      </c>
      <c r="K95" s="98" t="e">
        <f>#REF!</f>
        <v>#REF!</v>
      </c>
      <c r="L95" s="98" t="e">
        <f>#REF!</f>
        <v>#REF!</v>
      </c>
      <c r="M95" s="98" t="e">
        <f>#REF!</f>
        <v>#REF!</v>
      </c>
      <c r="N95" s="98" t="e">
        <f>#REF!</f>
        <v>#REF!</v>
      </c>
      <c r="O95" s="98" t="e">
        <f>#REF!</f>
        <v>#REF!</v>
      </c>
      <c r="P95" s="98" t="e">
        <f>#REF!</f>
        <v>#REF!</v>
      </c>
      <c r="Q95" s="98" t="e">
        <f>#REF!</f>
        <v>#REF!</v>
      </c>
      <c r="R95" s="98" t="e">
        <f>#REF!</f>
        <v>#REF!</v>
      </c>
      <c r="S95" s="98" t="e">
        <f>#REF!</f>
        <v>#REF!</v>
      </c>
      <c r="T95" s="98" t="e">
        <f>#REF!</f>
        <v>#REF!</v>
      </c>
      <c r="U95" s="98"/>
      <c r="V95" s="98"/>
      <c r="W9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5" s="98" t="str">
        <f t="shared" ca="1" si="24"/>
        <v>2.n</v>
      </c>
      <c r="Y95" s="98"/>
      <c r="Z95" s="98"/>
      <c r="AA95" s="98"/>
      <c r="AB95" s="98"/>
      <c r="AC95" s="98"/>
      <c r="AD95" s="98"/>
      <c r="AE95" s="98"/>
      <c r="AF95" s="98"/>
      <c r="AG95" s="98"/>
      <c r="AH95" s="98"/>
    </row>
    <row r="96" spans="1:34" hidden="1" x14ac:dyDescent="0.3">
      <c r="A96" s="26" t="s">
        <v>258</v>
      </c>
      <c r="B96" s="17"/>
      <c r="C96" s="53" t="s">
        <v>5</v>
      </c>
      <c r="D96" s="54"/>
      <c r="E96" s="54"/>
      <c r="F96" s="55" t="s">
        <v>3</v>
      </c>
      <c r="G96" s="56">
        <v>0.15</v>
      </c>
      <c r="H96" s="34">
        <v>0</v>
      </c>
      <c r="I96" s="62"/>
      <c r="J96" s="100">
        <f ca="1">SUM(Таблица2[[#This Row],[1.n]:[12.n]])</f>
        <v>0</v>
      </c>
      <c r="K96" s="98" t="e">
        <f>#REF!</f>
        <v>#REF!</v>
      </c>
      <c r="L96" s="98" t="e">
        <f>#REF!</f>
        <v>#REF!</v>
      </c>
      <c r="M96" s="98" t="e">
        <f>#REF!</f>
        <v>#REF!</v>
      </c>
      <c r="N96" s="98" t="e">
        <f>#REF!</f>
        <v>#REF!</v>
      </c>
      <c r="O96" s="98" t="e">
        <f>#REF!</f>
        <v>#REF!</v>
      </c>
      <c r="P96" s="98" t="e">
        <f>#REF!</f>
        <v>#REF!</v>
      </c>
      <c r="Q96" s="98" t="e">
        <f>#REF!</f>
        <v>#REF!</v>
      </c>
      <c r="R96" s="98" t="e">
        <f>#REF!</f>
        <v>#REF!</v>
      </c>
      <c r="S96" s="98" t="e">
        <f>#REF!</f>
        <v>#REF!</v>
      </c>
      <c r="T96" s="98" t="e">
        <f>#REF!</f>
        <v>#REF!</v>
      </c>
      <c r="U96" s="98"/>
      <c r="V96" s="98"/>
      <c r="W9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6" s="98" t="str">
        <f t="shared" ca="1" si="24"/>
        <v>2.n</v>
      </c>
      <c r="Y96" s="98"/>
      <c r="Z96" s="98"/>
      <c r="AA96" s="98"/>
      <c r="AB96" s="98"/>
      <c r="AC96" s="98"/>
      <c r="AD96" s="98"/>
      <c r="AE96" s="98"/>
      <c r="AF96" s="98"/>
      <c r="AG96" s="98"/>
      <c r="AH96" s="98"/>
    </row>
    <row r="97" spans="1:78" ht="31.2" hidden="1" x14ac:dyDescent="0.3">
      <c r="A97" s="25" t="s">
        <v>259</v>
      </c>
      <c r="B97" s="16" t="s">
        <v>239</v>
      </c>
      <c r="C97" s="57" t="s">
        <v>240</v>
      </c>
      <c r="D97" s="50"/>
      <c r="E97" s="50" t="s">
        <v>114</v>
      </c>
      <c r="F97" s="50" t="s">
        <v>96</v>
      </c>
      <c r="G97" s="58">
        <v>1</v>
      </c>
      <c r="H97" s="35">
        <v>0</v>
      </c>
      <c r="I97" s="77"/>
      <c r="J97" s="103">
        <f ca="1">SUM(Таблица2[[#This Row],[1.n]:[12.n]])</f>
        <v>0</v>
      </c>
      <c r="K97" s="98" t="e">
        <f>#REF!</f>
        <v>#REF!</v>
      </c>
      <c r="L97" s="98" t="e">
        <f>#REF!</f>
        <v>#REF!</v>
      </c>
      <c r="M97" s="98" t="e">
        <f>#REF!</f>
        <v>#REF!</v>
      </c>
      <c r="N97" s="98" t="e">
        <f>#REF!</f>
        <v>#REF!</v>
      </c>
      <c r="O97" s="98" t="e">
        <f>#REF!</f>
        <v>#REF!</v>
      </c>
      <c r="P97" s="98" t="e">
        <f>#REF!</f>
        <v>#REF!</v>
      </c>
      <c r="Q97" s="98" t="e">
        <f>#REF!</f>
        <v>#REF!</v>
      </c>
      <c r="R97" s="98" t="e">
        <f>#REF!</f>
        <v>#REF!</v>
      </c>
      <c r="S97" s="98" t="e">
        <f>#REF!</f>
        <v>#REF!</v>
      </c>
      <c r="T97" s="98" t="e">
        <f>#REF!</f>
        <v>#REF!</v>
      </c>
      <c r="U97" s="98"/>
      <c r="V97" s="98"/>
      <c r="W9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7" s="98" t="str">
        <f t="shared" ca="1" si="24"/>
        <v>2.n</v>
      </c>
      <c r="Y97" s="98"/>
      <c r="Z97" s="98"/>
      <c r="AA97" s="98"/>
      <c r="AB97" s="98"/>
      <c r="AC97" s="98"/>
      <c r="AD97" s="98"/>
      <c r="AE97" s="98"/>
      <c r="AF97" s="98"/>
      <c r="AG97" s="98"/>
      <c r="AH97" s="98"/>
    </row>
    <row r="98" spans="1:78" hidden="1" x14ac:dyDescent="0.3">
      <c r="A98" s="26" t="s">
        <v>260</v>
      </c>
      <c r="B98" s="17"/>
      <c r="C98" s="53" t="s">
        <v>5</v>
      </c>
      <c r="D98" s="54"/>
      <c r="E98" s="54"/>
      <c r="F98" s="55" t="s">
        <v>3</v>
      </c>
      <c r="G98" s="56">
        <v>0.15</v>
      </c>
      <c r="H98" s="34">
        <v>0</v>
      </c>
      <c r="I98" s="77"/>
      <c r="J98" s="103">
        <f ca="1">SUM(Таблица2[[#This Row],[1.n]:[12.n]])</f>
        <v>0</v>
      </c>
      <c r="K98" s="98" t="e">
        <f>#REF!</f>
        <v>#REF!</v>
      </c>
      <c r="L98" s="98" t="e">
        <f>#REF!</f>
        <v>#REF!</v>
      </c>
      <c r="M98" s="98" t="e">
        <f>#REF!</f>
        <v>#REF!</v>
      </c>
      <c r="N98" s="98" t="e">
        <f>#REF!</f>
        <v>#REF!</v>
      </c>
      <c r="O98" s="98" t="e">
        <f>#REF!</f>
        <v>#REF!</v>
      </c>
      <c r="P98" s="98" t="e">
        <f>#REF!</f>
        <v>#REF!</v>
      </c>
      <c r="Q98" s="98" t="e">
        <f>#REF!</f>
        <v>#REF!</v>
      </c>
      <c r="R98" s="98" t="e">
        <f>#REF!</f>
        <v>#REF!</v>
      </c>
      <c r="S98" s="98" t="e">
        <f>#REF!</f>
        <v>#REF!</v>
      </c>
      <c r="T98" s="98" t="e">
        <f>#REF!</f>
        <v>#REF!</v>
      </c>
      <c r="U98" s="98"/>
      <c r="V98" s="98"/>
      <c r="W9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8" s="98" t="str">
        <f t="shared" ca="1" si="24"/>
        <v>2.n</v>
      </c>
      <c r="Y98" s="98"/>
      <c r="Z98" s="98"/>
      <c r="AA98" s="98"/>
      <c r="AB98" s="98"/>
      <c r="AC98" s="98"/>
      <c r="AD98" s="98"/>
      <c r="AE98" s="98"/>
      <c r="AF98" s="98"/>
      <c r="AG98" s="98"/>
      <c r="AH98" s="98"/>
    </row>
    <row r="99" spans="1:78" ht="62.4" hidden="1" x14ac:dyDescent="0.3">
      <c r="A99" s="25" t="s">
        <v>261</v>
      </c>
      <c r="B99" s="16"/>
      <c r="C99" s="59" t="s">
        <v>247</v>
      </c>
      <c r="D99" s="50"/>
      <c r="E99" s="50" t="s">
        <v>262</v>
      </c>
      <c r="F99" s="51" t="s">
        <v>3</v>
      </c>
      <c r="G99" s="52">
        <v>0.3</v>
      </c>
      <c r="H99" s="34">
        <v>0</v>
      </c>
      <c r="I99" s="77"/>
      <c r="J99" s="103">
        <f ca="1">SUM(Таблица2[[#This Row],[1.n]:[12.n]])</f>
        <v>0</v>
      </c>
      <c r="K99" s="98" t="e">
        <f>#REF!</f>
        <v>#REF!</v>
      </c>
      <c r="L99" s="98" t="e">
        <f>#REF!</f>
        <v>#REF!</v>
      </c>
      <c r="M99" s="98" t="e">
        <f>#REF!</f>
        <v>#REF!</v>
      </c>
      <c r="N99" s="98" t="e">
        <f>#REF!</f>
        <v>#REF!</v>
      </c>
      <c r="O99" s="98" t="e">
        <f>#REF!</f>
        <v>#REF!</v>
      </c>
      <c r="P99" s="98" t="e">
        <f>#REF!</f>
        <v>#REF!</v>
      </c>
      <c r="Q99" s="98" t="e">
        <f>#REF!</f>
        <v>#REF!</v>
      </c>
      <c r="R99" s="98" t="e">
        <f>#REF!</f>
        <v>#REF!</v>
      </c>
      <c r="S99" s="98" t="e">
        <f>#REF!</f>
        <v>#REF!</v>
      </c>
      <c r="T99" s="98" t="e">
        <f>#REF!</f>
        <v>#REF!</v>
      </c>
      <c r="U99" s="98"/>
      <c r="V99" s="98"/>
      <c r="W9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99" s="98" t="str">
        <f t="shared" ca="1" si="24"/>
        <v>2.n</v>
      </c>
      <c r="Y99" s="98"/>
      <c r="Z99" s="98"/>
      <c r="AA99" s="98"/>
      <c r="AB99" s="98"/>
      <c r="AC99" s="98"/>
      <c r="AD99" s="98"/>
      <c r="AE99" s="98"/>
      <c r="AF99" s="98"/>
      <c r="AG99" s="98"/>
      <c r="AH99" s="98"/>
    </row>
    <row r="100" spans="1:78" ht="31.2" hidden="1" x14ac:dyDescent="0.3">
      <c r="A100" s="26" t="s">
        <v>263</v>
      </c>
      <c r="B100" s="17" t="s">
        <v>239</v>
      </c>
      <c r="C100" s="63" t="s">
        <v>240</v>
      </c>
      <c r="D100" s="54"/>
      <c r="E100" s="54" t="s">
        <v>114</v>
      </c>
      <c r="F100" s="54" t="s">
        <v>96</v>
      </c>
      <c r="G100" s="64">
        <v>1</v>
      </c>
      <c r="H100" s="35">
        <v>0</v>
      </c>
      <c r="I100" s="77"/>
      <c r="J100" s="103">
        <f ca="1">SUM(Таблица2[[#This Row],[1.n]:[12.n]])</f>
        <v>0</v>
      </c>
      <c r="K100" s="98" t="e">
        <f>#REF!</f>
        <v>#REF!</v>
      </c>
      <c r="L100" s="98" t="e">
        <f>#REF!</f>
        <v>#REF!</v>
      </c>
      <c r="M100" s="98" t="e">
        <f>#REF!</f>
        <v>#REF!</v>
      </c>
      <c r="N100" s="98" t="e">
        <f>#REF!</f>
        <v>#REF!</v>
      </c>
      <c r="O100" s="98" t="e">
        <f>#REF!</f>
        <v>#REF!</v>
      </c>
      <c r="P100" s="98" t="e">
        <f>#REF!</f>
        <v>#REF!</v>
      </c>
      <c r="Q100" s="98" t="e">
        <f>#REF!</f>
        <v>#REF!</v>
      </c>
      <c r="R100" s="98" t="e">
        <f>#REF!</f>
        <v>#REF!</v>
      </c>
      <c r="S100" s="98" t="e">
        <f>#REF!</f>
        <v>#REF!</v>
      </c>
      <c r="T100" s="98" t="e">
        <f>#REF!</f>
        <v>#REF!</v>
      </c>
      <c r="U100" s="98"/>
      <c r="V100" s="98"/>
      <c r="W10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0" s="98" t="str">
        <f t="shared" ca="1" si="24"/>
        <v>2.n</v>
      </c>
      <c r="Y100" s="98"/>
      <c r="Z100" s="98"/>
      <c r="AA100" s="98"/>
      <c r="AB100" s="98"/>
      <c r="AC100" s="98"/>
      <c r="AD100" s="98"/>
      <c r="AE100" s="98"/>
      <c r="AF100" s="98"/>
      <c r="AG100" s="98"/>
      <c r="AH100" s="98"/>
    </row>
    <row r="101" spans="1:78" ht="46.8" hidden="1" x14ac:dyDescent="0.3">
      <c r="A101" s="25" t="s">
        <v>264</v>
      </c>
      <c r="B101" s="16"/>
      <c r="C101" s="59" t="s">
        <v>247</v>
      </c>
      <c r="D101" s="50"/>
      <c r="E101" s="50" t="s">
        <v>265</v>
      </c>
      <c r="F101" s="51" t="s">
        <v>3</v>
      </c>
      <c r="G101" s="52">
        <v>0.3</v>
      </c>
      <c r="H101" s="34">
        <v>0</v>
      </c>
      <c r="I101" s="78"/>
      <c r="J101" s="104">
        <f ca="1">SUM(Таблица2[[#This Row],[1.n]:[12.n]])</f>
        <v>0</v>
      </c>
      <c r="K101" s="98" t="e">
        <f>#REF!</f>
        <v>#REF!</v>
      </c>
      <c r="L101" s="98" t="e">
        <f>#REF!</f>
        <v>#REF!</v>
      </c>
      <c r="M101" s="98" t="e">
        <f>#REF!</f>
        <v>#REF!</v>
      </c>
      <c r="N101" s="98" t="e">
        <f>#REF!</f>
        <v>#REF!</v>
      </c>
      <c r="O101" s="98" t="e">
        <f>#REF!</f>
        <v>#REF!</v>
      </c>
      <c r="P101" s="98" t="e">
        <f>#REF!</f>
        <v>#REF!</v>
      </c>
      <c r="Q101" s="98" t="e">
        <f>#REF!</f>
        <v>#REF!</v>
      </c>
      <c r="R101" s="98" t="e">
        <f>#REF!</f>
        <v>#REF!</v>
      </c>
      <c r="S101" s="98" t="e">
        <f>#REF!</f>
        <v>#REF!</v>
      </c>
      <c r="T101" s="98" t="e">
        <f>#REF!</f>
        <v>#REF!</v>
      </c>
      <c r="U101" s="98"/>
      <c r="V101" s="98"/>
      <c r="W10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1" s="98" t="str">
        <f t="shared" ca="1" si="24"/>
        <v>2.n</v>
      </c>
      <c r="Y101" s="98"/>
      <c r="Z101" s="98"/>
      <c r="AA101" s="98"/>
      <c r="AB101" s="98"/>
      <c r="AC101" s="98"/>
      <c r="AD101" s="98"/>
      <c r="AE101" s="98"/>
      <c r="AF101" s="98"/>
      <c r="AG101" s="98"/>
      <c r="AH101" s="98"/>
    </row>
    <row r="102" spans="1:78" hidden="1" x14ac:dyDescent="0.3">
      <c r="A102" s="26" t="s">
        <v>266</v>
      </c>
      <c r="B102" s="17"/>
      <c r="C102" s="53" t="s">
        <v>5</v>
      </c>
      <c r="D102" s="54"/>
      <c r="E102" s="54"/>
      <c r="F102" s="55" t="s">
        <v>3</v>
      </c>
      <c r="G102" s="56">
        <v>0.15</v>
      </c>
      <c r="H102" s="34">
        <v>0</v>
      </c>
      <c r="I102" s="77"/>
      <c r="J102" s="103">
        <f ca="1">SUM(Таблица2[[#This Row],[1.n]:[12.n]])</f>
        <v>0</v>
      </c>
      <c r="K102" s="98" t="e">
        <f>#REF!</f>
        <v>#REF!</v>
      </c>
      <c r="L102" s="98" t="e">
        <f>#REF!</f>
        <v>#REF!</v>
      </c>
      <c r="M102" s="98" t="e">
        <f>#REF!</f>
        <v>#REF!</v>
      </c>
      <c r="N102" s="98" t="e">
        <f>#REF!</f>
        <v>#REF!</v>
      </c>
      <c r="O102" s="98" t="e">
        <f>#REF!</f>
        <v>#REF!</v>
      </c>
      <c r="P102" s="98" t="e">
        <f>#REF!</f>
        <v>#REF!</v>
      </c>
      <c r="Q102" s="98" t="e">
        <f>#REF!</f>
        <v>#REF!</v>
      </c>
      <c r="R102" s="98" t="e">
        <f>#REF!</f>
        <v>#REF!</v>
      </c>
      <c r="S102" s="98" t="e">
        <f>#REF!</f>
        <v>#REF!</v>
      </c>
      <c r="T102" s="98" t="e">
        <f>#REF!</f>
        <v>#REF!</v>
      </c>
      <c r="U102" s="98"/>
      <c r="V102" s="98"/>
      <c r="W10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2" s="98" t="str">
        <f t="shared" ca="1" si="24"/>
        <v>2.n</v>
      </c>
      <c r="Y102" s="98"/>
      <c r="Z102" s="98"/>
      <c r="AA102" s="98"/>
      <c r="AB102" s="98"/>
      <c r="AC102" s="98"/>
      <c r="AD102" s="98"/>
      <c r="AE102" s="98"/>
      <c r="AF102" s="98"/>
      <c r="AG102" s="98"/>
      <c r="AH102" s="98"/>
    </row>
    <row r="103" spans="1:78" ht="31.2" hidden="1" x14ac:dyDescent="0.3">
      <c r="A103" s="25" t="s">
        <v>267</v>
      </c>
      <c r="B103" s="16" t="s">
        <v>239</v>
      </c>
      <c r="C103" s="57" t="s">
        <v>240</v>
      </c>
      <c r="D103" s="50"/>
      <c r="E103" s="50" t="s">
        <v>114</v>
      </c>
      <c r="F103" s="50" t="s">
        <v>96</v>
      </c>
      <c r="G103" s="58">
        <v>1</v>
      </c>
      <c r="H103" s="35">
        <v>0</v>
      </c>
      <c r="I103" s="77"/>
      <c r="J103" s="103">
        <f ca="1">SUM(Таблица2[[#This Row],[1.n]:[12.n]])</f>
        <v>0</v>
      </c>
      <c r="K103" s="98" t="e">
        <f>#REF!</f>
        <v>#REF!</v>
      </c>
      <c r="L103" s="98" t="e">
        <f>#REF!</f>
        <v>#REF!</v>
      </c>
      <c r="M103" s="98" t="e">
        <f>#REF!</f>
        <v>#REF!</v>
      </c>
      <c r="N103" s="98" t="e">
        <f>#REF!</f>
        <v>#REF!</v>
      </c>
      <c r="O103" s="98" t="e">
        <f>#REF!</f>
        <v>#REF!</v>
      </c>
      <c r="P103" s="98" t="e">
        <f>#REF!</f>
        <v>#REF!</v>
      </c>
      <c r="Q103" s="98" t="e">
        <f>#REF!</f>
        <v>#REF!</v>
      </c>
      <c r="R103" s="98" t="e">
        <f>#REF!</f>
        <v>#REF!</v>
      </c>
      <c r="S103" s="98" t="e">
        <f>#REF!</f>
        <v>#REF!</v>
      </c>
      <c r="T103" s="98" t="e">
        <f>#REF!</f>
        <v>#REF!</v>
      </c>
      <c r="U103" s="98"/>
      <c r="V103" s="98"/>
      <c r="W10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3" s="98" t="str">
        <f t="shared" ca="1" si="24"/>
        <v>2.n</v>
      </c>
      <c r="Y103" s="98"/>
      <c r="Z103" s="98"/>
      <c r="AA103" s="98"/>
      <c r="AB103" s="98"/>
      <c r="AC103" s="98"/>
      <c r="AD103" s="98"/>
      <c r="AE103" s="98"/>
      <c r="AF103" s="98"/>
      <c r="AG103" s="98"/>
      <c r="AH103" s="98"/>
    </row>
    <row r="104" spans="1:78" hidden="1" x14ac:dyDescent="0.3">
      <c r="A104" s="26" t="s">
        <v>268</v>
      </c>
      <c r="B104" s="17"/>
      <c r="C104" s="53" t="s">
        <v>5</v>
      </c>
      <c r="D104" s="54"/>
      <c r="E104" s="54"/>
      <c r="F104" s="55" t="s">
        <v>3</v>
      </c>
      <c r="G104" s="56">
        <v>0.15</v>
      </c>
      <c r="H104" s="34">
        <v>0</v>
      </c>
      <c r="I104" s="62"/>
      <c r="J104" s="100">
        <f ca="1">SUM(Таблица2[[#This Row],[1.n]:[12.n]])</f>
        <v>0</v>
      </c>
      <c r="K104" s="98" t="e">
        <f>#REF!</f>
        <v>#REF!</v>
      </c>
      <c r="L104" s="98" t="e">
        <f>#REF!</f>
        <v>#REF!</v>
      </c>
      <c r="M104" s="98" t="e">
        <f>#REF!</f>
        <v>#REF!</v>
      </c>
      <c r="N104" s="98" t="e">
        <f>#REF!</f>
        <v>#REF!</v>
      </c>
      <c r="O104" s="98" t="e">
        <f>#REF!</f>
        <v>#REF!</v>
      </c>
      <c r="P104" s="98" t="e">
        <f>#REF!</f>
        <v>#REF!</v>
      </c>
      <c r="Q104" s="98" t="e">
        <f>#REF!</f>
        <v>#REF!</v>
      </c>
      <c r="R104" s="98" t="e">
        <f>#REF!</f>
        <v>#REF!</v>
      </c>
      <c r="S104" s="98" t="e">
        <f>#REF!</f>
        <v>#REF!</v>
      </c>
      <c r="T104" s="98" t="e">
        <f>#REF!</f>
        <v>#REF!</v>
      </c>
      <c r="U104" s="98"/>
      <c r="V104" s="98"/>
      <c r="W10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4" s="98" t="str">
        <f t="shared" ca="1" si="24"/>
        <v>2.n</v>
      </c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</row>
    <row r="105" spans="1:78" ht="62.4" hidden="1" x14ac:dyDescent="0.3">
      <c r="A105" s="25" t="s">
        <v>269</v>
      </c>
      <c r="B105" s="16"/>
      <c r="C105" s="59" t="s">
        <v>247</v>
      </c>
      <c r="D105" s="50"/>
      <c r="E105" s="50" t="s">
        <v>257</v>
      </c>
      <c r="F105" s="51" t="s">
        <v>3</v>
      </c>
      <c r="G105" s="52">
        <v>0.3</v>
      </c>
      <c r="H105" s="34">
        <v>0</v>
      </c>
      <c r="I105" s="79"/>
      <c r="J105" s="105">
        <f ca="1">SUM(Таблица2[[#This Row],[1.n]:[12.n]])</f>
        <v>0</v>
      </c>
      <c r="K105" s="98" t="e">
        <f>#REF!</f>
        <v>#REF!</v>
      </c>
      <c r="L105" s="98" t="e">
        <f>#REF!</f>
        <v>#REF!</v>
      </c>
      <c r="M105" s="98" t="e">
        <f>#REF!</f>
        <v>#REF!</v>
      </c>
      <c r="N105" s="98" t="e">
        <f>#REF!</f>
        <v>#REF!</v>
      </c>
      <c r="O105" s="98" t="e">
        <f>#REF!</f>
        <v>#REF!</v>
      </c>
      <c r="P105" s="98" t="e">
        <f>#REF!</f>
        <v>#REF!</v>
      </c>
      <c r="Q105" s="98" t="e">
        <f>#REF!</f>
        <v>#REF!</v>
      </c>
      <c r="R105" s="98" t="e">
        <f>#REF!</f>
        <v>#REF!</v>
      </c>
      <c r="S105" s="98" t="e">
        <f>#REF!</f>
        <v>#REF!</v>
      </c>
      <c r="T105" s="98" t="e">
        <f>#REF!</f>
        <v>#REF!</v>
      </c>
      <c r="U105" s="98"/>
      <c r="V105" s="98"/>
      <c r="W10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5" s="98" t="str">
        <f t="shared" ca="1" si="24"/>
        <v>2.n</v>
      </c>
      <c r="Y105" s="98"/>
      <c r="Z105" s="98"/>
      <c r="AA105" s="98"/>
      <c r="AB105" s="98"/>
      <c r="AC105" s="98"/>
      <c r="AD105" s="98"/>
      <c r="AE105" s="98"/>
      <c r="AF105" s="98"/>
      <c r="AG105" s="98"/>
      <c r="AH105" s="98"/>
    </row>
    <row r="106" spans="1:78" x14ac:dyDescent="0.3">
      <c r="A106" s="24" t="s">
        <v>270</v>
      </c>
      <c r="B106" s="15" t="s">
        <v>271</v>
      </c>
      <c r="C106" s="46" t="s">
        <v>272</v>
      </c>
      <c r="D106" s="47"/>
      <c r="E106" s="47" t="s">
        <v>273</v>
      </c>
      <c r="F106" s="47" t="s">
        <v>96</v>
      </c>
      <c r="G106" s="48">
        <v>1</v>
      </c>
      <c r="H106" s="33">
        <v>5404.01</v>
      </c>
      <c r="I106" s="121">
        <f>H106-J106</f>
        <v>5404.01</v>
      </c>
      <c r="J106" s="243">
        <f>SUM(Таблица2[[#This Row],[1.n]:[12.n]])</f>
        <v>0</v>
      </c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97"/>
      <c r="AH106" s="97"/>
      <c r="BZ106" s="179" t="s">
        <v>695</v>
      </c>
    </row>
    <row r="107" spans="1:78" ht="62.4" hidden="1" x14ac:dyDescent="0.3">
      <c r="A107" s="25" t="s">
        <v>274</v>
      </c>
      <c r="B107" s="16"/>
      <c r="C107" s="59" t="s">
        <v>275</v>
      </c>
      <c r="D107" s="50"/>
      <c r="E107" s="50" t="s">
        <v>276</v>
      </c>
      <c r="F107" s="51" t="s">
        <v>3</v>
      </c>
      <c r="G107" s="52">
        <v>0.3</v>
      </c>
      <c r="H107" s="34">
        <v>1621.203</v>
      </c>
      <c r="I107" s="112"/>
      <c r="J107" s="105">
        <f ca="1">SUM(Таблица2[[#This Row],[1.n]:[12.n]])</f>
        <v>0</v>
      </c>
      <c r="K107" s="98" t="e">
        <f>#REF!</f>
        <v>#REF!</v>
      </c>
      <c r="L107" s="98" t="e">
        <f>#REF!</f>
        <v>#REF!</v>
      </c>
      <c r="M107" s="98" t="e">
        <f>#REF!</f>
        <v>#REF!</v>
      </c>
      <c r="N107" s="98" t="e">
        <f>#REF!</f>
        <v>#REF!</v>
      </c>
      <c r="O107" s="98" t="e">
        <f>#REF!</f>
        <v>#REF!</v>
      </c>
      <c r="P107" s="98" t="e">
        <f>#REF!</f>
        <v>#REF!</v>
      </c>
      <c r="Q107" s="98" t="e">
        <f>#REF!</f>
        <v>#REF!</v>
      </c>
      <c r="R107" s="98" t="e">
        <f>#REF!</f>
        <v>#REF!</v>
      </c>
      <c r="S107" s="98" t="e">
        <f>#REF!</f>
        <v>#REF!</v>
      </c>
      <c r="T107" s="98" t="e">
        <f>#REF!</f>
        <v>#REF!</v>
      </c>
      <c r="U107" s="98"/>
      <c r="V107" s="98"/>
      <c r="W10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7" s="98" t="str">
        <f t="shared" ca="1" si="24"/>
        <v>2.n</v>
      </c>
      <c r="Y107" s="98"/>
      <c r="Z107" s="98"/>
      <c r="AA107" s="98"/>
      <c r="AB107" s="98"/>
      <c r="AC107" s="98"/>
      <c r="AD107" s="98"/>
      <c r="AE107" s="98"/>
      <c r="AF107" s="98"/>
      <c r="AG107" s="98"/>
      <c r="AH107" s="98"/>
    </row>
    <row r="108" spans="1:78" hidden="1" x14ac:dyDescent="0.3">
      <c r="A108" s="26" t="s">
        <v>277</v>
      </c>
      <c r="B108" s="17"/>
      <c r="C108" s="53" t="s">
        <v>5</v>
      </c>
      <c r="D108" s="54"/>
      <c r="E108" s="54"/>
      <c r="F108" s="55" t="s">
        <v>3</v>
      </c>
      <c r="G108" s="56">
        <v>0.15</v>
      </c>
      <c r="H108" s="34">
        <v>810.60199999999998</v>
      </c>
      <c r="I108" s="80"/>
      <c r="J108" s="106">
        <f ca="1">SUM(Таблица2[[#This Row],[1.n]:[12.n]])</f>
        <v>0</v>
      </c>
      <c r="K108" s="98" t="e">
        <f>#REF!</f>
        <v>#REF!</v>
      </c>
      <c r="L108" s="98" t="e">
        <f>#REF!</f>
        <v>#REF!</v>
      </c>
      <c r="M108" s="98" t="e">
        <f>#REF!</f>
        <v>#REF!</v>
      </c>
      <c r="N108" s="98" t="e">
        <f>#REF!</f>
        <v>#REF!</v>
      </c>
      <c r="O108" s="98" t="e">
        <f>#REF!</f>
        <v>#REF!</v>
      </c>
      <c r="P108" s="98" t="e">
        <f>#REF!</f>
        <v>#REF!</v>
      </c>
      <c r="Q108" s="98" t="e">
        <f>#REF!</f>
        <v>#REF!</v>
      </c>
      <c r="R108" s="98" t="e">
        <f>#REF!</f>
        <v>#REF!</v>
      </c>
      <c r="S108" s="98" t="e">
        <f>#REF!</f>
        <v>#REF!</v>
      </c>
      <c r="T108" s="98" t="e">
        <f>#REF!</f>
        <v>#REF!</v>
      </c>
      <c r="U108" s="98"/>
      <c r="V108" s="98"/>
      <c r="W10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08" s="98" t="str">
        <f t="shared" ca="1" si="24"/>
        <v>2.n</v>
      </c>
      <c r="Y108" s="98"/>
      <c r="Z108" s="98"/>
      <c r="AA108" s="98"/>
      <c r="AB108" s="98"/>
      <c r="AC108" s="98"/>
      <c r="AD108" s="98"/>
      <c r="AE108" s="98"/>
      <c r="AF108" s="98"/>
      <c r="AG108" s="98"/>
      <c r="AH108" s="98"/>
    </row>
    <row r="109" spans="1:78" x14ac:dyDescent="0.3">
      <c r="A109" s="27" t="s">
        <v>278</v>
      </c>
      <c r="B109" s="18" t="s">
        <v>271</v>
      </c>
      <c r="C109" s="65" t="s">
        <v>272</v>
      </c>
      <c r="D109" s="14"/>
      <c r="E109" s="14" t="s">
        <v>279</v>
      </c>
      <c r="F109" s="14" t="s">
        <v>96</v>
      </c>
      <c r="G109" s="66">
        <v>1</v>
      </c>
      <c r="H109" s="33">
        <v>8.4</v>
      </c>
      <c r="I109" s="121">
        <f>H109-J109</f>
        <v>8.4</v>
      </c>
      <c r="J109" s="243">
        <f>SUM(Таблица2[[#This Row],[1.n]:[12.n]])</f>
        <v>0</v>
      </c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  <c r="AA109" s="97"/>
      <c r="AB109" s="97"/>
      <c r="AC109" s="97"/>
      <c r="AD109" s="97"/>
      <c r="AE109" s="97"/>
      <c r="AF109" s="97"/>
      <c r="AG109" s="97"/>
      <c r="AH109" s="97"/>
    </row>
    <row r="110" spans="1:78" hidden="1" x14ac:dyDescent="0.3">
      <c r="A110" s="26" t="s">
        <v>280</v>
      </c>
      <c r="B110" s="17"/>
      <c r="C110" s="53" t="s">
        <v>5</v>
      </c>
      <c r="D110" s="54"/>
      <c r="E110" s="54"/>
      <c r="F110" s="55" t="s">
        <v>3</v>
      </c>
      <c r="G110" s="56">
        <v>0.15</v>
      </c>
      <c r="H110" s="34">
        <v>1.26</v>
      </c>
      <c r="I110" s="112"/>
      <c r="J110" s="105">
        <f ca="1">SUM(Таблица2[[#This Row],[1.n]:[12.n]])</f>
        <v>0</v>
      </c>
      <c r="K110" s="98" t="e">
        <f>#REF!</f>
        <v>#REF!</v>
      </c>
      <c r="L110" s="98" t="e">
        <f>#REF!</f>
        <v>#REF!</v>
      </c>
      <c r="M110" s="98" t="e">
        <f>#REF!</f>
        <v>#REF!</v>
      </c>
      <c r="N110" s="98" t="e">
        <f>#REF!</f>
        <v>#REF!</v>
      </c>
      <c r="O110" s="98" t="e">
        <f>#REF!</f>
        <v>#REF!</v>
      </c>
      <c r="P110" s="98" t="e">
        <f>#REF!</f>
        <v>#REF!</v>
      </c>
      <c r="Q110" s="98" t="e">
        <f>#REF!</f>
        <v>#REF!</v>
      </c>
      <c r="R110" s="98" t="e">
        <f>#REF!</f>
        <v>#REF!</v>
      </c>
      <c r="S110" s="98" t="e">
        <f>#REF!</f>
        <v>#REF!</v>
      </c>
      <c r="T110" s="98" t="e">
        <f>#REF!</f>
        <v>#REF!</v>
      </c>
      <c r="U110" s="98"/>
      <c r="V110" s="98"/>
      <c r="W11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0" s="98" t="str">
        <f t="shared" ca="1" si="24"/>
        <v>2.n</v>
      </c>
      <c r="Y110" s="98"/>
      <c r="Z110" s="98"/>
      <c r="AA110" s="98"/>
      <c r="AB110" s="98"/>
      <c r="AC110" s="98"/>
      <c r="AD110" s="98"/>
      <c r="AE110" s="98"/>
      <c r="AF110" s="98"/>
      <c r="AG110" s="98"/>
      <c r="AH110" s="98"/>
    </row>
    <row r="111" spans="1:78" ht="62.4" hidden="1" x14ac:dyDescent="0.3">
      <c r="A111" s="25" t="s">
        <v>281</v>
      </c>
      <c r="B111" s="16"/>
      <c r="C111" s="59" t="s">
        <v>247</v>
      </c>
      <c r="D111" s="50"/>
      <c r="E111" s="50" t="s">
        <v>282</v>
      </c>
      <c r="F111" s="51" t="s">
        <v>3</v>
      </c>
      <c r="G111" s="52">
        <v>0.3</v>
      </c>
      <c r="H111" s="34">
        <v>2.52</v>
      </c>
      <c r="I111" s="79"/>
      <c r="J111" s="105">
        <f ca="1">SUM(Таблица2[[#This Row],[1.n]:[12.n]])</f>
        <v>0</v>
      </c>
      <c r="K111" s="98" t="e">
        <f>#REF!</f>
        <v>#REF!</v>
      </c>
      <c r="L111" s="98" t="e">
        <f>#REF!</f>
        <v>#REF!</v>
      </c>
      <c r="M111" s="98" t="e">
        <f>#REF!</f>
        <v>#REF!</v>
      </c>
      <c r="N111" s="98" t="e">
        <f>#REF!</f>
        <v>#REF!</v>
      </c>
      <c r="O111" s="98" t="e">
        <f>#REF!</f>
        <v>#REF!</v>
      </c>
      <c r="P111" s="98" t="e">
        <f>#REF!</f>
        <v>#REF!</v>
      </c>
      <c r="Q111" s="98" t="e">
        <f>#REF!</f>
        <v>#REF!</v>
      </c>
      <c r="R111" s="98" t="e">
        <f>#REF!</f>
        <v>#REF!</v>
      </c>
      <c r="S111" s="98" t="e">
        <f>#REF!</f>
        <v>#REF!</v>
      </c>
      <c r="T111" s="98" t="e">
        <f>#REF!</f>
        <v>#REF!</v>
      </c>
      <c r="U111" s="98"/>
      <c r="V111" s="98"/>
      <c r="W11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1" s="98" t="str">
        <f t="shared" ca="1" si="24"/>
        <v>2.n</v>
      </c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</row>
    <row r="112" spans="1:78" x14ac:dyDescent="0.3">
      <c r="A112" s="24" t="s">
        <v>283</v>
      </c>
      <c r="B112" s="15" t="s">
        <v>271</v>
      </c>
      <c r="C112" s="46" t="s">
        <v>272</v>
      </c>
      <c r="D112" s="47"/>
      <c r="E112" s="47" t="s">
        <v>284</v>
      </c>
      <c r="F112" s="47" t="s">
        <v>96</v>
      </c>
      <c r="G112" s="48">
        <v>1</v>
      </c>
      <c r="H112" s="33">
        <v>20.66</v>
      </c>
      <c r="I112" s="121">
        <f>H112-J112</f>
        <v>20.66</v>
      </c>
      <c r="J112" s="243">
        <f>SUM(Таблица2[[#This Row],[1.n]:[12.n]])</f>
        <v>0</v>
      </c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</row>
    <row r="113" spans="1:72" ht="62.4" hidden="1" x14ac:dyDescent="0.3">
      <c r="A113" s="25" t="s">
        <v>285</v>
      </c>
      <c r="B113" s="16"/>
      <c r="C113" s="59" t="s">
        <v>247</v>
      </c>
      <c r="D113" s="50"/>
      <c r="E113" s="50" t="s">
        <v>286</v>
      </c>
      <c r="F113" s="51" t="s">
        <v>3</v>
      </c>
      <c r="G113" s="52">
        <v>0.3</v>
      </c>
      <c r="H113" s="34">
        <v>6.1980000000000004</v>
      </c>
      <c r="I113" s="112"/>
      <c r="J113" s="105">
        <f ca="1">SUM(Таблица2[[#This Row],[1.n]:[12.n]])</f>
        <v>0</v>
      </c>
      <c r="K113" s="98" t="e">
        <f>#REF!</f>
        <v>#REF!</v>
      </c>
      <c r="L113" s="98" t="e">
        <f>#REF!</f>
        <v>#REF!</v>
      </c>
      <c r="M113" s="98" t="e">
        <f>#REF!</f>
        <v>#REF!</v>
      </c>
      <c r="N113" s="98" t="e">
        <f>#REF!</f>
        <v>#REF!</v>
      </c>
      <c r="O113" s="98" t="e">
        <f>#REF!</f>
        <v>#REF!</v>
      </c>
      <c r="P113" s="98" t="e">
        <f>#REF!</f>
        <v>#REF!</v>
      </c>
      <c r="Q113" s="98" t="e">
        <f>#REF!</f>
        <v>#REF!</v>
      </c>
      <c r="R113" s="98" t="e">
        <f>#REF!</f>
        <v>#REF!</v>
      </c>
      <c r="S113" s="98" t="e">
        <f>#REF!</f>
        <v>#REF!</v>
      </c>
      <c r="T113" s="98" t="e">
        <f>#REF!</f>
        <v>#REF!</v>
      </c>
      <c r="U113" s="98"/>
      <c r="V113" s="98"/>
      <c r="W11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3" s="98" t="str">
        <f t="shared" ca="1" si="24"/>
        <v>2.n</v>
      </c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</row>
    <row r="114" spans="1:72" hidden="1" x14ac:dyDescent="0.3">
      <c r="A114" s="26" t="s">
        <v>287</v>
      </c>
      <c r="B114" s="17"/>
      <c r="C114" s="53" t="s">
        <v>5</v>
      </c>
      <c r="D114" s="54"/>
      <c r="E114" s="54"/>
      <c r="F114" s="55" t="s">
        <v>3</v>
      </c>
      <c r="G114" s="56">
        <v>0.15</v>
      </c>
      <c r="H114" s="34">
        <v>3.0990000000000002</v>
      </c>
      <c r="I114" s="79"/>
      <c r="J114" s="105">
        <f ca="1">SUM(Таблица2[[#This Row],[1.n]:[12.n]])</f>
        <v>0</v>
      </c>
      <c r="K114" s="98" t="e">
        <f>#REF!</f>
        <v>#REF!</v>
      </c>
      <c r="L114" s="98" t="e">
        <f>#REF!</f>
        <v>#REF!</v>
      </c>
      <c r="M114" s="98" t="e">
        <f>#REF!</f>
        <v>#REF!</v>
      </c>
      <c r="N114" s="98" t="e">
        <f>#REF!</f>
        <v>#REF!</v>
      </c>
      <c r="O114" s="98" t="e">
        <f>#REF!</f>
        <v>#REF!</v>
      </c>
      <c r="P114" s="98" t="e">
        <f>#REF!</f>
        <v>#REF!</v>
      </c>
      <c r="Q114" s="98" t="e">
        <f>#REF!</f>
        <v>#REF!</v>
      </c>
      <c r="R114" s="98" t="e">
        <f>#REF!</f>
        <v>#REF!</v>
      </c>
      <c r="S114" s="98" t="e">
        <f>#REF!</f>
        <v>#REF!</v>
      </c>
      <c r="T114" s="98" t="e">
        <f>#REF!</f>
        <v>#REF!</v>
      </c>
      <c r="U114" s="98"/>
      <c r="V114" s="98"/>
      <c r="W11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4" s="98" t="str">
        <f t="shared" ca="1" si="24"/>
        <v>2.n</v>
      </c>
      <c r="Y114" s="98"/>
      <c r="Z114" s="98"/>
      <c r="AA114" s="98"/>
      <c r="AB114" s="98"/>
      <c r="AC114" s="98"/>
      <c r="AD114" s="98"/>
      <c r="AE114" s="98"/>
      <c r="AF114" s="98"/>
      <c r="AG114" s="98"/>
      <c r="AH114" s="98"/>
    </row>
    <row r="115" spans="1:72" x14ac:dyDescent="0.3">
      <c r="A115" s="27" t="s">
        <v>288</v>
      </c>
      <c r="B115" s="18" t="s">
        <v>271</v>
      </c>
      <c r="C115" s="65" t="s">
        <v>272</v>
      </c>
      <c r="D115" s="14"/>
      <c r="E115" s="14" t="s">
        <v>289</v>
      </c>
      <c r="F115" s="14" t="s">
        <v>96</v>
      </c>
      <c r="G115" s="66">
        <v>1</v>
      </c>
      <c r="H115" s="33">
        <v>10.39</v>
      </c>
      <c r="I115" s="121">
        <f>H115-J115</f>
        <v>10.39</v>
      </c>
      <c r="J115" s="243">
        <f>SUM(Таблица2[[#This Row],[1.n]:[12.n]])</f>
        <v>0</v>
      </c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241"/>
      <c r="X115" s="241"/>
      <c r="Y115" s="241"/>
      <c r="Z115" s="241"/>
      <c r="AA115" s="241"/>
      <c r="AB115" s="241"/>
      <c r="AC115" s="241"/>
      <c r="AD115" s="241"/>
      <c r="AE115" s="241"/>
      <c r="AF115" s="241"/>
      <c r="AG115" s="241"/>
      <c r="AH115" s="241"/>
    </row>
    <row r="116" spans="1:72" hidden="1" x14ac:dyDescent="0.3">
      <c r="A116" s="26" t="s">
        <v>290</v>
      </c>
      <c r="B116" s="17"/>
      <c r="C116" s="53" t="s">
        <v>5</v>
      </c>
      <c r="D116" s="54"/>
      <c r="E116" s="54"/>
      <c r="F116" s="55" t="s">
        <v>3</v>
      </c>
      <c r="G116" s="56">
        <v>0.15</v>
      </c>
      <c r="H116" s="34">
        <v>1.5589999999999999</v>
      </c>
      <c r="I116" s="112"/>
      <c r="J116" s="105">
        <f ca="1">SUM(Таблица2[[#This Row],[1.n]:[12.n]])</f>
        <v>0</v>
      </c>
      <c r="K116" s="98" t="e">
        <f>#REF!</f>
        <v>#REF!</v>
      </c>
      <c r="L116" s="98" t="e">
        <f>#REF!</f>
        <v>#REF!</v>
      </c>
      <c r="M116" s="98" t="e">
        <f>#REF!</f>
        <v>#REF!</v>
      </c>
      <c r="N116" s="98" t="e">
        <f>#REF!</f>
        <v>#REF!</v>
      </c>
      <c r="O116" s="98" t="e">
        <f>#REF!</f>
        <v>#REF!</v>
      </c>
      <c r="P116" s="98" t="e">
        <f>#REF!</f>
        <v>#REF!</v>
      </c>
      <c r="Q116" s="98" t="e">
        <f>#REF!</f>
        <v>#REF!</v>
      </c>
      <c r="R116" s="98" t="e">
        <f>#REF!</f>
        <v>#REF!</v>
      </c>
      <c r="S116" s="98" t="e">
        <f>#REF!</f>
        <v>#REF!</v>
      </c>
      <c r="T116" s="98" t="e">
        <f>#REF!</f>
        <v>#REF!</v>
      </c>
      <c r="U116" s="98"/>
      <c r="V116" s="98"/>
      <c r="W11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6" s="98" t="str">
        <f t="shared" ca="1" si="24"/>
        <v>2.n</v>
      </c>
      <c r="Y116" s="98"/>
      <c r="Z116" s="98"/>
      <c r="AA116" s="98"/>
      <c r="AB116" s="98"/>
      <c r="AC116" s="98"/>
      <c r="AD116" s="98"/>
      <c r="AE116" s="98"/>
      <c r="AF116" s="98"/>
      <c r="AG116" s="98"/>
      <c r="AH116" s="98"/>
    </row>
    <row r="117" spans="1:72" ht="62.4" hidden="1" x14ac:dyDescent="0.3">
      <c r="A117" s="25" t="s">
        <v>291</v>
      </c>
      <c r="B117" s="16"/>
      <c r="C117" s="59" t="s">
        <v>247</v>
      </c>
      <c r="D117" s="50"/>
      <c r="E117" s="50" t="s">
        <v>292</v>
      </c>
      <c r="F117" s="51" t="s">
        <v>3</v>
      </c>
      <c r="G117" s="52">
        <v>0.3</v>
      </c>
      <c r="H117" s="34">
        <v>3.117</v>
      </c>
      <c r="I117" s="79"/>
      <c r="J117" s="105">
        <f ca="1">SUM(Таблица2[[#This Row],[1.n]:[12.n]])</f>
        <v>0</v>
      </c>
      <c r="K117" s="98" t="e">
        <f>#REF!</f>
        <v>#REF!</v>
      </c>
      <c r="L117" s="98" t="e">
        <f>#REF!</f>
        <v>#REF!</v>
      </c>
      <c r="M117" s="98" t="e">
        <f>#REF!</f>
        <v>#REF!</v>
      </c>
      <c r="N117" s="98" t="e">
        <f>#REF!</f>
        <v>#REF!</v>
      </c>
      <c r="O117" s="98" t="e">
        <f>#REF!</f>
        <v>#REF!</v>
      </c>
      <c r="P117" s="98" t="e">
        <f>#REF!</f>
        <v>#REF!</v>
      </c>
      <c r="Q117" s="98" t="e">
        <f>#REF!</f>
        <v>#REF!</v>
      </c>
      <c r="R117" s="98" t="e">
        <f>#REF!</f>
        <v>#REF!</v>
      </c>
      <c r="S117" s="98" t="e">
        <f>#REF!</f>
        <v>#REF!</v>
      </c>
      <c r="T117" s="98" t="e">
        <f>#REF!</f>
        <v>#REF!</v>
      </c>
      <c r="U117" s="98"/>
      <c r="V117" s="98"/>
      <c r="W11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7" s="98" t="str">
        <f t="shared" ca="1" si="24"/>
        <v>2.n</v>
      </c>
      <c r="Y117" s="98"/>
      <c r="Z117" s="98"/>
      <c r="AA117" s="98"/>
      <c r="AB117" s="98"/>
      <c r="AC117" s="98"/>
      <c r="AD117" s="98"/>
      <c r="AE117" s="98"/>
      <c r="AF117" s="98"/>
      <c r="AG117" s="98"/>
      <c r="AH117" s="98"/>
    </row>
    <row r="118" spans="1:72" x14ac:dyDescent="0.3">
      <c r="A118" s="24" t="s">
        <v>293</v>
      </c>
      <c r="B118" s="15" t="s">
        <v>271</v>
      </c>
      <c r="C118" s="46" t="s">
        <v>272</v>
      </c>
      <c r="D118" s="47"/>
      <c r="E118" s="47" t="s">
        <v>294</v>
      </c>
      <c r="F118" s="47" t="s">
        <v>96</v>
      </c>
      <c r="G118" s="48">
        <v>1</v>
      </c>
      <c r="H118" s="33">
        <v>5.0999999999999996</v>
      </c>
      <c r="I118" s="121">
        <f>H118-J118</f>
        <v>5.0999999999999996</v>
      </c>
      <c r="J118" s="243">
        <f>SUM(Таблица2[[#This Row],[1.n]:[12.n]])</f>
        <v>0</v>
      </c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241"/>
      <c r="X118" s="241"/>
      <c r="Y118" s="241"/>
      <c r="Z118" s="241"/>
      <c r="AA118" s="241"/>
      <c r="AB118" s="241"/>
      <c r="AC118" s="241"/>
      <c r="AD118" s="241"/>
      <c r="AE118" s="241"/>
      <c r="AF118" s="241"/>
      <c r="AG118" s="241"/>
      <c r="AH118" s="241"/>
    </row>
    <row r="119" spans="1:72" ht="62.4" hidden="1" x14ac:dyDescent="0.3">
      <c r="A119" s="25" t="s">
        <v>295</v>
      </c>
      <c r="B119" s="16"/>
      <c r="C119" s="59" t="s">
        <v>247</v>
      </c>
      <c r="D119" s="50"/>
      <c r="E119" s="50" t="s">
        <v>296</v>
      </c>
      <c r="F119" s="51" t="s">
        <v>3</v>
      </c>
      <c r="G119" s="52">
        <v>0.3</v>
      </c>
      <c r="H119" s="34">
        <v>1.53</v>
      </c>
      <c r="I119" s="112"/>
      <c r="J119" s="105">
        <f ca="1">SUM(Таблица2[[#This Row],[1.n]:[12.n]])</f>
        <v>0</v>
      </c>
      <c r="K119" s="98" t="e">
        <f>#REF!</f>
        <v>#REF!</v>
      </c>
      <c r="L119" s="98" t="e">
        <f>#REF!</f>
        <v>#REF!</v>
      </c>
      <c r="M119" s="98" t="e">
        <f>#REF!</f>
        <v>#REF!</v>
      </c>
      <c r="N119" s="98" t="e">
        <f>#REF!</f>
        <v>#REF!</v>
      </c>
      <c r="O119" s="98" t="e">
        <f>#REF!</f>
        <v>#REF!</v>
      </c>
      <c r="P119" s="98" t="e">
        <f>#REF!</f>
        <v>#REF!</v>
      </c>
      <c r="Q119" s="98" t="e">
        <f>#REF!</f>
        <v>#REF!</v>
      </c>
      <c r="R119" s="98" t="e">
        <f>#REF!</f>
        <v>#REF!</v>
      </c>
      <c r="S119" s="98" t="e">
        <f>#REF!</f>
        <v>#REF!</v>
      </c>
      <c r="T119" s="98" t="e">
        <f>#REF!</f>
        <v>#REF!</v>
      </c>
      <c r="U119" s="98"/>
      <c r="V119" s="98"/>
      <c r="W11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19" s="98" t="str">
        <f t="shared" ca="1" si="24"/>
        <v>2.n</v>
      </c>
      <c r="Y119" s="98"/>
      <c r="Z119" s="98"/>
      <c r="AA119" s="98"/>
      <c r="AB119" s="98"/>
      <c r="AC119" s="98"/>
      <c r="AD119" s="98"/>
      <c r="AE119" s="98"/>
      <c r="AF119" s="98"/>
      <c r="AG119" s="98"/>
      <c r="AH119" s="98"/>
    </row>
    <row r="120" spans="1:72" hidden="1" x14ac:dyDescent="0.3">
      <c r="A120" s="26" t="s">
        <v>297</v>
      </c>
      <c r="B120" s="17"/>
      <c r="C120" s="53" t="s">
        <v>5</v>
      </c>
      <c r="D120" s="54"/>
      <c r="E120" s="54"/>
      <c r="F120" s="55" t="s">
        <v>3</v>
      </c>
      <c r="G120" s="56">
        <v>0.15</v>
      </c>
      <c r="H120" s="34">
        <v>0.76500000000000001</v>
      </c>
      <c r="I120" s="79"/>
      <c r="J120" s="105">
        <f ca="1">SUM(Таблица2[[#This Row],[1.n]:[12.n]])</f>
        <v>0</v>
      </c>
      <c r="K120" s="98" t="e">
        <f>#REF!</f>
        <v>#REF!</v>
      </c>
      <c r="L120" s="98" t="e">
        <f>#REF!</f>
        <v>#REF!</v>
      </c>
      <c r="M120" s="98" t="e">
        <f>#REF!</f>
        <v>#REF!</v>
      </c>
      <c r="N120" s="98" t="e">
        <f>#REF!</f>
        <v>#REF!</v>
      </c>
      <c r="O120" s="98" t="e">
        <f>#REF!</f>
        <v>#REF!</v>
      </c>
      <c r="P120" s="98" t="e">
        <f>#REF!</f>
        <v>#REF!</v>
      </c>
      <c r="Q120" s="98" t="e">
        <f>#REF!</f>
        <v>#REF!</v>
      </c>
      <c r="R120" s="98" t="e">
        <f>#REF!</f>
        <v>#REF!</v>
      </c>
      <c r="S120" s="98" t="e">
        <f>#REF!</f>
        <v>#REF!</v>
      </c>
      <c r="T120" s="98" t="e">
        <f>#REF!</f>
        <v>#REF!</v>
      </c>
      <c r="U120" s="98"/>
      <c r="V120" s="98"/>
      <c r="W12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0" s="98" t="str">
        <f t="shared" ca="1" si="24"/>
        <v>2.n</v>
      </c>
      <c r="Y120" s="98"/>
      <c r="Z120" s="98"/>
      <c r="AA120" s="98"/>
      <c r="AB120" s="98"/>
      <c r="AC120" s="98"/>
      <c r="AD120" s="98"/>
      <c r="AE120" s="98"/>
      <c r="AF120" s="98"/>
      <c r="AG120" s="98"/>
      <c r="AH120" s="98"/>
    </row>
    <row r="121" spans="1:72" x14ac:dyDescent="0.3">
      <c r="A121" s="27" t="s">
        <v>298</v>
      </c>
      <c r="B121" s="18" t="s">
        <v>271</v>
      </c>
      <c r="C121" s="65" t="s">
        <v>272</v>
      </c>
      <c r="D121" s="14"/>
      <c r="E121" s="14" t="s">
        <v>299</v>
      </c>
      <c r="F121" s="14" t="s">
        <v>96</v>
      </c>
      <c r="G121" s="66">
        <v>1</v>
      </c>
      <c r="H121" s="33">
        <v>11.75</v>
      </c>
      <c r="I121" s="121">
        <f>H121-J121</f>
        <v>11.75</v>
      </c>
      <c r="J121" s="243">
        <f>SUM(Таблица2[[#This Row],[1.n]:[12.n]])</f>
        <v>0</v>
      </c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241"/>
      <c r="X121" s="241"/>
      <c r="Y121" s="241"/>
      <c r="Z121" s="241"/>
      <c r="AA121" s="241"/>
      <c r="AB121" s="241"/>
      <c r="AC121" s="241"/>
      <c r="AD121" s="241"/>
      <c r="AE121" s="241"/>
      <c r="AF121" s="241"/>
      <c r="AG121" s="241"/>
      <c r="AH121" s="241"/>
      <c r="BT121" s="37">
        <f>'4.n'!E3+'8.n'!E3</f>
        <v>328.22500000000002</v>
      </c>
    </row>
    <row r="122" spans="1:72" hidden="1" x14ac:dyDescent="0.3">
      <c r="A122" s="26" t="s">
        <v>300</v>
      </c>
      <c r="B122" s="17"/>
      <c r="C122" s="53" t="s">
        <v>5</v>
      </c>
      <c r="D122" s="54"/>
      <c r="E122" s="54"/>
      <c r="F122" s="55" t="s">
        <v>3</v>
      </c>
      <c r="G122" s="56">
        <v>0.15</v>
      </c>
      <c r="H122" s="34">
        <v>1.7629999999999999</v>
      </c>
      <c r="I122" s="112"/>
      <c r="J122" s="105">
        <f ca="1">SUM(Таблица2[[#This Row],[1.n]:[12.n]])</f>
        <v>0</v>
      </c>
      <c r="K122" s="98" t="e">
        <f>#REF!</f>
        <v>#REF!</v>
      </c>
      <c r="L122" s="98" t="e">
        <f>#REF!</f>
        <v>#REF!</v>
      </c>
      <c r="M122" s="98" t="e">
        <f>#REF!</f>
        <v>#REF!</v>
      </c>
      <c r="N122" s="98" t="e">
        <f>#REF!</f>
        <v>#REF!</v>
      </c>
      <c r="O122" s="98" t="e">
        <f>#REF!</f>
        <v>#REF!</v>
      </c>
      <c r="P122" s="98" t="e">
        <f>#REF!</f>
        <v>#REF!</v>
      </c>
      <c r="Q122" s="98" t="e">
        <f>#REF!</f>
        <v>#REF!</v>
      </c>
      <c r="R122" s="98" t="e">
        <f>#REF!</f>
        <v>#REF!</v>
      </c>
      <c r="S122" s="98" t="e">
        <f>#REF!</f>
        <v>#REF!</v>
      </c>
      <c r="T122" s="98" t="e">
        <f>#REF!</f>
        <v>#REF!</v>
      </c>
      <c r="U122" s="98"/>
      <c r="V122" s="98"/>
      <c r="W12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2" s="98" t="str">
        <f t="shared" ca="1" si="24"/>
        <v>2.n</v>
      </c>
      <c r="Y122" s="98"/>
      <c r="Z122" s="98"/>
      <c r="AA122" s="98"/>
      <c r="AB122" s="98"/>
      <c r="AC122" s="98"/>
      <c r="AD122" s="98"/>
      <c r="AE122" s="98"/>
      <c r="AF122" s="98"/>
      <c r="AG122" s="98"/>
      <c r="AH122" s="98"/>
    </row>
    <row r="123" spans="1:72" ht="62.4" hidden="1" x14ac:dyDescent="0.3">
      <c r="A123" s="25" t="s">
        <v>301</v>
      </c>
      <c r="B123" s="16"/>
      <c r="C123" s="59" t="s">
        <v>247</v>
      </c>
      <c r="D123" s="50"/>
      <c r="E123" s="50" t="s">
        <v>302</v>
      </c>
      <c r="F123" s="51" t="s">
        <v>3</v>
      </c>
      <c r="G123" s="52">
        <v>0.3</v>
      </c>
      <c r="H123" s="34">
        <v>3.5249999999999999</v>
      </c>
      <c r="I123" s="80"/>
      <c r="J123" s="106">
        <f ca="1">SUM(Таблица2[[#This Row],[1.n]:[12.n]])</f>
        <v>0</v>
      </c>
      <c r="K123" s="98" t="e">
        <f>#REF!</f>
        <v>#REF!</v>
      </c>
      <c r="L123" s="98" t="e">
        <f>#REF!</f>
        <v>#REF!</v>
      </c>
      <c r="M123" s="98" t="e">
        <f>#REF!</f>
        <v>#REF!</v>
      </c>
      <c r="N123" s="98" t="e">
        <f>#REF!</f>
        <v>#REF!</v>
      </c>
      <c r="O123" s="98" t="e">
        <f>#REF!</f>
        <v>#REF!</v>
      </c>
      <c r="P123" s="98" t="e">
        <f>#REF!</f>
        <v>#REF!</v>
      </c>
      <c r="Q123" s="98" t="e">
        <f>#REF!</f>
        <v>#REF!</v>
      </c>
      <c r="R123" s="98" t="e">
        <f>#REF!</f>
        <v>#REF!</v>
      </c>
      <c r="S123" s="98" t="e">
        <f>#REF!</f>
        <v>#REF!</v>
      </c>
      <c r="T123" s="98" t="e">
        <f>#REF!</f>
        <v>#REF!</v>
      </c>
      <c r="U123" s="98"/>
      <c r="V123" s="98"/>
      <c r="W12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3" s="98" t="str">
        <f t="shared" ca="1" si="24"/>
        <v>2.n</v>
      </c>
      <c r="Y123" s="98"/>
      <c r="Z123" s="98"/>
      <c r="AA123" s="98"/>
      <c r="AB123" s="98"/>
      <c r="AC123" s="98"/>
      <c r="AD123" s="98"/>
      <c r="AE123" s="98"/>
      <c r="AF123" s="98"/>
      <c r="AG123" s="98"/>
      <c r="AH123" s="98"/>
    </row>
    <row r="124" spans="1:72" x14ac:dyDescent="0.3">
      <c r="A124" s="24" t="s">
        <v>303</v>
      </c>
      <c r="B124" s="15" t="s">
        <v>271</v>
      </c>
      <c r="C124" s="46" t="s">
        <v>272</v>
      </c>
      <c r="D124" s="47"/>
      <c r="E124" s="47" t="s">
        <v>304</v>
      </c>
      <c r="F124" s="47" t="s">
        <v>96</v>
      </c>
      <c r="G124" s="48">
        <v>1</v>
      </c>
      <c r="H124" s="33">
        <v>78.400000000000006</v>
      </c>
      <c r="I124" s="121">
        <f>H124-J124</f>
        <v>78.400000000000006</v>
      </c>
      <c r="J124" s="243">
        <f>SUM(Таблица2[[#This Row],[1.n]:[12.n]])</f>
        <v>0</v>
      </c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241"/>
      <c r="X124" s="241"/>
      <c r="Y124" s="241"/>
      <c r="Z124" s="241"/>
      <c r="AA124" s="241"/>
      <c r="AB124" s="241"/>
      <c r="AC124" s="241"/>
      <c r="AD124" s="241"/>
      <c r="AE124" s="241"/>
      <c r="AF124" s="241"/>
      <c r="AG124" s="241"/>
      <c r="AH124" s="241"/>
    </row>
    <row r="125" spans="1:72" ht="62.4" hidden="1" x14ac:dyDescent="0.3">
      <c r="A125" s="25" t="s">
        <v>305</v>
      </c>
      <c r="B125" s="16"/>
      <c r="C125" s="59" t="s">
        <v>247</v>
      </c>
      <c r="D125" s="50"/>
      <c r="E125" s="50" t="s">
        <v>306</v>
      </c>
      <c r="F125" s="51" t="s">
        <v>3</v>
      </c>
      <c r="G125" s="52">
        <v>0.3</v>
      </c>
      <c r="H125" s="34">
        <v>23.52</v>
      </c>
      <c r="I125" s="60"/>
      <c r="J125" s="100">
        <f ca="1">SUM(Таблица2[[#This Row],[1.n]:[12.n]])</f>
        <v>0</v>
      </c>
      <c r="K125" s="98" t="e">
        <f>#REF!</f>
        <v>#REF!</v>
      </c>
      <c r="L125" s="98" t="e">
        <f>#REF!</f>
        <v>#REF!</v>
      </c>
      <c r="M125" s="98" t="e">
        <f>#REF!</f>
        <v>#REF!</v>
      </c>
      <c r="N125" s="98" t="e">
        <f>#REF!</f>
        <v>#REF!</v>
      </c>
      <c r="O125" s="98" t="e">
        <f>#REF!</f>
        <v>#REF!</v>
      </c>
      <c r="P125" s="98" t="e">
        <f>#REF!</f>
        <v>#REF!</v>
      </c>
      <c r="Q125" s="98" t="e">
        <f>#REF!</f>
        <v>#REF!</v>
      </c>
      <c r="R125" s="98" t="e">
        <f>#REF!</f>
        <v>#REF!</v>
      </c>
      <c r="S125" s="98" t="e">
        <f>#REF!</f>
        <v>#REF!</v>
      </c>
      <c r="T125" s="98" t="e">
        <f>#REF!</f>
        <v>#REF!</v>
      </c>
      <c r="U125" s="98"/>
      <c r="V125" s="98"/>
      <c r="W12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5" s="98" t="str">
        <f t="shared" ca="1" si="24"/>
        <v>2.n</v>
      </c>
      <c r="Y125" s="98"/>
      <c r="Z125" s="98"/>
      <c r="AA125" s="98"/>
      <c r="AB125" s="98"/>
      <c r="AC125" s="98"/>
      <c r="AD125" s="98"/>
      <c r="AE125" s="98"/>
      <c r="AF125" s="98"/>
      <c r="AG125" s="98"/>
      <c r="AH125" s="98"/>
    </row>
    <row r="126" spans="1:72" hidden="1" x14ac:dyDescent="0.3">
      <c r="A126" s="26" t="s">
        <v>307</v>
      </c>
      <c r="B126" s="17"/>
      <c r="C126" s="53" t="s">
        <v>5</v>
      </c>
      <c r="D126" s="54"/>
      <c r="E126" s="54"/>
      <c r="F126" s="55" t="s">
        <v>3</v>
      </c>
      <c r="G126" s="56">
        <v>0.15</v>
      </c>
      <c r="H126" s="34">
        <v>11.76</v>
      </c>
      <c r="I126" s="81"/>
      <c r="J126" s="107">
        <f ca="1">SUM(Таблица2[[#This Row],[1.n]:[12.n]])</f>
        <v>0</v>
      </c>
      <c r="K126" s="98" t="e">
        <f>#REF!</f>
        <v>#REF!</v>
      </c>
      <c r="L126" s="98" t="e">
        <f>#REF!</f>
        <v>#REF!</v>
      </c>
      <c r="M126" s="98" t="e">
        <f>#REF!</f>
        <v>#REF!</v>
      </c>
      <c r="N126" s="98" t="e">
        <f>#REF!</f>
        <v>#REF!</v>
      </c>
      <c r="O126" s="98" t="e">
        <f>#REF!</f>
        <v>#REF!</v>
      </c>
      <c r="P126" s="98" t="e">
        <f>#REF!</f>
        <v>#REF!</v>
      </c>
      <c r="Q126" s="98" t="e">
        <f>#REF!</f>
        <v>#REF!</v>
      </c>
      <c r="R126" s="98" t="e">
        <f>#REF!</f>
        <v>#REF!</v>
      </c>
      <c r="S126" s="98" t="e">
        <f>#REF!</f>
        <v>#REF!</v>
      </c>
      <c r="T126" s="98" t="e">
        <f>#REF!</f>
        <v>#REF!</v>
      </c>
      <c r="U126" s="98"/>
      <c r="V126" s="98"/>
      <c r="W12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6" s="98" t="str">
        <f t="shared" ca="1" si="24"/>
        <v>2.n</v>
      </c>
      <c r="Y126" s="98"/>
      <c r="Z126" s="98"/>
      <c r="AA126" s="98"/>
      <c r="AB126" s="98"/>
      <c r="AC126" s="98"/>
      <c r="AD126" s="98"/>
      <c r="AE126" s="98"/>
      <c r="AF126" s="98"/>
      <c r="AG126" s="98"/>
      <c r="AH126" s="98"/>
    </row>
    <row r="127" spans="1:72" x14ac:dyDescent="0.3">
      <c r="A127" s="27" t="s">
        <v>308</v>
      </c>
      <c r="B127" s="18" t="s">
        <v>271</v>
      </c>
      <c r="C127" s="65" t="s">
        <v>272</v>
      </c>
      <c r="D127" s="14"/>
      <c r="E127" s="14" t="s">
        <v>309</v>
      </c>
      <c r="F127" s="14" t="s">
        <v>96</v>
      </c>
      <c r="G127" s="66">
        <v>1</v>
      </c>
      <c r="H127" s="33">
        <v>351.8</v>
      </c>
      <c r="I127" s="121">
        <f>H127-J127</f>
        <v>351.8</v>
      </c>
      <c r="J127" s="243">
        <f>SUM(Таблица2[[#This Row],[1.n]:[12.n]])</f>
        <v>0</v>
      </c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241"/>
      <c r="X127" s="241"/>
      <c r="Y127" s="241"/>
      <c r="Z127" s="241"/>
      <c r="AA127" s="241"/>
      <c r="AB127" s="241"/>
      <c r="AC127" s="241"/>
      <c r="AD127" s="241"/>
      <c r="AE127" s="241"/>
      <c r="AF127" s="241"/>
      <c r="AG127" s="241"/>
      <c r="AH127" s="241"/>
    </row>
    <row r="128" spans="1:72" hidden="1" x14ac:dyDescent="0.3">
      <c r="A128" s="26" t="s">
        <v>310</v>
      </c>
      <c r="B128" s="17"/>
      <c r="C128" s="53" t="s">
        <v>5</v>
      </c>
      <c r="D128" s="54"/>
      <c r="E128" s="54"/>
      <c r="F128" s="55" t="s">
        <v>3</v>
      </c>
      <c r="G128" s="56">
        <v>0.15</v>
      </c>
      <c r="H128" s="34">
        <v>52.77</v>
      </c>
      <c r="I128" s="113"/>
      <c r="J128" s="107">
        <f ca="1">SUM(Таблица2[[#This Row],[1.n]:[12.n]])</f>
        <v>0</v>
      </c>
      <c r="K128" s="98" t="e">
        <f>#REF!</f>
        <v>#REF!</v>
      </c>
      <c r="L128" s="98" t="e">
        <f>#REF!</f>
        <v>#REF!</v>
      </c>
      <c r="M128" s="98" t="e">
        <f>#REF!</f>
        <v>#REF!</v>
      </c>
      <c r="N128" s="98" t="e">
        <f>#REF!</f>
        <v>#REF!</v>
      </c>
      <c r="O128" s="98" t="e">
        <f>#REF!</f>
        <v>#REF!</v>
      </c>
      <c r="P128" s="98" t="e">
        <f>#REF!</f>
        <v>#REF!</v>
      </c>
      <c r="Q128" s="98" t="e">
        <f>#REF!</f>
        <v>#REF!</v>
      </c>
      <c r="R128" s="98" t="e">
        <f>#REF!</f>
        <v>#REF!</v>
      </c>
      <c r="S128" s="98" t="e">
        <f>#REF!</f>
        <v>#REF!</v>
      </c>
      <c r="T128" s="98" t="e">
        <f>#REF!</f>
        <v>#REF!</v>
      </c>
      <c r="U128" s="98"/>
      <c r="V128" s="98"/>
      <c r="W12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8" s="98" t="str">
        <f t="shared" ca="1" si="24"/>
        <v>2.n</v>
      </c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</row>
    <row r="129" spans="1:34" ht="62.4" hidden="1" x14ac:dyDescent="0.3">
      <c r="A129" s="25" t="s">
        <v>311</v>
      </c>
      <c r="B129" s="16"/>
      <c r="C129" s="59" t="s">
        <v>247</v>
      </c>
      <c r="D129" s="50"/>
      <c r="E129" s="50" t="s">
        <v>312</v>
      </c>
      <c r="F129" s="51" t="s">
        <v>3</v>
      </c>
      <c r="G129" s="52">
        <v>0.3</v>
      </c>
      <c r="H129" s="34">
        <v>105.54</v>
      </c>
      <c r="I129" s="81"/>
      <c r="J129" s="107">
        <f ca="1">SUM(Таблица2[[#This Row],[1.n]:[12.n]])</f>
        <v>0</v>
      </c>
      <c r="K129" s="98" t="e">
        <f>#REF!</f>
        <v>#REF!</v>
      </c>
      <c r="L129" s="98" t="e">
        <f>#REF!</f>
        <v>#REF!</v>
      </c>
      <c r="M129" s="98" t="e">
        <f>#REF!</f>
        <v>#REF!</v>
      </c>
      <c r="N129" s="98" t="e">
        <f>#REF!</f>
        <v>#REF!</v>
      </c>
      <c r="O129" s="98" t="e">
        <f>#REF!</f>
        <v>#REF!</v>
      </c>
      <c r="P129" s="98" t="e">
        <f>#REF!</f>
        <v>#REF!</v>
      </c>
      <c r="Q129" s="98" t="e">
        <f>#REF!</f>
        <v>#REF!</v>
      </c>
      <c r="R129" s="98" t="e">
        <f>#REF!</f>
        <v>#REF!</v>
      </c>
      <c r="S129" s="98" t="e">
        <f>#REF!</f>
        <v>#REF!</v>
      </c>
      <c r="T129" s="98" t="e">
        <f>#REF!</f>
        <v>#REF!</v>
      </c>
      <c r="U129" s="98"/>
      <c r="V129" s="98"/>
      <c r="W12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29" s="98" t="str">
        <f t="shared" ca="1" si="24"/>
        <v>2.n</v>
      </c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</row>
    <row r="130" spans="1:34" x14ac:dyDescent="0.3">
      <c r="A130" s="24" t="s">
        <v>313</v>
      </c>
      <c r="B130" s="15" t="s">
        <v>271</v>
      </c>
      <c r="C130" s="46" t="s">
        <v>272</v>
      </c>
      <c r="D130" s="47"/>
      <c r="E130" s="47" t="s">
        <v>314</v>
      </c>
      <c r="F130" s="47" t="s">
        <v>96</v>
      </c>
      <c r="G130" s="48">
        <v>1</v>
      </c>
      <c r="H130" s="33">
        <v>2020.16</v>
      </c>
      <c r="I130" s="121">
        <f>H130-J130</f>
        <v>2020.16</v>
      </c>
      <c r="J130" s="243">
        <f>SUM(Таблица2[[#This Row],[1.n]:[12.n]])</f>
        <v>0</v>
      </c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241"/>
      <c r="X130" s="241"/>
      <c r="Y130" s="241"/>
      <c r="Z130" s="241"/>
      <c r="AA130" s="241"/>
      <c r="AB130" s="241"/>
      <c r="AC130" s="241"/>
      <c r="AD130" s="241"/>
      <c r="AE130" s="241"/>
      <c r="AF130" s="241"/>
      <c r="AG130" s="241"/>
      <c r="AH130" s="241"/>
    </row>
    <row r="131" spans="1:34" ht="78" hidden="1" x14ac:dyDescent="0.3">
      <c r="A131" s="25" t="s">
        <v>315</v>
      </c>
      <c r="B131" s="16"/>
      <c r="C131" s="59" t="s">
        <v>253</v>
      </c>
      <c r="D131" s="50"/>
      <c r="E131" s="50" t="s">
        <v>316</v>
      </c>
      <c r="F131" s="51" t="s">
        <v>3</v>
      </c>
      <c r="G131" s="52">
        <v>0.3</v>
      </c>
      <c r="H131" s="34">
        <v>606.048</v>
      </c>
      <c r="I131" s="113"/>
      <c r="J131" s="107">
        <f ca="1">SUM(Таблица2[[#This Row],[1.n]:[12.n]])</f>
        <v>0</v>
      </c>
      <c r="K131" s="98" t="e">
        <f>#REF!</f>
        <v>#REF!</v>
      </c>
      <c r="L131" s="98" t="e">
        <f>#REF!</f>
        <v>#REF!</v>
      </c>
      <c r="M131" s="98" t="e">
        <f>#REF!</f>
        <v>#REF!</v>
      </c>
      <c r="N131" s="98" t="e">
        <f>#REF!</f>
        <v>#REF!</v>
      </c>
      <c r="O131" s="98" t="e">
        <f>#REF!</f>
        <v>#REF!</v>
      </c>
      <c r="P131" s="98" t="e">
        <f>#REF!</f>
        <v>#REF!</v>
      </c>
      <c r="Q131" s="98" t="e">
        <f>#REF!</f>
        <v>#REF!</v>
      </c>
      <c r="R131" s="98" t="e">
        <f>#REF!</f>
        <v>#REF!</v>
      </c>
      <c r="S131" s="98" t="e">
        <f>#REF!</f>
        <v>#REF!</v>
      </c>
      <c r="T131" s="98" t="e">
        <f>#REF!</f>
        <v>#REF!</v>
      </c>
      <c r="U131" s="98"/>
      <c r="V131" s="98"/>
      <c r="W13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31" s="98" t="str">
        <f t="shared" ref="X131:X193" ca="1" si="27">INDIRECT(ADDRESS(1, COLUMN()))</f>
        <v>2.n</v>
      </c>
      <c r="Y131" s="98"/>
      <c r="Z131" s="98"/>
      <c r="AA131" s="98"/>
      <c r="AB131" s="98"/>
      <c r="AC131" s="98"/>
      <c r="AD131" s="98"/>
      <c r="AE131" s="98"/>
      <c r="AF131" s="98"/>
      <c r="AG131" s="98"/>
      <c r="AH131" s="98"/>
    </row>
    <row r="132" spans="1:34" hidden="1" x14ac:dyDescent="0.3">
      <c r="A132" s="26" t="s">
        <v>317</v>
      </c>
      <c r="B132" s="17"/>
      <c r="C132" s="53" t="s">
        <v>5</v>
      </c>
      <c r="D132" s="54"/>
      <c r="E132" s="54"/>
      <c r="F132" s="55" t="s">
        <v>3</v>
      </c>
      <c r="G132" s="56">
        <v>0.15</v>
      </c>
      <c r="H132" s="34">
        <v>303.024</v>
      </c>
      <c r="I132" s="81"/>
      <c r="J132" s="107">
        <f ca="1">SUM(Таблица2[[#This Row],[1.n]:[12.n]])</f>
        <v>0</v>
      </c>
      <c r="K132" s="98" t="e">
        <f>#REF!</f>
        <v>#REF!</v>
      </c>
      <c r="L132" s="98" t="e">
        <f>#REF!</f>
        <v>#REF!</v>
      </c>
      <c r="M132" s="98" t="e">
        <f>#REF!</f>
        <v>#REF!</v>
      </c>
      <c r="N132" s="98" t="e">
        <f>#REF!</f>
        <v>#REF!</v>
      </c>
      <c r="O132" s="98" t="e">
        <f>#REF!</f>
        <v>#REF!</v>
      </c>
      <c r="P132" s="98" t="e">
        <f>#REF!</f>
        <v>#REF!</v>
      </c>
      <c r="Q132" s="98" t="e">
        <f>#REF!</f>
        <v>#REF!</v>
      </c>
      <c r="R132" s="98" t="e">
        <f>#REF!</f>
        <v>#REF!</v>
      </c>
      <c r="S132" s="98" t="e">
        <f>#REF!</f>
        <v>#REF!</v>
      </c>
      <c r="T132" s="98" t="e">
        <f>#REF!</f>
        <v>#REF!</v>
      </c>
      <c r="U132" s="98"/>
      <c r="V132" s="98"/>
      <c r="W13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32" s="98" t="str">
        <f t="shared" ca="1" si="27"/>
        <v>2.n</v>
      </c>
      <c r="Y132" s="98"/>
      <c r="Z132" s="98"/>
      <c r="AA132" s="98"/>
      <c r="AB132" s="98"/>
      <c r="AC132" s="98"/>
      <c r="AD132" s="98"/>
      <c r="AE132" s="98"/>
      <c r="AF132" s="98"/>
      <c r="AG132" s="98"/>
      <c r="AH132" s="98"/>
    </row>
    <row r="133" spans="1:34" x14ac:dyDescent="0.3">
      <c r="A133" s="25" t="s">
        <v>318</v>
      </c>
      <c r="B133" s="16" t="s">
        <v>271</v>
      </c>
      <c r="C133" s="57" t="s">
        <v>272</v>
      </c>
      <c r="D133" s="50"/>
      <c r="E133" s="50" t="s">
        <v>319</v>
      </c>
      <c r="F133" s="50" t="s">
        <v>96</v>
      </c>
      <c r="G133" s="58">
        <v>1</v>
      </c>
      <c r="H133" s="35">
        <v>141.44999999999999</v>
      </c>
      <c r="I133" s="121">
        <f>H133-J133</f>
        <v>141.44999999999999</v>
      </c>
      <c r="J133" s="243">
        <f>SUM(Таблица2[[#This Row],[1.n]:[12.n]])</f>
        <v>0</v>
      </c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241"/>
      <c r="X133" s="241"/>
      <c r="Y133" s="241"/>
      <c r="Z133" s="241"/>
      <c r="AA133" s="241"/>
      <c r="AB133" s="241"/>
      <c r="AC133" s="241"/>
      <c r="AD133" s="241"/>
      <c r="AE133" s="241"/>
      <c r="AF133" s="241"/>
      <c r="AG133" s="241"/>
      <c r="AH133" s="241"/>
    </row>
    <row r="134" spans="1:34" hidden="1" x14ac:dyDescent="0.3">
      <c r="A134" s="26" t="s">
        <v>320</v>
      </c>
      <c r="B134" s="17"/>
      <c r="C134" s="53" t="s">
        <v>5</v>
      </c>
      <c r="D134" s="54"/>
      <c r="E134" s="54"/>
      <c r="F134" s="55" t="s">
        <v>3</v>
      </c>
      <c r="G134" s="56">
        <v>0.15</v>
      </c>
      <c r="H134" s="34">
        <v>21.218</v>
      </c>
      <c r="I134" s="113"/>
      <c r="J134" s="107">
        <f ca="1">SUM(Таблица2[[#This Row],[1.n]:[12.n]])</f>
        <v>0</v>
      </c>
      <c r="K134" s="98" t="e">
        <f>#REF!</f>
        <v>#REF!</v>
      </c>
      <c r="L134" s="98" t="e">
        <f>#REF!</f>
        <v>#REF!</v>
      </c>
      <c r="M134" s="98" t="e">
        <f>#REF!</f>
        <v>#REF!</v>
      </c>
      <c r="N134" s="98" t="e">
        <f>#REF!</f>
        <v>#REF!</v>
      </c>
      <c r="O134" s="98" t="e">
        <f>#REF!</f>
        <v>#REF!</v>
      </c>
      <c r="P134" s="98" t="e">
        <f>#REF!</f>
        <v>#REF!</v>
      </c>
      <c r="Q134" s="98" t="e">
        <f>#REF!</f>
        <v>#REF!</v>
      </c>
      <c r="R134" s="98" t="e">
        <f>#REF!</f>
        <v>#REF!</v>
      </c>
      <c r="S134" s="98" t="e">
        <f>#REF!</f>
        <v>#REF!</v>
      </c>
      <c r="T134" s="98" t="e">
        <f>#REF!</f>
        <v>#REF!</v>
      </c>
      <c r="U134" s="98"/>
      <c r="V134" s="98"/>
      <c r="W13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34" s="98" t="str">
        <f t="shared" ca="1" si="27"/>
        <v>2.n</v>
      </c>
      <c r="Y134" s="98"/>
      <c r="Z134" s="98"/>
      <c r="AA134" s="98"/>
      <c r="AB134" s="98"/>
      <c r="AC134" s="98"/>
      <c r="AD134" s="98"/>
      <c r="AE134" s="98"/>
      <c r="AF134" s="98"/>
      <c r="AG134" s="98"/>
      <c r="AH134" s="98"/>
    </row>
    <row r="135" spans="1:34" ht="62.4" hidden="1" x14ac:dyDescent="0.3">
      <c r="A135" s="25" t="s">
        <v>321</v>
      </c>
      <c r="B135" s="16"/>
      <c r="C135" s="59" t="s">
        <v>247</v>
      </c>
      <c r="D135" s="50"/>
      <c r="E135" s="50" t="s">
        <v>322</v>
      </c>
      <c r="F135" s="51" t="s">
        <v>3</v>
      </c>
      <c r="G135" s="52">
        <v>0.3</v>
      </c>
      <c r="H135" s="34">
        <v>42.435000000000002</v>
      </c>
      <c r="I135" s="62"/>
      <c r="J135" s="100">
        <f ca="1">SUM(Таблица2[[#This Row],[1.n]:[12.n]])</f>
        <v>0</v>
      </c>
      <c r="K135" s="98" t="e">
        <f>#REF!</f>
        <v>#REF!</v>
      </c>
      <c r="L135" s="98" t="e">
        <f>#REF!</f>
        <v>#REF!</v>
      </c>
      <c r="M135" s="98" t="e">
        <f>#REF!</f>
        <v>#REF!</v>
      </c>
      <c r="N135" s="98" t="e">
        <f>#REF!</f>
        <v>#REF!</v>
      </c>
      <c r="O135" s="98" t="e">
        <f>#REF!</f>
        <v>#REF!</v>
      </c>
      <c r="P135" s="98" t="e">
        <f>#REF!</f>
        <v>#REF!</v>
      </c>
      <c r="Q135" s="98" t="e">
        <f>#REF!</f>
        <v>#REF!</v>
      </c>
      <c r="R135" s="98" t="e">
        <f>#REF!</f>
        <v>#REF!</v>
      </c>
      <c r="S135" s="98" t="e">
        <f>#REF!</f>
        <v>#REF!</v>
      </c>
      <c r="T135" s="98" t="e">
        <f>#REF!</f>
        <v>#REF!</v>
      </c>
      <c r="U135" s="98"/>
      <c r="V135" s="98"/>
      <c r="W13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35" s="98" t="str">
        <f t="shared" ca="1" si="27"/>
        <v>2.n</v>
      </c>
      <c r="Y135" s="98"/>
      <c r="Z135" s="98"/>
      <c r="AA135" s="98"/>
      <c r="AB135" s="98"/>
      <c r="AC135" s="98"/>
      <c r="AD135" s="98"/>
      <c r="AE135" s="98"/>
      <c r="AF135" s="98"/>
      <c r="AG135" s="98"/>
      <c r="AH135" s="98"/>
    </row>
    <row r="136" spans="1:34" x14ac:dyDescent="0.3">
      <c r="A136" s="24" t="s">
        <v>323</v>
      </c>
      <c r="B136" s="15" t="s">
        <v>271</v>
      </c>
      <c r="C136" s="46" t="s">
        <v>272</v>
      </c>
      <c r="D136" s="47"/>
      <c r="E136" s="47" t="s">
        <v>324</v>
      </c>
      <c r="F136" s="47" t="s">
        <v>96</v>
      </c>
      <c r="G136" s="48">
        <v>1</v>
      </c>
      <c r="H136" s="33">
        <v>25.11</v>
      </c>
      <c r="I136" s="121">
        <f>H136-J136</f>
        <v>25.11</v>
      </c>
      <c r="J136" s="243">
        <f>SUM(Таблица2[[#This Row],[1.n]:[12.n]])</f>
        <v>0</v>
      </c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241"/>
      <c r="X136" s="241"/>
      <c r="Y136" s="241"/>
      <c r="Z136" s="241"/>
      <c r="AA136" s="241"/>
      <c r="AB136" s="241"/>
      <c r="AC136" s="241"/>
      <c r="AD136" s="241"/>
      <c r="AE136" s="241"/>
      <c r="AF136" s="241"/>
      <c r="AG136" s="241"/>
      <c r="AH136" s="241"/>
    </row>
    <row r="137" spans="1:34" ht="62.4" hidden="1" x14ac:dyDescent="0.3">
      <c r="A137" s="25" t="s">
        <v>325</v>
      </c>
      <c r="B137" s="16"/>
      <c r="C137" s="59" t="s">
        <v>247</v>
      </c>
      <c r="D137" s="50"/>
      <c r="E137" s="50" t="s">
        <v>326</v>
      </c>
      <c r="F137" s="51" t="s">
        <v>3</v>
      </c>
      <c r="G137" s="52">
        <v>0.3</v>
      </c>
      <c r="H137" s="34">
        <v>7.5330000000000004</v>
      </c>
      <c r="I137" s="113"/>
      <c r="J137" s="107">
        <f ca="1">SUM(Таблица2[[#This Row],[1.n]:[12.n]])</f>
        <v>0</v>
      </c>
      <c r="K137" s="98" t="e">
        <f>#REF!</f>
        <v>#REF!</v>
      </c>
      <c r="L137" s="98" t="e">
        <f>#REF!</f>
        <v>#REF!</v>
      </c>
      <c r="M137" s="98" t="e">
        <f>#REF!</f>
        <v>#REF!</v>
      </c>
      <c r="N137" s="98" t="e">
        <f>#REF!</f>
        <v>#REF!</v>
      </c>
      <c r="O137" s="98" t="e">
        <f>#REF!</f>
        <v>#REF!</v>
      </c>
      <c r="P137" s="98" t="e">
        <f>#REF!</f>
        <v>#REF!</v>
      </c>
      <c r="Q137" s="98" t="e">
        <f>#REF!</f>
        <v>#REF!</v>
      </c>
      <c r="R137" s="98" t="e">
        <f>#REF!</f>
        <v>#REF!</v>
      </c>
      <c r="S137" s="98" t="e">
        <f>#REF!</f>
        <v>#REF!</v>
      </c>
      <c r="T137" s="98" t="e">
        <f>#REF!</f>
        <v>#REF!</v>
      </c>
      <c r="U137" s="98"/>
      <c r="V137" s="98"/>
      <c r="W13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37" s="98" t="str">
        <f t="shared" ca="1" si="27"/>
        <v>2.n</v>
      </c>
      <c r="Y137" s="98"/>
      <c r="Z137" s="98"/>
      <c r="AA137" s="98"/>
      <c r="AB137" s="98"/>
      <c r="AC137" s="98"/>
      <c r="AD137" s="98"/>
      <c r="AE137" s="98"/>
      <c r="AF137" s="98"/>
      <c r="AG137" s="98"/>
      <c r="AH137" s="98"/>
    </row>
    <row r="138" spans="1:34" hidden="1" x14ac:dyDescent="0.3">
      <c r="A138" s="26" t="s">
        <v>327</v>
      </c>
      <c r="B138" s="17"/>
      <c r="C138" s="53" t="s">
        <v>5</v>
      </c>
      <c r="D138" s="54"/>
      <c r="E138" s="54"/>
      <c r="F138" s="55" t="s">
        <v>3</v>
      </c>
      <c r="G138" s="56">
        <v>0.15</v>
      </c>
      <c r="H138" s="34">
        <v>3.7669999999999999</v>
      </c>
      <c r="I138" s="81"/>
      <c r="J138" s="107">
        <f ca="1">SUM(Таблица2[[#This Row],[1.n]:[12.n]])</f>
        <v>0</v>
      </c>
      <c r="K138" s="98" t="e">
        <f>#REF!</f>
        <v>#REF!</v>
      </c>
      <c r="L138" s="98" t="e">
        <f>#REF!</f>
        <v>#REF!</v>
      </c>
      <c r="M138" s="98" t="e">
        <f>#REF!</f>
        <v>#REF!</v>
      </c>
      <c r="N138" s="98" t="e">
        <f>#REF!</f>
        <v>#REF!</v>
      </c>
      <c r="O138" s="98" t="e">
        <f>#REF!</f>
        <v>#REF!</v>
      </c>
      <c r="P138" s="98" t="e">
        <f>#REF!</f>
        <v>#REF!</v>
      </c>
      <c r="Q138" s="98" t="e">
        <f>#REF!</f>
        <v>#REF!</v>
      </c>
      <c r="R138" s="98" t="e">
        <f>#REF!</f>
        <v>#REF!</v>
      </c>
      <c r="S138" s="98" t="e">
        <f>#REF!</f>
        <v>#REF!</v>
      </c>
      <c r="T138" s="98" t="e">
        <f>#REF!</f>
        <v>#REF!</v>
      </c>
      <c r="U138" s="98"/>
      <c r="V138" s="98"/>
      <c r="W13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38" s="98" t="str">
        <f t="shared" ca="1" si="27"/>
        <v>2.n</v>
      </c>
      <c r="Y138" s="98"/>
      <c r="Z138" s="98"/>
      <c r="AA138" s="98"/>
      <c r="AB138" s="98"/>
      <c r="AC138" s="98"/>
      <c r="AD138" s="98"/>
      <c r="AE138" s="98"/>
      <c r="AF138" s="98"/>
      <c r="AG138" s="98"/>
      <c r="AH138" s="98"/>
    </row>
    <row r="139" spans="1:34" x14ac:dyDescent="0.3">
      <c r="A139" s="27" t="s">
        <v>328</v>
      </c>
      <c r="B139" s="18" t="s">
        <v>271</v>
      </c>
      <c r="C139" s="65" t="s">
        <v>272</v>
      </c>
      <c r="D139" s="14"/>
      <c r="E139" s="14" t="s">
        <v>329</v>
      </c>
      <c r="F139" s="14" t="s">
        <v>96</v>
      </c>
      <c r="G139" s="66">
        <v>1</v>
      </c>
      <c r="H139" s="33">
        <v>4509.45</v>
      </c>
      <c r="I139" s="121">
        <f>H139-J139</f>
        <v>4509.45</v>
      </c>
      <c r="J139" s="243">
        <f>SUM(Таблица2[[#This Row],[1.n]:[12.n]])</f>
        <v>0</v>
      </c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241"/>
      <c r="X139" s="241"/>
      <c r="Y139" s="241"/>
      <c r="Z139" s="241"/>
      <c r="AA139" s="241"/>
      <c r="AB139" s="241"/>
      <c r="AC139" s="241"/>
      <c r="AD139" s="241"/>
      <c r="AE139" s="241"/>
      <c r="AF139" s="241"/>
      <c r="AG139" s="241"/>
      <c r="AH139" s="241"/>
    </row>
    <row r="140" spans="1:34" hidden="1" x14ac:dyDescent="0.3">
      <c r="A140" s="26" t="s">
        <v>330</v>
      </c>
      <c r="B140" s="17"/>
      <c r="C140" s="53" t="s">
        <v>5</v>
      </c>
      <c r="D140" s="54"/>
      <c r="E140" s="54"/>
      <c r="F140" s="55" t="s">
        <v>3</v>
      </c>
      <c r="G140" s="56">
        <v>0.15</v>
      </c>
      <c r="H140" s="34">
        <v>676.41800000000001</v>
      </c>
      <c r="I140" s="60"/>
      <c r="J140" s="100">
        <f ca="1">SUM(Таблица2[[#This Row],[1.n]:[12.n]])</f>
        <v>0</v>
      </c>
      <c r="K140" s="98" t="e">
        <f>#REF!</f>
        <v>#REF!</v>
      </c>
      <c r="L140" s="98" t="e">
        <f>#REF!</f>
        <v>#REF!</v>
      </c>
      <c r="M140" s="98" t="e">
        <f>#REF!</f>
        <v>#REF!</v>
      </c>
      <c r="N140" s="98" t="e">
        <f>#REF!</f>
        <v>#REF!</v>
      </c>
      <c r="O140" s="98" t="e">
        <f>#REF!</f>
        <v>#REF!</v>
      </c>
      <c r="P140" s="98" t="e">
        <f>#REF!</f>
        <v>#REF!</v>
      </c>
      <c r="Q140" s="98" t="e">
        <f>#REF!</f>
        <v>#REF!</v>
      </c>
      <c r="R140" s="98" t="e">
        <f>#REF!</f>
        <v>#REF!</v>
      </c>
      <c r="S140" s="98" t="e">
        <f>#REF!</f>
        <v>#REF!</v>
      </c>
      <c r="T140" s="98" t="e">
        <f>#REF!</f>
        <v>#REF!</v>
      </c>
      <c r="U140" s="98"/>
      <c r="V140" s="98"/>
      <c r="W14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0" s="98" t="str">
        <f t="shared" ca="1" si="27"/>
        <v>2.n</v>
      </c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</row>
    <row r="141" spans="1:34" ht="62.4" hidden="1" x14ac:dyDescent="0.3">
      <c r="A141" s="25" t="s">
        <v>331</v>
      </c>
      <c r="B141" s="16"/>
      <c r="C141" s="59" t="s">
        <v>275</v>
      </c>
      <c r="D141" s="50"/>
      <c r="E141" s="50" t="s">
        <v>276</v>
      </c>
      <c r="F141" s="51" t="s">
        <v>3</v>
      </c>
      <c r="G141" s="52">
        <v>0.3</v>
      </c>
      <c r="H141" s="34">
        <v>1352.835</v>
      </c>
      <c r="I141" s="81"/>
      <c r="J141" s="107">
        <f ca="1">SUM(Таблица2[[#This Row],[1.n]:[12.n]])</f>
        <v>0</v>
      </c>
      <c r="K141" s="98" t="e">
        <f>#REF!</f>
        <v>#REF!</v>
      </c>
      <c r="L141" s="98" t="e">
        <f>#REF!</f>
        <v>#REF!</v>
      </c>
      <c r="M141" s="98" t="e">
        <f>#REF!</f>
        <v>#REF!</v>
      </c>
      <c r="N141" s="98" t="e">
        <f>#REF!</f>
        <v>#REF!</v>
      </c>
      <c r="O141" s="98" t="e">
        <f>#REF!</f>
        <v>#REF!</v>
      </c>
      <c r="P141" s="98" t="e">
        <f>#REF!</f>
        <v>#REF!</v>
      </c>
      <c r="Q141" s="98" t="e">
        <f>#REF!</f>
        <v>#REF!</v>
      </c>
      <c r="R141" s="98" t="e">
        <f>#REF!</f>
        <v>#REF!</v>
      </c>
      <c r="S141" s="98" t="e">
        <f>#REF!</f>
        <v>#REF!</v>
      </c>
      <c r="T141" s="98" t="e">
        <f>#REF!</f>
        <v>#REF!</v>
      </c>
      <c r="U141" s="98"/>
      <c r="V141" s="98"/>
      <c r="W14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1" s="98" t="str">
        <f t="shared" ca="1" si="27"/>
        <v>2.n</v>
      </c>
      <c r="Y141" s="98"/>
      <c r="Z141" s="98"/>
      <c r="AA141" s="98"/>
      <c r="AB141" s="98"/>
      <c r="AC141" s="98"/>
      <c r="AD141" s="98"/>
      <c r="AE141" s="98"/>
      <c r="AF141" s="98"/>
      <c r="AG141" s="98"/>
      <c r="AH141" s="98"/>
    </row>
    <row r="142" spans="1:34" x14ac:dyDescent="0.3">
      <c r="A142" s="24" t="s">
        <v>332</v>
      </c>
      <c r="B142" s="15" t="s">
        <v>271</v>
      </c>
      <c r="C142" s="46" t="s">
        <v>272</v>
      </c>
      <c r="D142" s="47"/>
      <c r="E142" s="47" t="s">
        <v>333</v>
      </c>
      <c r="F142" s="47" t="s">
        <v>96</v>
      </c>
      <c r="G142" s="48">
        <v>1</v>
      </c>
      <c r="H142" s="33">
        <v>8.64</v>
      </c>
      <c r="I142" s="121">
        <f>H142-J142</f>
        <v>8.64</v>
      </c>
      <c r="J142" s="243">
        <f>SUM(Таблица2[[#This Row],[1.n]:[12.n]])</f>
        <v>0</v>
      </c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241"/>
      <c r="X142" s="241"/>
      <c r="Y142" s="241"/>
      <c r="Z142" s="241"/>
      <c r="AA142" s="241"/>
      <c r="AB142" s="241"/>
      <c r="AC142" s="241"/>
      <c r="AD142" s="241"/>
      <c r="AE142" s="241"/>
      <c r="AF142" s="241"/>
      <c r="AG142" s="241"/>
      <c r="AH142" s="241"/>
    </row>
    <row r="143" spans="1:34" ht="62.4" hidden="1" x14ac:dyDescent="0.3">
      <c r="A143" s="25" t="s">
        <v>334</v>
      </c>
      <c r="B143" s="16"/>
      <c r="C143" s="59" t="s">
        <v>247</v>
      </c>
      <c r="D143" s="50"/>
      <c r="E143" s="50" t="s">
        <v>282</v>
      </c>
      <c r="F143" s="51" t="s">
        <v>3</v>
      </c>
      <c r="G143" s="52">
        <v>0.3</v>
      </c>
      <c r="H143" s="34">
        <v>2.5920000000000001</v>
      </c>
      <c r="I143" s="113"/>
      <c r="J143" s="107">
        <f ca="1">SUM(Таблица2[[#This Row],[1.n]:[12.n]])</f>
        <v>0</v>
      </c>
      <c r="K143" s="98" t="e">
        <f>#REF!</f>
        <v>#REF!</v>
      </c>
      <c r="L143" s="98" t="e">
        <f>#REF!</f>
        <v>#REF!</v>
      </c>
      <c r="M143" s="98" t="e">
        <f>#REF!</f>
        <v>#REF!</v>
      </c>
      <c r="N143" s="98" t="e">
        <f>#REF!</f>
        <v>#REF!</v>
      </c>
      <c r="O143" s="98" t="e">
        <f>#REF!</f>
        <v>#REF!</v>
      </c>
      <c r="P143" s="98" t="e">
        <f>#REF!</f>
        <v>#REF!</v>
      </c>
      <c r="Q143" s="98" t="e">
        <f>#REF!</f>
        <v>#REF!</v>
      </c>
      <c r="R143" s="98" t="e">
        <f>#REF!</f>
        <v>#REF!</v>
      </c>
      <c r="S143" s="98" t="e">
        <f>#REF!</f>
        <v>#REF!</v>
      </c>
      <c r="T143" s="98" t="e">
        <f>#REF!</f>
        <v>#REF!</v>
      </c>
      <c r="U143" s="98"/>
      <c r="V143" s="98"/>
      <c r="W14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3" s="98" t="str">
        <f t="shared" ca="1" si="27"/>
        <v>2.n</v>
      </c>
      <c r="Y143" s="98"/>
      <c r="Z143" s="98"/>
      <c r="AA143" s="98"/>
      <c r="AB143" s="98"/>
      <c r="AC143" s="98"/>
      <c r="AD143" s="98"/>
      <c r="AE143" s="98"/>
      <c r="AF143" s="98"/>
      <c r="AG143" s="98"/>
      <c r="AH143" s="98"/>
    </row>
    <row r="144" spans="1:34" hidden="1" x14ac:dyDescent="0.3">
      <c r="A144" s="26" t="s">
        <v>335</v>
      </c>
      <c r="B144" s="17"/>
      <c r="C144" s="53" t="s">
        <v>5</v>
      </c>
      <c r="D144" s="54"/>
      <c r="E144" s="54"/>
      <c r="F144" s="55" t="s">
        <v>3</v>
      </c>
      <c r="G144" s="56">
        <v>0.15</v>
      </c>
      <c r="H144" s="34">
        <v>1.296</v>
      </c>
      <c r="I144" s="81"/>
      <c r="J144" s="107">
        <f ca="1">SUM(Таблица2[[#This Row],[1.n]:[12.n]])</f>
        <v>0</v>
      </c>
      <c r="K144" s="98" t="e">
        <f>#REF!</f>
        <v>#REF!</v>
      </c>
      <c r="L144" s="98" t="e">
        <f>#REF!</f>
        <v>#REF!</v>
      </c>
      <c r="M144" s="98" t="e">
        <f>#REF!</f>
        <v>#REF!</v>
      </c>
      <c r="N144" s="98" t="e">
        <f>#REF!</f>
        <v>#REF!</v>
      </c>
      <c r="O144" s="98" t="e">
        <f>#REF!</f>
        <v>#REF!</v>
      </c>
      <c r="P144" s="98" t="e">
        <f>#REF!</f>
        <v>#REF!</v>
      </c>
      <c r="Q144" s="98" t="e">
        <f>#REF!</f>
        <v>#REF!</v>
      </c>
      <c r="R144" s="98" t="e">
        <f>#REF!</f>
        <v>#REF!</v>
      </c>
      <c r="S144" s="98" t="e">
        <f>#REF!</f>
        <v>#REF!</v>
      </c>
      <c r="T144" s="98" t="e">
        <f>#REF!</f>
        <v>#REF!</v>
      </c>
      <c r="U144" s="98"/>
      <c r="V144" s="98"/>
      <c r="W14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4" s="98" t="str">
        <f t="shared" ca="1" si="27"/>
        <v>2.n</v>
      </c>
      <c r="Y144" s="98"/>
      <c r="Z144" s="98"/>
      <c r="AA144" s="98"/>
      <c r="AB144" s="98"/>
      <c r="AC144" s="98"/>
      <c r="AD144" s="98"/>
      <c r="AE144" s="98"/>
      <c r="AF144" s="98"/>
      <c r="AG144" s="98"/>
      <c r="AH144" s="98"/>
    </row>
    <row r="145" spans="1:34" x14ac:dyDescent="0.3">
      <c r="A145" s="27" t="s">
        <v>336</v>
      </c>
      <c r="B145" s="18" t="s">
        <v>271</v>
      </c>
      <c r="C145" s="65" t="s">
        <v>272</v>
      </c>
      <c r="D145" s="14"/>
      <c r="E145" s="14" t="s">
        <v>337</v>
      </c>
      <c r="F145" s="14" t="s">
        <v>96</v>
      </c>
      <c r="G145" s="66">
        <v>1</v>
      </c>
      <c r="H145" s="33">
        <v>34.68</v>
      </c>
      <c r="I145" s="121">
        <f>H145-J145</f>
        <v>34.68</v>
      </c>
      <c r="J145" s="243">
        <f>SUM(Таблица2[[#This Row],[1.n]:[12.n]])</f>
        <v>0</v>
      </c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241"/>
      <c r="X145" s="241"/>
      <c r="Y145" s="241"/>
      <c r="Z145" s="241"/>
      <c r="AA145" s="241"/>
      <c r="AB145" s="241"/>
      <c r="AC145" s="241"/>
      <c r="AD145" s="241"/>
      <c r="AE145" s="241"/>
      <c r="AF145" s="241"/>
      <c r="AG145" s="241"/>
      <c r="AH145" s="241"/>
    </row>
    <row r="146" spans="1:34" hidden="1" x14ac:dyDescent="0.3">
      <c r="A146" s="26" t="s">
        <v>338</v>
      </c>
      <c r="B146" s="17"/>
      <c r="C146" s="53" t="s">
        <v>5</v>
      </c>
      <c r="D146" s="54"/>
      <c r="E146" s="54"/>
      <c r="F146" s="55" t="s">
        <v>3</v>
      </c>
      <c r="G146" s="56">
        <v>0.15</v>
      </c>
      <c r="H146" s="34">
        <v>5.202</v>
      </c>
      <c r="I146" s="113"/>
      <c r="J146" s="107">
        <f ca="1">SUM(Таблица2[[#This Row],[1.n]:[12.n]])</f>
        <v>0</v>
      </c>
      <c r="K146" s="98" t="e">
        <f>#REF!</f>
        <v>#REF!</v>
      </c>
      <c r="L146" s="98" t="e">
        <f>#REF!</f>
        <v>#REF!</v>
      </c>
      <c r="M146" s="98" t="e">
        <f>#REF!</f>
        <v>#REF!</v>
      </c>
      <c r="N146" s="98" t="e">
        <f>#REF!</f>
        <v>#REF!</v>
      </c>
      <c r="O146" s="98" t="e">
        <f>#REF!</f>
        <v>#REF!</v>
      </c>
      <c r="P146" s="98" t="e">
        <f>#REF!</f>
        <v>#REF!</v>
      </c>
      <c r="Q146" s="98" t="e">
        <f>#REF!</f>
        <v>#REF!</v>
      </c>
      <c r="R146" s="98" t="e">
        <f>#REF!</f>
        <v>#REF!</v>
      </c>
      <c r="S146" s="98" t="e">
        <f>#REF!</f>
        <v>#REF!</v>
      </c>
      <c r="T146" s="98" t="e">
        <f>#REF!</f>
        <v>#REF!</v>
      </c>
      <c r="U146" s="98"/>
      <c r="V146" s="98"/>
      <c r="W14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6" s="98" t="str">
        <f t="shared" ca="1" si="27"/>
        <v>2.n</v>
      </c>
      <c r="Y146" s="98"/>
      <c r="Z146" s="98"/>
      <c r="AA146" s="98"/>
      <c r="AB146" s="98"/>
      <c r="AC146" s="98"/>
      <c r="AD146" s="98"/>
      <c r="AE146" s="98"/>
      <c r="AF146" s="98"/>
      <c r="AG146" s="98"/>
      <c r="AH146" s="98"/>
    </row>
    <row r="147" spans="1:34" ht="62.4" hidden="1" x14ac:dyDescent="0.3">
      <c r="A147" s="25" t="s">
        <v>339</v>
      </c>
      <c r="B147" s="16"/>
      <c r="C147" s="59" t="s">
        <v>247</v>
      </c>
      <c r="D147" s="50"/>
      <c r="E147" s="50" t="s">
        <v>286</v>
      </c>
      <c r="F147" s="51" t="s">
        <v>3</v>
      </c>
      <c r="G147" s="52">
        <v>0.3</v>
      </c>
      <c r="H147" s="34">
        <v>10.404</v>
      </c>
      <c r="I147" s="81"/>
      <c r="J147" s="107">
        <f ca="1">SUM(Таблица2[[#This Row],[1.n]:[12.n]])</f>
        <v>0</v>
      </c>
      <c r="K147" s="98" t="e">
        <f>#REF!</f>
        <v>#REF!</v>
      </c>
      <c r="L147" s="98" t="e">
        <f>#REF!</f>
        <v>#REF!</v>
      </c>
      <c r="M147" s="98" t="e">
        <f>#REF!</f>
        <v>#REF!</v>
      </c>
      <c r="N147" s="98" t="e">
        <f>#REF!</f>
        <v>#REF!</v>
      </c>
      <c r="O147" s="98" t="e">
        <f>#REF!</f>
        <v>#REF!</v>
      </c>
      <c r="P147" s="98" t="e">
        <f>#REF!</f>
        <v>#REF!</v>
      </c>
      <c r="Q147" s="98" t="e">
        <f>#REF!</f>
        <v>#REF!</v>
      </c>
      <c r="R147" s="98" t="e">
        <f>#REF!</f>
        <v>#REF!</v>
      </c>
      <c r="S147" s="98" t="e">
        <f>#REF!</f>
        <v>#REF!</v>
      </c>
      <c r="T147" s="98" t="e">
        <f>#REF!</f>
        <v>#REF!</v>
      </c>
      <c r="U147" s="98"/>
      <c r="V147" s="98"/>
      <c r="W14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7" s="98" t="str">
        <f t="shared" ca="1" si="27"/>
        <v>2.n</v>
      </c>
      <c r="Y147" s="98"/>
      <c r="Z147" s="98"/>
      <c r="AA147" s="98"/>
      <c r="AB147" s="98"/>
      <c r="AC147" s="98"/>
      <c r="AD147" s="98"/>
      <c r="AE147" s="98"/>
      <c r="AF147" s="98"/>
      <c r="AG147" s="98"/>
      <c r="AH147" s="98"/>
    </row>
    <row r="148" spans="1:34" x14ac:dyDescent="0.3">
      <c r="A148" s="24" t="s">
        <v>340</v>
      </c>
      <c r="B148" s="15" t="s">
        <v>271</v>
      </c>
      <c r="C148" s="46" t="s">
        <v>272</v>
      </c>
      <c r="D148" s="47"/>
      <c r="E148" s="47" t="s">
        <v>341</v>
      </c>
      <c r="F148" s="47" t="s">
        <v>96</v>
      </c>
      <c r="G148" s="48">
        <v>1</v>
      </c>
      <c r="H148" s="33">
        <v>24.37</v>
      </c>
      <c r="I148" s="121">
        <f>H148-J148</f>
        <v>24.37</v>
      </c>
      <c r="J148" s="243">
        <f>SUM(Таблица2[[#This Row],[1.n]:[12.n]])</f>
        <v>0</v>
      </c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241"/>
      <c r="X148" s="241"/>
      <c r="Y148" s="241"/>
      <c r="Z148" s="241"/>
      <c r="AA148" s="241"/>
      <c r="AB148" s="241"/>
      <c r="AC148" s="241"/>
      <c r="AD148" s="241"/>
      <c r="AE148" s="241"/>
      <c r="AF148" s="241"/>
      <c r="AG148" s="241"/>
      <c r="AH148" s="241"/>
    </row>
    <row r="149" spans="1:34" ht="62.4" hidden="1" x14ac:dyDescent="0.3">
      <c r="A149" s="25" t="s">
        <v>342</v>
      </c>
      <c r="B149" s="16"/>
      <c r="C149" s="59" t="s">
        <v>247</v>
      </c>
      <c r="D149" s="50"/>
      <c r="E149" s="50" t="s">
        <v>292</v>
      </c>
      <c r="F149" s="51" t="s">
        <v>3</v>
      </c>
      <c r="G149" s="52">
        <v>0.3</v>
      </c>
      <c r="H149" s="34">
        <v>7.3109999999999999</v>
      </c>
      <c r="I149" s="113"/>
      <c r="J149" s="107">
        <f ca="1">SUM(Таблица2[[#This Row],[1.n]:[12.n]])</f>
        <v>0</v>
      </c>
      <c r="K149" s="98" t="e">
        <f>#REF!</f>
        <v>#REF!</v>
      </c>
      <c r="L149" s="98" t="e">
        <f>#REF!</f>
        <v>#REF!</v>
      </c>
      <c r="M149" s="98" t="e">
        <f>#REF!</f>
        <v>#REF!</v>
      </c>
      <c r="N149" s="98" t="e">
        <f>#REF!</f>
        <v>#REF!</v>
      </c>
      <c r="O149" s="98" t="e">
        <f>#REF!</f>
        <v>#REF!</v>
      </c>
      <c r="P149" s="98" t="e">
        <f>#REF!</f>
        <v>#REF!</v>
      </c>
      <c r="Q149" s="98" t="e">
        <f>#REF!</f>
        <v>#REF!</v>
      </c>
      <c r="R149" s="98" t="e">
        <f>#REF!</f>
        <v>#REF!</v>
      </c>
      <c r="S149" s="98" t="e">
        <f>#REF!</f>
        <v>#REF!</v>
      </c>
      <c r="T149" s="98" t="e">
        <f>#REF!</f>
        <v>#REF!</v>
      </c>
      <c r="U149" s="98"/>
      <c r="V149" s="98"/>
      <c r="W14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49" s="98" t="str">
        <f t="shared" ca="1" si="27"/>
        <v>2.n</v>
      </c>
      <c r="Y149" s="98"/>
      <c r="Z149" s="98"/>
      <c r="AA149" s="98"/>
      <c r="AB149" s="98"/>
      <c r="AC149" s="98"/>
      <c r="AD149" s="98"/>
      <c r="AE149" s="98"/>
      <c r="AF149" s="98"/>
      <c r="AG149" s="98"/>
      <c r="AH149" s="98"/>
    </row>
    <row r="150" spans="1:34" hidden="1" x14ac:dyDescent="0.3">
      <c r="A150" s="26" t="s">
        <v>343</v>
      </c>
      <c r="B150" s="17"/>
      <c r="C150" s="53" t="s">
        <v>5</v>
      </c>
      <c r="D150" s="54"/>
      <c r="E150" s="54"/>
      <c r="F150" s="55" t="s">
        <v>3</v>
      </c>
      <c r="G150" s="56">
        <v>0.15</v>
      </c>
      <c r="H150" s="34">
        <v>3.6560000000000001</v>
      </c>
      <c r="I150" s="62"/>
      <c r="J150" s="100">
        <f ca="1">SUM(Таблица2[[#This Row],[1.n]:[12.n]])</f>
        <v>0</v>
      </c>
      <c r="K150" s="98" t="e">
        <f>#REF!</f>
        <v>#REF!</v>
      </c>
      <c r="L150" s="98" t="e">
        <f>#REF!</f>
        <v>#REF!</v>
      </c>
      <c r="M150" s="98" t="e">
        <f>#REF!</f>
        <v>#REF!</v>
      </c>
      <c r="N150" s="98" t="e">
        <f>#REF!</f>
        <v>#REF!</v>
      </c>
      <c r="O150" s="98" t="e">
        <f>#REF!</f>
        <v>#REF!</v>
      </c>
      <c r="P150" s="98" t="e">
        <f>#REF!</f>
        <v>#REF!</v>
      </c>
      <c r="Q150" s="98" t="e">
        <f>#REF!</f>
        <v>#REF!</v>
      </c>
      <c r="R150" s="98" t="e">
        <f>#REF!</f>
        <v>#REF!</v>
      </c>
      <c r="S150" s="98" t="e">
        <f>#REF!</f>
        <v>#REF!</v>
      </c>
      <c r="T150" s="98" t="e">
        <f>#REF!</f>
        <v>#REF!</v>
      </c>
      <c r="U150" s="98"/>
      <c r="V150" s="98"/>
      <c r="W15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0" s="98" t="str">
        <f t="shared" ca="1" si="27"/>
        <v>2.n</v>
      </c>
      <c r="Y150" s="98"/>
      <c r="Z150" s="98"/>
      <c r="AA150" s="98"/>
      <c r="AB150" s="98"/>
      <c r="AC150" s="98"/>
      <c r="AD150" s="98"/>
      <c r="AE150" s="98"/>
      <c r="AF150" s="98"/>
      <c r="AG150" s="98"/>
      <c r="AH150" s="98"/>
    </row>
    <row r="151" spans="1:34" x14ac:dyDescent="0.3">
      <c r="A151" s="27" t="s">
        <v>344</v>
      </c>
      <c r="B151" s="18" t="s">
        <v>271</v>
      </c>
      <c r="C151" s="65" t="s">
        <v>272</v>
      </c>
      <c r="D151" s="14"/>
      <c r="E151" s="14" t="s">
        <v>345</v>
      </c>
      <c r="F151" s="14" t="s">
        <v>96</v>
      </c>
      <c r="G151" s="66">
        <v>1</v>
      </c>
      <c r="H151" s="33">
        <v>4.95</v>
      </c>
      <c r="I151" s="121">
        <f>H151-J151</f>
        <v>4.95</v>
      </c>
      <c r="J151" s="243">
        <f>SUM(Таблица2[[#This Row],[1.n]:[12.n]])</f>
        <v>0</v>
      </c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241"/>
      <c r="X151" s="241"/>
      <c r="Y151" s="241"/>
      <c r="Z151" s="241"/>
      <c r="AA151" s="241"/>
      <c r="AB151" s="241"/>
      <c r="AC151" s="241"/>
      <c r="AD151" s="241"/>
      <c r="AE151" s="241"/>
      <c r="AF151" s="241"/>
      <c r="AG151" s="241"/>
      <c r="AH151" s="241"/>
    </row>
    <row r="152" spans="1:34" hidden="1" x14ac:dyDescent="0.3">
      <c r="A152" s="26" t="s">
        <v>346</v>
      </c>
      <c r="B152" s="17"/>
      <c r="C152" s="53" t="s">
        <v>5</v>
      </c>
      <c r="D152" s="54"/>
      <c r="E152" s="54"/>
      <c r="F152" s="55" t="s">
        <v>3</v>
      </c>
      <c r="G152" s="56">
        <v>0.15</v>
      </c>
      <c r="H152" s="34">
        <v>0.74299999999999999</v>
      </c>
      <c r="I152" s="113"/>
      <c r="J152" s="107">
        <f ca="1">SUM(Таблица2[[#This Row],[1.n]:[12.n]])</f>
        <v>0</v>
      </c>
      <c r="K152" s="98" t="e">
        <f>#REF!</f>
        <v>#REF!</v>
      </c>
      <c r="L152" s="98" t="e">
        <f>#REF!</f>
        <v>#REF!</v>
      </c>
      <c r="M152" s="98" t="e">
        <f>#REF!</f>
        <v>#REF!</v>
      </c>
      <c r="N152" s="98" t="e">
        <f>#REF!</f>
        <v>#REF!</v>
      </c>
      <c r="O152" s="98" t="e">
        <f>#REF!</f>
        <v>#REF!</v>
      </c>
      <c r="P152" s="98" t="e">
        <f>#REF!</f>
        <v>#REF!</v>
      </c>
      <c r="Q152" s="98" t="e">
        <f>#REF!</f>
        <v>#REF!</v>
      </c>
      <c r="R152" s="98" t="e">
        <f>#REF!</f>
        <v>#REF!</v>
      </c>
      <c r="S152" s="98" t="e">
        <f>#REF!</f>
        <v>#REF!</v>
      </c>
      <c r="T152" s="98" t="e">
        <f>#REF!</f>
        <v>#REF!</v>
      </c>
      <c r="U152" s="98"/>
      <c r="V152" s="98"/>
      <c r="W15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2" s="98" t="str">
        <f t="shared" ca="1" si="27"/>
        <v>2.n</v>
      </c>
      <c r="Y152" s="98"/>
      <c r="Z152" s="98"/>
      <c r="AA152" s="98"/>
      <c r="AB152" s="98"/>
      <c r="AC152" s="98"/>
      <c r="AD152" s="98"/>
      <c r="AE152" s="98"/>
      <c r="AF152" s="98"/>
      <c r="AG152" s="98"/>
      <c r="AH152" s="98"/>
    </row>
    <row r="153" spans="1:34" ht="62.4" hidden="1" x14ac:dyDescent="0.3">
      <c r="A153" s="25" t="s">
        <v>347</v>
      </c>
      <c r="B153" s="16"/>
      <c r="C153" s="59" t="s">
        <v>247</v>
      </c>
      <c r="D153" s="50"/>
      <c r="E153" s="50" t="s">
        <v>296</v>
      </c>
      <c r="F153" s="51" t="s">
        <v>3</v>
      </c>
      <c r="G153" s="52">
        <v>0.3</v>
      </c>
      <c r="H153" s="34">
        <v>1.4850000000000001</v>
      </c>
      <c r="I153" s="81"/>
      <c r="J153" s="107">
        <f ca="1">SUM(Таблица2[[#This Row],[1.n]:[12.n]])</f>
        <v>0</v>
      </c>
      <c r="K153" s="98" t="e">
        <f>#REF!</f>
        <v>#REF!</v>
      </c>
      <c r="L153" s="98" t="e">
        <f>#REF!</f>
        <v>#REF!</v>
      </c>
      <c r="M153" s="98" t="e">
        <f>#REF!</f>
        <v>#REF!</v>
      </c>
      <c r="N153" s="98" t="e">
        <f>#REF!</f>
        <v>#REF!</v>
      </c>
      <c r="O153" s="98" t="e">
        <f>#REF!</f>
        <v>#REF!</v>
      </c>
      <c r="P153" s="98" t="e">
        <f>#REF!</f>
        <v>#REF!</v>
      </c>
      <c r="Q153" s="98" t="e">
        <f>#REF!</f>
        <v>#REF!</v>
      </c>
      <c r="R153" s="98" t="e">
        <f>#REF!</f>
        <v>#REF!</v>
      </c>
      <c r="S153" s="98" t="e">
        <f>#REF!</f>
        <v>#REF!</v>
      </c>
      <c r="T153" s="98" t="e">
        <f>#REF!</f>
        <v>#REF!</v>
      </c>
      <c r="U153" s="98"/>
      <c r="V153" s="98"/>
      <c r="W15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3" s="98" t="str">
        <f t="shared" ca="1" si="27"/>
        <v>2.n</v>
      </c>
      <c r="Y153" s="98"/>
      <c r="Z153" s="98"/>
      <c r="AA153" s="98"/>
      <c r="AB153" s="98"/>
      <c r="AC153" s="98"/>
      <c r="AD153" s="98"/>
      <c r="AE153" s="98"/>
      <c r="AF153" s="98"/>
      <c r="AG153" s="98"/>
      <c r="AH153" s="98"/>
    </row>
    <row r="154" spans="1:34" x14ac:dyDescent="0.3">
      <c r="A154" s="24" t="s">
        <v>348</v>
      </c>
      <c r="B154" s="15" t="s">
        <v>271</v>
      </c>
      <c r="C154" s="46" t="s">
        <v>272</v>
      </c>
      <c r="D154" s="47"/>
      <c r="E154" s="47" t="s">
        <v>349</v>
      </c>
      <c r="F154" s="47" t="s">
        <v>96</v>
      </c>
      <c r="G154" s="48">
        <v>1</v>
      </c>
      <c r="H154" s="33">
        <v>11.73</v>
      </c>
      <c r="I154" s="121">
        <f>H154-J154</f>
        <v>11.73</v>
      </c>
      <c r="J154" s="243">
        <f>SUM(Таблица2[[#This Row],[1.n]:[12.n]])</f>
        <v>0</v>
      </c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241"/>
      <c r="X154" s="241"/>
      <c r="Y154" s="241"/>
      <c r="Z154" s="241"/>
      <c r="AA154" s="241"/>
      <c r="AB154" s="241"/>
      <c r="AC154" s="241"/>
      <c r="AD154" s="241"/>
      <c r="AE154" s="241"/>
      <c r="AF154" s="241"/>
      <c r="AG154" s="241"/>
      <c r="AH154" s="241"/>
    </row>
    <row r="155" spans="1:34" ht="62.4" hidden="1" x14ac:dyDescent="0.3">
      <c r="A155" s="25" t="s">
        <v>350</v>
      </c>
      <c r="B155" s="16"/>
      <c r="C155" s="82" t="s">
        <v>247</v>
      </c>
      <c r="D155" s="50"/>
      <c r="E155" s="50" t="s">
        <v>302</v>
      </c>
      <c r="F155" s="51" t="s">
        <v>3</v>
      </c>
      <c r="G155" s="52">
        <v>0.3</v>
      </c>
      <c r="H155" s="34">
        <v>3.5190000000000001</v>
      </c>
      <c r="I155" s="60"/>
      <c r="J155" s="100">
        <f ca="1">SUM(Таблица2[[#This Row],[1.n]:[12.n]])</f>
        <v>0</v>
      </c>
      <c r="K155" s="98" t="e">
        <f>#REF!</f>
        <v>#REF!</v>
      </c>
      <c r="L155" s="98" t="e">
        <f>#REF!</f>
        <v>#REF!</v>
      </c>
      <c r="M155" s="98" t="e">
        <f>#REF!</f>
        <v>#REF!</v>
      </c>
      <c r="N155" s="98" t="e">
        <f>#REF!</f>
        <v>#REF!</v>
      </c>
      <c r="O155" s="98" t="e">
        <f>#REF!</f>
        <v>#REF!</v>
      </c>
      <c r="P155" s="98" t="e">
        <f>#REF!</f>
        <v>#REF!</v>
      </c>
      <c r="Q155" s="98" t="e">
        <f>#REF!</f>
        <v>#REF!</v>
      </c>
      <c r="R155" s="98" t="e">
        <f>#REF!</f>
        <v>#REF!</v>
      </c>
      <c r="S155" s="98" t="e">
        <f>#REF!</f>
        <v>#REF!</v>
      </c>
      <c r="T155" s="98" t="e">
        <f>#REF!</f>
        <v>#REF!</v>
      </c>
      <c r="U155" s="98"/>
      <c r="V155" s="98"/>
      <c r="W15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5" s="98" t="str">
        <f t="shared" ca="1" si="27"/>
        <v>2.n</v>
      </c>
      <c r="Y155" s="98"/>
      <c r="Z155" s="98"/>
      <c r="AA155" s="98"/>
      <c r="AB155" s="98"/>
      <c r="AC155" s="98"/>
      <c r="AD155" s="98"/>
      <c r="AE155" s="98"/>
      <c r="AF155" s="98"/>
      <c r="AG155" s="98"/>
      <c r="AH155" s="98"/>
    </row>
    <row r="156" spans="1:34" hidden="1" x14ac:dyDescent="0.3">
      <c r="A156" s="26" t="s">
        <v>351</v>
      </c>
      <c r="B156" s="17"/>
      <c r="C156" s="83" t="s">
        <v>5</v>
      </c>
      <c r="D156" s="54"/>
      <c r="E156" s="54"/>
      <c r="F156" s="55" t="s">
        <v>3</v>
      </c>
      <c r="G156" s="56">
        <v>0.15</v>
      </c>
      <c r="H156" s="34">
        <v>1.76</v>
      </c>
      <c r="I156" s="81"/>
      <c r="J156" s="107">
        <f ca="1">SUM(Таблица2[[#This Row],[1.n]:[12.n]])</f>
        <v>0</v>
      </c>
      <c r="K156" s="98" t="e">
        <f>#REF!</f>
        <v>#REF!</v>
      </c>
      <c r="L156" s="98" t="e">
        <f>#REF!</f>
        <v>#REF!</v>
      </c>
      <c r="M156" s="98" t="e">
        <f>#REF!</f>
        <v>#REF!</v>
      </c>
      <c r="N156" s="98" t="e">
        <f>#REF!</f>
        <v>#REF!</v>
      </c>
      <c r="O156" s="98" t="e">
        <f>#REF!</f>
        <v>#REF!</v>
      </c>
      <c r="P156" s="98" t="e">
        <f>#REF!</f>
        <v>#REF!</v>
      </c>
      <c r="Q156" s="98" t="e">
        <f>#REF!</f>
        <v>#REF!</v>
      </c>
      <c r="R156" s="98" t="e">
        <f>#REF!</f>
        <v>#REF!</v>
      </c>
      <c r="S156" s="98" t="e">
        <f>#REF!</f>
        <v>#REF!</v>
      </c>
      <c r="T156" s="98" t="e">
        <f>#REF!</f>
        <v>#REF!</v>
      </c>
      <c r="U156" s="98"/>
      <c r="V156" s="98"/>
      <c r="W15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6" s="98" t="str">
        <f t="shared" ca="1" si="27"/>
        <v>2.n</v>
      </c>
      <c r="Y156" s="98"/>
      <c r="Z156" s="98"/>
      <c r="AA156" s="98"/>
      <c r="AB156" s="98"/>
      <c r="AC156" s="98"/>
      <c r="AD156" s="98"/>
      <c r="AE156" s="98"/>
      <c r="AF156" s="98"/>
      <c r="AG156" s="98"/>
      <c r="AH156" s="98"/>
    </row>
    <row r="157" spans="1:34" x14ac:dyDescent="0.3">
      <c r="A157" s="27" t="s">
        <v>352</v>
      </c>
      <c r="B157" s="18" t="s">
        <v>271</v>
      </c>
      <c r="C157" s="65" t="s">
        <v>272</v>
      </c>
      <c r="D157" s="14"/>
      <c r="E157" s="14" t="s">
        <v>353</v>
      </c>
      <c r="F157" s="14" t="s">
        <v>96</v>
      </c>
      <c r="G157" s="66">
        <v>1</v>
      </c>
      <c r="H157" s="33">
        <v>18.63</v>
      </c>
      <c r="I157" s="121">
        <f>H157-J157</f>
        <v>18.63</v>
      </c>
      <c r="J157" s="243">
        <f>SUM(Таблица2[[#This Row],[1.n]:[12.n]])</f>
        <v>0</v>
      </c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241"/>
      <c r="X157" s="241"/>
      <c r="Y157" s="241"/>
      <c r="Z157" s="241"/>
      <c r="AA157" s="241"/>
      <c r="AB157" s="241"/>
      <c r="AC157" s="241"/>
      <c r="AD157" s="241"/>
      <c r="AE157" s="241"/>
      <c r="AF157" s="241"/>
      <c r="AG157" s="241"/>
      <c r="AH157" s="241"/>
    </row>
    <row r="158" spans="1:34" hidden="1" x14ac:dyDescent="0.3">
      <c r="A158" s="26" t="s">
        <v>354</v>
      </c>
      <c r="B158" s="17"/>
      <c r="C158" s="53" t="s">
        <v>5</v>
      </c>
      <c r="D158" s="54"/>
      <c r="E158" s="54"/>
      <c r="F158" s="55" t="s">
        <v>3</v>
      </c>
      <c r="G158" s="56">
        <v>0.15</v>
      </c>
      <c r="H158" s="34">
        <v>2.7949999999999999</v>
      </c>
      <c r="I158" s="113"/>
      <c r="J158" s="107">
        <f ca="1">SUM(Таблица2[[#This Row],[1.n]:[12.n]])</f>
        <v>0</v>
      </c>
      <c r="K158" s="98" t="e">
        <f>#REF!</f>
        <v>#REF!</v>
      </c>
      <c r="L158" s="98" t="e">
        <f>#REF!</f>
        <v>#REF!</v>
      </c>
      <c r="M158" s="98" t="e">
        <f>#REF!</f>
        <v>#REF!</v>
      </c>
      <c r="N158" s="98" t="e">
        <f>#REF!</f>
        <v>#REF!</v>
      </c>
      <c r="O158" s="98" t="e">
        <f>#REF!</f>
        <v>#REF!</v>
      </c>
      <c r="P158" s="98" t="e">
        <f>#REF!</f>
        <v>#REF!</v>
      </c>
      <c r="Q158" s="98" t="e">
        <f>#REF!</f>
        <v>#REF!</v>
      </c>
      <c r="R158" s="98" t="e">
        <f>#REF!</f>
        <v>#REF!</v>
      </c>
      <c r="S158" s="98" t="e">
        <f>#REF!</f>
        <v>#REF!</v>
      </c>
      <c r="T158" s="98" t="e">
        <f>#REF!</f>
        <v>#REF!</v>
      </c>
      <c r="U158" s="98"/>
      <c r="V158" s="98"/>
      <c r="W15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8" s="98" t="str">
        <f t="shared" ca="1" si="27"/>
        <v>2.n</v>
      </c>
      <c r="Y158" s="98"/>
      <c r="Z158" s="98"/>
      <c r="AA158" s="98"/>
      <c r="AB158" s="98"/>
      <c r="AC158" s="98"/>
      <c r="AD158" s="98"/>
      <c r="AE158" s="98"/>
      <c r="AF158" s="98"/>
      <c r="AG158" s="98"/>
      <c r="AH158" s="98"/>
    </row>
    <row r="159" spans="1:34" ht="62.4" hidden="1" x14ac:dyDescent="0.3">
      <c r="A159" s="25" t="s">
        <v>355</v>
      </c>
      <c r="B159" s="16"/>
      <c r="C159" s="59" t="s">
        <v>247</v>
      </c>
      <c r="D159" s="50"/>
      <c r="E159" s="50" t="s">
        <v>326</v>
      </c>
      <c r="F159" s="51" t="s">
        <v>3</v>
      </c>
      <c r="G159" s="52">
        <v>0.3</v>
      </c>
      <c r="H159" s="34">
        <v>5.5890000000000004</v>
      </c>
      <c r="I159" s="81"/>
      <c r="J159" s="107">
        <f ca="1">SUM(Таблица2[[#This Row],[1.n]:[12.n]])</f>
        <v>0</v>
      </c>
      <c r="K159" s="98" t="e">
        <f>#REF!</f>
        <v>#REF!</v>
      </c>
      <c r="L159" s="98" t="e">
        <f>#REF!</f>
        <v>#REF!</v>
      </c>
      <c r="M159" s="98" t="e">
        <f>#REF!</f>
        <v>#REF!</v>
      </c>
      <c r="N159" s="98" t="e">
        <f>#REF!</f>
        <v>#REF!</v>
      </c>
      <c r="O159" s="98" t="e">
        <f>#REF!</f>
        <v>#REF!</v>
      </c>
      <c r="P159" s="98" t="e">
        <f>#REF!</f>
        <v>#REF!</v>
      </c>
      <c r="Q159" s="98" t="e">
        <f>#REF!</f>
        <v>#REF!</v>
      </c>
      <c r="R159" s="98" t="e">
        <f>#REF!</f>
        <v>#REF!</v>
      </c>
      <c r="S159" s="98" t="e">
        <f>#REF!</f>
        <v>#REF!</v>
      </c>
      <c r="T159" s="98" t="e">
        <f>#REF!</f>
        <v>#REF!</v>
      </c>
      <c r="U159" s="98"/>
      <c r="V159" s="98"/>
      <c r="W15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59" s="98" t="str">
        <f t="shared" ca="1" si="27"/>
        <v>2.n</v>
      </c>
      <c r="Y159" s="98"/>
      <c r="Z159" s="98"/>
      <c r="AA159" s="98"/>
      <c r="AB159" s="98"/>
      <c r="AC159" s="98"/>
      <c r="AD159" s="98"/>
      <c r="AE159" s="98"/>
      <c r="AF159" s="98"/>
      <c r="AG159" s="98"/>
      <c r="AH159" s="98"/>
    </row>
    <row r="160" spans="1:34" x14ac:dyDescent="0.3">
      <c r="A160" s="24" t="s">
        <v>356</v>
      </c>
      <c r="B160" s="15" t="s">
        <v>271</v>
      </c>
      <c r="C160" s="46" t="s">
        <v>272</v>
      </c>
      <c r="D160" s="47"/>
      <c r="E160" s="47" t="s">
        <v>357</v>
      </c>
      <c r="F160" s="47" t="s">
        <v>96</v>
      </c>
      <c r="G160" s="48">
        <v>1</v>
      </c>
      <c r="H160" s="33">
        <v>390.43</v>
      </c>
      <c r="I160" s="121">
        <f>H160-J160</f>
        <v>390.43</v>
      </c>
      <c r="J160" s="243">
        <f>SUM(Таблица2[[#This Row],[1.n]:[12.n]])</f>
        <v>0</v>
      </c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241"/>
      <c r="X160" s="241"/>
      <c r="Y160" s="241"/>
      <c r="Z160" s="241"/>
      <c r="AA160" s="241"/>
      <c r="AB160" s="241"/>
      <c r="AC160" s="241"/>
      <c r="AD160" s="241"/>
      <c r="AE160" s="241"/>
      <c r="AF160" s="241"/>
      <c r="AG160" s="241"/>
      <c r="AH160" s="241"/>
    </row>
    <row r="161" spans="1:34" ht="62.4" hidden="1" x14ac:dyDescent="0.3">
      <c r="A161" s="25" t="s">
        <v>358</v>
      </c>
      <c r="B161" s="16"/>
      <c r="C161" s="59" t="s">
        <v>247</v>
      </c>
      <c r="D161" s="50"/>
      <c r="E161" s="50" t="s">
        <v>312</v>
      </c>
      <c r="F161" s="51" t="s">
        <v>3</v>
      </c>
      <c r="G161" s="52">
        <v>0.3</v>
      </c>
      <c r="H161" s="34">
        <v>117.129</v>
      </c>
      <c r="I161" s="76"/>
      <c r="J161" s="119">
        <f ca="1">SUM(Таблица2[[#This Row],[1.n]:[12.n]])</f>
        <v>0</v>
      </c>
      <c r="K161" s="98" t="e">
        <f>#REF!</f>
        <v>#REF!</v>
      </c>
      <c r="L161" s="98" t="e">
        <f>#REF!</f>
        <v>#REF!</v>
      </c>
      <c r="M161" s="98" t="e">
        <f>#REF!</f>
        <v>#REF!</v>
      </c>
      <c r="N161" s="98" t="e">
        <f>#REF!</f>
        <v>#REF!</v>
      </c>
      <c r="O161" s="98" t="e">
        <f>#REF!</f>
        <v>#REF!</v>
      </c>
      <c r="P161" s="98" t="e">
        <f>#REF!</f>
        <v>#REF!</v>
      </c>
      <c r="Q161" s="98" t="e">
        <f>#REF!</f>
        <v>#REF!</v>
      </c>
      <c r="R161" s="98" t="e">
        <f>#REF!</f>
        <v>#REF!</v>
      </c>
      <c r="S161" s="98" t="e">
        <f>#REF!</f>
        <v>#REF!</v>
      </c>
      <c r="T161" s="98" t="e">
        <f>#REF!</f>
        <v>#REF!</v>
      </c>
      <c r="U161" s="98"/>
      <c r="V161" s="98"/>
      <c r="W16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61" s="98" t="str">
        <f t="shared" ca="1" si="27"/>
        <v>2.n</v>
      </c>
      <c r="Y161" s="98"/>
      <c r="Z161" s="98"/>
      <c r="AA161" s="98"/>
      <c r="AB161" s="98"/>
      <c r="AC161" s="98"/>
      <c r="AD161" s="98"/>
      <c r="AE161" s="98"/>
      <c r="AF161" s="98"/>
      <c r="AG161" s="98"/>
      <c r="AH161" s="98"/>
    </row>
    <row r="162" spans="1:34" hidden="1" x14ac:dyDescent="0.3">
      <c r="A162" s="26" t="s">
        <v>359</v>
      </c>
      <c r="B162" s="17"/>
      <c r="C162" s="53" t="s">
        <v>5</v>
      </c>
      <c r="D162" s="54"/>
      <c r="E162" s="54"/>
      <c r="F162" s="55" t="s">
        <v>3</v>
      </c>
      <c r="G162" s="56">
        <v>0.15</v>
      </c>
      <c r="H162" s="34">
        <v>58.564999999999998</v>
      </c>
      <c r="I162" s="84" t="e">
        <f>H162-K162</f>
        <v>#REF!</v>
      </c>
      <c r="J162" s="108">
        <f ca="1">SUM(Таблица2[[#This Row],[1.n]:[12.n]])</f>
        <v>0</v>
      </c>
      <c r="K162" s="98" t="e">
        <f>#REF!</f>
        <v>#REF!</v>
      </c>
      <c r="L162" s="98" t="e">
        <f>#REF!</f>
        <v>#REF!</v>
      </c>
      <c r="M162" s="98" t="e">
        <f>#REF!</f>
        <v>#REF!</v>
      </c>
      <c r="N162" s="98" t="e">
        <f>#REF!</f>
        <v>#REF!</v>
      </c>
      <c r="O162" s="98" t="e">
        <f>#REF!</f>
        <v>#REF!</v>
      </c>
      <c r="P162" s="98" t="e">
        <f>#REF!</f>
        <v>#REF!</v>
      </c>
      <c r="Q162" s="98" t="e">
        <f>#REF!</f>
        <v>#REF!</v>
      </c>
      <c r="R162" s="98" t="e">
        <f>#REF!</f>
        <v>#REF!</v>
      </c>
      <c r="S162" s="98" t="e">
        <f>#REF!</f>
        <v>#REF!</v>
      </c>
      <c r="T162" s="98" t="e">
        <f>#REF!</f>
        <v>#REF!</v>
      </c>
      <c r="U162" s="98"/>
      <c r="V162" s="98"/>
      <c r="W16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62" s="98" t="str">
        <f t="shared" ca="1" si="27"/>
        <v>2.n</v>
      </c>
      <c r="Y162" s="98"/>
      <c r="Z162" s="98"/>
      <c r="AA162" s="98"/>
      <c r="AB162" s="98"/>
      <c r="AC162" s="98"/>
      <c r="AD162" s="98"/>
      <c r="AE162" s="98"/>
      <c r="AF162" s="98"/>
      <c r="AG162" s="98"/>
      <c r="AH162" s="98"/>
    </row>
    <row r="163" spans="1:34" x14ac:dyDescent="0.3">
      <c r="A163" s="27" t="s">
        <v>360</v>
      </c>
      <c r="B163" s="18" t="s">
        <v>271</v>
      </c>
      <c r="C163" s="65" t="s">
        <v>272</v>
      </c>
      <c r="D163" s="14"/>
      <c r="E163" s="14" t="s">
        <v>361</v>
      </c>
      <c r="F163" s="14" t="s">
        <v>96</v>
      </c>
      <c r="G163" s="66">
        <v>1</v>
      </c>
      <c r="H163" s="33">
        <v>2002.74</v>
      </c>
      <c r="I163" s="121">
        <f>H163-J163</f>
        <v>2002.74</v>
      </c>
      <c r="J163" s="243">
        <f>SUM(Таблица2[[#This Row],[1.n]:[12.n]])</f>
        <v>0</v>
      </c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241"/>
      <c r="X163" s="241"/>
      <c r="Y163" s="241"/>
      <c r="Z163" s="241"/>
      <c r="AA163" s="241"/>
      <c r="AB163" s="241"/>
      <c r="AC163" s="241"/>
      <c r="AD163" s="241"/>
      <c r="AE163" s="241"/>
      <c r="AF163" s="241"/>
      <c r="AG163" s="241"/>
      <c r="AH163" s="241"/>
    </row>
    <row r="164" spans="1:34" hidden="1" x14ac:dyDescent="0.3">
      <c r="A164" s="26" t="s">
        <v>362</v>
      </c>
      <c r="B164" s="17"/>
      <c r="C164" s="53" t="s">
        <v>5</v>
      </c>
      <c r="D164" s="54"/>
      <c r="E164" s="54"/>
      <c r="F164" s="55" t="s">
        <v>3</v>
      </c>
      <c r="G164" s="56">
        <v>0.15</v>
      </c>
      <c r="H164" s="34">
        <v>300.411</v>
      </c>
      <c r="I164" s="113"/>
      <c r="J164" s="107">
        <f ca="1">SUM(Таблица2[[#This Row],[1.n]:[12.n]])</f>
        <v>0</v>
      </c>
      <c r="K164" s="98" t="e">
        <f>#REF!</f>
        <v>#REF!</v>
      </c>
      <c r="L164" s="98" t="e">
        <f>#REF!</f>
        <v>#REF!</v>
      </c>
      <c r="M164" s="98" t="e">
        <f>#REF!</f>
        <v>#REF!</v>
      </c>
      <c r="N164" s="98" t="e">
        <f>#REF!</f>
        <v>#REF!</v>
      </c>
      <c r="O164" s="98" t="e">
        <f>#REF!</f>
        <v>#REF!</v>
      </c>
      <c r="P164" s="98" t="e">
        <f>#REF!</f>
        <v>#REF!</v>
      </c>
      <c r="Q164" s="98" t="e">
        <f>#REF!</f>
        <v>#REF!</v>
      </c>
      <c r="R164" s="98" t="e">
        <f>#REF!</f>
        <v>#REF!</v>
      </c>
      <c r="S164" s="98" t="e">
        <f>#REF!</f>
        <v>#REF!</v>
      </c>
      <c r="T164" s="98" t="e">
        <f>#REF!</f>
        <v>#REF!</v>
      </c>
      <c r="U164" s="98"/>
      <c r="V164" s="98"/>
      <c r="W16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64" s="98" t="str">
        <f t="shared" ca="1" si="27"/>
        <v>2.n</v>
      </c>
      <c r="Y164" s="98"/>
      <c r="Z164" s="98"/>
      <c r="AA164" s="98"/>
      <c r="AB164" s="98"/>
      <c r="AC164" s="98"/>
      <c r="AD164" s="98"/>
      <c r="AE164" s="98"/>
      <c r="AF164" s="98"/>
      <c r="AG164" s="98"/>
      <c r="AH164" s="98"/>
    </row>
    <row r="165" spans="1:34" ht="78" hidden="1" x14ac:dyDescent="0.3">
      <c r="A165" s="25" t="s">
        <v>363</v>
      </c>
      <c r="B165" s="16"/>
      <c r="C165" s="59" t="s">
        <v>253</v>
      </c>
      <c r="D165" s="50"/>
      <c r="E165" s="50" t="s">
        <v>316</v>
      </c>
      <c r="F165" s="51" t="s">
        <v>3</v>
      </c>
      <c r="G165" s="52">
        <v>0.3</v>
      </c>
      <c r="H165" s="34">
        <v>600.822</v>
      </c>
      <c r="I165" s="62"/>
      <c r="J165" s="100">
        <f ca="1">SUM(Таблица2[[#This Row],[1.n]:[12.n]])</f>
        <v>0</v>
      </c>
      <c r="K165" s="98" t="e">
        <f>#REF!</f>
        <v>#REF!</v>
      </c>
      <c r="L165" s="98" t="e">
        <f>#REF!</f>
        <v>#REF!</v>
      </c>
      <c r="M165" s="98" t="e">
        <f>#REF!</f>
        <v>#REF!</v>
      </c>
      <c r="N165" s="98" t="e">
        <f>#REF!</f>
        <v>#REF!</v>
      </c>
      <c r="O165" s="98" t="e">
        <f>#REF!</f>
        <v>#REF!</v>
      </c>
      <c r="P165" s="98" t="e">
        <f>#REF!</f>
        <v>#REF!</v>
      </c>
      <c r="Q165" s="98" t="e">
        <f>#REF!</f>
        <v>#REF!</v>
      </c>
      <c r="R165" s="98" t="e">
        <f>#REF!</f>
        <v>#REF!</v>
      </c>
      <c r="S165" s="98" t="e">
        <f>#REF!</f>
        <v>#REF!</v>
      </c>
      <c r="T165" s="98" t="e">
        <f>#REF!</f>
        <v>#REF!</v>
      </c>
      <c r="U165" s="98"/>
      <c r="V165" s="98"/>
      <c r="W16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65" s="98" t="str">
        <f t="shared" ca="1" si="27"/>
        <v>2.n</v>
      </c>
      <c r="Y165" s="98"/>
      <c r="Z165" s="98"/>
      <c r="AA165" s="98"/>
      <c r="AB165" s="98"/>
      <c r="AC165" s="98"/>
      <c r="AD165" s="98"/>
      <c r="AE165" s="98"/>
      <c r="AF165" s="98"/>
      <c r="AG165" s="98"/>
      <c r="AH165" s="98"/>
    </row>
    <row r="166" spans="1:34" x14ac:dyDescent="0.3">
      <c r="A166" s="24" t="s">
        <v>364</v>
      </c>
      <c r="B166" s="15" t="s">
        <v>271</v>
      </c>
      <c r="C166" s="46" t="s">
        <v>272</v>
      </c>
      <c r="D166" s="47"/>
      <c r="E166" s="47" t="s">
        <v>365</v>
      </c>
      <c r="F166" s="47" t="s">
        <v>96</v>
      </c>
      <c r="G166" s="48">
        <v>1</v>
      </c>
      <c r="H166" s="33">
        <v>23.23</v>
      </c>
      <c r="I166" s="121">
        <f>H166-J166</f>
        <v>23.23</v>
      </c>
      <c r="J166" s="243">
        <f>SUM(Таблица2[[#This Row],[1.n]:[12.n]])</f>
        <v>0</v>
      </c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241"/>
      <c r="X166" s="241"/>
      <c r="Y166" s="241"/>
      <c r="Z166" s="241"/>
      <c r="AA166" s="241"/>
      <c r="AB166" s="241"/>
      <c r="AC166" s="241"/>
      <c r="AD166" s="241"/>
      <c r="AE166" s="241"/>
      <c r="AF166" s="241"/>
      <c r="AG166" s="241"/>
      <c r="AH166" s="241"/>
    </row>
    <row r="167" spans="1:34" ht="31.2" hidden="1" x14ac:dyDescent="0.3">
      <c r="A167" s="25" t="s">
        <v>366</v>
      </c>
      <c r="B167" s="16"/>
      <c r="C167" s="59" t="s">
        <v>367</v>
      </c>
      <c r="D167" s="50"/>
      <c r="E167" s="50" t="s">
        <v>368</v>
      </c>
      <c r="F167" s="51" t="s">
        <v>3</v>
      </c>
      <c r="G167" s="52">
        <v>0.3</v>
      </c>
      <c r="H167" s="34">
        <v>6.9690000000000003</v>
      </c>
      <c r="I167" s="113"/>
      <c r="J167" s="107">
        <f ca="1">SUM(Таблица2[[#This Row],[1.n]:[12.n]])</f>
        <v>0</v>
      </c>
      <c r="K167" s="98" t="e">
        <f>#REF!</f>
        <v>#REF!</v>
      </c>
      <c r="L167" s="98" t="e">
        <f>#REF!</f>
        <v>#REF!</v>
      </c>
      <c r="M167" s="98" t="e">
        <f>#REF!</f>
        <v>#REF!</v>
      </c>
      <c r="N167" s="98" t="e">
        <f>#REF!</f>
        <v>#REF!</v>
      </c>
      <c r="O167" s="98" t="e">
        <f>#REF!</f>
        <v>#REF!</v>
      </c>
      <c r="P167" s="98" t="e">
        <f>#REF!</f>
        <v>#REF!</v>
      </c>
      <c r="Q167" s="98" t="e">
        <f>#REF!</f>
        <v>#REF!</v>
      </c>
      <c r="R167" s="98" t="e">
        <f>#REF!</f>
        <v>#REF!</v>
      </c>
      <c r="S167" s="98" t="e">
        <f>#REF!</f>
        <v>#REF!</v>
      </c>
      <c r="T167" s="98" t="e">
        <f>#REF!</f>
        <v>#REF!</v>
      </c>
      <c r="U167" s="98"/>
      <c r="V167" s="98"/>
      <c r="W16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67" s="98" t="str">
        <f t="shared" ca="1" si="27"/>
        <v>2.n</v>
      </c>
      <c r="Y167" s="98"/>
      <c r="Z167" s="98"/>
      <c r="AA167" s="98"/>
      <c r="AB167" s="98"/>
      <c r="AC167" s="98"/>
      <c r="AD167" s="98"/>
      <c r="AE167" s="98"/>
      <c r="AF167" s="98"/>
      <c r="AG167" s="98"/>
      <c r="AH167" s="98"/>
    </row>
    <row r="168" spans="1:34" hidden="1" x14ac:dyDescent="0.3">
      <c r="A168" s="26" t="s">
        <v>369</v>
      </c>
      <c r="B168" s="17"/>
      <c r="C168" s="53" t="s">
        <v>5</v>
      </c>
      <c r="D168" s="54"/>
      <c r="E168" s="54"/>
      <c r="F168" s="55" t="s">
        <v>3</v>
      </c>
      <c r="G168" s="56">
        <v>0.15</v>
      </c>
      <c r="H168" s="34">
        <v>3.4849999999999999</v>
      </c>
      <c r="I168" s="81"/>
      <c r="J168" s="107">
        <f ca="1">SUM(Таблица2[[#This Row],[1.n]:[12.n]])</f>
        <v>0</v>
      </c>
      <c r="K168" s="98" t="e">
        <f>#REF!</f>
        <v>#REF!</v>
      </c>
      <c r="L168" s="98" t="e">
        <f>#REF!</f>
        <v>#REF!</v>
      </c>
      <c r="M168" s="98" t="e">
        <f>#REF!</f>
        <v>#REF!</v>
      </c>
      <c r="N168" s="98" t="e">
        <f>#REF!</f>
        <v>#REF!</v>
      </c>
      <c r="O168" s="98" t="e">
        <f>#REF!</f>
        <v>#REF!</v>
      </c>
      <c r="P168" s="98" t="e">
        <f>#REF!</f>
        <v>#REF!</v>
      </c>
      <c r="Q168" s="98" t="e">
        <f>#REF!</f>
        <v>#REF!</v>
      </c>
      <c r="R168" s="98" t="e">
        <f>#REF!</f>
        <v>#REF!</v>
      </c>
      <c r="S168" s="98" t="e">
        <f>#REF!</f>
        <v>#REF!</v>
      </c>
      <c r="T168" s="98" t="e">
        <f>#REF!</f>
        <v>#REF!</v>
      </c>
      <c r="U168" s="98"/>
      <c r="V168" s="98"/>
      <c r="W16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68" s="98" t="str">
        <f t="shared" ca="1" si="27"/>
        <v>2.n</v>
      </c>
      <c r="Y168" s="98"/>
      <c r="Z168" s="98"/>
      <c r="AA168" s="98"/>
      <c r="AB168" s="98"/>
      <c r="AC168" s="98"/>
      <c r="AD168" s="98"/>
      <c r="AE168" s="98"/>
      <c r="AF168" s="98"/>
      <c r="AG168" s="98"/>
      <c r="AH168" s="98"/>
    </row>
    <row r="169" spans="1:34" x14ac:dyDescent="0.3">
      <c r="A169" s="27" t="s">
        <v>370</v>
      </c>
      <c r="B169" s="18" t="s">
        <v>271</v>
      </c>
      <c r="C169" s="65" t="s">
        <v>272</v>
      </c>
      <c r="D169" s="14"/>
      <c r="E169" s="14" t="s">
        <v>371</v>
      </c>
      <c r="F169" s="14" t="s">
        <v>96</v>
      </c>
      <c r="G169" s="66">
        <v>1</v>
      </c>
      <c r="H169" s="33">
        <v>107.1</v>
      </c>
      <c r="I169" s="121">
        <f>H169-J169</f>
        <v>107.1</v>
      </c>
      <c r="J169" s="243">
        <f>SUM(Таблица2[[#This Row],[1.n]:[12.n]])</f>
        <v>0</v>
      </c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241"/>
      <c r="X169" s="241"/>
      <c r="Y169" s="241"/>
      <c r="Z169" s="241"/>
      <c r="AA169" s="241"/>
      <c r="AB169" s="241"/>
      <c r="AC169" s="241"/>
      <c r="AD169" s="241"/>
      <c r="AE169" s="241"/>
      <c r="AF169" s="241"/>
      <c r="AG169" s="241"/>
      <c r="AH169" s="241"/>
    </row>
    <row r="170" spans="1:34" hidden="1" x14ac:dyDescent="0.3">
      <c r="A170" s="26" t="s">
        <v>372</v>
      </c>
      <c r="B170" s="17"/>
      <c r="C170" s="53" t="s">
        <v>5</v>
      </c>
      <c r="D170" s="54"/>
      <c r="E170" s="54"/>
      <c r="F170" s="55" t="s">
        <v>3</v>
      </c>
      <c r="G170" s="56">
        <v>0.15</v>
      </c>
      <c r="H170" s="34">
        <v>16.065000000000001</v>
      </c>
      <c r="I170" s="113"/>
      <c r="J170" s="107">
        <f ca="1">SUM(Таблица2[[#This Row],[1.n]:[12.n]])</f>
        <v>0</v>
      </c>
      <c r="K170" s="98" t="e">
        <f>#REF!</f>
        <v>#REF!</v>
      </c>
      <c r="L170" s="98" t="e">
        <f>#REF!</f>
        <v>#REF!</v>
      </c>
      <c r="M170" s="98" t="e">
        <f>#REF!</f>
        <v>#REF!</v>
      </c>
      <c r="N170" s="98" t="e">
        <f>#REF!</f>
        <v>#REF!</v>
      </c>
      <c r="O170" s="98" t="e">
        <f>#REF!</f>
        <v>#REF!</v>
      </c>
      <c r="P170" s="98" t="e">
        <f>#REF!</f>
        <v>#REF!</v>
      </c>
      <c r="Q170" s="98" t="e">
        <f>#REF!</f>
        <v>#REF!</v>
      </c>
      <c r="R170" s="98" t="e">
        <f>#REF!</f>
        <v>#REF!</v>
      </c>
      <c r="S170" s="98" t="e">
        <f>#REF!</f>
        <v>#REF!</v>
      </c>
      <c r="T170" s="98" t="e">
        <f>#REF!</f>
        <v>#REF!</v>
      </c>
      <c r="U170" s="98"/>
      <c r="V170" s="98"/>
      <c r="W17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0" s="98" t="str">
        <f t="shared" ca="1" si="27"/>
        <v>2.n</v>
      </c>
      <c r="Y170" s="98"/>
      <c r="Z170" s="98"/>
      <c r="AA170" s="98"/>
      <c r="AB170" s="98"/>
      <c r="AC170" s="98"/>
      <c r="AD170" s="98"/>
      <c r="AE170" s="98"/>
      <c r="AF170" s="98"/>
      <c r="AG170" s="98"/>
      <c r="AH170" s="98"/>
    </row>
    <row r="171" spans="1:34" ht="46.8" hidden="1" x14ac:dyDescent="0.3">
      <c r="A171" s="25" t="s">
        <v>373</v>
      </c>
      <c r="B171" s="16"/>
      <c r="C171" s="59" t="s">
        <v>247</v>
      </c>
      <c r="D171" s="50"/>
      <c r="E171" s="50" t="s">
        <v>374</v>
      </c>
      <c r="F171" s="51" t="s">
        <v>3</v>
      </c>
      <c r="G171" s="52">
        <v>0.3</v>
      </c>
      <c r="H171" s="34">
        <v>32.130000000000003</v>
      </c>
      <c r="I171" s="81"/>
      <c r="J171" s="107">
        <f ca="1">SUM(Таблица2[[#This Row],[1.n]:[12.n]])</f>
        <v>0</v>
      </c>
      <c r="K171" s="98" t="e">
        <f>#REF!</f>
        <v>#REF!</v>
      </c>
      <c r="L171" s="98" t="e">
        <f>#REF!</f>
        <v>#REF!</v>
      </c>
      <c r="M171" s="98" t="e">
        <f>#REF!</f>
        <v>#REF!</v>
      </c>
      <c r="N171" s="98" t="e">
        <f>#REF!</f>
        <v>#REF!</v>
      </c>
      <c r="O171" s="98" t="e">
        <f>#REF!</f>
        <v>#REF!</v>
      </c>
      <c r="P171" s="98" t="e">
        <f>#REF!</f>
        <v>#REF!</v>
      </c>
      <c r="Q171" s="98" t="e">
        <f>#REF!</f>
        <v>#REF!</v>
      </c>
      <c r="R171" s="98" t="e">
        <f>#REF!</f>
        <v>#REF!</v>
      </c>
      <c r="S171" s="98" t="e">
        <f>#REF!</f>
        <v>#REF!</v>
      </c>
      <c r="T171" s="98" t="e">
        <f>#REF!</f>
        <v>#REF!</v>
      </c>
      <c r="U171" s="98"/>
      <c r="V171" s="98"/>
      <c r="W17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1" s="98" t="str">
        <f t="shared" ca="1" si="27"/>
        <v>2.n</v>
      </c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</row>
    <row r="172" spans="1:34" ht="31.2" x14ac:dyDescent="0.3">
      <c r="A172" s="24" t="s">
        <v>375</v>
      </c>
      <c r="B172" s="21" t="s">
        <v>376</v>
      </c>
      <c r="C172" s="85" t="s">
        <v>377</v>
      </c>
      <c r="D172" s="86"/>
      <c r="E172" s="86" t="s">
        <v>378</v>
      </c>
      <c r="F172" s="86" t="s">
        <v>96</v>
      </c>
      <c r="G172" s="87">
        <v>1</v>
      </c>
      <c r="H172" s="33">
        <v>205.88</v>
      </c>
      <c r="I172" s="121">
        <f>H172-J172</f>
        <v>205.88</v>
      </c>
      <c r="J172" s="243">
        <f>SUM(Таблица2[[#This Row],[1.n]:[12.n]])</f>
        <v>0</v>
      </c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241"/>
      <c r="X172" s="241"/>
      <c r="Y172" s="241"/>
      <c r="Z172" s="241"/>
      <c r="AA172" s="241"/>
      <c r="AB172" s="241"/>
      <c r="AC172" s="241"/>
      <c r="AD172" s="241"/>
      <c r="AE172" s="241"/>
      <c r="AF172" s="241"/>
      <c r="AG172" s="241"/>
      <c r="AH172" s="241"/>
    </row>
    <row r="173" spans="1:34" hidden="1" x14ac:dyDescent="0.3">
      <c r="A173" s="25" t="s">
        <v>379</v>
      </c>
      <c r="B173" s="16"/>
      <c r="C173" s="59" t="s">
        <v>225</v>
      </c>
      <c r="D173" s="50"/>
      <c r="E173" s="50"/>
      <c r="F173" s="51" t="s">
        <v>3</v>
      </c>
      <c r="G173" s="52">
        <v>0.25</v>
      </c>
      <c r="H173" s="34">
        <v>51.47</v>
      </c>
      <c r="I173" s="113"/>
      <c r="J173" s="107">
        <f ca="1">SUM(Таблица2[[#This Row],[1.n]:[12.n]])</f>
        <v>0</v>
      </c>
      <c r="K173" s="98" t="e">
        <f>#REF!</f>
        <v>#REF!</v>
      </c>
      <c r="L173" s="98" t="e">
        <f>#REF!</f>
        <v>#REF!</v>
      </c>
      <c r="M173" s="98" t="e">
        <f>#REF!</f>
        <v>#REF!</v>
      </c>
      <c r="N173" s="98" t="e">
        <f>#REF!</f>
        <v>#REF!</v>
      </c>
      <c r="O173" s="98" t="e">
        <f>#REF!</f>
        <v>#REF!</v>
      </c>
      <c r="P173" s="98" t="e">
        <f>#REF!</f>
        <v>#REF!</v>
      </c>
      <c r="Q173" s="98" t="e">
        <f>#REF!</f>
        <v>#REF!</v>
      </c>
      <c r="R173" s="98" t="e">
        <f>#REF!</f>
        <v>#REF!</v>
      </c>
      <c r="S173" s="98" t="e">
        <f>#REF!</f>
        <v>#REF!</v>
      </c>
      <c r="T173" s="98" t="e">
        <f>#REF!</f>
        <v>#REF!</v>
      </c>
      <c r="U173" s="98"/>
      <c r="V173" s="98"/>
      <c r="W17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3" s="98" t="str">
        <f t="shared" ca="1" si="27"/>
        <v>2.n</v>
      </c>
      <c r="Y173" s="98"/>
      <c r="Z173" s="98"/>
      <c r="AA173" s="98"/>
      <c r="AB173" s="98"/>
      <c r="AC173" s="98"/>
      <c r="AD173" s="98"/>
      <c r="AE173" s="98"/>
      <c r="AF173" s="98"/>
      <c r="AG173" s="98"/>
      <c r="AH173" s="98"/>
    </row>
    <row r="174" spans="1:34" hidden="1" x14ac:dyDescent="0.3">
      <c r="A174" s="26" t="s">
        <v>380</v>
      </c>
      <c r="B174" s="17"/>
      <c r="C174" s="53" t="s">
        <v>227</v>
      </c>
      <c r="D174" s="54"/>
      <c r="E174" s="54"/>
      <c r="F174" s="55" t="s">
        <v>3</v>
      </c>
      <c r="G174" s="56">
        <v>0.15</v>
      </c>
      <c r="H174" s="34">
        <v>30.882000000000001</v>
      </c>
      <c r="I174" s="62"/>
      <c r="J174" s="100">
        <f ca="1">SUM(Таблица2[[#This Row],[1.n]:[12.n]])</f>
        <v>0</v>
      </c>
      <c r="K174" s="98" t="e">
        <f>#REF!</f>
        <v>#REF!</v>
      </c>
      <c r="L174" s="98" t="e">
        <f>#REF!</f>
        <v>#REF!</v>
      </c>
      <c r="M174" s="98" t="e">
        <f>#REF!</f>
        <v>#REF!</v>
      </c>
      <c r="N174" s="98" t="e">
        <f>#REF!</f>
        <v>#REF!</v>
      </c>
      <c r="O174" s="98" t="e">
        <f>#REF!</f>
        <v>#REF!</v>
      </c>
      <c r="P174" s="98" t="e">
        <f>#REF!</f>
        <v>#REF!</v>
      </c>
      <c r="Q174" s="98" t="e">
        <f>#REF!</f>
        <v>#REF!</v>
      </c>
      <c r="R174" s="98" t="e">
        <f>#REF!</f>
        <v>#REF!</v>
      </c>
      <c r="S174" s="98" t="e">
        <f>#REF!</f>
        <v>#REF!</v>
      </c>
      <c r="T174" s="98" t="e">
        <f>#REF!</f>
        <v>#REF!</v>
      </c>
      <c r="U174" s="98"/>
      <c r="V174" s="98"/>
      <c r="W17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4" s="98" t="str">
        <f t="shared" ca="1" si="27"/>
        <v>2.n</v>
      </c>
      <c r="Y174" s="98"/>
      <c r="Z174" s="98"/>
      <c r="AA174" s="98"/>
      <c r="AB174" s="98"/>
      <c r="AC174" s="98"/>
      <c r="AD174" s="98"/>
      <c r="AE174" s="98"/>
      <c r="AF174" s="98"/>
      <c r="AG174" s="98"/>
      <c r="AH174" s="98"/>
    </row>
    <row r="175" spans="1:34" ht="31.2" hidden="1" x14ac:dyDescent="0.3">
      <c r="A175" s="25" t="s">
        <v>381</v>
      </c>
      <c r="B175" s="16"/>
      <c r="C175" s="88" t="s">
        <v>382</v>
      </c>
      <c r="D175" s="50"/>
      <c r="E175" s="50" t="s">
        <v>220</v>
      </c>
      <c r="F175" s="51" t="s">
        <v>3</v>
      </c>
      <c r="G175" s="52">
        <v>1.2</v>
      </c>
      <c r="H175" s="34">
        <v>494.11200000000002</v>
      </c>
      <c r="I175" s="81"/>
      <c r="J175" s="107">
        <f ca="1">SUM(Таблица2[[#This Row],[1.n]:[12.n]])</f>
        <v>0</v>
      </c>
      <c r="K175" s="98" t="e">
        <f>#REF!</f>
        <v>#REF!</v>
      </c>
      <c r="L175" s="98" t="e">
        <f>#REF!</f>
        <v>#REF!</v>
      </c>
      <c r="M175" s="98" t="e">
        <f>#REF!</f>
        <v>#REF!</v>
      </c>
      <c r="N175" s="98" t="e">
        <f>#REF!</f>
        <v>#REF!</v>
      </c>
      <c r="O175" s="98" t="e">
        <f>#REF!</f>
        <v>#REF!</v>
      </c>
      <c r="P175" s="98" t="e">
        <f>#REF!</f>
        <v>#REF!</v>
      </c>
      <c r="Q175" s="98" t="e">
        <f>#REF!</f>
        <v>#REF!</v>
      </c>
      <c r="R175" s="98" t="e">
        <f>#REF!</f>
        <v>#REF!</v>
      </c>
      <c r="S175" s="98" t="e">
        <f>#REF!</f>
        <v>#REF!</v>
      </c>
      <c r="T175" s="98" t="e">
        <f>#REF!</f>
        <v>#REF!</v>
      </c>
      <c r="U175" s="98"/>
      <c r="V175" s="98"/>
      <c r="W17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5" s="98" t="str">
        <f t="shared" ca="1" si="27"/>
        <v>2.n</v>
      </c>
      <c r="Y175" s="98"/>
      <c r="Z175" s="98"/>
      <c r="AA175" s="98"/>
      <c r="AB175" s="98"/>
      <c r="AC175" s="98"/>
      <c r="AD175" s="98"/>
      <c r="AE175" s="98"/>
      <c r="AF175" s="98"/>
      <c r="AG175" s="98"/>
      <c r="AH175" s="98"/>
    </row>
    <row r="176" spans="1:34" ht="31.2" hidden="1" x14ac:dyDescent="0.3">
      <c r="A176" s="26" t="s">
        <v>383</v>
      </c>
      <c r="B176" s="17"/>
      <c r="C176" s="88" t="s">
        <v>384</v>
      </c>
      <c r="D176" s="54"/>
      <c r="E176" s="54" t="s">
        <v>385</v>
      </c>
      <c r="F176" s="55" t="s">
        <v>96</v>
      </c>
      <c r="G176" s="56">
        <v>1.07</v>
      </c>
      <c r="H176" s="34">
        <v>220.292</v>
      </c>
      <c r="I176" s="81"/>
      <c r="J176" s="107">
        <f ca="1">SUM(Таблица2[[#This Row],[1.n]:[12.n]])</f>
        <v>0</v>
      </c>
      <c r="K176" s="98" t="e">
        <f>#REF!</f>
        <v>#REF!</v>
      </c>
      <c r="L176" s="98" t="e">
        <f>#REF!</f>
        <v>#REF!</v>
      </c>
      <c r="M176" s="98" t="e">
        <f>#REF!</f>
        <v>#REF!</v>
      </c>
      <c r="N176" s="98" t="e">
        <f>#REF!</f>
        <v>#REF!</v>
      </c>
      <c r="O176" s="98" t="e">
        <f>#REF!</f>
        <v>#REF!</v>
      </c>
      <c r="P176" s="98" t="e">
        <f>#REF!</f>
        <v>#REF!</v>
      </c>
      <c r="Q176" s="98" t="e">
        <f>#REF!</f>
        <v>#REF!</v>
      </c>
      <c r="R176" s="98" t="e">
        <f>#REF!</f>
        <v>#REF!</v>
      </c>
      <c r="S176" s="98" t="e">
        <f>#REF!</f>
        <v>#REF!</v>
      </c>
      <c r="T176" s="98" t="e">
        <f>#REF!</f>
        <v>#REF!</v>
      </c>
      <c r="U176" s="98"/>
      <c r="V176" s="98"/>
      <c r="W17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6" s="98" t="str">
        <f t="shared" ca="1" si="27"/>
        <v>2.n</v>
      </c>
      <c r="Y176" s="98"/>
      <c r="Z176" s="98"/>
      <c r="AA176" s="98"/>
      <c r="AB176" s="98"/>
      <c r="AC176" s="98"/>
      <c r="AD176" s="98"/>
      <c r="AE176" s="98"/>
      <c r="AF176" s="98"/>
      <c r="AG176" s="98"/>
      <c r="AH176" s="98"/>
    </row>
    <row r="177" spans="1:34" ht="31.2" x14ac:dyDescent="0.3">
      <c r="A177" s="27" t="s">
        <v>386</v>
      </c>
      <c r="B177" s="18" t="s">
        <v>376</v>
      </c>
      <c r="C177" s="65" t="s">
        <v>377</v>
      </c>
      <c r="D177" s="14"/>
      <c r="E177" s="14" t="s">
        <v>387</v>
      </c>
      <c r="F177" s="14" t="s">
        <v>96</v>
      </c>
      <c r="G177" s="66">
        <v>1</v>
      </c>
      <c r="H177" s="33">
        <v>33.03</v>
      </c>
      <c r="I177" s="121">
        <f>H177-J177</f>
        <v>33.03</v>
      </c>
      <c r="J177" s="243">
        <f>SUM(Таблица2[[#This Row],[1.n]:[12.n]])</f>
        <v>0</v>
      </c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241"/>
      <c r="X177" s="241"/>
      <c r="Y177" s="241"/>
      <c r="Z177" s="241"/>
      <c r="AA177" s="241"/>
      <c r="AB177" s="241"/>
      <c r="AC177" s="241"/>
      <c r="AD177" s="241"/>
      <c r="AE177" s="241"/>
      <c r="AF177" s="241"/>
      <c r="AG177" s="241"/>
      <c r="AH177" s="241"/>
    </row>
    <row r="178" spans="1:34" ht="31.2" hidden="1" x14ac:dyDescent="0.3">
      <c r="A178" s="26" t="s">
        <v>388</v>
      </c>
      <c r="B178" s="17"/>
      <c r="C178" s="88" t="s">
        <v>389</v>
      </c>
      <c r="D178" s="54"/>
      <c r="E178" s="54" t="s">
        <v>390</v>
      </c>
      <c r="F178" s="55" t="s">
        <v>96</v>
      </c>
      <c r="G178" s="56">
        <v>1.07</v>
      </c>
      <c r="H178" s="34">
        <v>35.341999999999999</v>
      </c>
      <c r="I178" s="110"/>
      <c r="J178" s="101">
        <f ca="1">SUM(Таблица2[[#This Row],[1.n]:[12.n]])</f>
        <v>0</v>
      </c>
      <c r="K178" s="98" t="e">
        <f>#REF!</f>
        <v>#REF!</v>
      </c>
      <c r="L178" s="98" t="e">
        <f>#REF!</f>
        <v>#REF!</v>
      </c>
      <c r="M178" s="98" t="e">
        <f>#REF!</f>
        <v>#REF!</v>
      </c>
      <c r="N178" s="98" t="e">
        <f>#REF!</f>
        <v>#REF!</v>
      </c>
      <c r="O178" s="98" t="e">
        <f>#REF!</f>
        <v>#REF!</v>
      </c>
      <c r="P178" s="98" t="e">
        <f>#REF!</f>
        <v>#REF!</v>
      </c>
      <c r="Q178" s="98" t="e">
        <f>#REF!</f>
        <v>#REF!</v>
      </c>
      <c r="R178" s="98" t="e">
        <f>#REF!</f>
        <v>#REF!</v>
      </c>
      <c r="S178" s="98" t="e">
        <f>#REF!</f>
        <v>#REF!</v>
      </c>
      <c r="T178" s="98" t="e">
        <f>#REF!</f>
        <v>#REF!</v>
      </c>
      <c r="U178" s="98"/>
      <c r="V178" s="98"/>
      <c r="W17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8" s="98" t="str">
        <f t="shared" ca="1" si="27"/>
        <v>2.n</v>
      </c>
      <c r="Y178" s="98"/>
      <c r="Z178" s="98"/>
      <c r="AA178" s="98"/>
      <c r="AB178" s="98"/>
      <c r="AC178" s="98"/>
      <c r="AD178" s="98"/>
      <c r="AE178" s="98"/>
      <c r="AF178" s="98"/>
      <c r="AG178" s="98"/>
      <c r="AH178" s="98"/>
    </row>
    <row r="179" spans="1:34" ht="31.2" hidden="1" x14ac:dyDescent="0.3">
      <c r="A179" s="25" t="s">
        <v>391</v>
      </c>
      <c r="B179" s="16"/>
      <c r="C179" s="88" t="s">
        <v>382</v>
      </c>
      <c r="D179" s="50"/>
      <c r="E179" s="50" t="s">
        <v>220</v>
      </c>
      <c r="F179" s="51" t="s">
        <v>3</v>
      </c>
      <c r="G179" s="52">
        <v>1.2</v>
      </c>
      <c r="H179" s="34">
        <v>79.272000000000006</v>
      </c>
      <c r="I179" s="61"/>
      <c r="J179" s="101">
        <f ca="1">SUM(Таблица2[[#This Row],[1.n]:[12.n]])</f>
        <v>0</v>
      </c>
      <c r="K179" s="98" t="e">
        <f>#REF!</f>
        <v>#REF!</v>
      </c>
      <c r="L179" s="98" t="e">
        <f>#REF!</f>
        <v>#REF!</v>
      </c>
      <c r="M179" s="98" t="e">
        <f>#REF!</f>
        <v>#REF!</v>
      </c>
      <c r="N179" s="98" t="e">
        <f>#REF!</f>
        <v>#REF!</v>
      </c>
      <c r="O179" s="98" t="e">
        <f>#REF!</f>
        <v>#REF!</v>
      </c>
      <c r="P179" s="98" t="e">
        <f>#REF!</f>
        <v>#REF!</v>
      </c>
      <c r="Q179" s="98" t="e">
        <f>#REF!</f>
        <v>#REF!</v>
      </c>
      <c r="R179" s="98" t="e">
        <f>#REF!</f>
        <v>#REF!</v>
      </c>
      <c r="S179" s="98" t="e">
        <f>#REF!</f>
        <v>#REF!</v>
      </c>
      <c r="T179" s="98" t="e">
        <f>#REF!</f>
        <v>#REF!</v>
      </c>
      <c r="U179" s="98"/>
      <c r="V179" s="98"/>
      <c r="W17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79" s="98" t="str">
        <f t="shared" ca="1" si="27"/>
        <v>2.n</v>
      </c>
      <c r="Y179" s="98"/>
      <c r="Z179" s="98"/>
      <c r="AA179" s="98"/>
      <c r="AB179" s="98"/>
      <c r="AC179" s="98"/>
      <c r="AD179" s="98"/>
      <c r="AE179" s="98"/>
      <c r="AF179" s="98"/>
      <c r="AG179" s="98"/>
      <c r="AH179" s="98"/>
    </row>
    <row r="180" spans="1:34" hidden="1" x14ac:dyDescent="0.3">
      <c r="A180" s="26" t="s">
        <v>392</v>
      </c>
      <c r="B180" s="17"/>
      <c r="C180" s="53" t="s">
        <v>227</v>
      </c>
      <c r="D180" s="54"/>
      <c r="E180" s="54"/>
      <c r="F180" s="55" t="s">
        <v>3</v>
      </c>
      <c r="G180" s="56">
        <v>0.15</v>
      </c>
      <c r="H180" s="34">
        <v>4.9550000000000001</v>
      </c>
      <c r="I180" s="62"/>
      <c r="J180" s="100">
        <f ca="1">SUM(Таблица2[[#This Row],[1.n]:[12.n]])</f>
        <v>0</v>
      </c>
      <c r="K180" s="98" t="e">
        <f>#REF!</f>
        <v>#REF!</v>
      </c>
      <c r="L180" s="98" t="e">
        <f>#REF!</f>
        <v>#REF!</v>
      </c>
      <c r="M180" s="98" t="e">
        <f>#REF!</f>
        <v>#REF!</v>
      </c>
      <c r="N180" s="98" t="e">
        <f>#REF!</f>
        <v>#REF!</v>
      </c>
      <c r="O180" s="98" t="e">
        <f>#REF!</f>
        <v>#REF!</v>
      </c>
      <c r="P180" s="98" t="e">
        <f>#REF!</f>
        <v>#REF!</v>
      </c>
      <c r="Q180" s="98" t="e">
        <f>#REF!</f>
        <v>#REF!</v>
      </c>
      <c r="R180" s="98" t="e">
        <f>#REF!</f>
        <v>#REF!</v>
      </c>
      <c r="S180" s="98" t="e">
        <f>#REF!</f>
        <v>#REF!</v>
      </c>
      <c r="T180" s="98" t="e">
        <f>#REF!</f>
        <v>#REF!</v>
      </c>
      <c r="U180" s="98"/>
      <c r="V180" s="98"/>
      <c r="W18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0" s="98" t="str">
        <f t="shared" ca="1" si="27"/>
        <v>2.n</v>
      </c>
      <c r="Y180" s="98"/>
      <c r="Z180" s="98"/>
      <c r="AA180" s="98"/>
      <c r="AB180" s="98"/>
      <c r="AC180" s="98"/>
      <c r="AD180" s="98"/>
      <c r="AE180" s="98"/>
      <c r="AF180" s="98"/>
      <c r="AG180" s="98"/>
      <c r="AH180" s="98"/>
    </row>
    <row r="181" spans="1:34" hidden="1" x14ac:dyDescent="0.3">
      <c r="A181" s="25" t="s">
        <v>393</v>
      </c>
      <c r="B181" s="16"/>
      <c r="C181" s="59" t="s">
        <v>225</v>
      </c>
      <c r="D181" s="50"/>
      <c r="E181" s="50"/>
      <c r="F181" s="51" t="s">
        <v>3</v>
      </c>
      <c r="G181" s="52">
        <v>0.25</v>
      </c>
      <c r="H181" s="34">
        <v>8.2579999999999991</v>
      </c>
      <c r="I181" s="61"/>
      <c r="J181" s="101">
        <f ca="1">SUM(Таблица2[[#This Row],[1.n]:[12.n]])</f>
        <v>0</v>
      </c>
      <c r="K181" s="98" t="e">
        <f>#REF!</f>
        <v>#REF!</v>
      </c>
      <c r="L181" s="98" t="e">
        <f>#REF!</f>
        <v>#REF!</v>
      </c>
      <c r="M181" s="98" t="e">
        <f>#REF!</f>
        <v>#REF!</v>
      </c>
      <c r="N181" s="98" t="e">
        <f>#REF!</f>
        <v>#REF!</v>
      </c>
      <c r="O181" s="98" t="e">
        <f>#REF!</f>
        <v>#REF!</v>
      </c>
      <c r="P181" s="98" t="e">
        <f>#REF!</f>
        <v>#REF!</v>
      </c>
      <c r="Q181" s="98" t="e">
        <f>#REF!</f>
        <v>#REF!</v>
      </c>
      <c r="R181" s="98" t="e">
        <f>#REF!</f>
        <v>#REF!</v>
      </c>
      <c r="S181" s="98" t="e">
        <f>#REF!</f>
        <v>#REF!</v>
      </c>
      <c r="T181" s="98" t="e">
        <f>#REF!</f>
        <v>#REF!</v>
      </c>
      <c r="U181" s="98"/>
      <c r="V181" s="98"/>
      <c r="W18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1" s="98" t="str">
        <f t="shared" ca="1" si="27"/>
        <v>2.n</v>
      </c>
      <c r="Y181" s="98"/>
      <c r="Z181" s="98"/>
      <c r="AA181" s="98"/>
      <c r="AB181" s="98"/>
      <c r="AC181" s="98"/>
      <c r="AD181" s="98"/>
      <c r="AE181" s="98"/>
      <c r="AF181" s="98"/>
      <c r="AG181" s="98"/>
      <c r="AH181" s="98"/>
    </row>
    <row r="182" spans="1:34" ht="31.2" x14ac:dyDescent="0.3">
      <c r="A182" s="24" t="s">
        <v>394</v>
      </c>
      <c r="B182" s="15" t="s">
        <v>376</v>
      </c>
      <c r="C182" s="46" t="s">
        <v>377</v>
      </c>
      <c r="D182" s="47"/>
      <c r="E182" s="47" t="s">
        <v>395</v>
      </c>
      <c r="F182" s="47" t="s">
        <v>96</v>
      </c>
      <c r="G182" s="48">
        <v>1</v>
      </c>
      <c r="H182" s="33">
        <v>55.79</v>
      </c>
      <c r="I182" s="121">
        <f>H182-J182</f>
        <v>55.79</v>
      </c>
      <c r="J182" s="243">
        <f>SUM(Таблица2[[#This Row],[1.n]:[12.n]])</f>
        <v>0</v>
      </c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241"/>
      <c r="X182" s="241"/>
      <c r="Y182" s="241"/>
      <c r="Z182" s="241"/>
      <c r="AA182" s="241"/>
      <c r="AB182" s="241"/>
      <c r="AC182" s="241"/>
      <c r="AD182" s="241"/>
      <c r="AE182" s="241"/>
      <c r="AF182" s="241"/>
      <c r="AG182" s="241"/>
      <c r="AH182" s="241"/>
    </row>
    <row r="183" spans="1:34" hidden="1" x14ac:dyDescent="0.3">
      <c r="A183" s="25" t="s">
        <v>396</v>
      </c>
      <c r="B183" s="16"/>
      <c r="C183" s="59" t="s">
        <v>225</v>
      </c>
      <c r="D183" s="50"/>
      <c r="E183" s="50"/>
      <c r="F183" s="51" t="s">
        <v>3</v>
      </c>
      <c r="G183" s="52">
        <v>0.25</v>
      </c>
      <c r="H183" s="34">
        <v>13.948</v>
      </c>
      <c r="I183" s="114" t="e">
        <f>H183-K183</f>
        <v>#REF!</v>
      </c>
      <c r="J183" s="108">
        <f ca="1">SUM(Таблица2[[#This Row],[1.n]:[12.n]])</f>
        <v>0</v>
      </c>
      <c r="K183" s="98" t="e">
        <f>#REF!</f>
        <v>#REF!</v>
      </c>
      <c r="L183" s="98" t="e">
        <f>#REF!</f>
        <v>#REF!</v>
      </c>
      <c r="M183" s="98" t="e">
        <f>#REF!</f>
        <v>#REF!</v>
      </c>
      <c r="N183" s="98" t="e">
        <f>#REF!</f>
        <v>#REF!</v>
      </c>
      <c r="O183" s="98" t="e">
        <f>#REF!</f>
        <v>#REF!</v>
      </c>
      <c r="P183" s="98" t="e">
        <f>#REF!</f>
        <v>#REF!</v>
      </c>
      <c r="Q183" s="98" t="e">
        <f>#REF!</f>
        <v>#REF!</v>
      </c>
      <c r="R183" s="98" t="e">
        <f>#REF!</f>
        <v>#REF!</v>
      </c>
      <c r="S183" s="98" t="e">
        <f>#REF!</f>
        <v>#REF!</v>
      </c>
      <c r="T183" s="98" t="e">
        <f>#REF!</f>
        <v>#REF!</v>
      </c>
      <c r="U183" s="98"/>
      <c r="V183" s="98"/>
      <c r="W18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3" s="98" t="str">
        <f t="shared" ca="1" si="27"/>
        <v>2.n</v>
      </c>
      <c r="Y183" s="98"/>
      <c r="Z183" s="98"/>
      <c r="AA183" s="98"/>
      <c r="AB183" s="98"/>
      <c r="AC183" s="98"/>
      <c r="AD183" s="98"/>
      <c r="AE183" s="98"/>
      <c r="AF183" s="98"/>
      <c r="AG183" s="98"/>
      <c r="AH183" s="98"/>
    </row>
    <row r="184" spans="1:34" hidden="1" x14ac:dyDescent="0.3">
      <c r="A184" s="26" t="s">
        <v>397</v>
      </c>
      <c r="B184" s="17"/>
      <c r="C184" s="53" t="s">
        <v>227</v>
      </c>
      <c r="D184" s="54"/>
      <c r="E184" s="54"/>
      <c r="F184" s="55" t="s">
        <v>3</v>
      </c>
      <c r="G184" s="56">
        <v>0.15</v>
      </c>
      <c r="H184" s="34">
        <v>8.3689999999999998</v>
      </c>
      <c r="I184" s="81"/>
      <c r="J184" s="107">
        <f ca="1">SUM(Таблица2[[#This Row],[1.n]:[12.n]])</f>
        <v>0</v>
      </c>
      <c r="K184" s="98" t="e">
        <f>#REF!</f>
        <v>#REF!</v>
      </c>
      <c r="L184" s="98" t="e">
        <f>#REF!</f>
        <v>#REF!</v>
      </c>
      <c r="M184" s="98" t="e">
        <f>#REF!</f>
        <v>#REF!</v>
      </c>
      <c r="N184" s="98" t="e">
        <f>#REF!</f>
        <v>#REF!</v>
      </c>
      <c r="O184" s="98" t="e">
        <f>#REF!</f>
        <v>#REF!</v>
      </c>
      <c r="P184" s="98" t="e">
        <f>#REF!</f>
        <v>#REF!</v>
      </c>
      <c r="Q184" s="98" t="e">
        <f>#REF!</f>
        <v>#REF!</v>
      </c>
      <c r="R184" s="98" t="e">
        <f>#REF!</f>
        <v>#REF!</v>
      </c>
      <c r="S184" s="98" t="e">
        <f>#REF!</f>
        <v>#REF!</v>
      </c>
      <c r="T184" s="98" t="e">
        <f>#REF!</f>
        <v>#REF!</v>
      </c>
      <c r="U184" s="98"/>
      <c r="V184" s="98"/>
      <c r="W18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4" s="98" t="str">
        <f t="shared" ca="1" si="27"/>
        <v>2.n</v>
      </c>
      <c r="Y184" s="98"/>
      <c r="Z184" s="98"/>
      <c r="AA184" s="98"/>
      <c r="AB184" s="98"/>
      <c r="AC184" s="98"/>
      <c r="AD184" s="98"/>
      <c r="AE184" s="98"/>
      <c r="AF184" s="98"/>
      <c r="AG184" s="98"/>
      <c r="AH184" s="98"/>
    </row>
    <row r="185" spans="1:34" ht="31.2" hidden="1" x14ac:dyDescent="0.3">
      <c r="A185" s="25" t="s">
        <v>398</v>
      </c>
      <c r="B185" s="16"/>
      <c r="C185" s="88" t="s">
        <v>382</v>
      </c>
      <c r="D185" s="50"/>
      <c r="E185" s="50" t="s">
        <v>220</v>
      </c>
      <c r="F185" s="51" t="s">
        <v>3</v>
      </c>
      <c r="G185" s="52">
        <v>1.2</v>
      </c>
      <c r="H185" s="34">
        <v>133.89599999999999</v>
      </c>
      <c r="I185" s="81"/>
      <c r="J185" s="107">
        <f ca="1">SUM(Таблица2[[#This Row],[1.n]:[12.n]])</f>
        <v>0</v>
      </c>
      <c r="K185" s="98" t="e">
        <f>#REF!</f>
        <v>#REF!</v>
      </c>
      <c r="L185" s="98" t="e">
        <f>#REF!</f>
        <v>#REF!</v>
      </c>
      <c r="M185" s="98" t="e">
        <f>#REF!</f>
        <v>#REF!</v>
      </c>
      <c r="N185" s="98" t="e">
        <f>#REF!</f>
        <v>#REF!</v>
      </c>
      <c r="O185" s="98" t="e">
        <f>#REF!</f>
        <v>#REF!</v>
      </c>
      <c r="P185" s="98" t="e">
        <f>#REF!</f>
        <v>#REF!</v>
      </c>
      <c r="Q185" s="98" t="e">
        <f>#REF!</f>
        <v>#REF!</v>
      </c>
      <c r="R185" s="98" t="e">
        <f>#REF!</f>
        <v>#REF!</v>
      </c>
      <c r="S185" s="98" t="e">
        <f>#REF!</f>
        <v>#REF!</v>
      </c>
      <c r="T185" s="98" t="e">
        <f>#REF!</f>
        <v>#REF!</v>
      </c>
      <c r="U185" s="98"/>
      <c r="V185" s="98"/>
      <c r="W18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5" s="98" t="str">
        <f t="shared" ca="1" si="27"/>
        <v>2.n</v>
      </c>
      <c r="Y185" s="98"/>
      <c r="Z185" s="98"/>
      <c r="AA185" s="98"/>
      <c r="AB185" s="98"/>
      <c r="AC185" s="98"/>
      <c r="AD185" s="98"/>
      <c r="AE185" s="98"/>
      <c r="AF185" s="98"/>
      <c r="AG185" s="98"/>
      <c r="AH185" s="98"/>
    </row>
    <row r="186" spans="1:34" ht="31.2" hidden="1" x14ac:dyDescent="0.3">
      <c r="A186" s="26" t="s">
        <v>399</v>
      </c>
      <c r="B186" s="17"/>
      <c r="C186" s="88" t="s">
        <v>400</v>
      </c>
      <c r="D186" s="54"/>
      <c r="E186" s="54" t="s">
        <v>401</v>
      </c>
      <c r="F186" s="55" t="s">
        <v>96</v>
      </c>
      <c r="G186" s="56">
        <v>1.07</v>
      </c>
      <c r="H186" s="34">
        <v>59.695</v>
      </c>
      <c r="I186" s="84" t="e">
        <f>H186-K186</f>
        <v>#REF!</v>
      </c>
      <c r="J186" s="108">
        <f ca="1">SUM(Таблица2[[#This Row],[1.n]:[12.n]])</f>
        <v>0</v>
      </c>
      <c r="K186" s="98" t="e">
        <f>#REF!</f>
        <v>#REF!</v>
      </c>
      <c r="L186" s="98" t="e">
        <f>#REF!</f>
        <v>#REF!</v>
      </c>
      <c r="M186" s="98" t="e">
        <f>#REF!</f>
        <v>#REF!</v>
      </c>
      <c r="N186" s="98" t="e">
        <f>#REF!</f>
        <v>#REF!</v>
      </c>
      <c r="O186" s="98" t="e">
        <f>#REF!</f>
        <v>#REF!</v>
      </c>
      <c r="P186" s="98" t="e">
        <f>#REF!</f>
        <v>#REF!</v>
      </c>
      <c r="Q186" s="98" t="e">
        <f>#REF!</f>
        <v>#REF!</v>
      </c>
      <c r="R186" s="98" t="e">
        <f>#REF!</f>
        <v>#REF!</v>
      </c>
      <c r="S186" s="98" t="e">
        <f>#REF!</f>
        <v>#REF!</v>
      </c>
      <c r="T186" s="98" t="e">
        <f>#REF!</f>
        <v>#REF!</v>
      </c>
      <c r="U186" s="98"/>
      <c r="V186" s="98"/>
      <c r="W18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6" s="98" t="str">
        <f t="shared" ca="1" si="27"/>
        <v>2.n</v>
      </c>
      <c r="Y186" s="98"/>
      <c r="Z186" s="98"/>
      <c r="AA186" s="98"/>
      <c r="AB186" s="98"/>
      <c r="AC186" s="98"/>
      <c r="AD186" s="98"/>
      <c r="AE186" s="98"/>
      <c r="AF186" s="98"/>
      <c r="AG186" s="98"/>
      <c r="AH186" s="98"/>
    </row>
    <row r="187" spans="1:34" ht="31.2" x14ac:dyDescent="0.3">
      <c r="A187" s="27" t="s">
        <v>402</v>
      </c>
      <c r="B187" s="18" t="s">
        <v>376</v>
      </c>
      <c r="C187" s="65" t="s">
        <v>377</v>
      </c>
      <c r="D187" s="14"/>
      <c r="E187" s="14" t="s">
        <v>403</v>
      </c>
      <c r="F187" s="14" t="s">
        <v>96</v>
      </c>
      <c r="G187" s="66">
        <v>1</v>
      </c>
      <c r="H187" s="33">
        <v>5.65</v>
      </c>
      <c r="I187" s="121">
        <f>H187-J187</f>
        <v>5.65</v>
      </c>
      <c r="J187" s="243">
        <f>SUM(Таблица2[[#This Row],[1.n]:[12.n]])</f>
        <v>0</v>
      </c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241"/>
      <c r="X187" s="241"/>
      <c r="Y187" s="241"/>
      <c r="Z187" s="241"/>
      <c r="AA187" s="241"/>
      <c r="AB187" s="241"/>
      <c r="AC187" s="241"/>
      <c r="AD187" s="241"/>
      <c r="AE187" s="241"/>
      <c r="AF187" s="241"/>
      <c r="AG187" s="241"/>
      <c r="AH187" s="241"/>
    </row>
    <row r="188" spans="1:34" ht="31.2" hidden="1" x14ac:dyDescent="0.3">
      <c r="A188" s="26" t="s">
        <v>404</v>
      </c>
      <c r="B188" s="17"/>
      <c r="C188" s="88" t="s">
        <v>405</v>
      </c>
      <c r="D188" s="54"/>
      <c r="E188" s="54" t="s">
        <v>406</v>
      </c>
      <c r="F188" s="55" t="s">
        <v>96</v>
      </c>
      <c r="G188" s="56">
        <v>1.07</v>
      </c>
      <c r="H188" s="34">
        <v>6.0460000000000003</v>
      </c>
      <c r="I188" s="110"/>
      <c r="J188" s="101">
        <f ca="1">SUM(Таблица2[[#This Row],[1.n]:[12.n]])</f>
        <v>0</v>
      </c>
      <c r="K188" s="98" t="e">
        <f>#REF!</f>
        <v>#REF!</v>
      </c>
      <c r="L188" s="98" t="e">
        <f>#REF!</f>
        <v>#REF!</v>
      </c>
      <c r="M188" s="98" t="e">
        <f>#REF!</f>
        <v>#REF!</v>
      </c>
      <c r="N188" s="98" t="e">
        <f>#REF!</f>
        <v>#REF!</v>
      </c>
      <c r="O188" s="98" t="e">
        <f>#REF!</f>
        <v>#REF!</v>
      </c>
      <c r="P188" s="98" t="e">
        <f>#REF!</f>
        <v>#REF!</v>
      </c>
      <c r="Q188" s="98" t="e">
        <f>#REF!</f>
        <v>#REF!</v>
      </c>
      <c r="R188" s="98" t="e">
        <f>#REF!</f>
        <v>#REF!</v>
      </c>
      <c r="S188" s="98" t="e">
        <f>#REF!</f>
        <v>#REF!</v>
      </c>
      <c r="T188" s="98" t="e">
        <f>#REF!</f>
        <v>#REF!</v>
      </c>
      <c r="U188" s="98"/>
      <c r="V188" s="98"/>
      <c r="W18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8" s="98" t="str">
        <f t="shared" ca="1" si="27"/>
        <v>2.n</v>
      </c>
      <c r="Y188" s="98"/>
      <c r="Z188" s="98"/>
      <c r="AA188" s="98"/>
      <c r="AB188" s="98"/>
      <c r="AC188" s="98"/>
      <c r="AD188" s="98"/>
      <c r="AE188" s="98"/>
      <c r="AF188" s="98"/>
      <c r="AG188" s="98"/>
      <c r="AH188" s="98"/>
    </row>
    <row r="189" spans="1:34" ht="31.2" hidden="1" x14ac:dyDescent="0.3">
      <c r="A189" s="25" t="s">
        <v>407</v>
      </c>
      <c r="B189" s="16"/>
      <c r="C189" s="88" t="s">
        <v>382</v>
      </c>
      <c r="D189" s="50"/>
      <c r="E189" s="50" t="s">
        <v>220</v>
      </c>
      <c r="F189" s="51" t="s">
        <v>3</v>
      </c>
      <c r="G189" s="52">
        <v>1.2</v>
      </c>
      <c r="H189" s="34">
        <v>13.56</v>
      </c>
      <c r="I189" s="67"/>
      <c r="J189" s="102">
        <f ca="1">SUM(Таблица2[[#This Row],[1.n]:[12.n]])</f>
        <v>0</v>
      </c>
      <c r="K189" s="98" t="e">
        <f>#REF!</f>
        <v>#REF!</v>
      </c>
      <c r="L189" s="98" t="e">
        <f>#REF!</f>
        <v>#REF!</v>
      </c>
      <c r="M189" s="98" t="e">
        <f>#REF!</f>
        <v>#REF!</v>
      </c>
      <c r="N189" s="98" t="e">
        <f>#REF!</f>
        <v>#REF!</v>
      </c>
      <c r="O189" s="98" t="e">
        <f>#REF!</f>
        <v>#REF!</v>
      </c>
      <c r="P189" s="98" t="e">
        <f>#REF!</f>
        <v>#REF!</v>
      </c>
      <c r="Q189" s="98" t="e">
        <f>#REF!</f>
        <v>#REF!</v>
      </c>
      <c r="R189" s="98" t="e">
        <f>#REF!</f>
        <v>#REF!</v>
      </c>
      <c r="S189" s="98" t="e">
        <f>#REF!</f>
        <v>#REF!</v>
      </c>
      <c r="T189" s="98" t="e">
        <f>#REF!</f>
        <v>#REF!</v>
      </c>
      <c r="U189" s="98"/>
      <c r="V189" s="98"/>
      <c r="W18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89" s="98" t="str">
        <f t="shared" ca="1" si="27"/>
        <v>2.n</v>
      </c>
      <c r="Y189" s="98"/>
      <c r="Z189" s="98"/>
      <c r="AA189" s="98"/>
      <c r="AB189" s="98"/>
      <c r="AC189" s="98"/>
      <c r="AD189" s="98"/>
      <c r="AE189" s="98"/>
      <c r="AF189" s="98"/>
      <c r="AG189" s="98"/>
      <c r="AH189" s="98"/>
    </row>
    <row r="190" spans="1:34" hidden="1" x14ac:dyDescent="0.3">
      <c r="A190" s="26" t="s">
        <v>408</v>
      </c>
      <c r="B190" s="17"/>
      <c r="C190" s="53" t="s">
        <v>225</v>
      </c>
      <c r="D190" s="54"/>
      <c r="E190" s="54"/>
      <c r="F190" s="55" t="s">
        <v>3</v>
      </c>
      <c r="G190" s="56">
        <v>0.25</v>
      </c>
      <c r="H190" s="34">
        <v>1.413</v>
      </c>
      <c r="I190" s="61"/>
      <c r="J190" s="101">
        <f ca="1">SUM(Таблица2[[#This Row],[1.n]:[12.n]])</f>
        <v>0</v>
      </c>
      <c r="K190" s="98" t="e">
        <f>#REF!</f>
        <v>#REF!</v>
      </c>
      <c r="L190" s="98" t="e">
        <f>#REF!</f>
        <v>#REF!</v>
      </c>
      <c r="M190" s="98" t="e">
        <f>#REF!</f>
        <v>#REF!</v>
      </c>
      <c r="N190" s="98" t="e">
        <f>#REF!</f>
        <v>#REF!</v>
      </c>
      <c r="O190" s="98" t="e">
        <f>#REF!</f>
        <v>#REF!</v>
      </c>
      <c r="P190" s="98" t="e">
        <f>#REF!</f>
        <v>#REF!</v>
      </c>
      <c r="Q190" s="98" t="e">
        <f>#REF!</f>
        <v>#REF!</v>
      </c>
      <c r="R190" s="98" t="e">
        <f>#REF!</f>
        <v>#REF!</v>
      </c>
      <c r="S190" s="98" t="e">
        <f>#REF!</f>
        <v>#REF!</v>
      </c>
      <c r="T190" s="98" t="e">
        <f>#REF!</f>
        <v>#REF!</v>
      </c>
      <c r="U190" s="98"/>
      <c r="V190" s="98"/>
      <c r="W19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0" s="98" t="str">
        <f t="shared" ca="1" si="27"/>
        <v>2.n</v>
      </c>
      <c r="Y190" s="98"/>
      <c r="Z190" s="98"/>
      <c r="AA190" s="98"/>
      <c r="AB190" s="98"/>
      <c r="AC190" s="98"/>
      <c r="AD190" s="98"/>
      <c r="AE190" s="98"/>
      <c r="AF190" s="98"/>
      <c r="AG190" s="98"/>
      <c r="AH190" s="98"/>
    </row>
    <row r="191" spans="1:34" ht="31.2" x14ac:dyDescent="0.3">
      <c r="A191" s="27" t="s">
        <v>409</v>
      </c>
      <c r="B191" s="18" t="s">
        <v>376</v>
      </c>
      <c r="C191" s="65" t="s">
        <v>377</v>
      </c>
      <c r="D191" s="14"/>
      <c r="E191" s="14" t="s">
        <v>410</v>
      </c>
      <c r="F191" s="14" t="s">
        <v>96</v>
      </c>
      <c r="G191" s="66">
        <v>1</v>
      </c>
      <c r="H191" s="33">
        <v>8.18</v>
      </c>
      <c r="I191" s="121">
        <f>H191-J191</f>
        <v>8.18</v>
      </c>
      <c r="J191" s="243">
        <f>SUM(Таблица2[[#This Row],[1.n]:[12.n]])</f>
        <v>0</v>
      </c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241"/>
      <c r="X191" s="241"/>
      <c r="Y191" s="241"/>
      <c r="Z191" s="241"/>
      <c r="AA191" s="241"/>
      <c r="AB191" s="241"/>
      <c r="AC191" s="241"/>
      <c r="AD191" s="241"/>
      <c r="AE191" s="241"/>
      <c r="AF191" s="241"/>
      <c r="AG191" s="241"/>
      <c r="AH191" s="241"/>
    </row>
    <row r="192" spans="1:34" hidden="1" x14ac:dyDescent="0.3">
      <c r="A192" s="31" t="s">
        <v>411</v>
      </c>
      <c r="B192" s="22"/>
      <c r="C192" s="89" t="s">
        <v>225</v>
      </c>
      <c r="D192" s="90"/>
      <c r="E192" s="90"/>
      <c r="F192" s="91" t="s">
        <v>3</v>
      </c>
      <c r="G192" s="92">
        <v>0.25</v>
      </c>
      <c r="H192" s="34">
        <v>2.0449999999999999</v>
      </c>
      <c r="I192" s="110"/>
      <c r="J192" s="101">
        <f ca="1">SUM(Таблица2[[#This Row],[1.n]:[12.n]])</f>
        <v>0</v>
      </c>
      <c r="K192" s="98" t="e">
        <f>#REF!</f>
        <v>#REF!</v>
      </c>
      <c r="L192" s="98" t="e">
        <f>#REF!</f>
        <v>#REF!</v>
      </c>
      <c r="M192" s="98" t="e">
        <f>#REF!</f>
        <v>#REF!</v>
      </c>
      <c r="N192" s="98" t="e">
        <f>#REF!</f>
        <v>#REF!</v>
      </c>
      <c r="O192" s="98" t="e">
        <f>#REF!</f>
        <v>#REF!</v>
      </c>
      <c r="P192" s="98" t="e">
        <f>#REF!</f>
        <v>#REF!</v>
      </c>
      <c r="Q192" s="98" t="e">
        <f>#REF!</f>
        <v>#REF!</v>
      </c>
      <c r="R192" s="98" t="e">
        <f>#REF!</f>
        <v>#REF!</v>
      </c>
      <c r="S192" s="98" t="e">
        <f>#REF!</f>
        <v>#REF!</v>
      </c>
      <c r="T192" s="98" t="e">
        <f>#REF!</f>
        <v>#REF!</v>
      </c>
      <c r="U192" s="98"/>
      <c r="V192" s="98"/>
      <c r="W19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2" s="98" t="str">
        <f t="shared" ca="1" si="27"/>
        <v>2.n</v>
      </c>
      <c r="Y192" s="98"/>
      <c r="Z192" s="98"/>
      <c r="AA192" s="98"/>
      <c r="AB192" s="98"/>
      <c r="AC192" s="98"/>
      <c r="AD192" s="98"/>
      <c r="AE192" s="98"/>
      <c r="AF192" s="98"/>
      <c r="AG192" s="98"/>
      <c r="AH192" s="98"/>
    </row>
    <row r="193" spans="1:34" hidden="1" x14ac:dyDescent="0.3">
      <c r="A193" s="31" t="s">
        <v>412</v>
      </c>
      <c r="B193" s="22"/>
      <c r="C193" s="89" t="s">
        <v>227</v>
      </c>
      <c r="D193" s="90"/>
      <c r="E193" s="90"/>
      <c r="F193" s="91" t="s">
        <v>3</v>
      </c>
      <c r="G193" s="92">
        <v>0.15</v>
      </c>
      <c r="H193" s="34">
        <v>1.2270000000000001</v>
      </c>
      <c r="I193" s="61"/>
      <c r="J193" s="101">
        <f ca="1">SUM(Таблица2[[#This Row],[1.n]:[12.n]])</f>
        <v>0</v>
      </c>
      <c r="K193" s="98" t="e">
        <f>#REF!</f>
        <v>#REF!</v>
      </c>
      <c r="L193" s="98" t="e">
        <f>#REF!</f>
        <v>#REF!</v>
      </c>
      <c r="M193" s="98" t="e">
        <f>#REF!</f>
        <v>#REF!</v>
      </c>
      <c r="N193" s="98" t="e">
        <f>#REF!</f>
        <v>#REF!</v>
      </c>
      <c r="O193" s="98" t="e">
        <f>#REF!</f>
        <v>#REF!</v>
      </c>
      <c r="P193" s="98" t="e">
        <f>#REF!</f>
        <v>#REF!</v>
      </c>
      <c r="Q193" s="98" t="e">
        <f>#REF!</f>
        <v>#REF!</v>
      </c>
      <c r="R193" s="98" t="e">
        <f>#REF!</f>
        <v>#REF!</v>
      </c>
      <c r="S193" s="98" t="e">
        <f>#REF!</f>
        <v>#REF!</v>
      </c>
      <c r="T193" s="98" t="e">
        <f>#REF!</f>
        <v>#REF!</v>
      </c>
      <c r="U193" s="98"/>
      <c r="V193" s="98"/>
      <c r="W19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3" s="98" t="str">
        <f t="shared" ca="1" si="27"/>
        <v>2.n</v>
      </c>
      <c r="Y193" s="98"/>
      <c r="Z193" s="98"/>
      <c r="AA193" s="98"/>
      <c r="AB193" s="98"/>
      <c r="AC193" s="98"/>
      <c r="AD193" s="98"/>
      <c r="AE193" s="98"/>
      <c r="AF193" s="98"/>
      <c r="AG193" s="98"/>
      <c r="AH193" s="98"/>
    </row>
    <row r="194" spans="1:34" ht="31.2" hidden="1" x14ac:dyDescent="0.3">
      <c r="A194" s="31" t="s">
        <v>413</v>
      </c>
      <c r="B194" s="22"/>
      <c r="C194" s="88" t="s">
        <v>382</v>
      </c>
      <c r="D194" s="90"/>
      <c r="E194" s="90" t="s">
        <v>220</v>
      </c>
      <c r="F194" s="91" t="s">
        <v>3</v>
      </c>
      <c r="G194" s="92">
        <v>1.2</v>
      </c>
      <c r="H194" s="34">
        <v>19.632000000000001</v>
      </c>
      <c r="I194" s="84" t="e">
        <f>H194-K194</f>
        <v>#REF!</v>
      </c>
      <c r="J194" s="108">
        <f ca="1">SUM(Таблица2[[#This Row],[1.n]:[12.n]])</f>
        <v>0</v>
      </c>
      <c r="K194" s="98" t="e">
        <f>#REF!</f>
        <v>#REF!</v>
      </c>
      <c r="L194" s="98" t="e">
        <f>#REF!</f>
        <v>#REF!</v>
      </c>
      <c r="M194" s="98" t="e">
        <f>#REF!</f>
        <v>#REF!</v>
      </c>
      <c r="N194" s="98" t="e">
        <f>#REF!</f>
        <v>#REF!</v>
      </c>
      <c r="O194" s="98" t="e">
        <f>#REF!</f>
        <v>#REF!</v>
      </c>
      <c r="P194" s="98" t="e">
        <f>#REF!</f>
        <v>#REF!</v>
      </c>
      <c r="Q194" s="98" t="e">
        <f>#REF!</f>
        <v>#REF!</v>
      </c>
      <c r="R194" s="98" t="e">
        <f>#REF!</f>
        <v>#REF!</v>
      </c>
      <c r="S194" s="98" t="e">
        <f>#REF!</f>
        <v>#REF!</v>
      </c>
      <c r="T194" s="98" t="e">
        <f>#REF!</f>
        <v>#REF!</v>
      </c>
      <c r="U194" s="98"/>
      <c r="V194" s="98"/>
      <c r="W19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4" s="98" t="str">
        <f t="shared" ref="X194:X252" ca="1" si="28">INDIRECT(ADDRESS(1, COLUMN()))</f>
        <v>2.n</v>
      </c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</row>
    <row r="195" spans="1:34" ht="31.2" hidden="1" x14ac:dyDescent="0.3">
      <c r="A195" s="31" t="s">
        <v>414</v>
      </c>
      <c r="B195" s="22"/>
      <c r="C195" s="88" t="s">
        <v>400</v>
      </c>
      <c r="D195" s="90"/>
      <c r="E195" s="90" t="s">
        <v>415</v>
      </c>
      <c r="F195" s="91" t="s">
        <v>96</v>
      </c>
      <c r="G195" s="92">
        <v>1.07</v>
      </c>
      <c r="H195" s="34">
        <v>8.7530000000000001</v>
      </c>
      <c r="I195" s="61"/>
      <c r="J195" s="101">
        <f ca="1">SUM(Таблица2[[#This Row],[1.n]:[12.n]])</f>
        <v>0</v>
      </c>
      <c r="K195" s="98" t="e">
        <f>#REF!</f>
        <v>#REF!</v>
      </c>
      <c r="L195" s="98" t="e">
        <f>#REF!</f>
        <v>#REF!</v>
      </c>
      <c r="M195" s="98" t="e">
        <f>#REF!</f>
        <v>#REF!</v>
      </c>
      <c r="N195" s="98" t="e">
        <f>#REF!</f>
        <v>#REF!</v>
      </c>
      <c r="O195" s="98" t="e">
        <f>#REF!</f>
        <v>#REF!</v>
      </c>
      <c r="P195" s="98" t="e">
        <f>#REF!</f>
        <v>#REF!</v>
      </c>
      <c r="Q195" s="98" t="e">
        <f>#REF!</f>
        <v>#REF!</v>
      </c>
      <c r="R195" s="98" t="e">
        <f>#REF!</f>
        <v>#REF!</v>
      </c>
      <c r="S195" s="98" t="e">
        <f>#REF!</f>
        <v>#REF!</v>
      </c>
      <c r="T195" s="98" t="e">
        <f>#REF!</f>
        <v>#REF!</v>
      </c>
      <c r="U195" s="98"/>
      <c r="V195" s="98"/>
      <c r="W19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5" s="98" t="str">
        <f t="shared" ca="1" si="28"/>
        <v>2.n</v>
      </c>
      <c r="Y195" s="98"/>
      <c r="Z195" s="98"/>
      <c r="AA195" s="98"/>
      <c r="AB195" s="98"/>
      <c r="AC195" s="98"/>
      <c r="AD195" s="98"/>
      <c r="AE195" s="98"/>
      <c r="AF195" s="98"/>
      <c r="AG195" s="98"/>
      <c r="AH195" s="98"/>
    </row>
    <row r="196" spans="1:34" ht="31.2" x14ac:dyDescent="0.3">
      <c r="A196" s="24" t="s">
        <v>416</v>
      </c>
      <c r="B196" s="15" t="s">
        <v>376</v>
      </c>
      <c r="C196" s="46" t="s">
        <v>377</v>
      </c>
      <c r="D196" s="47"/>
      <c r="E196" s="47" t="s">
        <v>417</v>
      </c>
      <c r="F196" s="47" t="s">
        <v>96</v>
      </c>
      <c r="G196" s="48">
        <v>1</v>
      </c>
      <c r="H196" s="33">
        <v>175.58</v>
      </c>
      <c r="I196" s="121">
        <f>H196-J196</f>
        <v>175.58</v>
      </c>
      <c r="J196" s="243">
        <f>SUM(Таблица2[[#This Row],[1.n]:[12.n]])</f>
        <v>0</v>
      </c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241"/>
      <c r="X196" s="241"/>
      <c r="Y196" s="241"/>
      <c r="Z196" s="241"/>
      <c r="AA196" s="241"/>
      <c r="AB196" s="241"/>
      <c r="AC196" s="241"/>
      <c r="AD196" s="241"/>
      <c r="AE196" s="241"/>
      <c r="AF196" s="241"/>
      <c r="AG196" s="241"/>
      <c r="AH196" s="241"/>
    </row>
    <row r="197" spans="1:34" ht="31.2" hidden="1" x14ac:dyDescent="0.3">
      <c r="A197" s="31" t="s">
        <v>418</v>
      </c>
      <c r="B197" s="22"/>
      <c r="C197" s="88" t="s">
        <v>389</v>
      </c>
      <c r="D197" s="90"/>
      <c r="E197" s="90" t="s">
        <v>419</v>
      </c>
      <c r="F197" s="91" t="s">
        <v>96</v>
      </c>
      <c r="G197" s="92">
        <v>1.07</v>
      </c>
      <c r="H197" s="34">
        <v>187.87100000000001</v>
      </c>
      <c r="I197" s="110"/>
      <c r="J197" s="101">
        <f ca="1">SUM(Таблица2[[#This Row],[1.n]:[12.n]])</f>
        <v>0</v>
      </c>
      <c r="K197" s="98" t="e">
        <f>#REF!</f>
        <v>#REF!</v>
      </c>
      <c r="L197" s="98" t="e">
        <f>#REF!</f>
        <v>#REF!</v>
      </c>
      <c r="M197" s="98" t="e">
        <f>#REF!</f>
        <v>#REF!</v>
      </c>
      <c r="N197" s="98" t="e">
        <f>#REF!</f>
        <v>#REF!</v>
      </c>
      <c r="O197" s="98" t="e">
        <f>#REF!</f>
        <v>#REF!</v>
      </c>
      <c r="P197" s="98" t="e">
        <f>#REF!</f>
        <v>#REF!</v>
      </c>
      <c r="Q197" s="98" t="e">
        <f>#REF!</f>
        <v>#REF!</v>
      </c>
      <c r="R197" s="98" t="e">
        <f>#REF!</f>
        <v>#REF!</v>
      </c>
      <c r="S197" s="98" t="e">
        <f>#REF!</f>
        <v>#REF!</v>
      </c>
      <c r="T197" s="98" t="e">
        <f>#REF!</f>
        <v>#REF!</v>
      </c>
      <c r="U197" s="98"/>
      <c r="V197" s="98"/>
      <c r="W19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7" s="98" t="str">
        <f t="shared" ca="1" si="28"/>
        <v>2.n</v>
      </c>
      <c r="Y197" s="98"/>
      <c r="Z197" s="98"/>
      <c r="AA197" s="98"/>
      <c r="AB197" s="98"/>
      <c r="AC197" s="98"/>
      <c r="AD197" s="98"/>
      <c r="AE197" s="98"/>
      <c r="AF197" s="98"/>
      <c r="AG197" s="98"/>
      <c r="AH197" s="98"/>
    </row>
    <row r="198" spans="1:34" ht="31.2" hidden="1" x14ac:dyDescent="0.3">
      <c r="A198" s="31" t="s">
        <v>420</v>
      </c>
      <c r="B198" s="22"/>
      <c r="C198" s="88" t="s">
        <v>382</v>
      </c>
      <c r="D198" s="90"/>
      <c r="E198" s="90" t="s">
        <v>220</v>
      </c>
      <c r="F198" s="91" t="s">
        <v>3</v>
      </c>
      <c r="G198" s="92">
        <v>1.2</v>
      </c>
      <c r="H198" s="34">
        <v>421.392</v>
      </c>
      <c r="I198" s="61"/>
      <c r="J198" s="101">
        <f ca="1">SUM(Таблица2[[#This Row],[1.n]:[12.n]])</f>
        <v>0</v>
      </c>
      <c r="K198" s="98" t="e">
        <f>#REF!</f>
        <v>#REF!</v>
      </c>
      <c r="L198" s="98" t="e">
        <f>#REF!</f>
        <v>#REF!</v>
      </c>
      <c r="M198" s="98" t="e">
        <f>#REF!</f>
        <v>#REF!</v>
      </c>
      <c r="N198" s="98" t="e">
        <f>#REF!</f>
        <v>#REF!</v>
      </c>
      <c r="O198" s="98" t="e">
        <f>#REF!</f>
        <v>#REF!</v>
      </c>
      <c r="P198" s="98" t="e">
        <f>#REF!</f>
        <v>#REF!</v>
      </c>
      <c r="Q198" s="98" t="e">
        <f>#REF!</f>
        <v>#REF!</v>
      </c>
      <c r="R198" s="98" t="e">
        <f>#REF!</f>
        <v>#REF!</v>
      </c>
      <c r="S198" s="98" t="e">
        <f>#REF!</f>
        <v>#REF!</v>
      </c>
      <c r="T198" s="98" t="e">
        <f>#REF!</f>
        <v>#REF!</v>
      </c>
      <c r="U198" s="98"/>
      <c r="V198" s="98"/>
      <c r="W19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8" s="98" t="str">
        <f t="shared" ca="1" si="28"/>
        <v>2.n</v>
      </c>
      <c r="Y198" s="98"/>
      <c r="Z198" s="98"/>
      <c r="AA198" s="98"/>
      <c r="AB198" s="98"/>
      <c r="AC198" s="98"/>
      <c r="AD198" s="98"/>
      <c r="AE198" s="98"/>
      <c r="AF198" s="98"/>
      <c r="AG198" s="98"/>
      <c r="AH198" s="98"/>
    </row>
    <row r="199" spans="1:34" hidden="1" x14ac:dyDescent="0.3">
      <c r="A199" s="31" t="s">
        <v>421</v>
      </c>
      <c r="B199" s="22"/>
      <c r="C199" s="89" t="s">
        <v>225</v>
      </c>
      <c r="D199" s="90"/>
      <c r="E199" s="90"/>
      <c r="F199" s="91" t="s">
        <v>3</v>
      </c>
      <c r="G199" s="92">
        <v>0.25</v>
      </c>
      <c r="H199" s="36">
        <v>43.895000000000003</v>
      </c>
      <c r="I199" s="84" t="e">
        <f>H199-K199</f>
        <v>#REF!</v>
      </c>
      <c r="J199" s="108">
        <f ca="1">SUM(Таблица2[[#This Row],[1.n]:[12.n]])</f>
        <v>0</v>
      </c>
      <c r="K199" s="98" t="e">
        <f>#REF!</f>
        <v>#REF!</v>
      </c>
      <c r="L199" s="98" t="e">
        <f>#REF!</f>
        <v>#REF!</v>
      </c>
      <c r="M199" s="98" t="e">
        <f>#REF!</f>
        <v>#REF!</v>
      </c>
      <c r="N199" s="98" t="e">
        <f>#REF!</f>
        <v>#REF!</v>
      </c>
      <c r="O199" s="98" t="e">
        <f>#REF!</f>
        <v>#REF!</v>
      </c>
      <c r="P199" s="98" t="e">
        <f>#REF!</f>
        <v>#REF!</v>
      </c>
      <c r="Q199" s="98" t="e">
        <f>#REF!</f>
        <v>#REF!</v>
      </c>
      <c r="R199" s="98" t="e">
        <f>#REF!</f>
        <v>#REF!</v>
      </c>
      <c r="S199" s="98" t="e">
        <f>#REF!</f>
        <v>#REF!</v>
      </c>
      <c r="T199" s="98" t="e">
        <f>#REF!</f>
        <v>#REF!</v>
      </c>
      <c r="U199" s="98"/>
      <c r="V199" s="98"/>
      <c r="W19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199" s="98" t="str">
        <f t="shared" ca="1" si="28"/>
        <v>2.n</v>
      </c>
      <c r="Y199" s="98"/>
      <c r="Z199" s="98"/>
      <c r="AA199" s="98"/>
      <c r="AB199" s="98"/>
      <c r="AC199" s="98"/>
      <c r="AD199" s="98"/>
      <c r="AE199" s="98"/>
      <c r="AF199" s="98"/>
      <c r="AG199" s="98"/>
      <c r="AH199" s="98"/>
    </row>
    <row r="200" spans="1:34" ht="31.2" x14ac:dyDescent="0.3">
      <c r="A200" s="24" t="s">
        <v>422</v>
      </c>
      <c r="B200" s="15" t="s">
        <v>376</v>
      </c>
      <c r="C200" s="46" t="s">
        <v>377</v>
      </c>
      <c r="D200" s="47"/>
      <c r="E200" s="47" t="s">
        <v>423</v>
      </c>
      <c r="F200" s="47" t="s">
        <v>96</v>
      </c>
      <c r="G200" s="48">
        <v>1</v>
      </c>
      <c r="H200" s="33">
        <v>400.4</v>
      </c>
      <c r="I200" s="121">
        <f>H200-J200</f>
        <v>400.4</v>
      </c>
      <c r="J200" s="243">
        <f>SUM(Таблица2[[#This Row],[1.n]:[12.n]])</f>
        <v>0</v>
      </c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241"/>
      <c r="X200" s="241"/>
      <c r="Y200" s="241"/>
      <c r="Z200" s="241"/>
      <c r="AA200" s="241"/>
      <c r="AB200" s="241"/>
      <c r="AC200" s="241"/>
      <c r="AD200" s="241"/>
      <c r="AE200" s="241"/>
      <c r="AF200" s="241"/>
      <c r="AG200" s="241"/>
      <c r="AH200" s="241"/>
    </row>
    <row r="201" spans="1:34" hidden="1" x14ac:dyDescent="0.3">
      <c r="A201" s="31" t="s">
        <v>424</v>
      </c>
      <c r="B201" s="22"/>
      <c r="C201" s="89" t="s">
        <v>231</v>
      </c>
      <c r="D201" s="90"/>
      <c r="E201" s="90" t="s">
        <v>425</v>
      </c>
      <c r="F201" s="91" t="s">
        <v>3</v>
      </c>
      <c r="G201" s="92">
        <v>0.25</v>
      </c>
      <c r="H201" s="34">
        <v>100.1</v>
      </c>
      <c r="I201" s="110"/>
      <c r="J201" s="101">
        <f ca="1">SUM(Таблица2[[#This Row],[1.n]:[12.n]])</f>
        <v>0</v>
      </c>
      <c r="K201" s="98" t="e">
        <f>#REF!</f>
        <v>#REF!</v>
      </c>
      <c r="L201" s="98" t="e">
        <f>#REF!</f>
        <v>#REF!</v>
      </c>
      <c r="M201" s="98" t="e">
        <f>#REF!</f>
        <v>#REF!</v>
      </c>
      <c r="N201" s="98" t="e">
        <f>#REF!</f>
        <v>#REF!</v>
      </c>
      <c r="O201" s="98" t="e">
        <f>#REF!</f>
        <v>#REF!</v>
      </c>
      <c r="P201" s="98" t="e">
        <f>#REF!</f>
        <v>#REF!</v>
      </c>
      <c r="Q201" s="98" t="e">
        <f>#REF!</f>
        <v>#REF!</v>
      </c>
      <c r="R201" s="98" t="e">
        <f>#REF!</f>
        <v>#REF!</v>
      </c>
      <c r="S201" s="98" t="e">
        <f>#REF!</f>
        <v>#REF!</v>
      </c>
      <c r="T201" s="98" t="e">
        <f>#REF!</f>
        <v>#REF!</v>
      </c>
      <c r="U201" s="98"/>
      <c r="V201" s="98"/>
      <c r="W20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1" s="98" t="str">
        <f t="shared" ca="1" si="28"/>
        <v>2.n</v>
      </c>
      <c r="Y201" s="98"/>
      <c r="Z201" s="98"/>
      <c r="AA201" s="98"/>
      <c r="AB201" s="98"/>
      <c r="AC201" s="98"/>
      <c r="AD201" s="98"/>
      <c r="AE201" s="98"/>
      <c r="AF201" s="98"/>
      <c r="AG201" s="98"/>
      <c r="AH201" s="98"/>
    </row>
    <row r="202" spans="1:34" ht="31.2" hidden="1" x14ac:dyDescent="0.3">
      <c r="A202" s="31" t="s">
        <v>426</v>
      </c>
      <c r="B202" s="22"/>
      <c r="C202" s="88" t="s">
        <v>382</v>
      </c>
      <c r="D202" s="90"/>
      <c r="E202" s="90" t="s">
        <v>220</v>
      </c>
      <c r="F202" s="91" t="s">
        <v>3</v>
      </c>
      <c r="G202" s="92">
        <v>1.2</v>
      </c>
      <c r="H202" s="34">
        <v>960.96</v>
      </c>
      <c r="I202" s="61"/>
      <c r="J202" s="101">
        <f ca="1">SUM(Таблица2[[#This Row],[1.n]:[12.n]])</f>
        <v>0</v>
      </c>
      <c r="K202" s="98" t="e">
        <f>#REF!</f>
        <v>#REF!</v>
      </c>
      <c r="L202" s="98" t="e">
        <f>#REF!</f>
        <v>#REF!</v>
      </c>
      <c r="M202" s="98" t="e">
        <f>#REF!</f>
        <v>#REF!</v>
      </c>
      <c r="N202" s="98" t="e">
        <f>#REF!</f>
        <v>#REF!</v>
      </c>
      <c r="O202" s="98" t="e">
        <f>#REF!</f>
        <v>#REF!</v>
      </c>
      <c r="P202" s="98" t="e">
        <f>#REF!</f>
        <v>#REF!</v>
      </c>
      <c r="Q202" s="98" t="e">
        <f>#REF!</f>
        <v>#REF!</v>
      </c>
      <c r="R202" s="98" t="e">
        <f>#REF!</f>
        <v>#REF!</v>
      </c>
      <c r="S202" s="98" t="e">
        <f>#REF!</f>
        <v>#REF!</v>
      </c>
      <c r="T202" s="98" t="e">
        <f>#REF!</f>
        <v>#REF!</v>
      </c>
      <c r="U202" s="98"/>
      <c r="V202" s="98"/>
      <c r="W20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2" s="98" t="str">
        <f t="shared" ca="1" si="28"/>
        <v>2.n</v>
      </c>
      <c r="Y202" s="98"/>
      <c r="Z202" s="98"/>
      <c r="AA202" s="98"/>
      <c r="AB202" s="98"/>
      <c r="AC202" s="98"/>
      <c r="AD202" s="98"/>
      <c r="AE202" s="98"/>
      <c r="AF202" s="98"/>
      <c r="AG202" s="98"/>
      <c r="AH202" s="98"/>
    </row>
    <row r="203" spans="1:34" ht="31.2" hidden="1" x14ac:dyDescent="0.3">
      <c r="A203" s="31" t="s">
        <v>427</v>
      </c>
      <c r="B203" s="22"/>
      <c r="C203" s="89" t="s">
        <v>217</v>
      </c>
      <c r="D203" s="90"/>
      <c r="E203" s="90" t="s">
        <v>428</v>
      </c>
      <c r="F203" s="91" t="s">
        <v>4</v>
      </c>
      <c r="G203" s="92">
        <v>0.23</v>
      </c>
      <c r="H203" s="34">
        <v>13.444000000000001</v>
      </c>
      <c r="I203" s="61"/>
      <c r="J203" s="101">
        <f ca="1">SUM(Таблица2[[#This Row],[1.n]:[12.n]])</f>
        <v>0</v>
      </c>
      <c r="K203" s="98" t="e">
        <f>#REF!</f>
        <v>#REF!</v>
      </c>
      <c r="L203" s="98" t="e">
        <f>#REF!</f>
        <v>#REF!</v>
      </c>
      <c r="M203" s="98" t="e">
        <f>#REF!</f>
        <v>#REF!</v>
      </c>
      <c r="N203" s="98" t="e">
        <f>#REF!</f>
        <v>#REF!</v>
      </c>
      <c r="O203" s="98" t="e">
        <f>#REF!</f>
        <v>#REF!</v>
      </c>
      <c r="P203" s="98" t="e">
        <f>#REF!</f>
        <v>#REF!</v>
      </c>
      <c r="Q203" s="98" t="e">
        <f>#REF!</f>
        <v>#REF!</v>
      </c>
      <c r="R203" s="98" t="e">
        <f>#REF!</f>
        <v>#REF!</v>
      </c>
      <c r="S203" s="98" t="e">
        <f>#REF!</f>
        <v>#REF!</v>
      </c>
      <c r="T203" s="98" t="e">
        <f>#REF!</f>
        <v>#REF!</v>
      </c>
      <c r="U203" s="98"/>
      <c r="V203" s="98"/>
      <c r="W20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3" s="98" t="str">
        <f t="shared" ca="1" si="28"/>
        <v>2.n</v>
      </c>
      <c r="Y203" s="98"/>
      <c r="Z203" s="98"/>
      <c r="AA203" s="98"/>
      <c r="AB203" s="98"/>
      <c r="AC203" s="98"/>
      <c r="AD203" s="98"/>
      <c r="AE203" s="98"/>
      <c r="AF203" s="98"/>
      <c r="AG203" s="98"/>
      <c r="AH203" s="98"/>
    </row>
    <row r="204" spans="1:34" ht="31.2" hidden="1" x14ac:dyDescent="0.3">
      <c r="A204" s="31" t="s">
        <v>429</v>
      </c>
      <c r="B204" s="22"/>
      <c r="C204" s="88" t="s">
        <v>430</v>
      </c>
      <c r="D204" s="90"/>
      <c r="E204" s="90" t="s">
        <v>431</v>
      </c>
      <c r="F204" s="91" t="s">
        <v>4</v>
      </c>
      <c r="G204" s="92">
        <v>0.23</v>
      </c>
      <c r="H204" s="34">
        <v>12.537000000000001</v>
      </c>
      <c r="I204" s="84" t="e">
        <f>H204-K204</f>
        <v>#REF!</v>
      </c>
      <c r="J204" s="108">
        <f ca="1">SUM(Таблица2[[#This Row],[1.n]:[12.n]])</f>
        <v>0</v>
      </c>
      <c r="K204" s="98" t="e">
        <f>#REF!</f>
        <v>#REF!</v>
      </c>
      <c r="L204" s="98" t="e">
        <f>#REF!</f>
        <v>#REF!</v>
      </c>
      <c r="M204" s="98" t="e">
        <f>#REF!</f>
        <v>#REF!</v>
      </c>
      <c r="N204" s="98" t="e">
        <f>#REF!</f>
        <v>#REF!</v>
      </c>
      <c r="O204" s="98" t="e">
        <f>#REF!</f>
        <v>#REF!</v>
      </c>
      <c r="P204" s="98" t="e">
        <f>#REF!</f>
        <v>#REF!</v>
      </c>
      <c r="Q204" s="98" t="e">
        <f>#REF!</f>
        <v>#REF!</v>
      </c>
      <c r="R204" s="98" t="e">
        <f>#REF!</f>
        <v>#REF!</v>
      </c>
      <c r="S204" s="98" t="e">
        <f>#REF!</f>
        <v>#REF!</v>
      </c>
      <c r="T204" s="98" t="e">
        <f>#REF!</f>
        <v>#REF!</v>
      </c>
      <c r="U204" s="98"/>
      <c r="V204" s="98"/>
      <c r="W20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4" s="98" t="str">
        <f t="shared" ca="1" si="28"/>
        <v>2.n</v>
      </c>
      <c r="Y204" s="98"/>
      <c r="Z204" s="98"/>
      <c r="AA204" s="98"/>
      <c r="AB204" s="98"/>
      <c r="AC204" s="98"/>
      <c r="AD204" s="98"/>
      <c r="AE204" s="98"/>
      <c r="AF204" s="98"/>
      <c r="AG204" s="98"/>
      <c r="AH204" s="98"/>
    </row>
    <row r="205" spans="1:34" ht="31.2" hidden="1" x14ac:dyDescent="0.3">
      <c r="A205" s="31" t="s">
        <v>432</v>
      </c>
      <c r="B205" s="22"/>
      <c r="C205" s="88" t="s">
        <v>389</v>
      </c>
      <c r="D205" s="90"/>
      <c r="E205" s="90" t="s">
        <v>433</v>
      </c>
      <c r="F205" s="91" t="s">
        <v>96</v>
      </c>
      <c r="G205" s="92">
        <v>1.07</v>
      </c>
      <c r="H205" s="34">
        <v>428.428</v>
      </c>
      <c r="I205" s="61"/>
      <c r="J205" s="101">
        <f ca="1">SUM(Таблица2[[#This Row],[1.n]:[12.n]])</f>
        <v>0</v>
      </c>
      <c r="K205" s="98" t="e">
        <f>#REF!</f>
        <v>#REF!</v>
      </c>
      <c r="L205" s="98" t="e">
        <f>#REF!</f>
        <v>#REF!</v>
      </c>
      <c r="M205" s="98" t="e">
        <f>#REF!</f>
        <v>#REF!</v>
      </c>
      <c r="N205" s="98" t="e">
        <f>#REF!</f>
        <v>#REF!</v>
      </c>
      <c r="O205" s="98" t="e">
        <f>#REF!</f>
        <v>#REF!</v>
      </c>
      <c r="P205" s="98" t="e">
        <f>#REF!</f>
        <v>#REF!</v>
      </c>
      <c r="Q205" s="98" t="e">
        <f>#REF!</f>
        <v>#REF!</v>
      </c>
      <c r="R205" s="98" t="e">
        <f>#REF!</f>
        <v>#REF!</v>
      </c>
      <c r="S205" s="98" t="e">
        <f>#REF!</f>
        <v>#REF!</v>
      </c>
      <c r="T205" s="98" t="e">
        <f>#REF!</f>
        <v>#REF!</v>
      </c>
      <c r="U205" s="98"/>
      <c r="V205" s="98"/>
      <c r="W20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5" s="98" t="str">
        <f t="shared" ca="1" si="28"/>
        <v>2.n</v>
      </c>
      <c r="Y205" s="98"/>
      <c r="Z205" s="98"/>
      <c r="AA205" s="98"/>
      <c r="AB205" s="98"/>
      <c r="AC205" s="98"/>
      <c r="AD205" s="98"/>
      <c r="AE205" s="98"/>
      <c r="AF205" s="98"/>
      <c r="AG205" s="98"/>
      <c r="AH205" s="98"/>
    </row>
    <row r="206" spans="1:34" ht="31.2" x14ac:dyDescent="0.3">
      <c r="A206" s="27" t="s">
        <v>484</v>
      </c>
      <c r="B206" s="18" t="s">
        <v>485</v>
      </c>
      <c r="C206" s="65" t="s">
        <v>486</v>
      </c>
      <c r="D206" s="14"/>
      <c r="E206" s="14" t="s">
        <v>487</v>
      </c>
      <c r="F206" s="14" t="s">
        <v>96</v>
      </c>
      <c r="G206" s="66">
        <v>1</v>
      </c>
      <c r="H206" s="33">
        <v>3.87</v>
      </c>
      <c r="I206" s="121">
        <f>H206-J206</f>
        <v>3.87</v>
      </c>
      <c r="J206" s="243">
        <f>SUM(Таблица2[[#This Row],[1.n]:[12.n]])</f>
        <v>0</v>
      </c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241"/>
      <c r="X206" s="241"/>
      <c r="Y206" s="241"/>
      <c r="Z206" s="241"/>
      <c r="AA206" s="241"/>
      <c r="AB206" s="241"/>
      <c r="AC206" s="241"/>
      <c r="AD206" s="241"/>
      <c r="AE206" s="241"/>
      <c r="AF206" s="241"/>
      <c r="AG206" s="241"/>
      <c r="AH206" s="241"/>
    </row>
    <row r="207" spans="1:34" ht="31.2" hidden="1" x14ac:dyDescent="0.3">
      <c r="A207" s="31" t="s">
        <v>488</v>
      </c>
      <c r="B207" s="22"/>
      <c r="C207" s="89" t="s">
        <v>489</v>
      </c>
      <c r="D207" s="90"/>
      <c r="E207" s="90" t="s">
        <v>490</v>
      </c>
      <c r="F207" s="91" t="s">
        <v>96</v>
      </c>
      <c r="G207" s="92">
        <v>1.1000000000000001</v>
      </c>
      <c r="H207" s="34">
        <v>4.2569999999999997</v>
      </c>
      <c r="I207" s="110"/>
      <c r="J207" s="101">
        <f ca="1">SUM(Таблица2[[#This Row],[1.n]:[12.n]])</f>
        <v>0</v>
      </c>
      <c r="K207" s="98" t="e">
        <f>#REF!</f>
        <v>#REF!</v>
      </c>
      <c r="L207" s="98" t="e">
        <f>#REF!</f>
        <v>#REF!</v>
      </c>
      <c r="M207" s="98" t="e">
        <f>#REF!</f>
        <v>#REF!</v>
      </c>
      <c r="N207" s="98" t="e">
        <f>#REF!</f>
        <v>#REF!</v>
      </c>
      <c r="O207" s="98" t="e">
        <f>#REF!</f>
        <v>#REF!</v>
      </c>
      <c r="P207" s="98" t="e">
        <f>#REF!</f>
        <v>#REF!</v>
      </c>
      <c r="Q207" s="98" t="e">
        <f>#REF!</f>
        <v>#REF!</v>
      </c>
      <c r="R207" s="98" t="e">
        <f>#REF!</f>
        <v>#REF!</v>
      </c>
      <c r="S207" s="98" t="e">
        <f>#REF!</f>
        <v>#REF!</v>
      </c>
      <c r="T207" s="98" t="e">
        <f>#REF!</f>
        <v>#REF!</v>
      </c>
      <c r="U207" s="98"/>
      <c r="V207" s="98"/>
      <c r="W20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7" s="98" t="str">
        <f t="shared" ca="1" si="28"/>
        <v>2.n</v>
      </c>
      <c r="Y207" s="98"/>
      <c r="Z207" s="98"/>
      <c r="AA207" s="98"/>
      <c r="AB207" s="98"/>
      <c r="AC207" s="98"/>
      <c r="AD207" s="98"/>
      <c r="AE207" s="98"/>
      <c r="AF207" s="98"/>
      <c r="AG207" s="98"/>
      <c r="AH207" s="98"/>
    </row>
    <row r="208" spans="1:34" ht="31.2" hidden="1" x14ac:dyDescent="0.3">
      <c r="A208" s="31" t="s">
        <v>491</v>
      </c>
      <c r="B208" s="22"/>
      <c r="C208" s="88" t="s">
        <v>382</v>
      </c>
      <c r="D208" s="90"/>
      <c r="E208" s="90" t="s">
        <v>220</v>
      </c>
      <c r="F208" s="91" t="s">
        <v>3</v>
      </c>
      <c r="G208" s="92">
        <v>1.2</v>
      </c>
      <c r="H208" s="34">
        <v>9.2880000000000003</v>
      </c>
      <c r="I208" s="61"/>
      <c r="J208" s="101">
        <f ca="1">SUM(Таблица2[[#This Row],[1.n]:[12.n]])</f>
        <v>0</v>
      </c>
      <c r="K208" s="98" t="e">
        <f>#REF!</f>
        <v>#REF!</v>
      </c>
      <c r="L208" s="98" t="e">
        <f>#REF!</f>
        <v>#REF!</v>
      </c>
      <c r="M208" s="98" t="e">
        <f>#REF!</f>
        <v>#REF!</v>
      </c>
      <c r="N208" s="98" t="e">
        <f>#REF!</f>
        <v>#REF!</v>
      </c>
      <c r="O208" s="98" t="e">
        <f>#REF!</f>
        <v>#REF!</v>
      </c>
      <c r="P208" s="98" t="e">
        <f>#REF!</f>
        <v>#REF!</v>
      </c>
      <c r="Q208" s="98" t="e">
        <f>#REF!</f>
        <v>#REF!</v>
      </c>
      <c r="R208" s="98" t="e">
        <f>#REF!</f>
        <v>#REF!</v>
      </c>
      <c r="S208" s="98" t="e">
        <f>#REF!</f>
        <v>#REF!</v>
      </c>
      <c r="T208" s="98" t="e">
        <f>#REF!</f>
        <v>#REF!</v>
      </c>
      <c r="U208" s="98"/>
      <c r="V208" s="98"/>
      <c r="W20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8" s="98" t="str">
        <f t="shared" ca="1" si="28"/>
        <v>2.n</v>
      </c>
      <c r="Y208" s="98"/>
      <c r="Z208" s="98"/>
      <c r="AA208" s="98"/>
      <c r="AB208" s="98"/>
      <c r="AC208" s="98"/>
      <c r="AD208" s="98"/>
      <c r="AE208" s="98"/>
      <c r="AF208" s="98"/>
      <c r="AG208" s="98"/>
      <c r="AH208" s="98"/>
    </row>
    <row r="209" spans="1:34" hidden="1" x14ac:dyDescent="0.3">
      <c r="A209" s="31" t="s">
        <v>492</v>
      </c>
      <c r="B209" s="22"/>
      <c r="C209" s="89" t="s">
        <v>225</v>
      </c>
      <c r="D209" s="90"/>
      <c r="E209" s="90"/>
      <c r="F209" s="91" t="s">
        <v>3</v>
      </c>
      <c r="G209" s="92">
        <v>0.25</v>
      </c>
      <c r="H209" s="34">
        <v>0.96799999999999997</v>
      </c>
      <c r="I209" s="67"/>
      <c r="J209" s="102">
        <f ca="1">SUM(Таблица2[[#This Row],[1.n]:[12.n]])</f>
        <v>0</v>
      </c>
      <c r="K209" s="98" t="e">
        <f>#REF!</f>
        <v>#REF!</v>
      </c>
      <c r="L209" s="98" t="e">
        <f>#REF!</f>
        <v>#REF!</v>
      </c>
      <c r="M209" s="98" t="e">
        <f>#REF!</f>
        <v>#REF!</v>
      </c>
      <c r="N209" s="98" t="e">
        <f>#REF!</f>
        <v>#REF!</v>
      </c>
      <c r="O209" s="98" t="e">
        <f>#REF!</f>
        <v>#REF!</v>
      </c>
      <c r="P209" s="98" t="e">
        <f>#REF!</f>
        <v>#REF!</v>
      </c>
      <c r="Q209" s="98" t="e">
        <f>#REF!</f>
        <v>#REF!</v>
      </c>
      <c r="R209" s="98" t="e">
        <f>#REF!</f>
        <v>#REF!</v>
      </c>
      <c r="S209" s="98" t="e">
        <f>#REF!</f>
        <v>#REF!</v>
      </c>
      <c r="T209" s="98" t="e">
        <f>#REF!</f>
        <v>#REF!</v>
      </c>
      <c r="U209" s="98"/>
      <c r="V209" s="98"/>
      <c r="W20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09" s="98" t="str">
        <f t="shared" ca="1" si="28"/>
        <v>2.n</v>
      </c>
      <c r="Y209" s="98"/>
      <c r="Z209" s="98"/>
      <c r="AA209" s="98"/>
      <c r="AB209" s="98"/>
      <c r="AC209" s="98"/>
      <c r="AD209" s="98"/>
      <c r="AE209" s="98"/>
      <c r="AF209" s="98"/>
      <c r="AG209" s="98"/>
      <c r="AH209" s="98"/>
    </row>
    <row r="210" spans="1:34" hidden="1" x14ac:dyDescent="0.3">
      <c r="A210" s="31" t="s">
        <v>493</v>
      </c>
      <c r="B210" s="22"/>
      <c r="C210" s="89" t="s">
        <v>227</v>
      </c>
      <c r="D210" s="90"/>
      <c r="E210" s="90"/>
      <c r="F210" s="91" t="s">
        <v>3</v>
      </c>
      <c r="G210" s="92">
        <v>0.15</v>
      </c>
      <c r="H210" s="34">
        <v>0.58099999999999996</v>
      </c>
      <c r="I210" s="61"/>
      <c r="J210" s="101">
        <f ca="1">SUM(Таблица2[[#This Row],[1.n]:[12.n]])</f>
        <v>0</v>
      </c>
      <c r="K210" s="98" t="e">
        <f>#REF!</f>
        <v>#REF!</v>
      </c>
      <c r="L210" s="98" t="e">
        <f>#REF!</f>
        <v>#REF!</v>
      </c>
      <c r="M210" s="98" t="e">
        <f>#REF!</f>
        <v>#REF!</v>
      </c>
      <c r="N210" s="98" t="e">
        <f>#REF!</f>
        <v>#REF!</v>
      </c>
      <c r="O210" s="98" t="e">
        <f>#REF!</f>
        <v>#REF!</v>
      </c>
      <c r="P210" s="98" t="e">
        <f>#REF!</f>
        <v>#REF!</v>
      </c>
      <c r="Q210" s="98" t="e">
        <f>#REF!</f>
        <v>#REF!</v>
      </c>
      <c r="R210" s="98" t="e">
        <f>#REF!</f>
        <v>#REF!</v>
      </c>
      <c r="S210" s="98" t="e">
        <f>#REF!</f>
        <v>#REF!</v>
      </c>
      <c r="T210" s="98" t="e">
        <f>#REF!</f>
        <v>#REF!</v>
      </c>
      <c r="U210" s="98"/>
      <c r="V210" s="98"/>
      <c r="W21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0" s="98" t="str">
        <f t="shared" ca="1" si="28"/>
        <v>2.n</v>
      </c>
      <c r="Y210" s="98"/>
      <c r="Z210" s="98"/>
      <c r="AA210" s="98"/>
      <c r="AB210" s="98"/>
      <c r="AC210" s="98"/>
      <c r="AD210" s="98"/>
      <c r="AE210" s="98"/>
      <c r="AF210" s="98"/>
      <c r="AG210" s="98"/>
      <c r="AH210" s="98"/>
    </row>
    <row r="211" spans="1:34" ht="31.2" x14ac:dyDescent="0.3">
      <c r="A211" s="24" t="s">
        <v>434</v>
      </c>
      <c r="B211" s="15" t="s">
        <v>376</v>
      </c>
      <c r="C211" s="46" t="s">
        <v>377</v>
      </c>
      <c r="D211" s="47"/>
      <c r="E211" s="47" t="s">
        <v>435</v>
      </c>
      <c r="F211" s="47" t="s">
        <v>96</v>
      </c>
      <c r="G211" s="48">
        <v>1</v>
      </c>
      <c r="H211" s="33">
        <v>158.19</v>
      </c>
      <c r="I211" s="121">
        <f>H211-J211</f>
        <v>158.19</v>
      </c>
      <c r="J211" s="243">
        <f>SUM(Таблица2[[#This Row],[1.n]:[12.n]])</f>
        <v>0</v>
      </c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241"/>
      <c r="X211" s="241"/>
      <c r="Y211" s="241"/>
      <c r="Z211" s="241"/>
      <c r="AA211" s="241"/>
      <c r="AB211" s="241"/>
      <c r="AC211" s="241"/>
      <c r="AD211" s="241"/>
      <c r="AE211" s="241"/>
      <c r="AF211" s="241"/>
      <c r="AG211" s="241"/>
      <c r="AH211" s="241"/>
    </row>
    <row r="212" spans="1:34" ht="46.8" hidden="1" x14ac:dyDescent="0.3">
      <c r="A212" s="31" t="s">
        <v>436</v>
      </c>
      <c r="B212" s="22"/>
      <c r="C212" s="88" t="s">
        <v>384</v>
      </c>
      <c r="D212" s="90"/>
      <c r="E212" s="90" t="s">
        <v>437</v>
      </c>
      <c r="F212" s="91" t="s">
        <v>96</v>
      </c>
      <c r="G212" s="92">
        <v>1.07</v>
      </c>
      <c r="H212" s="34">
        <v>169.26300000000001</v>
      </c>
      <c r="I212" s="110"/>
      <c r="J212" s="101">
        <f ca="1">SUM(Таблица2[[#This Row],[1.n]:[12.n]])</f>
        <v>0</v>
      </c>
      <c r="K212" s="98" t="e">
        <f>#REF!</f>
        <v>#REF!</v>
      </c>
      <c r="L212" s="98" t="e">
        <f>#REF!</f>
        <v>#REF!</v>
      </c>
      <c r="M212" s="98" t="e">
        <f>#REF!</f>
        <v>#REF!</v>
      </c>
      <c r="N212" s="98" t="e">
        <f>#REF!</f>
        <v>#REF!</v>
      </c>
      <c r="O212" s="98" t="e">
        <f>#REF!</f>
        <v>#REF!</v>
      </c>
      <c r="P212" s="98" t="e">
        <f>#REF!</f>
        <v>#REF!</v>
      </c>
      <c r="Q212" s="98" t="e">
        <f>#REF!</f>
        <v>#REF!</v>
      </c>
      <c r="R212" s="98" t="e">
        <f>#REF!</f>
        <v>#REF!</v>
      </c>
      <c r="S212" s="98" t="e">
        <f>#REF!</f>
        <v>#REF!</v>
      </c>
      <c r="T212" s="98" t="e">
        <f>#REF!</f>
        <v>#REF!</v>
      </c>
      <c r="U212" s="98"/>
      <c r="V212" s="98"/>
      <c r="W21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2" s="98" t="str">
        <f t="shared" ca="1" si="28"/>
        <v>2.n</v>
      </c>
      <c r="Y212" s="98"/>
      <c r="Z212" s="98"/>
      <c r="AA212" s="98"/>
      <c r="AB212" s="98"/>
      <c r="AC212" s="98"/>
      <c r="AD212" s="98"/>
      <c r="AE212" s="98"/>
      <c r="AF212" s="98"/>
      <c r="AG212" s="98"/>
      <c r="AH212" s="98"/>
    </row>
    <row r="213" spans="1:34" ht="46.8" hidden="1" x14ac:dyDescent="0.3">
      <c r="A213" s="31" t="s">
        <v>438</v>
      </c>
      <c r="B213" s="22"/>
      <c r="C213" s="88" t="s">
        <v>430</v>
      </c>
      <c r="D213" s="90"/>
      <c r="E213" s="90" t="s">
        <v>439</v>
      </c>
      <c r="F213" s="91" t="s">
        <v>4</v>
      </c>
      <c r="G213" s="92">
        <v>0.23</v>
      </c>
      <c r="H213" s="34">
        <v>7.9489999999999998</v>
      </c>
      <c r="I213" s="61"/>
      <c r="J213" s="101">
        <f ca="1">SUM(Таблица2[[#This Row],[1.n]:[12.n]])</f>
        <v>0</v>
      </c>
      <c r="K213" s="98" t="e">
        <f>#REF!</f>
        <v>#REF!</v>
      </c>
      <c r="L213" s="98" t="e">
        <f>#REF!</f>
        <v>#REF!</v>
      </c>
      <c r="M213" s="98" t="e">
        <f>#REF!</f>
        <v>#REF!</v>
      </c>
      <c r="N213" s="98" t="e">
        <f>#REF!</f>
        <v>#REF!</v>
      </c>
      <c r="O213" s="98" t="e">
        <f>#REF!</f>
        <v>#REF!</v>
      </c>
      <c r="P213" s="98" t="e">
        <f>#REF!</f>
        <v>#REF!</v>
      </c>
      <c r="Q213" s="98" t="e">
        <f>#REF!</f>
        <v>#REF!</v>
      </c>
      <c r="R213" s="98" t="e">
        <f>#REF!</f>
        <v>#REF!</v>
      </c>
      <c r="S213" s="98" t="e">
        <f>#REF!</f>
        <v>#REF!</v>
      </c>
      <c r="T213" s="98" t="e">
        <f>#REF!</f>
        <v>#REF!</v>
      </c>
      <c r="U213" s="98"/>
      <c r="V213" s="98"/>
      <c r="W21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3" s="98" t="str">
        <f t="shared" ca="1" si="28"/>
        <v>2.n</v>
      </c>
      <c r="Y213" s="98"/>
      <c r="Z213" s="98"/>
      <c r="AA213" s="98"/>
      <c r="AB213" s="98"/>
      <c r="AC213" s="98"/>
      <c r="AD213" s="98"/>
      <c r="AE213" s="98"/>
      <c r="AF213" s="98"/>
      <c r="AG213" s="98"/>
      <c r="AH213" s="98"/>
    </row>
    <row r="214" spans="1:34" ht="31.2" hidden="1" x14ac:dyDescent="0.3">
      <c r="A214" s="31" t="s">
        <v>440</v>
      </c>
      <c r="B214" s="22"/>
      <c r="C214" s="88" t="s">
        <v>382</v>
      </c>
      <c r="D214" s="90"/>
      <c r="E214" s="90" t="s">
        <v>220</v>
      </c>
      <c r="F214" s="91" t="s">
        <v>3</v>
      </c>
      <c r="G214" s="92">
        <v>1.2</v>
      </c>
      <c r="H214" s="34">
        <v>379.65600000000001</v>
      </c>
      <c r="I214" s="84" t="e">
        <f>H214-K214</f>
        <v>#REF!</v>
      </c>
      <c r="J214" s="108">
        <f ca="1">SUM(Таблица2[[#This Row],[1.n]:[12.n]])</f>
        <v>0</v>
      </c>
      <c r="K214" s="98" t="e">
        <f>#REF!</f>
        <v>#REF!</v>
      </c>
      <c r="L214" s="98" t="e">
        <f>#REF!</f>
        <v>#REF!</v>
      </c>
      <c r="M214" s="98" t="e">
        <f>#REF!</f>
        <v>#REF!</v>
      </c>
      <c r="N214" s="98" t="e">
        <f>#REF!</f>
        <v>#REF!</v>
      </c>
      <c r="O214" s="98" t="e">
        <f>#REF!</f>
        <v>#REF!</v>
      </c>
      <c r="P214" s="98" t="e">
        <f>#REF!</f>
        <v>#REF!</v>
      </c>
      <c r="Q214" s="98" t="e">
        <f>#REF!</f>
        <v>#REF!</v>
      </c>
      <c r="R214" s="98" t="e">
        <f>#REF!</f>
        <v>#REF!</v>
      </c>
      <c r="S214" s="98" t="e">
        <f>#REF!</f>
        <v>#REF!</v>
      </c>
      <c r="T214" s="98" t="e">
        <f>#REF!</f>
        <v>#REF!</v>
      </c>
      <c r="U214" s="98"/>
      <c r="V214" s="98"/>
      <c r="W21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4" s="98" t="str">
        <f t="shared" ca="1" si="28"/>
        <v>2.n</v>
      </c>
      <c r="Y214" s="98"/>
      <c r="Z214" s="98"/>
      <c r="AA214" s="98"/>
      <c r="AB214" s="98"/>
      <c r="AC214" s="98"/>
      <c r="AD214" s="98"/>
      <c r="AE214" s="98"/>
      <c r="AF214" s="98"/>
      <c r="AG214" s="98"/>
      <c r="AH214" s="98"/>
    </row>
    <row r="215" spans="1:34" hidden="1" x14ac:dyDescent="0.3">
      <c r="A215" s="31" t="s">
        <v>441</v>
      </c>
      <c r="B215" s="22"/>
      <c r="C215" s="89" t="s">
        <v>227</v>
      </c>
      <c r="D215" s="90"/>
      <c r="E215" s="90"/>
      <c r="F215" s="91" t="s">
        <v>3</v>
      </c>
      <c r="G215" s="92">
        <v>0.15</v>
      </c>
      <c r="H215" s="34">
        <v>23.728999999999999</v>
      </c>
      <c r="I215" s="61"/>
      <c r="J215" s="101">
        <f ca="1">SUM(Таблица2[[#This Row],[1.n]:[12.n]])</f>
        <v>0</v>
      </c>
      <c r="K215" s="98" t="e">
        <f>#REF!</f>
        <v>#REF!</v>
      </c>
      <c r="L215" s="98" t="e">
        <f>#REF!</f>
        <v>#REF!</v>
      </c>
      <c r="M215" s="98" t="e">
        <f>#REF!</f>
        <v>#REF!</v>
      </c>
      <c r="N215" s="98" t="e">
        <f>#REF!</f>
        <v>#REF!</v>
      </c>
      <c r="O215" s="98" t="e">
        <f>#REF!</f>
        <v>#REF!</v>
      </c>
      <c r="P215" s="98" t="e">
        <f>#REF!</f>
        <v>#REF!</v>
      </c>
      <c r="Q215" s="98" t="e">
        <f>#REF!</f>
        <v>#REF!</v>
      </c>
      <c r="R215" s="98" t="e">
        <f>#REF!</f>
        <v>#REF!</v>
      </c>
      <c r="S215" s="98" t="e">
        <f>#REF!</f>
        <v>#REF!</v>
      </c>
      <c r="T215" s="98" t="e">
        <f>#REF!</f>
        <v>#REF!</v>
      </c>
      <c r="U215" s="98"/>
      <c r="V215" s="98"/>
      <c r="W21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5" s="98" t="str">
        <f t="shared" ca="1" si="28"/>
        <v>2.n</v>
      </c>
      <c r="Y215" s="98"/>
      <c r="Z215" s="98"/>
      <c r="AA215" s="98"/>
      <c r="AB215" s="98"/>
      <c r="AC215" s="98"/>
      <c r="AD215" s="98"/>
      <c r="AE215" s="98"/>
      <c r="AF215" s="98"/>
      <c r="AG215" s="98"/>
      <c r="AH215" s="98"/>
    </row>
    <row r="216" spans="1:34" hidden="1" x14ac:dyDescent="0.3">
      <c r="A216" s="31" t="s">
        <v>442</v>
      </c>
      <c r="B216" s="22"/>
      <c r="C216" s="89" t="s">
        <v>225</v>
      </c>
      <c r="D216" s="90"/>
      <c r="E216" s="90"/>
      <c r="F216" s="91" t="s">
        <v>3</v>
      </c>
      <c r="G216" s="92">
        <v>0.25</v>
      </c>
      <c r="H216" s="34">
        <v>39.548000000000002</v>
      </c>
      <c r="I216" s="61"/>
      <c r="J216" s="101">
        <f ca="1">SUM(Таблица2[[#This Row],[1.n]:[12.n]])</f>
        <v>0</v>
      </c>
      <c r="K216" s="98" t="e">
        <f>#REF!</f>
        <v>#REF!</v>
      </c>
      <c r="L216" s="98" t="e">
        <f>#REF!</f>
        <v>#REF!</v>
      </c>
      <c r="M216" s="98" t="e">
        <f>#REF!</f>
        <v>#REF!</v>
      </c>
      <c r="N216" s="98" t="e">
        <f>#REF!</f>
        <v>#REF!</v>
      </c>
      <c r="O216" s="98" t="e">
        <f>#REF!</f>
        <v>#REF!</v>
      </c>
      <c r="P216" s="98" t="e">
        <f>#REF!</f>
        <v>#REF!</v>
      </c>
      <c r="Q216" s="98" t="e">
        <f>#REF!</f>
        <v>#REF!</v>
      </c>
      <c r="R216" s="98" t="e">
        <f>#REF!</f>
        <v>#REF!</v>
      </c>
      <c r="S216" s="98" t="e">
        <f>#REF!</f>
        <v>#REF!</v>
      </c>
      <c r="T216" s="98" t="e">
        <f>#REF!</f>
        <v>#REF!</v>
      </c>
      <c r="U216" s="98"/>
      <c r="V216" s="98"/>
      <c r="W21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6" s="98" t="str">
        <f t="shared" ca="1" si="28"/>
        <v>2.n</v>
      </c>
      <c r="Y216" s="98"/>
      <c r="Z216" s="98"/>
      <c r="AA216" s="98"/>
      <c r="AB216" s="98"/>
      <c r="AC216" s="98"/>
      <c r="AD216" s="98"/>
      <c r="AE216" s="98"/>
      <c r="AF216" s="98"/>
      <c r="AG216" s="98"/>
      <c r="AH216" s="98"/>
    </row>
    <row r="217" spans="1:34" ht="31.2" x14ac:dyDescent="0.3">
      <c r="A217" s="24" t="s">
        <v>443</v>
      </c>
      <c r="B217" s="15" t="s">
        <v>376</v>
      </c>
      <c r="C217" s="46" t="s">
        <v>377</v>
      </c>
      <c r="D217" s="47"/>
      <c r="E217" s="47" t="s">
        <v>444</v>
      </c>
      <c r="F217" s="47" t="s">
        <v>96</v>
      </c>
      <c r="G217" s="48">
        <v>1</v>
      </c>
      <c r="H217" s="33">
        <v>15.27</v>
      </c>
      <c r="I217" s="121">
        <f>H217-J217</f>
        <v>15.27</v>
      </c>
      <c r="J217" s="243">
        <f>SUM(Таблица2[[#This Row],[1.n]:[12.n]])</f>
        <v>0</v>
      </c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241"/>
      <c r="X217" s="241"/>
      <c r="Y217" s="241"/>
      <c r="Z217" s="241"/>
      <c r="AA217" s="241"/>
      <c r="AB217" s="241"/>
      <c r="AC217" s="241"/>
      <c r="AD217" s="241"/>
      <c r="AE217" s="241"/>
      <c r="AF217" s="241"/>
      <c r="AG217" s="241"/>
      <c r="AH217" s="241"/>
    </row>
    <row r="218" spans="1:34" hidden="1" x14ac:dyDescent="0.3">
      <c r="A218" s="31" t="s">
        <v>445</v>
      </c>
      <c r="B218" s="22"/>
      <c r="C218" s="89" t="s">
        <v>225</v>
      </c>
      <c r="D218" s="90"/>
      <c r="E218" s="90"/>
      <c r="F218" s="91" t="s">
        <v>3</v>
      </c>
      <c r="G218" s="92">
        <v>0.25</v>
      </c>
      <c r="H218" s="34">
        <v>3.8180000000000001</v>
      </c>
      <c r="I218" s="110"/>
      <c r="J218" s="101">
        <f ca="1">SUM(Таблица2[[#This Row],[1.n]:[12.n]])</f>
        <v>0</v>
      </c>
      <c r="K218" s="98" t="e">
        <f>#REF!</f>
        <v>#REF!</v>
      </c>
      <c r="L218" s="98" t="e">
        <f>#REF!</f>
        <v>#REF!</v>
      </c>
      <c r="M218" s="98" t="e">
        <f>#REF!</f>
        <v>#REF!</v>
      </c>
      <c r="N218" s="98" t="e">
        <f>#REF!</f>
        <v>#REF!</v>
      </c>
      <c r="O218" s="98" t="e">
        <f>#REF!</f>
        <v>#REF!</v>
      </c>
      <c r="P218" s="98" t="e">
        <f>#REF!</f>
        <v>#REF!</v>
      </c>
      <c r="Q218" s="98" t="e">
        <f>#REF!</f>
        <v>#REF!</v>
      </c>
      <c r="R218" s="98" t="e">
        <f>#REF!</f>
        <v>#REF!</v>
      </c>
      <c r="S218" s="98" t="e">
        <f>#REF!</f>
        <v>#REF!</v>
      </c>
      <c r="T218" s="98" t="e">
        <f>#REF!</f>
        <v>#REF!</v>
      </c>
      <c r="U218" s="98"/>
      <c r="V218" s="98"/>
      <c r="W21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8" s="98" t="str">
        <f t="shared" ca="1" si="28"/>
        <v>2.n</v>
      </c>
      <c r="Y218" s="98"/>
      <c r="Z218" s="98"/>
      <c r="AA218" s="98"/>
      <c r="AB218" s="98"/>
      <c r="AC218" s="98"/>
      <c r="AD218" s="98"/>
      <c r="AE218" s="98"/>
      <c r="AF218" s="98"/>
      <c r="AG218" s="98"/>
      <c r="AH218" s="98"/>
    </row>
    <row r="219" spans="1:34" hidden="1" x14ac:dyDescent="0.3">
      <c r="A219" s="31" t="s">
        <v>446</v>
      </c>
      <c r="B219" s="22"/>
      <c r="C219" s="89" t="s">
        <v>227</v>
      </c>
      <c r="D219" s="90"/>
      <c r="E219" s="90"/>
      <c r="F219" s="91" t="s">
        <v>3</v>
      </c>
      <c r="G219" s="92">
        <v>0.15</v>
      </c>
      <c r="H219" s="34">
        <v>2.2909999999999999</v>
      </c>
      <c r="I219" s="84" t="e">
        <f>H219-K219</f>
        <v>#REF!</v>
      </c>
      <c r="J219" s="108">
        <f ca="1">SUM(Таблица2[[#This Row],[1.n]:[12.n]])</f>
        <v>0</v>
      </c>
      <c r="K219" s="98" t="e">
        <f>#REF!</f>
        <v>#REF!</v>
      </c>
      <c r="L219" s="98" t="e">
        <f>#REF!</f>
        <v>#REF!</v>
      </c>
      <c r="M219" s="98" t="e">
        <f>#REF!</f>
        <v>#REF!</v>
      </c>
      <c r="N219" s="98" t="e">
        <f>#REF!</f>
        <v>#REF!</v>
      </c>
      <c r="O219" s="98" t="e">
        <f>#REF!</f>
        <v>#REF!</v>
      </c>
      <c r="P219" s="98" t="e">
        <f>#REF!</f>
        <v>#REF!</v>
      </c>
      <c r="Q219" s="98" t="e">
        <f>#REF!</f>
        <v>#REF!</v>
      </c>
      <c r="R219" s="98" t="e">
        <f>#REF!</f>
        <v>#REF!</v>
      </c>
      <c r="S219" s="98" t="e">
        <f>#REF!</f>
        <v>#REF!</v>
      </c>
      <c r="T219" s="98" t="e">
        <f>#REF!</f>
        <v>#REF!</v>
      </c>
      <c r="U219" s="98"/>
      <c r="V219" s="98"/>
      <c r="W21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19" s="98" t="str">
        <f t="shared" ca="1" si="28"/>
        <v>2.n</v>
      </c>
      <c r="Y219" s="98"/>
      <c r="Z219" s="98"/>
      <c r="AA219" s="98"/>
      <c r="AB219" s="98"/>
      <c r="AC219" s="98"/>
      <c r="AD219" s="98"/>
      <c r="AE219" s="98"/>
      <c r="AF219" s="98"/>
      <c r="AG219" s="98"/>
      <c r="AH219" s="98"/>
    </row>
    <row r="220" spans="1:34" ht="31.2" hidden="1" x14ac:dyDescent="0.3">
      <c r="A220" s="31" t="s">
        <v>447</v>
      </c>
      <c r="B220" s="22"/>
      <c r="C220" s="88" t="s">
        <v>382</v>
      </c>
      <c r="D220" s="90"/>
      <c r="E220" s="90" t="s">
        <v>220</v>
      </c>
      <c r="F220" s="91" t="s">
        <v>3</v>
      </c>
      <c r="G220" s="92">
        <v>1.2</v>
      </c>
      <c r="H220" s="34">
        <v>36.648000000000003</v>
      </c>
      <c r="I220" s="61"/>
      <c r="J220" s="101">
        <f ca="1">SUM(Таблица2[[#This Row],[1.n]:[12.n]])</f>
        <v>0</v>
      </c>
      <c r="K220" s="98" t="e">
        <f>#REF!</f>
        <v>#REF!</v>
      </c>
      <c r="L220" s="98" t="e">
        <f>#REF!</f>
        <v>#REF!</v>
      </c>
      <c r="M220" s="98" t="e">
        <f>#REF!</f>
        <v>#REF!</v>
      </c>
      <c r="N220" s="98" t="e">
        <f>#REF!</f>
        <v>#REF!</v>
      </c>
      <c r="O220" s="98" t="e">
        <f>#REF!</f>
        <v>#REF!</v>
      </c>
      <c r="P220" s="98" t="e">
        <f>#REF!</f>
        <v>#REF!</v>
      </c>
      <c r="Q220" s="98" t="e">
        <f>#REF!</f>
        <v>#REF!</v>
      </c>
      <c r="R220" s="98" t="e">
        <f>#REF!</f>
        <v>#REF!</v>
      </c>
      <c r="S220" s="98" t="e">
        <f>#REF!</f>
        <v>#REF!</v>
      </c>
      <c r="T220" s="98" t="e">
        <f>#REF!</f>
        <v>#REF!</v>
      </c>
      <c r="U220" s="98"/>
      <c r="V220" s="98"/>
      <c r="W22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0" s="98" t="str">
        <f t="shared" ca="1" si="28"/>
        <v>2.n</v>
      </c>
      <c r="Y220" s="98"/>
      <c r="Z220" s="98"/>
      <c r="AA220" s="98"/>
      <c r="AB220" s="98"/>
      <c r="AC220" s="98"/>
      <c r="AD220" s="98"/>
      <c r="AE220" s="98"/>
      <c r="AF220" s="98"/>
      <c r="AG220" s="98"/>
      <c r="AH220" s="98"/>
    </row>
    <row r="221" spans="1:34" ht="31.2" hidden="1" x14ac:dyDescent="0.3">
      <c r="A221" s="31" t="s">
        <v>448</v>
      </c>
      <c r="B221" s="22"/>
      <c r="C221" s="88" t="s">
        <v>389</v>
      </c>
      <c r="D221" s="90"/>
      <c r="E221" s="90" t="s">
        <v>390</v>
      </c>
      <c r="F221" s="91" t="s">
        <v>96</v>
      </c>
      <c r="G221" s="92">
        <v>1.07</v>
      </c>
      <c r="H221" s="34">
        <v>16.338999999999999</v>
      </c>
      <c r="I221" s="61"/>
      <c r="J221" s="101">
        <f ca="1">SUM(Таблица2[[#This Row],[1.n]:[12.n]])</f>
        <v>0</v>
      </c>
      <c r="K221" s="98" t="e">
        <f>#REF!</f>
        <v>#REF!</v>
      </c>
      <c r="L221" s="98" t="e">
        <f>#REF!</f>
        <v>#REF!</v>
      </c>
      <c r="M221" s="98" t="e">
        <f>#REF!</f>
        <v>#REF!</v>
      </c>
      <c r="N221" s="98" t="e">
        <f>#REF!</f>
        <v>#REF!</v>
      </c>
      <c r="O221" s="98" t="e">
        <f>#REF!</f>
        <v>#REF!</v>
      </c>
      <c r="P221" s="98" t="e">
        <f>#REF!</f>
        <v>#REF!</v>
      </c>
      <c r="Q221" s="98" t="e">
        <f>#REF!</f>
        <v>#REF!</v>
      </c>
      <c r="R221" s="98" t="e">
        <f>#REF!</f>
        <v>#REF!</v>
      </c>
      <c r="S221" s="98" t="e">
        <f>#REF!</f>
        <v>#REF!</v>
      </c>
      <c r="T221" s="98" t="e">
        <f>#REF!</f>
        <v>#REF!</v>
      </c>
      <c r="U221" s="98"/>
      <c r="V221" s="98"/>
      <c r="W22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1" s="98" t="str">
        <f t="shared" ca="1" si="28"/>
        <v>2.n</v>
      </c>
      <c r="Y221" s="98"/>
      <c r="Z221" s="98"/>
      <c r="AA221" s="98"/>
      <c r="AB221" s="98"/>
      <c r="AC221" s="98"/>
      <c r="AD221" s="98"/>
      <c r="AE221" s="98"/>
      <c r="AF221" s="98"/>
      <c r="AG221" s="98"/>
      <c r="AH221" s="98"/>
    </row>
    <row r="222" spans="1:34" ht="31.2" x14ac:dyDescent="0.3">
      <c r="A222" s="27" t="s">
        <v>449</v>
      </c>
      <c r="B222" s="18" t="s">
        <v>376</v>
      </c>
      <c r="C222" s="65" t="s">
        <v>377</v>
      </c>
      <c r="D222" s="14"/>
      <c r="E222" s="14" t="s">
        <v>450</v>
      </c>
      <c r="F222" s="14" t="s">
        <v>96</v>
      </c>
      <c r="G222" s="66">
        <v>1</v>
      </c>
      <c r="H222" s="33">
        <v>35.9</v>
      </c>
      <c r="I222" s="121">
        <f>H222-J222</f>
        <v>35.9</v>
      </c>
      <c r="J222" s="243">
        <f>SUM(Таблица2[[#This Row],[1.n]:[12.n]])</f>
        <v>0</v>
      </c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241"/>
      <c r="X222" s="241"/>
      <c r="Y222" s="241"/>
      <c r="Z222" s="241"/>
      <c r="AA222" s="241"/>
      <c r="AB222" s="241"/>
      <c r="AC222" s="241"/>
      <c r="AD222" s="241"/>
      <c r="AE222" s="241"/>
      <c r="AF222" s="241"/>
      <c r="AG222" s="241"/>
      <c r="AH222" s="241"/>
    </row>
    <row r="223" spans="1:34" ht="31.2" hidden="1" x14ac:dyDescent="0.3">
      <c r="A223" s="31" t="s">
        <v>451</v>
      </c>
      <c r="B223" s="22"/>
      <c r="C223" s="88" t="s">
        <v>400</v>
      </c>
      <c r="D223" s="90"/>
      <c r="E223" s="90" t="s">
        <v>401</v>
      </c>
      <c r="F223" s="91" t="s">
        <v>96</v>
      </c>
      <c r="G223" s="92">
        <v>1.07</v>
      </c>
      <c r="H223" s="34">
        <v>38.412999999999997</v>
      </c>
      <c r="I223" s="114" t="e">
        <f>H223-K223</f>
        <v>#REF!</v>
      </c>
      <c r="J223" s="108">
        <f ca="1">SUM(Таблица2[[#This Row],[1.n]:[12.n]])</f>
        <v>0</v>
      </c>
      <c r="K223" s="98" t="e">
        <f>#REF!</f>
        <v>#REF!</v>
      </c>
      <c r="L223" s="98" t="e">
        <f>#REF!</f>
        <v>#REF!</v>
      </c>
      <c r="M223" s="98" t="e">
        <f>#REF!</f>
        <v>#REF!</v>
      </c>
      <c r="N223" s="98" t="e">
        <f>#REF!</f>
        <v>#REF!</v>
      </c>
      <c r="O223" s="98" t="e">
        <f>#REF!</f>
        <v>#REF!</v>
      </c>
      <c r="P223" s="98" t="e">
        <f>#REF!</f>
        <v>#REF!</v>
      </c>
      <c r="Q223" s="98" t="e">
        <f>#REF!</f>
        <v>#REF!</v>
      </c>
      <c r="R223" s="98" t="e">
        <f>#REF!</f>
        <v>#REF!</v>
      </c>
      <c r="S223" s="98" t="e">
        <f>#REF!</f>
        <v>#REF!</v>
      </c>
      <c r="T223" s="98" t="e">
        <f>#REF!</f>
        <v>#REF!</v>
      </c>
      <c r="U223" s="98"/>
      <c r="V223" s="98"/>
      <c r="W22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3" s="98" t="str">
        <f t="shared" ca="1" si="28"/>
        <v>2.n</v>
      </c>
      <c r="Y223" s="98"/>
      <c r="Z223" s="98"/>
      <c r="AA223" s="98"/>
      <c r="AB223" s="98"/>
      <c r="AC223" s="98"/>
      <c r="AD223" s="98"/>
      <c r="AE223" s="98"/>
      <c r="AF223" s="98"/>
      <c r="AG223" s="98"/>
      <c r="AH223" s="98"/>
    </row>
    <row r="224" spans="1:34" ht="31.2" hidden="1" x14ac:dyDescent="0.3">
      <c r="A224" s="31" t="s">
        <v>452</v>
      </c>
      <c r="B224" s="22"/>
      <c r="C224" s="88" t="s">
        <v>382</v>
      </c>
      <c r="D224" s="90"/>
      <c r="E224" s="90" t="s">
        <v>220</v>
      </c>
      <c r="F224" s="91" t="s">
        <v>3</v>
      </c>
      <c r="G224" s="92">
        <v>1.2</v>
      </c>
      <c r="H224" s="34">
        <v>86.16</v>
      </c>
      <c r="I224" s="61"/>
      <c r="J224" s="101">
        <f ca="1">SUM(Таблица2[[#This Row],[1.n]:[12.n]])</f>
        <v>0</v>
      </c>
      <c r="K224" s="98" t="e">
        <f>#REF!</f>
        <v>#REF!</v>
      </c>
      <c r="L224" s="98" t="e">
        <f>#REF!</f>
        <v>#REF!</v>
      </c>
      <c r="M224" s="98" t="e">
        <f>#REF!</f>
        <v>#REF!</v>
      </c>
      <c r="N224" s="98" t="e">
        <f>#REF!</f>
        <v>#REF!</v>
      </c>
      <c r="O224" s="98" t="e">
        <f>#REF!</f>
        <v>#REF!</v>
      </c>
      <c r="P224" s="98" t="e">
        <f>#REF!</f>
        <v>#REF!</v>
      </c>
      <c r="Q224" s="98" t="e">
        <f>#REF!</f>
        <v>#REF!</v>
      </c>
      <c r="R224" s="98" t="e">
        <f>#REF!</f>
        <v>#REF!</v>
      </c>
      <c r="S224" s="98" t="e">
        <f>#REF!</f>
        <v>#REF!</v>
      </c>
      <c r="T224" s="98" t="e">
        <f>#REF!</f>
        <v>#REF!</v>
      </c>
      <c r="U224" s="98"/>
      <c r="V224" s="98"/>
      <c r="W22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4" s="98" t="str">
        <f t="shared" ca="1" si="28"/>
        <v>2.n</v>
      </c>
      <c r="Y224" s="98"/>
      <c r="Z224" s="98"/>
      <c r="AA224" s="98"/>
      <c r="AB224" s="98"/>
      <c r="AC224" s="98"/>
      <c r="AD224" s="98"/>
      <c r="AE224" s="98"/>
      <c r="AF224" s="98"/>
      <c r="AG224" s="98"/>
      <c r="AH224" s="98"/>
    </row>
    <row r="225" spans="1:34" hidden="1" x14ac:dyDescent="0.3">
      <c r="A225" s="31" t="s">
        <v>453</v>
      </c>
      <c r="B225" s="22"/>
      <c r="C225" s="89" t="s">
        <v>227</v>
      </c>
      <c r="D225" s="90"/>
      <c r="E225" s="90"/>
      <c r="F225" s="91" t="s">
        <v>3</v>
      </c>
      <c r="G225" s="92">
        <v>0.15</v>
      </c>
      <c r="H225" s="34">
        <v>5.3849999999999998</v>
      </c>
      <c r="I225" s="61"/>
      <c r="J225" s="101">
        <f ca="1">SUM(Таблица2[[#This Row],[1.n]:[12.n]])</f>
        <v>0</v>
      </c>
      <c r="K225" s="98" t="e">
        <f>#REF!</f>
        <v>#REF!</v>
      </c>
      <c r="L225" s="98" t="e">
        <f>#REF!</f>
        <v>#REF!</v>
      </c>
      <c r="M225" s="98" t="e">
        <f>#REF!</f>
        <v>#REF!</v>
      </c>
      <c r="N225" s="98" t="e">
        <f>#REF!</f>
        <v>#REF!</v>
      </c>
      <c r="O225" s="98" t="e">
        <f>#REF!</f>
        <v>#REF!</v>
      </c>
      <c r="P225" s="98" t="e">
        <f>#REF!</f>
        <v>#REF!</v>
      </c>
      <c r="Q225" s="98" t="e">
        <f>#REF!</f>
        <v>#REF!</v>
      </c>
      <c r="R225" s="98" t="e">
        <f>#REF!</f>
        <v>#REF!</v>
      </c>
      <c r="S225" s="98" t="e">
        <f>#REF!</f>
        <v>#REF!</v>
      </c>
      <c r="T225" s="98" t="e">
        <f>#REF!</f>
        <v>#REF!</v>
      </c>
      <c r="U225" s="98"/>
      <c r="V225" s="98"/>
      <c r="W22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5" s="98" t="str">
        <f t="shared" ca="1" si="28"/>
        <v>2.n</v>
      </c>
      <c r="Y225" s="98"/>
      <c r="Z225" s="98"/>
      <c r="AA225" s="98"/>
      <c r="AB225" s="98"/>
      <c r="AC225" s="98"/>
      <c r="AD225" s="98"/>
      <c r="AE225" s="98"/>
      <c r="AF225" s="98"/>
      <c r="AG225" s="98"/>
      <c r="AH225" s="98"/>
    </row>
    <row r="226" spans="1:34" hidden="1" x14ac:dyDescent="0.3">
      <c r="A226" s="31" t="s">
        <v>454</v>
      </c>
      <c r="B226" s="22"/>
      <c r="C226" s="89" t="s">
        <v>225</v>
      </c>
      <c r="D226" s="90"/>
      <c r="E226" s="90"/>
      <c r="F226" s="91" t="s">
        <v>3</v>
      </c>
      <c r="G226" s="92">
        <v>0.25</v>
      </c>
      <c r="H226" s="34">
        <v>8.9749999999999996</v>
      </c>
      <c r="I226" s="61"/>
      <c r="J226" s="101">
        <f ca="1">SUM(Таблица2[[#This Row],[1.n]:[12.n]])</f>
        <v>0</v>
      </c>
      <c r="K226" s="98" t="e">
        <f>#REF!</f>
        <v>#REF!</v>
      </c>
      <c r="L226" s="98" t="e">
        <f>#REF!</f>
        <v>#REF!</v>
      </c>
      <c r="M226" s="98" t="e">
        <f>#REF!</f>
        <v>#REF!</v>
      </c>
      <c r="N226" s="98" t="e">
        <f>#REF!</f>
        <v>#REF!</v>
      </c>
      <c r="O226" s="98" t="e">
        <f>#REF!</f>
        <v>#REF!</v>
      </c>
      <c r="P226" s="98" t="e">
        <f>#REF!</f>
        <v>#REF!</v>
      </c>
      <c r="Q226" s="98" t="e">
        <f>#REF!</f>
        <v>#REF!</v>
      </c>
      <c r="R226" s="98" t="e">
        <f>#REF!</f>
        <v>#REF!</v>
      </c>
      <c r="S226" s="98" t="e">
        <f>#REF!</f>
        <v>#REF!</v>
      </c>
      <c r="T226" s="98" t="e">
        <f>#REF!</f>
        <v>#REF!</v>
      </c>
      <c r="U226" s="98"/>
      <c r="V226" s="98"/>
      <c r="W22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6" s="98" t="str">
        <f t="shared" ca="1" si="28"/>
        <v>2.n</v>
      </c>
      <c r="Y226" s="98"/>
      <c r="Z226" s="98"/>
      <c r="AA226" s="98"/>
      <c r="AB226" s="98"/>
      <c r="AC226" s="98"/>
      <c r="AD226" s="98"/>
      <c r="AE226" s="98"/>
      <c r="AF226" s="98"/>
      <c r="AG226" s="98"/>
      <c r="AH226" s="98"/>
    </row>
    <row r="227" spans="1:34" ht="31.2" x14ac:dyDescent="0.3">
      <c r="A227" s="24" t="s">
        <v>455</v>
      </c>
      <c r="B227" s="15" t="s">
        <v>376</v>
      </c>
      <c r="C227" s="46" t="s">
        <v>377</v>
      </c>
      <c r="D227" s="47"/>
      <c r="E227" s="47" t="s">
        <v>456</v>
      </c>
      <c r="F227" s="47" t="s">
        <v>96</v>
      </c>
      <c r="G227" s="48">
        <v>1</v>
      </c>
      <c r="H227" s="33">
        <v>5.75</v>
      </c>
      <c r="I227" s="121">
        <f>H227-J227</f>
        <v>5.75</v>
      </c>
      <c r="J227" s="243">
        <f>SUM(Таблица2[[#This Row],[1.n]:[12.n]])</f>
        <v>0</v>
      </c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241"/>
      <c r="X227" s="241"/>
      <c r="Y227" s="241"/>
      <c r="Z227" s="241"/>
      <c r="AA227" s="241"/>
      <c r="AB227" s="241"/>
      <c r="AC227" s="241"/>
      <c r="AD227" s="241"/>
      <c r="AE227" s="241"/>
      <c r="AF227" s="241"/>
      <c r="AG227" s="241"/>
      <c r="AH227" s="241"/>
    </row>
    <row r="228" spans="1:34" hidden="1" x14ac:dyDescent="0.3">
      <c r="A228" s="31" t="s">
        <v>457</v>
      </c>
      <c r="B228" s="22"/>
      <c r="C228" s="89" t="s">
        <v>225</v>
      </c>
      <c r="D228" s="90"/>
      <c r="E228" s="90"/>
      <c r="F228" s="91" t="s">
        <v>3</v>
      </c>
      <c r="G228" s="92">
        <v>0.25</v>
      </c>
      <c r="H228" s="34">
        <v>1.4379999999999999</v>
      </c>
      <c r="I228" s="110"/>
      <c r="J228" s="101">
        <f ca="1">SUM(Таблица2[[#This Row],[1.n]:[12.n]])</f>
        <v>0</v>
      </c>
      <c r="K228" s="98" t="e">
        <f>#REF!</f>
        <v>#REF!</v>
      </c>
      <c r="L228" s="98" t="e">
        <f>#REF!</f>
        <v>#REF!</v>
      </c>
      <c r="M228" s="98" t="e">
        <f>#REF!</f>
        <v>#REF!</v>
      </c>
      <c r="N228" s="98" t="e">
        <f>#REF!</f>
        <v>#REF!</v>
      </c>
      <c r="O228" s="98" t="e">
        <f>#REF!</f>
        <v>#REF!</v>
      </c>
      <c r="P228" s="98" t="e">
        <f>#REF!</f>
        <v>#REF!</v>
      </c>
      <c r="Q228" s="98" t="e">
        <f>#REF!</f>
        <v>#REF!</v>
      </c>
      <c r="R228" s="98" t="e">
        <f>#REF!</f>
        <v>#REF!</v>
      </c>
      <c r="S228" s="98" t="e">
        <f>#REF!</f>
        <v>#REF!</v>
      </c>
      <c r="T228" s="98" t="e">
        <f>#REF!</f>
        <v>#REF!</v>
      </c>
      <c r="U228" s="98"/>
      <c r="V228" s="98"/>
      <c r="W22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8" s="98" t="str">
        <f t="shared" ca="1" si="28"/>
        <v>2.n</v>
      </c>
      <c r="Y228" s="98"/>
      <c r="Z228" s="98"/>
      <c r="AA228" s="98"/>
      <c r="AB228" s="98"/>
      <c r="AC228" s="98"/>
      <c r="AD228" s="98"/>
      <c r="AE228" s="98"/>
      <c r="AF228" s="98"/>
      <c r="AG228" s="98"/>
      <c r="AH228" s="98"/>
    </row>
    <row r="229" spans="1:34" hidden="1" x14ac:dyDescent="0.3">
      <c r="A229" s="31" t="s">
        <v>458</v>
      </c>
      <c r="B229" s="22"/>
      <c r="C229" s="89" t="s">
        <v>227</v>
      </c>
      <c r="D229" s="90"/>
      <c r="E229" s="90"/>
      <c r="F229" s="91" t="s">
        <v>3</v>
      </c>
      <c r="G229" s="92">
        <v>0.15</v>
      </c>
      <c r="H229" s="34">
        <v>0.86299999999999999</v>
      </c>
      <c r="I229" s="61"/>
      <c r="J229" s="101">
        <f ca="1">SUM(Таблица2[[#This Row],[1.n]:[12.n]])</f>
        <v>0</v>
      </c>
      <c r="K229" s="98" t="e">
        <f>#REF!</f>
        <v>#REF!</v>
      </c>
      <c r="L229" s="98" t="e">
        <f>#REF!</f>
        <v>#REF!</v>
      </c>
      <c r="M229" s="98" t="e">
        <f>#REF!</f>
        <v>#REF!</v>
      </c>
      <c r="N229" s="98" t="e">
        <f>#REF!</f>
        <v>#REF!</v>
      </c>
      <c r="O229" s="98" t="e">
        <f>#REF!</f>
        <v>#REF!</v>
      </c>
      <c r="P229" s="98" t="e">
        <f>#REF!</f>
        <v>#REF!</v>
      </c>
      <c r="Q229" s="98" t="e">
        <f>#REF!</f>
        <v>#REF!</v>
      </c>
      <c r="R229" s="98" t="e">
        <f>#REF!</f>
        <v>#REF!</v>
      </c>
      <c r="S229" s="98" t="e">
        <f>#REF!</f>
        <v>#REF!</v>
      </c>
      <c r="T229" s="98" t="e">
        <f>#REF!</f>
        <v>#REF!</v>
      </c>
      <c r="U229" s="98"/>
      <c r="V229" s="98"/>
      <c r="W22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29" s="98" t="str">
        <f t="shared" ca="1" si="28"/>
        <v>2.n</v>
      </c>
      <c r="Y229" s="98"/>
      <c r="Z229" s="98"/>
      <c r="AA229" s="98"/>
      <c r="AB229" s="98"/>
      <c r="AC229" s="98"/>
      <c r="AD229" s="98"/>
      <c r="AE229" s="98"/>
      <c r="AF229" s="98"/>
      <c r="AG229" s="98"/>
      <c r="AH229" s="98"/>
    </row>
    <row r="230" spans="1:34" ht="31.2" hidden="1" x14ac:dyDescent="0.3">
      <c r="A230" s="31" t="s">
        <v>459</v>
      </c>
      <c r="B230" s="22"/>
      <c r="C230" s="88" t="s">
        <v>382</v>
      </c>
      <c r="D230" s="90"/>
      <c r="E230" s="90" t="s">
        <v>220</v>
      </c>
      <c r="F230" s="91" t="s">
        <v>3</v>
      </c>
      <c r="G230" s="92">
        <v>1.2</v>
      </c>
      <c r="H230" s="34">
        <v>13.8</v>
      </c>
      <c r="I230" s="61"/>
      <c r="J230" s="101">
        <f ca="1">SUM(Таблица2[[#This Row],[1.n]:[12.n]])</f>
        <v>0</v>
      </c>
      <c r="K230" s="98" t="e">
        <f>#REF!</f>
        <v>#REF!</v>
      </c>
      <c r="L230" s="98" t="e">
        <f>#REF!</f>
        <v>#REF!</v>
      </c>
      <c r="M230" s="98" t="e">
        <f>#REF!</f>
        <v>#REF!</v>
      </c>
      <c r="N230" s="98" t="e">
        <f>#REF!</f>
        <v>#REF!</v>
      </c>
      <c r="O230" s="98" t="e">
        <f>#REF!</f>
        <v>#REF!</v>
      </c>
      <c r="P230" s="98" t="e">
        <f>#REF!</f>
        <v>#REF!</v>
      </c>
      <c r="Q230" s="98" t="e">
        <f>#REF!</f>
        <v>#REF!</v>
      </c>
      <c r="R230" s="98" t="e">
        <f>#REF!</f>
        <v>#REF!</v>
      </c>
      <c r="S230" s="98" t="e">
        <f>#REF!</f>
        <v>#REF!</v>
      </c>
      <c r="T230" s="98" t="e">
        <f>#REF!</f>
        <v>#REF!</v>
      </c>
      <c r="U230" s="98"/>
      <c r="V230" s="98"/>
      <c r="W23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0" s="98" t="str">
        <f t="shared" ca="1" si="28"/>
        <v>2.n</v>
      </c>
      <c r="Y230" s="98"/>
      <c r="Z230" s="98"/>
      <c r="AA230" s="98"/>
      <c r="AB230" s="98"/>
      <c r="AC230" s="98"/>
      <c r="AD230" s="98"/>
      <c r="AE230" s="98"/>
      <c r="AF230" s="98"/>
      <c r="AG230" s="98"/>
      <c r="AH230" s="98"/>
    </row>
    <row r="231" spans="1:34" ht="31.2" hidden="1" x14ac:dyDescent="0.3">
      <c r="A231" s="31" t="s">
        <v>460</v>
      </c>
      <c r="B231" s="22"/>
      <c r="C231" s="88" t="s">
        <v>405</v>
      </c>
      <c r="D231" s="90"/>
      <c r="E231" s="90" t="s">
        <v>461</v>
      </c>
      <c r="F231" s="91" t="s">
        <v>96</v>
      </c>
      <c r="G231" s="92">
        <v>1.07</v>
      </c>
      <c r="H231" s="34">
        <v>6.1529999999999996</v>
      </c>
      <c r="I231" s="84" t="e">
        <f>H231-K231</f>
        <v>#REF!</v>
      </c>
      <c r="J231" s="108">
        <f ca="1">SUM(Таблица2[[#This Row],[1.n]:[12.n]])</f>
        <v>0</v>
      </c>
      <c r="K231" s="98" t="e">
        <f>#REF!</f>
        <v>#REF!</v>
      </c>
      <c r="L231" s="98" t="e">
        <f>#REF!</f>
        <v>#REF!</v>
      </c>
      <c r="M231" s="98" t="e">
        <f>#REF!</f>
        <v>#REF!</v>
      </c>
      <c r="N231" s="98" t="e">
        <f>#REF!</f>
        <v>#REF!</v>
      </c>
      <c r="O231" s="98" t="e">
        <f>#REF!</f>
        <v>#REF!</v>
      </c>
      <c r="P231" s="98" t="e">
        <f>#REF!</f>
        <v>#REF!</v>
      </c>
      <c r="Q231" s="98" t="e">
        <f>#REF!</f>
        <v>#REF!</v>
      </c>
      <c r="R231" s="98" t="e">
        <f>#REF!</f>
        <v>#REF!</v>
      </c>
      <c r="S231" s="98" t="e">
        <f>#REF!</f>
        <v>#REF!</v>
      </c>
      <c r="T231" s="98" t="e">
        <f>#REF!</f>
        <v>#REF!</v>
      </c>
      <c r="U231" s="98"/>
      <c r="V231" s="98"/>
      <c r="W23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1" s="98" t="str">
        <f t="shared" ca="1" si="28"/>
        <v>2.n</v>
      </c>
      <c r="Y231" s="98"/>
      <c r="Z231" s="98"/>
      <c r="AA231" s="98"/>
      <c r="AB231" s="98"/>
      <c r="AC231" s="98"/>
      <c r="AD231" s="98"/>
      <c r="AE231" s="98"/>
      <c r="AF231" s="98"/>
      <c r="AG231" s="98"/>
      <c r="AH231" s="98"/>
    </row>
    <row r="232" spans="1:34" ht="31.2" x14ac:dyDescent="0.3">
      <c r="A232" s="27" t="s">
        <v>462</v>
      </c>
      <c r="B232" s="18" t="s">
        <v>376</v>
      </c>
      <c r="C232" s="65" t="s">
        <v>377</v>
      </c>
      <c r="D232" s="14"/>
      <c r="E232" s="14" t="s">
        <v>463</v>
      </c>
      <c r="F232" s="14" t="s">
        <v>96</v>
      </c>
      <c r="G232" s="66">
        <v>1</v>
      </c>
      <c r="H232" s="33">
        <v>8.15</v>
      </c>
      <c r="I232" s="121">
        <f>H232-J232</f>
        <v>8.15</v>
      </c>
      <c r="J232" s="243">
        <f>SUM(Таблица2[[#This Row],[1.n]:[12.n]])</f>
        <v>0</v>
      </c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241"/>
      <c r="X232" s="241"/>
      <c r="Y232" s="241"/>
      <c r="Z232" s="241"/>
      <c r="AA232" s="241"/>
      <c r="AB232" s="241"/>
      <c r="AC232" s="241"/>
      <c r="AD232" s="241"/>
      <c r="AE232" s="241"/>
      <c r="AF232" s="241"/>
      <c r="AG232" s="241"/>
      <c r="AH232" s="241"/>
    </row>
    <row r="233" spans="1:34" ht="31.2" hidden="1" x14ac:dyDescent="0.3">
      <c r="A233" s="31" t="s">
        <v>464</v>
      </c>
      <c r="B233" s="22"/>
      <c r="C233" s="93" t="s">
        <v>400</v>
      </c>
      <c r="D233" s="90"/>
      <c r="E233" s="90" t="s">
        <v>415</v>
      </c>
      <c r="F233" s="91" t="s">
        <v>96</v>
      </c>
      <c r="G233" s="92">
        <v>1.07</v>
      </c>
      <c r="H233" s="34">
        <v>8.7210000000000001</v>
      </c>
      <c r="I233" s="110"/>
      <c r="J233" s="101">
        <f ca="1">SUM(Таблица2[[#This Row],[1.n]:[12.n]])</f>
        <v>0</v>
      </c>
      <c r="K233" s="98" t="e">
        <f>#REF!</f>
        <v>#REF!</v>
      </c>
      <c r="L233" s="98" t="e">
        <f>#REF!</f>
        <v>#REF!</v>
      </c>
      <c r="M233" s="98" t="e">
        <f>#REF!</f>
        <v>#REF!</v>
      </c>
      <c r="N233" s="98" t="e">
        <f>#REF!</f>
        <v>#REF!</v>
      </c>
      <c r="O233" s="98" t="e">
        <f>#REF!</f>
        <v>#REF!</v>
      </c>
      <c r="P233" s="98" t="e">
        <f>#REF!</f>
        <v>#REF!</v>
      </c>
      <c r="Q233" s="98" t="e">
        <f>#REF!</f>
        <v>#REF!</v>
      </c>
      <c r="R233" s="98" t="e">
        <f>#REF!</f>
        <v>#REF!</v>
      </c>
      <c r="S233" s="98" t="e">
        <f>#REF!</f>
        <v>#REF!</v>
      </c>
      <c r="T233" s="98" t="e">
        <f>#REF!</f>
        <v>#REF!</v>
      </c>
      <c r="U233" s="98"/>
      <c r="V233" s="98"/>
      <c r="W23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3" s="98" t="str">
        <f t="shared" ca="1" si="28"/>
        <v>2.n</v>
      </c>
      <c r="Y233" s="98"/>
      <c r="Z233" s="98"/>
      <c r="AA233" s="98"/>
      <c r="AB233" s="98"/>
      <c r="AC233" s="98"/>
      <c r="AD233" s="98"/>
      <c r="AE233" s="98"/>
      <c r="AF233" s="98"/>
      <c r="AG233" s="98"/>
      <c r="AH233" s="98"/>
    </row>
    <row r="234" spans="1:34" ht="31.2" hidden="1" x14ac:dyDescent="0.3">
      <c r="A234" s="31" t="s">
        <v>465</v>
      </c>
      <c r="B234" s="22"/>
      <c r="C234" s="93" t="s">
        <v>382</v>
      </c>
      <c r="D234" s="90"/>
      <c r="E234" s="90" t="s">
        <v>220</v>
      </c>
      <c r="F234" s="91" t="s">
        <v>3</v>
      </c>
      <c r="G234" s="92">
        <v>1.2</v>
      </c>
      <c r="H234" s="34">
        <v>19.559999999999999</v>
      </c>
      <c r="I234" s="61"/>
      <c r="J234" s="101">
        <f ca="1">SUM(Таблица2[[#This Row],[1.n]:[12.n]])</f>
        <v>0</v>
      </c>
      <c r="K234" s="98" t="e">
        <f>#REF!</f>
        <v>#REF!</v>
      </c>
      <c r="L234" s="98" t="e">
        <f>#REF!</f>
        <v>#REF!</v>
      </c>
      <c r="M234" s="98" t="e">
        <f>#REF!</f>
        <v>#REF!</v>
      </c>
      <c r="N234" s="98" t="e">
        <f>#REF!</f>
        <v>#REF!</v>
      </c>
      <c r="O234" s="98" t="e">
        <f>#REF!</f>
        <v>#REF!</v>
      </c>
      <c r="P234" s="98" t="e">
        <f>#REF!</f>
        <v>#REF!</v>
      </c>
      <c r="Q234" s="98" t="e">
        <f>#REF!</f>
        <v>#REF!</v>
      </c>
      <c r="R234" s="98" t="e">
        <f>#REF!</f>
        <v>#REF!</v>
      </c>
      <c r="S234" s="98" t="e">
        <f>#REF!</f>
        <v>#REF!</v>
      </c>
      <c r="T234" s="98" t="e">
        <f>#REF!</f>
        <v>#REF!</v>
      </c>
      <c r="U234" s="98"/>
      <c r="V234" s="98"/>
      <c r="W23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4" s="98" t="str">
        <f t="shared" ca="1" si="28"/>
        <v>2.n</v>
      </c>
      <c r="Y234" s="98"/>
      <c r="Z234" s="98"/>
      <c r="AA234" s="98"/>
      <c r="AB234" s="98"/>
      <c r="AC234" s="98"/>
      <c r="AD234" s="98"/>
      <c r="AE234" s="98"/>
      <c r="AF234" s="98"/>
      <c r="AG234" s="98"/>
      <c r="AH234" s="98"/>
    </row>
    <row r="235" spans="1:34" hidden="1" x14ac:dyDescent="0.3">
      <c r="A235" s="31" t="s">
        <v>466</v>
      </c>
      <c r="B235" s="22"/>
      <c r="C235" s="94" t="s">
        <v>227</v>
      </c>
      <c r="D235" s="90"/>
      <c r="E235" s="90"/>
      <c r="F235" s="91" t="s">
        <v>3</v>
      </c>
      <c r="G235" s="92">
        <v>0.15</v>
      </c>
      <c r="H235" s="34">
        <v>1.2230000000000001</v>
      </c>
      <c r="I235" s="76"/>
      <c r="J235" s="119">
        <f ca="1">SUM(Таблица2[[#This Row],[1.n]:[12.n]])</f>
        <v>0</v>
      </c>
      <c r="K235" s="98" t="e">
        <f>#REF!</f>
        <v>#REF!</v>
      </c>
      <c r="L235" s="98" t="e">
        <f>#REF!</f>
        <v>#REF!</v>
      </c>
      <c r="M235" s="98" t="e">
        <f>#REF!</f>
        <v>#REF!</v>
      </c>
      <c r="N235" s="98" t="e">
        <f>#REF!</f>
        <v>#REF!</v>
      </c>
      <c r="O235" s="98" t="e">
        <f>#REF!</f>
        <v>#REF!</v>
      </c>
      <c r="P235" s="98" t="e">
        <f>#REF!</f>
        <v>#REF!</v>
      </c>
      <c r="Q235" s="98" t="e">
        <f>#REF!</f>
        <v>#REF!</v>
      </c>
      <c r="R235" s="98" t="e">
        <f>#REF!</f>
        <v>#REF!</v>
      </c>
      <c r="S235" s="98" t="e">
        <f>#REF!</f>
        <v>#REF!</v>
      </c>
      <c r="T235" s="98" t="e">
        <f>#REF!</f>
        <v>#REF!</v>
      </c>
      <c r="U235" s="98"/>
      <c r="V235" s="98"/>
      <c r="W23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5" s="98" t="str">
        <f t="shared" ca="1" si="28"/>
        <v>2.n</v>
      </c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</row>
    <row r="236" spans="1:34" hidden="1" x14ac:dyDescent="0.3">
      <c r="A236" s="31" t="s">
        <v>467</v>
      </c>
      <c r="B236" s="22"/>
      <c r="C236" s="94" t="s">
        <v>225</v>
      </c>
      <c r="D236" s="90"/>
      <c r="E236" s="90"/>
      <c r="F236" s="91" t="s">
        <v>3</v>
      </c>
      <c r="G236" s="92">
        <v>0.25</v>
      </c>
      <c r="H236" s="34">
        <v>2.0379999999999998</v>
      </c>
      <c r="I236" s="67"/>
      <c r="J236" s="102">
        <f ca="1">SUM(Таблица2[[#This Row],[1.n]:[12.n]])</f>
        <v>0</v>
      </c>
      <c r="K236" s="98" t="e">
        <f>#REF!</f>
        <v>#REF!</v>
      </c>
      <c r="L236" s="98" t="e">
        <f>#REF!</f>
        <v>#REF!</v>
      </c>
      <c r="M236" s="98" t="e">
        <f>#REF!</f>
        <v>#REF!</v>
      </c>
      <c r="N236" s="98" t="e">
        <f>#REF!</f>
        <v>#REF!</v>
      </c>
      <c r="O236" s="98" t="e">
        <f>#REF!</f>
        <v>#REF!</v>
      </c>
      <c r="P236" s="98" t="e">
        <f>#REF!</f>
        <v>#REF!</v>
      </c>
      <c r="Q236" s="98" t="e">
        <f>#REF!</f>
        <v>#REF!</v>
      </c>
      <c r="R236" s="98" t="e">
        <f>#REF!</f>
        <v>#REF!</v>
      </c>
      <c r="S236" s="98" t="e">
        <f>#REF!</f>
        <v>#REF!</v>
      </c>
      <c r="T236" s="98" t="e">
        <f>#REF!</f>
        <v>#REF!</v>
      </c>
      <c r="U236" s="98"/>
      <c r="V236" s="98"/>
      <c r="W23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6" s="98" t="str">
        <f t="shared" ca="1" si="28"/>
        <v>2.n</v>
      </c>
      <c r="Y236" s="98"/>
      <c r="Z236" s="98"/>
      <c r="AA236" s="98"/>
      <c r="AB236" s="98"/>
      <c r="AC236" s="98"/>
      <c r="AD236" s="98"/>
      <c r="AE236" s="98"/>
      <c r="AF236" s="98"/>
      <c r="AG236" s="98"/>
      <c r="AH236" s="98"/>
    </row>
    <row r="237" spans="1:34" ht="31.2" x14ac:dyDescent="0.3">
      <c r="A237" s="24" t="s">
        <v>468</v>
      </c>
      <c r="B237" s="15" t="s">
        <v>376</v>
      </c>
      <c r="C237" s="46" t="s">
        <v>377</v>
      </c>
      <c r="D237" s="47"/>
      <c r="E237" s="47" t="s">
        <v>469</v>
      </c>
      <c r="F237" s="47" t="s">
        <v>96</v>
      </c>
      <c r="G237" s="48">
        <v>1</v>
      </c>
      <c r="H237" s="33">
        <v>127.34</v>
      </c>
      <c r="I237" s="121">
        <f>H237-J237</f>
        <v>127.34</v>
      </c>
      <c r="J237" s="243">
        <f>SUM(Таблица2[[#This Row],[1.n]:[12.n]])</f>
        <v>0</v>
      </c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241"/>
      <c r="X237" s="241"/>
      <c r="Y237" s="241"/>
      <c r="Z237" s="241"/>
      <c r="AA237" s="241"/>
      <c r="AB237" s="241"/>
      <c r="AC237" s="241"/>
      <c r="AD237" s="241"/>
      <c r="AE237" s="241"/>
      <c r="AF237" s="241"/>
      <c r="AG237" s="241"/>
      <c r="AH237" s="241"/>
    </row>
    <row r="238" spans="1:34" hidden="1" x14ac:dyDescent="0.3">
      <c r="A238" s="31" t="s">
        <v>470</v>
      </c>
      <c r="B238" s="22"/>
      <c r="C238" s="94" t="s">
        <v>225</v>
      </c>
      <c r="D238" s="90"/>
      <c r="E238" s="90"/>
      <c r="F238" s="91" t="s">
        <v>3</v>
      </c>
      <c r="G238" s="92">
        <v>0.25</v>
      </c>
      <c r="H238" s="34">
        <v>31.835000000000001</v>
      </c>
      <c r="I238" s="110"/>
      <c r="J238" s="101">
        <f ca="1">SUM(Таблица2[[#This Row],[1.n]:[12.n]])</f>
        <v>0</v>
      </c>
      <c r="K238" s="98" t="e">
        <f>#REF!</f>
        <v>#REF!</v>
      </c>
      <c r="L238" s="98" t="e">
        <f>#REF!</f>
        <v>#REF!</v>
      </c>
      <c r="M238" s="98" t="e">
        <f>#REF!</f>
        <v>#REF!</v>
      </c>
      <c r="N238" s="98" t="e">
        <f>#REF!</f>
        <v>#REF!</v>
      </c>
      <c r="O238" s="98" t="e">
        <f>#REF!</f>
        <v>#REF!</v>
      </c>
      <c r="P238" s="98" t="e">
        <f>#REF!</f>
        <v>#REF!</v>
      </c>
      <c r="Q238" s="98" t="e">
        <f>#REF!</f>
        <v>#REF!</v>
      </c>
      <c r="R238" s="98" t="e">
        <f>#REF!</f>
        <v>#REF!</v>
      </c>
      <c r="S238" s="98" t="e">
        <f>#REF!</f>
        <v>#REF!</v>
      </c>
      <c r="T238" s="98" t="e">
        <f>#REF!</f>
        <v>#REF!</v>
      </c>
      <c r="U238" s="98"/>
      <c r="V238" s="98"/>
      <c r="W238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8" s="98" t="str">
        <f t="shared" ca="1" si="28"/>
        <v>2.n</v>
      </c>
      <c r="Y238" s="98"/>
      <c r="Z238" s="98"/>
      <c r="AA238" s="98"/>
      <c r="AB238" s="98"/>
      <c r="AC238" s="98"/>
      <c r="AD238" s="98"/>
      <c r="AE238" s="98"/>
      <c r="AF238" s="98"/>
      <c r="AG238" s="98"/>
      <c r="AH238" s="98"/>
    </row>
    <row r="239" spans="1:34" hidden="1" x14ac:dyDescent="0.3">
      <c r="A239" s="31" t="s">
        <v>471</v>
      </c>
      <c r="B239" s="22"/>
      <c r="C239" s="94" t="s">
        <v>227</v>
      </c>
      <c r="D239" s="90"/>
      <c r="E239" s="90"/>
      <c r="F239" s="91" t="s">
        <v>3</v>
      </c>
      <c r="G239" s="92">
        <v>0.15</v>
      </c>
      <c r="H239" s="34">
        <v>19.100999999999999</v>
      </c>
      <c r="I239" s="61"/>
      <c r="J239" s="101">
        <f ca="1">SUM(Таблица2[[#This Row],[1.n]:[12.n]])</f>
        <v>0</v>
      </c>
      <c r="K239" s="98" t="e">
        <f>#REF!</f>
        <v>#REF!</v>
      </c>
      <c r="L239" s="98" t="e">
        <f>#REF!</f>
        <v>#REF!</v>
      </c>
      <c r="M239" s="98" t="e">
        <f>#REF!</f>
        <v>#REF!</v>
      </c>
      <c r="N239" s="98" t="e">
        <f>#REF!</f>
        <v>#REF!</v>
      </c>
      <c r="O239" s="98" t="e">
        <f>#REF!</f>
        <v>#REF!</v>
      </c>
      <c r="P239" s="98" t="e">
        <f>#REF!</f>
        <v>#REF!</v>
      </c>
      <c r="Q239" s="98" t="e">
        <f>#REF!</f>
        <v>#REF!</v>
      </c>
      <c r="R239" s="98" t="e">
        <f>#REF!</f>
        <v>#REF!</v>
      </c>
      <c r="S239" s="98" t="e">
        <f>#REF!</f>
        <v>#REF!</v>
      </c>
      <c r="T239" s="98" t="e">
        <f>#REF!</f>
        <v>#REF!</v>
      </c>
      <c r="U239" s="98"/>
      <c r="V239" s="98"/>
      <c r="W23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39" s="98" t="str">
        <f t="shared" ca="1" si="28"/>
        <v>2.n</v>
      </c>
      <c r="Y239" s="98"/>
      <c r="Z239" s="98"/>
      <c r="AA239" s="98"/>
      <c r="AB239" s="98"/>
      <c r="AC239" s="98"/>
      <c r="AD239" s="98"/>
      <c r="AE239" s="98"/>
      <c r="AF239" s="98"/>
      <c r="AG239" s="98"/>
      <c r="AH239" s="98"/>
    </row>
    <row r="240" spans="1:34" ht="31.2" hidden="1" x14ac:dyDescent="0.3">
      <c r="A240" s="31" t="s">
        <v>472</v>
      </c>
      <c r="B240" s="22"/>
      <c r="C240" s="93" t="s">
        <v>382</v>
      </c>
      <c r="D240" s="90"/>
      <c r="E240" s="90" t="s">
        <v>220</v>
      </c>
      <c r="F240" s="91" t="s">
        <v>3</v>
      </c>
      <c r="G240" s="92">
        <v>1.2</v>
      </c>
      <c r="H240" s="34">
        <v>305.61599999999999</v>
      </c>
      <c r="I240" s="61"/>
      <c r="J240" s="101">
        <f ca="1">SUM(Таблица2[[#This Row],[1.n]:[12.n]])</f>
        <v>0</v>
      </c>
      <c r="K240" s="98" t="e">
        <f>#REF!</f>
        <v>#REF!</v>
      </c>
      <c r="L240" s="98" t="e">
        <f>#REF!</f>
        <v>#REF!</v>
      </c>
      <c r="M240" s="98" t="e">
        <f>#REF!</f>
        <v>#REF!</v>
      </c>
      <c r="N240" s="98" t="e">
        <f>#REF!</f>
        <v>#REF!</v>
      </c>
      <c r="O240" s="98" t="e">
        <f>#REF!</f>
        <v>#REF!</v>
      </c>
      <c r="P240" s="98" t="e">
        <f>#REF!</f>
        <v>#REF!</v>
      </c>
      <c r="Q240" s="98" t="e">
        <f>#REF!</f>
        <v>#REF!</v>
      </c>
      <c r="R240" s="98" t="e">
        <f>#REF!</f>
        <v>#REF!</v>
      </c>
      <c r="S240" s="98" t="e">
        <f>#REF!</f>
        <v>#REF!</v>
      </c>
      <c r="T240" s="98" t="e">
        <f>#REF!</f>
        <v>#REF!</v>
      </c>
      <c r="U240" s="98"/>
      <c r="V240" s="98"/>
      <c r="W24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0" s="98" t="str">
        <f t="shared" ca="1" si="28"/>
        <v>2.n</v>
      </c>
      <c r="Y240" s="98"/>
      <c r="Z240" s="98"/>
      <c r="AA240" s="98"/>
      <c r="AB240" s="98"/>
      <c r="AC240" s="98"/>
      <c r="AD240" s="98"/>
      <c r="AE240" s="98"/>
      <c r="AF240" s="98"/>
      <c r="AG240" s="98"/>
      <c r="AH240" s="98"/>
    </row>
    <row r="241" spans="1:34" ht="31.2" hidden="1" x14ac:dyDescent="0.3">
      <c r="A241" s="31" t="s">
        <v>473</v>
      </c>
      <c r="B241" s="22"/>
      <c r="C241" s="93" t="s">
        <v>389</v>
      </c>
      <c r="D241" s="90"/>
      <c r="E241" s="90" t="s">
        <v>474</v>
      </c>
      <c r="F241" s="91" t="s">
        <v>96</v>
      </c>
      <c r="G241" s="92">
        <v>1.07</v>
      </c>
      <c r="H241" s="34">
        <v>136.25399999999999</v>
      </c>
      <c r="I241" s="61"/>
      <c r="J241" s="101">
        <f ca="1">SUM(Таблица2[[#This Row],[1.n]:[12.n]])</f>
        <v>0</v>
      </c>
      <c r="K241" s="98" t="e">
        <f>#REF!</f>
        <v>#REF!</v>
      </c>
      <c r="L241" s="98" t="e">
        <f>#REF!</f>
        <v>#REF!</v>
      </c>
      <c r="M241" s="98" t="e">
        <f>#REF!</f>
        <v>#REF!</v>
      </c>
      <c r="N241" s="98" t="e">
        <f>#REF!</f>
        <v>#REF!</v>
      </c>
      <c r="O241" s="98" t="e">
        <f>#REF!</f>
        <v>#REF!</v>
      </c>
      <c r="P241" s="98" t="e">
        <f>#REF!</f>
        <v>#REF!</v>
      </c>
      <c r="Q241" s="98" t="e">
        <f>#REF!</f>
        <v>#REF!</v>
      </c>
      <c r="R241" s="98" t="e">
        <f>#REF!</f>
        <v>#REF!</v>
      </c>
      <c r="S241" s="98" t="e">
        <f>#REF!</f>
        <v>#REF!</v>
      </c>
      <c r="T241" s="98" t="e">
        <f>#REF!</f>
        <v>#REF!</v>
      </c>
      <c r="U241" s="98"/>
      <c r="V241" s="98"/>
      <c r="W24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1" s="98" t="str">
        <f t="shared" ca="1" si="28"/>
        <v>2.n</v>
      </c>
      <c r="Y241" s="98"/>
      <c r="Z241" s="98"/>
      <c r="AA241" s="98"/>
      <c r="AB241" s="98"/>
      <c r="AC241" s="98"/>
      <c r="AD241" s="98"/>
      <c r="AE241" s="98"/>
      <c r="AF241" s="98"/>
      <c r="AG241" s="98"/>
      <c r="AH241" s="98"/>
    </row>
    <row r="242" spans="1:34" ht="31.2" x14ac:dyDescent="0.3">
      <c r="A242" s="27" t="s">
        <v>475</v>
      </c>
      <c r="B242" s="18" t="s">
        <v>376</v>
      </c>
      <c r="C242" s="65" t="s">
        <v>377</v>
      </c>
      <c r="D242" s="14"/>
      <c r="E242" s="14" t="s">
        <v>476</v>
      </c>
      <c r="F242" s="14" t="s">
        <v>96</v>
      </c>
      <c r="G242" s="66">
        <v>1</v>
      </c>
      <c r="H242" s="33">
        <v>351.08</v>
      </c>
      <c r="I242" s="121">
        <f>H242-J242</f>
        <v>351.08</v>
      </c>
      <c r="J242" s="243">
        <f>SUM(Таблица2[[#This Row],[1.n]:[12.n]])</f>
        <v>0</v>
      </c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241"/>
      <c r="X242" s="241"/>
      <c r="Y242" s="241"/>
      <c r="Z242" s="241"/>
      <c r="AA242" s="241"/>
      <c r="AB242" s="241"/>
      <c r="AC242" s="241"/>
      <c r="AD242" s="241"/>
      <c r="AE242" s="241"/>
      <c r="AF242" s="241"/>
      <c r="AG242" s="241"/>
      <c r="AH242" s="241"/>
    </row>
    <row r="243" spans="1:34" ht="31.2" hidden="1" x14ac:dyDescent="0.3">
      <c r="A243" s="31" t="s">
        <v>477</v>
      </c>
      <c r="B243" s="22"/>
      <c r="C243" s="93" t="s">
        <v>389</v>
      </c>
      <c r="D243" s="90"/>
      <c r="E243" s="90" t="s">
        <v>433</v>
      </c>
      <c r="F243" s="91" t="s">
        <v>96</v>
      </c>
      <c r="G243" s="92">
        <v>1.07</v>
      </c>
      <c r="H243" s="34">
        <v>375.65600000000001</v>
      </c>
      <c r="I243" s="110"/>
      <c r="J243" s="101">
        <f ca="1">SUM(Таблица2[[#This Row],[1.n]:[12.n]])</f>
        <v>0</v>
      </c>
      <c r="K243" s="98" t="e">
        <f>#REF!</f>
        <v>#REF!</v>
      </c>
      <c r="L243" s="98" t="e">
        <f>#REF!</f>
        <v>#REF!</v>
      </c>
      <c r="M243" s="98" t="e">
        <f>#REF!</f>
        <v>#REF!</v>
      </c>
      <c r="N243" s="98" t="e">
        <f>#REF!</f>
        <v>#REF!</v>
      </c>
      <c r="O243" s="98" t="e">
        <f>#REF!</f>
        <v>#REF!</v>
      </c>
      <c r="P243" s="98" t="e">
        <f>#REF!</f>
        <v>#REF!</v>
      </c>
      <c r="Q243" s="98" t="e">
        <f>#REF!</f>
        <v>#REF!</v>
      </c>
      <c r="R243" s="98" t="e">
        <f>#REF!</f>
        <v>#REF!</v>
      </c>
      <c r="S243" s="98" t="e">
        <f>#REF!</f>
        <v>#REF!</v>
      </c>
      <c r="T243" s="98" t="e">
        <f>#REF!</f>
        <v>#REF!</v>
      </c>
      <c r="U243" s="98"/>
      <c r="V243" s="98"/>
      <c r="W243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3" s="98" t="str">
        <f t="shared" ca="1" si="28"/>
        <v>2.n</v>
      </c>
      <c r="Y243" s="98"/>
      <c r="Z243" s="98"/>
      <c r="AA243" s="98"/>
      <c r="AB243" s="98"/>
      <c r="AC243" s="98"/>
      <c r="AD243" s="98"/>
      <c r="AE243" s="98"/>
      <c r="AF243" s="98"/>
      <c r="AG243" s="98"/>
      <c r="AH243" s="98"/>
    </row>
    <row r="244" spans="1:34" ht="31.2" hidden="1" x14ac:dyDescent="0.3">
      <c r="A244" s="31" t="s">
        <v>478</v>
      </c>
      <c r="B244" s="22"/>
      <c r="C244" s="93" t="s">
        <v>430</v>
      </c>
      <c r="D244" s="90"/>
      <c r="E244" s="90" t="s">
        <v>428</v>
      </c>
      <c r="F244" s="91" t="s">
        <v>4</v>
      </c>
      <c r="G244" s="92">
        <v>0.23</v>
      </c>
      <c r="H244" s="34">
        <v>17.728000000000002</v>
      </c>
      <c r="I244" s="61"/>
      <c r="J244" s="101">
        <f ca="1">SUM(Таблица2[[#This Row],[1.n]:[12.n]])</f>
        <v>0</v>
      </c>
      <c r="K244" s="98" t="e">
        <f>#REF!</f>
        <v>#REF!</v>
      </c>
      <c r="L244" s="98" t="e">
        <f>#REF!</f>
        <v>#REF!</v>
      </c>
      <c r="M244" s="98" t="e">
        <f>#REF!</f>
        <v>#REF!</v>
      </c>
      <c r="N244" s="98" t="e">
        <f>#REF!</f>
        <v>#REF!</v>
      </c>
      <c r="O244" s="98" t="e">
        <f>#REF!</f>
        <v>#REF!</v>
      </c>
      <c r="P244" s="98" t="e">
        <f>#REF!</f>
        <v>#REF!</v>
      </c>
      <c r="Q244" s="98" t="e">
        <f>#REF!</f>
        <v>#REF!</v>
      </c>
      <c r="R244" s="98" t="e">
        <f>#REF!</f>
        <v>#REF!</v>
      </c>
      <c r="S244" s="98" t="e">
        <f>#REF!</f>
        <v>#REF!</v>
      </c>
      <c r="T244" s="98" t="e">
        <f>#REF!</f>
        <v>#REF!</v>
      </c>
      <c r="U244" s="98"/>
      <c r="V244" s="98"/>
      <c r="W244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4" s="98" t="str">
        <f t="shared" ca="1" si="28"/>
        <v>2.n</v>
      </c>
      <c r="Y244" s="98"/>
      <c r="Z244" s="98"/>
      <c r="AA244" s="98"/>
      <c r="AB244" s="98"/>
      <c r="AC244" s="98"/>
      <c r="AD244" s="98"/>
      <c r="AE244" s="98"/>
      <c r="AF244" s="98"/>
      <c r="AG244" s="98"/>
      <c r="AH244" s="98"/>
    </row>
    <row r="245" spans="1:34" ht="31.2" hidden="1" x14ac:dyDescent="0.3">
      <c r="A245" s="31" t="s">
        <v>479</v>
      </c>
      <c r="B245" s="22"/>
      <c r="C245" s="93" t="s">
        <v>382</v>
      </c>
      <c r="D245" s="90"/>
      <c r="E245" s="90" t="s">
        <v>220</v>
      </c>
      <c r="F245" s="91" t="s">
        <v>3</v>
      </c>
      <c r="G245" s="92">
        <v>1.2</v>
      </c>
      <c r="H245" s="34">
        <v>842.59199999999998</v>
      </c>
      <c r="I245" s="61"/>
      <c r="J245" s="101">
        <f ca="1">SUM(Таблица2[[#This Row],[1.n]:[12.n]])</f>
        <v>0</v>
      </c>
      <c r="K245" s="98" t="e">
        <f>#REF!</f>
        <v>#REF!</v>
      </c>
      <c r="L245" s="98" t="e">
        <f>#REF!</f>
        <v>#REF!</v>
      </c>
      <c r="M245" s="98" t="e">
        <f>#REF!</f>
        <v>#REF!</v>
      </c>
      <c r="N245" s="98" t="e">
        <f>#REF!</f>
        <v>#REF!</v>
      </c>
      <c r="O245" s="98" t="e">
        <f>#REF!</f>
        <v>#REF!</v>
      </c>
      <c r="P245" s="98" t="e">
        <f>#REF!</f>
        <v>#REF!</v>
      </c>
      <c r="Q245" s="98" t="e">
        <f>#REF!</f>
        <v>#REF!</v>
      </c>
      <c r="R245" s="98" t="e">
        <f>#REF!</f>
        <v>#REF!</v>
      </c>
      <c r="S245" s="98" t="e">
        <f>#REF!</f>
        <v>#REF!</v>
      </c>
      <c r="T245" s="98" t="e">
        <f>#REF!</f>
        <v>#REF!</v>
      </c>
      <c r="U245" s="98"/>
      <c r="V245" s="98"/>
      <c r="W245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5" s="98" t="str">
        <f t="shared" ca="1" si="28"/>
        <v>2.n</v>
      </c>
      <c r="Y245" s="98"/>
      <c r="Z245" s="98"/>
      <c r="AA245" s="98"/>
      <c r="AB245" s="98"/>
      <c r="AC245" s="98"/>
      <c r="AD245" s="98"/>
      <c r="AE245" s="98"/>
      <c r="AF245" s="98"/>
      <c r="AG245" s="98"/>
      <c r="AH245" s="98"/>
    </row>
    <row r="246" spans="1:34" hidden="1" x14ac:dyDescent="0.3">
      <c r="A246" s="31" t="s">
        <v>480</v>
      </c>
      <c r="B246" s="22"/>
      <c r="C246" s="94" t="s">
        <v>227</v>
      </c>
      <c r="D246" s="90"/>
      <c r="E246" s="90"/>
      <c r="F246" s="91" t="s">
        <v>3</v>
      </c>
      <c r="G246" s="92">
        <v>0.15</v>
      </c>
      <c r="H246" s="34">
        <v>52.661999999999999</v>
      </c>
      <c r="I246" s="61"/>
      <c r="J246" s="101">
        <f ca="1">SUM(Таблица2[[#This Row],[1.n]:[12.n]])</f>
        <v>0</v>
      </c>
      <c r="K246" s="98" t="e">
        <f>#REF!</f>
        <v>#REF!</v>
      </c>
      <c r="L246" s="98" t="e">
        <f>#REF!</f>
        <v>#REF!</v>
      </c>
      <c r="M246" s="98" t="e">
        <f>#REF!</f>
        <v>#REF!</v>
      </c>
      <c r="N246" s="98" t="e">
        <f>#REF!</f>
        <v>#REF!</v>
      </c>
      <c r="O246" s="98" t="e">
        <f>#REF!</f>
        <v>#REF!</v>
      </c>
      <c r="P246" s="98" t="e">
        <f>#REF!</f>
        <v>#REF!</v>
      </c>
      <c r="Q246" s="98" t="e">
        <f>#REF!</f>
        <v>#REF!</v>
      </c>
      <c r="R246" s="98" t="e">
        <f>#REF!</f>
        <v>#REF!</v>
      </c>
      <c r="S246" s="98" t="e">
        <f>#REF!</f>
        <v>#REF!</v>
      </c>
      <c r="T246" s="98" t="e">
        <f>#REF!</f>
        <v>#REF!</v>
      </c>
      <c r="U246" s="98"/>
      <c r="V246" s="98"/>
      <c r="W246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6" s="98" t="str">
        <f t="shared" ca="1" si="28"/>
        <v>2.n</v>
      </c>
      <c r="Y246" s="98"/>
      <c r="Z246" s="98"/>
      <c r="AA246" s="98"/>
      <c r="AB246" s="98"/>
      <c r="AC246" s="98"/>
      <c r="AD246" s="98"/>
      <c r="AE246" s="98"/>
      <c r="AF246" s="98"/>
      <c r="AG246" s="98"/>
      <c r="AH246" s="98"/>
    </row>
    <row r="247" spans="1:34" hidden="1" x14ac:dyDescent="0.3">
      <c r="A247" s="31" t="s">
        <v>481</v>
      </c>
      <c r="B247" s="22"/>
      <c r="C247" s="94" t="s">
        <v>482</v>
      </c>
      <c r="D247" s="90"/>
      <c r="E247" s="90" t="s">
        <v>483</v>
      </c>
      <c r="F247" s="91" t="s">
        <v>3</v>
      </c>
      <c r="G247" s="92">
        <v>0.25</v>
      </c>
      <c r="H247" s="34">
        <v>87.77</v>
      </c>
      <c r="I247" s="61"/>
      <c r="J247" s="101">
        <f ca="1">SUM(Таблица2[[#This Row],[1.n]:[12.n]])</f>
        <v>0</v>
      </c>
      <c r="K247" s="98" t="e">
        <f>#REF!</f>
        <v>#REF!</v>
      </c>
      <c r="L247" s="98" t="e">
        <f>#REF!</f>
        <v>#REF!</v>
      </c>
      <c r="M247" s="98" t="e">
        <f>#REF!</f>
        <v>#REF!</v>
      </c>
      <c r="N247" s="98" t="e">
        <f>#REF!</f>
        <v>#REF!</v>
      </c>
      <c r="O247" s="98" t="e">
        <f>#REF!</f>
        <v>#REF!</v>
      </c>
      <c r="P247" s="98" t="e">
        <f>#REF!</f>
        <v>#REF!</v>
      </c>
      <c r="Q247" s="98" t="e">
        <f>#REF!</f>
        <v>#REF!</v>
      </c>
      <c r="R247" s="98" t="e">
        <f>#REF!</f>
        <v>#REF!</v>
      </c>
      <c r="S247" s="98" t="e">
        <f>#REF!</f>
        <v>#REF!</v>
      </c>
      <c r="T247" s="98" t="e">
        <f>#REF!</f>
        <v>#REF!</v>
      </c>
      <c r="U247" s="98"/>
      <c r="V247" s="98"/>
      <c r="W247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7" s="98" t="str">
        <f t="shared" ca="1" si="28"/>
        <v>2.n</v>
      </c>
      <c r="Y247" s="98"/>
      <c r="Z247" s="98"/>
      <c r="AA247" s="98"/>
      <c r="AB247" s="98"/>
      <c r="AC247" s="98"/>
      <c r="AD247" s="98"/>
      <c r="AE247" s="98"/>
      <c r="AF247" s="98"/>
      <c r="AG247" s="98"/>
      <c r="AH247" s="98"/>
    </row>
    <row r="248" spans="1:34" ht="31.2" x14ac:dyDescent="0.3">
      <c r="A248" s="24" t="s">
        <v>494</v>
      </c>
      <c r="B248" s="15" t="s">
        <v>485</v>
      </c>
      <c r="C248" s="46" t="s">
        <v>486</v>
      </c>
      <c r="D248" s="47"/>
      <c r="E248" s="47" t="s">
        <v>495</v>
      </c>
      <c r="F248" s="47" t="s">
        <v>96</v>
      </c>
      <c r="G248" s="48">
        <v>1</v>
      </c>
      <c r="H248" s="33">
        <v>4.41</v>
      </c>
      <c r="I248" s="121">
        <f>H248-J248</f>
        <v>4.41</v>
      </c>
      <c r="J248" s="243">
        <f>SUM(Таблица2[[#This Row],[1.n]:[12.n]])</f>
        <v>0</v>
      </c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241"/>
      <c r="X248" s="241"/>
      <c r="Y248" s="241"/>
      <c r="Z248" s="241"/>
      <c r="AA248" s="241"/>
      <c r="AB248" s="241"/>
      <c r="AC248" s="241"/>
      <c r="AD248" s="241"/>
      <c r="AE248" s="241"/>
      <c r="AF248" s="241"/>
      <c r="AG248" s="241"/>
      <c r="AH248" s="241"/>
    </row>
    <row r="249" spans="1:34" hidden="1" x14ac:dyDescent="0.3">
      <c r="A249" s="31" t="s">
        <v>503</v>
      </c>
      <c r="B249" s="22"/>
      <c r="C249" s="89" t="s">
        <v>227</v>
      </c>
      <c r="D249" s="90"/>
      <c r="E249" s="90"/>
      <c r="F249" s="91" t="s">
        <v>3</v>
      </c>
      <c r="G249" s="92">
        <v>0.15</v>
      </c>
      <c r="H249" s="34">
        <v>0.66200000000000003</v>
      </c>
      <c r="I249" s="110"/>
      <c r="J249" s="101">
        <f ca="1">SUM(Таблица2[[#This Row],[1.n]:[12.n]])</f>
        <v>0</v>
      </c>
      <c r="K249" s="98" t="e">
        <f>#REF!</f>
        <v>#REF!</v>
      </c>
      <c r="L249" s="98" t="e">
        <f>#REF!</f>
        <v>#REF!</v>
      </c>
      <c r="M249" s="98" t="e">
        <f>#REF!</f>
        <v>#REF!</v>
      </c>
      <c r="N249" s="98" t="e">
        <f>#REF!</f>
        <v>#REF!</v>
      </c>
      <c r="O249" s="98" t="e">
        <f>#REF!</f>
        <v>#REF!</v>
      </c>
      <c r="P249" s="98" t="e">
        <f>#REF!</f>
        <v>#REF!</v>
      </c>
      <c r="Q249" s="98" t="e">
        <f>#REF!</f>
        <v>#REF!</v>
      </c>
      <c r="R249" s="98" t="e">
        <f>#REF!</f>
        <v>#REF!</v>
      </c>
      <c r="S249" s="98" t="e">
        <f>#REF!</f>
        <v>#REF!</v>
      </c>
      <c r="T249" s="98" t="e">
        <f>#REF!</f>
        <v>#REF!</v>
      </c>
      <c r="U249" s="98"/>
      <c r="V249" s="98"/>
      <c r="W249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49" s="98" t="str">
        <f t="shared" ca="1" si="28"/>
        <v>2.n</v>
      </c>
      <c r="Y249" s="98"/>
      <c r="Z249" s="98"/>
      <c r="AA249" s="98"/>
      <c r="AB249" s="98"/>
      <c r="AC249" s="98"/>
      <c r="AD249" s="98"/>
      <c r="AE249" s="98"/>
      <c r="AF249" s="98"/>
      <c r="AG249" s="98"/>
      <c r="AH249" s="98"/>
    </row>
    <row r="250" spans="1:34" hidden="1" x14ac:dyDescent="0.3">
      <c r="A250" s="31" t="s">
        <v>504</v>
      </c>
      <c r="B250" s="22"/>
      <c r="C250" s="89" t="s">
        <v>482</v>
      </c>
      <c r="D250" s="90"/>
      <c r="E250" s="90"/>
      <c r="F250" s="91" t="s">
        <v>3</v>
      </c>
      <c r="G250" s="92">
        <v>0.25</v>
      </c>
      <c r="H250" s="34">
        <v>1.103</v>
      </c>
      <c r="I250" s="61"/>
      <c r="J250" s="101">
        <f ca="1">SUM(Таблица2[[#This Row],[1.n]:[12.n]])</f>
        <v>0</v>
      </c>
      <c r="K250" s="98" t="e">
        <f>#REF!</f>
        <v>#REF!</v>
      </c>
      <c r="L250" s="98" t="e">
        <f>#REF!</f>
        <v>#REF!</v>
      </c>
      <c r="M250" s="98" t="e">
        <f>#REF!</f>
        <v>#REF!</v>
      </c>
      <c r="N250" s="98" t="e">
        <f>#REF!</f>
        <v>#REF!</v>
      </c>
      <c r="O250" s="98" t="e">
        <f>#REF!</f>
        <v>#REF!</v>
      </c>
      <c r="P250" s="98" t="e">
        <f>#REF!</f>
        <v>#REF!</v>
      </c>
      <c r="Q250" s="98" t="e">
        <f>#REF!</f>
        <v>#REF!</v>
      </c>
      <c r="R250" s="98" t="e">
        <f>#REF!</f>
        <v>#REF!</v>
      </c>
      <c r="S250" s="98" t="e">
        <f>#REF!</f>
        <v>#REF!</v>
      </c>
      <c r="T250" s="98" t="e">
        <f>#REF!</f>
        <v>#REF!</v>
      </c>
      <c r="U250" s="98"/>
      <c r="V250" s="98"/>
      <c r="W250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50" s="98" t="str">
        <f t="shared" ca="1" si="28"/>
        <v>2.n</v>
      </c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</row>
    <row r="251" spans="1:34" ht="31.2" hidden="1" x14ac:dyDescent="0.3">
      <c r="A251" s="31" t="s">
        <v>505</v>
      </c>
      <c r="B251" s="22"/>
      <c r="C251" s="89" t="s">
        <v>382</v>
      </c>
      <c r="D251" s="90"/>
      <c r="E251" s="90" t="s">
        <v>220</v>
      </c>
      <c r="F251" s="91" t="s">
        <v>3</v>
      </c>
      <c r="G251" s="92">
        <v>1.2</v>
      </c>
      <c r="H251" s="34">
        <v>10.584</v>
      </c>
      <c r="I251" s="61"/>
      <c r="J251" s="101">
        <f ca="1">SUM(Таблица2[[#This Row],[1.n]:[12.n]])</f>
        <v>0</v>
      </c>
      <c r="K251" s="98" t="e">
        <f>#REF!</f>
        <v>#REF!</v>
      </c>
      <c r="L251" s="98" t="e">
        <f>#REF!</f>
        <v>#REF!</v>
      </c>
      <c r="M251" s="98" t="e">
        <f>#REF!</f>
        <v>#REF!</v>
      </c>
      <c r="N251" s="98" t="e">
        <f>#REF!</f>
        <v>#REF!</v>
      </c>
      <c r="O251" s="98" t="e">
        <f>#REF!</f>
        <v>#REF!</v>
      </c>
      <c r="P251" s="98" t="e">
        <f>#REF!</f>
        <v>#REF!</v>
      </c>
      <c r="Q251" s="98" t="e">
        <f>#REF!</f>
        <v>#REF!</v>
      </c>
      <c r="R251" s="98" t="e">
        <f>#REF!</f>
        <v>#REF!</v>
      </c>
      <c r="S251" s="98" t="e">
        <f>#REF!</f>
        <v>#REF!</v>
      </c>
      <c r="T251" s="98" t="e">
        <f>#REF!</f>
        <v>#REF!</v>
      </c>
      <c r="U251" s="98"/>
      <c r="V251" s="98"/>
      <c r="W251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51" s="98" t="str">
        <f t="shared" ca="1" si="28"/>
        <v>2.n</v>
      </c>
      <c r="Y251" s="98"/>
      <c r="Z251" s="98"/>
      <c r="AA251" s="98"/>
      <c r="AB251" s="98"/>
      <c r="AC251" s="98"/>
      <c r="AD251" s="98"/>
      <c r="AE251" s="98"/>
      <c r="AF251" s="98"/>
      <c r="AG251" s="98"/>
      <c r="AH251" s="98"/>
    </row>
    <row r="252" spans="1:34" ht="31.2" hidden="1" x14ac:dyDescent="0.3">
      <c r="A252" s="31" t="s">
        <v>506</v>
      </c>
      <c r="B252" s="22"/>
      <c r="C252" s="89" t="s">
        <v>507</v>
      </c>
      <c r="D252" s="90"/>
      <c r="E252" s="90" t="s">
        <v>508</v>
      </c>
      <c r="F252" s="91" t="s">
        <v>96</v>
      </c>
      <c r="G252" s="92">
        <v>1.1000000000000001</v>
      </c>
      <c r="H252" s="34">
        <v>4.851</v>
      </c>
      <c r="I252" s="95"/>
      <c r="J252" s="101">
        <f ca="1">SUM(Таблица2[[#This Row],[1.n]:[12.n]])</f>
        <v>0</v>
      </c>
      <c r="K252" s="98" t="e">
        <f>#REF!</f>
        <v>#REF!</v>
      </c>
      <c r="L252" s="98" t="e">
        <f>#REF!</f>
        <v>#REF!</v>
      </c>
      <c r="M252" s="98" t="e">
        <f>#REF!</f>
        <v>#REF!</v>
      </c>
      <c r="N252" s="98" t="e">
        <f>#REF!</f>
        <v>#REF!</v>
      </c>
      <c r="O252" s="98" t="e">
        <f>#REF!</f>
        <v>#REF!</v>
      </c>
      <c r="P252" s="98" t="e">
        <f>#REF!</f>
        <v>#REF!</v>
      </c>
      <c r="Q252" s="98" t="e">
        <f>#REF!</f>
        <v>#REF!</v>
      </c>
      <c r="R252" s="98" t="e">
        <f>#REF!</f>
        <v>#REF!</v>
      </c>
      <c r="S252" s="98" t="e">
        <f>#REF!</f>
        <v>#REF!</v>
      </c>
      <c r="T252" s="98" t="e">
        <f>#REF!</f>
        <v>#REF!</v>
      </c>
      <c r="U252" s="98"/>
      <c r="V252" s="98"/>
      <c r="W252" s="98">
        <f ca="1">IFERROR(
    VLOOKUP(
        Таблица2[[#This Row],[Наименование затрат]],
        INDIRECT("'" &amp; INDIRECT(ADDRESS(1, COLUMN())) &amp; "'!$B$2:$D$1000"),
        4,
        FALSE
    ),
    0
)</f>
        <v>0</v>
      </c>
      <c r="X252" s="98" t="str">
        <f t="shared" ca="1" si="28"/>
        <v>2.n</v>
      </c>
      <c r="Y252" s="98"/>
      <c r="Z252" s="98"/>
      <c r="AA252" s="98"/>
      <c r="AB252" s="98"/>
      <c r="AC252" s="98"/>
      <c r="AD252" s="98"/>
      <c r="AE252" s="98"/>
      <c r="AF252" s="98"/>
      <c r="AG252" s="98"/>
      <c r="AH252" s="98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6"/>
  <sheetViews>
    <sheetView zoomScale="70" zoomScaleNormal="70" workbookViewId="0">
      <selection activeCell="B6" sqref="B5:B6"/>
    </sheetView>
  </sheetViews>
  <sheetFormatPr defaultRowHeight="18" x14ac:dyDescent="0.35"/>
  <cols>
    <col min="1" max="1" width="12" style="267" customWidth="1"/>
    <col min="2" max="2" width="41.5546875" style="267" customWidth="1"/>
    <col min="3" max="3" width="34.44140625" style="267" customWidth="1"/>
    <col min="4" max="4" width="13.77734375" style="267" customWidth="1"/>
    <col min="5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90" x14ac:dyDescent="0.35">
      <c r="A3" s="269">
        <v>1</v>
      </c>
      <c r="B3" s="270" t="s">
        <v>28</v>
      </c>
      <c r="C3" s="271"/>
      <c r="D3" s="272" t="s">
        <v>4</v>
      </c>
      <c r="E3" s="273">
        <f>Лист1!BP19</f>
        <v>244.15</v>
      </c>
    </row>
    <row r="4" spans="1:5" ht="36" x14ac:dyDescent="0.35">
      <c r="A4" s="269">
        <v>2</v>
      </c>
      <c r="B4" s="274" t="s">
        <v>139</v>
      </c>
      <c r="C4" s="268" t="s">
        <v>149</v>
      </c>
      <c r="D4" s="268" t="s">
        <v>96</v>
      </c>
      <c r="E4" s="273">
        <f>'1.n7s2f'!E12</f>
        <v>1178.9000000000001</v>
      </c>
    </row>
    <row r="5" spans="1:5" ht="90" x14ac:dyDescent="0.35">
      <c r="A5" s="269">
        <v>3</v>
      </c>
      <c r="B5" s="275" t="s">
        <v>192</v>
      </c>
      <c r="C5" s="276" t="s">
        <v>167</v>
      </c>
      <c r="D5" s="276" t="s">
        <v>96</v>
      </c>
      <c r="E5" s="273">
        <f>'1.n7s2f'!C12</f>
        <v>485.5</v>
      </c>
    </row>
    <row r="6" spans="1:5" ht="90" x14ac:dyDescent="0.35">
      <c r="A6" s="269">
        <v>4</v>
      </c>
      <c r="B6" s="277" t="s">
        <v>192</v>
      </c>
      <c r="C6" s="278" t="s">
        <v>197</v>
      </c>
      <c r="D6" s="278" t="s">
        <v>96</v>
      </c>
      <c r="E6" s="273">
        <f>'1.n7s2f'!D12</f>
        <v>693.40000000000009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2"/>
  <sheetViews>
    <sheetView zoomScale="70" zoomScaleNormal="70" workbookViewId="0">
      <selection activeCell="C3" sqref="C3"/>
    </sheetView>
  </sheetViews>
  <sheetFormatPr defaultColWidth="9.109375" defaultRowHeight="18" x14ac:dyDescent="0.3"/>
  <cols>
    <col min="1" max="1" width="9.109375" style="341"/>
    <col min="2" max="2" width="13.6640625" style="341" customWidth="1"/>
    <col min="3" max="3" width="12.6640625" style="341" customWidth="1"/>
    <col min="4" max="4" width="17" style="341" customWidth="1"/>
    <col min="5" max="16384" width="9.109375" style="341"/>
  </cols>
  <sheetData>
    <row r="1" spans="1:5" ht="15" customHeight="1" x14ac:dyDescent="0.3">
      <c r="A1" s="349" t="s">
        <v>8</v>
      </c>
      <c r="B1" s="350"/>
      <c r="C1" s="350"/>
      <c r="D1" s="350"/>
      <c r="E1" s="351"/>
    </row>
    <row r="2" spans="1:5" ht="14.25" customHeight="1" x14ac:dyDescent="0.3">
      <c r="A2" s="352" t="s">
        <v>601</v>
      </c>
      <c r="B2" s="353"/>
      <c r="C2" s="353"/>
      <c r="D2" s="353"/>
      <c r="E2" s="354"/>
    </row>
    <row r="3" spans="1:5" ht="54" x14ac:dyDescent="0.3">
      <c r="A3" s="279"/>
      <c r="B3" s="280"/>
      <c r="C3" s="281" t="s">
        <v>10</v>
      </c>
      <c r="D3" s="282" t="s">
        <v>11</v>
      </c>
      <c r="E3" s="283" t="s">
        <v>19</v>
      </c>
    </row>
    <row r="4" spans="1:5" x14ac:dyDescent="0.3">
      <c r="A4" s="279" t="s">
        <v>0</v>
      </c>
      <c r="B4" s="284" t="s">
        <v>7</v>
      </c>
      <c r="C4" s="285" t="s">
        <v>9</v>
      </c>
      <c r="D4" s="285" t="s">
        <v>9</v>
      </c>
      <c r="E4" s="283"/>
    </row>
    <row r="5" spans="1:5" x14ac:dyDescent="0.3">
      <c r="A5" s="279">
        <v>1</v>
      </c>
      <c r="B5" s="280" t="s">
        <v>12</v>
      </c>
      <c r="C5" s="286">
        <v>12</v>
      </c>
      <c r="D5" s="286">
        <v>52.4</v>
      </c>
      <c r="E5" s="287">
        <f>C5+D5</f>
        <v>64.400000000000006</v>
      </c>
    </row>
    <row r="6" spans="1:5" x14ac:dyDescent="0.3">
      <c r="A6" s="279">
        <v>2</v>
      </c>
      <c r="B6" s="280" t="s">
        <v>13</v>
      </c>
      <c r="C6" s="286">
        <v>146</v>
      </c>
      <c r="D6" s="286">
        <v>108.5</v>
      </c>
      <c r="E6" s="287">
        <f t="shared" ref="E6:E11" si="0">C6+D6</f>
        <v>254.5</v>
      </c>
    </row>
    <row r="7" spans="1:5" x14ac:dyDescent="0.3">
      <c r="A7" s="279">
        <v>3</v>
      </c>
      <c r="B7" s="280" t="s">
        <v>14</v>
      </c>
      <c r="C7" s="286">
        <v>22.4</v>
      </c>
      <c r="D7" s="286">
        <v>69.2</v>
      </c>
      <c r="E7" s="287">
        <f t="shared" si="0"/>
        <v>91.6</v>
      </c>
    </row>
    <row r="8" spans="1:5" x14ac:dyDescent="0.3">
      <c r="A8" s="279">
        <v>4</v>
      </c>
      <c r="B8" s="280" t="s">
        <v>15</v>
      </c>
      <c r="C8" s="286">
        <v>62.5</v>
      </c>
      <c r="D8" s="286">
        <v>155.1</v>
      </c>
      <c r="E8" s="287">
        <f t="shared" si="0"/>
        <v>217.6</v>
      </c>
    </row>
    <row r="9" spans="1:5" x14ac:dyDescent="0.3">
      <c r="A9" s="279">
        <v>5</v>
      </c>
      <c r="B9" s="280" t="s">
        <v>16</v>
      </c>
      <c r="C9" s="286">
        <v>113.7</v>
      </c>
      <c r="D9" s="286">
        <v>162.19999999999999</v>
      </c>
      <c r="E9" s="287">
        <f t="shared" si="0"/>
        <v>275.89999999999998</v>
      </c>
    </row>
    <row r="10" spans="1:5" x14ac:dyDescent="0.3">
      <c r="A10" s="279">
        <v>6</v>
      </c>
      <c r="B10" s="280" t="s">
        <v>17</v>
      </c>
      <c r="C10" s="286">
        <v>59.3</v>
      </c>
      <c r="D10" s="286">
        <v>54.2</v>
      </c>
      <c r="E10" s="287">
        <f t="shared" si="0"/>
        <v>113.5</v>
      </c>
    </row>
    <row r="11" spans="1:5" ht="18.600000000000001" thickBot="1" x14ac:dyDescent="0.35">
      <c r="A11" s="302">
        <v>7</v>
      </c>
      <c r="B11" s="342" t="s">
        <v>18</v>
      </c>
      <c r="C11" s="304">
        <v>69.599999999999994</v>
      </c>
      <c r="D11" s="304">
        <v>91.8</v>
      </c>
      <c r="E11" s="287">
        <f t="shared" si="0"/>
        <v>161.39999999999998</v>
      </c>
    </row>
    <row r="12" spans="1:5" ht="18.600000000000001" thickBot="1" x14ac:dyDescent="0.35">
      <c r="A12" s="288"/>
      <c r="B12" s="289" t="s">
        <v>20</v>
      </c>
      <c r="C12" s="290">
        <f>SUM(C5:C11)</f>
        <v>485.5</v>
      </c>
      <c r="D12" s="290">
        <f>SUM(D5:D11)</f>
        <v>693.40000000000009</v>
      </c>
      <c r="E12" s="291">
        <f>SUM(E5:E11)</f>
        <v>1178.9000000000001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8"/>
  <sheetViews>
    <sheetView topLeftCell="A4"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7.4414062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Лист1!BQ19</f>
        <v>188.68899999999999</v>
      </c>
    </row>
    <row r="4" spans="1:5" ht="36" x14ac:dyDescent="0.35">
      <c r="A4" s="269">
        <v>2</v>
      </c>
      <c r="B4" s="274" t="s">
        <v>139</v>
      </c>
      <c r="C4" s="268" t="s">
        <v>149</v>
      </c>
      <c r="D4" s="268" t="s">
        <v>96</v>
      </c>
      <c r="E4" s="273">
        <f>'2.n6s2f'!E9</f>
        <v>630.70000000000005</v>
      </c>
    </row>
    <row r="5" spans="1:5" ht="90" x14ac:dyDescent="0.35">
      <c r="A5" s="269">
        <v>3</v>
      </c>
      <c r="B5" s="296" t="s">
        <v>166</v>
      </c>
      <c r="C5" s="297" t="s">
        <v>167</v>
      </c>
      <c r="D5" s="297" t="s">
        <v>96</v>
      </c>
      <c r="E5" s="273">
        <f>'2.n6s2f'!C20</f>
        <v>65.899999999999991</v>
      </c>
    </row>
    <row r="6" spans="1:5" ht="90" x14ac:dyDescent="0.35">
      <c r="A6" s="269">
        <v>4</v>
      </c>
      <c r="B6" s="300" t="s">
        <v>166</v>
      </c>
      <c r="C6" s="301" t="s">
        <v>173</v>
      </c>
      <c r="D6" s="301" t="s">
        <v>96</v>
      </c>
      <c r="E6" s="273">
        <f>'2.n6s2f'!D20</f>
        <v>175.4</v>
      </c>
    </row>
    <row r="7" spans="1:5" ht="90" x14ac:dyDescent="0.35">
      <c r="A7" s="269">
        <v>5</v>
      </c>
      <c r="B7" s="275" t="s">
        <v>192</v>
      </c>
      <c r="C7" s="276" t="s">
        <v>167</v>
      </c>
      <c r="D7" s="276" t="s">
        <v>96</v>
      </c>
      <c r="E7" s="273">
        <f>'2.n6s2f'!C9</f>
        <v>314.90000000000003</v>
      </c>
    </row>
    <row r="8" spans="1:5" ht="90" x14ac:dyDescent="0.35">
      <c r="A8" s="269">
        <v>6</v>
      </c>
      <c r="B8" s="277" t="s">
        <v>192</v>
      </c>
      <c r="C8" s="278" t="s">
        <v>197</v>
      </c>
      <c r="D8" s="278" t="s">
        <v>96</v>
      </c>
      <c r="E8" s="273">
        <f>'2.n6s2f'!D9</f>
        <v>315.79999999999995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20"/>
  <sheetViews>
    <sheetView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16384" width="8.88671875" style="267"/>
  </cols>
  <sheetData>
    <row r="1" spans="1:5" x14ac:dyDescent="0.35">
      <c r="A1" s="349" t="s">
        <v>8</v>
      </c>
      <c r="B1" s="350"/>
      <c r="C1" s="350"/>
      <c r="D1" s="350"/>
      <c r="E1" s="351"/>
    </row>
    <row r="2" spans="1:5" x14ac:dyDescent="0.35">
      <c r="A2" s="352" t="s">
        <v>601</v>
      </c>
      <c r="B2" s="353"/>
      <c r="C2" s="353"/>
      <c r="D2" s="353"/>
      <c r="E2" s="354"/>
    </row>
    <row r="3" spans="1:5" ht="54" x14ac:dyDescent="0.35">
      <c r="A3" s="279"/>
      <c r="B3" s="280"/>
      <c r="C3" s="281" t="s">
        <v>10</v>
      </c>
      <c r="D3" s="282" t="s">
        <v>11</v>
      </c>
      <c r="E3" s="283" t="s">
        <v>19</v>
      </c>
    </row>
    <row r="4" spans="1:5" x14ac:dyDescent="0.35">
      <c r="A4" s="279" t="s">
        <v>0</v>
      </c>
      <c r="B4" s="284" t="s">
        <v>7</v>
      </c>
      <c r="C4" s="285" t="s">
        <v>9</v>
      </c>
      <c r="D4" s="285" t="s">
        <v>9</v>
      </c>
      <c r="E4" s="283"/>
    </row>
    <row r="5" spans="1:5" x14ac:dyDescent="0.35">
      <c r="A5" s="279">
        <v>1</v>
      </c>
      <c r="B5" s="280" t="s">
        <v>21</v>
      </c>
      <c r="C5" s="286">
        <v>74.3</v>
      </c>
      <c r="D5" s="286">
        <v>154</v>
      </c>
      <c r="E5" s="287">
        <f>C5+D5</f>
        <v>228.3</v>
      </c>
    </row>
    <row r="6" spans="1:5" x14ac:dyDescent="0.35">
      <c r="A6" s="279">
        <v>2</v>
      </c>
      <c r="B6" s="280" t="s">
        <v>22</v>
      </c>
      <c r="C6" s="286">
        <v>160.30000000000001</v>
      </c>
      <c r="D6" s="286">
        <v>105.4</v>
      </c>
      <c r="E6" s="287">
        <f t="shared" ref="E6:E8" si="0">C6+D6</f>
        <v>265.70000000000005</v>
      </c>
    </row>
    <row r="7" spans="1:5" x14ac:dyDescent="0.35">
      <c r="A7" s="279">
        <v>3</v>
      </c>
      <c r="B7" s="280" t="s">
        <v>23</v>
      </c>
      <c r="C7" s="286">
        <v>45.5</v>
      </c>
      <c r="D7" s="286">
        <v>43.4</v>
      </c>
      <c r="E7" s="287">
        <f t="shared" si="0"/>
        <v>88.9</v>
      </c>
    </row>
    <row r="8" spans="1:5" x14ac:dyDescent="0.35">
      <c r="A8" s="279">
        <v>4</v>
      </c>
      <c r="B8" s="280" t="s">
        <v>27</v>
      </c>
      <c r="C8" s="286">
        <v>34.799999999999997</v>
      </c>
      <c r="D8" s="286">
        <v>13</v>
      </c>
      <c r="E8" s="287">
        <f t="shared" si="0"/>
        <v>47.8</v>
      </c>
    </row>
    <row r="9" spans="1:5" ht="18.600000000000001" thickBot="1" x14ac:dyDescent="0.4">
      <c r="A9" s="288"/>
      <c r="B9" s="289" t="s">
        <v>20</v>
      </c>
      <c r="C9" s="290">
        <f>SUM(C5:C8)</f>
        <v>314.90000000000003</v>
      </c>
      <c r="D9" s="290">
        <f>SUM(D5:D8)</f>
        <v>315.79999999999995</v>
      </c>
      <c r="E9" s="291">
        <f>SUM(E5:E8)</f>
        <v>630.70000000000005</v>
      </c>
    </row>
    <row r="10" spans="1:5" ht="18.600000000000001" thickBot="1" x14ac:dyDescent="0.4"/>
    <row r="11" spans="1:5" x14ac:dyDescent="0.35">
      <c r="A11" s="349" t="s">
        <v>8</v>
      </c>
      <c r="B11" s="350"/>
      <c r="C11" s="350"/>
      <c r="D11" s="350"/>
      <c r="E11" s="351"/>
    </row>
    <row r="12" spans="1:5" x14ac:dyDescent="0.35">
      <c r="A12" s="352" t="s">
        <v>602</v>
      </c>
      <c r="B12" s="353"/>
      <c r="C12" s="353"/>
      <c r="D12" s="353"/>
      <c r="E12" s="354"/>
    </row>
    <row r="13" spans="1:5" ht="54" x14ac:dyDescent="0.35">
      <c r="A13" s="279"/>
      <c r="B13" s="280"/>
      <c r="C13" s="281" t="s">
        <v>10</v>
      </c>
      <c r="D13" s="282" t="s">
        <v>11</v>
      </c>
      <c r="E13" s="283" t="s">
        <v>19</v>
      </c>
    </row>
    <row r="14" spans="1:5" x14ac:dyDescent="0.35">
      <c r="A14" s="279" t="s">
        <v>0</v>
      </c>
      <c r="B14" s="284" t="s">
        <v>7</v>
      </c>
      <c r="C14" s="285" t="s">
        <v>9</v>
      </c>
      <c r="D14" s="285" t="s">
        <v>9</v>
      </c>
      <c r="E14" s="283"/>
    </row>
    <row r="15" spans="1:5" x14ac:dyDescent="0.35">
      <c r="A15" s="279">
        <v>1</v>
      </c>
      <c r="B15" s="280" t="s">
        <v>24</v>
      </c>
      <c r="C15" s="286">
        <v>15.5</v>
      </c>
      <c r="D15" s="286">
        <v>68.3</v>
      </c>
      <c r="E15" s="287">
        <f>C15+D15</f>
        <v>83.8</v>
      </c>
    </row>
    <row r="16" spans="1:5" x14ac:dyDescent="0.35">
      <c r="A16" s="279">
        <v>2</v>
      </c>
      <c r="B16" s="280" t="s">
        <v>25</v>
      </c>
      <c r="C16" s="286">
        <v>2.9</v>
      </c>
      <c r="D16" s="286">
        <v>28</v>
      </c>
      <c r="E16" s="287">
        <f t="shared" ref="E16:E19" si="1">C16+D16</f>
        <v>30.9</v>
      </c>
    </row>
    <row r="17" spans="1:5" x14ac:dyDescent="0.35">
      <c r="A17" s="279">
        <v>3</v>
      </c>
      <c r="B17" s="280" t="s">
        <v>26</v>
      </c>
      <c r="C17" s="286">
        <v>1</v>
      </c>
      <c r="D17" s="286">
        <v>33</v>
      </c>
      <c r="E17" s="287">
        <f t="shared" si="1"/>
        <v>34</v>
      </c>
    </row>
    <row r="18" spans="1:5" x14ac:dyDescent="0.35">
      <c r="A18" s="279">
        <v>4</v>
      </c>
      <c r="B18" s="280" t="s">
        <v>603</v>
      </c>
      <c r="C18" s="286">
        <v>38.4</v>
      </c>
      <c r="D18" s="286">
        <v>39.9</v>
      </c>
      <c r="E18" s="287">
        <f t="shared" si="1"/>
        <v>78.3</v>
      </c>
    </row>
    <row r="19" spans="1:5" x14ac:dyDescent="0.35">
      <c r="A19" s="279">
        <v>5</v>
      </c>
      <c r="B19" s="280" t="s">
        <v>604</v>
      </c>
      <c r="C19" s="286">
        <v>8.1</v>
      </c>
      <c r="D19" s="286">
        <v>6.2</v>
      </c>
      <c r="E19" s="287">
        <f t="shared" si="1"/>
        <v>14.3</v>
      </c>
    </row>
    <row r="20" spans="1:5" ht="18.600000000000001" thickBot="1" x14ac:dyDescent="0.4">
      <c r="A20" s="288"/>
      <c r="B20" s="289" t="s">
        <v>20</v>
      </c>
      <c r="C20" s="290">
        <f>SUM(C15:C19)</f>
        <v>65.899999999999991</v>
      </c>
      <c r="D20" s="290">
        <f>SUM(D15:D19)</f>
        <v>175.4</v>
      </c>
      <c r="E20" s="291">
        <f>SUM(E15:E19)</f>
        <v>241.3</v>
      </c>
    </row>
  </sheetData>
  <mergeCells count="4">
    <mergeCell ref="A1:E1"/>
    <mergeCell ref="A2:E2"/>
    <mergeCell ref="A11:E11"/>
    <mergeCell ref="A12:E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6"/>
  <sheetViews>
    <sheetView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7.4414062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Лист1!BR19</f>
        <v>139.53600000000003</v>
      </c>
    </row>
    <row r="4" spans="1:5" ht="36" x14ac:dyDescent="0.35">
      <c r="A4" s="269">
        <v>2</v>
      </c>
      <c r="B4" s="274" t="s">
        <v>139</v>
      </c>
      <c r="C4" s="268" t="s">
        <v>149</v>
      </c>
      <c r="D4" s="268" t="s">
        <v>96</v>
      </c>
      <c r="E4" s="273">
        <f>'3.n5s2f'!E8</f>
        <v>716.89999999999986</v>
      </c>
    </row>
    <row r="5" spans="1:5" ht="90" x14ac:dyDescent="0.35">
      <c r="A5" s="269">
        <v>3</v>
      </c>
      <c r="B5" s="275" t="s">
        <v>192</v>
      </c>
      <c r="C5" s="276" t="s">
        <v>167</v>
      </c>
      <c r="D5" s="276" t="s">
        <v>96</v>
      </c>
      <c r="E5" s="273">
        <f>'3.n5s2f'!C8</f>
        <v>287.8</v>
      </c>
    </row>
    <row r="6" spans="1:5" ht="90" x14ac:dyDescent="0.35">
      <c r="A6" s="269">
        <v>4</v>
      </c>
      <c r="B6" s="277" t="s">
        <v>192</v>
      </c>
      <c r="C6" s="278" t="s">
        <v>197</v>
      </c>
      <c r="D6" s="278" t="s">
        <v>96</v>
      </c>
      <c r="E6" s="273">
        <f>'3.n5s2f'!D8</f>
        <v>429.09999999999997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8"/>
  <sheetViews>
    <sheetView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16384" width="8.88671875" style="267"/>
  </cols>
  <sheetData>
    <row r="1" spans="1:5" x14ac:dyDescent="0.35">
      <c r="A1" s="349" t="s">
        <v>8</v>
      </c>
      <c r="B1" s="350"/>
      <c r="C1" s="350"/>
      <c r="D1" s="350"/>
      <c r="E1" s="351"/>
    </row>
    <row r="2" spans="1:5" x14ac:dyDescent="0.35">
      <c r="A2" s="352" t="s">
        <v>601</v>
      </c>
      <c r="B2" s="353"/>
      <c r="C2" s="353"/>
      <c r="D2" s="353"/>
      <c r="E2" s="354"/>
    </row>
    <row r="3" spans="1:5" ht="54" x14ac:dyDescent="0.35">
      <c r="A3" s="279"/>
      <c r="B3" s="280"/>
      <c r="C3" s="281" t="s">
        <v>10</v>
      </c>
      <c r="D3" s="282" t="s">
        <v>11</v>
      </c>
      <c r="E3" s="283" t="s">
        <v>19</v>
      </c>
    </row>
    <row r="4" spans="1:5" x14ac:dyDescent="0.35">
      <c r="A4" s="279" t="s">
        <v>0</v>
      </c>
      <c r="B4" s="284" t="s">
        <v>7</v>
      </c>
      <c r="C4" s="285" t="s">
        <v>9</v>
      </c>
      <c r="D4" s="285" t="s">
        <v>9</v>
      </c>
      <c r="E4" s="283"/>
    </row>
    <row r="5" spans="1:5" x14ac:dyDescent="0.35">
      <c r="A5" s="279">
        <v>1</v>
      </c>
      <c r="B5" s="280" t="s">
        <v>30</v>
      </c>
      <c r="C5" s="286">
        <v>121.7</v>
      </c>
      <c r="D5" s="286">
        <v>151.1</v>
      </c>
      <c r="E5" s="287">
        <f>C5+D5</f>
        <v>272.8</v>
      </c>
    </row>
    <row r="6" spans="1:5" x14ac:dyDescent="0.35">
      <c r="A6" s="279">
        <v>2</v>
      </c>
      <c r="B6" s="280" t="s">
        <v>31</v>
      </c>
      <c r="C6" s="286">
        <v>151.1</v>
      </c>
      <c r="D6" s="286">
        <v>206.2</v>
      </c>
      <c r="E6" s="287">
        <f t="shared" ref="E6:E7" si="0">C6+D6</f>
        <v>357.29999999999995</v>
      </c>
    </row>
    <row r="7" spans="1:5" x14ac:dyDescent="0.35">
      <c r="A7" s="279">
        <v>3</v>
      </c>
      <c r="B7" s="280" t="s">
        <v>32</v>
      </c>
      <c r="C7" s="286">
        <v>15</v>
      </c>
      <c r="D7" s="286">
        <v>71.8</v>
      </c>
      <c r="E7" s="287">
        <f t="shared" si="0"/>
        <v>86.8</v>
      </c>
    </row>
    <row r="8" spans="1:5" ht="18.600000000000001" thickBot="1" x14ac:dyDescent="0.4">
      <c r="A8" s="288"/>
      <c r="B8" s="289" t="s">
        <v>20</v>
      </c>
      <c r="C8" s="290">
        <f>SUM(C5:C7)</f>
        <v>287.8</v>
      </c>
      <c r="D8" s="290">
        <f>SUM(D5:D7)</f>
        <v>429.09999999999997</v>
      </c>
      <c r="E8" s="291">
        <f>SUM(E5:E7)</f>
        <v>716.89999999999986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6"/>
  <sheetViews>
    <sheetView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7.4414062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Лист1!BS19/100*60</f>
        <v>196.93500000000003</v>
      </c>
    </row>
    <row r="4" spans="1:5" ht="36" x14ac:dyDescent="0.35">
      <c r="A4" s="269">
        <v>2</v>
      </c>
      <c r="B4" s="274" t="s">
        <v>139</v>
      </c>
      <c r="C4" s="268" t="s">
        <v>149</v>
      </c>
      <c r="D4" s="268" t="s">
        <v>96</v>
      </c>
      <c r="E4" s="273">
        <f>'4.n4s2f'!E13</f>
        <v>932.8</v>
      </c>
    </row>
    <row r="5" spans="1:5" ht="90" x14ac:dyDescent="0.35">
      <c r="A5" s="269">
        <v>3</v>
      </c>
      <c r="B5" s="275" t="s">
        <v>192</v>
      </c>
      <c r="C5" s="276" t="s">
        <v>167</v>
      </c>
      <c r="D5" s="276" t="s">
        <v>96</v>
      </c>
      <c r="E5" s="273">
        <f>'4.n4s2f'!C13</f>
        <v>363</v>
      </c>
    </row>
    <row r="6" spans="1:5" ht="90" x14ac:dyDescent="0.35">
      <c r="A6" s="269">
        <v>4</v>
      </c>
      <c r="B6" s="277" t="s">
        <v>192</v>
      </c>
      <c r="C6" s="278" t="s">
        <v>197</v>
      </c>
      <c r="D6" s="278" t="s">
        <v>96</v>
      </c>
      <c r="E6" s="273">
        <f>'4.n4s2f'!D13</f>
        <v>569.79999999999995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16384" width="8.88671875" style="267"/>
  </cols>
  <sheetData>
    <row r="1" spans="1:5" x14ac:dyDescent="0.35">
      <c r="A1" s="355" t="s">
        <v>8</v>
      </c>
      <c r="B1" s="355"/>
      <c r="C1" s="355"/>
      <c r="D1" s="355"/>
      <c r="E1" s="355"/>
    </row>
    <row r="2" spans="1:5" ht="14.4" customHeight="1" x14ac:dyDescent="0.35">
      <c r="A2" s="352" t="s">
        <v>601</v>
      </c>
      <c r="B2" s="353"/>
      <c r="C2" s="353"/>
      <c r="D2" s="353"/>
      <c r="E2" s="354"/>
    </row>
    <row r="3" spans="1:5" ht="54" x14ac:dyDescent="0.35">
      <c r="A3" s="339"/>
      <c r="B3" s="280"/>
      <c r="C3" s="281" t="s">
        <v>10</v>
      </c>
      <c r="D3" s="282" t="s">
        <v>11</v>
      </c>
      <c r="E3" s="339" t="s">
        <v>19</v>
      </c>
    </row>
    <row r="4" spans="1:5" x14ac:dyDescent="0.35">
      <c r="A4" s="339" t="s">
        <v>0</v>
      </c>
      <c r="B4" s="284" t="s">
        <v>7</v>
      </c>
      <c r="C4" s="285" t="s">
        <v>9</v>
      </c>
      <c r="D4" s="285" t="s">
        <v>9</v>
      </c>
      <c r="E4" s="339"/>
    </row>
    <row r="5" spans="1:5" x14ac:dyDescent="0.35">
      <c r="A5" s="339">
        <v>1</v>
      </c>
      <c r="B5" s="280" t="s">
        <v>33</v>
      </c>
      <c r="C5" s="285">
        <v>39.700000000000003</v>
      </c>
      <c r="D5" s="285">
        <v>90</v>
      </c>
      <c r="E5" s="285">
        <f t="shared" ref="E5:E12" si="0">C5+D5</f>
        <v>129.69999999999999</v>
      </c>
    </row>
    <row r="6" spans="1:5" x14ac:dyDescent="0.35">
      <c r="A6" s="339">
        <v>2</v>
      </c>
      <c r="B6" s="280" t="s">
        <v>34</v>
      </c>
      <c r="C6" s="285">
        <v>11</v>
      </c>
      <c r="D6" s="285">
        <v>0</v>
      </c>
      <c r="E6" s="285">
        <f t="shared" si="0"/>
        <v>11</v>
      </c>
    </row>
    <row r="7" spans="1:5" x14ac:dyDescent="0.35">
      <c r="A7" s="339">
        <v>3</v>
      </c>
      <c r="B7" s="280" t="s">
        <v>35</v>
      </c>
      <c r="C7" s="285">
        <v>48.2</v>
      </c>
      <c r="D7" s="285">
        <v>56.9</v>
      </c>
      <c r="E7" s="285">
        <f t="shared" si="0"/>
        <v>105.1</v>
      </c>
    </row>
    <row r="8" spans="1:5" x14ac:dyDescent="0.35">
      <c r="A8" s="339">
        <v>4</v>
      </c>
      <c r="B8" s="280" t="s">
        <v>36</v>
      </c>
      <c r="C8" s="285">
        <v>70.900000000000006</v>
      </c>
      <c r="D8" s="285">
        <v>36.6</v>
      </c>
      <c r="E8" s="285">
        <f t="shared" si="0"/>
        <v>107.5</v>
      </c>
    </row>
    <row r="9" spans="1:5" x14ac:dyDescent="0.35">
      <c r="A9" s="339">
        <v>5</v>
      </c>
      <c r="B9" s="280" t="s">
        <v>37</v>
      </c>
      <c r="C9" s="285">
        <v>73.900000000000006</v>
      </c>
      <c r="D9" s="285">
        <v>36.1</v>
      </c>
      <c r="E9" s="285">
        <f t="shared" si="0"/>
        <v>110</v>
      </c>
    </row>
    <row r="10" spans="1:5" x14ac:dyDescent="0.35">
      <c r="A10" s="339">
        <v>6</v>
      </c>
      <c r="B10" s="280" t="s">
        <v>38</v>
      </c>
      <c r="C10" s="285">
        <v>27.6</v>
      </c>
      <c r="D10" s="285">
        <v>151.30000000000001</v>
      </c>
      <c r="E10" s="285">
        <f t="shared" si="0"/>
        <v>178.9</v>
      </c>
    </row>
    <row r="11" spans="1:5" x14ac:dyDescent="0.35">
      <c r="A11" s="339">
        <v>7</v>
      </c>
      <c r="B11" s="280" t="s">
        <v>40</v>
      </c>
      <c r="C11" s="285">
        <v>35.200000000000003</v>
      </c>
      <c r="D11" s="285">
        <v>13</v>
      </c>
      <c r="E11" s="285">
        <f t="shared" si="0"/>
        <v>48.2</v>
      </c>
    </row>
    <row r="12" spans="1:5" x14ac:dyDescent="0.35">
      <c r="A12" s="339">
        <v>8</v>
      </c>
      <c r="B12" s="280" t="s">
        <v>39</v>
      </c>
      <c r="C12" s="285">
        <v>56.5</v>
      </c>
      <c r="D12" s="285">
        <v>185.9</v>
      </c>
      <c r="E12" s="285">
        <f t="shared" si="0"/>
        <v>242.4</v>
      </c>
    </row>
    <row r="13" spans="1:5" x14ac:dyDescent="0.35">
      <c r="A13" s="339"/>
      <c r="B13" s="340" t="s">
        <v>20</v>
      </c>
      <c r="C13" s="285">
        <f>SUM(C5:C12)</f>
        <v>363</v>
      </c>
      <c r="D13" s="285">
        <f>SUM(D5:D12)</f>
        <v>569.79999999999995</v>
      </c>
      <c r="E13" s="285">
        <f>SUM(C13:D13)</f>
        <v>932.8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8"/>
  <sheetViews>
    <sheetView topLeftCell="A4"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7.4414062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SUM(Лист1!BP22:BS22)</f>
        <v>1099.8000000000002</v>
      </c>
    </row>
    <row r="4" spans="1:5" ht="36" x14ac:dyDescent="0.35">
      <c r="A4" s="269">
        <v>2</v>
      </c>
      <c r="B4" s="270" t="s">
        <v>139</v>
      </c>
      <c r="C4" s="272" t="s">
        <v>153</v>
      </c>
      <c r="D4" s="272" t="s">
        <v>96</v>
      </c>
      <c r="E4" s="273">
        <f>'5.n7654s3f'!E44</f>
        <v>3896</v>
      </c>
    </row>
    <row r="5" spans="1:5" ht="90" x14ac:dyDescent="0.35">
      <c r="A5" s="269">
        <v>3</v>
      </c>
      <c r="B5" s="292" t="s">
        <v>166</v>
      </c>
      <c r="C5" s="293" t="s">
        <v>179</v>
      </c>
      <c r="D5" s="293" t="s">
        <v>96</v>
      </c>
      <c r="E5" s="273">
        <f>'5.n7654s3f'!I44</f>
        <v>77.599999999999994</v>
      </c>
    </row>
    <row r="6" spans="1:5" ht="90" x14ac:dyDescent="0.35">
      <c r="A6" s="269">
        <v>4</v>
      </c>
      <c r="B6" s="294" t="s">
        <v>166</v>
      </c>
      <c r="C6" s="295" t="s">
        <v>185</v>
      </c>
      <c r="D6" s="295" t="s">
        <v>96</v>
      </c>
      <c r="E6" s="273">
        <f>'5.n7654s3f'!J44</f>
        <v>316</v>
      </c>
    </row>
    <row r="7" spans="1:5" ht="90" x14ac:dyDescent="0.35">
      <c r="A7" s="269">
        <v>5</v>
      </c>
      <c r="B7" s="296" t="s">
        <v>192</v>
      </c>
      <c r="C7" s="297" t="s">
        <v>179</v>
      </c>
      <c r="D7" s="297" t="s">
        <v>96</v>
      </c>
      <c r="E7" s="273">
        <f>'5.n7654s3f'!C44</f>
        <v>1445.1000000000001</v>
      </c>
    </row>
    <row r="8" spans="1:5" ht="90" x14ac:dyDescent="0.35">
      <c r="A8" s="269">
        <v>6</v>
      </c>
      <c r="B8" s="298" t="s">
        <v>192</v>
      </c>
      <c r="C8" s="299" t="s">
        <v>206</v>
      </c>
      <c r="D8" s="299" t="s">
        <v>96</v>
      </c>
      <c r="E8" s="273">
        <f>'5.n7654s3f'!D44</f>
        <v>2450.9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K44"/>
  <sheetViews>
    <sheetView topLeftCell="A20"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7" width="8.88671875" style="267"/>
    <col min="8" max="8" width="13.6640625" style="267" customWidth="1"/>
    <col min="9" max="9" width="12.6640625" style="267" customWidth="1"/>
    <col min="10" max="10" width="17" style="267" customWidth="1"/>
    <col min="11" max="16384" width="8.88671875" style="267"/>
  </cols>
  <sheetData>
    <row r="1" spans="1:11" x14ac:dyDescent="0.35">
      <c r="A1" s="356" t="s">
        <v>74</v>
      </c>
      <c r="B1" s="357"/>
      <c r="C1" s="357"/>
      <c r="D1" s="357"/>
      <c r="E1" s="358"/>
      <c r="G1" s="356" t="s">
        <v>76</v>
      </c>
      <c r="H1" s="357"/>
      <c r="I1" s="357"/>
      <c r="J1" s="357"/>
      <c r="K1" s="358"/>
    </row>
    <row r="2" spans="1:11" x14ac:dyDescent="0.35">
      <c r="A2" s="359" t="s">
        <v>601</v>
      </c>
      <c r="B2" s="360"/>
      <c r="C2" s="360"/>
      <c r="D2" s="360"/>
      <c r="E2" s="361"/>
      <c r="G2" s="359" t="s">
        <v>601</v>
      </c>
      <c r="H2" s="360"/>
      <c r="I2" s="360"/>
      <c r="J2" s="360"/>
      <c r="K2" s="361"/>
    </row>
    <row r="3" spans="1:11" ht="54" x14ac:dyDescent="0.35">
      <c r="A3" s="320"/>
      <c r="B3" s="321"/>
      <c r="C3" s="322" t="s">
        <v>10</v>
      </c>
      <c r="D3" s="323" t="s">
        <v>11</v>
      </c>
      <c r="E3" s="324" t="s">
        <v>19</v>
      </c>
      <c r="G3" s="320"/>
      <c r="H3" s="321"/>
      <c r="I3" s="322" t="s">
        <v>10</v>
      </c>
      <c r="J3" s="323" t="s">
        <v>11</v>
      </c>
      <c r="K3" s="324" t="s">
        <v>19</v>
      </c>
    </row>
    <row r="4" spans="1:11" x14ac:dyDescent="0.35">
      <c r="A4" s="320" t="s">
        <v>0</v>
      </c>
      <c r="B4" s="325" t="s">
        <v>7</v>
      </c>
      <c r="C4" s="326" t="s">
        <v>9</v>
      </c>
      <c r="D4" s="326" t="s">
        <v>9</v>
      </c>
      <c r="E4" s="324" t="s">
        <v>9</v>
      </c>
      <c r="G4" s="320" t="s">
        <v>0</v>
      </c>
      <c r="H4" s="325" t="s">
        <v>7</v>
      </c>
      <c r="I4" s="326" t="s">
        <v>9</v>
      </c>
      <c r="J4" s="326" t="s">
        <v>9</v>
      </c>
      <c r="K4" s="324" t="s">
        <v>9</v>
      </c>
    </row>
    <row r="5" spans="1:11" x14ac:dyDescent="0.35">
      <c r="A5" s="320">
        <v>1</v>
      </c>
      <c r="B5" s="321" t="s">
        <v>51</v>
      </c>
      <c r="C5" s="327">
        <v>6.9</v>
      </c>
      <c r="D5" s="327">
        <v>64.900000000000006</v>
      </c>
      <c r="E5" s="328">
        <f>C5+D5</f>
        <v>71.800000000000011</v>
      </c>
      <c r="G5" s="320">
        <v>1</v>
      </c>
      <c r="H5" s="321" t="s">
        <v>62</v>
      </c>
      <c r="I5" s="327">
        <v>26.5</v>
      </c>
      <c r="J5" s="327">
        <v>88.8</v>
      </c>
      <c r="K5" s="328">
        <f>I5+J5</f>
        <v>115.3</v>
      </c>
    </row>
    <row r="6" spans="1:11" x14ac:dyDescent="0.35">
      <c r="A6" s="320">
        <v>2</v>
      </c>
      <c r="B6" s="321" t="s">
        <v>49</v>
      </c>
      <c r="C6" s="327">
        <v>18.100000000000001</v>
      </c>
      <c r="D6" s="327">
        <v>77.8</v>
      </c>
      <c r="E6" s="328">
        <f t="shared" ref="E6:E15" si="0">C6+D6</f>
        <v>95.9</v>
      </c>
      <c r="G6" s="320">
        <v>2</v>
      </c>
      <c r="H6" s="321" t="s">
        <v>61</v>
      </c>
      <c r="I6" s="327">
        <v>89.3</v>
      </c>
      <c r="J6" s="327">
        <v>148.5</v>
      </c>
      <c r="K6" s="328">
        <f>I6+J6</f>
        <v>237.8</v>
      </c>
    </row>
    <row r="7" spans="1:11" ht="18.600000000000001" thickBot="1" x14ac:dyDescent="0.4">
      <c r="A7" s="320">
        <v>3</v>
      </c>
      <c r="B7" s="321" t="s">
        <v>41</v>
      </c>
      <c r="C7" s="327">
        <v>102.8</v>
      </c>
      <c r="D7" s="327">
        <v>116.3</v>
      </c>
      <c r="E7" s="328">
        <f t="shared" si="0"/>
        <v>219.1</v>
      </c>
      <c r="G7" s="329"/>
      <c r="H7" s="330" t="s">
        <v>20</v>
      </c>
      <c r="I7" s="331">
        <f>SUM(I5:I6)</f>
        <v>115.8</v>
      </c>
      <c r="J7" s="331">
        <f>SUM(J5:J6)</f>
        <v>237.3</v>
      </c>
      <c r="K7" s="331">
        <f>SUM(K5:K6)</f>
        <v>353.1</v>
      </c>
    </row>
    <row r="8" spans="1:11" x14ac:dyDescent="0.35">
      <c r="A8" s="320">
        <v>4</v>
      </c>
      <c r="B8" s="321" t="s">
        <v>42</v>
      </c>
      <c r="C8" s="327">
        <v>105.3</v>
      </c>
      <c r="D8" s="327">
        <v>199.2</v>
      </c>
      <c r="E8" s="328">
        <f t="shared" si="0"/>
        <v>304.5</v>
      </c>
    </row>
    <row r="9" spans="1:11" x14ac:dyDescent="0.35">
      <c r="A9" s="320">
        <v>5</v>
      </c>
      <c r="B9" s="321" t="s">
        <v>47</v>
      </c>
      <c r="C9" s="327">
        <v>95.2</v>
      </c>
      <c r="D9" s="327">
        <v>127.7</v>
      </c>
      <c r="E9" s="328">
        <f t="shared" si="0"/>
        <v>222.9</v>
      </c>
    </row>
    <row r="10" spans="1:11" x14ac:dyDescent="0.35">
      <c r="A10" s="320">
        <v>6</v>
      </c>
      <c r="B10" s="321" t="s">
        <v>43</v>
      </c>
      <c r="C10" s="327">
        <v>58.8</v>
      </c>
      <c r="D10" s="327">
        <v>105.2</v>
      </c>
      <c r="E10" s="328">
        <f t="shared" si="0"/>
        <v>164</v>
      </c>
    </row>
    <row r="11" spans="1:11" x14ac:dyDescent="0.35">
      <c r="A11" s="320">
        <v>7</v>
      </c>
      <c r="B11" s="321" t="s">
        <v>44</v>
      </c>
      <c r="C11" s="327">
        <v>37.299999999999997</v>
      </c>
      <c r="D11" s="327">
        <v>96.6</v>
      </c>
      <c r="E11" s="328">
        <f t="shared" si="0"/>
        <v>133.89999999999998</v>
      </c>
    </row>
    <row r="12" spans="1:11" x14ac:dyDescent="0.35">
      <c r="A12" s="320">
        <v>8</v>
      </c>
      <c r="B12" s="321" t="s">
        <v>48</v>
      </c>
      <c r="C12" s="327">
        <v>13.2</v>
      </c>
      <c r="D12" s="327">
        <v>39</v>
      </c>
      <c r="E12" s="328">
        <f t="shared" si="0"/>
        <v>52.2</v>
      </c>
    </row>
    <row r="13" spans="1:11" ht="18.600000000000001" thickBot="1" x14ac:dyDescent="0.4">
      <c r="A13" s="320">
        <v>9</v>
      </c>
      <c r="B13" s="321" t="s">
        <v>50</v>
      </c>
      <c r="C13" s="327">
        <v>20.5</v>
      </c>
      <c r="D13" s="327">
        <v>22.6</v>
      </c>
      <c r="E13" s="328">
        <f t="shared" si="0"/>
        <v>43.1</v>
      </c>
    </row>
    <row r="14" spans="1:11" x14ac:dyDescent="0.35">
      <c r="A14" s="320">
        <v>10</v>
      </c>
      <c r="B14" s="321" t="s">
        <v>45</v>
      </c>
      <c r="C14" s="327">
        <v>4.7</v>
      </c>
      <c r="D14" s="327">
        <v>43.5</v>
      </c>
      <c r="E14" s="328">
        <f t="shared" si="0"/>
        <v>48.2</v>
      </c>
      <c r="G14" s="356" t="s">
        <v>611</v>
      </c>
      <c r="H14" s="357"/>
      <c r="I14" s="357"/>
      <c r="J14" s="357"/>
      <c r="K14" s="358"/>
    </row>
    <row r="15" spans="1:11" x14ac:dyDescent="0.35">
      <c r="A15" s="320">
        <v>11</v>
      </c>
      <c r="B15" s="321" t="s">
        <v>46</v>
      </c>
      <c r="C15" s="327">
        <v>10.6</v>
      </c>
      <c r="D15" s="327">
        <v>34.4</v>
      </c>
      <c r="E15" s="328">
        <f t="shared" si="0"/>
        <v>45</v>
      </c>
      <c r="G15" s="359" t="s">
        <v>601</v>
      </c>
      <c r="H15" s="360"/>
      <c r="I15" s="360"/>
      <c r="J15" s="360"/>
      <c r="K15" s="361"/>
    </row>
    <row r="16" spans="1:11" ht="54.6" thickBot="1" x14ac:dyDescent="0.4">
      <c r="A16" s="329"/>
      <c r="B16" s="330" t="s">
        <v>20</v>
      </c>
      <c r="C16" s="331">
        <f>SUM(C5:C15)</f>
        <v>473.40000000000003</v>
      </c>
      <c r="D16" s="331">
        <f t="shared" ref="D16:E16" si="1">SUM(D5:D15)</f>
        <v>927.2</v>
      </c>
      <c r="E16" s="331">
        <f t="shared" si="1"/>
        <v>1400.6</v>
      </c>
      <c r="G16" s="320"/>
      <c r="H16" s="321"/>
      <c r="I16" s="322" t="s">
        <v>10</v>
      </c>
      <c r="J16" s="323" t="s">
        <v>11</v>
      </c>
      <c r="K16" s="324" t="s">
        <v>19</v>
      </c>
    </row>
    <row r="17" spans="1:11" ht="28.8" customHeight="1" thickBot="1" x14ac:dyDescent="0.4">
      <c r="G17" s="320" t="s">
        <v>0</v>
      </c>
      <c r="H17" s="325" t="s">
        <v>7</v>
      </c>
      <c r="I17" s="326" t="s">
        <v>9</v>
      </c>
      <c r="J17" s="326" t="s">
        <v>9</v>
      </c>
      <c r="K17" s="332" t="s">
        <v>9</v>
      </c>
    </row>
    <row r="18" spans="1:11" x14ac:dyDescent="0.35">
      <c r="A18" s="356" t="s">
        <v>75</v>
      </c>
      <c r="B18" s="357"/>
      <c r="C18" s="357"/>
      <c r="D18" s="357"/>
      <c r="E18" s="358"/>
      <c r="G18" s="320">
        <v>1</v>
      </c>
      <c r="H18" s="321" t="s">
        <v>612</v>
      </c>
      <c r="I18" s="327">
        <v>81.5</v>
      </c>
      <c r="J18" s="327">
        <v>265.39999999999998</v>
      </c>
      <c r="K18" s="332">
        <f t="shared" ref="K18:K26" si="2">I18+J18</f>
        <v>346.9</v>
      </c>
    </row>
    <row r="19" spans="1:11" x14ac:dyDescent="0.35">
      <c r="A19" s="359" t="s">
        <v>601</v>
      </c>
      <c r="B19" s="360"/>
      <c r="C19" s="360"/>
      <c r="D19" s="360"/>
      <c r="E19" s="361"/>
      <c r="G19" s="320">
        <v>2</v>
      </c>
      <c r="H19" s="321" t="s">
        <v>63</v>
      </c>
      <c r="I19" s="327">
        <v>44.4</v>
      </c>
      <c r="J19" s="327">
        <v>95.2</v>
      </c>
      <c r="K19" s="332">
        <f t="shared" si="2"/>
        <v>139.6</v>
      </c>
    </row>
    <row r="20" spans="1:11" ht="28.2" customHeight="1" x14ac:dyDescent="0.35">
      <c r="A20" s="320"/>
      <c r="B20" s="321"/>
      <c r="C20" s="322" t="s">
        <v>10</v>
      </c>
      <c r="D20" s="323" t="s">
        <v>11</v>
      </c>
      <c r="E20" s="324" t="s">
        <v>19</v>
      </c>
      <c r="G20" s="320">
        <v>3</v>
      </c>
      <c r="H20" s="321" t="s">
        <v>64</v>
      </c>
      <c r="I20" s="327">
        <v>31.6</v>
      </c>
      <c r="J20" s="327">
        <v>77.099999999999994</v>
      </c>
      <c r="K20" s="332">
        <f t="shared" si="2"/>
        <v>108.69999999999999</v>
      </c>
    </row>
    <row r="21" spans="1:11" x14ac:dyDescent="0.35">
      <c r="A21" s="320" t="s">
        <v>0</v>
      </c>
      <c r="B21" s="325" t="s">
        <v>7</v>
      </c>
      <c r="C21" s="326" t="s">
        <v>9</v>
      </c>
      <c r="D21" s="326" t="s">
        <v>9</v>
      </c>
      <c r="E21" s="332" t="s">
        <v>9</v>
      </c>
      <c r="G21" s="320">
        <v>4</v>
      </c>
      <c r="H21" s="321" t="s">
        <v>65</v>
      </c>
      <c r="I21" s="327">
        <v>50.7</v>
      </c>
      <c r="J21" s="327">
        <v>64.8</v>
      </c>
      <c r="K21" s="332">
        <f t="shared" si="2"/>
        <v>115.5</v>
      </c>
    </row>
    <row r="22" spans="1:11" x14ac:dyDescent="0.35">
      <c r="A22" s="320">
        <v>1</v>
      </c>
      <c r="B22" s="321" t="s">
        <v>58</v>
      </c>
      <c r="C22" s="327">
        <v>88.5</v>
      </c>
      <c r="D22" s="327">
        <v>163.1</v>
      </c>
      <c r="E22" s="328">
        <f>C22+D22</f>
        <v>251.6</v>
      </c>
      <c r="G22" s="320">
        <v>5</v>
      </c>
      <c r="H22" s="321" t="s">
        <v>67</v>
      </c>
      <c r="I22" s="327">
        <v>73.400000000000006</v>
      </c>
      <c r="J22" s="327">
        <v>35.4</v>
      </c>
      <c r="K22" s="332">
        <f t="shared" si="2"/>
        <v>108.80000000000001</v>
      </c>
    </row>
    <row r="23" spans="1:11" x14ac:dyDescent="0.35">
      <c r="A23" s="320">
        <v>2</v>
      </c>
      <c r="B23" s="321" t="s">
        <v>54</v>
      </c>
      <c r="C23" s="327">
        <v>7</v>
      </c>
      <c r="D23" s="327">
        <v>62.3</v>
      </c>
      <c r="E23" s="328">
        <f t="shared" ref="E23:E26" si="3">C23+D23</f>
        <v>69.3</v>
      </c>
      <c r="G23" s="320">
        <v>6</v>
      </c>
      <c r="H23" s="321" t="s">
        <v>72</v>
      </c>
      <c r="I23" s="327">
        <v>74.8</v>
      </c>
      <c r="J23" s="327">
        <v>37.700000000000003</v>
      </c>
      <c r="K23" s="332">
        <f t="shared" si="2"/>
        <v>112.5</v>
      </c>
    </row>
    <row r="24" spans="1:11" x14ac:dyDescent="0.35">
      <c r="A24" s="320">
        <v>3</v>
      </c>
      <c r="B24" s="321" t="s">
        <v>59</v>
      </c>
      <c r="C24" s="327">
        <v>76</v>
      </c>
      <c r="D24" s="327">
        <v>95.3</v>
      </c>
      <c r="E24" s="328">
        <f t="shared" si="3"/>
        <v>171.3</v>
      </c>
      <c r="G24" s="320">
        <v>7</v>
      </c>
      <c r="H24" s="321" t="s">
        <v>71</v>
      </c>
      <c r="I24" s="327">
        <v>25.2</v>
      </c>
      <c r="J24" s="327">
        <v>17</v>
      </c>
      <c r="K24" s="332">
        <f t="shared" si="2"/>
        <v>42.2</v>
      </c>
    </row>
    <row r="25" spans="1:11" x14ac:dyDescent="0.35">
      <c r="A25" s="320">
        <v>4</v>
      </c>
      <c r="B25" s="321" t="s">
        <v>55</v>
      </c>
      <c r="C25" s="327">
        <v>201.6</v>
      </c>
      <c r="D25" s="327">
        <v>141.9</v>
      </c>
      <c r="E25" s="328">
        <f t="shared" si="3"/>
        <v>343.5</v>
      </c>
      <c r="G25" s="320">
        <v>8</v>
      </c>
      <c r="H25" s="321" t="s">
        <v>73</v>
      </c>
      <c r="I25" s="327">
        <v>50.6</v>
      </c>
      <c r="J25" s="327">
        <v>61</v>
      </c>
      <c r="K25" s="332">
        <f t="shared" si="2"/>
        <v>111.6</v>
      </c>
    </row>
    <row r="26" spans="1:11" x14ac:dyDescent="0.35">
      <c r="A26" s="320">
        <v>5</v>
      </c>
      <c r="B26" s="321" t="s">
        <v>52</v>
      </c>
      <c r="C26" s="327">
        <v>25.4</v>
      </c>
      <c r="D26" s="327">
        <v>16.7</v>
      </c>
      <c r="E26" s="328">
        <f t="shared" si="3"/>
        <v>42.099999999999994</v>
      </c>
      <c r="G26" s="320">
        <v>9</v>
      </c>
      <c r="H26" s="321" t="s">
        <v>66</v>
      </c>
      <c r="I26" s="327">
        <v>25.2</v>
      </c>
      <c r="J26" s="327">
        <v>153.5</v>
      </c>
      <c r="K26" s="332">
        <f t="shared" si="2"/>
        <v>178.7</v>
      </c>
    </row>
    <row r="27" spans="1:11" ht="18.600000000000001" thickBot="1" x14ac:dyDescent="0.4">
      <c r="A27" s="329"/>
      <c r="B27" s="330" t="s">
        <v>20</v>
      </c>
      <c r="C27" s="331">
        <f>SUM(C22:C26)</f>
        <v>398.5</v>
      </c>
      <c r="D27" s="331">
        <f>SUM(D22:D26)</f>
        <v>479.3</v>
      </c>
      <c r="E27" s="331">
        <f>SUM(E22:E26)</f>
        <v>877.80000000000007</v>
      </c>
      <c r="G27" s="329"/>
      <c r="H27" s="330" t="s">
        <v>20</v>
      </c>
      <c r="I27" s="333">
        <f>SUM(I18:I26)</f>
        <v>457.40000000000003</v>
      </c>
      <c r="J27" s="333">
        <f>SUM(J18:J26)</f>
        <v>807.1</v>
      </c>
      <c r="K27" s="333">
        <f>SUM(K18:K26)</f>
        <v>1264.5</v>
      </c>
    </row>
    <row r="28" spans="1:11" ht="18.600000000000001" thickBot="1" x14ac:dyDescent="0.4">
      <c r="A28" s="334"/>
      <c r="B28" s="334"/>
      <c r="C28" s="334"/>
      <c r="D28" s="334"/>
      <c r="E28" s="334"/>
      <c r="G28" s="334"/>
      <c r="H28" s="334"/>
      <c r="I28" s="334"/>
      <c r="J28" s="334"/>
      <c r="K28" s="334"/>
    </row>
    <row r="29" spans="1:11" x14ac:dyDescent="0.35">
      <c r="A29" s="374" t="s">
        <v>75</v>
      </c>
      <c r="B29" s="375"/>
      <c r="C29" s="375"/>
      <c r="D29" s="375"/>
      <c r="E29" s="376"/>
      <c r="G29" s="374" t="s">
        <v>611</v>
      </c>
      <c r="H29" s="375"/>
      <c r="I29" s="375"/>
      <c r="J29" s="375"/>
      <c r="K29" s="376"/>
    </row>
    <row r="30" spans="1:11" x14ac:dyDescent="0.35">
      <c r="A30" s="365" t="s">
        <v>602</v>
      </c>
      <c r="B30" s="366"/>
      <c r="C30" s="366"/>
      <c r="D30" s="366"/>
      <c r="E30" s="367"/>
      <c r="G30" s="365" t="s">
        <v>602</v>
      </c>
      <c r="H30" s="366"/>
      <c r="I30" s="366"/>
      <c r="J30" s="366"/>
      <c r="K30" s="367"/>
    </row>
    <row r="31" spans="1:11" ht="54" x14ac:dyDescent="0.35">
      <c r="A31" s="306"/>
      <c r="B31" s="307"/>
      <c r="C31" s="308" t="s">
        <v>10</v>
      </c>
      <c r="D31" s="309" t="s">
        <v>11</v>
      </c>
      <c r="E31" s="310" t="s">
        <v>19</v>
      </c>
      <c r="G31" s="306"/>
      <c r="H31" s="307"/>
      <c r="I31" s="308" t="s">
        <v>10</v>
      </c>
      <c r="J31" s="309" t="s">
        <v>11</v>
      </c>
      <c r="K31" s="310" t="s">
        <v>19</v>
      </c>
    </row>
    <row r="32" spans="1:11" x14ac:dyDescent="0.35">
      <c r="A32" s="306" t="s">
        <v>0</v>
      </c>
      <c r="B32" s="311" t="s">
        <v>7</v>
      </c>
      <c r="C32" s="312" t="s">
        <v>9</v>
      </c>
      <c r="D32" s="312" t="s">
        <v>9</v>
      </c>
      <c r="E32" s="313" t="s">
        <v>9</v>
      </c>
      <c r="G32" s="306" t="s">
        <v>0</v>
      </c>
      <c r="H32" s="311" t="s">
        <v>7</v>
      </c>
      <c r="I32" s="312" t="s">
        <v>9</v>
      </c>
      <c r="J32" s="312" t="s">
        <v>9</v>
      </c>
      <c r="K32" s="313" t="s">
        <v>9</v>
      </c>
    </row>
    <row r="33" spans="1:11" x14ac:dyDescent="0.35">
      <c r="A33" s="306">
        <v>1</v>
      </c>
      <c r="B33" s="307" t="s">
        <v>60</v>
      </c>
      <c r="C33" s="314">
        <v>15.6</v>
      </c>
      <c r="D33" s="314">
        <v>68.400000000000006</v>
      </c>
      <c r="E33" s="315">
        <f>C33+D33</f>
        <v>84</v>
      </c>
      <c r="G33" s="306">
        <v>1</v>
      </c>
      <c r="H33" s="307" t="s">
        <v>69</v>
      </c>
      <c r="I33" s="314">
        <v>2.8</v>
      </c>
      <c r="J33" s="314">
        <v>54.9</v>
      </c>
      <c r="K33" s="315">
        <f>I33+J33</f>
        <v>57.699999999999996</v>
      </c>
    </row>
    <row r="34" spans="1:11" x14ac:dyDescent="0.35">
      <c r="A34" s="306">
        <v>2</v>
      </c>
      <c r="B34" s="307" t="s">
        <v>53</v>
      </c>
      <c r="C34" s="314">
        <v>38</v>
      </c>
      <c r="D34" s="314">
        <v>39.5</v>
      </c>
      <c r="E34" s="315">
        <f t="shared" ref="E34:E37" si="4">C34+D34</f>
        <v>77.5</v>
      </c>
      <c r="G34" s="306">
        <v>2</v>
      </c>
      <c r="H34" s="307" t="s">
        <v>68</v>
      </c>
      <c r="I34" s="314">
        <v>7.4</v>
      </c>
      <c r="J34" s="314">
        <v>28.1</v>
      </c>
      <c r="K34" s="315">
        <f>I34+J34</f>
        <v>35.5</v>
      </c>
    </row>
    <row r="35" spans="1:11" x14ac:dyDescent="0.35">
      <c r="A35" s="306">
        <v>3</v>
      </c>
      <c r="B35" s="307" t="s">
        <v>56</v>
      </c>
      <c r="C35" s="314">
        <v>3</v>
      </c>
      <c r="D35" s="314">
        <v>28.3</v>
      </c>
      <c r="E35" s="315">
        <f t="shared" si="4"/>
        <v>31.3</v>
      </c>
      <c r="G35" s="306">
        <v>3</v>
      </c>
      <c r="H35" s="307" t="s">
        <v>70</v>
      </c>
      <c r="I35" s="314">
        <v>1.6</v>
      </c>
      <c r="J35" s="314">
        <v>57.6</v>
      </c>
      <c r="K35" s="315">
        <f>I35+J35</f>
        <v>59.2</v>
      </c>
    </row>
    <row r="36" spans="1:11" ht="18.600000000000001" thickBot="1" x14ac:dyDescent="0.4">
      <c r="A36" s="306">
        <v>4</v>
      </c>
      <c r="B36" s="307" t="s">
        <v>57</v>
      </c>
      <c r="C36" s="314">
        <v>1</v>
      </c>
      <c r="D36" s="314">
        <v>33</v>
      </c>
      <c r="E36" s="315">
        <f t="shared" si="4"/>
        <v>34</v>
      </c>
      <c r="G36" s="335"/>
      <c r="H36" s="336" t="s">
        <v>20</v>
      </c>
      <c r="I36" s="337">
        <f>SUM(I33:I35)</f>
        <v>11.799999999999999</v>
      </c>
      <c r="J36" s="337">
        <f>SUM(J33:J35)</f>
        <v>140.6</v>
      </c>
      <c r="K36" s="338">
        <f>SUM(K33:K35)</f>
        <v>152.39999999999998</v>
      </c>
    </row>
    <row r="37" spans="1:11" x14ac:dyDescent="0.35">
      <c r="A37" s="306">
        <v>5</v>
      </c>
      <c r="B37" s="307" t="s">
        <v>609</v>
      </c>
      <c r="C37" s="314">
        <v>8.1999999999999993</v>
      </c>
      <c r="D37" s="314">
        <v>6.2</v>
      </c>
      <c r="E37" s="315">
        <f t="shared" si="4"/>
        <v>14.399999999999999</v>
      </c>
    </row>
    <row r="38" spans="1:11" ht="18.600000000000001" thickBot="1" x14ac:dyDescent="0.4">
      <c r="A38" s="335"/>
      <c r="B38" s="336" t="s">
        <v>20</v>
      </c>
      <c r="C38" s="337">
        <f>SUM(C33:C37)</f>
        <v>65.8</v>
      </c>
      <c r="D38" s="337">
        <f>SUM(D33:D37)</f>
        <v>175.4</v>
      </c>
      <c r="E38" s="338">
        <f>SUM(E33:E37)</f>
        <v>241.20000000000002</v>
      </c>
    </row>
    <row r="39" spans="1:11" ht="18.600000000000001" thickBot="1" x14ac:dyDescent="0.4"/>
    <row r="40" spans="1:11" x14ac:dyDescent="0.35">
      <c r="A40" s="368" t="s">
        <v>613</v>
      </c>
      <c r="B40" s="369"/>
      <c r="C40" s="369"/>
      <c r="D40" s="369"/>
      <c r="E40" s="370"/>
      <c r="G40" s="362" t="s">
        <v>613</v>
      </c>
      <c r="H40" s="363"/>
      <c r="I40" s="363"/>
      <c r="J40" s="363"/>
      <c r="K40" s="364"/>
    </row>
    <row r="41" spans="1:11" x14ac:dyDescent="0.35">
      <c r="A41" s="371" t="s">
        <v>601</v>
      </c>
      <c r="B41" s="372"/>
      <c r="C41" s="372"/>
      <c r="D41" s="372"/>
      <c r="E41" s="373"/>
      <c r="G41" s="365" t="s">
        <v>602</v>
      </c>
      <c r="H41" s="366"/>
      <c r="I41" s="366"/>
      <c r="J41" s="366"/>
      <c r="K41" s="367"/>
    </row>
    <row r="42" spans="1:11" ht="54" x14ac:dyDescent="0.35">
      <c r="A42" s="320"/>
      <c r="B42" s="321"/>
      <c r="C42" s="322" t="s">
        <v>10</v>
      </c>
      <c r="D42" s="323" t="s">
        <v>11</v>
      </c>
      <c r="E42" s="324" t="s">
        <v>19</v>
      </c>
      <c r="G42" s="306"/>
      <c r="H42" s="307"/>
      <c r="I42" s="308" t="s">
        <v>10</v>
      </c>
      <c r="J42" s="309" t="s">
        <v>11</v>
      </c>
      <c r="K42" s="310" t="s">
        <v>19</v>
      </c>
    </row>
    <row r="43" spans="1:11" x14ac:dyDescent="0.35">
      <c r="A43" s="320"/>
      <c r="B43" s="325"/>
      <c r="C43" s="326" t="s">
        <v>9</v>
      </c>
      <c r="D43" s="326" t="s">
        <v>9</v>
      </c>
      <c r="E43" s="332" t="s">
        <v>9</v>
      </c>
      <c r="G43" s="306"/>
      <c r="H43" s="311"/>
      <c r="I43" s="312" t="s">
        <v>9</v>
      </c>
      <c r="J43" s="312" t="s">
        <v>9</v>
      </c>
      <c r="K43" s="313" t="s">
        <v>9</v>
      </c>
    </row>
    <row r="44" spans="1:11" ht="18.600000000000001" thickBot="1" x14ac:dyDescent="0.4">
      <c r="A44" s="320"/>
      <c r="B44" s="325"/>
      <c r="C44" s="327">
        <f>C27+C16+I7+I27</f>
        <v>1445.1000000000001</v>
      </c>
      <c r="D44" s="327">
        <f>D27+D16+J7+J27</f>
        <v>2450.9</v>
      </c>
      <c r="E44" s="328">
        <f>E27+E16+K7+K27</f>
        <v>3896</v>
      </c>
      <c r="G44" s="316"/>
      <c r="H44" s="317"/>
      <c r="I44" s="318">
        <f>C38+I36</f>
        <v>77.599999999999994</v>
      </c>
      <c r="J44" s="318">
        <f>D38+J36</f>
        <v>316</v>
      </c>
      <c r="K44" s="319">
        <f>E38+K36</f>
        <v>393.6</v>
      </c>
    </row>
  </sheetData>
  <mergeCells count="16">
    <mergeCell ref="G1:K1"/>
    <mergeCell ref="G2:K2"/>
    <mergeCell ref="G40:K40"/>
    <mergeCell ref="G41:K41"/>
    <mergeCell ref="A40:E40"/>
    <mergeCell ref="A41:E41"/>
    <mergeCell ref="G14:K14"/>
    <mergeCell ref="G15:K15"/>
    <mergeCell ref="G29:K29"/>
    <mergeCell ref="G30:K30"/>
    <mergeCell ref="A1:E1"/>
    <mergeCell ref="A2:E2"/>
    <mergeCell ref="A29:E29"/>
    <mergeCell ref="A30:E30"/>
    <mergeCell ref="A18:E18"/>
    <mergeCell ref="A19:E19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8"/>
  <sheetViews>
    <sheetView topLeftCell="A4"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9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Лист1!BU22+Лист1!BV22</f>
        <v>538.60799999999995</v>
      </c>
    </row>
    <row r="4" spans="1:5" ht="36" x14ac:dyDescent="0.35">
      <c r="A4" s="269">
        <v>2</v>
      </c>
      <c r="B4" s="270" t="s">
        <v>139</v>
      </c>
      <c r="C4" s="272" t="s">
        <v>153</v>
      </c>
      <c r="D4" s="272" t="s">
        <v>96</v>
      </c>
      <c r="E4" s="273">
        <f>'6.n21s3f'!E28</f>
        <v>1705.3000000000002</v>
      </c>
    </row>
    <row r="5" spans="1:5" ht="90" x14ac:dyDescent="0.35">
      <c r="A5" s="269">
        <v>3</v>
      </c>
      <c r="B5" s="292" t="s">
        <v>166</v>
      </c>
      <c r="C5" s="293" t="s">
        <v>179</v>
      </c>
      <c r="D5" s="293" t="s">
        <v>96</v>
      </c>
      <c r="E5" s="273">
        <f>'6.n21s3f'!I28</f>
        <v>70.099999999999994</v>
      </c>
    </row>
    <row r="6" spans="1:5" ht="90" x14ac:dyDescent="0.35">
      <c r="A6" s="269">
        <v>4</v>
      </c>
      <c r="B6" s="294" t="s">
        <v>166</v>
      </c>
      <c r="C6" s="295" t="s">
        <v>185</v>
      </c>
      <c r="D6" s="295" t="s">
        <v>96</v>
      </c>
      <c r="E6" s="273">
        <f>'6.n21s3f'!J28</f>
        <v>208.3</v>
      </c>
    </row>
    <row r="7" spans="1:5" ht="90" x14ac:dyDescent="0.35">
      <c r="A7" s="269">
        <v>5</v>
      </c>
      <c r="B7" s="296" t="s">
        <v>192</v>
      </c>
      <c r="C7" s="297" t="s">
        <v>179</v>
      </c>
      <c r="D7" s="297" t="s">
        <v>96</v>
      </c>
      <c r="E7" s="273">
        <f>'6.n21s3f'!C28</f>
        <v>749.7</v>
      </c>
    </row>
    <row r="8" spans="1:5" ht="90" x14ac:dyDescent="0.35">
      <c r="A8" s="269">
        <v>6</v>
      </c>
      <c r="B8" s="298" t="s">
        <v>192</v>
      </c>
      <c r="C8" s="299" t="s">
        <v>206</v>
      </c>
      <c r="D8" s="299" t="s">
        <v>96</v>
      </c>
      <c r="E8" s="273">
        <f>'6.n21s3f'!D28</f>
        <v>955.59999999999991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K28"/>
  <sheetViews>
    <sheetView topLeftCell="A4"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7" width="8.88671875" style="267"/>
    <col min="8" max="8" width="13.6640625" style="267" customWidth="1"/>
    <col min="9" max="9" width="12.6640625" style="267" customWidth="1"/>
    <col min="10" max="10" width="17" style="267" customWidth="1"/>
    <col min="11" max="16384" width="8.88671875" style="267"/>
  </cols>
  <sheetData>
    <row r="1" spans="1:11" x14ac:dyDescent="0.35">
      <c r="A1" s="349" t="s">
        <v>645</v>
      </c>
      <c r="B1" s="350"/>
      <c r="C1" s="350"/>
      <c r="D1" s="350"/>
      <c r="E1" s="351"/>
      <c r="G1" s="349" t="s">
        <v>646</v>
      </c>
      <c r="H1" s="350"/>
      <c r="I1" s="350"/>
      <c r="J1" s="350"/>
      <c r="K1" s="351"/>
    </row>
    <row r="2" spans="1:11" x14ac:dyDescent="0.35">
      <c r="A2" s="352" t="s">
        <v>601</v>
      </c>
      <c r="B2" s="353"/>
      <c r="C2" s="353"/>
      <c r="D2" s="353"/>
      <c r="E2" s="354"/>
      <c r="G2" s="352" t="s">
        <v>601</v>
      </c>
      <c r="H2" s="353"/>
      <c r="I2" s="353"/>
      <c r="J2" s="353"/>
      <c r="K2" s="354"/>
    </row>
    <row r="3" spans="1:11" ht="54" x14ac:dyDescent="0.35">
      <c r="A3" s="279"/>
      <c r="B3" s="280"/>
      <c r="C3" s="281" t="s">
        <v>10</v>
      </c>
      <c r="D3" s="282" t="s">
        <v>11</v>
      </c>
      <c r="E3" s="283" t="s">
        <v>19</v>
      </c>
      <c r="G3" s="279"/>
      <c r="H3" s="280"/>
      <c r="I3" s="281" t="s">
        <v>10</v>
      </c>
      <c r="J3" s="282" t="s">
        <v>11</v>
      </c>
      <c r="K3" s="283" t="s">
        <v>19</v>
      </c>
    </row>
    <row r="4" spans="1:11" x14ac:dyDescent="0.35">
      <c r="A4" s="279" t="s">
        <v>0</v>
      </c>
      <c r="B4" s="284" t="s">
        <v>7</v>
      </c>
      <c r="C4" s="285" t="s">
        <v>9</v>
      </c>
      <c r="D4" s="285" t="s">
        <v>9</v>
      </c>
      <c r="E4" s="283" t="s">
        <v>9</v>
      </c>
      <c r="G4" s="279" t="s">
        <v>0</v>
      </c>
      <c r="H4" s="284" t="s">
        <v>7</v>
      </c>
      <c r="I4" s="285" t="s">
        <v>9</v>
      </c>
      <c r="J4" s="285" t="s">
        <v>9</v>
      </c>
      <c r="K4" s="283" t="s">
        <v>9</v>
      </c>
    </row>
    <row r="5" spans="1:11" x14ac:dyDescent="0.35">
      <c r="A5" s="279">
        <v>1</v>
      </c>
      <c r="B5" s="280" t="s">
        <v>637</v>
      </c>
      <c r="C5" s="286">
        <v>67.8</v>
      </c>
      <c r="D5" s="286">
        <v>57.8</v>
      </c>
      <c r="E5" s="287">
        <f>C5+D5</f>
        <v>125.6</v>
      </c>
      <c r="G5" s="279">
        <v>1</v>
      </c>
      <c r="H5" s="280" t="s">
        <v>647</v>
      </c>
      <c r="I5" s="286">
        <v>151.6</v>
      </c>
      <c r="J5" s="286">
        <v>198.9</v>
      </c>
      <c r="K5" s="287">
        <f>I5+J5</f>
        <v>350.5</v>
      </c>
    </row>
    <row r="6" spans="1:11" x14ac:dyDescent="0.35">
      <c r="A6" s="279">
        <v>2</v>
      </c>
      <c r="B6" s="280" t="s">
        <v>638</v>
      </c>
      <c r="C6" s="286">
        <v>49.9</v>
      </c>
      <c r="D6" s="286">
        <v>59.8</v>
      </c>
      <c r="E6" s="287">
        <f t="shared" ref="E6:E11" si="0">C6+D6</f>
        <v>109.69999999999999</v>
      </c>
      <c r="G6" s="279">
        <v>2</v>
      </c>
      <c r="H6" s="280" t="s">
        <v>648</v>
      </c>
      <c r="I6" s="286">
        <v>34.1</v>
      </c>
      <c r="J6" s="286">
        <v>82.6</v>
      </c>
      <c r="K6" s="287">
        <f>I6+J6</f>
        <v>116.69999999999999</v>
      </c>
    </row>
    <row r="7" spans="1:11" x14ac:dyDescent="0.35">
      <c r="A7" s="279">
        <v>3</v>
      </c>
      <c r="B7" s="280" t="s">
        <v>639</v>
      </c>
      <c r="C7" s="286">
        <v>64.8</v>
      </c>
      <c r="D7" s="286">
        <v>70.400000000000006</v>
      </c>
      <c r="E7" s="287">
        <f t="shared" si="0"/>
        <v>135.19999999999999</v>
      </c>
      <c r="G7" s="279">
        <v>3</v>
      </c>
      <c r="H7" s="280" t="s">
        <v>649</v>
      </c>
      <c r="I7" s="286">
        <v>51.3</v>
      </c>
      <c r="J7" s="286">
        <v>60.4</v>
      </c>
      <c r="K7" s="287">
        <f>I7+J7</f>
        <v>111.69999999999999</v>
      </c>
    </row>
    <row r="8" spans="1:11" x14ac:dyDescent="0.35">
      <c r="A8" s="279">
        <v>4</v>
      </c>
      <c r="B8" s="280" t="s">
        <v>640</v>
      </c>
      <c r="C8" s="286">
        <v>186.2</v>
      </c>
      <c r="D8" s="286">
        <v>169</v>
      </c>
      <c r="E8" s="287">
        <f t="shared" si="0"/>
        <v>355.2</v>
      </c>
      <c r="G8" s="279">
        <v>4</v>
      </c>
      <c r="H8" s="280" t="s">
        <v>660</v>
      </c>
      <c r="I8" s="286">
        <v>32.6</v>
      </c>
      <c r="J8" s="286">
        <v>22.9</v>
      </c>
      <c r="K8" s="287">
        <f>I8+J8</f>
        <v>55.5</v>
      </c>
    </row>
    <row r="9" spans="1:11" ht="18.600000000000001" thickBot="1" x14ac:dyDescent="0.4">
      <c r="A9" s="279">
        <v>5</v>
      </c>
      <c r="B9" s="280" t="s">
        <v>641</v>
      </c>
      <c r="C9" s="286">
        <v>25.2</v>
      </c>
      <c r="D9" s="286">
        <v>16.7</v>
      </c>
      <c r="E9" s="287">
        <f t="shared" si="0"/>
        <v>41.9</v>
      </c>
      <c r="G9" s="288"/>
      <c r="H9" s="289" t="s">
        <v>20</v>
      </c>
      <c r="I9" s="290">
        <f>SUM(I5:I8)</f>
        <v>269.60000000000002</v>
      </c>
      <c r="J9" s="290">
        <f>SUM(J5:J8)</f>
        <v>364.79999999999995</v>
      </c>
      <c r="K9" s="290">
        <f>SUM(K5:K8)</f>
        <v>634.4</v>
      </c>
    </row>
    <row r="10" spans="1:11" x14ac:dyDescent="0.35">
      <c r="A10" s="279">
        <v>6</v>
      </c>
      <c r="B10" s="280" t="s">
        <v>642</v>
      </c>
      <c r="C10" s="286">
        <v>43.9</v>
      </c>
      <c r="D10" s="286">
        <v>116.6</v>
      </c>
      <c r="E10" s="287">
        <f t="shared" si="0"/>
        <v>160.5</v>
      </c>
    </row>
    <row r="11" spans="1:11" x14ac:dyDescent="0.35">
      <c r="A11" s="279">
        <v>7</v>
      </c>
      <c r="B11" s="280" t="s">
        <v>643</v>
      </c>
      <c r="C11" s="286">
        <v>42.3</v>
      </c>
      <c r="D11" s="286">
        <v>100.5</v>
      </c>
      <c r="E11" s="287">
        <f t="shared" si="0"/>
        <v>142.80000000000001</v>
      </c>
    </row>
    <row r="12" spans="1:11" ht="18.600000000000001" thickBot="1" x14ac:dyDescent="0.4">
      <c r="A12" s="288"/>
      <c r="B12" s="289" t="s">
        <v>20</v>
      </c>
      <c r="C12" s="290">
        <f>SUM(C5:C11)</f>
        <v>480.09999999999997</v>
      </c>
      <c r="D12" s="290">
        <f>SUM(D5:D11)</f>
        <v>590.79999999999995</v>
      </c>
      <c r="E12" s="290">
        <f>SUM(E5:E11)</f>
        <v>1070.9000000000001</v>
      </c>
    </row>
    <row r="13" spans="1:11" ht="18.600000000000001" thickBot="1" x14ac:dyDescent="0.4"/>
    <row r="14" spans="1:11" x14ac:dyDescent="0.35">
      <c r="A14" s="349" t="s">
        <v>645</v>
      </c>
      <c r="B14" s="350"/>
      <c r="C14" s="350"/>
      <c r="D14" s="350"/>
      <c r="E14" s="351"/>
      <c r="G14" s="349" t="s">
        <v>646</v>
      </c>
      <c r="H14" s="350"/>
      <c r="I14" s="350"/>
      <c r="J14" s="350"/>
      <c r="K14" s="351"/>
    </row>
    <row r="15" spans="1:11" x14ac:dyDescent="0.35">
      <c r="A15" s="352" t="s">
        <v>602</v>
      </c>
      <c r="B15" s="353"/>
      <c r="C15" s="353"/>
      <c r="D15" s="353"/>
      <c r="E15" s="354"/>
      <c r="G15" s="352" t="s">
        <v>602</v>
      </c>
      <c r="H15" s="353"/>
      <c r="I15" s="353"/>
      <c r="J15" s="353"/>
      <c r="K15" s="354"/>
    </row>
    <row r="16" spans="1:11" ht="54" x14ac:dyDescent="0.35">
      <c r="A16" s="279"/>
      <c r="B16" s="280"/>
      <c r="C16" s="281" t="s">
        <v>10</v>
      </c>
      <c r="D16" s="282" t="s">
        <v>11</v>
      </c>
      <c r="E16" s="283" t="s">
        <v>19</v>
      </c>
      <c r="G16" s="279"/>
      <c r="H16" s="280"/>
      <c r="I16" s="281" t="s">
        <v>10</v>
      </c>
      <c r="J16" s="282" t="s">
        <v>11</v>
      </c>
      <c r="K16" s="283" t="s">
        <v>19</v>
      </c>
    </row>
    <row r="17" spans="1:11" x14ac:dyDescent="0.35">
      <c r="A17" s="279" t="s">
        <v>0</v>
      </c>
      <c r="B17" s="284" t="s">
        <v>7</v>
      </c>
      <c r="C17" s="285" t="s">
        <v>9</v>
      </c>
      <c r="D17" s="285" t="s">
        <v>9</v>
      </c>
      <c r="E17" s="283" t="s">
        <v>9</v>
      </c>
      <c r="G17" s="279" t="s">
        <v>0</v>
      </c>
      <c r="H17" s="284" t="s">
        <v>7</v>
      </c>
      <c r="I17" s="285" t="s">
        <v>9</v>
      </c>
      <c r="J17" s="285" t="s">
        <v>9</v>
      </c>
      <c r="K17" s="283" t="s">
        <v>9</v>
      </c>
    </row>
    <row r="18" spans="1:11" x14ac:dyDescent="0.35">
      <c r="A18" s="279">
        <v>1</v>
      </c>
      <c r="B18" s="280" t="s">
        <v>644</v>
      </c>
      <c r="C18" s="286">
        <v>10.8</v>
      </c>
      <c r="D18" s="286">
        <v>78.3</v>
      </c>
      <c r="E18" s="287">
        <f>C18+D18</f>
        <v>89.1</v>
      </c>
      <c r="G18" s="279">
        <v>1</v>
      </c>
      <c r="H18" s="280" t="s">
        <v>650</v>
      </c>
      <c r="I18" s="286">
        <v>25.7</v>
      </c>
      <c r="J18" s="286">
        <v>51.2</v>
      </c>
      <c r="K18" s="287">
        <f>I18+J18</f>
        <v>76.900000000000006</v>
      </c>
    </row>
    <row r="19" spans="1:11" ht="18.600000000000001" thickBot="1" x14ac:dyDescent="0.4">
      <c r="A19" s="288"/>
      <c r="B19" s="289" t="s">
        <v>20</v>
      </c>
      <c r="C19" s="290">
        <f>SUM(C18:C18)</f>
        <v>10.8</v>
      </c>
      <c r="D19" s="290">
        <f>SUM(D18:D18)</f>
        <v>78.3</v>
      </c>
      <c r="E19" s="291">
        <f>SUM(E18:E18)</f>
        <v>89.1</v>
      </c>
      <c r="G19" s="279">
        <v>2</v>
      </c>
      <c r="H19" s="280" t="s">
        <v>651</v>
      </c>
      <c r="I19" s="286">
        <v>20.399999999999999</v>
      </c>
      <c r="J19" s="286">
        <v>27.7</v>
      </c>
      <c r="K19" s="287">
        <f t="shared" ref="K19:K21" si="1">I19+J19</f>
        <v>48.099999999999994</v>
      </c>
    </row>
    <row r="20" spans="1:11" x14ac:dyDescent="0.35">
      <c r="G20" s="279">
        <v>3</v>
      </c>
      <c r="H20" s="280" t="s">
        <v>652</v>
      </c>
      <c r="I20" s="286">
        <v>7.2</v>
      </c>
      <c r="J20" s="286">
        <v>26</v>
      </c>
      <c r="K20" s="287">
        <f t="shared" si="1"/>
        <v>33.200000000000003</v>
      </c>
    </row>
    <row r="21" spans="1:11" x14ac:dyDescent="0.35">
      <c r="G21" s="279">
        <v>4</v>
      </c>
      <c r="H21" s="280" t="s">
        <v>657</v>
      </c>
      <c r="I21" s="286">
        <v>6</v>
      </c>
      <c r="J21" s="286">
        <v>25.1</v>
      </c>
      <c r="K21" s="287">
        <f t="shared" si="1"/>
        <v>31.1</v>
      </c>
    </row>
    <row r="22" spans="1:11" ht="18.600000000000001" thickBot="1" x14ac:dyDescent="0.4">
      <c r="G22" s="302"/>
      <c r="H22" s="303" t="s">
        <v>20</v>
      </c>
      <c r="I22" s="304">
        <f>SUM(I18:I21)</f>
        <v>59.3</v>
      </c>
      <c r="J22" s="304">
        <f t="shared" ref="J22" si="2">SUM(J18:J21)</f>
        <v>130</v>
      </c>
      <c r="K22" s="305">
        <f t="shared" ref="K22" si="3">SUM(K18:K21)</f>
        <v>189.29999999999998</v>
      </c>
    </row>
    <row r="23" spans="1:11" ht="14.4" customHeight="1" thickBot="1" x14ac:dyDescent="0.4"/>
    <row r="24" spans="1:11" x14ac:dyDescent="0.35">
      <c r="A24" s="362" t="s">
        <v>613</v>
      </c>
      <c r="B24" s="363"/>
      <c r="C24" s="363"/>
      <c r="D24" s="363"/>
      <c r="E24" s="364"/>
      <c r="G24" s="362" t="s">
        <v>613</v>
      </c>
      <c r="H24" s="363"/>
      <c r="I24" s="363"/>
      <c r="J24" s="363"/>
      <c r="K24" s="364"/>
    </row>
    <row r="25" spans="1:11" x14ac:dyDescent="0.35">
      <c r="A25" s="365" t="s">
        <v>601</v>
      </c>
      <c r="B25" s="366"/>
      <c r="C25" s="366"/>
      <c r="D25" s="366"/>
      <c r="E25" s="367"/>
      <c r="G25" s="365" t="s">
        <v>602</v>
      </c>
      <c r="H25" s="366"/>
      <c r="I25" s="366"/>
      <c r="J25" s="366"/>
      <c r="K25" s="367"/>
    </row>
    <row r="26" spans="1:11" ht="54" x14ac:dyDescent="0.35">
      <c r="A26" s="306"/>
      <c r="B26" s="307"/>
      <c r="C26" s="308" t="s">
        <v>10</v>
      </c>
      <c r="D26" s="309" t="s">
        <v>11</v>
      </c>
      <c r="E26" s="310" t="s">
        <v>19</v>
      </c>
      <c r="G26" s="306"/>
      <c r="H26" s="307"/>
      <c r="I26" s="308" t="s">
        <v>10</v>
      </c>
      <c r="J26" s="309" t="s">
        <v>11</v>
      </c>
      <c r="K26" s="310" t="s">
        <v>19</v>
      </c>
    </row>
    <row r="27" spans="1:11" x14ac:dyDescent="0.35">
      <c r="A27" s="306"/>
      <c r="B27" s="311"/>
      <c r="C27" s="312" t="s">
        <v>9</v>
      </c>
      <c r="D27" s="312" t="s">
        <v>9</v>
      </c>
      <c r="E27" s="313" t="s">
        <v>9</v>
      </c>
      <c r="G27" s="306"/>
      <c r="H27" s="311"/>
      <c r="I27" s="312" t="s">
        <v>9</v>
      </c>
      <c r="J27" s="312" t="s">
        <v>9</v>
      </c>
      <c r="K27" s="313" t="s">
        <v>9</v>
      </c>
    </row>
    <row r="28" spans="1:11" ht="18.600000000000001" thickBot="1" x14ac:dyDescent="0.4">
      <c r="A28" s="306"/>
      <c r="B28" s="311"/>
      <c r="C28" s="314">
        <f>C12+I9</f>
        <v>749.7</v>
      </c>
      <c r="D28" s="314">
        <f>D12+J9</f>
        <v>955.59999999999991</v>
      </c>
      <c r="E28" s="315">
        <f>E12+K9</f>
        <v>1705.3000000000002</v>
      </c>
      <c r="G28" s="316"/>
      <c r="H28" s="317"/>
      <c r="I28" s="318">
        <f>C19+I22</f>
        <v>70.099999999999994</v>
      </c>
      <c r="J28" s="318">
        <f>D19+J22</f>
        <v>208.3</v>
      </c>
      <c r="K28" s="319">
        <f>E19+K22</f>
        <v>278.39999999999998</v>
      </c>
    </row>
  </sheetData>
  <mergeCells count="12">
    <mergeCell ref="A24:E24"/>
    <mergeCell ref="G24:K24"/>
    <mergeCell ref="A25:E25"/>
    <mergeCell ref="G25:K25"/>
    <mergeCell ref="G1:K1"/>
    <mergeCell ref="G2:K2"/>
    <mergeCell ref="G14:K14"/>
    <mergeCell ref="G15:K15"/>
    <mergeCell ref="A1:E1"/>
    <mergeCell ref="A2:E2"/>
    <mergeCell ref="A14:E14"/>
    <mergeCell ref="A15:E1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8"/>
  <sheetViews>
    <sheetView topLeftCell="A4"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7.4414062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Лист1!BU19+Лист1!BV19</f>
        <v>466.71600000000001</v>
      </c>
    </row>
    <row r="4" spans="1:5" ht="36" x14ac:dyDescent="0.35">
      <c r="A4" s="269">
        <v>2</v>
      </c>
      <c r="B4" s="274" t="s">
        <v>139</v>
      </c>
      <c r="C4" s="268" t="s">
        <v>149</v>
      </c>
      <c r="D4" s="268" t="s">
        <v>96</v>
      </c>
      <c r="E4" s="273">
        <f>'7.n21s2f'!E31</f>
        <v>1915.6999999999998</v>
      </c>
    </row>
    <row r="5" spans="1:5" ht="90" x14ac:dyDescent="0.35">
      <c r="A5" s="269">
        <v>3</v>
      </c>
      <c r="B5" s="296" t="s">
        <v>166</v>
      </c>
      <c r="C5" s="297" t="s">
        <v>167</v>
      </c>
      <c r="D5" s="297" t="s">
        <v>96</v>
      </c>
      <c r="E5" s="273">
        <f>'7.n21s2f'!I31</f>
        <v>67.5</v>
      </c>
    </row>
    <row r="6" spans="1:5" ht="90" x14ac:dyDescent="0.35">
      <c r="A6" s="269">
        <v>4</v>
      </c>
      <c r="B6" s="300" t="s">
        <v>166</v>
      </c>
      <c r="C6" s="301" t="s">
        <v>173</v>
      </c>
      <c r="D6" s="301" t="s">
        <v>96</v>
      </c>
      <c r="E6" s="273">
        <f>'7.n21s2f'!J31</f>
        <v>211.39999999999998</v>
      </c>
    </row>
    <row r="7" spans="1:5" ht="90" x14ac:dyDescent="0.35">
      <c r="A7" s="269">
        <v>5</v>
      </c>
      <c r="B7" s="275" t="s">
        <v>192</v>
      </c>
      <c r="C7" s="276" t="s">
        <v>167</v>
      </c>
      <c r="D7" s="276" t="s">
        <v>96</v>
      </c>
      <c r="E7" s="273">
        <f>'7.n21s2f'!C31</f>
        <v>774.69999999999993</v>
      </c>
    </row>
    <row r="8" spans="1:5" ht="90" x14ac:dyDescent="0.35">
      <c r="A8" s="269">
        <v>6</v>
      </c>
      <c r="B8" s="277" t="s">
        <v>192</v>
      </c>
      <c r="C8" s="278" t="s">
        <v>197</v>
      </c>
      <c r="D8" s="278" t="s">
        <v>96</v>
      </c>
      <c r="E8" s="273">
        <f>'7.n21s2f'!D31</f>
        <v>1141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K31"/>
  <sheetViews>
    <sheetView topLeftCell="A7"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7" width="8.88671875" style="267"/>
    <col min="8" max="8" width="13.6640625" style="267" customWidth="1"/>
    <col min="9" max="9" width="12.6640625" style="267" customWidth="1"/>
    <col min="10" max="10" width="17" style="267" customWidth="1"/>
    <col min="11" max="16384" width="8.88671875" style="267"/>
  </cols>
  <sheetData>
    <row r="1" spans="1:11" x14ac:dyDescent="0.35">
      <c r="A1" s="349" t="s">
        <v>645</v>
      </c>
      <c r="B1" s="350"/>
      <c r="C1" s="350"/>
      <c r="D1" s="350"/>
      <c r="E1" s="351"/>
      <c r="G1" s="349" t="s">
        <v>646</v>
      </c>
      <c r="H1" s="350"/>
      <c r="I1" s="350"/>
      <c r="J1" s="350"/>
      <c r="K1" s="351"/>
    </row>
    <row r="2" spans="1:11" ht="14.4" customHeight="1" x14ac:dyDescent="0.35">
      <c r="A2" s="352" t="s">
        <v>601</v>
      </c>
      <c r="B2" s="353"/>
      <c r="C2" s="353"/>
      <c r="D2" s="353"/>
      <c r="E2" s="354"/>
      <c r="G2" s="352" t="s">
        <v>601</v>
      </c>
      <c r="H2" s="353"/>
      <c r="I2" s="353"/>
      <c r="J2" s="353"/>
      <c r="K2" s="354"/>
    </row>
    <row r="3" spans="1:11" ht="54" x14ac:dyDescent="0.35">
      <c r="A3" s="279"/>
      <c r="B3" s="280"/>
      <c r="C3" s="281" t="s">
        <v>10</v>
      </c>
      <c r="D3" s="282" t="s">
        <v>11</v>
      </c>
      <c r="E3" s="283" t="s">
        <v>19</v>
      </c>
      <c r="G3" s="279"/>
      <c r="H3" s="280"/>
      <c r="I3" s="281" t="s">
        <v>10</v>
      </c>
      <c r="J3" s="282" t="s">
        <v>11</v>
      </c>
      <c r="K3" s="283" t="s">
        <v>19</v>
      </c>
    </row>
    <row r="4" spans="1:11" x14ac:dyDescent="0.35">
      <c r="A4" s="279" t="s">
        <v>0</v>
      </c>
      <c r="B4" s="284" t="s">
        <v>7</v>
      </c>
      <c r="C4" s="285" t="s">
        <v>9</v>
      </c>
      <c r="D4" s="285" t="s">
        <v>9</v>
      </c>
      <c r="E4" s="283" t="s">
        <v>9</v>
      </c>
      <c r="G4" s="279" t="s">
        <v>0</v>
      </c>
      <c r="H4" s="284" t="s">
        <v>7</v>
      </c>
      <c r="I4" s="285" t="s">
        <v>9</v>
      </c>
      <c r="J4" s="285" t="s">
        <v>9</v>
      </c>
      <c r="K4" s="283" t="s">
        <v>9</v>
      </c>
    </row>
    <row r="5" spans="1:11" x14ac:dyDescent="0.35">
      <c r="A5" s="279">
        <v>1</v>
      </c>
      <c r="B5" s="280" t="s">
        <v>661</v>
      </c>
      <c r="C5" s="286">
        <v>71.2</v>
      </c>
      <c r="D5" s="286">
        <v>50.9</v>
      </c>
      <c r="E5" s="287">
        <f>C5+D5</f>
        <v>122.1</v>
      </c>
      <c r="G5" s="279">
        <v>1</v>
      </c>
      <c r="H5" s="280" t="s">
        <v>672</v>
      </c>
      <c r="I5" s="286">
        <v>34</v>
      </c>
      <c r="J5" s="286">
        <v>84.1</v>
      </c>
      <c r="K5" s="287">
        <f>I5+J5</f>
        <v>118.1</v>
      </c>
    </row>
    <row r="6" spans="1:11" x14ac:dyDescent="0.35">
      <c r="A6" s="279">
        <v>2</v>
      </c>
      <c r="B6" s="280" t="s">
        <v>662</v>
      </c>
      <c r="C6" s="286">
        <v>51.5</v>
      </c>
      <c r="D6" s="286">
        <v>60.5</v>
      </c>
      <c r="E6" s="287">
        <f t="shared" ref="E6:E14" si="0">C6+D6</f>
        <v>112</v>
      </c>
      <c r="G6" s="279">
        <v>2</v>
      </c>
      <c r="H6" s="280" t="s">
        <v>673</v>
      </c>
      <c r="I6" s="286">
        <v>51</v>
      </c>
      <c r="J6" s="286">
        <v>60.9</v>
      </c>
      <c r="K6" s="287">
        <f t="shared" ref="K6:K8" si="1">I6+J6</f>
        <v>111.9</v>
      </c>
    </row>
    <row r="7" spans="1:11" x14ac:dyDescent="0.35">
      <c r="A7" s="279">
        <v>3</v>
      </c>
      <c r="B7" s="280" t="s">
        <v>663</v>
      </c>
      <c r="C7" s="286">
        <v>141.9</v>
      </c>
      <c r="D7" s="286">
        <v>168.2</v>
      </c>
      <c r="E7" s="287">
        <f t="shared" si="0"/>
        <v>310.10000000000002</v>
      </c>
      <c r="G7" s="279">
        <v>3</v>
      </c>
      <c r="H7" s="280" t="s">
        <v>674</v>
      </c>
      <c r="I7" s="286">
        <v>171.4</v>
      </c>
      <c r="J7" s="286">
        <v>187.3</v>
      </c>
      <c r="K7" s="287">
        <f t="shared" si="1"/>
        <v>358.70000000000005</v>
      </c>
    </row>
    <row r="8" spans="1:11" x14ac:dyDescent="0.35">
      <c r="A8" s="279">
        <v>4</v>
      </c>
      <c r="B8" s="280" t="s">
        <v>664</v>
      </c>
      <c r="C8" s="286">
        <v>43.4</v>
      </c>
      <c r="D8" s="286">
        <v>70.2</v>
      </c>
      <c r="E8" s="287">
        <f t="shared" si="0"/>
        <v>113.6</v>
      </c>
      <c r="G8" s="279">
        <v>4</v>
      </c>
      <c r="H8" s="280" t="s">
        <v>675</v>
      </c>
      <c r="I8" s="286">
        <v>31.9</v>
      </c>
      <c r="J8" s="286">
        <v>22.7</v>
      </c>
      <c r="K8" s="287">
        <f t="shared" si="1"/>
        <v>54.599999999999994</v>
      </c>
    </row>
    <row r="9" spans="1:11" ht="18.600000000000001" thickBot="1" x14ac:dyDescent="0.4">
      <c r="A9" s="279">
        <v>5</v>
      </c>
      <c r="B9" s="280" t="s">
        <v>665</v>
      </c>
      <c r="C9" s="286">
        <v>23.7</v>
      </c>
      <c r="D9" s="286">
        <v>40.1</v>
      </c>
      <c r="E9" s="287">
        <f t="shared" si="0"/>
        <v>63.8</v>
      </c>
      <c r="G9" s="288"/>
      <c r="H9" s="289" t="s">
        <v>20</v>
      </c>
      <c r="I9" s="290">
        <f>SUM(I5:I8)</f>
        <v>288.29999999999995</v>
      </c>
      <c r="J9" s="290">
        <f t="shared" ref="J9:K9" si="2">SUM(J5:J8)</f>
        <v>355</v>
      </c>
      <c r="K9" s="290">
        <f t="shared" si="2"/>
        <v>643.30000000000007</v>
      </c>
    </row>
    <row r="10" spans="1:11" x14ac:dyDescent="0.35">
      <c r="A10" s="279">
        <v>6</v>
      </c>
      <c r="B10" s="280" t="s">
        <v>666</v>
      </c>
      <c r="C10" s="286">
        <v>27.6</v>
      </c>
      <c r="D10" s="286">
        <v>132.9</v>
      </c>
      <c r="E10" s="287">
        <f t="shared" si="0"/>
        <v>160.5</v>
      </c>
    </row>
    <row r="11" spans="1:11" x14ac:dyDescent="0.35">
      <c r="A11" s="279">
        <v>7</v>
      </c>
      <c r="B11" s="280" t="s">
        <v>667</v>
      </c>
      <c r="C11" s="286">
        <v>35.200000000000003</v>
      </c>
      <c r="D11" s="286">
        <v>12.7</v>
      </c>
      <c r="E11" s="287">
        <f t="shared" si="0"/>
        <v>47.900000000000006</v>
      </c>
    </row>
    <row r="12" spans="1:11" x14ac:dyDescent="0.35">
      <c r="A12" s="279">
        <v>8</v>
      </c>
      <c r="B12" s="280" t="s">
        <v>669</v>
      </c>
      <c r="C12" s="286">
        <v>25.4</v>
      </c>
      <c r="D12" s="286">
        <v>88.4</v>
      </c>
      <c r="E12" s="287">
        <f t="shared" si="0"/>
        <v>113.80000000000001</v>
      </c>
    </row>
    <row r="13" spans="1:11" x14ac:dyDescent="0.35">
      <c r="A13" s="279">
        <v>9</v>
      </c>
      <c r="B13" s="280" t="s">
        <v>670</v>
      </c>
      <c r="C13" s="286">
        <v>26.2</v>
      </c>
      <c r="D13" s="286">
        <v>87.1</v>
      </c>
      <c r="E13" s="287">
        <f t="shared" si="0"/>
        <v>113.3</v>
      </c>
    </row>
    <row r="14" spans="1:11" x14ac:dyDescent="0.35">
      <c r="A14" s="279">
        <v>10</v>
      </c>
      <c r="B14" s="280" t="s">
        <v>671</v>
      </c>
      <c r="C14" s="286">
        <v>40.299999999999997</v>
      </c>
      <c r="D14" s="286">
        <v>75</v>
      </c>
      <c r="E14" s="287">
        <f t="shared" si="0"/>
        <v>115.3</v>
      </c>
    </row>
    <row r="15" spans="1:11" ht="18.600000000000001" thickBot="1" x14ac:dyDescent="0.4">
      <c r="A15" s="288"/>
      <c r="B15" s="289" t="s">
        <v>20</v>
      </c>
      <c r="C15" s="290">
        <f>SUM(C5:C14)</f>
        <v>486.4</v>
      </c>
      <c r="D15" s="290">
        <f>SUM(D5:D14)</f>
        <v>786.00000000000011</v>
      </c>
      <c r="E15" s="290">
        <f>SUM(E5:E14)</f>
        <v>1272.3999999999999</v>
      </c>
    </row>
    <row r="16" spans="1:11" ht="18.600000000000001" thickBot="1" x14ac:dyDescent="0.4"/>
    <row r="17" spans="1:11" ht="18.600000000000001" thickBot="1" x14ac:dyDescent="0.4">
      <c r="A17" s="377" t="s">
        <v>645</v>
      </c>
      <c r="B17" s="378"/>
      <c r="C17" s="378"/>
      <c r="D17" s="378"/>
      <c r="E17" s="379"/>
      <c r="G17" s="349" t="s">
        <v>646</v>
      </c>
      <c r="H17" s="350"/>
      <c r="I17" s="350"/>
      <c r="J17" s="350"/>
      <c r="K17" s="351"/>
    </row>
    <row r="18" spans="1:11" ht="14.4" customHeight="1" x14ac:dyDescent="0.35">
      <c r="A18" s="380" t="s">
        <v>602</v>
      </c>
      <c r="B18" s="381"/>
      <c r="C18" s="381"/>
      <c r="D18" s="381"/>
      <c r="E18" s="382"/>
      <c r="G18" s="352" t="s">
        <v>602</v>
      </c>
      <c r="H18" s="353"/>
      <c r="I18" s="353"/>
      <c r="J18" s="353"/>
      <c r="K18" s="354"/>
    </row>
    <row r="19" spans="1:11" ht="54" x14ac:dyDescent="0.35">
      <c r="A19" s="279"/>
      <c r="B19" s="280"/>
      <c r="C19" s="281" t="s">
        <v>10</v>
      </c>
      <c r="D19" s="282" t="s">
        <v>11</v>
      </c>
      <c r="E19" s="283" t="s">
        <v>19</v>
      </c>
      <c r="G19" s="279"/>
      <c r="H19" s="280"/>
      <c r="I19" s="281" t="s">
        <v>10</v>
      </c>
      <c r="J19" s="282" t="s">
        <v>11</v>
      </c>
      <c r="K19" s="283" t="s">
        <v>19</v>
      </c>
    </row>
    <row r="20" spans="1:11" x14ac:dyDescent="0.35">
      <c r="A20" s="279" t="s">
        <v>0</v>
      </c>
      <c r="B20" s="284" t="s">
        <v>7</v>
      </c>
      <c r="C20" s="285" t="s">
        <v>9</v>
      </c>
      <c r="D20" s="285" t="s">
        <v>9</v>
      </c>
      <c r="E20" s="283" t="s">
        <v>9</v>
      </c>
      <c r="G20" s="279" t="s">
        <v>0</v>
      </c>
      <c r="H20" s="284" t="s">
        <v>7</v>
      </c>
      <c r="I20" s="285" t="s">
        <v>9</v>
      </c>
      <c r="J20" s="285" t="s">
        <v>9</v>
      </c>
      <c r="K20" s="283" t="s">
        <v>9</v>
      </c>
    </row>
    <row r="21" spans="1:11" x14ac:dyDescent="0.35">
      <c r="A21" s="279">
        <v>1</v>
      </c>
      <c r="B21" s="280" t="s">
        <v>668</v>
      </c>
      <c r="C21" s="286">
        <v>10.7</v>
      </c>
      <c r="D21" s="286">
        <v>79.2</v>
      </c>
      <c r="E21" s="287">
        <f>C21+D21</f>
        <v>89.9</v>
      </c>
      <c r="G21" s="279">
        <v>1</v>
      </c>
      <c r="H21" s="280" t="s">
        <v>676</v>
      </c>
      <c r="I21" s="286">
        <v>25.8</v>
      </c>
      <c r="J21" s="286">
        <v>51.8</v>
      </c>
      <c r="K21" s="287">
        <f>I21+J21</f>
        <v>77.599999999999994</v>
      </c>
    </row>
    <row r="22" spans="1:11" ht="18.600000000000001" thickBot="1" x14ac:dyDescent="0.4">
      <c r="A22" s="302"/>
      <c r="B22" s="303" t="s">
        <v>20</v>
      </c>
      <c r="C22" s="304">
        <f>SUM(C21:C21)</f>
        <v>10.7</v>
      </c>
      <c r="D22" s="304">
        <f>SUM(D21:D21)</f>
        <v>79.2</v>
      </c>
      <c r="E22" s="305">
        <f>SUM(E21:E21)</f>
        <v>89.9</v>
      </c>
      <c r="G22" s="279">
        <v>2</v>
      </c>
      <c r="H22" s="280" t="s">
        <v>677</v>
      </c>
      <c r="I22" s="286">
        <v>15.8</v>
      </c>
      <c r="J22" s="286">
        <v>31.8</v>
      </c>
      <c r="K22" s="287">
        <f t="shared" ref="K22:K24" si="3">I22+J22</f>
        <v>47.6</v>
      </c>
    </row>
    <row r="23" spans="1:11" x14ac:dyDescent="0.35">
      <c r="G23" s="279">
        <v>3</v>
      </c>
      <c r="H23" s="280" t="s">
        <v>678</v>
      </c>
      <c r="I23" s="286">
        <v>7.3</v>
      </c>
      <c r="J23" s="286">
        <v>25.8</v>
      </c>
      <c r="K23" s="287">
        <f t="shared" si="3"/>
        <v>33.1</v>
      </c>
    </row>
    <row r="24" spans="1:11" x14ac:dyDescent="0.35">
      <c r="G24" s="279">
        <v>4</v>
      </c>
      <c r="H24" s="280" t="s">
        <v>679</v>
      </c>
      <c r="I24" s="286">
        <v>7.9</v>
      </c>
      <c r="J24" s="286">
        <v>22.8</v>
      </c>
      <c r="K24" s="287">
        <f t="shared" si="3"/>
        <v>30.700000000000003</v>
      </c>
    </row>
    <row r="25" spans="1:11" ht="18.600000000000001" thickBot="1" x14ac:dyDescent="0.4">
      <c r="G25" s="302"/>
      <c r="H25" s="303" t="s">
        <v>20</v>
      </c>
      <c r="I25" s="304">
        <f>SUM(I21:I24)</f>
        <v>56.8</v>
      </c>
      <c r="J25" s="304">
        <f>SUM(J21:J24)</f>
        <v>132.19999999999999</v>
      </c>
      <c r="K25" s="305">
        <f>SUM(K21:K24)</f>
        <v>189</v>
      </c>
    </row>
    <row r="26" spans="1:11" ht="18.600000000000001" thickBot="1" x14ac:dyDescent="0.4"/>
    <row r="27" spans="1:11" x14ac:dyDescent="0.35">
      <c r="A27" s="362" t="s">
        <v>613</v>
      </c>
      <c r="B27" s="363"/>
      <c r="C27" s="363"/>
      <c r="D27" s="363"/>
      <c r="E27" s="364"/>
      <c r="G27" s="362" t="s">
        <v>613</v>
      </c>
      <c r="H27" s="363"/>
      <c r="I27" s="363"/>
      <c r="J27" s="363"/>
      <c r="K27" s="364"/>
    </row>
    <row r="28" spans="1:11" x14ac:dyDescent="0.35">
      <c r="A28" s="365" t="s">
        <v>601</v>
      </c>
      <c r="B28" s="366"/>
      <c r="C28" s="366"/>
      <c r="D28" s="366"/>
      <c r="E28" s="367"/>
      <c r="G28" s="365" t="s">
        <v>602</v>
      </c>
      <c r="H28" s="366"/>
      <c r="I28" s="366"/>
      <c r="J28" s="366"/>
      <c r="K28" s="367"/>
    </row>
    <row r="29" spans="1:11" ht="54" x14ac:dyDescent="0.35">
      <c r="A29" s="306"/>
      <c r="B29" s="307"/>
      <c r="C29" s="308" t="s">
        <v>10</v>
      </c>
      <c r="D29" s="309" t="s">
        <v>11</v>
      </c>
      <c r="E29" s="310" t="s">
        <v>19</v>
      </c>
      <c r="G29" s="306"/>
      <c r="H29" s="307"/>
      <c r="I29" s="308" t="s">
        <v>10</v>
      </c>
      <c r="J29" s="309" t="s">
        <v>11</v>
      </c>
      <c r="K29" s="310" t="s">
        <v>19</v>
      </c>
    </row>
    <row r="30" spans="1:11" x14ac:dyDescent="0.35">
      <c r="A30" s="306"/>
      <c r="B30" s="311"/>
      <c r="C30" s="312" t="s">
        <v>9</v>
      </c>
      <c r="D30" s="312" t="s">
        <v>9</v>
      </c>
      <c r="E30" s="313" t="s">
        <v>9</v>
      </c>
      <c r="G30" s="306"/>
      <c r="H30" s="311"/>
      <c r="I30" s="312" t="s">
        <v>9</v>
      </c>
      <c r="J30" s="312" t="s">
        <v>9</v>
      </c>
      <c r="K30" s="313" t="s">
        <v>9</v>
      </c>
    </row>
    <row r="31" spans="1:11" ht="18.600000000000001" thickBot="1" x14ac:dyDescent="0.4">
      <c r="A31" s="306"/>
      <c r="B31" s="311"/>
      <c r="C31" s="314">
        <f>C15+I9</f>
        <v>774.69999999999993</v>
      </c>
      <c r="D31" s="314">
        <f>D15+J9</f>
        <v>1141</v>
      </c>
      <c r="E31" s="315">
        <f>E15+K9</f>
        <v>1915.6999999999998</v>
      </c>
      <c r="G31" s="316"/>
      <c r="H31" s="317"/>
      <c r="I31" s="318">
        <f>C22+I25</f>
        <v>67.5</v>
      </c>
      <c r="J31" s="318">
        <f>D22+J25</f>
        <v>211.39999999999998</v>
      </c>
      <c r="K31" s="319">
        <f>E22+K25</f>
        <v>278.89999999999998</v>
      </c>
    </row>
  </sheetData>
  <mergeCells count="12">
    <mergeCell ref="A27:E27"/>
    <mergeCell ref="G27:K27"/>
    <mergeCell ref="A28:E28"/>
    <mergeCell ref="G28:K28"/>
    <mergeCell ref="A1:E1"/>
    <mergeCell ref="A2:E2"/>
    <mergeCell ref="A17:E17"/>
    <mergeCell ref="A18:E18"/>
    <mergeCell ref="G1:K1"/>
    <mergeCell ref="G2:K2"/>
    <mergeCell ref="G17:K17"/>
    <mergeCell ref="G18:K1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6"/>
  <sheetViews>
    <sheetView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7.4414062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 t="s">
        <v>107</v>
      </c>
      <c r="D3" s="272" t="s">
        <v>4</v>
      </c>
      <c r="E3" s="273">
        <f>Лист1!BS19/100*40</f>
        <v>131.29000000000002</v>
      </c>
    </row>
    <row r="4" spans="1:5" ht="36" x14ac:dyDescent="0.35">
      <c r="A4" s="269">
        <v>2</v>
      </c>
      <c r="B4" s="274" t="s">
        <v>139</v>
      </c>
      <c r="C4" s="268" t="s">
        <v>149</v>
      </c>
      <c r="D4" s="268" t="s">
        <v>96</v>
      </c>
      <c r="E4" s="273">
        <f>'8.n4sf2'!E7</f>
        <v>653.50000000000011</v>
      </c>
    </row>
    <row r="5" spans="1:5" ht="90" x14ac:dyDescent="0.35">
      <c r="A5" s="269">
        <v>3</v>
      </c>
      <c r="B5" s="275" t="s">
        <v>192</v>
      </c>
      <c r="C5" s="276" t="s">
        <v>167</v>
      </c>
      <c r="D5" s="276" t="s">
        <v>96</v>
      </c>
      <c r="E5" s="273">
        <f>'8.n4sf2'!C7</f>
        <v>304.70000000000005</v>
      </c>
    </row>
    <row r="6" spans="1:5" ht="90" x14ac:dyDescent="0.35">
      <c r="A6" s="269">
        <v>4</v>
      </c>
      <c r="B6" s="277" t="s">
        <v>192</v>
      </c>
      <c r="C6" s="278" t="s">
        <v>197</v>
      </c>
      <c r="D6" s="278" t="s">
        <v>96</v>
      </c>
      <c r="E6" s="273">
        <f>'8.n4sf2'!D7</f>
        <v>348.8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7"/>
  <sheetViews>
    <sheetView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16384" width="8.88671875" style="267"/>
  </cols>
  <sheetData>
    <row r="1" spans="1:5" x14ac:dyDescent="0.35">
      <c r="A1" s="349" t="s">
        <v>8</v>
      </c>
      <c r="B1" s="350"/>
      <c r="C1" s="350"/>
      <c r="D1" s="350"/>
      <c r="E1" s="351"/>
    </row>
    <row r="2" spans="1:5" x14ac:dyDescent="0.35">
      <c r="A2" s="352" t="s">
        <v>601</v>
      </c>
      <c r="B2" s="353"/>
      <c r="C2" s="353"/>
      <c r="D2" s="353"/>
      <c r="E2" s="354"/>
    </row>
    <row r="3" spans="1:5" ht="54" x14ac:dyDescent="0.35">
      <c r="A3" s="279"/>
      <c r="B3" s="280"/>
      <c r="C3" s="281" t="s">
        <v>10</v>
      </c>
      <c r="D3" s="282" t="s">
        <v>11</v>
      </c>
      <c r="E3" s="283" t="s">
        <v>19</v>
      </c>
    </row>
    <row r="4" spans="1:5" x14ac:dyDescent="0.35">
      <c r="A4" s="279" t="s">
        <v>0</v>
      </c>
      <c r="B4" s="284" t="s">
        <v>7</v>
      </c>
      <c r="C4" s="285" t="s">
        <v>9</v>
      </c>
      <c r="D4" s="285" t="s">
        <v>9</v>
      </c>
      <c r="E4" s="283" t="s">
        <v>9</v>
      </c>
    </row>
    <row r="5" spans="1:5" x14ac:dyDescent="0.35">
      <c r="A5" s="279">
        <v>1</v>
      </c>
      <c r="B5" s="280" t="s">
        <v>605</v>
      </c>
      <c r="C5" s="286">
        <v>6.1</v>
      </c>
      <c r="D5" s="286">
        <v>103.5</v>
      </c>
      <c r="E5" s="287">
        <f>C5+D5</f>
        <v>109.6</v>
      </c>
    </row>
    <row r="6" spans="1:5" x14ac:dyDescent="0.35">
      <c r="A6" s="279">
        <v>2</v>
      </c>
      <c r="B6" s="280" t="s">
        <v>606</v>
      </c>
      <c r="C6" s="286">
        <v>298.60000000000002</v>
      </c>
      <c r="D6" s="286">
        <v>245.3</v>
      </c>
      <c r="E6" s="287">
        <f>C6+D6</f>
        <v>543.90000000000009</v>
      </c>
    </row>
    <row r="7" spans="1:5" ht="18.600000000000001" thickBot="1" x14ac:dyDescent="0.4">
      <c r="A7" s="288"/>
      <c r="B7" s="289" t="s">
        <v>20</v>
      </c>
      <c r="C7" s="290">
        <f>SUM(C5:C6)</f>
        <v>304.70000000000005</v>
      </c>
      <c r="D7" s="290">
        <f>SUM(D5:D6)</f>
        <v>348.8</v>
      </c>
      <c r="E7" s="290">
        <f>SUM(E5:E6)</f>
        <v>653.50000000000011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8"/>
  <sheetViews>
    <sheetView tabSelected="1" zoomScale="70" zoomScaleNormal="70" workbookViewId="0">
      <selection activeCell="H3" sqref="H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6.77734375" style="267" customWidth="1"/>
    <col min="4" max="4" width="11.6640625" style="267" customWidth="1"/>
    <col min="5" max="5" width="9.2187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Лист1!BT19</f>
        <v>336.77499999999998</v>
      </c>
    </row>
    <row r="4" spans="1:5" ht="36" x14ac:dyDescent="0.35">
      <c r="A4" s="269">
        <v>2</v>
      </c>
      <c r="B4" s="274" t="s">
        <v>139</v>
      </c>
      <c r="C4" s="268" t="s">
        <v>149</v>
      </c>
      <c r="D4" s="268" t="s">
        <v>96</v>
      </c>
      <c r="E4" s="273">
        <f>'9.n3s2f'!E10</f>
        <v>1108.6999999999998</v>
      </c>
    </row>
    <row r="5" spans="1:5" ht="90" x14ac:dyDescent="0.35">
      <c r="A5" s="269">
        <v>3</v>
      </c>
      <c r="B5" s="296" t="s">
        <v>166</v>
      </c>
      <c r="C5" s="297" t="s">
        <v>167</v>
      </c>
      <c r="D5" s="297" t="s">
        <v>96</v>
      </c>
      <c r="E5" s="273">
        <f>'9.n3s2f'!C24</f>
        <v>38.1</v>
      </c>
    </row>
    <row r="6" spans="1:5" ht="90" x14ac:dyDescent="0.35">
      <c r="A6" s="269">
        <v>4</v>
      </c>
      <c r="B6" s="300" t="s">
        <v>166</v>
      </c>
      <c r="C6" s="301" t="s">
        <v>173</v>
      </c>
      <c r="D6" s="301" t="s">
        <v>96</v>
      </c>
      <c r="E6" s="273">
        <f>'9.n3s2f'!D24</f>
        <v>406.4</v>
      </c>
    </row>
    <row r="7" spans="1:5" ht="90" x14ac:dyDescent="0.35">
      <c r="A7" s="269">
        <v>5</v>
      </c>
      <c r="B7" s="275" t="s">
        <v>192</v>
      </c>
      <c r="C7" s="276" t="s">
        <v>167</v>
      </c>
      <c r="D7" s="276" t="s">
        <v>96</v>
      </c>
      <c r="E7" s="273">
        <f>'9.n3s2f'!C10</f>
        <v>339.29999999999995</v>
      </c>
    </row>
    <row r="8" spans="1:5" ht="90" x14ac:dyDescent="0.35">
      <c r="A8" s="269">
        <v>6</v>
      </c>
      <c r="B8" s="277" t="s">
        <v>192</v>
      </c>
      <c r="C8" s="278" t="s">
        <v>197</v>
      </c>
      <c r="D8" s="278" t="s">
        <v>96</v>
      </c>
      <c r="E8" s="273">
        <f>'9.n3s2f'!D10</f>
        <v>769.4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24"/>
  <sheetViews>
    <sheetView topLeftCell="A4"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16384" width="8.88671875" style="267"/>
  </cols>
  <sheetData>
    <row r="1" spans="1:5" x14ac:dyDescent="0.35">
      <c r="A1" s="349" t="s">
        <v>8</v>
      </c>
      <c r="B1" s="350"/>
      <c r="C1" s="350"/>
      <c r="D1" s="350"/>
      <c r="E1" s="351"/>
    </row>
    <row r="2" spans="1:5" x14ac:dyDescent="0.35">
      <c r="A2" s="352" t="s">
        <v>601</v>
      </c>
      <c r="B2" s="353"/>
      <c r="C2" s="353"/>
      <c r="D2" s="353"/>
      <c r="E2" s="354"/>
    </row>
    <row r="3" spans="1:5" ht="54" x14ac:dyDescent="0.35">
      <c r="A3" s="279"/>
      <c r="B3" s="280"/>
      <c r="C3" s="281" t="s">
        <v>10</v>
      </c>
      <c r="D3" s="282" t="s">
        <v>11</v>
      </c>
      <c r="E3" s="283" t="s">
        <v>19</v>
      </c>
    </row>
    <row r="4" spans="1:5" x14ac:dyDescent="0.35">
      <c r="A4" s="279" t="s">
        <v>0</v>
      </c>
      <c r="B4" s="284" t="s">
        <v>7</v>
      </c>
      <c r="C4" s="285" t="s">
        <v>9</v>
      </c>
      <c r="D4" s="285" t="s">
        <v>9</v>
      </c>
      <c r="E4" s="283" t="s">
        <v>9</v>
      </c>
    </row>
    <row r="5" spans="1:5" x14ac:dyDescent="0.35">
      <c r="A5" s="279">
        <v>1</v>
      </c>
      <c r="B5" s="280" t="s">
        <v>680</v>
      </c>
      <c r="C5" s="286">
        <v>195.9</v>
      </c>
      <c r="D5" s="286">
        <v>315.89999999999998</v>
      </c>
      <c r="E5" s="287">
        <f>C5+D5</f>
        <v>511.79999999999995</v>
      </c>
    </row>
    <row r="6" spans="1:5" x14ac:dyDescent="0.35">
      <c r="A6" s="279">
        <v>2</v>
      </c>
      <c r="B6" s="280" t="s">
        <v>681</v>
      </c>
      <c r="C6" s="286">
        <v>34.799999999999997</v>
      </c>
      <c r="D6" s="286">
        <v>52</v>
      </c>
      <c r="E6" s="287">
        <f t="shared" ref="E6:E9" si="0">C6+D6</f>
        <v>86.8</v>
      </c>
    </row>
    <row r="7" spans="1:5" x14ac:dyDescent="0.35">
      <c r="A7" s="279">
        <v>3</v>
      </c>
      <c r="B7" s="280" t="s">
        <v>682</v>
      </c>
      <c r="C7" s="286">
        <v>12.7</v>
      </c>
      <c r="D7" s="286">
        <v>69.900000000000006</v>
      </c>
      <c r="E7" s="287">
        <f t="shared" si="0"/>
        <v>82.600000000000009</v>
      </c>
    </row>
    <row r="8" spans="1:5" x14ac:dyDescent="0.35">
      <c r="A8" s="279">
        <v>4</v>
      </c>
      <c r="B8" s="280" t="s">
        <v>683</v>
      </c>
      <c r="C8" s="286">
        <v>56.5</v>
      </c>
      <c r="D8" s="286">
        <v>175.7</v>
      </c>
      <c r="E8" s="287">
        <f t="shared" si="0"/>
        <v>232.2</v>
      </c>
    </row>
    <row r="9" spans="1:5" x14ac:dyDescent="0.35">
      <c r="A9" s="279">
        <v>5</v>
      </c>
      <c r="B9" s="280" t="s">
        <v>684</v>
      </c>
      <c r="C9" s="286">
        <v>39.4</v>
      </c>
      <c r="D9" s="286">
        <v>155.9</v>
      </c>
      <c r="E9" s="287">
        <f t="shared" si="0"/>
        <v>195.3</v>
      </c>
    </row>
    <row r="10" spans="1:5" ht="18.600000000000001" thickBot="1" x14ac:dyDescent="0.4">
      <c r="A10" s="288"/>
      <c r="B10" s="289" t="s">
        <v>20</v>
      </c>
      <c r="C10" s="290">
        <f>SUM(C5:C9)</f>
        <v>339.29999999999995</v>
      </c>
      <c r="D10" s="290">
        <f>SUM(D5:D9)</f>
        <v>769.4</v>
      </c>
      <c r="E10" s="290">
        <f>SUM(E5:E9)</f>
        <v>1108.6999999999998</v>
      </c>
    </row>
    <row r="11" spans="1:5" ht="18.600000000000001" thickBot="1" x14ac:dyDescent="0.4"/>
    <row r="12" spans="1:5" x14ac:dyDescent="0.35">
      <c r="A12" s="349" t="s">
        <v>8</v>
      </c>
      <c r="B12" s="350"/>
      <c r="C12" s="350"/>
      <c r="D12" s="350"/>
      <c r="E12" s="351"/>
    </row>
    <row r="13" spans="1:5" x14ac:dyDescent="0.35">
      <c r="A13" s="352" t="s">
        <v>602</v>
      </c>
      <c r="B13" s="353"/>
      <c r="C13" s="353"/>
      <c r="D13" s="353"/>
      <c r="E13" s="354"/>
    </row>
    <row r="14" spans="1:5" ht="54" x14ac:dyDescent="0.35">
      <c r="A14" s="279"/>
      <c r="B14" s="280"/>
      <c r="C14" s="281" t="s">
        <v>10</v>
      </c>
      <c r="D14" s="282" t="s">
        <v>11</v>
      </c>
      <c r="E14" s="283" t="s">
        <v>19</v>
      </c>
    </row>
    <row r="15" spans="1:5" x14ac:dyDescent="0.35">
      <c r="A15" s="279" t="s">
        <v>0</v>
      </c>
      <c r="B15" s="284" t="s">
        <v>7</v>
      </c>
      <c r="C15" s="285" t="s">
        <v>9</v>
      </c>
      <c r="D15" s="285" t="s">
        <v>9</v>
      </c>
      <c r="E15" s="283" t="s">
        <v>9</v>
      </c>
    </row>
    <row r="16" spans="1:5" x14ac:dyDescent="0.35">
      <c r="A16" s="279">
        <v>1</v>
      </c>
      <c r="B16" s="280" t="s">
        <v>685</v>
      </c>
      <c r="C16" s="286">
        <v>3.7</v>
      </c>
      <c r="D16" s="286">
        <v>54.6</v>
      </c>
      <c r="E16" s="287">
        <f>C16+D16</f>
        <v>58.300000000000004</v>
      </c>
    </row>
    <row r="17" spans="1:5" x14ac:dyDescent="0.35">
      <c r="A17" s="279">
        <v>2</v>
      </c>
      <c r="B17" s="280" t="s">
        <v>686</v>
      </c>
      <c r="C17" s="286">
        <v>9.5</v>
      </c>
      <c r="D17" s="286">
        <v>36.799999999999997</v>
      </c>
      <c r="E17" s="287">
        <f t="shared" ref="E17:E23" si="1">C17+D17</f>
        <v>46.3</v>
      </c>
    </row>
    <row r="18" spans="1:5" x14ac:dyDescent="0.35">
      <c r="A18" s="279">
        <v>3</v>
      </c>
      <c r="B18" s="280" t="s">
        <v>687</v>
      </c>
      <c r="C18" s="286">
        <v>5.5</v>
      </c>
      <c r="D18" s="286">
        <v>76.3</v>
      </c>
      <c r="E18" s="287">
        <f t="shared" si="1"/>
        <v>81.8</v>
      </c>
    </row>
    <row r="19" spans="1:5" x14ac:dyDescent="0.35">
      <c r="A19" s="279">
        <v>4</v>
      </c>
      <c r="B19" s="280" t="s">
        <v>688</v>
      </c>
      <c r="C19" s="286">
        <v>3.5</v>
      </c>
      <c r="D19" s="286">
        <v>38.700000000000003</v>
      </c>
      <c r="E19" s="287">
        <f t="shared" si="1"/>
        <v>42.2</v>
      </c>
    </row>
    <row r="20" spans="1:5" x14ac:dyDescent="0.35">
      <c r="A20" s="279">
        <v>5</v>
      </c>
      <c r="B20" s="280" t="s">
        <v>689</v>
      </c>
      <c r="C20" s="286">
        <v>6.2</v>
      </c>
      <c r="D20" s="286">
        <v>66.7</v>
      </c>
      <c r="E20" s="287">
        <f t="shared" si="1"/>
        <v>72.900000000000006</v>
      </c>
    </row>
    <row r="21" spans="1:5" x14ac:dyDescent="0.35">
      <c r="A21" s="279">
        <v>6</v>
      </c>
      <c r="B21" s="280" t="s">
        <v>690</v>
      </c>
      <c r="C21" s="286">
        <v>5</v>
      </c>
      <c r="D21" s="286">
        <v>68.5</v>
      </c>
      <c r="E21" s="287">
        <f t="shared" si="1"/>
        <v>73.5</v>
      </c>
    </row>
    <row r="22" spans="1:5" x14ac:dyDescent="0.35">
      <c r="A22" s="279">
        <v>7</v>
      </c>
      <c r="B22" s="280" t="s">
        <v>691</v>
      </c>
      <c r="C22" s="286">
        <v>3</v>
      </c>
      <c r="D22" s="286">
        <v>35.6</v>
      </c>
      <c r="E22" s="287">
        <f t="shared" si="1"/>
        <v>38.6</v>
      </c>
    </row>
    <row r="23" spans="1:5" x14ac:dyDescent="0.35">
      <c r="A23" s="279">
        <v>8</v>
      </c>
      <c r="B23" s="280" t="s">
        <v>692</v>
      </c>
      <c r="C23" s="286">
        <v>1.7</v>
      </c>
      <c r="D23" s="286">
        <v>29.2</v>
      </c>
      <c r="E23" s="287">
        <f t="shared" si="1"/>
        <v>30.9</v>
      </c>
    </row>
    <row r="24" spans="1:5" ht="18.600000000000001" thickBot="1" x14ac:dyDescent="0.4">
      <c r="A24" s="288"/>
      <c r="B24" s="289" t="s">
        <v>20</v>
      </c>
      <c r="C24" s="290">
        <f>SUM(C16:C23)</f>
        <v>38.1</v>
      </c>
      <c r="D24" s="290">
        <f>SUM(D16:D23)</f>
        <v>406.4</v>
      </c>
      <c r="E24" s="291">
        <f>SUM(E16:E23)</f>
        <v>444.5</v>
      </c>
    </row>
  </sheetData>
  <mergeCells count="4">
    <mergeCell ref="A1:E1"/>
    <mergeCell ref="A2:E2"/>
    <mergeCell ref="A12:E12"/>
    <mergeCell ref="A13:E1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8"/>
  <sheetViews>
    <sheetView topLeftCell="A4" zoomScale="70" zoomScaleNormal="70" workbookViewId="0">
      <selection activeCell="C3" sqref="C3"/>
    </sheetView>
  </sheetViews>
  <sheetFormatPr defaultRowHeight="18" x14ac:dyDescent="0.35"/>
  <cols>
    <col min="1" max="1" width="8.6640625" style="267" customWidth="1"/>
    <col min="2" max="2" width="37.88671875" style="267" customWidth="1"/>
    <col min="3" max="3" width="28.88671875" style="267" customWidth="1"/>
    <col min="4" max="4" width="11.6640625" style="267" customWidth="1"/>
    <col min="5" max="5" width="7.44140625" style="267" customWidth="1"/>
    <col min="6" max="16384" width="8.88671875" style="267"/>
  </cols>
  <sheetData>
    <row r="1" spans="1:5" x14ac:dyDescent="0.35">
      <c r="A1" s="263"/>
      <c r="B1" s="264" t="s">
        <v>600</v>
      </c>
      <c r="C1" s="265"/>
      <c r="D1" s="265"/>
      <c r="E1" s="266"/>
    </row>
    <row r="2" spans="1:5" ht="36" x14ac:dyDescent="0.35">
      <c r="A2" s="263" t="s">
        <v>0</v>
      </c>
      <c r="B2" s="268" t="s">
        <v>498</v>
      </c>
      <c r="C2" s="268" t="s">
        <v>696</v>
      </c>
      <c r="D2" s="268" t="s">
        <v>1</v>
      </c>
      <c r="E2" s="265" t="s">
        <v>2</v>
      </c>
    </row>
    <row r="3" spans="1:5" ht="108" x14ac:dyDescent="0.35">
      <c r="A3" s="269">
        <v>1</v>
      </c>
      <c r="B3" s="270" t="s">
        <v>28</v>
      </c>
      <c r="C3" s="272"/>
      <c r="D3" s="272" t="s">
        <v>4</v>
      </c>
      <c r="E3" s="273">
        <f>Лист1!BT22</f>
        <v>287.52</v>
      </c>
    </row>
    <row r="4" spans="1:5" ht="36" x14ac:dyDescent="0.35">
      <c r="A4" s="269">
        <v>2</v>
      </c>
      <c r="B4" s="270" t="s">
        <v>139</v>
      </c>
      <c r="C4" s="272" t="s">
        <v>153</v>
      </c>
      <c r="D4" s="272" t="s">
        <v>96</v>
      </c>
      <c r="E4" s="273">
        <f>'10.n3s2f'!E10</f>
        <v>845.09999999999991</v>
      </c>
    </row>
    <row r="5" spans="1:5" ht="90" x14ac:dyDescent="0.35">
      <c r="A5" s="269">
        <v>3</v>
      </c>
      <c r="B5" s="292" t="s">
        <v>166</v>
      </c>
      <c r="C5" s="293" t="s">
        <v>179</v>
      </c>
      <c r="D5" s="293" t="s">
        <v>96</v>
      </c>
      <c r="E5" s="273">
        <f>'10.n3s2f'!C17</f>
        <v>3</v>
      </c>
    </row>
    <row r="6" spans="1:5" ht="90" x14ac:dyDescent="0.35">
      <c r="A6" s="269">
        <v>4</v>
      </c>
      <c r="B6" s="294" t="s">
        <v>166</v>
      </c>
      <c r="C6" s="295" t="s">
        <v>185</v>
      </c>
      <c r="D6" s="295" t="s">
        <v>96</v>
      </c>
      <c r="E6" s="273">
        <f>'10.n3s2f'!D17</f>
        <v>37.799999999999997</v>
      </c>
    </row>
    <row r="7" spans="1:5" ht="90" x14ac:dyDescent="0.35">
      <c r="A7" s="269">
        <v>5</v>
      </c>
      <c r="B7" s="296" t="s">
        <v>192</v>
      </c>
      <c r="C7" s="297" t="s">
        <v>179</v>
      </c>
      <c r="D7" s="297" t="s">
        <v>96</v>
      </c>
      <c r="E7" s="273">
        <f>'10.n3s2f'!C10</f>
        <v>199.4</v>
      </c>
    </row>
    <row r="8" spans="1:5" ht="90" x14ac:dyDescent="0.35">
      <c r="A8" s="269">
        <v>6</v>
      </c>
      <c r="B8" s="298" t="s">
        <v>192</v>
      </c>
      <c r="C8" s="299" t="s">
        <v>206</v>
      </c>
      <c r="D8" s="299" t="s">
        <v>96</v>
      </c>
      <c r="E8" s="273">
        <f>'10.n3s2f'!D10</f>
        <v>645.70000000000005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7"/>
  <sheetViews>
    <sheetView zoomScale="70" zoomScaleNormal="70" workbookViewId="0">
      <selection activeCell="C3" sqref="C3"/>
    </sheetView>
  </sheetViews>
  <sheetFormatPr defaultRowHeight="18" x14ac:dyDescent="0.35"/>
  <cols>
    <col min="1" max="1" width="8.88671875" style="267"/>
    <col min="2" max="2" width="13.6640625" style="267" customWidth="1"/>
    <col min="3" max="3" width="12.6640625" style="267" customWidth="1"/>
    <col min="4" max="4" width="17" style="267" customWidth="1"/>
    <col min="5" max="16384" width="8.88671875" style="267"/>
  </cols>
  <sheetData>
    <row r="1" spans="1:5" x14ac:dyDescent="0.35">
      <c r="A1" s="349" t="s">
        <v>8</v>
      </c>
      <c r="B1" s="350"/>
      <c r="C1" s="350"/>
      <c r="D1" s="350"/>
      <c r="E1" s="351"/>
    </row>
    <row r="2" spans="1:5" x14ac:dyDescent="0.35">
      <c r="A2" s="352" t="s">
        <v>601</v>
      </c>
      <c r="B2" s="353"/>
      <c r="C2" s="353"/>
      <c r="D2" s="353"/>
      <c r="E2" s="354"/>
    </row>
    <row r="3" spans="1:5" ht="54" x14ac:dyDescent="0.35">
      <c r="A3" s="279"/>
      <c r="B3" s="280"/>
      <c r="C3" s="281" t="s">
        <v>10</v>
      </c>
      <c r="D3" s="282" t="s">
        <v>11</v>
      </c>
      <c r="E3" s="283" t="s">
        <v>19</v>
      </c>
    </row>
    <row r="4" spans="1:5" x14ac:dyDescent="0.35">
      <c r="A4" s="279" t="s">
        <v>0</v>
      </c>
      <c r="B4" s="284" t="s">
        <v>7</v>
      </c>
      <c r="C4" s="285" t="s">
        <v>9</v>
      </c>
      <c r="D4" s="285" t="s">
        <v>9</v>
      </c>
      <c r="E4" s="283" t="s">
        <v>9</v>
      </c>
    </row>
    <row r="5" spans="1:5" x14ac:dyDescent="0.35">
      <c r="A5" s="279">
        <v>1</v>
      </c>
      <c r="B5" s="280" t="s">
        <v>653</v>
      </c>
      <c r="C5" s="286">
        <v>39.9</v>
      </c>
      <c r="D5" s="286">
        <v>255.7</v>
      </c>
      <c r="E5" s="287">
        <f>C5+D5</f>
        <v>295.59999999999997</v>
      </c>
    </row>
    <row r="6" spans="1:5" x14ac:dyDescent="0.35">
      <c r="A6" s="279">
        <v>2</v>
      </c>
      <c r="B6" s="280" t="s">
        <v>654</v>
      </c>
      <c r="C6" s="286">
        <v>15.9</v>
      </c>
      <c r="D6" s="286">
        <v>61.9</v>
      </c>
      <c r="E6" s="287">
        <f t="shared" ref="E6:E9" si="0">C6+D6</f>
        <v>77.8</v>
      </c>
    </row>
    <row r="7" spans="1:5" x14ac:dyDescent="0.35">
      <c r="A7" s="279">
        <v>3</v>
      </c>
      <c r="B7" s="280" t="s">
        <v>655</v>
      </c>
      <c r="C7" s="286">
        <v>53.2</v>
      </c>
      <c r="D7" s="286">
        <v>80.7</v>
      </c>
      <c r="E7" s="287">
        <f t="shared" si="0"/>
        <v>133.9</v>
      </c>
    </row>
    <row r="8" spans="1:5" x14ac:dyDescent="0.35">
      <c r="A8" s="279">
        <v>4</v>
      </c>
      <c r="B8" s="280" t="s">
        <v>658</v>
      </c>
      <c r="C8" s="286">
        <v>37.299999999999997</v>
      </c>
      <c r="D8" s="286">
        <v>131.69999999999999</v>
      </c>
      <c r="E8" s="287">
        <f t="shared" si="0"/>
        <v>169</v>
      </c>
    </row>
    <row r="9" spans="1:5" x14ac:dyDescent="0.35">
      <c r="A9" s="279">
        <v>5</v>
      </c>
      <c r="B9" s="280" t="s">
        <v>659</v>
      </c>
      <c r="C9" s="286">
        <v>53.1</v>
      </c>
      <c r="D9" s="286">
        <v>115.7</v>
      </c>
      <c r="E9" s="287">
        <f t="shared" si="0"/>
        <v>168.8</v>
      </c>
    </row>
    <row r="10" spans="1:5" ht="18.600000000000001" thickBot="1" x14ac:dyDescent="0.4">
      <c r="A10" s="288"/>
      <c r="B10" s="289" t="s">
        <v>20</v>
      </c>
      <c r="C10" s="290">
        <f>SUM(C5:C9)</f>
        <v>199.4</v>
      </c>
      <c r="D10" s="290">
        <f>SUM(D5:D9)</f>
        <v>645.70000000000005</v>
      </c>
      <c r="E10" s="290">
        <f>SUM(E5:E9)</f>
        <v>845.09999999999991</v>
      </c>
    </row>
    <row r="11" spans="1:5" ht="18.600000000000001" thickBot="1" x14ac:dyDescent="0.4"/>
    <row r="12" spans="1:5" x14ac:dyDescent="0.35">
      <c r="A12" s="349" t="s">
        <v>8</v>
      </c>
      <c r="B12" s="350"/>
      <c r="C12" s="350"/>
      <c r="D12" s="350"/>
      <c r="E12" s="351"/>
    </row>
    <row r="13" spans="1:5" x14ac:dyDescent="0.35">
      <c r="A13" s="352" t="s">
        <v>602</v>
      </c>
      <c r="B13" s="353"/>
      <c r="C13" s="353"/>
      <c r="D13" s="353"/>
      <c r="E13" s="354"/>
    </row>
    <row r="14" spans="1:5" ht="54" x14ac:dyDescent="0.35">
      <c r="A14" s="279"/>
      <c r="B14" s="280"/>
      <c r="C14" s="281" t="s">
        <v>10</v>
      </c>
      <c r="D14" s="282" t="s">
        <v>11</v>
      </c>
      <c r="E14" s="283" t="s">
        <v>19</v>
      </c>
    </row>
    <row r="15" spans="1:5" x14ac:dyDescent="0.35">
      <c r="A15" s="279" t="s">
        <v>0</v>
      </c>
      <c r="B15" s="284" t="s">
        <v>7</v>
      </c>
      <c r="C15" s="285" t="s">
        <v>9</v>
      </c>
      <c r="D15" s="285" t="s">
        <v>9</v>
      </c>
      <c r="E15" s="283" t="s">
        <v>9</v>
      </c>
    </row>
    <row r="16" spans="1:5" x14ac:dyDescent="0.35">
      <c r="A16" s="279">
        <v>1</v>
      </c>
      <c r="B16" s="280" t="s">
        <v>656</v>
      </c>
      <c r="C16" s="286">
        <v>3</v>
      </c>
      <c r="D16" s="286">
        <v>37.799999999999997</v>
      </c>
      <c r="E16" s="287">
        <f>C16+D16</f>
        <v>40.799999999999997</v>
      </c>
    </row>
    <row r="17" spans="1:5" ht="18.600000000000001" thickBot="1" x14ac:dyDescent="0.4">
      <c r="A17" s="288"/>
      <c r="B17" s="289" t="s">
        <v>20</v>
      </c>
      <c r="C17" s="290">
        <f>SUM(C16:C16)</f>
        <v>3</v>
      </c>
      <c r="D17" s="290">
        <f>SUM(D16:D16)</f>
        <v>37.799999999999997</v>
      </c>
      <c r="E17" s="291">
        <f>SUM(E16:E16)</f>
        <v>40.799999999999997</v>
      </c>
    </row>
  </sheetData>
  <mergeCells count="4">
    <mergeCell ref="A1:E1"/>
    <mergeCell ref="A2:E2"/>
    <mergeCell ref="A12:E12"/>
    <mergeCell ref="A13:E1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X160"/>
  <sheetViews>
    <sheetView zoomScale="55" zoomScaleNormal="55" workbookViewId="0">
      <selection activeCell="C16" sqref="C16"/>
    </sheetView>
  </sheetViews>
  <sheetFormatPr defaultColWidth="9.109375" defaultRowHeight="13.2" x14ac:dyDescent="0.3"/>
  <cols>
    <col min="1" max="1" width="7.21875" style="189" customWidth="1"/>
    <col min="2" max="2" width="26.6640625" style="189" customWidth="1"/>
    <col min="3" max="3" width="6.109375" style="247" customWidth="1"/>
    <col min="4" max="4" width="37.109375" style="189" customWidth="1"/>
    <col min="5" max="5" width="10.5546875" style="189" customWidth="1"/>
    <col min="6" max="6" width="13.88671875" style="189" hidden="1" customWidth="1"/>
    <col min="7" max="7" width="15.88671875" style="189" hidden="1" customWidth="1"/>
    <col min="8" max="8" width="43" style="189" hidden="1" customWidth="1"/>
    <col min="9" max="9" width="6.44140625" style="189" customWidth="1"/>
    <col min="10" max="10" width="22" style="189" hidden="1" customWidth="1"/>
    <col min="11" max="11" width="8.44140625" style="189" customWidth="1"/>
    <col min="12" max="12" width="43.88671875" style="189" hidden="1" customWidth="1"/>
    <col min="13" max="13" width="6.77734375" style="189" customWidth="1"/>
    <col min="14" max="14" width="22.5546875" style="189" hidden="1" customWidth="1"/>
    <col min="15" max="15" width="22.33203125" style="189" hidden="1" customWidth="1"/>
    <col min="16" max="16" width="9.44140625" style="189" customWidth="1"/>
    <col min="17" max="17" width="7.33203125" style="189" customWidth="1"/>
    <col min="18" max="18" width="6.6640625" style="205" customWidth="1"/>
    <col min="19" max="19" width="11.77734375" style="205" customWidth="1"/>
    <col min="20" max="20" width="10.77734375" style="205" customWidth="1"/>
    <col min="21" max="21" width="9.109375" style="205"/>
    <col min="22" max="16384" width="9.109375" style="189"/>
  </cols>
  <sheetData>
    <row r="1" spans="1:21" ht="23.25" customHeight="1" x14ac:dyDescent="0.3">
      <c r="A1" s="385" t="s">
        <v>539</v>
      </c>
      <c r="B1" s="386"/>
      <c r="C1" s="387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2" spans="1:21" ht="25.5" customHeight="1" x14ac:dyDescent="0.3">
      <c r="A2" s="388" t="s">
        <v>540</v>
      </c>
      <c r="B2" s="388" t="s">
        <v>541</v>
      </c>
      <c r="C2" s="391" t="s">
        <v>520</v>
      </c>
      <c r="D2" s="385" t="s">
        <v>542</v>
      </c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</row>
    <row r="3" spans="1:21" s="190" customFormat="1" x14ac:dyDescent="0.3">
      <c r="A3" s="389"/>
      <c r="B3" s="389"/>
      <c r="C3" s="392"/>
      <c r="D3" s="383" t="s">
        <v>526</v>
      </c>
      <c r="E3" s="384"/>
      <c r="F3" s="383" t="s">
        <v>527</v>
      </c>
      <c r="G3" s="384"/>
      <c r="H3" s="383" t="s">
        <v>528</v>
      </c>
      <c r="I3" s="384"/>
      <c r="J3" s="383" t="s">
        <v>529</v>
      </c>
      <c r="K3" s="384"/>
      <c r="L3" s="383" t="s">
        <v>530</v>
      </c>
      <c r="M3" s="384"/>
      <c r="N3" s="383" t="s">
        <v>531</v>
      </c>
      <c r="O3" s="384"/>
      <c r="P3" s="385" t="s">
        <v>543</v>
      </c>
      <c r="Q3" s="386"/>
      <c r="R3" s="206"/>
      <c r="S3" s="206"/>
      <c r="T3" s="206"/>
      <c r="U3" s="206"/>
    </row>
    <row r="4" spans="1:21" ht="44.4" customHeight="1" x14ac:dyDescent="0.3">
      <c r="A4" s="390"/>
      <c r="B4" s="390"/>
      <c r="C4" s="393"/>
      <c r="D4" s="191" t="s">
        <v>544</v>
      </c>
      <c r="E4" s="191" t="s">
        <v>545</v>
      </c>
      <c r="F4" s="191" t="s">
        <v>544</v>
      </c>
      <c r="G4" s="191" t="s">
        <v>545</v>
      </c>
      <c r="H4" s="191" t="s">
        <v>544</v>
      </c>
      <c r="I4" s="191" t="s">
        <v>545</v>
      </c>
      <c r="J4" s="191" t="s">
        <v>544</v>
      </c>
      <c r="K4" s="191" t="s">
        <v>545</v>
      </c>
      <c r="L4" s="191" t="s">
        <v>544</v>
      </c>
      <c r="M4" s="191" t="s">
        <v>545</v>
      </c>
      <c r="N4" s="191" t="s">
        <v>544</v>
      </c>
      <c r="O4" s="191" t="s">
        <v>545</v>
      </c>
      <c r="P4" s="191"/>
      <c r="Q4" s="191" t="s">
        <v>545</v>
      </c>
      <c r="R4" s="207" t="s">
        <v>77</v>
      </c>
      <c r="S4" s="208" t="s">
        <v>10</v>
      </c>
      <c r="T4" s="209" t="s">
        <v>11</v>
      </c>
      <c r="U4" s="210" t="s">
        <v>19</v>
      </c>
    </row>
    <row r="5" spans="1:21" ht="26.4" x14ac:dyDescent="0.3">
      <c r="A5" s="194" t="s">
        <v>77</v>
      </c>
      <c r="B5" s="192" t="s">
        <v>78</v>
      </c>
      <c r="C5" s="245" t="s">
        <v>519</v>
      </c>
      <c r="D5" s="192" t="s">
        <v>79</v>
      </c>
      <c r="E5" s="195" t="s">
        <v>80</v>
      </c>
      <c r="F5" s="196" t="s">
        <v>81</v>
      </c>
      <c r="G5" s="195" t="s">
        <v>82</v>
      </c>
      <c r="H5" s="192" t="s">
        <v>83</v>
      </c>
      <c r="I5" s="195" t="s">
        <v>84</v>
      </c>
      <c r="J5" s="196" t="s">
        <v>85</v>
      </c>
      <c r="K5" s="195" t="s">
        <v>86</v>
      </c>
      <c r="L5" s="192" t="s">
        <v>87</v>
      </c>
      <c r="M5" s="195" t="s">
        <v>88</v>
      </c>
      <c r="N5" s="196" t="s">
        <v>89</v>
      </c>
      <c r="O5" s="195" t="s">
        <v>90</v>
      </c>
      <c r="P5" s="192" t="s">
        <v>91</v>
      </c>
      <c r="Q5" s="195" t="s">
        <v>92</v>
      </c>
      <c r="R5" s="4"/>
      <c r="S5" s="1" t="s">
        <v>9</v>
      </c>
      <c r="T5" s="1" t="s">
        <v>9</v>
      </c>
      <c r="U5" s="1" t="s">
        <v>9</v>
      </c>
    </row>
    <row r="6" spans="1:21" ht="79.2" hidden="1" x14ac:dyDescent="0.3">
      <c r="A6" s="197">
        <v>2001</v>
      </c>
      <c r="B6" s="191" t="s">
        <v>546</v>
      </c>
      <c r="C6" s="191">
        <v>1</v>
      </c>
      <c r="D6" s="191" t="s">
        <v>547</v>
      </c>
      <c r="E6" s="198">
        <v>72.7</v>
      </c>
      <c r="F6" s="199" t="s">
        <v>98</v>
      </c>
      <c r="G6" s="198">
        <v>0</v>
      </c>
      <c r="H6" s="191" t="s">
        <v>548</v>
      </c>
      <c r="I6" s="198">
        <v>33</v>
      </c>
      <c r="J6" s="199" t="s">
        <v>98</v>
      </c>
      <c r="K6" s="198">
        <v>0</v>
      </c>
      <c r="L6" s="191" t="s">
        <v>548</v>
      </c>
      <c r="M6" s="198">
        <v>19.5</v>
      </c>
      <c r="N6" s="199" t="s">
        <v>98</v>
      </c>
      <c r="O6" s="198">
        <v>0</v>
      </c>
      <c r="P6" s="191" t="s">
        <v>549</v>
      </c>
      <c r="Q6" s="198">
        <v>125.2</v>
      </c>
      <c r="R6" s="205" t="str">
        <f>REPLACE(TEXT(Таблица3[[#This Row],[Столбец1]],"0"),2,0,".")</f>
        <v>2.001</v>
      </c>
      <c r="S6" s="205">
        <f ca="1">ROUND(
   Таблица3[[#This Row],[Столбец4]] * RANDBETWEEN(97,99)/100,
1)</f>
        <v>72</v>
      </c>
      <c r="T6" s="205">
        <f ca="1">ROUND(
    SUM(Таблица3[[#This Row],[Столбец6]:[Столбец13]]) * RANDBETWEEN(97,99)/100,
1)</f>
        <v>52</v>
      </c>
      <c r="U6" s="205">
        <f ca="1">SUM(S6:T6)</f>
        <v>124</v>
      </c>
    </row>
    <row r="7" spans="1:21" ht="79.2" hidden="1" x14ac:dyDescent="0.3">
      <c r="A7" s="197">
        <v>2002</v>
      </c>
      <c r="B7" s="191" t="s">
        <v>546</v>
      </c>
      <c r="C7" s="191">
        <v>1</v>
      </c>
      <c r="D7" s="191" t="s">
        <v>547</v>
      </c>
      <c r="E7" s="198">
        <v>53.1</v>
      </c>
      <c r="F7" s="199" t="s">
        <v>98</v>
      </c>
      <c r="G7" s="198">
        <v>0</v>
      </c>
      <c r="H7" s="191" t="s">
        <v>548</v>
      </c>
      <c r="I7" s="198">
        <v>43.1</v>
      </c>
      <c r="J7" s="199" t="s">
        <v>98</v>
      </c>
      <c r="K7" s="198">
        <v>0</v>
      </c>
      <c r="L7" s="191" t="s">
        <v>548</v>
      </c>
      <c r="M7" s="198">
        <v>19.3</v>
      </c>
      <c r="N7" s="199" t="s">
        <v>98</v>
      </c>
      <c r="O7" s="198">
        <v>0</v>
      </c>
      <c r="P7" s="191" t="s">
        <v>549</v>
      </c>
      <c r="Q7" s="198">
        <v>115.4</v>
      </c>
      <c r="R7" s="205" t="str">
        <f>REPLACE(TEXT(Таблица3[[#This Row],[Столбец1]],"0"),2,0,".")</f>
        <v>2.002</v>
      </c>
      <c r="S7" s="205">
        <f ca="1">ROUND(
   Таблица3[[#This Row],[Столбец4]] * RANDBETWEEN(97,99)/100,
1)</f>
        <v>52.6</v>
      </c>
      <c r="T7" s="205">
        <f ca="1">ROUND(
    SUM(Таблица3[[#This Row],[Столбец6]:[Столбец13]]) * RANDBETWEEN(97,99)/100,
1)</f>
        <v>61.8</v>
      </c>
      <c r="U7" s="205">
        <f t="shared" ref="U7" ca="1" si="0">SUM(S7:T7)</f>
        <v>114.4</v>
      </c>
    </row>
    <row r="8" spans="1:21" ht="79.2" hidden="1" x14ac:dyDescent="0.3">
      <c r="A8" s="197">
        <v>2003</v>
      </c>
      <c r="B8" s="191" t="s">
        <v>550</v>
      </c>
      <c r="C8" s="191">
        <v>1</v>
      </c>
      <c r="D8" s="191" t="s">
        <v>547</v>
      </c>
      <c r="E8" s="198">
        <v>144.80000000000001</v>
      </c>
      <c r="F8" s="199" t="s">
        <v>98</v>
      </c>
      <c r="G8" s="198">
        <v>0</v>
      </c>
      <c r="H8" s="191" t="s">
        <v>548</v>
      </c>
      <c r="I8" s="198">
        <v>149.1</v>
      </c>
      <c r="J8" s="199" t="s">
        <v>98</v>
      </c>
      <c r="K8" s="198">
        <v>0</v>
      </c>
      <c r="L8" s="191" t="s">
        <v>548</v>
      </c>
      <c r="M8" s="198">
        <v>22.5</v>
      </c>
      <c r="N8" s="199" t="s">
        <v>98</v>
      </c>
      <c r="O8" s="198">
        <v>0</v>
      </c>
      <c r="P8" s="191" t="s">
        <v>549</v>
      </c>
      <c r="Q8" s="198">
        <v>316.5</v>
      </c>
      <c r="R8" s="205" t="str">
        <f>REPLACE(TEXT(Таблица3[[#This Row],[Столбец1]],"0"),2,0,".")</f>
        <v>2.003</v>
      </c>
      <c r="S8" s="205">
        <f ca="1">ROUND(
   Таблица3[[#This Row],[Столбец4]] * RANDBETWEEN(97,99)/100,
1)</f>
        <v>141.9</v>
      </c>
      <c r="T8" s="205">
        <f ca="1">ROUND(
    SUM(Таблица3[[#This Row],[Столбец6]:[Столбец13]]) * RANDBETWEEN(97,99)/100,
1)</f>
        <v>169.9</v>
      </c>
      <c r="U8" s="205">
        <f t="shared" ref="U8:U71" ca="1" si="1">SUM(S8:T8)</f>
        <v>311.8</v>
      </c>
    </row>
    <row r="9" spans="1:21" ht="105.6" hidden="1" x14ac:dyDescent="0.3">
      <c r="A9" s="197">
        <v>2004</v>
      </c>
      <c r="B9" s="191" t="s">
        <v>551</v>
      </c>
      <c r="C9" s="191">
        <v>1</v>
      </c>
      <c r="D9" s="191" t="s">
        <v>547</v>
      </c>
      <c r="E9" s="198">
        <v>44.3</v>
      </c>
      <c r="F9" s="199" t="s">
        <v>98</v>
      </c>
      <c r="G9" s="198">
        <v>0</v>
      </c>
      <c r="H9" s="191" t="s">
        <v>548</v>
      </c>
      <c r="I9" s="198">
        <v>24.4</v>
      </c>
      <c r="J9" s="191" t="s">
        <v>552</v>
      </c>
      <c r="K9" s="198">
        <v>9.5</v>
      </c>
      <c r="L9" s="191" t="s">
        <v>548</v>
      </c>
      <c r="M9" s="198">
        <v>37</v>
      </c>
      <c r="N9" s="199" t="s">
        <v>98</v>
      </c>
      <c r="O9" s="198">
        <v>0</v>
      </c>
      <c r="P9" s="191" t="s">
        <v>549</v>
      </c>
      <c r="Q9" s="198">
        <v>115.2</v>
      </c>
      <c r="R9" s="205" t="str">
        <f>REPLACE(TEXT(Таблица3[[#This Row],[Столбец1]],"0"),2,0,".")</f>
        <v>2.004</v>
      </c>
      <c r="S9" s="205">
        <f ca="1">ROUND(
   Таблица3[[#This Row],[Столбец4]] * RANDBETWEEN(97,99)/100,
1)</f>
        <v>43</v>
      </c>
      <c r="T9" s="205">
        <f ca="1">ROUND(
    SUM(Таблица3[[#This Row],[Столбец6]:[Столбец13]]) * RANDBETWEEN(97,99)/100,
1)</f>
        <v>68.8</v>
      </c>
      <c r="U9" s="205">
        <f t="shared" ca="1" si="1"/>
        <v>111.8</v>
      </c>
    </row>
    <row r="10" spans="1:21" ht="79.2" hidden="1" x14ac:dyDescent="0.3">
      <c r="A10" s="197">
        <v>2005</v>
      </c>
      <c r="B10" s="191" t="s">
        <v>553</v>
      </c>
      <c r="C10" s="191">
        <v>1</v>
      </c>
      <c r="D10" s="191" t="s">
        <v>547</v>
      </c>
      <c r="E10" s="198">
        <v>23.9</v>
      </c>
      <c r="F10" s="199" t="s">
        <v>98</v>
      </c>
      <c r="G10" s="198">
        <v>0</v>
      </c>
      <c r="H10" s="191" t="s">
        <v>548</v>
      </c>
      <c r="I10" s="198">
        <v>36</v>
      </c>
      <c r="J10" s="199" t="s">
        <v>98</v>
      </c>
      <c r="K10" s="198">
        <v>0</v>
      </c>
      <c r="L10" s="191" t="s">
        <v>548</v>
      </c>
      <c r="M10" s="198">
        <v>4.5</v>
      </c>
      <c r="N10" s="199" t="s">
        <v>98</v>
      </c>
      <c r="O10" s="198">
        <v>0</v>
      </c>
      <c r="P10" s="191" t="s">
        <v>549</v>
      </c>
      <c r="Q10" s="198">
        <v>64.400000000000006</v>
      </c>
      <c r="R10" s="205" t="str">
        <f>REPLACE(TEXT(Таблица3[[#This Row],[Столбец1]],"0"),2,0,".")</f>
        <v>2.005</v>
      </c>
      <c r="S10" s="205">
        <f ca="1">ROUND(
   Таблица3[[#This Row],[Столбец4]] * RANDBETWEEN(97,99)/100,
1)</f>
        <v>23.4</v>
      </c>
      <c r="T10" s="205">
        <f ca="1">ROUND(
    SUM(Таблица3[[#This Row],[Столбец6]:[Столбец13]]) * RANDBETWEEN(97,99)/100,
1)</f>
        <v>40.1</v>
      </c>
      <c r="U10" s="205">
        <f t="shared" ca="1" si="1"/>
        <v>63.5</v>
      </c>
    </row>
    <row r="11" spans="1:21" ht="79.2" hidden="1" x14ac:dyDescent="0.3">
      <c r="A11" s="197">
        <v>2006</v>
      </c>
      <c r="B11" s="191" t="s">
        <v>554</v>
      </c>
      <c r="C11" s="191" t="s">
        <v>98</v>
      </c>
      <c r="D11" s="191" t="s">
        <v>547</v>
      </c>
      <c r="E11" s="198">
        <v>20.399999999999999</v>
      </c>
      <c r="F11" s="199" t="s">
        <v>98</v>
      </c>
      <c r="G11" s="198">
        <v>0</v>
      </c>
      <c r="H11" s="191" t="s">
        <v>548</v>
      </c>
      <c r="I11" s="198">
        <v>45.8</v>
      </c>
      <c r="J11" s="199" t="s">
        <v>98</v>
      </c>
      <c r="K11" s="198">
        <v>0</v>
      </c>
      <c r="L11" s="199" t="s">
        <v>98</v>
      </c>
      <c r="M11" s="198">
        <v>0</v>
      </c>
      <c r="N11" s="199" t="s">
        <v>98</v>
      </c>
      <c r="O11" s="198">
        <v>0</v>
      </c>
      <c r="P11" s="191" t="s">
        <v>549</v>
      </c>
      <c r="Q11" s="198">
        <v>66.2</v>
      </c>
      <c r="R11" s="205" t="str">
        <f>REPLACE(TEXT(Таблица3[[#This Row],[Столбец1]],"0"),2,0,".")</f>
        <v>2.006</v>
      </c>
      <c r="S11" s="205">
        <f ca="1">ROUND(
   Таблица3[[#This Row],[Столбец4]] * RANDBETWEEN(97,99)/100,
1)</f>
        <v>19.8</v>
      </c>
      <c r="T11" s="205">
        <f ca="1">ROUND(
    SUM(Таблица3[[#This Row],[Столбец6]:[Столбец13]]) * RANDBETWEEN(97,99)/100,
1)</f>
        <v>45.3</v>
      </c>
      <c r="U11" s="205">
        <f t="shared" ca="1" si="1"/>
        <v>65.099999999999994</v>
      </c>
    </row>
    <row r="12" spans="1:21" ht="79.2" hidden="1" x14ac:dyDescent="0.3">
      <c r="A12" s="197">
        <v>2007</v>
      </c>
      <c r="B12" s="191" t="s">
        <v>555</v>
      </c>
      <c r="C12" s="191">
        <v>1</v>
      </c>
      <c r="D12" s="191" t="s">
        <v>547</v>
      </c>
      <c r="E12" s="198">
        <v>27.9</v>
      </c>
      <c r="F12" s="199" t="s">
        <v>98</v>
      </c>
      <c r="G12" s="198">
        <v>0</v>
      </c>
      <c r="H12" s="191" t="s">
        <v>548</v>
      </c>
      <c r="I12" s="198">
        <v>110.2</v>
      </c>
      <c r="J12" s="199" t="s">
        <v>98</v>
      </c>
      <c r="K12" s="198">
        <v>0</v>
      </c>
      <c r="L12" s="191" t="s">
        <v>548</v>
      </c>
      <c r="M12" s="198">
        <v>26.8</v>
      </c>
      <c r="N12" s="199" t="s">
        <v>98</v>
      </c>
      <c r="O12" s="198">
        <v>0</v>
      </c>
      <c r="P12" s="191" t="s">
        <v>549</v>
      </c>
      <c r="Q12" s="198">
        <v>164.9</v>
      </c>
      <c r="R12" s="205" t="str">
        <f>REPLACE(TEXT(Таблица3[[#This Row],[Столбец1]],"0"),2,0,".")</f>
        <v>2.007</v>
      </c>
      <c r="S12" s="205">
        <f ca="1">ROUND(
   Таблица3[[#This Row],[Столбец4]] * RANDBETWEEN(97,99)/100,
1)</f>
        <v>27.3</v>
      </c>
      <c r="T12" s="205">
        <f ca="1">ROUND(
    SUM(Таблица3[[#This Row],[Столбец6]:[Столбец13]]) * RANDBETWEEN(97,99)/100,
1)</f>
        <v>134.30000000000001</v>
      </c>
      <c r="U12" s="205">
        <f t="shared" ca="1" si="1"/>
        <v>161.60000000000002</v>
      </c>
    </row>
    <row r="13" spans="1:21" ht="79.2" hidden="1" x14ac:dyDescent="0.3">
      <c r="A13" s="197">
        <v>2008</v>
      </c>
      <c r="B13" s="191" t="s">
        <v>556</v>
      </c>
      <c r="C13" s="191">
        <v>1</v>
      </c>
      <c r="D13" s="191" t="s">
        <v>547</v>
      </c>
      <c r="E13" s="198">
        <v>101.7</v>
      </c>
      <c r="F13" s="199" t="s">
        <v>98</v>
      </c>
      <c r="G13" s="198">
        <v>0</v>
      </c>
      <c r="H13" s="199" t="s">
        <v>98</v>
      </c>
      <c r="I13" s="198">
        <v>0</v>
      </c>
      <c r="J13" s="199" t="s">
        <v>98</v>
      </c>
      <c r="K13" s="198">
        <v>0</v>
      </c>
      <c r="L13" s="199" t="s">
        <v>98</v>
      </c>
      <c r="M13" s="198">
        <v>0</v>
      </c>
      <c r="N13" s="199" t="s">
        <v>98</v>
      </c>
      <c r="O13" s="198">
        <v>0</v>
      </c>
      <c r="P13" s="191" t="s">
        <v>549</v>
      </c>
      <c r="Q13" s="198">
        <v>101.7</v>
      </c>
      <c r="R13" s="205" t="str">
        <f>REPLACE(TEXT(Таблица3[[#This Row],[Столбец1]],"0"),2,0,".")</f>
        <v>2.008</v>
      </c>
      <c r="S13" s="205">
        <f ca="1">ROUND(
   Таблица3[[#This Row],[Столбец4]] * RANDBETWEEN(97,99)/100,
1)</f>
        <v>99.7</v>
      </c>
      <c r="T13" s="205">
        <f ca="1">ROUND(
    SUM(Таблица3[[#This Row],[Столбец6]:[Столбец13]]) * RANDBETWEEN(97,99)/100,
1)</f>
        <v>0</v>
      </c>
      <c r="U13" s="205">
        <f t="shared" ca="1" si="1"/>
        <v>99.7</v>
      </c>
    </row>
    <row r="14" spans="1:21" ht="79.2" hidden="1" x14ac:dyDescent="0.3">
      <c r="A14" s="200">
        <v>2009</v>
      </c>
      <c r="B14" s="193" t="s">
        <v>557</v>
      </c>
      <c r="C14" s="193">
        <v>1</v>
      </c>
      <c r="D14" s="193" t="s">
        <v>547</v>
      </c>
      <c r="E14" s="201">
        <v>35.9</v>
      </c>
      <c r="F14" s="202" t="s">
        <v>98</v>
      </c>
      <c r="G14" s="201">
        <v>0</v>
      </c>
      <c r="H14" s="202" t="s">
        <v>98</v>
      </c>
      <c r="I14" s="201">
        <v>0</v>
      </c>
      <c r="J14" s="202" t="s">
        <v>98</v>
      </c>
      <c r="K14" s="201">
        <v>0</v>
      </c>
      <c r="L14" s="193" t="s">
        <v>548</v>
      </c>
      <c r="M14" s="201">
        <v>13.1</v>
      </c>
      <c r="N14" s="202" t="s">
        <v>98</v>
      </c>
      <c r="O14" s="201">
        <v>0</v>
      </c>
      <c r="P14" s="193" t="s">
        <v>549</v>
      </c>
      <c r="Q14" s="201">
        <v>49</v>
      </c>
      <c r="R14" s="205" t="str">
        <f>REPLACE(TEXT(Таблица3[[#This Row],[Столбец1]],"0"),2,0,".")</f>
        <v>2.009</v>
      </c>
      <c r="S14" s="205">
        <f ca="1">ROUND(
   Таблица3[[#This Row],[Столбец4]] * RANDBETWEEN(97,99)/100,
1)</f>
        <v>34.799999999999997</v>
      </c>
      <c r="T14" s="205">
        <f ca="1">ROUND(
    SUM(Таблица3[[#This Row],[Столбец6]:[Столбец13]]) * RANDBETWEEN(97,99)/100,
1)</f>
        <v>13</v>
      </c>
      <c r="U14" s="205">
        <f t="shared" ca="1" si="1"/>
        <v>47.8</v>
      </c>
    </row>
    <row r="15" spans="1:21" ht="92.4" hidden="1" x14ac:dyDescent="0.3">
      <c r="A15" s="200">
        <v>2010</v>
      </c>
      <c r="B15" s="193" t="s">
        <v>558</v>
      </c>
      <c r="C15" s="246">
        <v>1</v>
      </c>
      <c r="D15" s="193" t="s">
        <v>559</v>
      </c>
      <c r="E15" s="203">
        <v>10.8</v>
      </c>
      <c r="F15" s="202" t="s">
        <v>98</v>
      </c>
      <c r="G15" s="201">
        <v>0</v>
      </c>
      <c r="H15" s="193" t="s">
        <v>560</v>
      </c>
      <c r="I15" s="201">
        <v>36.9</v>
      </c>
      <c r="J15" s="202" t="s">
        <v>98</v>
      </c>
      <c r="K15" s="201">
        <v>0</v>
      </c>
      <c r="L15" s="193" t="s">
        <v>560</v>
      </c>
      <c r="M15" s="201">
        <v>43.1</v>
      </c>
      <c r="N15" s="202" t="s">
        <v>98</v>
      </c>
      <c r="O15" s="201">
        <v>0</v>
      </c>
      <c r="P15" s="193" t="s">
        <v>549</v>
      </c>
      <c r="Q15" s="201">
        <v>100.8</v>
      </c>
      <c r="R15" s="205" t="str">
        <f>REPLACE(TEXT(Таблица3[[#This Row],[Столбец1]],"0"),2,0,".")</f>
        <v>2.010</v>
      </c>
      <c r="S15" s="205">
        <f ca="1">ROUND(
   Таблица3[[#This Row],[Столбец4]] * RANDBETWEEN(97,99)/100,
1)</f>
        <v>10.7</v>
      </c>
      <c r="T15" s="205">
        <f ca="1">ROUND(
    SUM(Таблица3[[#This Row],[Столбец6]:[Столбец13]]) * RANDBETWEEN(97,99)/100,
1)</f>
        <v>78.400000000000006</v>
      </c>
      <c r="U15" s="205">
        <f t="shared" ca="1" si="1"/>
        <v>89.100000000000009</v>
      </c>
    </row>
    <row r="16" spans="1:21" ht="92.4" hidden="1" x14ac:dyDescent="0.3">
      <c r="A16" s="197">
        <v>2011</v>
      </c>
      <c r="B16" s="191" t="s">
        <v>561</v>
      </c>
      <c r="C16" s="191">
        <v>1</v>
      </c>
      <c r="D16" s="199" t="s">
        <v>98</v>
      </c>
      <c r="E16" s="198">
        <v>0</v>
      </c>
      <c r="F16" s="199" t="s">
        <v>98</v>
      </c>
      <c r="G16" s="198">
        <v>0</v>
      </c>
      <c r="H16" s="191" t="s">
        <v>560</v>
      </c>
      <c r="I16" s="198">
        <v>3</v>
      </c>
      <c r="J16" s="199" t="s">
        <v>98</v>
      </c>
      <c r="K16" s="198">
        <v>0</v>
      </c>
      <c r="L16" s="191" t="s">
        <v>560</v>
      </c>
      <c r="M16" s="198">
        <v>30</v>
      </c>
      <c r="N16" s="199" t="s">
        <v>98</v>
      </c>
      <c r="O16" s="198">
        <v>0</v>
      </c>
      <c r="P16" s="191" t="s">
        <v>549</v>
      </c>
      <c r="Q16" s="198">
        <v>33</v>
      </c>
      <c r="R16" s="205" t="str">
        <f>REPLACE(TEXT(Таблица3[[#This Row],[Столбец1]],"0"),2,0,".")</f>
        <v>2.011</v>
      </c>
      <c r="S16" s="205">
        <f ca="1">ROUND(
   Таблица3[[#This Row],[Столбец4]] * RANDBETWEEN(97,99)/100,
1)</f>
        <v>0</v>
      </c>
      <c r="T16" s="205">
        <f ca="1">ROUND(
    SUM(Таблица3[[#This Row],[Столбец6]:[Столбец13]]) * RANDBETWEEN(97,99)/100,
1)</f>
        <v>32</v>
      </c>
      <c r="U16" s="205">
        <f t="shared" ca="1" si="1"/>
        <v>32</v>
      </c>
    </row>
    <row r="17" spans="1:21" ht="79.2" hidden="1" x14ac:dyDescent="0.3">
      <c r="A17" s="197">
        <v>2012</v>
      </c>
      <c r="B17" s="191" t="s">
        <v>562</v>
      </c>
      <c r="C17" s="191">
        <v>1</v>
      </c>
      <c r="D17" s="191" t="s">
        <v>547</v>
      </c>
      <c r="E17" s="198">
        <v>25.9</v>
      </c>
      <c r="F17" s="199" t="s">
        <v>98</v>
      </c>
      <c r="G17" s="198">
        <v>0</v>
      </c>
      <c r="H17" s="191" t="s">
        <v>548</v>
      </c>
      <c r="I17" s="198">
        <v>61.5</v>
      </c>
      <c r="J17" s="199" t="s">
        <v>98</v>
      </c>
      <c r="K17" s="198">
        <v>0</v>
      </c>
      <c r="L17" s="191" t="s">
        <v>548</v>
      </c>
      <c r="M17" s="198">
        <v>28.7</v>
      </c>
      <c r="N17" s="199" t="s">
        <v>98</v>
      </c>
      <c r="O17" s="198">
        <v>0</v>
      </c>
      <c r="P17" s="191" t="s">
        <v>549</v>
      </c>
      <c r="Q17" s="198">
        <v>116.2</v>
      </c>
      <c r="R17" s="205" t="str">
        <f>REPLACE(TEXT(Таблица3[[#This Row],[Столбец1]],"0"),2,0,".")</f>
        <v>2.012</v>
      </c>
      <c r="S17" s="205">
        <f ca="1">ROUND(
   Таблица3[[#This Row],[Столбец4]] * RANDBETWEEN(97,99)/100,
1)</f>
        <v>25.1</v>
      </c>
      <c r="T17" s="205">
        <f ca="1">ROUND(
    SUM(Таблица3[[#This Row],[Столбец6]:[Столбец13]]) * RANDBETWEEN(97,99)/100,
1)</f>
        <v>87.5</v>
      </c>
      <c r="U17" s="205">
        <f t="shared" ca="1" si="1"/>
        <v>112.6</v>
      </c>
    </row>
    <row r="18" spans="1:21" ht="79.2" hidden="1" x14ac:dyDescent="0.3">
      <c r="A18" s="197">
        <v>2013</v>
      </c>
      <c r="B18" s="191" t="s">
        <v>562</v>
      </c>
      <c r="C18" s="191">
        <v>1</v>
      </c>
      <c r="D18" s="191" t="s">
        <v>547</v>
      </c>
      <c r="E18" s="198">
        <v>26.5</v>
      </c>
      <c r="F18" s="199" t="s">
        <v>98</v>
      </c>
      <c r="G18" s="198">
        <v>0</v>
      </c>
      <c r="H18" s="191" t="s">
        <v>548</v>
      </c>
      <c r="I18" s="198">
        <v>63</v>
      </c>
      <c r="J18" s="199" t="s">
        <v>98</v>
      </c>
      <c r="K18" s="198">
        <v>0</v>
      </c>
      <c r="L18" s="191" t="s">
        <v>548</v>
      </c>
      <c r="M18" s="198">
        <v>26.8</v>
      </c>
      <c r="N18" s="199" t="s">
        <v>98</v>
      </c>
      <c r="O18" s="198">
        <v>0</v>
      </c>
      <c r="P18" s="191" t="s">
        <v>549</v>
      </c>
      <c r="Q18" s="198">
        <v>116.2</v>
      </c>
      <c r="R18" s="205" t="str">
        <f>REPLACE(TEXT(Таблица3[[#This Row],[Столбец1]],"0"),2,0,".")</f>
        <v>2.013</v>
      </c>
      <c r="S18" s="205">
        <f ca="1">ROUND(
   Таблица3[[#This Row],[Столбец4]] * RANDBETWEEN(97,99)/100,
1)</f>
        <v>25.7</v>
      </c>
      <c r="T18" s="205">
        <f ca="1">ROUND(
    SUM(Таблица3[[#This Row],[Столбец6]:[Столбец13]]) * RANDBETWEEN(97,99)/100,
1)</f>
        <v>88.9</v>
      </c>
      <c r="U18" s="205">
        <f t="shared" ca="1" si="1"/>
        <v>114.60000000000001</v>
      </c>
    </row>
    <row r="19" spans="1:21" ht="79.2" hidden="1" x14ac:dyDescent="0.3">
      <c r="A19" s="197">
        <v>2014</v>
      </c>
      <c r="B19" s="191" t="s">
        <v>562</v>
      </c>
      <c r="C19" s="191">
        <v>1</v>
      </c>
      <c r="D19" s="191" t="s">
        <v>547</v>
      </c>
      <c r="E19" s="198">
        <v>41.1</v>
      </c>
      <c r="F19" s="199" t="s">
        <v>98</v>
      </c>
      <c r="G19" s="198">
        <v>0</v>
      </c>
      <c r="H19" s="191" t="s">
        <v>548</v>
      </c>
      <c r="I19" s="198">
        <v>61.3</v>
      </c>
      <c r="J19" s="199" t="s">
        <v>98</v>
      </c>
      <c r="K19" s="198">
        <v>0</v>
      </c>
      <c r="L19" s="191" t="s">
        <v>548</v>
      </c>
      <c r="M19" s="198">
        <v>15.2</v>
      </c>
      <c r="N19" s="199" t="s">
        <v>98</v>
      </c>
      <c r="O19" s="198">
        <v>0</v>
      </c>
      <c r="P19" s="191" t="s">
        <v>549</v>
      </c>
      <c r="Q19" s="198">
        <v>117.6</v>
      </c>
      <c r="R19" s="205" t="str">
        <f>REPLACE(TEXT(Таблица3[[#This Row],[Столбец1]],"0"),2,0,".")</f>
        <v>2.014</v>
      </c>
      <c r="S19" s="205">
        <f ca="1">ROUND(
   Таблица3[[#This Row],[Столбец4]] * RANDBETWEEN(97,99)/100,
1)</f>
        <v>39.9</v>
      </c>
      <c r="T19" s="205">
        <f ca="1">ROUND(
    SUM(Таблица3[[#This Row],[Столбец6]:[Столбец13]]) * RANDBETWEEN(97,99)/100,
1)</f>
        <v>74.2</v>
      </c>
      <c r="U19" s="205">
        <f t="shared" ca="1" si="1"/>
        <v>114.1</v>
      </c>
    </row>
    <row r="20" spans="1:21" ht="79.2" hidden="1" x14ac:dyDescent="0.3">
      <c r="A20" s="197">
        <v>2015</v>
      </c>
      <c r="B20" s="191" t="s">
        <v>562</v>
      </c>
      <c r="C20" s="191">
        <v>2</v>
      </c>
      <c r="D20" s="191" t="s">
        <v>547</v>
      </c>
      <c r="E20" s="198">
        <v>34.299999999999997</v>
      </c>
      <c r="F20" s="199" t="s">
        <v>98</v>
      </c>
      <c r="G20" s="198">
        <v>0</v>
      </c>
      <c r="H20" s="191" t="s">
        <v>548</v>
      </c>
      <c r="I20" s="198">
        <v>59.8</v>
      </c>
      <c r="J20" s="199" t="s">
        <v>98</v>
      </c>
      <c r="K20" s="198">
        <v>0</v>
      </c>
      <c r="L20" s="191" t="s">
        <v>548</v>
      </c>
      <c r="M20" s="198">
        <v>25.1</v>
      </c>
      <c r="N20" s="199" t="s">
        <v>98</v>
      </c>
      <c r="O20" s="198">
        <v>0</v>
      </c>
      <c r="P20" s="191" t="s">
        <v>549</v>
      </c>
      <c r="Q20" s="198">
        <v>119.3</v>
      </c>
      <c r="R20" s="205" t="str">
        <f>REPLACE(TEXT(Таблица3[[#This Row],[Столбец1]],"0"),2,0,".")</f>
        <v>2.015</v>
      </c>
      <c r="S20" s="205">
        <f ca="1">ROUND(
   Таблица3[[#This Row],[Столбец4]] * RANDBETWEEN(97,99)/100,
1)</f>
        <v>34</v>
      </c>
      <c r="T20" s="205">
        <f ca="1">ROUND(
    SUM(Таблица3[[#This Row],[Столбец6]:[Столбец13]]) * RANDBETWEEN(97,99)/100,
1)</f>
        <v>82.4</v>
      </c>
      <c r="U20" s="205">
        <f t="shared" ca="1" si="1"/>
        <v>116.4</v>
      </c>
    </row>
    <row r="21" spans="1:21" ht="79.2" hidden="1" x14ac:dyDescent="0.3">
      <c r="A21" s="197">
        <v>2016</v>
      </c>
      <c r="B21" s="191" t="s">
        <v>562</v>
      </c>
      <c r="C21" s="191">
        <v>2</v>
      </c>
      <c r="D21" s="191" t="s">
        <v>547</v>
      </c>
      <c r="E21" s="198">
        <v>52.6</v>
      </c>
      <c r="F21" s="199" t="s">
        <v>98</v>
      </c>
      <c r="G21" s="198">
        <v>0</v>
      </c>
      <c r="H21" s="191" t="s">
        <v>548</v>
      </c>
      <c r="I21" s="198">
        <v>49.3</v>
      </c>
      <c r="J21" s="199" t="s">
        <v>98</v>
      </c>
      <c r="K21" s="198">
        <v>0</v>
      </c>
      <c r="L21" s="191" t="s">
        <v>548</v>
      </c>
      <c r="M21" s="198">
        <v>12.2</v>
      </c>
      <c r="N21" s="199" t="s">
        <v>98</v>
      </c>
      <c r="O21" s="198">
        <v>0</v>
      </c>
      <c r="P21" s="191" t="s">
        <v>549</v>
      </c>
      <c r="Q21" s="198">
        <v>114.1</v>
      </c>
      <c r="R21" s="205" t="str">
        <f>REPLACE(TEXT(Таблица3[[#This Row],[Столбец1]],"0"),2,0,".")</f>
        <v>2.016</v>
      </c>
      <c r="S21" s="205">
        <f ca="1">ROUND(
   Таблица3[[#This Row],[Столбец4]] * RANDBETWEEN(97,99)/100,
1)</f>
        <v>52.1</v>
      </c>
      <c r="T21" s="205">
        <f ca="1">ROUND(
    SUM(Таблица3[[#This Row],[Столбец6]:[Столбец13]]) * RANDBETWEEN(97,99)/100,
1)</f>
        <v>59.7</v>
      </c>
      <c r="U21" s="205">
        <f t="shared" ca="1" si="1"/>
        <v>111.80000000000001</v>
      </c>
    </row>
    <row r="22" spans="1:21" ht="105.6" hidden="1" x14ac:dyDescent="0.3">
      <c r="A22" s="197">
        <v>2017</v>
      </c>
      <c r="B22" s="191" t="s">
        <v>550</v>
      </c>
      <c r="C22" s="191">
        <v>2</v>
      </c>
      <c r="D22" s="191" t="s">
        <v>547</v>
      </c>
      <c r="E22" s="198">
        <v>174.9</v>
      </c>
      <c r="F22" s="199" t="s">
        <v>98</v>
      </c>
      <c r="G22" s="198">
        <v>0</v>
      </c>
      <c r="H22" s="191" t="s">
        <v>548</v>
      </c>
      <c r="I22" s="198">
        <v>145.6</v>
      </c>
      <c r="J22" s="191" t="s">
        <v>552</v>
      </c>
      <c r="K22" s="198">
        <v>10.6</v>
      </c>
      <c r="L22" s="191" t="s">
        <v>548</v>
      </c>
      <c r="M22" s="198">
        <v>33</v>
      </c>
      <c r="N22" s="199" t="s">
        <v>98</v>
      </c>
      <c r="O22" s="198">
        <v>0</v>
      </c>
      <c r="P22" s="191" t="s">
        <v>549</v>
      </c>
      <c r="Q22" s="198">
        <v>364</v>
      </c>
      <c r="R22" s="205" t="str">
        <f>REPLACE(TEXT(Таблица3[[#This Row],[Столбец1]],"0"),2,0,".")</f>
        <v>2.017</v>
      </c>
      <c r="S22" s="205">
        <f ca="1">ROUND(
   Таблица3[[#This Row],[Столбец4]] * RANDBETWEEN(97,99)/100,
1)</f>
        <v>173.2</v>
      </c>
      <c r="T22" s="205">
        <f ca="1">ROUND(
    SUM(Таблица3[[#This Row],[Столбец6]:[Столбец13]]) * RANDBETWEEN(97,99)/100,
1)</f>
        <v>187.3</v>
      </c>
      <c r="U22" s="205">
        <f t="shared" ca="1" si="1"/>
        <v>360.5</v>
      </c>
    </row>
    <row r="23" spans="1:21" ht="92.4" hidden="1" x14ac:dyDescent="0.3">
      <c r="A23" s="197">
        <v>2018</v>
      </c>
      <c r="B23" s="191" t="s">
        <v>563</v>
      </c>
      <c r="C23" s="191">
        <v>2</v>
      </c>
      <c r="D23" s="191" t="s">
        <v>559</v>
      </c>
      <c r="E23" s="204">
        <v>26.1</v>
      </c>
      <c r="F23" s="199" t="s">
        <v>98</v>
      </c>
      <c r="G23" s="198">
        <v>0</v>
      </c>
      <c r="H23" s="191" t="s">
        <v>560</v>
      </c>
      <c r="I23" s="198">
        <v>10.4</v>
      </c>
      <c r="J23" s="199" t="s">
        <v>98</v>
      </c>
      <c r="K23" s="198">
        <v>0</v>
      </c>
      <c r="L23" s="191" t="s">
        <v>560</v>
      </c>
      <c r="M23" s="198">
        <v>41.9</v>
      </c>
      <c r="N23" s="199" t="s">
        <v>98</v>
      </c>
      <c r="O23" s="198">
        <v>0</v>
      </c>
      <c r="P23" s="191" t="s">
        <v>549</v>
      </c>
      <c r="Q23" s="198">
        <v>78.400000000000006</v>
      </c>
      <c r="R23" s="205" t="str">
        <f>REPLACE(TEXT(Таблица3[[#This Row],[Столбец1]],"0"),2,0,".")</f>
        <v>2.018</v>
      </c>
      <c r="S23" s="205">
        <f ca="1">ROUND(
   Таблица3[[#This Row],[Столбец4]] * RANDBETWEEN(97,99)/100,
1)</f>
        <v>25.6</v>
      </c>
      <c r="T23" s="205">
        <f ca="1">ROUND(
    SUM(Таблица3[[#This Row],[Столбец6]:[Столбец13]]) * RANDBETWEEN(97,99)/100,
1)</f>
        <v>51.8</v>
      </c>
      <c r="U23" s="205">
        <f t="shared" ca="1" si="1"/>
        <v>77.400000000000006</v>
      </c>
    </row>
    <row r="24" spans="1:21" ht="79.2" hidden="1" x14ac:dyDescent="0.3">
      <c r="A24" s="200">
        <v>2019</v>
      </c>
      <c r="B24" s="193" t="s">
        <v>556</v>
      </c>
      <c r="C24" s="193">
        <v>2</v>
      </c>
      <c r="D24" s="193" t="s">
        <v>547</v>
      </c>
      <c r="E24" s="201">
        <v>102.3</v>
      </c>
      <c r="F24" s="202" t="s">
        <v>98</v>
      </c>
      <c r="G24" s="201">
        <v>0</v>
      </c>
      <c r="H24" s="193" t="s">
        <v>548</v>
      </c>
      <c r="I24" s="201">
        <v>14.6</v>
      </c>
      <c r="J24" s="202" t="s">
        <v>98</v>
      </c>
      <c r="K24" s="201">
        <v>0</v>
      </c>
      <c r="L24" s="202" t="s">
        <v>98</v>
      </c>
      <c r="M24" s="201">
        <v>0</v>
      </c>
      <c r="N24" s="202" t="s">
        <v>98</v>
      </c>
      <c r="O24" s="201">
        <v>0</v>
      </c>
      <c r="P24" s="193" t="s">
        <v>549</v>
      </c>
      <c r="Q24" s="201">
        <v>116.8</v>
      </c>
      <c r="R24" s="205" t="str">
        <f>REPLACE(TEXT(Таблица3[[#This Row],[Столбец1]],"0"),2,0,".")</f>
        <v>2.019</v>
      </c>
      <c r="S24" s="205">
        <f ca="1">ROUND(
   Таблица3[[#This Row],[Столбец4]] * RANDBETWEEN(97,99)/100,
1)</f>
        <v>101.3</v>
      </c>
      <c r="T24" s="205">
        <f ca="1">ROUND(
    SUM(Таблица3[[#This Row],[Столбец6]:[Столбец13]]) * RANDBETWEEN(97,99)/100,
1)</f>
        <v>14.5</v>
      </c>
      <c r="U24" s="205">
        <f t="shared" ca="1" si="1"/>
        <v>115.8</v>
      </c>
    </row>
    <row r="25" spans="1:21" ht="92.4" hidden="1" x14ac:dyDescent="0.3">
      <c r="A25" s="197">
        <v>2020</v>
      </c>
      <c r="B25" s="191" t="s">
        <v>564</v>
      </c>
      <c r="C25" s="191">
        <v>2</v>
      </c>
      <c r="D25" s="191" t="s">
        <v>559</v>
      </c>
      <c r="E25" s="204">
        <v>16.3</v>
      </c>
      <c r="F25" s="199" t="s">
        <v>98</v>
      </c>
      <c r="G25" s="198">
        <v>0</v>
      </c>
      <c r="H25" s="191" t="s">
        <v>560</v>
      </c>
      <c r="I25" s="198">
        <v>12.9</v>
      </c>
      <c r="J25" s="199" t="s">
        <v>98</v>
      </c>
      <c r="K25" s="198">
        <v>0</v>
      </c>
      <c r="L25" s="191" t="s">
        <v>560</v>
      </c>
      <c r="M25" s="198">
        <v>19.899999999999999</v>
      </c>
      <c r="N25" s="199" t="s">
        <v>98</v>
      </c>
      <c r="O25" s="198">
        <v>0</v>
      </c>
      <c r="P25" s="191" t="s">
        <v>549</v>
      </c>
      <c r="Q25" s="198">
        <v>49.1</v>
      </c>
      <c r="R25" s="205" t="str">
        <f>REPLACE(TEXT(Таблица3[[#This Row],[Столбец1]],"0"),2,0,".")</f>
        <v>2.020</v>
      </c>
      <c r="S25" s="205">
        <f ca="1">ROUND(
   Таблица3[[#This Row],[Столбец4]] * RANDBETWEEN(97,99)/100,
1)</f>
        <v>16.100000000000001</v>
      </c>
      <c r="T25" s="205">
        <f ca="1">ROUND(
    SUM(Таблица3[[#This Row],[Столбец6]:[Столбец13]]) * RANDBETWEEN(97,99)/100,
1)</f>
        <v>32.5</v>
      </c>
      <c r="U25" s="205">
        <f t="shared" ca="1" si="1"/>
        <v>48.6</v>
      </c>
    </row>
    <row r="26" spans="1:21" ht="92.4" hidden="1" x14ac:dyDescent="0.3">
      <c r="A26" s="197">
        <v>2021</v>
      </c>
      <c r="B26" s="191" t="s">
        <v>565</v>
      </c>
      <c r="C26" s="191">
        <v>2</v>
      </c>
      <c r="D26" s="191" t="s">
        <v>559</v>
      </c>
      <c r="E26" s="204">
        <v>7.4</v>
      </c>
      <c r="F26" s="199" t="s">
        <v>98</v>
      </c>
      <c r="G26" s="198">
        <v>0</v>
      </c>
      <c r="H26" s="199" t="s">
        <v>98</v>
      </c>
      <c r="I26" s="198">
        <v>0</v>
      </c>
      <c r="J26" s="199" t="s">
        <v>98</v>
      </c>
      <c r="K26" s="198">
        <v>0</v>
      </c>
      <c r="L26" s="191" t="s">
        <v>560</v>
      </c>
      <c r="M26" s="198">
        <v>26.3</v>
      </c>
      <c r="N26" s="199" t="s">
        <v>98</v>
      </c>
      <c r="O26" s="198">
        <v>0</v>
      </c>
      <c r="P26" s="191" t="s">
        <v>549</v>
      </c>
      <c r="Q26" s="198">
        <v>33.799999999999997</v>
      </c>
      <c r="R26" s="205" t="str">
        <f>REPLACE(TEXT(Таблица3[[#This Row],[Столбец1]],"0"),2,0,".")</f>
        <v>2.021</v>
      </c>
      <c r="S26" s="205">
        <f ca="1">ROUND(
   Таблица3[[#This Row],[Столбец4]] * RANDBETWEEN(97,99)/100,
1)</f>
        <v>7.2</v>
      </c>
      <c r="T26" s="205">
        <f ca="1">ROUND(
    SUM(Таблица3[[#This Row],[Столбец6]:[Столбец13]]) * RANDBETWEEN(97,99)/100,
1)</f>
        <v>25.8</v>
      </c>
      <c r="U26" s="205">
        <f t="shared" ca="1" si="1"/>
        <v>33</v>
      </c>
    </row>
    <row r="27" spans="1:21" ht="105.6" hidden="1" x14ac:dyDescent="0.3">
      <c r="A27" s="197">
        <v>2022</v>
      </c>
      <c r="B27" s="191" t="s">
        <v>566</v>
      </c>
      <c r="C27" s="191">
        <v>3</v>
      </c>
      <c r="D27" s="191" t="s">
        <v>547</v>
      </c>
      <c r="E27" s="198">
        <v>197.9</v>
      </c>
      <c r="F27" s="199" t="s">
        <v>98</v>
      </c>
      <c r="G27" s="198">
        <v>0</v>
      </c>
      <c r="H27" s="191" t="s">
        <v>548</v>
      </c>
      <c r="I27" s="198">
        <v>153.30000000000001</v>
      </c>
      <c r="J27" s="191" t="s">
        <v>552</v>
      </c>
      <c r="K27" s="198">
        <v>35.299999999999997</v>
      </c>
      <c r="L27" s="191" t="s">
        <v>548</v>
      </c>
      <c r="M27" s="198">
        <v>137.1</v>
      </c>
      <c r="N27" s="199" t="s">
        <v>98</v>
      </c>
      <c r="O27" s="198">
        <v>0</v>
      </c>
      <c r="P27" s="191" t="s">
        <v>549</v>
      </c>
      <c r="Q27" s="198">
        <v>523.6</v>
      </c>
      <c r="R27" s="205" t="str">
        <f>REPLACE(TEXT(Таблица3[[#This Row],[Столбец1]],"0"),2,0,".")</f>
        <v>2.022</v>
      </c>
      <c r="S27" s="205">
        <f ca="1">ROUND(
   Таблица3[[#This Row],[Столбец4]] * RANDBETWEEN(97,99)/100,
1)</f>
        <v>195.9</v>
      </c>
      <c r="T27" s="205">
        <f ca="1">ROUND(
    SUM(Таблица3[[#This Row],[Столбец6]:[Столбец13]]) * RANDBETWEEN(97,99)/100,
1)</f>
        <v>319.2</v>
      </c>
      <c r="U27" s="205">
        <f t="shared" ca="1" si="1"/>
        <v>515.1</v>
      </c>
    </row>
    <row r="28" spans="1:21" ht="79.2" hidden="1" x14ac:dyDescent="0.3">
      <c r="A28" s="197">
        <v>2023</v>
      </c>
      <c r="B28" s="191" t="s">
        <v>556</v>
      </c>
      <c r="C28" s="191">
        <v>3</v>
      </c>
      <c r="D28" s="191" t="s">
        <v>547</v>
      </c>
      <c r="E28" s="198">
        <v>78.400000000000006</v>
      </c>
      <c r="F28" s="199" t="s">
        <v>98</v>
      </c>
      <c r="G28" s="198">
        <v>0</v>
      </c>
      <c r="H28" s="191" t="s">
        <v>548</v>
      </c>
      <c r="I28" s="198">
        <v>14.5</v>
      </c>
      <c r="J28" s="199" t="s">
        <v>98</v>
      </c>
      <c r="K28" s="198">
        <v>0</v>
      </c>
      <c r="L28" s="199" t="s">
        <v>98</v>
      </c>
      <c r="M28" s="198">
        <v>0</v>
      </c>
      <c r="N28" s="199" t="s">
        <v>98</v>
      </c>
      <c r="O28" s="198">
        <v>0</v>
      </c>
      <c r="P28" s="191" t="s">
        <v>549</v>
      </c>
      <c r="Q28" s="198">
        <v>92.8</v>
      </c>
      <c r="R28" s="205" t="str">
        <f>REPLACE(TEXT(Таблица3[[#This Row],[Столбец1]],"0"),2,0,".")</f>
        <v>2.023</v>
      </c>
      <c r="S28" s="205">
        <f ca="1">ROUND(
   Таблица3[[#This Row],[Столбец4]] * RANDBETWEEN(97,99)/100,
1)</f>
        <v>76</v>
      </c>
      <c r="T28" s="205">
        <f ca="1">ROUND(
    SUM(Таблица3[[#This Row],[Столбец6]:[Столбец13]]) * RANDBETWEEN(97,99)/100,
1)</f>
        <v>14.4</v>
      </c>
      <c r="U28" s="205">
        <f t="shared" ca="1" si="1"/>
        <v>90.4</v>
      </c>
    </row>
    <row r="29" spans="1:21" ht="79.2" hidden="1" x14ac:dyDescent="0.3">
      <c r="A29" s="197">
        <v>2024</v>
      </c>
      <c r="B29" s="191" t="s">
        <v>556</v>
      </c>
      <c r="C29" s="191">
        <v>3</v>
      </c>
      <c r="D29" s="191" t="s">
        <v>547</v>
      </c>
      <c r="E29" s="198">
        <v>89.8</v>
      </c>
      <c r="F29" s="199" t="s">
        <v>98</v>
      </c>
      <c r="G29" s="198">
        <v>0</v>
      </c>
      <c r="H29" s="199" t="s">
        <v>98</v>
      </c>
      <c r="I29" s="198">
        <v>0</v>
      </c>
      <c r="J29" s="199" t="s">
        <v>98</v>
      </c>
      <c r="K29" s="198">
        <v>0</v>
      </c>
      <c r="L29" s="199" t="s">
        <v>98</v>
      </c>
      <c r="M29" s="198">
        <v>0</v>
      </c>
      <c r="N29" s="199" t="s">
        <v>98</v>
      </c>
      <c r="O29" s="198">
        <v>0</v>
      </c>
      <c r="P29" s="191" t="s">
        <v>549</v>
      </c>
      <c r="Q29" s="198">
        <v>89.8</v>
      </c>
      <c r="R29" s="205" t="str">
        <f>REPLACE(TEXT(Таблица3[[#This Row],[Столбец1]],"0"),2,0,".")</f>
        <v>2.024</v>
      </c>
      <c r="S29" s="205">
        <f ca="1">ROUND(
   Таблица3[[#This Row],[Столбец4]] * RANDBETWEEN(97,99)/100,
1)</f>
        <v>87.1</v>
      </c>
      <c r="T29" s="205">
        <f ca="1">ROUND(
    SUM(Таблица3[[#This Row],[Столбец6]:[Столбец13]]) * RANDBETWEEN(97,99)/100,
1)</f>
        <v>0</v>
      </c>
      <c r="U29" s="205">
        <f t="shared" ca="1" si="1"/>
        <v>87.1</v>
      </c>
    </row>
    <row r="30" spans="1:21" ht="79.2" hidden="1" x14ac:dyDescent="0.3">
      <c r="A30" s="197">
        <v>2025</v>
      </c>
      <c r="B30" s="199" t="s">
        <v>532</v>
      </c>
      <c r="C30" s="199">
        <v>3</v>
      </c>
      <c r="D30" s="191" t="s">
        <v>547</v>
      </c>
      <c r="E30" s="198">
        <v>35.9</v>
      </c>
      <c r="F30" s="199" t="s">
        <v>98</v>
      </c>
      <c r="G30" s="198">
        <v>0</v>
      </c>
      <c r="H30" s="191" t="s">
        <v>548</v>
      </c>
      <c r="I30" s="198">
        <v>23.9</v>
      </c>
      <c r="J30" s="199" t="s">
        <v>98</v>
      </c>
      <c r="K30" s="198">
        <v>0</v>
      </c>
      <c r="L30" s="191" t="s">
        <v>548</v>
      </c>
      <c r="M30" s="198">
        <v>28.6</v>
      </c>
      <c r="N30" s="199" t="s">
        <v>98</v>
      </c>
      <c r="O30" s="198">
        <v>0</v>
      </c>
      <c r="P30" s="191" t="s">
        <v>549</v>
      </c>
      <c r="Q30" s="198">
        <v>88.4</v>
      </c>
      <c r="R30" s="205" t="str">
        <f>REPLACE(TEXT(Таблица3[[#This Row],[Столбец1]],"0"),2,0,".")</f>
        <v>2.025</v>
      </c>
      <c r="S30" s="205">
        <f ca="1">ROUND(
   Таблица3[[#This Row],[Столбец4]] * RANDBETWEEN(97,99)/100,
1)</f>
        <v>35.5</v>
      </c>
      <c r="T30" s="205">
        <f ca="1">ROUND(
    SUM(Таблица3[[#This Row],[Столбец6]:[Столбец13]]) * RANDBETWEEN(97,99)/100,
1)</f>
        <v>50.9</v>
      </c>
      <c r="U30" s="205">
        <f t="shared" ca="1" si="1"/>
        <v>86.4</v>
      </c>
    </row>
    <row r="31" spans="1:21" ht="92.4" hidden="1" x14ac:dyDescent="0.3">
      <c r="A31" s="197">
        <v>2026</v>
      </c>
      <c r="B31" s="199" t="s">
        <v>533</v>
      </c>
      <c r="C31" s="199">
        <v>3</v>
      </c>
      <c r="D31" s="191" t="s">
        <v>559</v>
      </c>
      <c r="E31" s="204">
        <v>3.8</v>
      </c>
      <c r="F31" s="199" t="s">
        <v>98</v>
      </c>
      <c r="G31" s="198">
        <v>0</v>
      </c>
      <c r="H31" s="191" t="s">
        <v>560</v>
      </c>
      <c r="I31" s="198">
        <v>17.899999999999999</v>
      </c>
      <c r="J31" s="199" t="s">
        <v>98</v>
      </c>
      <c r="K31" s="198">
        <v>0</v>
      </c>
      <c r="L31" s="191" t="s">
        <v>560</v>
      </c>
      <c r="M31" s="198">
        <v>38.4</v>
      </c>
      <c r="N31" s="199" t="s">
        <v>98</v>
      </c>
      <c r="O31" s="198">
        <v>0</v>
      </c>
      <c r="P31" s="191" t="s">
        <v>549</v>
      </c>
      <c r="Q31" s="198">
        <v>60</v>
      </c>
      <c r="R31" s="205" t="str">
        <f>REPLACE(TEXT(Таблица3[[#This Row],[Столбец1]],"0"),2,0,".")</f>
        <v>2.026</v>
      </c>
      <c r="S31" s="205">
        <f ca="1">ROUND(
   Таблица3[[#This Row],[Столбец4]] * RANDBETWEEN(97,99)/100,
1)</f>
        <v>3.7</v>
      </c>
      <c r="T31" s="205">
        <f ca="1">ROUND(
    SUM(Таблица3[[#This Row],[Столбец6]:[Столбец13]]) * RANDBETWEEN(97,99)/100,
1)</f>
        <v>55.2</v>
      </c>
      <c r="U31" s="205">
        <f t="shared" ca="1" si="1"/>
        <v>58.900000000000006</v>
      </c>
    </row>
    <row r="32" spans="1:21" ht="92.4" hidden="1" x14ac:dyDescent="0.3">
      <c r="A32" s="197">
        <v>2027</v>
      </c>
      <c r="B32" s="199" t="s">
        <v>534</v>
      </c>
      <c r="C32" s="199">
        <v>3</v>
      </c>
      <c r="D32" s="191" t="s">
        <v>559</v>
      </c>
      <c r="E32" s="204">
        <v>9.6999999999999993</v>
      </c>
      <c r="F32" s="199" t="s">
        <v>98</v>
      </c>
      <c r="G32" s="198">
        <v>0</v>
      </c>
      <c r="H32" s="199" t="s">
        <v>98</v>
      </c>
      <c r="I32" s="198">
        <v>0</v>
      </c>
      <c r="J32" s="199" t="s">
        <v>98</v>
      </c>
      <c r="K32" s="198">
        <v>0</v>
      </c>
      <c r="L32" s="191" t="s">
        <v>560</v>
      </c>
      <c r="M32" s="198">
        <v>37.200000000000003</v>
      </c>
      <c r="N32" s="199" t="s">
        <v>98</v>
      </c>
      <c r="O32" s="198">
        <v>0</v>
      </c>
      <c r="P32" s="191" t="s">
        <v>549</v>
      </c>
      <c r="Q32" s="198">
        <v>47.2</v>
      </c>
      <c r="R32" s="205" t="str">
        <f>REPLACE(TEXT(Таблица3[[#This Row],[Столбец1]],"0"),2,0,".")</f>
        <v>2.027</v>
      </c>
      <c r="S32" s="205">
        <f ca="1">ROUND(
   Таблица3[[#This Row],[Столбец4]] * RANDBETWEEN(97,99)/100,
1)</f>
        <v>9.5</v>
      </c>
      <c r="T32" s="205">
        <f ca="1">ROUND(
    SUM(Таблица3[[#This Row],[Столбец6]:[Столбец13]]) * RANDBETWEEN(97,99)/100,
1)</f>
        <v>36.1</v>
      </c>
      <c r="U32" s="205">
        <f t="shared" ca="1" si="1"/>
        <v>45.6</v>
      </c>
    </row>
    <row r="33" spans="1:21" ht="92.4" hidden="1" x14ac:dyDescent="0.3">
      <c r="A33" s="200">
        <v>2028</v>
      </c>
      <c r="B33" s="202" t="s">
        <v>533</v>
      </c>
      <c r="C33" s="202">
        <v>3</v>
      </c>
      <c r="D33" s="193" t="s">
        <v>559</v>
      </c>
      <c r="E33" s="203">
        <v>5.6</v>
      </c>
      <c r="F33" s="202" t="s">
        <v>98</v>
      </c>
      <c r="G33" s="201">
        <v>0</v>
      </c>
      <c r="H33" s="193" t="s">
        <v>560</v>
      </c>
      <c r="I33" s="201">
        <v>24.6</v>
      </c>
      <c r="J33" s="202" t="s">
        <v>98</v>
      </c>
      <c r="K33" s="201">
        <v>0</v>
      </c>
      <c r="L33" s="193" t="s">
        <v>560</v>
      </c>
      <c r="M33" s="201">
        <v>52.5</v>
      </c>
      <c r="N33" s="202" t="s">
        <v>98</v>
      </c>
      <c r="O33" s="201">
        <v>0</v>
      </c>
      <c r="P33" s="193" t="s">
        <v>549</v>
      </c>
      <c r="Q33" s="201">
        <v>82.7</v>
      </c>
      <c r="R33" s="205" t="str">
        <f>REPLACE(TEXT(Таблица3[[#This Row],[Столбец1]],"0"),2,0,".")</f>
        <v>2.028</v>
      </c>
      <c r="S33" s="205">
        <f ca="1">ROUND(
   Таблица3[[#This Row],[Столбец4]] * RANDBETWEEN(97,99)/100,
1)</f>
        <v>5.4</v>
      </c>
      <c r="T33" s="205">
        <f ca="1">ROUND(
    SUM(Таблица3[[#This Row],[Столбец6]:[Столбец13]]) * RANDBETWEEN(97,99)/100,
1)</f>
        <v>75.599999999999994</v>
      </c>
      <c r="U33" s="205">
        <f t="shared" ca="1" si="1"/>
        <v>81</v>
      </c>
    </row>
    <row r="34" spans="1:21" ht="92.4" hidden="1" x14ac:dyDescent="0.3">
      <c r="A34" s="197">
        <v>2029</v>
      </c>
      <c r="B34" s="199" t="s">
        <v>534</v>
      </c>
      <c r="C34" s="199">
        <v>3</v>
      </c>
      <c r="D34" s="191" t="s">
        <v>559</v>
      </c>
      <c r="E34" s="204">
        <v>3.5</v>
      </c>
      <c r="F34" s="199" t="s">
        <v>98</v>
      </c>
      <c r="G34" s="198">
        <v>0</v>
      </c>
      <c r="H34" s="191" t="s">
        <v>560</v>
      </c>
      <c r="I34" s="198">
        <v>6.7</v>
      </c>
      <c r="J34" s="199" t="s">
        <v>98</v>
      </c>
      <c r="K34" s="198">
        <v>0</v>
      </c>
      <c r="L34" s="191" t="s">
        <v>560</v>
      </c>
      <c r="M34" s="198">
        <v>32.4</v>
      </c>
      <c r="N34" s="199" t="s">
        <v>98</v>
      </c>
      <c r="O34" s="198">
        <v>0</v>
      </c>
      <c r="P34" s="191" t="s">
        <v>549</v>
      </c>
      <c r="Q34" s="198">
        <v>42.6</v>
      </c>
      <c r="R34" s="205" t="str">
        <f>REPLACE(TEXT(Таблица3[[#This Row],[Столбец1]],"0"),2,0,".")</f>
        <v>2.029</v>
      </c>
      <c r="S34" s="205">
        <f ca="1">ROUND(
   Таблица3[[#This Row],[Столбец4]] * RANDBETWEEN(97,99)/100,
1)</f>
        <v>3.4</v>
      </c>
      <c r="T34" s="205">
        <f ca="1">ROUND(
    SUM(Таблица3[[#This Row],[Столбец6]:[Столбец13]]) * RANDBETWEEN(97,99)/100,
1)</f>
        <v>38.700000000000003</v>
      </c>
      <c r="U34" s="205">
        <f t="shared" ca="1" si="1"/>
        <v>42.1</v>
      </c>
    </row>
    <row r="35" spans="1:21" ht="79.2" hidden="1" x14ac:dyDescent="0.3">
      <c r="A35" s="197">
        <v>2030</v>
      </c>
      <c r="B35" s="199" t="s">
        <v>532</v>
      </c>
      <c r="C35" s="199">
        <v>3</v>
      </c>
      <c r="D35" s="191" t="s">
        <v>547</v>
      </c>
      <c r="E35" s="198">
        <v>12.8</v>
      </c>
      <c r="F35" s="199" t="s">
        <v>98</v>
      </c>
      <c r="G35" s="198">
        <v>0</v>
      </c>
      <c r="H35" s="191" t="s">
        <v>548</v>
      </c>
      <c r="I35" s="198">
        <v>46.4</v>
      </c>
      <c r="J35" s="199" t="s">
        <v>98</v>
      </c>
      <c r="K35" s="198">
        <v>0</v>
      </c>
      <c r="L35" s="191" t="s">
        <v>548</v>
      </c>
      <c r="M35" s="198">
        <v>24.9</v>
      </c>
      <c r="N35" s="199" t="s">
        <v>98</v>
      </c>
      <c r="O35" s="198">
        <v>0</v>
      </c>
      <c r="P35" s="191" t="s">
        <v>549</v>
      </c>
      <c r="Q35" s="198">
        <v>84.1</v>
      </c>
      <c r="R35" s="205" t="str">
        <f>REPLACE(TEXT(Таблица3[[#This Row],[Столбец1]],"0"),2,0,".")</f>
        <v>2.030</v>
      </c>
      <c r="S35" s="205">
        <f ca="1">ROUND(
   Таблица3[[#This Row],[Столбец4]] * RANDBETWEEN(97,99)/100,
1)</f>
        <v>12.4</v>
      </c>
      <c r="T35" s="205">
        <f ca="1">ROUND(
    SUM(Таблица3[[#This Row],[Столбец6]:[Столбец13]]) * RANDBETWEEN(97,99)/100,
1)</f>
        <v>69.2</v>
      </c>
      <c r="U35" s="205">
        <f t="shared" ca="1" si="1"/>
        <v>81.600000000000009</v>
      </c>
    </row>
    <row r="36" spans="1:21" ht="92.4" hidden="1" x14ac:dyDescent="0.3">
      <c r="A36" s="197">
        <v>2031</v>
      </c>
      <c r="B36" s="191" t="s">
        <v>567</v>
      </c>
      <c r="C36" s="191">
        <v>3</v>
      </c>
      <c r="D36" s="191" t="s">
        <v>559</v>
      </c>
      <c r="E36" s="204">
        <v>6.3</v>
      </c>
      <c r="F36" s="199" t="s">
        <v>98</v>
      </c>
      <c r="G36" s="198">
        <v>0</v>
      </c>
      <c r="H36" s="191" t="s">
        <v>560</v>
      </c>
      <c r="I36" s="198">
        <v>22.6</v>
      </c>
      <c r="J36" s="199" t="s">
        <v>98</v>
      </c>
      <c r="K36" s="198">
        <v>0</v>
      </c>
      <c r="L36" s="191" t="s">
        <v>560</v>
      </c>
      <c r="M36" s="198">
        <v>46.2</v>
      </c>
      <c r="N36" s="199" t="s">
        <v>98</v>
      </c>
      <c r="O36" s="198">
        <v>0</v>
      </c>
      <c r="P36" s="191" t="s">
        <v>549</v>
      </c>
      <c r="Q36" s="198">
        <v>75.2</v>
      </c>
      <c r="R36" s="205" t="str">
        <f>REPLACE(TEXT(Таблица3[[#This Row],[Столбец1]],"0"),2,0,".")</f>
        <v>2.031</v>
      </c>
      <c r="S36" s="205">
        <f ca="1">ROUND(
   Таблица3[[#This Row],[Столбец4]] * RANDBETWEEN(97,99)/100,
1)</f>
        <v>6.2</v>
      </c>
      <c r="T36" s="205">
        <f ca="1">ROUND(
    SUM(Таблица3[[#This Row],[Столбец6]:[Столбец13]]) * RANDBETWEEN(97,99)/100,
1)</f>
        <v>67.400000000000006</v>
      </c>
      <c r="U36" s="205">
        <f t="shared" ca="1" si="1"/>
        <v>73.600000000000009</v>
      </c>
    </row>
    <row r="37" spans="1:21" ht="92.4" hidden="1" x14ac:dyDescent="0.3">
      <c r="A37" s="197">
        <v>2032</v>
      </c>
      <c r="B37" s="191" t="s">
        <v>568</v>
      </c>
      <c r="C37" s="191">
        <v>3</v>
      </c>
      <c r="D37" s="191" t="s">
        <v>559</v>
      </c>
      <c r="E37" s="198">
        <v>5.2</v>
      </c>
      <c r="F37" s="199" t="s">
        <v>98</v>
      </c>
      <c r="G37" s="198">
        <v>0</v>
      </c>
      <c r="H37" s="191" t="s">
        <v>560</v>
      </c>
      <c r="I37" s="198">
        <v>19.100000000000001</v>
      </c>
      <c r="J37" s="199" t="s">
        <v>98</v>
      </c>
      <c r="K37" s="198">
        <v>0</v>
      </c>
      <c r="L37" s="191" t="s">
        <v>560</v>
      </c>
      <c r="M37" s="198">
        <v>50.8</v>
      </c>
      <c r="N37" s="199" t="s">
        <v>98</v>
      </c>
      <c r="O37" s="198">
        <v>0</v>
      </c>
      <c r="P37" s="191" t="s">
        <v>549</v>
      </c>
      <c r="Q37" s="198">
        <v>75.099999999999994</v>
      </c>
      <c r="R37" s="205" t="str">
        <f>REPLACE(TEXT(Таблица3[[#This Row],[Столбец1]],"0"),2,0,".")</f>
        <v>2.032</v>
      </c>
      <c r="S37" s="205">
        <f ca="1">ROUND(
   Таблица3[[#This Row],[Столбец4]] * RANDBETWEEN(97,99)/100,
1)</f>
        <v>5</v>
      </c>
      <c r="T37" s="205">
        <f ca="1">ROUND(
    SUM(Таблица3[[#This Row],[Столбец6]:[Столбец13]]) * RANDBETWEEN(97,99)/100,
1)</f>
        <v>68.5</v>
      </c>
      <c r="U37" s="205">
        <f t="shared" ca="1" si="1"/>
        <v>73.5</v>
      </c>
    </row>
    <row r="38" spans="1:21" ht="79.2" x14ac:dyDescent="0.3">
      <c r="A38" s="197">
        <v>2033</v>
      </c>
      <c r="B38" s="191" t="s">
        <v>569</v>
      </c>
      <c r="C38" s="191">
        <v>4</v>
      </c>
      <c r="D38" s="191" t="s">
        <v>547</v>
      </c>
      <c r="E38" s="198">
        <v>6.2</v>
      </c>
      <c r="F38" s="199" t="s">
        <v>98</v>
      </c>
      <c r="G38" s="198">
        <v>0</v>
      </c>
      <c r="H38" s="191" t="s">
        <v>548</v>
      </c>
      <c r="I38" s="198">
        <v>73.5</v>
      </c>
      <c r="J38" s="199" t="s">
        <v>98</v>
      </c>
      <c r="K38" s="198">
        <v>0</v>
      </c>
      <c r="L38" s="191" t="s">
        <v>548</v>
      </c>
      <c r="M38" s="198">
        <v>33.200000000000003</v>
      </c>
      <c r="N38" s="199" t="s">
        <v>98</v>
      </c>
      <c r="O38" s="198">
        <v>0</v>
      </c>
      <c r="P38" s="191" t="s">
        <v>549</v>
      </c>
      <c r="Q38" s="198">
        <v>112.9</v>
      </c>
      <c r="R38" s="205" t="str">
        <f>REPLACE(TEXT(Таблица3[[#This Row],[Столбец1]],"0"),2,0,".")</f>
        <v>2.033</v>
      </c>
      <c r="S38" s="205">
        <f ca="1">ROUND(
   Таблица3[[#This Row],[Столбец4]] * RANDBETWEEN(97,99)/100,
1)</f>
        <v>6.1</v>
      </c>
      <c r="T38" s="205">
        <f ca="1">ROUND(
    SUM(Таблица3[[#This Row],[Столбец6]:[Столбец13]]) * RANDBETWEEN(97,99)/100,
1)</f>
        <v>103.5</v>
      </c>
      <c r="U38" s="205">
        <f t="shared" ca="1" si="1"/>
        <v>109.6</v>
      </c>
    </row>
    <row r="39" spans="1:21" ht="92.4" hidden="1" x14ac:dyDescent="0.3">
      <c r="A39" s="197">
        <v>2034</v>
      </c>
      <c r="B39" s="191" t="s">
        <v>565</v>
      </c>
      <c r="C39" s="191">
        <v>3</v>
      </c>
      <c r="D39" s="199" t="s">
        <v>98</v>
      </c>
      <c r="E39" s="198">
        <v>0</v>
      </c>
      <c r="F39" s="199" t="s">
        <v>98</v>
      </c>
      <c r="G39" s="198">
        <v>0</v>
      </c>
      <c r="H39" s="191" t="s">
        <v>560</v>
      </c>
      <c r="I39" s="198">
        <v>5.9</v>
      </c>
      <c r="J39" s="199" t="s">
        <v>98</v>
      </c>
      <c r="K39" s="198">
        <v>0</v>
      </c>
      <c r="L39" s="191" t="s">
        <v>560</v>
      </c>
      <c r="M39" s="198">
        <v>37.299999999999997</v>
      </c>
      <c r="N39" s="199" t="s">
        <v>98</v>
      </c>
      <c r="O39" s="198">
        <v>0</v>
      </c>
      <c r="P39" s="191" t="s">
        <v>549</v>
      </c>
      <c r="Q39" s="198">
        <v>43.2</v>
      </c>
      <c r="R39" s="205" t="str">
        <f>REPLACE(TEXT(Таблица3[[#This Row],[Столбец1]],"0"),2,0,".")</f>
        <v>2.034</v>
      </c>
      <c r="S39" s="205">
        <f ca="1">ROUND(
   Таблица3[[#This Row],[Столбец4]] * RANDBETWEEN(97,99)/100,
1)</f>
        <v>0</v>
      </c>
      <c r="T39" s="205">
        <f ca="1">ROUND(
    SUM(Таблица3[[#This Row],[Столбец6]:[Столбец13]]) * RANDBETWEEN(97,99)/100,
1)</f>
        <v>42.3</v>
      </c>
      <c r="U39" s="205">
        <f t="shared" ca="1" si="1"/>
        <v>42.3</v>
      </c>
    </row>
    <row r="40" spans="1:21" ht="92.4" hidden="1" x14ac:dyDescent="0.3">
      <c r="A40" s="197">
        <v>2035</v>
      </c>
      <c r="B40" s="191" t="s">
        <v>561</v>
      </c>
      <c r="C40" s="191">
        <v>3</v>
      </c>
      <c r="D40" s="191" t="s">
        <v>559</v>
      </c>
      <c r="E40" s="198">
        <v>3.1</v>
      </c>
      <c r="F40" s="199" t="s">
        <v>98</v>
      </c>
      <c r="G40" s="198">
        <v>0</v>
      </c>
      <c r="H40" s="191" t="s">
        <v>560</v>
      </c>
      <c r="I40" s="198">
        <v>16.8</v>
      </c>
      <c r="J40" s="199" t="s">
        <v>98</v>
      </c>
      <c r="K40" s="198">
        <v>0</v>
      </c>
      <c r="L40" s="191" t="s">
        <v>560</v>
      </c>
      <c r="M40" s="198">
        <v>19.899999999999999</v>
      </c>
      <c r="N40" s="199" t="s">
        <v>98</v>
      </c>
      <c r="O40" s="198">
        <v>0</v>
      </c>
      <c r="P40" s="191" t="s">
        <v>549</v>
      </c>
      <c r="Q40" s="198">
        <v>39.700000000000003</v>
      </c>
      <c r="R40" s="205" t="str">
        <f>REPLACE(TEXT(Таблица3[[#This Row],[Столбец1]],"0"),2,0,".")</f>
        <v>2.035</v>
      </c>
      <c r="S40" s="205">
        <f ca="1">ROUND(
   Таблица3[[#This Row],[Столбец4]] * RANDBETWEEN(97,99)/100,
1)</f>
        <v>3.1</v>
      </c>
      <c r="T40" s="205">
        <f ca="1">ROUND(
    SUM(Таблица3[[#This Row],[Столбец6]:[Столбец13]]) * RANDBETWEEN(97,99)/100,
1)</f>
        <v>35.6</v>
      </c>
      <c r="U40" s="205">
        <f t="shared" ca="1" si="1"/>
        <v>38.700000000000003</v>
      </c>
    </row>
    <row r="41" spans="1:21" ht="79.2" x14ac:dyDescent="0.3">
      <c r="A41" s="197">
        <v>2036</v>
      </c>
      <c r="B41" s="191" t="s">
        <v>570</v>
      </c>
      <c r="C41" s="191">
        <v>4</v>
      </c>
      <c r="D41" s="191" t="s">
        <v>547</v>
      </c>
      <c r="E41" s="198">
        <v>40.5</v>
      </c>
      <c r="F41" s="199" t="s">
        <v>98</v>
      </c>
      <c r="G41" s="198">
        <v>0</v>
      </c>
      <c r="H41" s="191" t="s">
        <v>548</v>
      </c>
      <c r="I41" s="198">
        <v>72.7</v>
      </c>
      <c r="J41" s="199" t="s">
        <v>98</v>
      </c>
      <c r="K41" s="198">
        <v>0</v>
      </c>
      <c r="L41" s="191" t="s">
        <v>548</v>
      </c>
      <c r="M41" s="198">
        <v>19.100000000000001</v>
      </c>
      <c r="N41" s="199" t="s">
        <v>98</v>
      </c>
      <c r="O41" s="198">
        <v>0</v>
      </c>
      <c r="P41" s="191" t="s">
        <v>549</v>
      </c>
      <c r="Q41" s="198">
        <v>132.30000000000001</v>
      </c>
      <c r="R41" s="205" t="str">
        <f>REPLACE(TEXT(Таблица3[[#This Row],[Столбец1]],"0"),2,0,".")</f>
        <v>2.036</v>
      </c>
      <c r="S41" s="205">
        <f ca="1">ROUND(
   Таблица3[[#This Row],[Столбец4]] * RANDBETWEEN(97,99)/100,
1)</f>
        <v>39.299999999999997</v>
      </c>
      <c r="T41" s="205">
        <f ca="1">ROUND(
    SUM(Таблица3[[#This Row],[Столбец6]:[Столбец13]]) * RANDBETWEEN(97,99)/100,
1)</f>
        <v>89</v>
      </c>
      <c r="U41" s="205">
        <f t="shared" ca="1" si="1"/>
        <v>128.30000000000001</v>
      </c>
    </row>
    <row r="42" spans="1:21" ht="79.2" x14ac:dyDescent="0.3">
      <c r="A42" s="200">
        <v>2037</v>
      </c>
      <c r="B42" s="193" t="s">
        <v>571</v>
      </c>
      <c r="C42" s="193">
        <v>4</v>
      </c>
      <c r="D42" s="193" t="s">
        <v>547</v>
      </c>
      <c r="E42" s="201">
        <v>301.60000000000002</v>
      </c>
      <c r="F42" s="202" t="s">
        <v>98</v>
      </c>
      <c r="G42" s="201">
        <v>0</v>
      </c>
      <c r="H42" s="193" t="s">
        <v>548</v>
      </c>
      <c r="I42" s="201">
        <v>252.9</v>
      </c>
      <c r="J42" s="202" t="s">
        <v>98</v>
      </c>
      <c r="K42" s="201">
        <v>0</v>
      </c>
      <c r="L42" s="202" t="s">
        <v>98</v>
      </c>
      <c r="M42" s="201">
        <v>0</v>
      </c>
      <c r="N42" s="202" t="s">
        <v>98</v>
      </c>
      <c r="O42" s="201">
        <v>0.7</v>
      </c>
      <c r="P42" s="193" t="s">
        <v>549</v>
      </c>
      <c r="Q42" s="201">
        <v>555.29999999999995</v>
      </c>
      <c r="R42" s="205" t="str">
        <f>REPLACE(TEXT(Таблица3[[#This Row],[Столбец1]],"0"),2,0,".")</f>
        <v>2.037</v>
      </c>
      <c r="S42" s="205">
        <f ca="1">ROUND(
   Таблица3[[#This Row],[Столбец4]] * RANDBETWEEN(97,99)/100,
1)</f>
        <v>292.60000000000002</v>
      </c>
      <c r="T42" s="205">
        <f ca="1">ROUND(
    SUM(Таблица3[[#This Row],[Столбец6]:[Столбец13]]) * RANDBETWEEN(97,99)/100,
1)</f>
        <v>250.4</v>
      </c>
      <c r="U42" s="205">
        <f t="shared" ca="1" si="1"/>
        <v>543</v>
      </c>
    </row>
    <row r="43" spans="1:21" ht="79.2" x14ac:dyDescent="0.3">
      <c r="A43" s="197">
        <v>2038</v>
      </c>
      <c r="B43" s="191" t="s">
        <v>572</v>
      </c>
      <c r="C43" s="191">
        <v>4</v>
      </c>
      <c r="D43" s="191" t="s">
        <v>547</v>
      </c>
      <c r="E43" s="198">
        <v>11.2</v>
      </c>
      <c r="F43" s="199" t="s">
        <v>98</v>
      </c>
      <c r="G43" s="198">
        <v>0</v>
      </c>
      <c r="H43" s="199" t="s">
        <v>98</v>
      </c>
      <c r="I43" s="198">
        <v>0</v>
      </c>
      <c r="J43" s="199" t="s">
        <v>98</v>
      </c>
      <c r="K43" s="198">
        <v>0</v>
      </c>
      <c r="L43" s="199" t="s">
        <v>98</v>
      </c>
      <c r="M43" s="198">
        <v>0</v>
      </c>
      <c r="N43" s="199" t="s">
        <v>98</v>
      </c>
      <c r="O43" s="198">
        <v>0</v>
      </c>
      <c r="P43" s="191" t="s">
        <v>549</v>
      </c>
      <c r="Q43" s="198">
        <v>115.9</v>
      </c>
      <c r="R43" s="205" t="str">
        <f>REPLACE(TEXT(Таблица3[[#This Row],[Столбец1]],"0"),2,0,".")</f>
        <v>2.038</v>
      </c>
      <c r="S43" s="205">
        <f ca="1">ROUND(
   Таблица3[[#This Row],[Столбец4]] * RANDBETWEEN(97,99)/100,
1)</f>
        <v>11.1</v>
      </c>
      <c r="T43" s="205">
        <f ca="1">ROUND(
    SUM(Таблица3[[#This Row],[Столбец6]:[Столбец13]]) * RANDBETWEEN(97,99)/100,
1)</f>
        <v>0</v>
      </c>
      <c r="U43" s="205">
        <f t="shared" ca="1" si="1"/>
        <v>11.1</v>
      </c>
    </row>
    <row r="44" spans="1:21" ht="79.2" x14ac:dyDescent="0.3">
      <c r="A44" s="197">
        <v>2039</v>
      </c>
      <c r="B44" s="191" t="s">
        <v>573</v>
      </c>
      <c r="C44" s="191">
        <v>4</v>
      </c>
      <c r="D44" s="191" t="s">
        <v>547</v>
      </c>
      <c r="E44" s="198">
        <v>49.7</v>
      </c>
      <c r="F44" s="199" t="s">
        <v>98</v>
      </c>
      <c r="G44" s="198">
        <v>0</v>
      </c>
      <c r="H44" s="191" t="s">
        <v>548</v>
      </c>
      <c r="I44" s="198">
        <v>37.9</v>
      </c>
      <c r="J44" s="199" t="s">
        <v>98</v>
      </c>
      <c r="K44" s="198">
        <v>0</v>
      </c>
      <c r="L44" s="191" t="s">
        <v>548</v>
      </c>
      <c r="M44" s="198">
        <v>19.600000000000001</v>
      </c>
      <c r="N44" s="199" t="s">
        <v>98</v>
      </c>
      <c r="O44" s="198">
        <v>0</v>
      </c>
      <c r="P44" s="191" t="s">
        <v>549</v>
      </c>
      <c r="Q44" s="198">
        <v>107.2</v>
      </c>
      <c r="R44" s="205" t="str">
        <f>REPLACE(TEXT(Таблица3[[#This Row],[Столбец1]],"0"),2,0,".")</f>
        <v>2.039</v>
      </c>
      <c r="S44" s="205">
        <f ca="1">ROUND(
   Таблица3[[#This Row],[Столбец4]] * RANDBETWEEN(97,99)/100,
1)</f>
        <v>48.2</v>
      </c>
      <c r="T44" s="205">
        <f ca="1">ROUND(
    SUM(Таблица3[[#This Row],[Столбец6]:[Столбец13]]) * RANDBETWEEN(97,99)/100,
1)</f>
        <v>56.4</v>
      </c>
      <c r="U44" s="205">
        <f t="shared" ca="1" si="1"/>
        <v>104.6</v>
      </c>
    </row>
    <row r="45" spans="1:21" ht="79.2" x14ac:dyDescent="0.3">
      <c r="A45" s="197">
        <v>2040</v>
      </c>
      <c r="B45" s="191" t="s">
        <v>573</v>
      </c>
      <c r="C45" s="191">
        <v>4</v>
      </c>
      <c r="D45" s="191" t="s">
        <v>547</v>
      </c>
      <c r="E45" s="198">
        <v>73.099999999999994</v>
      </c>
      <c r="F45" s="199" t="s">
        <v>98</v>
      </c>
      <c r="G45" s="198">
        <v>0</v>
      </c>
      <c r="H45" s="191" t="s">
        <v>548</v>
      </c>
      <c r="I45" s="198">
        <v>20.5</v>
      </c>
      <c r="J45" s="199" t="s">
        <v>98</v>
      </c>
      <c r="K45" s="198">
        <v>0</v>
      </c>
      <c r="L45" s="191" t="s">
        <v>548</v>
      </c>
      <c r="M45" s="198">
        <v>16.5</v>
      </c>
      <c r="N45" s="199" t="s">
        <v>98</v>
      </c>
      <c r="O45" s="198">
        <v>0</v>
      </c>
      <c r="P45" s="191" t="s">
        <v>549</v>
      </c>
      <c r="Q45" s="198">
        <v>110.2</v>
      </c>
      <c r="R45" s="205" t="str">
        <f>REPLACE(TEXT(Таблица3[[#This Row],[Столбец1]],"0"),2,0,".")</f>
        <v>2.040</v>
      </c>
      <c r="S45" s="205">
        <f ca="1">ROUND(
   Таблица3[[#This Row],[Столбец4]] * RANDBETWEEN(97,99)/100,
1)</f>
        <v>70.900000000000006</v>
      </c>
      <c r="T45" s="205">
        <f ca="1">ROUND(
    SUM(Таблица3[[#This Row],[Столбец6]:[Столбец13]]) * RANDBETWEEN(97,99)/100,
1)</f>
        <v>36.299999999999997</v>
      </c>
      <c r="U45" s="205">
        <f t="shared" ca="1" si="1"/>
        <v>107.2</v>
      </c>
    </row>
    <row r="46" spans="1:21" ht="79.2" x14ac:dyDescent="0.3">
      <c r="A46" s="197">
        <v>2041</v>
      </c>
      <c r="B46" s="191" t="s">
        <v>573</v>
      </c>
      <c r="C46" s="191">
        <v>4</v>
      </c>
      <c r="D46" s="191" t="s">
        <v>547</v>
      </c>
      <c r="E46" s="198">
        <v>75.400000000000006</v>
      </c>
      <c r="F46" s="199" t="s">
        <v>98</v>
      </c>
      <c r="G46" s="198">
        <v>0</v>
      </c>
      <c r="H46" s="191" t="s">
        <v>548</v>
      </c>
      <c r="I46" s="198">
        <v>11</v>
      </c>
      <c r="J46" s="199" t="s">
        <v>98</v>
      </c>
      <c r="K46" s="198">
        <v>0</v>
      </c>
      <c r="L46" s="191" t="s">
        <v>548</v>
      </c>
      <c r="M46" s="198">
        <v>25.8</v>
      </c>
      <c r="N46" s="199" t="s">
        <v>98</v>
      </c>
      <c r="O46" s="198">
        <v>0</v>
      </c>
      <c r="P46" s="191" t="s">
        <v>549</v>
      </c>
      <c r="Q46" s="198">
        <v>112.3</v>
      </c>
      <c r="R46" s="205" t="str">
        <f>REPLACE(TEXT(Таблица3[[#This Row],[Столбец1]],"0"),2,0,".")</f>
        <v>2.041</v>
      </c>
      <c r="S46" s="205">
        <f ca="1">ROUND(
   Таблица3[[#This Row],[Столбец4]] * RANDBETWEEN(97,99)/100,
1)</f>
        <v>74.599999999999994</v>
      </c>
      <c r="T46" s="205">
        <f ca="1">ROUND(
    SUM(Таблица3[[#This Row],[Столбец6]:[Столбец13]]) * RANDBETWEEN(97,99)/100,
1)</f>
        <v>36.1</v>
      </c>
      <c r="U46" s="205">
        <f t="shared" ca="1" si="1"/>
        <v>110.69999999999999</v>
      </c>
    </row>
    <row r="47" spans="1:21" ht="105.6" x14ac:dyDescent="0.3">
      <c r="A47" s="197">
        <v>2042</v>
      </c>
      <c r="B47" s="191" t="s">
        <v>574</v>
      </c>
      <c r="C47" s="191">
        <v>4</v>
      </c>
      <c r="D47" s="191" t="s">
        <v>547</v>
      </c>
      <c r="E47" s="198">
        <v>28.5</v>
      </c>
      <c r="F47" s="199" t="s">
        <v>98</v>
      </c>
      <c r="G47" s="198">
        <v>0</v>
      </c>
      <c r="H47" s="191" t="s">
        <v>548</v>
      </c>
      <c r="I47" s="198">
        <v>113.7</v>
      </c>
      <c r="J47" s="191" t="s">
        <v>552</v>
      </c>
      <c r="K47" s="198">
        <v>21.5</v>
      </c>
      <c r="L47" s="191" t="s">
        <v>548</v>
      </c>
      <c r="M47" s="198">
        <v>17.600000000000001</v>
      </c>
      <c r="N47" s="199" t="s">
        <v>98</v>
      </c>
      <c r="O47" s="198">
        <v>0</v>
      </c>
      <c r="P47" s="191" t="s">
        <v>549</v>
      </c>
      <c r="Q47" s="198">
        <v>181.3</v>
      </c>
      <c r="R47" s="205" t="str">
        <f>REPLACE(TEXT(Таблица3[[#This Row],[Столбец1]],"0"),2,0,".")</f>
        <v>2.042</v>
      </c>
      <c r="S47" s="205">
        <f ca="1">ROUND(
   Таблица3[[#This Row],[Столбец4]] * RANDBETWEEN(97,99)/100,
1)</f>
        <v>28.2</v>
      </c>
      <c r="T47" s="205">
        <f ca="1">ROUND(
    SUM(Таблица3[[#This Row],[Столбец6]:[Столбец13]]) * RANDBETWEEN(97,99)/100,
1)</f>
        <v>149.69999999999999</v>
      </c>
      <c r="U47" s="205">
        <f t="shared" ca="1" si="1"/>
        <v>177.89999999999998</v>
      </c>
    </row>
    <row r="48" spans="1:21" ht="79.2" x14ac:dyDescent="0.3">
      <c r="A48" s="197">
        <v>2043</v>
      </c>
      <c r="B48" s="191" t="s">
        <v>557</v>
      </c>
      <c r="C48" s="191">
        <v>4</v>
      </c>
      <c r="D48" s="191" t="s">
        <v>547</v>
      </c>
      <c r="E48" s="198">
        <v>35.9</v>
      </c>
      <c r="F48" s="199" t="s">
        <v>98</v>
      </c>
      <c r="G48" s="198">
        <v>0</v>
      </c>
      <c r="H48" s="199" t="s">
        <v>98</v>
      </c>
      <c r="I48" s="198">
        <v>0</v>
      </c>
      <c r="J48" s="199" t="s">
        <v>98</v>
      </c>
      <c r="K48" s="198">
        <v>0</v>
      </c>
      <c r="L48" s="191" t="s">
        <v>548</v>
      </c>
      <c r="M48" s="198">
        <v>13.1</v>
      </c>
      <c r="N48" s="199" t="s">
        <v>98</v>
      </c>
      <c r="O48" s="198">
        <v>0</v>
      </c>
      <c r="P48" s="191" t="s">
        <v>549</v>
      </c>
      <c r="Q48" s="198">
        <v>49</v>
      </c>
      <c r="R48" s="205" t="str">
        <f>REPLACE(TEXT(Таблица3[[#This Row],[Столбец1]],"0"),2,0,".")</f>
        <v>2.043</v>
      </c>
      <c r="S48" s="205">
        <f ca="1">ROUND(
   Таблица3[[#This Row],[Столбец4]] * RANDBETWEEN(97,99)/100,
1)</f>
        <v>35.5</v>
      </c>
      <c r="T48" s="205">
        <f ca="1">ROUND(
    SUM(Таблица3[[#This Row],[Столбец6]:[Столбец13]]) * RANDBETWEEN(97,99)/100,
1)</f>
        <v>12.8</v>
      </c>
      <c r="U48" s="205">
        <f t="shared" ca="1" si="1"/>
        <v>48.3</v>
      </c>
    </row>
    <row r="49" spans="1:21" ht="79.2" x14ac:dyDescent="0.3">
      <c r="A49" s="197">
        <v>2044</v>
      </c>
      <c r="B49" s="191" t="s">
        <v>556</v>
      </c>
      <c r="C49" s="191">
        <v>4</v>
      </c>
      <c r="D49" s="191" t="s">
        <v>547</v>
      </c>
      <c r="E49" s="198">
        <v>109.4</v>
      </c>
      <c r="F49" s="199" t="s">
        <v>98</v>
      </c>
      <c r="G49" s="198">
        <v>0</v>
      </c>
      <c r="H49" s="199" t="s">
        <v>98</v>
      </c>
      <c r="I49" s="198">
        <v>0</v>
      </c>
      <c r="J49" s="199" t="s">
        <v>98</v>
      </c>
      <c r="K49" s="198">
        <v>0</v>
      </c>
      <c r="L49" s="199" t="s">
        <v>98</v>
      </c>
      <c r="M49" s="198">
        <v>0</v>
      </c>
      <c r="N49" s="199" t="s">
        <v>98</v>
      </c>
      <c r="O49" s="198">
        <v>0</v>
      </c>
      <c r="P49" s="191" t="s">
        <v>549</v>
      </c>
      <c r="Q49" s="198">
        <v>109.4</v>
      </c>
      <c r="R49" s="205" t="str">
        <f>REPLACE(TEXT(Таблица3[[#This Row],[Столбец1]],"0"),2,0,".")</f>
        <v>2.044</v>
      </c>
      <c r="S49" s="205">
        <f ca="1">ROUND(
   Таблица3[[#This Row],[Столбец4]] * RANDBETWEEN(97,99)/100,
1)</f>
        <v>106.1</v>
      </c>
      <c r="T49" s="205">
        <f ca="1">ROUND(
    SUM(Таблица3[[#This Row],[Столбец6]:[Столбец13]]) * RANDBETWEEN(97,99)/100,
1)</f>
        <v>0</v>
      </c>
      <c r="U49" s="205">
        <f t="shared" ca="1" si="1"/>
        <v>106.1</v>
      </c>
    </row>
    <row r="50" spans="1:21" ht="79.2" hidden="1" x14ac:dyDescent="0.3">
      <c r="A50" s="197">
        <v>2045</v>
      </c>
      <c r="B50" s="191" t="s">
        <v>575</v>
      </c>
      <c r="C50" s="191">
        <v>5</v>
      </c>
      <c r="D50" s="191" t="s">
        <v>547</v>
      </c>
      <c r="E50" s="198">
        <v>124.2</v>
      </c>
      <c r="F50" s="199" t="s">
        <v>98</v>
      </c>
      <c r="G50" s="198">
        <v>0</v>
      </c>
      <c r="H50" s="191" t="s">
        <v>548</v>
      </c>
      <c r="I50" s="198">
        <v>58.2</v>
      </c>
      <c r="J50" s="199" t="s">
        <v>98</v>
      </c>
      <c r="K50" s="198">
        <v>0</v>
      </c>
      <c r="L50" s="191" t="s">
        <v>548</v>
      </c>
      <c r="M50" s="198">
        <v>96</v>
      </c>
      <c r="N50" s="199" t="s">
        <v>98</v>
      </c>
      <c r="O50" s="198">
        <v>0</v>
      </c>
      <c r="P50" s="191" t="s">
        <v>549</v>
      </c>
      <c r="Q50" s="198">
        <v>278.60000000000002</v>
      </c>
      <c r="R50" s="205" t="str">
        <f>REPLACE(TEXT(Таблица3[[#This Row],[Столбец1]],"0"),2,0,".")</f>
        <v>2.045</v>
      </c>
      <c r="S50" s="205">
        <f ca="1">ROUND(
   Таблица3[[#This Row],[Столбец4]] * RANDBETWEEN(97,99)/100,
1)</f>
        <v>123</v>
      </c>
      <c r="T50" s="205">
        <f ca="1">ROUND(
    SUM(Таблица3[[#This Row],[Столбец6]:[Столбец13]]) * RANDBETWEEN(97,99)/100,
1)</f>
        <v>149.6</v>
      </c>
      <c r="U50" s="205">
        <f t="shared" ca="1" si="1"/>
        <v>272.60000000000002</v>
      </c>
    </row>
    <row r="51" spans="1:21" ht="79.2" hidden="1" x14ac:dyDescent="0.3">
      <c r="A51" s="200">
        <v>2046</v>
      </c>
      <c r="B51" s="202" t="s">
        <v>535</v>
      </c>
      <c r="C51" s="202">
        <v>5</v>
      </c>
      <c r="D51" s="193" t="s">
        <v>547</v>
      </c>
      <c r="E51" s="201">
        <v>154.19999999999999</v>
      </c>
      <c r="F51" s="202" t="s">
        <v>98</v>
      </c>
      <c r="G51" s="201">
        <v>0</v>
      </c>
      <c r="H51" s="193" t="s">
        <v>548</v>
      </c>
      <c r="I51" s="201">
        <v>191.5</v>
      </c>
      <c r="J51" s="202" t="s">
        <v>98</v>
      </c>
      <c r="K51" s="201">
        <v>0</v>
      </c>
      <c r="L51" s="193" t="s">
        <v>548</v>
      </c>
      <c r="M51" s="201">
        <v>21.1</v>
      </c>
      <c r="N51" s="202" t="s">
        <v>98</v>
      </c>
      <c r="O51" s="201">
        <v>0</v>
      </c>
      <c r="P51" s="193" t="s">
        <v>549</v>
      </c>
      <c r="Q51" s="201">
        <v>367</v>
      </c>
      <c r="R51" s="205" t="str">
        <f>REPLACE(TEXT(Таблица3[[#This Row],[Столбец1]],"0"),2,0,".")</f>
        <v>2.046</v>
      </c>
      <c r="S51" s="205">
        <f ca="1">ROUND(
   Таблица3[[#This Row],[Столбец4]] * RANDBETWEEN(97,99)/100,
1)</f>
        <v>149.6</v>
      </c>
      <c r="T51" s="205">
        <f ca="1">ROUND(
    SUM(Таблица3[[#This Row],[Столбец6]:[Столбец13]]) * RANDBETWEEN(97,99)/100,
1)</f>
        <v>206.2</v>
      </c>
      <c r="U51" s="205">
        <f t="shared" ca="1" si="1"/>
        <v>355.79999999999995</v>
      </c>
    </row>
    <row r="52" spans="1:21" ht="79.2" hidden="1" x14ac:dyDescent="0.3">
      <c r="A52" s="200">
        <v>2047</v>
      </c>
      <c r="B52" s="193" t="s">
        <v>576</v>
      </c>
      <c r="C52" s="193">
        <v>5</v>
      </c>
      <c r="D52" s="193" t="s">
        <v>547</v>
      </c>
      <c r="E52" s="201">
        <v>15.2</v>
      </c>
      <c r="F52" s="202" t="s">
        <v>98</v>
      </c>
      <c r="G52" s="201">
        <v>0</v>
      </c>
      <c r="H52" s="193" t="s">
        <v>548</v>
      </c>
      <c r="I52" s="201">
        <v>55.7</v>
      </c>
      <c r="J52" s="202" t="s">
        <v>98</v>
      </c>
      <c r="K52" s="201">
        <v>0</v>
      </c>
      <c r="L52" s="193" t="s">
        <v>548</v>
      </c>
      <c r="M52" s="201">
        <v>18.3</v>
      </c>
      <c r="N52" s="202" t="s">
        <v>98</v>
      </c>
      <c r="O52" s="201">
        <v>0</v>
      </c>
      <c r="P52" s="193" t="s">
        <v>549</v>
      </c>
      <c r="Q52" s="201">
        <v>89.2</v>
      </c>
      <c r="R52" s="205" t="str">
        <f>REPLACE(TEXT(Таблица3[[#This Row],[Столбец1]],"0"),2,0,".")</f>
        <v>2.047</v>
      </c>
      <c r="S52" s="205">
        <f ca="1">ROUND(
   Таблица3[[#This Row],[Столбец4]] * RANDBETWEEN(97,99)/100,
1)</f>
        <v>14.9</v>
      </c>
      <c r="T52" s="205">
        <f ca="1">ROUND(
    SUM(Таблица3[[#This Row],[Столбец6]:[Столбец13]]) * RANDBETWEEN(97,99)/100,
1)</f>
        <v>71.8</v>
      </c>
      <c r="U52" s="205">
        <f t="shared" ca="1" si="1"/>
        <v>86.7</v>
      </c>
    </row>
    <row r="53" spans="1:21" ht="79.2" hidden="1" x14ac:dyDescent="0.3">
      <c r="A53" s="197">
        <v>2048</v>
      </c>
      <c r="B53" s="191" t="s">
        <v>577</v>
      </c>
      <c r="C53" s="191">
        <v>6</v>
      </c>
      <c r="D53" s="191" t="s">
        <v>547</v>
      </c>
      <c r="E53" s="198">
        <v>75.099999999999994</v>
      </c>
      <c r="F53" s="199" t="s">
        <v>98</v>
      </c>
      <c r="G53" s="198">
        <v>0</v>
      </c>
      <c r="H53" s="191" t="s">
        <v>548</v>
      </c>
      <c r="I53" s="198">
        <v>62.7</v>
      </c>
      <c r="J53" s="199" t="s">
        <v>98</v>
      </c>
      <c r="K53" s="198">
        <v>0</v>
      </c>
      <c r="L53" s="191" t="s">
        <v>548</v>
      </c>
      <c r="M53" s="198">
        <v>92.9</v>
      </c>
      <c r="N53" s="199" t="s">
        <v>98</v>
      </c>
      <c r="O53" s="198">
        <v>0</v>
      </c>
      <c r="P53" s="191" t="s">
        <v>549</v>
      </c>
      <c r="Q53" s="198">
        <v>230.9</v>
      </c>
      <c r="R53" s="205" t="str">
        <f>REPLACE(TEXT(Таблица3[[#This Row],[Столбец1]],"0"),2,0,".")</f>
        <v>2.048</v>
      </c>
      <c r="S53" s="205">
        <f ca="1">ROUND(
   Таблица3[[#This Row],[Столбец4]] * RANDBETWEEN(97,99)/100,
1)</f>
        <v>74.3</v>
      </c>
      <c r="T53" s="205">
        <f ca="1">ROUND(
    SUM(Таблица3[[#This Row],[Столбец6]:[Столбец13]]) * RANDBETWEEN(97,99)/100,
1)</f>
        <v>154</v>
      </c>
      <c r="U53" s="205">
        <f t="shared" ca="1" si="1"/>
        <v>228.3</v>
      </c>
    </row>
    <row r="54" spans="1:21" ht="79.2" hidden="1" x14ac:dyDescent="0.3">
      <c r="A54" s="197">
        <v>2049</v>
      </c>
      <c r="B54" s="199" t="s">
        <v>535</v>
      </c>
      <c r="C54" s="199">
        <v>6</v>
      </c>
      <c r="D54" s="191" t="s">
        <v>547</v>
      </c>
      <c r="E54" s="198">
        <v>161.9</v>
      </c>
      <c r="F54" s="199" t="s">
        <v>98</v>
      </c>
      <c r="G54" s="198">
        <v>0</v>
      </c>
      <c r="H54" s="191" t="s">
        <v>548</v>
      </c>
      <c r="I54" s="198">
        <v>90.7</v>
      </c>
      <c r="J54" s="199" t="s">
        <v>98</v>
      </c>
      <c r="K54" s="198">
        <v>0</v>
      </c>
      <c r="L54" s="191" t="s">
        <v>548</v>
      </c>
      <c r="M54" s="198">
        <v>16.8</v>
      </c>
      <c r="N54" s="199" t="s">
        <v>98</v>
      </c>
      <c r="O54" s="198">
        <v>0</v>
      </c>
      <c r="P54" s="191" t="s">
        <v>549</v>
      </c>
      <c r="Q54" s="198">
        <v>269.60000000000002</v>
      </c>
      <c r="R54" s="205" t="str">
        <f>REPLACE(TEXT(Таблица3[[#This Row],[Столбец1]],"0"),2,0,".")</f>
        <v>2.049</v>
      </c>
      <c r="S54" s="205">
        <f ca="1">ROUND(
   Таблица3[[#This Row],[Столбец4]] * RANDBETWEEN(97,99)/100,
1)</f>
        <v>160.30000000000001</v>
      </c>
      <c r="T54" s="205">
        <f ca="1">ROUND(
    SUM(Таблица3[[#This Row],[Столбец6]:[Столбец13]]) * RANDBETWEEN(97,99)/100,
1)</f>
        <v>105.4</v>
      </c>
      <c r="U54" s="205">
        <f t="shared" ca="1" si="1"/>
        <v>265.70000000000005</v>
      </c>
    </row>
    <row r="55" spans="1:21" ht="79.2" hidden="1" x14ac:dyDescent="0.3">
      <c r="A55" s="197">
        <v>2050</v>
      </c>
      <c r="B55" s="199" t="s">
        <v>536</v>
      </c>
      <c r="C55" s="199">
        <v>6</v>
      </c>
      <c r="D55" s="191" t="s">
        <v>547</v>
      </c>
      <c r="E55" s="198">
        <v>46</v>
      </c>
      <c r="F55" s="199" t="s">
        <v>98</v>
      </c>
      <c r="G55" s="198">
        <v>0</v>
      </c>
      <c r="H55" s="191" t="s">
        <v>548</v>
      </c>
      <c r="I55" s="198">
        <v>7.8</v>
      </c>
      <c r="J55" s="199" t="s">
        <v>98</v>
      </c>
      <c r="K55" s="198">
        <v>0</v>
      </c>
      <c r="L55" s="191" t="s">
        <v>548</v>
      </c>
      <c r="M55" s="198">
        <v>36</v>
      </c>
      <c r="N55" s="199" t="s">
        <v>98</v>
      </c>
      <c r="O55" s="198">
        <v>0</v>
      </c>
      <c r="P55" s="191" t="s">
        <v>549</v>
      </c>
      <c r="Q55" s="198">
        <v>89.8</v>
      </c>
      <c r="R55" s="205" t="str">
        <f>REPLACE(TEXT(Таблица3[[#This Row],[Столбец1]],"0"),2,0,".")</f>
        <v>2.050</v>
      </c>
      <c r="S55" s="205">
        <f ca="1">ROUND(
   Таблица3[[#This Row],[Столбец4]] * RANDBETWEEN(97,99)/100,
1)</f>
        <v>45.1</v>
      </c>
      <c r="T55" s="205">
        <f ca="1">ROUND(
    SUM(Таблица3[[#This Row],[Столбец6]:[Столбец13]]) * RANDBETWEEN(97,99)/100,
1)</f>
        <v>42.9</v>
      </c>
      <c r="U55" s="205">
        <f t="shared" ca="1" si="1"/>
        <v>88</v>
      </c>
    </row>
    <row r="56" spans="1:21" ht="92.4" hidden="1" x14ac:dyDescent="0.3">
      <c r="A56" s="197">
        <v>2051</v>
      </c>
      <c r="B56" s="191" t="s">
        <v>578</v>
      </c>
      <c r="C56" s="191">
        <v>6</v>
      </c>
      <c r="D56" s="191" t="s">
        <v>559</v>
      </c>
      <c r="E56" s="198">
        <v>15.8</v>
      </c>
      <c r="F56" s="199" t="s">
        <v>98</v>
      </c>
      <c r="G56" s="198">
        <v>0</v>
      </c>
      <c r="H56" s="191" t="s">
        <v>560</v>
      </c>
      <c r="I56" s="198">
        <v>10.5</v>
      </c>
      <c r="J56" s="199" t="s">
        <v>98</v>
      </c>
      <c r="K56" s="198">
        <v>0</v>
      </c>
      <c r="L56" s="191" t="s">
        <v>560</v>
      </c>
      <c r="M56" s="198">
        <v>59.2</v>
      </c>
      <c r="N56" s="199" t="s">
        <v>98</v>
      </c>
      <c r="O56" s="198">
        <v>0</v>
      </c>
      <c r="P56" s="191" t="s">
        <v>549</v>
      </c>
      <c r="Q56" s="198">
        <v>86</v>
      </c>
      <c r="R56" s="205" t="str">
        <f>REPLACE(TEXT(Таблица3[[#This Row],[Столбец1]],"0"),2,0,".")</f>
        <v>2.051</v>
      </c>
      <c r="S56" s="205">
        <f ca="1">ROUND(
   Таблица3[[#This Row],[Столбец4]] * RANDBETWEEN(97,99)/100,
1)</f>
        <v>15.3</v>
      </c>
      <c r="T56" s="205">
        <f ca="1">ROUND(
    SUM(Таблица3[[#This Row],[Столбец6]:[Столбец13]]) * RANDBETWEEN(97,99)/100,
1)</f>
        <v>69</v>
      </c>
      <c r="U56" s="205">
        <f t="shared" ca="1" si="1"/>
        <v>84.3</v>
      </c>
    </row>
    <row r="57" spans="1:21" ht="92.4" hidden="1" x14ac:dyDescent="0.3">
      <c r="A57" s="197">
        <v>2052</v>
      </c>
      <c r="B57" s="191" t="s">
        <v>561</v>
      </c>
      <c r="C57" s="191">
        <v>6</v>
      </c>
      <c r="D57" s="191" t="s">
        <v>559</v>
      </c>
      <c r="E57" s="198">
        <v>3</v>
      </c>
      <c r="F57" s="199" t="s">
        <v>98</v>
      </c>
      <c r="G57" s="198">
        <v>0</v>
      </c>
      <c r="H57" s="191" t="s">
        <v>560</v>
      </c>
      <c r="I57" s="198">
        <v>2.6</v>
      </c>
      <c r="J57" s="199" t="s">
        <v>98</v>
      </c>
      <c r="K57" s="198">
        <v>0</v>
      </c>
      <c r="L57" s="191" t="s">
        <v>560</v>
      </c>
      <c r="M57" s="198">
        <v>26.3</v>
      </c>
      <c r="N57" s="199" t="s">
        <v>98</v>
      </c>
      <c r="O57" s="198">
        <v>0</v>
      </c>
      <c r="P57" s="191" t="s">
        <v>549</v>
      </c>
      <c r="Q57" s="198">
        <v>31.8</v>
      </c>
      <c r="R57" s="205" t="str">
        <f>REPLACE(TEXT(Таблица3[[#This Row],[Столбец1]],"0"),2,0,".")</f>
        <v>2.052</v>
      </c>
      <c r="S57" s="205">
        <f ca="1">ROUND(
   Таблица3[[#This Row],[Столбец4]] * RANDBETWEEN(97,99)/100,
1)</f>
        <v>2.9</v>
      </c>
      <c r="T57" s="205">
        <f ca="1">ROUND(
    SUM(Таблица3[[#This Row],[Столбец6]:[Столбец13]]) * RANDBETWEEN(97,99)/100,
1)</f>
        <v>28.6</v>
      </c>
      <c r="U57" s="205">
        <f t="shared" ca="1" si="1"/>
        <v>31.5</v>
      </c>
    </row>
    <row r="58" spans="1:21" ht="92.4" hidden="1" x14ac:dyDescent="0.3">
      <c r="A58" s="197">
        <v>2053</v>
      </c>
      <c r="B58" s="191" t="s">
        <v>564</v>
      </c>
      <c r="C58" s="191">
        <v>6</v>
      </c>
      <c r="D58" s="191" t="s">
        <v>559</v>
      </c>
      <c r="E58" s="198">
        <v>1</v>
      </c>
      <c r="F58" s="199" t="s">
        <v>98</v>
      </c>
      <c r="G58" s="198">
        <v>0</v>
      </c>
      <c r="H58" s="191" t="s">
        <v>560</v>
      </c>
      <c r="I58" s="198">
        <v>5.9</v>
      </c>
      <c r="J58" s="199" t="s">
        <v>98</v>
      </c>
      <c r="K58" s="198">
        <v>0</v>
      </c>
      <c r="L58" s="191" t="s">
        <v>560</v>
      </c>
      <c r="M58" s="198">
        <v>27.4</v>
      </c>
      <c r="N58" s="199" t="s">
        <v>98</v>
      </c>
      <c r="O58" s="198">
        <v>0</v>
      </c>
      <c r="P58" s="191" t="s">
        <v>549</v>
      </c>
      <c r="Q58" s="198">
        <v>34.299999999999997</v>
      </c>
      <c r="R58" s="205" t="str">
        <f>REPLACE(TEXT(Таблица3[[#This Row],[Столбец1]],"0"),2,0,".")</f>
        <v>2.053</v>
      </c>
      <c r="S58" s="205">
        <f ca="1">ROUND(
   Таблица3[[#This Row],[Столбец4]] * RANDBETWEEN(97,99)/100,
1)</f>
        <v>1</v>
      </c>
      <c r="T58" s="205">
        <f ca="1">ROUND(
    SUM(Таблица3[[#This Row],[Столбец6]:[Столбец13]]) * RANDBETWEEN(97,99)/100,
1)</f>
        <v>33</v>
      </c>
      <c r="U58" s="205">
        <f t="shared" ca="1" si="1"/>
        <v>34</v>
      </c>
    </row>
    <row r="59" spans="1:21" ht="92.4" hidden="1" x14ac:dyDescent="0.3">
      <c r="A59" s="197">
        <v>2054</v>
      </c>
      <c r="B59" s="191" t="s">
        <v>579</v>
      </c>
      <c r="C59" s="191">
        <v>6</v>
      </c>
      <c r="D59" s="191" t="s">
        <v>559</v>
      </c>
      <c r="E59" s="198">
        <v>39.200000000000003</v>
      </c>
      <c r="F59" s="199" t="s">
        <v>98</v>
      </c>
      <c r="G59" s="198">
        <v>0</v>
      </c>
      <c r="H59" s="191" t="s">
        <v>560</v>
      </c>
      <c r="I59" s="198">
        <v>11.7</v>
      </c>
      <c r="J59" s="199" t="s">
        <v>98</v>
      </c>
      <c r="K59" s="198">
        <v>0</v>
      </c>
      <c r="L59" s="191" t="s">
        <v>560</v>
      </c>
      <c r="M59" s="198">
        <v>28.6</v>
      </c>
      <c r="N59" s="199" t="s">
        <v>98</v>
      </c>
      <c r="O59" s="198">
        <v>0</v>
      </c>
      <c r="P59" s="191" t="s">
        <v>549</v>
      </c>
      <c r="Q59" s="198">
        <v>86.6</v>
      </c>
      <c r="R59" s="205" t="str">
        <f>REPLACE(TEXT(Таблица3[[#This Row],[Столбец1]],"0"),2,0,".")</f>
        <v>2.054</v>
      </c>
      <c r="S59" s="205">
        <f ca="1">ROUND(
   Таблица3[[#This Row],[Столбец4]] * RANDBETWEEN(97,99)/100,
1)</f>
        <v>38.799999999999997</v>
      </c>
      <c r="T59" s="205">
        <f ca="1">ROUND(
    SUM(Таблица3[[#This Row],[Столбец6]:[Столбец13]]) * RANDBETWEEN(97,99)/100,
1)</f>
        <v>39.1</v>
      </c>
      <c r="U59" s="205">
        <f t="shared" ca="1" si="1"/>
        <v>77.900000000000006</v>
      </c>
    </row>
    <row r="60" spans="1:21" ht="79.2" hidden="1" x14ac:dyDescent="0.3">
      <c r="A60" s="197">
        <v>2055</v>
      </c>
      <c r="B60" s="191" t="s">
        <v>557</v>
      </c>
      <c r="C60" s="191">
        <v>6</v>
      </c>
      <c r="D60" s="191" t="s">
        <v>547</v>
      </c>
      <c r="E60" s="198">
        <v>35.9</v>
      </c>
      <c r="F60" s="199" t="s">
        <v>98</v>
      </c>
      <c r="G60" s="198">
        <v>0</v>
      </c>
      <c r="H60" s="199" t="s">
        <v>98</v>
      </c>
      <c r="I60" s="198">
        <v>0</v>
      </c>
      <c r="J60" s="199" t="s">
        <v>98</v>
      </c>
      <c r="K60" s="198">
        <v>0</v>
      </c>
      <c r="L60" s="191" t="s">
        <v>548</v>
      </c>
      <c r="M60" s="198">
        <v>13.1</v>
      </c>
      <c r="N60" s="199" t="s">
        <v>98</v>
      </c>
      <c r="O60" s="198">
        <v>0</v>
      </c>
      <c r="P60" s="191" t="s">
        <v>549</v>
      </c>
      <c r="Q60" s="198">
        <v>49</v>
      </c>
      <c r="R60" s="205" t="str">
        <f>REPLACE(TEXT(Таблица3[[#This Row],[Столбец1]],"0"),2,0,".")</f>
        <v>2.055</v>
      </c>
      <c r="S60" s="205">
        <f ca="1">ROUND(
   Таблица3[[#This Row],[Столбец4]] * RANDBETWEEN(97,99)/100,
1)</f>
        <v>34.799999999999997</v>
      </c>
      <c r="T60" s="205">
        <f ca="1">ROUND(
    SUM(Таблица3[[#This Row],[Столбец6]:[Столбец13]]) * RANDBETWEEN(97,99)/100,
1)</f>
        <v>13</v>
      </c>
      <c r="U60" s="205">
        <f t="shared" ca="1" si="1"/>
        <v>47.8</v>
      </c>
    </row>
    <row r="61" spans="1:21" ht="79.2" hidden="1" x14ac:dyDescent="0.3">
      <c r="A61" s="200">
        <v>2056</v>
      </c>
      <c r="B61" s="193" t="s">
        <v>556</v>
      </c>
      <c r="C61" s="193">
        <v>6</v>
      </c>
      <c r="D61" s="193" t="s">
        <v>547</v>
      </c>
      <c r="E61" s="201">
        <v>108.4</v>
      </c>
      <c r="F61" s="202" t="s">
        <v>98</v>
      </c>
      <c r="G61" s="201">
        <v>0</v>
      </c>
      <c r="H61" s="202" t="s">
        <v>98</v>
      </c>
      <c r="I61" s="201">
        <v>0</v>
      </c>
      <c r="J61" s="202" t="s">
        <v>98</v>
      </c>
      <c r="K61" s="201">
        <v>0</v>
      </c>
      <c r="L61" s="202" t="s">
        <v>98</v>
      </c>
      <c r="M61" s="201">
        <v>0</v>
      </c>
      <c r="N61" s="202" t="s">
        <v>98</v>
      </c>
      <c r="O61" s="201">
        <v>0</v>
      </c>
      <c r="P61" s="193" t="s">
        <v>549</v>
      </c>
      <c r="Q61" s="201">
        <v>108.4</v>
      </c>
      <c r="R61" s="205" t="str">
        <f>REPLACE(TEXT(Таблица3[[#This Row],[Столбец1]],"0"),2,0,".")</f>
        <v>2.056</v>
      </c>
      <c r="S61" s="205">
        <f ca="1">ROUND(
   Таблица3[[#This Row],[Столбец4]] * RANDBETWEEN(97,99)/100,
1)</f>
        <v>105.1</v>
      </c>
      <c r="T61" s="205">
        <f ca="1">ROUND(
    SUM(Таблица3[[#This Row],[Столбец6]:[Столбец13]]) * RANDBETWEEN(97,99)/100,
1)</f>
        <v>0</v>
      </c>
      <c r="U61" s="205">
        <f t="shared" ca="1" si="1"/>
        <v>105.1</v>
      </c>
    </row>
    <row r="62" spans="1:21" ht="79.2" hidden="1" x14ac:dyDescent="0.3">
      <c r="A62" s="197">
        <v>2057</v>
      </c>
      <c r="B62" s="191" t="s">
        <v>555</v>
      </c>
      <c r="C62" s="191">
        <v>7</v>
      </c>
      <c r="D62" s="191" t="s">
        <v>547</v>
      </c>
      <c r="E62" s="198">
        <v>12.1</v>
      </c>
      <c r="F62" s="199" t="s">
        <v>98</v>
      </c>
      <c r="G62" s="198">
        <v>0</v>
      </c>
      <c r="H62" s="191" t="s">
        <v>548</v>
      </c>
      <c r="I62" s="198">
        <v>35.9</v>
      </c>
      <c r="J62" s="199" t="s">
        <v>98</v>
      </c>
      <c r="K62" s="198">
        <v>0</v>
      </c>
      <c r="L62" s="191" t="s">
        <v>548</v>
      </c>
      <c r="M62" s="198">
        <v>17</v>
      </c>
      <c r="N62" s="199" t="s">
        <v>98</v>
      </c>
      <c r="O62" s="198">
        <v>0</v>
      </c>
      <c r="P62" s="191" t="s">
        <v>549</v>
      </c>
      <c r="Q62" s="198">
        <v>65</v>
      </c>
      <c r="R62" s="205" t="str">
        <f>REPLACE(TEXT(Таблица3[[#This Row],[Столбец1]],"0"),2,0,".")</f>
        <v>2.057</v>
      </c>
      <c r="S62" s="205">
        <f ca="1">ROUND(
   Таблица3[[#This Row],[Столбец4]] * RANDBETWEEN(97,99)/100,
1)</f>
        <v>12</v>
      </c>
      <c r="T62" s="205">
        <f ca="1">ROUND(
    SUM(Таблица3[[#This Row],[Столбец6]:[Столбец13]]) * RANDBETWEEN(97,99)/100,
1)</f>
        <v>51.8</v>
      </c>
      <c r="U62" s="205">
        <f t="shared" ca="1" si="1"/>
        <v>63.8</v>
      </c>
    </row>
    <row r="63" spans="1:21" ht="79.2" hidden="1" x14ac:dyDescent="0.3">
      <c r="A63" s="197">
        <v>2058</v>
      </c>
      <c r="B63" s="191" t="s">
        <v>580</v>
      </c>
      <c r="C63" s="191">
        <v>7</v>
      </c>
      <c r="D63" s="191" t="s">
        <v>547</v>
      </c>
      <c r="E63" s="198">
        <v>147.5</v>
      </c>
      <c r="F63" s="199" t="s">
        <v>98</v>
      </c>
      <c r="G63" s="198">
        <v>0</v>
      </c>
      <c r="H63" s="191" t="s">
        <v>548</v>
      </c>
      <c r="I63" s="198">
        <v>97.1</v>
      </c>
      <c r="J63" s="199" t="s">
        <v>98</v>
      </c>
      <c r="K63" s="198">
        <v>0</v>
      </c>
      <c r="L63" s="191" t="s">
        <v>548</v>
      </c>
      <c r="M63" s="198">
        <v>12.5</v>
      </c>
      <c r="N63" s="199" t="s">
        <v>98</v>
      </c>
      <c r="O63" s="198">
        <v>0</v>
      </c>
      <c r="P63" s="191" t="s">
        <v>549</v>
      </c>
      <c r="Q63" s="198">
        <v>257</v>
      </c>
      <c r="R63" s="205" t="str">
        <f>REPLACE(TEXT(Таблица3[[#This Row],[Столбец1]],"0"),2,0,".")</f>
        <v>2.058</v>
      </c>
      <c r="S63" s="205">
        <f ca="1">ROUND(
   Таблица3[[#This Row],[Столбец4]] * RANDBETWEEN(97,99)/100,
1)</f>
        <v>143.1</v>
      </c>
      <c r="T63" s="205">
        <f ca="1">ROUND(
    SUM(Таблица3[[#This Row],[Столбец6]:[Столбец13]]) * RANDBETWEEN(97,99)/100,
1)</f>
        <v>107.4</v>
      </c>
      <c r="U63" s="205">
        <f t="shared" ca="1" si="1"/>
        <v>250.5</v>
      </c>
    </row>
    <row r="64" spans="1:21" ht="92.4" hidden="1" x14ac:dyDescent="0.3">
      <c r="A64" s="197">
        <v>2059</v>
      </c>
      <c r="B64" s="191" t="s">
        <v>561</v>
      </c>
      <c r="C64" s="191">
        <v>2</v>
      </c>
      <c r="D64" s="191" t="s">
        <v>559</v>
      </c>
      <c r="E64" s="198">
        <v>8</v>
      </c>
      <c r="F64" s="199" t="s">
        <v>98</v>
      </c>
      <c r="G64" s="198">
        <v>0</v>
      </c>
      <c r="H64" s="199" t="s">
        <v>98</v>
      </c>
      <c r="I64" s="198">
        <v>0</v>
      </c>
      <c r="J64" s="199" t="s">
        <v>98</v>
      </c>
      <c r="K64" s="198">
        <v>0</v>
      </c>
      <c r="L64" s="191" t="s">
        <v>560</v>
      </c>
      <c r="M64" s="198">
        <v>23.5</v>
      </c>
      <c r="N64" s="199" t="s">
        <v>98</v>
      </c>
      <c r="O64" s="198">
        <v>0</v>
      </c>
      <c r="P64" s="191" t="s">
        <v>549</v>
      </c>
      <c r="Q64" s="198">
        <v>31.5</v>
      </c>
      <c r="R64" s="205" t="str">
        <f>REPLACE(TEXT(Таблица3[[#This Row],[Столбец1]],"0"),2,0,".")</f>
        <v>2.059</v>
      </c>
      <c r="S64" s="205">
        <f ca="1">ROUND(
   Таблица3[[#This Row],[Столбец4]] * RANDBETWEEN(97,99)/100,
1)</f>
        <v>7.8</v>
      </c>
      <c r="T64" s="205">
        <f ca="1">ROUND(
    SUM(Таблица3[[#This Row],[Столбец6]:[Столбец13]]) * RANDBETWEEN(97,99)/100,
1)</f>
        <v>23</v>
      </c>
      <c r="U64" s="205">
        <f t="shared" ca="1" si="1"/>
        <v>30.8</v>
      </c>
    </row>
    <row r="65" spans="1:21" ht="79.2" hidden="1" x14ac:dyDescent="0.3">
      <c r="A65" s="197">
        <v>2060</v>
      </c>
      <c r="B65" s="199" t="s">
        <v>536</v>
      </c>
      <c r="C65" s="199">
        <v>7</v>
      </c>
      <c r="D65" s="191" t="s">
        <v>547</v>
      </c>
      <c r="E65" s="198">
        <v>23.1</v>
      </c>
      <c r="F65" s="199" t="s">
        <v>98</v>
      </c>
      <c r="G65" s="198">
        <v>0</v>
      </c>
      <c r="H65" s="191" t="s">
        <v>548</v>
      </c>
      <c r="I65" s="198">
        <v>12.6</v>
      </c>
      <c r="J65" s="199" t="s">
        <v>98</v>
      </c>
      <c r="K65" s="198">
        <v>0</v>
      </c>
      <c r="L65" s="191" t="s">
        <v>548</v>
      </c>
      <c r="M65" s="198">
        <v>58</v>
      </c>
      <c r="N65" s="199" t="s">
        <v>98</v>
      </c>
      <c r="O65" s="198">
        <v>0</v>
      </c>
      <c r="P65" s="191" t="s">
        <v>549</v>
      </c>
      <c r="Q65" s="198">
        <v>93.7</v>
      </c>
      <c r="R65" s="205" t="str">
        <f>REPLACE(TEXT(Таблица3[[#This Row],[Столбец1]],"0"),2,0,".")</f>
        <v>2.060</v>
      </c>
      <c r="S65" s="205">
        <f ca="1">ROUND(
   Таблица3[[#This Row],[Столбец4]] * RANDBETWEEN(97,99)/100,
1)</f>
        <v>22.6</v>
      </c>
      <c r="T65" s="205">
        <f ca="1">ROUND(
    SUM(Таблица3[[#This Row],[Столбец6]:[Столбец13]]) * RANDBETWEEN(97,99)/100,
1)</f>
        <v>69.2</v>
      </c>
      <c r="U65" s="205">
        <f t="shared" ca="1" si="1"/>
        <v>91.800000000000011</v>
      </c>
    </row>
    <row r="66" spans="1:21" ht="79.2" hidden="1" x14ac:dyDescent="0.3">
      <c r="A66" s="197">
        <v>2061</v>
      </c>
      <c r="B66" s="191" t="s">
        <v>581</v>
      </c>
      <c r="C66" s="191">
        <v>7</v>
      </c>
      <c r="D66" s="191" t="s">
        <v>547</v>
      </c>
      <c r="E66" s="198">
        <v>64.400000000000006</v>
      </c>
      <c r="F66" s="199" t="s">
        <v>98</v>
      </c>
      <c r="G66" s="198">
        <v>0</v>
      </c>
      <c r="H66" s="191" t="s">
        <v>548</v>
      </c>
      <c r="I66" s="198">
        <v>66.8</v>
      </c>
      <c r="J66" s="199" t="s">
        <v>98</v>
      </c>
      <c r="K66" s="198">
        <v>0</v>
      </c>
      <c r="L66" s="191" t="s">
        <v>548</v>
      </c>
      <c r="M66" s="198">
        <v>89.9</v>
      </c>
      <c r="N66" s="199" t="s">
        <v>98</v>
      </c>
      <c r="O66" s="198">
        <v>0</v>
      </c>
      <c r="P66" s="191" t="s">
        <v>549</v>
      </c>
      <c r="Q66" s="198">
        <v>221.1</v>
      </c>
      <c r="R66" s="205" t="str">
        <f>REPLACE(TEXT(Таблица3[[#This Row],[Столбец1]],"0"),2,0,".")</f>
        <v>2.061</v>
      </c>
      <c r="S66" s="205">
        <f ca="1">ROUND(
   Таблица3[[#This Row],[Столбец4]] * RANDBETWEEN(97,99)/100,
1)</f>
        <v>63.8</v>
      </c>
      <c r="T66" s="205">
        <f ca="1">ROUND(
    SUM(Таблица3[[#This Row],[Столбец6]:[Столбец13]]) * RANDBETWEEN(97,99)/100,
1)</f>
        <v>153.6</v>
      </c>
      <c r="U66" s="205">
        <f t="shared" ca="1" si="1"/>
        <v>217.39999999999998</v>
      </c>
    </row>
    <row r="67" spans="1:21" ht="79.2" hidden="1" x14ac:dyDescent="0.3">
      <c r="A67" s="197">
        <v>2062</v>
      </c>
      <c r="B67" s="191" t="s">
        <v>574</v>
      </c>
      <c r="C67" s="191">
        <v>7</v>
      </c>
      <c r="D67" s="191" t="s">
        <v>547</v>
      </c>
      <c r="E67" s="198">
        <v>114.8</v>
      </c>
      <c r="F67" s="199" t="s">
        <v>98</v>
      </c>
      <c r="G67" s="198">
        <v>0</v>
      </c>
      <c r="H67" s="191" t="s">
        <v>548</v>
      </c>
      <c r="I67" s="198">
        <v>99.3</v>
      </c>
      <c r="J67" s="199" t="s">
        <v>98</v>
      </c>
      <c r="K67" s="198">
        <v>0</v>
      </c>
      <c r="L67" s="191" t="s">
        <v>548</v>
      </c>
      <c r="M67" s="198">
        <v>66.2</v>
      </c>
      <c r="N67" s="199" t="s">
        <v>98</v>
      </c>
      <c r="O67" s="198">
        <v>0</v>
      </c>
      <c r="P67" s="191" t="s">
        <v>549</v>
      </c>
      <c r="Q67" s="198">
        <v>280.3</v>
      </c>
      <c r="R67" s="205" t="str">
        <f>REPLACE(TEXT(Таблица3[[#This Row],[Столбец1]],"0"),2,0,".")</f>
        <v>2.062</v>
      </c>
      <c r="S67" s="205">
        <f ca="1">ROUND(
   Таблица3[[#This Row],[Столбец4]] * RANDBETWEEN(97,99)/100,
1)</f>
        <v>112.5</v>
      </c>
      <c r="T67" s="205">
        <f ca="1">ROUND(
    SUM(Таблица3[[#This Row],[Столбец6]:[Столбец13]]) * RANDBETWEEN(97,99)/100,
1)</f>
        <v>160.5</v>
      </c>
      <c r="U67" s="205">
        <f t="shared" ca="1" si="1"/>
        <v>273</v>
      </c>
    </row>
    <row r="68" spans="1:21" ht="79.2" hidden="1" x14ac:dyDescent="0.3">
      <c r="A68" s="197">
        <v>2063</v>
      </c>
      <c r="B68" s="191" t="s">
        <v>556</v>
      </c>
      <c r="C68" s="191">
        <v>7</v>
      </c>
      <c r="D68" s="191" t="s">
        <v>547</v>
      </c>
      <c r="E68" s="198">
        <v>85.7</v>
      </c>
      <c r="F68" s="199" t="s">
        <v>98</v>
      </c>
      <c r="G68" s="198">
        <v>0</v>
      </c>
      <c r="H68" s="199" t="s">
        <v>98</v>
      </c>
      <c r="I68" s="198">
        <v>0</v>
      </c>
      <c r="J68" s="199" t="s">
        <v>98</v>
      </c>
      <c r="K68" s="198">
        <v>0</v>
      </c>
      <c r="L68" s="199" t="s">
        <v>98</v>
      </c>
      <c r="M68" s="198">
        <v>0</v>
      </c>
      <c r="N68" s="199" t="s">
        <v>98</v>
      </c>
      <c r="O68" s="198">
        <v>0</v>
      </c>
      <c r="P68" s="191" t="s">
        <v>549</v>
      </c>
      <c r="Q68" s="198">
        <v>85.7</v>
      </c>
      <c r="R68" s="205" t="str">
        <f>REPLACE(TEXT(Таблица3[[#This Row],[Столбец1]],"0"),2,0,".")</f>
        <v>2.063</v>
      </c>
      <c r="S68" s="205">
        <f ca="1">ROUND(
   Таблица3[[#This Row],[Столбец4]] * RANDBETWEEN(97,99)/100,
1)</f>
        <v>84.8</v>
      </c>
      <c r="T68" s="205">
        <f ca="1">ROUND(
    SUM(Таблица3[[#This Row],[Столбец6]:[Столбец13]]) * RANDBETWEEN(97,99)/100,
1)</f>
        <v>0</v>
      </c>
      <c r="U68" s="205">
        <f t="shared" ca="1" si="1"/>
        <v>84.8</v>
      </c>
    </row>
    <row r="69" spans="1:21" ht="79.2" hidden="1" x14ac:dyDescent="0.3">
      <c r="A69" s="197">
        <v>2064</v>
      </c>
      <c r="B69" s="191" t="s">
        <v>573</v>
      </c>
      <c r="C69" s="191">
        <v>7</v>
      </c>
      <c r="D69" s="191" t="s">
        <v>547</v>
      </c>
      <c r="E69" s="198">
        <v>60.5</v>
      </c>
      <c r="F69" s="199" t="s">
        <v>98</v>
      </c>
      <c r="G69" s="198">
        <v>0</v>
      </c>
      <c r="H69" s="191" t="s">
        <v>548</v>
      </c>
      <c r="I69" s="198">
        <v>30.8</v>
      </c>
      <c r="J69" s="199" t="s">
        <v>98</v>
      </c>
      <c r="K69" s="198">
        <v>0</v>
      </c>
      <c r="L69" s="191" t="s">
        <v>548</v>
      </c>
      <c r="M69" s="198">
        <v>25.1</v>
      </c>
      <c r="N69" s="199" t="s">
        <v>98</v>
      </c>
      <c r="O69" s="198">
        <v>0</v>
      </c>
      <c r="P69" s="191" t="s">
        <v>549</v>
      </c>
      <c r="Q69" s="198">
        <v>116.4</v>
      </c>
      <c r="R69" s="205" t="str">
        <f>REPLACE(TEXT(Таблица3[[#This Row],[Столбец1]],"0"),2,0,".")</f>
        <v>2.064</v>
      </c>
      <c r="S69" s="205">
        <f ca="1">ROUND(
   Таблица3[[#This Row],[Столбец4]] * RANDBETWEEN(97,99)/100,
1)</f>
        <v>58.7</v>
      </c>
      <c r="T69" s="205">
        <f ca="1">ROUND(
    SUM(Таблица3[[#This Row],[Столбец6]:[Столбец13]]) * RANDBETWEEN(97,99)/100,
1)</f>
        <v>54.8</v>
      </c>
      <c r="U69" s="205">
        <f t="shared" ca="1" si="1"/>
        <v>113.5</v>
      </c>
    </row>
    <row r="70" spans="1:21" ht="92.4" hidden="1" x14ac:dyDescent="0.3">
      <c r="A70" s="200">
        <v>2065</v>
      </c>
      <c r="B70" s="193" t="s">
        <v>561</v>
      </c>
      <c r="C70" s="193">
        <v>3</v>
      </c>
      <c r="D70" s="193" t="s">
        <v>559</v>
      </c>
      <c r="E70" s="201">
        <v>1.7</v>
      </c>
      <c r="F70" s="202" t="s">
        <v>98</v>
      </c>
      <c r="G70" s="201">
        <v>0</v>
      </c>
      <c r="H70" s="193" t="s">
        <v>560</v>
      </c>
      <c r="I70" s="201">
        <v>6.1</v>
      </c>
      <c r="J70" s="202" t="s">
        <v>98</v>
      </c>
      <c r="K70" s="201">
        <v>0</v>
      </c>
      <c r="L70" s="193" t="s">
        <v>560</v>
      </c>
      <c r="M70" s="201">
        <v>23.4</v>
      </c>
      <c r="N70" s="202" t="s">
        <v>98</v>
      </c>
      <c r="O70" s="201">
        <v>0</v>
      </c>
      <c r="P70" s="193" t="s">
        <v>549</v>
      </c>
      <c r="Q70" s="201">
        <v>31.2</v>
      </c>
      <c r="R70" s="205" t="str">
        <f>REPLACE(TEXT(Таблица3[[#This Row],[Столбец1]],"0"),2,0,".")</f>
        <v>2.065</v>
      </c>
      <c r="S70" s="205">
        <f ca="1">ROUND(
   Таблица3[[#This Row],[Столбец4]] * RANDBETWEEN(97,99)/100,
1)</f>
        <v>1.7</v>
      </c>
      <c r="T70" s="205">
        <f ca="1">ROUND(
    SUM(Таблица3[[#This Row],[Столбец6]:[Столбец13]]) * RANDBETWEEN(97,99)/100,
1)</f>
        <v>28.9</v>
      </c>
      <c r="U70" s="205">
        <f t="shared" ca="1" si="1"/>
        <v>30.599999999999998</v>
      </c>
    </row>
    <row r="71" spans="1:21" ht="105.6" hidden="1" x14ac:dyDescent="0.3">
      <c r="A71" s="197">
        <v>2066</v>
      </c>
      <c r="B71" s="191" t="s">
        <v>582</v>
      </c>
      <c r="C71" s="191">
        <v>7</v>
      </c>
      <c r="D71" s="191" t="s">
        <v>547</v>
      </c>
      <c r="E71" s="198">
        <v>71</v>
      </c>
      <c r="F71" s="199" t="s">
        <v>98</v>
      </c>
      <c r="G71" s="198">
        <v>0</v>
      </c>
      <c r="H71" s="191" t="s">
        <v>548</v>
      </c>
      <c r="I71" s="198">
        <v>42.2</v>
      </c>
      <c r="J71" s="191" t="s">
        <v>552</v>
      </c>
      <c r="K71" s="198">
        <v>28.6</v>
      </c>
      <c r="L71" s="191" t="s">
        <v>548</v>
      </c>
      <c r="M71" s="198">
        <v>23.8</v>
      </c>
      <c r="N71" s="199" t="s">
        <v>98</v>
      </c>
      <c r="O71" s="198">
        <v>0</v>
      </c>
      <c r="P71" s="191" t="s">
        <v>549</v>
      </c>
      <c r="Q71" s="198">
        <v>165.5</v>
      </c>
      <c r="R71" s="205" t="str">
        <f>REPLACE(TEXT(Таблица3[[#This Row],[Столбец1]],"0"),2,0,".")</f>
        <v>2.066</v>
      </c>
      <c r="S71" s="205">
        <f ca="1">ROUND(
   Таблица3[[#This Row],[Столбец4]] * RANDBETWEEN(97,99)/100,
1)</f>
        <v>69.599999999999994</v>
      </c>
      <c r="T71" s="205">
        <f ca="1">ROUND(
    SUM(Таблица3[[#This Row],[Столбец6]:[Столбец13]]) * RANDBETWEEN(97,99)/100,
1)</f>
        <v>91.8</v>
      </c>
      <c r="U71" s="205">
        <f t="shared" ca="1" si="1"/>
        <v>161.39999999999998</v>
      </c>
    </row>
    <row r="72" spans="1:21" ht="79.2" hidden="1" x14ac:dyDescent="0.3">
      <c r="A72" s="197">
        <v>2067</v>
      </c>
      <c r="B72" s="199" t="s">
        <v>535</v>
      </c>
      <c r="C72" s="199">
        <v>3</v>
      </c>
      <c r="D72" s="191" t="s">
        <v>547</v>
      </c>
      <c r="E72" s="198">
        <v>58.2</v>
      </c>
      <c r="F72" s="199" t="s">
        <v>98</v>
      </c>
      <c r="G72" s="198">
        <v>0</v>
      </c>
      <c r="H72" s="191" t="s">
        <v>548</v>
      </c>
      <c r="I72" s="198">
        <v>155</v>
      </c>
      <c r="J72" s="199" t="s">
        <v>98</v>
      </c>
      <c r="K72" s="198">
        <v>0</v>
      </c>
      <c r="L72" s="191" t="s">
        <v>548</v>
      </c>
      <c r="M72" s="198">
        <v>26.1</v>
      </c>
      <c r="N72" s="199" t="s">
        <v>98</v>
      </c>
      <c r="O72" s="198">
        <v>0</v>
      </c>
      <c r="P72" s="191" t="s">
        <v>549</v>
      </c>
      <c r="Q72" s="198">
        <v>239.3</v>
      </c>
      <c r="R72" s="205" t="str">
        <f>REPLACE(TEXT(Таблица3[[#This Row],[Столбец1]],"0"),2,0,".")</f>
        <v>2.067</v>
      </c>
      <c r="S72" s="205">
        <f ca="1">ROUND(
   Таблица3[[#This Row],[Столбец4]] * RANDBETWEEN(97,99)/100,
1)</f>
        <v>57</v>
      </c>
      <c r="T72" s="205">
        <f ca="1">ROUND(
    SUM(Таблица3[[#This Row],[Столбец6]:[Столбец13]]) * RANDBETWEEN(97,99)/100,
1)</f>
        <v>179.3</v>
      </c>
      <c r="U72" s="205">
        <f t="shared" ref="U72:U135" ca="1" si="2">SUM(S72:T72)</f>
        <v>236.3</v>
      </c>
    </row>
    <row r="73" spans="1:21" ht="79.2" hidden="1" x14ac:dyDescent="0.3">
      <c r="A73" s="197">
        <v>2068</v>
      </c>
      <c r="B73" s="199" t="s">
        <v>537</v>
      </c>
      <c r="C73" s="199">
        <v>3</v>
      </c>
      <c r="D73" s="191" t="s">
        <v>547</v>
      </c>
      <c r="E73" s="198">
        <v>40.200000000000003</v>
      </c>
      <c r="F73" s="199" t="s">
        <v>98</v>
      </c>
      <c r="G73" s="198">
        <v>0</v>
      </c>
      <c r="H73" s="191" t="s">
        <v>548</v>
      </c>
      <c r="I73" s="198">
        <v>43.9</v>
      </c>
      <c r="J73" s="199" t="s">
        <v>98</v>
      </c>
      <c r="K73" s="198">
        <v>0</v>
      </c>
      <c r="L73" s="191" t="s">
        <v>548</v>
      </c>
      <c r="M73" s="198">
        <v>116.8</v>
      </c>
      <c r="N73" s="199" t="s">
        <v>98</v>
      </c>
      <c r="O73" s="198">
        <v>0</v>
      </c>
      <c r="P73" s="191" t="s">
        <v>549</v>
      </c>
      <c r="Q73" s="198">
        <v>200.9</v>
      </c>
      <c r="R73" s="205" t="str">
        <f>REPLACE(TEXT(Таблица3[[#This Row],[Столбец1]],"0"),2,0,".")</f>
        <v>2.068</v>
      </c>
      <c r="S73" s="205">
        <f ca="1">ROUND(
   Таблица3[[#This Row],[Столбец4]] * RANDBETWEEN(97,99)/100,
1)</f>
        <v>39.4</v>
      </c>
      <c r="T73" s="205">
        <f ca="1">ROUND(
    SUM(Таблица3[[#This Row],[Столбец6]:[Столбец13]]) * RANDBETWEEN(97,99)/100,
1)</f>
        <v>159.1</v>
      </c>
      <c r="U73" s="205">
        <f t="shared" ca="1" si="2"/>
        <v>198.5</v>
      </c>
    </row>
    <row r="74" spans="1:21" ht="92.4" hidden="1" x14ac:dyDescent="0.3">
      <c r="A74" s="197">
        <v>2069</v>
      </c>
      <c r="B74" s="191" t="s">
        <v>583</v>
      </c>
      <c r="C74" s="191">
        <v>6</v>
      </c>
      <c r="D74" s="191" t="s">
        <v>559</v>
      </c>
      <c r="E74" s="198">
        <v>8.3000000000000007</v>
      </c>
      <c r="F74" s="199" t="s">
        <v>98</v>
      </c>
      <c r="G74" s="198">
        <v>0</v>
      </c>
      <c r="H74" s="199" t="s">
        <v>98</v>
      </c>
      <c r="I74" s="198">
        <v>0</v>
      </c>
      <c r="J74" s="199" t="s">
        <v>98</v>
      </c>
      <c r="K74" s="198">
        <v>0</v>
      </c>
      <c r="L74" s="191" t="s">
        <v>560</v>
      </c>
      <c r="M74" s="198">
        <v>6.3</v>
      </c>
      <c r="N74" s="199" t="s">
        <v>98</v>
      </c>
      <c r="O74" s="198">
        <v>0</v>
      </c>
      <c r="P74" s="191" t="s">
        <v>549</v>
      </c>
      <c r="Q74" s="198">
        <v>21.1</v>
      </c>
      <c r="R74" s="205" t="str">
        <f>REPLACE(TEXT(Таблица3[[#This Row],[Столбец1]],"0"),2,0,".")</f>
        <v>2.069</v>
      </c>
      <c r="S74" s="205">
        <f ca="1">ROUND(
   Таблица3[[#This Row],[Столбец4]] * RANDBETWEEN(97,99)/100,
1)</f>
        <v>8.1</v>
      </c>
      <c r="T74" s="205">
        <f ca="1">ROUND(
    SUM(Таблица3[[#This Row],[Столбец6]:[Столбец13]]) * RANDBETWEEN(97,99)/100,
1)</f>
        <v>6.1</v>
      </c>
      <c r="U74" s="205">
        <f t="shared" ca="1" si="2"/>
        <v>14.2</v>
      </c>
    </row>
    <row r="75" spans="1:21" ht="79.2" hidden="1" x14ac:dyDescent="0.3">
      <c r="A75" s="197">
        <v>2070</v>
      </c>
      <c r="B75" s="191" t="s">
        <v>584</v>
      </c>
      <c r="C75" s="191">
        <v>2</v>
      </c>
      <c r="D75" s="191" t="s">
        <v>547</v>
      </c>
      <c r="E75" s="198">
        <v>32.9</v>
      </c>
      <c r="F75" s="199" t="s">
        <v>98</v>
      </c>
      <c r="G75" s="198">
        <v>0</v>
      </c>
      <c r="H75" s="191" t="s">
        <v>548</v>
      </c>
      <c r="I75" s="198">
        <v>14.6</v>
      </c>
      <c r="J75" s="199" t="s">
        <v>98</v>
      </c>
      <c r="K75" s="198">
        <v>0</v>
      </c>
      <c r="L75" s="191" t="s">
        <v>548</v>
      </c>
      <c r="M75" s="198">
        <v>8.8000000000000007</v>
      </c>
      <c r="N75" s="199" t="s">
        <v>98</v>
      </c>
      <c r="O75" s="198">
        <v>0</v>
      </c>
      <c r="P75" s="191" t="s">
        <v>549</v>
      </c>
      <c r="Q75" s="198">
        <v>56.2</v>
      </c>
      <c r="R75" s="205" t="str">
        <f>REPLACE(TEXT(Таблица3[[#This Row],[Столбец1]],"0"),2,0,".")</f>
        <v>2.070</v>
      </c>
      <c r="S75" s="205">
        <f ca="1">ROUND(
   Таблица3[[#This Row],[Столбец4]] * RANDBETWEEN(97,99)/100,
1)</f>
        <v>32.6</v>
      </c>
      <c r="T75" s="205">
        <f ca="1">ROUND(
    SUM(Таблица3[[#This Row],[Столбец6]:[Столбец13]]) * RANDBETWEEN(97,99)/100,
1)</f>
        <v>23.2</v>
      </c>
      <c r="U75" s="205">
        <f t="shared" ca="1" si="2"/>
        <v>55.8</v>
      </c>
    </row>
    <row r="76" spans="1:21" ht="79.2" x14ac:dyDescent="0.3">
      <c r="A76" s="197">
        <v>2071</v>
      </c>
      <c r="B76" s="199" t="s">
        <v>535</v>
      </c>
      <c r="C76" s="199">
        <v>4</v>
      </c>
      <c r="D76" s="191" t="s">
        <v>547</v>
      </c>
      <c r="E76" s="198">
        <v>57.7</v>
      </c>
      <c r="F76" s="199" t="s">
        <v>98</v>
      </c>
      <c r="G76" s="198">
        <v>0</v>
      </c>
      <c r="H76" s="191" t="s">
        <v>548</v>
      </c>
      <c r="I76" s="198">
        <v>132</v>
      </c>
      <c r="J76" s="199" t="s">
        <v>98</v>
      </c>
      <c r="K76" s="198">
        <v>0</v>
      </c>
      <c r="L76" s="191" t="s">
        <v>548</v>
      </c>
      <c r="M76" s="198">
        <v>57.7</v>
      </c>
      <c r="N76" s="199" t="s">
        <v>98</v>
      </c>
      <c r="O76" s="198">
        <v>0</v>
      </c>
      <c r="P76" s="191" t="s">
        <v>549</v>
      </c>
      <c r="Q76" s="198">
        <v>247.4</v>
      </c>
      <c r="R76" s="205" t="str">
        <f>REPLACE(TEXT(Таблица3[[#This Row],[Столбец1]],"0"),2,0,".")</f>
        <v>2.071</v>
      </c>
      <c r="S76" s="205">
        <f ca="1">ROUND(
   Таблица3[[#This Row],[Столбец4]] * RANDBETWEEN(97,99)/100,
1)</f>
        <v>56</v>
      </c>
      <c r="T76" s="205">
        <f ca="1">ROUND(
    SUM(Таблица3[[#This Row],[Столбец6]:[Столбец13]]) * RANDBETWEEN(97,99)/100,
1)</f>
        <v>184</v>
      </c>
      <c r="U76" s="205">
        <f t="shared" ca="1" si="2"/>
        <v>240</v>
      </c>
    </row>
    <row r="77" spans="1:21" ht="79.2" hidden="1" x14ac:dyDescent="0.3">
      <c r="A77" s="197">
        <v>3001</v>
      </c>
      <c r="B77" s="191" t="s">
        <v>562</v>
      </c>
      <c r="C77" s="191">
        <v>1</v>
      </c>
      <c r="D77" s="191" t="s">
        <v>547</v>
      </c>
      <c r="E77" s="198">
        <v>69.900000000000006</v>
      </c>
      <c r="F77" s="199" t="s">
        <v>98</v>
      </c>
      <c r="G77" s="198">
        <v>0</v>
      </c>
      <c r="H77" s="191" t="s">
        <v>548</v>
      </c>
      <c r="I77" s="198">
        <v>36.799999999999997</v>
      </c>
      <c r="J77" s="199" t="s">
        <v>98</v>
      </c>
      <c r="K77" s="198">
        <v>0</v>
      </c>
      <c r="L77" s="191" t="s">
        <v>548</v>
      </c>
      <c r="M77" s="198">
        <v>22.2</v>
      </c>
      <c r="N77" s="199" t="s">
        <v>98</v>
      </c>
      <c r="O77" s="198">
        <v>0</v>
      </c>
      <c r="P77" s="191" t="s">
        <v>549</v>
      </c>
      <c r="Q77" s="198">
        <v>129</v>
      </c>
      <c r="R77" s="205" t="str">
        <f>REPLACE(TEXT(Таблица3[[#This Row],[Столбец1]],"0"),2,0,".")</f>
        <v>3.001</v>
      </c>
      <c r="S77" s="205">
        <f ca="1">ROUND(
   Таблица3[[#This Row],[Столбец4]] * RANDBETWEEN(97,99)/100,
1)</f>
        <v>68.5</v>
      </c>
      <c r="T77" s="205">
        <f ca="1">ROUND(
    SUM(Таблица3[[#This Row],[Столбец6]:[Столбец13]]) * RANDBETWEEN(97,99)/100,
1)</f>
        <v>57.8</v>
      </c>
      <c r="U77" s="205">
        <f t="shared" ca="1" si="2"/>
        <v>126.3</v>
      </c>
    </row>
    <row r="78" spans="1:21" ht="79.2" hidden="1" x14ac:dyDescent="0.3">
      <c r="A78" s="197">
        <v>3002</v>
      </c>
      <c r="B78" s="191" t="s">
        <v>562</v>
      </c>
      <c r="C78" s="191">
        <v>1</v>
      </c>
      <c r="D78" s="191" t="s">
        <v>547</v>
      </c>
      <c r="E78" s="198">
        <v>51.4</v>
      </c>
      <c r="F78" s="199" t="s">
        <v>98</v>
      </c>
      <c r="G78" s="198">
        <v>0</v>
      </c>
      <c r="H78" s="191" t="s">
        <v>548</v>
      </c>
      <c r="I78" s="198">
        <v>40.799999999999997</v>
      </c>
      <c r="J78" s="199" t="s">
        <v>98</v>
      </c>
      <c r="K78" s="198">
        <v>0</v>
      </c>
      <c r="L78" s="191" t="s">
        <v>548</v>
      </c>
      <c r="M78" s="198">
        <v>20.8</v>
      </c>
      <c r="N78" s="199" t="s">
        <v>98</v>
      </c>
      <c r="O78" s="198">
        <v>0</v>
      </c>
      <c r="P78" s="191" t="s">
        <v>549</v>
      </c>
      <c r="Q78" s="198">
        <v>112.9</v>
      </c>
      <c r="R78" s="205" t="str">
        <f>REPLACE(TEXT(Таблица3[[#This Row],[Столбец1]],"0"),2,0,".")</f>
        <v>3.002</v>
      </c>
      <c r="S78" s="205">
        <f ca="1">ROUND(
   Таблица3[[#This Row],[Столбец4]] * RANDBETWEEN(97,99)/100,
1)</f>
        <v>50.4</v>
      </c>
      <c r="T78" s="205">
        <f ca="1">ROUND(
    SUM(Таблица3[[#This Row],[Столбец6]:[Столбец13]]) * RANDBETWEEN(97,99)/100,
1)</f>
        <v>61</v>
      </c>
      <c r="U78" s="205">
        <f t="shared" ca="1" si="2"/>
        <v>111.4</v>
      </c>
    </row>
    <row r="79" spans="1:21" ht="79.2" hidden="1" x14ac:dyDescent="0.3">
      <c r="A79" s="197">
        <v>3003</v>
      </c>
      <c r="B79" s="191" t="s">
        <v>585</v>
      </c>
      <c r="C79" s="191">
        <v>1</v>
      </c>
      <c r="D79" s="191" t="s">
        <v>547</v>
      </c>
      <c r="E79" s="198">
        <v>65.5</v>
      </c>
      <c r="F79" s="199" t="s">
        <v>98</v>
      </c>
      <c r="G79" s="198">
        <v>0</v>
      </c>
      <c r="H79" s="191" t="s">
        <v>548</v>
      </c>
      <c r="I79" s="198">
        <v>16.2</v>
      </c>
      <c r="J79" s="199" t="s">
        <v>98</v>
      </c>
      <c r="K79" s="198">
        <v>0</v>
      </c>
      <c r="L79" s="191" t="s">
        <v>548</v>
      </c>
      <c r="M79" s="198">
        <v>56.4</v>
      </c>
      <c r="N79" s="199" t="s">
        <v>98</v>
      </c>
      <c r="O79" s="198">
        <v>0</v>
      </c>
      <c r="P79" s="191" t="s">
        <v>549</v>
      </c>
      <c r="Q79" s="198">
        <v>138.1</v>
      </c>
      <c r="R79" s="205" t="str">
        <f>REPLACE(TEXT(Таблица3[[#This Row],[Столбец1]],"0"),2,0,".")</f>
        <v>3.003</v>
      </c>
      <c r="S79" s="205">
        <f ca="1">ROUND(
   Таблица3[[#This Row],[Столбец4]] * RANDBETWEEN(97,99)/100,
1)</f>
        <v>63.5</v>
      </c>
      <c r="T79" s="205">
        <f ca="1">ROUND(
    SUM(Таблица3[[#This Row],[Столбец6]:[Столбец13]]) * RANDBETWEEN(97,99)/100,
1)</f>
        <v>71.900000000000006</v>
      </c>
      <c r="U79" s="205">
        <f t="shared" ca="1" si="2"/>
        <v>135.4</v>
      </c>
    </row>
    <row r="80" spans="1:21" ht="79.2" hidden="1" x14ac:dyDescent="0.3">
      <c r="A80" s="197">
        <v>3004</v>
      </c>
      <c r="B80" s="191" t="s">
        <v>550</v>
      </c>
      <c r="C80" s="191">
        <v>1</v>
      </c>
      <c r="D80" s="191" t="s">
        <v>547</v>
      </c>
      <c r="E80" s="198">
        <v>190</v>
      </c>
      <c r="F80" s="199" t="s">
        <v>98</v>
      </c>
      <c r="G80" s="198">
        <v>0</v>
      </c>
      <c r="H80" s="191" t="s">
        <v>548</v>
      </c>
      <c r="I80" s="198">
        <v>151.19999999999999</v>
      </c>
      <c r="J80" s="199" t="s">
        <v>98</v>
      </c>
      <c r="K80" s="198">
        <v>0</v>
      </c>
      <c r="L80" s="191" t="s">
        <v>548</v>
      </c>
      <c r="M80" s="198">
        <v>19.5</v>
      </c>
      <c r="N80" s="199" t="s">
        <v>98</v>
      </c>
      <c r="O80" s="198">
        <v>0</v>
      </c>
      <c r="P80" s="191" t="s">
        <v>549</v>
      </c>
      <c r="Q80" s="198">
        <v>363.2</v>
      </c>
      <c r="R80" s="205" t="str">
        <f>REPLACE(TEXT(Таблица3[[#This Row],[Столбец1]],"0"),2,0,".")</f>
        <v>3.004</v>
      </c>
      <c r="S80" s="205">
        <f ca="1">ROUND(
   Таблица3[[#This Row],[Столбец4]] * RANDBETWEEN(97,99)/100,
1)</f>
        <v>186.2</v>
      </c>
      <c r="T80" s="205">
        <f ca="1">ROUND(
    SUM(Таблица3[[#This Row],[Столбец6]:[Столбец13]]) * RANDBETWEEN(97,99)/100,
1)</f>
        <v>165.6</v>
      </c>
      <c r="U80" s="205">
        <f t="shared" ca="1" si="2"/>
        <v>351.79999999999995</v>
      </c>
    </row>
    <row r="81" spans="1:21" ht="79.2" hidden="1" x14ac:dyDescent="0.3">
      <c r="A81" s="197">
        <v>3005</v>
      </c>
      <c r="B81" s="199" t="s">
        <v>536</v>
      </c>
      <c r="C81" s="199">
        <v>7</v>
      </c>
      <c r="D81" s="191" t="s">
        <v>547</v>
      </c>
      <c r="E81" s="198">
        <v>7</v>
      </c>
      <c r="F81" s="199" t="s">
        <v>98</v>
      </c>
      <c r="G81" s="198">
        <v>0</v>
      </c>
      <c r="H81" s="191" t="s">
        <v>548</v>
      </c>
      <c r="I81" s="198">
        <v>26.2</v>
      </c>
      <c r="J81" s="199" t="s">
        <v>98</v>
      </c>
      <c r="K81" s="198">
        <v>0</v>
      </c>
      <c r="L81" s="191" t="s">
        <v>548</v>
      </c>
      <c r="M81" s="198">
        <v>40</v>
      </c>
      <c r="N81" s="199" t="s">
        <v>98</v>
      </c>
      <c r="O81" s="198">
        <v>0</v>
      </c>
      <c r="P81" s="191" t="s">
        <v>549</v>
      </c>
      <c r="Q81" s="198">
        <v>73.099999999999994</v>
      </c>
      <c r="R81" s="205" t="str">
        <f>REPLACE(TEXT(Таблица3[[#This Row],[Столбец1]],"0"),2,0,".")</f>
        <v>3.005</v>
      </c>
      <c r="S81" s="205">
        <f ca="1">ROUND(
   Таблица3[[#This Row],[Столбец4]] * RANDBETWEEN(97,99)/100,
1)</f>
        <v>6.9</v>
      </c>
      <c r="T81" s="205">
        <f ca="1">ROUND(
    SUM(Таблица3[[#This Row],[Столбец6]:[Столбец13]]) * RANDBETWEEN(97,99)/100,
1)</f>
        <v>64.900000000000006</v>
      </c>
      <c r="U81" s="205">
        <f t="shared" ca="1" si="2"/>
        <v>71.800000000000011</v>
      </c>
    </row>
    <row r="82" spans="1:21" ht="79.2" hidden="1" x14ac:dyDescent="0.3">
      <c r="A82" s="197">
        <v>3006</v>
      </c>
      <c r="B82" s="191" t="s">
        <v>556</v>
      </c>
      <c r="C82" s="191">
        <v>1</v>
      </c>
      <c r="D82" s="191" t="s">
        <v>547</v>
      </c>
      <c r="E82" s="198">
        <v>102.7</v>
      </c>
      <c r="F82" s="199" t="s">
        <v>98</v>
      </c>
      <c r="G82" s="198">
        <v>0</v>
      </c>
      <c r="H82" s="199" t="s">
        <v>98</v>
      </c>
      <c r="I82" s="198">
        <v>0</v>
      </c>
      <c r="J82" s="199" t="s">
        <v>98</v>
      </c>
      <c r="K82" s="198">
        <v>0</v>
      </c>
      <c r="L82" s="199" t="s">
        <v>98</v>
      </c>
      <c r="M82" s="198">
        <v>0</v>
      </c>
      <c r="N82" s="199" t="s">
        <v>98</v>
      </c>
      <c r="O82" s="198">
        <v>0</v>
      </c>
      <c r="P82" s="191" t="s">
        <v>549</v>
      </c>
      <c r="Q82" s="198">
        <v>102.7</v>
      </c>
      <c r="R82" s="205" t="str">
        <f>REPLACE(TEXT(Таблица3[[#This Row],[Столбец1]],"0"),2,0,".")</f>
        <v>3.006</v>
      </c>
      <c r="S82" s="205">
        <f ca="1">ROUND(
   Таблица3[[#This Row],[Столбец4]] * RANDBETWEEN(97,99)/100,
1)</f>
        <v>101.7</v>
      </c>
      <c r="T82" s="205">
        <f ca="1">ROUND(
    SUM(Таблица3[[#This Row],[Столбец6]:[Столбец13]]) * RANDBETWEEN(97,99)/100,
1)</f>
        <v>0</v>
      </c>
      <c r="U82" s="205">
        <f t="shared" ca="1" si="2"/>
        <v>101.7</v>
      </c>
    </row>
    <row r="83" spans="1:21" ht="79.2" hidden="1" x14ac:dyDescent="0.3">
      <c r="A83" s="197">
        <v>3007</v>
      </c>
      <c r="B83" s="191" t="s">
        <v>557</v>
      </c>
      <c r="C83" s="191">
        <v>1</v>
      </c>
      <c r="D83" s="191" t="s">
        <v>547</v>
      </c>
      <c r="E83" s="198">
        <v>25.7</v>
      </c>
      <c r="F83" s="199" t="s">
        <v>98</v>
      </c>
      <c r="G83" s="198">
        <v>0</v>
      </c>
      <c r="H83" s="199" t="s">
        <v>98</v>
      </c>
      <c r="I83" s="198">
        <v>0</v>
      </c>
      <c r="J83" s="199" t="s">
        <v>98</v>
      </c>
      <c r="K83" s="198">
        <v>0</v>
      </c>
      <c r="L83" s="191" t="s">
        <v>548</v>
      </c>
      <c r="M83" s="198">
        <v>17.2</v>
      </c>
      <c r="N83" s="199" t="s">
        <v>98</v>
      </c>
      <c r="O83" s="198">
        <v>0</v>
      </c>
      <c r="P83" s="191" t="s">
        <v>549</v>
      </c>
      <c r="Q83" s="198">
        <v>42.9</v>
      </c>
      <c r="R83" s="205" t="str">
        <f>REPLACE(TEXT(Таблица3[[#This Row],[Столбец1]],"0"),2,0,".")</f>
        <v>3.007</v>
      </c>
      <c r="S83" s="205">
        <f ca="1">ROUND(
   Таблица3[[#This Row],[Столбец4]] * RANDBETWEEN(97,99)/100,
1)</f>
        <v>24.9</v>
      </c>
      <c r="T83" s="205">
        <f ca="1">ROUND(
    SUM(Таблица3[[#This Row],[Столбец6]:[Столбец13]]) * RANDBETWEEN(97,99)/100,
1)</f>
        <v>17</v>
      </c>
      <c r="U83" s="205">
        <f t="shared" ca="1" si="2"/>
        <v>41.9</v>
      </c>
    </row>
    <row r="84" spans="1:21" ht="92.4" hidden="1" x14ac:dyDescent="0.3">
      <c r="A84" s="197">
        <v>3008</v>
      </c>
      <c r="B84" s="191" t="s">
        <v>561</v>
      </c>
      <c r="C84" s="191">
        <v>1</v>
      </c>
      <c r="D84" s="199" t="s">
        <v>98</v>
      </c>
      <c r="E84" s="198">
        <v>0</v>
      </c>
      <c r="F84" s="199" t="s">
        <v>98</v>
      </c>
      <c r="G84" s="198">
        <v>0</v>
      </c>
      <c r="H84" s="191" t="s">
        <v>560</v>
      </c>
      <c r="I84" s="198">
        <v>3.1</v>
      </c>
      <c r="J84" s="199" t="s">
        <v>98</v>
      </c>
      <c r="K84" s="198">
        <v>0</v>
      </c>
      <c r="L84" s="191" t="s">
        <v>560</v>
      </c>
      <c r="M84" s="198">
        <v>29.7</v>
      </c>
      <c r="N84" s="199" t="s">
        <v>98</v>
      </c>
      <c r="O84" s="198">
        <v>0</v>
      </c>
      <c r="P84" s="191" t="s">
        <v>549</v>
      </c>
      <c r="Q84" s="198">
        <v>32.700000000000003</v>
      </c>
      <c r="R84" s="205" t="str">
        <f>REPLACE(TEXT(Таблица3[[#This Row],[Столбец1]],"0"),2,0,".")</f>
        <v>3.008</v>
      </c>
      <c r="S84" s="205">
        <f ca="1">ROUND(
   Таблица3[[#This Row],[Столбец4]] * RANDBETWEEN(97,99)/100,
1)</f>
        <v>0</v>
      </c>
      <c r="T84" s="205">
        <f ca="1">ROUND(
    SUM(Таблица3[[#This Row],[Столбец6]:[Столбец13]]) * RANDBETWEEN(97,99)/100,
1)</f>
        <v>32.5</v>
      </c>
      <c r="U84" s="205">
        <f t="shared" ca="1" si="2"/>
        <v>32.5</v>
      </c>
    </row>
    <row r="85" spans="1:21" ht="92.4" hidden="1" x14ac:dyDescent="0.3">
      <c r="A85" s="200">
        <v>3009</v>
      </c>
      <c r="B85" s="193" t="s">
        <v>558</v>
      </c>
      <c r="C85" s="193">
        <v>1</v>
      </c>
      <c r="D85" s="193" t="s">
        <v>559</v>
      </c>
      <c r="E85" s="201">
        <v>10.9</v>
      </c>
      <c r="F85" s="202" t="s">
        <v>98</v>
      </c>
      <c r="G85" s="201">
        <v>0</v>
      </c>
      <c r="H85" s="193" t="s">
        <v>560</v>
      </c>
      <c r="I85" s="201">
        <v>36.9</v>
      </c>
      <c r="J85" s="202" t="s">
        <v>98</v>
      </c>
      <c r="K85" s="201">
        <v>0</v>
      </c>
      <c r="L85" s="193" t="s">
        <v>560</v>
      </c>
      <c r="M85" s="201">
        <v>43</v>
      </c>
      <c r="N85" s="202" t="s">
        <v>98</v>
      </c>
      <c r="O85" s="201">
        <v>0</v>
      </c>
      <c r="P85" s="193" t="s">
        <v>549</v>
      </c>
      <c r="Q85" s="201">
        <v>100.8</v>
      </c>
      <c r="R85" s="205" t="str">
        <f>REPLACE(TEXT(Таблица3[[#This Row],[Столбец1]],"0"),2,0,".")</f>
        <v>3.009</v>
      </c>
      <c r="S85" s="205">
        <f ca="1">ROUND(
   Таблица3[[#This Row],[Столбец4]] * RANDBETWEEN(97,99)/100,
1)</f>
        <v>10.7</v>
      </c>
      <c r="T85" s="205">
        <f ca="1">ROUND(
    SUM(Таблица3[[#This Row],[Столбец6]:[Столбец13]]) * RANDBETWEEN(97,99)/100,
1)</f>
        <v>79.099999999999994</v>
      </c>
      <c r="U85" s="205">
        <f t="shared" ca="1" si="2"/>
        <v>89.8</v>
      </c>
    </row>
    <row r="86" spans="1:21" ht="79.2" hidden="1" x14ac:dyDescent="0.3">
      <c r="A86" s="200">
        <v>3010</v>
      </c>
      <c r="B86" s="193" t="s">
        <v>586</v>
      </c>
      <c r="C86" s="193">
        <v>1</v>
      </c>
      <c r="D86" s="193" t="s">
        <v>547</v>
      </c>
      <c r="E86" s="201">
        <v>44.8</v>
      </c>
      <c r="F86" s="202" t="s">
        <v>98</v>
      </c>
      <c r="G86" s="201">
        <v>0</v>
      </c>
      <c r="H86" s="193" t="s">
        <v>548</v>
      </c>
      <c r="I86" s="201">
        <v>75.7</v>
      </c>
      <c r="J86" s="202" t="s">
        <v>98</v>
      </c>
      <c r="K86" s="201">
        <v>0</v>
      </c>
      <c r="L86" s="193" t="s">
        <v>548</v>
      </c>
      <c r="M86" s="201">
        <v>43.3</v>
      </c>
      <c r="N86" s="202" t="s">
        <v>98</v>
      </c>
      <c r="O86" s="201">
        <v>0</v>
      </c>
      <c r="P86" s="193" t="s">
        <v>549</v>
      </c>
      <c r="Q86" s="201">
        <v>163.9</v>
      </c>
      <c r="R86" s="205" t="str">
        <f>REPLACE(TEXT(Таблица3[[#This Row],[Столбец1]],"0"),2,0,".")</f>
        <v>3.010</v>
      </c>
      <c r="S86" s="205">
        <f ca="1">ROUND(
   Таблица3[[#This Row],[Столбец4]] * RANDBETWEEN(97,99)/100,
1)</f>
        <v>43.9</v>
      </c>
      <c r="T86" s="205">
        <f ca="1">ROUND(
    SUM(Таблица3[[#This Row],[Столбец6]:[Столбец13]]) * RANDBETWEEN(97,99)/100,
1)</f>
        <v>117.8</v>
      </c>
      <c r="U86" s="205">
        <f t="shared" ca="1" si="2"/>
        <v>161.69999999999999</v>
      </c>
    </row>
    <row r="87" spans="1:21" ht="79.2" hidden="1" x14ac:dyDescent="0.3">
      <c r="A87" s="197">
        <v>3011</v>
      </c>
      <c r="B87" s="191" t="s">
        <v>570</v>
      </c>
      <c r="C87" s="191">
        <v>1</v>
      </c>
      <c r="D87" s="191" t="s">
        <v>547</v>
      </c>
      <c r="E87" s="198">
        <v>43.6</v>
      </c>
      <c r="F87" s="199" t="s">
        <v>98</v>
      </c>
      <c r="G87" s="198">
        <v>0</v>
      </c>
      <c r="H87" s="191" t="s">
        <v>548</v>
      </c>
      <c r="I87" s="198">
        <v>70.599999999999994</v>
      </c>
      <c r="J87" s="199" t="s">
        <v>98</v>
      </c>
      <c r="K87" s="198">
        <v>0</v>
      </c>
      <c r="L87" s="191" t="s">
        <v>548</v>
      </c>
      <c r="M87" s="198">
        <v>30.9</v>
      </c>
      <c r="N87" s="199" t="s">
        <v>98</v>
      </c>
      <c r="O87" s="198">
        <v>0</v>
      </c>
      <c r="P87" s="191" t="s">
        <v>549</v>
      </c>
      <c r="Q87" s="198">
        <v>145.1</v>
      </c>
      <c r="R87" s="205" t="str">
        <f>REPLACE(TEXT(Таблица3[[#This Row],[Столбец1]],"0"),2,0,".")</f>
        <v>3.011</v>
      </c>
      <c r="S87" s="205">
        <f ca="1">ROUND(
   Таблица3[[#This Row],[Столбец4]] * RANDBETWEEN(97,99)/100,
1)</f>
        <v>42.3</v>
      </c>
      <c r="T87" s="205">
        <f ca="1">ROUND(
    SUM(Таблица3[[#This Row],[Столбец6]:[Столбец13]]) * RANDBETWEEN(97,99)/100,
1)</f>
        <v>99.5</v>
      </c>
      <c r="U87" s="205">
        <f t="shared" ca="1" si="2"/>
        <v>141.80000000000001</v>
      </c>
    </row>
    <row r="88" spans="1:21" ht="105.6" hidden="1" x14ac:dyDescent="0.3">
      <c r="A88" s="197">
        <v>3012</v>
      </c>
      <c r="B88" s="191" t="s">
        <v>550</v>
      </c>
      <c r="C88" s="191">
        <v>2</v>
      </c>
      <c r="D88" s="191" t="s">
        <v>547</v>
      </c>
      <c r="E88" s="198">
        <v>154.69999999999999</v>
      </c>
      <c r="F88" s="199" t="s">
        <v>98</v>
      </c>
      <c r="G88" s="198">
        <v>0</v>
      </c>
      <c r="H88" s="191" t="s">
        <v>548</v>
      </c>
      <c r="I88" s="198">
        <v>153.5</v>
      </c>
      <c r="J88" s="191" t="s">
        <v>552</v>
      </c>
      <c r="K88" s="198">
        <v>10.6</v>
      </c>
      <c r="L88" s="191" t="s">
        <v>548</v>
      </c>
      <c r="M88" s="198">
        <v>38.9</v>
      </c>
      <c r="N88" s="199" t="s">
        <v>98</v>
      </c>
      <c r="O88" s="198">
        <v>0</v>
      </c>
      <c r="P88" s="191" t="s">
        <v>549</v>
      </c>
      <c r="Q88" s="198">
        <v>357.7</v>
      </c>
      <c r="R88" s="205" t="str">
        <f>REPLACE(TEXT(Таблица3[[#This Row],[Столбец1]],"0"),2,0,".")</f>
        <v>3.012</v>
      </c>
      <c r="S88" s="205">
        <f ca="1">ROUND(
   Таблица3[[#This Row],[Столбец4]] * RANDBETWEEN(97,99)/100,
1)</f>
        <v>151.6</v>
      </c>
      <c r="T88" s="205">
        <f ca="1">ROUND(
    SUM(Таблица3[[#This Row],[Столбец6]:[Столбец13]]) * RANDBETWEEN(97,99)/100,
1)</f>
        <v>198.9</v>
      </c>
      <c r="U88" s="205">
        <f t="shared" ca="1" si="2"/>
        <v>350.5</v>
      </c>
    </row>
    <row r="89" spans="1:21" ht="79.2" hidden="1" x14ac:dyDescent="0.3">
      <c r="A89" s="197">
        <v>3013</v>
      </c>
      <c r="B89" s="191" t="s">
        <v>562</v>
      </c>
      <c r="C89" s="191">
        <v>2</v>
      </c>
      <c r="D89" s="191" t="s">
        <v>547</v>
      </c>
      <c r="E89" s="198">
        <v>34.4</v>
      </c>
      <c r="F89" s="199" t="s">
        <v>98</v>
      </c>
      <c r="G89" s="198">
        <v>0</v>
      </c>
      <c r="H89" s="191" t="s">
        <v>548</v>
      </c>
      <c r="I89" s="198">
        <v>57.2</v>
      </c>
      <c r="J89" s="199" t="s">
        <v>98</v>
      </c>
      <c r="K89" s="198">
        <v>0</v>
      </c>
      <c r="L89" s="191" t="s">
        <v>548</v>
      </c>
      <c r="M89" s="198">
        <v>28</v>
      </c>
      <c r="N89" s="199" t="s">
        <v>98</v>
      </c>
      <c r="O89" s="198">
        <v>0</v>
      </c>
      <c r="P89" s="191" t="s">
        <v>549</v>
      </c>
      <c r="Q89" s="198">
        <v>119.6</v>
      </c>
      <c r="R89" s="205" t="str">
        <f>REPLACE(TEXT(Таблица3[[#This Row],[Столбец1]],"0"),2,0,".")</f>
        <v>3.013</v>
      </c>
      <c r="S89" s="205">
        <f ca="1">ROUND(
   Таблица3[[#This Row],[Столбец4]] * RANDBETWEEN(97,99)/100,
1)</f>
        <v>34.1</v>
      </c>
      <c r="T89" s="205">
        <f ca="1">ROUND(
    SUM(Таблица3[[#This Row],[Столбец6]:[Столбец13]]) * RANDBETWEEN(97,99)/100,
1)</f>
        <v>83.5</v>
      </c>
      <c r="U89" s="205">
        <f t="shared" ca="1" si="2"/>
        <v>117.6</v>
      </c>
    </row>
    <row r="90" spans="1:21" ht="79.2" hidden="1" x14ac:dyDescent="0.3">
      <c r="A90" s="197">
        <v>3014</v>
      </c>
      <c r="B90" s="191" t="s">
        <v>562</v>
      </c>
      <c r="C90" s="191">
        <v>2</v>
      </c>
      <c r="D90" s="191" t="s">
        <v>547</v>
      </c>
      <c r="E90" s="198">
        <v>52.9</v>
      </c>
      <c r="F90" s="199" t="s">
        <v>98</v>
      </c>
      <c r="G90" s="198">
        <v>0</v>
      </c>
      <c r="H90" s="191" t="s">
        <v>548</v>
      </c>
      <c r="I90" s="198">
        <v>47.6</v>
      </c>
      <c r="J90" s="199" t="s">
        <v>98</v>
      </c>
      <c r="K90" s="198">
        <v>0</v>
      </c>
      <c r="L90" s="191" t="s">
        <v>548</v>
      </c>
      <c r="M90" s="198">
        <v>14</v>
      </c>
      <c r="N90" s="199" t="s">
        <v>98</v>
      </c>
      <c r="O90" s="198">
        <v>0</v>
      </c>
      <c r="P90" s="191" t="s">
        <v>549</v>
      </c>
      <c r="Q90" s="198">
        <v>114.5</v>
      </c>
      <c r="R90" s="205" t="str">
        <f>REPLACE(TEXT(Таблица3[[#This Row],[Столбец1]],"0"),2,0,".")</f>
        <v>3.014</v>
      </c>
      <c r="S90" s="205">
        <f ca="1">ROUND(
   Таблица3[[#This Row],[Столбец4]] * RANDBETWEEN(97,99)/100,
1)</f>
        <v>51.8</v>
      </c>
      <c r="T90" s="205">
        <f ca="1">ROUND(
    SUM(Таблица3[[#This Row],[Столбец6]:[Столбец13]]) * RANDBETWEEN(97,99)/100,
1)</f>
        <v>60.4</v>
      </c>
      <c r="U90" s="205">
        <f t="shared" ca="1" si="2"/>
        <v>112.19999999999999</v>
      </c>
    </row>
    <row r="91" spans="1:21" ht="92.4" hidden="1" x14ac:dyDescent="0.3">
      <c r="A91" s="197">
        <v>3015</v>
      </c>
      <c r="B91" s="191" t="s">
        <v>563</v>
      </c>
      <c r="C91" s="191">
        <v>2</v>
      </c>
      <c r="D91" s="191" t="s">
        <v>559</v>
      </c>
      <c r="E91" s="198">
        <v>26.2</v>
      </c>
      <c r="F91" s="199" t="s">
        <v>98</v>
      </c>
      <c r="G91" s="198">
        <v>0</v>
      </c>
      <c r="H91" s="191" t="s">
        <v>560</v>
      </c>
      <c r="I91" s="198">
        <v>10.4</v>
      </c>
      <c r="J91" s="199" t="s">
        <v>98</v>
      </c>
      <c r="K91" s="198">
        <v>0</v>
      </c>
      <c r="L91" s="191" t="s">
        <v>560</v>
      </c>
      <c r="M91" s="198">
        <v>41.8</v>
      </c>
      <c r="N91" s="199" t="s">
        <v>98</v>
      </c>
      <c r="O91" s="198">
        <v>0</v>
      </c>
      <c r="P91" s="191" t="s">
        <v>549</v>
      </c>
      <c r="Q91" s="198">
        <v>78.400000000000006</v>
      </c>
      <c r="R91" s="205" t="str">
        <f>REPLACE(TEXT(Таблица3[[#This Row],[Столбец1]],"0"),2,0,".")</f>
        <v>3.015</v>
      </c>
      <c r="S91" s="205">
        <f ca="1">ROUND(
   Таблица3[[#This Row],[Столбец4]] * RANDBETWEEN(97,99)/100,
1)</f>
        <v>25.4</v>
      </c>
      <c r="T91" s="205">
        <f ca="1">ROUND(
    SUM(Таблица3[[#This Row],[Столбец6]:[Столбец13]]) * RANDBETWEEN(97,99)/100,
1)</f>
        <v>51.2</v>
      </c>
      <c r="U91" s="205">
        <f t="shared" ca="1" si="2"/>
        <v>76.599999999999994</v>
      </c>
    </row>
    <row r="92" spans="1:21" ht="79.2" hidden="1" x14ac:dyDescent="0.3">
      <c r="A92" s="197">
        <v>3016</v>
      </c>
      <c r="B92" s="191" t="s">
        <v>556</v>
      </c>
      <c r="C92" s="191">
        <v>2</v>
      </c>
      <c r="D92" s="191" t="s">
        <v>547</v>
      </c>
      <c r="E92" s="198">
        <v>102.3</v>
      </c>
      <c r="F92" s="199" t="s">
        <v>98</v>
      </c>
      <c r="G92" s="198">
        <v>0</v>
      </c>
      <c r="H92" s="191" t="s">
        <v>548</v>
      </c>
      <c r="I92" s="198">
        <v>14.6</v>
      </c>
      <c r="J92" s="199" t="s">
        <v>98</v>
      </c>
      <c r="K92" s="198">
        <v>0</v>
      </c>
      <c r="L92" s="199" t="s">
        <v>98</v>
      </c>
      <c r="M92" s="198">
        <v>0</v>
      </c>
      <c r="N92" s="199" t="s">
        <v>98</v>
      </c>
      <c r="O92" s="198">
        <v>0</v>
      </c>
      <c r="P92" s="191" t="s">
        <v>549</v>
      </c>
      <c r="Q92" s="198">
        <v>116.8</v>
      </c>
      <c r="R92" s="205" t="str">
        <f>REPLACE(TEXT(Таблица3[[#This Row],[Столбец1]],"0"),2,0,".")</f>
        <v>3.016</v>
      </c>
      <c r="S92" s="205">
        <f ca="1">ROUND(
   Таблица3[[#This Row],[Столбец4]] * RANDBETWEEN(97,99)/100,
1)</f>
        <v>100.3</v>
      </c>
      <c r="T92" s="205">
        <f ca="1">ROUND(
    SUM(Таблица3[[#This Row],[Столбец6]:[Столбец13]]) * RANDBETWEEN(97,99)/100,
1)</f>
        <v>14.3</v>
      </c>
      <c r="U92" s="205">
        <f t="shared" ca="1" si="2"/>
        <v>114.6</v>
      </c>
    </row>
    <row r="93" spans="1:21" ht="92.4" hidden="1" x14ac:dyDescent="0.3">
      <c r="A93" s="197">
        <v>3017</v>
      </c>
      <c r="B93" s="191" t="s">
        <v>564</v>
      </c>
      <c r="C93" s="191">
        <v>2</v>
      </c>
      <c r="D93" s="191" t="s">
        <v>559</v>
      </c>
      <c r="E93" s="198">
        <v>21</v>
      </c>
      <c r="F93" s="199" t="s">
        <v>98</v>
      </c>
      <c r="G93" s="198">
        <v>0</v>
      </c>
      <c r="H93" s="191" t="s">
        <v>560</v>
      </c>
      <c r="I93" s="198">
        <v>8.3000000000000007</v>
      </c>
      <c r="J93" s="199" t="s">
        <v>98</v>
      </c>
      <c r="K93" s="198">
        <v>0</v>
      </c>
      <c r="L93" s="191" t="s">
        <v>560</v>
      </c>
      <c r="M93" s="198">
        <v>20.3</v>
      </c>
      <c r="N93" s="199" t="s">
        <v>98</v>
      </c>
      <c r="O93" s="198">
        <v>0</v>
      </c>
      <c r="P93" s="191" t="s">
        <v>549</v>
      </c>
      <c r="Q93" s="198">
        <v>49.7</v>
      </c>
      <c r="R93" s="205" t="str">
        <f>REPLACE(TEXT(Таблица3[[#This Row],[Столбец1]],"0"),2,0,".")</f>
        <v>3.017</v>
      </c>
      <c r="S93" s="205">
        <f ca="1">ROUND(
   Таблица3[[#This Row],[Столбец4]] * RANDBETWEEN(97,99)/100,
1)</f>
        <v>20.8</v>
      </c>
      <c r="T93" s="205">
        <f ca="1">ROUND(
    SUM(Таблица3[[#This Row],[Столбец6]:[Столбец13]]) * RANDBETWEEN(97,99)/100,
1)</f>
        <v>27.7</v>
      </c>
      <c r="U93" s="205">
        <f t="shared" ca="1" si="2"/>
        <v>48.5</v>
      </c>
    </row>
    <row r="94" spans="1:21" ht="92.4" hidden="1" x14ac:dyDescent="0.3">
      <c r="A94" s="197">
        <v>3018</v>
      </c>
      <c r="B94" s="191" t="s">
        <v>565</v>
      </c>
      <c r="C94" s="191">
        <v>2</v>
      </c>
      <c r="D94" s="191" t="s">
        <v>559</v>
      </c>
      <c r="E94" s="198">
        <v>7.4</v>
      </c>
      <c r="F94" s="199" t="s">
        <v>98</v>
      </c>
      <c r="G94" s="198">
        <v>0</v>
      </c>
      <c r="H94" s="199" t="s">
        <v>98</v>
      </c>
      <c r="I94" s="198">
        <v>0</v>
      </c>
      <c r="J94" s="199" t="s">
        <v>98</v>
      </c>
      <c r="K94" s="198">
        <v>0</v>
      </c>
      <c r="L94" s="191" t="s">
        <v>560</v>
      </c>
      <c r="M94" s="198">
        <v>26.3</v>
      </c>
      <c r="N94" s="199" t="s">
        <v>98</v>
      </c>
      <c r="O94" s="198">
        <v>0</v>
      </c>
      <c r="P94" s="191" t="s">
        <v>549</v>
      </c>
      <c r="Q94" s="198">
        <v>33.799999999999997</v>
      </c>
      <c r="R94" s="205" t="str">
        <f>REPLACE(TEXT(Таблица3[[#This Row],[Столбец1]],"0"),2,0,".")</f>
        <v>3.018</v>
      </c>
      <c r="S94" s="205">
        <f ca="1">ROUND(
   Таблица3[[#This Row],[Столбец4]] * RANDBETWEEN(97,99)/100,
1)</f>
        <v>7.3</v>
      </c>
      <c r="T94" s="205">
        <f ca="1">ROUND(
    SUM(Таблица3[[#This Row],[Столбец6]:[Столбец13]]) * RANDBETWEEN(97,99)/100,
1)</f>
        <v>25.8</v>
      </c>
      <c r="U94" s="205">
        <f t="shared" ca="1" si="2"/>
        <v>33.1</v>
      </c>
    </row>
    <row r="95" spans="1:21" ht="105.6" hidden="1" x14ac:dyDescent="0.3">
      <c r="A95" s="200">
        <v>3019</v>
      </c>
      <c r="B95" s="193" t="s">
        <v>566</v>
      </c>
      <c r="C95" s="193">
        <v>3</v>
      </c>
      <c r="D95" s="193" t="s">
        <v>547</v>
      </c>
      <c r="E95" s="201">
        <v>40.299999999999997</v>
      </c>
      <c r="F95" s="202" t="s">
        <v>98</v>
      </c>
      <c r="G95" s="201">
        <v>0</v>
      </c>
      <c r="H95" s="193" t="s">
        <v>548</v>
      </c>
      <c r="I95" s="201">
        <v>38.5</v>
      </c>
      <c r="J95" s="193" t="s">
        <v>552</v>
      </c>
      <c r="K95" s="201">
        <v>48.4</v>
      </c>
      <c r="L95" s="193" t="s">
        <v>548</v>
      </c>
      <c r="M95" s="201">
        <v>174</v>
      </c>
      <c r="N95" s="202" t="s">
        <v>98</v>
      </c>
      <c r="O95" s="201">
        <v>0</v>
      </c>
      <c r="P95" s="193" t="s">
        <v>549</v>
      </c>
      <c r="Q95" s="201">
        <v>301.2</v>
      </c>
      <c r="R95" s="205" t="str">
        <f>REPLACE(TEXT(Таблица3[[#This Row],[Столбец1]],"0"),2,0,".")</f>
        <v>3.019</v>
      </c>
      <c r="S95" s="205">
        <f ca="1">ROUND(
   Таблица3[[#This Row],[Столбец4]] * RANDBETWEEN(97,99)/100,
1)</f>
        <v>39.5</v>
      </c>
      <c r="T95" s="205">
        <f ca="1">ROUND(
    SUM(Таблица3[[#This Row],[Столбец6]:[Столбец13]]) * RANDBETWEEN(97,99)/100,
1)</f>
        <v>253.1</v>
      </c>
      <c r="U95" s="205">
        <f t="shared" ca="1" si="2"/>
        <v>292.60000000000002</v>
      </c>
    </row>
    <row r="96" spans="1:21" ht="79.2" hidden="1" x14ac:dyDescent="0.3">
      <c r="A96" s="197">
        <v>3020</v>
      </c>
      <c r="B96" s="191" t="s">
        <v>556</v>
      </c>
      <c r="C96" s="191">
        <v>3</v>
      </c>
      <c r="D96" s="191" t="s">
        <v>547</v>
      </c>
      <c r="E96" s="198">
        <v>75.7</v>
      </c>
      <c r="F96" s="199" t="s">
        <v>98</v>
      </c>
      <c r="G96" s="198">
        <v>0</v>
      </c>
      <c r="H96" s="191" t="s">
        <v>548</v>
      </c>
      <c r="I96" s="198">
        <v>15.3</v>
      </c>
      <c r="J96" s="199" t="s">
        <v>98</v>
      </c>
      <c r="K96" s="198">
        <v>0</v>
      </c>
      <c r="L96" s="199" t="s">
        <v>98</v>
      </c>
      <c r="M96" s="198">
        <v>0</v>
      </c>
      <c r="N96" s="199" t="s">
        <v>98</v>
      </c>
      <c r="O96" s="198">
        <v>0</v>
      </c>
      <c r="P96" s="191" t="s">
        <v>549</v>
      </c>
      <c r="Q96" s="198">
        <v>90.9</v>
      </c>
      <c r="R96" s="205" t="str">
        <f>REPLACE(TEXT(Таблица3[[#This Row],[Столбец1]],"0"),2,0,".")</f>
        <v>3.020</v>
      </c>
      <c r="S96" s="205">
        <f ca="1">ROUND(
   Таблица3[[#This Row],[Столбец4]] * RANDBETWEEN(97,99)/100,
1)</f>
        <v>73.400000000000006</v>
      </c>
      <c r="T96" s="205">
        <f ca="1">ROUND(
    SUM(Таблица3[[#This Row],[Столбец6]:[Столбец13]]) * RANDBETWEEN(97,99)/100,
1)</f>
        <v>15.1</v>
      </c>
      <c r="U96" s="205">
        <f t="shared" ca="1" si="2"/>
        <v>88.5</v>
      </c>
    </row>
    <row r="97" spans="1:21" ht="79.2" hidden="1" x14ac:dyDescent="0.3">
      <c r="A97" s="197">
        <v>3021</v>
      </c>
      <c r="B97" s="199" t="s">
        <v>536</v>
      </c>
      <c r="C97" s="199">
        <v>3</v>
      </c>
      <c r="D97" s="191" t="s">
        <v>547</v>
      </c>
      <c r="E97" s="198">
        <v>16.100000000000001</v>
      </c>
      <c r="F97" s="199" t="s">
        <v>98</v>
      </c>
      <c r="G97" s="198">
        <v>0</v>
      </c>
      <c r="H97" s="191" t="s">
        <v>548</v>
      </c>
      <c r="I97" s="198">
        <v>36.200000000000003</v>
      </c>
      <c r="J97" s="199" t="s">
        <v>98</v>
      </c>
      <c r="K97" s="198">
        <v>0</v>
      </c>
      <c r="L97" s="191" t="s">
        <v>548</v>
      </c>
      <c r="M97" s="198">
        <v>27</v>
      </c>
      <c r="N97" s="199" t="s">
        <v>98</v>
      </c>
      <c r="O97" s="198">
        <v>0</v>
      </c>
      <c r="P97" s="191" t="s">
        <v>549</v>
      </c>
      <c r="Q97" s="198">
        <v>79.3</v>
      </c>
      <c r="R97" s="205" t="str">
        <f>REPLACE(TEXT(Таблица3[[#This Row],[Столбец1]],"0"),2,0,".")</f>
        <v>3.021</v>
      </c>
      <c r="S97" s="205">
        <f ca="1">ROUND(
   Таблица3[[#This Row],[Столбец4]] * RANDBETWEEN(97,99)/100,
1)</f>
        <v>15.6</v>
      </c>
      <c r="T97" s="205">
        <f ca="1">ROUND(
    SUM(Таблица3[[#This Row],[Столбец6]:[Столбец13]]) * RANDBETWEEN(97,99)/100,
1)</f>
        <v>61.3</v>
      </c>
      <c r="U97" s="205">
        <f t="shared" ca="1" si="2"/>
        <v>76.899999999999991</v>
      </c>
    </row>
    <row r="98" spans="1:21" ht="79.2" hidden="1" x14ac:dyDescent="0.3">
      <c r="A98" s="197">
        <v>3022</v>
      </c>
      <c r="B98" s="191" t="s">
        <v>587</v>
      </c>
      <c r="C98" s="191">
        <v>3</v>
      </c>
      <c r="D98" s="191" t="s">
        <v>547</v>
      </c>
      <c r="E98" s="198">
        <v>54.8</v>
      </c>
      <c r="F98" s="199" t="s">
        <v>98</v>
      </c>
      <c r="G98" s="198">
        <v>0</v>
      </c>
      <c r="H98" s="191" t="s">
        <v>548</v>
      </c>
      <c r="I98" s="198">
        <v>49.5</v>
      </c>
      <c r="J98" s="199" t="s">
        <v>98</v>
      </c>
      <c r="K98" s="198">
        <v>0</v>
      </c>
      <c r="L98" s="191" t="s">
        <v>548</v>
      </c>
      <c r="M98" s="198">
        <v>32.799999999999997</v>
      </c>
      <c r="N98" s="199" t="s">
        <v>98</v>
      </c>
      <c r="O98" s="198">
        <v>0</v>
      </c>
      <c r="P98" s="191" t="s">
        <v>549</v>
      </c>
      <c r="Q98" s="198">
        <v>137.1</v>
      </c>
      <c r="R98" s="205" t="str">
        <f>REPLACE(TEXT(Таблица3[[#This Row],[Столбец1]],"0"),2,0,".")</f>
        <v>3.022</v>
      </c>
      <c r="S98" s="205">
        <f ca="1">ROUND(
   Таблица3[[#This Row],[Столбец4]] * RANDBETWEEN(97,99)/100,
1)</f>
        <v>53.2</v>
      </c>
      <c r="T98" s="205">
        <f ca="1">ROUND(
    SUM(Таблица3[[#This Row],[Столбец6]:[Столбец13]]) * RANDBETWEEN(97,99)/100,
1)</f>
        <v>80.7</v>
      </c>
      <c r="U98" s="205">
        <f t="shared" ca="1" si="2"/>
        <v>133.9</v>
      </c>
    </row>
    <row r="99" spans="1:21" ht="79.2" hidden="1" x14ac:dyDescent="0.3">
      <c r="A99" s="197">
        <v>3023</v>
      </c>
      <c r="B99" s="191" t="s">
        <v>574</v>
      </c>
      <c r="C99" s="191">
        <v>4</v>
      </c>
      <c r="D99" s="191" t="s">
        <v>547</v>
      </c>
      <c r="E99" s="198">
        <v>83.2</v>
      </c>
      <c r="F99" s="199" t="s">
        <v>98</v>
      </c>
      <c r="G99" s="198">
        <v>0</v>
      </c>
      <c r="H99" s="191" t="s">
        <v>548</v>
      </c>
      <c r="I99" s="198">
        <v>193.6</v>
      </c>
      <c r="J99" s="199" t="s">
        <v>98</v>
      </c>
      <c r="K99" s="198">
        <v>0</v>
      </c>
      <c r="L99" s="191" t="s">
        <v>548</v>
      </c>
      <c r="M99" s="198">
        <v>80</v>
      </c>
      <c r="N99" s="199" t="s">
        <v>98</v>
      </c>
      <c r="O99" s="198">
        <v>0</v>
      </c>
      <c r="P99" s="191" t="s">
        <v>549</v>
      </c>
      <c r="Q99" s="198">
        <v>356.9</v>
      </c>
      <c r="R99" s="205" t="str">
        <f>REPLACE(TEXT(Таблица3[[#This Row],[Столбец1]],"0"),2,0,".")</f>
        <v>3.023</v>
      </c>
      <c r="S99" s="205">
        <f ca="1">ROUND(
   Таблица3[[#This Row],[Столбец4]] * RANDBETWEEN(97,99)/100,
1)</f>
        <v>82.4</v>
      </c>
      <c r="T99" s="205">
        <f ca="1">ROUND(
    SUM(Таблица3[[#This Row],[Столбец6]:[Столбец13]]) * RANDBETWEEN(97,99)/100,
1)</f>
        <v>268.10000000000002</v>
      </c>
      <c r="U99" s="205">
        <f t="shared" ca="1" si="2"/>
        <v>350.5</v>
      </c>
    </row>
    <row r="100" spans="1:21" ht="79.2" hidden="1" x14ac:dyDescent="0.3">
      <c r="A100" s="197">
        <v>3024</v>
      </c>
      <c r="B100" s="191" t="s">
        <v>556</v>
      </c>
      <c r="C100" s="191">
        <v>3</v>
      </c>
      <c r="D100" s="191" t="s">
        <v>547</v>
      </c>
      <c r="E100" s="198">
        <v>88.9</v>
      </c>
      <c r="F100" s="199" t="s">
        <v>98</v>
      </c>
      <c r="G100" s="198">
        <v>0</v>
      </c>
      <c r="H100" s="199" t="s">
        <v>98</v>
      </c>
      <c r="I100" s="198">
        <v>0</v>
      </c>
      <c r="J100" s="199" t="s">
        <v>98</v>
      </c>
      <c r="K100" s="198">
        <v>0</v>
      </c>
      <c r="L100" s="199" t="s">
        <v>98</v>
      </c>
      <c r="M100" s="198">
        <v>0</v>
      </c>
      <c r="N100" s="199" t="s">
        <v>98</v>
      </c>
      <c r="O100" s="198">
        <v>0</v>
      </c>
      <c r="P100" s="191" t="s">
        <v>549</v>
      </c>
      <c r="Q100" s="198">
        <v>88.9</v>
      </c>
      <c r="R100" s="205" t="str">
        <f>REPLACE(TEXT(Таблица3[[#This Row],[Столбец1]],"0"),2,0,".")</f>
        <v>3.024</v>
      </c>
      <c r="S100" s="205">
        <f ca="1">ROUND(
   Таблица3[[#This Row],[Столбец4]] * RANDBETWEEN(97,99)/100,
1)</f>
        <v>88</v>
      </c>
      <c r="T100" s="205">
        <f ca="1">ROUND(
    SUM(Таблица3[[#This Row],[Столбец6]:[Столбец13]]) * RANDBETWEEN(97,99)/100,
1)</f>
        <v>0</v>
      </c>
      <c r="U100" s="205">
        <f t="shared" ca="1" si="2"/>
        <v>88</v>
      </c>
    </row>
    <row r="101" spans="1:21" ht="92.4" hidden="1" x14ac:dyDescent="0.3">
      <c r="A101" s="197">
        <v>3025</v>
      </c>
      <c r="B101" s="191" t="s">
        <v>565</v>
      </c>
      <c r="C101" s="191">
        <v>3</v>
      </c>
      <c r="D101" s="199" t="s">
        <v>98</v>
      </c>
      <c r="E101" s="198">
        <v>0</v>
      </c>
      <c r="F101" s="199" t="s">
        <v>98</v>
      </c>
      <c r="G101" s="198">
        <v>0</v>
      </c>
      <c r="H101" s="191" t="s">
        <v>560</v>
      </c>
      <c r="I101" s="198">
        <v>5.9</v>
      </c>
      <c r="J101" s="199" t="s">
        <v>98</v>
      </c>
      <c r="K101" s="198">
        <v>0</v>
      </c>
      <c r="L101" s="191" t="s">
        <v>560</v>
      </c>
      <c r="M101" s="198">
        <v>37.200000000000003</v>
      </c>
      <c r="N101" s="199" t="s">
        <v>98</v>
      </c>
      <c r="O101" s="198">
        <v>0</v>
      </c>
      <c r="P101" s="191" t="s">
        <v>549</v>
      </c>
      <c r="Q101" s="198">
        <v>43.1</v>
      </c>
      <c r="R101" s="205" t="str">
        <f>REPLACE(TEXT(Таблица3[[#This Row],[Столбец1]],"0"),2,0,".")</f>
        <v>3.025</v>
      </c>
      <c r="S101" s="205">
        <f ca="1">ROUND(
   Таблица3[[#This Row],[Столбец4]] * RANDBETWEEN(97,99)/100,
1)</f>
        <v>0</v>
      </c>
      <c r="T101" s="205">
        <f ca="1">ROUND(
    SUM(Таблица3[[#This Row],[Столбец6]:[Столбец13]]) * RANDBETWEEN(97,99)/100,
1)</f>
        <v>41.8</v>
      </c>
      <c r="U101" s="205">
        <f t="shared" ca="1" si="2"/>
        <v>41.8</v>
      </c>
    </row>
    <row r="102" spans="1:21" ht="92.4" hidden="1" x14ac:dyDescent="0.3">
      <c r="A102" s="197">
        <v>3026</v>
      </c>
      <c r="B102" s="191" t="s">
        <v>561</v>
      </c>
      <c r="C102" s="191">
        <v>3</v>
      </c>
      <c r="D102" s="191" t="s">
        <v>559</v>
      </c>
      <c r="E102" s="198">
        <v>3.1</v>
      </c>
      <c r="F102" s="199" t="s">
        <v>98</v>
      </c>
      <c r="G102" s="198">
        <v>0</v>
      </c>
      <c r="H102" s="191" t="s">
        <v>560</v>
      </c>
      <c r="I102" s="198">
        <v>17.600000000000001</v>
      </c>
      <c r="J102" s="199" t="s">
        <v>98</v>
      </c>
      <c r="K102" s="198">
        <v>0</v>
      </c>
      <c r="L102" s="191" t="s">
        <v>560</v>
      </c>
      <c r="M102" s="198">
        <v>21.4</v>
      </c>
      <c r="N102" s="199" t="s">
        <v>98</v>
      </c>
      <c r="O102" s="198">
        <v>0</v>
      </c>
      <c r="P102" s="191" t="s">
        <v>549</v>
      </c>
      <c r="Q102" s="198">
        <v>42.1</v>
      </c>
      <c r="R102" s="205" t="str">
        <f>REPLACE(TEXT(Таблица3[[#This Row],[Столбец1]],"0"),2,0,".")</f>
        <v>3.026</v>
      </c>
      <c r="S102" s="205">
        <f ca="1">ROUND(
   Таблица3[[#This Row],[Столбец4]] * RANDBETWEEN(97,99)/100,
1)</f>
        <v>3</v>
      </c>
      <c r="T102" s="205">
        <f ca="1">ROUND(
    SUM(Таблица3[[#This Row],[Столбец6]:[Столбец13]]) * RANDBETWEEN(97,99)/100,
1)</f>
        <v>37.799999999999997</v>
      </c>
      <c r="U102" s="205">
        <f t="shared" ca="1" si="2"/>
        <v>40.799999999999997</v>
      </c>
    </row>
    <row r="103" spans="1:21" ht="79.2" hidden="1" x14ac:dyDescent="0.3">
      <c r="A103" s="197">
        <v>3027</v>
      </c>
      <c r="B103" s="191" t="s">
        <v>570</v>
      </c>
      <c r="C103" s="191">
        <v>4</v>
      </c>
      <c r="D103" s="191" t="s">
        <v>547</v>
      </c>
      <c r="E103" s="198">
        <v>45.8</v>
      </c>
      <c r="F103" s="199" t="s">
        <v>98</v>
      </c>
      <c r="G103" s="198">
        <v>0</v>
      </c>
      <c r="H103" s="191" t="s">
        <v>548</v>
      </c>
      <c r="I103" s="198">
        <v>75</v>
      </c>
      <c r="J103" s="199" t="s">
        <v>98</v>
      </c>
      <c r="K103" s="198">
        <v>0</v>
      </c>
      <c r="L103" s="191" t="s">
        <v>548</v>
      </c>
      <c r="M103" s="198">
        <v>23.1</v>
      </c>
      <c r="N103" s="199" t="s">
        <v>98</v>
      </c>
      <c r="O103" s="198">
        <v>0</v>
      </c>
      <c r="P103" s="191" t="s">
        <v>549</v>
      </c>
      <c r="Q103" s="198">
        <v>144</v>
      </c>
      <c r="R103" s="205" t="str">
        <f>REPLACE(TEXT(Таблица3[[#This Row],[Столбец1]],"0"),2,0,".")</f>
        <v>3.027</v>
      </c>
      <c r="S103" s="205">
        <f ca="1">ROUND(
   Таблица3[[#This Row],[Столбец4]] * RANDBETWEEN(97,99)/100,
1)</f>
        <v>45.3</v>
      </c>
      <c r="T103" s="205">
        <f ca="1">ROUND(
    SUM(Таблица3[[#This Row],[Столбец6]:[Столбец13]]) * RANDBETWEEN(97,99)/100,
1)</f>
        <v>95.2</v>
      </c>
      <c r="U103" s="205">
        <f t="shared" ca="1" si="2"/>
        <v>140.5</v>
      </c>
    </row>
    <row r="104" spans="1:21" ht="79.2" hidden="1" x14ac:dyDescent="0.3">
      <c r="A104" s="200">
        <v>3028</v>
      </c>
      <c r="B104" s="193" t="s">
        <v>588</v>
      </c>
      <c r="C104" s="193">
        <v>4</v>
      </c>
      <c r="D104" s="193" t="s">
        <v>547</v>
      </c>
      <c r="E104" s="201">
        <v>32.200000000000003</v>
      </c>
      <c r="F104" s="202" t="s">
        <v>98</v>
      </c>
      <c r="G104" s="201">
        <v>0</v>
      </c>
      <c r="H104" s="193" t="s">
        <v>548</v>
      </c>
      <c r="I104" s="201">
        <v>72.400000000000006</v>
      </c>
      <c r="J104" s="202" t="s">
        <v>98</v>
      </c>
      <c r="K104" s="201">
        <v>0</v>
      </c>
      <c r="L104" s="193" t="s">
        <v>548</v>
      </c>
      <c r="M104" s="201">
        <v>5.5</v>
      </c>
      <c r="N104" s="202" t="s">
        <v>98</v>
      </c>
      <c r="O104" s="201">
        <v>0</v>
      </c>
      <c r="P104" s="193" t="s">
        <v>549</v>
      </c>
      <c r="Q104" s="201">
        <v>110.1</v>
      </c>
      <c r="R104" s="205" t="str">
        <f>REPLACE(TEXT(Таблица3[[#This Row],[Столбец1]],"0"),2,0,".")</f>
        <v>3.028</v>
      </c>
      <c r="S104" s="205">
        <f ca="1">ROUND(
   Таблица3[[#This Row],[Столбец4]] * RANDBETWEEN(97,99)/100,
1)</f>
        <v>31.9</v>
      </c>
      <c r="T104" s="205">
        <f ca="1">ROUND(
    SUM(Таблица3[[#This Row],[Столбец6]:[Столбец13]]) * RANDBETWEEN(97,99)/100,
1)</f>
        <v>77.099999999999994</v>
      </c>
      <c r="U104" s="205">
        <f t="shared" ca="1" si="2"/>
        <v>109</v>
      </c>
    </row>
    <row r="105" spans="1:21" ht="92.4" hidden="1" x14ac:dyDescent="0.3">
      <c r="A105" s="197">
        <v>3029</v>
      </c>
      <c r="B105" s="191" t="s">
        <v>561</v>
      </c>
      <c r="C105" s="191">
        <v>2</v>
      </c>
      <c r="D105" s="191" t="s">
        <v>559</v>
      </c>
      <c r="E105" s="198">
        <v>6.1</v>
      </c>
      <c r="F105" s="199" t="s">
        <v>98</v>
      </c>
      <c r="G105" s="198">
        <v>0</v>
      </c>
      <c r="H105" s="199" t="s">
        <v>98</v>
      </c>
      <c r="I105" s="198">
        <v>0</v>
      </c>
      <c r="J105" s="199" t="s">
        <v>98</v>
      </c>
      <c r="K105" s="198">
        <v>0</v>
      </c>
      <c r="L105" s="191" t="s">
        <v>560</v>
      </c>
      <c r="M105" s="198">
        <v>25.4</v>
      </c>
      <c r="N105" s="199" t="s">
        <v>98</v>
      </c>
      <c r="O105" s="198">
        <v>0</v>
      </c>
      <c r="P105" s="191" t="s">
        <v>549</v>
      </c>
      <c r="Q105" s="198">
        <v>31.5</v>
      </c>
      <c r="R105" s="205" t="str">
        <f>REPLACE(TEXT(Таблица3[[#This Row],[Столбец1]],"0"),2,0,".")</f>
        <v>3.029</v>
      </c>
      <c r="S105" s="205">
        <f ca="1">ROUND(
   Таблица3[[#This Row],[Столбец4]] * RANDBETWEEN(97,99)/100,
1)</f>
        <v>6</v>
      </c>
      <c r="T105" s="205">
        <f ca="1">ROUND(
    SUM(Таблица3[[#This Row],[Столбец6]:[Столбец13]]) * RANDBETWEEN(97,99)/100,
1)</f>
        <v>25.1</v>
      </c>
      <c r="U105" s="205">
        <f t="shared" ca="1" si="2"/>
        <v>31.1</v>
      </c>
    </row>
    <row r="106" spans="1:21" ht="79.2" hidden="1" x14ac:dyDescent="0.3">
      <c r="A106" s="197">
        <v>3030</v>
      </c>
      <c r="B106" s="191" t="s">
        <v>588</v>
      </c>
      <c r="C106" s="191">
        <v>4</v>
      </c>
      <c r="D106" s="191" t="s">
        <v>547</v>
      </c>
      <c r="E106" s="198">
        <v>51.7</v>
      </c>
      <c r="F106" s="199" t="s">
        <v>98</v>
      </c>
      <c r="G106" s="198">
        <v>0</v>
      </c>
      <c r="H106" s="191" t="s">
        <v>548</v>
      </c>
      <c r="I106" s="198">
        <v>40.799999999999997</v>
      </c>
      <c r="J106" s="199" t="s">
        <v>98</v>
      </c>
      <c r="K106" s="198">
        <v>0</v>
      </c>
      <c r="L106" s="191" t="s">
        <v>548</v>
      </c>
      <c r="M106" s="198">
        <v>24.7</v>
      </c>
      <c r="N106" s="199" t="s">
        <v>98</v>
      </c>
      <c r="O106" s="198">
        <v>0</v>
      </c>
      <c r="P106" s="191" t="s">
        <v>549</v>
      </c>
      <c r="Q106" s="198">
        <v>117.2</v>
      </c>
      <c r="R106" s="205" t="str">
        <f>REPLACE(TEXT(Таблица3[[#This Row],[Столбец1]],"0"),2,0,".")</f>
        <v>3.030</v>
      </c>
      <c r="S106" s="205">
        <f ca="1">ROUND(
   Таблица3[[#This Row],[Столбец4]] * RANDBETWEEN(97,99)/100,
1)</f>
        <v>50.1</v>
      </c>
      <c r="T106" s="205">
        <f ca="1">ROUND(
    SUM(Таблица3[[#This Row],[Столбец6]:[Столбец13]]) * RANDBETWEEN(97,99)/100,
1)</f>
        <v>63.5</v>
      </c>
      <c r="U106" s="205">
        <f t="shared" ca="1" si="2"/>
        <v>113.6</v>
      </c>
    </row>
    <row r="107" spans="1:21" ht="79.2" hidden="1" x14ac:dyDescent="0.3">
      <c r="A107" s="197">
        <v>3031</v>
      </c>
      <c r="B107" s="191" t="s">
        <v>588</v>
      </c>
      <c r="C107" s="191">
        <v>4</v>
      </c>
      <c r="D107" s="191" t="s">
        <v>547</v>
      </c>
      <c r="E107" s="198">
        <v>74.099999999999994</v>
      </c>
      <c r="F107" s="199" t="s">
        <v>98</v>
      </c>
      <c r="G107" s="198">
        <v>0</v>
      </c>
      <c r="H107" s="191" t="s">
        <v>548</v>
      </c>
      <c r="I107" s="198">
        <v>16.399999999999999</v>
      </c>
      <c r="J107" s="199" t="s">
        <v>98</v>
      </c>
      <c r="K107" s="198">
        <v>0</v>
      </c>
      <c r="L107" s="191" t="s">
        <v>548</v>
      </c>
      <c r="M107" s="198">
        <v>19.7</v>
      </c>
      <c r="N107" s="199" t="s">
        <v>98</v>
      </c>
      <c r="O107" s="198">
        <v>0</v>
      </c>
      <c r="P107" s="191" t="s">
        <v>549</v>
      </c>
      <c r="Q107" s="198">
        <v>110.1</v>
      </c>
      <c r="R107" s="205" t="str">
        <f>REPLACE(TEXT(Таблица3[[#This Row],[Столбец1]],"0"),2,0,".")</f>
        <v>3.031</v>
      </c>
      <c r="S107" s="205">
        <f ca="1">ROUND(
   Таблица3[[#This Row],[Столбец4]] * RANDBETWEEN(97,99)/100,
1)</f>
        <v>72.599999999999994</v>
      </c>
      <c r="T107" s="205">
        <f ca="1">ROUND(
    SUM(Таблица3[[#This Row],[Столбец6]:[Столбец13]]) * RANDBETWEEN(97,99)/100,
1)</f>
        <v>35.4</v>
      </c>
      <c r="U107" s="205">
        <f t="shared" ca="1" si="2"/>
        <v>108</v>
      </c>
    </row>
    <row r="108" spans="1:21" ht="79.2" hidden="1" x14ac:dyDescent="0.3">
      <c r="A108" s="197">
        <v>3032</v>
      </c>
      <c r="B108" s="191" t="s">
        <v>588</v>
      </c>
      <c r="C108" s="191">
        <v>4</v>
      </c>
      <c r="D108" s="191" t="s">
        <v>547</v>
      </c>
      <c r="E108" s="198">
        <v>76.3</v>
      </c>
      <c r="F108" s="199" t="s">
        <v>98</v>
      </c>
      <c r="G108" s="198">
        <v>0</v>
      </c>
      <c r="H108" s="191" t="s">
        <v>548</v>
      </c>
      <c r="I108" s="198">
        <v>12.7</v>
      </c>
      <c r="J108" s="199" t="s">
        <v>98</v>
      </c>
      <c r="K108" s="198">
        <v>0</v>
      </c>
      <c r="L108" s="191" t="s">
        <v>548</v>
      </c>
      <c r="M108" s="198">
        <v>25.8</v>
      </c>
      <c r="N108" s="199" t="s">
        <v>98</v>
      </c>
      <c r="O108" s="198">
        <v>0</v>
      </c>
      <c r="P108" s="191" t="s">
        <v>549</v>
      </c>
      <c r="Q108" s="198">
        <v>114.8</v>
      </c>
      <c r="R108" s="205" t="str">
        <f>REPLACE(TEXT(Таблица3[[#This Row],[Столбец1]],"0"),2,0,".")</f>
        <v>3.032</v>
      </c>
      <c r="S108" s="205">
        <f ca="1">ROUND(
   Таблица3[[#This Row],[Столбец4]] * RANDBETWEEN(97,99)/100,
1)</f>
        <v>74</v>
      </c>
      <c r="T108" s="205">
        <f ca="1">ROUND(
    SUM(Таблица3[[#This Row],[Столбец6]:[Столбец13]]) * RANDBETWEEN(97,99)/100,
1)</f>
        <v>37.299999999999997</v>
      </c>
      <c r="U108" s="205">
        <f t="shared" ca="1" si="2"/>
        <v>111.3</v>
      </c>
    </row>
    <row r="109" spans="1:21" ht="79.2" hidden="1" x14ac:dyDescent="0.3">
      <c r="A109" s="197">
        <v>3033</v>
      </c>
      <c r="B109" s="191" t="s">
        <v>557</v>
      </c>
      <c r="C109" s="191">
        <v>4</v>
      </c>
      <c r="D109" s="191" t="s">
        <v>547</v>
      </c>
      <c r="E109" s="198">
        <v>25.7</v>
      </c>
      <c r="F109" s="199" t="s">
        <v>98</v>
      </c>
      <c r="G109" s="198">
        <v>0</v>
      </c>
      <c r="H109" s="199" t="s">
        <v>98</v>
      </c>
      <c r="I109" s="198">
        <v>0</v>
      </c>
      <c r="J109" s="199" t="s">
        <v>98</v>
      </c>
      <c r="K109" s="198">
        <v>0</v>
      </c>
      <c r="L109" s="191" t="s">
        <v>548</v>
      </c>
      <c r="M109" s="198">
        <v>17.2</v>
      </c>
      <c r="N109" s="199" t="s">
        <v>98</v>
      </c>
      <c r="O109" s="198">
        <v>0</v>
      </c>
      <c r="P109" s="191" t="s">
        <v>549</v>
      </c>
      <c r="Q109" s="198">
        <v>42.9</v>
      </c>
      <c r="R109" s="205" t="str">
        <f>REPLACE(TEXT(Таблица3[[#This Row],[Столбец1]],"0"),2,0,".")</f>
        <v>3.033</v>
      </c>
      <c r="S109" s="205">
        <f ca="1">ROUND(
   Таблица3[[#This Row],[Столбец4]] * RANDBETWEEN(97,99)/100,
1)</f>
        <v>25.4</v>
      </c>
      <c r="T109" s="205">
        <f ca="1">ROUND(
    SUM(Таблица3[[#This Row],[Столбец6]:[Столбец13]]) * RANDBETWEEN(97,99)/100,
1)</f>
        <v>16.899999999999999</v>
      </c>
      <c r="U109" s="205">
        <f t="shared" ca="1" si="2"/>
        <v>42.3</v>
      </c>
    </row>
    <row r="110" spans="1:21" ht="79.2" hidden="1" x14ac:dyDescent="0.3">
      <c r="A110" s="197">
        <v>3034</v>
      </c>
      <c r="B110" s="191" t="s">
        <v>556</v>
      </c>
      <c r="C110" s="191">
        <v>3</v>
      </c>
      <c r="D110" s="191" t="s">
        <v>547</v>
      </c>
      <c r="E110" s="198">
        <v>112.4</v>
      </c>
      <c r="F110" s="199" t="s">
        <v>98</v>
      </c>
      <c r="G110" s="198">
        <v>0</v>
      </c>
      <c r="H110" s="199" t="s">
        <v>98</v>
      </c>
      <c r="I110" s="198">
        <v>0</v>
      </c>
      <c r="J110" s="199" t="s">
        <v>98</v>
      </c>
      <c r="K110" s="198">
        <v>0</v>
      </c>
      <c r="L110" s="199" t="s">
        <v>98</v>
      </c>
      <c r="M110" s="198">
        <v>0</v>
      </c>
      <c r="N110" s="199" t="s">
        <v>98</v>
      </c>
      <c r="O110" s="198">
        <v>0</v>
      </c>
      <c r="P110" s="191" t="s">
        <v>549</v>
      </c>
      <c r="Q110" s="198">
        <v>112.4</v>
      </c>
      <c r="R110" s="205" t="str">
        <f>REPLACE(TEXT(Таблица3[[#This Row],[Столбец1]],"0"),2,0,".")</f>
        <v>3.034</v>
      </c>
      <c r="S110" s="205">
        <f ca="1">ROUND(
   Таблица3[[#This Row],[Столбец4]] * RANDBETWEEN(97,99)/100,
1)</f>
        <v>110.2</v>
      </c>
      <c r="T110" s="205">
        <f ca="1">ROUND(
    SUM(Таблица3[[#This Row],[Столбец6]:[Столбец13]]) * RANDBETWEEN(97,99)/100,
1)</f>
        <v>0</v>
      </c>
      <c r="U110" s="205">
        <f t="shared" ca="1" si="2"/>
        <v>110.2</v>
      </c>
    </row>
    <row r="111" spans="1:21" ht="79.2" hidden="1" x14ac:dyDescent="0.3">
      <c r="A111" s="197">
        <v>3035</v>
      </c>
      <c r="B111" s="191" t="s">
        <v>588</v>
      </c>
      <c r="C111" s="191">
        <v>4</v>
      </c>
      <c r="D111" s="191" t="s">
        <v>547</v>
      </c>
      <c r="E111" s="198">
        <v>52.2</v>
      </c>
      <c r="F111" s="199" t="s">
        <v>98</v>
      </c>
      <c r="G111" s="198">
        <v>0</v>
      </c>
      <c r="H111" s="191" t="s">
        <v>548</v>
      </c>
      <c r="I111" s="198">
        <v>37</v>
      </c>
      <c r="J111" s="199" t="s">
        <v>98</v>
      </c>
      <c r="K111" s="198">
        <v>0</v>
      </c>
      <c r="L111" s="191" t="s">
        <v>548</v>
      </c>
      <c r="M111" s="198">
        <v>25.9</v>
      </c>
      <c r="N111" s="199" t="s">
        <v>98</v>
      </c>
      <c r="O111" s="198">
        <v>0</v>
      </c>
      <c r="P111" s="191" t="s">
        <v>549</v>
      </c>
      <c r="Q111" s="198">
        <v>115.1</v>
      </c>
      <c r="R111" s="205" t="str">
        <f>REPLACE(TEXT(Таблица3[[#This Row],[Столбец1]],"0"),2,0,".")</f>
        <v>3.035</v>
      </c>
      <c r="S111" s="205">
        <f ca="1">ROUND(
   Таблица3[[#This Row],[Столбец4]] * RANDBETWEEN(97,99)/100,
1)</f>
        <v>51.2</v>
      </c>
      <c r="T111" s="205">
        <f ca="1">ROUND(
    SUM(Таблица3[[#This Row],[Столбец6]:[Столбец13]]) * RANDBETWEEN(97,99)/100,
1)</f>
        <v>61.6</v>
      </c>
      <c r="U111" s="205">
        <f t="shared" ca="1" si="2"/>
        <v>112.80000000000001</v>
      </c>
    </row>
    <row r="112" spans="1:21" ht="79.2" hidden="1" x14ac:dyDescent="0.3">
      <c r="A112" s="197">
        <v>3036</v>
      </c>
      <c r="B112" s="191" t="s">
        <v>573</v>
      </c>
      <c r="C112" s="191">
        <v>5</v>
      </c>
      <c r="D112" s="191" t="s">
        <v>547</v>
      </c>
      <c r="E112" s="198">
        <v>27.3</v>
      </c>
      <c r="F112" s="199" t="s">
        <v>98</v>
      </c>
      <c r="G112" s="198">
        <v>0</v>
      </c>
      <c r="H112" s="191" t="s">
        <v>548</v>
      </c>
      <c r="I112" s="198">
        <v>63.7</v>
      </c>
      <c r="J112" s="199" t="s">
        <v>98</v>
      </c>
      <c r="K112" s="198">
        <v>0</v>
      </c>
      <c r="L112" s="191" t="s">
        <v>548</v>
      </c>
      <c r="M112" s="198">
        <v>26.9</v>
      </c>
      <c r="N112" s="199" t="s">
        <v>98</v>
      </c>
      <c r="O112" s="198">
        <v>0</v>
      </c>
      <c r="P112" s="191" t="s">
        <v>549</v>
      </c>
      <c r="Q112" s="198">
        <v>117.9</v>
      </c>
      <c r="R112" s="205" t="str">
        <f>REPLACE(TEXT(Таблица3[[#This Row],[Столбец1]],"0"),2,0,".")</f>
        <v>3.036</v>
      </c>
      <c r="S112" s="205">
        <f ca="1">ROUND(
   Таблица3[[#This Row],[Столбец4]] * RANDBETWEEN(97,99)/100,
1)</f>
        <v>26.5</v>
      </c>
      <c r="T112" s="205">
        <f ca="1">ROUND(
    SUM(Таблица3[[#This Row],[Столбец6]:[Столбец13]]) * RANDBETWEEN(97,99)/100,
1)</f>
        <v>87.9</v>
      </c>
      <c r="U112" s="205">
        <f t="shared" ca="1" si="2"/>
        <v>114.4</v>
      </c>
    </row>
    <row r="113" spans="1:21" ht="79.2" hidden="1" x14ac:dyDescent="0.3">
      <c r="A113" s="200">
        <v>3037</v>
      </c>
      <c r="B113" s="202" t="s">
        <v>535</v>
      </c>
      <c r="C113" s="202">
        <v>5</v>
      </c>
      <c r="D113" s="193" t="s">
        <v>547</v>
      </c>
      <c r="E113" s="201">
        <v>91.1</v>
      </c>
      <c r="F113" s="202" t="s">
        <v>98</v>
      </c>
      <c r="G113" s="201">
        <v>0</v>
      </c>
      <c r="H113" s="193" t="s">
        <v>548</v>
      </c>
      <c r="I113" s="201">
        <v>143.4</v>
      </c>
      <c r="J113" s="202" t="s">
        <v>98</v>
      </c>
      <c r="K113" s="201">
        <v>0</v>
      </c>
      <c r="L113" s="193" t="s">
        <v>548</v>
      </c>
      <c r="M113" s="201">
        <v>9.6999999999999993</v>
      </c>
      <c r="N113" s="202" t="s">
        <v>98</v>
      </c>
      <c r="O113" s="201">
        <v>0</v>
      </c>
      <c r="P113" s="193" t="s">
        <v>549</v>
      </c>
      <c r="Q113" s="201">
        <v>244.2</v>
      </c>
      <c r="R113" s="205" t="str">
        <f>REPLACE(TEXT(Таблица3[[#This Row],[Столбец1]],"0"),2,0,".")</f>
        <v>3.037</v>
      </c>
      <c r="S113" s="205">
        <f ca="1">ROUND(
   Таблица3[[#This Row],[Столбец4]] * RANDBETWEEN(97,99)/100,
1)</f>
        <v>89.3</v>
      </c>
      <c r="T113" s="205">
        <f ca="1">ROUND(
    SUM(Таблица3[[#This Row],[Столбец6]:[Столбец13]]) * RANDBETWEEN(97,99)/100,
1)</f>
        <v>148.5</v>
      </c>
      <c r="U113" s="205">
        <f t="shared" ca="1" si="2"/>
        <v>237.8</v>
      </c>
    </row>
    <row r="114" spans="1:21" ht="79.2" hidden="1" x14ac:dyDescent="0.3">
      <c r="A114" s="200">
        <v>3038</v>
      </c>
      <c r="B114" s="193" t="s">
        <v>589</v>
      </c>
      <c r="C114" s="193">
        <v>6</v>
      </c>
      <c r="D114" s="193" t="s">
        <v>547</v>
      </c>
      <c r="E114" s="201">
        <v>91.2</v>
      </c>
      <c r="F114" s="202" t="s">
        <v>98</v>
      </c>
      <c r="G114" s="201">
        <v>0</v>
      </c>
      <c r="H114" s="193" t="s">
        <v>548</v>
      </c>
      <c r="I114" s="201">
        <v>58.5</v>
      </c>
      <c r="J114" s="202" t="s">
        <v>98</v>
      </c>
      <c r="K114" s="201">
        <v>0</v>
      </c>
      <c r="L114" s="193" t="s">
        <v>548</v>
      </c>
      <c r="M114" s="201">
        <v>109.6</v>
      </c>
      <c r="N114" s="202" t="s">
        <v>98</v>
      </c>
      <c r="O114" s="201">
        <v>0</v>
      </c>
      <c r="P114" s="193" t="s">
        <v>549</v>
      </c>
      <c r="Q114" s="201">
        <v>259.60000000000002</v>
      </c>
      <c r="R114" s="205" t="str">
        <f>REPLACE(TEXT(Таблица3[[#This Row],[Столбец1]],"0"),2,0,".")</f>
        <v>3.038</v>
      </c>
      <c r="S114" s="205">
        <f ca="1">ROUND(
   Таблица3[[#This Row],[Столбец4]] * RANDBETWEEN(97,99)/100,
1)</f>
        <v>89.4</v>
      </c>
      <c r="T114" s="205">
        <f ca="1">ROUND(
    SUM(Таблица3[[#This Row],[Столбец6]:[Столбец13]]) * RANDBETWEEN(97,99)/100,
1)</f>
        <v>166.4</v>
      </c>
      <c r="U114" s="205">
        <f t="shared" ca="1" si="2"/>
        <v>255.8</v>
      </c>
    </row>
    <row r="115" spans="1:21" ht="79.2" hidden="1" x14ac:dyDescent="0.3">
      <c r="A115" s="197">
        <v>3039</v>
      </c>
      <c r="B115" s="191" t="s">
        <v>590</v>
      </c>
      <c r="C115" s="191">
        <v>6</v>
      </c>
      <c r="D115" s="191" t="s">
        <v>547</v>
      </c>
      <c r="E115" s="198">
        <v>7.1</v>
      </c>
      <c r="F115" s="199" t="s">
        <v>98</v>
      </c>
      <c r="G115" s="198">
        <v>0</v>
      </c>
      <c r="H115" s="191" t="s">
        <v>548</v>
      </c>
      <c r="I115" s="198">
        <v>34.1</v>
      </c>
      <c r="J115" s="199" t="s">
        <v>98</v>
      </c>
      <c r="K115" s="198">
        <v>0</v>
      </c>
      <c r="L115" s="191" t="s">
        <v>548</v>
      </c>
      <c r="M115" s="198">
        <v>29.5</v>
      </c>
      <c r="N115" s="199" t="s">
        <v>98</v>
      </c>
      <c r="O115" s="198">
        <v>0</v>
      </c>
      <c r="P115" s="191" t="s">
        <v>549</v>
      </c>
      <c r="Q115" s="198">
        <v>70.7</v>
      </c>
      <c r="R115" s="205" t="str">
        <f>REPLACE(TEXT(Таблица3[[#This Row],[Столбец1]],"0"),2,0,".")</f>
        <v>3.039</v>
      </c>
      <c r="S115" s="205">
        <f ca="1">ROUND(
   Таблица3[[#This Row],[Столбец4]] * RANDBETWEEN(97,99)/100,
1)</f>
        <v>6.9</v>
      </c>
      <c r="T115" s="205">
        <f ca="1">ROUND(
    SUM(Таблица3[[#This Row],[Столбец6]:[Столбец13]]) * RANDBETWEEN(97,99)/100,
1)</f>
        <v>63</v>
      </c>
      <c r="U115" s="205">
        <f t="shared" ca="1" si="2"/>
        <v>69.900000000000006</v>
      </c>
    </row>
    <row r="116" spans="1:21" ht="79.2" hidden="1" x14ac:dyDescent="0.3">
      <c r="A116" s="197">
        <v>3040</v>
      </c>
      <c r="B116" s="191" t="s">
        <v>591</v>
      </c>
      <c r="C116" s="191">
        <v>6</v>
      </c>
      <c r="D116" s="191" t="s">
        <v>547</v>
      </c>
      <c r="E116" s="198">
        <v>77.5</v>
      </c>
      <c r="F116" s="199" t="s">
        <v>98</v>
      </c>
      <c r="G116" s="198">
        <v>0</v>
      </c>
      <c r="H116" s="191" t="s">
        <v>548</v>
      </c>
      <c r="I116" s="198">
        <v>55.2</v>
      </c>
      <c r="J116" s="199" t="s">
        <v>98</v>
      </c>
      <c r="K116" s="198">
        <v>0</v>
      </c>
      <c r="L116" s="191" t="s">
        <v>548</v>
      </c>
      <c r="M116" s="198">
        <v>43</v>
      </c>
      <c r="N116" s="199" t="s">
        <v>98</v>
      </c>
      <c r="O116" s="198">
        <v>0</v>
      </c>
      <c r="P116" s="191" t="s">
        <v>549</v>
      </c>
      <c r="Q116" s="198">
        <v>175.7</v>
      </c>
      <c r="R116" s="205" t="str">
        <f>REPLACE(TEXT(Таблица3[[#This Row],[Столбец1]],"0"),2,0,".")</f>
        <v>3.040</v>
      </c>
      <c r="S116" s="205">
        <f ca="1">ROUND(
   Таблица3[[#This Row],[Столбец4]] * RANDBETWEEN(97,99)/100,
1)</f>
        <v>76.7</v>
      </c>
      <c r="T116" s="205">
        <f ca="1">ROUND(
    SUM(Таблица3[[#This Row],[Столбец6]:[Столбец13]]) * RANDBETWEEN(97,99)/100,
1)</f>
        <v>97.2</v>
      </c>
      <c r="U116" s="205">
        <f t="shared" ca="1" si="2"/>
        <v>173.9</v>
      </c>
    </row>
    <row r="117" spans="1:21" ht="79.2" hidden="1" x14ac:dyDescent="0.3">
      <c r="A117" s="197">
        <v>3041</v>
      </c>
      <c r="B117" s="199" t="s">
        <v>535</v>
      </c>
      <c r="C117" s="199">
        <v>6</v>
      </c>
      <c r="D117" s="191" t="s">
        <v>547</v>
      </c>
      <c r="E117" s="198">
        <v>205.7</v>
      </c>
      <c r="F117" s="199" t="s">
        <v>98</v>
      </c>
      <c r="G117" s="198">
        <v>0</v>
      </c>
      <c r="H117" s="191" t="s">
        <v>548</v>
      </c>
      <c r="I117" s="198">
        <v>129.6</v>
      </c>
      <c r="J117" s="199" t="s">
        <v>98</v>
      </c>
      <c r="K117" s="198">
        <v>0</v>
      </c>
      <c r="L117" s="191" t="s">
        <v>548</v>
      </c>
      <c r="M117" s="198">
        <v>16.7</v>
      </c>
      <c r="N117" s="199" t="s">
        <v>98</v>
      </c>
      <c r="O117" s="198">
        <v>0</v>
      </c>
      <c r="P117" s="191" t="s">
        <v>549</v>
      </c>
      <c r="Q117" s="198">
        <v>352.3</v>
      </c>
      <c r="R117" s="205" t="str">
        <f>REPLACE(TEXT(Таблица3[[#This Row],[Столбец1]],"0"),2,0,".")</f>
        <v>3.041</v>
      </c>
      <c r="S117" s="205">
        <f ca="1">ROUND(
   Таблица3[[#This Row],[Столбец4]] * RANDBETWEEN(97,99)/100,
1)</f>
        <v>199.5</v>
      </c>
      <c r="T117" s="205">
        <f ca="1">ROUND(
    SUM(Таблица3[[#This Row],[Столбец6]:[Столбец13]]) * RANDBETWEEN(97,99)/100,
1)</f>
        <v>141.9</v>
      </c>
      <c r="U117" s="205">
        <f t="shared" ca="1" si="2"/>
        <v>341.4</v>
      </c>
    </row>
    <row r="118" spans="1:21" ht="92.4" hidden="1" x14ac:dyDescent="0.3">
      <c r="A118" s="197">
        <v>3042</v>
      </c>
      <c r="B118" s="191" t="s">
        <v>578</v>
      </c>
      <c r="C118" s="191">
        <v>6</v>
      </c>
      <c r="D118" s="191" t="s">
        <v>559</v>
      </c>
      <c r="E118" s="198">
        <v>15.9</v>
      </c>
      <c r="F118" s="199" t="s">
        <v>98</v>
      </c>
      <c r="G118" s="198">
        <v>0</v>
      </c>
      <c r="H118" s="191" t="s">
        <v>560</v>
      </c>
      <c r="I118" s="198">
        <v>10.5</v>
      </c>
      <c r="J118" s="199" t="s">
        <v>98</v>
      </c>
      <c r="K118" s="198">
        <v>0</v>
      </c>
      <c r="L118" s="191" t="s">
        <v>560</v>
      </c>
      <c r="M118" s="198">
        <v>59.3</v>
      </c>
      <c r="N118" s="199" t="s">
        <v>98</v>
      </c>
      <c r="O118" s="198">
        <v>0</v>
      </c>
      <c r="P118" s="191" t="s">
        <v>549</v>
      </c>
      <c r="Q118" s="198">
        <v>86.2</v>
      </c>
      <c r="R118" s="205" t="str">
        <f>REPLACE(TEXT(Таблица3[[#This Row],[Столбец1]],"0"),2,0,".")</f>
        <v>3.042</v>
      </c>
      <c r="S118" s="205">
        <f ca="1">ROUND(
   Таблица3[[#This Row],[Столбец4]] * RANDBETWEEN(97,99)/100,
1)</f>
        <v>15.7</v>
      </c>
      <c r="T118" s="205">
        <f ca="1">ROUND(
    SUM(Таблица3[[#This Row],[Столбец6]:[Столбец13]]) * RANDBETWEEN(97,99)/100,
1)</f>
        <v>68.400000000000006</v>
      </c>
      <c r="U118" s="205">
        <f t="shared" ca="1" si="2"/>
        <v>84.100000000000009</v>
      </c>
    </row>
    <row r="119" spans="1:21" ht="92.4" hidden="1" x14ac:dyDescent="0.3">
      <c r="A119" s="197">
        <v>3043</v>
      </c>
      <c r="B119" s="191" t="s">
        <v>579</v>
      </c>
      <c r="C119" s="191">
        <v>6</v>
      </c>
      <c r="D119" s="191" t="s">
        <v>559</v>
      </c>
      <c r="E119" s="198">
        <v>39.200000000000003</v>
      </c>
      <c r="F119" s="199" t="s">
        <v>98</v>
      </c>
      <c r="G119" s="198">
        <v>0</v>
      </c>
      <c r="H119" s="191" t="s">
        <v>560</v>
      </c>
      <c r="I119" s="198">
        <v>11.7</v>
      </c>
      <c r="J119" s="199" t="s">
        <v>98</v>
      </c>
      <c r="K119" s="198">
        <v>0</v>
      </c>
      <c r="L119" s="191" t="s">
        <v>560</v>
      </c>
      <c r="M119" s="198">
        <v>28.6</v>
      </c>
      <c r="N119" s="199" t="s">
        <v>98</v>
      </c>
      <c r="O119" s="198">
        <v>0</v>
      </c>
      <c r="P119" s="191" t="s">
        <v>549</v>
      </c>
      <c r="Q119" s="198">
        <v>86.7</v>
      </c>
      <c r="R119" s="205" t="str">
        <f>REPLACE(TEXT(Таблица3[[#This Row],[Столбец1]],"0"),2,0,".")</f>
        <v>3.043</v>
      </c>
      <c r="S119" s="205">
        <f ca="1">ROUND(
   Таблица3[[#This Row],[Столбец4]] * RANDBETWEEN(97,99)/100,
1)</f>
        <v>38</v>
      </c>
      <c r="T119" s="205">
        <f ca="1">ROUND(
    SUM(Таблица3[[#This Row],[Столбец6]:[Столбец13]]) * RANDBETWEEN(97,99)/100,
1)</f>
        <v>39.1</v>
      </c>
      <c r="U119" s="205">
        <f t="shared" ca="1" si="2"/>
        <v>77.099999999999994</v>
      </c>
    </row>
    <row r="120" spans="1:21" ht="92.4" hidden="1" x14ac:dyDescent="0.3">
      <c r="A120" s="197">
        <v>3044</v>
      </c>
      <c r="B120" s="191" t="s">
        <v>561</v>
      </c>
      <c r="C120" s="191">
        <v>6</v>
      </c>
      <c r="D120" s="191" t="s">
        <v>559</v>
      </c>
      <c r="E120" s="198">
        <v>3.1</v>
      </c>
      <c r="F120" s="199" t="s">
        <v>98</v>
      </c>
      <c r="G120" s="198">
        <v>0</v>
      </c>
      <c r="H120" s="191" t="s">
        <v>560</v>
      </c>
      <c r="I120" s="198">
        <v>2.6</v>
      </c>
      <c r="J120" s="199" t="s">
        <v>98</v>
      </c>
      <c r="K120" s="198">
        <v>0</v>
      </c>
      <c r="L120" s="191" t="s">
        <v>560</v>
      </c>
      <c r="M120" s="198">
        <v>26</v>
      </c>
      <c r="N120" s="199" t="s">
        <v>98</v>
      </c>
      <c r="O120" s="198">
        <v>0</v>
      </c>
      <c r="P120" s="191" t="s">
        <v>549</v>
      </c>
      <c r="Q120" s="198">
        <v>31.6</v>
      </c>
      <c r="R120" s="205" t="str">
        <f>REPLACE(TEXT(Таблица3[[#This Row],[Столбец1]],"0"),2,0,".")</f>
        <v>3.044</v>
      </c>
      <c r="S120" s="205">
        <f ca="1">ROUND(
   Таблица3[[#This Row],[Столбец4]] * RANDBETWEEN(97,99)/100,
1)</f>
        <v>3.1</v>
      </c>
      <c r="T120" s="205">
        <f ca="1">ROUND(
    SUM(Таблица3[[#This Row],[Столбец6]:[Столбец13]]) * RANDBETWEEN(97,99)/100,
1)</f>
        <v>27.7</v>
      </c>
      <c r="U120" s="205">
        <f t="shared" ca="1" si="2"/>
        <v>30.8</v>
      </c>
    </row>
    <row r="121" spans="1:21" ht="92.4" hidden="1" x14ac:dyDescent="0.3">
      <c r="A121" s="197">
        <v>3045</v>
      </c>
      <c r="B121" s="191" t="s">
        <v>564</v>
      </c>
      <c r="C121" s="191">
        <v>6</v>
      </c>
      <c r="D121" s="191" t="s">
        <v>559</v>
      </c>
      <c r="E121" s="198">
        <v>1</v>
      </c>
      <c r="F121" s="199" t="s">
        <v>98</v>
      </c>
      <c r="G121" s="198">
        <v>0</v>
      </c>
      <c r="H121" s="191" t="s">
        <v>560</v>
      </c>
      <c r="I121" s="198">
        <v>5.9</v>
      </c>
      <c r="J121" s="199" t="s">
        <v>98</v>
      </c>
      <c r="K121" s="198">
        <v>0</v>
      </c>
      <c r="L121" s="191" t="s">
        <v>560</v>
      </c>
      <c r="M121" s="198">
        <v>27.4</v>
      </c>
      <c r="N121" s="199" t="s">
        <v>98</v>
      </c>
      <c r="O121" s="198">
        <v>0</v>
      </c>
      <c r="P121" s="191" t="s">
        <v>549</v>
      </c>
      <c r="Q121" s="198">
        <v>34.299999999999997</v>
      </c>
      <c r="R121" s="205" t="str">
        <f>REPLACE(TEXT(Таблица3[[#This Row],[Столбец1]],"0"),2,0,".")</f>
        <v>3.045</v>
      </c>
      <c r="S121" s="205">
        <f ca="1">ROUND(
   Таблица3[[#This Row],[Столбец4]] * RANDBETWEEN(97,99)/100,
1)</f>
        <v>1</v>
      </c>
      <c r="T121" s="205">
        <f ca="1">ROUND(
    SUM(Таблица3[[#This Row],[Столбец6]:[Столбец13]]) * RANDBETWEEN(97,99)/100,
1)</f>
        <v>32.299999999999997</v>
      </c>
      <c r="U121" s="205">
        <f t="shared" ca="1" si="2"/>
        <v>33.299999999999997</v>
      </c>
    </row>
    <row r="122" spans="1:21" ht="79.2" hidden="1" x14ac:dyDescent="0.3">
      <c r="A122" s="197">
        <v>3046</v>
      </c>
      <c r="B122" s="191" t="s">
        <v>557</v>
      </c>
      <c r="C122" s="191">
        <v>6</v>
      </c>
      <c r="D122" s="191" t="s">
        <v>547</v>
      </c>
      <c r="E122" s="198">
        <v>25.7</v>
      </c>
      <c r="F122" s="199" t="s">
        <v>98</v>
      </c>
      <c r="G122" s="198">
        <v>0</v>
      </c>
      <c r="H122" s="199" t="s">
        <v>98</v>
      </c>
      <c r="I122" s="198">
        <v>0</v>
      </c>
      <c r="J122" s="199" t="s">
        <v>98</v>
      </c>
      <c r="K122" s="198">
        <v>0</v>
      </c>
      <c r="L122" s="191" t="s">
        <v>548</v>
      </c>
      <c r="M122" s="198">
        <v>17.2</v>
      </c>
      <c r="N122" s="199" t="s">
        <v>98</v>
      </c>
      <c r="O122" s="198">
        <v>0</v>
      </c>
      <c r="P122" s="191" t="s">
        <v>549</v>
      </c>
      <c r="Q122" s="198">
        <v>42.9</v>
      </c>
      <c r="R122" s="205" t="str">
        <f>REPLACE(TEXT(Таблица3[[#This Row],[Столбец1]],"0"),2,0,".")</f>
        <v>3.046</v>
      </c>
      <c r="S122" s="205">
        <f ca="1">ROUND(
   Таблица3[[#This Row],[Столбец4]] * RANDBETWEEN(97,99)/100,
1)</f>
        <v>24.9</v>
      </c>
      <c r="T122" s="205">
        <f ca="1">ROUND(
    SUM(Таблица3[[#This Row],[Столбец6]:[Столбец13]]) * RANDBETWEEN(97,99)/100,
1)</f>
        <v>17</v>
      </c>
      <c r="U122" s="205">
        <f t="shared" ca="1" si="2"/>
        <v>41.9</v>
      </c>
    </row>
    <row r="123" spans="1:21" ht="79.2" hidden="1" x14ac:dyDescent="0.3">
      <c r="A123" s="200">
        <v>3047</v>
      </c>
      <c r="B123" s="193" t="s">
        <v>556</v>
      </c>
      <c r="C123" s="193">
        <v>6</v>
      </c>
      <c r="D123" s="193" t="s">
        <v>547</v>
      </c>
      <c r="E123" s="201">
        <v>109.4</v>
      </c>
      <c r="F123" s="202" t="s">
        <v>98</v>
      </c>
      <c r="G123" s="201">
        <v>0</v>
      </c>
      <c r="H123" s="202" t="s">
        <v>98</v>
      </c>
      <c r="I123" s="201">
        <v>0</v>
      </c>
      <c r="J123" s="202" t="s">
        <v>98</v>
      </c>
      <c r="K123" s="201">
        <v>0</v>
      </c>
      <c r="L123" s="202" t="s">
        <v>98</v>
      </c>
      <c r="M123" s="201">
        <v>0</v>
      </c>
      <c r="N123" s="202" t="s">
        <v>98</v>
      </c>
      <c r="O123" s="201">
        <v>0</v>
      </c>
      <c r="P123" s="193" t="s">
        <v>549</v>
      </c>
      <c r="Q123" s="201">
        <v>109.4</v>
      </c>
      <c r="R123" s="205" t="str">
        <f>REPLACE(TEXT(Таблица3[[#This Row],[Столбец1]],"0"),2,0,".")</f>
        <v>3.047</v>
      </c>
      <c r="S123" s="205">
        <f ca="1">ROUND(
   Таблица3[[#This Row],[Столбец4]] * RANDBETWEEN(97,99)/100,
1)</f>
        <v>108.3</v>
      </c>
      <c r="T123" s="205">
        <f ca="1">ROUND(
    SUM(Таблица3[[#This Row],[Столбец6]:[Столбец13]]) * RANDBETWEEN(97,99)/100,
1)</f>
        <v>0</v>
      </c>
      <c r="U123" s="205">
        <f t="shared" ca="1" si="2"/>
        <v>108.3</v>
      </c>
    </row>
    <row r="124" spans="1:21" ht="79.2" hidden="1" x14ac:dyDescent="0.3">
      <c r="A124" s="197">
        <v>3048</v>
      </c>
      <c r="B124" s="191" t="s">
        <v>551</v>
      </c>
      <c r="C124" s="191">
        <v>3</v>
      </c>
      <c r="D124" s="191" t="s">
        <v>547</v>
      </c>
      <c r="E124" s="198">
        <v>38.1</v>
      </c>
      <c r="F124" s="199" t="s">
        <v>98</v>
      </c>
      <c r="G124" s="198">
        <v>0</v>
      </c>
      <c r="H124" s="191" t="s">
        <v>548</v>
      </c>
      <c r="I124" s="198">
        <v>42.3</v>
      </c>
      <c r="J124" s="199" t="s">
        <v>98</v>
      </c>
      <c r="K124" s="198">
        <v>0</v>
      </c>
      <c r="L124" s="191" t="s">
        <v>548</v>
      </c>
      <c r="M124" s="198">
        <v>92.1</v>
      </c>
      <c r="N124" s="199" t="s">
        <v>98</v>
      </c>
      <c r="O124" s="198">
        <v>0</v>
      </c>
      <c r="P124" s="191" t="s">
        <v>549</v>
      </c>
      <c r="Q124" s="198">
        <v>172.5</v>
      </c>
      <c r="R124" s="205" t="str">
        <f>REPLACE(TEXT(Таблица3[[#This Row],[Столбец1]],"0"),2,0,".")</f>
        <v>3.048</v>
      </c>
      <c r="S124" s="205">
        <f ca="1">ROUND(
   Таблица3[[#This Row],[Столбец4]] * RANDBETWEEN(97,99)/100,
1)</f>
        <v>37.700000000000003</v>
      </c>
      <c r="T124" s="205">
        <f ca="1">ROUND(
    SUM(Таблица3[[#This Row],[Столбец6]:[Столбец13]]) * RANDBETWEEN(97,99)/100,
1)</f>
        <v>131.69999999999999</v>
      </c>
      <c r="U124" s="205">
        <f t="shared" ca="1" si="2"/>
        <v>169.39999999999998</v>
      </c>
    </row>
    <row r="125" spans="1:21" ht="79.2" hidden="1" x14ac:dyDescent="0.3">
      <c r="A125" s="197">
        <v>3049</v>
      </c>
      <c r="B125" s="199" t="s">
        <v>536</v>
      </c>
      <c r="C125" s="199">
        <v>7</v>
      </c>
      <c r="D125" s="191" t="s">
        <v>547</v>
      </c>
      <c r="E125" s="198">
        <v>18.7</v>
      </c>
      <c r="F125" s="199" t="s">
        <v>98</v>
      </c>
      <c r="G125" s="198">
        <v>0</v>
      </c>
      <c r="H125" s="191" t="s">
        <v>548</v>
      </c>
      <c r="I125" s="198">
        <v>19.399999999999999</v>
      </c>
      <c r="J125" s="199" t="s">
        <v>98</v>
      </c>
      <c r="K125" s="198">
        <v>0</v>
      </c>
      <c r="L125" s="191" t="s">
        <v>548</v>
      </c>
      <c r="M125" s="198">
        <v>60.8</v>
      </c>
      <c r="N125" s="199" t="s">
        <v>98</v>
      </c>
      <c r="O125" s="198">
        <v>0</v>
      </c>
      <c r="P125" s="191" t="s">
        <v>549</v>
      </c>
      <c r="Q125" s="198">
        <v>98.9</v>
      </c>
      <c r="R125" s="205" t="str">
        <f>REPLACE(TEXT(Таблица3[[#This Row],[Столбец1]],"0"),2,0,".")</f>
        <v>3.049</v>
      </c>
      <c r="S125" s="205">
        <f ca="1">ROUND(
   Таблица3[[#This Row],[Столбец4]] * RANDBETWEEN(97,99)/100,
1)</f>
        <v>18.3</v>
      </c>
      <c r="T125" s="205">
        <f ca="1">ROUND(
    SUM(Таблица3[[#This Row],[Столбец6]:[Столбец13]]) * RANDBETWEEN(97,99)/100,
1)</f>
        <v>78.599999999999994</v>
      </c>
      <c r="U125" s="205">
        <f t="shared" ca="1" si="2"/>
        <v>96.899999999999991</v>
      </c>
    </row>
    <row r="126" spans="1:21" ht="79.2" hidden="1" x14ac:dyDescent="0.3">
      <c r="A126" s="197">
        <v>3050</v>
      </c>
      <c r="B126" s="191" t="s">
        <v>592</v>
      </c>
      <c r="C126" s="191">
        <v>7</v>
      </c>
      <c r="D126" s="191" t="s">
        <v>547</v>
      </c>
      <c r="E126" s="198">
        <v>103.8</v>
      </c>
      <c r="F126" s="199" t="s">
        <v>98</v>
      </c>
      <c r="G126" s="198">
        <v>0</v>
      </c>
      <c r="H126" s="191" t="s">
        <v>548</v>
      </c>
      <c r="I126" s="198">
        <v>42.8</v>
      </c>
      <c r="J126" s="199" t="s">
        <v>98</v>
      </c>
      <c r="K126" s="198">
        <v>0</v>
      </c>
      <c r="L126" s="191" t="s">
        <v>548</v>
      </c>
      <c r="M126" s="198">
        <v>77.099999999999994</v>
      </c>
      <c r="N126" s="199" t="s">
        <v>98</v>
      </c>
      <c r="O126" s="198">
        <v>0</v>
      </c>
      <c r="P126" s="191" t="s">
        <v>549</v>
      </c>
      <c r="Q126" s="198">
        <v>223.7</v>
      </c>
      <c r="R126" s="205" t="str">
        <f>REPLACE(TEXT(Таблица3[[#This Row],[Столбец1]],"0"),2,0,".")</f>
        <v>3.050</v>
      </c>
      <c r="S126" s="205">
        <f ca="1">ROUND(
   Таблица3[[#This Row],[Столбец4]] * RANDBETWEEN(97,99)/100,
1)</f>
        <v>100.7</v>
      </c>
      <c r="T126" s="205">
        <f ca="1">ROUND(
    SUM(Таблица3[[#This Row],[Столбец6]:[Столбец13]]) * RANDBETWEEN(97,99)/100,
1)</f>
        <v>118.7</v>
      </c>
      <c r="U126" s="205">
        <f t="shared" ca="1" si="2"/>
        <v>219.4</v>
      </c>
    </row>
    <row r="127" spans="1:21" ht="79.2" hidden="1" x14ac:dyDescent="0.3">
      <c r="A127" s="197">
        <v>3051</v>
      </c>
      <c r="B127" s="191" t="s">
        <v>574</v>
      </c>
      <c r="C127" s="191">
        <v>7</v>
      </c>
      <c r="D127" s="191" t="s">
        <v>547</v>
      </c>
      <c r="E127" s="198">
        <v>107.4</v>
      </c>
      <c r="F127" s="199" t="s">
        <v>98</v>
      </c>
      <c r="G127" s="198">
        <v>0</v>
      </c>
      <c r="H127" s="191" t="s">
        <v>548</v>
      </c>
      <c r="I127" s="198">
        <v>119.6</v>
      </c>
      <c r="J127" s="199" t="s">
        <v>98</v>
      </c>
      <c r="K127" s="198">
        <v>0</v>
      </c>
      <c r="L127" s="191" t="s">
        <v>548</v>
      </c>
      <c r="M127" s="198">
        <v>83.7</v>
      </c>
      <c r="N127" s="199" t="s">
        <v>98</v>
      </c>
      <c r="O127" s="198">
        <v>0</v>
      </c>
      <c r="P127" s="191" t="s">
        <v>549</v>
      </c>
      <c r="Q127" s="198">
        <v>310.60000000000002</v>
      </c>
      <c r="R127" s="205" t="str">
        <f>REPLACE(TEXT(Таблица3[[#This Row],[Столбец1]],"0"),2,0,".")</f>
        <v>3.051</v>
      </c>
      <c r="S127" s="205">
        <f ca="1">ROUND(
   Таблица3[[#This Row],[Столбец4]] * RANDBETWEEN(97,99)/100,
1)</f>
        <v>104.2</v>
      </c>
      <c r="T127" s="205">
        <f ca="1">ROUND(
    SUM(Таблица3[[#This Row],[Столбец6]:[Столбец13]]) * RANDBETWEEN(97,99)/100,
1)</f>
        <v>199.2</v>
      </c>
      <c r="U127" s="205">
        <f t="shared" ca="1" si="2"/>
        <v>303.39999999999998</v>
      </c>
    </row>
    <row r="128" spans="1:21" ht="79.2" hidden="1" x14ac:dyDescent="0.3">
      <c r="A128" s="197">
        <v>3052</v>
      </c>
      <c r="B128" s="191" t="s">
        <v>556</v>
      </c>
      <c r="C128" s="191">
        <v>7</v>
      </c>
      <c r="D128" s="191" t="s">
        <v>547</v>
      </c>
      <c r="E128" s="198">
        <v>89.1</v>
      </c>
      <c r="F128" s="199" t="s">
        <v>98</v>
      </c>
      <c r="G128" s="198">
        <v>0</v>
      </c>
      <c r="H128" s="199" t="s">
        <v>98</v>
      </c>
      <c r="I128" s="198">
        <v>0</v>
      </c>
      <c r="J128" s="199" t="s">
        <v>98</v>
      </c>
      <c r="K128" s="198">
        <v>0</v>
      </c>
      <c r="L128" s="199" t="s">
        <v>98</v>
      </c>
      <c r="M128" s="198">
        <v>0</v>
      </c>
      <c r="N128" s="199" t="s">
        <v>98</v>
      </c>
      <c r="O128" s="198">
        <v>0</v>
      </c>
      <c r="P128" s="191" t="s">
        <v>549</v>
      </c>
      <c r="Q128" s="198">
        <v>89.1</v>
      </c>
      <c r="R128" s="205" t="str">
        <f>REPLACE(TEXT(Таблица3[[#This Row],[Столбец1]],"0"),2,0,".")</f>
        <v>3.052</v>
      </c>
      <c r="S128" s="205">
        <f ca="1">ROUND(
   Таблица3[[#This Row],[Столбец4]] * RANDBETWEEN(97,99)/100,
1)</f>
        <v>86.4</v>
      </c>
      <c r="T128" s="205">
        <f ca="1">ROUND(
    SUM(Таблица3[[#This Row],[Столбец6]:[Столбец13]]) * RANDBETWEEN(97,99)/100,
1)</f>
        <v>0</v>
      </c>
      <c r="U128" s="205">
        <f t="shared" ca="1" si="2"/>
        <v>86.4</v>
      </c>
    </row>
    <row r="129" spans="1:24" ht="105.6" hidden="1" x14ac:dyDescent="0.3">
      <c r="A129" s="197">
        <v>3053</v>
      </c>
      <c r="B129" s="191" t="s">
        <v>593</v>
      </c>
      <c r="C129" s="191">
        <v>7</v>
      </c>
      <c r="D129" s="191" t="s">
        <v>547</v>
      </c>
      <c r="E129" s="198">
        <v>98.1</v>
      </c>
      <c r="F129" s="199" t="s">
        <v>98</v>
      </c>
      <c r="G129" s="198">
        <v>0</v>
      </c>
      <c r="H129" s="191" t="s">
        <v>548</v>
      </c>
      <c r="I129" s="198">
        <v>74.900000000000006</v>
      </c>
      <c r="J129" s="191" t="s">
        <v>552</v>
      </c>
      <c r="K129" s="198">
        <v>4</v>
      </c>
      <c r="L129" s="191" t="s">
        <v>548</v>
      </c>
      <c r="M129" s="198">
        <v>50.1</v>
      </c>
      <c r="N129" s="199" t="s">
        <v>98</v>
      </c>
      <c r="O129" s="198">
        <v>0</v>
      </c>
      <c r="P129" s="191" t="s">
        <v>549</v>
      </c>
      <c r="Q129" s="198">
        <v>227.1</v>
      </c>
      <c r="R129" s="205" t="str">
        <f>REPLACE(TEXT(Таблица3[[#This Row],[Столбец1]],"0"),2,0,".")</f>
        <v>3.053</v>
      </c>
      <c r="S129" s="205">
        <f ca="1">ROUND(
   Таблица3[[#This Row],[Столбец4]] * RANDBETWEEN(97,99)/100,
1)</f>
        <v>95.2</v>
      </c>
      <c r="T129" s="205">
        <f ca="1">ROUND(
    SUM(Таблица3[[#This Row],[Столбец6]:[Столбец13]]) * RANDBETWEEN(97,99)/100,
1)</f>
        <v>127.7</v>
      </c>
      <c r="U129" s="205">
        <f t="shared" ca="1" si="2"/>
        <v>222.9</v>
      </c>
    </row>
    <row r="130" spans="1:24" ht="105.6" hidden="1" x14ac:dyDescent="0.3">
      <c r="A130" s="197">
        <v>3054</v>
      </c>
      <c r="B130" s="191" t="s">
        <v>594</v>
      </c>
      <c r="C130" s="191">
        <v>7</v>
      </c>
      <c r="D130" s="191" t="s">
        <v>547</v>
      </c>
      <c r="E130" s="198">
        <v>59.4</v>
      </c>
      <c r="F130" s="199" t="s">
        <v>98</v>
      </c>
      <c r="G130" s="198">
        <v>0</v>
      </c>
      <c r="H130" s="191" t="s">
        <v>548</v>
      </c>
      <c r="I130" s="198">
        <v>42.2</v>
      </c>
      <c r="J130" s="191" t="s">
        <v>552</v>
      </c>
      <c r="K130" s="198">
        <v>27.3</v>
      </c>
      <c r="L130" s="191" t="s">
        <v>548</v>
      </c>
      <c r="M130" s="198">
        <v>36.799999999999997</v>
      </c>
      <c r="N130" s="199" t="s">
        <v>98</v>
      </c>
      <c r="O130" s="198">
        <v>0</v>
      </c>
      <c r="P130" s="191" t="s">
        <v>549</v>
      </c>
      <c r="Q130" s="198">
        <v>165.6</v>
      </c>
      <c r="R130" s="205" t="str">
        <f>REPLACE(TEXT(Таблица3[[#This Row],[Столбец1]],"0"),2,0,".")</f>
        <v>3.054</v>
      </c>
      <c r="S130" s="205">
        <f ca="1">ROUND(
   Таблица3[[#This Row],[Столбец4]] * RANDBETWEEN(97,99)/100,
1)</f>
        <v>58.2</v>
      </c>
      <c r="T130" s="205">
        <f ca="1">ROUND(
    SUM(Таблица3[[#This Row],[Столбец6]:[Столбец13]]) * RANDBETWEEN(97,99)/100,
1)</f>
        <v>105.2</v>
      </c>
      <c r="U130" s="205">
        <f t="shared" ca="1" si="2"/>
        <v>163.4</v>
      </c>
    </row>
    <row r="131" spans="1:24" ht="92.4" hidden="1" x14ac:dyDescent="0.3">
      <c r="A131" s="197">
        <v>3055</v>
      </c>
      <c r="B131" s="191" t="s">
        <v>595</v>
      </c>
      <c r="C131" s="191">
        <v>4</v>
      </c>
      <c r="D131" s="191" t="s">
        <v>559</v>
      </c>
      <c r="E131" s="198">
        <v>2.9</v>
      </c>
      <c r="F131" s="199" t="s">
        <v>98</v>
      </c>
      <c r="G131" s="198">
        <v>0</v>
      </c>
      <c r="H131" s="191" t="s">
        <v>560</v>
      </c>
      <c r="I131" s="198">
        <v>27</v>
      </c>
      <c r="J131" s="199" t="s">
        <v>98</v>
      </c>
      <c r="K131" s="198">
        <v>0</v>
      </c>
      <c r="L131" s="191" t="s">
        <v>560</v>
      </c>
      <c r="M131" s="198">
        <v>28.5</v>
      </c>
      <c r="N131" s="199" t="s">
        <v>98</v>
      </c>
      <c r="O131" s="198">
        <v>0</v>
      </c>
      <c r="P131" s="191" t="s">
        <v>549</v>
      </c>
      <c r="Q131" s="198">
        <v>58.4</v>
      </c>
      <c r="R131" s="205" t="str">
        <f>REPLACE(TEXT(Таблица3[[#This Row],[Столбец1]],"0"),2,0,".")</f>
        <v>3.055</v>
      </c>
      <c r="S131" s="205">
        <f ca="1">ROUND(
   Таблица3[[#This Row],[Столбец4]] * RANDBETWEEN(97,99)/100,
1)</f>
        <v>2.9</v>
      </c>
      <c r="T131" s="205">
        <f ca="1">ROUND(
    SUM(Таблица3[[#This Row],[Столбец6]:[Столбец13]]) * RANDBETWEEN(97,99)/100,
1)</f>
        <v>53.8</v>
      </c>
      <c r="U131" s="205">
        <f t="shared" ca="1" si="2"/>
        <v>56.699999999999996</v>
      </c>
    </row>
    <row r="132" spans="1:24" ht="92.4" hidden="1" x14ac:dyDescent="0.3">
      <c r="A132" s="200">
        <v>3057</v>
      </c>
      <c r="B132" s="193" t="s">
        <v>583</v>
      </c>
      <c r="C132" s="193">
        <v>4</v>
      </c>
      <c r="D132" s="193" t="s">
        <v>559</v>
      </c>
      <c r="E132" s="201">
        <v>7.5</v>
      </c>
      <c r="F132" s="202" t="s">
        <v>98</v>
      </c>
      <c r="G132" s="201">
        <v>0</v>
      </c>
      <c r="H132" s="193" t="s">
        <v>560</v>
      </c>
      <c r="I132" s="201">
        <v>17.600000000000001</v>
      </c>
      <c r="J132" s="202" t="s">
        <v>98</v>
      </c>
      <c r="K132" s="201">
        <v>0</v>
      </c>
      <c r="L132" s="193" t="s">
        <v>560</v>
      </c>
      <c r="M132" s="201">
        <v>10.8</v>
      </c>
      <c r="N132" s="202" t="s">
        <v>98</v>
      </c>
      <c r="O132" s="201">
        <v>0</v>
      </c>
      <c r="P132" s="193" t="s">
        <v>549</v>
      </c>
      <c r="Q132" s="201">
        <v>37.799999999999997</v>
      </c>
      <c r="R132" s="205" t="str">
        <f>REPLACE(TEXT(Таблица3[[#This Row],[Столбец1]],"0"),2,0,".")</f>
        <v>3.057</v>
      </c>
      <c r="S132" s="205">
        <f ca="1">ROUND(
   Таблица3[[#This Row],[Столбец4]] * RANDBETWEEN(97,99)/100,
1)</f>
        <v>7.4</v>
      </c>
      <c r="T132" s="205">
        <f ca="1">ROUND(
    SUM(Таблица3[[#This Row],[Столбец6]:[Столбец13]]) * RANDBETWEEN(97,99)/100,
1)</f>
        <v>27.8</v>
      </c>
      <c r="U132" s="205">
        <f t="shared" ca="1" si="2"/>
        <v>35.200000000000003</v>
      </c>
    </row>
    <row r="133" spans="1:24" ht="79.2" hidden="1" x14ac:dyDescent="0.3">
      <c r="A133" s="200">
        <v>3058</v>
      </c>
      <c r="B133" s="193" t="s">
        <v>596</v>
      </c>
      <c r="C133" s="193">
        <v>7</v>
      </c>
      <c r="D133" s="193" t="s">
        <v>547</v>
      </c>
      <c r="E133" s="201">
        <v>38.5</v>
      </c>
      <c r="F133" s="202" t="s">
        <v>98</v>
      </c>
      <c r="G133" s="201">
        <v>0</v>
      </c>
      <c r="H133" s="193" t="s">
        <v>548</v>
      </c>
      <c r="I133" s="201">
        <v>19.899999999999999</v>
      </c>
      <c r="J133" s="202" t="s">
        <v>98</v>
      </c>
      <c r="K133" s="201">
        <v>0</v>
      </c>
      <c r="L133" s="193" t="s">
        <v>548</v>
      </c>
      <c r="M133" s="201">
        <v>77.7</v>
      </c>
      <c r="N133" s="202" t="s">
        <v>98</v>
      </c>
      <c r="O133" s="201">
        <v>0</v>
      </c>
      <c r="P133" s="193" t="s">
        <v>549</v>
      </c>
      <c r="Q133" s="201">
        <v>136.19999999999999</v>
      </c>
      <c r="R133" s="205" t="str">
        <f>REPLACE(TEXT(Таблица3[[#This Row],[Столбец1]],"0"),2,0,".")</f>
        <v>3.058</v>
      </c>
      <c r="S133" s="205">
        <f ca="1">ROUND(
   Таблица3[[#This Row],[Столбец4]] * RANDBETWEEN(97,99)/100,
1)</f>
        <v>37.700000000000003</v>
      </c>
      <c r="T133" s="205">
        <f ca="1">ROUND(
    SUM(Таблица3[[#This Row],[Столбец6]:[Столбец13]]) * RANDBETWEEN(97,99)/100,
1)</f>
        <v>94.7</v>
      </c>
      <c r="U133" s="205">
        <f t="shared" ca="1" si="2"/>
        <v>132.4</v>
      </c>
    </row>
    <row r="134" spans="1:24" ht="105.6" hidden="1" x14ac:dyDescent="0.3">
      <c r="A134" s="197">
        <v>3059</v>
      </c>
      <c r="B134" s="191" t="s">
        <v>597</v>
      </c>
      <c r="C134" s="191">
        <v>7</v>
      </c>
      <c r="D134" s="191" t="s">
        <v>547</v>
      </c>
      <c r="E134" s="198">
        <v>13.5</v>
      </c>
      <c r="F134" s="199" t="s">
        <v>98</v>
      </c>
      <c r="G134" s="198">
        <v>0</v>
      </c>
      <c r="H134" s="191" t="s">
        <v>548</v>
      </c>
      <c r="I134" s="198">
        <v>13.8</v>
      </c>
      <c r="J134" s="191" t="s">
        <v>552</v>
      </c>
      <c r="K134" s="198">
        <v>18.8</v>
      </c>
      <c r="L134" s="191" t="s">
        <v>548</v>
      </c>
      <c r="M134" s="198">
        <v>6.8</v>
      </c>
      <c r="N134" s="199" t="s">
        <v>98</v>
      </c>
      <c r="O134" s="198">
        <v>0</v>
      </c>
      <c r="P134" s="191" t="s">
        <v>549</v>
      </c>
      <c r="Q134" s="198">
        <v>52.9</v>
      </c>
      <c r="R134" s="205" t="str">
        <f>REPLACE(TEXT(Таблица3[[#This Row],[Столбец1]],"0"),2,0,".")</f>
        <v>3.059</v>
      </c>
      <c r="S134" s="205">
        <f ca="1">ROUND(
   Таблица3[[#This Row],[Столбец4]] * RANDBETWEEN(97,99)/100,
1)</f>
        <v>13.1</v>
      </c>
      <c r="T134" s="205">
        <f ca="1">ROUND(
    SUM(Таблица3[[#This Row],[Столбец6]:[Столбец13]]) * RANDBETWEEN(97,99)/100,
1)</f>
        <v>38.6</v>
      </c>
      <c r="U134" s="205">
        <f t="shared" ca="1" si="2"/>
        <v>51.7</v>
      </c>
    </row>
    <row r="135" spans="1:24" ht="79.2" hidden="1" x14ac:dyDescent="0.3">
      <c r="A135" s="197">
        <v>3060</v>
      </c>
      <c r="B135" s="191" t="s">
        <v>598</v>
      </c>
      <c r="C135" s="191">
        <v>7</v>
      </c>
      <c r="D135" s="191" t="s">
        <v>547</v>
      </c>
      <c r="E135" s="198">
        <v>21.1</v>
      </c>
      <c r="F135" s="199" t="s">
        <v>98</v>
      </c>
      <c r="G135" s="198">
        <v>0</v>
      </c>
      <c r="H135" s="191" t="s">
        <v>548</v>
      </c>
      <c r="I135" s="198">
        <v>3.7</v>
      </c>
      <c r="J135" s="199" t="s">
        <v>98</v>
      </c>
      <c r="K135" s="198">
        <v>0</v>
      </c>
      <c r="L135" s="191" t="s">
        <v>548</v>
      </c>
      <c r="M135" s="198">
        <v>19.100000000000001</v>
      </c>
      <c r="N135" s="199" t="s">
        <v>98</v>
      </c>
      <c r="O135" s="198">
        <v>0</v>
      </c>
      <c r="P135" s="191" t="s">
        <v>549</v>
      </c>
      <c r="Q135" s="198">
        <v>43.8</v>
      </c>
      <c r="R135" s="205" t="str">
        <f>REPLACE(TEXT(Таблица3[[#This Row],[Столбец1]],"0"),2,0,".")</f>
        <v>3.060</v>
      </c>
      <c r="S135" s="205">
        <f ca="1">ROUND(
   Таблица3[[#This Row],[Столбец4]] * RANDBETWEEN(97,99)/100,
1)</f>
        <v>20.5</v>
      </c>
      <c r="T135" s="205">
        <f ca="1">ROUND(
    SUM(Таблица3[[#This Row],[Столбец6]:[Столбец13]]) * RANDBETWEEN(97,99)/100,
1)</f>
        <v>22.1</v>
      </c>
      <c r="U135" s="205">
        <f t="shared" ca="1" si="2"/>
        <v>42.6</v>
      </c>
    </row>
    <row r="136" spans="1:24" ht="79.2" hidden="1" x14ac:dyDescent="0.3">
      <c r="A136" s="197">
        <v>3061</v>
      </c>
      <c r="B136" s="191" t="s">
        <v>599</v>
      </c>
      <c r="C136" s="191">
        <v>7</v>
      </c>
      <c r="D136" s="191" t="s">
        <v>547</v>
      </c>
      <c r="E136" s="198">
        <v>4.8</v>
      </c>
      <c r="F136" s="199" t="s">
        <v>98</v>
      </c>
      <c r="G136" s="198">
        <v>0</v>
      </c>
      <c r="H136" s="191" t="s">
        <v>548</v>
      </c>
      <c r="I136" s="198">
        <v>25</v>
      </c>
      <c r="J136" s="199" t="s">
        <v>98</v>
      </c>
      <c r="K136" s="198">
        <v>0</v>
      </c>
      <c r="L136" s="191" t="s">
        <v>548</v>
      </c>
      <c r="M136" s="198">
        <v>19.399999999999999</v>
      </c>
      <c r="N136" s="199" t="s">
        <v>98</v>
      </c>
      <c r="O136" s="198">
        <v>0</v>
      </c>
      <c r="P136" s="191" t="s">
        <v>549</v>
      </c>
      <c r="Q136" s="198">
        <v>49.2</v>
      </c>
      <c r="R136" s="205" t="str">
        <f>REPLACE(TEXT(Таблица3[[#This Row],[Столбец1]],"0"),2,0,".")</f>
        <v>3.061</v>
      </c>
      <c r="S136" s="205">
        <f ca="1">ROUND(
   Таблица3[[#This Row],[Столбец4]] * RANDBETWEEN(97,99)/100,
1)</f>
        <v>4.7</v>
      </c>
      <c r="T136" s="205">
        <f ca="1">ROUND(
    SUM(Таблица3[[#This Row],[Столбец6]:[Столбец13]]) * RANDBETWEEN(97,99)/100,
1)</f>
        <v>43.1</v>
      </c>
      <c r="U136" s="205">
        <f t="shared" ref="U136:U142" ca="1" si="3">SUM(S136:T136)</f>
        <v>47.800000000000004</v>
      </c>
    </row>
    <row r="137" spans="1:24" ht="79.2" hidden="1" x14ac:dyDescent="0.3">
      <c r="A137" s="197">
        <v>3062</v>
      </c>
      <c r="B137" s="199" t="s">
        <v>538</v>
      </c>
      <c r="C137" s="199">
        <v>7</v>
      </c>
      <c r="D137" s="191" t="s">
        <v>547</v>
      </c>
      <c r="E137" s="198">
        <v>10.8</v>
      </c>
      <c r="F137" s="199" t="s">
        <v>98</v>
      </c>
      <c r="G137" s="198">
        <v>0</v>
      </c>
      <c r="H137" s="191" t="s">
        <v>548</v>
      </c>
      <c r="I137" s="198">
        <v>35.5</v>
      </c>
      <c r="J137" s="199" t="s">
        <v>98</v>
      </c>
      <c r="K137" s="198">
        <v>0</v>
      </c>
      <c r="L137" s="199" t="s">
        <v>98</v>
      </c>
      <c r="M137" s="198">
        <v>0</v>
      </c>
      <c r="N137" s="199" t="s">
        <v>98</v>
      </c>
      <c r="O137" s="198">
        <v>0</v>
      </c>
      <c r="P137" s="191" t="s">
        <v>549</v>
      </c>
      <c r="Q137" s="198">
        <v>46.2</v>
      </c>
      <c r="R137" s="205" t="str">
        <f>REPLACE(TEXT(Таблица3[[#This Row],[Столбец1]],"0"),2,0,".")</f>
        <v>3.062</v>
      </c>
      <c r="S137" s="205">
        <f ca="1">ROUND(
   Таблица3[[#This Row],[Столбец4]] * RANDBETWEEN(97,99)/100,
1)</f>
        <v>10.7</v>
      </c>
      <c r="T137" s="205">
        <f ca="1">ROUND(
    SUM(Таблица3[[#This Row],[Столбец6]:[Столбец13]]) * RANDBETWEEN(97,99)/100,
1)</f>
        <v>34.4</v>
      </c>
      <c r="U137" s="205">
        <f t="shared" ca="1" si="3"/>
        <v>45.099999999999994</v>
      </c>
    </row>
    <row r="138" spans="1:24" ht="79.2" hidden="1" x14ac:dyDescent="0.3">
      <c r="A138" s="197">
        <v>3063</v>
      </c>
      <c r="B138" s="199" t="s">
        <v>537</v>
      </c>
      <c r="C138" s="199">
        <v>3</v>
      </c>
      <c r="D138" s="191" t="s">
        <v>547</v>
      </c>
      <c r="E138" s="198">
        <v>54.2</v>
      </c>
      <c r="F138" s="199" t="s">
        <v>98</v>
      </c>
      <c r="G138" s="198">
        <v>0</v>
      </c>
      <c r="H138" s="191" t="s">
        <v>548</v>
      </c>
      <c r="I138" s="198">
        <v>63.7</v>
      </c>
      <c r="J138" s="199" t="s">
        <v>98</v>
      </c>
      <c r="K138" s="198">
        <v>0</v>
      </c>
      <c r="L138" s="191" t="s">
        <v>548</v>
      </c>
      <c r="M138" s="198">
        <v>55.6</v>
      </c>
      <c r="N138" s="199" t="s">
        <v>98</v>
      </c>
      <c r="O138" s="198">
        <v>0</v>
      </c>
      <c r="P138" s="191" t="s">
        <v>549</v>
      </c>
      <c r="Q138" s="198">
        <v>173.5</v>
      </c>
      <c r="R138" s="205" t="str">
        <f>REPLACE(TEXT(Таблица3[[#This Row],[Столбец1]],"0"),2,0,".")</f>
        <v>3.063</v>
      </c>
      <c r="S138" s="205">
        <f ca="1">ROUND(
   Таблица3[[#This Row],[Столбец4]] * RANDBETWEEN(97,99)/100,
1)</f>
        <v>53.7</v>
      </c>
      <c r="T138" s="205">
        <f ca="1">ROUND(
    SUM(Таблица3[[#This Row],[Столбец6]:[Столбец13]]) * RANDBETWEEN(97,99)/100,
1)</f>
        <v>116.9</v>
      </c>
      <c r="U138" s="205">
        <f t="shared" ca="1" si="3"/>
        <v>170.60000000000002</v>
      </c>
    </row>
    <row r="139" spans="1:24" ht="92.4" hidden="1" x14ac:dyDescent="0.3">
      <c r="A139" s="197">
        <v>3064</v>
      </c>
      <c r="B139" s="191" t="s">
        <v>578</v>
      </c>
      <c r="C139" s="191">
        <v>4</v>
      </c>
      <c r="D139" s="191" t="s">
        <v>559</v>
      </c>
      <c r="E139" s="198">
        <v>1.6</v>
      </c>
      <c r="F139" s="199" t="s">
        <v>98</v>
      </c>
      <c r="G139" s="198">
        <v>0</v>
      </c>
      <c r="H139" s="191" t="s">
        <v>560</v>
      </c>
      <c r="I139" s="198">
        <v>29.2</v>
      </c>
      <c r="J139" s="199" t="s">
        <v>98</v>
      </c>
      <c r="K139" s="198">
        <v>0</v>
      </c>
      <c r="L139" s="191" t="s">
        <v>560</v>
      </c>
      <c r="M139" s="198">
        <v>29.6</v>
      </c>
      <c r="N139" s="199" t="s">
        <v>98</v>
      </c>
      <c r="O139" s="198">
        <v>0</v>
      </c>
      <c r="P139" s="191" t="s">
        <v>549</v>
      </c>
      <c r="Q139" s="198">
        <v>60.4</v>
      </c>
      <c r="R139" s="205" t="str">
        <f>REPLACE(TEXT(Таблица3[[#This Row],[Столбец1]],"0"),2,0,".")</f>
        <v>3.064</v>
      </c>
      <c r="S139" s="205">
        <f ca="1">ROUND(
   Таблица3[[#This Row],[Столбец4]] * RANDBETWEEN(97,99)/100,
1)</f>
        <v>1.6</v>
      </c>
      <c r="T139" s="205">
        <f ca="1">ROUND(
    SUM(Таблица3[[#This Row],[Столбец6]:[Столбец13]]) * RANDBETWEEN(97,99)/100,
1)</f>
        <v>57.6</v>
      </c>
      <c r="U139" s="205">
        <f t="shared" ca="1" si="3"/>
        <v>59.2</v>
      </c>
    </row>
    <row r="140" spans="1:24" ht="92.4" hidden="1" x14ac:dyDescent="0.3">
      <c r="A140" s="197">
        <v>3065</v>
      </c>
      <c r="B140" s="191" t="s">
        <v>583</v>
      </c>
      <c r="C140" s="191">
        <v>6</v>
      </c>
      <c r="D140" s="191" t="s">
        <v>559</v>
      </c>
      <c r="E140" s="198">
        <v>8.3000000000000007</v>
      </c>
      <c r="F140" s="199" t="s">
        <v>98</v>
      </c>
      <c r="G140" s="198">
        <v>0</v>
      </c>
      <c r="H140" s="199" t="s">
        <v>98</v>
      </c>
      <c r="I140" s="198">
        <v>0</v>
      </c>
      <c r="J140" s="199" t="s">
        <v>98</v>
      </c>
      <c r="K140" s="198">
        <v>0</v>
      </c>
      <c r="L140" s="191" t="s">
        <v>560</v>
      </c>
      <c r="M140" s="198">
        <v>6.3</v>
      </c>
      <c r="N140" s="199" t="s">
        <v>98</v>
      </c>
      <c r="O140" s="198">
        <v>0</v>
      </c>
      <c r="P140" s="191" t="s">
        <v>549</v>
      </c>
      <c r="Q140" s="198">
        <v>21.1</v>
      </c>
      <c r="R140" s="205" t="str">
        <f>REPLACE(TEXT(Таблица3[[#This Row],[Столбец1]],"0"),2,0,".")</f>
        <v>3.065</v>
      </c>
      <c r="S140" s="205">
        <f ca="1">ROUND(
   Таблица3[[#This Row],[Столбец4]] * RANDBETWEEN(97,99)/100,
1)</f>
        <v>8.1999999999999993</v>
      </c>
      <c r="T140" s="205">
        <f ca="1">ROUND(
    SUM(Таблица3[[#This Row],[Столбец6]:[Столбец13]]) * RANDBETWEEN(97,99)/100,
1)</f>
        <v>6.1</v>
      </c>
      <c r="U140" s="205">
        <f t="shared" ca="1" si="3"/>
        <v>14.299999999999999</v>
      </c>
    </row>
    <row r="141" spans="1:24" ht="105.6" hidden="1" x14ac:dyDescent="0.3">
      <c r="A141" s="200">
        <v>3066</v>
      </c>
      <c r="B141" s="193" t="s">
        <v>574</v>
      </c>
      <c r="C141" s="193">
        <v>4</v>
      </c>
      <c r="D141" s="193" t="s">
        <v>547</v>
      </c>
      <c r="E141" s="201">
        <v>25.5</v>
      </c>
      <c r="F141" s="202" t="s">
        <v>98</v>
      </c>
      <c r="G141" s="201">
        <v>0</v>
      </c>
      <c r="H141" s="193" t="s">
        <v>548</v>
      </c>
      <c r="I141" s="201">
        <v>121.4</v>
      </c>
      <c r="J141" s="193" t="s">
        <v>552</v>
      </c>
      <c r="K141" s="201">
        <v>21.5</v>
      </c>
      <c r="L141" s="193" t="s">
        <v>548</v>
      </c>
      <c r="M141" s="201">
        <v>13.7</v>
      </c>
      <c r="N141" s="202" t="s">
        <v>98</v>
      </c>
      <c r="O141" s="201">
        <v>0</v>
      </c>
      <c r="P141" s="193" t="s">
        <v>549</v>
      </c>
      <c r="Q141" s="201">
        <v>182.1</v>
      </c>
      <c r="R141" s="205" t="str">
        <f>REPLACE(TEXT(Таблица3[[#This Row],[Столбец1]],"0"),2,0,".")</f>
        <v>3.066</v>
      </c>
      <c r="S141" s="205">
        <f ca="1">ROUND(
   Таблица3[[#This Row],[Столбец4]] * RANDBETWEEN(97,99)/100,
1)</f>
        <v>25</v>
      </c>
      <c r="T141" s="205">
        <f ca="1">ROUND(
    SUM(Таблица3[[#This Row],[Столбец6]:[Столбец13]]) * RANDBETWEEN(97,99)/100,
1)</f>
        <v>155</v>
      </c>
      <c r="U141" s="205">
        <f t="shared" ca="1" si="3"/>
        <v>180</v>
      </c>
    </row>
    <row r="142" spans="1:24" ht="79.2" hidden="1" x14ac:dyDescent="0.3">
      <c r="A142" s="200">
        <v>3067</v>
      </c>
      <c r="B142" s="193" t="s">
        <v>584</v>
      </c>
      <c r="C142" s="193">
        <v>2</v>
      </c>
      <c r="D142" s="193" t="s">
        <v>547</v>
      </c>
      <c r="E142" s="201">
        <v>32.9</v>
      </c>
      <c r="F142" s="202" t="s">
        <v>98</v>
      </c>
      <c r="G142" s="201">
        <v>0</v>
      </c>
      <c r="H142" s="193" t="s">
        <v>548</v>
      </c>
      <c r="I142" s="201">
        <v>14.6</v>
      </c>
      <c r="J142" s="202" t="s">
        <v>98</v>
      </c>
      <c r="K142" s="201">
        <v>0</v>
      </c>
      <c r="L142" s="193" t="s">
        <v>548</v>
      </c>
      <c r="M142" s="201">
        <v>8.8000000000000007</v>
      </c>
      <c r="N142" s="202" t="s">
        <v>98</v>
      </c>
      <c r="O142" s="201">
        <v>0</v>
      </c>
      <c r="P142" s="193" t="s">
        <v>549</v>
      </c>
      <c r="Q142" s="201">
        <v>56.2</v>
      </c>
      <c r="R142" s="205" t="str">
        <f>REPLACE(TEXT(Таблица3[[#This Row],[Столбец1]],"0"),2,0,".")</f>
        <v>3.067</v>
      </c>
      <c r="S142" s="205">
        <f ca="1">ROUND(
   Таблица3[[#This Row],[Столбец4]] * RANDBETWEEN(97,99)/100,
1)</f>
        <v>32.200000000000003</v>
      </c>
      <c r="T142" s="205">
        <f ca="1">ROUND(
    SUM(Таблица3[[#This Row],[Столбец6]:[Столбец13]]) * RANDBETWEEN(97,99)/100,
1)</f>
        <v>23.2</v>
      </c>
      <c r="U142" s="205">
        <f t="shared" ca="1" si="3"/>
        <v>55.400000000000006</v>
      </c>
    </row>
    <row r="143" spans="1:24" hidden="1" x14ac:dyDescent="0.3">
      <c r="A143" s="256"/>
      <c r="B143" s="257"/>
      <c r="C143" s="258"/>
      <c r="D143" s="259"/>
      <c r="E143" s="260">
        <f>SUM(Таблица3[Столбец4])</f>
        <v>7071.7999999999984</v>
      </c>
      <c r="F143" s="261"/>
      <c r="G143" s="260"/>
      <c r="H143" s="262"/>
      <c r="I143" s="260">
        <f>SUM(Таблица3[Столбец8])+SUM(Таблица3[Столбец10])+SUM(Таблица3[Столбец13])</f>
        <v>10139.999999999998</v>
      </c>
      <c r="J143" s="261"/>
      <c r="K143" s="260"/>
      <c r="L143" s="262"/>
      <c r="M143" s="260"/>
      <c r="N143" s="261"/>
      <c r="O143" s="260"/>
      <c r="P143" s="262"/>
      <c r="Q143" s="260"/>
      <c r="R143" s="255"/>
      <c r="S143" s="255">
        <f ca="1">SUBTOTAL(109,Таблица1[по ж/б поверхностям])</f>
        <v>768.60000000000014</v>
      </c>
      <c r="T143" s="255">
        <f ca="1">SUM(Таблица1[[ по газобетонному блоку и ПГП]])</f>
        <v>9935.5000000000073</v>
      </c>
      <c r="U143" s="255">
        <f ca="1">SUBTOTAL(109,Таблица1[Итог])</f>
        <v>1686.8</v>
      </c>
      <c r="W143" s="189">
        <f ca="1">Таблица1[[#Totals],[по ж/б поверхностям]]/Таблица3[[#Totals],[Столбец4]]*100</f>
        <v>10.868520037331377</v>
      </c>
      <c r="X143" s="189">
        <f ca="1">Таблица1[[#Totals],[ по газобетонному блоку и ПГП]]/Таблица3[[#Totals],[Столбец8]]*100</f>
        <v>97.983234714004027</v>
      </c>
    </row>
    <row r="148" spans="1:18" x14ac:dyDescent="0.3">
      <c r="D148" s="251"/>
    </row>
    <row r="149" spans="1:18" x14ac:dyDescent="0.3">
      <c r="A149" s="214"/>
      <c r="B149" s="211"/>
      <c r="C149" s="211"/>
      <c r="D149" s="214"/>
      <c r="E149" s="211"/>
      <c r="F149" s="211"/>
    </row>
    <row r="150" spans="1:18" x14ac:dyDescent="0.3">
      <c r="A150" s="212"/>
      <c r="B150" s="213"/>
      <c r="C150" s="213"/>
      <c r="D150" s="212"/>
      <c r="E150" s="252">
        <v>7</v>
      </c>
      <c r="F150" s="252"/>
      <c r="G150" s="253"/>
      <c r="H150" s="253"/>
      <c r="I150" s="253">
        <v>6</v>
      </c>
      <c r="J150" s="252">
        <v>7</v>
      </c>
      <c r="K150" s="252">
        <v>5</v>
      </c>
      <c r="L150" s="253"/>
      <c r="M150" s="253">
        <v>4</v>
      </c>
      <c r="N150" s="253">
        <v>6</v>
      </c>
      <c r="O150" s="252">
        <v>7</v>
      </c>
      <c r="P150" s="252">
        <v>3</v>
      </c>
      <c r="Q150" s="253">
        <v>2</v>
      </c>
      <c r="R150" s="253">
        <v>1</v>
      </c>
    </row>
    <row r="151" spans="1:18" ht="92.4" x14ac:dyDescent="0.3">
      <c r="A151" s="219">
        <v>2000</v>
      </c>
      <c r="B151" s="220" t="s">
        <v>693</v>
      </c>
      <c r="C151" s="220">
        <v>7</v>
      </c>
      <c r="D151" s="219" t="s">
        <v>559</v>
      </c>
      <c r="E151" s="220">
        <f t="shared" ref="E151:R151" si="4">SUMIFS($E$2:$E$142, $A$2:$A$142, "&lt;3000", $D$2:$D$142, $D151, $C$2:$C$142, E$150, $B$2:$B$142, "&lt;&gt;"&amp;$B151)</f>
        <v>0</v>
      </c>
      <c r="F151" s="220">
        <f t="shared" si="4"/>
        <v>0</v>
      </c>
      <c r="G151" s="220">
        <f t="shared" si="4"/>
        <v>0</v>
      </c>
      <c r="H151" s="220">
        <f t="shared" si="4"/>
        <v>0</v>
      </c>
      <c r="I151" s="220">
        <f t="shared" si="4"/>
        <v>67.3</v>
      </c>
      <c r="J151" s="220">
        <f t="shared" si="4"/>
        <v>0</v>
      </c>
      <c r="K151" s="220">
        <f t="shared" si="4"/>
        <v>0</v>
      </c>
      <c r="L151" s="220">
        <f t="shared" si="4"/>
        <v>0</v>
      </c>
      <c r="M151" s="220">
        <f t="shared" si="4"/>
        <v>0</v>
      </c>
      <c r="N151" s="220">
        <f t="shared" si="4"/>
        <v>67.3</v>
      </c>
      <c r="O151" s="220">
        <f t="shared" si="4"/>
        <v>0</v>
      </c>
      <c r="P151" s="220">
        <f t="shared" si="4"/>
        <v>38.900000000000006</v>
      </c>
      <c r="Q151" s="220">
        <f t="shared" si="4"/>
        <v>57.800000000000004</v>
      </c>
      <c r="R151" s="220">
        <f t="shared" si="4"/>
        <v>10.8</v>
      </c>
    </row>
    <row r="152" spans="1:18" ht="105.6" x14ac:dyDescent="0.3">
      <c r="A152" s="221">
        <v>2000</v>
      </c>
      <c r="B152" s="222" t="s">
        <v>693</v>
      </c>
      <c r="C152" s="222">
        <v>7</v>
      </c>
      <c r="D152" s="221" t="s">
        <v>694</v>
      </c>
      <c r="E152" s="222">
        <f t="shared" ref="E152:R152" si="5">SUMIFS($I$2:$I$142, $A$2:$A$142, "&lt;3000", $D$2:$D$142, $D152, $C$2:$C$142, E$150, $B$2:$B$142, "&lt;&gt;"&amp;$B152)
+SUMIFS($K$2:$K$142, $A$2:$A$142, "&lt;3000", $D$2:$D$142, $D152, $C$2:$C$142, E$150, $B$2:$B$142, "&lt;&gt;"&amp;$B152)
+SUMIFS($M$2:$M$142, $A$2:$A$142, "&lt;3000", $D$2:$D$142, $D152, $C$2:$C$142, E$150, $B$2:$B$142, "&lt;&gt;"&amp;$B152)</f>
        <v>0</v>
      </c>
      <c r="F152" s="222">
        <f t="shared" si="5"/>
        <v>0</v>
      </c>
      <c r="G152" s="222">
        <f t="shared" si="5"/>
        <v>0</v>
      </c>
      <c r="H152" s="222">
        <f t="shared" si="5"/>
        <v>0</v>
      </c>
      <c r="I152" s="222">
        <f t="shared" si="5"/>
        <v>178.5</v>
      </c>
      <c r="J152" s="222">
        <f t="shared" si="5"/>
        <v>0</v>
      </c>
      <c r="K152" s="222">
        <f t="shared" si="5"/>
        <v>0</v>
      </c>
      <c r="L152" s="222">
        <f t="shared" si="5"/>
        <v>0</v>
      </c>
      <c r="M152" s="222">
        <f t="shared" si="5"/>
        <v>0</v>
      </c>
      <c r="N152" s="222">
        <f t="shared" si="5"/>
        <v>178.5</v>
      </c>
      <c r="O152" s="222">
        <f t="shared" si="5"/>
        <v>0</v>
      </c>
      <c r="P152" s="222">
        <f t="shared" si="5"/>
        <v>414.59999999999997</v>
      </c>
      <c r="Q152" s="222">
        <f t="shared" si="5"/>
        <v>134.9</v>
      </c>
      <c r="R152" s="222">
        <f t="shared" si="5"/>
        <v>80</v>
      </c>
    </row>
    <row r="153" spans="1:18" ht="79.2" x14ac:dyDescent="0.3">
      <c r="A153" s="215">
        <v>2000</v>
      </c>
      <c r="B153" s="216" t="s">
        <v>693</v>
      </c>
      <c r="C153" s="216">
        <v>7</v>
      </c>
      <c r="D153" s="215" t="s">
        <v>547</v>
      </c>
      <c r="E153" s="216">
        <f>SUMIFS($E$2:$E$142, $A$2:$A$142, "&lt;3000", $D$2:$D$142, $D153, $C$2:$C$142, E$150, $B$2:$B$142, "&lt;&gt;"&amp;$B153)</f>
        <v>493.4</v>
      </c>
      <c r="F153" s="216">
        <f t="shared" ref="F153:R153" si="6">SUMIFS($E$2:$E$142, $A$2:$A$142, "&lt;3000", $D$2:$D$142, $D153, $C$2:$C$142, F$150, $B$2:$B$142, "&lt;&gt;"&amp;$B153)</f>
        <v>0</v>
      </c>
      <c r="G153" s="216">
        <f t="shared" si="6"/>
        <v>0</v>
      </c>
      <c r="H153" s="216">
        <f t="shared" si="6"/>
        <v>0</v>
      </c>
      <c r="I153" s="216">
        <f t="shared" si="6"/>
        <v>318.89999999999998</v>
      </c>
      <c r="J153" s="216">
        <f t="shared" si="6"/>
        <v>493.4</v>
      </c>
      <c r="K153" s="216">
        <f t="shared" si="6"/>
        <v>293.59999999999997</v>
      </c>
      <c r="L153" s="216">
        <f t="shared" si="6"/>
        <v>0</v>
      </c>
      <c r="M153" s="216">
        <f t="shared" si="6"/>
        <v>679.8</v>
      </c>
      <c r="N153" s="216">
        <f t="shared" si="6"/>
        <v>318.89999999999998</v>
      </c>
      <c r="O153" s="216">
        <f t="shared" si="6"/>
        <v>493.4</v>
      </c>
      <c r="P153" s="216">
        <f t="shared" si="6"/>
        <v>345</v>
      </c>
      <c r="Q153" s="216">
        <f t="shared" si="6"/>
        <v>294.7</v>
      </c>
      <c r="R153" s="216">
        <f t="shared" si="6"/>
        <v>496.09999999999997</v>
      </c>
    </row>
    <row r="154" spans="1:18" ht="79.2" x14ac:dyDescent="0.3">
      <c r="A154" s="217">
        <v>2000</v>
      </c>
      <c r="B154" s="218" t="s">
        <v>693</v>
      </c>
      <c r="C154" s="218">
        <v>7</v>
      </c>
      <c r="D154" s="217" t="s">
        <v>547</v>
      </c>
      <c r="E154" s="218">
        <f>SUMIFS($I$2:$I$142, $A$2:$A$142, "&lt;3000", $D$2:$D$142, $D154, $C$2:$C$142, E$150, $B$2:$B$142, "&lt;&gt;"&amp;$B154)
+SUMIFS($K$2:$K$142, $A$2:$A$142, "&lt;3000", $D$2:$D$142, $D154, $C$2:$C$142, E$150, $B$2:$B$142, "&lt;&gt;"&amp;$B154)
+SUMIFS($M$2:$M$142, $A$2:$A$142, "&lt;3000", $D$2:$D$142, $D154, $C$2:$C$142, E$150, $B$2:$B$142, "&lt;&gt;"&amp;$B154)</f>
        <v>705.80000000000007</v>
      </c>
      <c r="F154" s="218">
        <f t="shared" ref="F154:R154" si="7">SUMIFS($I$2:$I$142, $A$2:$A$142, "&lt;3000", $D$2:$D$142, $D154, $C$2:$C$142, F$150, $B$2:$B$142, "&lt;&gt;"&amp;$B154)
+SUMIFS($K$2:$K$142, $A$2:$A$142, "&lt;3000", $D$2:$D$142, $D154, $C$2:$C$142, F$150, $B$2:$B$142, "&lt;&gt;"&amp;$B154)
+SUMIFS($M$2:$M$142, $A$2:$A$142, "&lt;3000", $D$2:$D$142, $D154, $C$2:$C$142, F$150, $B$2:$B$142, "&lt;&gt;"&amp;$B154)</f>
        <v>0</v>
      </c>
      <c r="G154" s="218">
        <f t="shared" si="7"/>
        <v>0</v>
      </c>
      <c r="H154" s="218">
        <f t="shared" si="7"/>
        <v>0</v>
      </c>
      <c r="I154" s="218">
        <f t="shared" si="7"/>
        <v>320</v>
      </c>
      <c r="J154" s="218">
        <f t="shared" si="7"/>
        <v>705.80000000000007</v>
      </c>
      <c r="K154" s="218">
        <f t="shared" si="7"/>
        <v>440.79999999999995</v>
      </c>
      <c r="L154" s="218">
        <f t="shared" si="7"/>
        <v>0</v>
      </c>
      <c r="M154" s="218">
        <f t="shared" si="7"/>
        <v>938.30000000000007</v>
      </c>
      <c r="N154" s="218">
        <f t="shared" si="7"/>
        <v>320</v>
      </c>
      <c r="O154" s="218">
        <f t="shared" si="7"/>
        <v>705.80000000000007</v>
      </c>
      <c r="P154" s="218">
        <f t="shared" si="7"/>
        <v>791.3</v>
      </c>
      <c r="Q154" s="218">
        <f t="shared" si="7"/>
        <v>359</v>
      </c>
      <c r="R154" s="218">
        <f t="shared" si="7"/>
        <v>804.49999999999989</v>
      </c>
    </row>
    <row r="155" spans="1:18" x14ac:dyDescent="0.3">
      <c r="A155" s="223"/>
      <c r="B155" s="224"/>
      <c r="C155" s="224"/>
      <c r="D155" s="223"/>
      <c r="E155" s="224"/>
      <c r="F155" s="224"/>
    </row>
    <row r="156" spans="1:18" x14ac:dyDescent="0.3">
      <c r="A156" s="212"/>
      <c r="B156" s="213"/>
      <c r="C156" s="213"/>
      <c r="D156" s="212"/>
      <c r="E156" s="252">
        <v>7</v>
      </c>
      <c r="F156" s="252"/>
      <c r="G156" s="253"/>
      <c r="H156" s="253"/>
      <c r="I156" s="253">
        <v>6</v>
      </c>
      <c r="J156" s="252">
        <v>7</v>
      </c>
      <c r="K156" s="252">
        <v>5</v>
      </c>
      <c r="L156" s="253"/>
      <c r="M156" s="253">
        <v>4</v>
      </c>
      <c r="N156" s="253">
        <v>6</v>
      </c>
      <c r="O156" s="252">
        <v>7</v>
      </c>
      <c r="P156" s="252">
        <v>3</v>
      </c>
      <c r="Q156" s="253">
        <v>2</v>
      </c>
      <c r="R156" s="253">
        <v>1</v>
      </c>
    </row>
    <row r="157" spans="1:18" ht="92.4" x14ac:dyDescent="0.3">
      <c r="A157" s="219">
        <v>3000</v>
      </c>
      <c r="B157" s="220" t="s">
        <v>693</v>
      </c>
      <c r="C157" s="220">
        <v>7</v>
      </c>
      <c r="D157" s="219" t="s">
        <v>559</v>
      </c>
      <c r="E157" s="220">
        <f>SUMIFS($E$2:$E$142, $A$2:$A$142, "&gt;=3000", $D$2:$D$142, $D157, $C$2:$C$142, E$150, $B$2:$B$142, "&lt;&gt;"&amp;$B157)</f>
        <v>0</v>
      </c>
      <c r="F157" s="220">
        <f t="shared" ref="F157:R159" si="8">SUMIFS($E$2:$E$142, $A$2:$A$142, "&gt;=3000", $D$2:$D$142, $D157, $C$2:$C$142, F$150, $B$2:$B$142, "&lt;&gt;"&amp;$B157)</f>
        <v>0</v>
      </c>
      <c r="G157" s="220">
        <f t="shared" si="8"/>
        <v>0</v>
      </c>
      <c r="H157" s="220">
        <f t="shared" si="8"/>
        <v>0</v>
      </c>
      <c r="I157" s="220">
        <f t="shared" si="8"/>
        <v>67.5</v>
      </c>
      <c r="J157" s="220">
        <f t="shared" si="8"/>
        <v>0</v>
      </c>
      <c r="K157" s="220">
        <f t="shared" si="8"/>
        <v>0</v>
      </c>
      <c r="L157" s="220">
        <f t="shared" si="8"/>
        <v>0</v>
      </c>
      <c r="M157" s="220">
        <f t="shared" si="8"/>
        <v>12</v>
      </c>
      <c r="N157" s="220">
        <f t="shared" si="8"/>
        <v>67.5</v>
      </c>
      <c r="O157" s="220">
        <f t="shared" si="8"/>
        <v>0</v>
      </c>
      <c r="P157" s="220">
        <f t="shared" si="8"/>
        <v>3.1</v>
      </c>
      <c r="Q157" s="220">
        <f t="shared" si="8"/>
        <v>60.7</v>
      </c>
      <c r="R157" s="220">
        <f t="shared" si="8"/>
        <v>10.9</v>
      </c>
    </row>
    <row r="158" spans="1:18" ht="105.6" x14ac:dyDescent="0.3">
      <c r="A158" s="221">
        <v>3000</v>
      </c>
      <c r="B158" s="222" t="s">
        <v>693</v>
      </c>
      <c r="C158" s="222">
        <v>7</v>
      </c>
      <c r="D158" s="221" t="s">
        <v>694</v>
      </c>
      <c r="E158" s="222">
        <f>SUMIFS($I$2:$I$142, $A$2:$A$142, "&gt;=3000", $D$2:$D$142, $D158, $C$2:$C$142, E$150, $B$2:$B$142, "&lt;&gt;"&amp;$B158)
+SUMIFS($K$2:$K$142, $A$2:$A$142, "&gt;=3000", $D$2:$D$142, $D158, $C$2:$C$142, E$150, $B$2:$B$142, "&lt;&gt;"&amp;$B158)
+SUMIFS($M$2:$M$142, $A$2:$A$142, "&gt;=3000", $D$2:$D$142, $D158, $C$2:$C$142, E$150, $B$2:$B$142, "&lt;&gt;"&amp;$B158)</f>
        <v>0</v>
      </c>
      <c r="F158" s="222">
        <f t="shared" ref="F158:R158" si="9">SUMIFS($I$2:$I$142, $A$2:$A$142, "&lt;3000", $D$2:$D$142, $D158, $C$2:$C$142, F$150, $B$2:$B$142, "&lt;&gt;"&amp;$B158)
+SUMIFS($K$2:$K$142, $A$2:$A$142, "&lt;3000", $D$2:$D$142, $D158, $C$2:$C$142, F$150, $B$2:$B$142, "&lt;&gt;"&amp;$B158)
+SUMIFS($M$2:$M$142, $A$2:$A$142, "&lt;3000", $D$2:$D$142, $D158, $C$2:$C$142, F$150, $B$2:$B$142, "&lt;&gt;"&amp;$B158)</f>
        <v>0</v>
      </c>
      <c r="G158" s="222">
        <f t="shared" si="9"/>
        <v>0</v>
      </c>
      <c r="H158" s="222">
        <f t="shared" si="9"/>
        <v>0</v>
      </c>
      <c r="I158" s="222">
        <f t="shared" si="9"/>
        <v>178.5</v>
      </c>
      <c r="J158" s="222">
        <f t="shared" si="9"/>
        <v>0</v>
      </c>
      <c r="K158" s="222">
        <f t="shared" si="9"/>
        <v>0</v>
      </c>
      <c r="L158" s="222">
        <f t="shared" si="9"/>
        <v>0</v>
      </c>
      <c r="M158" s="222">
        <f t="shared" si="9"/>
        <v>0</v>
      </c>
      <c r="N158" s="222">
        <f t="shared" si="9"/>
        <v>178.5</v>
      </c>
      <c r="O158" s="222">
        <f t="shared" si="9"/>
        <v>0</v>
      </c>
      <c r="P158" s="222">
        <f t="shared" si="9"/>
        <v>414.59999999999997</v>
      </c>
      <c r="Q158" s="222">
        <f t="shared" si="9"/>
        <v>134.9</v>
      </c>
      <c r="R158" s="222">
        <f t="shared" si="9"/>
        <v>80</v>
      </c>
    </row>
    <row r="159" spans="1:18" ht="79.2" x14ac:dyDescent="0.3">
      <c r="A159" s="215">
        <v>3000</v>
      </c>
      <c r="B159" s="216" t="s">
        <v>693</v>
      </c>
      <c r="C159" s="216">
        <v>7</v>
      </c>
      <c r="D159" s="215" t="s">
        <v>547</v>
      </c>
      <c r="E159" s="216">
        <f>SUMIFS($E$2:$E$142, $A$2:$A$142, "&gt;=3000", $D$2:$D$142, $D159, $C$2:$C$142, E$150, $B$2:$B$142, "&lt;&gt;"&amp;$B159)</f>
        <v>483.1</v>
      </c>
      <c r="F159" s="216">
        <f t="shared" si="8"/>
        <v>0</v>
      </c>
      <c r="G159" s="216">
        <f t="shared" si="8"/>
        <v>0</v>
      </c>
      <c r="H159" s="216">
        <f t="shared" si="8"/>
        <v>0</v>
      </c>
      <c r="I159" s="216">
        <f t="shared" si="8"/>
        <v>407.2</v>
      </c>
      <c r="J159" s="216">
        <f t="shared" si="8"/>
        <v>483.1</v>
      </c>
      <c r="K159" s="216">
        <f t="shared" si="8"/>
        <v>118.39999999999999</v>
      </c>
      <c r="L159" s="216">
        <f t="shared" si="8"/>
        <v>0</v>
      </c>
      <c r="M159" s="216">
        <f t="shared" si="8"/>
        <v>466.7</v>
      </c>
      <c r="N159" s="216">
        <f t="shared" si="8"/>
        <v>407.2</v>
      </c>
      <c r="O159" s="216">
        <f t="shared" si="8"/>
        <v>483.1</v>
      </c>
      <c r="P159" s="216">
        <f t="shared" si="8"/>
        <v>203.5</v>
      </c>
      <c r="Q159" s="216">
        <f t="shared" si="8"/>
        <v>274.89999999999998</v>
      </c>
      <c r="R159" s="216">
        <f t="shared" si="8"/>
        <v>490.90000000000003</v>
      </c>
    </row>
    <row r="160" spans="1:18" ht="79.2" x14ac:dyDescent="0.3">
      <c r="A160" s="217">
        <v>3000</v>
      </c>
      <c r="B160" s="218" t="s">
        <v>693</v>
      </c>
      <c r="C160" s="218">
        <v>7</v>
      </c>
      <c r="D160" s="217" t="s">
        <v>547</v>
      </c>
      <c r="E160" s="218">
        <f>SUMIFS($I$2:$I$142, $A$2:$A$142, "&gt;=3000", $D$2:$D$142, $D160, $C$2:$C$142, E$150, $B$2:$B$142, "&lt;&gt;"&amp;$B160)
+SUMIFS($K$2:$K$142, $A$2:$A$142, "&gt;=3000", $D$2:$D$142, $D160, $C$2:$C$142, E$150, $B$2:$B$142, "&lt;&gt;"&amp;$B160)
+SUMIFS($M$2:$M$142, $A$2:$A$142, "&gt;=3000", $D$2:$D$142, $D160, $C$2:$C$142, E$150, $B$2:$B$142, "&lt;&gt;"&amp;$B160)</f>
        <v>944.59999999999991</v>
      </c>
      <c r="F160" s="218">
        <f t="shared" ref="F160:R160" si="10">SUMIFS($I$2:$I$142, $A$2:$A$142, "&lt;3000", $D$2:$D$142, $D160, $C$2:$C$142, F$150, $B$2:$B$142, "&lt;&gt;"&amp;$B160)
+SUMIFS($K$2:$K$142, $A$2:$A$142, "&lt;3000", $D$2:$D$142, $D160, $C$2:$C$142, F$150, $B$2:$B$142, "&lt;&gt;"&amp;$B160)
+SUMIFS($M$2:$M$142, $A$2:$A$142, "&lt;3000", $D$2:$D$142, $D160, $C$2:$C$142, F$150, $B$2:$B$142, "&lt;&gt;"&amp;$B160)</f>
        <v>0</v>
      </c>
      <c r="G160" s="218">
        <f t="shared" si="10"/>
        <v>0</v>
      </c>
      <c r="H160" s="218">
        <f t="shared" si="10"/>
        <v>0</v>
      </c>
      <c r="I160" s="218">
        <f t="shared" si="10"/>
        <v>320</v>
      </c>
      <c r="J160" s="218">
        <f t="shared" si="10"/>
        <v>705.80000000000007</v>
      </c>
      <c r="K160" s="218">
        <f t="shared" si="10"/>
        <v>440.79999999999995</v>
      </c>
      <c r="L160" s="218">
        <f t="shared" si="10"/>
        <v>0</v>
      </c>
      <c r="M160" s="218">
        <f t="shared" si="10"/>
        <v>938.30000000000007</v>
      </c>
      <c r="N160" s="218">
        <f t="shared" si="10"/>
        <v>320</v>
      </c>
      <c r="O160" s="218">
        <f t="shared" si="10"/>
        <v>705.80000000000007</v>
      </c>
      <c r="P160" s="218">
        <f t="shared" si="10"/>
        <v>791.3</v>
      </c>
      <c r="Q160" s="218">
        <f t="shared" si="10"/>
        <v>359</v>
      </c>
      <c r="R160" s="218">
        <f t="shared" si="10"/>
        <v>804.49999999999989</v>
      </c>
    </row>
  </sheetData>
  <mergeCells count="12">
    <mergeCell ref="N3:O3"/>
    <mergeCell ref="P3:Q3"/>
    <mergeCell ref="A1:Q1"/>
    <mergeCell ref="A2:A4"/>
    <mergeCell ref="B2:B4"/>
    <mergeCell ref="D2:Q2"/>
    <mergeCell ref="D3:E3"/>
    <mergeCell ref="F3:G3"/>
    <mergeCell ref="H3:I3"/>
    <mergeCell ref="J3:K3"/>
    <mergeCell ref="L3:M3"/>
    <mergeCell ref="C2:C4"/>
  </mergeCells>
  <pageMargins left="0.7" right="0.7" top="0.75" bottom="0.75" header="0.3" footer="0.3"/>
  <pageSetup orientation="portrait" horizontalDpi="1200" verticalDpi="1200" r:id="rId1"/>
  <ignoredErrors>
    <ignoredError sqref="T5" calculatedColumn="1"/>
  </ignoredErrors>
  <tableParts count="2">
    <tablePart r:id="rId2"/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E15"/>
  <sheetViews>
    <sheetView zoomScale="85" zoomScaleNormal="85" workbookViewId="0">
      <selection activeCell="E15" sqref="A1:E15"/>
    </sheetView>
  </sheetViews>
  <sheetFormatPr defaultRowHeight="13.2" x14ac:dyDescent="0.25"/>
  <cols>
    <col min="1" max="1" width="12" style="9" customWidth="1"/>
    <col min="2" max="2" width="37.88671875" style="9" customWidth="1"/>
    <col min="3" max="3" width="42.44140625" style="9" customWidth="1"/>
    <col min="4" max="4" width="13.77734375" style="9" customWidth="1"/>
    <col min="5" max="16384" width="8.88671875" style="9"/>
  </cols>
  <sheetData>
    <row r="1" spans="1:5" x14ac:dyDescent="0.25">
      <c r="A1" s="11"/>
      <c r="B1" s="12" t="s">
        <v>600</v>
      </c>
      <c r="C1" s="13"/>
      <c r="D1" s="13"/>
      <c r="E1" s="10"/>
    </row>
    <row r="2" spans="1:5" x14ac:dyDescent="0.25">
      <c r="A2" s="11" t="s">
        <v>0</v>
      </c>
      <c r="B2" s="211" t="s">
        <v>498</v>
      </c>
      <c r="C2" s="211" t="s">
        <v>696</v>
      </c>
      <c r="D2" s="211" t="s">
        <v>1</v>
      </c>
      <c r="E2" s="13" t="s">
        <v>2</v>
      </c>
    </row>
    <row r="3" spans="1:5" ht="52.8" x14ac:dyDescent="0.25">
      <c r="A3" s="229"/>
      <c r="B3" s="212" t="s">
        <v>28</v>
      </c>
      <c r="C3" s="213"/>
      <c r="D3" s="213" t="s">
        <v>4</v>
      </c>
      <c r="E3" s="231">
        <v>0</v>
      </c>
    </row>
    <row r="4" spans="1:5" ht="26.4" x14ac:dyDescent="0.25">
      <c r="A4" s="229"/>
      <c r="B4" s="214" t="s">
        <v>139</v>
      </c>
      <c r="C4" s="211" t="s">
        <v>140</v>
      </c>
      <c r="D4" s="211" t="s">
        <v>96</v>
      </c>
      <c r="E4" s="231">
        <v>0</v>
      </c>
    </row>
    <row r="5" spans="1:5" ht="26.4" x14ac:dyDescent="0.25">
      <c r="A5" s="229"/>
      <c r="B5" s="212" t="s">
        <v>139</v>
      </c>
      <c r="C5" s="213" t="s">
        <v>145</v>
      </c>
      <c r="D5" s="213" t="s">
        <v>96</v>
      </c>
      <c r="E5" s="231">
        <v>0</v>
      </c>
    </row>
    <row r="6" spans="1:5" ht="26.4" x14ac:dyDescent="0.25">
      <c r="A6" s="229"/>
      <c r="B6" s="214" t="s">
        <v>139</v>
      </c>
      <c r="C6" s="211" t="s">
        <v>149</v>
      </c>
      <c r="D6" s="211" t="s">
        <v>96</v>
      </c>
      <c r="E6" s="231">
        <v>0</v>
      </c>
    </row>
    <row r="7" spans="1:5" ht="26.4" x14ac:dyDescent="0.25">
      <c r="A7" s="229"/>
      <c r="B7" s="212" t="s">
        <v>139</v>
      </c>
      <c r="C7" s="213" t="s">
        <v>153</v>
      </c>
      <c r="D7" s="213" t="s">
        <v>96</v>
      </c>
      <c r="E7" s="231">
        <v>0</v>
      </c>
    </row>
    <row r="8" spans="1:5" ht="52.8" x14ac:dyDescent="0.25">
      <c r="A8" s="229"/>
      <c r="B8" s="215" t="s">
        <v>166</v>
      </c>
      <c r="C8" s="216" t="s">
        <v>167</v>
      </c>
      <c r="D8" s="216" t="s">
        <v>96</v>
      </c>
      <c r="E8" s="231">
        <v>0</v>
      </c>
    </row>
    <row r="9" spans="1:5" ht="52.8" x14ac:dyDescent="0.25">
      <c r="A9" s="229"/>
      <c r="B9" s="217" t="s">
        <v>166</v>
      </c>
      <c r="C9" s="218" t="s">
        <v>173</v>
      </c>
      <c r="D9" s="218" t="s">
        <v>96</v>
      </c>
      <c r="E9" s="231">
        <v>0</v>
      </c>
    </row>
    <row r="10" spans="1:5" ht="52.8" x14ac:dyDescent="0.25">
      <c r="A10" s="229"/>
      <c r="B10" s="219" t="s">
        <v>166</v>
      </c>
      <c r="C10" s="220" t="s">
        <v>179</v>
      </c>
      <c r="D10" s="220" t="s">
        <v>96</v>
      </c>
      <c r="E10" s="231">
        <v>0</v>
      </c>
    </row>
    <row r="11" spans="1:5" ht="52.8" x14ac:dyDescent="0.25">
      <c r="A11" s="229"/>
      <c r="B11" s="221" t="s">
        <v>166</v>
      </c>
      <c r="C11" s="222" t="s">
        <v>185</v>
      </c>
      <c r="D11" s="222" t="s">
        <v>96</v>
      </c>
      <c r="E11" s="231">
        <v>0</v>
      </c>
    </row>
    <row r="12" spans="1:5" ht="52.8" x14ac:dyDescent="0.25">
      <c r="A12" s="229"/>
      <c r="B12" s="223" t="s">
        <v>192</v>
      </c>
      <c r="C12" s="224" t="s">
        <v>167</v>
      </c>
      <c r="D12" s="224" t="s">
        <v>96</v>
      </c>
      <c r="E12" s="231">
        <v>0</v>
      </c>
    </row>
    <row r="13" spans="1:5" ht="52.8" x14ac:dyDescent="0.25">
      <c r="A13" s="229"/>
      <c r="B13" s="225" t="s">
        <v>192</v>
      </c>
      <c r="C13" s="226" t="s">
        <v>197</v>
      </c>
      <c r="D13" s="226" t="s">
        <v>96</v>
      </c>
      <c r="E13" s="231">
        <v>0</v>
      </c>
    </row>
    <row r="14" spans="1:5" ht="52.8" x14ac:dyDescent="0.25">
      <c r="A14" s="229"/>
      <c r="B14" s="215" t="s">
        <v>192</v>
      </c>
      <c r="C14" s="216" t="s">
        <v>179</v>
      </c>
      <c r="D14" s="216" t="s">
        <v>96</v>
      </c>
      <c r="E14" s="231">
        <v>0</v>
      </c>
    </row>
    <row r="15" spans="1:5" ht="52.8" x14ac:dyDescent="0.25">
      <c r="A15" s="229"/>
      <c r="B15" s="227" t="s">
        <v>192</v>
      </c>
      <c r="C15" s="228" t="s">
        <v>206</v>
      </c>
      <c r="D15" s="228" t="s">
        <v>96</v>
      </c>
      <c r="E15" s="2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27</vt:i4>
      </vt:variant>
    </vt:vector>
  </HeadingPairs>
  <TitlesOfParts>
    <vt:vector size="27" baseType="lpstr">
      <vt:lpstr>11.n</vt:lpstr>
      <vt:lpstr>11</vt:lpstr>
      <vt:lpstr>12.n</vt:lpstr>
      <vt:lpstr>12</vt:lpstr>
      <vt:lpstr>Лист1</vt:lpstr>
      <vt:lpstr>1.n</vt:lpstr>
      <vt:lpstr>1.n7s2f</vt:lpstr>
      <vt:lpstr>2.n</vt:lpstr>
      <vt:lpstr>2.n6s2f</vt:lpstr>
      <vt:lpstr>3.n</vt:lpstr>
      <vt:lpstr>3.n5s2f</vt:lpstr>
      <vt:lpstr>4.n</vt:lpstr>
      <vt:lpstr>4.n4s2f</vt:lpstr>
      <vt:lpstr>5.n</vt:lpstr>
      <vt:lpstr>5.n7654s3f</vt:lpstr>
      <vt:lpstr>6.n</vt:lpstr>
      <vt:lpstr>6.n21s3f</vt:lpstr>
      <vt:lpstr>7.n</vt:lpstr>
      <vt:lpstr>7.n21s2f</vt:lpstr>
      <vt:lpstr>8.n</vt:lpstr>
      <vt:lpstr>8.n4sf2</vt:lpstr>
      <vt:lpstr>9.n</vt:lpstr>
      <vt:lpstr>9.n3s2f</vt:lpstr>
      <vt:lpstr>10.n</vt:lpstr>
      <vt:lpstr>10.n3s2f</vt:lpstr>
      <vt:lpstr>Table 1</vt:lpstr>
      <vt:lpstr>Таб.1этап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2025-09-20T10:19:57Z</dcterms:created>
  <dcterms:modified xsi:type="dcterms:W3CDTF">2026-01-13T13:38:48Z</dcterms:modified>
</cp:coreProperties>
</file>