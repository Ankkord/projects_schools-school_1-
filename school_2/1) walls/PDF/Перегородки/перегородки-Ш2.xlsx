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school_2\1) walls\Перегородки\"/>
    </mc:Choice>
  </mc:AlternateContent>
  <bookViews>
    <workbookView xWindow="0" yWindow="0" windowWidth="16056" windowHeight="8520" activeTab="2"/>
  </bookViews>
  <sheets>
    <sheet name="1-Кл" sheetId="1" r:id="rId1"/>
    <sheet name="2-Кл" sheetId="2" r:id="rId2"/>
    <sheet name="3-Кл Кро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I14" i="1" l="1"/>
  <c r="D14" i="1"/>
  <c r="D19" i="1"/>
  <c r="I7" i="1"/>
  <c r="D7" i="1"/>
</calcChain>
</file>

<file path=xl/sharedStrings.xml><?xml version="1.0" encoding="utf-8"?>
<sst xmlns="http://schemas.openxmlformats.org/spreadsheetml/2006/main" count="113" uniqueCount="31">
  <si>
    <t>Кирпич М100</t>
  </si>
  <si>
    <t>Блоки из ячеистого газобетона D600 (толщина 200мм)</t>
  </si>
  <si>
    <t>Блоки из ячеистого газобетона D600 (толщина 250мм)</t>
  </si>
  <si>
    <t>Плиты гипсовые пазогребневые (полнотелые). 100мм</t>
  </si>
  <si>
    <t>м2</t>
  </si>
  <si>
    <t>м3</t>
  </si>
  <si>
    <t>Ведомость материалов шахт на кровле</t>
  </si>
  <si>
    <t>Кирпич полнотелый М150 (толщина 120мм)</t>
  </si>
  <si>
    <t>Внутренние перегородки в шахтах (кирпич, толщина 120 мм)</t>
  </si>
  <si>
    <t>Стены шахт (кирпич, толщина 250 мм)</t>
  </si>
  <si>
    <t>Ведомость материалов фонарей на кровле</t>
  </si>
  <si>
    <t>Стены фонарей (кирпич, толщина 120 мм)</t>
  </si>
  <si>
    <t>Стены фонарей (кирпич, толщина 250 мм)</t>
  </si>
  <si>
    <t>Кирпич полнотелый М150 (толщина 250мм)</t>
  </si>
  <si>
    <t>Ведомость материалов стен люков выходов на кровлю</t>
  </si>
  <si>
    <t>Тип-3л (стены люков выхода на кровлю)</t>
  </si>
  <si>
    <t>Ведомость материалов парапетов, температурных швов и примыкающих к кровле частей фасадов</t>
  </si>
  <si>
    <t>Стены температурных швов (кирпич, толщина 250 мм)</t>
  </si>
  <si>
    <t>Номер п/п</t>
  </si>
  <si>
    <t>Описание</t>
  </si>
  <si>
    <t>Ед. изм.</t>
  </si>
  <si>
    <t>Общее кол-во</t>
  </si>
  <si>
    <t>Итог:</t>
  </si>
  <si>
    <t>Подвал.
Отм. -3.400</t>
  </si>
  <si>
    <t>2 этаж. 
Отм. +4.200</t>
  </si>
  <si>
    <t>1 этаж. 
Отм. 0.000</t>
  </si>
  <si>
    <t>3 этаж. 
Отм. +8.400</t>
  </si>
  <si>
    <t xml:space="preserve">Плиты гипсовые пазогребневые гидрофобизированные (полнотелые, влагостойкие). </t>
  </si>
  <si>
    <t>Наименование</t>
  </si>
  <si>
    <t>Объём</t>
  </si>
  <si>
    <t>№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</si>
</sst>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55" zoomScaleNormal="55" workbookViewId="0">
      <selection activeCell="M9" sqref="M9"/>
    </sheetView>
  </sheetViews>
  <sheetFormatPr defaultRowHeight="14.4" x14ac:dyDescent="0.3"/>
  <cols>
    <col min="2" max="2" width="18.44140625" customWidth="1"/>
    <col min="4" max="4" width="11.6640625" bestFit="1" customWidth="1"/>
    <col min="7" max="7" width="18.44140625" customWidth="1"/>
    <col min="9" max="9" width="11.77734375" bestFit="1" customWidth="1"/>
  </cols>
  <sheetData>
    <row r="1" spans="1:9" ht="18" x14ac:dyDescent="0.3">
      <c r="A1" s="13" t="s">
        <v>0</v>
      </c>
      <c r="B1" s="13"/>
      <c r="C1" s="13"/>
      <c r="D1" s="13"/>
      <c r="E1" s="10"/>
      <c r="F1" s="13" t="s">
        <v>1</v>
      </c>
      <c r="G1" s="13"/>
      <c r="H1" s="13"/>
      <c r="I1" s="13"/>
    </row>
    <row r="2" spans="1:9" ht="36" x14ac:dyDescent="0.3">
      <c r="A2" s="1" t="s">
        <v>18</v>
      </c>
      <c r="B2" s="1" t="s">
        <v>19</v>
      </c>
      <c r="C2" s="1" t="s">
        <v>20</v>
      </c>
      <c r="D2" s="1" t="s">
        <v>21</v>
      </c>
      <c r="E2" s="10"/>
      <c r="F2" s="1" t="s">
        <v>18</v>
      </c>
      <c r="G2" s="1" t="s">
        <v>19</v>
      </c>
      <c r="H2" s="1" t="s">
        <v>20</v>
      </c>
      <c r="I2" s="1" t="s">
        <v>21</v>
      </c>
    </row>
    <row r="3" spans="1:9" ht="36" x14ac:dyDescent="0.3">
      <c r="A3" s="2">
        <v>1</v>
      </c>
      <c r="B3" s="3" t="s">
        <v>23</v>
      </c>
      <c r="C3" s="3" t="s">
        <v>5</v>
      </c>
      <c r="D3" s="4">
        <v>209.9</v>
      </c>
      <c r="E3" s="10"/>
      <c r="F3" s="2">
        <v>1</v>
      </c>
      <c r="G3" s="3" t="s">
        <v>25</v>
      </c>
      <c r="H3" s="3" t="s">
        <v>5</v>
      </c>
      <c r="I3" s="4">
        <v>361.1</v>
      </c>
    </row>
    <row r="4" spans="1:9" ht="36" x14ac:dyDescent="0.3">
      <c r="A4" s="2">
        <v>2</v>
      </c>
      <c r="B4" s="3" t="s">
        <v>25</v>
      </c>
      <c r="C4" s="3" t="s">
        <v>5</v>
      </c>
      <c r="D4" s="4">
        <v>5.3</v>
      </c>
      <c r="E4" s="10"/>
      <c r="F4" s="2">
        <v>2</v>
      </c>
      <c r="G4" s="3" t="s">
        <v>24</v>
      </c>
      <c r="H4" s="3" t="s">
        <v>5</v>
      </c>
      <c r="I4" s="4">
        <v>388.5</v>
      </c>
    </row>
    <row r="5" spans="1:9" ht="36" x14ac:dyDescent="0.3">
      <c r="A5" s="2">
        <v>3</v>
      </c>
      <c r="B5" s="3" t="s">
        <v>24</v>
      </c>
      <c r="C5" s="3" t="s">
        <v>5</v>
      </c>
      <c r="D5" s="4">
        <v>0.2</v>
      </c>
      <c r="E5" s="10"/>
      <c r="F5" s="2">
        <v>3</v>
      </c>
      <c r="G5" s="3" t="s">
        <v>26</v>
      </c>
      <c r="H5" s="3" t="s">
        <v>5</v>
      </c>
      <c r="I5" s="4">
        <v>378.6</v>
      </c>
    </row>
    <row r="6" spans="1:9" ht="36" x14ac:dyDescent="0.3">
      <c r="A6" s="2">
        <v>4</v>
      </c>
      <c r="B6" s="3" t="s">
        <v>26</v>
      </c>
      <c r="C6" s="3" t="s">
        <v>5</v>
      </c>
      <c r="D6" s="4">
        <v>0</v>
      </c>
      <c r="E6" s="10"/>
      <c r="F6" s="2"/>
      <c r="G6" s="3"/>
      <c r="H6" s="3"/>
      <c r="I6" s="4"/>
    </row>
    <row r="7" spans="1:9" ht="18" x14ac:dyDescent="0.3">
      <c r="A7" s="2"/>
      <c r="B7" s="3" t="s">
        <v>22</v>
      </c>
      <c r="C7" s="3" t="s">
        <v>5</v>
      </c>
      <c r="D7" s="4">
        <f>SUM(D3:D6)</f>
        <v>215.4</v>
      </c>
      <c r="E7" s="10"/>
      <c r="F7" s="2"/>
      <c r="G7" s="3" t="s">
        <v>22</v>
      </c>
      <c r="H7" s="3" t="s">
        <v>5</v>
      </c>
      <c r="I7" s="4">
        <f>SUM(I3:I6)</f>
        <v>1128.2</v>
      </c>
    </row>
    <row r="8" spans="1:9" x14ac:dyDescent="0.3">
      <c r="A8" s="9"/>
      <c r="B8" s="9"/>
      <c r="C8" s="9"/>
      <c r="D8" s="9"/>
      <c r="E8" s="10"/>
      <c r="F8" s="9"/>
      <c r="G8" s="9"/>
      <c r="H8" s="9"/>
      <c r="I8" s="9"/>
    </row>
    <row r="9" spans="1:9" ht="71.400000000000006" customHeight="1" x14ac:dyDescent="0.3">
      <c r="A9" s="13" t="s">
        <v>3</v>
      </c>
      <c r="B9" s="13"/>
      <c r="C9" s="13"/>
      <c r="D9" s="13"/>
      <c r="E9" s="10"/>
      <c r="F9" s="13" t="s">
        <v>27</v>
      </c>
      <c r="G9" s="13"/>
      <c r="H9" s="13"/>
      <c r="I9" s="13"/>
    </row>
    <row r="10" spans="1:9" ht="36" x14ac:dyDescent="0.3">
      <c r="A10" s="1" t="s">
        <v>18</v>
      </c>
      <c r="B10" s="1" t="s">
        <v>19</v>
      </c>
      <c r="C10" s="1" t="s">
        <v>20</v>
      </c>
      <c r="D10" s="1" t="s">
        <v>21</v>
      </c>
      <c r="E10" s="10"/>
      <c r="F10" s="1" t="s">
        <v>18</v>
      </c>
      <c r="G10" s="1" t="s">
        <v>19</v>
      </c>
      <c r="H10" s="1" t="s">
        <v>20</v>
      </c>
      <c r="I10" s="1" t="s">
        <v>21</v>
      </c>
    </row>
    <row r="11" spans="1:9" ht="36" x14ac:dyDescent="0.3">
      <c r="A11" s="2">
        <v>1</v>
      </c>
      <c r="B11" s="3" t="s">
        <v>25</v>
      </c>
      <c r="C11" s="3" t="s">
        <v>4</v>
      </c>
      <c r="D11" s="4">
        <v>903.3</v>
      </c>
      <c r="E11" s="10"/>
      <c r="F11" s="2">
        <v>1</v>
      </c>
      <c r="G11" s="3" t="s">
        <v>25</v>
      </c>
      <c r="H11" s="3" t="s">
        <v>4</v>
      </c>
      <c r="I11" s="4">
        <v>2290.6999999999998</v>
      </c>
    </row>
    <row r="12" spans="1:9" ht="36" x14ac:dyDescent="0.3">
      <c r="A12" s="2">
        <v>2</v>
      </c>
      <c r="B12" s="3" t="s">
        <v>24</v>
      </c>
      <c r="C12" s="3" t="s">
        <v>4</v>
      </c>
      <c r="D12" s="4">
        <v>1030.4000000000001</v>
      </c>
      <c r="E12" s="10"/>
      <c r="F12" s="2">
        <v>2</v>
      </c>
      <c r="G12" s="3" t="s">
        <v>24</v>
      </c>
      <c r="H12" s="3" t="s">
        <v>4</v>
      </c>
      <c r="I12" s="4">
        <v>890.1</v>
      </c>
    </row>
    <row r="13" spans="1:9" ht="36" x14ac:dyDescent="0.3">
      <c r="A13" s="2">
        <v>3</v>
      </c>
      <c r="B13" s="3" t="s">
        <v>26</v>
      </c>
      <c r="C13" s="3" t="s">
        <v>4</v>
      </c>
      <c r="D13" s="4">
        <v>1386.2</v>
      </c>
      <c r="E13" s="10"/>
      <c r="F13" s="2">
        <v>3</v>
      </c>
      <c r="G13" s="3" t="s">
        <v>26</v>
      </c>
      <c r="H13" s="3" t="s">
        <v>4</v>
      </c>
      <c r="I13" s="4">
        <v>694.6</v>
      </c>
    </row>
    <row r="14" spans="1:9" ht="18" x14ac:dyDescent="0.3">
      <c r="A14" s="2"/>
      <c r="B14" s="3" t="s">
        <v>22</v>
      </c>
      <c r="C14" s="3" t="s">
        <v>4</v>
      </c>
      <c r="D14" s="4">
        <f>SUM(D11:D13)</f>
        <v>3319.9</v>
      </c>
      <c r="E14" s="10"/>
      <c r="F14" s="2"/>
      <c r="G14" s="3" t="s">
        <v>22</v>
      </c>
      <c r="H14" s="3" t="s">
        <v>4</v>
      </c>
      <c r="I14" s="4">
        <f>SUM(I11:I13)</f>
        <v>3875.3999999999996</v>
      </c>
    </row>
    <row r="15" spans="1:9" x14ac:dyDescent="0.3">
      <c r="A15" s="9"/>
      <c r="B15" s="9"/>
      <c r="C15" s="9"/>
      <c r="D15" s="9"/>
      <c r="E15" s="10"/>
      <c r="F15" s="11"/>
      <c r="G15" s="11"/>
      <c r="H15" s="11"/>
      <c r="I15" s="11"/>
    </row>
    <row r="16" spans="1:9" ht="18" x14ac:dyDescent="0.3">
      <c r="A16" s="13" t="s">
        <v>2</v>
      </c>
      <c r="B16" s="13"/>
      <c r="C16" s="13"/>
      <c r="D16" s="13"/>
      <c r="E16" s="10"/>
      <c r="F16" s="12"/>
      <c r="G16" s="12"/>
      <c r="H16" s="12"/>
      <c r="I16" s="12"/>
    </row>
    <row r="17" spans="1:9" ht="36" x14ac:dyDescent="0.3">
      <c r="A17" s="1" t="s">
        <v>18</v>
      </c>
      <c r="B17" s="1" t="s">
        <v>19</v>
      </c>
      <c r="C17" s="1" t="s">
        <v>20</v>
      </c>
      <c r="D17" s="1" t="s">
        <v>21</v>
      </c>
      <c r="E17" s="10"/>
      <c r="F17" s="12"/>
      <c r="G17" s="12"/>
      <c r="H17" s="12"/>
      <c r="I17" s="12"/>
    </row>
    <row r="18" spans="1:9" ht="36" x14ac:dyDescent="0.3">
      <c r="A18" s="2">
        <v>1</v>
      </c>
      <c r="B18" s="3" t="s">
        <v>25</v>
      </c>
      <c r="C18" s="3" t="s">
        <v>5</v>
      </c>
      <c r="D18" s="4">
        <v>7.7</v>
      </c>
      <c r="E18" s="10"/>
      <c r="F18" s="12"/>
      <c r="G18" s="12"/>
      <c r="H18" s="12"/>
      <c r="I18" s="12"/>
    </row>
    <row r="19" spans="1:9" ht="18" x14ac:dyDescent="0.3">
      <c r="A19" s="2"/>
      <c r="B19" s="3" t="s">
        <v>22</v>
      </c>
      <c r="C19" s="3" t="s">
        <v>5</v>
      </c>
      <c r="D19" s="4">
        <f>SUM(D18:D18)</f>
        <v>7.7</v>
      </c>
      <c r="E19" s="10"/>
      <c r="F19" s="12"/>
      <c r="G19" s="12"/>
      <c r="H19" s="12"/>
      <c r="I19" s="12"/>
    </row>
  </sheetData>
  <mergeCells count="10">
    <mergeCell ref="A8:D8"/>
    <mergeCell ref="F8:I8"/>
    <mergeCell ref="E1:E19"/>
    <mergeCell ref="F15:I19"/>
    <mergeCell ref="A9:D9"/>
    <mergeCell ref="F9:I9"/>
    <mergeCell ref="A15:D15"/>
    <mergeCell ref="F1:I1"/>
    <mergeCell ref="A1:D1"/>
    <mergeCell ref="A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="70" zoomScaleNormal="70" workbookViewId="0">
      <selection activeCell="C7" sqref="C7"/>
    </sheetView>
  </sheetViews>
  <sheetFormatPr defaultColWidth="35.21875" defaultRowHeight="14.4" x14ac:dyDescent="0.3"/>
  <cols>
    <col min="1" max="1" width="13.6640625" style="5" customWidth="1"/>
    <col min="2" max="3" width="35.21875" style="6"/>
    <col min="4" max="4" width="7.44140625" style="6" customWidth="1"/>
    <col min="5" max="5" width="10.5546875" style="6" customWidth="1"/>
    <col min="6" max="6" width="18.6640625" style="6" customWidth="1"/>
    <col min="7" max="16384" width="35.21875" style="6"/>
  </cols>
  <sheetData>
    <row r="1" spans="1:5" ht="22.8" customHeight="1" x14ac:dyDescent="0.3">
      <c r="A1" s="15" t="s">
        <v>16</v>
      </c>
      <c r="B1" s="15"/>
      <c r="C1" s="15"/>
      <c r="D1" s="15"/>
      <c r="E1" s="15"/>
    </row>
    <row r="2" spans="1:5" ht="43.2" customHeight="1" x14ac:dyDescent="0.3">
      <c r="A2" s="7" t="s">
        <v>30</v>
      </c>
      <c r="B2" s="7" t="s">
        <v>28</v>
      </c>
      <c r="C2" s="7" t="s">
        <v>19</v>
      </c>
      <c r="D2" s="7" t="s">
        <v>20</v>
      </c>
      <c r="E2" s="7" t="s">
        <v>29</v>
      </c>
    </row>
    <row r="3" spans="1:5" ht="36" x14ac:dyDescent="0.3">
      <c r="A3" s="7">
        <v>1</v>
      </c>
      <c r="B3" s="8" t="s">
        <v>17</v>
      </c>
      <c r="C3" s="8" t="s">
        <v>13</v>
      </c>
      <c r="D3" s="8" t="s">
        <v>5</v>
      </c>
      <c r="E3" s="8">
        <v>54.22</v>
      </c>
    </row>
    <row r="4" spans="1:5" ht="18" x14ac:dyDescent="0.3">
      <c r="A4" s="14"/>
      <c r="B4" s="14"/>
      <c r="C4" s="14"/>
      <c r="D4" s="14"/>
      <c r="E4" s="14"/>
    </row>
    <row r="5" spans="1:5" ht="22.2" customHeight="1" x14ac:dyDescent="0.3">
      <c r="A5" s="15" t="s">
        <v>6</v>
      </c>
      <c r="B5" s="15"/>
      <c r="C5" s="15"/>
      <c r="D5" s="15"/>
      <c r="E5" s="15"/>
    </row>
    <row r="6" spans="1:5" ht="43.2" customHeight="1" x14ac:dyDescent="0.3">
      <c r="A6" s="7" t="s">
        <v>30</v>
      </c>
      <c r="B6" s="7" t="s">
        <v>28</v>
      </c>
      <c r="C6" s="7" t="s">
        <v>19</v>
      </c>
      <c r="D6" s="7" t="s">
        <v>20</v>
      </c>
      <c r="E6" s="7" t="s">
        <v>29</v>
      </c>
    </row>
    <row r="7" spans="1:5" ht="54" x14ac:dyDescent="0.3">
      <c r="A7" s="7">
        <v>1</v>
      </c>
      <c r="B7" s="8" t="s">
        <v>8</v>
      </c>
      <c r="C7" s="8" t="s">
        <v>7</v>
      </c>
      <c r="D7" s="8" t="s">
        <v>5</v>
      </c>
      <c r="E7" s="8">
        <v>3.64</v>
      </c>
    </row>
    <row r="8" spans="1:5" ht="36" x14ac:dyDescent="0.3">
      <c r="A8" s="7">
        <v>2</v>
      </c>
      <c r="B8" s="8" t="s">
        <v>9</v>
      </c>
      <c r="C8" s="8" t="s">
        <v>7</v>
      </c>
      <c r="D8" s="8" t="s">
        <v>5</v>
      </c>
      <c r="E8" s="8">
        <v>338.86</v>
      </c>
    </row>
    <row r="9" spans="1:5" ht="18" x14ac:dyDescent="0.3">
      <c r="A9" s="14"/>
      <c r="B9" s="14"/>
      <c r="C9" s="14"/>
      <c r="D9" s="14"/>
      <c r="E9" s="14"/>
    </row>
    <row r="10" spans="1:5" ht="19.2" customHeight="1" x14ac:dyDescent="0.3">
      <c r="A10" s="15" t="s">
        <v>10</v>
      </c>
      <c r="B10" s="15"/>
      <c r="C10" s="15"/>
      <c r="D10" s="15"/>
      <c r="E10" s="15"/>
    </row>
    <row r="11" spans="1:5" ht="43.2" customHeight="1" x14ac:dyDescent="0.3">
      <c r="A11" s="7" t="s">
        <v>30</v>
      </c>
      <c r="B11" s="7" t="s">
        <v>28</v>
      </c>
      <c r="C11" s="7" t="s">
        <v>19</v>
      </c>
      <c r="D11" s="7" t="s">
        <v>20</v>
      </c>
      <c r="E11" s="7" t="s">
        <v>29</v>
      </c>
    </row>
    <row r="12" spans="1:5" ht="36" x14ac:dyDescent="0.3">
      <c r="A12" s="7">
        <v>1</v>
      </c>
      <c r="B12" s="8" t="s">
        <v>11</v>
      </c>
      <c r="C12" s="8" t="s">
        <v>7</v>
      </c>
      <c r="D12" s="8" t="s">
        <v>5</v>
      </c>
      <c r="E12" s="8">
        <v>0.99</v>
      </c>
    </row>
    <row r="13" spans="1:5" ht="36" x14ac:dyDescent="0.3">
      <c r="A13" s="7">
        <v>2</v>
      </c>
      <c r="B13" s="8" t="s">
        <v>12</v>
      </c>
      <c r="C13" s="8" t="s">
        <v>13</v>
      </c>
      <c r="D13" s="8" t="s">
        <v>5</v>
      </c>
      <c r="E13" s="8">
        <v>26.49</v>
      </c>
    </row>
    <row r="14" spans="1:5" ht="18" x14ac:dyDescent="0.3">
      <c r="A14" s="14"/>
      <c r="B14" s="14"/>
      <c r="C14" s="14"/>
      <c r="D14" s="14"/>
      <c r="E14" s="14"/>
    </row>
    <row r="15" spans="1:5" ht="16.2" customHeight="1" x14ac:dyDescent="0.3">
      <c r="A15" s="15" t="s">
        <v>14</v>
      </c>
      <c r="B15" s="15"/>
      <c r="C15" s="15"/>
      <c r="D15" s="15"/>
      <c r="E15" s="15"/>
    </row>
    <row r="16" spans="1:5" ht="43.2" customHeight="1" x14ac:dyDescent="0.3">
      <c r="A16" s="7" t="s">
        <v>30</v>
      </c>
      <c r="B16" s="7" t="s">
        <v>28</v>
      </c>
      <c r="C16" s="7" t="s">
        <v>19</v>
      </c>
      <c r="D16" s="7" t="s">
        <v>20</v>
      </c>
      <c r="E16" s="7" t="s">
        <v>29</v>
      </c>
    </row>
    <row r="17" spans="1:5" ht="36" x14ac:dyDescent="0.3">
      <c r="A17" s="7">
        <v>1</v>
      </c>
      <c r="B17" s="8" t="s">
        <v>15</v>
      </c>
      <c r="C17" s="8" t="s">
        <v>7</v>
      </c>
      <c r="D17" s="8" t="s">
        <v>5</v>
      </c>
      <c r="E17" s="8">
        <v>5.87</v>
      </c>
    </row>
  </sheetData>
  <mergeCells count="7">
    <mergeCell ref="A14:E14"/>
    <mergeCell ref="A1:E1"/>
    <mergeCell ref="A5:E5"/>
    <mergeCell ref="A10:E10"/>
    <mergeCell ref="A15:E15"/>
    <mergeCell ref="A4:E4"/>
    <mergeCell ref="A9:E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70" zoomScaleNormal="70" workbookViewId="0">
      <selection activeCell="E3" sqref="E3"/>
    </sheetView>
  </sheetViews>
  <sheetFormatPr defaultColWidth="35.21875" defaultRowHeight="14.4" x14ac:dyDescent="0.3"/>
  <cols>
    <col min="1" max="1" width="13.6640625" style="5" customWidth="1"/>
    <col min="2" max="3" width="35.21875" style="6"/>
    <col min="4" max="4" width="7.44140625" style="6" customWidth="1"/>
    <col min="5" max="5" width="10.5546875" style="6" customWidth="1"/>
    <col min="6" max="6" width="18.6640625" style="6" customWidth="1"/>
    <col min="7" max="16384" width="35.21875" style="6"/>
  </cols>
  <sheetData>
    <row r="1" spans="1:5" ht="43.2" customHeight="1" x14ac:dyDescent="0.3">
      <c r="A1" s="7" t="s">
        <v>30</v>
      </c>
      <c r="B1" s="7" t="s">
        <v>28</v>
      </c>
      <c r="C1" s="7" t="s">
        <v>19</v>
      </c>
      <c r="D1" s="7" t="s">
        <v>20</v>
      </c>
      <c r="E1" s="7" t="s">
        <v>29</v>
      </c>
    </row>
    <row r="2" spans="1:5" ht="36" x14ac:dyDescent="0.3">
      <c r="A2" s="7">
        <v>2</v>
      </c>
      <c r="B2" s="8" t="s">
        <v>9</v>
      </c>
      <c r="C2" s="8" t="s">
        <v>7</v>
      </c>
      <c r="D2" s="8" t="s">
        <v>5</v>
      </c>
      <c r="E2" s="8">
        <f>184.48</f>
        <v>184.48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1-Кл</vt:lpstr>
      <vt:lpstr>2-Кл</vt:lpstr>
      <vt:lpstr>3-Кл Кро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2026-03-18T08:35:13Z</dcterms:created>
  <dcterms:modified xsi:type="dcterms:W3CDTF">2026-03-30T10:31:02Z</dcterms:modified>
</cp:coreProperties>
</file>