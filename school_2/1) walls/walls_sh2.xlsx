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/>
  </bookViews>
  <sheets>
    <sheet name="10.3отк" sheetId="30" r:id="rId1"/>
    <sheet name="10.2плны" sheetId="29" r:id="rId2"/>
    <sheet name="8.7штр" sheetId="28" r:id="rId3"/>
    <sheet name="7.5.1лес" sheetId="27" r:id="rId4"/>
    <sheet name="8.6отв" sheetId="26" r:id="rId5"/>
    <sheet name="8.5дфрг" sheetId="25" r:id="rId6"/>
    <sheet name="8.4отк.лк" sheetId="24" r:id="rId7"/>
    <sheet name="8.3шп.лк" sheetId="23" r:id="rId8"/>
    <sheet name="8.2умнь.дв" sheetId="22" r:id="rId9"/>
    <sheet name="8.1дврн.откс" sheetId="21" r:id="rId10"/>
    <sheet name="7.8фрхв" sheetId="20" r:id="rId11"/>
    <sheet name="7.7внеш.блк" sheetId="19" r:id="rId12"/>
    <sheet name="7.6прмч" sheetId="18" r:id="rId13"/>
    <sheet name="КП" sheetId="3" r:id="rId14"/>
    <sheet name="Плитки" sheetId="8" r:id="rId15"/>
    <sheet name="Пом" sheetId="9" r:id="rId16"/>
    <sheet name="7.4Блок" sheetId="17" r:id="rId17"/>
    <sheet name="7.3Кирп1э" sheetId="16" r:id="rId18"/>
    <sheet name="7.2КирпПодв" sheetId="15" r:id="rId19"/>
    <sheet name="7.1ПГП" sheetId="14" r:id="rId20"/>
    <sheet name="6.1ГКЛ" sheetId="12" r:id="rId21"/>
    <sheet name="5.2_остаток" sheetId="11" r:id="rId22"/>
    <sheet name="5.1_плтк" sheetId="10" r:id="rId23"/>
    <sheet name="3.2-Ок-Ш2" sheetId="5" r:id="rId24"/>
    <sheet name="4.1-Ст" sheetId="6" r:id="rId25"/>
    <sheet name="3.1-Ок-Ш2_НЗ" sheetId="7" r:id="rId26"/>
    <sheet name="3.1-Ок-Ш2" sheetId="4" r:id="rId27"/>
    <sheet name="Лист2" sheetId="13" r:id="rId28"/>
  </sheets>
  <calcPr calcId="152511"/>
</workbook>
</file>

<file path=xl/calcChain.xml><?xml version="1.0" encoding="utf-8"?>
<calcChain xmlns="http://schemas.openxmlformats.org/spreadsheetml/2006/main">
  <c r="D26" i="30" l="1"/>
  <c r="E26" i="30" s="1"/>
  <c r="D20" i="30"/>
  <c r="E20" i="30" s="1"/>
  <c r="D21" i="30"/>
  <c r="E21" i="30" s="1"/>
  <c r="D19" i="30"/>
  <c r="E19" i="30" s="1"/>
  <c r="A4" i="30"/>
  <c r="A5" i="30" s="1"/>
  <c r="A6" i="30" s="1"/>
  <c r="A7" i="30" s="1"/>
  <c r="A8" i="30" s="1"/>
  <c r="D13" i="30"/>
  <c r="E13" i="30" s="1"/>
  <c r="D14" i="30"/>
  <c r="E14" i="30" s="1"/>
  <c r="D12" i="30"/>
  <c r="E12" i="30" s="1"/>
  <c r="D32" i="30"/>
  <c r="E32" i="30" s="1"/>
  <c r="D33" i="30"/>
  <c r="E33" i="30" s="1"/>
  <c r="D31" i="30"/>
  <c r="E31" i="30" s="1"/>
  <c r="E15" i="30" l="1"/>
  <c r="H3" i="30" s="1"/>
  <c r="E34" i="30"/>
  <c r="H5" i="30" s="1"/>
  <c r="E27" i="30"/>
  <c r="E22" i="30"/>
  <c r="H4" i="30" s="1"/>
  <c r="H6" i="24"/>
  <c r="H6" i="30" l="1"/>
  <c r="H5" i="23"/>
  <c r="H7" i="30" l="1"/>
  <c r="H8" i="30"/>
  <c r="C27" i="29"/>
  <c r="C34" i="29"/>
  <c r="C20" i="29"/>
  <c r="I20" i="29"/>
  <c r="C19" i="29"/>
  <c r="C26" i="29"/>
  <c r="C33" i="29"/>
  <c r="I19" i="29"/>
  <c r="C32" i="29"/>
  <c r="C25" i="29"/>
  <c r="C18" i="29"/>
  <c r="I18" i="29"/>
  <c r="C12" i="29" l="1"/>
  <c r="C13" i="29"/>
  <c r="C14" i="29"/>
  <c r="I21" i="29"/>
  <c r="I9" i="29" s="1"/>
  <c r="C35" i="29"/>
  <c r="I8" i="29" s="1"/>
  <c r="C28" i="29"/>
  <c r="I7" i="29" s="1"/>
  <c r="C21" i="29"/>
  <c r="I6" i="29" s="1"/>
  <c r="C15" i="29" l="1"/>
  <c r="I3" i="29" s="1"/>
  <c r="I4" i="29" s="1"/>
  <c r="I5" i="29" s="1"/>
  <c r="B39" i="28"/>
  <c r="H41" i="28"/>
  <c r="N39" i="28"/>
  <c r="E19" i="28" l="1"/>
  <c r="K39" i="28" l="1"/>
  <c r="Q37" i="28"/>
  <c r="H3" i="28" l="1"/>
  <c r="C7" i="27"/>
  <c r="C8" i="27" l="1"/>
  <c r="C6" i="27" l="1"/>
  <c r="C9" i="27" s="1"/>
  <c r="F3" i="27" s="1"/>
  <c r="E7" i="22" l="1"/>
  <c r="E4" i="21"/>
  <c r="E5" i="21" l="1"/>
  <c r="E8" i="22" l="1"/>
  <c r="E9" i="22"/>
  <c r="E10" i="22" l="1"/>
  <c r="G3" i="22" s="1"/>
  <c r="E21" i="25"/>
  <c r="K4" i="25"/>
  <c r="B37" i="25"/>
  <c r="Q35" i="25" l="1"/>
  <c r="N36" i="25"/>
  <c r="K36" i="25"/>
  <c r="H37" i="25"/>
  <c r="K3" i="25" l="1"/>
  <c r="K5" i="25" s="1"/>
  <c r="E10" i="24"/>
  <c r="E11" i="24"/>
  <c r="E9" i="24"/>
  <c r="E12" i="24"/>
  <c r="H3" i="24" s="1"/>
  <c r="H4" i="24" s="1"/>
  <c r="B12" i="24" l="1"/>
  <c r="H5" i="24"/>
  <c r="D9" i="23" l="1"/>
  <c r="D10" i="23"/>
  <c r="D8" i="23"/>
  <c r="D11" i="23" s="1"/>
  <c r="H3" i="23" s="1"/>
  <c r="H4" i="23" s="1"/>
  <c r="B11" i="23"/>
  <c r="E7" i="20" l="1"/>
  <c r="E8" i="20"/>
  <c r="E9" i="20"/>
  <c r="D37" i="18"/>
  <c r="E37" i="18" s="1"/>
  <c r="D36" i="18"/>
  <c r="E36" i="18" s="1"/>
  <c r="D35" i="18"/>
  <c r="E35" i="18" s="1"/>
  <c r="D34" i="18"/>
  <c r="E34" i="18" s="1"/>
  <c r="D33" i="18"/>
  <c r="E33" i="18" s="1"/>
  <c r="D32" i="18"/>
  <c r="E32" i="18" s="1"/>
  <c r="D31" i="18"/>
  <c r="E31" i="18" s="1"/>
  <c r="D30" i="18"/>
  <c r="E30" i="18" s="1"/>
  <c r="D29" i="18"/>
  <c r="E29" i="18" s="1"/>
  <c r="D27" i="18"/>
  <c r="E27" i="18" s="1"/>
  <c r="D28" i="18"/>
  <c r="E28" i="18" s="1"/>
  <c r="E21" i="18"/>
  <c r="D17" i="18"/>
  <c r="E17" i="18" s="1"/>
  <c r="D16" i="18"/>
  <c r="E16" i="18" s="1"/>
  <c r="D22" i="18"/>
  <c r="E22" i="18"/>
  <c r="D21" i="18"/>
  <c r="D20" i="18"/>
  <c r="E20" i="18" s="1"/>
  <c r="D19" i="18"/>
  <c r="E19" i="18" s="1"/>
  <c r="D18" i="18"/>
  <c r="E18" i="18" s="1"/>
  <c r="D25" i="18"/>
  <c r="E25" i="18" s="1"/>
  <c r="D24" i="18"/>
  <c r="E24" i="18" s="1"/>
  <c r="D23" i="18"/>
  <c r="E23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E38" i="18" l="1"/>
  <c r="E26" i="18"/>
  <c r="E15" i="18"/>
  <c r="G38" i="14"/>
  <c r="B16" i="15" l="1"/>
  <c r="B15" i="15"/>
  <c r="B14" i="15" l="1"/>
  <c r="B12" i="15"/>
  <c r="B13" i="15"/>
  <c r="B11" i="15"/>
  <c r="B9" i="15"/>
  <c r="B10" i="15"/>
  <c r="B8" i="15"/>
  <c r="B17" i="15" s="1"/>
  <c r="B7" i="15"/>
  <c r="C34" i="14"/>
  <c r="D39" i="14" l="1"/>
  <c r="G3" i="15"/>
  <c r="C42" i="12"/>
  <c r="G11" i="12"/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<sst xmlns="http://schemas.openxmlformats.org/spreadsheetml/2006/main" count="3386" uniqueCount="1225">
  <si>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</si>
  <si>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</si>
  <si>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</si>
  <si>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</si>
  <si>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</si>
  <si>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</si>
  <si>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</si>
  <si>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</si>
  <si>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</si>
  <si>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</si>
  <si>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</si>
  <si>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</si>
  <si>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</si>
  <si>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</si>
  <si>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</si>
  <si>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</si>
  <si>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</si>
  <si>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</si>
  <si>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</si>
  <si>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</si>
  <si>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</si>
  <si>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</si>
  <si>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</si>
  <si>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</si>
  <si>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</si>
  <si>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</si>
  <si>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</si>
  <si>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</si>
  <si>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</si>
  <si>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</si>
  <si>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</si>
  <si>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</si>
  <si>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</si>
  <si>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</si>
  <si>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</si>
  <si>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</si>
  <si>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</si>
  <si>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</si>
  <si>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</si>
  <si>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</si>
  <si>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</si>
  <si>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</si>
  <si>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</si>
  <si>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</si>
  <si>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</si>
  <si>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</si>
  <si>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</si>
  <si>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</si>
  <si>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</si>
  <si>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</si>
  <si>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</si>
  <si>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</si>
  <si>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</si>
  <si>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</si>
  <si>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</si>
  <si>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</si>
  <si>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</si>
  <si>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</si>
  <si>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</si>
  <si>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</si>
  <si>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</si>
  <si>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</si>
  <si>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</si>
  <si>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</si>
  <si>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</si>
  <si>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</si>
  <si>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</si>
  <si>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</si>
  <si>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</si>
  <si>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</si>
  <si>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</si>
  <si>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</si>
  <si>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</si>
  <si>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</si>
  <si>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</si>
  <si>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</si>
  <si>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</si>
  <si>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</si>
  <si>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</si>
  <si>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</si>
  <si>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</si>
  <si>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</si>
  <si>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</si>
  <si>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</si>
  <si>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</si>
  <si>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</si>
  <si>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</si>
  <si>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</si>
  <si>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</si>
  <si>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</si>
  <si>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</si>
  <si>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</si>
  <si>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</si>
  <si>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</si>
  <si>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</si>
  <si>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</si>
  <si>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</si>
  <si>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</si>
  <si>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</si>
  <si>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</si>
  <si>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</si>
  <si>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</si>
  <si>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</si>
  <si>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</si>
  <si>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</si>
  <si>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</si>
  <si>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</si>
  <si>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</si>
  <si>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</si>
  <si>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</si>
  <si>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</si>
  <si>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</si>
  <si>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</si>
  <si>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</si>
  <si>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</si>
  <si>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</si>
  <si>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</si>
  <si>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</si>
  <si>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</si>
  <si>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</si>
  <si>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</si>
  <si>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</si>
  <si>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</si>
  <si>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</si>
  <si>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</si>
  <si>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</si>
  <si>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</si>
  <si>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</si>
  <si>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</si>
  <si>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</si>
  <si>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</si>
  <si>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</si>
  <si>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</si>
  <si>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</si>
  <si>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</si>
  <si>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</si>
  <si>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</si>
  <si>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</si>
  <si>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</si>
  <si>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</si>
  <si>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</si>
  <si>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</si>
  <si>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</si>
  <si>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</si>
  <si>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</si>
  <si>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</si>
  <si>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</si>
  <si>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</si>
  <si>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</si>
  <si>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</si>
  <si>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</si>
  <si>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</si>
  <si>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</si>
  <si>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</si>
  <si>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</si>
  <si>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</si>
  <si>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</si>
  <si>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</si>
  <si>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</si>
  <si>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</si>
  <si>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</si>
  <si>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</si>
  <si>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</si>
  <si>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</si>
  <si>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</si>
  <si>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</si>
  <si>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</si>
  <si>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</si>
  <si>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</si>
  <si>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</si>
  <si>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</si>
  <si>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</si>
  <si>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</si>
  <si>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</si>
  <si>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</si>
  <si>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</si>
  <si>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</si>
  <si>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</si>
  <si>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</si>
  <si>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</si>
  <si>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</si>
  <si>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</si>
  <si>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</si>
  <si>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</si>
  <si>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</si>
  <si>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</si>
  <si>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</si>
  <si>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</si>
  <si>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</si>
  <si>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</si>
  <si>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</si>
  <si>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</si>
  <si>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</si>
  <si>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</si>
  <si>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</si>
  <si>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</si>
  <si>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</si>
  <si>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</si>
  <si>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</si>
  <si>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</si>
  <si>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</si>
  <si>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</si>
  <si>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</si>
  <si>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</si>
  <si>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</si>
  <si>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</si>
  <si>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</si>
  <si>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</si>
  <si>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</si>
  <si>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</si>
  <si>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</si>
  <si>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</si>
  <si>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</si>
  <si>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</si>
  <si>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</si>
  <si>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</si>
  <si>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</si>
  <si>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</si>
  <si>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</si>
  <si>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</si>
  <si>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</si>
  <si>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</si>
  <si>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</si>
  <si>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</si>
  <si>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</si>
  <si>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</si>
  <si>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</si>
  <si>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</si>
  <si>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</si>
  <si>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</si>
  <si>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</si>
  <si>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</si>
  <si>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</si>
  <si>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</si>
  <si>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</si>
  <si>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</si>
  <si>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</si>
  <si>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</si>
  <si>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</si>
  <si>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</si>
  <si>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</si>
  <si>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</si>
  <si>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</si>
  <si>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</si>
  <si>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</si>
  <si>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</si>
  <si>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</si>
  <si>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</si>
  <si>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</si>
  <si>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</si>
  <si>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</si>
  <si>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</si>
  <si>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</si>
  <si>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</si>
  <si>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</si>
  <si>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</si>
  <si>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</si>
  <si>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</si>
  <si>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</si>
  <si>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</si>
  <si>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</si>
  <si>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</si>
  <si>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</si>
  <si>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</si>
  <si>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</si>
  <si>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</si>
  <si>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</si>
  <si>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</si>
  <si>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</si>
  <si>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</si>
  <si>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</si>
  <si>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</si>
  <si>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</si>
  <si>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</si>
  <si>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</si>
  <si>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</si>
  <si>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</si>
  <si>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</si>
  <si>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</si>
  <si>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</si>
  <si>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</si>
  <si>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</si>
  <si>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</si>
  <si>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</si>
  <si>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</si>
  <si>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</si>
  <si>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</si>
  <si>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</si>
  <si>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</si>
  <si>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</si>
  <si>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</si>
  <si>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</si>
  <si>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</si>
  <si>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</si>
  <si>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</si>
  <si>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</si>
  <si>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</si>
  <si>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</si>
  <si>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</si>
  <si>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</si>
  <si>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</si>
  <si>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</si>
  <si>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</si>
  <si>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</si>
  <si>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</si>
  <si>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</si>
  <si>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</si>
  <si>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</si>
  <si>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</si>
  <si>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</si>
  <si>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</si>
  <si>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</si>
  <si>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</si>
  <si>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</si>
  <si>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</si>
  <si>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</si>
  <si>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</si>
  <si>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</si>
  <si>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</si>
  <si>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</si>
  <si>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</si>
  <si>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</si>
  <si>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</si>
  <si>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</si>
  <si>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</si>
  <si>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</si>
  <si>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</si>
  <si>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</si>
  <si>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</si>
  <si>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</si>
  <si>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</si>
  <si>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</si>
  <si>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</si>
  <si>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</si>
  <si>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</si>
  <si>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</si>
  <si>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</si>
  <si>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</si>
  <si>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</si>
  <si>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</si>
  <si>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</si>
  <si>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</si>
  <si>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</si>
  <si>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</si>
  <si>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</si>
  <si>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</si>
  <si>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</si>
  <si>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</si>
  <si>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</si>
  <si>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</si>
  <si>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</si>
  <si>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</si>
  <si>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</si>
  <si>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</si>
  <si>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</si>
  <si>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</si>
  <si>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</si>
  <si>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</si>
  <si>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</si>
  <si>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</si>
  <si>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</si>
  <si>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</si>
  <si>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</si>
  <si>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</si>
  <si>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</si>
  <si>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</si>
  <si>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</si>
  <si>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</si>
  <si>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</si>
  <si>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</si>
  <si>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</si>
  <si>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</si>
  <si>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</si>
  <si>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</si>
  <si>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</si>
  <si>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</si>
  <si>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</si>
  <si>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</si>
  <si>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</si>
  <si>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</si>
  <si>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</si>
  <si>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</si>
  <si>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</si>
  <si>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</si>
  <si>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</si>
  <si>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</si>
  <si>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</si>
  <si>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</si>
  <si>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</si>
  <si>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</si>
  <si>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</si>
  <si>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</si>
  <si>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</si>
  <si>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</si>
  <si>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</si>
  <si>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</si>
  <si>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</si>
  <si>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</si>
  <si>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</si>
  <si>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</si>
  <si>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</si>
  <si>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</si>
  <si>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</si>
  <si>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</si>
  <si>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</si>
  <si>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</si>
  <si>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</si>
  <si>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</si>
  <si>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</si>
  <si>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</si>
  <si>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</si>
  <si>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</si>
  <si>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</si>
  <si>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</si>
  <si>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</si>
  <si>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</si>
  <si>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</si>
  <si>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</si>
  <si>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</si>
  <si>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</si>
  <si>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</si>
  <si>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</si>
  <si>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</si>
  <si>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</si>
  <si>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</si>
  <si>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</si>
  <si>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</si>
  <si>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</si>
  <si>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</si>
  <si>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</si>
  <si>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</si>
  <si>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</si>
  <si>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</si>
  <si>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</si>
  <si>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</si>
  <si>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</si>
  <si>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</si>
  <si>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</si>
  <si>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</si>
  <si>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</si>
  <si>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</si>
  <si>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</si>
  <si>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</si>
  <si>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</si>
  <si>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</si>
  <si>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</si>
  <si>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</si>
  <si>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</si>
  <si>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</si>
  <si>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</si>
  <si>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</si>
  <si>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</si>
  <si>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</si>
  <si>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</si>
  <si>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</si>
  <si>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</si>
  <si>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</si>
  <si>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</si>
  <si>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</si>
  <si>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</si>
  <si>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</si>
  <si>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</si>
  <si>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</si>
  <si>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</si>
  <si>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</si>
  <si>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</si>
  <si>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</si>
  <si>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</si>
  <si>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</si>
  <si>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</si>
  <si>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</si>
  <si>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</si>
  <si>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</si>
  <si>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</si>
  <si>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</si>
  <si>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</si>
  <si>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</si>
  <si>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</si>
  <si>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</si>
  <si>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</si>
  <si>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</si>
  <si>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</si>
  <si>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</si>
  <si>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</si>
  <si>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</si>
  <si>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</si>
  <si>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</si>
  <si>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</si>
  <si>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</si>
  <si>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</si>
  <si>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</si>
  <si>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</si>
  <si>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</si>
  <si>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</si>
  <si>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</si>
  <si>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</si>
  <si>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</si>
  <si>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</si>
  <si>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</si>
  <si>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</si>
  <si>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</si>
  <si>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</si>
  <si>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</si>
  <si>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</si>
  <si>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</si>
  <si>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</si>
  <si>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</si>
  <si>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</si>
  <si>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</si>
  <si>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</si>
  <si>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</si>
  <si>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</si>
  <si>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</si>
  <si>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</si>
  <si>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</si>
  <si>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</si>
  <si>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</si>
  <si>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</si>
  <si>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</si>
  <si>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</si>
  <si>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</si>
  <si>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</si>
  <si>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</si>
  <si>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</si>
  <si>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</si>
  <si>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</si>
  <si>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</si>
  <si>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</si>
  <si>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</si>
  <si>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</si>
  <si>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</si>
  <si>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</si>
  <si>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</si>
  <si>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</si>
  <si>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</si>
  <si>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</si>
  <si>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</si>
  <si>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</si>
  <si>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</si>
  <si>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</si>
  <si>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</si>
  <si>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</si>
  <si>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</si>
  <si>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</si>
  <si>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</si>
  <si>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</si>
  <si>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</si>
  <si>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</si>
  <si>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</si>
  <si>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</si>
  <si>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</si>
  <si>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</si>
  <si>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</si>
  <si>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</si>
  <si>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</si>
  <si>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</si>
  <si>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</si>
  <si>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</si>
  <si>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</si>
  <si>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</si>
  <si>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</si>
  <si>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</si>
  <si>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</si>
  <si>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</si>
  <si>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</si>
  <si>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</si>
  <si>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</si>
  <si>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</si>
  <si>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</si>
  <si>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</si>
  <si>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</si>
  <si>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</si>
  <si>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</si>
  <si>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</si>
  <si>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</si>
  <si>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</si>
  <si>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</si>
  <si>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</si>
  <si>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</si>
  <si>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</si>
  <si>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</si>
  <si>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</si>
  <si>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</si>
  <si>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</si>
  <si>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</si>
  <si>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</si>
  <si>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</si>
  <si>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</si>
  <si>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</si>
  <si>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</si>
  <si>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</si>
  <si>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</si>
  <si>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</si>
  <si>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</si>
  <si>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</si>
  <si>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</si>
  <si>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</si>
  <si>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</si>
  <si>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</si>
  <si>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</si>
  <si>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</si>
  <si>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</si>
  <si>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</si>
  <si>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</si>
  <si>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</si>
  <si>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</si>
  <si>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</si>
  <si>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</si>
  <si>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</si>
  <si>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</si>
  <si>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</si>
  <si>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</si>
  <si>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</si>
  <si>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</si>
  <si>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</si>
  <si>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</si>
  <si>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</si>
  <si>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</si>
  <si>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</si>
  <si>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</si>
  <si>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</si>
  <si>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</si>
  <si>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</si>
  <si>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</si>
  <si>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</si>
  <si>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</si>
  <si>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</si>
  <si>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</si>
  <si>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</si>
  <si>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</si>
  <si>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</si>
  <si>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</si>
  <si>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</si>
  <si>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</si>
  <si>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</si>
  <si>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</si>
  <si>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</si>
  <si>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</si>
  <si>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</si>
  <si>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</si>
  <si>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</si>
  <si>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</si>
  <si>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</si>
  <si>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</si>
  <si>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</si>
  <si>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</si>
  <si>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</si>
  <si>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</si>
  <si>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</si>
  <si>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</si>
  <si>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</si>
  <si>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</si>
  <si>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</si>
  <si>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</si>
  <si>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</si>
  <si>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</si>
  <si>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</si>
  <si>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</si>
  <si>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</si>
  <si>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</si>
  <si>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</si>
  <si>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</si>
  <si>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</si>
  <si>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</si>
  <si>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</si>
  <si>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</si>
  <si>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</si>
  <si>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</si>
  <si>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</si>
  <si>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</si>
  <si>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</si>
  <si>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</si>
  <si>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</si>
  <si>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</si>
  <si>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</si>
  <si>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</si>
  <si>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</si>
  <si>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</si>
  <si>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</si>
  <si>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</si>
  <si>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</si>
  <si>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</si>
  <si>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</si>
  <si>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</si>
  <si>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</si>
  <si>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</si>
  <si>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</si>
  <si>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</si>
  <si>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</si>
  <si>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</si>
  <si>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</si>
  <si>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</si>
  <si>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</si>
  <si>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</si>
  <si>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</si>
  <si>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</si>
  <si>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</si>
  <si>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</si>
  <si>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</si>
  <si>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</si>
  <si>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</si>
  <si>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</si>
  <si>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</si>
  <si>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</si>
  <si>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</si>
  <si>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</si>
  <si>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</si>
  <si>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</si>
  <si>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</si>
  <si>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</si>
  <si>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</si>
  <si>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</si>
  <si>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</si>
  <si>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</si>
  <si>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</si>
  <si>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</si>
  <si>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</si>
  <si>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</si>
  <si>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</si>
  <si>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</si>
  <si>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</si>
  <si>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</si>
  <si>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</si>
  <si>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</si>
  <si>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</si>
  <si>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</si>
  <si>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</si>
  <si>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</si>
  <si>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</si>
  <si>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</si>
  <si>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</si>
  <si>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</si>
  <si>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</si>
  <si>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</si>
  <si>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</si>
  <si>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</si>
  <si>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</si>
  <si>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</si>
  <si>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</si>
  <si>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</si>
  <si>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</si>
  <si>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</si>
  <si>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</si>
  <si>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</si>
  <si>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</si>
  <si>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</si>
  <si>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</si>
  <si>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</si>
  <si>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</si>
  <si>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</si>
  <si>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</si>
  <si>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</si>
  <si>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</si>
  <si>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</si>
  <si>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</si>
  <si>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</si>
  <si>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</si>
  <si>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</si>
  <si>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</si>
  <si>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</si>
  <si>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</si>
  <si>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</si>
  <si>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</si>
  <si>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</si>
  <si>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</si>
  <si>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</si>
  <si>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</si>
  <si>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</si>
  <si>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</si>
  <si>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</si>
  <si>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</si>
  <si>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</si>
  <si>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</si>
  <si>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</si>
  <si>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</si>
  <si>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</si>
  <si>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</si>
  <si>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</si>
  <si>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</si>
  <si>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</si>
  <si>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</si>
  <si>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</si>
  <si>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</si>
  <si>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</si>
  <si>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</si>
  <si>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</si>
  <si>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</si>
  <si>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</si>
  <si>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</si>
  <si>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</si>
  <si>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</si>
  <si>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</si>
  <si>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</si>
  <si>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</si>
  <si>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</si>
  <si>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</si>
  <si>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</si>
  <si>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</si>
  <si>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</si>
  <si>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</si>
  <si>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</si>
  <si>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</si>
  <si>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</si>
  <si>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</si>
  <si>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</si>
  <si>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</si>
  <si>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</si>
  <si>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</si>
  <si>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</si>
  <si>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</si>
  <si>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</si>
  <si>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</si>
  <si>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</si>
  <si>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</si>
  <si>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</si>
  <si>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</si>
  <si>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</si>
  <si>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</si>
  <si>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</si>
  <si>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</si>
  <si>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</si>
  <si>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</si>
  <si>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</si>
  <si>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</si>
  <si>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</si>
  <si>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</si>
  <si>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</si>
  <si>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</si>
  <si>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</si>
  <si>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</si>
  <si>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</si>
  <si>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</si>
  <si>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</si>
  <si>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</si>
  <si>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</si>
  <si>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</si>
  <si>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</si>
  <si>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</si>
  <si>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</si>
  <si>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</si>
  <si>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</si>
  <si>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</si>
  <si>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</si>
  <si>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</si>
  <si>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</si>
  <si>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</si>
  <si>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</si>
  <si>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</si>
  <si>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</si>
  <si>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</si>
  <si>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</si>
  <si>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</si>
  <si>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</si>
  <si>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</si>
  <si>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</si>
  <si>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</si>
  <si>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</si>
  <si>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</si>
  <si>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</si>
  <si>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</si>
  <si>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</si>
  <si>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</si>
  <si>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</si>
  <si>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</si>
  <si>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</si>
  <si>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</si>
  <si>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</si>
  <si>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</si>
  <si>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</si>
  <si>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</si>
  <si>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</si>
  <si>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</si>
  <si>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</si>
  <si>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</si>
  <si>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</si>
  <si>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</si>
  <si>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</si>
  <si>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</si>
  <si>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</si>
  <si>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</si>
  <si>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</si>
  <si>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</si>
  <si>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</si>
  <si>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</si>
  <si>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</si>
  <si>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</si>
  <si>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</si>
  <si>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</si>
  <si>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</si>
  <si>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</si>
  <si>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</si>
  <si>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</si>
  <si>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</si>
  <si>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</si>
  <si>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</si>
  <si>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</si>
  <si>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</si>
  <si>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</si>
  <si>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</si>
  <si>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</si>
  <si>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</si>
  <si>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</si>
  <si>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</si>
  <si>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</si>
  <si>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</si>
  <si>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</si>
  <si>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</si>
  <si>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</si>
  <si>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</si>
  <si>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</si>
  <si>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</si>
  <si>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</si>
  <si>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</si>
  <si>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</si>
  <si>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</si>
  <si>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</si>
  <si>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</si>
  <si>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</si>
  <si>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</si>
  <si>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</si>
  <si>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</si>
  <si>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</si>
  <si>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</si>
  <si>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</si>
  <si>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</si>
  <si>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</si>
  <si>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</si>
  <si>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</si>
  <si>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</si>
  <si>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</si>
  <si>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</si>
  <si>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</si>
  <si>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</si>
  <si>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</si>
  <si>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</si>
  <si>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</si>
  <si>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</si>
  <si>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</si>
  <si>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</si>
  <si>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</si>
  <si>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</si>
  <si>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</si>
  <si>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</si>
  <si>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</si>
  <si>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</si>
  <si>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</si>
  <si>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</si>
  <si>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</si>
  <si>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</si>
  <si>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</si>
  <si>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</si>
  <si>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</si>
  <si>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</si>
  <si>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</si>
  <si>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</si>
  <si>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</si>
  <si>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</si>
  <si>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</si>
  <si>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</si>
  <si>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</si>
  <si>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</si>
  <si>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</si>
  <si>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</si>
  <si>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</si>
  <si>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</si>
  <si>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</si>
  <si>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</si>
  <si>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</si>
  <si>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</si>
  <si>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</si>
  <si>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</si>
  <si>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</si>
  <si>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</si>
  <si>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</si>
  <si>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</si>
  <si>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</si>
  <si>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</si>
  <si>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</si>
  <si>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</si>
  <si>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</si>
  <si>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</si>
  <si>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</si>
  <si>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</si>
  <si>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</si>
  <si>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</si>
  <si>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</si>
  <si>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</si>
  <si>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</si>
  <si>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</si>
  <si>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</si>
  <si>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</si>
  <si>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</si>
  <si>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</si>
  <si>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</si>
  <si>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</si>
  <si>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</si>
  <si>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</si>
  <si>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</si>
  <si>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</si>
  <si>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</si>
  <si>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</si>
  <si>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</si>
  <si>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</si>
  <si>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</si>
  <si>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</si>
  <si>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</si>
  <si>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</si>
  <si>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</si>
  <si>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</si>
  <si>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</si>
  <si>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</si>
  <si>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</si>
  <si>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</si>
  <si>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</si>
  <si>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</si>
  <si>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</si>
  <si>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</si>
  <si>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</si>
  <si>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</si>
  <si>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</si>
  <si>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</si>
  <si>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</si>
  <si>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</si>
  <si>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</si>
  <si>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</si>
  <si>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</si>
  <si>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</si>
  <si>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</si>
  <si>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</si>
  <si>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</si>
  <si>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</si>
  <si>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</si>
  <si>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</si>
  <si>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</si>
  <si>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</si>
  <si>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</si>
  <si>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</si>
  <si>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</si>
  <si>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</si>
  <si>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</si>
  <si>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</si>
  <si>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</si>
  <si>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</si>
  <si>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</si>
  <si>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</si>
  <si>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</si>
  <si>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</si>
  <si>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</si>
  <si>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</si>
  <si>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</si>
  <si>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</si>
  <si>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</si>
  <si>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</si>
  <si>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</si>
  <si>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</si>
  <si>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</si>
  <si>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</si>
  <si>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</si>
  <si>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</si>
  <si>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</si>
  <si>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</si>
  <si>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</si>
  <si>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</si>
  <si>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</si>
  <si>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</si>
  <si>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</si>
  <si>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</si>
  <si>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</si>
  <si>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</si>
  <si>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</si>
  <si>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</si>
  <si>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АРОР от 19.02.2026г. ООО "Транс-Групп" - ООО "МФ-СТРОЙ"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</si>
  <si>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</si>
  <si>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ПГП-влагостойкий.
АРОР от 19.02.2026г. ООО "Транс-Групп" - ООО "МФ-СТРОЙ"</t>
  </si>
  <si>
    <t>ОбЪем, м2 (Влагост.).</t>
  </si>
  <si>
    <t>т</t>
  </si>
  <si>
    <t>Устройство перемычек металлических с огрунтовкой и окраской</t>
  </si>
  <si>
    <t>Объем, м3.</t>
  </si>
  <si>
    <t>сумм</t>
  </si>
  <si>
    <t>№ 
поз.</t>
  </si>
  <si>
    <t>ПГП-влагостойкий.</t>
  </si>
  <si>
    <t>Кладка внутренних стен из блоков ячеистого бетона без устройства перемычек, включая армирование, устройство примыканий</t>
  </si>
  <si>
    <t>ПР-21</t>
  </si>
  <si>
    <t>ПР-27</t>
  </si>
  <si>
    <t>ПР-30</t>
  </si>
  <si>
    <t>ПР-33</t>
  </si>
  <si>
    <t>ПР-34</t>
  </si>
  <si>
    <t>ПР-35</t>
  </si>
  <si>
    <t>ПР-36</t>
  </si>
  <si>
    <t>ПР-37</t>
  </si>
  <si>
    <t>ПР-5</t>
  </si>
  <si>
    <t>ПР-6</t>
  </si>
  <si>
    <t>ПР-10</t>
  </si>
  <si>
    <t>ПР-12</t>
  </si>
  <si>
    <t>ПР-13</t>
  </si>
  <si>
    <t>ПР-17</t>
  </si>
  <si>
    <t>ПР-18</t>
  </si>
  <si>
    <t>ПР-20</t>
  </si>
  <si>
    <t>ПР-32</t>
  </si>
  <si>
    <t>ПР-4</t>
  </si>
  <si>
    <t>ПР-7</t>
  </si>
  <si>
    <t>ПР-9</t>
  </si>
  <si>
    <t>ПР-15</t>
  </si>
  <si>
    <t>ПР-16</t>
  </si>
  <si>
    <t>ПР-25</t>
  </si>
  <si>
    <t>ПР-28</t>
  </si>
  <si>
    <t>№ перемч</t>
  </si>
  <si>
    <t>вес, кг</t>
  </si>
  <si>
    <t>Кол-во, шт.</t>
  </si>
  <si>
    <t>общ. вес, кг.</t>
  </si>
  <si>
    <t>Кладка наружных стен из блоков ячеистого бетона без устройства перемычек, включая армирование, устройство примыканий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</si>
  <si>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</si>
  <si>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r>
      <rPr>
        <i/>
        <sz val="11"/>
        <rFont val="ISOCPEUR"/>
        <family val="2"/>
      </rPr>
      <t>Ф-250.3</t>
    </r>
  </si>
  <si>
    <r>
      <rPr>
        <i/>
        <sz val="11"/>
        <rFont val="ISOCPEUR"/>
        <family val="2"/>
      </rPr>
      <t>Ф-250.3.1</t>
    </r>
  </si>
  <si>
    <t>№ фархверки</t>
  </si>
  <si>
    <t>1-3 эт. Шпаклевка финишная</t>
  </si>
  <si>
    <t>1-3 эт. Шпаклевка базовая</t>
  </si>
  <si>
    <t>Подготовка поверхности СКБ / стен / по ГКЛ / 2мм</t>
  </si>
  <si>
    <t>1-3 эт. Дверные откосы. Фаиерборд.</t>
  </si>
  <si>
    <t>Подготовка поверхности СКБ / 2мм</t>
  </si>
  <si>
    <t>№ эт</t>
  </si>
  <si>
    <t>0,63х1,730</t>
  </si>
  <si>
    <t>Кол-во люков, шт</t>
  </si>
  <si>
    <t>Габариты 
(м*м).</t>
  </si>
  <si>
    <t>Сумма, 
м2.</t>
  </si>
  <si>
    <t>Ширина, 
м.</t>
  </si>
  <si>
    <t>Периметр
(п.м.).</t>
  </si>
  <si>
    <t>0,7+(1,8*2)</t>
  </si>
  <si>
    <t>1-3 эт. Откосы лючков "Хаммер".</t>
  </si>
  <si>
    <t>1-3 эт. Шпаклевка откосов финишная. Откосы лючков "Хаммер".</t>
  </si>
  <si>
    <t>1-3 эт. Шпаклевка откосов базовая. Откосы лючков "Хаммер".</t>
  </si>
  <si>
    <t>1-3 эт. Шпаклевка базовая лючков "Хаммер"</t>
  </si>
  <si>
    <t>1-3 эт. Шпаклевка финишная лючков "Хаммер"</t>
  </si>
  <si>
    <t>Пом.</t>
  </si>
  <si>
    <t>Заделка мест прохождения воздуховодов</t>
  </si>
  <si>
    <t>Заделка стояков отопления</t>
  </si>
  <si>
    <t>1.005</t>
  </si>
  <si>
    <t>1.007</t>
  </si>
  <si>
    <t>Объем, 
м3:</t>
  </si>
  <si>
    <t>1.015</t>
  </si>
  <si>
    <t>1.024</t>
  </si>
  <si>
    <t>1.027</t>
  </si>
  <si>
    <t>1.031</t>
  </si>
  <si>
    <t>1.032</t>
  </si>
  <si>
    <t>1.028</t>
  </si>
  <si>
    <t>1.044</t>
  </si>
  <si>
    <t>1.043</t>
  </si>
  <si>
    <t>1.092</t>
  </si>
  <si>
    <t>1.042</t>
  </si>
  <si>
    <t>1.050</t>
  </si>
  <si>
    <t>1.046</t>
  </si>
  <si>
    <t>1.047</t>
  </si>
  <si>
    <t>1.049</t>
  </si>
  <si>
    <t>1.060</t>
  </si>
  <si>
    <t>1.081</t>
  </si>
  <si>
    <t>1.082</t>
  </si>
  <si>
    <t>1.054</t>
  </si>
  <si>
    <t>1.058</t>
  </si>
  <si>
    <t>1.059</t>
  </si>
  <si>
    <t>1.087</t>
  </si>
  <si>
    <t>1.051</t>
  </si>
  <si>
    <t>1.009</t>
  </si>
  <si>
    <t>1.107</t>
  </si>
  <si>
    <t>1.105</t>
  </si>
  <si>
    <t>1.106</t>
  </si>
  <si>
    <t>1.109</t>
  </si>
  <si>
    <t>1.061</t>
  </si>
  <si>
    <t>1.063</t>
  </si>
  <si>
    <t>1.064</t>
  </si>
  <si>
    <t>1.097</t>
  </si>
  <si>
    <t>1.069</t>
  </si>
  <si>
    <t>1.070</t>
  </si>
  <si>
    <t>1.073</t>
  </si>
  <si>
    <t>1.072</t>
  </si>
  <si>
    <t>1.083</t>
  </si>
  <si>
    <t>1.078</t>
  </si>
  <si>
    <t>1.075</t>
  </si>
  <si>
    <t>1.076</t>
  </si>
  <si>
    <t>1.112</t>
  </si>
  <si>
    <t>Заделка отверстий в стенах в местах прохода коммуникации / до 500 см2</t>
  </si>
  <si>
    <t>Расчет</t>
  </si>
  <si>
    <t>Ср. ширина, м</t>
  </si>
  <si>
    <t>Ср. длина, м</t>
  </si>
  <si>
    <t>Сумма, м2</t>
  </si>
  <si>
    <t>Итог, м2:</t>
  </si>
  <si>
    <t>Устройство откосов из ГКЛ / в 2 слоя</t>
  </si>
  <si>
    <t>1-3 эт. Дверные откосы. Уменьшение дверных проемов. /файерборд</t>
  </si>
  <si>
    <t>Устройство проемов из файерборд / в 2 слоя</t>
  </si>
  <si>
    <t>Итог (м3):</t>
  </si>
  <si>
    <t>Объем, м2:</t>
  </si>
  <si>
    <t>№ эт.</t>
  </si>
  <si>
    <t>Монтаж, демонтаж, аренда строительных лесов</t>
  </si>
  <si>
    <t>Ведомость работ</t>
  </si>
  <si>
    <t>Заделка штроб</t>
  </si>
  <si>
    <t>пог. м.</t>
  </si>
  <si>
    <t>п.м</t>
  </si>
  <si>
    <t>СТ-2.3</t>
  </si>
  <si>
    <t>1 эт</t>
  </si>
  <si>
    <t>2 эт</t>
  </si>
  <si>
    <t>3 эт</t>
  </si>
  <si>
    <t>эт.</t>
  </si>
  <si>
    <t>Устройство проемов из файерборд / в 1 слои</t>
  </si>
  <si>
    <t>1-3 эт. Лючки "Хаммер"</t>
  </si>
  <si>
    <t>Лакокрасочные работы СКБ / окраска откосов / в 2 слоя</t>
  </si>
  <si>
    <t>Штукатурка поверхностей откосов сухими смесями с предварительной огрунтовкой поверхности</t>
  </si>
  <si>
    <t>Выравнивание поверхностей откосов толщ. до 5 мм с предварительной огрунтовкой поверхности (базовая шпаклевка)</t>
  </si>
  <si>
    <t>Лакокрасочные работы СКБ / окраска откосов / 2 слоя / СТ-2.1</t>
  </si>
  <si>
    <t>Лакокрасочные работы СКБ / окраска откосов  / 2 слоя / СТ-2.16</t>
  </si>
  <si>
    <t>Лакокрасочные работы СКБ / окраска откосов  / 2 слоя / СТ-1.1</t>
  </si>
  <si>
    <t>Лакокрасочные работы СКБ / окраска откосов  / 2 слоя / СТ-2.3</t>
  </si>
  <si>
    <t>Выравнивание поверхностей откосов толщ. до 5 мм с предварительной огрунтовкой поверхности (финишная шпаклевка)</t>
  </si>
  <si>
    <t>Устройство откосов из ГКЛ на клеевом составе / в 2 слой</t>
  </si>
  <si>
    <t>1-3 эт.</t>
  </si>
  <si>
    <t>Устройство дверных откосов.</t>
  </si>
  <si>
    <t>верхняя пл-ть,
общая, м2</t>
  </si>
  <si>
    <t>боковая пл-тьь,
общая, м2</t>
  </si>
  <si>
    <t>Итог, м2</t>
  </si>
  <si>
    <t>Устройство витражных откосов.</t>
  </si>
  <si>
    <t>Устройство оконных откосов. (средняя высота = 2.5 м)</t>
  </si>
  <si>
    <t>Устройство оконных откосов. (средняя высота = 6.8 м)</t>
  </si>
  <si>
    <t>1-3 эт. Откосы, витражи
файерборд</t>
  </si>
  <si>
    <t>1-3 эт. Откосы, окна + мин вата 50 мм. Файерборд</t>
  </si>
  <si>
    <t>1-3 эт. Откосы, двери
файерборд</t>
  </si>
  <si>
    <t xml:space="preserve">Выравнивание поверхностей откосов толщ. до 5 мм с предварительной огрунтовкой поверхности </t>
  </si>
  <si>
    <t>Выравнивание поверхностей откосов толщ. до 5 мм с предварительной огрунтовкой поверхности 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</si>
</sst>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36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1"/>
      <name val="ISOCPEUR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ГОСТ тип А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12" fillId="0" borderId="0"/>
    <xf numFmtId="43" fontId="13" fillId="0" borderId="0" applyFont="0" applyFill="0" applyBorder="0" applyAlignment="0" applyProtection="0"/>
    <xf numFmtId="0" fontId="2" fillId="0" borderId="0"/>
    <xf numFmtId="0" fontId="34" fillId="0" borderId="0"/>
    <xf numFmtId="43" fontId="12" fillId="0" borderId="0" applyFont="0" applyFill="0" applyBorder="0" applyAlignment="0" applyProtection="0"/>
    <xf numFmtId="0" fontId="1" fillId="0" borderId="0"/>
  </cellStyleXfs>
  <cellXfs count="308">
    <xf numFmtId="0" fontId="0" fillId="0" borderId="0" xfId="0"/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0" fillId="2" borderId="0" xfId="0" applyFill="1"/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164" fontId="8" fillId="0" borderId="5" xfId="0" applyNumberFormat="1" applyFont="1" applyBorder="1" applyAlignment="1">
      <alignment horizontal="center" vertical="center" wrapText="1"/>
    </xf>
    <xf numFmtId="0" fontId="9" fillId="3" borderId="5" xfId="0" applyFont="1" applyFill="1" applyBorder="1" applyAlignment="1">
      <alignment horizontal="right" vertical="center" wrapText="1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164" fontId="10" fillId="0" borderId="5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righ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8" fillId="4" borderId="5" xfId="0" applyNumberFormat="1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right" vertical="center" wrapText="1"/>
    </xf>
    <xf numFmtId="0" fontId="8" fillId="4" borderId="5" xfId="0" applyFont="1" applyFill="1" applyBorder="1" applyAlignment="1">
      <alignment horizontal="center" vertical="center"/>
    </xf>
    <xf numFmtId="164" fontId="8" fillId="4" borderId="5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right" vertical="center" wrapText="1"/>
    </xf>
    <xf numFmtId="164" fontId="10" fillId="4" borderId="5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1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vertical="center"/>
    </xf>
    <xf numFmtId="2" fontId="11" fillId="0" borderId="6" xfId="0" applyNumberFormat="1" applyFont="1" applyFill="1" applyBorder="1" applyAlignment="1">
      <alignment horizontal="center" vertical="center"/>
    </xf>
    <xf numFmtId="165" fontId="11" fillId="0" borderId="6" xfId="0" applyNumberFormat="1" applyFont="1" applyFill="1" applyBorder="1" applyAlignment="1">
      <alignment horizontal="center" vertical="center"/>
    </xf>
    <xf numFmtId="0" fontId="11" fillId="0" borderId="5" xfId="1" applyFont="1" applyFill="1" applyBorder="1" applyAlignment="1" applyProtection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center" vertical="center" wrapText="1"/>
    </xf>
    <xf numFmtId="164" fontId="11" fillId="0" borderId="5" xfId="0" applyNumberFormat="1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43" fontId="14" fillId="0" borderId="0" xfId="2" applyFont="1" applyAlignment="1"/>
    <xf numFmtId="49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2" fontId="14" fillId="0" borderId="6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/>
    </xf>
    <xf numFmtId="2" fontId="14" fillId="0" borderId="6" xfId="2" applyNumberFormat="1" applyFont="1" applyBorder="1" applyAlignment="1">
      <alignment vertical="center"/>
    </xf>
    <xf numFmtId="0" fontId="16" fillId="0" borderId="10" xfId="0" applyFont="1" applyBorder="1" applyAlignment="1">
      <alignment horizontal="center" vertical="center" wrapText="1"/>
    </xf>
    <xf numFmtId="0" fontId="17" fillId="6" borderId="6" xfId="0" applyFont="1" applyFill="1" applyBorder="1"/>
    <xf numFmtId="0" fontId="17" fillId="0" borderId="6" xfId="0" applyFont="1" applyBorder="1"/>
    <xf numFmtId="0" fontId="12" fillId="0" borderId="0" xfId="0" applyFont="1"/>
    <xf numFmtId="0" fontId="18" fillId="6" borderId="6" xfId="0" applyFont="1" applyFill="1" applyBorder="1"/>
    <xf numFmtId="0" fontId="14" fillId="0" borderId="0" xfId="0" applyFont="1" applyAlignment="1"/>
    <xf numFmtId="0" fontId="0" fillId="0" borderId="0" xfId="0" applyAlignment="1"/>
    <xf numFmtId="0" fontId="6" fillId="0" borderId="4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 wrapText="1"/>
    </xf>
    <xf numFmtId="164" fontId="10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11" fillId="0" borderId="6" xfId="0" applyFont="1" applyFill="1" applyBorder="1" applyAlignment="1">
      <alignment vertical="center" wrapText="1"/>
    </xf>
    <xf numFmtId="0" fontId="19" fillId="0" borderId="5" xfId="0" applyFont="1" applyBorder="1" applyAlignment="1">
      <alignment horizontal="center" vertical="center" wrapText="1"/>
    </xf>
    <xf numFmtId="164" fontId="19" fillId="0" borderId="5" xfId="0" applyNumberFormat="1" applyFont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164" fontId="19" fillId="6" borderId="5" xfId="0" applyNumberFormat="1" applyFont="1" applyFill="1" applyBorder="1" applyAlignment="1">
      <alignment horizontal="center" vertical="center" wrapText="1"/>
    </xf>
    <xf numFmtId="0" fontId="20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3" fillId="0" borderId="5" xfId="0" applyNumberFormat="1" applyFont="1" applyFill="1" applyBorder="1" applyAlignment="1">
      <alignment horizontal="center" vertical="center" shrinkToFit="1"/>
    </xf>
    <xf numFmtId="167" fontId="23" fillId="0" borderId="5" xfId="0" applyNumberFormat="1" applyFont="1" applyFill="1" applyBorder="1" applyAlignment="1">
      <alignment horizontal="center" vertical="top" shrinkToFit="1"/>
    </xf>
    <xf numFmtId="0" fontId="24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4" fillId="0" borderId="5" xfId="0" applyFont="1" applyFill="1" applyBorder="1" applyAlignment="1">
      <alignment horizontal="center" vertical="top" wrapText="1"/>
    </xf>
    <xf numFmtId="0" fontId="21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2" fillId="0" borderId="0" xfId="0" applyNumberFormat="1" applyFont="1"/>
    <xf numFmtId="49" fontId="12" fillId="0" borderId="0" xfId="0" applyNumberFormat="1" applyFont="1" applyAlignment="1">
      <alignment horizontal="right"/>
    </xf>
    <xf numFmtId="0" fontId="19" fillId="0" borderId="0" xfId="0" applyFont="1" applyBorder="1" applyAlignment="1">
      <alignment horizontal="center" vertical="center" wrapText="1"/>
    </xf>
    <xf numFmtId="164" fontId="19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6" fillId="0" borderId="6" xfId="0" applyFont="1" applyBorder="1" applyAlignment="1">
      <alignment horizontal="center" vertical="center"/>
    </xf>
    <xf numFmtId="49" fontId="16" fillId="0" borderId="6" xfId="0" applyNumberFormat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49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6" xfId="0" applyFont="1" applyFill="1" applyBorder="1" applyAlignment="1">
      <alignment horizontal="center" vertical="center" wrapText="1"/>
    </xf>
    <xf numFmtId="164" fontId="16" fillId="6" borderId="6" xfId="0" applyNumberFormat="1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49" fontId="16" fillId="6" borderId="6" xfId="0" applyNumberFormat="1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49" fontId="16" fillId="6" borderId="16" xfId="0" applyNumberFormat="1" applyFont="1" applyFill="1" applyBorder="1" applyAlignment="1">
      <alignment horizontal="center" vertical="center"/>
    </xf>
    <xf numFmtId="0" fontId="27" fillId="6" borderId="6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28" fillId="0" borderId="4" xfId="0" applyFont="1" applyBorder="1" applyAlignment="1">
      <alignment vertical="center" wrapText="1"/>
    </xf>
    <xf numFmtId="16" fontId="28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9" fillId="0" borderId="6" xfId="0" applyFont="1" applyBorder="1"/>
    <xf numFmtId="0" fontId="14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30" fillId="0" borderId="0" xfId="0" applyFont="1"/>
    <xf numFmtId="0" fontId="30" fillId="0" borderId="0" xfId="0" applyFont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 wrapText="1"/>
    </xf>
    <xf numFmtId="4" fontId="30" fillId="0" borderId="6" xfId="0" applyNumberFormat="1" applyFont="1" applyBorder="1" applyAlignment="1">
      <alignment horizontal="right" vertical="center" wrapText="1"/>
    </xf>
    <xf numFmtId="2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30" fillId="0" borderId="0" xfId="0" applyFont="1" applyAlignment="1">
      <alignment wrapText="1"/>
    </xf>
    <xf numFmtId="0" fontId="31" fillId="0" borderId="6" xfId="0" applyFont="1" applyBorder="1"/>
    <xf numFmtId="0" fontId="32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wrapText="1"/>
    </xf>
    <xf numFmtId="0" fontId="31" fillId="0" borderId="6" xfId="0" applyFont="1" applyBorder="1" applyAlignment="1">
      <alignment horizontal="center"/>
    </xf>
    <xf numFmtId="0" fontId="31" fillId="8" borderId="6" xfId="0" applyFont="1" applyFill="1" applyBorder="1"/>
    <xf numFmtId="2" fontId="31" fillId="8" borderId="6" xfId="0" applyNumberFormat="1" applyFont="1" applyFill="1" applyBorder="1"/>
    <xf numFmtId="0" fontId="30" fillId="8" borderId="6" xfId="0" applyFont="1" applyFill="1" applyBorder="1" applyAlignment="1">
      <alignment horizontal="center" vertical="center"/>
    </xf>
    <xf numFmtId="0" fontId="30" fillId="8" borderId="6" xfId="0" applyFont="1" applyFill="1" applyBorder="1" applyAlignment="1">
      <alignment horizontal="center" vertical="center" wrapText="1"/>
    </xf>
    <xf numFmtId="4" fontId="30" fillId="8" borderId="6" xfId="0" applyNumberFormat="1" applyFont="1" applyFill="1" applyBorder="1" applyAlignment="1">
      <alignment horizontal="right" vertical="center" wrapText="1"/>
    </xf>
    <xf numFmtId="0" fontId="31" fillId="8" borderId="6" xfId="0" applyFont="1" applyFill="1" applyBorder="1" applyAlignment="1">
      <alignment wrapText="1"/>
    </xf>
    <xf numFmtId="0" fontId="31" fillId="8" borderId="14" xfId="0" applyFont="1" applyFill="1" applyBorder="1"/>
    <xf numFmtId="164" fontId="30" fillId="8" borderId="6" xfId="0" applyNumberFormat="1" applyFont="1" applyFill="1" applyBorder="1" applyAlignment="1">
      <alignment horizontal="right" vertical="center" wrapText="1"/>
    </xf>
    <xf numFmtId="2" fontId="31" fillId="0" borderId="6" xfId="0" applyNumberFormat="1" applyFont="1" applyBorder="1"/>
    <xf numFmtId="0" fontId="31" fillId="0" borderId="7" xfId="0" applyFont="1" applyBorder="1" applyAlignment="1">
      <alignment horizontal="center"/>
    </xf>
    <xf numFmtId="2" fontId="30" fillId="0" borderId="6" xfId="0" applyNumberFormat="1" applyFont="1" applyBorder="1"/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17" xfId="0" applyFont="1" applyBorder="1" applyAlignment="1">
      <alignment vertical="center"/>
    </xf>
    <xf numFmtId="0" fontId="30" fillId="0" borderId="6" xfId="0" applyFont="1" applyBorder="1"/>
    <xf numFmtId="0" fontId="30" fillId="0" borderId="6" xfId="0" applyFont="1" applyFill="1" applyBorder="1" applyAlignment="1">
      <alignment horizontal="center" vertical="center"/>
    </xf>
    <xf numFmtId="0" fontId="30" fillId="0" borderId="6" xfId="0" applyFont="1" applyFill="1" applyBorder="1" applyAlignment="1">
      <alignment horizontal="center" vertical="center" wrapText="1"/>
    </xf>
    <xf numFmtId="4" fontId="30" fillId="0" borderId="6" xfId="0" applyNumberFormat="1" applyFont="1" applyFill="1" applyBorder="1" applyAlignment="1">
      <alignment horizontal="right" vertical="center" wrapText="1"/>
    </xf>
    <xf numFmtId="0" fontId="30" fillId="0" borderId="0" xfId="0" applyFont="1" applyAlignment="1">
      <alignment horizontal="center" vertical="center"/>
    </xf>
    <xf numFmtId="164" fontId="30" fillId="0" borderId="6" xfId="0" applyNumberFormat="1" applyFont="1" applyBorder="1" applyAlignment="1">
      <alignment horizontal="right" vertical="center" wrapText="1"/>
    </xf>
    <xf numFmtId="164" fontId="30" fillId="0" borderId="6" xfId="0" applyNumberFormat="1" applyFont="1" applyFill="1" applyBorder="1" applyAlignment="1">
      <alignment horizontal="right" vertical="center" wrapText="1"/>
    </xf>
    <xf numFmtId="0" fontId="15" fillId="0" borderId="9" xfId="0" applyFont="1" applyBorder="1" applyAlignment="1">
      <alignment horizontal="center"/>
    </xf>
    <xf numFmtId="0" fontId="30" fillId="0" borderId="9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3" fillId="0" borderId="6" xfId="0" applyFont="1" applyFill="1" applyBorder="1" applyAlignment="1">
      <alignment horizontal="left" vertical="top" wrapText="1"/>
    </xf>
    <xf numFmtId="2" fontId="0" fillId="0" borderId="6" xfId="0" applyNumberForma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2" fontId="0" fillId="0" borderId="7" xfId="0" applyNumberFormat="1" applyFill="1" applyBorder="1" applyAlignment="1">
      <alignment horizontal="left" vertical="top"/>
    </xf>
    <xf numFmtId="0" fontId="30" fillId="0" borderId="0" xfId="0" applyFont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30" fillId="0" borderId="9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0" fillId="0" borderId="9" xfId="0" applyFont="1" applyBorder="1" applyAlignment="1">
      <alignment horizontal="left" vertical="center" wrapText="1"/>
    </xf>
    <xf numFmtId="165" fontId="30" fillId="0" borderId="6" xfId="0" applyNumberFormat="1" applyFont="1" applyFill="1" applyBorder="1" applyAlignment="1">
      <alignment horizontal="right" vertical="center" wrapText="1"/>
    </xf>
    <xf numFmtId="0" fontId="30" fillId="0" borderId="6" xfId="0" applyFont="1" applyBorder="1" applyAlignment="1">
      <alignment horizontal="center"/>
    </xf>
    <xf numFmtId="167" fontId="30" fillId="0" borderId="6" xfId="0" applyNumberFormat="1" applyFont="1" applyBorder="1"/>
    <xf numFmtId="0" fontId="30" fillId="0" borderId="6" xfId="0" applyFont="1" applyBorder="1" applyAlignment="1">
      <alignment horizontal="right"/>
    </xf>
    <xf numFmtId="0" fontId="30" fillId="0" borderId="0" xfId="0" applyFont="1" applyAlignment="1">
      <alignment horizontal="center" vertical="center"/>
    </xf>
    <xf numFmtId="0" fontId="30" fillId="0" borderId="6" xfId="0" applyFont="1" applyBorder="1" applyAlignment="1">
      <alignment horizontal="right" vertical="center"/>
    </xf>
    <xf numFmtId="0" fontId="15" fillId="0" borderId="0" xfId="0" applyFont="1" applyAlignment="1">
      <alignment horizontal="center" vertical="center"/>
    </xf>
    <xf numFmtId="165" fontId="30" fillId="0" borderId="6" xfId="0" applyNumberFormat="1" applyFont="1" applyFill="1" applyBorder="1" applyAlignment="1">
      <alignment horizontal="center" vertical="center" wrapText="1"/>
    </xf>
    <xf numFmtId="0" fontId="30" fillId="0" borderId="6" xfId="0" applyFont="1" applyBorder="1" applyAlignment="1">
      <alignment horizontal="right" vertical="center"/>
    </xf>
    <xf numFmtId="0" fontId="15" fillId="0" borderId="6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5" fillId="0" borderId="6" xfId="0" applyFont="1" applyBorder="1"/>
    <xf numFmtId="0" fontId="30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/>
    </xf>
    <xf numFmtId="0" fontId="2" fillId="0" borderId="0" xfId="3"/>
    <xf numFmtId="0" fontId="14" fillId="0" borderId="6" xfId="3" applyFont="1" applyBorder="1" applyAlignment="1">
      <alignment horizontal="center" vertical="center"/>
    </xf>
    <xf numFmtId="0" fontId="14" fillId="0" borderId="16" xfId="3" applyFont="1" applyBorder="1" applyAlignment="1">
      <alignment horizontal="center" vertical="center"/>
    </xf>
    <xf numFmtId="0" fontId="14" fillId="0" borderId="6" xfId="4" applyFont="1" applyBorder="1" applyAlignment="1">
      <alignment horizontal="center" vertical="center"/>
    </xf>
    <xf numFmtId="2" fontId="14" fillId="0" borderId="6" xfId="4" applyNumberFormat="1" applyFont="1" applyBorder="1" applyAlignment="1">
      <alignment horizontal="center" vertical="center"/>
    </xf>
    <xf numFmtId="0" fontId="15" fillId="0" borderId="6" xfId="4" applyFont="1" applyBorder="1" applyAlignment="1">
      <alignment horizontal="center" vertical="center" wrapText="1"/>
    </xf>
    <xf numFmtId="49" fontId="14" fillId="0" borderId="6" xfId="4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7" fontId="14" fillId="0" borderId="6" xfId="5" applyNumberFormat="1" applyFont="1" applyBorder="1" applyAlignment="1">
      <alignment vertical="center"/>
    </xf>
    <xf numFmtId="0" fontId="35" fillId="0" borderId="6" xfId="6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9" xfId="0" applyFont="1" applyBorder="1" applyAlignment="1">
      <alignment horizontal="left" vertical="center" wrapText="1"/>
    </xf>
    <xf numFmtId="0" fontId="30" fillId="4" borderId="6" xfId="0" applyFont="1" applyFill="1" applyBorder="1" applyAlignment="1">
      <alignment horizontal="center" vertical="center"/>
    </xf>
    <xf numFmtId="0" fontId="30" fillId="8" borderId="6" xfId="0" applyFont="1" applyFill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 wrapText="1"/>
    </xf>
    <xf numFmtId="4" fontId="30" fillId="4" borderId="6" xfId="0" applyNumberFormat="1" applyFont="1" applyFill="1" applyBorder="1" applyAlignment="1">
      <alignment horizontal="right" vertical="center" wrapText="1"/>
    </xf>
    <xf numFmtId="0" fontId="30" fillId="9" borderId="6" xfId="0" applyFont="1" applyFill="1" applyBorder="1" applyAlignment="1">
      <alignment horizontal="center" vertical="center"/>
    </xf>
    <xf numFmtId="0" fontId="30" fillId="9" borderId="6" xfId="0" applyFont="1" applyFill="1" applyBorder="1" applyAlignment="1">
      <alignment horizontal="center" vertical="center" wrapText="1"/>
    </xf>
    <xf numFmtId="2" fontId="30" fillId="9" borderId="6" xfId="0" applyNumberFormat="1" applyFont="1" applyFill="1" applyBorder="1" applyAlignment="1">
      <alignment horizontal="center" vertical="center"/>
    </xf>
    <xf numFmtId="2" fontId="30" fillId="8" borderId="6" xfId="0" applyNumberFormat="1" applyFont="1" applyFill="1" applyBorder="1" applyAlignment="1">
      <alignment horizontal="center" vertical="center"/>
    </xf>
    <xf numFmtId="4" fontId="30" fillId="9" borderId="6" xfId="0" applyNumberFormat="1" applyFont="1" applyFill="1" applyBorder="1" applyAlignment="1">
      <alignment horizontal="right" vertical="center" wrapText="1"/>
    </xf>
    <xf numFmtId="2" fontId="30" fillId="0" borderId="6" xfId="0" applyNumberFormat="1" applyFont="1" applyBorder="1" applyAlignment="1">
      <alignment horizontal="center" vertical="center"/>
    </xf>
    <xf numFmtId="2" fontId="30" fillId="4" borderId="6" xfId="0" applyNumberFormat="1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 wrapText="1"/>
    </xf>
    <xf numFmtId="0" fontId="30" fillId="7" borderId="6" xfId="0" applyFont="1" applyFill="1" applyBorder="1" applyAlignment="1">
      <alignment horizontal="center" vertical="center"/>
    </xf>
    <xf numFmtId="2" fontId="30" fillId="7" borderId="6" xfId="0" applyNumberFormat="1" applyFont="1" applyFill="1" applyBorder="1" applyAlignment="1">
      <alignment horizontal="center" vertical="center"/>
    </xf>
    <xf numFmtId="0" fontId="30" fillId="0" borderId="6" xfId="0" applyFont="1" applyBorder="1" applyAlignment="1">
      <alignment horizontal="left" vertical="center" wrapText="1"/>
    </xf>
    <xf numFmtId="0" fontId="30" fillId="0" borderId="7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30" fillId="0" borderId="0" xfId="0" applyFont="1" applyAlignment="1">
      <alignment horizontal="center"/>
    </xf>
    <xf numFmtId="0" fontId="30" fillId="0" borderId="6" xfId="0" applyFont="1" applyBorder="1" applyAlignment="1">
      <alignment horizontal="right" vertical="center"/>
    </xf>
    <xf numFmtId="0" fontId="30" fillId="9" borderId="6" xfId="0" applyFont="1" applyFill="1" applyBorder="1" applyAlignment="1">
      <alignment horizontal="right" vertical="center"/>
    </xf>
    <xf numFmtId="0" fontId="30" fillId="4" borderId="6" xfId="0" applyFont="1" applyFill="1" applyBorder="1" applyAlignment="1">
      <alignment horizontal="center" vertical="center"/>
    </xf>
    <xf numFmtId="0" fontId="30" fillId="4" borderId="6" xfId="0" applyFont="1" applyFill="1" applyBorder="1" applyAlignment="1">
      <alignment horizontal="right" vertical="center"/>
    </xf>
    <xf numFmtId="0" fontId="30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right" vertical="center"/>
    </xf>
    <xf numFmtId="0" fontId="30" fillId="0" borderId="8" xfId="0" applyFont="1" applyBorder="1" applyAlignment="1">
      <alignment horizontal="center"/>
    </xf>
    <xf numFmtId="0" fontId="30" fillId="9" borderId="6" xfId="0" applyFont="1" applyFill="1" applyBorder="1" applyAlignment="1">
      <alignment horizontal="center" vertical="center"/>
    </xf>
    <xf numFmtId="0" fontId="30" fillId="4" borderId="7" xfId="0" applyFont="1" applyFill="1" applyBorder="1" applyAlignment="1">
      <alignment horizontal="left" vertical="center" wrapText="1"/>
    </xf>
    <xf numFmtId="0" fontId="30" fillId="4" borderId="9" xfId="0" applyFont="1" applyFill="1" applyBorder="1" applyAlignment="1">
      <alignment horizontal="left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0" fillId="8" borderId="7" xfId="0" applyFont="1" applyFill="1" applyBorder="1" applyAlignment="1">
      <alignment horizontal="left" vertical="center" wrapText="1"/>
    </xf>
    <xf numFmtId="0" fontId="30" fillId="8" borderId="9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center"/>
    </xf>
    <xf numFmtId="0" fontId="30" fillId="8" borderId="6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30" fillId="9" borderId="6" xfId="0" applyFont="1" applyFill="1" applyBorder="1" applyAlignment="1">
      <alignment horizontal="left" vertical="center" wrapText="1"/>
    </xf>
    <xf numFmtId="0" fontId="15" fillId="0" borderId="7" xfId="0" applyFont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30" fillId="9" borderId="7" xfId="0" applyFont="1" applyFill="1" applyBorder="1" applyAlignment="1">
      <alignment horizontal="left" vertical="center" wrapText="1"/>
    </xf>
    <xf numFmtId="0" fontId="30" fillId="9" borderId="9" xfId="0" applyFont="1" applyFill="1" applyBorder="1" applyAlignment="1">
      <alignment horizontal="left" vertical="center" wrapText="1"/>
    </xf>
    <xf numFmtId="0" fontId="30" fillId="4" borderId="6" xfId="0" applyFont="1" applyFill="1" applyBorder="1" applyAlignment="1">
      <alignment horizontal="left" vertical="center" wrapText="1"/>
    </xf>
    <xf numFmtId="0" fontId="30" fillId="0" borderId="6" xfId="0" applyFont="1" applyBorder="1" applyAlignment="1">
      <alignment vertical="center" wrapText="1"/>
    </xf>
    <xf numFmtId="0" fontId="30" fillId="0" borderId="7" xfId="0" applyFont="1" applyFill="1" applyBorder="1" applyAlignment="1">
      <alignment horizontal="center" vertical="center"/>
    </xf>
    <xf numFmtId="0" fontId="30" fillId="0" borderId="8" xfId="0" applyFont="1" applyFill="1" applyBorder="1" applyAlignment="1">
      <alignment horizontal="center" vertical="center"/>
    </xf>
    <xf numFmtId="0" fontId="30" fillId="0" borderId="9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14" fillId="0" borderId="6" xfId="3" applyFont="1" applyBorder="1" applyAlignment="1">
      <alignment horizontal="right" vertical="center"/>
    </xf>
    <xf numFmtId="0" fontId="30" fillId="0" borderId="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 wrapText="1"/>
    </xf>
    <xf numFmtId="0" fontId="30" fillId="0" borderId="17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 wrapText="1"/>
    </xf>
    <xf numFmtId="0" fontId="30" fillId="0" borderId="0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6" xfId="0" applyFont="1" applyBorder="1" applyAlignment="1">
      <alignment horizontal="center"/>
    </xf>
    <xf numFmtId="0" fontId="14" fillId="0" borderId="17" xfId="4" applyFont="1" applyBorder="1" applyAlignment="1">
      <alignment horizontal="center"/>
    </xf>
    <xf numFmtId="0" fontId="2" fillId="0" borderId="0" xfId="3" applyAlignment="1">
      <alignment horizontal="center"/>
    </xf>
    <xf numFmtId="0" fontId="14" fillId="0" borderId="6" xfId="4" applyFont="1" applyBorder="1" applyAlignment="1">
      <alignment horizontal="center" vertical="center"/>
    </xf>
    <xf numFmtId="0" fontId="15" fillId="0" borderId="7" xfId="4" applyFont="1" applyBorder="1" applyAlignment="1">
      <alignment horizontal="center" vertical="center"/>
    </xf>
    <xf numFmtId="0" fontId="15" fillId="0" borderId="8" xfId="4" applyFont="1" applyBorder="1" applyAlignment="1">
      <alignment horizontal="center" vertical="center"/>
    </xf>
    <xf numFmtId="0" fontId="15" fillId="0" borderId="7" xfId="4" applyFont="1" applyFill="1" applyBorder="1" applyAlignment="1">
      <alignment vertical="center" wrapText="1"/>
    </xf>
    <xf numFmtId="0" fontId="15" fillId="0" borderId="8" xfId="4" applyFont="1" applyFill="1" applyBorder="1" applyAlignment="1">
      <alignment vertical="center" wrapText="1"/>
    </xf>
    <xf numFmtId="0" fontId="30" fillId="0" borderId="20" xfId="0" applyFont="1" applyBorder="1" applyAlignment="1">
      <alignment horizontal="center"/>
    </xf>
    <xf numFmtId="0" fontId="30" fillId="0" borderId="17" xfId="0" applyFont="1" applyBorder="1" applyAlignment="1">
      <alignment horizontal="center" vertical="center"/>
    </xf>
    <xf numFmtId="0" fontId="30" fillId="0" borderId="8" xfId="0" applyFont="1" applyFill="1" applyBorder="1" applyAlignment="1">
      <alignment horizontal="right" vertical="center"/>
    </xf>
    <xf numFmtId="0" fontId="30" fillId="0" borderId="9" xfId="0" applyFont="1" applyFill="1" applyBorder="1" applyAlignment="1">
      <alignment horizontal="right" vertical="center"/>
    </xf>
    <xf numFmtId="0" fontId="30" fillId="0" borderId="8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center"/>
    </xf>
    <xf numFmtId="0" fontId="30" fillId="0" borderId="7" xfId="0" applyFont="1" applyBorder="1" applyAlignment="1">
      <alignment horizontal="right"/>
    </xf>
    <xf numFmtId="0" fontId="30" fillId="0" borderId="8" xfId="0" applyFont="1" applyBorder="1" applyAlignment="1">
      <alignment horizontal="right"/>
    </xf>
    <xf numFmtId="0" fontId="30" fillId="0" borderId="9" xfId="0" applyFont="1" applyBorder="1" applyAlignment="1">
      <alignment horizontal="right"/>
    </xf>
    <xf numFmtId="0" fontId="30" fillId="0" borderId="2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0" fillId="0" borderId="7" xfId="0" applyFont="1" applyFill="1" applyBorder="1" applyAlignment="1">
      <alignment horizontal="left" vertical="center" wrapText="1"/>
    </xf>
    <xf numFmtId="0" fontId="30" fillId="0" borderId="8" xfId="0" applyFont="1" applyFill="1" applyBorder="1" applyAlignment="1">
      <alignment horizontal="left" vertical="center" wrapText="1"/>
    </xf>
    <xf numFmtId="0" fontId="30" fillId="0" borderId="9" xfId="0" applyFont="1" applyFill="1" applyBorder="1" applyAlignment="1">
      <alignment horizontal="left" vertical="center" wrapText="1"/>
    </xf>
    <xf numFmtId="0" fontId="30" fillId="0" borderId="20" xfId="0" applyFont="1" applyBorder="1" applyAlignment="1">
      <alignment horizontal="center" wrapText="1"/>
    </xf>
    <xf numFmtId="0" fontId="30" fillId="0" borderId="0" xfId="0" applyFont="1" applyBorder="1" applyAlignment="1">
      <alignment horizontal="center" wrapText="1"/>
    </xf>
    <xf numFmtId="0" fontId="30" fillId="8" borderId="8" xfId="0" applyFont="1" applyFill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wrapText="1"/>
    </xf>
    <xf numFmtId="0" fontId="31" fillId="0" borderId="0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8" borderId="7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center" vertical="center" wrapText="1"/>
    </xf>
    <xf numFmtId="0" fontId="30" fillId="8" borderId="9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5" fillId="0" borderId="7" xfId="0" applyFont="1" applyFill="1" applyBorder="1" applyAlignment="1">
      <alignment vertical="center" wrapText="1"/>
    </xf>
    <xf numFmtId="0" fontId="15" fillId="0" borderId="8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166" fontId="14" fillId="0" borderId="7" xfId="2" applyNumberFormat="1" applyFont="1" applyBorder="1" applyAlignment="1">
      <alignment horizontal="center" vertical="center"/>
    </xf>
    <xf numFmtId="166" fontId="14" fillId="0" borderId="9" xfId="2" applyNumberFormat="1" applyFont="1" applyBorder="1" applyAlignment="1">
      <alignment horizontal="center" vertical="center"/>
    </xf>
    <xf numFmtId="0" fontId="15" fillId="0" borderId="7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5" fillId="0" borderId="9" xfId="0" applyFont="1" applyBorder="1" applyAlignment="1">
      <alignment vertical="center"/>
    </xf>
    <xf numFmtId="2" fontId="14" fillId="0" borderId="7" xfId="0" applyNumberFormat="1" applyFont="1" applyBorder="1" applyAlignment="1">
      <alignment horizontal="center" vertical="center"/>
    </xf>
    <xf numFmtId="2" fontId="14" fillId="0" borderId="9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</cellXfs>
  <cellStyles count="7">
    <cellStyle name="Обычный" xfId="0" builtinId="0"/>
    <cellStyle name="Обычный 2" xfId="1"/>
    <cellStyle name="Обычный 2 2" xfId="4"/>
    <cellStyle name="Обычный 3" xfId="3"/>
    <cellStyle name="Обычный 4" xfId="6"/>
    <cellStyle name="Финансовый" xfId="2" builtinId="3"/>
    <cellStyle name="Финансовый 2" xfId="5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53" displayName="Таблица53" ref="A11:D27" totalsRowShown="0" headerRowDxfId="17" dataDxfId="15" headerRowBorderDxfId="16" tableBorderDxfId="14" totalsRowBorderDxfId="13">
  <autoFilter ref="A11:D27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9:D20" totalsRowShown="0" headerRowDxfId="8" dataDxfId="6" headerRowBorderDxfId="7" tableBorderDxfId="5" totalsRowBorderDxfId="4">
  <autoFilter ref="A9:D20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tabSelected="1" topLeftCell="A12" zoomScale="85" zoomScaleNormal="85" workbookViewId="0">
      <selection activeCell="D35" sqref="D35"/>
    </sheetView>
  </sheetViews>
  <sheetFormatPr defaultRowHeight="15.6" x14ac:dyDescent="0.3"/>
  <cols>
    <col min="1" max="1" width="8.88671875" style="112"/>
    <col min="2" max="2" width="11.21875" style="112" customWidth="1"/>
    <col min="3" max="3" width="17.109375" style="112" customWidth="1"/>
    <col min="4" max="4" width="23.21875" style="112" customWidth="1"/>
    <col min="5" max="5" width="15.88671875" style="112" customWidth="1"/>
    <col min="6" max="6" width="14.6640625" style="112" customWidth="1"/>
    <col min="7" max="16384" width="8.88671875" style="112"/>
  </cols>
  <sheetData>
    <row r="1" spans="1:8" x14ac:dyDescent="0.3">
      <c r="A1" s="222" t="s">
        <v>1192</v>
      </c>
      <c r="B1" s="222"/>
      <c r="C1" s="222"/>
      <c r="D1" s="222"/>
      <c r="E1" s="222"/>
      <c r="F1" s="222"/>
      <c r="G1" s="222"/>
      <c r="H1" s="222"/>
    </row>
    <row r="2" spans="1:8" s="119" customFormat="1" x14ac:dyDescent="0.3">
      <c r="A2" s="188" t="s">
        <v>829</v>
      </c>
      <c r="B2" s="224" t="s">
        <v>7</v>
      </c>
      <c r="C2" s="224"/>
      <c r="D2" s="224"/>
      <c r="E2" s="226" t="s">
        <v>814</v>
      </c>
      <c r="F2" s="227"/>
      <c r="G2" s="37" t="s">
        <v>10</v>
      </c>
      <c r="H2" s="117" t="s">
        <v>830</v>
      </c>
    </row>
    <row r="3" spans="1:8" ht="30.6" customHeight="1" x14ac:dyDescent="0.3">
      <c r="A3" s="195">
        <v>1</v>
      </c>
      <c r="B3" s="225" t="s">
        <v>1211</v>
      </c>
      <c r="C3" s="225"/>
      <c r="D3" s="225"/>
      <c r="E3" s="228" t="s">
        <v>1220</v>
      </c>
      <c r="F3" s="229"/>
      <c r="G3" s="196" t="s">
        <v>15</v>
      </c>
      <c r="H3" s="199">
        <f>E15</f>
        <v>138.97999999999999</v>
      </c>
    </row>
    <row r="4" spans="1:8" ht="30.6" customHeight="1" x14ac:dyDescent="0.3">
      <c r="A4" s="190">
        <f>A3+1</f>
        <v>2</v>
      </c>
      <c r="B4" s="230" t="s">
        <v>734</v>
      </c>
      <c r="C4" s="230"/>
      <c r="D4" s="230"/>
      <c r="E4" s="217" t="s">
        <v>1221</v>
      </c>
      <c r="F4" s="218"/>
      <c r="G4" s="193" t="s">
        <v>15</v>
      </c>
      <c r="H4" s="194">
        <f>E22+E27</f>
        <v>643.45000000000005</v>
      </c>
    </row>
    <row r="5" spans="1:8" ht="30.6" customHeight="1" x14ac:dyDescent="0.3">
      <c r="A5" s="191">
        <f t="shared" ref="A5:A8" si="0">A4+1</f>
        <v>3</v>
      </c>
      <c r="B5" s="219" t="s">
        <v>734</v>
      </c>
      <c r="C5" s="219"/>
      <c r="D5" s="219"/>
      <c r="E5" s="220" t="s">
        <v>1222</v>
      </c>
      <c r="F5" s="221"/>
      <c r="G5" s="128" t="s">
        <v>15</v>
      </c>
      <c r="H5" s="129">
        <f>E34</f>
        <v>144.40800000000002</v>
      </c>
    </row>
    <row r="6" spans="1:8" ht="30.6" customHeight="1" x14ac:dyDescent="0.3">
      <c r="A6" s="192">
        <f t="shared" si="0"/>
        <v>4</v>
      </c>
      <c r="B6" s="205" t="s">
        <v>1223</v>
      </c>
      <c r="C6" s="205"/>
      <c r="D6" s="205"/>
      <c r="E6" s="206" t="s">
        <v>1116</v>
      </c>
      <c r="F6" s="207"/>
      <c r="G6" s="115" t="s">
        <v>15</v>
      </c>
      <c r="H6" s="142">
        <f>SUM(H3:H5)</f>
        <v>926.83800000000008</v>
      </c>
    </row>
    <row r="7" spans="1:8" ht="30.6" customHeight="1" x14ac:dyDescent="0.3">
      <c r="A7" s="192">
        <f t="shared" si="0"/>
        <v>5</v>
      </c>
      <c r="B7" s="205" t="s">
        <v>1224</v>
      </c>
      <c r="C7" s="205"/>
      <c r="D7" s="205"/>
      <c r="E7" s="206" t="s">
        <v>1115</v>
      </c>
      <c r="F7" s="207"/>
      <c r="G7" s="115" t="s">
        <v>15</v>
      </c>
      <c r="H7" s="142">
        <f>H6</f>
        <v>926.83800000000008</v>
      </c>
    </row>
    <row r="8" spans="1:8" ht="30.6" customHeight="1" x14ac:dyDescent="0.3">
      <c r="A8" s="192">
        <f t="shared" si="0"/>
        <v>6</v>
      </c>
      <c r="B8" s="205" t="s">
        <v>1203</v>
      </c>
      <c r="C8" s="205"/>
      <c r="D8" s="205"/>
      <c r="E8" s="206" t="s">
        <v>1212</v>
      </c>
      <c r="F8" s="207"/>
      <c r="G8" s="115" t="s">
        <v>15</v>
      </c>
      <c r="H8" s="142">
        <f>H6</f>
        <v>926.83800000000008</v>
      </c>
    </row>
    <row r="9" spans="1:8" x14ac:dyDescent="0.3">
      <c r="A9" s="208"/>
      <c r="B9" s="208"/>
      <c r="C9" s="208"/>
      <c r="D9" s="208"/>
      <c r="E9" s="208"/>
      <c r="F9" s="208"/>
      <c r="G9" s="208"/>
      <c r="H9" s="208"/>
    </row>
    <row r="10" spans="1:8" x14ac:dyDescent="0.3">
      <c r="A10" s="216" t="s">
        <v>1217</v>
      </c>
      <c r="B10" s="216"/>
      <c r="C10" s="216"/>
      <c r="D10" s="216"/>
      <c r="E10" s="216"/>
      <c r="F10" s="208"/>
      <c r="G10" s="208"/>
      <c r="H10" s="208"/>
    </row>
    <row r="11" spans="1:8" ht="31.2" x14ac:dyDescent="0.3">
      <c r="A11" s="195" t="s">
        <v>1200</v>
      </c>
      <c r="B11" s="195" t="s">
        <v>20</v>
      </c>
      <c r="C11" s="196" t="s">
        <v>1214</v>
      </c>
      <c r="D11" s="196" t="s">
        <v>1215</v>
      </c>
      <c r="E11" s="195" t="s">
        <v>1216</v>
      </c>
      <c r="F11" s="208"/>
      <c r="G11" s="208"/>
      <c r="H11" s="208"/>
    </row>
    <row r="12" spans="1:8" x14ac:dyDescent="0.3">
      <c r="A12" s="195" t="s">
        <v>1197</v>
      </c>
      <c r="B12" s="195">
        <v>33</v>
      </c>
      <c r="C12" s="197">
        <v>35.79</v>
      </c>
      <c r="D12" s="197">
        <f>B12*2*3.8*0.13</f>
        <v>32.603999999999999</v>
      </c>
      <c r="E12" s="197">
        <f>SUM(C12:D12)</f>
        <v>68.394000000000005</v>
      </c>
      <c r="F12" s="208"/>
      <c r="G12" s="208"/>
      <c r="H12" s="208"/>
    </row>
    <row r="13" spans="1:8" x14ac:dyDescent="0.3">
      <c r="A13" s="195" t="s">
        <v>1198</v>
      </c>
      <c r="B13" s="195">
        <v>17</v>
      </c>
      <c r="C13" s="197">
        <v>13.03</v>
      </c>
      <c r="D13" s="197">
        <f t="shared" ref="D13:D14" si="1">B13*2*3.8*0.13</f>
        <v>16.795999999999999</v>
      </c>
      <c r="E13" s="197">
        <f t="shared" ref="E13:E14" si="2">SUM(C13:D13)</f>
        <v>29.826000000000001</v>
      </c>
      <c r="F13" s="208"/>
      <c r="G13" s="208"/>
      <c r="H13" s="208"/>
    </row>
    <row r="14" spans="1:8" x14ac:dyDescent="0.3">
      <c r="A14" s="195" t="s">
        <v>1199</v>
      </c>
      <c r="B14" s="195">
        <v>25</v>
      </c>
      <c r="C14" s="197">
        <v>16.059999999999999</v>
      </c>
      <c r="D14" s="197">
        <f t="shared" si="1"/>
        <v>24.7</v>
      </c>
      <c r="E14" s="197">
        <f t="shared" si="2"/>
        <v>40.76</v>
      </c>
      <c r="F14" s="208"/>
      <c r="G14" s="208"/>
      <c r="H14" s="208"/>
    </row>
    <row r="15" spans="1:8" x14ac:dyDescent="0.3">
      <c r="A15" s="210" t="s">
        <v>843</v>
      </c>
      <c r="B15" s="210"/>
      <c r="C15" s="210"/>
      <c r="D15" s="210"/>
      <c r="E15" s="197">
        <f>SUM(E12:E14)</f>
        <v>138.97999999999999</v>
      </c>
      <c r="F15" s="208"/>
      <c r="G15" s="208"/>
      <c r="H15" s="208"/>
    </row>
    <row r="16" spans="1:8" x14ac:dyDescent="0.3">
      <c r="A16" s="215"/>
      <c r="B16" s="215"/>
      <c r="C16" s="215"/>
      <c r="D16" s="215"/>
      <c r="E16" s="215"/>
      <c r="F16" s="208"/>
      <c r="G16" s="208"/>
      <c r="H16" s="208"/>
    </row>
    <row r="17" spans="1:8" x14ac:dyDescent="0.3">
      <c r="A17" s="211" t="s">
        <v>1218</v>
      </c>
      <c r="B17" s="211"/>
      <c r="C17" s="211"/>
      <c r="D17" s="211"/>
      <c r="E17" s="211"/>
      <c r="F17" s="208"/>
      <c r="G17" s="208"/>
      <c r="H17" s="208"/>
    </row>
    <row r="18" spans="1:8" ht="31.2" x14ac:dyDescent="0.3">
      <c r="A18" s="190" t="s">
        <v>1200</v>
      </c>
      <c r="B18" s="190" t="s">
        <v>20</v>
      </c>
      <c r="C18" s="193" t="s">
        <v>1214</v>
      </c>
      <c r="D18" s="193" t="s">
        <v>1215</v>
      </c>
      <c r="E18" s="190" t="s">
        <v>1216</v>
      </c>
      <c r="F18" s="208"/>
      <c r="G18" s="208"/>
      <c r="H18" s="208"/>
    </row>
    <row r="19" spans="1:8" x14ac:dyDescent="0.3">
      <c r="A19" s="190" t="s">
        <v>1197</v>
      </c>
      <c r="B19" s="190">
        <v>93</v>
      </c>
      <c r="C19" s="201">
        <v>46.6</v>
      </c>
      <c r="D19" s="201">
        <f>B19*2*2.5*0.25</f>
        <v>116.25</v>
      </c>
      <c r="E19" s="201">
        <f>SUM(C19:D19)</f>
        <v>162.85</v>
      </c>
      <c r="F19" s="208"/>
      <c r="G19" s="208"/>
      <c r="H19" s="208"/>
    </row>
    <row r="20" spans="1:8" x14ac:dyDescent="0.3">
      <c r="A20" s="190" t="s">
        <v>1198</v>
      </c>
      <c r="B20" s="190">
        <v>121</v>
      </c>
      <c r="C20" s="201">
        <v>62.53</v>
      </c>
      <c r="D20" s="201">
        <f t="shared" ref="D20:D21" si="3">B20*2*2.5*0.25</f>
        <v>151.25</v>
      </c>
      <c r="E20" s="201">
        <f t="shared" ref="E20:E21" si="4">SUM(C20:D20)</f>
        <v>213.78</v>
      </c>
      <c r="F20" s="208"/>
      <c r="G20" s="208"/>
      <c r="H20" s="208"/>
    </row>
    <row r="21" spans="1:8" x14ac:dyDescent="0.3">
      <c r="A21" s="190" t="s">
        <v>1199</v>
      </c>
      <c r="B21" s="190">
        <v>128</v>
      </c>
      <c r="C21" s="201">
        <v>62.37</v>
      </c>
      <c r="D21" s="201">
        <f t="shared" si="3"/>
        <v>160</v>
      </c>
      <c r="E21" s="201">
        <f t="shared" si="4"/>
        <v>222.37</v>
      </c>
      <c r="F21" s="208"/>
      <c r="G21" s="208"/>
      <c r="H21" s="208"/>
    </row>
    <row r="22" spans="1:8" x14ac:dyDescent="0.3">
      <c r="A22" s="212" t="s">
        <v>843</v>
      </c>
      <c r="B22" s="212"/>
      <c r="C22" s="212"/>
      <c r="D22" s="212"/>
      <c r="E22" s="201">
        <f>SUM(E19:E21)</f>
        <v>599</v>
      </c>
      <c r="F22" s="208"/>
      <c r="G22" s="208"/>
      <c r="H22" s="208"/>
    </row>
    <row r="23" spans="1:8" x14ac:dyDescent="0.3">
      <c r="A23" s="215"/>
      <c r="B23" s="215"/>
      <c r="C23" s="215"/>
      <c r="D23" s="215"/>
      <c r="E23" s="215"/>
      <c r="F23" s="208"/>
      <c r="G23" s="208"/>
      <c r="H23" s="208"/>
    </row>
    <row r="24" spans="1:8" x14ac:dyDescent="0.3">
      <c r="A24" s="213" t="s">
        <v>1219</v>
      </c>
      <c r="B24" s="213"/>
      <c r="C24" s="213"/>
      <c r="D24" s="213"/>
      <c r="E24" s="213"/>
      <c r="F24" s="208"/>
      <c r="G24" s="208"/>
      <c r="H24" s="208"/>
    </row>
    <row r="25" spans="1:8" ht="31.2" x14ac:dyDescent="0.3">
      <c r="A25" s="203" t="s">
        <v>1200</v>
      </c>
      <c r="B25" s="203" t="s">
        <v>20</v>
      </c>
      <c r="C25" s="202" t="s">
        <v>1214</v>
      </c>
      <c r="D25" s="202" t="s">
        <v>1215</v>
      </c>
      <c r="E25" s="203" t="s">
        <v>1216</v>
      </c>
      <c r="F25" s="208"/>
      <c r="G25" s="208"/>
      <c r="H25" s="208"/>
    </row>
    <row r="26" spans="1:8" x14ac:dyDescent="0.3">
      <c r="A26" s="203" t="s">
        <v>1198</v>
      </c>
      <c r="B26" s="203">
        <v>23</v>
      </c>
      <c r="C26" s="204">
        <v>15.7</v>
      </c>
      <c r="D26" s="204">
        <f t="shared" ref="D26" si="5">B26*2*2.5*0.25</f>
        <v>28.75</v>
      </c>
      <c r="E26" s="204">
        <f t="shared" ref="E26" si="6">SUM(C26:D26)</f>
        <v>44.45</v>
      </c>
      <c r="F26" s="208"/>
      <c r="G26" s="208"/>
      <c r="H26" s="208"/>
    </row>
    <row r="27" spans="1:8" x14ac:dyDescent="0.3">
      <c r="A27" s="214" t="s">
        <v>843</v>
      </c>
      <c r="B27" s="214"/>
      <c r="C27" s="214"/>
      <c r="D27" s="214"/>
      <c r="E27" s="204">
        <f>SUM(E26:E26)</f>
        <v>44.45</v>
      </c>
      <c r="F27" s="208"/>
      <c r="G27" s="208"/>
      <c r="H27" s="208"/>
    </row>
    <row r="28" spans="1:8" x14ac:dyDescent="0.3">
      <c r="A28" s="215"/>
      <c r="B28" s="215"/>
      <c r="C28" s="215"/>
      <c r="D28" s="215"/>
      <c r="E28" s="215"/>
      <c r="F28" s="208"/>
      <c r="G28" s="208"/>
      <c r="H28" s="208"/>
    </row>
    <row r="29" spans="1:8" x14ac:dyDescent="0.3">
      <c r="A29" s="223" t="s">
        <v>1213</v>
      </c>
      <c r="B29" s="223"/>
      <c r="C29" s="223"/>
      <c r="D29" s="223"/>
      <c r="E29" s="223"/>
      <c r="F29" s="208"/>
      <c r="G29" s="208"/>
      <c r="H29" s="208"/>
    </row>
    <row r="30" spans="1:8" ht="31.2" x14ac:dyDescent="0.3">
      <c r="A30" s="191" t="s">
        <v>1200</v>
      </c>
      <c r="B30" s="191" t="s">
        <v>20</v>
      </c>
      <c r="C30" s="128" t="s">
        <v>1214</v>
      </c>
      <c r="D30" s="128" t="s">
        <v>1215</v>
      </c>
      <c r="E30" s="191" t="s">
        <v>1216</v>
      </c>
      <c r="F30" s="208"/>
      <c r="G30" s="208"/>
      <c r="H30" s="208"/>
    </row>
    <row r="31" spans="1:8" x14ac:dyDescent="0.3">
      <c r="A31" s="191" t="s">
        <v>1197</v>
      </c>
      <c r="B31" s="191">
        <v>76</v>
      </c>
      <c r="C31" s="198">
        <v>18.2</v>
      </c>
      <c r="D31" s="198">
        <f>B31*2*2.1*0.13</f>
        <v>41.496000000000002</v>
      </c>
      <c r="E31" s="198">
        <f>SUM(C31:D31)</f>
        <v>59.695999999999998</v>
      </c>
      <c r="F31" s="208"/>
      <c r="G31" s="208"/>
      <c r="H31" s="208"/>
    </row>
    <row r="32" spans="1:8" x14ac:dyDescent="0.3">
      <c r="A32" s="191" t="s">
        <v>1198</v>
      </c>
      <c r="B32" s="191">
        <v>51</v>
      </c>
      <c r="C32" s="198">
        <v>12.14</v>
      </c>
      <c r="D32" s="198">
        <f t="shared" ref="D32:D33" si="7">B32*2*2.1*0.13</f>
        <v>27.846000000000004</v>
      </c>
      <c r="E32" s="198">
        <f t="shared" ref="E32:E33" si="8">SUM(C32:D32)</f>
        <v>39.986000000000004</v>
      </c>
      <c r="F32" s="208"/>
      <c r="G32" s="208"/>
      <c r="H32" s="208"/>
    </row>
    <row r="33" spans="1:8" x14ac:dyDescent="0.3">
      <c r="A33" s="191" t="s">
        <v>1199</v>
      </c>
      <c r="B33" s="191">
        <v>61</v>
      </c>
      <c r="C33" s="198">
        <v>11.42</v>
      </c>
      <c r="D33" s="198">
        <f t="shared" si="7"/>
        <v>33.305999999999997</v>
      </c>
      <c r="E33" s="198">
        <f t="shared" si="8"/>
        <v>44.725999999999999</v>
      </c>
      <c r="F33" s="208"/>
      <c r="G33" s="208"/>
      <c r="H33" s="208"/>
    </row>
    <row r="34" spans="1:8" x14ac:dyDescent="0.3">
      <c r="A34" s="209" t="s">
        <v>843</v>
      </c>
      <c r="B34" s="209"/>
      <c r="C34" s="209"/>
      <c r="D34" s="209"/>
      <c r="E34" s="200">
        <f>SUM(E31:E33)</f>
        <v>144.40800000000002</v>
      </c>
      <c r="F34" s="208"/>
      <c r="G34" s="208"/>
      <c r="H34" s="208"/>
    </row>
  </sheetData>
  <mergeCells count="28">
    <mergeCell ref="E4:F4"/>
    <mergeCell ref="B5:D5"/>
    <mergeCell ref="E5:F5"/>
    <mergeCell ref="A1:H1"/>
    <mergeCell ref="A29:E29"/>
    <mergeCell ref="A16:E16"/>
    <mergeCell ref="B2:D2"/>
    <mergeCell ref="B3:D3"/>
    <mergeCell ref="E2:F2"/>
    <mergeCell ref="E3:F3"/>
    <mergeCell ref="A9:H9"/>
    <mergeCell ref="B4:D4"/>
    <mergeCell ref="B8:D8"/>
    <mergeCell ref="E8:F8"/>
    <mergeCell ref="B6:D6"/>
    <mergeCell ref="E6:F6"/>
    <mergeCell ref="B7:D7"/>
    <mergeCell ref="E7:F7"/>
    <mergeCell ref="F10:H34"/>
    <mergeCell ref="A34:D34"/>
    <mergeCell ref="A15:D15"/>
    <mergeCell ref="A17:E17"/>
    <mergeCell ref="A22:D22"/>
    <mergeCell ref="A24:E24"/>
    <mergeCell ref="A27:D27"/>
    <mergeCell ref="A28:E28"/>
    <mergeCell ref="A23:E23"/>
    <mergeCell ref="A10:E10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"/>
  <sheetViews>
    <sheetView zoomScale="85" zoomScaleNormal="85" workbookViewId="0">
      <selection activeCell="B5" sqref="B5:G5"/>
    </sheetView>
  </sheetViews>
  <sheetFormatPr defaultRowHeight="15.6" x14ac:dyDescent="0.3"/>
  <cols>
    <col min="1" max="1" width="7.33203125" style="187" customWidth="1"/>
    <col min="2" max="2" width="9.88671875" style="112" customWidth="1"/>
    <col min="3" max="3" width="12.77734375" style="112" customWidth="1"/>
    <col min="4" max="4" width="28.6640625" style="112" customWidth="1"/>
    <col min="5" max="5" width="3.88671875" style="112" customWidth="1"/>
    <col min="6" max="6" width="2" style="112" customWidth="1"/>
    <col min="7" max="7" width="8.21875" style="112" customWidth="1"/>
    <col min="8" max="8" width="10.6640625" style="112" customWidth="1"/>
    <col min="9" max="9" width="11.5546875" style="112" bestFit="1" customWidth="1"/>
    <col min="10" max="16384" width="8.88671875" style="112"/>
  </cols>
  <sheetData>
    <row r="1" spans="1:9" x14ac:dyDescent="0.3">
      <c r="A1" s="235" t="s">
        <v>1192</v>
      </c>
      <c r="B1" s="235"/>
      <c r="C1" s="235"/>
      <c r="D1" s="235"/>
      <c r="E1" s="235"/>
      <c r="F1" s="235"/>
      <c r="G1" s="235"/>
      <c r="H1" s="235"/>
      <c r="I1" s="235"/>
    </row>
    <row r="2" spans="1:9" s="164" customFormat="1" x14ac:dyDescent="0.3">
      <c r="A2" s="186" t="s">
        <v>829</v>
      </c>
      <c r="B2" s="236" t="s">
        <v>7</v>
      </c>
      <c r="C2" s="236"/>
      <c r="D2" s="236"/>
      <c r="E2" s="236"/>
      <c r="F2" s="236"/>
      <c r="G2" s="236"/>
      <c r="H2" s="37" t="s">
        <v>10</v>
      </c>
      <c r="I2" s="117" t="s">
        <v>830</v>
      </c>
    </row>
    <row r="3" spans="1:9" s="164" customFormat="1" ht="30" customHeight="1" x14ac:dyDescent="0.3">
      <c r="A3" s="140">
        <v>1</v>
      </c>
      <c r="B3" s="231" t="s">
        <v>1204</v>
      </c>
      <c r="C3" s="231"/>
      <c r="D3" s="231"/>
      <c r="E3" s="231"/>
      <c r="F3" s="231"/>
      <c r="G3" s="231"/>
      <c r="H3" s="115" t="s">
        <v>15</v>
      </c>
      <c r="I3" s="165">
        <f>C15</f>
        <v>1688.585</v>
      </c>
    </row>
    <row r="4" spans="1:9" s="164" customFormat="1" ht="30.6" customHeight="1" x14ac:dyDescent="0.3">
      <c r="A4" s="140">
        <v>2</v>
      </c>
      <c r="B4" s="231" t="s">
        <v>1205</v>
      </c>
      <c r="C4" s="231"/>
      <c r="D4" s="231"/>
      <c r="E4" s="231"/>
      <c r="F4" s="231"/>
      <c r="G4" s="231"/>
      <c r="H4" s="115" t="s">
        <v>15</v>
      </c>
      <c r="I4" s="165">
        <f>I3</f>
        <v>1688.585</v>
      </c>
    </row>
    <row r="5" spans="1:9" s="164" customFormat="1" ht="30.6" customHeight="1" x14ac:dyDescent="0.3">
      <c r="A5" s="140">
        <v>3</v>
      </c>
      <c r="B5" s="231" t="s">
        <v>1210</v>
      </c>
      <c r="C5" s="231"/>
      <c r="D5" s="231"/>
      <c r="E5" s="231"/>
      <c r="F5" s="231"/>
      <c r="G5" s="231"/>
      <c r="H5" s="115" t="s">
        <v>15</v>
      </c>
      <c r="I5" s="165">
        <f t="shared" ref="I5" si="0">I4</f>
        <v>1688.585</v>
      </c>
    </row>
    <row r="6" spans="1:9" s="164" customFormat="1" x14ac:dyDescent="0.3">
      <c r="A6" s="140">
        <v>4</v>
      </c>
      <c r="B6" s="231" t="s">
        <v>1206</v>
      </c>
      <c r="C6" s="231"/>
      <c r="D6" s="231"/>
      <c r="E6" s="231"/>
      <c r="F6" s="231"/>
      <c r="G6" s="231"/>
      <c r="H6" s="115" t="s">
        <v>15</v>
      </c>
      <c r="I6" s="165">
        <f>C21</f>
        <v>203.45099999999996</v>
      </c>
    </row>
    <row r="7" spans="1:9" s="164" customFormat="1" x14ac:dyDescent="0.3">
      <c r="A7" s="140">
        <v>5</v>
      </c>
      <c r="B7" s="231" t="s">
        <v>1207</v>
      </c>
      <c r="C7" s="231"/>
      <c r="D7" s="231"/>
      <c r="E7" s="231"/>
      <c r="F7" s="231"/>
      <c r="G7" s="231"/>
      <c r="H7" s="115" t="s">
        <v>15</v>
      </c>
      <c r="I7" s="165">
        <f>C28</f>
        <v>72.608999999999995</v>
      </c>
    </row>
    <row r="8" spans="1:9" s="164" customFormat="1" x14ac:dyDescent="0.3">
      <c r="A8" s="140">
        <v>6</v>
      </c>
      <c r="B8" s="231" t="s">
        <v>1208</v>
      </c>
      <c r="C8" s="231"/>
      <c r="D8" s="231"/>
      <c r="E8" s="231"/>
      <c r="F8" s="231"/>
      <c r="G8" s="231"/>
      <c r="H8" s="115" t="s">
        <v>15</v>
      </c>
      <c r="I8" s="165">
        <f>C35</f>
        <v>1374.6969999999999</v>
      </c>
    </row>
    <row r="9" spans="1:9" s="164" customFormat="1" x14ac:dyDescent="0.3">
      <c r="A9" s="140">
        <v>7</v>
      </c>
      <c r="B9" s="231" t="s">
        <v>1209</v>
      </c>
      <c r="C9" s="231"/>
      <c r="D9" s="231"/>
      <c r="E9" s="231"/>
      <c r="F9" s="231"/>
      <c r="G9" s="231"/>
      <c r="H9" s="115" t="s">
        <v>15</v>
      </c>
      <c r="I9" s="165">
        <f>I21</f>
        <v>37.827999999999996</v>
      </c>
    </row>
    <row r="10" spans="1:9" s="164" customFormat="1" ht="6" customHeight="1" x14ac:dyDescent="0.3">
      <c r="A10" s="232"/>
      <c r="B10" s="233"/>
      <c r="C10" s="234"/>
      <c r="D10" s="240"/>
      <c r="E10" s="241"/>
      <c r="F10" s="241"/>
      <c r="G10" s="241"/>
      <c r="H10" s="241"/>
      <c r="I10" s="241"/>
    </row>
    <row r="11" spans="1:9" x14ac:dyDescent="0.3">
      <c r="A11" s="176" t="s">
        <v>829</v>
      </c>
      <c r="B11" s="176" t="s">
        <v>1190</v>
      </c>
      <c r="C11" s="176" t="s">
        <v>1189</v>
      </c>
      <c r="D11" s="242"/>
      <c r="E11" s="243"/>
      <c r="F11" s="243"/>
      <c r="G11" s="243"/>
      <c r="H11" s="243"/>
      <c r="I11" s="243"/>
    </row>
    <row r="12" spans="1:9" x14ac:dyDescent="0.3">
      <c r="A12" s="176">
        <v>1</v>
      </c>
      <c r="B12" s="176">
        <v>1</v>
      </c>
      <c r="C12" s="176">
        <f>C18+I18+C25+C32</f>
        <v>631.9</v>
      </c>
      <c r="D12" s="242"/>
      <c r="E12" s="243"/>
      <c r="F12" s="243"/>
      <c r="G12" s="243"/>
      <c r="H12" s="243"/>
      <c r="I12" s="243"/>
    </row>
    <row r="13" spans="1:9" x14ac:dyDescent="0.3">
      <c r="A13" s="176">
        <v>2</v>
      </c>
      <c r="B13" s="176">
        <v>2</v>
      </c>
      <c r="C13" s="177">
        <f>C19+I19+C26+C33</f>
        <v>559.50399999999991</v>
      </c>
      <c r="D13" s="242"/>
      <c r="E13" s="243"/>
      <c r="F13" s="243"/>
      <c r="G13" s="243"/>
      <c r="H13" s="243"/>
      <c r="I13" s="243"/>
    </row>
    <row r="14" spans="1:9" x14ac:dyDescent="0.3">
      <c r="A14" s="176">
        <v>3</v>
      </c>
      <c r="B14" s="176">
        <v>3</v>
      </c>
      <c r="C14" s="177">
        <f>C20+I20+C27+C34</f>
        <v>497.18099999999998</v>
      </c>
      <c r="D14" s="242"/>
      <c r="E14" s="243"/>
      <c r="F14" s="243"/>
      <c r="G14" s="243"/>
      <c r="H14" s="243"/>
      <c r="I14" s="243"/>
    </row>
    <row r="15" spans="1:9" x14ac:dyDescent="0.3">
      <c r="A15" s="238" t="s">
        <v>843</v>
      </c>
      <c r="B15" s="238"/>
      <c r="C15" s="176">
        <f>SUM(C12:C14)</f>
        <v>1688.585</v>
      </c>
      <c r="D15" s="242"/>
      <c r="E15" s="243"/>
      <c r="F15" s="243"/>
      <c r="G15" s="243"/>
      <c r="H15" s="243"/>
      <c r="I15" s="243"/>
    </row>
    <row r="16" spans="1:9" x14ac:dyDescent="0.3">
      <c r="A16" s="239" t="s">
        <v>1042</v>
      </c>
      <c r="B16" s="239"/>
      <c r="C16" s="239"/>
      <c r="D16" s="208"/>
      <c r="E16" s="208"/>
      <c r="F16" s="208"/>
      <c r="G16" s="244" t="s">
        <v>1196</v>
      </c>
      <c r="H16" s="244"/>
      <c r="I16" s="244"/>
    </row>
    <row r="17" spans="1:9" x14ac:dyDescent="0.3">
      <c r="A17" s="176" t="s">
        <v>829</v>
      </c>
      <c r="B17" s="176" t="s">
        <v>1190</v>
      </c>
      <c r="C17" s="176" t="s">
        <v>1189</v>
      </c>
      <c r="D17" s="208"/>
      <c r="E17" s="208"/>
      <c r="F17" s="208"/>
      <c r="G17" s="176" t="s">
        <v>829</v>
      </c>
      <c r="H17" s="176" t="s">
        <v>1190</v>
      </c>
      <c r="I17" s="176" t="s">
        <v>1189</v>
      </c>
    </row>
    <row r="18" spans="1:9" x14ac:dyDescent="0.3">
      <c r="A18" s="176">
        <v>1</v>
      </c>
      <c r="B18" s="176">
        <v>1</v>
      </c>
      <c r="C18" s="176">
        <f>3.38*8+(1.5*4 + 1.1*4)*3.3+(6.8+9.19)*3.3</f>
        <v>114.12699999999998</v>
      </c>
      <c r="D18" s="208"/>
      <c r="E18" s="208"/>
      <c r="F18" s="208"/>
      <c r="G18" s="176">
        <v>1</v>
      </c>
      <c r="H18" s="176">
        <v>1</v>
      </c>
      <c r="I18" s="176">
        <f>(1.5*4 + 1.1*4)*0.7</f>
        <v>7.2799999999999994</v>
      </c>
    </row>
    <row r="19" spans="1:9" x14ac:dyDescent="0.3">
      <c r="A19" s="176">
        <v>2</v>
      </c>
      <c r="B19" s="176">
        <v>2</v>
      </c>
      <c r="C19" s="176">
        <f>8*2.8+7.2*3.3</f>
        <v>46.16</v>
      </c>
      <c r="D19" s="208"/>
      <c r="E19" s="208"/>
      <c r="F19" s="208"/>
      <c r="G19" s="176">
        <v>2</v>
      </c>
      <c r="H19" s="176">
        <v>2</v>
      </c>
      <c r="I19" s="176">
        <f>7.2*0.7+12.14*0.7</f>
        <v>13.538</v>
      </c>
    </row>
    <row r="20" spans="1:9" x14ac:dyDescent="0.3">
      <c r="A20" s="176">
        <v>3</v>
      </c>
      <c r="B20" s="176">
        <v>3</v>
      </c>
      <c r="C20" s="176">
        <f>3.38*7.8+4.2*4</f>
        <v>43.164000000000001</v>
      </c>
      <c r="D20" s="208"/>
      <c r="E20" s="208"/>
      <c r="F20" s="208"/>
      <c r="G20" s="176">
        <v>3</v>
      </c>
      <c r="H20" s="176">
        <v>3</v>
      </c>
      <c r="I20" s="176">
        <f>24.3*0.7</f>
        <v>17.009999999999998</v>
      </c>
    </row>
    <row r="21" spans="1:9" x14ac:dyDescent="0.3">
      <c r="A21" s="238" t="s">
        <v>843</v>
      </c>
      <c r="B21" s="238"/>
      <c r="C21" s="176">
        <f>SUM(C18:C20)</f>
        <v>203.45099999999996</v>
      </c>
      <c r="D21" s="208"/>
      <c r="E21" s="208"/>
      <c r="F21" s="208"/>
      <c r="G21" s="238" t="s">
        <v>843</v>
      </c>
      <c r="H21" s="238"/>
      <c r="I21" s="176">
        <f>SUM(I18:I20)</f>
        <v>37.827999999999996</v>
      </c>
    </row>
    <row r="22" spans="1:9" x14ac:dyDescent="0.3">
      <c r="A22" s="232"/>
      <c r="B22" s="233"/>
      <c r="C22" s="234"/>
      <c r="D22" s="208"/>
      <c r="E22" s="208"/>
      <c r="F22" s="208"/>
      <c r="G22" s="237"/>
      <c r="H22" s="237"/>
      <c r="I22" s="237"/>
    </row>
    <row r="23" spans="1:9" x14ac:dyDescent="0.3">
      <c r="A23" s="239" t="s">
        <v>878</v>
      </c>
      <c r="B23" s="239"/>
      <c r="C23" s="239"/>
      <c r="D23" s="208"/>
      <c r="E23" s="208"/>
      <c r="F23" s="208"/>
      <c r="G23" s="208"/>
      <c r="H23" s="208"/>
      <c r="I23" s="208"/>
    </row>
    <row r="24" spans="1:9" x14ac:dyDescent="0.3">
      <c r="A24" s="176" t="s">
        <v>829</v>
      </c>
      <c r="B24" s="176" t="s">
        <v>1190</v>
      </c>
      <c r="C24" s="176" t="s">
        <v>1189</v>
      </c>
      <c r="D24" s="208"/>
      <c r="E24" s="208"/>
      <c r="F24" s="208"/>
      <c r="G24" s="208"/>
      <c r="H24" s="208"/>
      <c r="I24" s="208"/>
    </row>
    <row r="25" spans="1:9" x14ac:dyDescent="0.3">
      <c r="A25" s="176">
        <v>1</v>
      </c>
      <c r="B25" s="176">
        <v>1</v>
      </c>
      <c r="C25" s="176">
        <f>0.62*8+1.1*4+6.9*0.7+(6.8+9.19)*0.7</f>
        <v>25.382999999999996</v>
      </c>
      <c r="D25" s="208"/>
      <c r="E25" s="208"/>
      <c r="F25" s="208"/>
      <c r="G25" s="208"/>
      <c r="H25" s="208"/>
      <c r="I25" s="208"/>
    </row>
    <row r="26" spans="1:9" x14ac:dyDescent="0.3">
      <c r="A26" s="176">
        <v>2</v>
      </c>
      <c r="B26" s="176">
        <v>2</v>
      </c>
      <c r="C26" s="176">
        <f>2.2*0.7</f>
        <v>1.54</v>
      </c>
      <c r="D26" s="208"/>
      <c r="E26" s="208"/>
      <c r="F26" s="208"/>
      <c r="G26" s="208"/>
      <c r="H26" s="208"/>
      <c r="I26" s="208"/>
    </row>
    <row r="27" spans="1:9" x14ac:dyDescent="0.3">
      <c r="A27" s="176">
        <v>3</v>
      </c>
      <c r="B27" s="176">
        <v>3</v>
      </c>
      <c r="C27" s="176">
        <f>2.16*4+0.62*7.8+0.7*1.8+5*4+4*0.62+12.1*0.7</f>
        <v>45.686</v>
      </c>
      <c r="D27" s="208"/>
      <c r="E27" s="208"/>
      <c r="F27" s="208"/>
      <c r="G27" s="208"/>
      <c r="H27" s="208"/>
      <c r="I27" s="208"/>
    </row>
    <row r="28" spans="1:9" x14ac:dyDescent="0.3">
      <c r="A28" s="238" t="s">
        <v>843</v>
      </c>
      <c r="B28" s="238"/>
      <c r="C28" s="176">
        <f>SUM(C25:C27)</f>
        <v>72.608999999999995</v>
      </c>
      <c r="D28" s="208"/>
      <c r="E28" s="208"/>
      <c r="F28" s="208"/>
      <c r="G28" s="208"/>
      <c r="H28" s="208"/>
      <c r="I28" s="208"/>
    </row>
    <row r="29" spans="1:9" x14ac:dyDescent="0.3">
      <c r="A29" s="232"/>
      <c r="B29" s="233"/>
      <c r="C29" s="234"/>
      <c r="D29" s="208"/>
      <c r="E29" s="208"/>
      <c r="F29" s="208"/>
      <c r="G29" s="208"/>
      <c r="H29" s="208"/>
      <c r="I29" s="208"/>
    </row>
    <row r="30" spans="1:9" x14ac:dyDescent="0.3">
      <c r="A30" s="239" t="s">
        <v>941</v>
      </c>
      <c r="B30" s="239"/>
      <c r="C30" s="239"/>
      <c r="D30" s="208"/>
      <c r="E30" s="208"/>
      <c r="F30" s="208"/>
      <c r="G30" s="208"/>
      <c r="H30" s="208"/>
      <c r="I30" s="208"/>
    </row>
    <row r="31" spans="1:9" x14ac:dyDescent="0.3">
      <c r="A31" s="176" t="s">
        <v>829</v>
      </c>
      <c r="B31" s="176" t="s">
        <v>1190</v>
      </c>
      <c r="C31" s="176" t="s">
        <v>1189</v>
      </c>
      <c r="D31" s="208"/>
      <c r="E31" s="208"/>
      <c r="F31" s="208"/>
      <c r="G31" s="208"/>
      <c r="H31" s="208"/>
      <c r="I31" s="208"/>
    </row>
    <row r="32" spans="1:9" x14ac:dyDescent="0.3">
      <c r="A32" s="176">
        <v>1</v>
      </c>
      <c r="B32" s="176">
        <v>1</v>
      </c>
      <c r="C32" s="176">
        <f>3.38*3+6.9*3.3+16.25*12.2+7.75*12.2+12.3*8+15.25*4</f>
        <v>485.11</v>
      </c>
      <c r="D32" s="208"/>
      <c r="E32" s="208"/>
      <c r="F32" s="208"/>
      <c r="G32" s="208"/>
      <c r="H32" s="208"/>
      <c r="I32" s="208"/>
    </row>
    <row r="33" spans="1:9" x14ac:dyDescent="0.3">
      <c r="A33" s="176">
        <v>2</v>
      </c>
      <c r="B33" s="176">
        <v>2</v>
      </c>
      <c r="C33" s="176">
        <f>4*15.2+1.6*8+1.3*3.38+4.2*4+12.14*3.3+14.35*4+5.6*8+24.13*4+17.3*9.1+2.2*3.3</f>
        <v>498.26599999999996</v>
      </c>
      <c r="D33" s="208"/>
      <c r="E33" s="208"/>
      <c r="F33" s="208"/>
      <c r="G33" s="208"/>
      <c r="H33" s="208"/>
      <c r="I33" s="208"/>
    </row>
    <row r="34" spans="1:9" x14ac:dyDescent="0.3">
      <c r="A34" s="176">
        <v>3</v>
      </c>
      <c r="B34" s="176">
        <v>3</v>
      </c>
      <c r="C34" s="176">
        <f>6*4+24.77*3.3+24.3*3.3+36.5*4+1.8*3.3+4*3.38+12.1*3.3</f>
        <v>391.32099999999997</v>
      </c>
      <c r="D34" s="208"/>
      <c r="E34" s="208"/>
      <c r="F34" s="208"/>
      <c r="G34" s="208"/>
      <c r="H34" s="208"/>
      <c r="I34" s="208"/>
    </row>
    <row r="35" spans="1:9" x14ac:dyDescent="0.3">
      <c r="A35" s="238" t="s">
        <v>843</v>
      </c>
      <c r="B35" s="238"/>
      <c r="C35" s="176">
        <f>SUM(C32:C34)</f>
        <v>1374.6969999999999</v>
      </c>
      <c r="D35" s="208"/>
      <c r="E35" s="208"/>
      <c r="F35" s="208"/>
      <c r="G35" s="208"/>
      <c r="H35" s="208"/>
      <c r="I35" s="208"/>
    </row>
  </sheetData>
  <mergeCells count="24">
    <mergeCell ref="G22:I35"/>
    <mergeCell ref="A21:B21"/>
    <mergeCell ref="A16:C16"/>
    <mergeCell ref="A15:B15"/>
    <mergeCell ref="D10:I15"/>
    <mergeCell ref="G16:I16"/>
    <mergeCell ref="G21:H21"/>
    <mergeCell ref="D16:F35"/>
    <mergeCell ref="A22:C22"/>
    <mergeCell ref="A29:C29"/>
    <mergeCell ref="A23:C23"/>
    <mergeCell ref="A28:B28"/>
    <mergeCell ref="A30:C30"/>
    <mergeCell ref="A35:B35"/>
    <mergeCell ref="B6:G6"/>
    <mergeCell ref="A10:C10"/>
    <mergeCell ref="A1:I1"/>
    <mergeCell ref="B2:G2"/>
    <mergeCell ref="B3:G3"/>
    <mergeCell ref="B4:G4"/>
    <mergeCell ref="B5:G5"/>
    <mergeCell ref="B7:G7"/>
    <mergeCell ref="B8:G8"/>
    <mergeCell ref="B9:G9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1"/>
  <sheetViews>
    <sheetView topLeftCell="A22" zoomScale="85" zoomScaleNormal="85" workbookViewId="0">
      <selection activeCell="A42" sqref="A42:XFD60"/>
    </sheetView>
  </sheetViews>
  <sheetFormatPr defaultRowHeight="15.6" x14ac:dyDescent="0.3"/>
  <cols>
    <col min="1" max="1" width="7.33203125" style="183" customWidth="1"/>
    <col min="2" max="2" width="6.88671875" style="112" customWidth="1"/>
    <col min="3" max="3" width="2.21875" style="112" customWidth="1"/>
    <col min="4" max="4" width="7.5546875" style="112" customWidth="1"/>
    <col min="5" max="5" width="8.21875" style="112" customWidth="1"/>
    <col min="6" max="6" width="2" style="112" customWidth="1"/>
    <col min="7" max="7" width="9.109375" style="112" bestFit="1" customWidth="1"/>
    <col min="8" max="8" width="9.33203125" style="112" customWidth="1"/>
    <col min="9" max="9" width="2.77734375" style="112" customWidth="1"/>
    <col min="10" max="10" width="5.88671875" style="112" bestFit="1" customWidth="1"/>
    <col min="11" max="11" width="5.5546875" style="112" bestFit="1" customWidth="1"/>
    <col min="12" max="12" width="3.21875" style="112" customWidth="1"/>
    <col min="13" max="13" width="5.88671875" style="112" bestFit="1" customWidth="1"/>
    <col min="14" max="14" width="5.5546875" style="112" bestFit="1" customWidth="1"/>
    <col min="15" max="15" width="3.88671875" style="112" customWidth="1"/>
    <col min="16" max="16" width="5.88671875" style="112" bestFit="1" customWidth="1"/>
    <col min="17" max="17" width="5.5546875" style="112" bestFit="1" customWidth="1"/>
    <col min="18" max="16384" width="8.88671875" style="112"/>
  </cols>
  <sheetData>
    <row r="1" spans="1:17" x14ac:dyDescent="0.3">
      <c r="A1" s="235" t="s">
        <v>1192</v>
      </c>
      <c r="B1" s="235"/>
      <c r="C1" s="235"/>
      <c r="D1" s="235"/>
      <c r="E1" s="235"/>
      <c r="F1" s="235"/>
      <c r="G1" s="235"/>
      <c r="H1" s="235"/>
      <c r="I1" s="248"/>
      <c r="J1" s="248"/>
      <c r="K1" s="248"/>
      <c r="L1" s="248"/>
      <c r="M1" s="248"/>
      <c r="N1" s="248"/>
      <c r="O1" s="248"/>
      <c r="P1" s="248"/>
      <c r="Q1" s="248"/>
    </row>
    <row r="2" spans="1:17" s="164" customFormat="1" ht="30" customHeight="1" x14ac:dyDescent="0.3">
      <c r="A2" s="182" t="s">
        <v>829</v>
      </c>
      <c r="B2" s="236" t="s">
        <v>7</v>
      </c>
      <c r="C2" s="236"/>
      <c r="D2" s="236"/>
      <c r="E2" s="236"/>
      <c r="F2" s="236"/>
      <c r="G2" s="37" t="s">
        <v>10</v>
      </c>
      <c r="H2" s="117" t="s">
        <v>830</v>
      </c>
      <c r="I2" s="248"/>
      <c r="J2" s="248"/>
      <c r="K2" s="248"/>
      <c r="L2" s="248"/>
      <c r="M2" s="248"/>
      <c r="N2" s="248"/>
      <c r="O2" s="248"/>
      <c r="P2" s="248"/>
      <c r="Q2" s="248"/>
    </row>
    <row r="3" spans="1:17" s="164" customFormat="1" ht="33" customHeight="1" x14ac:dyDescent="0.3">
      <c r="A3" s="140">
        <v>1</v>
      </c>
      <c r="B3" s="231" t="s">
        <v>1193</v>
      </c>
      <c r="C3" s="231"/>
      <c r="D3" s="231"/>
      <c r="E3" s="231"/>
      <c r="F3" s="231"/>
      <c r="G3" s="115" t="s">
        <v>1194</v>
      </c>
      <c r="H3" s="165">
        <f>B39+E19+H41+K39+N39+Q37</f>
        <v>5679</v>
      </c>
      <c r="I3" s="248"/>
      <c r="J3" s="248"/>
      <c r="K3" s="248"/>
      <c r="L3" s="248"/>
      <c r="M3" s="248"/>
      <c r="N3" s="248"/>
      <c r="O3" s="248"/>
      <c r="P3" s="248"/>
      <c r="Q3" s="248"/>
    </row>
    <row r="4" spans="1:17" x14ac:dyDescent="0.3">
      <c r="A4" s="247"/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7"/>
      <c r="N4" s="247"/>
      <c r="O4" s="247"/>
      <c r="P4" s="247"/>
      <c r="Q4" s="247"/>
    </row>
    <row r="5" spans="1:17" s="183" customFormat="1" x14ac:dyDescent="0.3">
      <c r="A5" s="114" t="s">
        <v>1133</v>
      </c>
      <c r="B5" s="114" t="s">
        <v>1195</v>
      </c>
      <c r="C5" s="245"/>
      <c r="D5" s="114" t="s">
        <v>1133</v>
      </c>
      <c r="E5" s="114" t="s">
        <v>1195</v>
      </c>
      <c r="F5" s="245"/>
      <c r="G5" s="114" t="s">
        <v>1133</v>
      </c>
      <c r="H5" s="114" t="s">
        <v>1195</v>
      </c>
      <c r="I5" s="245"/>
      <c r="J5" s="114" t="s">
        <v>1133</v>
      </c>
      <c r="K5" s="114" t="s">
        <v>1195</v>
      </c>
      <c r="L5" s="245"/>
      <c r="M5" s="114" t="s">
        <v>1133</v>
      </c>
      <c r="N5" s="114" t="s">
        <v>1195</v>
      </c>
      <c r="O5" s="245"/>
      <c r="P5" s="114" t="s">
        <v>1133</v>
      </c>
      <c r="Q5" s="114" t="s">
        <v>1195</v>
      </c>
    </row>
    <row r="6" spans="1:17" x14ac:dyDescent="0.3">
      <c r="A6" s="185">
        <v>1006</v>
      </c>
      <c r="B6" s="185">
        <v>7</v>
      </c>
      <c r="C6" s="245"/>
      <c r="D6" s="185">
        <v>1112</v>
      </c>
      <c r="E6" s="185">
        <v>8</v>
      </c>
      <c r="F6" s="245"/>
      <c r="G6" s="185">
        <v>2001</v>
      </c>
      <c r="H6" s="185">
        <v>22.8</v>
      </c>
      <c r="I6" s="245"/>
      <c r="J6" s="185">
        <v>2036</v>
      </c>
      <c r="K6" s="185">
        <v>88.8</v>
      </c>
      <c r="L6" s="245"/>
      <c r="M6" s="185">
        <v>3001</v>
      </c>
      <c r="N6" s="185">
        <v>40</v>
      </c>
      <c r="O6" s="245"/>
      <c r="P6" s="185">
        <v>3034</v>
      </c>
      <c r="Q6" s="185">
        <v>6</v>
      </c>
    </row>
    <row r="7" spans="1:17" x14ac:dyDescent="0.3">
      <c r="A7" s="185">
        <v>1004</v>
      </c>
      <c r="B7" s="185">
        <v>4</v>
      </c>
      <c r="C7" s="245"/>
      <c r="D7" s="185">
        <v>1062</v>
      </c>
      <c r="E7" s="185">
        <v>34</v>
      </c>
      <c r="F7" s="245"/>
      <c r="G7" s="185">
        <v>2002</v>
      </c>
      <c r="H7" s="185">
        <v>57.599999999999994</v>
      </c>
      <c r="I7" s="245"/>
      <c r="J7" s="185">
        <v>2037</v>
      </c>
      <c r="K7" s="185">
        <v>151.19999999999999</v>
      </c>
      <c r="L7" s="245"/>
      <c r="M7" s="185">
        <v>3002</v>
      </c>
      <c r="N7" s="185">
        <v>40</v>
      </c>
      <c r="O7" s="245"/>
      <c r="P7" s="185">
        <v>3035</v>
      </c>
      <c r="Q7" s="185">
        <v>48</v>
      </c>
    </row>
    <row r="8" spans="1:17" x14ac:dyDescent="0.3">
      <c r="A8" s="185">
        <v>1005</v>
      </c>
      <c r="B8" s="185">
        <v>3</v>
      </c>
      <c r="C8" s="245"/>
      <c r="D8" s="185">
        <v>1061</v>
      </c>
      <c r="E8" s="185">
        <v>24</v>
      </c>
      <c r="F8" s="245"/>
      <c r="G8" s="185">
        <v>2003</v>
      </c>
      <c r="H8" s="185">
        <v>112.8</v>
      </c>
      <c r="I8" s="245"/>
      <c r="J8" s="185">
        <v>2038</v>
      </c>
      <c r="K8" s="185">
        <v>57.599999999999994</v>
      </c>
      <c r="L8" s="245"/>
      <c r="M8" s="185">
        <v>3003</v>
      </c>
      <c r="N8" s="185">
        <v>36</v>
      </c>
      <c r="O8" s="245"/>
      <c r="P8" s="185">
        <v>3036</v>
      </c>
      <c r="Q8" s="185">
        <v>16</v>
      </c>
    </row>
    <row r="9" spans="1:17" x14ac:dyDescent="0.3">
      <c r="A9" s="185">
        <v>1007</v>
      </c>
      <c r="B9" s="185">
        <v>20</v>
      </c>
      <c r="C9" s="245"/>
      <c r="D9" s="185">
        <v>1067</v>
      </c>
      <c r="E9" s="185">
        <v>15</v>
      </c>
      <c r="F9" s="245"/>
      <c r="G9" s="185">
        <v>2004</v>
      </c>
      <c r="H9" s="185">
        <v>45.6</v>
      </c>
      <c r="I9" s="245"/>
      <c r="J9" s="185">
        <v>2039</v>
      </c>
      <c r="K9" s="185">
        <v>50.4</v>
      </c>
      <c r="L9" s="245"/>
      <c r="M9" s="185">
        <v>3004</v>
      </c>
      <c r="N9" s="185">
        <v>88</v>
      </c>
      <c r="O9" s="245"/>
      <c r="P9" s="185">
        <v>3037</v>
      </c>
      <c r="Q9" s="185">
        <v>77</v>
      </c>
    </row>
    <row r="10" spans="1:17" x14ac:dyDescent="0.3">
      <c r="A10" s="185">
        <v>1009</v>
      </c>
      <c r="B10" s="185">
        <v>9</v>
      </c>
      <c r="C10" s="245"/>
      <c r="D10" s="185">
        <v>1073</v>
      </c>
      <c r="E10" s="185">
        <v>21</v>
      </c>
      <c r="F10" s="245"/>
      <c r="G10" s="185">
        <v>2005</v>
      </c>
      <c r="H10" s="185">
        <v>40.799999999999997</v>
      </c>
      <c r="I10" s="245"/>
      <c r="J10" s="185">
        <v>2040</v>
      </c>
      <c r="K10" s="185">
        <v>36</v>
      </c>
      <c r="L10" s="245"/>
      <c r="M10" s="185">
        <v>3005</v>
      </c>
      <c r="N10" s="185">
        <v>17</v>
      </c>
      <c r="O10" s="245"/>
      <c r="P10" s="185">
        <v>3038</v>
      </c>
      <c r="Q10" s="185">
        <v>122</v>
      </c>
    </row>
    <row r="11" spans="1:17" x14ac:dyDescent="0.3">
      <c r="A11" s="185">
        <v>1052</v>
      </c>
      <c r="B11" s="185">
        <v>2</v>
      </c>
      <c r="C11" s="245"/>
      <c r="D11" s="185">
        <v>1070</v>
      </c>
      <c r="E11" s="185">
        <v>9</v>
      </c>
      <c r="F11" s="245"/>
      <c r="G11" s="185">
        <v>2006</v>
      </c>
      <c r="H11" s="185">
        <v>9.6</v>
      </c>
      <c r="I11" s="245"/>
      <c r="J11" s="185">
        <v>2041</v>
      </c>
      <c r="K11" s="185">
        <v>48</v>
      </c>
      <c r="L11" s="245"/>
      <c r="M11" s="185">
        <v>3006</v>
      </c>
      <c r="N11" s="185">
        <v>39</v>
      </c>
      <c r="O11" s="245"/>
      <c r="P11" s="185">
        <v>3039</v>
      </c>
      <c r="Q11" s="185">
        <v>22</v>
      </c>
    </row>
    <row r="12" spans="1:17" x14ac:dyDescent="0.3">
      <c r="A12" s="185">
        <v>1088</v>
      </c>
      <c r="B12" s="185">
        <v>7</v>
      </c>
      <c r="C12" s="245"/>
      <c r="D12" s="185">
        <v>1079</v>
      </c>
      <c r="E12" s="185">
        <v>8</v>
      </c>
      <c r="F12" s="245"/>
      <c r="G12" s="185">
        <v>2007</v>
      </c>
      <c r="H12" s="185">
        <v>14.399999999999999</v>
      </c>
      <c r="I12" s="245"/>
      <c r="J12" s="185">
        <v>2042</v>
      </c>
      <c r="K12" s="185">
        <v>69.599999999999994</v>
      </c>
      <c r="L12" s="245"/>
      <c r="M12" s="185">
        <v>3007</v>
      </c>
      <c r="N12" s="185">
        <v>34</v>
      </c>
      <c r="O12" s="245"/>
      <c r="P12" s="185">
        <v>3040</v>
      </c>
      <c r="Q12" s="185">
        <v>88</v>
      </c>
    </row>
    <row r="13" spans="1:17" x14ac:dyDescent="0.3">
      <c r="A13" s="185">
        <v>1011</v>
      </c>
      <c r="B13" s="185">
        <v>6</v>
      </c>
      <c r="C13" s="245"/>
      <c r="D13" s="185">
        <v>1084</v>
      </c>
      <c r="E13" s="185">
        <v>5</v>
      </c>
      <c r="F13" s="245"/>
      <c r="G13" s="185">
        <v>2008</v>
      </c>
      <c r="H13" s="185">
        <v>9.6</v>
      </c>
      <c r="I13" s="245"/>
      <c r="J13" s="185">
        <v>2043</v>
      </c>
      <c r="K13" s="185">
        <v>31.2</v>
      </c>
      <c r="L13" s="245"/>
      <c r="M13" s="185">
        <v>3008</v>
      </c>
      <c r="N13" s="185">
        <v>2</v>
      </c>
      <c r="O13" s="245"/>
      <c r="P13" s="185">
        <v>3041</v>
      </c>
      <c r="Q13" s="185">
        <v>132</v>
      </c>
    </row>
    <row r="14" spans="1:17" x14ac:dyDescent="0.3">
      <c r="A14" s="185">
        <v>1012</v>
      </c>
      <c r="B14" s="185">
        <v>15</v>
      </c>
      <c r="C14" s="245"/>
      <c r="D14" s="185">
        <v>1080</v>
      </c>
      <c r="E14" s="185">
        <v>15</v>
      </c>
      <c r="F14" s="245"/>
      <c r="G14" s="185">
        <v>2009</v>
      </c>
      <c r="H14" s="185">
        <v>31.2</v>
      </c>
      <c r="I14" s="245"/>
      <c r="J14" s="185">
        <v>2044</v>
      </c>
      <c r="K14" s="185">
        <v>0</v>
      </c>
      <c r="L14" s="245"/>
      <c r="M14" s="185">
        <v>3009</v>
      </c>
      <c r="N14" s="185">
        <v>5</v>
      </c>
      <c r="O14" s="245"/>
      <c r="P14" s="185">
        <v>3042</v>
      </c>
      <c r="Q14" s="185">
        <v>5</v>
      </c>
    </row>
    <row r="15" spans="1:17" x14ac:dyDescent="0.3">
      <c r="A15" s="185">
        <v>1002</v>
      </c>
      <c r="B15" s="185">
        <v>19</v>
      </c>
      <c r="C15" s="245"/>
      <c r="D15" s="185">
        <v>1068</v>
      </c>
      <c r="E15" s="185">
        <v>14</v>
      </c>
      <c r="F15" s="245"/>
      <c r="G15" s="185">
        <v>2010</v>
      </c>
      <c r="H15" s="185">
        <v>6</v>
      </c>
      <c r="I15" s="245"/>
      <c r="J15" s="185">
        <v>2045</v>
      </c>
      <c r="K15" s="185">
        <v>112.8</v>
      </c>
      <c r="L15" s="245"/>
      <c r="M15" s="185">
        <v>3010</v>
      </c>
      <c r="N15" s="185">
        <v>82</v>
      </c>
      <c r="O15" s="245"/>
      <c r="P15" s="185">
        <v>3043</v>
      </c>
      <c r="Q15" s="185">
        <v>8</v>
      </c>
    </row>
    <row r="16" spans="1:17" x14ac:dyDescent="0.3">
      <c r="A16" s="185">
        <v>1008</v>
      </c>
      <c r="B16" s="185">
        <v>9</v>
      </c>
      <c r="C16" s="245"/>
      <c r="D16" s="185">
        <v>1057</v>
      </c>
      <c r="E16" s="185">
        <v>25</v>
      </c>
      <c r="F16" s="245"/>
      <c r="G16" s="185">
        <v>2011</v>
      </c>
      <c r="H16" s="185">
        <v>2.4</v>
      </c>
      <c r="I16" s="245"/>
      <c r="J16" s="185">
        <v>2046</v>
      </c>
      <c r="K16" s="185">
        <v>148.79999999999998</v>
      </c>
      <c r="L16" s="245"/>
      <c r="M16" s="185">
        <v>3011</v>
      </c>
      <c r="N16" s="185">
        <v>60</v>
      </c>
      <c r="O16" s="245"/>
      <c r="P16" s="185">
        <v>3044</v>
      </c>
      <c r="Q16" s="185">
        <v>2</v>
      </c>
    </row>
    <row r="17" spans="1:17" x14ac:dyDescent="0.3">
      <c r="A17" s="185">
        <v>1016</v>
      </c>
      <c r="B17" s="185">
        <v>4</v>
      </c>
      <c r="C17" s="245"/>
      <c r="D17" s="185">
        <v>1048</v>
      </c>
      <c r="E17" s="185">
        <v>18</v>
      </c>
      <c r="F17" s="245"/>
      <c r="G17" s="185">
        <v>2012</v>
      </c>
      <c r="H17" s="185">
        <v>74.399999999999991</v>
      </c>
      <c r="I17" s="245"/>
      <c r="J17" s="185">
        <v>2047</v>
      </c>
      <c r="K17" s="185">
        <v>14.399999999999999</v>
      </c>
      <c r="L17" s="245"/>
      <c r="M17" s="185">
        <v>3012</v>
      </c>
      <c r="N17" s="185">
        <v>126</v>
      </c>
      <c r="O17" s="245"/>
      <c r="P17" s="185">
        <v>3045</v>
      </c>
      <c r="Q17" s="185">
        <v>20</v>
      </c>
    </row>
    <row r="18" spans="1:17" x14ac:dyDescent="0.3">
      <c r="A18" s="185">
        <v>1085</v>
      </c>
      <c r="B18" s="185">
        <v>27</v>
      </c>
      <c r="C18" s="245"/>
      <c r="D18" s="185">
        <v>1045</v>
      </c>
      <c r="E18" s="185">
        <v>23</v>
      </c>
      <c r="F18" s="245"/>
      <c r="G18" s="185">
        <v>2013</v>
      </c>
      <c r="H18" s="185">
        <v>52.8</v>
      </c>
      <c r="I18" s="245"/>
      <c r="J18" s="185">
        <v>2048</v>
      </c>
      <c r="K18" s="185">
        <v>45.6</v>
      </c>
      <c r="L18" s="245"/>
      <c r="M18" s="185">
        <v>3013</v>
      </c>
      <c r="N18" s="185">
        <v>40</v>
      </c>
      <c r="O18" s="245"/>
      <c r="P18" s="185">
        <v>3046</v>
      </c>
      <c r="Q18" s="185">
        <v>22</v>
      </c>
    </row>
    <row r="19" spans="1:17" x14ac:dyDescent="0.3">
      <c r="A19" s="185">
        <v>1026</v>
      </c>
      <c r="B19" s="185">
        <v>3</v>
      </c>
      <c r="C19" s="245"/>
      <c r="D19" s="114" t="s">
        <v>843</v>
      </c>
      <c r="E19" s="139">
        <f>SUM(E6:E18)</f>
        <v>219</v>
      </c>
      <c r="F19" s="245"/>
      <c r="G19" s="185">
        <v>2014</v>
      </c>
      <c r="H19" s="185">
        <v>57.599999999999994</v>
      </c>
      <c r="I19" s="245"/>
      <c r="J19" s="185">
        <v>2049</v>
      </c>
      <c r="K19" s="185">
        <v>96</v>
      </c>
      <c r="L19" s="245"/>
      <c r="M19" s="185">
        <v>3014</v>
      </c>
      <c r="N19" s="185">
        <v>56</v>
      </c>
      <c r="O19" s="245"/>
      <c r="P19" s="185">
        <v>3047</v>
      </c>
      <c r="Q19" s="185">
        <v>33</v>
      </c>
    </row>
    <row r="20" spans="1:17" x14ac:dyDescent="0.3">
      <c r="A20" s="185">
        <v>1027</v>
      </c>
      <c r="B20" s="185">
        <v>3</v>
      </c>
      <c r="C20" s="245"/>
      <c r="D20" s="246"/>
      <c r="E20" s="246"/>
      <c r="F20" s="245"/>
      <c r="G20" s="185">
        <v>2015</v>
      </c>
      <c r="H20" s="185">
        <v>52.8</v>
      </c>
      <c r="I20" s="245"/>
      <c r="J20" s="185">
        <v>2050</v>
      </c>
      <c r="K20" s="185">
        <v>7.1999999999999993</v>
      </c>
      <c r="L20" s="245"/>
      <c r="M20" s="185">
        <v>3015</v>
      </c>
      <c r="N20" s="185">
        <v>12</v>
      </c>
      <c r="O20" s="245"/>
      <c r="P20" s="185">
        <v>3048</v>
      </c>
      <c r="Q20" s="185">
        <v>65</v>
      </c>
    </row>
    <row r="21" spans="1:17" x14ac:dyDescent="0.3">
      <c r="A21" s="185">
        <v>1024</v>
      </c>
      <c r="B21" s="185">
        <v>3</v>
      </c>
      <c r="C21" s="245"/>
      <c r="D21" s="246"/>
      <c r="E21" s="246"/>
      <c r="F21" s="245"/>
      <c r="G21" s="185">
        <v>2016</v>
      </c>
      <c r="H21" s="185">
        <v>48</v>
      </c>
      <c r="I21" s="245"/>
      <c r="J21" s="185">
        <v>2053</v>
      </c>
      <c r="K21" s="185">
        <v>14.399999999999999</v>
      </c>
      <c r="L21" s="245"/>
      <c r="M21" s="185">
        <v>3016</v>
      </c>
      <c r="N21" s="185">
        <v>35</v>
      </c>
      <c r="O21" s="245"/>
      <c r="P21" s="185">
        <v>3049</v>
      </c>
      <c r="Q21" s="185">
        <v>30</v>
      </c>
    </row>
    <row r="22" spans="1:17" x14ac:dyDescent="0.3">
      <c r="A22" s="185">
        <v>1017</v>
      </c>
      <c r="B22" s="185">
        <v>3</v>
      </c>
      <c r="C22" s="245"/>
      <c r="D22" s="246"/>
      <c r="E22" s="246"/>
      <c r="F22" s="245"/>
      <c r="G22" s="185">
        <v>2017</v>
      </c>
      <c r="H22" s="185">
        <v>151.19999999999999</v>
      </c>
      <c r="I22" s="245"/>
      <c r="J22" s="185">
        <v>2054</v>
      </c>
      <c r="K22" s="185">
        <v>3.5999999999999996</v>
      </c>
      <c r="L22" s="245"/>
      <c r="M22" s="185">
        <v>3017</v>
      </c>
      <c r="N22" s="185">
        <v>10</v>
      </c>
      <c r="O22" s="245"/>
      <c r="P22" s="185">
        <v>3050</v>
      </c>
      <c r="Q22" s="185">
        <v>82</v>
      </c>
    </row>
    <row r="23" spans="1:17" x14ac:dyDescent="0.3">
      <c r="A23" s="185">
        <v>1022</v>
      </c>
      <c r="B23" s="185">
        <v>7</v>
      </c>
      <c r="C23" s="245"/>
      <c r="D23" s="246"/>
      <c r="E23" s="246"/>
      <c r="F23" s="245"/>
      <c r="G23" s="185">
        <v>2018</v>
      </c>
      <c r="H23" s="185">
        <v>2.4</v>
      </c>
      <c r="I23" s="245"/>
      <c r="J23" s="185">
        <v>2055</v>
      </c>
      <c r="K23" s="185">
        <v>18</v>
      </c>
      <c r="L23" s="245"/>
      <c r="M23" s="185">
        <v>3018</v>
      </c>
      <c r="N23" s="185">
        <v>12</v>
      </c>
      <c r="O23" s="245"/>
      <c r="P23" s="185">
        <v>3051</v>
      </c>
      <c r="Q23" s="185">
        <v>61</v>
      </c>
    </row>
    <row r="24" spans="1:17" x14ac:dyDescent="0.3">
      <c r="A24" s="185">
        <v>1036</v>
      </c>
      <c r="B24" s="185">
        <v>21</v>
      </c>
      <c r="C24" s="245"/>
      <c r="D24" s="246"/>
      <c r="E24" s="246"/>
      <c r="F24" s="245"/>
      <c r="G24" s="185">
        <v>2019</v>
      </c>
      <c r="H24" s="185">
        <v>2.4</v>
      </c>
      <c r="I24" s="245"/>
      <c r="J24" s="185">
        <v>2056</v>
      </c>
      <c r="K24" s="185">
        <v>9.6</v>
      </c>
      <c r="L24" s="245"/>
      <c r="M24" s="185">
        <v>3019</v>
      </c>
      <c r="N24" s="185">
        <v>140</v>
      </c>
      <c r="O24" s="245"/>
      <c r="P24" s="185">
        <v>3052</v>
      </c>
      <c r="Q24" s="185">
        <v>0</v>
      </c>
    </row>
    <row r="25" spans="1:17" x14ac:dyDescent="0.3">
      <c r="A25" s="185">
        <v>1015</v>
      </c>
      <c r="B25" s="185">
        <v>34</v>
      </c>
      <c r="C25" s="245"/>
      <c r="D25" s="246"/>
      <c r="E25" s="246"/>
      <c r="F25" s="245"/>
      <c r="G25" s="185">
        <v>2020</v>
      </c>
      <c r="H25" s="185">
        <v>15.6</v>
      </c>
      <c r="I25" s="245"/>
      <c r="J25" s="185">
        <v>2057</v>
      </c>
      <c r="K25" s="185">
        <v>9.6</v>
      </c>
      <c r="L25" s="245"/>
      <c r="M25" s="185">
        <v>3020</v>
      </c>
      <c r="N25" s="185">
        <v>0</v>
      </c>
      <c r="O25" s="245"/>
      <c r="P25" s="185">
        <v>3053</v>
      </c>
      <c r="Q25" s="185">
        <v>88</v>
      </c>
    </row>
    <row r="26" spans="1:17" x14ac:dyDescent="0.3">
      <c r="A26" s="185">
        <v>1023</v>
      </c>
      <c r="B26" s="185">
        <v>16</v>
      </c>
      <c r="C26" s="245"/>
      <c r="D26" s="246"/>
      <c r="E26" s="246"/>
      <c r="F26" s="245"/>
      <c r="G26" s="185">
        <v>2021</v>
      </c>
      <c r="H26" s="185">
        <v>6</v>
      </c>
      <c r="I26" s="245"/>
      <c r="J26" s="185">
        <v>2058</v>
      </c>
      <c r="K26" s="185">
        <v>4.8</v>
      </c>
      <c r="L26" s="245"/>
      <c r="M26" s="185">
        <v>3021</v>
      </c>
      <c r="N26" s="185">
        <v>20</v>
      </c>
      <c r="O26" s="245"/>
      <c r="P26" s="185">
        <v>3054</v>
      </c>
      <c r="Q26" s="185">
        <v>44</v>
      </c>
    </row>
    <row r="27" spans="1:17" x14ac:dyDescent="0.3">
      <c r="A27" s="185">
        <v>1028</v>
      </c>
      <c r="B27" s="185">
        <v>17</v>
      </c>
      <c r="C27" s="245"/>
      <c r="D27" s="246"/>
      <c r="E27" s="246"/>
      <c r="F27" s="245"/>
      <c r="G27" s="185">
        <v>2022</v>
      </c>
      <c r="H27" s="185">
        <v>151.19999999999999</v>
      </c>
      <c r="I27" s="245"/>
      <c r="J27" s="185">
        <v>2059</v>
      </c>
      <c r="K27" s="185">
        <v>2.4</v>
      </c>
      <c r="L27" s="245"/>
      <c r="M27" s="185">
        <v>3022</v>
      </c>
      <c r="N27" s="185">
        <v>36</v>
      </c>
      <c r="O27" s="245"/>
      <c r="P27" s="185">
        <v>3055</v>
      </c>
      <c r="Q27" s="185">
        <v>5</v>
      </c>
    </row>
    <row r="28" spans="1:17" x14ac:dyDescent="0.3">
      <c r="A28" s="185">
        <v>1029</v>
      </c>
      <c r="B28" s="185">
        <v>15</v>
      </c>
      <c r="C28" s="245"/>
      <c r="D28" s="246"/>
      <c r="E28" s="246"/>
      <c r="F28" s="245"/>
      <c r="G28" s="185">
        <v>2023</v>
      </c>
      <c r="H28" s="185">
        <v>2.4</v>
      </c>
      <c r="I28" s="245"/>
      <c r="J28" s="185">
        <v>2060</v>
      </c>
      <c r="K28" s="185">
        <v>4.8</v>
      </c>
      <c r="L28" s="245"/>
      <c r="M28" s="185">
        <v>3023</v>
      </c>
      <c r="N28" s="185">
        <v>83</v>
      </c>
      <c r="O28" s="245"/>
      <c r="P28" s="185">
        <v>3057</v>
      </c>
      <c r="Q28" s="185">
        <v>5</v>
      </c>
    </row>
    <row r="29" spans="1:17" x14ac:dyDescent="0.3">
      <c r="A29" s="185">
        <v>1030</v>
      </c>
      <c r="B29" s="185">
        <v>10</v>
      </c>
      <c r="C29" s="245"/>
      <c r="D29" s="246"/>
      <c r="E29" s="246"/>
      <c r="F29" s="245"/>
      <c r="G29" s="185">
        <v>2024</v>
      </c>
      <c r="H29" s="185">
        <v>0</v>
      </c>
      <c r="I29" s="245"/>
      <c r="J29" s="185">
        <v>2061</v>
      </c>
      <c r="K29" s="185">
        <v>57.599999999999994</v>
      </c>
      <c r="L29" s="245"/>
      <c r="M29" s="185">
        <v>3024</v>
      </c>
      <c r="N29" s="185">
        <v>0</v>
      </c>
      <c r="O29" s="245"/>
      <c r="P29" s="185">
        <v>3058</v>
      </c>
      <c r="Q29" s="185">
        <v>54</v>
      </c>
    </row>
    <row r="30" spans="1:17" x14ac:dyDescent="0.3">
      <c r="A30" s="185">
        <v>1050</v>
      </c>
      <c r="B30" s="185">
        <v>4</v>
      </c>
      <c r="C30" s="245"/>
      <c r="D30" s="246"/>
      <c r="E30" s="246"/>
      <c r="F30" s="245"/>
      <c r="G30" s="185">
        <v>2025</v>
      </c>
      <c r="H30" s="185">
        <v>16.8</v>
      </c>
      <c r="I30" s="245"/>
      <c r="J30" s="185">
        <v>2062</v>
      </c>
      <c r="K30" s="185">
        <v>43.199999999999996</v>
      </c>
      <c r="L30" s="245"/>
      <c r="M30" s="185">
        <v>3025</v>
      </c>
      <c r="N30" s="185">
        <v>5</v>
      </c>
      <c r="O30" s="245"/>
      <c r="P30" s="185">
        <v>3059</v>
      </c>
      <c r="Q30" s="185">
        <v>104</v>
      </c>
    </row>
    <row r="31" spans="1:17" x14ac:dyDescent="0.3">
      <c r="A31" s="185">
        <v>1053</v>
      </c>
      <c r="B31" s="185">
        <v>8</v>
      </c>
      <c r="C31" s="245"/>
      <c r="D31" s="246"/>
      <c r="E31" s="246"/>
      <c r="F31" s="245"/>
      <c r="G31" s="185">
        <v>2026</v>
      </c>
      <c r="H31" s="185">
        <v>2.4</v>
      </c>
      <c r="I31" s="245"/>
      <c r="J31" s="185">
        <v>2063</v>
      </c>
      <c r="K31" s="185">
        <v>0</v>
      </c>
      <c r="L31" s="245"/>
      <c r="M31" s="185">
        <v>3026</v>
      </c>
      <c r="N31" s="185">
        <v>2</v>
      </c>
      <c r="O31" s="245"/>
      <c r="P31" s="185">
        <v>3061</v>
      </c>
      <c r="Q31" s="185">
        <v>2</v>
      </c>
    </row>
    <row r="32" spans="1:17" x14ac:dyDescent="0.3">
      <c r="A32" s="185">
        <v>1054</v>
      </c>
      <c r="B32" s="185">
        <v>9</v>
      </c>
      <c r="C32" s="245"/>
      <c r="D32" s="246"/>
      <c r="E32" s="246"/>
      <c r="F32" s="245"/>
      <c r="G32" s="185">
        <v>2027</v>
      </c>
      <c r="H32" s="185">
        <v>6</v>
      </c>
      <c r="I32" s="245"/>
      <c r="J32" s="185">
        <v>2064</v>
      </c>
      <c r="K32" s="185">
        <v>24</v>
      </c>
      <c r="L32" s="245"/>
      <c r="M32" s="185">
        <v>3027</v>
      </c>
      <c r="N32" s="185">
        <v>92</v>
      </c>
      <c r="O32" s="245"/>
      <c r="P32" s="185">
        <v>3062</v>
      </c>
      <c r="Q32" s="185">
        <v>2</v>
      </c>
    </row>
    <row r="33" spans="1:17" x14ac:dyDescent="0.3">
      <c r="A33" s="185">
        <v>1056</v>
      </c>
      <c r="B33" s="185">
        <v>15</v>
      </c>
      <c r="C33" s="245"/>
      <c r="D33" s="246"/>
      <c r="E33" s="246"/>
      <c r="F33" s="245"/>
      <c r="G33" s="185">
        <v>2028</v>
      </c>
      <c r="H33" s="185">
        <v>2.4</v>
      </c>
      <c r="I33" s="245"/>
      <c r="J33" s="185">
        <v>2065</v>
      </c>
      <c r="K33" s="185">
        <v>2.4</v>
      </c>
      <c r="L33" s="245"/>
      <c r="M33" s="185">
        <v>3028</v>
      </c>
      <c r="N33" s="185">
        <v>58</v>
      </c>
      <c r="O33" s="245"/>
      <c r="P33" s="185">
        <v>3063</v>
      </c>
      <c r="Q33" s="185">
        <v>20</v>
      </c>
    </row>
    <row r="34" spans="1:17" x14ac:dyDescent="0.3">
      <c r="A34" s="185">
        <v>1055</v>
      </c>
      <c r="B34" s="185">
        <v>23</v>
      </c>
      <c r="C34" s="245"/>
      <c r="D34" s="246"/>
      <c r="E34" s="246"/>
      <c r="F34" s="245"/>
      <c r="G34" s="185">
        <v>2029</v>
      </c>
      <c r="H34" s="185">
        <v>6</v>
      </c>
      <c r="I34" s="245"/>
      <c r="J34" s="185">
        <v>2066</v>
      </c>
      <c r="K34" s="185">
        <v>27.599999999999998</v>
      </c>
      <c r="L34" s="245"/>
      <c r="M34" s="185">
        <v>3029</v>
      </c>
      <c r="N34" s="185">
        <v>2</v>
      </c>
      <c r="O34" s="245"/>
      <c r="P34" s="185">
        <v>3064</v>
      </c>
      <c r="Q34" s="185">
        <v>5</v>
      </c>
    </row>
    <row r="35" spans="1:17" x14ac:dyDescent="0.3">
      <c r="A35" s="185">
        <v>1058</v>
      </c>
      <c r="B35" s="185">
        <v>7</v>
      </c>
      <c r="C35" s="245"/>
      <c r="D35" s="246"/>
      <c r="E35" s="246"/>
      <c r="F35" s="245"/>
      <c r="G35" s="185">
        <v>2030</v>
      </c>
      <c r="H35" s="185">
        <v>7.1999999999999993</v>
      </c>
      <c r="I35" s="245"/>
      <c r="J35" s="185">
        <v>2067</v>
      </c>
      <c r="K35" s="185">
        <v>81.599999999999994</v>
      </c>
      <c r="L35" s="245"/>
      <c r="M35" s="185">
        <v>3030</v>
      </c>
      <c r="N35" s="185">
        <v>50</v>
      </c>
      <c r="O35" s="245"/>
      <c r="P35" s="185">
        <v>3066</v>
      </c>
      <c r="Q35" s="185">
        <v>40</v>
      </c>
    </row>
    <row r="36" spans="1:17" x14ac:dyDescent="0.3">
      <c r="A36" s="185">
        <v>1059</v>
      </c>
      <c r="B36" s="185">
        <v>11</v>
      </c>
      <c r="C36" s="245"/>
      <c r="D36" s="246"/>
      <c r="E36" s="246"/>
      <c r="F36" s="245"/>
      <c r="G36" s="185">
        <v>2031</v>
      </c>
      <c r="H36" s="185">
        <v>21.599999999999998</v>
      </c>
      <c r="I36" s="245"/>
      <c r="J36" s="185">
        <v>2068</v>
      </c>
      <c r="K36" s="185">
        <v>38.4</v>
      </c>
      <c r="L36" s="245"/>
      <c r="M36" s="185">
        <v>3031</v>
      </c>
      <c r="N36" s="185">
        <v>54</v>
      </c>
      <c r="O36" s="245"/>
      <c r="P36" s="185">
        <v>3067</v>
      </c>
      <c r="Q36" s="185">
        <v>20</v>
      </c>
    </row>
    <row r="37" spans="1:17" x14ac:dyDescent="0.3">
      <c r="A37" s="185">
        <v>1087</v>
      </c>
      <c r="B37" s="185">
        <v>3</v>
      </c>
      <c r="C37" s="245"/>
      <c r="D37" s="246"/>
      <c r="E37" s="246"/>
      <c r="F37" s="245"/>
      <c r="G37" s="185">
        <v>2032</v>
      </c>
      <c r="H37" s="185">
        <v>45.6</v>
      </c>
      <c r="I37" s="245"/>
      <c r="J37" s="185">
        <v>2070</v>
      </c>
      <c r="K37" s="185">
        <v>52.8</v>
      </c>
      <c r="L37" s="245"/>
      <c r="M37" s="185">
        <v>3032</v>
      </c>
      <c r="N37" s="185">
        <v>42</v>
      </c>
      <c r="O37" s="245"/>
      <c r="P37" s="114" t="s">
        <v>843</v>
      </c>
      <c r="Q37" s="139">
        <f>SUM(Q6:Q36)</f>
        <v>1228</v>
      </c>
    </row>
    <row r="38" spans="1:17" x14ac:dyDescent="0.3">
      <c r="A38" s="185">
        <v>1051</v>
      </c>
      <c r="B38" s="185">
        <v>4</v>
      </c>
      <c r="C38" s="245"/>
      <c r="D38" s="246"/>
      <c r="E38" s="246"/>
      <c r="F38" s="245"/>
      <c r="G38" s="185">
        <v>2033</v>
      </c>
      <c r="H38" s="185">
        <v>7.1999999999999993</v>
      </c>
      <c r="I38" s="245"/>
      <c r="J38" s="185">
        <v>2071</v>
      </c>
      <c r="K38" s="185">
        <v>93.6</v>
      </c>
      <c r="L38" s="245"/>
      <c r="M38" s="185">
        <v>3033</v>
      </c>
      <c r="N38" s="185">
        <v>28</v>
      </c>
      <c r="O38" s="245"/>
      <c r="P38" s="246"/>
      <c r="Q38" s="246"/>
    </row>
    <row r="39" spans="1:17" x14ac:dyDescent="0.3">
      <c r="A39" s="114" t="s">
        <v>843</v>
      </c>
      <c r="B39" s="139">
        <f>SUM(B6:B38)</f>
        <v>348</v>
      </c>
      <c r="C39" s="245"/>
      <c r="D39" s="246"/>
      <c r="E39" s="246"/>
      <c r="F39" s="245"/>
      <c r="G39" s="185">
        <v>2034</v>
      </c>
      <c r="H39" s="185">
        <v>4.8</v>
      </c>
      <c r="I39" s="245"/>
      <c r="J39" s="114" t="s">
        <v>843</v>
      </c>
      <c r="K39" s="139">
        <f>SUM(K6:K38)</f>
        <v>1445.9999999999998</v>
      </c>
      <c r="L39" s="245"/>
      <c r="M39" s="114" t="s">
        <v>843</v>
      </c>
      <c r="N39" s="139">
        <f>SUM(N6:N38)</f>
        <v>1346</v>
      </c>
      <c r="O39" s="245"/>
      <c r="P39" s="246"/>
      <c r="Q39" s="246"/>
    </row>
    <row r="40" spans="1:17" x14ac:dyDescent="0.3">
      <c r="A40" s="245"/>
      <c r="B40" s="245"/>
      <c r="C40" s="245"/>
      <c r="D40" s="246"/>
      <c r="E40" s="246"/>
      <c r="F40" s="245"/>
      <c r="G40" s="185">
        <v>2035</v>
      </c>
      <c r="H40" s="185">
        <v>2.4</v>
      </c>
      <c r="I40" s="245"/>
      <c r="J40" s="245"/>
      <c r="K40" s="245"/>
      <c r="L40" s="245"/>
      <c r="M40" s="246"/>
      <c r="N40" s="246"/>
      <c r="O40" s="245"/>
      <c r="P40" s="246"/>
      <c r="Q40" s="246"/>
    </row>
    <row r="41" spans="1:17" x14ac:dyDescent="0.3">
      <c r="A41" s="245"/>
      <c r="B41" s="245"/>
      <c r="C41" s="245"/>
      <c r="D41" s="246"/>
      <c r="E41" s="246"/>
      <c r="F41" s="245"/>
      <c r="G41" s="114" t="s">
        <v>843</v>
      </c>
      <c r="H41" s="139">
        <f>SUM(H6:H40)</f>
        <v>1091.9999999999998</v>
      </c>
      <c r="I41" s="245"/>
      <c r="J41" s="245"/>
      <c r="K41" s="245"/>
      <c r="L41" s="245"/>
      <c r="M41" s="246"/>
      <c r="N41" s="246"/>
      <c r="O41" s="245"/>
      <c r="P41" s="246"/>
      <c r="Q41" s="246"/>
    </row>
  </sheetData>
  <mergeCells count="15">
    <mergeCell ref="C5:C41"/>
    <mergeCell ref="A40:B41"/>
    <mergeCell ref="D20:E41"/>
    <mergeCell ref="M40:N41"/>
    <mergeCell ref="A1:H1"/>
    <mergeCell ref="B2:F2"/>
    <mergeCell ref="B3:F3"/>
    <mergeCell ref="A4:H4"/>
    <mergeCell ref="F5:F41"/>
    <mergeCell ref="I1:Q4"/>
    <mergeCell ref="P38:Q41"/>
    <mergeCell ref="J40:K41"/>
    <mergeCell ref="I5:I41"/>
    <mergeCell ref="L5:L41"/>
    <mergeCell ref="O5:O4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="70" zoomScaleNormal="70" workbookViewId="0">
      <selection activeCell="A5" sqref="A5:C9"/>
    </sheetView>
  </sheetViews>
  <sheetFormatPr defaultRowHeight="14.4" x14ac:dyDescent="0.3"/>
  <cols>
    <col min="1" max="2" width="8.88671875" style="175"/>
    <col min="3" max="3" width="17" style="175" customWidth="1"/>
    <col min="4" max="5" width="8.88671875" style="175"/>
    <col min="6" max="6" width="12.5546875" style="175" customWidth="1"/>
    <col min="7" max="16384" width="8.88671875" style="175"/>
  </cols>
  <sheetData>
    <row r="1" spans="1:6" ht="15.6" x14ac:dyDescent="0.3">
      <c r="A1" s="251" t="s">
        <v>1192</v>
      </c>
      <c r="B1" s="251"/>
      <c r="C1" s="251"/>
      <c r="D1" s="251"/>
      <c r="E1" s="251"/>
      <c r="F1" s="251"/>
    </row>
    <row r="2" spans="1:6" ht="15.6" x14ac:dyDescent="0.3">
      <c r="A2" s="181" t="s">
        <v>829</v>
      </c>
      <c r="B2" s="252" t="s">
        <v>7</v>
      </c>
      <c r="C2" s="253"/>
      <c r="D2" s="253"/>
      <c r="E2" s="180" t="s">
        <v>10</v>
      </c>
      <c r="F2" s="179" t="s">
        <v>830</v>
      </c>
    </row>
    <row r="3" spans="1:6" ht="58.2" customHeight="1" x14ac:dyDescent="0.3">
      <c r="A3" s="178">
        <v>1</v>
      </c>
      <c r="B3" s="254" t="s">
        <v>1191</v>
      </c>
      <c r="C3" s="255"/>
      <c r="D3" s="255"/>
      <c r="E3" s="178" t="s">
        <v>15</v>
      </c>
      <c r="F3" s="184">
        <f>C9</f>
        <v>2292</v>
      </c>
    </row>
    <row r="4" spans="1:6" ht="9" customHeight="1" x14ac:dyDescent="0.3">
      <c r="A4" s="249"/>
      <c r="B4" s="249"/>
      <c r="C4" s="249"/>
      <c r="D4" s="249"/>
      <c r="E4" s="249"/>
      <c r="F4" s="249"/>
    </row>
    <row r="5" spans="1:6" ht="15.6" x14ac:dyDescent="0.3">
      <c r="A5" s="176" t="s">
        <v>829</v>
      </c>
      <c r="B5" s="176" t="s">
        <v>1190</v>
      </c>
      <c r="C5" s="176" t="s">
        <v>1189</v>
      </c>
      <c r="D5" s="250"/>
      <c r="E5" s="250"/>
      <c r="F5" s="250"/>
    </row>
    <row r="6" spans="1:6" ht="15.6" x14ac:dyDescent="0.3">
      <c r="A6" s="176">
        <v>1</v>
      </c>
      <c r="B6" s="176">
        <v>1</v>
      </c>
      <c r="C6" s="176">
        <f>252+660</f>
        <v>912</v>
      </c>
      <c r="D6" s="250"/>
      <c r="E6" s="250"/>
      <c r="F6" s="250"/>
    </row>
    <row r="7" spans="1:6" ht="15.6" x14ac:dyDescent="0.3">
      <c r="A7" s="176">
        <v>2</v>
      </c>
      <c r="B7" s="176">
        <v>2</v>
      </c>
      <c r="C7" s="177">
        <f>378+608+322</f>
        <v>1308</v>
      </c>
      <c r="D7" s="250"/>
      <c r="E7" s="250"/>
      <c r="F7" s="250"/>
    </row>
    <row r="8" spans="1:6" ht="15.6" x14ac:dyDescent="0.3">
      <c r="A8" s="176">
        <v>3</v>
      </c>
      <c r="B8" s="176">
        <v>3</v>
      </c>
      <c r="C8" s="177">
        <f>12*3*2</f>
        <v>72</v>
      </c>
      <c r="D8" s="250"/>
      <c r="E8" s="250"/>
      <c r="F8" s="250"/>
    </row>
    <row r="9" spans="1:6" ht="14.4" customHeight="1" x14ac:dyDescent="0.3">
      <c r="A9" s="238" t="s">
        <v>843</v>
      </c>
      <c r="B9" s="238"/>
      <c r="C9" s="176">
        <f>SUM(C6:C8)</f>
        <v>2292</v>
      </c>
      <c r="D9" s="250"/>
      <c r="E9" s="250"/>
      <c r="F9" s="250"/>
    </row>
  </sheetData>
  <mergeCells count="6">
    <mergeCell ref="A4:F4"/>
    <mergeCell ref="D5:F9"/>
    <mergeCell ref="A9:B9"/>
    <mergeCell ref="A1:F1"/>
    <mergeCell ref="B2:D2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zoomScale="85" zoomScaleNormal="85" workbookViewId="0">
      <selection activeCell="K4" sqref="K4"/>
    </sheetView>
  </sheetViews>
  <sheetFormatPr defaultRowHeight="15.6" x14ac:dyDescent="0.3"/>
  <cols>
    <col min="1" max="1" width="7.33203125" style="171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12.21875" style="112" customWidth="1"/>
    <col min="9" max="9" width="2.44140625" style="112" customWidth="1"/>
    <col min="10" max="10" width="9.109375" style="112" bestFit="1" customWidth="1"/>
    <col min="11" max="11" width="7.109375" style="112" customWidth="1"/>
    <col min="12" max="16384" width="8.88671875" style="112"/>
  </cols>
  <sheetData>
    <row r="1" spans="1:11" x14ac:dyDescent="0.3">
      <c r="A1" s="235" t="s">
        <v>1192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</row>
    <row r="2" spans="1:11" s="164" customFormat="1" ht="30" customHeight="1" x14ac:dyDescent="0.3">
      <c r="A2" s="170" t="s">
        <v>829</v>
      </c>
      <c r="B2" s="236" t="s">
        <v>7</v>
      </c>
      <c r="C2" s="236"/>
      <c r="D2" s="236"/>
      <c r="E2" s="236"/>
      <c r="F2" s="236"/>
      <c r="G2" s="236"/>
      <c r="H2" s="236"/>
      <c r="I2" s="236"/>
      <c r="J2" s="37" t="s">
        <v>10</v>
      </c>
      <c r="K2" s="117" t="s">
        <v>830</v>
      </c>
    </row>
    <row r="3" spans="1:11" s="164" customFormat="1" ht="33" customHeight="1" x14ac:dyDescent="0.3">
      <c r="A3" s="140">
        <v>1</v>
      </c>
      <c r="B3" s="231" t="s">
        <v>1179</v>
      </c>
      <c r="C3" s="231"/>
      <c r="D3" s="231"/>
      <c r="E3" s="231"/>
      <c r="F3" s="231"/>
      <c r="G3" s="231"/>
      <c r="H3" s="231"/>
      <c r="I3" s="231"/>
      <c r="J3" s="115" t="s">
        <v>20</v>
      </c>
      <c r="K3" s="165">
        <v>746</v>
      </c>
    </row>
  </sheetData>
  <mergeCells count="3">
    <mergeCell ref="A1:K1"/>
    <mergeCell ref="B2:I2"/>
    <mergeCell ref="B3:I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7"/>
  <sheetViews>
    <sheetView zoomScale="85" zoomScaleNormal="85" workbookViewId="0">
      <selection activeCell="A5" sqref="A5:J5"/>
    </sheetView>
  </sheetViews>
  <sheetFormatPr defaultRowHeight="15.6" x14ac:dyDescent="0.3"/>
  <cols>
    <col min="1" max="1" width="6" style="162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7" style="112" customWidth="1"/>
    <col min="9" max="9" width="2.44140625" style="112" customWidth="1"/>
    <col min="10" max="10" width="5.5546875" style="112" customWidth="1"/>
    <col min="11" max="11" width="7.109375" style="112" customWidth="1"/>
    <col min="12" max="12" width="2.88671875" style="112" customWidth="1"/>
    <col min="13" max="13" width="5.88671875" style="112" customWidth="1"/>
    <col min="14" max="14" width="7" style="112" customWidth="1"/>
    <col min="15" max="15" width="2" style="112" customWidth="1"/>
    <col min="16" max="16" width="5.33203125" style="112" customWidth="1"/>
    <col min="17" max="17" width="7" style="112" customWidth="1"/>
    <col min="18" max="16384" width="8.88671875" style="112"/>
  </cols>
  <sheetData>
    <row r="1" spans="1:17" x14ac:dyDescent="0.3">
      <c r="A1" s="235" t="s">
        <v>1192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08"/>
      <c r="M1" s="208"/>
      <c r="N1" s="208"/>
      <c r="O1" s="208"/>
      <c r="P1" s="208"/>
      <c r="Q1" s="208"/>
    </row>
    <row r="2" spans="1:17" s="164" customFormat="1" ht="30" customHeight="1" x14ac:dyDescent="0.3">
      <c r="A2" s="118" t="s">
        <v>829</v>
      </c>
      <c r="B2" s="236" t="s">
        <v>7</v>
      </c>
      <c r="C2" s="236"/>
      <c r="D2" s="236"/>
      <c r="E2" s="236"/>
      <c r="F2" s="236"/>
      <c r="G2" s="236"/>
      <c r="H2" s="236"/>
      <c r="I2" s="236"/>
      <c r="J2" s="37" t="s">
        <v>10</v>
      </c>
      <c r="K2" s="117" t="s">
        <v>830</v>
      </c>
      <c r="L2" s="208"/>
      <c r="M2" s="208"/>
      <c r="N2" s="208"/>
      <c r="O2" s="208"/>
      <c r="P2" s="208"/>
      <c r="Q2" s="208"/>
    </row>
    <row r="3" spans="1:17" x14ac:dyDescent="0.3">
      <c r="A3" s="140">
        <v>1</v>
      </c>
      <c r="B3" s="231" t="s">
        <v>1134</v>
      </c>
      <c r="C3" s="231"/>
      <c r="D3" s="231"/>
      <c r="E3" s="231"/>
      <c r="F3" s="231"/>
      <c r="G3" s="231"/>
      <c r="H3" s="231"/>
      <c r="I3" s="231"/>
      <c r="J3" s="115" t="s">
        <v>19</v>
      </c>
      <c r="K3" s="165">
        <f>Q35+N36+K36+H37+B37+E21</f>
        <v>86.995199999999997</v>
      </c>
      <c r="L3" s="208"/>
      <c r="M3" s="208"/>
      <c r="N3" s="208"/>
      <c r="O3" s="208"/>
      <c r="P3" s="208"/>
      <c r="Q3" s="208"/>
    </row>
    <row r="4" spans="1:17" x14ac:dyDescent="0.3">
      <c r="A4" s="140">
        <v>2</v>
      </c>
      <c r="B4" s="231" t="s">
        <v>1135</v>
      </c>
      <c r="C4" s="231"/>
      <c r="D4" s="231"/>
      <c r="E4" s="231"/>
      <c r="F4" s="231"/>
      <c r="G4" s="231"/>
      <c r="H4" s="231"/>
      <c r="I4" s="231"/>
      <c r="J4" s="115" t="s">
        <v>19</v>
      </c>
      <c r="K4" s="165">
        <f>292*(0.15*0.15*0.25)</f>
        <v>1.6424999999999998</v>
      </c>
      <c r="L4" s="208"/>
      <c r="M4" s="208"/>
      <c r="N4" s="208"/>
      <c r="O4" s="208"/>
      <c r="P4" s="208"/>
      <c r="Q4" s="208"/>
    </row>
    <row r="5" spans="1:17" x14ac:dyDescent="0.3">
      <c r="A5" s="258" t="s">
        <v>1188</v>
      </c>
      <c r="B5" s="258"/>
      <c r="C5" s="258"/>
      <c r="D5" s="258"/>
      <c r="E5" s="258"/>
      <c r="F5" s="258"/>
      <c r="G5" s="258"/>
      <c r="H5" s="258"/>
      <c r="I5" s="258"/>
      <c r="J5" s="259"/>
      <c r="K5" s="165">
        <f>SUM(K3:K4)</f>
        <v>88.637699999999995</v>
      </c>
      <c r="L5" s="208"/>
      <c r="M5" s="208"/>
      <c r="N5" s="208"/>
      <c r="O5" s="208"/>
      <c r="P5" s="208"/>
      <c r="Q5" s="208"/>
    </row>
    <row r="6" spans="1:17" ht="10.8" customHeight="1" x14ac:dyDescent="0.3">
      <c r="A6" s="257"/>
      <c r="B6" s="257"/>
      <c r="C6" s="257"/>
      <c r="D6" s="257"/>
      <c r="E6" s="257"/>
      <c r="F6" s="257"/>
      <c r="G6" s="257"/>
      <c r="H6" s="257"/>
      <c r="I6" s="257"/>
      <c r="J6" s="257"/>
      <c r="K6" s="257"/>
      <c r="L6" s="208"/>
      <c r="M6" s="208"/>
      <c r="N6" s="208"/>
      <c r="O6" s="208"/>
      <c r="P6" s="208"/>
      <c r="Q6" s="208"/>
    </row>
    <row r="7" spans="1:17" ht="29.4" customHeight="1" x14ac:dyDescent="0.3">
      <c r="A7" s="114" t="s">
        <v>1133</v>
      </c>
      <c r="B7" s="115" t="s">
        <v>1138</v>
      </c>
      <c r="C7" s="256"/>
      <c r="D7" s="114" t="s">
        <v>1133</v>
      </c>
      <c r="E7" s="115" t="s">
        <v>1138</v>
      </c>
      <c r="F7" s="256"/>
      <c r="G7" s="114" t="s">
        <v>1133</v>
      </c>
      <c r="H7" s="115" t="s">
        <v>1138</v>
      </c>
      <c r="I7" s="256"/>
      <c r="J7" s="114" t="s">
        <v>1133</v>
      </c>
      <c r="K7" s="115" t="s">
        <v>1138</v>
      </c>
      <c r="L7" s="245"/>
      <c r="M7" s="114" t="s">
        <v>1133</v>
      </c>
      <c r="N7" s="168" t="s">
        <v>1138</v>
      </c>
      <c r="O7" s="256"/>
      <c r="P7" s="114" t="s">
        <v>1133</v>
      </c>
      <c r="Q7" s="115" t="s">
        <v>1138</v>
      </c>
    </row>
    <row r="8" spans="1:17" x14ac:dyDescent="0.3">
      <c r="A8" s="114" t="s">
        <v>1136</v>
      </c>
      <c r="B8" s="114">
        <v>9.4559999999999991E-2</v>
      </c>
      <c r="C8" s="256"/>
      <c r="D8" s="114" t="s">
        <v>1178</v>
      </c>
      <c r="E8" s="114">
        <v>0.37823999999999997</v>
      </c>
      <c r="F8" s="256"/>
      <c r="G8" s="114" t="s">
        <v>834</v>
      </c>
      <c r="H8" s="114">
        <v>0.66192000000000006</v>
      </c>
      <c r="I8" s="256"/>
      <c r="J8" s="114" t="s">
        <v>855</v>
      </c>
      <c r="K8" s="114">
        <v>1.13472</v>
      </c>
      <c r="L8" s="245"/>
      <c r="M8" s="114" t="s">
        <v>971</v>
      </c>
      <c r="N8" s="114">
        <v>0.66192000000000006</v>
      </c>
      <c r="O8" s="256"/>
      <c r="P8" s="114" t="s">
        <v>1003</v>
      </c>
      <c r="Q8" s="114">
        <v>0.4728</v>
      </c>
    </row>
    <row r="9" spans="1:17" x14ac:dyDescent="0.3">
      <c r="A9" s="114" t="s">
        <v>1137</v>
      </c>
      <c r="B9" s="114">
        <v>0.37823999999999997</v>
      </c>
      <c r="C9" s="256"/>
      <c r="D9" s="114" t="s">
        <v>1166</v>
      </c>
      <c r="E9" s="114">
        <v>0.56735999999999998</v>
      </c>
      <c r="F9" s="256"/>
      <c r="G9" s="114" t="s">
        <v>836</v>
      </c>
      <c r="H9" s="114">
        <v>0.75647999999999993</v>
      </c>
      <c r="I9" s="256"/>
      <c r="J9" s="114" t="s">
        <v>839</v>
      </c>
      <c r="K9" s="114">
        <v>0.56735999999999998</v>
      </c>
      <c r="L9" s="245"/>
      <c r="M9" s="114" t="s">
        <v>972</v>
      </c>
      <c r="N9" s="114">
        <v>0.66192000000000006</v>
      </c>
      <c r="O9" s="256"/>
      <c r="P9" s="114" t="s">
        <v>1005</v>
      </c>
      <c r="Q9" s="114">
        <v>0.66192000000000006</v>
      </c>
    </row>
    <row r="10" spans="1:17" x14ac:dyDescent="0.3">
      <c r="A10" s="114" t="s">
        <v>1161</v>
      </c>
      <c r="B10" s="114">
        <v>0.18911999999999998</v>
      </c>
      <c r="C10" s="256"/>
      <c r="D10" s="114" t="s">
        <v>1167</v>
      </c>
      <c r="E10" s="114">
        <v>0.18911999999999998</v>
      </c>
      <c r="F10" s="256"/>
      <c r="G10" s="114" t="s">
        <v>838</v>
      </c>
      <c r="H10" s="114">
        <v>0.66192000000000006</v>
      </c>
      <c r="I10" s="256"/>
      <c r="J10" s="114" t="s">
        <v>856</v>
      </c>
      <c r="K10" s="114">
        <v>0.56735999999999998</v>
      </c>
      <c r="L10" s="245"/>
      <c r="M10" s="114" t="s">
        <v>973</v>
      </c>
      <c r="N10" s="114">
        <v>0.66192000000000006</v>
      </c>
      <c r="O10" s="256"/>
      <c r="P10" s="114" t="s">
        <v>1006</v>
      </c>
      <c r="Q10" s="114">
        <v>0.56735999999999998</v>
      </c>
    </row>
    <row r="11" spans="1:17" x14ac:dyDescent="0.3">
      <c r="A11" s="114" t="s">
        <v>1139</v>
      </c>
      <c r="B11" s="114">
        <v>9.4559999999999991E-2</v>
      </c>
      <c r="C11" s="256"/>
      <c r="D11" s="114" t="s">
        <v>1168</v>
      </c>
      <c r="E11" s="114">
        <v>9.4559999999999991E-2</v>
      </c>
      <c r="F11" s="256"/>
      <c r="G11" s="114" t="s">
        <v>840</v>
      </c>
      <c r="H11" s="114">
        <v>0.75647999999999993</v>
      </c>
      <c r="I11" s="256"/>
      <c r="J11" s="114" t="s">
        <v>857</v>
      </c>
      <c r="K11" s="114">
        <v>0.56735999999999998</v>
      </c>
      <c r="L11" s="245"/>
      <c r="M11" s="114" t="s">
        <v>974</v>
      </c>
      <c r="N11" s="114">
        <v>1.13472</v>
      </c>
      <c r="O11" s="256"/>
      <c r="P11" s="114" t="s">
        <v>1007</v>
      </c>
      <c r="Q11" s="114">
        <v>1.6075200000000001</v>
      </c>
    </row>
    <row r="12" spans="1:17" x14ac:dyDescent="0.3">
      <c r="A12" s="114" t="s">
        <v>1140</v>
      </c>
      <c r="B12" s="114">
        <v>0.18911999999999998</v>
      </c>
      <c r="C12" s="256"/>
      <c r="D12" s="114" t="s">
        <v>1169</v>
      </c>
      <c r="E12" s="114">
        <v>0.18911999999999998</v>
      </c>
      <c r="F12" s="256"/>
      <c r="G12" s="114" t="s">
        <v>842</v>
      </c>
      <c r="H12" s="114">
        <v>0.37823999999999997</v>
      </c>
      <c r="I12" s="256"/>
      <c r="J12" s="114" t="s">
        <v>858</v>
      </c>
      <c r="K12" s="114">
        <v>0.56735999999999998</v>
      </c>
      <c r="L12" s="245"/>
      <c r="M12" s="114" t="s">
        <v>975</v>
      </c>
      <c r="N12" s="114">
        <v>0.18911999999999998</v>
      </c>
      <c r="O12" s="256"/>
      <c r="P12" s="114" t="s">
        <v>1008</v>
      </c>
      <c r="Q12" s="114">
        <v>1.7020799999999998</v>
      </c>
    </row>
    <row r="13" spans="1:17" x14ac:dyDescent="0.3">
      <c r="A13" s="114" t="s">
        <v>1141</v>
      </c>
      <c r="B13" s="114">
        <v>9.4559999999999991E-2</v>
      </c>
      <c r="C13" s="256"/>
      <c r="D13" s="114" t="s">
        <v>1170</v>
      </c>
      <c r="E13" s="114">
        <v>0.4728</v>
      </c>
      <c r="F13" s="256"/>
      <c r="G13" s="114" t="s">
        <v>944</v>
      </c>
      <c r="H13" s="114">
        <v>0.4728</v>
      </c>
      <c r="I13" s="256"/>
      <c r="J13" s="114" t="s">
        <v>859</v>
      </c>
      <c r="K13" s="114">
        <v>1.7020799999999998</v>
      </c>
      <c r="L13" s="245"/>
      <c r="M13" s="114" t="s">
        <v>977</v>
      </c>
      <c r="N13" s="114">
        <v>0.4728</v>
      </c>
      <c r="O13" s="256"/>
      <c r="P13" s="114" t="s">
        <v>1009</v>
      </c>
      <c r="Q13" s="114">
        <v>0.18911999999999998</v>
      </c>
    </row>
    <row r="14" spans="1:17" x14ac:dyDescent="0.3">
      <c r="A14" s="114" t="s">
        <v>1142</v>
      </c>
      <c r="B14" s="114">
        <v>0.18911999999999998</v>
      </c>
      <c r="C14" s="256"/>
      <c r="D14" s="114" t="s">
        <v>1171</v>
      </c>
      <c r="E14" s="114">
        <v>0.4728</v>
      </c>
      <c r="F14" s="256"/>
      <c r="G14" s="114" t="s">
        <v>945</v>
      </c>
      <c r="H14" s="114">
        <v>0.18911999999999998</v>
      </c>
      <c r="I14" s="256"/>
      <c r="J14" s="114" t="s">
        <v>960</v>
      </c>
      <c r="K14" s="114">
        <v>0.4728</v>
      </c>
      <c r="L14" s="245"/>
      <c r="M14" s="114" t="s">
        <v>978</v>
      </c>
      <c r="N14" s="114">
        <v>0.37823999999999997</v>
      </c>
      <c r="O14" s="256"/>
      <c r="P14" s="114" t="s">
        <v>1010</v>
      </c>
      <c r="Q14" s="114">
        <v>0.9456</v>
      </c>
    </row>
    <row r="15" spans="1:17" x14ac:dyDescent="0.3">
      <c r="A15" s="114" t="s">
        <v>1143</v>
      </c>
      <c r="B15" s="114">
        <v>0.18911999999999998</v>
      </c>
      <c r="C15" s="256"/>
      <c r="D15" s="114" t="s">
        <v>1172</v>
      </c>
      <c r="E15" s="114">
        <v>0.9456</v>
      </c>
      <c r="F15" s="256"/>
      <c r="G15" s="114" t="s">
        <v>946</v>
      </c>
      <c r="H15" s="114">
        <v>0.18911999999999998</v>
      </c>
      <c r="I15" s="256"/>
      <c r="J15" s="114" t="s">
        <v>860</v>
      </c>
      <c r="K15" s="114">
        <v>1.7020799999999998</v>
      </c>
      <c r="L15" s="245"/>
      <c r="M15" s="114" t="s">
        <v>979</v>
      </c>
      <c r="N15" s="114">
        <v>9.4559999999999991E-2</v>
      </c>
      <c r="O15" s="256"/>
      <c r="P15" s="114" t="s">
        <v>1011</v>
      </c>
      <c r="Q15" s="114">
        <v>1.8912</v>
      </c>
    </row>
    <row r="16" spans="1:17" x14ac:dyDescent="0.3">
      <c r="A16" s="114" t="s">
        <v>1144</v>
      </c>
      <c r="B16" s="114">
        <v>9.4559999999999991E-2</v>
      </c>
      <c r="C16" s="256"/>
      <c r="D16" s="114" t="s">
        <v>1173</v>
      </c>
      <c r="E16" s="114">
        <v>9.4559999999999991E-2</v>
      </c>
      <c r="F16" s="256"/>
      <c r="G16" s="114" t="s">
        <v>844</v>
      </c>
      <c r="H16" s="114">
        <v>0.66192000000000006</v>
      </c>
      <c r="I16" s="256"/>
      <c r="J16" s="114" t="s">
        <v>861</v>
      </c>
      <c r="K16" s="114">
        <v>1.6075200000000001</v>
      </c>
      <c r="L16" s="245"/>
      <c r="M16" s="114" t="s">
        <v>980</v>
      </c>
      <c r="N16" s="114">
        <v>1.13472</v>
      </c>
      <c r="O16" s="256"/>
      <c r="P16" s="114" t="s">
        <v>1012</v>
      </c>
      <c r="Q16" s="114">
        <v>0.18911999999999998</v>
      </c>
    </row>
    <row r="17" spans="1:17" x14ac:dyDescent="0.3">
      <c r="A17" s="114" t="s">
        <v>1145</v>
      </c>
      <c r="B17" s="114">
        <v>9.4559999999999991E-2</v>
      </c>
      <c r="C17" s="256"/>
      <c r="D17" s="114" t="s">
        <v>1174</v>
      </c>
      <c r="E17" s="114">
        <v>0.4728</v>
      </c>
      <c r="F17" s="256"/>
      <c r="G17" s="114" t="s">
        <v>845</v>
      </c>
      <c r="H17" s="114">
        <v>0.66192000000000006</v>
      </c>
      <c r="I17" s="256"/>
      <c r="J17" s="114" t="s">
        <v>862</v>
      </c>
      <c r="K17" s="114">
        <v>1.04016</v>
      </c>
      <c r="L17" s="245"/>
      <c r="M17" s="114" t="s">
        <v>981</v>
      </c>
      <c r="N17" s="114">
        <v>1.13472</v>
      </c>
      <c r="O17" s="256"/>
      <c r="P17" s="114" t="s">
        <v>1013</v>
      </c>
      <c r="Q17" s="114">
        <v>0.18911999999999998</v>
      </c>
    </row>
    <row r="18" spans="1:17" x14ac:dyDescent="0.3">
      <c r="A18" s="114" t="s">
        <v>1146</v>
      </c>
      <c r="B18" s="114">
        <v>9.4559999999999991E-2</v>
      </c>
      <c r="C18" s="256"/>
      <c r="D18" s="114" t="s">
        <v>1175</v>
      </c>
      <c r="E18" s="114">
        <v>0.66192000000000006</v>
      </c>
      <c r="F18" s="256"/>
      <c r="G18" s="114" t="s">
        <v>846</v>
      </c>
      <c r="H18" s="114">
        <v>0.66192000000000006</v>
      </c>
      <c r="I18" s="256"/>
      <c r="J18" s="114" t="s">
        <v>863</v>
      </c>
      <c r="K18" s="114">
        <v>1.4183999999999999</v>
      </c>
      <c r="L18" s="245"/>
      <c r="M18" s="114" t="s">
        <v>982</v>
      </c>
      <c r="N18" s="114">
        <v>2.0803199999999999</v>
      </c>
      <c r="O18" s="256"/>
      <c r="P18" s="114" t="s">
        <v>1014</v>
      </c>
      <c r="Q18" s="114">
        <v>0.18911999999999998</v>
      </c>
    </row>
    <row r="19" spans="1:17" x14ac:dyDescent="0.3">
      <c r="A19" s="114" t="s">
        <v>1147</v>
      </c>
      <c r="B19" s="114">
        <v>9.4559999999999991E-2</v>
      </c>
      <c r="C19" s="256"/>
      <c r="D19" s="114" t="s">
        <v>1176</v>
      </c>
      <c r="E19" s="114">
        <v>0.56735999999999998</v>
      </c>
      <c r="F19" s="256"/>
      <c r="G19" s="114" t="s">
        <v>847</v>
      </c>
      <c r="H19" s="114">
        <v>0.66192000000000006</v>
      </c>
      <c r="I19" s="256"/>
      <c r="J19" s="114" t="s">
        <v>864</v>
      </c>
      <c r="K19" s="114">
        <v>1.04016</v>
      </c>
      <c r="L19" s="245"/>
      <c r="M19" s="114" t="s">
        <v>983</v>
      </c>
      <c r="N19" s="114">
        <v>0.56735999999999998</v>
      </c>
      <c r="O19" s="256"/>
      <c r="P19" s="114" t="s">
        <v>1015</v>
      </c>
      <c r="Q19" s="114">
        <v>0.18911999999999998</v>
      </c>
    </row>
    <row r="20" spans="1:17" x14ac:dyDescent="0.3">
      <c r="A20" s="114" t="s">
        <v>1148</v>
      </c>
      <c r="B20" s="114">
        <v>0.37823999999999997</v>
      </c>
      <c r="C20" s="256"/>
      <c r="D20" s="114" t="s">
        <v>1177</v>
      </c>
      <c r="E20" s="114">
        <v>0.75647999999999993</v>
      </c>
      <c r="F20" s="256"/>
      <c r="G20" s="114" t="s">
        <v>848</v>
      </c>
      <c r="H20" s="114">
        <v>0.66192000000000006</v>
      </c>
      <c r="I20" s="256"/>
      <c r="J20" s="114" t="s">
        <v>865</v>
      </c>
      <c r="K20" s="114">
        <v>0.56735999999999998</v>
      </c>
      <c r="L20" s="245"/>
      <c r="M20" s="114" t="s">
        <v>984</v>
      </c>
      <c r="N20" s="114">
        <v>0.66192000000000006</v>
      </c>
      <c r="O20" s="256"/>
      <c r="P20" s="114" t="s">
        <v>1016</v>
      </c>
      <c r="Q20" s="114">
        <v>0.4728</v>
      </c>
    </row>
    <row r="21" spans="1:17" x14ac:dyDescent="0.3">
      <c r="A21" s="114" t="s">
        <v>1149</v>
      </c>
      <c r="B21" s="114">
        <v>0.28367999999999999</v>
      </c>
      <c r="C21" s="256"/>
      <c r="D21" s="166" t="s">
        <v>843</v>
      </c>
      <c r="E21" s="139">
        <f>SUM(E8:E20)</f>
        <v>5.8627199999999995</v>
      </c>
      <c r="F21" s="256"/>
      <c r="G21" s="114" t="s">
        <v>849</v>
      </c>
      <c r="H21" s="114">
        <v>1.2292799999999999</v>
      </c>
      <c r="I21" s="256"/>
      <c r="J21" s="114" t="s">
        <v>962</v>
      </c>
      <c r="K21" s="114">
        <v>0.28367999999999999</v>
      </c>
      <c r="L21" s="245"/>
      <c r="M21" s="114" t="s">
        <v>985</v>
      </c>
      <c r="N21" s="114">
        <v>0.28367999999999999</v>
      </c>
      <c r="O21" s="256"/>
      <c r="P21" s="114" t="s">
        <v>1018</v>
      </c>
      <c r="Q21" s="114">
        <v>0.56735999999999998</v>
      </c>
    </row>
    <row r="22" spans="1:17" x14ac:dyDescent="0.3">
      <c r="A22" s="114" t="s">
        <v>1163</v>
      </c>
      <c r="B22" s="114">
        <v>9.4559999999999991E-2</v>
      </c>
      <c r="C22" s="256"/>
      <c r="D22" s="246"/>
      <c r="E22" s="246"/>
      <c r="F22" s="246"/>
      <c r="G22" s="114" t="s">
        <v>947</v>
      </c>
      <c r="H22" s="114">
        <v>0.18911999999999998</v>
      </c>
      <c r="I22" s="256"/>
      <c r="J22" s="114" t="s">
        <v>963</v>
      </c>
      <c r="K22" s="114">
        <v>0.37823999999999997</v>
      </c>
      <c r="L22" s="245"/>
      <c r="M22" s="114" t="s">
        <v>987</v>
      </c>
      <c r="N22" s="114">
        <v>9.4559999999999991E-2</v>
      </c>
      <c r="O22" s="256"/>
      <c r="P22" s="114" t="s">
        <v>1019</v>
      </c>
      <c r="Q22" s="114">
        <v>0.37823999999999997</v>
      </c>
    </row>
    <row r="23" spans="1:17" x14ac:dyDescent="0.3">
      <c r="A23" s="114" t="s">
        <v>1164</v>
      </c>
      <c r="B23" s="114">
        <v>9.4559999999999991E-2</v>
      </c>
      <c r="C23" s="256"/>
      <c r="D23" s="246"/>
      <c r="E23" s="246"/>
      <c r="F23" s="246"/>
      <c r="G23" s="114" t="s">
        <v>949</v>
      </c>
      <c r="H23" s="114">
        <v>0.18911999999999998</v>
      </c>
      <c r="I23" s="256"/>
      <c r="J23" s="114" t="s">
        <v>964</v>
      </c>
      <c r="K23" s="114">
        <v>0.18911999999999998</v>
      </c>
      <c r="L23" s="245"/>
      <c r="M23" s="114" t="s">
        <v>988</v>
      </c>
      <c r="N23" s="114">
        <v>9.4559999999999991E-2</v>
      </c>
      <c r="O23" s="256"/>
      <c r="P23" s="114" t="s">
        <v>1020</v>
      </c>
      <c r="Q23" s="114">
        <v>0.66192000000000006</v>
      </c>
    </row>
    <row r="24" spans="1:17" x14ac:dyDescent="0.3">
      <c r="A24" s="114" t="s">
        <v>1165</v>
      </c>
      <c r="B24" s="114">
        <v>0.18911999999999998</v>
      </c>
      <c r="C24" s="256"/>
      <c r="D24" s="246"/>
      <c r="E24" s="246"/>
      <c r="F24" s="246"/>
      <c r="G24" s="114" t="s">
        <v>950</v>
      </c>
      <c r="H24" s="114">
        <v>0.18911999999999998</v>
      </c>
      <c r="I24" s="256"/>
      <c r="J24" s="114" t="s">
        <v>965</v>
      </c>
      <c r="K24" s="114">
        <v>0.28367999999999999</v>
      </c>
      <c r="L24" s="245"/>
      <c r="M24" s="114" t="s">
        <v>989</v>
      </c>
      <c r="N24" s="114">
        <v>1.8912</v>
      </c>
      <c r="O24" s="256"/>
      <c r="P24" s="114" t="s">
        <v>1021</v>
      </c>
      <c r="Q24" s="114">
        <v>0.66192000000000006</v>
      </c>
    </row>
    <row r="25" spans="1:17" x14ac:dyDescent="0.3">
      <c r="A25" s="114" t="s">
        <v>1150</v>
      </c>
      <c r="B25" s="114">
        <v>0.28367999999999999</v>
      </c>
      <c r="C25" s="256"/>
      <c r="D25" s="246"/>
      <c r="E25" s="246"/>
      <c r="F25" s="246"/>
      <c r="G25" s="114" t="s">
        <v>850</v>
      </c>
      <c r="H25" s="114">
        <v>1.6075200000000001</v>
      </c>
      <c r="I25" s="256"/>
      <c r="J25" s="114" t="s">
        <v>966</v>
      </c>
      <c r="K25" s="114">
        <v>0.56735999999999998</v>
      </c>
      <c r="L25" s="245"/>
      <c r="M25" s="114" t="s">
        <v>991</v>
      </c>
      <c r="N25" s="114">
        <v>0.18911999999999998</v>
      </c>
      <c r="O25" s="256"/>
      <c r="P25" s="114" t="s">
        <v>1023</v>
      </c>
      <c r="Q25" s="114">
        <v>1.3238400000000001</v>
      </c>
    </row>
    <row r="26" spans="1:17" x14ac:dyDescent="0.3">
      <c r="A26" s="114" t="s">
        <v>1162</v>
      </c>
      <c r="B26" s="114">
        <v>9.4559999999999991E-2</v>
      </c>
      <c r="C26" s="256"/>
      <c r="D26" s="246"/>
      <c r="E26" s="246"/>
      <c r="F26" s="246"/>
      <c r="G26" s="114" t="s">
        <v>851</v>
      </c>
      <c r="H26" s="114">
        <v>0.75647999999999993</v>
      </c>
      <c r="I26" s="256"/>
      <c r="J26" s="114" t="s">
        <v>866</v>
      </c>
      <c r="K26" s="114">
        <v>1.04016</v>
      </c>
      <c r="L26" s="245"/>
      <c r="M26" s="114" t="s">
        <v>992</v>
      </c>
      <c r="N26" s="114">
        <v>0.66192000000000006</v>
      </c>
      <c r="O26" s="256"/>
      <c r="P26" s="114" t="s">
        <v>1024</v>
      </c>
      <c r="Q26" s="114">
        <v>0.37823999999999997</v>
      </c>
    </row>
    <row r="27" spans="1:17" x14ac:dyDescent="0.3">
      <c r="A27" s="114" t="s">
        <v>1151</v>
      </c>
      <c r="B27" s="114">
        <v>0.28367999999999999</v>
      </c>
      <c r="C27" s="256"/>
      <c r="D27" s="246"/>
      <c r="E27" s="246"/>
      <c r="F27" s="246"/>
      <c r="G27" s="114" t="s">
        <v>953</v>
      </c>
      <c r="H27" s="114">
        <v>9.4559999999999991E-2</v>
      </c>
      <c r="I27" s="256"/>
      <c r="J27" s="114" t="s">
        <v>867</v>
      </c>
      <c r="K27" s="114">
        <v>1.9857599999999997</v>
      </c>
      <c r="L27" s="245"/>
      <c r="M27" s="114" t="s">
        <v>993</v>
      </c>
      <c r="N27" s="114">
        <v>1.5129599999999999</v>
      </c>
      <c r="O27" s="256"/>
      <c r="P27" s="114" t="s">
        <v>1025</v>
      </c>
      <c r="Q27" s="114">
        <v>0.18911999999999998</v>
      </c>
    </row>
    <row r="28" spans="1:17" x14ac:dyDescent="0.3">
      <c r="A28" s="114" t="s">
        <v>1152</v>
      </c>
      <c r="B28" s="114">
        <v>0.28367999999999999</v>
      </c>
      <c r="C28" s="256"/>
      <c r="D28" s="246"/>
      <c r="E28" s="246"/>
      <c r="F28" s="246"/>
      <c r="G28" s="114" t="s">
        <v>954</v>
      </c>
      <c r="H28" s="114">
        <v>9.4559999999999991E-2</v>
      </c>
      <c r="I28" s="256"/>
      <c r="J28" s="114" t="s">
        <v>868</v>
      </c>
      <c r="K28" s="114">
        <v>1.7020799999999998</v>
      </c>
      <c r="L28" s="245"/>
      <c r="M28" s="114" t="s">
        <v>995</v>
      </c>
      <c r="N28" s="114">
        <v>9.4559999999999991E-2</v>
      </c>
      <c r="O28" s="256"/>
      <c r="P28" s="114" t="s">
        <v>1026</v>
      </c>
      <c r="Q28" s="114">
        <v>9.4559999999999991E-2</v>
      </c>
    </row>
    <row r="29" spans="1:17" x14ac:dyDescent="0.3">
      <c r="A29" s="114" t="s">
        <v>1153</v>
      </c>
      <c r="B29" s="114">
        <v>0.28367999999999999</v>
      </c>
      <c r="C29" s="256"/>
      <c r="D29" s="246"/>
      <c r="E29" s="246"/>
      <c r="F29" s="246"/>
      <c r="G29" s="114" t="s">
        <v>955</v>
      </c>
      <c r="H29" s="114">
        <v>0.18911999999999998</v>
      </c>
      <c r="I29" s="256"/>
      <c r="J29" s="114" t="s">
        <v>869</v>
      </c>
      <c r="K29" s="114">
        <v>0.18911999999999998</v>
      </c>
      <c r="L29" s="245"/>
      <c r="M29" s="114" t="s">
        <v>996</v>
      </c>
      <c r="N29" s="114">
        <v>9.4559999999999991E-2</v>
      </c>
      <c r="O29" s="256"/>
      <c r="P29" s="114" t="s">
        <v>1027</v>
      </c>
      <c r="Q29" s="114">
        <v>0.18911999999999998</v>
      </c>
    </row>
    <row r="30" spans="1:17" x14ac:dyDescent="0.3">
      <c r="A30" s="114" t="s">
        <v>1154</v>
      </c>
      <c r="B30" s="114">
        <v>9.4559999999999991E-2</v>
      </c>
      <c r="C30" s="256"/>
      <c r="D30" s="246"/>
      <c r="E30" s="246"/>
      <c r="F30" s="246"/>
      <c r="G30" s="114" t="s">
        <v>956</v>
      </c>
      <c r="H30" s="114">
        <v>9.4559999999999991E-2</v>
      </c>
      <c r="I30" s="256"/>
      <c r="J30" s="114" t="s">
        <v>970</v>
      </c>
      <c r="K30" s="114">
        <v>0.28367999999999999</v>
      </c>
      <c r="L30" s="245"/>
      <c r="M30" s="114" t="s">
        <v>997</v>
      </c>
      <c r="N30" s="114">
        <v>1.13472</v>
      </c>
      <c r="O30" s="256"/>
      <c r="P30" s="114" t="s">
        <v>1028</v>
      </c>
      <c r="Q30" s="114">
        <v>9.4559999999999991E-2</v>
      </c>
    </row>
    <row r="31" spans="1:17" x14ac:dyDescent="0.3">
      <c r="A31" s="114" t="s">
        <v>1155</v>
      </c>
      <c r="B31" s="114">
        <v>0.18911999999999998</v>
      </c>
      <c r="C31" s="256"/>
      <c r="D31" s="246"/>
      <c r="E31" s="246"/>
      <c r="F31" s="246"/>
      <c r="G31" s="114" t="s">
        <v>852</v>
      </c>
      <c r="H31" s="114">
        <v>0.75647999999999993</v>
      </c>
      <c r="I31" s="256"/>
      <c r="J31" s="114" t="s">
        <v>870</v>
      </c>
      <c r="K31" s="114">
        <v>1.7020799999999998</v>
      </c>
      <c r="L31" s="245"/>
      <c r="M31" s="114" t="s">
        <v>998</v>
      </c>
      <c r="N31" s="114">
        <v>0.66192000000000006</v>
      </c>
      <c r="O31" s="256"/>
      <c r="P31" s="114" t="s">
        <v>1032</v>
      </c>
      <c r="Q31" s="114">
        <v>0.75647999999999993</v>
      </c>
    </row>
    <row r="32" spans="1:17" x14ac:dyDescent="0.3">
      <c r="A32" s="114" t="s">
        <v>1156</v>
      </c>
      <c r="B32" s="114">
        <v>9.4559999999999991E-2</v>
      </c>
      <c r="C32" s="256"/>
      <c r="D32" s="246"/>
      <c r="E32" s="246"/>
      <c r="F32" s="246"/>
      <c r="G32" s="114" t="s">
        <v>853</v>
      </c>
      <c r="H32" s="114">
        <v>0.37823999999999997</v>
      </c>
      <c r="I32" s="256"/>
      <c r="J32" s="114" t="s">
        <v>871</v>
      </c>
      <c r="K32" s="114">
        <v>1.8912</v>
      </c>
      <c r="L32" s="245"/>
      <c r="M32" s="114" t="s">
        <v>999</v>
      </c>
      <c r="N32" s="114">
        <v>9.4559999999999991E-2</v>
      </c>
      <c r="O32" s="256"/>
      <c r="P32" s="114" t="s">
        <v>1033</v>
      </c>
      <c r="Q32" s="114">
        <v>9.4559999999999991E-2</v>
      </c>
    </row>
    <row r="33" spans="1:17" x14ac:dyDescent="0.3">
      <c r="A33" s="114" t="s">
        <v>1157</v>
      </c>
      <c r="B33" s="114">
        <v>0.18911999999999998</v>
      </c>
      <c r="C33" s="256"/>
      <c r="D33" s="246"/>
      <c r="E33" s="246"/>
      <c r="F33" s="246"/>
      <c r="G33" s="114" t="s">
        <v>854</v>
      </c>
      <c r="H33" s="114">
        <v>0.66192000000000006</v>
      </c>
      <c r="I33" s="256"/>
      <c r="J33" s="114" t="s">
        <v>872</v>
      </c>
      <c r="K33" s="114">
        <v>1.6075200000000001</v>
      </c>
      <c r="L33" s="245"/>
      <c r="M33" s="114" t="s">
        <v>1000</v>
      </c>
      <c r="N33" s="114">
        <v>0.66192000000000006</v>
      </c>
      <c r="O33" s="256"/>
      <c r="P33" s="114" t="s">
        <v>1034</v>
      </c>
      <c r="Q33" s="114">
        <v>1.4183999999999999</v>
      </c>
    </row>
    <row r="34" spans="1:17" x14ac:dyDescent="0.3">
      <c r="A34" s="114" t="s">
        <v>1158</v>
      </c>
      <c r="B34" s="114">
        <v>0.28367999999999999</v>
      </c>
      <c r="C34" s="256"/>
      <c r="D34" s="246"/>
      <c r="E34" s="246"/>
      <c r="F34" s="246"/>
      <c r="G34" s="114" t="s">
        <v>957</v>
      </c>
      <c r="H34" s="114">
        <v>9.4559999999999991E-2</v>
      </c>
      <c r="I34" s="256"/>
      <c r="J34" s="114" t="s">
        <v>1038</v>
      </c>
      <c r="K34" s="114">
        <v>0.4728</v>
      </c>
      <c r="L34" s="245"/>
      <c r="M34" s="114" t="s">
        <v>1001</v>
      </c>
      <c r="N34" s="114">
        <v>0.66192000000000006</v>
      </c>
      <c r="O34" s="256"/>
      <c r="P34" s="114" t="s">
        <v>1035</v>
      </c>
      <c r="Q34" s="114">
        <v>0.4728</v>
      </c>
    </row>
    <row r="35" spans="1:17" x14ac:dyDescent="0.3">
      <c r="A35" s="114" t="s">
        <v>1159</v>
      </c>
      <c r="B35" s="114">
        <v>9.4559999999999991E-2</v>
      </c>
      <c r="C35" s="256"/>
      <c r="D35" s="246"/>
      <c r="E35" s="246"/>
      <c r="F35" s="246"/>
      <c r="G35" s="114" t="s">
        <v>958</v>
      </c>
      <c r="H35" s="114">
        <v>9.4559999999999991E-2</v>
      </c>
      <c r="I35" s="256"/>
      <c r="J35" s="114" t="s">
        <v>873</v>
      </c>
      <c r="K35" s="114">
        <v>1.13472</v>
      </c>
      <c r="L35" s="245"/>
      <c r="M35" s="169" t="s">
        <v>1002</v>
      </c>
      <c r="N35" s="169">
        <v>0.66192000000000006</v>
      </c>
      <c r="O35" s="256"/>
      <c r="P35" s="166" t="s">
        <v>843</v>
      </c>
      <c r="Q35" s="139">
        <f>SUM(Q8:Q34)</f>
        <v>16.548000000000002</v>
      </c>
    </row>
    <row r="36" spans="1:17" x14ac:dyDescent="0.3">
      <c r="A36" s="114" t="s">
        <v>1160</v>
      </c>
      <c r="B36" s="114">
        <v>0.18911999999999998</v>
      </c>
      <c r="C36" s="256"/>
      <c r="D36" s="246"/>
      <c r="E36" s="246"/>
      <c r="F36" s="246"/>
      <c r="G36" s="114" t="s">
        <v>959</v>
      </c>
      <c r="H36" s="114">
        <v>9.4559999999999991E-2</v>
      </c>
      <c r="I36" s="256"/>
      <c r="J36" s="163" t="s">
        <v>843</v>
      </c>
      <c r="K36" s="139">
        <f>SUM(K8:K35)</f>
        <v>26.665920000000003</v>
      </c>
      <c r="L36" s="245"/>
      <c r="M36" s="166" t="s">
        <v>843</v>
      </c>
      <c r="N36" s="139">
        <f>SUM(N8:N35)</f>
        <v>18.628319999999995</v>
      </c>
      <c r="O36" s="246"/>
      <c r="P36" s="237"/>
      <c r="Q36" s="237"/>
    </row>
    <row r="37" spans="1:17" x14ac:dyDescent="0.3">
      <c r="A37" s="166" t="s">
        <v>843</v>
      </c>
      <c r="B37" s="139">
        <f>SUM(B8:B36)</f>
        <v>5.200800000000001</v>
      </c>
      <c r="C37" s="256"/>
      <c r="D37" s="246"/>
      <c r="E37" s="246"/>
      <c r="F37" s="246"/>
      <c r="G37" s="163" t="s">
        <v>843</v>
      </c>
      <c r="H37" s="139">
        <f>SUM(H8:H36)</f>
        <v>14.089440000000002</v>
      </c>
      <c r="I37" s="256"/>
      <c r="J37" s="237"/>
      <c r="K37" s="237"/>
      <c r="L37" s="245"/>
      <c r="M37" s="246"/>
      <c r="N37" s="246"/>
      <c r="O37" s="246"/>
      <c r="P37" s="246"/>
      <c r="Q37" s="246"/>
    </row>
  </sheetData>
  <mergeCells count="16">
    <mergeCell ref="O7:O37"/>
    <mergeCell ref="L1:Q6"/>
    <mergeCell ref="M37:N37"/>
    <mergeCell ref="P36:Q37"/>
    <mergeCell ref="B2:I2"/>
    <mergeCell ref="B3:I3"/>
    <mergeCell ref="A1:K1"/>
    <mergeCell ref="I7:I37"/>
    <mergeCell ref="L7:L37"/>
    <mergeCell ref="J37:K37"/>
    <mergeCell ref="A6:K6"/>
    <mergeCell ref="B4:I4"/>
    <mergeCell ref="A5:J5"/>
    <mergeCell ref="C7:C37"/>
    <mergeCell ref="F7:F37"/>
    <mergeCell ref="D22:E37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zoomScaleNormal="100" workbookViewId="0">
      <selection activeCell="A6" sqref="A6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7" style="112" customWidth="1"/>
    <col min="4" max="4" width="7.77734375" style="112" customWidth="1"/>
    <col min="5" max="5" width="9.5546875" style="112" customWidth="1"/>
    <col min="6" max="6" width="26.664062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235" t="s">
        <v>1192</v>
      </c>
      <c r="B1" s="235"/>
      <c r="C1" s="235"/>
      <c r="D1" s="235"/>
      <c r="E1" s="235"/>
      <c r="F1" s="235"/>
      <c r="G1" s="235"/>
      <c r="H1" s="235"/>
    </row>
    <row r="2" spans="1:8" s="119" customFormat="1" x14ac:dyDescent="0.3">
      <c r="A2" s="118" t="s">
        <v>829</v>
      </c>
      <c r="B2" s="226" t="s">
        <v>7</v>
      </c>
      <c r="C2" s="261"/>
      <c r="D2" s="261"/>
      <c r="E2" s="227"/>
      <c r="F2" s="154" t="s">
        <v>814</v>
      </c>
      <c r="G2" s="37" t="s">
        <v>10</v>
      </c>
      <c r="H2" s="117" t="s">
        <v>830</v>
      </c>
    </row>
    <row r="3" spans="1:8" ht="49.2" customHeight="1" x14ac:dyDescent="0.3">
      <c r="A3" s="140">
        <v>1</v>
      </c>
      <c r="B3" s="206" t="s">
        <v>1201</v>
      </c>
      <c r="C3" s="260"/>
      <c r="D3" s="260"/>
      <c r="E3" s="207"/>
      <c r="F3" s="157" t="s">
        <v>1128</v>
      </c>
      <c r="G3" s="115" t="s">
        <v>15</v>
      </c>
      <c r="H3" s="158">
        <f>E12</f>
        <v>51.599999999999994</v>
      </c>
    </row>
    <row r="4" spans="1:8" ht="54" customHeight="1" x14ac:dyDescent="0.3">
      <c r="A4" s="140">
        <v>2</v>
      </c>
      <c r="B4" s="206" t="s">
        <v>1119</v>
      </c>
      <c r="C4" s="260"/>
      <c r="D4" s="260"/>
      <c r="E4" s="207"/>
      <c r="F4" s="155" t="s">
        <v>1130</v>
      </c>
      <c r="G4" s="115" t="s">
        <v>15</v>
      </c>
      <c r="H4" s="158">
        <f>H3</f>
        <v>51.599999999999994</v>
      </c>
    </row>
    <row r="5" spans="1:8" ht="52.2" customHeight="1" x14ac:dyDescent="0.3">
      <c r="A5" s="140">
        <v>3</v>
      </c>
      <c r="B5" s="206" t="s">
        <v>1119</v>
      </c>
      <c r="C5" s="260"/>
      <c r="D5" s="260"/>
      <c r="E5" s="207"/>
      <c r="F5" s="155" t="s">
        <v>1129</v>
      </c>
      <c r="G5" s="115" t="s">
        <v>15</v>
      </c>
      <c r="H5" s="158">
        <f>H4</f>
        <v>51.599999999999994</v>
      </c>
    </row>
    <row r="6" spans="1:8" ht="52.2" customHeight="1" x14ac:dyDescent="0.3">
      <c r="A6" s="140">
        <v>4</v>
      </c>
      <c r="B6" s="206" t="s">
        <v>1203</v>
      </c>
      <c r="C6" s="260"/>
      <c r="D6" s="260"/>
      <c r="E6" s="207"/>
      <c r="F6" s="189" t="s">
        <v>1128</v>
      </c>
      <c r="G6" s="115" t="s">
        <v>15</v>
      </c>
      <c r="H6" s="158">
        <f>H5</f>
        <v>51.599999999999994</v>
      </c>
    </row>
    <row r="7" spans="1:8" x14ac:dyDescent="0.3">
      <c r="A7" s="257"/>
      <c r="B7" s="257"/>
      <c r="C7" s="257"/>
      <c r="D7" s="257"/>
      <c r="E7" s="257"/>
      <c r="F7" s="257"/>
      <c r="G7" s="257"/>
      <c r="H7" s="257"/>
    </row>
    <row r="8" spans="1:8" ht="46.8" x14ac:dyDescent="0.3">
      <c r="A8" s="114" t="s">
        <v>1120</v>
      </c>
      <c r="B8" s="115" t="s">
        <v>1122</v>
      </c>
      <c r="C8" s="115" t="s">
        <v>1126</v>
      </c>
      <c r="D8" s="115" t="s">
        <v>1125</v>
      </c>
      <c r="E8" s="115" t="s">
        <v>1124</v>
      </c>
      <c r="F8" s="256"/>
      <c r="G8" s="208"/>
      <c r="H8" s="208"/>
    </row>
    <row r="9" spans="1:8" x14ac:dyDescent="0.3">
      <c r="A9" s="114">
        <v>1</v>
      </c>
      <c r="B9" s="139">
        <v>20</v>
      </c>
      <c r="C9" s="159" t="s">
        <v>1127</v>
      </c>
      <c r="D9" s="160">
        <v>0.2</v>
      </c>
      <c r="E9" s="160">
        <f>((0.7+(1.8*2))*0.2)*B9</f>
        <v>17.2</v>
      </c>
      <c r="F9" s="256"/>
      <c r="G9" s="208"/>
      <c r="H9" s="208"/>
    </row>
    <row r="10" spans="1:8" x14ac:dyDescent="0.3">
      <c r="A10" s="114">
        <v>2</v>
      </c>
      <c r="B10" s="139">
        <v>18</v>
      </c>
      <c r="C10" s="159" t="s">
        <v>1127</v>
      </c>
      <c r="D10" s="160">
        <v>0.2</v>
      </c>
      <c r="E10" s="160">
        <f t="shared" ref="E10:E11" si="0">((0.7+(1.8*2))*0.2)*B10</f>
        <v>15.48</v>
      </c>
      <c r="F10" s="256"/>
      <c r="G10" s="208"/>
      <c r="H10" s="208"/>
    </row>
    <row r="11" spans="1:8" x14ac:dyDescent="0.3">
      <c r="A11" s="114">
        <v>3</v>
      </c>
      <c r="B11" s="139">
        <v>22</v>
      </c>
      <c r="C11" s="159" t="s">
        <v>1127</v>
      </c>
      <c r="D11" s="160">
        <v>0.2</v>
      </c>
      <c r="E11" s="160">
        <f t="shared" si="0"/>
        <v>18.919999999999998</v>
      </c>
      <c r="F11" s="256"/>
      <c r="G11" s="208"/>
      <c r="H11" s="208"/>
    </row>
    <row r="12" spans="1:8" x14ac:dyDescent="0.3">
      <c r="A12" s="114"/>
      <c r="B12" s="139">
        <f>SUM(B9:B11)</f>
        <v>60</v>
      </c>
      <c r="C12" s="161"/>
      <c r="D12" s="161" t="s">
        <v>843</v>
      </c>
      <c r="E12" s="160">
        <f>SUM(E9:E11)</f>
        <v>51.599999999999994</v>
      </c>
      <c r="F12" s="256"/>
      <c r="G12" s="208"/>
      <c r="H12" s="208"/>
    </row>
  </sheetData>
  <mergeCells count="8">
    <mergeCell ref="B3:E3"/>
    <mergeCell ref="F8:H12"/>
    <mergeCell ref="A1:H1"/>
    <mergeCell ref="B2:E2"/>
    <mergeCell ref="B4:E4"/>
    <mergeCell ref="B5:E5"/>
    <mergeCell ref="A7:H7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="115" zoomScaleNormal="115" workbookViewId="0">
      <selection activeCell="B5" sqref="B5:E5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1" style="112" customWidth="1"/>
    <col min="4" max="4" width="7.77734375" style="112" customWidth="1"/>
    <col min="5" max="5" width="1.109375" style="112" customWidth="1"/>
    <col min="6" max="6" width="18.218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235" t="s">
        <v>1192</v>
      </c>
      <c r="B1" s="235"/>
      <c r="C1" s="235"/>
      <c r="D1" s="235"/>
      <c r="E1" s="235"/>
      <c r="F1" s="235"/>
      <c r="G1" s="235"/>
      <c r="H1" s="235"/>
    </row>
    <row r="2" spans="1:8" s="119" customFormat="1" x14ac:dyDescent="0.3">
      <c r="A2" s="118" t="s">
        <v>829</v>
      </c>
      <c r="B2" s="226" t="s">
        <v>7</v>
      </c>
      <c r="C2" s="261"/>
      <c r="D2" s="261"/>
      <c r="E2" s="227"/>
      <c r="F2" s="154" t="s">
        <v>814</v>
      </c>
      <c r="G2" s="37" t="s">
        <v>10</v>
      </c>
      <c r="H2" s="117" t="s">
        <v>830</v>
      </c>
    </row>
    <row r="3" spans="1:8" ht="48.6" customHeight="1" x14ac:dyDescent="0.3">
      <c r="A3" s="140">
        <v>1</v>
      </c>
      <c r="B3" s="206" t="s">
        <v>1119</v>
      </c>
      <c r="C3" s="260"/>
      <c r="D3" s="260"/>
      <c r="E3" s="207"/>
      <c r="F3" s="155" t="s">
        <v>1131</v>
      </c>
      <c r="G3" s="115" t="s">
        <v>15</v>
      </c>
      <c r="H3" s="158">
        <f>D11</f>
        <v>65.394000000000005</v>
      </c>
    </row>
    <row r="4" spans="1:8" ht="49.8" customHeight="1" x14ac:dyDescent="0.3">
      <c r="A4" s="140">
        <v>2</v>
      </c>
      <c r="B4" s="206" t="s">
        <v>1119</v>
      </c>
      <c r="C4" s="260"/>
      <c r="D4" s="260"/>
      <c r="E4" s="207"/>
      <c r="F4" s="155" t="s">
        <v>1132</v>
      </c>
      <c r="G4" s="115" t="s">
        <v>15</v>
      </c>
      <c r="H4" s="158">
        <f>H3</f>
        <v>65.394000000000005</v>
      </c>
    </row>
    <row r="5" spans="1:8" ht="49.8" customHeight="1" x14ac:dyDescent="0.3">
      <c r="A5" s="140">
        <v>3</v>
      </c>
      <c r="B5" s="206" t="s">
        <v>254</v>
      </c>
      <c r="C5" s="260"/>
      <c r="D5" s="260"/>
      <c r="E5" s="207"/>
      <c r="F5" s="189" t="s">
        <v>1202</v>
      </c>
      <c r="G5" s="115" t="s">
        <v>15</v>
      </c>
      <c r="H5" s="158">
        <f>H4</f>
        <v>65.394000000000005</v>
      </c>
    </row>
    <row r="6" spans="1:8" x14ac:dyDescent="0.3">
      <c r="A6" s="257"/>
      <c r="B6" s="257"/>
      <c r="C6" s="257"/>
      <c r="D6" s="257"/>
      <c r="E6" s="257"/>
      <c r="F6" s="257"/>
      <c r="G6" s="257"/>
      <c r="H6" s="257"/>
    </row>
    <row r="7" spans="1:8" ht="31.2" x14ac:dyDescent="0.3">
      <c r="A7" s="114" t="s">
        <v>1120</v>
      </c>
      <c r="B7" s="115" t="s">
        <v>1122</v>
      </c>
      <c r="C7" s="115" t="s">
        <v>1123</v>
      </c>
      <c r="D7" s="115" t="s">
        <v>1124</v>
      </c>
      <c r="E7" s="256"/>
      <c r="F7" s="208"/>
      <c r="G7" s="208"/>
      <c r="H7" s="208"/>
    </row>
    <row r="8" spans="1:8" x14ac:dyDescent="0.3">
      <c r="A8" s="114">
        <v>1</v>
      </c>
      <c r="B8" s="139">
        <v>20</v>
      </c>
      <c r="C8" s="159" t="s">
        <v>1121</v>
      </c>
      <c r="D8" s="160">
        <f>0.63*1.73*B8</f>
        <v>21.798000000000002</v>
      </c>
      <c r="E8" s="256"/>
      <c r="F8" s="208"/>
      <c r="G8" s="208"/>
      <c r="H8" s="208"/>
    </row>
    <row r="9" spans="1:8" x14ac:dyDescent="0.3">
      <c r="A9" s="114">
        <v>2</v>
      </c>
      <c r="B9" s="139">
        <v>18</v>
      </c>
      <c r="C9" s="159" t="s">
        <v>1121</v>
      </c>
      <c r="D9" s="160">
        <f t="shared" ref="D9:D10" si="0">0.63*1.73*B9</f>
        <v>19.618200000000002</v>
      </c>
      <c r="E9" s="256"/>
      <c r="F9" s="208"/>
      <c r="G9" s="208"/>
      <c r="H9" s="208"/>
    </row>
    <row r="10" spans="1:8" x14ac:dyDescent="0.3">
      <c r="A10" s="114">
        <v>3</v>
      </c>
      <c r="B10" s="139">
        <v>22</v>
      </c>
      <c r="C10" s="159" t="s">
        <v>1121</v>
      </c>
      <c r="D10" s="160">
        <f t="shared" si="0"/>
        <v>23.977800000000002</v>
      </c>
      <c r="E10" s="256"/>
      <c r="F10" s="208"/>
      <c r="G10" s="208"/>
      <c r="H10" s="208"/>
    </row>
    <row r="11" spans="1:8" x14ac:dyDescent="0.3">
      <c r="A11" s="114"/>
      <c r="B11" s="139">
        <f>SUM(B8:B10)</f>
        <v>60</v>
      </c>
      <c r="C11" s="161" t="s">
        <v>843</v>
      </c>
      <c r="D11" s="160">
        <f>SUM(D8:D10)</f>
        <v>65.394000000000005</v>
      </c>
      <c r="E11" s="256"/>
      <c r="F11" s="208"/>
      <c r="G11" s="208"/>
      <c r="H11" s="208"/>
    </row>
  </sheetData>
  <mergeCells count="7">
    <mergeCell ref="E7:H11"/>
    <mergeCell ref="A1:H1"/>
    <mergeCell ref="B2:E2"/>
    <mergeCell ref="B3:E3"/>
    <mergeCell ref="B4:E4"/>
    <mergeCell ref="A6:H6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zoomScale="115" zoomScaleNormal="115" workbookViewId="0">
      <selection activeCell="E9" sqref="A9:E19"/>
    </sheetView>
  </sheetViews>
  <sheetFormatPr defaultRowHeight="15.6" x14ac:dyDescent="0.3"/>
  <cols>
    <col min="1" max="1" width="7.44140625" style="153" customWidth="1"/>
    <col min="2" max="2" width="12.33203125" style="112" customWidth="1"/>
    <col min="3" max="3" width="15.33203125" style="112" customWidth="1"/>
    <col min="4" max="4" width="12.88671875" style="112" customWidth="1"/>
    <col min="5" max="5" width="13.21875" style="112" customWidth="1"/>
    <col min="6" max="6" width="8.88671875" style="112" customWidth="1"/>
    <col min="7" max="7" width="7.109375" style="112" customWidth="1"/>
    <col min="8" max="16384" width="8.88671875" style="112"/>
  </cols>
  <sheetData>
    <row r="1" spans="1:7" x14ac:dyDescent="0.3">
      <c r="A1" s="235" t="s">
        <v>1192</v>
      </c>
      <c r="B1" s="235"/>
      <c r="C1" s="235"/>
      <c r="D1" s="235"/>
      <c r="E1" s="235"/>
      <c r="F1" s="235"/>
      <c r="G1" s="235"/>
    </row>
    <row r="2" spans="1:7" s="119" customFormat="1" x14ac:dyDescent="0.3">
      <c r="A2" s="118" t="s">
        <v>829</v>
      </c>
      <c r="B2" s="224" t="s">
        <v>7</v>
      </c>
      <c r="C2" s="224"/>
      <c r="D2" s="224" t="s">
        <v>814</v>
      </c>
      <c r="E2" s="224"/>
      <c r="F2" s="37" t="s">
        <v>10</v>
      </c>
      <c r="G2" s="117" t="s">
        <v>830</v>
      </c>
    </row>
    <row r="3" spans="1:7" ht="45.6" customHeight="1" x14ac:dyDescent="0.3">
      <c r="A3" s="114">
        <v>1</v>
      </c>
      <c r="B3" s="205" t="s">
        <v>1187</v>
      </c>
      <c r="C3" s="205"/>
      <c r="D3" s="205" t="s">
        <v>1186</v>
      </c>
      <c r="E3" s="205"/>
      <c r="F3" s="115" t="s">
        <v>15</v>
      </c>
      <c r="G3" s="116">
        <f>E10</f>
        <v>12.66696</v>
      </c>
    </row>
    <row r="4" spans="1:7" ht="5.4" customHeight="1" x14ac:dyDescent="0.3">
      <c r="A4" s="257"/>
      <c r="B4" s="257"/>
      <c r="C4" s="257"/>
      <c r="D4" s="257"/>
      <c r="E4" s="257"/>
      <c r="F4" s="257"/>
      <c r="G4" s="257"/>
    </row>
    <row r="5" spans="1:7" x14ac:dyDescent="0.3">
      <c r="A5" s="236" t="s">
        <v>1180</v>
      </c>
      <c r="B5" s="236"/>
      <c r="C5" s="236"/>
      <c r="D5" s="236"/>
      <c r="E5" s="236"/>
      <c r="F5" s="208"/>
      <c r="G5" s="208"/>
    </row>
    <row r="6" spans="1:7" x14ac:dyDescent="0.3">
      <c r="A6" s="167" t="s">
        <v>1054</v>
      </c>
      <c r="B6" s="172" t="s">
        <v>1108</v>
      </c>
      <c r="C6" s="172" t="s">
        <v>1181</v>
      </c>
      <c r="D6" s="172" t="s">
        <v>1182</v>
      </c>
      <c r="E6" s="172" t="s">
        <v>1183</v>
      </c>
      <c r="F6" s="208"/>
      <c r="G6" s="208"/>
    </row>
    <row r="7" spans="1:7" x14ac:dyDescent="0.3">
      <c r="A7" s="114">
        <v>1</v>
      </c>
      <c r="B7" s="139">
        <v>20</v>
      </c>
      <c r="C7" s="139">
        <v>0.155</v>
      </c>
      <c r="D7" s="139">
        <v>1.1299999999999999</v>
      </c>
      <c r="E7" s="135">
        <f>C7*D7*B7</f>
        <v>3.5029999999999992</v>
      </c>
      <c r="F7" s="208"/>
      <c r="G7" s="208"/>
    </row>
    <row r="8" spans="1:7" x14ac:dyDescent="0.3">
      <c r="A8" s="114">
        <v>2</v>
      </c>
      <c r="B8" s="139">
        <v>13</v>
      </c>
      <c r="C8" s="139">
        <v>0.189</v>
      </c>
      <c r="D8" s="139">
        <v>1.4</v>
      </c>
      <c r="E8" s="135">
        <f t="shared" ref="E8:E9" si="0">C8*D8*B8</f>
        <v>3.4398</v>
      </c>
      <c r="F8" s="208"/>
      <c r="G8" s="208"/>
    </row>
    <row r="9" spans="1:7" x14ac:dyDescent="0.3">
      <c r="A9" s="114">
        <v>3</v>
      </c>
      <c r="B9" s="139">
        <v>26</v>
      </c>
      <c r="C9" s="139">
        <v>0.17199999999999999</v>
      </c>
      <c r="D9" s="139">
        <v>1.28</v>
      </c>
      <c r="E9" s="135">
        <f t="shared" si="0"/>
        <v>5.7241599999999995</v>
      </c>
      <c r="F9" s="208"/>
      <c r="G9" s="208"/>
    </row>
    <row r="10" spans="1:7" x14ac:dyDescent="0.3">
      <c r="A10" s="262" t="s">
        <v>1184</v>
      </c>
      <c r="B10" s="263"/>
      <c r="C10" s="263"/>
      <c r="D10" s="264"/>
      <c r="E10" s="135">
        <f>SUM(E7:E9)</f>
        <v>12.66696</v>
      </c>
      <c r="F10" s="208"/>
      <c r="G10" s="208"/>
    </row>
  </sheetData>
  <mergeCells count="9">
    <mergeCell ref="F5:G10"/>
    <mergeCell ref="A5:E5"/>
    <mergeCell ref="A10:D10"/>
    <mergeCell ref="A1:G1"/>
    <mergeCell ref="B2:C2"/>
    <mergeCell ref="B3:C3"/>
    <mergeCell ref="A4:G4"/>
    <mergeCell ref="D2:E2"/>
    <mergeCell ref="D3:E3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15" zoomScaleNormal="115" workbookViewId="0">
      <selection sqref="A1:XFD1048576"/>
    </sheetView>
  </sheetViews>
  <sheetFormatPr defaultRowHeight="15.6" x14ac:dyDescent="0.3"/>
  <cols>
    <col min="1" max="1" width="7.44140625" style="148" customWidth="1"/>
    <col min="2" max="2" width="27.5546875" style="112" customWidth="1"/>
    <col min="3" max="3" width="26.33203125" style="112" customWidth="1"/>
    <col min="4" max="4" width="8.6640625" style="112" bestFit="1" customWidth="1"/>
    <col min="5" max="5" width="7.109375" style="112" customWidth="1"/>
    <col min="6" max="16384" width="8.88671875" style="112"/>
  </cols>
  <sheetData>
    <row r="1" spans="1:5" x14ac:dyDescent="0.3">
      <c r="A1" s="235" t="s">
        <v>1192</v>
      </c>
      <c r="B1" s="235"/>
      <c r="C1" s="235"/>
      <c r="D1" s="235"/>
      <c r="E1" s="235"/>
    </row>
    <row r="2" spans="1:5" s="119" customFormat="1" x14ac:dyDescent="0.3">
      <c r="A2" s="118" t="s">
        <v>829</v>
      </c>
      <c r="B2" s="174" t="s">
        <v>7</v>
      </c>
      <c r="C2" s="146" t="s">
        <v>814</v>
      </c>
      <c r="D2" s="37" t="s">
        <v>10</v>
      </c>
      <c r="E2" s="117" t="s">
        <v>830</v>
      </c>
    </row>
    <row r="3" spans="1:5" ht="31.8" customHeight="1" x14ac:dyDescent="0.3">
      <c r="A3" s="114">
        <v>1</v>
      </c>
      <c r="B3" s="173" t="s">
        <v>1185</v>
      </c>
      <c r="C3" s="147" t="s">
        <v>1118</v>
      </c>
      <c r="D3" s="115" t="s">
        <v>15</v>
      </c>
      <c r="E3" s="116">
        <v>20.85</v>
      </c>
    </row>
    <row r="4" spans="1:5" ht="31.8" customHeight="1" x14ac:dyDescent="0.3">
      <c r="A4" s="140">
        <v>2</v>
      </c>
      <c r="B4" s="173" t="s">
        <v>1117</v>
      </c>
      <c r="C4" s="147" t="s">
        <v>1116</v>
      </c>
      <c r="D4" s="115" t="s">
        <v>15</v>
      </c>
      <c r="E4" s="142">
        <f>E3</f>
        <v>20.85</v>
      </c>
    </row>
    <row r="5" spans="1:5" ht="30.6" customHeight="1" x14ac:dyDescent="0.3">
      <c r="A5" s="140">
        <v>3</v>
      </c>
      <c r="B5" s="173" t="s">
        <v>1117</v>
      </c>
      <c r="C5" s="147" t="s">
        <v>1115</v>
      </c>
      <c r="D5" s="115" t="s">
        <v>15</v>
      </c>
      <c r="E5" s="142">
        <f>E4</f>
        <v>20.85</v>
      </c>
    </row>
    <row r="6" spans="1:5" x14ac:dyDescent="0.3">
      <c r="A6" s="257"/>
      <c r="B6" s="257"/>
      <c r="C6" s="257"/>
      <c r="D6" s="257"/>
      <c r="E6" s="257"/>
    </row>
  </sheetData>
  <mergeCells count="2">
    <mergeCell ref="A1:E1"/>
    <mergeCell ref="A6:E6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115" zoomScaleNormal="115" workbookViewId="0">
      <selection activeCell="A10" sqref="A10:XFD16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35" t="s">
        <v>1192</v>
      </c>
      <c r="B1" s="235"/>
      <c r="C1" s="235"/>
      <c r="D1" s="235"/>
      <c r="E1" s="235"/>
      <c r="F1" s="235"/>
      <c r="G1" s="235"/>
    </row>
    <row r="2" spans="1:7" s="119" customFormat="1" x14ac:dyDescent="0.3">
      <c r="A2" s="118" t="s">
        <v>829</v>
      </c>
      <c r="B2" s="226" t="s">
        <v>7</v>
      </c>
      <c r="C2" s="261"/>
      <c r="D2" s="261"/>
      <c r="E2" s="227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6" t="s">
        <v>1111</v>
      </c>
      <c r="C3" s="260"/>
      <c r="D3" s="260"/>
      <c r="E3" s="207"/>
      <c r="F3" s="115" t="s">
        <v>1075</v>
      </c>
      <c r="G3" s="144">
        <v>4.7729999999999997</v>
      </c>
    </row>
    <row r="4" spans="1:7" ht="48.6" customHeight="1" x14ac:dyDescent="0.3">
      <c r="A4" s="140">
        <v>2</v>
      </c>
      <c r="B4" s="206" t="s">
        <v>1111</v>
      </c>
      <c r="C4" s="260"/>
      <c r="D4" s="260"/>
      <c r="E4" s="207"/>
      <c r="F4" s="115" t="s">
        <v>1075</v>
      </c>
      <c r="G4" s="145">
        <v>1.9770000000000001</v>
      </c>
    </row>
    <row r="5" spans="1:7" x14ac:dyDescent="0.3">
      <c r="A5" s="257"/>
      <c r="B5" s="257"/>
      <c r="C5" s="257"/>
      <c r="D5" s="257"/>
      <c r="E5" s="257"/>
      <c r="F5" s="257"/>
      <c r="G5" s="257"/>
    </row>
    <row r="6" spans="1:7" x14ac:dyDescent="0.3">
      <c r="A6" s="139" t="s">
        <v>829</v>
      </c>
      <c r="B6" s="139" t="s">
        <v>1114</v>
      </c>
      <c r="C6" s="139" t="s">
        <v>1108</v>
      </c>
      <c r="D6" s="139" t="s">
        <v>1107</v>
      </c>
      <c r="E6" s="139" t="s">
        <v>1109</v>
      </c>
      <c r="F6" s="256"/>
      <c r="G6" s="208"/>
    </row>
    <row r="7" spans="1:7" x14ac:dyDescent="0.3">
      <c r="A7" s="114">
        <v>1</v>
      </c>
      <c r="B7" s="149" t="s">
        <v>1112</v>
      </c>
      <c r="C7" s="150">
        <v>42.64</v>
      </c>
      <c r="D7" s="151">
        <v>156</v>
      </c>
      <c r="E7" s="151">
        <f>C7*D7-29.76</f>
        <v>6622.08</v>
      </c>
      <c r="F7" s="256"/>
      <c r="G7" s="208"/>
    </row>
    <row r="8" spans="1:7" x14ac:dyDescent="0.3">
      <c r="A8" s="114">
        <v>2</v>
      </c>
      <c r="B8" s="149" t="s">
        <v>1113</v>
      </c>
      <c r="C8" s="152">
        <v>42.64</v>
      </c>
      <c r="D8" s="151">
        <v>3</v>
      </c>
      <c r="E8" s="151">
        <f t="shared" ref="E8" si="0">C8*D8</f>
        <v>127.92</v>
      </c>
      <c r="F8" s="256"/>
      <c r="G8" s="208"/>
    </row>
    <row r="9" spans="1:7" x14ac:dyDescent="0.3">
      <c r="D9" s="139" t="s">
        <v>843</v>
      </c>
      <c r="E9" s="139">
        <f>SUM(E7:E8)</f>
        <v>6750</v>
      </c>
      <c r="F9" s="256"/>
      <c r="G9" s="208"/>
    </row>
  </sheetData>
  <mergeCells count="6">
    <mergeCell ref="F6:G9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115" zoomScaleNormal="115" workbookViewId="0">
      <selection activeCell="J9" sqref="J9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35" t="s">
        <v>1192</v>
      </c>
      <c r="B1" s="235"/>
      <c r="C1" s="235"/>
      <c r="D1" s="235"/>
      <c r="E1" s="235"/>
      <c r="F1" s="235"/>
      <c r="G1" s="235"/>
    </row>
    <row r="2" spans="1:7" s="119" customFormat="1" x14ac:dyDescent="0.3">
      <c r="A2" s="118" t="s">
        <v>829</v>
      </c>
      <c r="B2" s="226" t="s">
        <v>7</v>
      </c>
      <c r="C2" s="261"/>
      <c r="D2" s="261"/>
      <c r="E2" s="227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6" t="s">
        <v>1110</v>
      </c>
      <c r="C3" s="260"/>
      <c r="D3" s="260"/>
      <c r="E3" s="207"/>
      <c r="F3" s="115" t="s">
        <v>19</v>
      </c>
      <c r="G3" s="116">
        <v>11.7</v>
      </c>
    </row>
    <row r="4" spans="1:7" ht="48.6" customHeight="1" x14ac:dyDescent="0.3">
      <c r="A4" s="140">
        <v>2</v>
      </c>
      <c r="B4" s="206" t="s">
        <v>1110</v>
      </c>
      <c r="C4" s="260"/>
      <c r="D4" s="260"/>
      <c r="E4" s="207"/>
      <c r="F4" s="115" t="s">
        <v>19</v>
      </c>
      <c r="G4" s="142">
        <v>9.5399999999999991</v>
      </c>
    </row>
    <row r="5" spans="1:7" ht="50.4" customHeight="1" x14ac:dyDescent="0.3">
      <c r="A5" s="114">
        <v>3</v>
      </c>
      <c r="B5" s="206" t="s">
        <v>1110</v>
      </c>
      <c r="C5" s="260"/>
      <c r="D5" s="260"/>
      <c r="E5" s="207"/>
      <c r="F5" s="115" t="s">
        <v>19</v>
      </c>
      <c r="G5" s="116">
        <v>11.8</v>
      </c>
    </row>
  </sheetData>
  <mergeCells count="5"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zoomScale="115" zoomScaleNormal="115" workbookViewId="0">
      <selection activeCell="A6" sqref="A6:E6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35" t="s">
        <v>1192</v>
      </c>
      <c r="B1" s="235"/>
      <c r="C1" s="235"/>
      <c r="D1" s="235"/>
      <c r="E1" s="235"/>
      <c r="F1" s="235"/>
      <c r="G1" s="235"/>
    </row>
    <row r="2" spans="1:7" s="119" customFormat="1" x14ac:dyDescent="0.3">
      <c r="A2" s="118" t="s">
        <v>829</v>
      </c>
      <c r="B2" s="226" t="s">
        <v>7</v>
      </c>
      <c r="C2" s="261"/>
      <c r="D2" s="261"/>
      <c r="E2" s="227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6" t="s">
        <v>1076</v>
      </c>
      <c r="C3" s="260"/>
      <c r="D3" s="260"/>
      <c r="E3" s="207"/>
      <c r="F3" s="115" t="s">
        <v>1075</v>
      </c>
      <c r="G3" s="144">
        <v>0.58899999999999997</v>
      </c>
    </row>
    <row r="4" spans="1:7" ht="48.6" customHeight="1" x14ac:dyDescent="0.3">
      <c r="A4" s="140">
        <v>2</v>
      </c>
      <c r="B4" s="206" t="s">
        <v>1076</v>
      </c>
      <c r="C4" s="260"/>
      <c r="D4" s="260"/>
      <c r="E4" s="207"/>
      <c r="F4" s="141" t="s">
        <v>1075</v>
      </c>
      <c r="G4" s="145">
        <v>0.373</v>
      </c>
    </row>
    <row r="5" spans="1:7" ht="50.4" customHeight="1" x14ac:dyDescent="0.3">
      <c r="A5" s="114">
        <v>3</v>
      </c>
      <c r="B5" s="206" t="s">
        <v>1076</v>
      </c>
      <c r="C5" s="260"/>
      <c r="D5" s="260"/>
      <c r="E5" s="207"/>
      <c r="F5" s="115" t="s">
        <v>1075</v>
      </c>
      <c r="G5" s="144">
        <v>0.48399999999999999</v>
      </c>
    </row>
    <row r="6" spans="1:7" x14ac:dyDescent="0.3">
      <c r="A6" s="139" t="s">
        <v>829</v>
      </c>
      <c r="B6" s="139" t="s">
        <v>1106</v>
      </c>
      <c r="C6" s="139" t="s">
        <v>1108</v>
      </c>
      <c r="D6" s="139" t="s">
        <v>1107</v>
      </c>
      <c r="E6" s="139" t="s">
        <v>1109</v>
      </c>
      <c r="F6" s="265"/>
      <c r="G6" s="237"/>
    </row>
    <row r="7" spans="1:7" x14ac:dyDescent="0.3">
      <c r="A7" s="139">
        <v>1</v>
      </c>
      <c r="B7" s="139" t="s">
        <v>1082</v>
      </c>
      <c r="C7" s="139">
        <v>1</v>
      </c>
      <c r="D7" s="139">
        <f>23.43+0.68</f>
        <v>24.11</v>
      </c>
      <c r="E7" s="139">
        <f t="shared" ref="E7:E8" si="0">C7*D7</f>
        <v>24.11</v>
      </c>
      <c r="F7" s="256"/>
      <c r="G7" s="208"/>
    </row>
    <row r="8" spans="1:7" x14ac:dyDescent="0.3">
      <c r="A8" s="139">
        <v>2</v>
      </c>
      <c r="B8" s="139" t="s">
        <v>1083</v>
      </c>
      <c r="C8" s="139">
        <v>1</v>
      </c>
      <c r="D8" s="139">
        <f>33.07+1.13+1.38</f>
        <v>35.580000000000005</v>
      </c>
      <c r="E8" s="139">
        <f t="shared" si="0"/>
        <v>35.580000000000005</v>
      </c>
      <c r="F8" s="256"/>
      <c r="G8" s="208"/>
    </row>
    <row r="9" spans="1:7" x14ac:dyDescent="0.3">
      <c r="A9" s="139">
        <v>3</v>
      </c>
      <c r="B9" s="139" t="s">
        <v>1084</v>
      </c>
      <c r="C9" s="139">
        <v>1</v>
      </c>
      <c r="D9" s="139">
        <f>63.7+1.13+2.45</f>
        <v>67.28</v>
      </c>
      <c r="E9" s="139">
        <f>C9*D9-10.8</f>
        <v>56.480000000000004</v>
      </c>
      <c r="F9" s="256"/>
      <c r="G9" s="208"/>
    </row>
    <row r="10" spans="1:7" x14ac:dyDescent="0.3">
      <c r="A10" s="139">
        <v>4</v>
      </c>
      <c r="B10" s="139" t="s">
        <v>1085</v>
      </c>
      <c r="C10" s="139">
        <v>3</v>
      </c>
      <c r="D10" s="139">
        <f>13.79+0.87+3.45</f>
        <v>18.11</v>
      </c>
      <c r="E10" s="139">
        <f>C10*D10</f>
        <v>54.33</v>
      </c>
      <c r="F10" s="256"/>
      <c r="G10" s="208"/>
    </row>
    <row r="11" spans="1:7" x14ac:dyDescent="0.3">
      <c r="A11" s="139">
        <v>5</v>
      </c>
      <c r="B11" s="139" t="s">
        <v>1086</v>
      </c>
      <c r="C11" s="139">
        <v>1</v>
      </c>
      <c r="D11" s="139">
        <f>17.19+1.16+3.45</f>
        <v>21.8</v>
      </c>
      <c r="E11" s="139">
        <f t="shared" ref="E11:E25" si="1">C11*D11</f>
        <v>21.8</v>
      </c>
      <c r="F11" s="256"/>
      <c r="G11" s="208"/>
    </row>
    <row r="12" spans="1:7" x14ac:dyDescent="0.3">
      <c r="A12" s="139">
        <v>6</v>
      </c>
      <c r="B12" s="139" t="s">
        <v>1087</v>
      </c>
      <c r="C12" s="139">
        <v>5</v>
      </c>
      <c r="D12" s="139">
        <f>44.1+1.16+3.45</f>
        <v>48.71</v>
      </c>
      <c r="E12" s="139">
        <f t="shared" si="1"/>
        <v>243.55</v>
      </c>
      <c r="F12" s="256"/>
      <c r="G12" s="208"/>
    </row>
    <row r="13" spans="1:7" x14ac:dyDescent="0.3">
      <c r="A13" s="139">
        <v>7</v>
      </c>
      <c r="B13" s="139" t="s">
        <v>1088</v>
      </c>
      <c r="C13" s="139">
        <v>2</v>
      </c>
      <c r="D13" s="139">
        <f>44.1+1.16+3.45</f>
        <v>48.71</v>
      </c>
      <c r="E13" s="139">
        <f t="shared" si="1"/>
        <v>97.42</v>
      </c>
      <c r="F13" s="256"/>
      <c r="G13" s="208"/>
    </row>
    <row r="14" spans="1:7" x14ac:dyDescent="0.3">
      <c r="A14" s="139">
        <v>8</v>
      </c>
      <c r="B14" s="139" t="s">
        <v>1089</v>
      </c>
      <c r="C14" s="139">
        <v>1</v>
      </c>
      <c r="D14" s="139">
        <f>50.84+1.44+3.45</f>
        <v>55.730000000000004</v>
      </c>
      <c r="E14" s="139">
        <f t="shared" si="1"/>
        <v>55.730000000000004</v>
      </c>
      <c r="F14" s="256"/>
      <c r="G14" s="208"/>
    </row>
    <row r="15" spans="1:7" x14ac:dyDescent="0.3">
      <c r="A15" s="139"/>
      <c r="B15" s="139"/>
      <c r="C15" s="139"/>
      <c r="D15" s="139" t="s">
        <v>843</v>
      </c>
      <c r="E15" s="139">
        <f>SUM(E7:E14)</f>
        <v>589</v>
      </c>
      <c r="F15" s="256"/>
      <c r="G15" s="208"/>
    </row>
    <row r="16" spans="1:7" x14ac:dyDescent="0.3">
      <c r="A16" s="139">
        <v>9</v>
      </c>
      <c r="B16" s="139" t="s">
        <v>1090</v>
      </c>
      <c r="C16" s="139">
        <v>1</v>
      </c>
      <c r="D16" s="139">
        <f>13.09+0.68+1.38</f>
        <v>15.149999999999999</v>
      </c>
      <c r="E16" s="139">
        <f t="shared" si="1"/>
        <v>15.149999999999999</v>
      </c>
      <c r="F16" s="256"/>
      <c r="G16" s="208"/>
    </row>
    <row r="17" spans="1:7" x14ac:dyDescent="0.3">
      <c r="A17" s="139">
        <v>10</v>
      </c>
      <c r="B17" s="139" t="s">
        <v>1091</v>
      </c>
      <c r="C17" s="139">
        <v>3</v>
      </c>
      <c r="D17" s="139">
        <f>9.65+0.65+2.76</f>
        <v>13.06</v>
      </c>
      <c r="E17" s="139">
        <f t="shared" si="1"/>
        <v>39.18</v>
      </c>
      <c r="F17" s="256"/>
      <c r="G17" s="208"/>
    </row>
    <row r="18" spans="1:7" x14ac:dyDescent="0.3">
      <c r="A18" s="139">
        <v>11</v>
      </c>
      <c r="B18" s="139" t="s">
        <v>1092</v>
      </c>
      <c r="C18" s="139">
        <v>1</v>
      </c>
      <c r="D18" s="139">
        <f>20.67+0.68</f>
        <v>21.35</v>
      </c>
      <c r="E18" s="139">
        <f t="shared" si="1"/>
        <v>21.35</v>
      </c>
      <c r="F18" s="256"/>
      <c r="G18" s="208"/>
    </row>
    <row r="19" spans="1:7" x14ac:dyDescent="0.3">
      <c r="A19" s="139">
        <v>12</v>
      </c>
      <c r="B19" s="139" t="s">
        <v>1093</v>
      </c>
      <c r="C19" s="139">
        <v>1</v>
      </c>
      <c r="D19" s="139">
        <f>22.74+0.68</f>
        <v>23.419999999999998</v>
      </c>
      <c r="E19" s="139">
        <f t="shared" si="1"/>
        <v>23.419999999999998</v>
      </c>
      <c r="F19" s="256"/>
      <c r="G19" s="208"/>
    </row>
    <row r="20" spans="1:7" x14ac:dyDescent="0.3">
      <c r="A20" s="139">
        <v>13</v>
      </c>
      <c r="B20" s="139" t="s">
        <v>1094</v>
      </c>
      <c r="C20" s="139">
        <v>1</v>
      </c>
      <c r="D20" s="139">
        <f>19.29+0.68+1.38</f>
        <v>21.349999999999998</v>
      </c>
      <c r="E20" s="139">
        <f t="shared" si="1"/>
        <v>21.349999999999998</v>
      </c>
      <c r="F20" s="256"/>
      <c r="G20" s="208"/>
    </row>
    <row r="21" spans="1:7" x14ac:dyDescent="0.3">
      <c r="A21" s="139">
        <v>14</v>
      </c>
      <c r="B21" s="139" t="s">
        <v>1095</v>
      </c>
      <c r="C21" s="139">
        <v>4</v>
      </c>
      <c r="D21" s="139">
        <f>28.25+0.9+1.38</f>
        <v>30.529999999999998</v>
      </c>
      <c r="E21" s="139">
        <f>C21*D21-13.44</f>
        <v>108.67999999999999</v>
      </c>
      <c r="F21" s="256"/>
      <c r="G21" s="208"/>
    </row>
    <row r="22" spans="1:7" x14ac:dyDescent="0.3">
      <c r="A22" s="139">
        <v>15</v>
      </c>
      <c r="B22" s="139" t="s">
        <v>1096</v>
      </c>
      <c r="C22" s="139">
        <v>1</v>
      </c>
      <c r="D22" s="139">
        <f>28.25+0.9+1.38</f>
        <v>30.529999999999998</v>
      </c>
      <c r="E22" s="139">
        <f t="shared" si="1"/>
        <v>30.529999999999998</v>
      </c>
      <c r="F22" s="256"/>
      <c r="G22" s="208"/>
    </row>
    <row r="23" spans="1:7" x14ac:dyDescent="0.3">
      <c r="A23" s="139">
        <v>16</v>
      </c>
      <c r="B23" s="139" t="s">
        <v>1097</v>
      </c>
      <c r="C23" s="139">
        <v>1</v>
      </c>
      <c r="D23" s="139">
        <f>23.43+0.9+2.76</f>
        <v>27.089999999999996</v>
      </c>
      <c r="E23" s="139">
        <f t="shared" si="1"/>
        <v>27.089999999999996</v>
      </c>
      <c r="F23" s="256"/>
      <c r="G23" s="208"/>
    </row>
    <row r="24" spans="1:7" x14ac:dyDescent="0.3">
      <c r="A24" s="139">
        <v>17</v>
      </c>
      <c r="B24" s="139" t="s">
        <v>1084</v>
      </c>
      <c r="C24" s="139">
        <v>1</v>
      </c>
      <c r="D24" s="139">
        <f>53.9+1.13+2.76</f>
        <v>57.79</v>
      </c>
      <c r="E24" s="139">
        <f t="shared" si="1"/>
        <v>57.79</v>
      </c>
      <c r="F24" s="256"/>
      <c r="G24" s="208"/>
    </row>
    <row r="25" spans="1:7" x14ac:dyDescent="0.3">
      <c r="A25" s="139">
        <v>18</v>
      </c>
      <c r="B25" s="139" t="s">
        <v>1098</v>
      </c>
      <c r="C25" s="139">
        <v>1</v>
      </c>
      <c r="D25" s="139">
        <f>24.8+0.9+2.76</f>
        <v>28.46</v>
      </c>
      <c r="E25" s="139">
        <f t="shared" si="1"/>
        <v>28.46</v>
      </c>
      <c r="F25" s="256"/>
      <c r="G25" s="208"/>
    </row>
    <row r="26" spans="1:7" x14ac:dyDescent="0.3">
      <c r="A26" s="139"/>
      <c r="B26" s="139"/>
      <c r="C26" s="139"/>
      <c r="D26" s="139" t="s">
        <v>843</v>
      </c>
      <c r="E26" s="139">
        <f>SUM(E16:E25)</f>
        <v>372.99999999999994</v>
      </c>
      <c r="F26" s="256"/>
      <c r="G26" s="208"/>
    </row>
    <row r="27" spans="1:7" x14ac:dyDescent="0.3">
      <c r="A27" s="139">
        <v>19</v>
      </c>
      <c r="B27" s="139" t="s">
        <v>1099</v>
      </c>
      <c r="C27" s="139">
        <v>2</v>
      </c>
      <c r="D27" s="139">
        <f>13.09+0.68+2.76</f>
        <v>16.53</v>
      </c>
      <c r="E27" s="139">
        <f t="shared" ref="E27:E36" si="2">C27*D27</f>
        <v>33.06</v>
      </c>
      <c r="F27" s="256"/>
      <c r="G27" s="208"/>
    </row>
    <row r="28" spans="1:7" x14ac:dyDescent="0.3">
      <c r="A28" s="139">
        <v>20</v>
      </c>
      <c r="B28" s="139" t="s">
        <v>1090</v>
      </c>
      <c r="C28" s="139">
        <v>3</v>
      </c>
      <c r="D28" s="139">
        <f>9.65+0.65+2.76</f>
        <v>13.06</v>
      </c>
      <c r="E28" s="139">
        <f>C28*D28-7.92</f>
        <v>31.259999999999998</v>
      </c>
      <c r="F28" s="256"/>
      <c r="G28" s="208"/>
    </row>
    <row r="29" spans="1:7" x14ac:dyDescent="0.3">
      <c r="A29" s="139">
        <v>21</v>
      </c>
      <c r="B29" s="139" t="s">
        <v>1100</v>
      </c>
      <c r="C29" s="139">
        <v>1</v>
      </c>
      <c r="D29" s="139">
        <f>19.29+0.68</f>
        <v>19.97</v>
      </c>
      <c r="E29" s="139">
        <f t="shared" si="2"/>
        <v>19.97</v>
      </c>
      <c r="F29" s="256"/>
      <c r="G29" s="208"/>
    </row>
    <row r="30" spans="1:7" x14ac:dyDescent="0.3">
      <c r="A30" s="139">
        <v>22</v>
      </c>
      <c r="B30" s="139" t="s">
        <v>1101</v>
      </c>
      <c r="C30" s="139">
        <v>1</v>
      </c>
      <c r="D30" s="139">
        <f>20.76+0.68</f>
        <v>21.44</v>
      </c>
      <c r="E30" s="139">
        <f t="shared" si="2"/>
        <v>21.44</v>
      </c>
      <c r="F30" s="256"/>
      <c r="G30" s="208"/>
    </row>
    <row r="31" spans="1:7" x14ac:dyDescent="0.3">
      <c r="A31" s="139">
        <v>23</v>
      </c>
      <c r="B31" s="139" t="s">
        <v>1093</v>
      </c>
      <c r="C31" s="139">
        <v>1</v>
      </c>
      <c r="D31" s="139">
        <f>19.29+0.68+1.38</f>
        <v>21.349999999999998</v>
      </c>
      <c r="E31" s="139">
        <f t="shared" si="2"/>
        <v>21.349999999999998</v>
      </c>
      <c r="F31" s="256"/>
      <c r="G31" s="208"/>
    </row>
    <row r="32" spans="1:7" x14ac:dyDescent="0.3">
      <c r="A32" s="139">
        <v>24</v>
      </c>
      <c r="B32" s="139" t="s">
        <v>1102</v>
      </c>
      <c r="C32" s="139">
        <v>6</v>
      </c>
      <c r="D32" s="139">
        <f>28.25+0.9+1.38</f>
        <v>30.529999999999998</v>
      </c>
      <c r="E32" s="139">
        <f t="shared" si="2"/>
        <v>183.17999999999998</v>
      </c>
      <c r="F32" s="256"/>
      <c r="G32" s="208"/>
    </row>
    <row r="33" spans="1:7" x14ac:dyDescent="0.3">
      <c r="A33" s="139">
        <v>25</v>
      </c>
      <c r="B33" s="139" t="s">
        <v>1103</v>
      </c>
      <c r="C33" s="139">
        <v>1</v>
      </c>
      <c r="D33" s="139">
        <f>28.28+0.9+1.38</f>
        <v>30.56</v>
      </c>
      <c r="E33" s="139">
        <f t="shared" si="2"/>
        <v>30.56</v>
      </c>
      <c r="F33" s="256"/>
      <c r="G33" s="208"/>
    </row>
    <row r="34" spans="1:7" x14ac:dyDescent="0.3">
      <c r="A34" s="139">
        <v>26</v>
      </c>
      <c r="B34" s="139" t="s">
        <v>1096</v>
      </c>
      <c r="C34" s="139">
        <v>1</v>
      </c>
      <c r="D34" s="139">
        <f>23.43+0.9+2.76</f>
        <v>27.089999999999996</v>
      </c>
      <c r="E34" s="139">
        <f t="shared" si="2"/>
        <v>27.089999999999996</v>
      </c>
      <c r="F34" s="256"/>
      <c r="G34" s="208"/>
    </row>
    <row r="35" spans="1:7" x14ac:dyDescent="0.3">
      <c r="A35" s="139">
        <v>27</v>
      </c>
      <c r="B35" s="139" t="s">
        <v>1104</v>
      </c>
      <c r="C35" s="139">
        <v>1</v>
      </c>
      <c r="D35" s="139">
        <f>24.8+0.9+2.76</f>
        <v>28.46</v>
      </c>
      <c r="E35" s="139">
        <f t="shared" si="2"/>
        <v>28.46</v>
      </c>
      <c r="F35" s="256"/>
      <c r="G35" s="208"/>
    </row>
    <row r="36" spans="1:7" x14ac:dyDescent="0.3">
      <c r="A36" s="139">
        <v>28</v>
      </c>
      <c r="B36" s="139" t="s">
        <v>1083</v>
      </c>
      <c r="C36" s="139">
        <v>1</v>
      </c>
      <c r="D36" s="139">
        <f>27.56+0.9+1.38</f>
        <v>29.839999999999996</v>
      </c>
      <c r="E36" s="139">
        <f t="shared" si="2"/>
        <v>29.839999999999996</v>
      </c>
      <c r="F36" s="256"/>
      <c r="G36" s="208"/>
    </row>
    <row r="37" spans="1:7" x14ac:dyDescent="0.3">
      <c r="A37" s="139">
        <v>29</v>
      </c>
      <c r="B37" s="139" t="s">
        <v>1105</v>
      </c>
      <c r="C37" s="139">
        <v>1</v>
      </c>
      <c r="D37" s="139">
        <f>53.9+1.13+2.76</f>
        <v>57.79</v>
      </c>
      <c r="E37" s="139">
        <f>C37*D37</f>
        <v>57.79</v>
      </c>
      <c r="F37" s="256"/>
      <c r="G37" s="208"/>
    </row>
    <row r="38" spans="1:7" x14ac:dyDescent="0.3">
      <c r="A38" s="139"/>
      <c r="B38" s="139"/>
      <c r="C38" s="139"/>
      <c r="D38" s="139" t="s">
        <v>843</v>
      </c>
      <c r="E38" s="139">
        <f>SUM(E27:E37)</f>
        <v>483.99999999999994</v>
      </c>
      <c r="F38" s="256"/>
      <c r="G38" s="208"/>
    </row>
  </sheetData>
  <mergeCells count="6">
    <mergeCell ref="F6:G38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348" zoomScale="40" zoomScaleNormal="4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269" t="s">
        <v>2</v>
      </c>
      <c r="B2" s="269"/>
      <c r="C2" s="269"/>
      <c r="D2" s="269"/>
      <c r="E2" s="269"/>
      <c r="F2" s="269"/>
      <c r="G2" s="269"/>
      <c r="H2" s="269"/>
      <c r="I2" s="269"/>
    </row>
    <row r="3" spans="1:11" ht="15" customHeight="1" x14ac:dyDescent="0.3">
      <c r="A3" s="270" t="s">
        <v>3</v>
      </c>
      <c r="B3" s="270"/>
      <c r="C3" s="270"/>
      <c r="D3" s="270"/>
      <c r="E3" s="270"/>
      <c r="F3" s="270"/>
      <c r="G3" s="270"/>
      <c r="H3" s="270"/>
      <c r="I3" s="270"/>
    </row>
    <row r="4" spans="1:11" ht="15" customHeight="1" x14ac:dyDescent="0.3">
      <c r="A4" s="271" t="s">
        <v>4</v>
      </c>
      <c r="B4" s="271"/>
      <c r="C4" s="271"/>
      <c r="D4" s="271"/>
      <c r="E4" s="271"/>
      <c r="F4" s="271"/>
      <c r="G4" s="271"/>
      <c r="H4" s="271"/>
      <c r="I4" s="271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1061</v>
      </c>
      <c r="K5" s="104" t="s">
        <v>1062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876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72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266" t="s">
        <v>778</v>
      </c>
      <c r="D501" s="267"/>
      <c r="E501" s="267"/>
      <c r="F501" s="267"/>
      <c r="G501" s="267"/>
      <c r="H501" s="267"/>
      <c r="I501" s="268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266" t="s">
        <v>787</v>
      </c>
      <c r="D503" s="267"/>
      <c r="E503" s="267"/>
      <c r="F503" s="267"/>
      <c r="G503" s="267"/>
      <c r="H503" s="267"/>
      <c r="I503" s="268"/>
    </row>
    <row r="504" spans="1:9" ht="16.95" customHeight="1" x14ac:dyDescent="0.3">
      <c r="A504" s="4" t="s">
        <v>788</v>
      </c>
      <c r="B504" s="4" t="s">
        <v>789</v>
      </c>
      <c r="C504" s="266" t="s">
        <v>790</v>
      </c>
      <c r="D504" s="267"/>
      <c r="E504" s="267"/>
      <c r="F504" s="267"/>
      <c r="G504" s="267"/>
      <c r="H504" s="267"/>
      <c r="I504" s="268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266" t="s">
        <v>798</v>
      </c>
      <c r="D506" s="267"/>
      <c r="E506" s="267"/>
      <c r="F506" s="267"/>
      <c r="G506" s="267"/>
      <c r="H506" s="267"/>
      <c r="I506" s="268"/>
    </row>
    <row r="507" spans="1:9" ht="16.95" customHeight="1" x14ac:dyDescent="0.3">
      <c r="A507" s="4" t="s">
        <v>799</v>
      </c>
      <c r="B507" s="4" t="s">
        <v>800</v>
      </c>
      <c r="C507" s="266" t="s">
        <v>801</v>
      </c>
      <c r="D507" s="267"/>
      <c r="E507" s="267"/>
      <c r="F507" s="267"/>
      <c r="G507" s="267"/>
      <c r="H507" s="267"/>
      <c r="I507" s="268"/>
    </row>
    <row r="508" spans="1:9" ht="16.95" customHeight="1" x14ac:dyDescent="0.3">
      <c r="A508" s="4" t="s">
        <v>802</v>
      </c>
      <c r="B508" s="4" t="s">
        <v>803</v>
      </c>
      <c r="C508" s="266" t="s">
        <v>778</v>
      </c>
      <c r="D508" s="267"/>
      <c r="E508" s="267"/>
      <c r="F508" s="267"/>
      <c r="G508" s="267"/>
      <c r="H508" s="267"/>
      <c r="I508" s="268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904</v>
      </c>
      <c r="B1" s="68" t="s">
        <v>905</v>
      </c>
      <c r="C1" s="68" t="s">
        <v>906</v>
      </c>
      <c r="D1" s="69" t="s">
        <v>907</v>
      </c>
      <c r="E1" s="64" t="s">
        <v>908</v>
      </c>
      <c r="F1" s="69" t="s">
        <v>909</v>
      </c>
      <c r="G1" s="70" t="s">
        <v>910</v>
      </c>
      <c r="N1" s="44" t="s">
        <v>1056</v>
      </c>
    </row>
    <row r="2" spans="1:16" ht="23.4" customHeight="1" x14ac:dyDescent="0.3">
      <c r="A2" s="71" t="s">
        <v>941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884</v>
      </c>
      <c r="B3" s="64" t="s">
        <v>911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885</v>
      </c>
      <c r="B4" s="64" t="s">
        <v>912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886</v>
      </c>
      <c r="B5" s="64" t="s">
        <v>913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887</v>
      </c>
      <c r="B6" s="64" t="s">
        <v>914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888</v>
      </c>
      <c r="B7" s="64" t="s">
        <v>915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889</v>
      </c>
      <c r="B8" s="64" t="s">
        <v>916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1050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1039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917</v>
      </c>
      <c r="B11" s="64" t="s">
        <v>918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919</v>
      </c>
      <c r="B12" s="64" t="s">
        <v>920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890</v>
      </c>
      <c r="B13" s="64" t="s">
        <v>921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922</v>
      </c>
      <c r="B14" s="64" t="s">
        <v>923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924</v>
      </c>
      <c r="B15" s="64" t="s">
        <v>925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891</v>
      </c>
      <c r="B16" s="64" t="s">
        <v>926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892</v>
      </c>
      <c r="B17" s="64" t="s">
        <v>927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893</v>
      </c>
      <c r="B18" s="64" t="s">
        <v>928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894</v>
      </c>
      <c r="B19" s="64" t="s">
        <v>929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895</v>
      </c>
      <c r="B20" s="64" t="s">
        <v>930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896</v>
      </c>
      <c r="B21" s="64" t="s">
        <v>931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897</v>
      </c>
      <c r="B22" s="64" t="s">
        <v>932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883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1043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898</v>
      </c>
      <c r="B25" s="64" t="s">
        <v>933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899</v>
      </c>
      <c r="B26" s="64" t="s">
        <v>934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900</v>
      </c>
      <c r="B27" s="64" t="s">
        <v>935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901</v>
      </c>
      <c r="B28" s="64" t="s">
        <v>936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902</v>
      </c>
      <c r="B29" s="64" t="s">
        <v>937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903</v>
      </c>
      <c r="B30" s="64" t="s">
        <v>938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939</v>
      </c>
      <c r="B31" s="64" t="s">
        <v>940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1054</v>
      </c>
      <c r="B1" s="44" t="s">
        <v>1053</v>
      </c>
      <c r="C1" s="74" t="s">
        <v>1055</v>
      </c>
      <c r="D1" s="44" t="s">
        <v>830</v>
      </c>
    </row>
    <row r="2" spans="1:4" hidden="1" x14ac:dyDescent="0.3">
      <c r="A2">
        <v>2</v>
      </c>
      <c r="B2" s="44" t="s">
        <v>834</v>
      </c>
      <c r="C2" s="74" t="s">
        <v>941</v>
      </c>
      <c r="D2">
        <v>136.6</v>
      </c>
    </row>
    <row r="3" spans="1:4" hidden="1" x14ac:dyDescent="0.3">
      <c r="A3">
        <v>2</v>
      </c>
      <c r="B3" s="44" t="s">
        <v>834</v>
      </c>
      <c r="C3" s="74" t="s">
        <v>1039</v>
      </c>
      <c r="D3">
        <v>64.400000000000006</v>
      </c>
    </row>
    <row r="4" spans="1:4" hidden="1" x14ac:dyDescent="0.3">
      <c r="A4">
        <v>2</v>
      </c>
      <c r="B4" s="44" t="s">
        <v>834</v>
      </c>
      <c r="C4" s="74" t="s">
        <v>881</v>
      </c>
      <c r="D4">
        <v>1.3</v>
      </c>
    </row>
    <row r="5" spans="1:4" hidden="1" x14ac:dyDescent="0.3">
      <c r="A5">
        <v>2</v>
      </c>
      <c r="B5" s="44" t="s">
        <v>836</v>
      </c>
      <c r="C5" s="74" t="s">
        <v>881</v>
      </c>
      <c r="D5">
        <v>1</v>
      </c>
    </row>
    <row r="6" spans="1:4" hidden="1" x14ac:dyDescent="0.3">
      <c r="A6">
        <v>2</v>
      </c>
      <c r="B6" s="44" t="s">
        <v>838</v>
      </c>
      <c r="C6" s="74" t="s">
        <v>941</v>
      </c>
      <c r="D6">
        <v>299.8</v>
      </c>
    </row>
    <row r="7" spans="1:4" hidden="1" x14ac:dyDescent="0.3">
      <c r="A7">
        <v>2</v>
      </c>
      <c r="B7" s="44" t="s">
        <v>838</v>
      </c>
      <c r="C7" s="74" t="s">
        <v>1040</v>
      </c>
      <c r="D7">
        <v>8.4</v>
      </c>
    </row>
    <row r="8" spans="1:4" hidden="1" x14ac:dyDescent="0.3">
      <c r="A8">
        <v>2</v>
      </c>
      <c r="B8" s="44" t="s">
        <v>840</v>
      </c>
      <c r="C8" s="74" t="s">
        <v>941</v>
      </c>
      <c r="D8">
        <v>115.2</v>
      </c>
    </row>
    <row r="9" spans="1:4" hidden="1" x14ac:dyDescent="0.3">
      <c r="A9">
        <v>2</v>
      </c>
      <c r="B9" s="44" t="s">
        <v>842</v>
      </c>
      <c r="C9" s="74" t="s">
        <v>941</v>
      </c>
      <c r="D9">
        <v>56.4</v>
      </c>
    </row>
    <row r="10" spans="1:4" hidden="1" x14ac:dyDescent="0.3">
      <c r="A10">
        <v>2</v>
      </c>
      <c r="B10" s="44" t="s">
        <v>942</v>
      </c>
      <c r="C10" s="74" t="s">
        <v>1041</v>
      </c>
      <c r="D10">
        <v>0</v>
      </c>
    </row>
    <row r="11" spans="1:4" hidden="1" x14ac:dyDescent="0.3">
      <c r="A11">
        <v>2</v>
      </c>
      <c r="B11" s="44" t="s">
        <v>835</v>
      </c>
      <c r="C11" s="74" t="s">
        <v>1042</v>
      </c>
      <c r="D11">
        <v>73.5</v>
      </c>
    </row>
    <row r="12" spans="1:4" hidden="1" x14ac:dyDescent="0.3">
      <c r="A12">
        <v>2</v>
      </c>
      <c r="B12" s="44" t="s">
        <v>943</v>
      </c>
      <c r="C12" s="74" t="s">
        <v>1042</v>
      </c>
      <c r="D12">
        <v>104</v>
      </c>
    </row>
    <row r="13" spans="1:4" hidden="1" x14ac:dyDescent="0.3">
      <c r="A13">
        <v>2</v>
      </c>
      <c r="B13" s="44" t="s">
        <v>944</v>
      </c>
      <c r="C13" s="74" t="s">
        <v>1042</v>
      </c>
      <c r="D13">
        <v>49.3</v>
      </c>
    </row>
    <row r="14" spans="1:4" hidden="1" x14ac:dyDescent="0.3">
      <c r="A14">
        <v>2</v>
      </c>
      <c r="B14" s="44" t="s">
        <v>945</v>
      </c>
      <c r="C14" s="74" t="s">
        <v>878</v>
      </c>
      <c r="D14">
        <v>11.7</v>
      </c>
    </row>
    <row r="15" spans="1:4" hidden="1" x14ac:dyDescent="0.3">
      <c r="A15">
        <v>2</v>
      </c>
      <c r="B15" s="44" t="s">
        <v>945</v>
      </c>
      <c r="C15" s="74" t="s">
        <v>1043</v>
      </c>
      <c r="D15">
        <v>8.1999999999999993</v>
      </c>
    </row>
    <row r="16" spans="1:4" hidden="1" x14ac:dyDescent="0.3">
      <c r="A16">
        <v>2</v>
      </c>
      <c r="B16" s="44" t="s">
        <v>945</v>
      </c>
      <c r="C16" s="74" t="s">
        <v>879</v>
      </c>
      <c r="D16">
        <v>66.400000000000006</v>
      </c>
    </row>
    <row r="17" spans="1:4" hidden="1" x14ac:dyDescent="0.3">
      <c r="A17">
        <v>2</v>
      </c>
      <c r="B17" s="44" t="s">
        <v>945</v>
      </c>
      <c r="C17" s="74" t="s">
        <v>880</v>
      </c>
      <c r="D17">
        <v>2.6</v>
      </c>
    </row>
    <row r="18" spans="1:4" hidden="1" x14ac:dyDescent="0.3">
      <c r="A18">
        <v>2</v>
      </c>
      <c r="B18" s="44" t="s">
        <v>946</v>
      </c>
      <c r="C18" s="74" t="s">
        <v>877</v>
      </c>
      <c r="D18">
        <v>33.299999999999997</v>
      </c>
    </row>
    <row r="19" spans="1:4" hidden="1" x14ac:dyDescent="0.3">
      <c r="A19">
        <v>2</v>
      </c>
      <c r="B19" s="44" t="s">
        <v>844</v>
      </c>
      <c r="C19" s="74" t="s">
        <v>941</v>
      </c>
      <c r="D19">
        <v>74.900000000000006</v>
      </c>
    </row>
    <row r="20" spans="1:4" hidden="1" x14ac:dyDescent="0.3">
      <c r="A20">
        <v>2</v>
      </c>
      <c r="B20" s="44" t="s">
        <v>844</v>
      </c>
      <c r="C20" s="74" t="s">
        <v>1039</v>
      </c>
      <c r="D20">
        <v>25.8</v>
      </c>
    </row>
    <row r="21" spans="1:4" hidden="1" x14ac:dyDescent="0.3">
      <c r="A21">
        <v>2</v>
      </c>
      <c r="B21" s="44" t="s">
        <v>844</v>
      </c>
      <c r="C21" s="74" t="s">
        <v>881</v>
      </c>
      <c r="D21">
        <v>5.4</v>
      </c>
    </row>
    <row r="22" spans="1:4" hidden="1" x14ac:dyDescent="0.3">
      <c r="A22">
        <v>2</v>
      </c>
      <c r="B22" s="44" t="s">
        <v>845</v>
      </c>
      <c r="C22" s="74" t="s">
        <v>941</v>
      </c>
      <c r="D22">
        <v>74.3</v>
      </c>
    </row>
    <row r="23" spans="1:4" hidden="1" x14ac:dyDescent="0.3">
      <c r="A23">
        <v>2</v>
      </c>
      <c r="B23" s="44" t="s">
        <v>845</v>
      </c>
      <c r="C23" s="74" t="s">
        <v>1039</v>
      </c>
      <c r="D23">
        <v>26.7</v>
      </c>
    </row>
    <row r="24" spans="1:4" hidden="1" x14ac:dyDescent="0.3">
      <c r="A24">
        <v>2</v>
      </c>
      <c r="B24" s="44" t="s">
        <v>845</v>
      </c>
      <c r="C24" s="74" t="s">
        <v>881</v>
      </c>
      <c r="D24">
        <v>2.2999999999999998</v>
      </c>
    </row>
    <row r="25" spans="1:4" hidden="1" x14ac:dyDescent="0.3">
      <c r="A25">
        <v>2</v>
      </c>
      <c r="B25" s="44" t="s">
        <v>846</v>
      </c>
      <c r="C25" s="74" t="s">
        <v>941</v>
      </c>
      <c r="D25">
        <v>76</v>
      </c>
    </row>
    <row r="26" spans="1:4" hidden="1" x14ac:dyDescent="0.3">
      <c r="A26">
        <v>2</v>
      </c>
      <c r="B26" s="44" t="s">
        <v>846</v>
      </c>
      <c r="C26" s="74" t="s">
        <v>1039</v>
      </c>
      <c r="D26">
        <v>27.1</v>
      </c>
    </row>
    <row r="27" spans="1:4" hidden="1" x14ac:dyDescent="0.3">
      <c r="A27">
        <v>2</v>
      </c>
      <c r="B27" s="44" t="s">
        <v>846</v>
      </c>
      <c r="C27" s="74" t="s">
        <v>881</v>
      </c>
      <c r="D27">
        <v>1.8</v>
      </c>
    </row>
    <row r="28" spans="1:4" hidden="1" x14ac:dyDescent="0.3">
      <c r="A28">
        <v>2</v>
      </c>
      <c r="B28" s="44" t="s">
        <v>847</v>
      </c>
      <c r="C28" s="74" t="s">
        <v>941</v>
      </c>
      <c r="D28">
        <v>81.2</v>
      </c>
    </row>
    <row r="29" spans="1:4" hidden="1" x14ac:dyDescent="0.3">
      <c r="A29">
        <v>2</v>
      </c>
      <c r="B29" s="44" t="s">
        <v>847</v>
      </c>
      <c r="C29" s="74" t="s">
        <v>1039</v>
      </c>
      <c r="D29">
        <v>21.4</v>
      </c>
    </row>
    <row r="30" spans="1:4" hidden="1" x14ac:dyDescent="0.3">
      <c r="A30">
        <v>2</v>
      </c>
      <c r="B30" s="44" t="s">
        <v>847</v>
      </c>
      <c r="C30" s="74" t="s">
        <v>881</v>
      </c>
      <c r="D30">
        <v>3.9</v>
      </c>
    </row>
    <row r="31" spans="1:4" hidden="1" x14ac:dyDescent="0.3">
      <c r="A31">
        <v>2</v>
      </c>
      <c r="B31" s="44" t="s">
        <v>848</v>
      </c>
      <c r="C31" s="74" t="s">
        <v>941</v>
      </c>
      <c r="D31">
        <v>75.5</v>
      </c>
    </row>
    <row r="32" spans="1:4" hidden="1" x14ac:dyDescent="0.3">
      <c r="A32">
        <v>2</v>
      </c>
      <c r="B32" s="44" t="s">
        <v>848</v>
      </c>
      <c r="C32" s="74" t="s">
        <v>1039</v>
      </c>
      <c r="D32">
        <v>28.3</v>
      </c>
    </row>
    <row r="33" spans="1:4" hidden="1" x14ac:dyDescent="0.3">
      <c r="A33">
        <v>2</v>
      </c>
      <c r="B33" s="44" t="s">
        <v>849</v>
      </c>
      <c r="C33" s="74" t="s">
        <v>941</v>
      </c>
      <c r="D33">
        <v>344.2</v>
      </c>
    </row>
    <row r="34" spans="1:4" hidden="1" x14ac:dyDescent="0.3">
      <c r="A34">
        <v>2</v>
      </c>
      <c r="B34" s="44" t="s">
        <v>849</v>
      </c>
      <c r="C34" s="74" t="s">
        <v>1044</v>
      </c>
      <c r="D34">
        <v>11.6</v>
      </c>
    </row>
    <row r="35" spans="1:4" hidden="1" x14ac:dyDescent="0.3">
      <c r="A35">
        <v>2</v>
      </c>
      <c r="B35" s="44" t="s">
        <v>849</v>
      </c>
      <c r="C35" s="74" t="s">
        <v>878</v>
      </c>
      <c r="D35">
        <v>4.0999999999999996</v>
      </c>
    </row>
    <row r="36" spans="1:4" hidden="1" x14ac:dyDescent="0.3">
      <c r="A36">
        <v>2</v>
      </c>
      <c r="B36" s="44" t="s">
        <v>849</v>
      </c>
      <c r="C36" s="74" t="s">
        <v>1045</v>
      </c>
      <c r="D36">
        <v>1.3</v>
      </c>
    </row>
    <row r="37" spans="1:4" hidden="1" x14ac:dyDescent="0.3">
      <c r="A37">
        <v>2</v>
      </c>
      <c r="B37" s="44" t="s">
        <v>947</v>
      </c>
      <c r="C37" s="74" t="s">
        <v>878</v>
      </c>
      <c r="D37">
        <v>11.9</v>
      </c>
    </row>
    <row r="38" spans="1:4" hidden="1" x14ac:dyDescent="0.3">
      <c r="A38">
        <v>2</v>
      </c>
      <c r="B38" s="44" t="s">
        <v>947</v>
      </c>
      <c r="C38" s="74" t="s">
        <v>883</v>
      </c>
      <c r="D38">
        <v>5.7</v>
      </c>
    </row>
    <row r="39" spans="1:4" hidden="1" x14ac:dyDescent="0.3">
      <c r="A39">
        <v>2</v>
      </c>
      <c r="B39" s="44" t="s">
        <v>947</v>
      </c>
      <c r="C39" s="74" t="s">
        <v>879</v>
      </c>
      <c r="D39">
        <v>65.099999999999994</v>
      </c>
    </row>
    <row r="40" spans="1:4" hidden="1" x14ac:dyDescent="0.3">
      <c r="A40">
        <v>2</v>
      </c>
      <c r="B40" s="44" t="s">
        <v>947</v>
      </c>
      <c r="C40" s="74" t="s">
        <v>880</v>
      </c>
      <c r="D40">
        <v>1.8</v>
      </c>
    </row>
    <row r="41" spans="1:4" hidden="1" x14ac:dyDescent="0.3">
      <c r="A41">
        <v>2</v>
      </c>
      <c r="B41" s="44" t="s">
        <v>948</v>
      </c>
      <c r="C41" s="74" t="s">
        <v>1044</v>
      </c>
      <c r="D41">
        <v>9</v>
      </c>
    </row>
    <row r="42" spans="1:4" hidden="1" x14ac:dyDescent="0.3">
      <c r="A42">
        <v>2</v>
      </c>
      <c r="B42" s="44" t="s">
        <v>948</v>
      </c>
      <c r="C42" s="74" t="s">
        <v>1046</v>
      </c>
      <c r="D42">
        <v>11.7</v>
      </c>
    </row>
    <row r="43" spans="1:4" hidden="1" x14ac:dyDescent="0.3">
      <c r="A43">
        <v>2</v>
      </c>
      <c r="B43" s="44" t="s">
        <v>948</v>
      </c>
      <c r="C43" s="74" t="s">
        <v>1047</v>
      </c>
      <c r="D43">
        <v>15.5</v>
      </c>
    </row>
    <row r="44" spans="1:4" hidden="1" x14ac:dyDescent="0.3">
      <c r="A44">
        <v>2</v>
      </c>
      <c r="B44" s="44" t="s">
        <v>948</v>
      </c>
      <c r="C44" s="74" t="s">
        <v>1042</v>
      </c>
      <c r="D44">
        <v>231.6</v>
      </c>
    </row>
    <row r="45" spans="1:4" hidden="1" x14ac:dyDescent="0.3">
      <c r="A45">
        <v>2</v>
      </c>
      <c r="B45" s="44" t="s">
        <v>948</v>
      </c>
      <c r="C45" s="74" t="s">
        <v>878</v>
      </c>
      <c r="D45">
        <v>2</v>
      </c>
    </row>
    <row r="46" spans="1:4" hidden="1" x14ac:dyDescent="0.3">
      <c r="A46">
        <v>2</v>
      </c>
      <c r="B46" s="44" t="s">
        <v>949</v>
      </c>
      <c r="C46" s="74" t="s">
        <v>878</v>
      </c>
      <c r="D46">
        <v>11.7</v>
      </c>
    </row>
    <row r="47" spans="1:4" hidden="1" x14ac:dyDescent="0.3">
      <c r="A47">
        <v>2</v>
      </c>
      <c r="B47" s="44" t="s">
        <v>949</v>
      </c>
      <c r="C47" s="74" t="s">
        <v>881</v>
      </c>
      <c r="D47">
        <v>31.6</v>
      </c>
    </row>
    <row r="48" spans="1:4" hidden="1" x14ac:dyDescent="0.3">
      <c r="A48">
        <v>2</v>
      </c>
      <c r="B48" s="44" t="s">
        <v>949</v>
      </c>
      <c r="C48" s="74" t="s">
        <v>882</v>
      </c>
      <c r="D48">
        <v>5.9</v>
      </c>
    </row>
    <row r="49" spans="1:4" hidden="1" x14ac:dyDescent="0.3">
      <c r="A49">
        <v>2</v>
      </c>
      <c r="B49" s="44" t="s">
        <v>950</v>
      </c>
      <c r="C49" s="74" t="s">
        <v>881</v>
      </c>
      <c r="D49">
        <v>36.9</v>
      </c>
    </row>
    <row r="50" spans="1:4" hidden="1" x14ac:dyDescent="0.3">
      <c r="A50">
        <v>2</v>
      </c>
      <c r="B50" s="44" t="s">
        <v>850</v>
      </c>
      <c r="C50" s="74" t="s">
        <v>941</v>
      </c>
      <c r="D50">
        <v>653.1</v>
      </c>
    </row>
    <row r="51" spans="1:4" hidden="1" x14ac:dyDescent="0.3">
      <c r="A51">
        <v>2</v>
      </c>
      <c r="B51" s="44" t="s">
        <v>850</v>
      </c>
      <c r="C51" s="74" t="s">
        <v>1048</v>
      </c>
      <c r="D51">
        <v>10.4</v>
      </c>
    </row>
    <row r="52" spans="1:4" hidden="1" x14ac:dyDescent="0.3">
      <c r="A52">
        <v>2</v>
      </c>
      <c r="B52" s="44" t="s">
        <v>850</v>
      </c>
      <c r="C52" s="74" t="s">
        <v>1042</v>
      </c>
      <c r="D52">
        <v>5.5</v>
      </c>
    </row>
    <row r="53" spans="1:4" hidden="1" x14ac:dyDescent="0.3">
      <c r="A53">
        <v>2</v>
      </c>
      <c r="B53" s="44" t="s">
        <v>951</v>
      </c>
      <c r="C53" s="74" t="s">
        <v>1042</v>
      </c>
      <c r="D53">
        <v>81.900000000000006</v>
      </c>
    </row>
    <row r="54" spans="1:4" hidden="1" x14ac:dyDescent="0.3">
      <c r="A54">
        <v>2</v>
      </c>
      <c r="B54" s="44" t="s">
        <v>952</v>
      </c>
      <c r="C54" s="74" t="s">
        <v>1042</v>
      </c>
      <c r="D54">
        <v>86.5</v>
      </c>
    </row>
    <row r="55" spans="1:4" hidden="1" x14ac:dyDescent="0.3">
      <c r="A55">
        <v>2</v>
      </c>
      <c r="B55" s="44" t="s">
        <v>851</v>
      </c>
      <c r="C55" s="74" t="s">
        <v>941</v>
      </c>
      <c r="D55">
        <v>25.3</v>
      </c>
    </row>
    <row r="56" spans="1:4" hidden="1" x14ac:dyDescent="0.3">
      <c r="A56">
        <v>2</v>
      </c>
      <c r="B56" s="44" t="s">
        <v>953</v>
      </c>
      <c r="C56" s="74" t="s">
        <v>878</v>
      </c>
      <c r="D56">
        <v>9</v>
      </c>
    </row>
    <row r="57" spans="1:4" hidden="1" x14ac:dyDescent="0.3">
      <c r="A57">
        <v>2</v>
      </c>
      <c r="B57" s="44" t="s">
        <v>953</v>
      </c>
      <c r="C57" s="74" t="s">
        <v>882</v>
      </c>
      <c r="D57">
        <v>13.7</v>
      </c>
    </row>
    <row r="58" spans="1:4" hidden="1" x14ac:dyDescent="0.3">
      <c r="A58">
        <v>2</v>
      </c>
      <c r="B58" s="44" t="s">
        <v>953</v>
      </c>
      <c r="C58" s="74" t="s">
        <v>879</v>
      </c>
      <c r="D58">
        <v>31.9</v>
      </c>
    </row>
    <row r="59" spans="1:4" hidden="1" x14ac:dyDescent="0.3">
      <c r="A59">
        <v>2</v>
      </c>
      <c r="B59" s="44" t="s">
        <v>954</v>
      </c>
      <c r="C59" s="74" t="s">
        <v>878</v>
      </c>
      <c r="D59">
        <v>9.6999999999999993</v>
      </c>
    </row>
    <row r="60" spans="1:4" hidden="1" x14ac:dyDescent="0.3">
      <c r="A60">
        <v>2</v>
      </c>
      <c r="B60" s="44" t="s">
        <v>954</v>
      </c>
      <c r="C60" s="74" t="s">
        <v>882</v>
      </c>
      <c r="D60">
        <v>8.9</v>
      </c>
    </row>
    <row r="61" spans="1:4" hidden="1" x14ac:dyDescent="0.3">
      <c r="A61">
        <v>2</v>
      </c>
      <c r="B61" s="44" t="s">
        <v>954</v>
      </c>
      <c r="C61" s="74" t="s">
        <v>879</v>
      </c>
      <c r="D61">
        <v>24.3</v>
      </c>
    </row>
    <row r="62" spans="1:4" hidden="1" x14ac:dyDescent="0.3">
      <c r="A62">
        <v>2</v>
      </c>
      <c r="B62" s="44" t="s">
        <v>954</v>
      </c>
      <c r="C62" s="74" t="s">
        <v>880</v>
      </c>
      <c r="D62">
        <v>1.5</v>
      </c>
    </row>
    <row r="63" spans="1:4" hidden="1" x14ac:dyDescent="0.3">
      <c r="A63">
        <v>2</v>
      </c>
      <c r="B63" s="44" t="s">
        <v>955</v>
      </c>
      <c r="C63" s="74" t="s">
        <v>878</v>
      </c>
      <c r="D63">
        <v>19.2</v>
      </c>
    </row>
    <row r="64" spans="1:4" hidden="1" x14ac:dyDescent="0.3">
      <c r="A64">
        <v>2</v>
      </c>
      <c r="B64" s="44" t="s">
        <v>955</v>
      </c>
      <c r="C64" s="74" t="s">
        <v>1049</v>
      </c>
      <c r="D64">
        <v>17.600000000000001</v>
      </c>
    </row>
    <row r="65" spans="1:4" hidden="1" x14ac:dyDescent="0.3">
      <c r="A65">
        <v>2</v>
      </c>
      <c r="B65" s="44" t="s">
        <v>955</v>
      </c>
      <c r="C65" s="74" t="s">
        <v>879</v>
      </c>
      <c r="D65">
        <v>45.9</v>
      </c>
    </row>
    <row r="66" spans="1:4" hidden="1" x14ac:dyDescent="0.3">
      <c r="A66">
        <v>2</v>
      </c>
      <c r="B66" s="44" t="s">
        <v>956</v>
      </c>
      <c r="C66" s="74" t="s">
        <v>878</v>
      </c>
      <c r="D66">
        <v>1.3</v>
      </c>
    </row>
    <row r="67" spans="1:4" hidden="1" x14ac:dyDescent="0.3">
      <c r="A67">
        <v>2</v>
      </c>
      <c r="B67" s="44" t="s">
        <v>956</v>
      </c>
      <c r="C67" s="74" t="s">
        <v>1049</v>
      </c>
      <c r="D67">
        <v>9.1999999999999993</v>
      </c>
    </row>
    <row r="68" spans="1:4" hidden="1" x14ac:dyDescent="0.3">
      <c r="A68">
        <v>2</v>
      </c>
      <c r="B68" s="44" t="s">
        <v>956</v>
      </c>
      <c r="C68" s="74" t="s">
        <v>879</v>
      </c>
      <c r="D68">
        <v>22.4</v>
      </c>
    </row>
    <row r="69" spans="1:4" hidden="1" x14ac:dyDescent="0.3">
      <c r="A69">
        <v>2</v>
      </c>
      <c r="B69" s="44" t="s">
        <v>956</v>
      </c>
      <c r="C69" s="74" t="s">
        <v>880</v>
      </c>
      <c r="D69">
        <v>1.2</v>
      </c>
    </row>
    <row r="70" spans="1:4" hidden="1" x14ac:dyDescent="0.3">
      <c r="A70">
        <v>2</v>
      </c>
      <c r="B70" s="44" t="s">
        <v>852</v>
      </c>
      <c r="C70" s="74" t="s">
        <v>941</v>
      </c>
      <c r="D70">
        <v>229.9</v>
      </c>
    </row>
    <row r="71" spans="1:4" hidden="1" x14ac:dyDescent="0.3">
      <c r="A71">
        <v>2</v>
      </c>
      <c r="B71" s="44" t="s">
        <v>853</v>
      </c>
      <c r="C71" s="74" t="s">
        <v>941</v>
      </c>
      <c r="D71">
        <v>50.9</v>
      </c>
    </row>
    <row r="72" spans="1:4" hidden="1" x14ac:dyDescent="0.3">
      <c r="A72">
        <v>2</v>
      </c>
      <c r="B72" s="44" t="s">
        <v>853</v>
      </c>
      <c r="C72" s="74" t="s">
        <v>881</v>
      </c>
      <c r="D72">
        <v>49.2</v>
      </c>
    </row>
    <row r="73" spans="1:4" hidden="1" x14ac:dyDescent="0.3">
      <c r="A73">
        <v>2</v>
      </c>
      <c r="B73" s="44" t="s">
        <v>854</v>
      </c>
      <c r="C73" s="74" t="s">
        <v>941</v>
      </c>
      <c r="D73">
        <v>45.7</v>
      </c>
    </row>
    <row r="74" spans="1:4" hidden="1" x14ac:dyDescent="0.3">
      <c r="A74">
        <v>2</v>
      </c>
      <c r="B74" s="44" t="s">
        <v>854</v>
      </c>
      <c r="C74" s="74" t="s">
        <v>878</v>
      </c>
      <c r="D74">
        <v>11.1</v>
      </c>
    </row>
    <row r="75" spans="1:4" hidden="1" x14ac:dyDescent="0.3">
      <c r="A75">
        <v>2</v>
      </c>
      <c r="B75" s="44" t="s">
        <v>854</v>
      </c>
      <c r="C75" s="74" t="s">
        <v>882</v>
      </c>
      <c r="D75">
        <v>11.2</v>
      </c>
    </row>
    <row r="76" spans="1:4" hidden="1" x14ac:dyDescent="0.3">
      <c r="A76">
        <v>2</v>
      </c>
      <c r="B76" s="44" t="s">
        <v>854</v>
      </c>
      <c r="C76" s="74" t="s">
        <v>879</v>
      </c>
      <c r="D76">
        <v>24.2</v>
      </c>
    </row>
    <row r="77" spans="1:4" hidden="1" x14ac:dyDescent="0.3">
      <c r="A77">
        <v>2</v>
      </c>
      <c r="B77" s="44" t="s">
        <v>957</v>
      </c>
      <c r="C77" s="74" t="s">
        <v>1042</v>
      </c>
      <c r="D77">
        <v>113.1</v>
      </c>
    </row>
    <row r="78" spans="1:4" hidden="1" x14ac:dyDescent="0.3">
      <c r="A78">
        <v>2</v>
      </c>
      <c r="B78" s="44" t="s">
        <v>958</v>
      </c>
      <c r="C78" s="74" t="s">
        <v>881</v>
      </c>
      <c r="D78">
        <v>38.299999999999997</v>
      </c>
    </row>
    <row r="79" spans="1:4" hidden="1" x14ac:dyDescent="0.3">
      <c r="A79">
        <v>2</v>
      </c>
      <c r="B79" s="44" t="s">
        <v>959</v>
      </c>
      <c r="C79" s="74" t="s">
        <v>877</v>
      </c>
      <c r="D79">
        <v>44.2</v>
      </c>
    </row>
    <row r="80" spans="1:4" hidden="1" x14ac:dyDescent="0.3">
      <c r="A80">
        <v>2</v>
      </c>
      <c r="B80" s="44" t="s">
        <v>855</v>
      </c>
      <c r="C80" s="74" t="s">
        <v>941</v>
      </c>
      <c r="D80">
        <v>99.9</v>
      </c>
    </row>
    <row r="81" spans="1:4" hidden="1" x14ac:dyDescent="0.3">
      <c r="A81">
        <v>2</v>
      </c>
      <c r="B81" s="44" t="s">
        <v>855</v>
      </c>
      <c r="C81" s="74" t="s">
        <v>1039</v>
      </c>
      <c r="D81">
        <v>27.1</v>
      </c>
    </row>
    <row r="82" spans="1:4" hidden="1" x14ac:dyDescent="0.3">
      <c r="A82">
        <v>2</v>
      </c>
      <c r="B82" s="44" t="s">
        <v>837</v>
      </c>
      <c r="C82" s="74" t="s">
        <v>941</v>
      </c>
      <c r="D82">
        <v>781.3</v>
      </c>
    </row>
    <row r="83" spans="1:4" hidden="1" x14ac:dyDescent="0.3">
      <c r="A83">
        <v>2</v>
      </c>
      <c r="B83" s="44" t="s">
        <v>837</v>
      </c>
      <c r="C83" s="74" t="s">
        <v>1050</v>
      </c>
      <c r="D83">
        <v>78.400000000000006</v>
      </c>
    </row>
    <row r="84" spans="1:4" hidden="1" x14ac:dyDescent="0.3">
      <c r="A84">
        <v>2</v>
      </c>
      <c r="B84" s="44" t="s">
        <v>839</v>
      </c>
      <c r="C84" s="74" t="s">
        <v>941</v>
      </c>
      <c r="D84">
        <v>78.599999999999994</v>
      </c>
    </row>
    <row r="85" spans="1:4" hidden="1" x14ac:dyDescent="0.3">
      <c r="A85">
        <v>2</v>
      </c>
      <c r="B85" s="44" t="s">
        <v>839</v>
      </c>
      <c r="C85" s="74" t="s">
        <v>1039</v>
      </c>
      <c r="D85">
        <v>26.2</v>
      </c>
    </row>
    <row r="86" spans="1:4" hidden="1" x14ac:dyDescent="0.3">
      <c r="A86">
        <v>2</v>
      </c>
      <c r="B86" s="44" t="s">
        <v>856</v>
      </c>
      <c r="C86" s="74" t="s">
        <v>941</v>
      </c>
      <c r="D86">
        <v>76.2</v>
      </c>
    </row>
    <row r="87" spans="1:4" hidden="1" x14ac:dyDescent="0.3">
      <c r="A87">
        <v>2</v>
      </c>
      <c r="B87" s="44" t="s">
        <v>856</v>
      </c>
      <c r="C87" s="74" t="s">
        <v>1039</v>
      </c>
      <c r="D87">
        <v>26.6</v>
      </c>
    </row>
    <row r="88" spans="1:4" hidden="1" x14ac:dyDescent="0.3">
      <c r="A88">
        <v>2</v>
      </c>
      <c r="B88" s="44" t="s">
        <v>857</v>
      </c>
      <c r="C88" s="74" t="s">
        <v>941</v>
      </c>
      <c r="D88">
        <v>77.5</v>
      </c>
    </row>
    <row r="89" spans="1:4" hidden="1" x14ac:dyDescent="0.3">
      <c r="A89">
        <v>2</v>
      </c>
      <c r="B89" s="44" t="s">
        <v>857</v>
      </c>
      <c r="C89" s="74" t="s">
        <v>1039</v>
      </c>
      <c r="D89">
        <v>26.3</v>
      </c>
    </row>
    <row r="90" spans="1:4" hidden="1" x14ac:dyDescent="0.3">
      <c r="A90">
        <v>2</v>
      </c>
      <c r="B90" s="44" t="s">
        <v>858</v>
      </c>
      <c r="C90" s="74" t="s">
        <v>941</v>
      </c>
      <c r="D90">
        <v>78.2</v>
      </c>
    </row>
    <row r="91" spans="1:4" hidden="1" x14ac:dyDescent="0.3">
      <c r="A91">
        <v>2</v>
      </c>
      <c r="B91" s="44" t="s">
        <v>858</v>
      </c>
      <c r="C91" s="74" t="s">
        <v>1039</v>
      </c>
      <c r="D91">
        <v>25.6</v>
      </c>
    </row>
    <row r="92" spans="1:4" hidden="1" x14ac:dyDescent="0.3">
      <c r="A92">
        <v>2</v>
      </c>
      <c r="B92" s="44" t="s">
        <v>859</v>
      </c>
      <c r="C92" s="74" t="s">
        <v>941</v>
      </c>
      <c r="D92">
        <v>193.1</v>
      </c>
    </row>
    <row r="93" spans="1:4" hidden="1" x14ac:dyDescent="0.3">
      <c r="A93">
        <v>2</v>
      </c>
      <c r="B93" s="44" t="s">
        <v>859</v>
      </c>
      <c r="C93" s="74" t="s">
        <v>1047</v>
      </c>
      <c r="D93">
        <v>9.6</v>
      </c>
    </row>
    <row r="94" spans="1:4" hidden="1" x14ac:dyDescent="0.3">
      <c r="A94">
        <v>2</v>
      </c>
      <c r="B94" s="44" t="s">
        <v>960</v>
      </c>
      <c r="C94" s="74" t="s">
        <v>1042</v>
      </c>
      <c r="D94">
        <v>51.4</v>
      </c>
    </row>
    <row r="95" spans="1:4" hidden="1" x14ac:dyDescent="0.3">
      <c r="A95">
        <v>2</v>
      </c>
      <c r="B95" s="44" t="s">
        <v>961</v>
      </c>
      <c r="C95" s="74" t="s">
        <v>1042</v>
      </c>
      <c r="D95">
        <v>116.2</v>
      </c>
    </row>
    <row r="96" spans="1:4" hidden="1" x14ac:dyDescent="0.3">
      <c r="A96">
        <v>2</v>
      </c>
      <c r="B96" s="44" t="s">
        <v>860</v>
      </c>
      <c r="C96" s="74" t="s">
        <v>941</v>
      </c>
      <c r="D96">
        <v>222.4</v>
      </c>
    </row>
    <row r="97" spans="1:4" hidden="1" x14ac:dyDescent="0.3">
      <c r="A97">
        <v>2</v>
      </c>
      <c r="B97" s="44" t="s">
        <v>860</v>
      </c>
      <c r="C97" s="74" t="s">
        <v>881</v>
      </c>
      <c r="D97">
        <v>3.1</v>
      </c>
    </row>
    <row r="98" spans="1:4" hidden="1" x14ac:dyDescent="0.3">
      <c r="A98">
        <v>2</v>
      </c>
      <c r="B98" s="44" t="s">
        <v>861</v>
      </c>
      <c r="C98" s="74" t="s">
        <v>941</v>
      </c>
      <c r="D98">
        <v>319.3</v>
      </c>
    </row>
    <row r="99" spans="1:4" hidden="1" x14ac:dyDescent="0.3">
      <c r="A99">
        <v>2</v>
      </c>
      <c r="B99" s="44" t="s">
        <v>862</v>
      </c>
      <c r="C99" s="74" t="s">
        <v>1042</v>
      </c>
      <c r="D99">
        <v>75.099999999999994</v>
      </c>
    </row>
    <row r="100" spans="1:4" hidden="1" x14ac:dyDescent="0.3">
      <c r="A100">
        <v>2</v>
      </c>
      <c r="B100" s="44" t="s">
        <v>862</v>
      </c>
      <c r="C100" s="74" t="s">
        <v>881</v>
      </c>
      <c r="D100">
        <v>1.9</v>
      </c>
    </row>
    <row r="101" spans="1:4" hidden="1" x14ac:dyDescent="0.3">
      <c r="A101">
        <v>2</v>
      </c>
      <c r="B101" s="44" t="s">
        <v>863</v>
      </c>
      <c r="C101" s="74" t="s">
        <v>1042</v>
      </c>
      <c r="D101">
        <v>182.7</v>
      </c>
    </row>
    <row r="102" spans="1:4" hidden="1" x14ac:dyDescent="0.3">
      <c r="A102">
        <v>2</v>
      </c>
      <c r="B102" s="44" t="s">
        <v>863</v>
      </c>
      <c r="C102" s="74" t="s">
        <v>881</v>
      </c>
      <c r="D102">
        <v>2</v>
      </c>
    </row>
    <row r="103" spans="1:4" hidden="1" x14ac:dyDescent="0.3">
      <c r="A103">
        <v>2</v>
      </c>
      <c r="B103" s="44" t="s">
        <v>864</v>
      </c>
      <c r="C103" s="74" t="s">
        <v>941</v>
      </c>
      <c r="D103">
        <v>240.8</v>
      </c>
    </row>
    <row r="104" spans="1:4" hidden="1" x14ac:dyDescent="0.3">
      <c r="A104">
        <v>2</v>
      </c>
      <c r="B104" s="44" t="s">
        <v>864</v>
      </c>
      <c r="C104" s="74" t="s">
        <v>1045</v>
      </c>
      <c r="D104">
        <v>2.6</v>
      </c>
    </row>
    <row r="105" spans="1:4" hidden="1" x14ac:dyDescent="0.3">
      <c r="A105">
        <v>2</v>
      </c>
      <c r="B105" s="44" t="s">
        <v>865</v>
      </c>
      <c r="C105" s="74" t="s">
        <v>941</v>
      </c>
      <c r="D105">
        <v>5.6</v>
      </c>
    </row>
    <row r="106" spans="1:4" hidden="1" x14ac:dyDescent="0.3">
      <c r="A106">
        <v>2</v>
      </c>
      <c r="B106" s="44" t="s">
        <v>865</v>
      </c>
      <c r="C106" s="74" t="s">
        <v>1042</v>
      </c>
      <c r="D106">
        <v>68.5</v>
      </c>
    </row>
    <row r="107" spans="1:4" hidden="1" x14ac:dyDescent="0.3">
      <c r="A107">
        <v>2</v>
      </c>
      <c r="B107" s="44" t="s">
        <v>865</v>
      </c>
      <c r="C107" s="74" t="s">
        <v>881</v>
      </c>
      <c r="D107">
        <v>2.9</v>
      </c>
    </row>
    <row r="108" spans="1:4" hidden="1" x14ac:dyDescent="0.3">
      <c r="A108">
        <v>2</v>
      </c>
      <c r="B108" s="44" t="s">
        <v>962</v>
      </c>
      <c r="C108" s="74" t="s">
        <v>878</v>
      </c>
      <c r="D108">
        <v>16.899999999999999</v>
      </c>
    </row>
    <row r="109" spans="1:4" hidden="1" x14ac:dyDescent="0.3">
      <c r="A109">
        <v>2</v>
      </c>
      <c r="B109" s="44" t="s">
        <v>962</v>
      </c>
      <c r="C109" s="74" t="s">
        <v>1049</v>
      </c>
      <c r="D109">
        <v>6.2</v>
      </c>
    </row>
    <row r="110" spans="1:4" hidden="1" x14ac:dyDescent="0.3">
      <c r="A110">
        <v>2</v>
      </c>
      <c r="B110" s="44" t="s">
        <v>962</v>
      </c>
      <c r="C110" s="74" t="s">
        <v>879</v>
      </c>
      <c r="D110">
        <v>57.7</v>
      </c>
    </row>
    <row r="111" spans="1:4" hidden="1" x14ac:dyDescent="0.3">
      <c r="A111">
        <v>2</v>
      </c>
      <c r="B111" s="44" t="s">
        <v>962</v>
      </c>
      <c r="C111" s="74" t="s">
        <v>880</v>
      </c>
      <c r="D111">
        <v>2.2999999999999998</v>
      </c>
    </row>
    <row r="112" spans="1:4" hidden="1" x14ac:dyDescent="0.3">
      <c r="A112">
        <v>2</v>
      </c>
      <c r="B112" s="44" t="s">
        <v>963</v>
      </c>
      <c r="C112" s="74" t="s">
        <v>877</v>
      </c>
      <c r="D112">
        <v>35</v>
      </c>
    </row>
    <row r="113" spans="1:4" hidden="1" x14ac:dyDescent="0.3">
      <c r="A113">
        <v>2</v>
      </c>
      <c r="B113" s="44" t="s">
        <v>964</v>
      </c>
      <c r="C113" s="74" t="s">
        <v>878</v>
      </c>
      <c r="D113">
        <v>6.2</v>
      </c>
    </row>
    <row r="114" spans="1:4" hidden="1" x14ac:dyDescent="0.3">
      <c r="A114">
        <v>2</v>
      </c>
      <c r="B114" s="44" t="s">
        <v>964</v>
      </c>
      <c r="C114" s="74" t="s">
        <v>881</v>
      </c>
      <c r="D114">
        <v>19.2</v>
      </c>
    </row>
    <row r="115" spans="1:4" hidden="1" x14ac:dyDescent="0.3">
      <c r="A115">
        <v>2</v>
      </c>
      <c r="B115" s="44" t="s">
        <v>964</v>
      </c>
      <c r="C115" s="74" t="s">
        <v>882</v>
      </c>
      <c r="D115">
        <v>7</v>
      </c>
    </row>
    <row r="116" spans="1:4" hidden="1" x14ac:dyDescent="0.3">
      <c r="A116">
        <v>2</v>
      </c>
      <c r="B116" s="44" t="s">
        <v>965</v>
      </c>
      <c r="C116" s="74" t="s">
        <v>878</v>
      </c>
      <c r="D116">
        <v>17.7</v>
      </c>
    </row>
    <row r="117" spans="1:4" hidden="1" x14ac:dyDescent="0.3">
      <c r="A117">
        <v>2</v>
      </c>
      <c r="B117" s="44" t="s">
        <v>965</v>
      </c>
      <c r="C117" s="74" t="s">
        <v>882</v>
      </c>
      <c r="D117">
        <v>9.1</v>
      </c>
    </row>
    <row r="118" spans="1:4" hidden="1" x14ac:dyDescent="0.3">
      <c r="A118">
        <v>2</v>
      </c>
      <c r="B118" s="44" t="s">
        <v>965</v>
      </c>
      <c r="C118" s="74" t="s">
        <v>879</v>
      </c>
      <c r="D118">
        <v>62.5</v>
      </c>
    </row>
    <row r="119" spans="1:4" hidden="1" x14ac:dyDescent="0.3">
      <c r="A119">
        <v>2</v>
      </c>
      <c r="B119" s="44" t="s">
        <v>965</v>
      </c>
      <c r="C119" s="74" t="s">
        <v>880</v>
      </c>
      <c r="D119">
        <v>2.2999999999999998</v>
      </c>
    </row>
    <row r="120" spans="1:4" hidden="1" x14ac:dyDescent="0.3">
      <c r="A120">
        <v>2</v>
      </c>
      <c r="B120" s="44" t="s">
        <v>966</v>
      </c>
      <c r="C120" s="74" t="s">
        <v>1042</v>
      </c>
      <c r="D120">
        <v>48.7</v>
      </c>
    </row>
    <row r="121" spans="1:4" hidden="1" x14ac:dyDescent="0.3">
      <c r="A121">
        <v>2</v>
      </c>
      <c r="B121" s="44" t="s">
        <v>967</v>
      </c>
      <c r="C121" s="74" t="s">
        <v>1042</v>
      </c>
      <c r="D121">
        <v>107.8</v>
      </c>
    </row>
    <row r="122" spans="1:4" hidden="1" x14ac:dyDescent="0.3">
      <c r="A122">
        <v>2</v>
      </c>
      <c r="B122" s="44" t="s">
        <v>841</v>
      </c>
      <c r="C122" s="74" t="s">
        <v>1042</v>
      </c>
      <c r="D122">
        <v>82.1</v>
      </c>
    </row>
    <row r="123" spans="1:4" hidden="1" x14ac:dyDescent="0.3">
      <c r="A123">
        <v>2</v>
      </c>
      <c r="B123" s="44" t="s">
        <v>968</v>
      </c>
      <c r="C123" s="74" t="s">
        <v>877</v>
      </c>
      <c r="D123">
        <v>33.9</v>
      </c>
    </row>
    <row r="124" spans="1:4" hidden="1" x14ac:dyDescent="0.3">
      <c r="A124">
        <v>2</v>
      </c>
      <c r="B124" s="44" t="s">
        <v>866</v>
      </c>
      <c r="C124" s="74" t="s">
        <v>1042</v>
      </c>
      <c r="D124">
        <v>83</v>
      </c>
    </row>
    <row r="125" spans="1:4" hidden="1" x14ac:dyDescent="0.3">
      <c r="A125">
        <v>2</v>
      </c>
      <c r="B125" s="44" t="s">
        <v>866</v>
      </c>
      <c r="C125" s="74" t="s">
        <v>881</v>
      </c>
      <c r="D125">
        <v>1.7</v>
      </c>
    </row>
    <row r="126" spans="1:4" hidden="1" x14ac:dyDescent="0.3">
      <c r="A126">
        <v>2</v>
      </c>
      <c r="B126" s="44" t="s">
        <v>867</v>
      </c>
      <c r="C126" s="74" t="s">
        <v>941</v>
      </c>
      <c r="D126">
        <v>3.1</v>
      </c>
    </row>
    <row r="127" spans="1:4" hidden="1" x14ac:dyDescent="0.3">
      <c r="A127">
        <v>2</v>
      </c>
      <c r="B127" s="44" t="s">
        <v>867</v>
      </c>
      <c r="C127" s="74" t="s">
        <v>1042</v>
      </c>
      <c r="D127">
        <v>178.2</v>
      </c>
    </row>
    <row r="128" spans="1:4" hidden="1" x14ac:dyDescent="0.3">
      <c r="A128">
        <v>2</v>
      </c>
      <c r="B128" s="44" t="s">
        <v>867</v>
      </c>
      <c r="C128" s="74" t="s">
        <v>881</v>
      </c>
      <c r="D128">
        <v>3.6</v>
      </c>
    </row>
    <row r="129" spans="1:4" hidden="1" x14ac:dyDescent="0.3">
      <c r="A129">
        <v>2</v>
      </c>
      <c r="B129" s="44" t="s">
        <v>868</v>
      </c>
      <c r="C129" s="74" t="s">
        <v>941</v>
      </c>
      <c r="D129">
        <v>269</v>
      </c>
    </row>
    <row r="130" spans="1:4" hidden="1" x14ac:dyDescent="0.3">
      <c r="A130">
        <v>2</v>
      </c>
      <c r="B130" s="44" t="s">
        <v>969</v>
      </c>
      <c r="C130" s="74" t="s">
        <v>1041</v>
      </c>
      <c r="D130">
        <v>0</v>
      </c>
    </row>
    <row r="131" spans="1:4" hidden="1" x14ac:dyDescent="0.3">
      <c r="A131">
        <v>2</v>
      </c>
      <c r="B131" s="44" t="s">
        <v>869</v>
      </c>
      <c r="C131" s="74" t="s">
        <v>941</v>
      </c>
      <c r="D131">
        <v>79.400000000000006</v>
      </c>
    </row>
    <row r="132" spans="1:4" hidden="1" x14ac:dyDescent="0.3">
      <c r="A132">
        <v>2</v>
      </c>
      <c r="B132" s="44" t="s">
        <v>869</v>
      </c>
      <c r="C132" s="74" t="s">
        <v>1039</v>
      </c>
      <c r="D132">
        <v>26.3</v>
      </c>
    </row>
    <row r="133" spans="1:4" hidden="1" x14ac:dyDescent="0.3">
      <c r="A133">
        <v>2</v>
      </c>
      <c r="B133" s="44" t="s">
        <v>970</v>
      </c>
      <c r="C133" s="74" t="s">
        <v>877</v>
      </c>
      <c r="D133">
        <v>29.1</v>
      </c>
    </row>
    <row r="134" spans="1:4" hidden="1" x14ac:dyDescent="0.3">
      <c r="A134">
        <v>2</v>
      </c>
      <c r="B134" s="44" t="s">
        <v>870</v>
      </c>
      <c r="C134" s="74" t="s">
        <v>941</v>
      </c>
      <c r="D134">
        <v>113.3</v>
      </c>
    </row>
    <row r="135" spans="1:4" hidden="1" x14ac:dyDescent="0.3">
      <c r="A135">
        <v>2</v>
      </c>
      <c r="B135" s="44" t="s">
        <v>871</v>
      </c>
      <c r="C135" s="74" t="s">
        <v>941</v>
      </c>
      <c r="D135">
        <v>154.6</v>
      </c>
    </row>
    <row r="136" spans="1:4" hidden="1" x14ac:dyDescent="0.3">
      <c r="A136">
        <v>2</v>
      </c>
      <c r="B136" s="44" t="s">
        <v>872</v>
      </c>
      <c r="C136" s="74" t="s">
        <v>1042</v>
      </c>
      <c r="D136">
        <v>228.1</v>
      </c>
    </row>
    <row r="137" spans="1:4" hidden="1" x14ac:dyDescent="0.3">
      <c r="A137">
        <v>2</v>
      </c>
      <c r="B137" s="44" t="s">
        <v>1038</v>
      </c>
      <c r="C137" s="74" t="s">
        <v>1042</v>
      </c>
      <c r="D137">
        <v>52.9</v>
      </c>
    </row>
    <row r="138" spans="1:4" hidden="1" x14ac:dyDescent="0.3">
      <c r="A138">
        <v>2</v>
      </c>
      <c r="B138" s="44" t="s">
        <v>873</v>
      </c>
      <c r="C138" s="74" t="s">
        <v>941</v>
      </c>
      <c r="D138">
        <v>272.89999999999998</v>
      </c>
    </row>
    <row r="139" spans="1:4" hidden="1" x14ac:dyDescent="0.3">
      <c r="A139">
        <v>2</v>
      </c>
      <c r="B139" s="44" t="s">
        <v>873</v>
      </c>
      <c r="C139" s="74" t="s">
        <v>1051</v>
      </c>
      <c r="D139">
        <v>5.0999999999999996</v>
      </c>
    </row>
    <row r="140" spans="1:4" hidden="1" x14ac:dyDescent="0.3">
      <c r="A140">
        <v>3</v>
      </c>
      <c r="B140" s="44" t="s">
        <v>971</v>
      </c>
      <c r="C140" s="74" t="s">
        <v>941</v>
      </c>
      <c r="D140">
        <v>78.400000000000006</v>
      </c>
    </row>
    <row r="141" spans="1:4" hidden="1" x14ac:dyDescent="0.3">
      <c r="A141">
        <v>3</v>
      </c>
      <c r="B141" s="44" t="s">
        <v>971</v>
      </c>
      <c r="C141" s="74" t="s">
        <v>1039</v>
      </c>
      <c r="D141">
        <v>34.299999999999997</v>
      </c>
    </row>
    <row r="142" spans="1:4" hidden="1" x14ac:dyDescent="0.3">
      <c r="A142">
        <v>3</v>
      </c>
      <c r="B142" s="44" t="s">
        <v>971</v>
      </c>
      <c r="C142" s="74" t="s">
        <v>881</v>
      </c>
      <c r="D142">
        <v>1.4</v>
      </c>
    </row>
    <row r="143" spans="1:4" hidden="1" x14ac:dyDescent="0.3">
      <c r="A143">
        <v>3</v>
      </c>
      <c r="B143" s="44" t="s">
        <v>972</v>
      </c>
      <c r="C143" s="74" t="s">
        <v>941</v>
      </c>
      <c r="D143">
        <v>74.5</v>
      </c>
    </row>
    <row r="144" spans="1:4" hidden="1" x14ac:dyDescent="0.3">
      <c r="A144">
        <v>3</v>
      </c>
      <c r="B144" s="44" t="s">
        <v>972</v>
      </c>
      <c r="C144" s="74" t="s">
        <v>1039</v>
      </c>
      <c r="D144">
        <v>27.3</v>
      </c>
    </row>
    <row r="145" spans="1:4" hidden="1" x14ac:dyDescent="0.3">
      <c r="A145">
        <v>3</v>
      </c>
      <c r="B145" s="44" t="s">
        <v>973</v>
      </c>
      <c r="C145" s="74" t="s">
        <v>941</v>
      </c>
      <c r="D145">
        <v>94.4</v>
      </c>
    </row>
    <row r="146" spans="1:4" hidden="1" x14ac:dyDescent="0.3">
      <c r="A146">
        <v>3</v>
      </c>
      <c r="B146" s="44" t="s">
        <v>973</v>
      </c>
      <c r="C146" s="74" t="s">
        <v>1039</v>
      </c>
      <c r="D146">
        <v>28.1</v>
      </c>
    </row>
    <row r="147" spans="1:4" hidden="1" x14ac:dyDescent="0.3">
      <c r="A147">
        <v>3</v>
      </c>
      <c r="B147" s="44" t="s">
        <v>973</v>
      </c>
      <c r="C147" s="74" t="s">
        <v>881</v>
      </c>
      <c r="D147">
        <v>2.7</v>
      </c>
    </row>
    <row r="148" spans="1:4" hidden="1" x14ac:dyDescent="0.3">
      <c r="A148">
        <v>3</v>
      </c>
      <c r="B148" s="44" t="s">
        <v>974</v>
      </c>
      <c r="C148" s="74" t="s">
        <v>941</v>
      </c>
      <c r="D148">
        <v>158.1</v>
      </c>
    </row>
    <row r="149" spans="1:4" hidden="1" x14ac:dyDescent="0.3">
      <c r="A149">
        <v>3</v>
      </c>
      <c r="B149" s="44" t="s">
        <v>974</v>
      </c>
      <c r="C149" s="74" t="s">
        <v>1042</v>
      </c>
      <c r="D149">
        <v>8.6</v>
      </c>
    </row>
    <row r="150" spans="1:4" hidden="1" x14ac:dyDescent="0.3">
      <c r="A150">
        <v>3</v>
      </c>
      <c r="B150" s="44" t="s">
        <v>975</v>
      </c>
      <c r="C150" s="74" t="s">
        <v>1042</v>
      </c>
      <c r="D150">
        <v>72.8</v>
      </c>
    </row>
    <row r="151" spans="1:4" hidden="1" x14ac:dyDescent="0.3">
      <c r="A151">
        <v>3</v>
      </c>
      <c r="B151" s="44" t="s">
        <v>975</v>
      </c>
      <c r="C151" s="74" t="s">
        <v>881</v>
      </c>
      <c r="D151">
        <v>1.4</v>
      </c>
    </row>
    <row r="152" spans="1:4" hidden="1" x14ac:dyDescent="0.3">
      <c r="A152">
        <v>3</v>
      </c>
      <c r="B152" s="44" t="s">
        <v>976</v>
      </c>
      <c r="C152" s="74" t="s">
        <v>1042</v>
      </c>
      <c r="D152">
        <v>101.1</v>
      </c>
    </row>
    <row r="153" spans="1:4" hidden="1" x14ac:dyDescent="0.3">
      <c r="A153">
        <v>3</v>
      </c>
      <c r="B153" s="44" t="s">
        <v>977</v>
      </c>
      <c r="C153" s="74" t="s">
        <v>1042</v>
      </c>
      <c r="D153">
        <v>46.7</v>
      </c>
    </row>
    <row r="154" spans="1:4" x14ac:dyDescent="0.3">
      <c r="A154">
        <v>3</v>
      </c>
      <c r="B154" s="44" t="s">
        <v>978</v>
      </c>
      <c r="C154" s="74" t="s">
        <v>877</v>
      </c>
      <c r="D154">
        <v>33</v>
      </c>
    </row>
    <row r="155" spans="1:4" x14ac:dyDescent="0.3">
      <c r="A155">
        <v>3</v>
      </c>
      <c r="B155" s="44" t="s">
        <v>979</v>
      </c>
      <c r="C155" s="74" t="s">
        <v>878</v>
      </c>
      <c r="D155">
        <v>14.1</v>
      </c>
    </row>
    <row r="156" spans="1:4" x14ac:dyDescent="0.3">
      <c r="A156">
        <v>3</v>
      </c>
      <c r="B156" s="44" t="s">
        <v>979</v>
      </c>
      <c r="C156" s="74" t="s">
        <v>1043</v>
      </c>
      <c r="D156">
        <v>8.1</v>
      </c>
    </row>
    <row r="157" spans="1:4" x14ac:dyDescent="0.3">
      <c r="A157">
        <v>3</v>
      </c>
      <c r="B157" s="44" t="s">
        <v>979</v>
      </c>
      <c r="C157" s="74" t="s">
        <v>879</v>
      </c>
      <c r="D157">
        <v>65.8</v>
      </c>
    </row>
    <row r="158" spans="1:4" x14ac:dyDescent="0.3">
      <c r="A158">
        <v>3</v>
      </c>
      <c r="B158" s="44" t="s">
        <v>979</v>
      </c>
      <c r="C158" s="74" t="s">
        <v>880</v>
      </c>
      <c r="D158">
        <v>2.6</v>
      </c>
    </row>
    <row r="159" spans="1:4" hidden="1" x14ac:dyDescent="0.3">
      <c r="A159">
        <v>3</v>
      </c>
      <c r="B159" s="44" t="s">
        <v>980</v>
      </c>
      <c r="C159" s="74" t="s">
        <v>1042</v>
      </c>
      <c r="D159">
        <v>148.5</v>
      </c>
    </row>
    <row r="160" spans="1:4" hidden="1" x14ac:dyDescent="0.3">
      <c r="A160">
        <v>3</v>
      </c>
      <c r="B160" s="44" t="s">
        <v>980</v>
      </c>
      <c r="C160" s="74" t="s">
        <v>881</v>
      </c>
      <c r="D160">
        <v>2.5</v>
      </c>
    </row>
    <row r="161" spans="1:4" hidden="1" x14ac:dyDescent="0.3">
      <c r="A161">
        <v>3</v>
      </c>
      <c r="B161" s="44" t="s">
        <v>981</v>
      </c>
      <c r="C161" s="74" t="s">
        <v>941</v>
      </c>
      <c r="D161" s="75" t="s">
        <v>1036</v>
      </c>
    </row>
    <row r="162" spans="1:4" hidden="1" x14ac:dyDescent="0.3">
      <c r="A162">
        <v>3</v>
      </c>
      <c r="B162" s="44" t="s">
        <v>981</v>
      </c>
      <c r="C162" s="74" t="s">
        <v>881</v>
      </c>
      <c r="D162" s="75" t="s">
        <v>1037</v>
      </c>
    </row>
    <row r="163" spans="1:4" hidden="1" x14ac:dyDescent="0.3">
      <c r="A163">
        <v>3</v>
      </c>
      <c r="B163" s="44" t="s">
        <v>982</v>
      </c>
      <c r="C163" s="74" t="s">
        <v>941</v>
      </c>
      <c r="D163">
        <v>336.5</v>
      </c>
    </row>
    <row r="164" spans="1:4" hidden="1" x14ac:dyDescent="0.3">
      <c r="A164">
        <v>3</v>
      </c>
      <c r="B164" s="44" t="s">
        <v>982</v>
      </c>
      <c r="C164" s="74" t="s">
        <v>1044</v>
      </c>
      <c r="D164">
        <v>34.700000000000003</v>
      </c>
    </row>
    <row r="165" spans="1:4" hidden="1" x14ac:dyDescent="0.3">
      <c r="A165">
        <v>3</v>
      </c>
      <c r="B165" s="44" t="s">
        <v>982</v>
      </c>
      <c r="C165" s="74" t="s">
        <v>1045</v>
      </c>
      <c r="D165">
        <v>1.8</v>
      </c>
    </row>
    <row r="166" spans="1:4" hidden="1" x14ac:dyDescent="0.3">
      <c r="A166">
        <v>3</v>
      </c>
      <c r="B166" s="44" t="s">
        <v>983</v>
      </c>
      <c r="C166" s="74" t="s">
        <v>941</v>
      </c>
      <c r="D166">
        <v>91.2</v>
      </c>
    </row>
    <row r="167" spans="1:4" hidden="1" x14ac:dyDescent="0.3">
      <c r="A167">
        <v>3</v>
      </c>
      <c r="B167" s="44" t="s">
        <v>983</v>
      </c>
      <c r="C167" s="74" t="s">
        <v>1039</v>
      </c>
      <c r="D167">
        <v>16.399999999999999</v>
      </c>
    </row>
    <row r="168" spans="1:4" hidden="1" x14ac:dyDescent="0.3">
      <c r="A168">
        <v>3</v>
      </c>
      <c r="B168" s="44" t="s">
        <v>983</v>
      </c>
      <c r="C168" s="74" t="s">
        <v>881</v>
      </c>
      <c r="D168">
        <v>3.8</v>
      </c>
    </row>
    <row r="169" spans="1:4" hidden="1" x14ac:dyDescent="0.3">
      <c r="A169">
        <v>3</v>
      </c>
      <c r="B169" s="44" t="s">
        <v>984</v>
      </c>
      <c r="C169" s="74" t="s">
        <v>941</v>
      </c>
      <c r="D169">
        <v>80.900000000000006</v>
      </c>
    </row>
    <row r="170" spans="1:4" hidden="1" x14ac:dyDescent="0.3">
      <c r="A170">
        <v>3</v>
      </c>
      <c r="B170" s="44" t="s">
        <v>984</v>
      </c>
      <c r="C170" s="74" t="s">
        <v>1039</v>
      </c>
      <c r="D170">
        <v>28.3</v>
      </c>
    </row>
    <row r="171" spans="1:4" hidden="1" x14ac:dyDescent="0.3">
      <c r="A171">
        <v>3</v>
      </c>
      <c r="B171" s="44" t="s">
        <v>984</v>
      </c>
      <c r="C171" s="74" t="s">
        <v>881</v>
      </c>
      <c r="D171">
        <v>1.7</v>
      </c>
    </row>
    <row r="172" spans="1:4" x14ac:dyDescent="0.3">
      <c r="A172">
        <v>3</v>
      </c>
      <c r="B172" s="44" t="s">
        <v>985</v>
      </c>
      <c r="C172" s="74" t="s">
        <v>878</v>
      </c>
      <c r="D172">
        <v>13.6</v>
      </c>
    </row>
    <row r="173" spans="1:4" x14ac:dyDescent="0.3">
      <c r="A173">
        <v>3</v>
      </c>
      <c r="B173" s="44" t="s">
        <v>985</v>
      </c>
      <c r="C173" s="74" t="s">
        <v>883</v>
      </c>
      <c r="D173">
        <v>5.8</v>
      </c>
    </row>
    <row r="174" spans="1:4" x14ac:dyDescent="0.3">
      <c r="A174">
        <v>3</v>
      </c>
      <c r="B174" s="44" t="s">
        <v>985</v>
      </c>
      <c r="C174" s="74" t="s">
        <v>879</v>
      </c>
      <c r="D174">
        <v>67.8</v>
      </c>
    </row>
    <row r="175" spans="1:4" x14ac:dyDescent="0.3">
      <c r="A175">
        <v>3</v>
      </c>
      <c r="B175" s="44" t="s">
        <v>985</v>
      </c>
      <c r="C175" s="74" t="s">
        <v>880</v>
      </c>
      <c r="D175">
        <v>1.8</v>
      </c>
    </row>
    <row r="176" spans="1:4" hidden="1" x14ac:dyDescent="0.3">
      <c r="A176">
        <v>3</v>
      </c>
      <c r="B176" s="44" t="s">
        <v>986</v>
      </c>
      <c r="C176" s="74" t="s">
        <v>1042</v>
      </c>
      <c r="D176">
        <v>122.7</v>
      </c>
    </row>
    <row r="177" spans="1:4" x14ac:dyDescent="0.3">
      <c r="A177">
        <v>3</v>
      </c>
      <c r="B177" s="44" t="s">
        <v>987</v>
      </c>
      <c r="C177" s="74" t="s">
        <v>881</v>
      </c>
      <c r="D177">
        <v>35.4</v>
      </c>
    </row>
    <row r="178" spans="1:4" x14ac:dyDescent="0.3">
      <c r="A178">
        <v>3</v>
      </c>
      <c r="B178" s="44" t="s">
        <v>987</v>
      </c>
      <c r="C178" s="74" t="s">
        <v>882</v>
      </c>
      <c r="D178">
        <v>5.9</v>
      </c>
    </row>
    <row r="179" spans="1:4" x14ac:dyDescent="0.3">
      <c r="A179">
        <v>3</v>
      </c>
      <c r="B179" s="44" t="s">
        <v>988</v>
      </c>
      <c r="C179" s="74" t="s">
        <v>881</v>
      </c>
      <c r="D179">
        <v>29.5</v>
      </c>
    </row>
    <row r="180" spans="1:4" hidden="1" x14ac:dyDescent="0.3">
      <c r="A180">
        <v>3</v>
      </c>
      <c r="B180" s="44" t="s">
        <v>989</v>
      </c>
      <c r="C180" s="74" t="s">
        <v>941</v>
      </c>
      <c r="D180">
        <v>422</v>
      </c>
    </row>
    <row r="181" spans="1:4" hidden="1" x14ac:dyDescent="0.3">
      <c r="A181">
        <v>3</v>
      </c>
      <c r="B181" s="44" t="s">
        <v>989</v>
      </c>
      <c r="C181" s="74" t="s">
        <v>1048</v>
      </c>
      <c r="D181">
        <v>24.4</v>
      </c>
    </row>
    <row r="182" spans="1:4" hidden="1" x14ac:dyDescent="0.3">
      <c r="A182">
        <v>3</v>
      </c>
      <c r="B182" s="44" t="s">
        <v>990</v>
      </c>
      <c r="C182" s="74" t="s">
        <v>1042</v>
      </c>
      <c r="D182">
        <v>88.2</v>
      </c>
    </row>
    <row r="183" spans="1:4" hidden="1" x14ac:dyDescent="0.3">
      <c r="A183">
        <v>3</v>
      </c>
      <c r="B183" s="44" t="s">
        <v>991</v>
      </c>
      <c r="C183" s="74" t="s">
        <v>1042</v>
      </c>
      <c r="D183">
        <v>77.5</v>
      </c>
    </row>
    <row r="184" spans="1:4" hidden="1" x14ac:dyDescent="0.3">
      <c r="A184">
        <v>3</v>
      </c>
      <c r="B184" s="44" t="s">
        <v>991</v>
      </c>
      <c r="C184" s="74" t="s">
        <v>881</v>
      </c>
      <c r="D184">
        <v>6.1</v>
      </c>
    </row>
    <row r="185" spans="1:4" hidden="1" x14ac:dyDescent="0.3">
      <c r="A185">
        <v>3</v>
      </c>
      <c r="B185" s="44" t="s">
        <v>992</v>
      </c>
      <c r="C185" s="74" t="s">
        <v>941</v>
      </c>
      <c r="D185">
        <v>82.5</v>
      </c>
    </row>
    <row r="186" spans="1:4" hidden="1" x14ac:dyDescent="0.3">
      <c r="A186">
        <v>3</v>
      </c>
      <c r="B186" s="44" t="s">
        <v>992</v>
      </c>
      <c r="C186" s="74" t="s">
        <v>1039</v>
      </c>
      <c r="D186">
        <v>32.700000000000003</v>
      </c>
    </row>
    <row r="187" spans="1:4" hidden="1" x14ac:dyDescent="0.3">
      <c r="A187">
        <v>3</v>
      </c>
      <c r="B187" s="44" t="s">
        <v>992</v>
      </c>
      <c r="C187" s="74" t="s">
        <v>881</v>
      </c>
      <c r="D187">
        <v>2</v>
      </c>
    </row>
    <row r="188" spans="1:4" hidden="1" x14ac:dyDescent="0.3">
      <c r="A188">
        <v>3</v>
      </c>
      <c r="B188" s="44" t="s">
        <v>993</v>
      </c>
      <c r="C188" s="74" t="s">
        <v>941</v>
      </c>
      <c r="D188">
        <v>353.6</v>
      </c>
    </row>
    <row r="189" spans="1:4" hidden="1" x14ac:dyDescent="0.3">
      <c r="A189">
        <v>3</v>
      </c>
      <c r="B189" s="44" t="s">
        <v>993</v>
      </c>
      <c r="C189" s="74" t="s">
        <v>1051</v>
      </c>
      <c r="D189">
        <v>5</v>
      </c>
    </row>
    <row r="190" spans="1:4" hidden="1" x14ac:dyDescent="0.3">
      <c r="A190">
        <v>3</v>
      </c>
      <c r="B190" s="44" t="s">
        <v>994</v>
      </c>
      <c r="C190" s="74" t="s">
        <v>1042</v>
      </c>
      <c r="D190">
        <v>86.7</v>
      </c>
    </row>
    <row r="191" spans="1:4" x14ac:dyDescent="0.3">
      <c r="A191">
        <v>3</v>
      </c>
      <c r="B191" s="44" t="s">
        <v>995</v>
      </c>
      <c r="C191" s="74" t="s">
        <v>881</v>
      </c>
      <c r="D191">
        <v>36.9</v>
      </c>
    </row>
    <row r="192" spans="1:4" x14ac:dyDescent="0.3">
      <c r="A192">
        <v>3</v>
      </c>
      <c r="B192" s="44" t="s">
        <v>996</v>
      </c>
      <c r="C192" s="74" t="s">
        <v>877</v>
      </c>
      <c r="D192">
        <v>36.5</v>
      </c>
    </row>
    <row r="193" spans="1:4" hidden="1" x14ac:dyDescent="0.3">
      <c r="A193">
        <v>3</v>
      </c>
      <c r="B193" s="44" t="s">
        <v>997</v>
      </c>
      <c r="C193" s="74" t="s">
        <v>941</v>
      </c>
      <c r="D193">
        <v>107.2</v>
      </c>
    </row>
    <row r="194" spans="1:4" hidden="1" x14ac:dyDescent="0.3">
      <c r="A194">
        <v>3</v>
      </c>
      <c r="B194" s="44" t="s">
        <v>997</v>
      </c>
      <c r="C194" s="74" t="s">
        <v>1039</v>
      </c>
      <c r="D194">
        <v>27.1</v>
      </c>
    </row>
    <row r="195" spans="1:4" hidden="1" x14ac:dyDescent="0.3">
      <c r="A195">
        <v>3</v>
      </c>
      <c r="B195" s="44" t="s">
        <v>998</v>
      </c>
      <c r="C195" s="74" t="s">
        <v>941</v>
      </c>
      <c r="D195">
        <v>75.599999999999994</v>
      </c>
    </row>
    <row r="196" spans="1:4" hidden="1" x14ac:dyDescent="0.3">
      <c r="A196">
        <v>3</v>
      </c>
      <c r="B196" s="44" t="s">
        <v>998</v>
      </c>
      <c r="C196" s="74" t="s">
        <v>1039</v>
      </c>
      <c r="D196">
        <v>27.7</v>
      </c>
    </row>
    <row r="197" spans="1:4" x14ac:dyDescent="0.3">
      <c r="A197">
        <v>3</v>
      </c>
      <c r="B197" s="44" t="s">
        <v>999</v>
      </c>
      <c r="C197" s="74" t="s">
        <v>877</v>
      </c>
      <c r="D197">
        <v>29.5</v>
      </c>
    </row>
    <row r="198" spans="1:4" hidden="1" x14ac:dyDescent="0.3">
      <c r="A198">
        <v>3</v>
      </c>
      <c r="B198" s="44" t="s">
        <v>1000</v>
      </c>
      <c r="C198" s="74" t="s">
        <v>941</v>
      </c>
      <c r="D198">
        <v>87.3</v>
      </c>
    </row>
    <row r="199" spans="1:4" hidden="1" x14ac:dyDescent="0.3">
      <c r="A199">
        <v>3</v>
      </c>
      <c r="B199" s="44" t="s">
        <v>1000</v>
      </c>
      <c r="C199" s="74" t="s">
        <v>1039</v>
      </c>
      <c r="D199">
        <v>23.7</v>
      </c>
    </row>
    <row r="200" spans="1:4" hidden="1" x14ac:dyDescent="0.3">
      <c r="A200">
        <v>3</v>
      </c>
      <c r="B200" s="44" t="s">
        <v>1001</v>
      </c>
      <c r="C200" s="74" t="s">
        <v>941</v>
      </c>
      <c r="D200">
        <v>81.8</v>
      </c>
    </row>
    <row r="201" spans="1:4" hidden="1" x14ac:dyDescent="0.3">
      <c r="A201">
        <v>3</v>
      </c>
      <c r="B201" s="44" t="s">
        <v>1001</v>
      </c>
      <c r="C201" s="74" t="s">
        <v>1039</v>
      </c>
      <c r="D201">
        <v>26.5</v>
      </c>
    </row>
    <row r="202" spans="1:4" hidden="1" x14ac:dyDescent="0.3">
      <c r="A202">
        <v>3</v>
      </c>
      <c r="B202" s="44" t="s">
        <v>1002</v>
      </c>
      <c r="C202" s="74" t="s">
        <v>941</v>
      </c>
      <c r="D202">
        <v>83</v>
      </c>
    </row>
    <row r="203" spans="1:4" hidden="1" x14ac:dyDescent="0.3">
      <c r="A203">
        <v>3</v>
      </c>
      <c r="B203" s="44" t="s">
        <v>1002</v>
      </c>
      <c r="C203" s="74" t="s">
        <v>1039</v>
      </c>
      <c r="D203">
        <v>25.6</v>
      </c>
    </row>
    <row r="204" spans="1:4" hidden="1" x14ac:dyDescent="0.3">
      <c r="A204">
        <v>3</v>
      </c>
      <c r="B204" s="44" t="s">
        <v>1003</v>
      </c>
      <c r="C204" s="74" t="s">
        <v>1042</v>
      </c>
      <c r="D204">
        <v>42</v>
      </c>
    </row>
    <row r="205" spans="1:4" hidden="1" x14ac:dyDescent="0.3">
      <c r="A205">
        <v>3</v>
      </c>
      <c r="B205" s="44" t="s">
        <v>1004</v>
      </c>
      <c r="C205" s="74" t="s">
        <v>1042</v>
      </c>
      <c r="D205">
        <v>95.5</v>
      </c>
    </row>
    <row r="206" spans="1:4" hidden="1" x14ac:dyDescent="0.3">
      <c r="A206">
        <v>3</v>
      </c>
      <c r="B206" s="44" t="s">
        <v>1005</v>
      </c>
      <c r="C206" s="74" t="s">
        <v>941</v>
      </c>
      <c r="D206">
        <v>72</v>
      </c>
    </row>
    <row r="207" spans="1:4" hidden="1" x14ac:dyDescent="0.3">
      <c r="A207">
        <v>3</v>
      </c>
      <c r="B207" s="44" t="s">
        <v>1005</v>
      </c>
      <c r="C207" s="74" t="s">
        <v>1039</v>
      </c>
      <c r="D207">
        <v>21.6</v>
      </c>
    </row>
    <row r="208" spans="1:4" hidden="1" x14ac:dyDescent="0.3">
      <c r="A208">
        <v>3</v>
      </c>
      <c r="B208" s="44" t="s">
        <v>1006</v>
      </c>
      <c r="C208" s="74" t="s">
        <v>941</v>
      </c>
      <c r="D208">
        <v>74.7</v>
      </c>
    </row>
    <row r="209" spans="1:4" hidden="1" x14ac:dyDescent="0.3">
      <c r="A209">
        <v>3</v>
      </c>
      <c r="B209" s="44" t="s">
        <v>1006</v>
      </c>
      <c r="C209" s="74" t="s">
        <v>1039</v>
      </c>
      <c r="D209">
        <v>21.7</v>
      </c>
    </row>
    <row r="210" spans="1:4" hidden="1" x14ac:dyDescent="0.3">
      <c r="A210">
        <v>3</v>
      </c>
      <c r="B210" s="44" t="s">
        <v>1007</v>
      </c>
      <c r="C210" s="74" t="s">
        <v>941</v>
      </c>
      <c r="D210">
        <v>242.8</v>
      </c>
    </row>
    <row r="211" spans="1:4" hidden="1" x14ac:dyDescent="0.3">
      <c r="A211">
        <v>3</v>
      </c>
      <c r="B211" s="44" t="s">
        <v>1007</v>
      </c>
      <c r="C211" s="74" t="s">
        <v>1047</v>
      </c>
      <c r="D211">
        <v>8.6</v>
      </c>
    </row>
    <row r="212" spans="1:4" hidden="1" x14ac:dyDescent="0.3">
      <c r="A212">
        <v>3</v>
      </c>
      <c r="B212" s="44" t="s">
        <v>1008</v>
      </c>
      <c r="C212" s="74" t="s">
        <v>941</v>
      </c>
      <c r="D212">
        <v>206.7</v>
      </c>
    </row>
    <row r="213" spans="1:4" hidden="1" x14ac:dyDescent="0.3">
      <c r="A213">
        <v>3</v>
      </c>
      <c r="B213" s="44" t="s">
        <v>1008</v>
      </c>
      <c r="C213" s="74" t="s">
        <v>881</v>
      </c>
      <c r="D213">
        <v>7.8</v>
      </c>
    </row>
    <row r="214" spans="1:4" hidden="1" x14ac:dyDescent="0.3">
      <c r="A214">
        <v>3</v>
      </c>
      <c r="B214" s="44" t="s">
        <v>1009</v>
      </c>
      <c r="C214" s="74" t="s">
        <v>1042</v>
      </c>
      <c r="D214">
        <v>67.7</v>
      </c>
    </row>
    <row r="215" spans="1:4" hidden="1" x14ac:dyDescent="0.3">
      <c r="A215">
        <v>3</v>
      </c>
      <c r="B215" s="44" t="s">
        <v>1009</v>
      </c>
      <c r="C215" s="74" t="s">
        <v>881</v>
      </c>
      <c r="D215">
        <v>1.8</v>
      </c>
    </row>
    <row r="216" spans="1:4" hidden="1" x14ac:dyDescent="0.3">
      <c r="A216">
        <v>3</v>
      </c>
      <c r="B216" s="44" t="s">
        <v>1010</v>
      </c>
      <c r="C216" s="74" t="s">
        <v>941</v>
      </c>
      <c r="D216">
        <v>114.3</v>
      </c>
    </row>
    <row r="217" spans="1:4" hidden="1" x14ac:dyDescent="0.3">
      <c r="A217">
        <v>3</v>
      </c>
      <c r="B217" s="44" t="s">
        <v>1010</v>
      </c>
      <c r="C217" s="74" t="s">
        <v>1039</v>
      </c>
      <c r="D217">
        <v>22.7</v>
      </c>
    </row>
    <row r="218" spans="1:4" hidden="1" x14ac:dyDescent="0.3">
      <c r="A218">
        <v>3</v>
      </c>
      <c r="B218" s="44" t="s">
        <v>1011</v>
      </c>
      <c r="C218" s="74" t="s">
        <v>941</v>
      </c>
      <c r="D218">
        <v>330.6</v>
      </c>
    </row>
    <row r="219" spans="1:4" hidden="1" x14ac:dyDescent="0.3">
      <c r="A219">
        <v>3</v>
      </c>
      <c r="B219" s="44" t="s">
        <v>1011</v>
      </c>
      <c r="C219" s="74" t="s">
        <v>1046</v>
      </c>
      <c r="D219">
        <v>11.7</v>
      </c>
    </row>
    <row r="220" spans="1:4" hidden="1" x14ac:dyDescent="0.3">
      <c r="A220">
        <v>3</v>
      </c>
      <c r="B220" s="44" t="s">
        <v>1011</v>
      </c>
      <c r="C220" s="74" t="s">
        <v>1045</v>
      </c>
      <c r="D220">
        <v>2.6</v>
      </c>
    </row>
    <row r="221" spans="1:4" hidden="1" x14ac:dyDescent="0.3">
      <c r="A221">
        <v>3</v>
      </c>
      <c r="B221" s="44" t="s">
        <v>1012</v>
      </c>
      <c r="C221" s="74" t="s">
        <v>878</v>
      </c>
      <c r="D221">
        <v>17.2</v>
      </c>
    </row>
    <row r="222" spans="1:4" hidden="1" x14ac:dyDescent="0.3">
      <c r="A222">
        <v>3</v>
      </c>
      <c r="B222" s="44" t="s">
        <v>1012</v>
      </c>
      <c r="C222" s="74" t="s">
        <v>1049</v>
      </c>
      <c r="D222">
        <v>9.1</v>
      </c>
    </row>
    <row r="223" spans="1:4" hidden="1" x14ac:dyDescent="0.3">
      <c r="A223">
        <v>3</v>
      </c>
      <c r="B223" s="44" t="s">
        <v>1012</v>
      </c>
      <c r="C223" s="74" t="s">
        <v>879</v>
      </c>
      <c r="D223">
        <v>58.4</v>
      </c>
    </row>
    <row r="224" spans="1:4" hidden="1" x14ac:dyDescent="0.3">
      <c r="A224">
        <v>3</v>
      </c>
      <c r="B224" s="44" t="s">
        <v>1012</v>
      </c>
      <c r="C224" s="74" t="s">
        <v>880</v>
      </c>
      <c r="D224">
        <v>2.2999999999999998</v>
      </c>
    </row>
    <row r="225" spans="1:4" hidden="1" x14ac:dyDescent="0.3">
      <c r="A225">
        <v>3</v>
      </c>
      <c r="B225" s="44" t="s">
        <v>1013</v>
      </c>
      <c r="C225" s="74" t="s">
        <v>878</v>
      </c>
      <c r="D225">
        <v>17.7</v>
      </c>
    </row>
    <row r="226" spans="1:4" hidden="1" x14ac:dyDescent="0.3">
      <c r="A226">
        <v>3</v>
      </c>
      <c r="B226" s="44" t="s">
        <v>1013</v>
      </c>
      <c r="C226" s="74" t="s">
        <v>882</v>
      </c>
      <c r="D226">
        <v>6.3</v>
      </c>
    </row>
    <row r="227" spans="1:4" hidden="1" x14ac:dyDescent="0.3">
      <c r="A227">
        <v>3</v>
      </c>
      <c r="B227" s="44" t="s">
        <v>1013</v>
      </c>
      <c r="C227" s="74" t="s">
        <v>879</v>
      </c>
      <c r="D227">
        <v>64</v>
      </c>
    </row>
    <row r="228" spans="1:4" hidden="1" x14ac:dyDescent="0.3">
      <c r="A228">
        <v>3</v>
      </c>
      <c r="B228" s="44" t="s">
        <v>1013</v>
      </c>
      <c r="C228" s="74" t="s">
        <v>880</v>
      </c>
      <c r="D228">
        <v>2.2999999999999998</v>
      </c>
    </row>
    <row r="229" spans="1:4" hidden="1" x14ac:dyDescent="0.3">
      <c r="A229">
        <v>3</v>
      </c>
      <c r="B229" s="44" t="s">
        <v>1014</v>
      </c>
      <c r="C229" s="74" t="s">
        <v>877</v>
      </c>
      <c r="D229">
        <v>28.3</v>
      </c>
    </row>
    <row r="230" spans="1:4" hidden="1" x14ac:dyDescent="0.3">
      <c r="A230">
        <v>3</v>
      </c>
      <c r="B230" s="44" t="s">
        <v>1015</v>
      </c>
      <c r="C230" s="74" t="s">
        <v>878</v>
      </c>
      <c r="D230">
        <v>8.3000000000000007</v>
      </c>
    </row>
    <row r="231" spans="1:4" hidden="1" x14ac:dyDescent="0.3">
      <c r="A231">
        <v>3</v>
      </c>
      <c r="B231" s="44" t="s">
        <v>1015</v>
      </c>
      <c r="C231" s="74" t="s">
        <v>881</v>
      </c>
      <c r="D231">
        <v>19.2</v>
      </c>
    </row>
    <row r="232" spans="1:4" hidden="1" x14ac:dyDescent="0.3">
      <c r="A232">
        <v>3</v>
      </c>
      <c r="B232" s="44" t="s">
        <v>1015</v>
      </c>
      <c r="C232" s="74" t="s">
        <v>882</v>
      </c>
      <c r="D232">
        <v>7</v>
      </c>
    </row>
    <row r="233" spans="1:4" hidden="1" x14ac:dyDescent="0.3">
      <c r="A233">
        <v>3</v>
      </c>
      <c r="B233" s="44" t="s">
        <v>1016</v>
      </c>
      <c r="C233" s="74" t="s">
        <v>1042</v>
      </c>
      <c r="D233">
        <v>42.4</v>
      </c>
    </row>
    <row r="234" spans="1:4" hidden="1" x14ac:dyDescent="0.3">
      <c r="A234">
        <v>3</v>
      </c>
      <c r="B234" s="44" t="s">
        <v>1017</v>
      </c>
      <c r="C234" s="74" t="s">
        <v>1042</v>
      </c>
      <c r="D234">
        <v>107.8</v>
      </c>
    </row>
    <row r="235" spans="1:4" hidden="1" x14ac:dyDescent="0.3">
      <c r="A235">
        <v>3</v>
      </c>
      <c r="B235" s="44" t="s">
        <v>1018</v>
      </c>
      <c r="C235" s="74" t="s">
        <v>941</v>
      </c>
      <c r="D235">
        <v>196.9</v>
      </c>
    </row>
    <row r="236" spans="1:4" hidden="1" x14ac:dyDescent="0.3">
      <c r="A236">
        <v>3</v>
      </c>
      <c r="B236" s="44" t="s">
        <v>1019</v>
      </c>
      <c r="C236" s="74" t="s">
        <v>1042</v>
      </c>
      <c r="D236">
        <v>90.5</v>
      </c>
    </row>
    <row r="237" spans="1:4" hidden="1" x14ac:dyDescent="0.3">
      <c r="A237">
        <v>3</v>
      </c>
      <c r="B237" s="44" t="s">
        <v>1019</v>
      </c>
      <c r="C237" s="74" t="s">
        <v>881</v>
      </c>
      <c r="D237">
        <v>1</v>
      </c>
    </row>
    <row r="238" spans="1:4" hidden="1" x14ac:dyDescent="0.3">
      <c r="A238">
        <v>3</v>
      </c>
      <c r="B238" s="44" t="s">
        <v>1020</v>
      </c>
      <c r="C238" s="74" t="s">
        <v>1042</v>
      </c>
      <c r="D238">
        <v>161</v>
      </c>
    </row>
    <row r="239" spans="1:4" hidden="1" x14ac:dyDescent="0.3">
      <c r="A239">
        <v>3</v>
      </c>
      <c r="B239" s="44" t="s">
        <v>1020</v>
      </c>
      <c r="C239" s="74" t="s">
        <v>1052</v>
      </c>
      <c r="D239">
        <v>23.2</v>
      </c>
    </row>
    <row r="240" spans="1:4" hidden="1" x14ac:dyDescent="0.3">
      <c r="A240">
        <v>3</v>
      </c>
      <c r="B240" s="44" t="s">
        <v>1020</v>
      </c>
      <c r="C240" s="74" t="s">
        <v>881</v>
      </c>
      <c r="D240">
        <v>2.9</v>
      </c>
    </row>
    <row r="241" spans="1:4" hidden="1" x14ac:dyDescent="0.3">
      <c r="A241">
        <v>3</v>
      </c>
      <c r="B241" s="44" t="s">
        <v>1021</v>
      </c>
      <c r="C241" s="74" t="s">
        <v>941</v>
      </c>
      <c r="D241">
        <v>333.3</v>
      </c>
    </row>
    <row r="242" spans="1:4" hidden="1" x14ac:dyDescent="0.3">
      <c r="A242">
        <v>3</v>
      </c>
      <c r="B242" s="44" t="s">
        <v>1022</v>
      </c>
      <c r="C242" s="74" t="s">
        <v>1042</v>
      </c>
      <c r="D242">
        <v>87.5</v>
      </c>
    </row>
    <row r="243" spans="1:4" hidden="1" x14ac:dyDescent="0.3">
      <c r="A243">
        <v>3</v>
      </c>
      <c r="B243" s="44" t="s">
        <v>1023</v>
      </c>
      <c r="C243" s="74" t="s">
        <v>941</v>
      </c>
      <c r="D243">
        <v>257.10000000000002</v>
      </c>
    </row>
    <row r="244" spans="1:4" hidden="1" x14ac:dyDescent="0.3">
      <c r="A244">
        <v>3</v>
      </c>
      <c r="B244" s="44" t="s">
        <v>1024</v>
      </c>
      <c r="C244" s="74" t="s">
        <v>1042</v>
      </c>
      <c r="D244">
        <v>140</v>
      </c>
    </row>
    <row r="245" spans="1:4" hidden="1" x14ac:dyDescent="0.3">
      <c r="A245">
        <v>3</v>
      </c>
      <c r="B245" s="44" t="s">
        <v>1024</v>
      </c>
      <c r="C245" s="74" t="s">
        <v>881</v>
      </c>
      <c r="D245">
        <v>2.6</v>
      </c>
    </row>
    <row r="246" spans="1:4" hidden="1" x14ac:dyDescent="0.3">
      <c r="A246">
        <v>3</v>
      </c>
      <c r="B246" s="44" t="s">
        <v>1025</v>
      </c>
      <c r="C246" s="74" t="s">
        <v>878</v>
      </c>
      <c r="D246">
        <v>14.4</v>
      </c>
    </row>
    <row r="247" spans="1:4" hidden="1" x14ac:dyDescent="0.3">
      <c r="A247">
        <v>3</v>
      </c>
      <c r="B247" s="44" t="s">
        <v>1025</v>
      </c>
      <c r="C247" s="74" t="s">
        <v>882</v>
      </c>
      <c r="D247">
        <v>8.1</v>
      </c>
    </row>
    <row r="248" spans="1:4" hidden="1" x14ac:dyDescent="0.3">
      <c r="A248">
        <v>3</v>
      </c>
      <c r="B248" s="44" t="s">
        <v>1025</v>
      </c>
      <c r="C248" s="74" t="s">
        <v>879</v>
      </c>
      <c r="D248">
        <v>36.9</v>
      </c>
    </row>
    <row r="249" spans="1:4" hidden="1" x14ac:dyDescent="0.3">
      <c r="A249">
        <v>3</v>
      </c>
      <c r="B249" s="44" t="s">
        <v>1025</v>
      </c>
      <c r="C249" s="74" t="s">
        <v>880</v>
      </c>
      <c r="D249">
        <v>2.1</v>
      </c>
    </row>
    <row r="250" spans="1:4" hidden="1" x14ac:dyDescent="0.3">
      <c r="A250">
        <v>3</v>
      </c>
      <c r="B250" s="44" t="s">
        <v>1026</v>
      </c>
      <c r="C250" s="74" t="s">
        <v>878</v>
      </c>
      <c r="D250">
        <v>7</v>
      </c>
    </row>
    <row r="251" spans="1:4" hidden="1" x14ac:dyDescent="0.3">
      <c r="A251">
        <v>3</v>
      </c>
      <c r="B251" s="44" t="s">
        <v>1026</v>
      </c>
      <c r="C251" s="74" t="s">
        <v>882</v>
      </c>
      <c r="D251">
        <v>8.6999999999999993</v>
      </c>
    </row>
    <row r="252" spans="1:4" hidden="1" x14ac:dyDescent="0.3">
      <c r="A252">
        <v>3</v>
      </c>
      <c r="B252" s="44" t="s">
        <v>1026</v>
      </c>
      <c r="C252" s="74" t="s">
        <v>879</v>
      </c>
      <c r="D252">
        <v>19.7</v>
      </c>
    </row>
    <row r="253" spans="1:4" hidden="1" x14ac:dyDescent="0.3">
      <c r="A253">
        <v>3</v>
      </c>
      <c r="B253" s="44" t="s">
        <v>1026</v>
      </c>
      <c r="C253" s="74" t="s">
        <v>880</v>
      </c>
      <c r="D253">
        <v>0.6</v>
      </c>
    </row>
    <row r="254" spans="1:4" hidden="1" x14ac:dyDescent="0.3">
      <c r="A254">
        <v>3</v>
      </c>
      <c r="B254" s="44" t="s">
        <v>1027</v>
      </c>
      <c r="C254" s="74" t="s">
        <v>941</v>
      </c>
      <c r="D254">
        <v>98</v>
      </c>
    </row>
    <row r="255" spans="1:4" hidden="1" x14ac:dyDescent="0.3">
      <c r="A255">
        <v>3</v>
      </c>
      <c r="B255" s="44" t="s">
        <v>1027</v>
      </c>
      <c r="C255" s="74" t="s">
        <v>1039</v>
      </c>
      <c r="D255">
        <v>26.6</v>
      </c>
    </row>
    <row r="256" spans="1:4" hidden="1" x14ac:dyDescent="0.3">
      <c r="A256">
        <v>3</v>
      </c>
      <c r="B256" s="44" t="s">
        <v>1027</v>
      </c>
      <c r="C256" s="74" t="s">
        <v>881</v>
      </c>
      <c r="D256">
        <v>1</v>
      </c>
    </row>
    <row r="257" spans="1:4" hidden="1" x14ac:dyDescent="0.3">
      <c r="A257">
        <v>3</v>
      </c>
      <c r="B257" s="44" t="s">
        <v>1028</v>
      </c>
      <c r="C257" s="74" t="s">
        <v>1042</v>
      </c>
      <c r="D257">
        <v>46</v>
      </c>
    </row>
    <row r="258" spans="1:4" hidden="1" x14ac:dyDescent="0.3">
      <c r="A258">
        <v>3</v>
      </c>
      <c r="B258" s="44" t="s">
        <v>1029</v>
      </c>
      <c r="C258" s="74" t="s">
        <v>941</v>
      </c>
      <c r="D258">
        <v>46</v>
      </c>
    </row>
    <row r="259" spans="1:4" hidden="1" x14ac:dyDescent="0.3">
      <c r="A259">
        <v>3</v>
      </c>
      <c r="B259" s="44" t="s">
        <v>1029</v>
      </c>
      <c r="C259" s="74" t="s">
        <v>1042</v>
      </c>
      <c r="D259">
        <v>17.8</v>
      </c>
    </row>
    <row r="260" spans="1:4" hidden="1" x14ac:dyDescent="0.3">
      <c r="A260">
        <v>3</v>
      </c>
      <c r="B260" s="44" t="s">
        <v>1030</v>
      </c>
      <c r="C260" s="74" t="s">
        <v>1042</v>
      </c>
      <c r="D260">
        <v>56.9</v>
      </c>
    </row>
    <row r="261" spans="1:4" hidden="1" x14ac:dyDescent="0.3">
      <c r="A261">
        <v>3</v>
      </c>
      <c r="B261" s="44" t="s">
        <v>1031</v>
      </c>
      <c r="C261" s="74" t="s">
        <v>1042</v>
      </c>
      <c r="D261">
        <v>53.7</v>
      </c>
    </row>
    <row r="262" spans="1:4" hidden="1" x14ac:dyDescent="0.3">
      <c r="A262">
        <v>3</v>
      </c>
      <c r="B262" s="44" t="s">
        <v>1032</v>
      </c>
      <c r="C262" s="74" t="s">
        <v>1042</v>
      </c>
      <c r="D262">
        <v>194.3</v>
      </c>
    </row>
    <row r="263" spans="1:4" hidden="1" x14ac:dyDescent="0.3">
      <c r="A263">
        <v>3</v>
      </c>
      <c r="B263" s="44" t="s">
        <v>1033</v>
      </c>
      <c r="C263" s="74" t="s">
        <v>878</v>
      </c>
      <c r="D263">
        <v>14.7</v>
      </c>
    </row>
    <row r="264" spans="1:4" hidden="1" x14ac:dyDescent="0.3">
      <c r="A264">
        <v>3</v>
      </c>
      <c r="B264" s="44" t="s">
        <v>1033</v>
      </c>
      <c r="C264" s="74" t="s">
        <v>1049</v>
      </c>
      <c r="D264">
        <v>6.2</v>
      </c>
    </row>
    <row r="265" spans="1:4" hidden="1" x14ac:dyDescent="0.3">
      <c r="A265">
        <v>3</v>
      </c>
      <c r="B265" s="44" t="s">
        <v>1033</v>
      </c>
      <c r="C265" s="74" t="s">
        <v>879</v>
      </c>
      <c r="D265">
        <v>38.5</v>
      </c>
    </row>
    <row r="266" spans="1:4" hidden="1" x14ac:dyDescent="0.3">
      <c r="A266">
        <v>3</v>
      </c>
      <c r="B266" s="44" t="s">
        <v>1033</v>
      </c>
      <c r="C266" s="74" t="s">
        <v>880</v>
      </c>
      <c r="D266">
        <v>1.1000000000000001</v>
      </c>
    </row>
    <row r="267" spans="1:4" hidden="1" x14ac:dyDescent="0.3">
      <c r="A267">
        <v>3</v>
      </c>
      <c r="B267" s="44" t="s">
        <v>1034</v>
      </c>
      <c r="C267" s="74" t="s">
        <v>941</v>
      </c>
      <c r="D267">
        <v>195.7</v>
      </c>
    </row>
    <row r="268" spans="1:4" hidden="1" x14ac:dyDescent="0.3">
      <c r="A268">
        <v>3</v>
      </c>
      <c r="B268" s="44" t="s">
        <v>1034</v>
      </c>
      <c r="C268" s="74" t="s">
        <v>1047</v>
      </c>
      <c r="D268">
        <v>10</v>
      </c>
    </row>
    <row r="269" spans="1:4" hidden="1" x14ac:dyDescent="0.3">
      <c r="A269">
        <v>3</v>
      </c>
      <c r="B269" s="44" t="s">
        <v>1035</v>
      </c>
      <c r="C269" s="74" t="s">
        <v>1042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15" zoomScaleNormal="115" workbookViewId="0">
      <selection activeCell="B3" sqref="B3:E3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35" t="s">
        <v>1192</v>
      </c>
      <c r="B1" s="235"/>
      <c r="C1" s="235"/>
      <c r="D1" s="235"/>
      <c r="E1" s="235"/>
      <c r="F1" s="235"/>
      <c r="G1" s="235"/>
    </row>
    <row r="2" spans="1:7" s="119" customFormat="1" x14ac:dyDescent="0.3">
      <c r="A2" s="118" t="s">
        <v>829</v>
      </c>
      <c r="B2" s="226" t="s">
        <v>7</v>
      </c>
      <c r="C2" s="261"/>
      <c r="D2" s="261"/>
      <c r="E2" s="227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6" t="s">
        <v>1081</v>
      </c>
      <c r="C3" s="260"/>
      <c r="D3" s="260"/>
      <c r="E3" s="207"/>
      <c r="F3" s="115" t="s">
        <v>19</v>
      </c>
      <c r="G3" s="116">
        <v>30.4</v>
      </c>
    </row>
    <row r="4" spans="1:7" ht="48.6" customHeight="1" x14ac:dyDescent="0.3">
      <c r="A4" s="140">
        <v>2</v>
      </c>
      <c r="B4" s="206" t="s">
        <v>1081</v>
      </c>
      <c r="C4" s="260"/>
      <c r="D4" s="260"/>
      <c r="E4" s="207"/>
      <c r="F4" s="141" t="s">
        <v>19</v>
      </c>
      <c r="G4" s="142">
        <v>0.7</v>
      </c>
    </row>
    <row r="5" spans="1:7" ht="50.4" customHeight="1" x14ac:dyDescent="0.3">
      <c r="A5" s="114">
        <v>3</v>
      </c>
      <c r="B5" s="206" t="s">
        <v>1081</v>
      </c>
      <c r="C5" s="260"/>
      <c r="D5" s="260"/>
      <c r="E5" s="207"/>
      <c r="F5" s="115" t="s">
        <v>19</v>
      </c>
      <c r="G5" s="116">
        <v>61.3</v>
      </c>
    </row>
    <row r="6" spans="1:7" ht="48.6" customHeight="1" x14ac:dyDescent="0.3">
      <c r="A6" s="140">
        <v>4</v>
      </c>
      <c r="B6" s="272" t="s">
        <v>1081</v>
      </c>
      <c r="C6" s="273"/>
      <c r="D6" s="273"/>
      <c r="E6" s="274"/>
      <c r="F6" s="141" t="s">
        <v>19</v>
      </c>
      <c r="G6" s="142">
        <v>30.9</v>
      </c>
    </row>
  </sheetData>
  <mergeCells count="6">
    <mergeCell ref="B6:E6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115" zoomScaleNormal="115" workbookViewId="0">
      <selection activeCell="C6" sqref="C6"/>
    </sheetView>
  </sheetViews>
  <sheetFormatPr defaultRowHeight="15.6" x14ac:dyDescent="0.3"/>
  <cols>
    <col min="1" max="1" width="7.44140625" style="136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35" t="s">
        <v>1192</v>
      </c>
      <c r="B1" s="235"/>
      <c r="C1" s="235"/>
      <c r="D1" s="235"/>
      <c r="E1" s="235"/>
      <c r="F1" s="235"/>
      <c r="G1" s="235"/>
    </row>
    <row r="2" spans="1:7" s="119" customFormat="1" x14ac:dyDescent="0.3">
      <c r="A2" s="118" t="s">
        <v>829</v>
      </c>
      <c r="B2" s="226" t="s">
        <v>7</v>
      </c>
      <c r="C2" s="261"/>
      <c r="D2" s="261"/>
      <c r="E2" s="227"/>
      <c r="F2" s="37" t="s">
        <v>10</v>
      </c>
      <c r="G2" s="117" t="s">
        <v>830</v>
      </c>
    </row>
    <row r="3" spans="1:7" ht="50.4" customHeight="1" x14ac:dyDescent="0.3">
      <c r="A3" s="114">
        <v>1</v>
      </c>
      <c r="B3" s="206" t="s">
        <v>1070</v>
      </c>
      <c r="C3" s="260"/>
      <c r="D3" s="260"/>
      <c r="E3" s="207"/>
      <c r="F3" s="115" t="s">
        <v>19</v>
      </c>
      <c r="G3" s="116">
        <v>1.3</v>
      </c>
    </row>
    <row r="4" spans="1:7" ht="48.6" customHeight="1" x14ac:dyDescent="0.3">
      <c r="A4" s="140">
        <v>2</v>
      </c>
      <c r="B4" s="272" t="s">
        <v>1070</v>
      </c>
      <c r="C4" s="273"/>
      <c r="D4" s="273"/>
      <c r="E4" s="274"/>
      <c r="F4" s="141" t="s">
        <v>19</v>
      </c>
      <c r="G4" s="142">
        <v>0.2</v>
      </c>
    </row>
  </sheetData>
  <mergeCells count="4">
    <mergeCell ref="A1:G1"/>
    <mergeCell ref="B2:E2"/>
    <mergeCell ref="B3:E3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15" zoomScaleNormal="115" workbookViewId="0">
      <selection activeCell="J16" sqref="J16"/>
    </sheetView>
  </sheetViews>
  <sheetFormatPr defaultRowHeight="15.6" x14ac:dyDescent="0.3"/>
  <cols>
    <col min="1" max="1" width="7.44140625" style="113" customWidth="1"/>
    <col min="2" max="2" width="12.33203125" style="112" customWidth="1"/>
    <col min="3" max="4" width="12.109375" style="112" customWidth="1"/>
    <col min="5" max="5" width="13.33203125" style="112" customWidth="1"/>
    <col min="6" max="6" width="10.5546875" style="112" customWidth="1"/>
    <col min="7" max="7" width="8.88671875" style="112" customWidth="1"/>
    <col min="8" max="16384" width="8.88671875" style="112"/>
  </cols>
  <sheetData>
    <row r="1" spans="1:7" x14ac:dyDescent="0.3">
      <c r="A1" s="235" t="s">
        <v>1192</v>
      </c>
      <c r="B1" s="235"/>
      <c r="C1" s="235"/>
      <c r="D1" s="235"/>
      <c r="E1" s="235"/>
      <c r="F1" s="235"/>
      <c r="G1" s="235"/>
    </row>
    <row r="2" spans="1:7" s="119" customFormat="1" x14ac:dyDescent="0.3">
      <c r="A2" s="118" t="s">
        <v>829</v>
      </c>
      <c r="B2" s="226" t="s">
        <v>7</v>
      </c>
      <c r="C2" s="261"/>
      <c r="D2" s="261"/>
      <c r="E2" s="227"/>
      <c r="F2" s="37" t="s">
        <v>10</v>
      </c>
      <c r="G2" s="117" t="s">
        <v>830</v>
      </c>
    </row>
    <row r="3" spans="1:7" ht="50.4" customHeight="1" x14ac:dyDescent="0.3">
      <c r="A3" s="114">
        <v>1</v>
      </c>
      <c r="B3" s="206" t="s">
        <v>1070</v>
      </c>
      <c r="C3" s="260"/>
      <c r="D3" s="260"/>
      <c r="E3" s="207"/>
      <c r="F3" s="115" t="s">
        <v>19</v>
      </c>
      <c r="G3" s="116">
        <f>B17</f>
        <v>21.897842499999996</v>
      </c>
    </row>
    <row r="4" spans="1:7" ht="30.6" customHeight="1" x14ac:dyDescent="0.3">
      <c r="A4" s="127">
        <v>2</v>
      </c>
      <c r="B4" s="220" t="s">
        <v>1076</v>
      </c>
      <c r="C4" s="277"/>
      <c r="D4" s="277"/>
      <c r="E4" s="221"/>
      <c r="F4" s="128" t="s">
        <v>1075</v>
      </c>
      <c r="G4" s="132">
        <v>2.3E-2</v>
      </c>
    </row>
    <row r="5" spans="1:7" x14ac:dyDescent="0.3">
      <c r="A5" s="257"/>
      <c r="B5" s="257"/>
      <c r="C5" s="257"/>
      <c r="D5" s="257"/>
      <c r="E5" s="257"/>
      <c r="F5" s="257"/>
      <c r="G5" s="257"/>
    </row>
    <row r="6" spans="1:7" s="120" customFormat="1" ht="37.799999999999997" customHeight="1" x14ac:dyDescent="0.3">
      <c r="A6" s="122" t="s">
        <v>829</v>
      </c>
      <c r="B6" s="123" t="s">
        <v>1077</v>
      </c>
      <c r="C6" s="275"/>
      <c r="D6" s="276"/>
      <c r="E6" s="276"/>
      <c r="F6" s="276"/>
      <c r="G6" s="276"/>
    </row>
    <row r="7" spans="1:7" x14ac:dyDescent="0.3">
      <c r="A7" s="124">
        <v>1</v>
      </c>
      <c r="B7" s="133">
        <f>7.72-0.525</f>
        <v>7.1949999999999994</v>
      </c>
      <c r="C7" s="275"/>
      <c r="D7" s="276"/>
      <c r="E7" s="276"/>
      <c r="F7" s="276"/>
      <c r="G7" s="276"/>
    </row>
    <row r="8" spans="1:7" x14ac:dyDescent="0.3">
      <c r="A8" s="124">
        <v>2</v>
      </c>
      <c r="B8" s="133">
        <f>0.6125*3.15-1.8821*1.1*0.25</f>
        <v>1.4117975</v>
      </c>
      <c r="C8" s="275"/>
      <c r="D8" s="276"/>
      <c r="E8" s="276"/>
      <c r="F8" s="276"/>
      <c r="G8" s="276"/>
    </row>
    <row r="9" spans="1:7" x14ac:dyDescent="0.3">
      <c r="A9" s="124">
        <v>3</v>
      </c>
      <c r="B9" s="133">
        <f>0.696*3.15-0.7*2.1*0.12*4</f>
        <v>1.4867999999999997</v>
      </c>
      <c r="C9" s="275"/>
      <c r="D9" s="276"/>
      <c r="E9" s="276"/>
      <c r="F9" s="276"/>
      <c r="G9" s="276"/>
    </row>
    <row r="10" spans="1:7" x14ac:dyDescent="0.3">
      <c r="A10" s="124">
        <v>4</v>
      </c>
      <c r="B10" s="133">
        <f>0.5625*3.15-0.156</f>
        <v>1.615875</v>
      </c>
      <c r="C10" s="275"/>
      <c r="D10" s="276"/>
      <c r="E10" s="276"/>
      <c r="F10" s="276"/>
      <c r="G10" s="276"/>
    </row>
    <row r="11" spans="1:7" x14ac:dyDescent="0.3">
      <c r="A11" s="124">
        <v>5</v>
      </c>
      <c r="B11" s="133">
        <f>0.4188*3.15--0.7*2.1*0.12*2</f>
        <v>1.6720200000000001</v>
      </c>
      <c r="C11" s="275"/>
      <c r="D11" s="276"/>
      <c r="E11" s="276"/>
      <c r="F11" s="276"/>
      <c r="G11" s="276"/>
    </row>
    <row r="12" spans="1:7" x14ac:dyDescent="0.3">
      <c r="A12" s="124">
        <v>6</v>
      </c>
      <c r="B12" s="133">
        <f>0.45*3.15-1*2.2*0.25</f>
        <v>0.86749999999999994</v>
      </c>
      <c r="C12" s="275"/>
      <c r="D12" s="276"/>
      <c r="E12" s="276"/>
      <c r="F12" s="276"/>
      <c r="G12" s="276"/>
    </row>
    <row r="13" spans="1:7" x14ac:dyDescent="0.3">
      <c r="A13" s="124">
        <v>7</v>
      </c>
      <c r="B13" s="133">
        <f>0.125*3.15+0.0375*3.15</f>
        <v>0.51187499999999997</v>
      </c>
      <c r="C13" s="275"/>
      <c r="D13" s="276"/>
      <c r="E13" s="276"/>
      <c r="F13" s="276"/>
      <c r="G13" s="276"/>
    </row>
    <row r="14" spans="1:7" x14ac:dyDescent="0.3">
      <c r="A14" s="134">
        <v>8</v>
      </c>
      <c r="B14" s="133">
        <f>0.45*3.15-1*2.2*0.25</f>
        <v>0.86749999999999994</v>
      </c>
      <c r="C14" s="275"/>
      <c r="D14" s="276"/>
      <c r="E14" s="276"/>
      <c r="F14" s="276"/>
      <c r="G14" s="276"/>
    </row>
    <row r="15" spans="1:7" x14ac:dyDescent="0.3">
      <c r="A15" s="134">
        <v>9</v>
      </c>
      <c r="B15" s="133">
        <f>3.9*3.15*0.25-0.25*2.1</f>
        <v>2.5462500000000001</v>
      </c>
      <c r="C15" s="275"/>
      <c r="D15" s="276"/>
      <c r="E15" s="276"/>
      <c r="F15" s="276"/>
      <c r="G15" s="276"/>
    </row>
    <row r="16" spans="1:7" x14ac:dyDescent="0.3">
      <c r="A16" s="134">
        <v>10</v>
      </c>
      <c r="B16" s="133">
        <f>0.9875*3.15-0.294*2.1+0.4*3.15-0.03</f>
        <v>3.7232250000000007</v>
      </c>
      <c r="C16" s="275"/>
      <c r="D16" s="276"/>
      <c r="E16" s="276"/>
      <c r="F16" s="276"/>
      <c r="G16" s="276"/>
    </row>
    <row r="17" spans="1:7" x14ac:dyDescent="0.3">
      <c r="A17" s="114" t="s">
        <v>1078</v>
      </c>
      <c r="B17" s="135">
        <f>SUM(B7:B16)</f>
        <v>21.897842499999996</v>
      </c>
      <c r="C17" s="275"/>
      <c r="D17" s="276"/>
      <c r="E17" s="276"/>
      <c r="F17" s="276"/>
      <c r="G17" s="276"/>
    </row>
  </sheetData>
  <mergeCells count="6">
    <mergeCell ref="C6:G17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B13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11" zoomScale="70" zoomScaleNormal="70" workbookViewId="0">
      <selection activeCell="A40" sqref="A40:XFD50"/>
    </sheetView>
  </sheetViews>
  <sheetFormatPr defaultRowHeight="15.6" x14ac:dyDescent="0.3"/>
  <cols>
    <col min="1" max="1" width="7.44140625" style="113" customWidth="1"/>
    <col min="2" max="2" width="10.33203125" style="113" customWidth="1"/>
    <col min="3" max="3" width="12.33203125" style="112" customWidth="1"/>
    <col min="4" max="5" width="12.109375" style="112" customWidth="1"/>
    <col min="6" max="6" width="13.33203125" style="112" customWidth="1"/>
    <col min="7" max="7" width="12.88671875" style="112" customWidth="1"/>
    <col min="8" max="8" width="11.44140625" style="112" customWidth="1"/>
    <col min="9" max="9" width="13" style="112" customWidth="1"/>
    <col min="10" max="10" width="10.5546875" style="112" customWidth="1"/>
    <col min="11" max="11" width="11.33203125" style="112" customWidth="1"/>
    <col min="12" max="16384" width="8.88671875" style="112"/>
  </cols>
  <sheetData>
    <row r="1" spans="1:11" x14ac:dyDescent="0.3">
      <c r="A1" s="235" t="s">
        <v>1192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</row>
    <row r="2" spans="1:11" s="119" customFormat="1" ht="31.2" x14ac:dyDescent="0.3">
      <c r="A2" s="118" t="s">
        <v>829</v>
      </c>
      <c r="B2" s="37" t="s">
        <v>1079</v>
      </c>
      <c r="C2" s="226" t="s">
        <v>7</v>
      </c>
      <c r="D2" s="261"/>
      <c r="E2" s="261"/>
      <c r="F2" s="227"/>
      <c r="G2" s="226" t="s">
        <v>814</v>
      </c>
      <c r="H2" s="261"/>
      <c r="I2" s="227"/>
      <c r="J2" s="37" t="s">
        <v>10</v>
      </c>
      <c r="K2" s="117" t="s">
        <v>830</v>
      </c>
    </row>
    <row r="3" spans="1:11" ht="50.4" customHeight="1" x14ac:dyDescent="0.3">
      <c r="A3" s="114">
        <v>1</v>
      </c>
      <c r="B3" s="114">
        <v>72</v>
      </c>
      <c r="C3" s="206" t="s">
        <v>1072</v>
      </c>
      <c r="D3" s="260"/>
      <c r="E3" s="260"/>
      <c r="F3" s="207"/>
      <c r="G3" s="282" t="s">
        <v>1071</v>
      </c>
      <c r="H3" s="283"/>
      <c r="I3" s="284"/>
      <c r="J3" s="115" t="s">
        <v>15</v>
      </c>
      <c r="K3" s="116">
        <v>128.30000000000001</v>
      </c>
    </row>
    <row r="4" spans="1:11" ht="50.4" customHeight="1" x14ac:dyDescent="0.3">
      <c r="A4" s="127">
        <v>2</v>
      </c>
      <c r="B4" s="127">
        <v>78</v>
      </c>
      <c r="C4" s="220" t="s">
        <v>1072</v>
      </c>
      <c r="D4" s="277"/>
      <c r="E4" s="277"/>
      <c r="F4" s="221"/>
      <c r="G4" s="285" t="s">
        <v>1073</v>
      </c>
      <c r="H4" s="286"/>
      <c r="I4" s="287"/>
      <c r="J4" s="128" t="s">
        <v>15</v>
      </c>
      <c r="K4" s="129">
        <v>317.60000000000002</v>
      </c>
    </row>
    <row r="5" spans="1:11" ht="50.4" customHeight="1" x14ac:dyDescent="0.3">
      <c r="A5" s="114">
        <v>3</v>
      </c>
      <c r="B5" s="114">
        <v>84</v>
      </c>
      <c r="C5" s="206" t="s">
        <v>1072</v>
      </c>
      <c r="D5" s="260"/>
      <c r="E5" s="260"/>
      <c r="F5" s="207"/>
      <c r="G5" s="282" t="s">
        <v>1071</v>
      </c>
      <c r="H5" s="283"/>
      <c r="I5" s="284"/>
      <c r="J5" s="115" t="s">
        <v>15</v>
      </c>
      <c r="K5" s="116">
        <v>350.5</v>
      </c>
    </row>
    <row r="6" spans="1:11" ht="50.4" customHeight="1" x14ac:dyDescent="0.3">
      <c r="A6" s="127">
        <v>4</v>
      </c>
      <c r="B6" s="127">
        <v>90</v>
      </c>
      <c r="C6" s="220" t="s">
        <v>1072</v>
      </c>
      <c r="D6" s="277"/>
      <c r="E6" s="277"/>
      <c r="F6" s="221"/>
      <c r="G6" s="285" t="s">
        <v>1073</v>
      </c>
      <c r="H6" s="286"/>
      <c r="I6" s="287"/>
      <c r="J6" s="128" t="s">
        <v>15</v>
      </c>
      <c r="K6" s="129">
        <v>543.29999999999995</v>
      </c>
    </row>
    <row r="7" spans="1:11" ht="50.4" customHeight="1" x14ac:dyDescent="0.3">
      <c r="A7" s="114">
        <v>5</v>
      </c>
      <c r="B7" s="114">
        <v>96</v>
      </c>
      <c r="C7" s="206" t="s">
        <v>1072</v>
      </c>
      <c r="D7" s="260"/>
      <c r="E7" s="260"/>
      <c r="F7" s="207"/>
      <c r="G7" s="282" t="s">
        <v>1071</v>
      </c>
      <c r="H7" s="283"/>
      <c r="I7" s="284"/>
      <c r="J7" s="115" t="s">
        <v>15</v>
      </c>
      <c r="K7" s="116">
        <v>814.7</v>
      </c>
    </row>
    <row r="8" spans="1:11" ht="50.4" customHeight="1" x14ac:dyDescent="0.3">
      <c r="A8" s="127">
        <v>6</v>
      </c>
      <c r="B8" s="127">
        <v>102</v>
      </c>
      <c r="C8" s="220" t="s">
        <v>1072</v>
      </c>
      <c r="D8" s="277"/>
      <c r="E8" s="277"/>
      <c r="F8" s="221"/>
      <c r="G8" s="285" t="s">
        <v>1073</v>
      </c>
      <c r="H8" s="286"/>
      <c r="I8" s="287"/>
      <c r="J8" s="128" t="s">
        <v>15</v>
      </c>
      <c r="K8" s="129">
        <v>200.8</v>
      </c>
    </row>
    <row r="9" spans="1:11" x14ac:dyDescent="0.3">
      <c r="A9" s="257"/>
      <c r="B9" s="257"/>
      <c r="C9" s="257"/>
      <c r="D9" s="257"/>
      <c r="E9" s="257"/>
      <c r="F9" s="257"/>
      <c r="G9" s="257"/>
      <c r="H9" s="257"/>
      <c r="I9" s="257"/>
      <c r="J9" s="257"/>
      <c r="K9" s="257"/>
    </row>
    <row r="10" spans="1:11" s="120" customFormat="1" ht="37.799999999999997" customHeight="1" x14ac:dyDescent="0.3">
      <c r="A10" s="122" t="s">
        <v>829</v>
      </c>
      <c r="B10" s="122" t="s">
        <v>831</v>
      </c>
      <c r="C10" s="130" t="s">
        <v>1074</v>
      </c>
      <c r="D10" s="280"/>
      <c r="E10" s="123" t="s">
        <v>829</v>
      </c>
      <c r="F10" s="123" t="s">
        <v>831</v>
      </c>
      <c r="G10" s="130" t="s">
        <v>1074</v>
      </c>
      <c r="H10" s="246"/>
      <c r="I10" s="246"/>
      <c r="J10" s="246"/>
      <c r="K10" s="246"/>
    </row>
    <row r="11" spans="1:11" x14ac:dyDescent="0.3">
      <c r="A11" s="124">
        <v>1</v>
      </c>
      <c r="B11" s="124">
        <v>1002</v>
      </c>
      <c r="C11" s="125">
        <v>3.24</v>
      </c>
      <c r="D11" s="280"/>
      <c r="E11" s="121">
        <v>28</v>
      </c>
      <c r="F11" s="124">
        <v>1058</v>
      </c>
      <c r="G11" s="125">
        <v>19.399999999999999</v>
      </c>
      <c r="H11" s="246"/>
      <c r="I11" s="246"/>
      <c r="J11" s="246"/>
      <c r="K11" s="246"/>
    </row>
    <row r="12" spans="1:11" x14ac:dyDescent="0.3">
      <c r="A12" s="124">
        <v>2</v>
      </c>
      <c r="B12" s="124">
        <v>1003</v>
      </c>
      <c r="C12" s="125">
        <v>34.08</v>
      </c>
      <c r="D12" s="280"/>
      <c r="E12" s="121">
        <v>29</v>
      </c>
      <c r="F12" s="124">
        <v>1059</v>
      </c>
      <c r="G12" s="125">
        <v>19.399999999999999</v>
      </c>
      <c r="H12" s="246"/>
      <c r="I12" s="246"/>
      <c r="J12" s="246"/>
      <c r="K12" s="246"/>
    </row>
    <row r="13" spans="1:11" x14ac:dyDescent="0.3">
      <c r="A13" s="124">
        <v>5</v>
      </c>
      <c r="B13" s="124">
        <v>1010</v>
      </c>
      <c r="C13" s="125">
        <v>7.68</v>
      </c>
      <c r="D13" s="280"/>
      <c r="E13" s="121">
        <v>30</v>
      </c>
      <c r="F13" s="124">
        <v>1061</v>
      </c>
      <c r="G13" s="125">
        <v>48.199999999999996</v>
      </c>
      <c r="H13" s="246"/>
      <c r="I13" s="246"/>
      <c r="J13" s="246"/>
      <c r="K13" s="246"/>
    </row>
    <row r="14" spans="1:11" x14ac:dyDescent="0.3">
      <c r="A14" s="124">
        <v>6</v>
      </c>
      <c r="B14" s="124">
        <v>1013</v>
      </c>
      <c r="C14" s="125">
        <v>17.16</v>
      </c>
      <c r="D14" s="280"/>
      <c r="E14" s="121">
        <v>31</v>
      </c>
      <c r="F14" s="124">
        <v>1063</v>
      </c>
      <c r="G14" s="125">
        <v>35</v>
      </c>
      <c r="H14" s="246"/>
      <c r="I14" s="246"/>
      <c r="J14" s="246"/>
      <c r="K14" s="246"/>
    </row>
    <row r="15" spans="1:11" x14ac:dyDescent="0.3">
      <c r="A15" s="124">
        <v>7</v>
      </c>
      <c r="B15" s="124">
        <v>1014</v>
      </c>
      <c r="C15" s="125">
        <v>32.4</v>
      </c>
      <c r="D15" s="280"/>
      <c r="E15" s="121">
        <v>32</v>
      </c>
      <c r="F15" s="124">
        <v>1064</v>
      </c>
      <c r="G15" s="125">
        <v>18.2</v>
      </c>
      <c r="H15" s="246"/>
      <c r="I15" s="246"/>
      <c r="J15" s="246"/>
      <c r="K15" s="246"/>
    </row>
    <row r="16" spans="1:11" x14ac:dyDescent="0.3">
      <c r="A16" s="124">
        <v>8</v>
      </c>
      <c r="B16" s="124">
        <v>1015</v>
      </c>
      <c r="C16" s="125">
        <v>19.2</v>
      </c>
      <c r="D16" s="280"/>
      <c r="E16" s="121">
        <v>33</v>
      </c>
      <c r="F16" s="124">
        <v>1065</v>
      </c>
      <c r="G16" s="125">
        <v>9.1999999999999993</v>
      </c>
      <c r="H16" s="246"/>
      <c r="I16" s="246"/>
      <c r="J16" s="246"/>
      <c r="K16" s="246"/>
    </row>
    <row r="17" spans="1:11" x14ac:dyDescent="0.3">
      <c r="A17" s="124">
        <v>10</v>
      </c>
      <c r="B17" s="124">
        <v>1019</v>
      </c>
      <c r="C17" s="125">
        <v>32.4</v>
      </c>
      <c r="D17" s="280"/>
      <c r="E17" s="121">
        <v>34</v>
      </c>
      <c r="F17" s="124">
        <v>1066</v>
      </c>
      <c r="G17" s="125">
        <v>21.8</v>
      </c>
      <c r="H17" s="246"/>
      <c r="I17" s="246"/>
      <c r="J17" s="246"/>
      <c r="K17" s="246"/>
    </row>
    <row r="18" spans="1:11" x14ac:dyDescent="0.3">
      <c r="A18" s="124">
        <v>11</v>
      </c>
      <c r="B18" s="124">
        <v>1022</v>
      </c>
      <c r="C18" s="125">
        <v>49.199999999999996</v>
      </c>
      <c r="D18" s="280"/>
      <c r="E18" s="121">
        <v>35</v>
      </c>
      <c r="F18" s="124">
        <v>1069</v>
      </c>
      <c r="G18" s="125">
        <v>24.2</v>
      </c>
      <c r="H18" s="246"/>
      <c r="I18" s="246"/>
      <c r="J18" s="246"/>
      <c r="K18" s="246"/>
    </row>
    <row r="19" spans="1:11" x14ac:dyDescent="0.3">
      <c r="A19" s="124">
        <v>12</v>
      </c>
      <c r="B19" s="124">
        <v>1025</v>
      </c>
      <c r="C19" s="125">
        <v>15.6</v>
      </c>
      <c r="D19" s="280"/>
      <c r="E19" s="121">
        <v>36</v>
      </c>
      <c r="F19" s="124">
        <v>1070</v>
      </c>
      <c r="G19" s="125">
        <v>42.199999999999996</v>
      </c>
      <c r="H19" s="246"/>
      <c r="I19" s="246"/>
      <c r="J19" s="246"/>
      <c r="K19" s="246"/>
    </row>
    <row r="20" spans="1:11" x14ac:dyDescent="0.3">
      <c r="A20" s="124">
        <v>13</v>
      </c>
      <c r="B20" s="124">
        <v>1027</v>
      </c>
      <c r="C20" s="125">
        <v>21.599999999999998</v>
      </c>
      <c r="D20" s="280"/>
      <c r="E20" s="121">
        <v>37</v>
      </c>
      <c r="F20" s="124">
        <v>1072</v>
      </c>
      <c r="G20" s="125">
        <v>1.7599999999999998</v>
      </c>
      <c r="H20" s="246"/>
      <c r="I20" s="246"/>
      <c r="J20" s="246"/>
      <c r="K20" s="246"/>
    </row>
    <row r="21" spans="1:11" x14ac:dyDescent="0.3">
      <c r="A21" s="124">
        <v>14</v>
      </c>
      <c r="B21" s="124">
        <v>1028</v>
      </c>
      <c r="C21" s="125">
        <v>8.4</v>
      </c>
      <c r="D21" s="280"/>
      <c r="E21" s="121">
        <v>38</v>
      </c>
      <c r="F21" s="124">
        <v>1076</v>
      </c>
      <c r="G21" s="125">
        <v>29</v>
      </c>
      <c r="H21" s="246"/>
      <c r="I21" s="246"/>
      <c r="J21" s="246"/>
      <c r="K21" s="246"/>
    </row>
    <row r="22" spans="1:11" x14ac:dyDescent="0.3">
      <c r="A22" s="124">
        <v>15</v>
      </c>
      <c r="B22" s="124">
        <v>1029</v>
      </c>
      <c r="C22" s="125">
        <v>4.8</v>
      </c>
      <c r="D22" s="280"/>
      <c r="E22" s="121">
        <v>39</v>
      </c>
      <c r="F22" s="124">
        <v>1077</v>
      </c>
      <c r="G22" s="125">
        <v>23</v>
      </c>
      <c r="H22" s="246"/>
      <c r="I22" s="246"/>
      <c r="J22" s="246"/>
      <c r="K22" s="246"/>
    </row>
    <row r="23" spans="1:11" x14ac:dyDescent="0.3">
      <c r="A23" s="124">
        <v>16</v>
      </c>
      <c r="B23" s="124">
        <v>1031</v>
      </c>
      <c r="C23" s="125">
        <v>20.04</v>
      </c>
      <c r="D23" s="280"/>
      <c r="E23" s="121">
        <v>40</v>
      </c>
      <c r="F23" s="124">
        <v>1078</v>
      </c>
      <c r="G23" s="125">
        <v>14.839999999999998</v>
      </c>
      <c r="H23" s="246"/>
      <c r="I23" s="246"/>
      <c r="J23" s="246"/>
      <c r="K23" s="246"/>
    </row>
    <row r="24" spans="1:11" x14ac:dyDescent="0.3">
      <c r="A24" s="124">
        <v>17</v>
      </c>
      <c r="B24" s="124">
        <v>1033</v>
      </c>
      <c r="C24" s="125">
        <v>19.2</v>
      </c>
      <c r="D24" s="280"/>
      <c r="E24" s="121">
        <v>41</v>
      </c>
      <c r="F24" s="124">
        <v>1079</v>
      </c>
      <c r="G24" s="125">
        <v>2.5999999999999996</v>
      </c>
      <c r="H24" s="246"/>
      <c r="I24" s="246"/>
      <c r="J24" s="246"/>
      <c r="K24" s="246"/>
    </row>
    <row r="25" spans="1:11" x14ac:dyDescent="0.3">
      <c r="A25" s="124">
        <v>18</v>
      </c>
      <c r="B25" s="124">
        <v>1035</v>
      </c>
      <c r="C25" s="125">
        <v>42</v>
      </c>
      <c r="D25" s="280"/>
      <c r="E25" s="121">
        <v>42</v>
      </c>
      <c r="F25" s="124">
        <v>1081</v>
      </c>
      <c r="G25" s="125">
        <v>27.4</v>
      </c>
      <c r="H25" s="246"/>
      <c r="I25" s="246"/>
      <c r="J25" s="246"/>
      <c r="K25" s="246"/>
    </row>
    <row r="26" spans="1:11" x14ac:dyDescent="0.3">
      <c r="A26" s="124">
        <v>19</v>
      </c>
      <c r="B26" s="124">
        <v>1037</v>
      </c>
      <c r="C26" s="125">
        <v>27.599999999999998</v>
      </c>
      <c r="D26" s="280"/>
      <c r="E26" s="121">
        <v>43</v>
      </c>
      <c r="F26" s="124">
        <v>1082</v>
      </c>
      <c r="G26" s="125">
        <v>19.399999999999999</v>
      </c>
      <c r="H26" s="246"/>
      <c r="I26" s="246"/>
      <c r="J26" s="246"/>
      <c r="K26" s="246"/>
    </row>
    <row r="27" spans="1:11" x14ac:dyDescent="0.3">
      <c r="A27" s="124">
        <v>20</v>
      </c>
      <c r="B27" s="124">
        <v>1038</v>
      </c>
      <c r="C27" s="125">
        <v>26.4</v>
      </c>
      <c r="D27" s="280"/>
      <c r="E27" s="121">
        <v>44</v>
      </c>
      <c r="F27" s="124">
        <v>1084</v>
      </c>
      <c r="G27" s="126">
        <v>4.5</v>
      </c>
      <c r="H27" s="246"/>
      <c r="I27" s="246"/>
      <c r="J27" s="246"/>
      <c r="K27" s="246"/>
    </row>
    <row r="28" spans="1:11" x14ac:dyDescent="0.3">
      <c r="A28" s="124">
        <v>21</v>
      </c>
      <c r="B28" s="124">
        <v>1043</v>
      </c>
      <c r="C28" s="125">
        <v>16.8</v>
      </c>
      <c r="D28" s="280"/>
      <c r="E28" s="121">
        <v>45</v>
      </c>
      <c r="F28" s="124">
        <v>1087</v>
      </c>
      <c r="G28" s="125">
        <v>6.4399999999999995</v>
      </c>
      <c r="H28" s="246"/>
      <c r="I28" s="246"/>
      <c r="J28" s="246"/>
      <c r="K28" s="246"/>
    </row>
    <row r="29" spans="1:11" x14ac:dyDescent="0.3">
      <c r="A29" s="124">
        <v>22</v>
      </c>
      <c r="B29" s="124">
        <v>1046</v>
      </c>
      <c r="C29" s="125">
        <v>8.4</v>
      </c>
      <c r="D29" s="280"/>
      <c r="E29" s="121">
        <v>46</v>
      </c>
      <c r="F29" s="124">
        <v>1096</v>
      </c>
      <c r="G29" s="125">
        <v>30.2</v>
      </c>
      <c r="H29" s="246"/>
      <c r="I29" s="246"/>
      <c r="J29" s="246"/>
      <c r="K29" s="246"/>
    </row>
    <row r="30" spans="1:11" x14ac:dyDescent="0.3">
      <c r="A30" s="124">
        <v>23</v>
      </c>
      <c r="B30" s="124">
        <v>1049</v>
      </c>
      <c r="C30" s="125">
        <v>108</v>
      </c>
      <c r="D30" s="280"/>
      <c r="E30" s="121">
        <v>47</v>
      </c>
      <c r="F30" s="124">
        <v>1098</v>
      </c>
      <c r="G30" s="125">
        <v>23.24</v>
      </c>
      <c r="H30" s="246"/>
      <c r="I30" s="246"/>
      <c r="J30" s="246"/>
      <c r="K30" s="246"/>
    </row>
    <row r="31" spans="1:11" x14ac:dyDescent="0.3">
      <c r="A31" s="124">
        <v>24</v>
      </c>
      <c r="B31" s="124">
        <v>1051</v>
      </c>
      <c r="C31" s="125">
        <v>12.360000000000001</v>
      </c>
      <c r="D31" s="280"/>
      <c r="E31" s="121">
        <v>48</v>
      </c>
      <c r="F31" s="124">
        <v>1100</v>
      </c>
      <c r="G31" s="125">
        <v>5.24</v>
      </c>
      <c r="H31" s="246"/>
      <c r="I31" s="246"/>
      <c r="J31" s="246"/>
      <c r="K31" s="246"/>
    </row>
    <row r="32" spans="1:11" x14ac:dyDescent="0.3">
      <c r="A32" s="124">
        <v>25</v>
      </c>
      <c r="B32" s="124">
        <v>1053</v>
      </c>
      <c r="C32" s="125">
        <v>7.68</v>
      </c>
      <c r="D32" s="280"/>
      <c r="E32" s="121">
        <v>49</v>
      </c>
      <c r="F32" s="124">
        <v>1101</v>
      </c>
      <c r="G32" s="125">
        <v>9.7999999999999989</v>
      </c>
      <c r="H32" s="246"/>
      <c r="I32" s="246"/>
      <c r="J32" s="246"/>
      <c r="K32" s="246"/>
    </row>
    <row r="33" spans="1:11" x14ac:dyDescent="0.3">
      <c r="A33" s="124">
        <v>26</v>
      </c>
      <c r="B33" s="124">
        <v>1054</v>
      </c>
      <c r="C33" s="125">
        <v>36</v>
      </c>
      <c r="D33" s="280"/>
      <c r="E33" s="121">
        <v>50</v>
      </c>
      <c r="F33" s="124">
        <v>1102</v>
      </c>
      <c r="G33" s="125">
        <v>9.7999999999999989</v>
      </c>
      <c r="H33" s="246"/>
      <c r="I33" s="246"/>
      <c r="J33" s="246"/>
      <c r="K33" s="246"/>
    </row>
    <row r="34" spans="1:11" x14ac:dyDescent="0.3">
      <c r="A34" s="138"/>
      <c r="B34" s="138"/>
      <c r="C34" s="131">
        <f>SUM(C11:C33)</f>
        <v>570.24</v>
      </c>
      <c r="D34" s="280"/>
      <c r="E34" s="121">
        <v>51</v>
      </c>
      <c r="F34" s="124">
        <v>1104</v>
      </c>
      <c r="G34" s="125">
        <v>20.599999999999998</v>
      </c>
      <c r="H34" s="246"/>
      <c r="I34" s="246"/>
      <c r="J34" s="246"/>
      <c r="K34" s="246"/>
    </row>
    <row r="35" spans="1:11" x14ac:dyDescent="0.3">
      <c r="A35" s="281"/>
      <c r="B35" s="281"/>
      <c r="C35" s="281"/>
      <c r="D35" s="280"/>
      <c r="E35" s="121">
        <v>52</v>
      </c>
      <c r="F35" s="124">
        <v>1105</v>
      </c>
      <c r="G35" s="125">
        <v>8.6</v>
      </c>
      <c r="H35" s="246"/>
      <c r="I35" s="246"/>
      <c r="J35" s="246"/>
      <c r="K35" s="246"/>
    </row>
    <row r="36" spans="1:11" x14ac:dyDescent="0.3">
      <c r="A36" s="281"/>
      <c r="B36" s="281"/>
      <c r="C36" s="281"/>
      <c r="D36" s="280"/>
      <c r="E36" s="121">
        <v>54</v>
      </c>
      <c r="F36" s="124">
        <v>1109</v>
      </c>
      <c r="G36" s="125">
        <v>9.7999999999999989</v>
      </c>
      <c r="H36" s="246"/>
      <c r="I36" s="246"/>
      <c r="J36" s="246"/>
      <c r="K36" s="246"/>
    </row>
    <row r="37" spans="1:11" x14ac:dyDescent="0.3">
      <c r="A37" s="281"/>
      <c r="B37" s="281"/>
      <c r="C37" s="281"/>
      <c r="D37" s="280"/>
      <c r="E37" s="121">
        <v>55</v>
      </c>
      <c r="F37" s="124">
        <v>1112</v>
      </c>
      <c r="G37" s="125">
        <v>7.6400000000000006</v>
      </c>
      <c r="H37" s="246"/>
      <c r="I37" s="246"/>
      <c r="J37" s="246"/>
      <c r="K37" s="246"/>
    </row>
    <row r="38" spans="1:11" x14ac:dyDescent="0.3">
      <c r="A38" s="278"/>
      <c r="B38" s="278"/>
      <c r="C38" s="278"/>
      <c r="D38" s="278"/>
      <c r="E38" s="278"/>
      <c r="F38" s="279"/>
      <c r="G38" s="125">
        <f>SUM(G11:G37)</f>
        <v>491.46</v>
      </c>
      <c r="H38" s="246"/>
      <c r="I38" s="246"/>
      <c r="J38" s="246"/>
      <c r="K38" s="246"/>
    </row>
    <row r="39" spans="1:11" x14ac:dyDescent="0.3">
      <c r="A39" s="209" t="s">
        <v>1080</v>
      </c>
      <c r="B39" s="209"/>
      <c r="C39" s="209"/>
      <c r="D39" s="139">
        <f>C34+G38</f>
        <v>1061.7</v>
      </c>
      <c r="E39" s="256"/>
      <c r="F39" s="246"/>
      <c r="G39" s="246"/>
      <c r="H39" s="246"/>
      <c r="I39" s="246"/>
      <c r="J39" s="246"/>
      <c r="K39" s="246"/>
    </row>
  </sheetData>
  <mergeCells count="22">
    <mergeCell ref="C8:F8"/>
    <mergeCell ref="C2:F2"/>
    <mergeCell ref="G2:I2"/>
    <mergeCell ref="G3:I3"/>
    <mergeCell ref="G4:I4"/>
    <mergeCell ref="G5:I5"/>
    <mergeCell ref="G6:I6"/>
    <mergeCell ref="G8:I8"/>
    <mergeCell ref="C7:F7"/>
    <mergeCell ref="G7:I7"/>
    <mergeCell ref="A1:K1"/>
    <mergeCell ref="C3:F3"/>
    <mergeCell ref="C4:F4"/>
    <mergeCell ref="C5:F5"/>
    <mergeCell ref="C6:F6"/>
    <mergeCell ref="H10:K39"/>
    <mergeCell ref="A9:K9"/>
    <mergeCell ref="A38:F38"/>
    <mergeCell ref="D10:D37"/>
    <mergeCell ref="A35:C37"/>
    <mergeCell ref="E39:G39"/>
    <mergeCell ref="A39:C39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F10" sqref="F1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35" t="s">
        <v>1192</v>
      </c>
      <c r="B1" s="235"/>
      <c r="C1" s="235"/>
      <c r="D1" s="235"/>
      <c r="E1" s="235"/>
      <c r="F1" s="235"/>
      <c r="G1" s="235"/>
      <c r="H1" s="235"/>
      <c r="I1" s="235"/>
      <c r="J1" s="35"/>
      <c r="K1" s="35"/>
    </row>
    <row r="2" spans="1:11" ht="31.2" x14ac:dyDescent="0.3">
      <c r="A2" s="36" t="s">
        <v>829</v>
      </c>
      <c r="B2" s="294" t="s">
        <v>7</v>
      </c>
      <c r="C2" s="295"/>
      <c r="D2" s="295"/>
      <c r="E2" s="295"/>
      <c r="F2" s="295"/>
      <c r="G2" s="296"/>
      <c r="H2" s="297" t="s">
        <v>814</v>
      </c>
      <c r="I2" s="298"/>
      <c r="J2" s="37" t="s">
        <v>10</v>
      </c>
      <c r="K2" s="38" t="s">
        <v>830</v>
      </c>
    </row>
    <row r="3" spans="1:11" ht="62.4" customHeight="1" x14ac:dyDescent="0.3">
      <c r="A3" s="107">
        <v>1</v>
      </c>
      <c r="B3" s="289"/>
      <c r="C3" s="290"/>
      <c r="D3" s="290"/>
      <c r="E3" s="290"/>
      <c r="F3" s="290"/>
      <c r="G3" s="291"/>
      <c r="H3" s="292" t="s">
        <v>14</v>
      </c>
      <c r="I3" s="293"/>
      <c r="J3" s="107" t="s">
        <v>15</v>
      </c>
      <c r="K3" s="40"/>
    </row>
    <row r="4" spans="1:11" ht="62.4" customHeight="1" x14ac:dyDescent="0.3">
      <c r="A4" s="107">
        <v>2</v>
      </c>
      <c r="B4" s="289">
        <v>2</v>
      </c>
      <c r="C4" s="290"/>
      <c r="D4" s="290"/>
      <c r="E4" s="290"/>
      <c r="F4" s="290"/>
      <c r="G4" s="291"/>
      <c r="H4" s="292" t="s">
        <v>17</v>
      </c>
      <c r="I4" s="293"/>
      <c r="J4" s="107" t="s">
        <v>15</v>
      </c>
      <c r="K4" s="40"/>
    </row>
    <row r="5" spans="1:11" ht="15.6" x14ac:dyDescent="0.3">
      <c r="A5" s="288"/>
      <c r="B5" s="288"/>
      <c r="C5" s="288"/>
      <c r="D5" s="288"/>
      <c r="E5" s="288"/>
      <c r="F5" s="288"/>
      <c r="G5" s="288"/>
      <c r="H5" s="288"/>
      <c r="I5" s="288"/>
      <c r="J5" s="288"/>
      <c r="K5" s="288"/>
    </row>
    <row r="6" spans="1:11" ht="46.8" x14ac:dyDescent="0.3">
      <c r="A6" s="41" t="s">
        <v>831</v>
      </c>
      <c r="B6" s="41" t="s">
        <v>832</v>
      </c>
      <c r="C6" s="41" t="s">
        <v>833</v>
      </c>
      <c r="D6" s="46"/>
      <c r="E6" s="41" t="s">
        <v>831</v>
      </c>
      <c r="F6" s="41" t="s">
        <v>832</v>
      </c>
      <c r="G6" s="41" t="s">
        <v>833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843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843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307" t="s">
        <v>1192</v>
      </c>
      <c r="B1" s="307"/>
      <c r="C1" s="307"/>
      <c r="D1" s="307"/>
      <c r="E1" s="307"/>
      <c r="F1" s="307"/>
      <c r="G1" s="307"/>
      <c r="H1" s="307"/>
      <c r="I1" s="307"/>
      <c r="J1" s="307"/>
    </row>
    <row r="2" spans="1:10" ht="31.2" x14ac:dyDescent="0.3">
      <c r="A2" s="79" t="s">
        <v>815</v>
      </c>
      <c r="B2" s="299" t="s">
        <v>7</v>
      </c>
      <c r="C2" s="299"/>
      <c r="D2" s="299"/>
      <c r="E2" s="299"/>
      <c r="F2" s="299"/>
      <c r="G2" s="79" t="s">
        <v>814</v>
      </c>
      <c r="H2" s="100" t="s">
        <v>10</v>
      </c>
      <c r="I2" s="79" t="s">
        <v>830</v>
      </c>
      <c r="J2" s="100"/>
    </row>
    <row r="3" spans="1:10" ht="33" customHeight="1" x14ac:dyDescent="0.3">
      <c r="A3" s="79">
        <v>1</v>
      </c>
      <c r="B3" s="299" t="s">
        <v>254</v>
      </c>
      <c r="C3" s="299"/>
      <c r="D3" s="299"/>
      <c r="E3" s="299"/>
      <c r="F3" s="299"/>
      <c r="G3" s="88" t="s">
        <v>418</v>
      </c>
      <c r="H3" s="88" t="s">
        <v>15</v>
      </c>
      <c r="I3" s="89">
        <f>D12+D17+D22+I13+I17+I27</f>
        <v>77.58</v>
      </c>
      <c r="J3" s="100" t="s">
        <v>1059</v>
      </c>
    </row>
    <row r="4" spans="1:10" ht="31.2" x14ac:dyDescent="0.3">
      <c r="A4" s="79">
        <v>2</v>
      </c>
      <c r="B4" s="299" t="s">
        <v>424</v>
      </c>
      <c r="C4" s="299"/>
      <c r="D4" s="299"/>
      <c r="E4" s="299"/>
      <c r="F4" s="299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31.2" x14ac:dyDescent="0.3">
      <c r="A5" s="79">
        <v>3</v>
      </c>
      <c r="B5" s="299" t="s">
        <v>424</v>
      </c>
      <c r="C5" s="299"/>
      <c r="D5" s="299"/>
      <c r="E5" s="299"/>
      <c r="F5" s="299"/>
      <c r="G5" s="88" t="s">
        <v>539</v>
      </c>
      <c r="H5" s="88" t="s">
        <v>15</v>
      </c>
      <c r="I5" s="89">
        <f>D23+I18</f>
        <v>11.5</v>
      </c>
      <c r="J5" s="100"/>
    </row>
    <row r="6" spans="1:10" ht="31.2" x14ac:dyDescent="0.3">
      <c r="A6" s="79">
        <v>4</v>
      </c>
      <c r="B6" s="299" t="s">
        <v>424</v>
      </c>
      <c r="C6" s="299"/>
      <c r="D6" s="299"/>
      <c r="E6" s="299"/>
      <c r="F6" s="299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299" t="s">
        <v>424</v>
      </c>
      <c r="C7" s="299"/>
      <c r="D7" s="299"/>
      <c r="E7" s="299"/>
      <c r="F7" s="299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299" t="s">
        <v>424</v>
      </c>
      <c r="C8" s="299"/>
      <c r="D8" s="299"/>
      <c r="E8" s="299"/>
      <c r="F8" s="299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300" t="s">
        <v>1060</v>
      </c>
      <c r="C9" s="301"/>
      <c r="D9" s="301"/>
      <c r="E9" s="302"/>
      <c r="F9" s="79" t="s">
        <v>1058</v>
      </c>
      <c r="G9" s="100" t="s">
        <v>1057</v>
      </c>
      <c r="H9" s="100" t="s">
        <v>15</v>
      </c>
      <c r="I9" s="79">
        <f>D15+D25+I16+I20</f>
        <v>8.8000000000000007</v>
      </c>
      <c r="J9" s="100" t="s">
        <v>1059</v>
      </c>
    </row>
    <row r="10" spans="1:10" x14ac:dyDescent="0.3">
      <c r="A10" s="303"/>
      <c r="B10" s="303"/>
      <c r="C10" s="303"/>
      <c r="D10" s="303"/>
      <c r="E10" s="303"/>
      <c r="F10" s="303"/>
      <c r="G10" s="303"/>
      <c r="H10" s="303"/>
      <c r="I10" s="303"/>
      <c r="J10" s="304"/>
    </row>
    <row r="11" spans="1:10" x14ac:dyDescent="0.3">
      <c r="A11" s="83" t="s">
        <v>1054</v>
      </c>
      <c r="B11" s="84" t="s">
        <v>1053</v>
      </c>
      <c r="C11" s="85" t="s">
        <v>1055</v>
      </c>
      <c r="D11" s="86" t="s">
        <v>830</v>
      </c>
      <c r="E11" s="306"/>
      <c r="F11" s="79" t="s">
        <v>1054</v>
      </c>
      <c r="G11" s="79" t="s">
        <v>1053</v>
      </c>
      <c r="H11" s="80" t="s">
        <v>1055</v>
      </c>
      <c r="I11" s="79" t="s">
        <v>830</v>
      </c>
      <c r="J11" s="305"/>
    </row>
    <row r="12" spans="1:10" x14ac:dyDescent="0.3">
      <c r="A12" s="92">
        <v>2</v>
      </c>
      <c r="B12" s="93" t="s">
        <v>945</v>
      </c>
      <c r="C12" s="94" t="s">
        <v>878</v>
      </c>
      <c r="D12" s="95">
        <v>11.7</v>
      </c>
      <c r="E12" s="306"/>
      <c r="F12" s="93">
        <v>3</v>
      </c>
      <c r="G12" s="93" t="s">
        <v>978</v>
      </c>
      <c r="H12" s="94" t="s">
        <v>877</v>
      </c>
      <c r="I12" s="93">
        <v>33</v>
      </c>
      <c r="J12" s="305"/>
    </row>
    <row r="13" spans="1:10" x14ac:dyDescent="0.3">
      <c r="A13" s="102">
        <v>2</v>
      </c>
      <c r="B13" s="79" t="s">
        <v>945</v>
      </c>
      <c r="C13" s="80" t="s">
        <v>882</v>
      </c>
      <c r="D13" s="101">
        <v>8.1999999999999993</v>
      </c>
      <c r="E13" s="306"/>
      <c r="F13" s="93">
        <v>3</v>
      </c>
      <c r="G13" s="93" t="s">
        <v>979</v>
      </c>
      <c r="H13" s="94" t="s">
        <v>878</v>
      </c>
      <c r="I13" s="93">
        <v>14.1</v>
      </c>
      <c r="J13" s="305"/>
    </row>
    <row r="14" spans="1:10" x14ac:dyDescent="0.3">
      <c r="A14" s="92">
        <v>2</v>
      </c>
      <c r="B14" s="93" t="s">
        <v>945</v>
      </c>
      <c r="C14" s="94" t="s">
        <v>879</v>
      </c>
      <c r="D14" s="95">
        <v>66.400000000000006</v>
      </c>
      <c r="E14" s="306"/>
      <c r="F14" s="93">
        <v>3</v>
      </c>
      <c r="G14" s="93" t="s">
        <v>979</v>
      </c>
      <c r="H14" s="94" t="s">
        <v>882</v>
      </c>
      <c r="I14" s="93">
        <v>8.1</v>
      </c>
      <c r="J14" s="305"/>
    </row>
    <row r="15" spans="1:10" x14ac:dyDescent="0.3">
      <c r="A15" s="102">
        <v>2</v>
      </c>
      <c r="B15" s="79" t="s">
        <v>945</v>
      </c>
      <c r="C15" s="80" t="s">
        <v>880</v>
      </c>
      <c r="D15" s="101">
        <v>2.6</v>
      </c>
      <c r="E15" s="306"/>
      <c r="F15" s="93">
        <v>3</v>
      </c>
      <c r="G15" s="93" t="s">
        <v>979</v>
      </c>
      <c r="H15" s="94" t="s">
        <v>879</v>
      </c>
      <c r="I15" s="93">
        <v>65.8</v>
      </c>
      <c r="J15" s="305"/>
    </row>
    <row r="16" spans="1:10" x14ac:dyDescent="0.3">
      <c r="A16" s="92">
        <v>2</v>
      </c>
      <c r="B16" s="93" t="s">
        <v>946</v>
      </c>
      <c r="C16" s="94" t="s">
        <v>877</v>
      </c>
      <c r="D16" s="95">
        <v>33.299999999999997</v>
      </c>
      <c r="E16" s="306"/>
      <c r="F16" s="93">
        <v>3</v>
      </c>
      <c r="G16" s="93" t="s">
        <v>979</v>
      </c>
      <c r="H16" s="94" t="s">
        <v>880</v>
      </c>
      <c r="I16" s="93">
        <v>2.6</v>
      </c>
      <c r="J16" s="305"/>
    </row>
    <row r="17" spans="1:10" x14ac:dyDescent="0.3">
      <c r="A17" s="92">
        <v>2</v>
      </c>
      <c r="B17" s="93" t="s">
        <v>949</v>
      </c>
      <c r="C17" s="94" t="s">
        <v>878</v>
      </c>
      <c r="D17" s="95">
        <v>11.7</v>
      </c>
      <c r="E17" s="306"/>
      <c r="F17" s="93">
        <v>3</v>
      </c>
      <c r="G17" s="93" t="s">
        <v>985</v>
      </c>
      <c r="H17" s="94" t="s">
        <v>878</v>
      </c>
      <c r="I17" s="93">
        <v>13.6</v>
      </c>
      <c r="J17" s="305"/>
    </row>
    <row r="18" spans="1:10" x14ac:dyDescent="0.3">
      <c r="A18" s="102">
        <v>2</v>
      </c>
      <c r="B18" s="79" t="s">
        <v>949</v>
      </c>
      <c r="C18" s="80" t="s">
        <v>881</v>
      </c>
      <c r="D18" s="101">
        <v>31.6</v>
      </c>
      <c r="E18" s="306"/>
      <c r="F18" s="93">
        <v>3</v>
      </c>
      <c r="G18" s="93" t="s">
        <v>985</v>
      </c>
      <c r="H18" s="94" t="s">
        <v>1049</v>
      </c>
      <c r="I18" s="93">
        <v>5.8</v>
      </c>
      <c r="J18" s="305"/>
    </row>
    <row r="19" spans="1:10" x14ac:dyDescent="0.3">
      <c r="A19" s="92">
        <v>2</v>
      </c>
      <c r="B19" s="93" t="s">
        <v>949</v>
      </c>
      <c r="C19" s="94" t="s">
        <v>882</v>
      </c>
      <c r="D19" s="95">
        <v>5.9</v>
      </c>
      <c r="E19" s="306"/>
      <c r="F19" s="93">
        <v>3</v>
      </c>
      <c r="G19" s="93" t="s">
        <v>985</v>
      </c>
      <c r="H19" s="94" t="s">
        <v>879</v>
      </c>
      <c r="I19" s="93">
        <v>67.8</v>
      </c>
      <c r="J19" s="305"/>
    </row>
    <row r="20" spans="1:10" x14ac:dyDescent="0.3">
      <c r="A20" s="92">
        <v>2</v>
      </c>
      <c r="B20" s="93" t="s">
        <v>950</v>
      </c>
      <c r="C20" s="94" t="s">
        <v>881</v>
      </c>
      <c r="D20" s="95">
        <v>36.9</v>
      </c>
      <c r="E20" s="306"/>
      <c r="F20" s="93">
        <v>3</v>
      </c>
      <c r="G20" s="93" t="s">
        <v>985</v>
      </c>
      <c r="H20" s="94" t="s">
        <v>880</v>
      </c>
      <c r="I20" s="93">
        <v>1.8</v>
      </c>
      <c r="J20" s="305"/>
    </row>
    <row r="21" spans="1:10" x14ac:dyDescent="0.3">
      <c r="A21" s="92">
        <v>2</v>
      </c>
      <c r="B21" s="93" t="s">
        <v>968</v>
      </c>
      <c r="C21" s="94" t="s">
        <v>877</v>
      </c>
      <c r="D21" s="95">
        <v>33.9</v>
      </c>
      <c r="E21" s="306"/>
      <c r="F21" s="93">
        <v>3</v>
      </c>
      <c r="G21" s="93" t="s">
        <v>987</v>
      </c>
      <c r="H21" s="94" t="s">
        <v>881</v>
      </c>
      <c r="I21" s="93">
        <v>35.4</v>
      </c>
      <c r="J21" s="305"/>
    </row>
    <row r="22" spans="1:10" x14ac:dyDescent="0.3">
      <c r="A22" s="92">
        <v>2</v>
      </c>
      <c r="B22" s="93" t="s">
        <v>947</v>
      </c>
      <c r="C22" s="94" t="s">
        <v>878</v>
      </c>
      <c r="D22" s="95">
        <v>11.9</v>
      </c>
      <c r="E22" s="306"/>
      <c r="F22" s="93">
        <v>3</v>
      </c>
      <c r="G22" s="93" t="s">
        <v>987</v>
      </c>
      <c r="H22" s="94" t="s">
        <v>882</v>
      </c>
      <c r="I22" s="93">
        <v>5.9</v>
      </c>
      <c r="J22" s="305"/>
    </row>
    <row r="23" spans="1:10" x14ac:dyDescent="0.3">
      <c r="A23" s="102">
        <v>2</v>
      </c>
      <c r="B23" s="79" t="s">
        <v>947</v>
      </c>
      <c r="C23" s="80" t="s">
        <v>1049</v>
      </c>
      <c r="D23" s="101">
        <v>5.7</v>
      </c>
      <c r="E23" s="306"/>
      <c r="F23" s="93">
        <v>3</v>
      </c>
      <c r="G23" s="93" t="s">
        <v>988</v>
      </c>
      <c r="H23" s="94" t="s">
        <v>881</v>
      </c>
      <c r="I23" s="93">
        <v>29.5</v>
      </c>
      <c r="J23" s="305"/>
    </row>
    <row r="24" spans="1:10" x14ac:dyDescent="0.3">
      <c r="A24" s="92">
        <v>2</v>
      </c>
      <c r="B24" s="93" t="s">
        <v>947</v>
      </c>
      <c r="C24" s="94" t="s">
        <v>879</v>
      </c>
      <c r="D24" s="95">
        <v>65.099999999999994</v>
      </c>
      <c r="E24" s="306"/>
      <c r="F24" s="93">
        <v>3</v>
      </c>
      <c r="G24" s="93" t="s">
        <v>995</v>
      </c>
      <c r="H24" s="94" t="s">
        <v>881</v>
      </c>
      <c r="I24" s="93">
        <v>36.9</v>
      </c>
      <c r="J24" s="305"/>
    </row>
    <row r="25" spans="1:10" x14ac:dyDescent="0.3">
      <c r="A25" s="102">
        <v>2</v>
      </c>
      <c r="B25" s="79" t="s">
        <v>947</v>
      </c>
      <c r="C25" s="80" t="s">
        <v>880</v>
      </c>
      <c r="D25" s="101">
        <v>1.8</v>
      </c>
      <c r="E25" s="306"/>
      <c r="F25" s="93">
        <v>3</v>
      </c>
      <c r="G25" s="93" t="s">
        <v>996</v>
      </c>
      <c r="H25" s="94" t="s">
        <v>877</v>
      </c>
      <c r="I25" s="93">
        <v>36.5</v>
      </c>
      <c r="J25" s="305"/>
    </row>
    <row r="26" spans="1:10" x14ac:dyDescent="0.3">
      <c r="A26" s="92">
        <v>2</v>
      </c>
      <c r="B26" s="93" t="s">
        <v>958</v>
      </c>
      <c r="C26" s="94" t="s">
        <v>881</v>
      </c>
      <c r="D26" s="95">
        <v>38.299999999999997</v>
      </c>
      <c r="E26" s="306"/>
      <c r="F26" s="96">
        <v>3</v>
      </c>
      <c r="G26" s="96" t="s">
        <v>999</v>
      </c>
      <c r="H26" s="97" t="s">
        <v>877</v>
      </c>
      <c r="I26" s="96">
        <v>29.5</v>
      </c>
      <c r="J26" s="305"/>
    </row>
    <row r="27" spans="1:10" x14ac:dyDescent="0.3">
      <c r="A27" s="102">
        <v>2</v>
      </c>
      <c r="B27" s="79" t="s">
        <v>959</v>
      </c>
      <c r="C27" s="80" t="s">
        <v>877</v>
      </c>
      <c r="D27" s="101">
        <v>44.2</v>
      </c>
      <c r="E27" s="306"/>
      <c r="F27" s="98">
        <v>3</v>
      </c>
      <c r="G27" s="93" t="s">
        <v>987</v>
      </c>
      <c r="H27" s="94" t="s">
        <v>878</v>
      </c>
      <c r="I27" s="98">
        <f>1.08*13.5</f>
        <v>14.580000000000002</v>
      </c>
      <c r="J27" s="305"/>
    </row>
  </sheetData>
  <mergeCells count="12">
    <mergeCell ref="B6:F6"/>
    <mergeCell ref="A1:J1"/>
    <mergeCell ref="B2:F2"/>
    <mergeCell ref="B3:F3"/>
    <mergeCell ref="B4:F4"/>
    <mergeCell ref="B5:F5"/>
    <mergeCell ref="B7:F7"/>
    <mergeCell ref="B8:F8"/>
    <mergeCell ref="B9:E9"/>
    <mergeCell ref="A10:I10"/>
    <mergeCell ref="J10:J27"/>
    <mergeCell ref="E11:E27"/>
  </mergeCell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opLeftCell="B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307" t="s">
        <v>1192</v>
      </c>
      <c r="B1" s="307"/>
      <c r="C1" s="307"/>
      <c r="D1" s="307"/>
      <c r="E1" s="307"/>
      <c r="F1" s="307"/>
      <c r="G1" s="307"/>
      <c r="H1" s="307"/>
      <c r="I1" s="307"/>
    </row>
    <row r="2" spans="1:9" ht="31.2" x14ac:dyDescent="0.3">
      <c r="A2" s="79" t="s">
        <v>815</v>
      </c>
      <c r="B2" s="299" t="s">
        <v>7</v>
      </c>
      <c r="C2" s="299"/>
      <c r="D2" s="299"/>
      <c r="E2" s="299"/>
      <c r="F2" s="299"/>
      <c r="G2" s="79" t="s">
        <v>814</v>
      </c>
      <c r="H2" s="90" t="s">
        <v>10</v>
      </c>
      <c r="I2" s="79" t="s">
        <v>830</v>
      </c>
    </row>
    <row r="3" spans="1:9" ht="31.2" x14ac:dyDescent="0.3">
      <c r="A3" s="79">
        <v>1</v>
      </c>
      <c r="B3" s="299" t="s">
        <v>424</v>
      </c>
      <c r="C3" s="299"/>
      <c r="D3" s="299"/>
      <c r="E3" s="299"/>
      <c r="F3" s="299"/>
      <c r="G3" s="90" t="s">
        <v>531</v>
      </c>
      <c r="H3" s="90" t="s">
        <v>15</v>
      </c>
      <c r="I3" s="91">
        <f>D13+D15+D19+I15+I17+I18</f>
        <v>208.6</v>
      </c>
    </row>
    <row r="4" spans="1:9" ht="31.2" x14ac:dyDescent="0.3">
      <c r="A4" s="79">
        <v>2</v>
      </c>
      <c r="B4" s="299" t="s">
        <v>424</v>
      </c>
      <c r="C4" s="299"/>
      <c r="D4" s="299"/>
      <c r="E4" s="299"/>
      <c r="F4" s="299"/>
      <c r="G4" s="88" t="s">
        <v>539</v>
      </c>
      <c r="H4" s="88" t="s">
        <v>15</v>
      </c>
      <c r="I4" s="89">
        <f>D17+I13</f>
        <v>11.5</v>
      </c>
    </row>
    <row r="5" spans="1:9" ht="31.2" x14ac:dyDescent="0.3">
      <c r="A5" s="79">
        <v>3</v>
      </c>
      <c r="B5" s="299" t="s">
        <v>424</v>
      </c>
      <c r="C5" s="299"/>
      <c r="D5" s="299"/>
      <c r="E5" s="299"/>
      <c r="F5" s="299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299" t="s">
        <v>424</v>
      </c>
      <c r="C6" s="299"/>
      <c r="D6" s="299"/>
      <c r="E6" s="299"/>
      <c r="F6" s="299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299" t="s">
        <v>424</v>
      </c>
      <c r="C7" s="299"/>
      <c r="D7" s="299"/>
      <c r="E7" s="299"/>
      <c r="F7" s="299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303"/>
      <c r="B8" s="303"/>
      <c r="C8" s="303"/>
      <c r="D8" s="303"/>
      <c r="E8" s="303"/>
      <c r="F8" s="303"/>
      <c r="G8" s="303"/>
      <c r="H8" s="303"/>
      <c r="I8" s="303"/>
    </row>
    <row r="9" spans="1:9" x14ac:dyDescent="0.3">
      <c r="A9" s="83" t="s">
        <v>1054</v>
      </c>
      <c r="B9" s="84" t="s">
        <v>1053</v>
      </c>
      <c r="C9" s="85" t="s">
        <v>1055</v>
      </c>
      <c r="D9" s="86" t="s">
        <v>830</v>
      </c>
      <c r="E9" s="306"/>
      <c r="F9" s="79" t="s">
        <v>1054</v>
      </c>
      <c r="G9" s="79" t="s">
        <v>1053</v>
      </c>
      <c r="H9" s="80" t="s">
        <v>1055</v>
      </c>
      <c r="I9" s="79" t="s">
        <v>830</v>
      </c>
    </row>
    <row r="10" spans="1:9" x14ac:dyDescent="0.3">
      <c r="A10" s="81">
        <v>2</v>
      </c>
      <c r="B10" s="79" t="s">
        <v>945</v>
      </c>
      <c r="C10" s="80" t="s">
        <v>882</v>
      </c>
      <c r="D10" s="82">
        <v>8.1999999999999993</v>
      </c>
      <c r="E10" s="306"/>
      <c r="F10" s="93">
        <v>3</v>
      </c>
      <c r="G10" s="93" t="s">
        <v>978</v>
      </c>
      <c r="H10" s="94" t="s">
        <v>877</v>
      </c>
      <c r="I10" s="93">
        <v>33</v>
      </c>
    </row>
    <row r="11" spans="1:9" x14ac:dyDescent="0.3">
      <c r="A11" s="92">
        <v>2</v>
      </c>
      <c r="B11" s="93" t="s">
        <v>945</v>
      </c>
      <c r="C11" s="94" t="s">
        <v>879</v>
      </c>
      <c r="D11" s="95">
        <v>66.400000000000006</v>
      </c>
      <c r="E11" s="306"/>
      <c r="F11" s="93">
        <v>3</v>
      </c>
      <c r="G11" s="93" t="s">
        <v>979</v>
      </c>
      <c r="H11" s="94" t="s">
        <v>882</v>
      </c>
      <c r="I11" s="93">
        <v>8.1</v>
      </c>
    </row>
    <row r="12" spans="1:9" x14ac:dyDescent="0.3">
      <c r="A12" s="92">
        <v>2</v>
      </c>
      <c r="B12" s="93" t="s">
        <v>946</v>
      </c>
      <c r="C12" s="94" t="s">
        <v>877</v>
      </c>
      <c r="D12" s="95">
        <v>33.299999999999997</v>
      </c>
      <c r="E12" s="306"/>
      <c r="F12" s="93">
        <v>3</v>
      </c>
      <c r="G12" s="93" t="s">
        <v>979</v>
      </c>
      <c r="H12" s="94" t="s">
        <v>879</v>
      </c>
      <c r="I12" s="93">
        <v>65.8</v>
      </c>
    </row>
    <row r="13" spans="1:9" x14ac:dyDescent="0.3">
      <c r="A13" s="81">
        <v>2</v>
      </c>
      <c r="B13" s="79" t="s">
        <v>949</v>
      </c>
      <c r="C13" s="80" t="s">
        <v>881</v>
      </c>
      <c r="D13" s="82">
        <v>31.6</v>
      </c>
      <c r="E13" s="306"/>
      <c r="F13" s="93">
        <v>3</v>
      </c>
      <c r="G13" s="93" t="s">
        <v>985</v>
      </c>
      <c r="H13" s="94" t="s">
        <v>1049</v>
      </c>
      <c r="I13" s="93">
        <v>5.8</v>
      </c>
    </row>
    <row r="14" spans="1:9" x14ac:dyDescent="0.3">
      <c r="A14" s="92">
        <v>2</v>
      </c>
      <c r="B14" s="93" t="s">
        <v>949</v>
      </c>
      <c r="C14" s="94" t="s">
        <v>882</v>
      </c>
      <c r="D14" s="95">
        <v>5.9</v>
      </c>
      <c r="E14" s="306"/>
      <c r="F14" s="93">
        <v>3</v>
      </c>
      <c r="G14" s="93" t="s">
        <v>985</v>
      </c>
      <c r="H14" s="94" t="s">
        <v>879</v>
      </c>
      <c r="I14" s="93">
        <v>67.8</v>
      </c>
    </row>
    <row r="15" spans="1:9" x14ac:dyDescent="0.3">
      <c r="A15" s="92">
        <v>2</v>
      </c>
      <c r="B15" s="93" t="s">
        <v>950</v>
      </c>
      <c r="C15" s="94" t="s">
        <v>881</v>
      </c>
      <c r="D15" s="95">
        <v>36.9</v>
      </c>
      <c r="E15" s="306"/>
      <c r="F15" s="93">
        <v>3</v>
      </c>
      <c r="G15" s="93" t="s">
        <v>987</v>
      </c>
      <c r="H15" s="94" t="s">
        <v>881</v>
      </c>
      <c r="I15" s="93">
        <v>35.4</v>
      </c>
    </row>
    <row r="16" spans="1:9" x14ac:dyDescent="0.3">
      <c r="A16" s="92">
        <v>2</v>
      </c>
      <c r="B16" s="93" t="s">
        <v>968</v>
      </c>
      <c r="C16" s="94" t="s">
        <v>877</v>
      </c>
      <c r="D16" s="95">
        <v>33.9</v>
      </c>
      <c r="E16" s="306"/>
      <c r="F16" s="93">
        <v>3</v>
      </c>
      <c r="G16" s="93" t="s">
        <v>987</v>
      </c>
      <c r="H16" s="94" t="s">
        <v>882</v>
      </c>
      <c r="I16" s="93">
        <v>5.9</v>
      </c>
    </row>
    <row r="17" spans="1:9" x14ac:dyDescent="0.3">
      <c r="A17" s="81">
        <v>2</v>
      </c>
      <c r="B17" s="79" t="s">
        <v>947</v>
      </c>
      <c r="C17" s="80" t="s">
        <v>1049</v>
      </c>
      <c r="D17" s="82">
        <v>5.7</v>
      </c>
      <c r="E17" s="306"/>
      <c r="F17" s="93">
        <v>3</v>
      </c>
      <c r="G17" s="93" t="s">
        <v>988</v>
      </c>
      <c r="H17" s="94" t="s">
        <v>881</v>
      </c>
      <c r="I17" s="93">
        <v>29.5</v>
      </c>
    </row>
    <row r="18" spans="1:9" x14ac:dyDescent="0.3">
      <c r="A18" s="92">
        <v>2</v>
      </c>
      <c r="B18" s="93" t="s">
        <v>947</v>
      </c>
      <c r="C18" s="94" t="s">
        <v>879</v>
      </c>
      <c r="D18" s="95">
        <v>65.099999999999994</v>
      </c>
      <c r="E18" s="306"/>
      <c r="F18" s="93">
        <v>3</v>
      </c>
      <c r="G18" s="93" t="s">
        <v>995</v>
      </c>
      <c r="H18" s="94" t="s">
        <v>881</v>
      </c>
      <c r="I18" s="93">
        <v>36.9</v>
      </c>
    </row>
    <row r="19" spans="1:9" x14ac:dyDescent="0.3">
      <c r="A19" s="92">
        <v>2</v>
      </c>
      <c r="B19" s="93" t="s">
        <v>958</v>
      </c>
      <c r="C19" s="94" t="s">
        <v>881</v>
      </c>
      <c r="D19" s="95">
        <v>38.299999999999997</v>
      </c>
      <c r="E19" s="306"/>
      <c r="F19" s="93">
        <v>3</v>
      </c>
      <c r="G19" s="93" t="s">
        <v>996</v>
      </c>
      <c r="H19" s="94" t="s">
        <v>877</v>
      </c>
      <c r="I19" s="93">
        <v>36.5</v>
      </c>
    </row>
    <row r="20" spans="1:9" x14ac:dyDescent="0.3">
      <c r="A20" s="81">
        <v>2</v>
      </c>
      <c r="B20" s="79" t="s">
        <v>959</v>
      </c>
      <c r="C20" s="80" t="s">
        <v>877</v>
      </c>
      <c r="D20" s="82">
        <v>44.2</v>
      </c>
      <c r="E20" s="306"/>
      <c r="F20" s="93">
        <v>3</v>
      </c>
      <c r="G20" s="93" t="s">
        <v>999</v>
      </c>
      <c r="H20" s="94" t="s">
        <v>877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830</v>
      </c>
    </row>
    <row r="2" spans="1:5" ht="72" x14ac:dyDescent="0.3">
      <c r="A2" s="23">
        <v>1</v>
      </c>
      <c r="B2" s="58" t="s">
        <v>874</v>
      </c>
      <c r="C2" s="29" t="s">
        <v>875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35" t="s">
        <v>1192</v>
      </c>
      <c r="B1" s="235"/>
      <c r="C1" s="235"/>
      <c r="D1" s="235"/>
      <c r="E1" s="235"/>
      <c r="F1" s="235"/>
      <c r="G1" s="235"/>
      <c r="H1" s="235"/>
      <c r="I1" s="235"/>
      <c r="J1" s="35"/>
      <c r="K1" s="35"/>
    </row>
    <row r="2" spans="1:11" ht="31.2" x14ac:dyDescent="0.3">
      <c r="A2" s="36" t="s">
        <v>829</v>
      </c>
      <c r="B2" s="294" t="s">
        <v>7</v>
      </c>
      <c r="C2" s="295"/>
      <c r="D2" s="295"/>
      <c r="E2" s="295"/>
      <c r="F2" s="295"/>
      <c r="G2" s="296"/>
      <c r="H2" s="297" t="s">
        <v>814</v>
      </c>
      <c r="I2" s="298"/>
      <c r="J2" s="37" t="s">
        <v>10</v>
      </c>
      <c r="K2" s="38" t="s">
        <v>830</v>
      </c>
    </row>
    <row r="3" spans="1:11" ht="62.4" customHeight="1" x14ac:dyDescent="0.3">
      <c r="A3" s="39">
        <v>1</v>
      </c>
      <c r="B3" s="289"/>
      <c r="C3" s="290"/>
      <c r="D3" s="290"/>
      <c r="E3" s="290"/>
      <c r="F3" s="290"/>
      <c r="G3" s="291"/>
      <c r="H3" s="292" t="s">
        <v>14</v>
      </c>
      <c r="I3" s="293"/>
      <c r="J3" s="39" t="s">
        <v>15</v>
      </c>
      <c r="K3" s="40"/>
    </row>
    <row r="4" spans="1:11" ht="15.6" x14ac:dyDescent="0.3">
      <c r="A4" s="288"/>
      <c r="B4" s="288"/>
      <c r="C4" s="288"/>
      <c r="D4" s="288"/>
      <c r="E4" s="288"/>
      <c r="F4" s="288"/>
      <c r="G4" s="288"/>
      <c r="H4" s="288"/>
      <c r="I4" s="288"/>
      <c r="J4" s="288"/>
      <c r="K4" s="288"/>
    </row>
    <row r="5" spans="1:11" ht="46.8" x14ac:dyDescent="0.3">
      <c r="A5" s="41" t="s">
        <v>831</v>
      </c>
      <c r="B5" s="41" t="s">
        <v>832</v>
      </c>
      <c r="C5" s="41" t="s">
        <v>833</v>
      </c>
      <c r="D5" s="46"/>
      <c r="E5" s="41" t="s">
        <v>831</v>
      </c>
      <c r="F5" s="41" t="s">
        <v>832</v>
      </c>
      <c r="G5" s="41" t="s">
        <v>833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843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843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zoomScale="70" zoomScaleNormal="70" workbookViewId="0">
      <selection activeCell="G12" sqref="G12:H12"/>
    </sheetView>
  </sheetViews>
  <sheetFormatPr defaultRowHeight="14.4" x14ac:dyDescent="0.3"/>
  <cols>
    <col min="6" max="6" width="11.6640625" style="109" bestFit="1" customWidth="1"/>
  </cols>
  <sheetData>
    <row r="6" spans="3:9" x14ac:dyDescent="0.3">
      <c r="C6" s="108" t="s">
        <v>1063</v>
      </c>
      <c r="D6" s="108">
        <v>186.9</v>
      </c>
      <c r="E6" s="108">
        <v>35.4</v>
      </c>
      <c r="G6" s="108" t="s">
        <v>1063</v>
      </c>
      <c r="H6">
        <v>187.4</v>
      </c>
      <c r="I6">
        <v>8</v>
      </c>
    </row>
    <row r="7" spans="3:9" x14ac:dyDescent="0.3">
      <c r="C7" s="108" t="s">
        <v>1064</v>
      </c>
      <c r="D7" s="108">
        <v>2.7</v>
      </c>
      <c r="E7" s="108">
        <v>10.8</v>
      </c>
      <c r="G7" s="108" t="s">
        <v>1065</v>
      </c>
      <c r="H7">
        <v>16.7</v>
      </c>
    </row>
    <row r="8" spans="3:9" x14ac:dyDescent="0.3">
      <c r="C8" s="108" t="s">
        <v>1065</v>
      </c>
      <c r="D8" s="108">
        <v>13.8</v>
      </c>
      <c r="E8" s="108">
        <v>25.7</v>
      </c>
    </row>
    <row r="10" spans="3:9" x14ac:dyDescent="0.3">
      <c r="C10" t="s">
        <v>1066</v>
      </c>
      <c r="D10">
        <v>60.3</v>
      </c>
      <c r="E10">
        <v>0</v>
      </c>
      <c r="G10" t="s">
        <v>1066</v>
      </c>
      <c r="H10">
        <v>55.1</v>
      </c>
    </row>
    <row r="12" spans="3:9" x14ac:dyDescent="0.3">
      <c r="C12" t="s">
        <v>1067</v>
      </c>
      <c r="D12">
        <v>73.900000000000006</v>
      </c>
      <c r="E12">
        <v>71.900000000000006</v>
      </c>
      <c r="G12" t="s">
        <v>1067</v>
      </c>
      <c r="H12">
        <v>73.900000000000006</v>
      </c>
      <c r="I12">
        <v>71.900000000000006</v>
      </c>
    </row>
    <row r="21" spans="6:8" x14ac:dyDescent="0.3">
      <c r="F21" s="109" t="s">
        <v>1069</v>
      </c>
      <c r="G21" t="s">
        <v>1067</v>
      </c>
      <c r="H21" t="s">
        <v>1063</v>
      </c>
    </row>
    <row r="24" spans="6:8" x14ac:dyDescent="0.3">
      <c r="F24" s="109" t="s">
        <v>975</v>
      </c>
      <c r="G24">
        <v>2.9</v>
      </c>
    </row>
    <row r="25" spans="6:8" x14ac:dyDescent="0.3">
      <c r="F25" s="109" t="s">
        <v>989</v>
      </c>
      <c r="G25">
        <v>15</v>
      </c>
    </row>
    <row r="26" spans="6:8" x14ac:dyDescent="0.3">
      <c r="F26" s="109" t="s">
        <v>981</v>
      </c>
      <c r="H26">
        <v>1</v>
      </c>
    </row>
    <row r="27" spans="6:8" x14ac:dyDescent="0.3">
      <c r="F27" s="109" t="s">
        <v>997</v>
      </c>
      <c r="H27">
        <v>2.9</v>
      </c>
    </row>
    <row r="28" spans="6:8" x14ac:dyDescent="0.3">
      <c r="F28" s="109" t="s">
        <v>1008</v>
      </c>
      <c r="H28">
        <v>1.1000000000000001</v>
      </c>
    </row>
    <row r="29" spans="6:8" x14ac:dyDescent="0.3">
      <c r="F29" s="109" t="s">
        <v>1009</v>
      </c>
      <c r="H29">
        <v>3</v>
      </c>
    </row>
    <row r="30" spans="6:8" x14ac:dyDescent="0.3">
      <c r="F30" s="109" t="s">
        <v>1024</v>
      </c>
      <c r="G30" s="110" t="s">
        <v>1068</v>
      </c>
    </row>
    <row r="31" spans="6:8" x14ac:dyDescent="0.3">
      <c r="F31" s="109" t="s">
        <v>1028</v>
      </c>
      <c r="G31" s="11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10.3отк</vt:lpstr>
      <vt:lpstr>10.2плны</vt:lpstr>
      <vt:lpstr>8.7штр</vt:lpstr>
      <vt:lpstr>7.5.1лес</vt:lpstr>
      <vt:lpstr>8.6отв</vt:lpstr>
      <vt:lpstr>8.5дфрг</vt:lpstr>
      <vt:lpstr>8.4отк.лк</vt:lpstr>
      <vt:lpstr>8.3шп.лк</vt:lpstr>
      <vt:lpstr>8.2умнь.дв</vt:lpstr>
      <vt:lpstr>8.1дврн.откс</vt:lpstr>
      <vt:lpstr>7.8фрхв</vt:lpstr>
      <vt:lpstr>7.7внеш.блк</vt:lpstr>
      <vt:lpstr>7.6прмч</vt:lpstr>
      <vt:lpstr>КП</vt:lpstr>
      <vt:lpstr>Плитки</vt:lpstr>
      <vt:lpstr>Пом</vt:lpstr>
      <vt:lpstr>7.4Блок</vt:lpstr>
      <vt:lpstr>7.3Кирп1э</vt:lpstr>
      <vt:lpstr>7.2КирпПодв</vt:lpstr>
      <vt:lpstr>7.1ПГП</vt:lpstr>
      <vt:lpstr>6.1ГКЛ</vt:lpstr>
      <vt:lpstr>5.2_остаток</vt:lpstr>
      <vt:lpstr>5.1_плтк</vt:lpstr>
      <vt:lpstr>3.2-Ок-Ш2</vt:lpstr>
      <vt:lpstr>4.1-Ст</vt:lpstr>
      <vt:lpstr>3.1-Ок-Ш2_НЗ</vt:lpstr>
      <vt:lpstr>3.1-Ок-Ш2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2026-09-18T12:01:14Z</dcterms:modified>
  <cp:category/>
</cp:coreProperties>
</file>