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 activeTab="3"/>
  </bookViews>
  <sheets>
    <sheet name="КП" sheetId="3" r:id="rId1"/>
    <sheet name="Плитки" sheetId="8" r:id="rId2"/>
    <sheet name="Пом" sheetId="9" r:id="rId3"/>
    <sheet name="5.1_плтк" sheetId="10" r:id="rId4"/>
    <sheet name="5.2_остаток" sheetId="11" r:id="rId5"/>
    <sheet name="3.1-Ок-Ш2" sheetId="4" r:id="rId6"/>
    <sheet name="3.1-Ок-Ш2_НЗ" sheetId="7" r:id="rId7"/>
    <sheet name="3.2-Ок-Ш2" sheetId="5" r:id="rId8"/>
    <sheet name="4.1-Ст" sheetId="6" r:id="rId9"/>
  </sheets>
  <calcPr calcId="152511"/>
</workbook>
</file>

<file path=xl/calcChain.xml><?xml version="1.0" encoding="utf-8"?>
<calcChain xmlns="http://schemas.openxmlformats.org/spreadsheetml/2006/main"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<sst xmlns="http://schemas.openxmlformats.org/spreadsheetml/2006/main" count="2794" uniqueCount="1064">
  <si>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</si>
  <si>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</si>
  <si>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</si>
  <si>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</si>
  <si>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</si>
  <si>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</si>
  <si>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</si>
  <si>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</si>
  <si>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</si>
  <si>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</si>
  <si>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</si>
  <si>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</si>
  <si>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</si>
  <si>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</si>
  <si>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</si>
  <si>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</si>
  <si>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</si>
  <si>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</si>
  <si>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</si>
  <si>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</si>
  <si>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</si>
  <si>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</si>
  <si>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</si>
  <si>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</si>
  <si>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</si>
  <si>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</si>
  <si>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</si>
  <si>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</si>
  <si>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</si>
  <si>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</si>
  <si>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</si>
  <si>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</si>
  <si>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</si>
  <si>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</si>
  <si>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</si>
  <si>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</si>
  <si>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</si>
  <si>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</si>
  <si>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</si>
  <si>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</si>
  <si>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</si>
  <si>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</si>
  <si>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</si>
  <si>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</si>
  <si>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</si>
  <si>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</si>
  <si>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</si>
  <si>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</si>
  <si>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</si>
  <si>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</si>
  <si>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</si>
  <si>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</si>
  <si>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</si>
  <si>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</si>
  <si>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</si>
  <si>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</si>
  <si>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</si>
  <si>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</si>
  <si>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</si>
  <si>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</si>
  <si>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</si>
  <si>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</si>
  <si>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</si>
  <si>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</si>
  <si>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</si>
  <si>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</si>
  <si>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</si>
  <si>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</si>
  <si>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</si>
  <si>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</si>
  <si>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</si>
  <si>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</si>
  <si>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</si>
  <si>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</si>
  <si>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</si>
  <si>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</si>
  <si>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</si>
  <si>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</si>
  <si>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</si>
  <si>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</si>
  <si>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</si>
  <si>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</si>
  <si>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</si>
  <si>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</si>
  <si>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</si>
  <si>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</si>
  <si>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</si>
  <si>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</si>
  <si>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</si>
  <si>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</si>
  <si>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</si>
  <si>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</si>
  <si>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</si>
  <si>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</si>
  <si>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</si>
  <si>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</si>
  <si>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</si>
  <si>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</si>
  <si>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</si>
  <si>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</si>
  <si>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</si>
  <si>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</si>
  <si>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</si>
  <si>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</si>
  <si>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</si>
  <si>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</si>
  <si>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</si>
  <si>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</si>
  <si>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</si>
  <si>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</si>
  <si>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</si>
  <si>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</si>
  <si>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</si>
  <si>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</si>
  <si>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</si>
  <si>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</si>
  <si>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</si>
  <si>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</si>
  <si>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</si>
  <si>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</si>
  <si>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</si>
  <si>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</si>
  <si>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</si>
  <si>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</si>
  <si>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</si>
  <si>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</si>
  <si>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</si>
  <si>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</si>
  <si>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</si>
  <si>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</si>
  <si>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</si>
  <si>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</si>
  <si>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</si>
  <si>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</si>
  <si>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</si>
  <si>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</si>
  <si>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</si>
  <si>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</si>
  <si>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</si>
  <si>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</si>
  <si>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</si>
  <si>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</si>
  <si>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</si>
  <si>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</si>
  <si>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</si>
  <si>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</si>
  <si>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</si>
  <si>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</si>
  <si>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</si>
  <si>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</si>
  <si>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</si>
  <si>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</si>
  <si>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</si>
  <si>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</si>
  <si>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</si>
  <si>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</si>
  <si>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</si>
  <si>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</si>
  <si>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</si>
  <si>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</si>
  <si>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</si>
  <si>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</si>
  <si>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</si>
  <si>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</si>
  <si>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</si>
  <si>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</si>
  <si>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</si>
  <si>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</si>
  <si>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</si>
  <si>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</si>
  <si>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</si>
  <si>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</si>
  <si>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</si>
  <si>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</si>
  <si>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</si>
  <si>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</si>
  <si>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</si>
  <si>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</si>
  <si>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</si>
  <si>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</si>
  <si>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</si>
  <si>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</si>
  <si>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</si>
  <si>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</si>
  <si>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</si>
  <si>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</si>
  <si>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</si>
  <si>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</si>
  <si>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</si>
  <si>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</si>
  <si>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</si>
  <si>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</si>
  <si>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</si>
  <si>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</si>
  <si>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</si>
  <si>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</si>
  <si>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</si>
  <si>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</si>
  <si>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</si>
  <si>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</si>
  <si>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</si>
  <si>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</si>
  <si>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</si>
  <si>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</si>
  <si>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</si>
  <si>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</si>
  <si>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</si>
  <si>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</si>
  <si>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</si>
  <si>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</si>
  <si>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</si>
  <si>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</si>
  <si>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</si>
  <si>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</si>
  <si>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</si>
  <si>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</si>
  <si>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</si>
  <si>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</si>
  <si>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</si>
  <si>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</si>
  <si>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</si>
  <si>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</si>
  <si>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</si>
  <si>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</si>
  <si>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</si>
  <si>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</si>
  <si>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</si>
  <si>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</si>
  <si>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</si>
  <si>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</si>
  <si>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</si>
  <si>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</si>
  <si>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</si>
  <si>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</si>
  <si>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</si>
  <si>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</si>
  <si>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</si>
  <si>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</si>
  <si>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</si>
  <si>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</si>
  <si>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</si>
  <si>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</si>
  <si>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</si>
  <si>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</si>
  <si>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</si>
  <si>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</si>
  <si>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</si>
  <si>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</si>
  <si>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</si>
  <si>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</si>
  <si>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</si>
  <si>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</si>
  <si>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</si>
  <si>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</si>
  <si>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</si>
  <si>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</si>
  <si>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</si>
  <si>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</si>
  <si>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</si>
  <si>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</si>
  <si>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</si>
  <si>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</si>
  <si>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</si>
  <si>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</si>
  <si>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</si>
  <si>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</si>
  <si>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</si>
  <si>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</si>
  <si>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</si>
  <si>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</si>
  <si>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</si>
  <si>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</si>
  <si>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</si>
  <si>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</si>
  <si>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</si>
  <si>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</si>
  <si>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</si>
  <si>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</si>
  <si>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</si>
  <si>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</si>
  <si>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</si>
  <si>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</si>
  <si>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</si>
  <si>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</si>
  <si>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</si>
  <si>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</si>
  <si>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</si>
  <si>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</si>
  <si>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</si>
  <si>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</si>
  <si>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</si>
  <si>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</si>
  <si>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</si>
  <si>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</si>
  <si>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</si>
  <si>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</si>
  <si>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</si>
  <si>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</si>
  <si>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</si>
  <si>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</si>
  <si>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</si>
  <si>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</si>
  <si>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</si>
  <si>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</si>
  <si>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</si>
  <si>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</si>
  <si>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</si>
  <si>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</si>
  <si>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</si>
  <si>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</si>
  <si>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</si>
  <si>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</si>
  <si>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</si>
  <si>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</si>
  <si>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</si>
  <si>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</si>
  <si>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</si>
  <si>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</si>
  <si>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</si>
  <si>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</si>
  <si>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</si>
  <si>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</si>
  <si>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</si>
  <si>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</si>
  <si>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</si>
  <si>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</si>
  <si>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</si>
  <si>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</si>
  <si>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</si>
  <si>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</si>
  <si>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</si>
  <si>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</si>
  <si>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</si>
  <si>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</si>
  <si>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</si>
  <si>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</si>
  <si>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</si>
  <si>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</si>
  <si>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</si>
  <si>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</si>
  <si>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</si>
  <si>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</si>
  <si>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</si>
  <si>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</si>
  <si>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</si>
  <si>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</si>
  <si>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</si>
  <si>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</si>
  <si>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</si>
  <si>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</si>
  <si>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</si>
  <si>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</si>
  <si>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</si>
  <si>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</si>
  <si>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</si>
  <si>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</si>
  <si>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</si>
  <si>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</si>
  <si>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</si>
  <si>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</si>
  <si>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</si>
  <si>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</si>
  <si>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</si>
  <si>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</si>
  <si>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</si>
  <si>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</si>
  <si>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</si>
  <si>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</si>
  <si>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</si>
  <si>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</si>
  <si>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</si>
  <si>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</si>
  <si>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</si>
  <si>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</si>
  <si>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</si>
  <si>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</si>
  <si>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</si>
  <si>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</si>
  <si>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</si>
  <si>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</si>
  <si>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</si>
  <si>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</si>
  <si>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</si>
  <si>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</si>
  <si>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</si>
  <si>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</si>
  <si>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</si>
  <si>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</si>
  <si>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</si>
  <si>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</si>
  <si>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</si>
  <si>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</si>
  <si>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</si>
  <si>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</si>
  <si>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</si>
  <si>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</si>
  <si>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</si>
  <si>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</si>
  <si>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</si>
  <si>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</si>
  <si>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</si>
  <si>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</si>
  <si>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</si>
  <si>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</si>
  <si>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</si>
  <si>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</si>
  <si>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</si>
  <si>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</si>
  <si>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</si>
  <si>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</si>
  <si>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</si>
  <si>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</si>
  <si>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</si>
  <si>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</si>
  <si>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</si>
  <si>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</si>
  <si>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</si>
  <si>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</si>
  <si>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</si>
  <si>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</si>
  <si>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</si>
  <si>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</si>
  <si>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</si>
  <si>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</si>
  <si>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</si>
  <si>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</si>
  <si>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</si>
  <si>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</si>
  <si>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</si>
  <si>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</si>
  <si>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</si>
  <si>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</si>
  <si>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</si>
  <si>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</si>
  <si>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</si>
  <si>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</si>
  <si>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</si>
  <si>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</si>
  <si>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</si>
  <si>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</si>
  <si>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</si>
  <si>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</si>
  <si>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</si>
  <si>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</si>
  <si>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</si>
  <si>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</si>
  <si>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</si>
  <si>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</si>
  <si>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</si>
  <si>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</si>
  <si>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</si>
  <si>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</si>
  <si>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</si>
  <si>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</si>
  <si>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</si>
  <si>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</si>
  <si>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</si>
  <si>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</si>
  <si>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</si>
  <si>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</si>
  <si>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</si>
  <si>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</si>
  <si>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</si>
  <si>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</si>
  <si>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</si>
  <si>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</si>
  <si>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</si>
  <si>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</si>
  <si>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</si>
  <si>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</si>
  <si>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</si>
  <si>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</si>
  <si>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</si>
  <si>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</si>
  <si>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</si>
  <si>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</si>
  <si>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</si>
  <si>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</si>
  <si>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</si>
  <si>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</si>
  <si>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</si>
  <si>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</si>
  <si>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</si>
  <si>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</si>
  <si>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</si>
  <si>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</si>
  <si>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</si>
  <si>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</si>
  <si>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</si>
  <si>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</si>
  <si>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</si>
  <si>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</si>
  <si>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</si>
  <si>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</si>
  <si>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</si>
  <si>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</si>
  <si>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</si>
  <si>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</si>
  <si>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</si>
  <si>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</si>
  <si>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</si>
  <si>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</si>
  <si>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</si>
  <si>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</si>
  <si>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</si>
  <si>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</si>
  <si>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</si>
  <si>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</si>
  <si>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</si>
  <si>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</si>
  <si>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</si>
  <si>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</si>
  <si>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</si>
  <si>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</si>
  <si>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</si>
  <si>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</si>
  <si>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</si>
  <si>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</si>
  <si>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</si>
  <si>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</si>
  <si>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</si>
  <si>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</si>
  <si>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</si>
  <si>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</si>
  <si>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</si>
  <si>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</si>
  <si>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</si>
  <si>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</si>
  <si>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</si>
  <si>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</si>
  <si>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</si>
  <si>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</si>
  <si>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</si>
  <si>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</si>
  <si>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</si>
  <si>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</si>
  <si>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</si>
  <si>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</si>
  <si>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</si>
  <si>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</si>
  <si>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</si>
  <si>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</si>
  <si>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</si>
  <si>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</si>
  <si>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</si>
  <si>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</si>
  <si>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</si>
  <si>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</si>
  <si>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</si>
  <si>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</si>
  <si>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</si>
  <si>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</si>
  <si>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</si>
  <si>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</si>
  <si>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</si>
  <si>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</si>
  <si>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</si>
  <si>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</si>
  <si>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</si>
  <si>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</si>
  <si>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</si>
  <si>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</si>
  <si>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</si>
  <si>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</si>
  <si>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</si>
  <si>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</si>
  <si>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</si>
  <si>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</si>
  <si>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</si>
  <si>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</si>
  <si>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</si>
  <si>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</si>
  <si>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</si>
  <si>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</si>
  <si>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</si>
  <si>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</si>
  <si>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</si>
  <si>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</si>
  <si>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</si>
  <si>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</si>
  <si>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</si>
  <si>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</si>
  <si>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</si>
  <si>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</si>
  <si>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</si>
  <si>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</si>
  <si>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</si>
  <si>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</si>
  <si>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</si>
  <si>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</si>
  <si>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</si>
  <si>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</si>
  <si>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</si>
  <si>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</si>
  <si>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</si>
  <si>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</si>
  <si>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</si>
  <si>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</si>
  <si>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</si>
  <si>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</si>
  <si>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</si>
  <si>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</si>
  <si>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</si>
  <si>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</si>
  <si>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</si>
  <si>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</si>
  <si>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</si>
  <si>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</si>
  <si>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</si>
  <si>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</si>
  <si>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</si>
  <si>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</si>
  <si>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</si>
  <si>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</si>
  <si>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</si>
  <si>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</si>
  <si>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</si>
  <si>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</si>
  <si>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</si>
  <si>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</si>
  <si>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</si>
  <si>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</si>
  <si>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</si>
  <si>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</si>
  <si>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</si>
  <si>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</si>
  <si>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</si>
  <si>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</si>
  <si>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</si>
  <si>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</si>
  <si>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</si>
  <si>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</si>
  <si>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</si>
  <si>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</si>
  <si>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</si>
  <si>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</si>
  <si>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</si>
  <si>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</si>
  <si>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</si>
  <si>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</si>
  <si>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</si>
  <si>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</si>
  <si>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</si>
  <si>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</si>
  <si>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</si>
  <si>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</si>
  <si>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</si>
  <si>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</si>
  <si>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</si>
  <si>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</si>
  <si>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</si>
  <si>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</si>
  <si>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</si>
  <si>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</si>
  <si>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</si>
  <si>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</si>
  <si>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</si>
  <si>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</si>
  <si>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</si>
  <si>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</si>
  <si>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</si>
  <si>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</si>
  <si>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</si>
  <si>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</si>
  <si>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</si>
  <si>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</si>
  <si>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</si>
  <si>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</si>
  <si>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</si>
  <si>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</si>
  <si>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</si>
  <si>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</si>
  <si>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</si>
  <si>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</si>
  <si>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</si>
  <si>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</si>
  <si>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</si>
  <si>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</si>
  <si>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</si>
  <si>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</si>
  <si>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</si>
  <si>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</si>
  <si>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</si>
  <si>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</si>
  <si>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</si>
  <si>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</si>
  <si>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</si>
  <si>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</si>
  <si>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</si>
  <si>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</si>
  <si>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</si>
  <si>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</si>
  <si>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</si>
  <si>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</si>
  <si>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</si>
  <si>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</si>
  <si>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</si>
  <si>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</si>
  <si>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</si>
  <si>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</si>
  <si>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</si>
  <si>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</si>
  <si>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</si>
  <si>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</si>
  <si>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</si>
  <si>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</si>
  <si>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</si>
  <si>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</si>
  <si>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</si>
  <si>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</si>
  <si>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</si>
  <si>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</si>
  <si>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</si>
  <si>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</si>
  <si>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</si>
  <si>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</si>
  <si>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</si>
  <si>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</si>
  <si>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</si>
  <si>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</si>
  <si>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</si>
  <si>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</si>
  <si>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</si>
  <si>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</si>
  <si>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</si>
  <si>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</si>
  <si>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</si>
  <si>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</si>
  <si>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</si>
  <si>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</si>
  <si>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</si>
  <si>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</si>
  <si>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</si>
  <si>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</si>
  <si>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</si>
  <si>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</si>
  <si>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</si>
  <si>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</si>
  <si>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</si>
  <si>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</si>
  <si>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</si>
  <si>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</si>
  <si>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</si>
  <si>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</si>
  <si>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</si>
  <si>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</si>
  <si>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</si>
  <si>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</si>
  <si>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</si>
  <si>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</si>
  <si>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</si>
  <si>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</si>
  <si>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</si>
  <si>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</si>
  <si>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</si>
  <si>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</si>
  <si>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</si>
  <si>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</si>
  <si>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</si>
  <si>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</si>
  <si>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</si>
  <si>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</si>
  <si>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</si>
  <si>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</si>
  <si>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</si>
  <si>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</si>
  <si>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</si>
  <si>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</si>
  <si>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</si>
  <si>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</si>
  <si>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</si>
  <si>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</si>
  <si>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</si>
  <si>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</si>
  <si>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</si>
  <si>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</si>
  <si>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</si>
  <si>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</si>
  <si>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</si>
  <si>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</si>
  <si>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</si>
  <si>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</si>
  <si>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</si>
  <si>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</si>
  <si>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</si>
  <si>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</si>
  <si>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</si>
  <si>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</si>
  <si>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</si>
  <si>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</si>
  <si>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</si>
  <si>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</si>
  <si>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</si>
  <si>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</si>
  <si>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</si>
  <si>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</si>
  <si>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</si>
  <si>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</si>
  <si>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</si>
  <si>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</si>
  <si>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</si>
  <si>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</si>
  <si>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</si>
  <si>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</si>
  <si>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</si>
  <si>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</si>
  <si>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</si>
  <si>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</si>
  <si>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</si>
  <si>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</si>
  <si>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</si>
  <si>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</si>
  <si>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</si>
  <si>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</si>
  <si>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</si>
  <si>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</si>
  <si>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</si>
  <si>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</si>
  <si>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</si>
  <si>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</si>
  <si>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</si>
  <si>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</si>
  <si>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</si>
  <si>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</si>
  <si>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</si>
  <si>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</si>
  <si>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</si>
  <si>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</si>
  <si>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</si>
  <si>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Ведомость работ и используемых материалов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</si>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</sst>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28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0" fillId="0" borderId="0"/>
    <xf numFmtId="43" fontId="11" fillId="0" borderId="0" applyFont="0" applyFill="0" applyBorder="0" applyAlignment="0" applyProtection="0"/>
  </cellStyleXfs>
  <cellXfs count="13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right" vertical="center" wrapText="1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right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164" fontId="6" fillId="4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right" vertical="center" wrapText="1"/>
    </xf>
    <xf numFmtId="0" fontId="6" fillId="4" borderId="5" xfId="0" applyFont="1" applyFill="1" applyBorder="1" applyAlignment="1">
      <alignment horizontal="center" vertical="center"/>
    </xf>
    <xf numFmtId="164" fontId="6" fillId="4" borderId="5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right" vertical="center" wrapText="1"/>
    </xf>
    <xf numFmtId="164" fontId="8" fillId="4" borderId="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0" borderId="6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vertical="center"/>
    </xf>
    <xf numFmtId="2" fontId="9" fillId="0" borderId="6" xfId="0" applyNumberFormat="1" applyFont="1" applyFill="1" applyBorder="1" applyAlignment="1">
      <alignment horizontal="center" vertical="center"/>
    </xf>
    <xf numFmtId="165" fontId="9" fillId="0" borderId="6" xfId="0" applyNumberFormat="1" applyFont="1" applyFill="1" applyBorder="1" applyAlignment="1">
      <alignment horizontal="center" vertical="center"/>
    </xf>
    <xf numFmtId="0" fontId="9" fillId="0" borderId="5" xfId="1" applyFont="1" applyFill="1" applyBorder="1" applyAlignment="1" applyProtection="1">
      <alignment horizontal="center" vertical="center" wrapText="1"/>
    </xf>
    <xf numFmtId="0" fontId="9" fillId="0" borderId="6" xfId="0" applyFont="1" applyFill="1" applyBorder="1" applyAlignment="1">
      <alignment horizontal="left" vertical="center" wrapText="1"/>
    </xf>
    <xf numFmtId="0" fontId="9" fillId="0" borderId="6" xfId="0" applyFont="1" applyFill="1" applyBorder="1" applyAlignment="1">
      <alignment horizontal="center" vertical="center" wrapText="1"/>
    </xf>
    <xf numFmtId="164" fontId="9" fillId="0" borderId="5" xfId="0" applyNumberFormat="1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left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3" fontId="12" fillId="0" borderId="0" xfId="2" applyFont="1" applyAlignment="1"/>
    <xf numFmtId="49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2" fontId="12" fillId="0" borderId="6" xfId="0" applyNumberFormat="1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2" fontId="12" fillId="0" borderId="6" xfId="2" applyNumberFormat="1" applyFont="1" applyBorder="1" applyAlignment="1">
      <alignment vertical="center"/>
    </xf>
    <xf numFmtId="0" fontId="14" fillId="0" borderId="10" xfId="0" applyFont="1" applyBorder="1" applyAlignment="1">
      <alignment horizontal="center" vertical="center" wrapText="1"/>
    </xf>
    <xf numFmtId="0" fontId="15" fillId="6" borderId="6" xfId="0" applyFont="1" applyFill="1" applyBorder="1"/>
    <xf numFmtId="0" fontId="15" fillId="0" borderId="6" xfId="0" applyFont="1" applyBorder="1"/>
    <xf numFmtId="0" fontId="10" fillId="0" borderId="0" xfId="0" applyFont="1"/>
    <xf numFmtId="0" fontId="16" fillId="6" borderId="6" xfId="0" applyFont="1" applyFill="1" applyBorder="1"/>
    <xf numFmtId="0" fontId="12" fillId="0" borderId="0" xfId="0" applyFont="1" applyAlignment="1"/>
    <xf numFmtId="0" fontId="0" fillId="0" borderId="0" xfId="0" applyAlignment="1"/>
    <xf numFmtId="0" fontId="4" fillId="0" borderId="4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9" fillId="0" borderId="6" xfId="0" applyFont="1" applyFill="1" applyBorder="1" applyAlignment="1">
      <alignment vertical="center" wrapText="1"/>
    </xf>
    <xf numFmtId="0" fontId="17" fillId="0" borderId="5" xfId="0" applyFont="1" applyBorder="1" applyAlignment="1">
      <alignment horizontal="center" vertical="center" wrapText="1"/>
    </xf>
    <xf numFmtId="164" fontId="17" fillId="0" borderId="5" xfId="0" applyNumberFormat="1" applyFont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164" fontId="17" fillId="6" borderId="5" xfId="0" applyNumberFormat="1" applyFont="1" applyFill="1" applyBorder="1" applyAlignment="1">
      <alignment horizontal="center" vertical="center" wrapText="1"/>
    </xf>
    <xf numFmtId="0" fontId="18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1" fillId="0" borderId="5" xfId="0" applyNumberFormat="1" applyFont="1" applyFill="1" applyBorder="1" applyAlignment="1">
      <alignment horizontal="center" vertical="center" shrinkToFit="1"/>
    </xf>
    <xf numFmtId="167" fontId="21" fillId="0" borderId="5" xfId="0" applyNumberFormat="1" applyFont="1" applyFill="1" applyBorder="1" applyAlignment="1">
      <alignment horizontal="center" vertical="top" shrinkToFit="1"/>
    </xf>
    <xf numFmtId="0" fontId="22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2" fillId="0" borderId="5" xfId="0" applyFont="1" applyFill="1" applyBorder="1" applyAlignment="1">
      <alignment horizontal="center" vertical="top" wrapText="1"/>
    </xf>
    <xf numFmtId="0" fontId="19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0" fillId="0" borderId="0" xfId="0" applyNumberFormat="1" applyFont="1"/>
    <xf numFmtId="49" fontId="10" fillId="0" borderId="0" xfId="0" applyNumberFormat="1" applyFont="1" applyAlignment="1">
      <alignment horizontal="right"/>
    </xf>
    <xf numFmtId="0" fontId="17" fillId="0" borderId="0" xfId="0" applyFont="1" applyBorder="1" applyAlignment="1">
      <alignment horizontal="center" vertical="center" wrapText="1"/>
    </xf>
    <xf numFmtId="164" fontId="17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4" fillId="0" borderId="6" xfId="0" applyFont="1" applyBorder="1" applyAlignment="1">
      <alignment horizontal="center" vertical="center"/>
    </xf>
    <xf numFmtId="49" fontId="14" fillId="0" borderId="6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49" fontId="14" fillId="0" borderId="14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6" borderId="6" xfId="0" applyFont="1" applyFill="1" applyBorder="1" applyAlignment="1">
      <alignment horizontal="center" vertical="center" wrapText="1"/>
    </xf>
    <xf numFmtId="164" fontId="14" fillId="6" borderId="6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 vertical="center"/>
    </xf>
    <xf numFmtId="49" fontId="14" fillId="6" borderId="6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/>
    </xf>
    <xf numFmtId="0" fontId="14" fillId="6" borderId="16" xfId="0" applyFont="1" applyFill="1" applyBorder="1" applyAlignment="1">
      <alignment horizontal="center" vertical="center"/>
    </xf>
    <xf numFmtId="49" fontId="14" fillId="6" borderId="16" xfId="0" applyNumberFormat="1" applyFont="1" applyFill="1" applyBorder="1" applyAlignment="1">
      <alignment horizontal="center" vertical="center"/>
    </xf>
    <xf numFmtId="0" fontId="25" fillId="6" borderId="6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6" fillId="0" borderId="4" xfId="0" applyFont="1" applyBorder="1" applyAlignment="1">
      <alignment vertical="center" wrapText="1"/>
    </xf>
    <xf numFmtId="16" fontId="26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7" fillId="0" borderId="6" xfId="0" applyFont="1" applyBorder="1"/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2" fontId="12" fillId="0" borderId="7" xfId="0" applyNumberFormat="1" applyFont="1" applyBorder="1" applyAlignment="1">
      <alignment horizontal="center" vertical="center"/>
    </xf>
    <xf numFmtId="2" fontId="12" fillId="0" borderId="9" xfId="0" applyNumberFormat="1" applyFont="1" applyBorder="1" applyAlignment="1">
      <alignment horizontal="center" vertical="center"/>
    </xf>
    <xf numFmtId="0" fontId="13" fillId="0" borderId="7" xfId="0" applyFont="1" applyFill="1" applyBorder="1" applyAlignment="1">
      <alignment vertical="center" wrapText="1"/>
    </xf>
    <xf numFmtId="0" fontId="13" fillId="0" borderId="8" xfId="0" applyFont="1" applyFill="1" applyBorder="1" applyAlignment="1">
      <alignment vertical="center" wrapText="1"/>
    </xf>
    <xf numFmtId="0" fontId="13" fillId="0" borderId="9" xfId="0" applyFont="1" applyFill="1" applyBorder="1" applyAlignment="1">
      <alignment vertical="center" wrapText="1"/>
    </xf>
    <xf numFmtId="166" fontId="12" fillId="0" borderId="7" xfId="2" applyNumberFormat="1" applyFont="1" applyBorder="1" applyAlignment="1">
      <alignment horizontal="center" vertical="center"/>
    </xf>
    <xf numFmtId="166" fontId="12" fillId="0" borderId="9" xfId="2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" xfId="2" builtinId="3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5" name="Таблица5" displayName="Таблица5" ref="A9:D20" totalsRowShown="0" headerRowDxfId="17" dataDxfId="15" headerRowBorderDxfId="16" tableBorderDxfId="14" totalsRowBorderDxfId="13">
  <autoFilter ref="A9:D20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2" name="Таблица53" displayName="Таблица53" ref="A11:D27" totalsRowShown="0" headerRowDxfId="8" dataDxfId="6" headerRowBorderDxfId="7" tableBorderDxfId="5" totalsRowBorderDxfId="4">
  <autoFilter ref="A11:D27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zoomScale="55" zoomScaleNormal="55" workbookViewId="0">
      <selection activeCell="E527" sqref="E527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110" t="s">
        <v>2</v>
      </c>
      <c r="B2" s="110"/>
      <c r="C2" s="110"/>
      <c r="D2" s="110"/>
      <c r="E2" s="110"/>
      <c r="F2" s="110"/>
      <c r="G2" s="110"/>
      <c r="H2" s="110"/>
      <c r="I2" s="110"/>
    </row>
    <row r="3" spans="1:11" ht="15" customHeight="1" x14ac:dyDescent="0.3">
      <c r="A3" s="111" t="s">
        <v>3</v>
      </c>
      <c r="B3" s="111"/>
      <c r="C3" s="111"/>
      <c r="D3" s="111"/>
      <c r="E3" s="111"/>
      <c r="F3" s="111"/>
      <c r="G3" s="111"/>
      <c r="H3" s="111"/>
      <c r="I3" s="111"/>
    </row>
    <row r="4" spans="1:11" ht="15" customHeight="1" x14ac:dyDescent="0.3">
      <c r="A4" s="112" t="s">
        <v>4</v>
      </c>
      <c r="B4" s="112"/>
      <c r="C4" s="112"/>
      <c r="D4" s="112"/>
      <c r="E4" s="112"/>
      <c r="F4" s="112"/>
      <c r="G4" s="112"/>
      <c r="H4" s="112"/>
      <c r="I4" s="112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1062</v>
      </c>
      <c r="K5" s="104" t="s">
        <v>1063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877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54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107" t="s">
        <v>778</v>
      </c>
      <c r="D501" s="108"/>
      <c r="E501" s="108"/>
      <c r="F501" s="108"/>
      <c r="G501" s="108"/>
      <c r="H501" s="108"/>
      <c r="I501" s="109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107" t="s">
        <v>787</v>
      </c>
      <c r="D503" s="108"/>
      <c r="E503" s="108"/>
      <c r="F503" s="108"/>
      <c r="G503" s="108"/>
      <c r="H503" s="108"/>
      <c r="I503" s="109"/>
    </row>
    <row r="504" spans="1:9" ht="16.95" customHeight="1" x14ac:dyDescent="0.3">
      <c r="A504" s="4" t="s">
        <v>788</v>
      </c>
      <c r="B504" s="4" t="s">
        <v>789</v>
      </c>
      <c r="C504" s="107" t="s">
        <v>790</v>
      </c>
      <c r="D504" s="108"/>
      <c r="E504" s="108"/>
      <c r="F504" s="108"/>
      <c r="G504" s="108"/>
      <c r="H504" s="108"/>
      <c r="I504" s="109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107" t="s">
        <v>798</v>
      </c>
      <c r="D506" s="108"/>
      <c r="E506" s="108"/>
      <c r="F506" s="108"/>
      <c r="G506" s="108"/>
      <c r="H506" s="108"/>
      <c r="I506" s="109"/>
    </row>
    <row r="507" spans="1:9" ht="16.95" customHeight="1" x14ac:dyDescent="0.3">
      <c r="A507" s="4" t="s">
        <v>799</v>
      </c>
      <c r="B507" s="4" t="s">
        <v>800</v>
      </c>
      <c r="C507" s="107" t="s">
        <v>801</v>
      </c>
      <c r="D507" s="108"/>
      <c r="E507" s="108"/>
      <c r="F507" s="108"/>
      <c r="G507" s="108"/>
      <c r="H507" s="108"/>
      <c r="I507" s="109"/>
    </row>
    <row r="508" spans="1:9" ht="16.95" customHeight="1" x14ac:dyDescent="0.3">
      <c r="A508" s="4" t="s">
        <v>802</v>
      </c>
      <c r="B508" s="4" t="s">
        <v>803</v>
      </c>
      <c r="C508" s="107" t="s">
        <v>778</v>
      </c>
      <c r="D508" s="108"/>
      <c r="E508" s="108"/>
      <c r="F508" s="108"/>
      <c r="G508" s="108"/>
      <c r="H508" s="108"/>
      <c r="I508" s="109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905</v>
      </c>
      <c r="B1" s="68" t="s">
        <v>906</v>
      </c>
      <c r="C1" s="68" t="s">
        <v>907</v>
      </c>
      <c r="D1" s="69" t="s">
        <v>908</v>
      </c>
      <c r="E1" s="64" t="s">
        <v>909</v>
      </c>
      <c r="F1" s="69" t="s">
        <v>910</v>
      </c>
      <c r="G1" s="70" t="s">
        <v>911</v>
      </c>
      <c r="N1" s="44" t="s">
        <v>1057</v>
      </c>
    </row>
    <row r="2" spans="1:16" ht="23.4" customHeight="1" x14ac:dyDescent="0.3">
      <c r="A2" s="71" t="s">
        <v>942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885</v>
      </c>
      <c r="B3" s="64" t="s">
        <v>912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886</v>
      </c>
      <c r="B4" s="64" t="s">
        <v>913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887</v>
      </c>
      <c r="B5" s="64" t="s">
        <v>914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888</v>
      </c>
      <c r="B6" s="64" t="s">
        <v>915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889</v>
      </c>
      <c r="B7" s="64" t="s">
        <v>916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890</v>
      </c>
      <c r="B8" s="64" t="s">
        <v>917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1051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1040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918</v>
      </c>
      <c r="B11" s="64" t="s">
        <v>919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920</v>
      </c>
      <c r="B12" s="64" t="s">
        <v>921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891</v>
      </c>
      <c r="B13" s="64" t="s">
        <v>922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923</v>
      </c>
      <c r="B14" s="64" t="s">
        <v>924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925</v>
      </c>
      <c r="B15" s="64" t="s">
        <v>926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892</v>
      </c>
      <c r="B16" s="64" t="s">
        <v>927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893</v>
      </c>
      <c r="B17" s="64" t="s">
        <v>928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894</v>
      </c>
      <c r="B18" s="64" t="s">
        <v>929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895</v>
      </c>
      <c r="B19" s="64" t="s">
        <v>930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896</v>
      </c>
      <c r="B20" s="64" t="s">
        <v>931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897</v>
      </c>
      <c r="B21" s="64" t="s">
        <v>932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898</v>
      </c>
      <c r="B22" s="64" t="s">
        <v>933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884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1044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899</v>
      </c>
      <c r="B25" s="64" t="s">
        <v>934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900</v>
      </c>
      <c r="B26" s="64" t="s">
        <v>935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901</v>
      </c>
      <c r="B27" s="64" t="s">
        <v>936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902</v>
      </c>
      <c r="B28" s="64" t="s">
        <v>937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903</v>
      </c>
      <c r="B29" s="64" t="s">
        <v>938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904</v>
      </c>
      <c r="B30" s="64" t="s">
        <v>939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940</v>
      </c>
      <c r="B31" s="64" t="s">
        <v>941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1055</v>
      </c>
      <c r="B1" s="44" t="s">
        <v>1054</v>
      </c>
      <c r="C1" s="74" t="s">
        <v>1056</v>
      </c>
      <c r="D1" s="44" t="s">
        <v>831</v>
      </c>
    </row>
    <row r="2" spans="1:4" hidden="1" x14ac:dyDescent="0.3">
      <c r="A2">
        <v>2</v>
      </c>
      <c r="B2" s="44" t="s">
        <v>835</v>
      </c>
      <c r="C2" s="74" t="s">
        <v>942</v>
      </c>
      <c r="D2">
        <v>136.6</v>
      </c>
    </row>
    <row r="3" spans="1:4" hidden="1" x14ac:dyDescent="0.3">
      <c r="A3">
        <v>2</v>
      </c>
      <c r="B3" s="44" t="s">
        <v>835</v>
      </c>
      <c r="C3" s="74" t="s">
        <v>1040</v>
      </c>
      <c r="D3">
        <v>64.400000000000006</v>
      </c>
    </row>
    <row r="4" spans="1:4" hidden="1" x14ac:dyDescent="0.3">
      <c r="A4">
        <v>2</v>
      </c>
      <c r="B4" s="44" t="s">
        <v>835</v>
      </c>
      <c r="C4" s="74" t="s">
        <v>882</v>
      </c>
      <c r="D4">
        <v>1.3</v>
      </c>
    </row>
    <row r="5" spans="1:4" hidden="1" x14ac:dyDescent="0.3">
      <c r="A5">
        <v>2</v>
      </c>
      <c r="B5" s="44" t="s">
        <v>837</v>
      </c>
      <c r="C5" s="74" t="s">
        <v>882</v>
      </c>
      <c r="D5">
        <v>1</v>
      </c>
    </row>
    <row r="6" spans="1:4" hidden="1" x14ac:dyDescent="0.3">
      <c r="A6">
        <v>2</v>
      </c>
      <c r="B6" s="44" t="s">
        <v>839</v>
      </c>
      <c r="C6" s="74" t="s">
        <v>942</v>
      </c>
      <c r="D6">
        <v>299.8</v>
      </c>
    </row>
    <row r="7" spans="1:4" hidden="1" x14ac:dyDescent="0.3">
      <c r="A7">
        <v>2</v>
      </c>
      <c r="B7" s="44" t="s">
        <v>839</v>
      </c>
      <c r="C7" s="74" t="s">
        <v>1041</v>
      </c>
      <c r="D7">
        <v>8.4</v>
      </c>
    </row>
    <row r="8" spans="1:4" hidden="1" x14ac:dyDescent="0.3">
      <c r="A8">
        <v>2</v>
      </c>
      <c r="B8" s="44" t="s">
        <v>841</v>
      </c>
      <c r="C8" s="74" t="s">
        <v>942</v>
      </c>
      <c r="D8">
        <v>115.2</v>
      </c>
    </row>
    <row r="9" spans="1:4" hidden="1" x14ac:dyDescent="0.3">
      <c r="A9">
        <v>2</v>
      </c>
      <c r="B9" s="44" t="s">
        <v>843</v>
      </c>
      <c r="C9" s="74" t="s">
        <v>942</v>
      </c>
      <c r="D9">
        <v>56.4</v>
      </c>
    </row>
    <row r="10" spans="1:4" hidden="1" x14ac:dyDescent="0.3">
      <c r="A10">
        <v>2</v>
      </c>
      <c r="B10" s="44" t="s">
        <v>943</v>
      </c>
      <c r="C10" s="74" t="s">
        <v>1042</v>
      </c>
      <c r="D10">
        <v>0</v>
      </c>
    </row>
    <row r="11" spans="1:4" hidden="1" x14ac:dyDescent="0.3">
      <c r="A11">
        <v>2</v>
      </c>
      <c r="B11" s="44" t="s">
        <v>836</v>
      </c>
      <c r="C11" s="74" t="s">
        <v>1043</v>
      </c>
      <c r="D11">
        <v>73.5</v>
      </c>
    </row>
    <row r="12" spans="1:4" hidden="1" x14ac:dyDescent="0.3">
      <c r="A12">
        <v>2</v>
      </c>
      <c r="B12" s="44" t="s">
        <v>944</v>
      </c>
      <c r="C12" s="74" t="s">
        <v>1043</v>
      </c>
      <c r="D12">
        <v>104</v>
      </c>
    </row>
    <row r="13" spans="1:4" hidden="1" x14ac:dyDescent="0.3">
      <c r="A13">
        <v>2</v>
      </c>
      <c r="B13" s="44" t="s">
        <v>945</v>
      </c>
      <c r="C13" s="74" t="s">
        <v>1043</v>
      </c>
      <c r="D13">
        <v>49.3</v>
      </c>
    </row>
    <row r="14" spans="1:4" hidden="1" x14ac:dyDescent="0.3">
      <c r="A14">
        <v>2</v>
      </c>
      <c r="B14" s="44" t="s">
        <v>946</v>
      </c>
      <c r="C14" s="74" t="s">
        <v>879</v>
      </c>
      <c r="D14">
        <v>11.7</v>
      </c>
    </row>
    <row r="15" spans="1:4" hidden="1" x14ac:dyDescent="0.3">
      <c r="A15">
        <v>2</v>
      </c>
      <c r="B15" s="44" t="s">
        <v>946</v>
      </c>
      <c r="C15" s="74" t="s">
        <v>1044</v>
      </c>
      <c r="D15">
        <v>8.1999999999999993</v>
      </c>
    </row>
    <row r="16" spans="1:4" hidden="1" x14ac:dyDescent="0.3">
      <c r="A16">
        <v>2</v>
      </c>
      <c r="B16" s="44" t="s">
        <v>946</v>
      </c>
      <c r="C16" s="74" t="s">
        <v>880</v>
      </c>
      <c r="D16">
        <v>66.400000000000006</v>
      </c>
    </row>
    <row r="17" spans="1:4" hidden="1" x14ac:dyDescent="0.3">
      <c r="A17">
        <v>2</v>
      </c>
      <c r="B17" s="44" t="s">
        <v>946</v>
      </c>
      <c r="C17" s="74" t="s">
        <v>881</v>
      </c>
      <c r="D17">
        <v>2.6</v>
      </c>
    </row>
    <row r="18" spans="1:4" hidden="1" x14ac:dyDescent="0.3">
      <c r="A18">
        <v>2</v>
      </c>
      <c r="B18" s="44" t="s">
        <v>947</v>
      </c>
      <c r="C18" s="74" t="s">
        <v>878</v>
      </c>
      <c r="D18">
        <v>33.299999999999997</v>
      </c>
    </row>
    <row r="19" spans="1:4" hidden="1" x14ac:dyDescent="0.3">
      <c r="A19">
        <v>2</v>
      </c>
      <c r="B19" s="44" t="s">
        <v>845</v>
      </c>
      <c r="C19" s="74" t="s">
        <v>942</v>
      </c>
      <c r="D19">
        <v>74.900000000000006</v>
      </c>
    </row>
    <row r="20" spans="1:4" hidden="1" x14ac:dyDescent="0.3">
      <c r="A20">
        <v>2</v>
      </c>
      <c r="B20" s="44" t="s">
        <v>845</v>
      </c>
      <c r="C20" s="74" t="s">
        <v>1040</v>
      </c>
      <c r="D20">
        <v>25.8</v>
      </c>
    </row>
    <row r="21" spans="1:4" hidden="1" x14ac:dyDescent="0.3">
      <c r="A21">
        <v>2</v>
      </c>
      <c r="B21" s="44" t="s">
        <v>845</v>
      </c>
      <c r="C21" s="74" t="s">
        <v>882</v>
      </c>
      <c r="D21">
        <v>5.4</v>
      </c>
    </row>
    <row r="22" spans="1:4" hidden="1" x14ac:dyDescent="0.3">
      <c r="A22">
        <v>2</v>
      </c>
      <c r="B22" s="44" t="s">
        <v>846</v>
      </c>
      <c r="C22" s="74" t="s">
        <v>942</v>
      </c>
      <c r="D22">
        <v>74.3</v>
      </c>
    </row>
    <row r="23" spans="1:4" hidden="1" x14ac:dyDescent="0.3">
      <c r="A23">
        <v>2</v>
      </c>
      <c r="B23" s="44" t="s">
        <v>846</v>
      </c>
      <c r="C23" s="74" t="s">
        <v>1040</v>
      </c>
      <c r="D23">
        <v>26.7</v>
      </c>
    </row>
    <row r="24" spans="1:4" hidden="1" x14ac:dyDescent="0.3">
      <c r="A24">
        <v>2</v>
      </c>
      <c r="B24" s="44" t="s">
        <v>846</v>
      </c>
      <c r="C24" s="74" t="s">
        <v>882</v>
      </c>
      <c r="D24">
        <v>2.2999999999999998</v>
      </c>
    </row>
    <row r="25" spans="1:4" hidden="1" x14ac:dyDescent="0.3">
      <c r="A25">
        <v>2</v>
      </c>
      <c r="B25" s="44" t="s">
        <v>847</v>
      </c>
      <c r="C25" s="74" t="s">
        <v>942</v>
      </c>
      <c r="D25">
        <v>76</v>
      </c>
    </row>
    <row r="26" spans="1:4" hidden="1" x14ac:dyDescent="0.3">
      <c r="A26">
        <v>2</v>
      </c>
      <c r="B26" s="44" t="s">
        <v>847</v>
      </c>
      <c r="C26" s="74" t="s">
        <v>1040</v>
      </c>
      <c r="D26">
        <v>27.1</v>
      </c>
    </row>
    <row r="27" spans="1:4" hidden="1" x14ac:dyDescent="0.3">
      <c r="A27">
        <v>2</v>
      </c>
      <c r="B27" s="44" t="s">
        <v>847</v>
      </c>
      <c r="C27" s="74" t="s">
        <v>882</v>
      </c>
      <c r="D27">
        <v>1.8</v>
      </c>
    </row>
    <row r="28" spans="1:4" hidden="1" x14ac:dyDescent="0.3">
      <c r="A28">
        <v>2</v>
      </c>
      <c r="B28" s="44" t="s">
        <v>848</v>
      </c>
      <c r="C28" s="74" t="s">
        <v>942</v>
      </c>
      <c r="D28">
        <v>81.2</v>
      </c>
    </row>
    <row r="29" spans="1:4" hidden="1" x14ac:dyDescent="0.3">
      <c r="A29">
        <v>2</v>
      </c>
      <c r="B29" s="44" t="s">
        <v>848</v>
      </c>
      <c r="C29" s="74" t="s">
        <v>1040</v>
      </c>
      <c r="D29">
        <v>21.4</v>
      </c>
    </row>
    <row r="30" spans="1:4" hidden="1" x14ac:dyDescent="0.3">
      <c r="A30">
        <v>2</v>
      </c>
      <c r="B30" s="44" t="s">
        <v>848</v>
      </c>
      <c r="C30" s="74" t="s">
        <v>882</v>
      </c>
      <c r="D30">
        <v>3.9</v>
      </c>
    </row>
    <row r="31" spans="1:4" hidden="1" x14ac:dyDescent="0.3">
      <c r="A31">
        <v>2</v>
      </c>
      <c r="B31" s="44" t="s">
        <v>849</v>
      </c>
      <c r="C31" s="74" t="s">
        <v>942</v>
      </c>
      <c r="D31">
        <v>75.5</v>
      </c>
    </row>
    <row r="32" spans="1:4" hidden="1" x14ac:dyDescent="0.3">
      <c r="A32">
        <v>2</v>
      </c>
      <c r="B32" s="44" t="s">
        <v>849</v>
      </c>
      <c r="C32" s="74" t="s">
        <v>1040</v>
      </c>
      <c r="D32">
        <v>28.3</v>
      </c>
    </row>
    <row r="33" spans="1:4" hidden="1" x14ac:dyDescent="0.3">
      <c r="A33">
        <v>2</v>
      </c>
      <c r="B33" s="44" t="s">
        <v>850</v>
      </c>
      <c r="C33" s="74" t="s">
        <v>942</v>
      </c>
      <c r="D33">
        <v>344.2</v>
      </c>
    </row>
    <row r="34" spans="1:4" hidden="1" x14ac:dyDescent="0.3">
      <c r="A34">
        <v>2</v>
      </c>
      <c r="B34" s="44" t="s">
        <v>850</v>
      </c>
      <c r="C34" s="74" t="s">
        <v>1045</v>
      </c>
      <c r="D34">
        <v>11.6</v>
      </c>
    </row>
    <row r="35" spans="1:4" hidden="1" x14ac:dyDescent="0.3">
      <c r="A35">
        <v>2</v>
      </c>
      <c r="B35" s="44" t="s">
        <v>850</v>
      </c>
      <c r="C35" s="74" t="s">
        <v>879</v>
      </c>
      <c r="D35">
        <v>4.0999999999999996</v>
      </c>
    </row>
    <row r="36" spans="1:4" hidden="1" x14ac:dyDescent="0.3">
      <c r="A36">
        <v>2</v>
      </c>
      <c r="B36" s="44" t="s">
        <v>850</v>
      </c>
      <c r="C36" s="74" t="s">
        <v>1046</v>
      </c>
      <c r="D36">
        <v>1.3</v>
      </c>
    </row>
    <row r="37" spans="1:4" hidden="1" x14ac:dyDescent="0.3">
      <c r="A37">
        <v>2</v>
      </c>
      <c r="B37" s="44" t="s">
        <v>948</v>
      </c>
      <c r="C37" s="74" t="s">
        <v>879</v>
      </c>
      <c r="D37">
        <v>11.9</v>
      </c>
    </row>
    <row r="38" spans="1:4" hidden="1" x14ac:dyDescent="0.3">
      <c r="A38">
        <v>2</v>
      </c>
      <c r="B38" s="44" t="s">
        <v>948</v>
      </c>
      <c r="C38" s="74" t="s">
        <v>884</v>
      </c>
      <c r="D38">
        <v>5.7</v>
      </c>
    </row>
    <row r="39" spans="1:4" hidden="1" x14ac:dyDescent="0.3">
      <c r="A39">
        <v>2</v>
      </c>
      <c r="B39" s="44" t="s">
        <v>948</v>
      </c>
      <c r="C39" s="74" t="s">
        <v>880</v>
      </c>
      <c r="D39">
        <v>65.099999999999994</v>
      </c>
    </row>
    <row r="40" spans="1:4" hidden="1" x14ac:dyDescent="0.3">
      <c r="A40">
        <v>2</v>
      </c>
      <c r="B40" s="44" t="s">
        <v>948</v>
      </c>
      <c r="C40" s="74" t="s">
        <v>881</v>
      </c>
      <c r="D40">
        <v>1.8</v>
      </c>
    </row>
    <row r="41" spans="1:4" hidden="1" x14ac:dyDescent="0.3">
      <c r="A41">
        <v>2</v>
      </c>
      <c r="B41" s="44" t="s">
        <v>949</v>
      </c>
      <c r="C41" s="74" t="s">
        <v>1045</v>
      </c>
      <c r="D41">
        <v>9</v>
      </c>
    </row>
    <row r="42" spans="1:4" hidden="1" x14ac:dyDescent="0.3">
      <c r="A42">
        <v>2</v>
      </c>
      <c r="B42" s="44" t="s">
        <v>949</v>
      </c>
      <c r="C42" s="74" t="s">
        <v>1047</v>
      </c>
      <c r="D42">
        <v>11.7</v>
      </c>
    </row>
    <row r="43" spans="1:4" hidden="1" x14ac:dyDescent="0.3">
      <c r="A43">
        <v>2</v>
      </c>
      <c r="B43" s="44" t="s">
        <v>949</v>
      </c>
      <c r="C43" s="74" t="s">
        <v>1048</v>
      </c>
      <c r="D43">
        <v>15.5</v>
      </c>
    </row>
    <row r="44" spans="1:4" hidden="1" x14ac:dyDescent="0.3">
      <c r="A44">
        <v>2</v>
      </c>
      <c r="B44" s="44" t="s">
        <v>949</v>
      </c>
      <c r="C44" s="74" t="s">
        <v>1043</v>
      </c>
      <c r="D44">
        <v>231.6</v>
      </c>
    </row>
    <row r="45" spans="1:4" hidden="1" x14ac:dyDescent="0.3">
      <c r="A45">
        <v>2</v>
      </c>
      <c r="B45" s="44" t="s">
        <v>949</v>
      </c>
      <c r="C45" s="74" t="s">
        <v>879</v>
      </c>
      <c r="D45">
        <v>2</v>
      </c>
    </row>
    <row r="46" spans="1:4" hidden="1" x14ac:dyDescent="0.3">
      <c r="A46">
        <v>2</v>
      </c>
      <c r="B46" s="44" t="s">
        <v>950</v>
      </c>
      <c r="C46" s="74" t="s">
        <v>879</v>
      </c>
      <c r="D46">
        <v>11.7</v>
      </c>
    </row>
    <row r="47" spans="1:4" hidden="1" x14ac:dyDescent="0.3">
      <c r="A47">
        <v>2</v>
      </c>
      <c r="B47" s="44" t="s">
        <v>950</v>
      </c>
      <c r="C47" s="74" t="s">
        <v>882</v>
      </c>
      <c r="D47">
        <v>31.6</v>
      </c>
    </row>
    <row r="48" spans="1:4" hidden="1" x14ac:dyDescent="0.3">
      <c r="A48">
        <v>2</v>
      </c>
      <c r="B48" s="44" t="s">
        <v>950</v>
      </c>
      <c r="C48" s="74" t="s">
        <v>883</v>
      </c>
      <c r="D48">
        <v>5.9</v>
      </c>
    </row>
    <row r="49" spans="1:4" hidden="1" x14ac:dyDescent="0.3">
      <c r="A49">
        <v>2</v>
      </c>
      <c r="B49" s="44" t="s">
        <v>951</v>
      </c>
      <c r="C49" s="74" t="s">
        <v>882</v>
      </c>
      <c r="D49">
        <v>36.9</v>
      </c>
    </row>
    <row r="50" spans="1:4" hidden="1" x14ac:dyDescent="0.3">
      <c r="A50">
        <v>2</v>
      </c>
      <c r="B50" s="44" t="s">
        <v>851</v>
      </c>
      <c r="C50" s="74" t="s">
        <v>942</v>
      </c>
      <c r="D50">
        <v>653.1</v>
      </c>
    </row>
    <row r="51" spans="1:4" hidden="1" x14ac:dyDescent="0.3">
      <c r="A51">
        <v>2</v>
      </c>
      <c r="B51" s="44" t="s">
        <v>851</v>
      </c>
      <c r="C51" s="74" t="s">
        <v>1049</v>
      </c>
      <c r="D51">
        <v>10.4</v>
      </c>
    </row>
    <row r="52" spans="1:4" hidden="1" x14ac:dyDescent="0.3">
      <c r="A52">
        <v>2</v>
      </c>
      <c r="B52" s="44" t="s">
        <v>851</v>
      </c>
      <c r="C52" s="74" t="s">
        <v>1043</v>
      </c>
      <c r="D52">
        <v>5.5</v>
      </c>
    </row>
    <row r="53" spans="1:4" hidden="1" x14ac:dyDescent="0.3">
      <c r="A53">
        <v>2</v>
      </c>
      <c r="B53" s="44" t="s">
        <v>952</v>
      </c>
      <c r="C53" s="74" t="s">
        <v>1043</v>
      </c>
      <c r="D53">
        <v>81.900000000000006</v>
      </c>
    </row>
    <row r="54" spans="1:4" hidden="1" x14ac:dyDescent="0.3">
      <c r="A54">
        <v>2</v>
      </c>
      <c r="B54" s="44" t="s">
        <v>953</v>
      </c>
      <c r="C54" s="74" t="s">
        <v>1043</v>
      </c>
      <c r="D54">
        <v>86.5</v>
      </c>
    </row>
    <row r="55" spans="1:4" hidden="1" x14ac:dyDescent="0.3">
      <c r="A55">
        <v>2</v>
      </c>
      <c r="B55" s="44" t="s">
        <v>852</v>
      </c>
      <c r="C55" s="74" t="s">
        <v>942</v>
      </c>
      <c r="D55">
        <v>25.3</v>
      </c>
    </row>
    <row r="56" spans="1:4" hidden="1" x14ac:dyDescent="0.3">
      <c r="A56">
        <v>2</v>
      </c>
      <c r="B56" s="44" t="s">
        <v>954</v>
      </c>
      <c r="C56" s="74" t="s">
        <v>879</v>
      </c>
      <c r="D56">
        <v>9</v>
      </c>
    </row>
    <row r="57" spans="1:4" hidden="1" x14ac:dyDescent="0.3">
      <c r="A57">
        <v>2</v>
      </c>
      <c r="B57" s="44" t="s">
        <v>954</v>
      </c>
      <c r="C57" s="74" t="s">
        <v>883</v>
      </c>
      <c r="D57">
        <v>13.7</v>
      </c>
    </row>
    <row r="58" spans="1:4" hidden="1" x14ac:dyDescent="0.3">
      <c r="A58">
        <v>2</v>
      </c>
      <c r="B58" s="44" t="s">
        <v>954</v>
      </c>
      <c r="C58" s="74" t="s">
        <v>880</v>
      </c>
      <c r="D58">
        <v>31.9</v>
      </c>
    </row>
    <row r="59" spans="1:4" hidden="1" x14ac:dyDescent="0.3">
      <c r="A59">
        <v>2</v>
      </c>
      <c r="B59" s="44" t="s">
        <v>955</v>
      </c>
      <c r="C59" s="74" t="s">
        <v>879</v>
      </c>
      <c r="D59">
        <v>9.6999999999999993</v>
      </c>
    </row>
    <row r="60" spans="1:4" hidden="1" x14ac:dyDescent="0.3">
      <c r="A60">
        <v>2</v>
      </c>
      <c r="B60" s="44" t="s">
        <v>955</v>
      </c>
      <c r="C60" s="74" t="s">
        <v>883</v>
      </c>
      <c r="D60">
        <v>8.9</v>
      </c>
    </row>
    <row r="61" spans="1:4" hidden="1" x14ac:dyDescent="0.3">
      <c r="A61">
        <v>2</v>
      </c>
      <c r="B61" s="44" t="s">
        <v>955</v>
      </c>
      <c r="C61" s="74" t="s">
        <v>880</v>
      </c>
      <c r="D61">
        <v>24.3</v>
      </c>
    </row>
    <row r="62" spans="1:4" hidden="1" x14ac:dyDescent="0.3">
      <c r="A62">
        <v>2</v>
      </c>
      <c r="B62" s="44" t="s">
        <v>955</v>
      </c>
      <c r="C62" s="74" t="s">
        <v>881</v>
      </c>
      <c r="D62">
        <v>1.5</v>
      </c>
    </row>
    <row r="63" spans="1:4" hidden="1" x14ac:dyDescent="0.3">
      <c r="A63">
        <v>2</v>
      </c>
      <c r="B63" s="44" t="s">
        <v>956</v>
      </c>
      <c r="C63" s="74" t="s">
        <v>879</v>
      </c>
      <c r="D63">
        <v>19.2</v>
      </c>
    </row>
    <row r="64" spans="1:4" hidden="1" x14ac:dyDescent="0.3">
      <c r="A64">
        <v>2</v>
      </c>
      <c r="B64" s="44" t="s">
        <v>956</v>
      </c>
      <c r="C64" s="74" t="s">
        <v>1050</v>
      </c>
      <c r="D64">
        <v>17.600000000000001</v>
      </c>
    </row>
    <row r="65" spans="1:4" hidden="1" x14ac:dyDescent="0.3">
      <c r="A65">
        <v>2</v>
      </c>
      <c r="B65" s="44" t="s">
        <v>956</v>
      </c>
      <c r="C65" s="74" t="s">
        <v>880</v>
      </c>
      <c r="D65">
        <v>45.9</v>
      </c>
    </row>
    <row r="66" spans="1:4" hidden="1" x14ac:dyDescent="0.3">
      <c r="A66">
        <v>2</v>
      </c>
      <c r="B66" s="44" t="s">
        <v>957</v>
      </c>
      <c r="C66" s="74" t="s">
        <v>879</v>
      </c>
      <c r="D66">
        <v>1.3</v>
      </c>
    </row>
    <row r="67" spans="1:4" hidden="1" x14ac:dyDescent="0.3">
      <c r="A67">
        <v>2</v>
      </c>
      <c r="B67" s="44" t="s">
        <v>957</v>
      </c>
      <c r="C67" s="74" t="s">
        <v>1050</v>
      </c>
      <c r="D67">
        <v>9.1999999999999993</v>
      </c>
    </row>
    <row r="68" spans="1:4" hidden="1" x14ac:dyDescent="0.3">
      <c r="A68">
        <v>2</v>
      </c>
      <c r="B68" s="44" t="s">
        <v>957</v>
      </c>
      <c r="C68" s="74" t="s">
        <v>880</v>
      </c>
      <c r="D68">
        <v>22.4</v>
      </c>
    </row>
    <row r="69" spans="1:4" hidden="1" x14ac:dyDescent="0.3">
      <c r="A69">
        <v>2</v>
      </c>
      <c r="B69" s="44" t="s">
        <v>957</v>
      </c>
      <c r="C69" s="74" t="s">
        <v>881</v>
      </c>
      <c r="D69">
        <v>1.2</v>
      </c>
    </row>
    <row r="70" spans="1:4" hidden="1" x14ac:dyDescent="0.3">
      <c r="A70">
        <v>2</v>
      </c>
      <c r="B70" s="44" t="s">
        <v>853</v>
      </c>
      <c r="C70" s="74" t="s">
        <v>942</v>
      </c>
      <c r="D70">
        <v>229.9</v>
      </c>
    </row>
    <row r="71" spans="1:4" hidden="1" x14ac:dyDescent="0.3">
      <c r="A71">
        <v>2</v>
      </c>
      <c r="B71" s="44" t="s">
        <v>854</v>
      </c>
      <c r="C71" s="74" t="s">
        <v>942</v>
      </c>
      <c r="D71">
        <v>50.9</v>
      </c>
    </row>
    <row r="72" spans="1:4" hidden="1" x14ac:dyDescent="0.3">
      <c r="A72">
        <v>2</v>
      </c>
      <c r="B72" s="44" t="s">
        <v>854</v>
      </c>
      <c r="C72" s="74" t="s">
        <v>882</v>
      </c>
      <c r="D72">
        <v>49.2</v>
      </c>
    </row>
    <row r="73" spans="1:4" hidden="1" x14ac:dyDescent="0.3">
      <c r="A73">
        <v>2</v>
      </c>
      <c r="B73" s="44" t="s">
        <v>855</v>
      </c>
      <c r="C73" s="74" t="s">
        <v>942</v>
      </c>
      <c r="D73">
        <v>45.7</v>
      </c>
    </row>
    <row r="74" spans="1:4" hidden="1" x14ac:dyDescent="0.3">
      <c r="A74">
        <v>2</v>
      </c>
      <c r="B74" s="44" t="s">
        <v>855</v>
      </c>
      <c r="C74" s="74" t="s">
        <v>879</v>
      </c>
      <c r="D74">
        <v>11.1</v>
      </c>
    </row>
    <row r="75" spans="1:4" hidden="1" x14ac:dyDescent="0.3">
      <c r="A75">
        <v>2</v>
      </c>
      <c r="B75" s="44" t="s">
        <v>855</v>
      </c>
      <c r="C75" s="74" t="s">
        <v>883</v>
      </c>
      <c r="D75">
        <v>11.2</v>
      </c>
    </row>
    <row r="76" spans="1:4" hidden="1" x14ac:dyDescent="0.3">
      <c r="A76">
        <v>2</v>
      </c>
      <c r="B76" s="44" t="s">
        <v>855</v>
      </c>
      <c r="C76" s="74" t="s">
        <v>880</v>
      </c>
      <c r="D76">
        <v>24.2</v>
      </c>
    </row>
    <row r="77" spans="1:4" hidden="1" x14ac:dyDescent="0.3">
      <c r="A77">
        <v>2</v>
      </c>
      <c r="B77" s="44" t="s">
        <v>958</v>
      </c>
      <c r="C77" s="74" t="s">
        <v>1043</v>
      </c>
      <c r="D77">
        <v>113.1</v>
      </c>
    </row>
    <row r="78" spans="1:4" hidden="1" x14ac:dyDescent="0.3">
      <c r="A78">
        <v>2</v>
      </c>
      <c r="B78" s="44" t="s">
        <v>959</v>
      </c>
      <c r="C78" s="74" t="s">
        <v>882</v>
      </c>
      <c r="D78">
        <v>38.299999999999997</v>
      </c>
    </row>
    <row r="79" spans="1:4" hidden="1" x14ac:dyDescent="0.3">
      <c r="A79">
        <v>2</v>
      </c>
      <c r="B79" s="44" t="s">
        <v>960</v>
      </c>
      <c r="C79" s="74" t="s">
        <v>878</v>
      </c>
      <c r="D79">
        <v>44.2</v>
      </c>
    </row>
    <row r="80" spans="1:4" hidden="1" x14ac:dyDescent="0.3">
      <c r="A80">
        <v>2</v>
      </c>
      <c r="B80" s="44" t="s">
        <v>856</v>
      </c>
      <c r="C80" s="74" t="s">
        <v>942</v>
      </c>
      <c r="D80">
        <v>99.9</v>
      </c>
    </row>
    <row r="81" spans="1:4" hidden="1" x14ac:dyDescent="0.3">
      <c r="A81">
        <v>2</v>
      </c>
      <c r="B81" s="44" t="s">
        <v>856</v>
      </c>
      <c r="C81" s="74" t="s">
        <v>1040</v>
      </c>
      <c r="D81">
        <v>27.1</v>
      </c>
    </row>
    <row r="82" spans="1:4" hidden="1" x14ac:dyDescent="0.3">
      <c r="A82">
        <v>2</v>
      </c>
      <c r="B82" s="44" t="s">
        <v>838</v>
      </c>
      <c r="C82" s="74" t="s">
        <v>942</v>
      </c>
      <c r="D82">
        <v>781.3</v>
      </c>
    </row>
    <row r="83" spans="1:4" hidden="1" x14ac:dyDescent="0.3">
      <c r="A83">
        <v>2</v>
      </c>
      <c r="B83" s="44" t="s">
        <v>838</v>
      </c>
      <c r="C83" s="74" t="s">
        <v>1051</v>
      </c>
      <c r="D83">
        <v>78.400000000000006</v>
      </c>
    </row>
    <row r="84" spans="1:4" hidden="1" x14ac:dyDescent="0.3">
      <c r="A84">
        <v>2</v>
      </c>
      <c r="B84" s="44" t="s">
        <v>840</v>
      </c>
      <c r="C84" s="74" t="s">
        <v>942</v>
      </c>
      <c r="D84">
        <v>78.599999999999994</v>
      </c>
    </row>
    <row r="85" spans="1:4" hidden="1" x14ac:dyDescent="0.3">
      <c r="A85">
        <v>2</v>
      </c>
      <c r="B85" s="44" t="s">
        <v>840</v>
      </c>
      <c r="C85" s="74" t="s">
        <v>1040</v>
      </c>
      <c r="D85">
        <v>26.2</v>
      </c>
    </row>
    <row r="86" spans="1:4" hidden="1" x14ac:dyDescent="0.3">
      <c r="A86">
        <v>2</v>
      </c>
      <c r="B86" s="44" t="s">
        <v>857</v>
      </c>
      <c r="C86" s="74" t="s">
        <v>942</v>
      </c>
      <c r="D86">
        <v>76.2</v>
      </c>
    </row>
    <row r="87" spans="1:4" hidden="1" x14ac:dyDescent="0.3">
      <c r="A87">
        <v>2</v>
      </c>
      <c r="B87" s="44" t="s">
        <v>857</v>
      </c>
      <c r="C87" s="74" t="s">
        <v>1040</v>
      </c>
      <c r="D87">
        <v>26.6</v>
      </c>
    </row>
    <row r="88" spans="1:4" hidden="1" x14ac:dyDescent="0.3">
      <c r="A88">
        <v>2</v>
      </c>
      <c r="B88" s="44" t="s">
        <v>858</v>
      </c>
      <c r="C88" s="74" t="s">
        <v>942</v>
      </c>
      <c r="D88">
        <v>77.5</v>
      </c>
    </row>
    <row r="89" spans="1:4" hidden="1" x14ac:dyDescent="0.3">
      <c r="A89">
        <v>2</v>
      </c>
      <c r="B89" s="44" t="s">
        <v>858</v>
      </c>
      <c r="C89" s="74" t="s">
        <v>1040</v>
      </c>
      <c r="D89">
        <v>26.3</v>
      </c>
    </row>
    <row r="90" spans="1:4" hidden="1" x14ac:dyDescent="0.3">
      <c r="A90">
        <v>2</v>
      </c>
      <c r="B90" s="44" t="s">
        <v>859</v>
      </c>
      <c r="C90" s="74" t="s">
        <v>942</v>
      </c>
      <c r="D90">
        <v>78.2</v>
      </c>
    </row>
    <row r="91" spans="1:4" hidden="1" x14ac:dyDescent="0.3">
      <c r="A91">
        <v>2</v>
      </c>
      <c r="B91" s="44" t="s">
        <v>859</v>
      </c>
      <c r="C91" s="74" t="s">
        <v>1040</v>
      </c>
      <c r="D91">
        <v>25.6</v>
      </c>
    </row>
    <row r="92" spans="1:4" hidden="1" x14ac:dyDescent="0.3">
      <c r="A92">
        <v>2</v>
      </c>
      <c r="B92" s="44" t="s">
        <v>860</v>
      </c>
      <c r="C92" s="74" t="s">
        <v>942</v>
      </c>
      <c r="D92">
        <v>193.1</v>
      </c>
    </row>
    <row r="93" spans="1:4" hidden="1" x14ac:dyDescent="0.3">
      <c r="A93">
        <v>2</v>
      </c>
      <c r="B93" s="44" t="s">
        <v>860</v>
      </c>
      <c r="C93" s="74" t="s">
        <v>1048</v>
      </c>
      <c r="D93">
        <v>9.6</v>
      </c>
    </row>
    <row r="94" spans="1:4" hidden="1" x14ac:dyDescent="0.3">
      <c r="A94">
        <v>2</v>
      </c>
      <c r="B94" s="44" t="s">
        <v>961</v>
      </c>
      <c r="C94" s="74" t="s">
        <v>1043</v>
      </c>
      <c r="D94">
        <v>51.4</v>
      </c>
    </row>
    <row r="95" spans="1:4" hidden="1" x14ac:dyDescent="0.3">
      <c r="A95">
        <v>2</v>
      </c>
      <c r="B95" s="44" t="s">
        <v>962</v>
      </c>
      <c r="C95" s="74" t="s">
        <v>1043</v>
      </c>
      <c r="D95">
        <v>116.2</v>
      </c>
    </row>
    <row r="96" spans="1:4" hidden="1" x14ac:dyDescent="0.3">
      <c r="A96">
        <v>2</v>
      </c>
      <c r="B96" s="44" t="s">
        <v>861</v>
      </c>
      <c r="C96" s="74" t="s">
        <v>942</v>
      </c>
      <c r="D96">
        <v>222.4</v>
      </c>
    </row>
    <row r="97" spans="1:4" hidden="1" x14ac:dyDescent="0.3">
      <c r="A97">
        <v>2</v>
      </c>
      <c r="B97" s="44" t="s">
        <v>861</v>
      </c>
      <c r="C97" s="74" t="s">
        <v>882</v>
      </c>
      <c r="D97">
        <v>3.1</v>
      </c>
    </row>
    <row r="98" spans="1:4" hidden="1" x14ac:dyDescent="0.3">
      <c r="A98">
        <v>2</v>
      </c>
      <c r="B98" s="44" t="s">
        <v>862</v>
      </c>
      <c r="C98" s="74" t="s">
        <v>942</v>
      </c>
      <c r="D98">
        <v>319.3</v>
      </c>
    </row>
    <row r="99" spans="1:4" hidden="1" x14ac:dyDescent="0.3">
      <c r="A99">
        <v>2</v>
      </c>
      <c r="B99" s="44" t="s">
        <v>863</v>
      </c>
      <c r="C99" s="74" t="s">
        <v>1043</v>
      </c>
      <c r="D99">
        <v>75.099999999999994</v>
      </c>
    </row>
    <row r="100" spans="1:4" hidden="1" x14ac:dyDescent="0.3">
      <c r="A100">
        <v>2</v>
      </c>
      <c r="B100" s="44" t="s">
        <v>863</v>
      </c>
      <c r="C100" s="74" t="s">
        <v>882</v>
      </c>
      <c r="D100">
        <v>1.9</v>
      </c>
    </row>
    <row r="101" spans="1:4" hidden="1" x14ac:dyDescent="0.3">
      <c r="A101">
        <v>2</v>
      </c>
      <c r="B101" s="44" t="s">
        <v>864</v>
      </c>
      <c r="C101" s="74" t="s">
        <v>1043</v>
      </c>
      <c r="D101">
        <v>182.7</v>
      </c>
    </row>
    <row r="102" spans="1:4" hidden="1" x14ac:dyDescent="0.3">
      <c r="A102">
        <v>2</v>
      </c>
      <c r="B102" s="44" t="s">
        <v>864</v>
      </c>
      <c r="C102" s="74" t="s">
        <v>882</v>
      </c>
      <c r="D102">
        <v>2</v>
      </c>
    </row>
    <row r="103" spans="1:4" hidden="1" x14ac:dyDescent="0.3">
      <c r="A103">
        <v>2</v>
      </c>
      <c r="B103" s="44" t="s">
        <v>865</v>
      </c>
      <c r="C103" s="74" t="s">
        <v>942</v>
      </c>
      <c r="D103">
        <v>240.8</v>
      </c>
    </row>
    <row r="104" spans="1:4" hidden="1" x14ac:dyDescent="0.3">
      <c r="A104">
        <v>2</v>
      </c>
      <c r="B104" s="44" t="s">
        <v>865</v>
      </c>
      <c r="C104" s="74" t="s">
        <v>1046</v>
      </c>
      <c r="D104">
        <v>2.6</v>
      </c>
    </row>
    <row r="105" spans="1:4" hidden="1" x14ac:dyDescent="0.3">
      <c r="A105">
        <v>2</v>
      </c>
      <c r="B105" s="44" t="s">
        <v>866</v>
      </c>
      <c r="C105" s="74" t="s">
        <v>942</v>
      </c>
      <c r="D105">
        <v>5.6</v>
      </c>
    </row>
    <row r="106" spans="1:4" hidden="1" x14ac:dyDescent="0.3">
      <c r="A106">
        <v>2</v>
      </c>
      <c r="B106" s="44" t="s">
        <v>866</v>
      </c>
      <c r="C106" s="74" t="s">
        <v>1043</v>
      </c>
      <c r="D106">
        <v>68.5</v>
      </c>
    </row>
    <row r="107" spans="1:4" hidden="1" x14ac:dyDescent="0.3">
      <c r="A107">
        <v>2</v>
      </c>
      <c r="B107" s="44" t="s">
        <v>866</v>
      </c>
      <c r="C107" s="74" t="s">
        <v>882</v>
      </c>
      <c r="D107">
        <v>2.9</v>
      </c>
    </row>
    <row r="108" spans="1:4" hidden="1" x14ac:dyDescent="0.3">
      <c r="A108">
        <v>2</v>
      </c>
      <c r="B108" s="44" t="s">
        <v>963</v>
      </c>
      <c r="C108" s="74" t="s">
        <v>879</v>
      </c>
      <c r="D108">
        <v>16.899999999999999</v>
      </c>
    </row>
    <row r="109" spans="1:4" hidden="1" x14ac:dyDescent="0.3">
      <c r="A109">
        <v>2</v>
      </c>
      <c r="B109" s="44" t="s">
        <v>963</v>
      </c>
      <c r="C109" s="74" t="s">
        <v>1050</v>
      </c>
      <c r="D109">
        <v>6.2</v>
      </c>
    </row>
    <row r="110" spans="1:4" hidden="1" x14ac:dyDescent="0.3">
      <c r="A110">
        <v>2</v>
      </c>
      <c r="B110" s="44" t="s">
        <v>963</v>
      </c>
      <c r="C110" s="74" t="s">
        <v>880</v>
      </c>
      <c r="D110">
        <v>57.7</v>
      </c>
    </row>
    <row r="111" spans="1:4" hidden="1" x14ac:dyDescent="0.3">
      <c r="A111">
        <v>2</v>
      </c>
      <c r="B111" s="44" t="s">
        <v>963</v>
      </c>
      <c r="C111" s="74" t="s">
        <v>881</v>
      </c>
      <c r="D111">
        <v>2.2999999999999998</v>
      </c>
    </row>
    <row r="112" spans="1:4" hidden="1" x14ac:dyDescent="0.3">
      <c r="A112">
        <v>2</v>
      </c>
      <c r="B112" s="44" t="s">
        <v>964</v>
      </c>
      <c r="C112" s="74" t="s">
        <v>878</v>
      </c>
      <c r="D112">
        <v>35</v>
      </c>
    </row>
    <row r="113" spans="1:4" hidden="1" x14ac:dyDescent="0.3">
      <c r="A113">
        <v>2</v>
      </c>
      <c r="B113" s="44" t="s">
        <v>965</v>
      </c>
      <c r="C113" s="74" t="s">
        <v>879</v>
      </c>
      <c r="D113">
        <v>6.2</v>
      </c>
    </row>
    <row r="114" spans="1:4" hidden="1" x14ac:dyDescent="0.3">
      <c r="A114">
        <v>2</v>
      </c>
      <c r="B114" s="44" t="s">
        <v>965</v>
      </c>
      <c r="C114" s="74" t="s">
        <v>882</v>
      </c>
      <c r="D114">
        <v>19.2</v>
      </c>
    </row>
    <row r="115" spans="1:4" hidden="1" x14ac:dyDescent="0.3">
      <c r="A115">
        <v>2</v>
      </c>
      <c r="B115" s="44" t="s">
        <v>965</v>
      </c>
      <c r="C115" s="74" t="s">
        <v>883</v>
      </c>
      <c r="D115">
        <v>7</v>
      </c>
    </row>
    <row r="116" spans="1:4" hidden="1" x14ac:dyDescent="0.3">
      <c r="A116">
        <v>2</v>
      </c>
      <c r="B116" s="44" t="s">
        <v>966</v>
      </c>
      <c r="C116" s="74" t="s">
        <v>879</v>
      </c>
      <c r="D116">
        <v>17.7</v>
      </c>
    </row>
    <row r="117" spans="1:4" hidden="1" x14ac:dyDescent="0.3">
      <c r="A117">
        <v>2</v>
      </c>
      <c r="B117" s="44" t="s">
        <v>966</v>
      </c>
      <c r="C117" s="74" t="s">
        <v>883</v>
      </c>
      <c r="D117">
        <v>9.1</v>
      </c>
    </row>
    <row r="118" spans="1:4" hidden="1" x14ac:dyDescent="0.3">
      <c r="A118">
        <v>2</v>
      </c>
      <c r="B118" s="44" t="s">
        <v>966</v>
      </c>
      <c r="C118" s="74" t="s">
        <v>880</v>
      </c>
      <c r="D118">
        <v>62.5</v>
      </c>
    </row>
    <row r="119" spans="1:4" hidden="1" x14ac:dyDescent="0.3">
      <c r="A119">
        <v>2</v>
      </c>
      <c r="B119" s="44" t="s">
        <v>966</v>
      </c>
      <c r="C119" s="74" t="s">
        <v>881</v>
      </c>
      <c r="D119">
        <v>2.2999999999999998</v>
      </c>
    </row>
    <row r="120" spans="1:4" hidden="1" x14ac:dyDescent="0.3">
      <c r="A120">
        <v>2</v>
      </c>
      <c r="B120" s="44" t="s">
        <v>967</v>
      </c>
      <c r="C120" s="74" t="s">
        <v>1043</v>
      </c>
      <c r="D120">
        <v>48.7</v>
      </c>
    </row>
    <row r="121" spans="1:4" hidden="1" x14ac:dyDescent="0.3">
      <c r="A121">
        <v>2</v>
      </c>
      <c r="B121" s="44" t="s">
        <v>968</v>
      </c>
      <c r="C121" s="74" t="s">
        <v>1043</v>
      </c>
      <c r="D121">
        <v>107.8</v>
      </c>
    </row>
    <row r="122" spans="1:4" hidden="1" x14ac:dyDescent="0.3">
      <c r="A122">
        <v>2</v>
      </c>
      <c r="B122" s="44" t="s">
        <v>842</v>
      </c>
      <c r="C122" s="74" t="s">
        <v>1043</v>
      </c>
      <c r="D122">
        <v>82.1</v>
      </c>
    </row>
    <row r="123" spans="1:4" hidden="1" x14ac:dyDescent="0.3">
      <c r="A123">
        <v>2</v>
      </c>
      <c r="B123" s="44" t="s">
        <v>969</v>
      </c>
      <c r="C123" s="74" t="s">
        <v>878</v>
      </c>
      <c r="D123">
        <v>33.9</v>
      </c>
    </row>
    <row r="124" spans="1:4" hidden="1" x14ac:dyDescent="0.3">
      <c r="A124">
        <v>2</v>
      </c>
      <c r="B124" s="44" t="s">
        <v>867</v>
      </c>
      <c r="C124" s="74" t="s">
        <v>1043</v>
      </c>
      <c r="D124">
        <v>83</v>
      </c>
    </row>
    <row r="125" spans="1:4" hidden="1" x14ac:dyDescent="0.3">
      <c r="A125">
        <v>2</v>
      </c>
      <c r="B125" s="44" t="s">
        <v>867</v>
      </c>
      <c r="C125" s="74" t="s">
        <v>882</v>
      </c>
      <c r="D125">
        <v>1.7</v>
      </c>
    </row>
    <row r="126" spans="1:4" hidden="1" x14ac:dyDescent="0.3">
      <c r="A126">
        <v>2</v>
      </c>
      <c r="B126" s="44" t="s">
        <v>868</v>
      </c>
      <c r="C126" s="74" t="s">
        <v>942</v>
      </c>
      <c r="D126">
        <v>3.1</v>
      </c>
    </row>
    <row r="127" spans="1:4" hidden="1" x14ac:dyDescent="0.3">
      <c r="A127">
        <v>2</v>
      </c>
      <c r="B127" s="44" t="s">
        <v>868</v>
      </c>
      <c r="C127" s="74" t="s">
        <v>1043</v>
      </c>
      <c r="D127">
        <v>178.2</v>
      </c>
    </row>
    <row r="128" spans="1:4" hidden="1" x14ac:dyDescent="0.3">
      <c r="A128">
        <v>2</v>
      </c>
      <c r="B128" s="44" t="s">
        <v>868</v>
      </c>
      <c r="C128" s="74" t="s">
        <v>882</v>
      </c>
      <c r="D128">
        <v>3.6</v>
      </c>
    </row>
    <row r="129" spans="1:4" hidden="1" x14ac:dyDescent="0.3">
      <c r="A129">
        <v>2</v>
      </c>
      <c r="B129" s="44" t="s">
        <v>869</v>
      </c>
      <c r="C129" s="74" t="s">
        <v>942</v>
      </c>
      <c r="D129">
        <v>269</v>
      </c>
    </row>
    <row r="130" spans="1:4" hidden="1" x14ac:dyDescent="0.3">
      <c r="A130">
        <v>2</v>
      </c>
      <c r="B130" s="44" t="s">
        <v>970</v>
      </c>
      <c r="C130" s="74" t="s">
        <v>1042</v>
      </c>
      <c r="D130">
        <v>0</v>
      </c>
    </row>
    <row r="131" spans="1:4" hidden="1" x14ac:dyDescent="0.3">
      <c r="A131">
        <v>2</v>
      </c>
      <c r="B131" s="44" t="s">
        <v>870</v>
      </c>
      <c r="C131" s="74" t="s">
        <v>942</v>
      </c>
      <c r="D131">
        <v>79.400000000000006</v>
      </c>
    </row>
    <row r="132" spans="1:4" hidden="1" x14ac:dyDescent="0.3">
      <c r="A132">
        <v>2</v>
      </c>
      <c r="B132" s="44" t="s">
        <v>870</v>
      </c>
      <c r="C132" s="74" t="s">
        <v>1040</v>
      </c>
      <c r="D132">
        <v>26.3</v>
      </c>
    </row>
    <row r="133" spans="1:4" hidden="1" x14ac:dyDescent="0.3">
      <c r="A133">
        <v>2</v>
      </c>
      <c r="B133" s="44" t="s">
        <v>971</v>
      </c>
      <c r="C133" s="74" t="s">
        <v>878</v>
      </c>
      <c r="D133">
        <v>29.1</v>
      </c>
    </row>
    <row r="134" spans="1:4" hidden="1" x14ac:dyDescent="0.3">
      <c r="A134">
        <v>2</v>
      </c>
      <c r="B134" s="44" t="s">
        <v>871</v>
      </c>
      <c r="C134" s="74" t="s">
        <v>942</v>
      </c>
      <c r="D134">
        <v>113.3</v>
      </c>
    </row>
    <row r="135" spans="1:4" hidden="1" x14ac:dyDescent="0.3">
      <c r="A135">
        <v>2</v>
      </c>
      <c r="B135" s="44" t="s">
        <v>872</v>
      </c>
      <c r="C135" s="74" t="s">
        <v>942</v>
      </c>
      <c r="D135">
        <v>154.6</v>
      </c>
    </row>
    <row r="136" spans="1:4" hidden="1" x14ac:dyDescent="0.3">
      <c r="A136">
        <v>2</v>
      </c>
      <c r="B136" s="44" t="s">
        <v>873</v>
      </c>
      <c r="C136" s="74" t="s">
        <v>1043</v>
      </c>
      <c r="D136">
        <v>228.1</v>
      </c>
    </row>
    <row r="137" spans="1:4" hidden="1" x14ac:dyDescent="0.3">
      <c r="A137">
        <v>2</v>
      </c>
      <c r="B137" s="44" t="s">
        <v>1039</v>
      </c>
      <c r="C137" s="74" t="s">
        <v>1043</v>
      </c>
      <c r="D137">
        <v>52.9</v>
      </c>
    </row>
    <row r="138" spans="1:4" hidden="1" x14ac:dyDescent="0.3">
      <c r="A138">
        <v>2</v>
      </c>
      <c r="B138" s="44" t="s">
        <v>874</v>
      </c>
      <c r="C138" s="74" t="s">
        <v>942</v>
      </c>
      <c r="D138">
        <v>272.89999999999998</v>
      </c>
    </row>
    <row r="139" spans="1:4" hidden="1" x14ac:dyDescent="0.3">
      <c r="A139">
        <v>2</v>
      </c>
      <c r="B139" s="44" t="s">
        <v>874</v>
      </c>
      <c r="C139" s="74" t="s">
        <v>1052</v>
      </c>
      <c r="D139">
        <v>5.0999999999999996</v>
      </c>
    </row>
    <row r="140" spans="1:4" hidden="1" x14ac:dyDescent="0.3">
      <c r="A140">
        <v>3</v>
      </c>
      <c r="B140" s="44" t="s">
        <v>972</v>
      </c>
      <c r="C140" s="74" t="s">
        <v>942</v>
      </c>
      <c r="D140">
        <v>78.400000000000006</v>
      </c>
    </row>
    <row r="141" spans="1:4" hidden="1" x14ac:dyDescent="0.3">
      <c r="A141">
        <v>3</v>
      </c>
      <c r="B141" s="44" t="s">
        <v>972</v>
      </c>
      <c r="C141" s="74" t="s">
        <v>1040</v>
      </c>
      <c r="D141">
        <v>34.299999999999997</v>
      </c>
    </row>
    <row r="142" spans="1:4" hidden="1" x14ac:dyDescent="0.3">
      <c r="A142">
        <v>3</v>
      </c>
      <c r="B142" s="44" t="s">
        <v>972</v>
      </c>
      <c r="C142" s="74" t="s">
        <v>882</v>
      </c>
      <c r="D142">
        <v>1.4</v>
      </c>
    </row>
    <row r="143" spans="1:4" hidden="1" x14ac:dyDescent="0.3">
      <c r="A143">
        <v>3</v>
      </c>
      <c r="B143" s="44" t="s">
        <v>973</v>
      </c>
      <c r="C143" s="74" t="s">
        <v>942</v>
      </c>
      <c r="D143">
        <v>74.5</v>
      </c>
    </row>
    <row r="144" spans="1:4" hidden="1" x14ac:dyDescent="0.3">
      <c r="A144">
        <v>3</v>
      </c>
      <c r="B144" s="44" t="s">
        <v>973</v>
      </c>
      <c r="C144" s="74" t="s">
        <v>1040</v>
      </c>
      <c r="D144">
        <v>27.3</v>
      </c>
    </row>
    <row r="145" spans="1:4" hidden="1" x14ac:dyDescent="0.3">
      <c r="A145">
        <v>3</v>
      </c>
      <c r="B145" s="44" t="s">
        <v>974</v>
      </c>
      <c r="C145" s="74" t="s">
        <v>942</v>
      </c>
      <c r="D145">
        <v>94.4</v>
      </c>
    </row>
    <row r="146" spans="1:4" hidden="1" x14ac:dyDescent="0.3">
      <c r="A146">
        <v>3</v>
      </c>
      <c r="B146" s="44" t="s">
        <v>974</v>
      </c>
      <c r="C146" s="74" t="s">
        <v>1040</v>
      </c>
      <c r="D146">
        <v>28.1</v>
      </c>
    </row>
    <row r="147" spans="1:4" hidden="1" x14ac:dyDescent="0.3">
      <c r="A147">
        <v>3</v>
      </c>
      <c r="B147" s="44" t="s">
        <v>974</v>
      </c>
      <c r="C147" s="74" t="s">
        <v>882</v>
      </c>
      <c r="D147">
        <v>2.7</v>
      </c>
    </row>
    <row r="148" spans="1:4" hidden="1" x14ac:dyDescent="0.3">
      <c r="A148">
        <v>3</v>
      </c>
      <c r="B148" s="44" t="s">
        <v>975</v>
      </c>
      <c r="C148" s="74" t="s">
        <v>942</v>
      </c>
      <c r="D148">
        <v>158.1</v>
      </c>
    </row>
    <row r="149" spans="1:4" hidden="1" x14ac:dyDescent="0.3">
      <c r="A149">
        <v>3</v>
      </c>
      <c r="B149" s="44" t="s">
        <v>975</v>
      </c>
      <c r="C149" s="74" t="s">
        <v>1043</v>
      </c>
      <c r="D149">
        <v>8.6</v>
      </c>
    </row>
    <row r="150" spans="1:4" hidden="1" x14ac:dyDescent="0.3">
      <c r="A150">
        <v>3</v>
      </c>
      <c r="B150" s="44" t="s">
        <v>976</v>
      </c>
      <c r="C150" s="74" t="s">
        <v>1043</v>
      </c>
      <c r="D150">
        <v>72.8</v>
      </c>
    </row>
    <row r="151" spans="1:4" hidden="1" x14ac:dyDescent="0.3">
      <c r="A151">
        <v>3</v>
      </c>
      <c r="B151" s="44" t="s">
        <v>976</v>
      </c>
      <c r="C151" s="74" t="s">
        <v>882</v>
      </c>
      <c r="D151">
        <v>1.4</v>
      </c>
    </row>
    <row r="152" spans="1:4" hidden="1" x14ac:dyDescent="0.3">
      <c r="A152">
        <v>3</v>
      </c>
      <c r="B152" s="44" t="s">
        <v>977</v>
      </c>
      <c r="C152" s="74" t="s">
        <v>1043</v>
      </c>
      <c r="D152">
        <v>101.1</v>
      </c>
    </row>
    <row r="153" spans="1:4" hidden="1" x14ac:dyDescent="0.3">
      <c r="A153">
        <v>3</v>
      </c>
      <c r="B153" s="44" t="s">
        <v>978</v>
      </c>
      <c r="C153" s="74" t="s">
        <v>1043</v>
      </c>
      <c r="D153">
        <v>46.7</v>
      </c>
    </row>
    <row r="154" spans="1:4" x14ac:dyDescent="0.3">
      <c r="A154">
        <v>3</v>
      </c>
      <c r="B154" s="44" t="s">
        <v>979</v>
      </c>
      <c r="C154" s="74" t="s">
        <v>878</v>
      </c>
      <c r="D154">
        <v>33</v>
      </c>
    </row>
    <row r="155" spans="1:4" x14ac:dyDescent="0.3">
      <c r="A155">
        <v>3</v>
      </c>
      <c r="B155" s="44" t="s">
        <v>980</v>
      </c>
      <c r="C155" s="74" t="s">
        <v>879</v>
      </c>
      <c r="D155">
        <v>14.1</v>
      </c>
    </row>
    <row r="156" spans="1:4" x14ac:dyDescent="0.3">
      <c r="A156">
        <v>3</v>
      </c>
      <c r="B156" s="44" t="s">
        <v>980</v>
      </c>
      <c r="C156" s="74" t="s">
        <v>1044</v>
      </c>
      <c r="D156">
        <v>8.1</v>
      </c>
    </row>
    <row r="157" spans="1:4" x14ac:dyDescent="0.3">
      <c r="A157">
        <v>3</v>
      </c>
      <c r="B157" s="44" t="s">
        <v>980</v>
      </c>
      <c r="C157" s="74" t="s">
        <v>880</v>
      </c>
      <c r="D157">
        <v>65.8</v>
      </c>
    </row>
    <row r="158" spans="1:4" x14ac:dyDescent="0.3">
      <c r="A158">
        <v>3</v>
      </c>
      <c r="B158" s="44" t="s">
        <v>980</v>
      </c>
      <c r="C158" s="74" t="s">
        <v>881</v>
      </c>
      <c r="D158">
        <v>2.6</v>
      </c>
    </row>
    <row r="159" spans="1:4" hidden="1" x14ac:dyDescent="0.3">
      <c r="A159">
        <v>3</v>
      </c>
      <c r="B159" s="44" t="s">
        <v>981</v>
      </c>
      <c r="C159" s="74" t="s">
        <v>1043</v>
      </c>
      <c r="D159">
        <v>148.5</v>
      </c>
    </row>
    <row r="160" spans="1:4" hidden="1" x14ac:dyDescent="0.3">
      <c r="A160">
        <v>3</v>
      </c>
      <c r="B160" s="44" t="s">
        <v>981</v>
      </c>
      <c r="C160" s="74" t="s">
        <v>882</v>
      </c>
      <c r="D160">
        <v>2.5</v>
      </c>
    </row>
    <row r="161" spans="1:4" hidden="1" x14ac:dyDescent="0.3">
      <c r="A161">
        <v>3</v>
      </c>
      <c r="B161" s="44" t="s">
        <v>982</v>
      </c>
      <c r="C161" s="74" t="s">
        <v>942</v>
      </c>
      <c r="D161" s="75" t="s">
        <v>1037</v>
      </c>
    </row>
    <row r="162" spans="1:4" hidden="1" x14ac:dyDescent="0.3">
      <c r="A162">
        <v>3</v>
      </c>
      <c r="B162" s="44" t="s">
        <v>982</v>
      </c>
      <c r="C162" s="74" t="s">
        <v>882</v>
      </c>
      <c r="D162" s="75" t="s">
        <v>1038</v>
      </c>
    </row>
    <row r="163" spans="1:4" hidden="1" x14ac:dyDescent="0.3">
      <c r="A163">
        <v>3</v>
      </c>
      <c r="B163" s="44" t="s">
        <v>983</v>
      </c>
      <c r="C163" s="74" t="s">
        <v>942</v>
      </c>
      <c r="D163">
        <v>336.5</v>
      </c>
    </row>
    <row r="164" spans="1:4" hidden="1" x14ac:dyDescent="0.3">
      <c r="A164">
        <v>3</v>
      </c>
      <c r="B164" s="44" t="s">
        <v>983</v>
      </c>
      <c r="C164" s="74" t="s">
        <v>1045</v>
      </c>
      <c r="D164">
        <v>34.700000000000003</v>
      </c>
    </row>
    <row r="165" spans="1:4" hidden="1" x14ac:dyDescent="0.3">
      <c r="A165">
        <v>3</v>
      </c>
      <c r="B165" s="44" t="s">
        <v>983</v>
      </c>
      <c r="C165" s="74" t="s">
        <v>1046</v>
      </c>
      <c r="D165">
        <v>1.8</v>
      </c>
    </row>
    <row r="166" spans="1:4" hidden="1" x14ac:dyDescent="0.3">
      <c r="A166">
        <v>3</v>
      </c>
      <c r="B166" s="44" t="s">
        <v>984</v>
      </c>
      <c r="C166" s="74" t="s">
        <v>942</v>
      </c>
      <c r="D166">
        <v>91.2</v>
      </c>
    </row>
    <row r="167" spans="1:4" hidden="1" x14ac:dyDescent="0.3">
      <c r="A167">
        <v>3</v>
      </c>
      <c r="B167" s="44" t="s">
        <v>984</v>
      </c>
      <c r="C167" s="74" t="s">
        <v>1040</v>
      </c>
      <c r="D167">
        <v>16.399999999999999</v>
      </c>
    </row>
    <row r="168" spans="1:4" hidden="1" x14ac:dyDescent="0.3">
      <c r="A168">
        <v>3</v>
      </c>
      <c r="B168" s="44" t="s">
        <v>984</v>
      </c>
      <c r="C168" s="74" t="s">
        <v>882</v>
      </c>
      <c r="D168">
        <v>3.8</v>
      </c>
    </row>
    <row r="169" spans="1:4" hidden="1" x14ac:dyDescent="0.3">
      <c r="A169">
        <v>3</v>
      </c>
      <c r="B169" s="44" t="s">
        <v>985</v>
      </c>
      <c r="C169" s="74" t="s">
        <v>942</v>
      </c>
      <c r="D169">
        <v>80.900000000000006</v>
      </c>
    </row>
    <row r="170" spans="1:4" hidden="1" x14ac:dyDescent="0.3">
      <c r="A170">
        <v>3</v>
      </c>
      <c r="B170" s="44" t="s">
        <v>985</v>
      </c>
      <c r="C170" s="74" t="s">
        <v>1040</v>
      </c>
      <c r="D170">
        <v>28.3</v>
      </c>
    </row>
    <row r="171" spans="1:4" hidden="1" x14ac:dyDescent="0.3">
      <c r="A171">
        <v>3</v>
      </c>
      <c r="B171" s="44" t="s">
        <v>985</v>
      </c>
      <c r="C171" s="74" t="s">
        <v>882</v>
      </c>
      <c r="D171">
        <v>1.7</v>
      </c>
    </row>
    <row r="172" spans="1:4" x14ac:dyDescent="0.3">
      <c r="A172">
        <v>3</v>
      </c>
      <c r="B172" s="44" t="s">
        <v>986</v>
      </c>
      <c r="C172" s="74" t="s">
        <v>879</v>
      </c>
      <c r="D172">
        <v>13.6</v>
      </c>
    </row>
    <row r="173" spans="1:4" x14ac:dyDescent="0.3">
      <c r="A173">
        <v>3</v>
      </c>
      <c r="B173" s="44" t="s">
        <v>986</v>
      </c>
      <c r="C173" s="74" t="s">
        <v>884</v>
      </c>
      <c r="D173">
        <v>5.8</v>
      </c>
    </row>
    <row r="174" spans="1:4" x14ac:dyDescent="0.3">
      <c r="A174">
        <v>3</v>
      </c>
      <c r="B174" s="44" t="s">
        <v>986</v>
      </c>
      <c r="C174" s="74" t="s">
        <v>880</v>
      </c>
      <c r="D174">
        <v>67.8</v>
      </c>
    </row>
    <row r="175" spans="1:4" x14ac:dyDescent="0.3">
      <c r="A175">
        <v>3</v>
      </c>
      <c r="B175" s="44" t="s">
        <v>986</v>
      </c>
      <c r="C175" s="74" t="s">
        <v>881</v>
      </c>
      <c r="D175">
        <v>1.8</v>
      </c>
    </row>
    <row r="176" spans="1:4" hidden="1" x14ac:dyDescent="0.3">
      <c r="A176">
        <v>3</v>
      </c>
      <c r="B176" s="44" t="s">
        <v>987</v>
      </c>
      <c r="C176" s="74" t="s">
        <v>1043</v>
      </c>
      <c r="D176">
        <v>122.7</v>
      </c>
    </row>
    <row r="177" spans="1:4" x14ac:dyDescent="0.3">
      <c r="A177">
        <v>3</v>
      </c>
      <c r="B177" s="44" t="s">
        <v>988</v>
      </c>
      <c r="C177" s="74" t="s">
        <v>882</v>
      </c>
      <c r="D177">
        <v>35.4</v>
      </c>
    </row>
    <row r="178" spans="1:4" x14ac:dyDescent="0.3">
      <c r="A178">
        <v>3</v>
      </c>
      <c r="B178" s="44" t="s">
        <v>988</v>
      </c>
      <c r="C178" s="74" t="s">
        <v>883</v>
      </c>
      <c r="D178">
        <v>5.9</v>
      </c>
    </row>
    <row r="179" spans="1:4" x14ac:dyDescent="0.3">
      <c r="A179">
        <v>3</v>
      </c>
      <c r="B179" s="44" t="s">
        <v>989</v>
      </c>
      <c r="C179" s="74" t="s">
        <v>882</v>
      </c>
      <c r="D179">
        <v>29.5</v>
      </c>
    </row>
    <row r="180" spans="1:4" hidden="1" x14ac:dyDescent="0.3">
      <c r="A180">
        <v>3</v>
      </c>
      <c r="B180" s="44" t="s">
        <v>990</v>
      </c>
      <c r="C180" s="74" t="s">
        <v>942</v>
      </c>
      <c r="D180">
        <v>422</v>
      </c>
    </row>
    <row r="181" spans="1:4" hidden="1" x14ac:dyDescent="0.3">
      <c r="A181">
        <v>3</v>
      </c>
      <c r="B181" s="44" t="s">
        <v>990</v>
      </c>
      <c r="C181" s="74" t="s">
        <v>1049</v>
      </c>
      <c r="D181">
        <v>24.4</v>
      </c>
    </row>
    <row r="182" spans="1:4" hidden="1" x14ac:dyDescent="0.3">
      <c r="A182">
        <v>3</v>
      </c>
      <c r="B182" s="44" t="s">
        <v>991</v>
      </c>
      <c r="C182" s="74" t="s">
        <v>1043</v>
      </c>
      <c r="D182">
        <v>88.2</v>
      </c>
    </row>
    <row r="183" spans="1:4" hidden="1" x14ac:dyDescent="0.3">
      <c r="A183">
        <v>3</v>
      </c>
      <c r="B183" s="44" t="s">
        <v>992</v>
      </c>
      <c r="C183" s="74" t="s">
        <v>1043</v>
      </c>
      <c r="D183">
        <v>77.5</v>
      </c>
    </row>
    <row r="184" spans="1:4" hidden="1" x14ac:dyDescent="0.3">
      <c r="A184">
        <v>3</v>
      </c>
      <c r="B184" s="44" t="s">
        <v>992</v>
      </c>
      <c r="C184" s="74" t="s">
        <v>882</v>
      </c>
      <c r="D184">
        <v>6.1</v>
      </c>
    </row>
    <row r="185" spans="1:4" hidden="1" x14ac:dyDescent="0.3">
      <c r="A185">
        <v>3</v>
      </c>
      <c r="B185" s="44" t="s">
        <v>993</v>
      </c>
      <c r="C185" s="74" t="s">
        <v>942</v>
      </c>
      <c r="D185">
        <v>82.5</v>
      </c>
    </row>
    <row r="186" spans="1:4" hidden="1" x14ac:dyDescent="0.3">
      <c r="A186">
        <v>3</v>
      </c>
      <c r="B186" s="44" t="s">
        <v>993</v>
      </c>
      <c r="C186" s="74" t="s">
        <v>1040</v>
      </c>
      <c r="D186">
        <v>32.700000000000003</v>
      </c>
    </row>
    <row r="187" spans="1:4" hidden="1" x14ac:dyDescent="0.3">
      <c r="A187">
        <v>3</v>
      </c>
      <c r="B187" s="44" t="s">
        <v>993</v>
      </c>
      <c r="C187" s="74" t="s">
        <v>882</v>
      </c>
      <c r="D187">
        <v>2</v>
      </c>
    </row>
    <row r="188" spans="1:4" hidden="1" x14ac:dyDescent="0.3">
      <c r="A188">
        <v>3</v>
      </c>
      <c r="B188" s="44" t="s">
        <v>994</v>
      </c>
      <c r="C188" s="74" t="s">
        <v>942</v>
      </c>
      <c r="D188">
        <v>353.6</v>
      </c>
    </row>
    <row r="189" spans="1:4" hidden="1" x14ac:dyDescent="0.3">
      <c r="A189">
        <v>3</v>
      </c>
      <c r="B189" s="44" t="s">
        <v>994</v>
      </c>
      <c r="C189" s="74" t="s">
        <v>1052</v>
      </c>
      <c r="D189">
        <v>5</v>
      </c>
    </row>
    <row r="190" spans="1:4" hidden="1" x14ac:dyDescent="0.3">
      <c r="A190">
        <v>3</v>
      </c>
      <c r="B190" s="44" t="s">
        <v>995</v>
      </c>
      <c r="C190" s="74" t="s">
        <v>1043</v>
      </c>
      <c r="D190">
        <v>86.7</v>
      </c>
    </row>
    <row r="191" spans="1:4" x14ac:dyDescent="0.3">
      <c r="A191">
        <v>3</v>
      </c>
      <c r="B191" s="44" t="s">
        <v>996</v>
      </c>
      <c r="C191" s="74" t="s">
        <v>882</v>
      </c>
      <c r="D191">
        <v>36.9</v>
      </c>
    </row>
    <row r="192" spans="1:4" x14ac:dyDescent="0.3">
      <c r="A192">
        <v>3</v>
      </c>
      <c r="B192" s="44" t="s">
        <v>997</v>
      </c>
      <c r="C192" s="74" t="s">
        <v>878</v>
      </c>
      <c r="D192">
        <v>36.5</v>
      </c>
    </row>
    <row r="193" spans="1:4" hidden="1" x14ac:dyDescent="0.3">
      <c r="A193">
        <v>3</v>
      </c>
      <c r="B193" s="44" t="s">
        <v>998</v>
      </c>
      <c r="C193" s="74" t="s">
        <v>942</v>
      </c>
      <c r="D193">
        <v>107.2</v>
      </c>
    </row>
    <row r="194" spans="1:4" hidden="1" x14ac:dyDescent="0.3">
      <c r="A194">
        <v>3</v>
      </c>
      <c r="B194" s="44" t="s">
        <v>998</v>
      </c>
      <c r="C194" s="74" t="s">
        <v>1040</v>
      </c>
      <c r="D194">
        <v>27.1</v>
      </c>
    </row>
    <row r="195" spans="1:4" hidden="1" x14ac:dyDescent="0.3">
      <c r="A195">
        <v>3</v>
      </c>
      <c r="B195" s="44" t="s">
        <v>999</v>
      </c>
      <c r="C195" s="74" t="s">
        <v>942</v>
      </c>
      <c r="D195">
        <v>75.599999999999994</v>
      </c>
    </row>
    <row r="196" spans="1:4" hidden="1" x14ac:dyDescent="0.3">
      <c r="A196">
        <v>3</v>
      </c>
      <c r="B196" s="44" t="s">
        <v>999</v>
      </c>
      <c r="C196" s="74" t="s">
        <v>1040</v>
      </c>
      <c r="D196">
        <v>27.7</v>
      </c>
    </row>
    <row r="197" spans="1:4" x14ac:dyDescent="0.3">
      <c r="A197">
        <v>3</v>
      </c>
      <c r="B197" s="44" t="s">
        <v>1000</v>
      </c>
      <c r="C197" s="74" t="s">
        <v>878</v>
      </c>
      <c r="D197">
        <v>29.5</v>
      </c>
    </row>
    <row r="198" spans="1:4" hidden="1" x14ac:dyDescent="0.3">
      <c r="A198">
        <v>3</v>
      </c>
      <c r="B198" s="44" t="s">
        <v>1001</v>
      </c>
      <c r="C198" s="74" t="s">
        <v>942</v>
      </c>
      <c r="D198">
        <v>87.3</v>
      </c>
    </row>
    <row r="199" spans="1:4" hidden="1" x14ac:dyDescent="0.3">
      <c r="A199">
        <v>3</v>
      </c>
      <c r="B199" s="44" t="s">
        <v>1001</v>
      </c>
      <c r="C199" s="74" t="s">
        <v>1040</v>
      </c>
      <c r="D199">
        <v>23.7</v>
      </c>
    </row>
    <row r="200" spans="1:4" hidden="1" x14ac:dyDescent="0.3">
      <c r="A200">
        <v>3</v>
      </c>
      <c r="B200" s="44" t="s">
        <v>1002</v>
      </c>
      <c r="C200" s="74" t="s">
        <v>942</v>
      </c>
      <c r="D200">
        <v>81.8</v>
      </c>
    </row>
    <row r="201" spans="1:4" hidden="1" x14ac:dyDescent="0.3">
      <c r="A201">
        <v>3</v>
      </c>
      <c r="B201" s="44" t="s">
        <v>1002</v>
      </c>
      <c r="C201" s="74" t="s">
        <v>1040</v>
      </c>
      <c r="D201">
        <v>26.5</v>
      </c>
    </row>
    <row r="202" spans="1:4" hidden="1" x14ac:dyDescent="0.3">
      <c r="A202">
        <v>3</v>
      </c>
      <c r="B202" s="44" t="s">
        <v>1003</v>
      </c>
      <c r="C202" s="74" t="s">
        <v>942</v>
      </c>
      <c r="D202">
        <v>83</v>
      </c>
    </row>
    <row r="203" spans="1:4" hidden="1" x14ac:dyDescent="0.3">
      <c r="A203">
        <v>3</v>
      </c>
      <c r="B203" s="44" t="s">
        <v>1003</v>
      </c>
      <c r="C203" s="74" t="s">
        <v>1040</v>
      </c>
      <c r="D203">
        <v>25.6</v>
      </c>
    </row>
    <row r="204" spans="1:4" hidden="1" x14ac:dyDescent="0.3">
      <c r="A204">
        <v>3</v>
      </c>
      <c r="B204" s="44" t="s">
        <v>1004</v>
      </c>
      <c r="C204" s="74" t="s">
        <v>1043</v>
      </c>
      <c r="D204">
        <v>42</v>
      </c>
    </row>
    <row r="205" spans="1:4" hidden="1" x14ac:dyDescent="0.3">
      <c r="A205">
        <v>3</v>
      </c>
      <c r="B205" s="44" t="s">
        <v>1005</v>
      </c>
      <c r="C205" s="74" t="s">
        <v>1043</v>
      </c>
      <c r="D205">
        <v>95.5</v>
      </c>
    </row>
    <row r="206" spans="1:4" hidden="1" x14ac:dyDescent="0.3">
      <c r="A206">
        <v>3</v>
      </c>
      <c r="B206" s="44" t="s">
        <v>1006</v>
      </c>
      <c r="C206" s="74" t="s">
        <v>942</v>
      </c>
      <c r="D206">
        <v>72</v>
      </c>
    </row>
    <row r="207" spans="1:4" hidden="1" x14ac:dyDescent="0.3">
      <c r="A207">
        <v>3</v>
      </c>
      <c r="B207" s="44" t="s">
        <v>1006</v>
      </c>
      <c r="C207" s="74" t="s">
        <v>1040</v>
      </c>
      <c r="D207">
        <v>21.6</v>
      </c>
    </row>
    <row r="208" spans="1:4" hidden="1" x14ac:dyDescent="0.3">
      <c r="A208">
        <v>3</v>
      </c>
      <c r="B208" s="44" t="s">
        <v>1007</v>
      </c>
      <c r="C208" s="74" t="s">
        <v>942</v>
      </c>
      <c r="D208">
        <v>74.7</v>
      </c>
    </row>
    <row r="209" spans="1:4" hidden="1" x14ac:dyDescent="0.3">
      <c r="A209">
        <v>3</v>
      </c>
      <c r="B209" s="44" t="s">
        <v>1007</v>
      </c>
      <c r="C209" s="74" t="s">
        <v>1040</v>
      </c>
      <c r="D209">
        <v>21.7</v>
      </c>
    </row>
    <row r="210" spans="1:4" hidden="1" x14ac:dyDescent="0.3">
      <c r="A210">
        <v>3</v>
      </c>
      <c r="B210" s="44" t="s">
        <v>1008</v>
      </c>
      <c r="C210" s="74" t="s">
        <v>942</v>
      </c>
      <c r="D210">
        <v>242.8</v>
      </c>
    </row>
    <row r="211" spans="1:4" hidden="1" x14ac:dyDescent="0.3">
      <c r="A211">
        <v>3</v>
      </c>
      <c r="B211" s="44" t="s">
        <v>1008</v>
      </c>
      <c r="C211" s="74" t="s">
        <v>1048</v>
      </c>
      <c r="D211">
        <v>8.6</v>
      </c>
    </row>
    <row r="212" spans="1:4" hidden="1" x14ac:dyDescent="0.3">
      <c r="A212">
        <v>3</v>
      </c>
      <c r="B212" s="44" t="s">
        <v>1009</v>
      </c>
      <c r="C212" s="74" t="s">
        <v>942</v>
      </c>
      <c r="D212">
        <v>206.7</v>
      </c>
    </row>
    <row r="213" spans="1:4" hidden="1" x14ac:dyDescent="0.3">
      <c r="A213">
        <v>3</v>
      </c>
      <c r="B213" s="44" t="s">
        <v>1009</v>
      </c>
      <c r="C213" s="74" t="s">
        <v>882</v>
      </c>
      <c r="D213">
        <v>7.8</v>
      </c>
    </row>
    <row r="214" spans="1:4" hidden="1" x14ac:dyDescent="0.3">
      <c r="A214">
        <v>3</v>
      </c>
      <c r="B214" s="44" t="s">
        <v>1010</v>
      </c>
      <c r="C214" s="74" t="s">
        <v>1043</v>
      </c>
      <c r="D214">
        <v>67.7</v>
      </c>
    </row>
    <row r="215" spans="1:4" hidden="1" x14ac:dyDescent="0.3">
      <c r="A215">
        <v>3</v>
      </c>
      <c r="B215" s="44" t="s">
        <v>1010</v>
      </c>
      <c r="C215" s="74" t="s">
        <v>882</v>
      </c>
      <c r="D215">
        <v>1.8</v>
      </c>
    </row>
    <row r="216" spans="1:4" hidden="1" x14ac:dyDescent="0.3">
      <c r="A216">
        <v>3</v>
      </c>
      <c r="B216" s="44" t="s">
        <v>1011</v>
      </c>
      <c r="C216" s="74" t="s">
        <v>942</v>
      </c>
      <c r="D216">
        <v>114.3</v>
      </c>
    </row>
    <row r="217" spans="1:4" hidden="1" x14ac:dyDescent="0.3">
      <c r="A217">
        <v>3</v>
      </c>
      <c r="B217" s="44" t="s">
        <v>1011</v>
      </c>
      <c r="C217" s="74" t="s">
        <v>1040</v>
      </c>
      <c r="D217">
        <v>22.7</v>
      </c>
    </row>
    <row r="218" spans="1:4" hidden="1" x14ac:dyDescent="0.3">
      <c r="A218">
        <v>3</v>
      </c>
      <c r="B218" s="44" t="s">
        <v>1012</v>
      </c>
      <c r="C218" s="74" t="s">
        <v>942</v>
      </c>
      <c r="D218">
        <v>330.6</v>
      </c>
    </row>
    <row r="219" spans="1:4" hidden="1" x14ac:dyDescent="0.3">
      <c r="A219">
        <v>3</v>
      </c>
      <c r="B219" s="44" t="s">
        <v>1012</v>
      </c>
      <c r="C219" s="74" t="s">
        <v>1047</v>
      </c>
      <c r="D219">
        <v>11.7</v>
      </c>
    </row>
    <row r="220" spans="1:4" hidden="1" x14ac:dyDescent="0.3">
      <c r="A220">
        <v>3</v>
      </c>
      <c r="B220" s="44" t="s">
        <v>1012</v>
      </c>
      <c r="C220" s="74" t="s">
        <v>1046</v>
      </c>
      <c r="D220">
        <v>2.6</v>
      </c>
    </row>
    <row r="221" spans="1:4" hidden="1" x14ac:dyDescent="0.3">
      <c r="A221">
        <v>3</v>
      </c>
      <c r="B221" s="44" t="s">
        <v>1013</v>
      </c>
      <c r="C221" s="74" t="s">
        <v>879</v>
      </c>
      <c r="D221">
        <v>17.2</v>
      </c>
    </row>
    <row r="222" spans="1:4" hidden="1" x14ac:dyDescent="0.3">
      <c r="A222">
        <v>3</v>
      </c>
      <c r="B222" s="44" t="s">
        <v>1013</v>
      </c>
      <c r="C222" s="74" t="s">
        <v>1050</v>
      </c>
      <c r="D222">
        <v>9.1</v>
      </c>
    </row>
    <row r="223" spans="1:4" hidden="1" x14ac:dyDescent="0.3">
      <c r="A223">
        <v>3</v>
      </c>
      <c r="B223" s="44" t="s">
        <v>1013</v>
      </c>
      <c r="C223" s="74" t="s">
        <v>880</v>
      </c>
      <c r="D223">
        <v>58.4</v>
      </c>
    </row>
    <row r="224" spans="1:4" hidden="1" x14ac:dyDescent="0.3">
      <c r="A224">
        <v>3</v>
      </c>
      <c r="B224" s="44" t="s">
        <v>1013</v>
      </c>
      <c r="C224" s="74" t="s">
        <v>881</v>
      </c>
      <c r="D224">
        <v>2.2999999999999998</v>
      </c>
    </row>
    <row r="225" spans="1:4" hidden="1" x14ac:dyDescent="0.3">
      <c r="A225">
        <v>3</v>
      </c>
      <c r="B225" s="44" t="s">
        <v>1014</v>
      </c>
      <c r="C225" s="74" t="s">
        <v>879</v>
      </c>
      <c r="D225">
        <v>17.7</v>
      </c>
    </row>
    <row r="226" spans="1:4" hidden="1" x14ac:dyDescent="0.3">
      <c r="A226">
        <v>3</v>
      </c>
      <c r="B226" s="44" t="s">
        <v>1014</v>
      </c>
      <c r="C226" s="74" t="s">
        <v>883</v>
      </c>
      <c r="D226">
        <v>6.3</v>
      </c>
    </row>
    <row r="227" spans="1:4" hidden="1" x14ac:dyDescent="0.3">
      <c r="A227">
        <v>3</v>
      </c>
      <c r="B227" s="44" t="s">
        <v>1014</v>
      </c>
      <c r="C227" s="74" t="s">
        <v>880</v>
      </c>
      <c r="D227">
        <v>64</v>
      </c>
    </row>
    <row r="228" spans="1:4" hidden="1" x14ac:dyDescent="0.3">
      <c r="A228">
        <v>3</v>
      </c>
      <c r="B228" s="44" t="s">
        <v>1014</v>
      </c>
      <c r="C228" s="74" t="s">
        <v>881</v>
      </c>
      <c r="D228">
        <v>2.2999999999999998</v>
      </c>
    </row>
    <row r="229" spans="1:4" hidden="1" x14ac:dyDescent="0.3">
      <c r="A229">
        <v>3</v>
      </c>
      <c r="B229" s="44" t="s">
        <v>1015</v>
      </c>
      <c r="C229" s="74" t="s">
        <v>878</v>
      </c>
      <c r="D229">
        <v>28.3</v>
      </c>
    </row>
    <row r="230" spans="1:4" hidden="1" x14ac:dyDescent="0.3">
      <c r="A230">
        <v>3</v>
      </c>
      <c r="B230" s="44" t="s">
        <v>1016</v>
      </c>
      <c r="C230" s="74" t="s">
        <v>879</v>
      </c>
      <c r="D230">
        <v>8.3000000000000007</v>
      </c>
    </row>
    <row r="231" spans="1:4" hidden="1" x14ac:dyDescent="0.3">
      <c r="A231">
        <v>3</v>
      </c>
      <c r="B231" s="44" t="s">
        <v>1016</v>
      </c>
      <c r="C231" s="74" t="s">
        <v>882</v>
      </c>
      <c r="D231">
        <v>19.2</v>
      </c>
    </row>
    <row r="232" spans="1:4" hidden="1" x14ac:dyDescent="0.3">
      <c r="A232">
        <v>3</v>
      </c>
      <c r="B232" s="44" t="s">
        <v>1016</v>
      </c>
      <c r="C232" s="74" t="s">
        <v>883</v>
      </c>
      <c r="D232">
        <v>7</v>
      </c>
    </row>
    <row r="233" spans="1:4" hidden="1" x14ac:dyDescent="0.3">
      <c r="A233">
        <v>3</v>
      </c>
      <c r="B233" s="44" t="s">
        <v>1017</v>
      </c>
      <c r="C233" s="74" t="s">
        <v>1043</v>
      </c>
      <c r="D233">
        <v>42.4</v>
      </c>
    </row>
    <row r="234" spans="1:4" hidden="1" x14ac:dyDescent="0.3">
      <c r="A234">
        <v>3</v>
      </c>
      <c r="B234" s="44" t="s">
        <v>1018</v>
      </c>
      <c r="C234" s="74" t="s">
        <v>1043</v>
      </c>
      <c r="D234">
        <v>107.8</v>
      </c>
    </row>
    <row r="235" spans="1:4" hidden="1" x14ac:dyDescent="0.3">
      <c r="A235">
        <v>3</v>
      </c>
      <c r="B235" s="44" t="s">
        <v>1019</v>
      </c>
      <c r="C235" s="74" t="s">
        <v>942</v>
      </c>
      <c r="D235">
        <v>196.9</v>
      </c>
    </row>
    <row r="236" spans="1:4" hidden="1" x14ac:dyDescent="0.3">
      <c r="A236">
        <v>3</v>
      </c>
      <c r="B236" s="44" t="s">
        <v>1020</v>
      </c>
      <c r="C236" s="74" t="s">
        <v>1043</v>
      </c>
      <c r="D236">
        <v>90.5</v>
      </c>
    </row>
    <row r="237" spans="1:4" hidden="1" x14ac:dyDescent="0.3">
      <c r="A237">
        <v>3</v>
      </c>
      <c r="B237" s="44" t="s">
        <v>1020</v>
      </c>
      <c r="C237" s="74" t="s">
        <v>882</v>
      </c>
      <c r="D237">
        <v>1</v>
      </c>
    </row>
    <row r="238" spans="1:4" hidden="1" x14ac:dyDescent="0.3">
      <c r="A238">
        <v>3</v>
      </c>
      <c r="B238" s="44" t="s">
        <v>1021</v>
      </c>
      <c r="C238" s="74" t="s">
        <v>1043</v>
      </c>
      <c r="D238">
        <v>161</v>
      </c>
    </row>
    <row r="239" spans="1:4" hidden="1" x14ac:dyDescent="0.3">
      <c r="A239">
        <v>3</v>
      </c>
      <c r="B239" s="44" t="s">
        <v>1021</v>
      </c>
      <c r="C239" s="74" t="s">
        <v>1053</v>
      </c>
      <c r="D239">
        <v>23.2</v>
      </c>
    </row>
    <row r="240" spans="1:4" hidden="1" x14ac:dyDescent="0.3">
      <c r="A240">
        <v>3</v>
      </c>
      <c r="B240" s="44" t="s">
        <v>1021</v>
      </c>
      <c r="C240" s="74" t="s">
        <v>882</v>
      </c>
      <c r="D240">
        <v>2.9</v>
      </c>
    </row>
    <row r="241" spans="1:4" hidden="1" x14ac:dyDescent="0.3">
      <c r="A241">
        <v>3</v>
      </c>
      <c r="B241" s="44" t="s">
        <v>1022</v>
      </c>
      <c r="C241" s="74" t="s">
        <v>942</v>
      </c>
      <c r="D241">
        <v>333.3</v>
      </c>
    </row>
    <row r="242" spans="1:4" hidden="1" x14ac:dyDescent="0.3">
      <c r="A242">
        <v>3</v>
      </c>
      <c r="B242" s="44" t="s">
        <v>1023</v>
      </c>
      <c r="C242" s="74" t="s">
        <v>1043</v>
      </c>
      <c r="D242">
        <v>87.5</v>
      </c>
    </row>
    <row r="243" spans="1:4" hidden="1" x14ac:dyDescent="0.3">
      <c r="A243">
        <v>3</v>
      </c>
      <c r="B243" s="44" t="s">
        <v>1024</v>
      </c>
      <c r="C243" s="74" t="s">
        <v>942</v>
      </c>
      <c r="D243">
        <v>257.10000000000002</v>
      </c>
    </row>
    <row r="244" spans="1:4" hidden="1" x14ac:dyDescent="0.3">
      <c r="A244">
        <v>3</v>
      </c>
      <c r="B244" s="44" t="s">
        <v>1025</v>
      </c>
      <c r="C244" s="74" t="s">
        <v>1043</v>
      </c>
      <c r="D244">
        <v>140</v>
      </c>
    </row>
    <row r="245" spans="1:4" hidden="1" x14ac:dyDescent="0.3">
      <c r="A245">
        <v>3</v>
      </c>
      <c r="B245" s="44" t="s">
        <v>1025</v>
      </c>
      <c r="C245" s="74" t="s">
        <v>882</v>
      </c>
      <c r="D245">
        <v>2.6</v>
      </c>
    </row>
    <row r="246" spans="1:4" hidden="1" x14ac:dyDescent="0.3">
      <c r="A246">
        <v>3</v>
      </c>
      <c r="B246" s="44" t="s">
        <v>1026</v>
      </c>
      <c r="C246" s="74" t="s">
        <v>879</v>
      </c>
      <c r="D246">
        <v>14.4</v>
      </c>
    </row>
    <row r="247" spans="1:4" hidden="1" x14ac:dyDescent="0.3">
      <c r="A247">
        <v>3</v>
      </c>
      <c r="B247" s="44" t="s">
        <v>1026</v>
      </c>
      <c r="C247" s="74" t="s">
        <v>883</v>
      </c>
      <c r="D247">
        <v>8.1</v>
      </c>
    </row>
    <row r="248" spans="1:4" hidden="1" x14ac:dyDescent="0.3">
      <c r="A248">
        <v>3</v>
      </c>
      <c r="B248" s="44" t="s">
        <v>1026</v>
      </c>
      <c r="C248" s="74" t="s">
        <v>880</v>
      </c>
      <c r="D248">
        <v>36.9</v>
      </c>
    </row>
    <row r="249" spans="1:4" hidden="1" x14ac:dyDescent="0.3">
      <c r="A249">
        <v>3</v>
      </c>
      <c r="B249" s="44" t="s">
        <v>1026</v>
      </c>
      <c r="C249" s="74" t="s">
        <v>881</v>
      </c>
      <c r="D249">
        <v>2.1</v>
      </c>
    </row>
    <row r="250" spans="1:4" hidden="1" x14ac:dyDescent="0.3">
      <c r="A250">
        <v>3</v>
      </c>
      <c r="B250" s="44" t="s">
        <v>1027</v>
      </c>
      <c r="C250" s="74" t="s">
        <v>879</v>
      </c>
      <c r="D250">
        <v>7</v>
      </c>
    </row>
    <row r="251" spans="1:4" hidden="1" x14ac:dyDescent="0.3">
      <c r="A251">
        <v>3</v>
      </c>
      <c r="B251" s="44" t="s">
        <v>1027</v>
      </c>
      <c r="C251" s="74" t="s">
        <v>883</v>
      </c>
      <c r="D251">
        <v>8.6999999999999993</v>
      </c>
    </row>
    <row r="252" spans="1:4" hidden="1" x14ac:dyDescent="0.3">
      <c r="A252">
        <v>3</v>
      </c>
      <c r="B252" s="44" t="s">
        <v>1027</v>
      </c>
      <c r="C252" s="74" t="s">
        <v>880</v>
      </c>
      <c r="D252">
        <v>19.7</v>
      </c>
    </row>
    <row r="253" spans="1:4" hidden="1" x14ac:dyDescent="0.3">
      <c r="A253">
        <v>3</v>
      </c>
      <c r="B253" s="44" t="s">
        <v>1027</v>
      </c>
      <c r="C253" s="74" t="s">
        <v>881</v>
      </c>
      <c r="D253">
        <v>0.6</v>
      </c>
    </row>
    <row r="254" spans="1:4" hidden="1" x14ac:dyDescent="0.3">
      <c r="A254">
        <v>3</v>
      </c>
      <c r="B254" s="44" t="s">
        <v>1028</v>
      </c>
      <c r="C254" s="74" t="s">
        <v>942</v>
      </c>
      <c r="D254">
        <v>98</v>
      </c>
    </row>
    <row r="255" spans="1:4" hidden="1" x14ac:dyDescent="0.3">
      <c r="A255">
        <v>3</v>
      </c>
      <c r="B255" s="44" t="s">
        <v>1028</v>
      </c>
      <c r="C255" s="74" t="s">
        <v>1040</v>
      </c>
      <c r="D255">
        <v>26.6</v>
      </c>
    </row>
    <row r="256" spans="1:4" hidden="1" x14ac:dyDescent="0.3">
      <c r="A256">
        <v>3</v>
      </c>
      <c r="B256" s="44" t="s">
        <v>1028</v>
      </c>
      <c r="C256" s="74" t="s">
        <v>882</v>
      </c>
      <c r="D256">
        <v>1</v>
      </c>
    </row>
    <row r="257" spans="1:4" hidden="1" x14ac:dyDescent="0.3">
      <c r="A257">
        <v>3</v>
      </c>
      <c r="B257" s="44" t="s">
        <v>1029</v>
      </c>
      <c r="C257" s="74" t="s">
        <v>1043</v>
      </c>
      <c r="D257">
        <v>46</v>
      </c>
    </row>
    <row r="258" spans="1:4" hidden="1" x14ac:dyDescent="0.3">
      <c r="A258">
        <v>3</v>
      </c>
      <c r="B258" s="44" t="s">
        <v>1030</v>
      </c>
      <c r="C258" s="74" t="s">
        <v>942</v>
      </c>
      <c r="D258">
        <v>46</v>
      </c>
    </row>
    <row r="259" spans="1:4" hidden="1" x14ac:dyDescent="0.3">
      <c r="A259">
        <v>3</v>
      </c>
      <c r="B259" s="44" t="s">
        <v>1030</v>
      </c>
      <c r="C259" s="74" t="s">
        <v>1043</v>
      </c>
      <c r="D259">
        <v>17.8</v>
      </c>
    </row>
    <row r="260" spans="1:4" hidden="1" x14ac:dyDescent="0.3">
      <c r="A260">
        <v>3</v>
      </c>
      <c r="B260" s="44" t="s">
        <v>1031</v>
      </c>
      <c r="C260" s="74" t="s">
        <v>1043</v>
      </c>
      <c r="D260">
        <v>56.9</v>
      </c>
    </row>
    <row r="261" spans="1:4" hidden="1" x14ac:dyDescent="0.3">
      <c r="A261">
        <v>3</v>
      </c>
      <c r="B261" s="44" t="s">
        <v>1032</v>
      </c>
      <c r="C261" s="74" t="s">
        <v>1043</v>
      </c>
      <c r="D261">
        <v>53.7</v>
      </c>
    </row>
    <row r="262" spans="1:4" hidden="1" x14ac:dyDescent="0.3">
      <c r="A262">
        <v>3</v>
      </c>
      <c r="B262" s="44" t="s">
        <v>1033</v>
      </c>
      <c r="C262" s="74" t="s">
        <v>1043</v>
      </c>
      <c r="D262">
        <v>194.3</v>
      </c>
    </row>
    <row r="263" spans="1:4" hidden="1" x14ac:dyDescent="0.3">
      <c r="A263">
        <v>3</v>
      </c>
      <c r="B263" s="44" t="s">
        <v>1034</v>
      </c>
      <c r="C263" s="74" t="s">
        <v>879</v>
      </c>
      <c r="D263">
        <v>14.7</v>
      </c>
    </row>
    <row r="264" spans="1:4" hidden="1" x14ac:dyDescent="0.3">
      <c r="A264">
        <v>3</v>
      </c>
      <c r="B264" s="44" t="s">
        <v>1034</v>
      </c>
      <c r="C264" s="74" t="s">
        <v>1050</v>
      </c>
      <c r="D264">
        <v>6.2</v>
      </c>
    </row>
    <row r="265" spans="1:4" hidden="1" x14ac:dyDescent="0.3">
      <c r="A265">
        <v>3</v>
      </c>
      <c r="B265" s="44" t="s">
        <v>1034</v>
      </c>
      <c r="C265" s="74" t="s">
        <v>880</v>
      </c>
      <c r="D265">
        <v>38.5</v>
      </c>
    </row>
    <row r="266" spans="1:4" hidden="1" x14ac:dyDescent="0.3">
      <c r="A266">
        <v>3</v>
      </c>
      <c r="B266" s="44" t="s">
        <v>1034</v>
      </c>
      <c r="C266" s="74" t="s">
        <v>881</v>
      </c>
      <c r="D266">
        <v>1.1000000000000001</v>
      </c>
    </row>
    <row r="267" spans="1:4" hidden="1" x14ac:dyDescent="0.3">
      <c r="A267">
        <v>3</v>
      </c>
      <c r="B267" s="44" t="s">
        <v>1035</v>
      </c>
      <c r="C267" s="74" t="s">
        <v>942</v>
      </c>
      <c r="D267">
        <v>195.7</v>
      </c>
    </row>
    <row r="268" spans="1:4" hidden="1" x14ac:dyDescent="0.3">
      <c r="A268">
        <v>3</v>
      </c>
      <c r="B268" s="44" t="s">
        <v>1035</v>
      </c>
      <c r="C268" s="74" t="s">
        <v>1048</v>
      </c>
      <c r="D268">
        <v>10</v>
      </c>
    </row>
    <row r="269" spans="1:4" hidden="1" x14ac:dyDescent="0.3">
      <c r="A269">
        <v>3</v>
      </c>
      <c r="B269" s="44" t="s">
        <v>1036</v>
      </c>
      <c r="C269" s="74" t="s">
        <v>1043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abSelected="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113" t="s">
        <v>829</v>
      </c>
      <c r="B1" s="113"/>
      <c r="C1" s="113"/>
      <c r="D1" s="113"/>
      <c r="E1" s="113"/>
      <c r="F1" s="113"/>
      <c r="G1" s="113"/>
      <c r="H1" s="113"/>
      <c r="I1" s="113"/>
    </row>
    <row r="2" spans="1:9" ht="31.2" x14ac:dyDescent="0.3">
      <c r="A2" s="79" t="s">
        <v>815</v>
      </c>
      <c r="B2" s="116" t="s">
        <v>7</v>
      </c>
      <c r="C2" s="116"/>
      <c r="D2" s="116"/>
      <c r="E2" s="116"/>
      <c r="F2" s="116"/>
      <c r="G2" s="79" t="s">
        <v>814</v>
      </c>
      <c r="H2" s="90" t="s">
        <v>10</v>
      </c>
      <c r="I2" s="79" t="s">
        <v>831</v>
      </c>
    </row>
    <row r="3" spans="1:9" ht="31.2" x14ac:dyDescent="0.3">
      <c r="A3" s="79">
        <v>1</v>
      </c>
      <c r="B3" s="116" t="s">
        <v>424</v>
      </c>
      <c r="C3" s="116"/>
      <c r="D3" s="116"/>
      <c r="E3" s="116"/>
      <c r="F3" s="116"/>
      <c r="G3" s="90" t="s">
        <v>531</v>
      </c>
      <c r="H3" s="90" t="s">
        <v>15</v>
      </c>
      <c r="I3" s="91">
        <f>D13+D15+D19+I15+I17+I18</f>
        <v>208.6</v>
      </c>
    </row>
    <row r="4" spans="1:9" ht="46.8" x14ac:dyDescent="0.3">
      <c r="A4" s="79">
        <v>2</v>
      </c>
      <c r="B4" s="116" t="s">
        <v>424</v>
      </c>
      <c r="C4" s="116"/>
      <c r="D4" s="116"/>
      <c r="E4" s="116"/>
      <c r="F4" s="116"/>
      <c r="G4" s="88" t="s">
        <v>539</v>
      </c>
      <c r="H4" s="88" t="s">
        <v>15</v>
      </c>
      <c r="I4" s="89">
        <f>D17+I13</f>
        <v>11.5</v>
      </c>
    </row>
    <row r="5" spans="1:9" ht="46.8" x14ac:dyDescent="0.3">
      <c r="A5" s="79">
        <v>3</v>
      </c>
      <c r="B5" s="116" t="s">
        <v>424</v>
      </c>
      <c r="C5" s="116"/>
      <c r="D5" s="116"/>
      <c r="E5" s="116"/>
      <c r="F5" s="116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116" t="s">
        <v>424</v>
      </c>
      <c r="C6" s="116"/>
      <c r="D6" s="116"/>
      <c r="E6" s="116"/>
      <c r="F6" s="116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116" t="s">
        <v>424</v>
      </c>
      <c r="C7" s="116"/>
      <c r="D7" s="116"/>
      <c r="E7" s="116"/>
      <c r="F7" s="116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115"/>
      <c r="B8" s="115"/>
      <c r="C8" s="115"/>
      <c r="D8" s="115"/>
      <c r="E8" s="115"/>
      <c r="F8" s="115"/>
      <c r="G8" s="115"/>
      <c r="H8" s="115"/>
      <c r="I8" s="115"/>
    </row>
    <row r="9" spans="1:9" x14ac:dyDescent="0.3">
      <c r="A9" s="83" t="s">
        <v>1055</v>
      </c>
      <c r="B9" s="84" t="s">
        <v>1054</v>
      </c>
      <c r="C9" s="85" t="s">
        <v>1056</v>
      </c>
      <c r="D9" s="86" t="s">
        <v>831</v>
      </c>
      <c r="E9" s="114"/>
      <c r="F9" s="79" t="s">
        <v>1055</v>
      </c>
      <c r="G9" s="79" t="s">
        <v>1054</v>
      </c>
      <c r="H9" s="80" t="s">
        <v>1056</v>
      </c>
      <c r="I9" s="79" t="s">
        <v>831</v>
      </c>
    </row>
    <row r="10" spans="1:9" x14ac:dyDescent="0.3">
      <c r="A10" s="81">
        <v>2</v>
      </c>
      <c r="B10" s="79" t="s">
        <v>946</v>
      </c>
      <c r="C10" s="80" t="s">
        <v>883</v>
      </c>
      <c r="D10" s="82">
        <v>8.1999999999999993</v>
      </c>
      <c r="E10" s="114"/>
      <c r="F10" s="93">
        <v>3</v>
      </c>
      <c r="G10" s="93" t="s">
        <v>979</v>
      </c>
      <c r="H10" s="94" t="s">
        <v>878</v>
      </c>
      <c r="I10" s="93">
        <v>33</v>
      </c>
    </row>
    <row r="11" spans="1:9" x14ac:dyDescent="0.3">
      <c r="A11" s="92">
        <v>2</v>
      </c>
      <c r="B11" s="93" t="s">
        <v>946</v>
      </c>
      <c r="C11" s="94" t="s">
        <v>880</v>
      </c>
      <c r="D11" s="95">
        <v>66.400000000000006</v>
      </c>
      <c r="E11" s="114"/>
      <c r="F11" s="93">
        <v>3</v>
      </c>
      <c r="G11" s="93" t="s">
        <v>980</v>
      </c>
      <c r="H11" s="94" t="s">
        <v>883</v>
      </c>
      <c r="I11" s="93">
        <v>8.1</v>
      </c>
    </row>
    <row r="12" spans="1:9" x14ac:dyDescent="0.3">
      <c r="A12" s="92">
        <v>2</v>
      </c>
      <c r="B12" s="93" t="s">
        <v>947</v>
      </c>
      <c r="C12" s="94" t="s">
        <v>878</v>
      </c>
      <c r="D12" s="95">
        <v>33.299999999999997</v>
      </c>
      <c r="E12" s="114"/>
      <c r="F12" s="93">
        <v>3</v>
      </c>
      <c r="G12" s="93" t="s">
        <v>980</v>
      </c>
      <c r="H12" s="94" t="s">
        <v>880</v>
      </c>
      <c r="I12" s="93">
        <v>65.8</v>
      </c>
    </row>
    <row r="13" spans="1:9" x14ac:dyDescent="0.3">
      <c r="A13" s="81">
        <v>2</v>
      </c>
      <c r="B13" s="79" t="s">
        <v>950</v>
      </c>
      <c r="C13" s="80" t="s">
        <v>882</v>
      </c>
      <c r="D13" s="82">
        <v>31.6</v>
      </c>
      <c r="E13" s="114"/>
      <c r="F13" s="93">
        <v>3</v>
      </c>
      <c r="G13" s="93" t="s">
        <v>986</v>
      </c>
      <c r="H13" s="94" t="s">
        <v>1050</v>
      </c>
      <c r="I13" s="93">
        <v>5.8</v>
      </c>
    </row>
    <row r="14" spans="1:9" x14ac:dyDescent="0.3">
      <c r="A14" s="92">
        <v>2</v>
      </c>
      <c r="B14" s="93" t="s">
        <v>950</v>
      </c>
      <c r="C14" s="94" t="s">
        <v>883</v>
      </c>
      <c r="D14" s="95">
        <v>5.9</v>
      </c>
      <c r="E14" s="114"/>
      <c r="F14" s="93">
        <v>3</v>
      </c>
      <c r="G14" s="93" t="s">
        <v>986</v>
      </c>
      <c r="H14" s="94" t="s">
        <v>880</v>
      </c>
      <c r="I14" s="93">
        <v>67.8</v>
      </c>
    </row>
    <row r="15" spans="1:9" x14ac:dyDescent="0.3">
      <c r="A15" s="92">
        <v>2</v>
      </c>
      <c r="B15" s="93" t="s">
        <v>951</v>
      </c>
      <c r="C15" s="94" t="s">
        <v>882</v>
      </c>
      <c r="D15" s="95">
        <v>36.9</v>
      </c>
      <c r="E15" s="114"/>
      <c r="F15" s="93">
        <v>3</v>
      </c>
      <c r="G15" s="93" t="s">
        <v>988</v>
      </c>
      <c r="H15" s="94" t="s">
        <v>882</v>
      </c>
      <c r="I15" s="93">
        <v>35.4</v>
      </c>
    </row>
    <row r="16" spans="1:9" x14ac:dyDescent="0.3">
      <c r="A16" s="92">
        <v>2</v>
      </c>
      <c r="B16" s="93" t="s">
        <v>969</v>
      </c>
      <c r="C16" s="94" t="s">
        <v>878</v>
      </c>
      <c r="D16" s="95">
        <v>33.9</v>
      </c>
      <c r="E16" s="114"/>
      <c r="F16" s="93">
        <v>3</v>
      </c>
      <c r="G16" s="93" t="s">
        <v>988</v>
      </c>
      <c r="H16" s="94" t="s">
        <v>883</v>
      </c>
      <c r="I16" s="93">
        <v>5.9</v>
      </c>
    </row>
    <row r="17" spans="1:9" x14ac:dyDescent="0.3">
      <c r="A17" s="81">
        <v>2</v>
      </c>
      <c r="B17" s="79" t="s">
        <v>948</v>
      </c>
      <c r="C17" s="80" t="s">
        <v>1050</v>
      </c>
      <c r="D17" s="82">
        <v>5.7</v>
      </c>
      <c r="E17" s="114"/>
      <c r="F17" s="93">
        <v>3</v>
      </c>
      <c r="G17" s="93" t="s">
        <v>989</v>
      </c>
      <c r="H17" s="94" t="s">
        <v>882</v>
      </c>
      <c r="I17" s="93">
        <v>29.5</v>
      </c>
    </row>
    <row r="18" spans="1:9" x14ac:dyDescent="0.3">
      <c r="A18" s="92">
        <v>2</v>
      </c>
      <c r="B18" s="93" t="s">
        <v>948</v>
      </c>
      <c r="C18" s="94" t="s">
        <v>880</v>
      </c>
      <c r="D18" s="95">
        <v>65.099999999999994</v>
      </c>
      <c r="E18" s="114"/>
      <c r="F18" s="93">
        <v>3</v>
      </c>
      <c r="G18" s="93" t="s">
        <v>996</v>
      </c>
      <c r="H18" s="94" t="s">
        <v>882</v>
      </c>
      <c r="I18" s="93">
        <v>36.9</v>
      </c>
    </row>
    <row r="19" spans="1:9" x14ac:dyDescent="0.3">
      <c r="A19" s="92">
        <v>2</v>
      </c>
      <c r="B19" s="93" t="s">
        <v>959</v>
      </c>
      <c r="C19" s="94" t="s">
        <v>882</v>
      </c>
      <c r="D19" s="95">
        <v>38.299999999999997</v>
      </c>
      <c r="E19" s="114"/>
      <c r="F19" s="93">
        <v>3</v>
      </c>
      <c r="G19" s="93" t="s">
        <v>997</v>
      </c>
      <c r="H19" s="94" t="s">
        <v>878</v>
      </c>
      <c r="I19" s="93">
        <v>36.5</v>
      </c>
    </row>
    <row r="20" spans="1:9" x14ac:dyDescent="0.3">
      <c r="A20" s="81">
        <v>2</v>
      </c>
      <c r="B20" s="79" t="s">
        <v>960</v>
      </c>
      <c r="C20" s="80" t="s">
        <v>878</v>
      </c>
      <c r="D20" s="82">
        <v>44.2</v>
      </c>
      <c r="E20" s="114"/>
      <c r="F20" s="93">
        <v>3</v>
      </c>
      <c r="G20" s="93" t="s">
        <v>1000</v>
      </c>
      <c r="H20" s="94" t="s">
        <v>878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113" t="s">
        <v>829</v>
      </c>
      <c r="B1" s="113"/>
      <c r="C1" s="113"/>
      <c r="D1" s="113"/>
      <c r="E1" s="113"/>
      <c r="F1" s="113"/>
      <c r="G1" s="113"/>
      <c r="H1" s="113"/>
      <c r="I1" s="113"/>
      <c r="J1" s="113"/>
    </row>
    <row r="2" spans="1:10" ht="31.2" x14ac:dyDescent="0.3">
      <c r="A2" s="79" t="s">
        <v>815</v>
      </c>
      <c r="B2" s="116" t="s">
        <v>7</v>
      </c>
      <c r="C2" s="116"/>
      <c r="D2" s="116"/>
      <c r="E2" s="116"/>
      <c r="F2" s="116"/>
      <c r="G2" s="79" t="s">
        <v>814</v>
      </c>
      <c r="H2" s="100" t="s">
        <v>10</v>
      </c>
      <c r="I2" s="79" t="s">
        <v>831</v>
      </c>
      <c r="J2" s="100"/>
    </row>
    <row r="3" spans="1:10" ht="33" customHeight="1" x14ac:dyDescent="0.3">
      <c r="A3" s="79">
        <v>1</v>
      </c>
      <c r="B3" s="116" t="s">
        <v>254</v>
      </c>
      <c r="C3" s="116"/>
      <c r="D3" s="116"/>
      <c r="E3" s="116"/>
      <c r="F3" s="116"/>
      <c r="G3" s="88" t="s">
        <v>418</v>
      </c>
      <c r="H3" s="88" t="s">
        <v>15</v>
      </c>
      <c r="I3" s="89">
        <f>D12+D17+D22+I13+I17+I27</f>
        <v>77.58</v>
      </c>
      <c r="J3" s="100" t="s">
        <v>1060</v>
      </c>
    </row>
    <row r="4" spans="1:10" ht="31.2" x14ac:dyDescent="0.3">
      <c r="A4" s="79">
        <v>2</v>
      </c>
      <c r="B4" s="116" t="s">
        <v>424</v>
      </c>
      <c r="C4" s="116"/>
      <c r="D4" s="116"/>
      <c r="E4" s="116"/>
      <c r="F4" s="116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46.8" x14ac:dyDescent="0.3">
      <c r="A5" s="79">
        <v>3</v>
      </c>
      <c r="B5" s="116" t="s">
        <v>424</v>
      </c>
      <c r="C5" s="116"/>
      <c r="D5" s="116"/>
      <c r="E5" s="116"/>
      <c r="F5" s="116"/>
      <c r="G5" s="88" t="s">
        <v>539</v>
      </c>
      <c r="H5" s="88" t="s">
        <v>15</v>
      </c>
      <c r="I5" s="89">
        <f>D23+I18</f>
        <v>11.5</v>
      </c>
      <c r="J5" s="100"/>
    </row>
    <row r="6" spans="1:10" ht="46.8" x14ac:dyDescent="0.3">
      <c r="A6" s="79">
        <v>4</v>
      </c>
      <c r="B6" s="116" t="s">
        <v>424</v>
      </c>
      <c r="C6" s="116"/>
      <c r="D6" s="116"/>
      <c r="E6" s="116"/>
      <c r="F6" s="116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116" t="s">
        <v>424</v>
      </c>
      <c r="C7" s="116"/>
      <c r="D7" s="116"/>
      <c r="E7" s="116"/>
      <c r="F7" s="116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116" t="s">
        <v>424</v>
      </c>
      <c r="C8" s="116"/>
      <c r="D8" s="116"/>
      <c r="E8" s="116"/>
      <c r="F8" s="116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117" t="s">
        <v>1061</v>
      </c>
      <c r="C9" s="118"/>
      <c r="D9" s="118"/>
      <c r="E9" s="119"/>
      <c r="F9" s="79" t="s">
        <v>1059</v>
      </c>
      <c r="G9" s="100" t="s">
        <v>1058</v>
      </c>
      <c r="H9" s="100" t="s">
        <v>15</v>
      </c>
      <c r="I9" s="79">
        <f>D15+D25+I16+I20</f>
        <v>8.8000000000000007</v>
      </c>
      <c r="J9" s="100" t="s">
        <v>1060</v>
      </c>
    </row>
    <row r="10" spans="1:10" x14ac:dyDescent="0.3">
      <c r="A10" s="115"/>
      <c r="B10" s="115"/>
      <c r="C10" s="115"/>
      <c r="D10" s="115"/>
      <c r="E10" s="115"/>
      <c r="F10" s="115"/>
      <c r="G10" s="115"/>
      <c r="H10" s="115"/>
      <c r="I10" s="115"/>
      <c r="J10" s="120"/>
    </row>
    <row r="11" spans="1:10" x14ac:dyDescent="0.3">
      <c r="A11" s="83" t="s">
        <v>1055</v>
      </c>
      <c r="B11" s="84" t="s">
        <v>1054</v>
      </c>
      <c r="C11" s="85" t="s">
        <v>1056</v>
      </c>
      <c r="D11" s="86" t="s">
        <v>831</v>
      </c>
      <c r="E11" s="114"/>
      <c r="F11" s="79" t="s">
        <v>1055</v>
      </c>
      <c r="G11" s="79" t="s">
        <v>1054</v>
      </c>
      <c r="H11" s="80" t="s">
        <v>1056</v>
      </c>
      <c r="I11" s="79" t="s">
        <v>831</v>
      </c>
      <c r="J11" s="121"/>
    </row>
    <row r="12" spans="1:10" x14ac:dyDescent="0.3">
      <c r="A12" s="92">
        <v>2</v>
      </c>
      <c r="B12" s="93" t="s">
        <v>946</v>
      </c>
      <c r="C12" s="94" t="s">
        <v>879</v>
      </c>
      <c r="D12" s="95">
        <v>11.7</v>
      </c>
      <c r="E12" s="114"/>
      <c r="F12" s="93">
        <v>3</v>
      </c>
      <c r="G12" s="93" t="s">
        <v>979</v>
      </c>
      <c r="H12" s="94" t="s">
        <v>878</v>
      </c>
      <c r="I12" s="93">
        <v>33</v>
      </c>
      <c r="J12" s="121"/>
    </row>
    <row r="13" spans="1:10" x14ac:dyDescent="0.3">
      <c r="A13" s="102">
        <v>2</v>
      </c>
      <c r="B13" s="79" t="s">
        <v>946</v>
      </c>
      <c r="C13" s="80" t="s">
        <v>883</v>
      </c>
      <c r="D13" s="101">
        <v>8.1999999999999993</v>
      </c>
      <c r="E13" s="114"/>
      <c r="F13" s="93">
        <v>3</v>
      </c>
      <c r="G13" s="93" t="s">
        <v>980</v>
      </c>
      <c r="H13" s="94" t="s">
        <v>879</v>
      </c>
      <c r="I13" s="93">
        <v>14.1</v>
      </c>
      <c r="J13" s="121"/>
    </row>
    <row r="14" spans="1:10" x14ac:dyDescent="0.3">
      <c r="A14" s="92">
        <v>2</v>
      </c>
      <c r="B14" s="93" t="s">
        <v>946</v>
      </c>
      <c r="C14" s="94" t="s">
        <v>880</v>
      </c>
      <c r="D14" s="95">
        <v>66.400000000000006</v>
      </c>
      <c r="E14" s="114"/>
      <c r="F14" s="93">
        <v>3</v>
      </c>
      <c r="G14" s="93" t="s">
        <v>980</v>
      </c>
      <c r="H14" s="94" t="s">
        <v>883</v>
      </c>
      <c r="I14" s="93">
        <v>8.1</v>
      </c>
      <c r="J14" s="121"/>
    </row>
    <row r="15" spans="1:10" x14ac:dyDescent="0.3">
      <c r="A15" s="102">
        <v>2</v>
      </c>
      <c r="B15" s="79" t="s">
        <v>946</v>
      </c>
      <c r="C15" s="80" t="s">
        <v>881</v>
      </c>
      <c r="D15" s="101">
        <v>2.6</v>
      </c>
      <c r="E15" s="114"/>
      <c r="F15" s="93">
        <v>3</v>
      </c>
      <c r="G15" s="93" t="s">
        <v>980</v>
      </c>
      <c r="H15" s="94" t="s">
        <v>880</v>
      </c>
      <c r="I15" s="93">
        <v>65.8</v>
      </c>
      <c r="J15" s="121"/>
    </row>
    <row r="16" spans="1:10" x14ac:dyDescent="0.3">
      <c r="A16" s="92">
        <v>2</v>
      </c>
      <c r="B16" s="93" t="s">
        <v>947</v>
      </c>
      <c r="C16" s="94" t="s">
        <v>878</v>
      </c>
      <c r="D16" s="95">
        <v>33.299999999999997</v>
      </c>
      <c r="E16" s="114"/>
      <c r="F16" s="93">
        <v>3</v>
      </c>
      <c r="G16" s="93" t="s">
        <v>980</v>
      </c>
      <c r="H16" s="94" t="s">
        <v>881</v>
      </c>
      <c r="I16" s="93">
        <v>2.6</v>
      </c>
      <c r="J16" s="121"/>
    </row>
    <row r="17" spans="1:10" x14ac:dyDescent="0.3">
      <c r="A17" s="92">
        <v>2</v>
      </c>
      <c r="B17" s="93" t="s">
        <v>950</v>
      </c>
      <c r="C17" s="94" t="s">
        <v>879</v>
      </c>
      <c r="D17" s="95">
        <v>11.7</v>
      </c>
      <c r="E17" s="114"/>
      <c r="F17" s="93">
        <v>3</v>
      </c>
      <c r="G17" s="93" t="s">
        <v>986</v>
      </c>
      <c r="H17" s="94" t="s">
        <v>879</v>
      </c>
      <c r="I17" s="93">
        <v>13.6</v>
      </c>
      <c r="J17" s="121"/>
    </row>
    <row r="18" spans="1:10" x14ac:dyDescent="0.3">
      <c r="A18" s="102">
        <v>2</v>
      </c>
      <c r="B18" s="79" t="s">
        <v>950</v>
      </c>
      <c r="C18" s="80" t="s">
        <v>882</v>
      </c>
      <c r="D18" s="101">
        <v>31.6</v>
      </c>
      <c r="E18" s="114"/>
      <c r="F18" s="93">
        <v>3</v>
      </c>
      <c r="G18" s="93" t="s">
        <v>986</v>
      </c>
      <c r="H18" s="94" t="s">
        <v>1050</v>
      </c>
      <c r="I18" s="93">
        <v>5.8</v>
      </c>
      <c r="J18" s="121"/>
    </row>
    <row r="19" spans="1:10" x14ac:dyDescent="0.3">
      <c r="A19" s="92">
        <v>2</v>
      </c>
      <c r="B19" s="93" t="s">
        <v>950</v>
      </c>
      <c r="C19" s="94" t="s">
        <v>883</v>
      </c>
      <c r="D19" s="95">
        <v>5.9</v>
      </c>
      <c r="E19" s="114"/>
      <c r="F19" s="93">
        <v>3</v>
      </c>
      <c r="G19" s="93" t="s">
        <v>986</v>
      </c>
      <c r="H19" s="94" t="s">
        <v>880</v>
      </c>
      <c r="I19" s="93">
        <v>67.8</v>
      </c>
      <c r="J19" s="121"/>
    </row>
    <row r="20" spans="1:10" x14ac:dyDescent="0.3">
      <c r="A20" s="92">
        <v>2</v>
      </c>
      <c r="B20" s="93" t="s">
        <v>951</v>
      </c>
      <c r="C20" s="94" t="s">
        <v>882</v>
      </c>
      <c r="D20" s="95">
        <v>36.9</v>
      </c>
      <c r="E20" s="114"/>
      <c r="F20" s="93">
        <v>3</v>
      </c>
      <c r="G20" s="93" t="s">
        <v>986</v>
      </c>
      <c r="H20" s="94" t="s">
        <v>881</v>
      </c>
      <c r="I20" s="93">
        <v>1.8</v>
      </c>
      <c r="J20" s="121"/>
    </row>
    <row r="21" spans="1:10" x14ac:dyDescent="0.3">
      <c r="A21" s="92">
        <v>2</v>
      </c>
      <c r="B21" s="93" t="s">
        <v>969</v>
      </c>
      <c r="C21" s="94" t="s">
        <v>878</v>
      </c>
      <c r="D21" s="95">
        <v>33.9</v>
      </c>
      <c r="E21" s="114"/>
      <c r="F21" s="93">
        <v>3</v>
      </c>
      <c r="G21" s="93" t="s">
        <v>988</v>
      </c>
      <c r="H21" s="94" t="s">
        <v>882</v>
      </c>
      <c r="I21" s="93">
        <v>35.4</v>
      </c>
      <c r="J21" s="121"/>
    </row>
    <row r="22" spans="1:10" x14ac:dyDescent="0.3">
      <c r="A22" s="92">
        <v>2</v>
      </c>
      <c r="B22" s="93" t="s">
        <v>948</v>
      </c>
      <c r="C22" s="94" t="s">
        <v>879</v>
      </c>
      <c r="D22" s="95">
        <v>11.9</v>
      </c>
      <c r="E22" s="114"/>
      <c r="F22" s="93">
        <v>3</v>
      </c>
      <c r="G22" s="93" t="s">
        <v>988</v>
      </c>
      <c r="H22" s="94" t="s">
        <v>883</v>
      </c>
      <c r="I22" s="93">
        <v>5.9</v>
      </c>
      <c r="J22" s="121"/>
    </row>
    <row r="23" spans="1:10" x14ac:dyDescent="0.3">
      <c r="A23" s="102">
        <v>2</v>
      </c>
      <c r="B23" s="79" t="s">
        <v>948</v>
      </c>
      <c r="C23" s="80" t="s">
        <v>1050</v>
      </c>
      <c r="D23" s="101">
        <v>5.7</v>
      </c>
      <c r="E23" s="114"/>
      <c r="F23" s="93">
        <v>3</v>
      </c>
      <c r="G23" s="93" t="s">
        <v>989</v>
      </c>
      <c r="H23" s="94" t="s">
        <v>882</v>
      </c>
      <c r="I23" s="93">
        <v>29.5</v>
      </c>
      <c r="J23" s="121"/>
    </row>
    <row r="24" spans="1:10" x14ac:dyDescent="0.3">
      <c r="A24" s="92">
        <v>2</v>
      </c>
      <c r="B24" s="93" t="s">
        <v>948</v>
      </c>
      <c r="C24" s="94" t="s">
        <v>880</v>
      </c>
      <c r="D24" s="95">
        <v>65.099999999999994</v>
      </c>
      <c r="E24" s="114"/>
      <c r="F24" s="93">
        <v>3</v>
      </c>
      <c r="G24" s="93" t="s">
        <v>996</v>
      </c>
      <c r="H24" s="94" t="s">
        <v>882</v>
      </c>
      <c r="I24" s="93">
        <v>36.9</v>
      </c>
      <c r="J24" s="121"/>
    </row>
    <row r="25" spans="1:10" x14ac:dyDescent="0.3">
      <c r="A25" s="102">
        <v>2</v>
      </c>
      <c r="B25" s="79" t="s">
        <v>948</v>
      </c>
      <c r="C25" s="80" t="s">
        <v>881</v>
      </c>
      <c r="D25" s="101">
        <v>1.8</v>
      </c>
      <c r="E25" s="114"/>
      <c r="F25" s="93">
        <v>3</v>
      </c>
      <c r="G25" s="93" t="s">
        <v>997</v>
      </c>
      <c r="H25" s="94" t="s">
        <v>878</v>
      </c>
      <c r="I25" s="93">
        <v>36.5</v>
      </c>
      <c r="J25" s="121"/>
    </row>
    <row r="26" spans="1:10" x14ac:dyDescent="0.3">
      <c r="A26" s="92">
        <v>2</v>
      </c>
      <c r="B26" s="93" t="s">
        <v>959</v>
      </c>
      <c r="C26" s="94" t="s">
        <v>882</v>
      </c>
      <c r="D26" s="95">
        <v>38.299999999999997</v>
      </c>
      <c r="E26" s="114"/>
      <c r="F26" s="96">
        <v>3</v>
      </c>
      <c r="G26" s="96" t="s">
        <v>1000</v>
      </c>
      <c r="H26" s="97" t="s">
        <v>878</v>
      </c>
      <c r="I26" s="96">
        <v>29.5</v>
      </c>
      <c r="J26" s="121"/>
    </row>
    <row r="27" spans="1:10" x14ac:dyDescent="0.3">
      <c r="A27" s="102">
        <v>2</v>
      </c>
      <c r="B27" s="79" t="s">
        <v>960</v>
      </c>
      <c r="C27" s="80" t="s">
        <v>878</v>
      </c>
      <c r="D27" s="101">
        <v>44.2</v>
      </c>
      <c r="E27" s="114"/>
      <c r="F27" s="98">
        <v>3</v>
      </c>
      <c r="G27" s="93" t="s">
        <v>988</v>
      </c>
      <c r="H27" s="94" t="s">
        <v>879</v>
      </c>
      <c r="I27" s="98">
        <f>1.08*13.5</f>
        <v>14.580000000000002</v>
      </c>
      <c r="J27" s="121"/>
    </row>
  </sheetData>
  <mergeCells count="12">
    <mergeCell ref="B7:F7"/>
    <mergeCell ref="B8:F8"/>
    <mergeCell ref="B9:E9"/>
    <mergeCell ref="A10:I10"/>
    <mergeCell ref="J10:J27"/>
    <mergeCell ref="E11:E27"/>
    <mergeCell ref="B6:F6"/>
    <mergeCell ref="A1:J1"/>
    <mergeCell ref="B2:F2"/>
    <mergeCell ref="B3:F3"/>
    <mergeCell ref="B4:F4"/>
    <mergeCell ref="B5:F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831</v>
      </c>
    </row>
    <row r="2" spans="1:5" ht="72" x14ac:dyDescent="0.3">
      <c r="A2" s="23">
        <v>1</v>
      </c>
      <c r="B2" s="58" t="s">
        <v>875</v>
      </c>
      <c r="C2" s="29" t="s">
        <v>876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3" t="s">
        <v>829</v>
      </c>
      <c r="B1" s="123"/>
      <c r="C1" s="123"/>
      <c r="D1" s="123"/>
      <c r="E1" s="123"/>
      <c r="F1" s="123"/>
      <c r="G1" s="123"/>
      <c r="H1" s="123"/>
      <c r="I1" s="123"/>
      <c r="J1" s="35"/>
      <c r="K1" s="35"/>
    </row>
    <row r="2" spans="1:11" ht="31.2" x14ac:dyDescent="0.3">
      <c r="A2" s="36" t="s">
        <v>830</v>
      </c>
      <c r="B2" s="124" t="s">
        <v>7</v>
      </c>
      <c r="C2" s="125"/>
      <c r="D2" s="125"/>
      <c r="E2" s="125"/>
      <c r="F2" s="125"/>
      <c r="G2" s="126"/>
      <c r="H2" s="127" t="s">
        <v>814</v>
      </c>
      <c r="I2" s="128"/>
      <c r="J2" s="37" t="s">
        <v>10</v>
      </c>
      <c r="K2" s="38" t="s">
        <v>831</v>
      </c>
    </row>
    <row r="3" spans="1:11" ht="62.4" customHeight="1" x14ac:dyDescent="0.3">
      <c r="A3" s="39">
        <v>1</v>
      </c>
      <c r="B3" s="129"/>
      <c r="C3" s="130"/>
      <c r="D3" s="130"/>
      <c r="E3" s="130"/>
      <c r="F3" s="130"/>
      <c r="G3" s="131"/>
      <c r="H3" s="132" t="s">
        <v>14</v>
      </c>
      <c r="I3" s="133"/>
      <c r="J3" s="39" t="s">
        <v>15</v>
      </c>
      <c r="K3" s="40"/>
    </row>
    <row r="4" spans="1:11" ht="15.6" x14ac:dyDescent="0.3">
      <c r="A4" s="122"/>
      <c r="B4" s="122"/>
      <c r="C4" s="122"/>
      <c r="D4" s="122"/>
      <c r="E4" s="122"/>
      <c r="F4" s="122"/>
      <c r="G4" s="122"/>
      <c r="H4" s="122"/>
      <c r="I4" s="122"/>
      <c r="J4" s="122"/>
      <c r="K4" s="122"/>
    </row>
    <row r="5" spans="1:11" ht="46.8" x14ac:dyDescent="0.3">
      <c r="A5" s="41" t="s">
        <v>832</v>
      </c>
      <c r="B5" s="41" t="s">
        <v>833</v>
      </c>
      <c r="C5" s="41" t="s">
        <v>834</v>
      </c>
      <c r="D5" s="46"/>
      <c r="E5" s="41" t="s">
        <v>832</v>
      </c>
      <c r="F5" s="41" t="s">
        <v>833</v>
      </c>
      <c r="G5" s="41" t="s">
        <v>834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844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844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КП</vt:lpstr>
      <vt:lpstr>Плитки</vt:lpstr>
      <vt:lpstr>Пом</vt:lpstr>
      <vt:lpstr>5.1_плтк</vt:lpstr>
      <vt:lpstr>5.2_остаток</vt:lpstr>
      <vt:lpstr>3.1-Ок-Ш2</vt:lpstr>
      <vt:lpstr>3.1-Ок-Ш2_НЗ</vt:lpstr>
      <vt:lpstr>3.2-Ок-Ш2</vt:lpstr>
      <vt:lpstr>4.1-Ст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2026-04-01T10:15:24Z</dcterms:modified>
  <cp:category/>
</cp:coreProperties>
</file>