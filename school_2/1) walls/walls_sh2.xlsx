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school_2\1) walls\"/>
    </mc:Choice>
  </mc:AlternateContent>
  <bookViews>
    <workbookView xWindow="0" yWindow="0" windowWidth="16056" windowHeight="8520" firstSheet="1" activeTab="1"/>
  </bookViews>
  <sheets>
    <sheet name="10.4ЛкХам" sheetId="33" r:id="rId1"/>
    <sheet name="10.3отк" sheetId="30" r:id="rId2"/>
    <sheet name="10.3отк1" sheetId="32" r:id="rId3"/>
    <sheet name="10.3отк3" sheetId="35" r:id="rId4"/>
    <sheet name="10.3отк2" sheetId="34" r:id="rId5"/>
    <sheet name="10.3отк4" sheetId="36" r:id="rId6"/>
    <sheet name="Лист1" sheetId="31" r:id="rId7"/>
    <sheet name="10.2плны" sheetId="29" r:id="rId8"/>
    <sheet name="8.7штр" sheetId="28" r:id="rId9"/>
    <sheet name="7.5.1лес" sheetId="27" r:id="rId10"/>
    <sheet name="8.6отв" sheetId="26" r:id="rId11"/>
    <sheet name="8.5дфрг" sheetId="25" r:id="rId12"/>
    <sheet name="8.4отк.лк" sheetId="24" r:id="rId13"/>
    <sheet name="8.3шп.лк" sheetId="23" r:id="rId14"/>
    <sheet name="8.2умнь.дв" sheetId="22" r:id="rId15"/>
    <sheet name="8.1дврн.откс" sheetId="21" r:id="rId16"/>
    <sheet name="7.8фрхв" sheetId="20" r:id="rId17"/>
    <sheet name="7.7внеш.блк" sheetId="19" r:id="rId18"/>
    <sheet name="7.6прмч" sheetId="18" r:id="rId19"/>
    <sheet name="КП" sheetId="3" r:id="rId20"/>
    <sheet name="Плитки" sheetId="8" r:id="rId21"/>
    <sheet name="Пом" sheetId="9" r:id="rId22"/>
    <sheet name="7.4Блок" sheetId="17" r:id="rId23"/>
    <sheet name="7.3Кирп1э" sheetId="16" r:id="rId24"/>
    <sheet name="7.2КирпПодв" sheetId="15" r:id="rId25"/>
    <sheet name="7.1ПГП" sheetId="14" r:id="rId26"/>
    <sheet name="6.1ГКЛ" sheetId="12" r:id="rId27"/>
    <sheet name="5.3_остаток" sheetId="11" r:id="rId28"/>
    <sheet name="5.2Плт" sheetId="37" r:id="rId29"/>
    <sheet name="5.1_плтк" sheetId="10" r:id="rId30"/>
    <sheet name="3.2-Ок-Ш2" sheetId="5" r:id="rId31"/>
    <sheet name="4.1-Ст" sheetId="6" r:id="rId32"/>
    <sheet name="3.1-Ок-Ш2_НЗ" sheetId="7" r:id="rId33"/>
    <sheet name="3.1-Ок-Ш2" sheetId="4" r:id="rId34"/>
    <sheet name="Лист2" sheetId="13" r:id="rId35"/>
  </sheets>
  <calcPr calcId="152511"/>
</workbook>
</file>

<file path=xl/calcChain.xml><?xml version="1.0" encoding="utf-8"?>
<calcChain xmlns="http://schemas.openxmlformats.org/spreadsheetml/2006/main">
  <c r="K6" i="30" l="1"/>
  <c r="D17" i="36" l="1"/>
  <c r="C17" i="36"/>
  <c r="D16" i="36"/>
  <c r="C16" i="36"/>
  <c r="D15" i="36"/>
  <c r="C15" i="36"/>
  <c r="D14" i="36"/>
  <c r="D13" i="36"/>
  <c r="C13" i="36"/>
  <c r="D12" i="36"/>
  <c r="C12" i="36"/>
  <c r="D11" i="36"/>
  <c r="C11" i="36"/>
  <c r="D10" i="36"/>
  <c r="F10" i="36" s="1"/>
  <c r="G10" i="36" s="1"/>
  <c r="D9" i="36"/>
  <c r="F9" i="36" s="1"/>
  <c r="G9" i="36" s="1"/>
  <c r="D8" i="36"/>
  <c r="F8" i="36" s="1"/>
  <c r="G8" i="36" s="1"/>
  <c r="C8" i="36"/>
  <c r="D7" i="36"/>
  <c r="C7" i="36"/>
  <c r="D6" i="36"/>
  <c r="C6" i="36"/>
  <c r="D5" i="36"/>
  <c r="F5" i="36" s="1"/>
  <c r="G5" i="36" s="1"/>
  <c r="C5" i="36"/>
  <c r="D4" i="36"/>
  <c r="F4" i="36" s="1"/>
  <c r="G4" i="36" s="1"/>
  <c r="D3" i="36"/>
  <c r="F3" i="36" s="1"/>
  <c r="G3" i="36" s="1"/>
  <c r="C18" i="36" l="1"/>
  <c r="F17" i="36"/>
  <c r="G17" i="36" s="1"/>
  <c r="F11" i="36"/>
  <c r="G11" i="36" s="1"/>
  <c r="F15" i="36"/>
  <c r="G15" i="36" s="1"/>
  <c r="F6" i="36"/>
  <c r="G6" i="36" s="1"/>
  <c r="F16" i="36"/>
  <c r="G16" i="36" s="1"/>
  <c r="F7" i="36"/>
  <c r="G7" i="36" s="1"/>
  <c r="F13" i="36" l="1"/>
  <c r="G13" i="36" s="1"/>
  <c r="F14" i="36"/>
  <c r="G14" i="36" s="1"/>
  <c r="F12" i="36"/>
  <c r="G12" i="36" s="1"/>
  <c r="G18" i="36" l="1"/>
  <c r="I6" i="37" l="1"/>
  <c r="I7" i="37"/>
  <c r="I8" i="37"/>
  <c r="I3" i="37"/>
  <c r="D15" i="11"/>
  <c r="I17" i="11"/>
  <c r="I22" i="11"/>
  <c r="D32" i="11"/>
  <c r="I26" i="11"/>
  <c r="D26" i="11"/>
  <c r="D12" i="11"/>
  <c r="I19" i="11"/>
  <c r="D25" i="11"/>
  <c r="D18" i="11"/>
  <c r="D22" i="11"/>
  <c r="D20" i="11"/>
  <c r="D24" i="11"/>
  <c r="D29" i="11"/>
  <c r="I7" i="11" s="1"/>
  <c r="D17" i="11"/>
  <c r="D14" i="11"/>
  <c r="I16" i="11"/>
  <c r="I14" i="11"/>
  <c r="I12" i="11"/>
  <c r="D13" i="11"/>
  <c r="D11" i="11"/>
  <c r="I23" i="11"/>
  <c r="I21" i="11"/>
  <c r="I13" i="11"/>
  <c r="I15" i="11"/>
  <c r="D23" i="11"/>
  <c r="D19" i="11"/>
  <c r="I18" i="11"/>
  <c r="I20" i="11"/>
  <c r="I11" i="11"/>
  <c r="D27" i="11"/>
  <c r="D16" i="11"/>
  <c r="D21" i="11"/>
  <c r="D28" i="11"/>
  <c r="I4" i="11"/>
  <c r="I8" i="11"/>
  <c r="I4" i="37" l="1"/>
  <c r="I5" i="37"/>
  <c r="I3" i="11"/>
  <c r="N3" i="11" s="1"/>
  <c r="I6" i="11"/>
  <c r="I5" i="11"/>
  <c r="L46" i="11"/>
  <c r="M45" i="11"/>
  <c r="L45" i="11"/>
  <c r="F5" i="32" l="1"/>
  <c r="F6" i="32"/>
  <c r="F7" i="32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51" i="32"/>
  <c r="F52" i="32"/>
  <c r="F53" i="32"/>
  <c r="F54" i="32"/>
  <c r="F55" i="32"/>
  <c r="F56" i="32"/>
  <c r="F57" i="32"/>
  <c r="F58" i="32"/>
  <c r="F59" i="32"/>
  <c r="F4" i="32"/>
  <c r="N4" i="11" l="1"/>
  <c r="U40" i="11"/>
  <c r="U41" i="11"/>
  <c r="U42" i="11"/>
  <c r="U43" i="11"/>
  <c r="U44" i="11"/>
  <c r="U39" i="11"/>
  <c r="O40" i="11"/>
  <c r="Q40" i="11" s="1"/>
  <c r="O41" i="11"/>
  <c r="Q41" i="11" s="1"/>
  <c r="O42" i="11"/>
  <c r="Q42" i="11" s="1"/>
  <c r="O43" i="11"/>
  <c r="Q43" i="11" s="1"/>
  <c r="O44" i="11"/>
  <c r="Q44" i="11" s="1"/>
  <c r="O39" i="11"/>
  <c r="Q39" i="11" s="1"/>
  <c r="N8" i="11" l="1"/>
  <c r="N7" i="11"/>
  <c r="N6" i="11"/>
  <c r="N5" i="11"/>
  <c r="K4" i="30" l="1"/>
  <c r="K5" i="30"/>
  <c r="D18" i="35"/>
  <c r="D17" i="35"/>
  <c r="D16" i="35"/>
  <c r="D15" i="35"/>
  <c r="D14" i="35"/>
  <c r="D13" i="35"/>
  <c r="D12" i="35"/>
  <c r="D11" i="35"/>
  <c r="D10" i="35"/>
  <c r="D9" i="35"/>
  <c r="D8" i="35"/>
  <c r="D7" i="35"/>
  <c r="D6" i="35"/>
  <c r="C6" i="35"/>
  <c r="D5" i="35"/>
  <c r="E4" i="35"/>
  <c r="E5" i="35" s="1"/>
  <c r="E6" i="35" s="1"/>
  <c r="E7" i="35" s="1"/>
  <c r="D4" i="35"/>
  <c r="F4" i="35" s="1"/>
  <c r="G4" i="35" s="1"/>
  <c r="F3" i="35"/>
  <c r="G3" i="35" s="1"/>
  <c r="D3" i="35"/>
  <c r="C3" i="35"/>
  <c r="J4" i="34"/>
  <c r="J16" i="34"/>
  <c r="F5" i="35" l="1"/>
  <c r="G5" i="35" s="1"/>
  <c r="E8" i="35"/>
  <c r="E9" i="35" s="1"/>
  <c r="E10" i="35" s="1"/>
  <c r="E11" i="35" s="1"/>
  <c r="F7" i="35"/>
  <c r="G7" i="35" s="1"/>
  <c r="F6" i="35"/>
  <c r="G6" i="35" s="1"/>
  <c r="F8" i="35"/>
  <c r="G8" i="35" s="1"/>
  <c r="F10" i="35"/>
  <c r="G10" i="35" s="1"/>
  <c r="H4" i="34"/>
  <c r="H5" i="34"/>
  <c r="H6" i="34" s="1"/>
  <c r="B4" i="34"/>
  <c r="G14" i="34"/>
  <c r="E14" i="34"/>
  <c r="G13" i="34"/>
  <c r="C13" i="34"/>
  <c r="E13" i="34" s="1"/>
  <c r="G12" i="34"/>
  <c r="C12" i="34"/>
  <c r="E12" i="34" s="1"/>
  <c r="G11" i="34"/>
  <c r="B11" i="34"/>
  <c r="E11" i="34" s="1"/>
  <c r="G10" i="34"/>
  <c r="C10" i="34"/>
  <c r="E10" i="34" s="1"/>
  <c r="G9" i="34"/>
  <c r="E9" i="34"/>
  <c r="G8" i="34"/>
  <c r="E8" i="34"/>
  <c r="G7" i="34"/>
  <c r="C7" i="34"/>
  <c r="E7" i="34" s="1"/>
  <c r="G6" i="34"/>
  <c r="D6" i="34"/>
  <c r="C6" i="34"/>
  <c r="B6" i="34"/>
  <c r="E6" i="34" s="1"/>
  <c r="G5" i="34"/>
  <c r="D5" i="34"/>
  <c r="C5" i="34"/>
  <c r="B5" i="34"/>
  <c r="E5" i="34" s="1"/>
  <c r="G4" i="34"/>
  <c r="D4" i="34"/>
  <c r="C4" i="34"/>
  <c r="G3" i="34"/>
  <c r="D3" i="34"/>
  <c r="C3" i="34"/>
  <c r="B3" i="34"/>
  <c r="F60" i="32" l="1"/>
  <c r="K3" i="30" s="1"/>
  <c r="E12" i="35"/>
  <c r="F11" i="35"/>
  <c r="G11" i="35" s="1"/>
  <c r="F9" i="35"/>
  <c r="G9" i="35" s="1"/>
  <c r="I4" i="34"/>
  <c r="E3" i="34"/>
  <c r="E4" i="34"/>
  <c r="I5" i="34"/>
  <c r="J5" i="34"/>
  <c r="H7" i="34"/>
  <c r="H8" i="34" s="1"/>
  <c r="H9" i="34" s="1"/>
  <c r="I6" i="34"/>
  <c r="J6" i="34" s="1"/>
  <c r="I3" i="34"/>
  <c r="B9" i="33"/>
  <c r="E13" i="35" l="1"/>
  <c r="F12" i="35"/>
  <c r="G12" i="35" s="1"/>
  <c r="J3" i="34"/>
  <c r="I8" i="34"/>
  <c r="J8" i="34" s="1"/>
  <c r="I7" i="34"/>
  <c r="J7" i="34" s="1"/>
  <c r="H10" i="34"/>
  <c r="I9" i="34"/>
  <c r="J9" i="34" s="1"/>
  <c r="F18" i="31"/>
  <c r="K18" i="31"/>
  <c r="F19" i="31"/>
  <c r="K19" i="31"/>
  <c r="F20" i="31"/>
  <c r="K20" i="31"/>
  <c r="K21" i="31"/>
  <c r="E14" i="35" l="1"/>
  <c r="F13" i="35"/>
  <c r="G13" i="35" s="1"/>
  <c r="H11" i="34"/>
  <c r="I10" i="34"/>
  <c r="J10" i="34" s="1"/>
  <c r="E15" i="35" l="1"/>
  <c r="F14" i="35"/>
  <c r="G14" i="35" s="1"/>
  <c r="H12" i="34"/>
  <c r="I11" i="34"/>
  <c r="J11" i="34" s="1"/>
  <c r="E16" i="35" l="1"/>
  <c r="F15" i="35"/>
  <c r="G15" i="35" s="1"/>
  <c r="H13" i="34"/>
  <c r="I12" i="34"/>
  <c r="J12" i="34" s="1"/>
  <c r="H6" i="24"/>
  <c r="E17" i="35" l="1"/>
  <c r="F16" i="35"/>
  <c r="G16" i="35" s="1"/>
  <c r="H14" i="34"/>
  <c r="I14" i="34" s="1"/>
  <c r="J14" i="34" s="1"/>
  <c r="I13" i="34"/>
  <c r="J13" i="34" s="1"/>
  <c r="K8" i="30"/>
  <c r="K10" i="30" s="1"/>
  <c r="H5" i="23"/>
  <c r="E18" i="35" l="1"/>
  <c r="F18" i="35" s="1"/>
  <c r="G18" i="35" s="1"/>
  <c r="F17" i="35"/>
  <c r="G17" i="35" s="1"/>
  <c r="K9" i="30"/>
  <c r="C27" i="29"/>
  <c r="C34" i="29"/>
  <c r="C20" i="29"/>
  <c r="I20" i="29"/>
  <c r="C19" i="29"/>
  <c r="C26" i="29"/>
  <c r="C33" i="29"/>
  <c r="I19" i="29"/>
  <c r="C32" i="29"/>
  <c r="C25" i="29"/>
  <c r="C18" i="29"/>
  <c r="I18" i="29"/>
  <c r="G19" i="35" l="1"/>
  <c r="C12" i="29"/>
  <c r="C13" i="29"/>
  <c r="C14" i="29"/>
  <c r="I21" i="29"/>
  <c r="I9" i="29" s="1"/>
  <c r="C35" i="29"/>
  <c r="I8" i="29" s="1"/>
  <c r="C28" i="29"/>
  <c r="I7" i="29" s="1"/>
  <c r="C21" i="29"/>
  <c r="I6" i="29" s="1"/>
  <c r="C15" i="29" l="1"/>
  <c r="I3" i="29" s="1"/>
  <c r="I4" i="29" s="1"/>
  <c r="I5" i="29" s="1"/>
  <c r="B39" i="28"/>
  <c r="H41" i="28"/>
  <c r="N39" i="28"/>
  <c r="E19" i="28" l="1"/>
  <c r="K39" i="28" l="1"/>
  <c r="Q37" i="28"/>
  <c r="H3" i="28" l="1"/>
  <c r="C7" i="27"/>
  <c r="C8" i="27" l="1"/>
  <c r="C6" i="27" l="1"/>
  <c r="C9" i="27" s="1"/>
  <c r="F3" i="27" s="1"/>
  <c r="E7" i="22" l="1"/>
  <c r="E4" i="21"/>
  <c r="E5" i="21" l="1"/>
  <c r="E8" i="22" l="1"/>
  <c r="E9" i="22"/>
  <c r="E10" i="22" l="1"/>
  <c r="G3" i="22" s="1"/>
  <c r="E21" i="25"/>
  <c r="K4" i="25"/>
  <c r="B37" i="25"/>
  <c r="Q35" i="25" l="1"/>
  <c r="N36" i="25"/>
  <c r="K36" i="25"/>
  <c r="H37" i="25"/>
  <c r="K3" i="25" l="1"/>
  <c r="K5" i="25" s="1"/>
  <c r="E10" i="24"/>
  <c r="E11" i="24"/>
  <c r="E9" i="24"/>
  <c r="E12" i="24"/>
  <c r="H3" i="24" s="1"/>
  <c r="H4" i="24" s="1"/>
  <c r="B12" i="24" l="1"/>
  <c r="H5" i="24"/>
  <c r="D9" i="23" l="1"/>
  <c r="D10" i="23"/>
  <c r="D8" i="23"/>
  <c r="D11" i="23" s="1"/>
  <c r="H3" i="23" s="1"/>
  <c r="H4" i="23" s="1"/>
  <c r="B11" i="23"/>
  <c r="E7" i="20" l="1"/>
  <c r="E8" i="20"/>
  <c r="E9" i="20"/>
  <c r="D37" i="18"/>
  <c r="E37" i="18" s="1"/>
  <c r="D36" i="18"/>
  <c r="E36" i="18" s="1"/>
  <c r="D35" i="18"/>
  <c r="E35" i="18" s="1"/>
  <c r="D34" i="18"/>
  <c r="E34" i="18" s="1"/>
  <c r="D33" i="18"/>
  <c r="E33" i="18" s="1"/>
  <c r="D32" i="18"/>
  <c r="E32" i="18" s="1"/>
  <c r="D31" i="18"/>
  <c r="E31" i="18" s="1"/>
  <c r="D30" i="18"/>
  <c r="E30" i="18" s="1"/>
  <c r="D29" i="18"/>
  <c r="E29" i="18" s="1"/>
  <c r="D27" i="18"/>
  <c r="E27" i="18" s="1"/>
  <c r="D28" i="18"/>
  <c r="E28" i="18" s="1"/>
  <c r="E21" i="18"/>
  <c r="D17" i="18"/>
  <c r="E17" i="18" s="1"/>
  <c r="D16" i="18"/>
  <c r="E16" i="18" s="1"/>
  <c r="D22" i="18"/>
  <c r="E22" i="18"/>
  <c r="D21" i="18"/>
  <c r="D20" i="18"/>
  <c r="E20" i="18" s="1"/>
  <c r="D19" i="18"/>
  <c r="E19" i="18" s="1"/>
  <c r="D18" i="18"/>
  <c r="E18" i="18" s="1"/>
  <c r="D25" i="18"/>
  <c r="E25" i="18" s="1"/>
  <c r="D24" i="18"/>
  <c r="E24" i="18" s="1"/>
  <c r="D23" i="18"/>
  <c r="E23" i="18" s="1"/>
  <c r="D7" i="18"/>
  <c r="E7" i="18" s="1"/>
  <c r="D8" i="18"/>
  <c r="E8" i="18" s="1"/>
  <c r="D9" i="18"/>
  <c r="E9" i="18" s="1"/>
  <c r="D10" i="18"/>
  <c r="E10" i="18" s="1"/>
  <c r="D11" i="18"/>
  <c r="E11" i="18" s="1"/>
  <c r="D12" i="18"/>
  <c r="E12" i="18" s="1"/>
  <c r="D13" i="18"/>
  <c r="E13" i="18" s="1"/>
  <c r="D14" i="18"/>
  <c r="E14" i="18" s="1"/>
  <c r="E38" i="18" l="1"/>
  <c r="E26" i="18"/>
  <c r="E15" i="18"/>
  <c r="G38" i="14"/>
  <c r="B16" i="15" l="1"/>
  <c r="B15" i="15"/>
  <c r="B14" i="15" l="1"/>
  <c r="B12" i="15"/>
  <c r="B13" i="15"/>
  <c r="B11" i="15"/>
  <c r="B9" i="15"/>
  <c r="B10" i="15"/>
  <c r="B8" i="15"/>
  <c r="B17" i="15" s="1"/>
  <c r="B7" i="15"/>
  <c r="C34" i="14"/>
  <c r="D39" i="14" l="1"/>
  <c r="G3" i="15"/>
  <c r="C42" i="12"/>
  <c r="G11" i="12"/>
  <c r="K263" i="3" l="1"/>
  <c r="K348" i="3" l="1"/>
  <c r="K343" i="3"/>
  <c r="K358" i="3"/>
  <c r="K353" i="3"/>
  <c r="K337" i="3"/>
  <c r="P2" i="8" l="1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7" i="8"/>
  <c r="P18" i="8"/>
  <c r="P20" i="8"/>
  <c r="P21" i="8"/>
  <c r="P22" i="8"/>
  <c r="P23" i="8"/>
  <c r="P24" i="8"/>
  <c r="P26" i="8"/>
  <c r="P27" i="8"/>
  <c r="P28" i="8"/>
  <c r="P29" i="8"/>
  <c r="P30" i="8"/>
  <c r="G14" i="8"/>
  <c r="L14" i="8"/>
  <c r="G16" i="8"/>
  <c r="G2" i="8" l="1"/>
  <c r="L2" i="8" s="1"/>
  <c r="G4" i="8"/>
  <c r="L4" i="8" s="1"/>
  <c r="G5" i="8"/>
  <c r="L5" i="8" s="1"/>
  <c r="G6" i="8"/>
  <c r="L6" i="8" s="1"/>
  <c r="G7" i="8"/>
  <c r="L7" i="8" s="1"/>
  <c r="G8" i="8"/>
  <c r="L8" i="8" s="1"/>
  <c r="G11" i="8"/>
  <c r="L11" i="8" s="1"/>
  <c r="G12" i="8"/>
  <c r="L12" i="8" s="1"/>
  <c r="G13" i="8"/>
  <c r="L13" i="8" s="1"/>
  <c r="G15" i="8"/>
  <c r="L15" i="8" s="1"/>
  <c r="G17" i="8"/>
  <c r="L17" i="8" s="1"/>
  <c r="G18" i="8"/>
  <c r="L18" i="8" s="1"/>
  <c r="G19" i="8"/>
  <c r="G20" i="8"/>
  <c r="L20" i="8" s="1"/>
  <c r="G21" i="8"/>
  <c r="L21" i="8" s="1"/>
  <c r="G22" i="8"/>
  <c r="L22" i="8" s="1"/>
  <c r="G25" i="8"/>
  <c r="G26" i="8"/>
  <c r="L26" i="8" s="1"/>
  <c r="G27" i="8"/>
  <c r="L27" i="8" s="1"/>
  <c r="G28" i="8"/>
  <c r="L28" i="8" s="1"/>
  <c r="G29" i="8"/>
  <c r="L29" i="8" s="1"/>
  <c r="G30" i="8"/>
  <c r="L30" i="8" s="1"/>
  <c r="G31" i="8"/>
  <c r="L31" i="8" s="1"/>
  <c r="G3" i="8"/>
  <c r="L3" i="8" s="1"/>
  <c r="E11" i="7" l="1"/>
  <c r="E9" i="7"/>
  <c r="F7" i="7"/>
  <c r="F11" i="7" s="1"/>
  <c r="F6" i="7"/>
  <c r="F10" i="7" s="1"/>
  <c r="E6" i="7"/>
  <c r="E10" i="7" s="1"/>
  <c r="F4" i="7"/>
  <c r="E4" i="7"/>
  <c r="E2" i="7" s="1"/>
  <c r="F3" i="7"/>
  <c r="E3" i="7"/>
  <c r="F2" i="7"/>
  <c r="E11" i="4"/>
  <c r="E6" i="4"/>
  <c r="E10" i="4" s="1"/>
  <c r="E8" i="4"/>
  <c r="E9" i="4"/>
  <c r="E8" i="7" l="1"/>
  <c r="F8" i="7"/>
  <c r="F9" i="7"/>
  <c r="C41" i="6"/>
  <c r="G10" i="6"/>
  <c r="E4" i="4" l="1"/>
  <c r="E3" i="4" s="1"/>
  <c r="E2" i="4" l="1"/>
</calcChain>
</file>

<file path=xl/sharedStrings.xml><?xml version="1.0" encoding="utf-8"?>
<sst xmlns="http://schemas.openxmlformats.org/spreadsheetml/2006/main" count="3851" uniqueCount="1432">
  <si>
    <t>Указать название организации (на бланке организации)</t>
  </si>
  <si>
    <t>{"estimateId":5186302,"estimateVersionId":7249287}</t>
  </si>
  <si>
    <t>ТЕХНИКО-КОММЕРЧЕСКОЕ ПРЕДЛОЖЕНИЕ (ТКП)</t>
  </si>
  <si>
    <t>г. Москва, Волоколамское ш., Покровское, вл. 71/15, СОШ 2, 850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</si>
  <si>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</si>
  <si>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</si>
  <si>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</si>
  <si>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</si>
  <si>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</si>
  <si>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</si>
  <si>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</si>
  <si>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</si>
  <si>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</si>
  <si>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</si>
  <si>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2 этаж</t>
  </si>
  <si>
    <t>м2</t>
  </si>
  <si>
    <t>кг</t>
  </si>
  <si>
    <t>3 этаж</t>
  </si>
  <si>
    <t>пог. м</t>
  </si>
  <si>
    <t>м3</t>
  </si>
  <si>
    <t>шт</t>
  </si>
  <si>
    <t>Клей для плитки Стройбриг Базакс АС10 серый класс С0 Т 25 кг</t>
  </si>
  <si>
    <t>Затирка Цезерит СE33_/04 серебристо-серый</t>
  </si>
  <si>
    <t>Грунтовка универсальный ЛАСТИМИН_ / LP-51 А</t>
  </si>
  <si>
    <t>Грунтовка _ / универсальная водно-дисперсионная</t>
  </si>
  <si>
    <t>Керамический гранит Kerama marazzi_ / Светлый серый /  DD600300R, Estima LF01 UnitileVento grey PG  / 600х600х10мм</t>
  </si>
  <si>
    <t>Плиточный клей_ / Унифицированный по ПИК-СТАНДАРТ</t>
  </si>
  <si>
    <t>Плиточный клей_ /  Унифицированный по ПИК-СТАНДАРТ</t>
  </si>
  <si>
    <t>1.1.1.1.1.2</t>
  </si>
  <si>
    <t>6.3.1.5.2</t>
  </si>
  <si>
    <t>Стены</t>
  </si>
  <si>
    <t>1.1.1.1.1.2.1</t>
  </si>
  <si>
    <t>6.3.1.5.2.1</t>
  </si>
  <si>
    <t>Черновые работы по поверхности стен</t>
  </si>
  <si>
    <t>1.1.1.1.1.2.1.1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</si>
  <si>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</si>
  <si>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</si>
  <si>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 xml:space="preserve">2эт - 1826,61м.п., 3эт. - 2045,25м.п.
</t>
  </si>
  <si>
    <t>1.1.1.1.1.2.1.1.1</t>
  </si>
  <si>
    <t>Шпатлевка гипсовая_ / белая / Унифицированная по ПИК-СТАНДАРТ, 30кг</t>
  </si>
  <si>
    <t>1.1.1.1.1.2.1.1.2</t>
  </si>
  <si>
    <t>Лента армирующая ( серпянка)_/150мм</t>
  </si>
  <si>
    <t>1.1.1.1.1.2.1.2</t>
  </si>
  <si>
    <t>2эт - 1826,61м.п., 3эт. - 2045,25м.п.</t>
  </si>
  <si>
    <t>1.1.1.1.1.2.1.2.1</t>
  </si>
  <si>
    <t>1.1.1.1.1.2.1.2.2</t>
  </si>
  <si>
    <t>1.1.1.1.1.2.1.3</t>
  </si>
  <si>
    <t>6.3.1.5.2.1.2.3</t>
  </si>
  <si>
    <t>Штукатурка стен сухими смесями с установкой маяков с предварительной огрунтовкой / толщ. от 16,5 мм до 21 мм</t>
  </si>
  <si>
    <t>1.1.1.1.1.2.1.3.1</t>
  </si>
  <si>
    <t>Штукатурка гипсовая_ / Унифицированная по ПИК-СТАНДАРТ, 30кг</t>
  </si>
  <si>
    <t>Штукатурка гипсовая Старатели Старт 30 кг</t>
  </si>
  <si>
    <t>1.1.1.1.1.2.1.3.2</t>
  </si>
  <si>
    <t>Грунтовка БЕТОН-КОНТАКТ_/</t>
  </si>
  <si>
    <t>1.1.1.1.1.2.1.3.3</t>
  </si>
  <si>
    <t>Профиль маячковый_/ПМ6</t>
  </si>
  <si>
    <t>1.1.1.1.1.2.1.4</t>
  </si>
  <si>
    <t>6.3.1.5.2.1.4.2</t>
  </si>
  <si>
    <t>Выравнивание стен с предварительной огрунтовкой / по оштукатуренной поверхности / толщ. 2 мм</t>
  </si>
  <si>
    <t>2 этаж. Шпатлёвка базовая</t>
  </si>
  <si>
    <t>1.1.1.1.1.2.1.4.1</t>
  </si>
  <si>
    <t>Шпаклевка гипсовая Старатели базовая белая 20 кг</t>
  </si>
  <si>
    <t>1.1.1.1.1.2.1.4.2</t>
  </si>
  <si>
    <t>Уголок малярный_ / L=3м /25х25 мм</t>
  </si>
  <si>
    <t>1.1.1.1.1.2.1.4.3</t>
  </si>
  <si>
    <t>Лента армированная Серпянка 150мм</t>
  </si>
  <si>
    <t>1.1.1.1.1.2.1.4.4</t>
  </si>
  <si>
    <t>1.1.1.1.1.2.1.5</t>
  </si>
  <si>
    <t>2 этаж. Шпатлёвка финишная</t>
  </si>
  <si>
    <t>1.1.1.1.1.2.1.5.1</t>
  </si>
  <si>
    <t>1.1.1.1.1.2.1.5.2</t>
  </si>
  <si>
    <t>Шпаклевка гипсовая Старатели финишная 20 кг</t>
  </si>
  <si>
    <t>1.1.1.1.1.2.1.6</t>
  </si>
  <si>
    <t>6.3.1.5.2.1.8.5</t>
  </si>
  <si>
    <t>Подготовка поверхности СКБ / стен / по штукатурке / 2мм</t>
  </si>
  <si>
    <t>2 этаж. Шпаклевка финишная для высококачественной отделки.</t>
  </si>
  <si>
    <t>1.1.1.1.1.2.1.6.1</t>
  </si>
  <si>
    <t xml:space="preserve">Шпатлевка финишная TERRACO HANDYCOAT ALL PURPOSE </t>
  </si>
  <si>
    <t>1.1.1.1.1.2.1.6.2</t>
  </si>
  <si>
    <t>1.1.1.1.1.2.1.7</t>
  </si>
  <si>
    <t>3 этаж. Шпаклевка финишная для высококачественной отделки.</t>
  </si>
  <si>
    <t>1.1.1.1.1.2.1.7.1</t>
  </si>
  <si>
    <t>1.1.1.1.1.2.1.7.2</t>
  </si>
  <si>
    <t>1.1.1.1.1.2.1.8</t>
  </si>
  <si>
    <t>2 этаж. Шпаклевка базовая.</t>
  </si>
  <si>
    <t>1.1.1.1.1.2.1.8.1</t>
  </si>
  <si>
    <t>1.1.1.1.1.2.1.8.2</t>
  </si>
  <si>
    <t>1.1.1.1.1.2.1.9</t>
  </si>
  <si>
    <t>3 этаж. Шпаклевка базовая.</t>
  </si>
  <si>
    <t>1.1.1.1.1.2.1.9.1</t>
  </si>
  <si>
    <t>1.1.1.1.1.2.1.9.2</t>
  </si>
  <si>
    <t>1.1.1.1.1.2.1.10</t>
  </si>
  <si>
    <t>1.1.1.1.1.2.1.10.1</t>
  </si>
  <si>
    <t>1.1.1.1.1.2.1.10.2</t>
  </si>
  <si>
    <t>1.1.1.1.1.2.1.11</t>
  </si>
  <si>
    <t>1.1.1.1.1.2.1.11.1</t>
  </si>
  <si>
    <t>1.1.1.1.1.2.1.11.2</t>
  </si>
  <si>
    <t>1.1.1.1.1.2.1.12</t>
  </si>
  <si>
    <t>1.1.1.1.1.2.1.12.1</t>
  </si>
  <si>
    <t>1.1.1.1.1.2.1.12.2</t>
  </si>
  <si>
    <t>1.1.1.1.1.2.1.13</t>
  </si>
  <si>
    <t>1.1.1.1.1.2.1.13.1</t>
  </si>
  <si>
    <t>1.1.1.1.1.2.1.13.2</t>
  </si>
  <si>
    <t>1.1.1.1.1.2.1.14</t>
  </si>
  <si>
    <t>6.3.1.5.2.1.10.1</t>
  </si>
  <si>
    <t>Штукатурка стен цементным, цементно-песчаным раствором с предварительной огрунтовкой / толщ. до 20 мм / высотой до 4 метров</t>
  </si>
  <si>
    <t>1.1.1.1.1.2.1.14.1</t>
  </si>
  <si>
    <t>Штукатурка цементная</t>
  </si>
  <si>
    <t>Штукатурка цементная Основит Техно РС21 M 25 кг</t>
  </si>
  <si>
    <t>1.1.1.1.1.2.1.14.2</t>
  </si>
  <si>
    <t>Сетка штукатурная_/пластиковая/5*5</t>
  </si>
  <si>
    <t>1.1.1.1.1.2.1.14.3</t>
  </si>
  <si>
    <t>1.1.1.1.1.2.1.14.4</t>
  </si>
  <si>
    <t>1.1.1.1.1.2.1.15</t>
  </si>
  <si>
    <t>6.3.1.5.2.1.10.2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</si>
  <si>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</si>
  <si>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2 этаж. Штукатурка по ЖБ. Толщина слоя согласованна с ПГ.</t>
  </si>
  <si>
    <t>1.1.1.1.1.2.1.15.1</t>
  </si>
  <si>
    <t>1.1.1.1.1.2.1.15.2</t>
  </si>
  <si>
    <t>1.1.1.1.1.2.1.15.3</t>
  </si>
  <si>
    <t>1.1.1.1.1.2.1.15.4</t>
  </si>
  <si>
    <t>1.1.1.1.1.2.1.16</t>
  </si>
  <si>
    <t>2 этаж. Штукатурка по блоку, ГСП, ПГП. Толщина слоя согласованна с ПГ</t>
  </si>
  <si>
    <t>1.1.1.1.1.2.1.16.1</t>
  </si>
  <si>
    <t>1.1.1.1.1.2.1.16.2</t>
  </si>
  <si>
    <t>1.1.1.1.1.2.1.16.3</t>
  </si>
  <si>
    <t>1.1.1.1.1.2.1.16.4</t>
  </si>
  <si>
    <t>1.1.1.1.1.2.1.17</t>
  </si>
  <si>
    <t>3 этаж. Штукатурка по ЖБ. Толщина слоя согласованна с ПГ.</t>
  </si>
  <si>
    <t>1.1.1.1.1.2.1.17.1</t>
  </si>
  <si>
    <t>1.1.1.1.1.2.1.17.2</t>
  </si>
  <si>
    <t>1.1.1.1.1.2.1.17.3</t>
  </si>
  <si>
    <t>1.1.1.1.1.2.1.17.4</t>
  </si>
  <si>
    <t>1.1.1.1.1.2.1.18</t>
  </si>
  <si>
    <t>3 этаж. Штукатурка по блоку, ГСП, ПГП. Толщина слоя согласованна с ПГ</t>
  </si>
  <si>
    <t>1.1.1.1.1.2.1.18.1</t>
  </si>
  <si>
    <t>1.1.1.1.1.2.1.18.2</t>
  </si>
  <si>
    <t>1.1.1.1.1.2.1.18.3</t>
  </si>
  <si>
    <t>1.1.1.1.1.2.1.18.4</t>
  </si>
  <si>
    <t>1.1.1.1.1.2.1.19</t>
  </si>
  <si>
    <t>1.1.1.1.1.2.1.19.1</t>
  </si>
  <si>
    <t>1.1.1.1.1.2.1.19.2</t>
  </si>
  <si>
    <t>1.1.1.1.1.2.1.19.3</t>
  </si>
  <si>
    <t>1.1.1.1.1.2.1.19.4</t>
  </si>
  <si>
    <t>1.1.1.1.1.2.1.20</t>
  </si>
  <si>
    <t>1.1.1.1.1.2.1.20.1</t>
  </si>
  <si>
    <t>1.1.1.1.1.2.1.20.2</t>
  </si>
  <si>
    <t>1.1.1.1.1.2.1.20.3</t>
  </si>
  <si>
    <t>1.1.1.1.1.2.1.20.4</t>
  </si>
  <si>
    <t>1.1.1.1.1.2.1.21</t>
  </si>
  <si>
    <t>1.1.1.1.1.2.1.21.1</t>
  </si>
  <si>
    <t>1.1.1.1.1.2.1.21.2</t>
  </si>
  <si>
    <t>1.1.1.1.1.2.1.21.3</t>
  </si>
  <si>
    <t>1.1.1.1.1.2.1.21.4</t>
  </si>
  <si>
    <t>1.1.1.1.1.2.1.22</t>
  </si>
  <si>
    <t>1.1.1.1.1.2.1.22.1</t>
  </si>
  <si>
    <t>1.1.1.1.1.2.1.22.2</t>
  </si>
  <si>
    <t>1.1.1.1.1.2.1.22.3</t>
  </si>
  <si>
    <t>1.1.1.1.1.2.1.22.4</t>
  </si>
  <si>
    <t>1.1.1.1.1.2.1.23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</si>
  <si>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</si>
  <si>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</si>
  <si>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>1.1.1.1.1.2.1.23.1</t>
  </si>
  <si>
    <t>1.1.1.1.1.2.1.23.2</t>
  </si>
  <si>
    <t>1.1.1.1.1.2.1.23.3</t>
  </si>
  <si>
    <t>1.1.1.1.1.2.1.24</t>
  </si>
  <si>
    <t>2 этаж. Штукатурка по блоку и ПГП. Толщина слоя согласованна с ПГ</t>
  </si>
  <si>
    <t>1.1.1.1.1.2.1.24.1</t>
  </si>
  <si>
    <t>1.1.1.1.1.2.1.24.2</t>
  </si>
  <si>
    <t>1.1.1.1.1.2.1.24.3</t>
  </si>
  <si>
    <t>1.1.1.1.1.2.1.25</t>
  </si>
  <si>
    <t>1.1.1.1.1.2.1.25.1</t>
  </si>
  <si>
    <t>1.1.1.1.1.2.1.25.2</t>
  </si>
  <si>
    <t>1.1.1.1.1.2.1.25.3</t>
  </si>
  <si>
    <t>1.1.1.1.1.2.1.26</t>
  </si>
  <si>
    <t>3 этаж. Штукатурка по блоку и ПГП. Толщина слоя согласованна с ПГ</t>
  </si>
  <si>
    <t>1.1.1.1.1.2.1.26.1</t>
  </si>
  <si>
    <t>1.1.1.1.1.2.1.26.2</t>
  </si>
  <si>
    <t>1.1.1.1.1.2.1.26.3</t>
  </si>
  <si>
    <t>1.1.1.1.1.2.1.27</t>
  </si>
  <si>
    <t>1.1.1.1.1.2.1.27.1</t>
  </si>
  <si>
    <t>1.1.1.1.1.2.1.27.2</t>
  </si>
  <si>
    <t>1.1.1.1.1.2.1.27.3</t>
  </si>
  <si>
    <t>1.1.1.1.1.2.1.28</t>
  </si>
  <si>
    <t>1.1.1.1.1.2.1.28.1</t>
  </si>
  <si>
    <t>1.1.1.1.1.2.1.28.2</t>
  </si>
  <si>
    <t>1.1.1.1.1.2.1.28.3</t>
  </si>
  <si>
    <t>1.1.1.1.1.2.1.29</t>
  </si>
  <si>
    <t>1.1.1.1.1.2.1.29.1</t>
  </si>
  <si>
    <t>1.1.1.1.1.2.1.29.2</t>
  </si>
  <si>
    <t>1.1.1.1.1.2.1.29.3</t>
  </si>
  <si>
    <t>1.1.1.1.1.2.1.30</t>
  </si>
  <si>
    <t>1.1.1.1.1.2.1.30.1</t>
  </si>
  <si>
    <t>1.1.1.1.1.2.1.30.2</t>
  </si>
  <si>
    <t>В стоимость включена сетка штукатурная пластиковая 5*5 по цене 26,44 руб/м2</t>
  </si>
  <si>
    <t>1.1.1.1.1.2.1.30.3</t>
  </si>
  <si>
    <t>1.1.1.1.1.2.2</t>
  </si>
  <si>
    <t>6.3.1.5.2.2</t>
  </si>
  <si>
    <t>Чистовые работы по поверхности стен</t>
  </si>
  <si>
    <t>1.1.1.1.1.2.2.1</t>
  </si>
  <si>
    <t>6.3.1.5.2.2.2.1</t>
  </si>
  <si>
    <t>Облицовка поверхности стен с предварительной огрунтовкой и затиркой швов / керамической плиткой</t>
  </si>
  <si>
    <t>1.1.1.1.1.2.2.1.1</t>
  </si>
  <si>
    <t>Профиль для внешнего угла, ПО Г10 2700х20мм / серебро матовое / 2700*30</t>
  </si>
  <si>
    <t>1.1.1.1.1.2.2.1.2</t>
  </si>
  <si>
    <t>1.1.1.1.1.2.2.1.3</t>
  </si>
  <si>
    <t>Керамический гранит Kerama marazzi_ / Серый / 1537/ Калейдоскоп / 200х200</t>
  </si>
  <si>
    <t>Плитка керамическая Kerama Marazzi 200х200х6,9 мм, Калейдоскоп 5281, 5187, 5009, 5111
цвет - аквамарин светлый, ,</t>
  </si>
  <si>
    <t>1.1.1.1.1.2.2.1.4</t>
  </si>
  <si>
    <t>1.1.1.1.1.2.2.1.5</t>
  </si>
  <si>
    <t>1.1.1.1.1.2.2.2</t>
  </si>
  <si>
    <t>1.1.1.1.1.2.2.2.1</t>
  </si>
  <si>
    <t>1.1.1.1.1.2.2.2.2</t>
  </si>
  <si>
    <t>Затирка Цезерит СE33_ /  10 манхетен.</t>
  </si>
  <si>
    <t>затирка Ceresit 07</t>
  </si>
  <si>
    <t>1.1.1.1.1.2.2.2.3</t>
  </si>
  <si>
    <t>Керамическая плитка Pietra Pienza_ / светло-серый Матовый / K909010R0001VTP0/настенная / 300*600*8мм</t>
  </si>
  <si>
    <t>Плитка керамическая Kerama Marazzi Мечты о Париже 11259R, цвет - светло-серый 600х300х9мм (не ниже КМ3)</t>
  </si>
  <si>
    <t>1.1.1.1.1.2.2.2.4</t>
  </si>
  <si>
    <t>1.1.1.1.1.2.2.2.5</t>
  </si>
  <si>
    <t>1.1.1.1.1.2.2.3</t>
  </si>
  <si>
    <t>6.3.1.5.2.2.3.1</t>
  </si>
  <si>
    <t>Окраска поверхности стен с предварительной огрунтовкой / в 2 слоя</t>
  </si>
  <si>
    <t>1.1.1.1.1.2.2.3.1</t>
  </si>
  <si>
    <t>1.1.1.1.1.2.2.3.2</t>
  </si>
  <si>
    <t>Краска водно-дисперсионная интерьерная Латексная, моющаяся Матовая, Г1(КМ1), RAL 9003</t>
  </si>
  <si>
    <t>Матовая водно-дисперсионная краска для высококачественной отделки Antega Строитель моющаяся, цвет - белый RAL 9003, КМ1</t>
  </si>
  <si>
    <t>1.1.1.1.1.2.2.4</t>
  </si>
  <si>
    <t>1.1.1.1.1.2.2.4.1</t>
  </si>
  <si>
    <t>Краска водно-дисперсионная интерьерная Акриловая, моющаяся Матовая, Г1(КМ1), RAL 7035</t>
  </si>
  <si>
    <t>Матовая водно-дисперсионная краска для высококачественной отделки Antega Строитель моющаяся, цвет - NCS 1502-Y, КМ1</t>
  </si>
  <si>
    <t>1.1.1.1.1.2.2.4.2</t>
  </si>
  <si>
    <t>1.1.1.1.1.2.2.5</t>
  </si>
  <si>
    <t>1.1.1.1.1.2.2.5.1</t>
  </si>
  <si>
    <t>1.1.1.1.1.2.2.5.2</t>
  </si>
  <si>
    <t xml:space="preserve">Краска огнестойкая  / NCS S 0570-Y10R / Protect Decor КМ0 </t>
  </si>
  <si>
    <t>Огнестойкая краска матовая Antega Строитель НГ, цвет - белый RAL 9003, КМ0</t>
  </si>
  <si>
    <t>1.1.1.1.1.2.2.6</t>
  </si>
  <si>
    <t>1.1.1.1.1.2.2.6.1</t>
  </si>
  <si>
    <t>Матовая водно-дисперсионная краска для высококачественной отделки Antega Строитель моющаяся, цвет - голубой RAL NCS S 2030-R80B, КМ1</t>
  </si>
  <si>
    <t>1.1.1.1.1.2.2.6.2</t>
  </si>
  <si>
    <t>1.1.1.1.1.2.2.7</t>
  </si>
  <si>
    <t>1.1.1.1.1.2.2.7.1</t>
  </si>
  <si>
    <t>1.1.1.1.1.2.2.7.2</t>
  </si>
  <si>
    <t>Матовая водно-дисперсионная краска для высококачественной отделки Antega Строитель моющаяся, цвет - зеленый RAL NCS S 2060-G40Y, КМ1</t>
  </si>
  <si>
    <t>1.1.1.1.1.2.2.8</t>
  </si>
  <si>
    <t>1.1.1.1.1.2.2.8.1</t>
  </si>
  <si>
    <t>Матовая водно-дисперсионная краска для высококачественной отделки Antega Строитель моющаяся, цвет - желтый NCS S 1070-Y20R, КМ1</t>
  </si>
  <si>
    <t>1.1.1.1.1.2.2.8.2</t>
  </si>
  <si>
    <t>1.1.1.1.1.2.2.9</t>
  </si>
  <si>
    <t>1.1.1.1.1.2.2.9.1</t>
  </si>
  <si>
    <t>1.1.1.1.1.2.2.9.2</t>
  </si>
  <si>
    <t>1.1.1.1.1.2.2.10</t>
  </si>
  <si>
    <t>6.3.1.5.2.2.8.1</t>
  </si>
  <si>
    <t>Лакокрасочные работы СКБ / окраска стен / в 2 слоя</t>
  </si>
  <si>
    <t>2 этаж. СТ-1.1</t>
  </si>
  <si>
    <t>1.1.1.1.1.2.2.10.1</t>
  </si>
  <si>
    <t>Краска водно-дисперсионная интерьерная Акриловая, моющаяся Глянцевая, матовая, Г1(КМ1), RAL 9003</t>
  </si>
  <si>
    <t>Краска матовая водно-дисперсионная для высококачественной отделки стен, ANTEGA СТРОИТЕЛЬ моющаяся, белая, RAL 9003, 2 класс истирания, КМ1</t>
  </si>
  <si>
    <t>1.1.1.1.1.2.2.10.2</t>
  </si>
  <si>
    <t>1.1.1.1.1.2.2.11</t>
  </si>
  <si>
    <t>2 этаж. СТ-1.2</t>
  </si>
  <si>
    <t>1.1.1.1.1.2.2.11.1</t>
  </si>
  <si>
    <t>1.1.1.1.1.2.2.11.2</t>
  </si>
  <si>
    <t>Краска матовая водно-дисперсионная для высококачественной отделки стен ANTEGA СТРОИТЕЛЬ моющаяся, NCS S 2030-R80B, 2 класс истирания, КМ1</t>
  </si>
  <si>
    <t>1.1.1.1.1.2.2.12</t>
  </si>
  <si>
    <t>2 этаж. СТ-1.3</t>
  </si>
  <si>
    <t>1.1.1.1.1.2.2.12.1</t>
  </si>
  <si>
    <t>Краска матовая водно-дисперсионная для высококачественной отделки стен ANTEGA СТРОИТЕЛЬ моющаяся, NCS S 5030-R90B, 2 класс истирания, КМ1</t>
  </si>
  <si>
    <t>1.1.1.1.1.2.2.12.2</t>
  </si>
  <si>
    <t>1.1.1.1.1.2.2.13</t>
  </si>
  <si>
    <t>2 этаж. СТ-1.4</t>
  </si>
  <si>
    <t>1.1.1.1.1.2.2.13.1</t>
  </si>
  <si>
    <t>1.1.1.1.1.2.2.13.2</t>
  </si>
  <si>
    <t>Краска матовая водно-дисперсионная для высококачественной отделки стен ANTEGA СТРОИТЕЛЬ моющаяся, NCS S 1070-Y30R, 2 класс истирания, КМ1</t>
  </si>
  <si>
    <t>1.1.1.1.1.2.2.14</t>
  </si>
  <si>
    <t>2 этаж. СТ-1.5</t>
  </si>
  <si>
    <t>1.1.1.1.1.2.2.14.1</t>
  </si>
  <si>
    <t>Краска матовая водно-дисперсионная для высококачественной отделки стен ANTEGA СТРОИТЕЛЬ моющаяся, NCS S 5020-R70B, 2 класс истирания, КМ1</t>
  </si>
  <si>
    <t>1.1.1.1.1.2.2.14.2</t>
  </si>
  <si>
    <t>1.1.1.1.1.2.2.15</t>
  </si>
  <si>
    <t>2 этаж. СТ-1.7</t>
  </si>
  <si>
    <t>1.1.1.1.1.2.2.15.1</t>
  </si>
  <si>
    <t>1.1.1.1.1.2.2.15.2</t>
  </si>
  <si>
    <t>Краска матовая водно-дисперсионная для высококачественной отделки стен ANTEGA СТРОИТЕЛЬ моющаяся, NCS S 3040-R20B, 2 класс истирания, КМ1</t>
  </si>
  <si>
    <t>1.1.1.1.1.2.2.16</t>
  </si>
  <si>
    <t>2 этаж. СТ-1.11</t>
  </si>
  <si>
    <t>1.1.1.1.1.2.2.16.1</t>
  </si>
  <si>
    <t>Краска матовая водно-дисперсионная для высококачественной отделки стен, ANTEGA СТРОИТЕЛЬ моющаяся, NCS S 1080-Y10R, 2 класс истирания, КМ1</t>
  </si>
  <si>
    <t>1.1.1.1.1.2.2.16.2</t>
  </si>
  <si>
    <t>1.1.1.1.1.2.2.17</t>
  </si>
  <si>
    <t>2 этаж. СТ-1.13</t>
  </si>
  <si>
    <t>1.1.1.1.1.2.2.17.1</t>
  </si>
  <si>
    <t>1.1.1.1.1.2.2.17.2</t>
  </si>
  <si>
    <t>Краска матовая водно-дисперсионная для высококачественной отделки стен, ANTEGA СТРОИТЕЛЬ моющаяся, NCS S 1502-Y, 2 класс истирания, КМ1</t>
  </si>
  <si>
    <t>1.1.1.1.1.2.2.18</t>
  </si>
  <si>
    <t>2 этаж. СТ-2.1</t>
  </si>
  <si>
    <t>1.1.1.1.1.2.2.18.1</t>
  </si>
  <si>
    <t xml:space="preserve">Матовая огнестойкая краска для высококачественной отделки стен
ANTEGA СТРОИТЕЛЬ НГ, белая, RAL 9003, 1 класс истирания, КМ0
</t>
  </si>
  <si>
    <t>1.1.1.1.1.2.2.18.2</t>
  </si>
  <si>
    <t>1.1.1.1.1.2.2.19</t>
  </si>
  <si>
    <t>2 этаж. СТ-2.16</t>
  </si>
  <si>
    <t>1.1.1.1.1.2.2.19.1</t>
  </si>
  <si>
    <t>1.1.1.1.1.2.2.19.2</t>
  </si>
  <si>
    <t xml:space="preserve">Матовая моющаяся влагостойкая водно-дисперсионная силикатная
краска НГ, RAL 7016, 1 класс истирания, КМ0
</t>
  </si>
  <si>
    <t>1.1.1.1.1.2.2.20</t>
  </si>
  <si>
    <t>2 этаж. СТ-1.8</t>
  </si>
  <si>
    <t>1.1.1.1.1.2.2.20.1</t>
  </si>
  <si>
    <t>Краска матовая водно-дисперсионная для высококачественной отделки стен ANTEGA СТРОИТЕЛЬ моющаяся, NCS S 2060-G40Y, 2 класс истирания, КМ1</t>
  </si>
  <si>
    <t>1.1.1.1.1.2.2.20.2</t>
  </si>
  <si>
    <t>1.1.1.1.1.2.2.21</t>
  </si>
  <si>
    <t>3 этаж. СТ-1.1</t>
  </si>
  <si>
    <t>1.1.1.1.1.2.2.21.1</t>
  </si>
  <si>
    <t>1.1.1.1.1.2.2.21.2</t>
  </si>
  <si>
    <t>1.1.1.1.1.2.2.22</t>
  </si>
  <si>
    <t>3 этаж. СТ-1.2</t>
  </si>
  <si>
    <t>1.1.1.1.1.2.2.22.1</t>
  </si>
  <si>
    <t>1.1.1.1.1.2.2.22.2</t>
  </si>
  <si>
    <t>1.1.1.1.1.2.2.23</t>
  </si>
  <si>
    <t>3 этаж. СТ-1.3</t>
  </si>
  <si>
    <t>1.1.1.1.1.2.2.23.1</t>
  </si>
  <si>
    <t>1.1.1.1.1.2.2.23.2</t>
  </si>
  <si>
    <t>1.1.1.1.1.2.2.24</t>
  </si>
  <si>
    <t>3 этаж. СТ-1.4</t>
  </si>
  <si>
    <t>1.1.1.1.1.2.2.24.1</t>
  </si>
  <si>
    <t>1.1.1.1.1.2.2.24.2</t>
  </si>
  <si>
    <t>1.1.1.1.1.2.2.25</t>
  </si>
  <si>
    <t>3 этаж. СТ-1.5</t>
  </si>
  <si>
    <t>1.1.1.1.1.2.2.25.1</t>
  </si>
  <si>
    <t>1.1.1.1.1.2.2.25.2</t>
  </si>
  <si>
    <t>1.1.1.1.1.2.2.26</t>
  </si>
  <si>
    <t>3 этаж. СТ-1.7</t>
  </si>
  <si>
    <t>1.1.1.1.1.2.2.26.1</t>
  </si>
  <si>
    <t>1.1.1.1.1.2.2.26.2</t>
  </si>
  <si>
    <t>1.1.1.1.1.2.2.27</t>
  </si>
  <si>
    <t>3 этаж. СТ-1.8</t>
  </si>
  <si>
    <t>1.1.1.1.1.2.2.27.1</t>
  </si>
  <si>
    <t>1.1.1.1.1.2.2.27.2</t>
  </si>
  <si>
    <t>1.1.1.1.1.2.2.28</t>
  </si>
  <si>
    <t>3 этаж. СТ-1.13</t>
  </si>
  <si>
    <t>1.1.1.1.1.2.2.28.1</t>
  </si>
  <si>
    <t>1.1.1.1.1.2.2.28.2</t>
  </si>
  <si>
    <t>1.1.1.1.1.2.2.29</t>
  </si>
  <si>
    <t>3 этаж. СТ-2.1</t>
  </si>
  <si>
    <t>1.1.1.1.1.2.2.29.1</t>
  </si>
  <si>
    <t>1.1.1.1.1.2.2.29.2</t>
  </si>
  <si>
    <t>1.1.1.1.1.2.2.30</t>
  </si>
  <si>
    <t>3 этаж. СТ-2.10</t>
  </si>
  <si>
    <t>1.1.1.1.1.2.2.30.1</t>
  </si>
  <si>
    <t>Краска негорючая моющаяся Protect Decor_ / NCS S 0570-Y10R</t>
  </si>
  <si>
    <t>Краска негорючая ANTEGA СТРОИТЕЛЬ НГ, NCS S 1502-Y, 1 класс истирания, КМ0</t>
  </si>
  <si>
    <t>1.1.1.1.1.2.2.30.2</t>
  </si>
  <si>
    <t>1.1.1.1.1.2.2.31</t>
  </si>
  <si>
    <t>3 этаж. СТ-2.16</t>
  </si>
  <si>
    <t>1.1.1.1.1.2.2.31.1</t>
  </si>
  <si>
    <t>1.1.1.1.1.2.2.31.2</t>
  </si>
  <si>
    <t>Матовая моющаяся влагостойкая водно-дисперсионная силикатная
краска НГ, RAL 7016, 1 класс истирания, КМ0</t>
  </si>
  <si>
    <t>1.1.1.1.1.2.2.32</t>
  </si>
  <si>
    <t>2 и 3 этажи. СТ-1.1</t>
  </si>
  <si>
    <t>1.1.1.1.1.2.2.32.1</t>
  </si>
  <si>
    <t>Краска матовая, моющаяся, влагостойкая, водно-дисперсионная на основе акриловой дисперсии, BRAVO PROFI FW-55, белый RAL 9003, 1 класс истирания. Класс ПБ: Г1, В1, Д1 (КМ1)</t>
  </si>
  <si>
    <t>1.1.1.1.1.2.2.32.2</t>
  </si>
  <si>
    <t>1.1.1.1.1.2.2.33</t>
  </si>
  <si>
    <t>2 и 3 этажи. СТ-1.2</t>
  </si>
  <si>
    <t>1.1.1.1.1.2.2.33.1</t>
  </si>
  <si>
    <t>1.1.1.1.1.2.2.33.2</t>
  </si>
  <si>
    <t>Краска матовая, моющаяся, влагостойкая, водно-дисперсионная на основе акриловой дисперсии, BRAVO PROFI FW-55, NCS S 2030-R80B, 1 класс истирания. Класс ПБ: Г1, В1, Д1 (КМ1)</t>
  </si>
  <si>
    <t>1.1.1.1.1.2.2.34</t>
  </si>
  <si>
    <t>2 и 3 этажи. СТ-1.3</t>
  </si>
  <si>
    <t>1.1.1.1.1.2.2.34.1</t>
  </si>
  <si>
    <t>Краска матовая, моющаяся, влагостойкая, водно-дисперсионная на основе акриловой дисперсии, BRAVO PROFI FW-55, NCS S 5030-R90B, 1 класс истирания. Класс ПБ: Г1, В1, Д1 (КМ1)</t>
  </si>
  <si>
    <t>1.1.1.1.1.2.2.34.2</t>
  </si>
  <si>
    <t>1.1.1.1.1.2.2.35</t>
  </si>
  <si>
    <t>2 и 3 этажи. СТ-1.4</t>
  </si>
  <si>
    <t>1.1.1.1.1.2.2.35.1</t>
  </si>
  <si>
    <t>1.1.1.1.1.2.2.35.2</t>
  </si>
  <si>
    <t>Краска матовая, моющаяся, влагостойкая, водно-дисперсионная на основе акриловой дисперсии, BRAVO PROFI FW-55, NCS S 1070-Y30R, 1 класс истирания. Класс ПБ: Г1, В1, Д1 (КМ1)</t>
  </si>
  <si>
    <t>1.1.1.1.1.2.2.36</t>
  </si>
  <si>
    <t>2 и 3 этажи. СТ-1.5</t>
  </si>
  <si>
    <t>1.1.1.1.1.2.2.36.1</t>
  </si>
  <si>
    <t>Краска матовая, моющаяся, влагостойкая, водно-дисперсионная на основе акриловой дисперсии, BRAVO PROFI FW-55, NCS S 5020-R70B, 1 класс истирания. Класс ПБ: Г1, В1, Д1 (КМ1)</t>
  </si>
  <si>
    <t>1.1.1.1.1.2.2.36.2</t>
  </si>
  <si>
    <t>1.1.1.1.1.2.2.37</t>
  </si>
  <si>
    <t>2 и 3 этажи. СТ-1.7</t>
  </si>
  <si>
    <t>1.1.1.1.1.2.2.37.1</t>
  </si>
  <si>
    <t>1.1.1.1.1.2.2.37.2</t>
  </si>
  <si>
    <t>Краска матовая, моющаяся, влагостойкая, водно-дисперсионная на основе акриловой дисперсии, BRAVO PROFI FW-55, NCS S 3040-R20B, 1 класс истирания. Класс ПБ: Г1, В1, Д1 (КМ1)</t>
  </si>
  <si>
    <t>1.1.1.1.1.2.2.38</t>
  </si>
  <si>
    <t>2 и 3 этажи. СТ-1.8</t>
  </si>
  <si>
    <t>1.1.1.1.1.2.2.38.1</t>
  </si>
  <si>
    <t>Краска матовая, моющаяся, влагостойкая, водно-дисперсионная на основе акриловой дисперсии, BRAVO PROFI FW-55, NCS S 2060-G40Y, 1 класс истирания. Класс ПБ: Г1, В1, Д1 (КМ1)</t>
  </si>
  <si>
    <t>1.1.1.1.1.2.2.38.2</t>
  </si>
  <si>
    <t>1.1.1.1.1.2.2.39</t>
  </si>
  <si>
    <t>2 и 3 этажи. СТ-1.14</t>
  </si>
  <si>
    <t>1.1.1.1.1.2.2.39.1</t>
  </si>
  <si>
    <t>1.1.1.1.1.2.2.39.2</t>
  </si>
  <si>
    <t>Краска матовая, моющаяся, влагостойкая, водно-дисперсионная на основе акриловой дисперсии, BRAVO PROFI FW-55, NCS S 4020-R90B, 1 класс истирания. Класс ПБ: Г1, В1, Д1 (КМ1)</t>
  </si>
  <si>
    <t>1.1.1.1.1.2.2.40</t>
  </si>
  <si>
    <t>2 и 3 этажи. СТ-1.16</t>
  </si>
  <si>
    <t>1.1.1.1.1.2.2.40.1</t>
  </si>
  <si>
    <t>Краска матовая, моющаяся, влагостойкая, водно-дисперсионная на основе акриловой дисперсии, BRAVO PROFI FW-55, NCS S 1502-Y, 1 класс истирания. Класс ПБ: Г1, В1, Д1 (КМ1)</t>
  </si>
  <si>
    <t>1.1.1.1.1.2.2.40.2</t>
  </si>
  <si>
    <t>1.1.1.1.1.2.2.41</t>
  </si>
  <si>
    <t>2 и 3 этажи. СТ-2.1</t>
  </si>
  <si>
    <t>1.1.1.1.1.2.2.41.1</t>
  </si>
  <si>
    <t>1.1.1.1.1.2.2.41.2</t>
  </si>
  <si>
    <t>Краска огнестойкая, матовая, моющаяся, влагостойкая водно-дисперсионная, силикатная
BRAVO PROFI W-200 или аналог, белая RAL 9003, 2 класс истирания, НГ</t>
  </si>
  <si>
    <t>1.1.1.1.1.2.2.42</t>
  </si>
  <si>
    <t>2 и 3 этажи. СТ-2.3</t>
  </si>
  <si>
    <t>1.1.1.1.1.2.2.42.1</t>
  </si>
  <si>
    <t>Краска огнестойкая, матовая, моющаяся, влагостойкая водно-дисперсионная, силикатная BRAVO PROFI W-200 или аналог, RAL 7044, 2 класс истирания, класс ПБ: НГ</t>
  </si>
  <si>
    <t>1.1.1.1.1.2.2.42.2</t>
  </si>
  <si>
    <t>1.1.1.1.1.2.2.43</t>
  </si>
  <si>
    <t>2 и 3 этажи. СТ-2.10</t>
  </si>
  <si>
    <t>1.1.1.1.1.2.2.43.1</t>
  </si>
  <si>
    <t>1.1.1.1.1.2.2.43.2</t>
  </si>
  <si>
    <t>Краска огнестойкая, матовая, моющаяся, влагостойкая водно-дисперсионная, силикатная BRAVO PROFI W-200 или аналог, NCS S 1502-Y, 2 класс истирания, НГ</t>
  </si>
  <si>
    <t>1.1.1.1.1.2.2.44</t>
  </si>
  <si>
    <t>2 и 3 этажи. СТ-2.16</t>
  </si>
  <si>
    <t>1.1.1.1.1.2.2.44.1</t>
  </si>
  <si>
    <t>Краска огнестойкая, матовая, моющаяся, влагостойкая водно-дисперсионная, силикатная
BRAVO PROFI W-200 или аналог, RAL 7016, 2 класс истирания, НГ</t>
  </si>
  <si>
    <t>1.1.1.1.1.2.2.44.2</t>
  </si>
  <si>
    <t>1.1.1.1.1.2.2.45</t>
  </si>
  <si>
    <t>6.3.1.5.2.2.9.1</t>
  </si>
  <si>
    <t>Облицовка поверхности стен СКБ с затиркой швов / керамической, керамогранитной плиткой до 0,2м2/шт</t>
  </si>
  <si>
    <t>2 этаж. СТ-6.1</t>
  </si>
  <si>
    <t>1.1.1.1.1.2.2.45.1</t>
  </si>
  <si>
    <t>1.1.1.1.1.2.2.45.2</t>
  </si>
  <si>
    <t>1.1.1.1.1.2.2.45.3</t>
  </si>
  <si>
    <t>1.1.1.1.1.2.2.45.4</t>
  </si>
  <si>
    <t>Керамический гранит Kerama marazzi_ / Белый / 5009/ Калейдоскоп / 200х200</t>
  </si>
  <si>
    <t>Kerama Marazzi Калейдоскоп белый 5009 200х200х6,9мм</t>
  </si>
  <si>
    <t>1.1.1.1.1.2.2.46</t>
  </si>
  <si>
    <t>2 этаж. СТ-6.2</t>
  </si>
  <si>
    <t>1.1.1.1.1.2.2.46.1</t>
  </si>
  <si>
    <t>Керамический гранит Kerama marazzi_ / Синий /  SG1547N /  200х200 мм</t>
  </si>
  <si>
    <t>Kerama Marazzi Калейдоскоп 5281 аквамарин-светлый 200х200х6,9мм</t>
  </si>
  <si>
    <t>1.1.1.1.1.2.2.46.2</t>
  </si>
  <si>
    <t>1.1.1.1.1.2.2.46.3</t>
  </si>
  <si>
    <t>1.1.1.1.1.2.2.46.4</t>
  </si>
  <si>
    <t>1.1.1.1.1.2.2.47</t>
  </si>
  <si>
    <t>2 этаж. СТ-6.3</t>
  </si>
  <si>
    <t>1.1.1.1.1.2.2.47.1</t>
  </si>
  <si>
    <t>1.1.1.1.1.2.2.47.2</t>
  </si>
  <si>
    <t>1.1.1.1.1.2.2.47.3</t>
  </si>
  <si>
    <t>1.1.1.1.1.2.2.47.4</t>
  </si>
  <si>
    <t>Керамический гранит Kerama marazzi_ / Оранжевый / 5108/Калейдоскоп / 200х200</t>
  </si>
  <si>
    <t>Kerama Marazzi Калейдоскоп 5187 оранжевый 200х200х6,9мм</t>
  </si>
  <si>
    <t>1.1.1.1.1.2.2.48</t>
  </si>
  <si>
    <t>2 этаж. СТ-6.4</t>
  </si>
  <si>
    <t>1.1.1.1.1.2.2.48.1</t>
  </si>
  <si>
    <t>Керамический гранит Kerama marazzi_ / Зеленый/ Калейдоскоп / 5111 / 200х200</t>
  </si>
  <si>
    <t>Kerama Marazzi Калейдоскоп 5111 зеленый, 200х200х6,9мм</t>
  </si>
  <si>
    <t>1.1.1.1.1.2.2.48.2</t>
  </si>
  <si>
    <t>1.1.1.1.1.2.2.48.3</t>
  </si>
  <si>
    <t>1.1.1.1.1.2.2.49</t>
  </si>
  <si>
    <t>2 этаж. СТ-6.5</t>
  </si>
  <si>
    <t>1.1.1.1.1.2.2.49.1</t>
  </si>
  <si>
    <t>1.1.1.1.1.2.2.49.2</t>
  </si>
  <si>
    <t>1.1.1.1.1.2.2.49.3</t>
  </si>
  <si>
    <t>1.1.1.1.1.2.2.49.4</t>
  </si>
  <si>
    <t>Kerama Marazzi Калейдоскоп 5109 ярко-желтый, 200х200х6,9мм</t>
  </si>
  <si>
    <t>1.1.1.1.1.2.2.50</t>
  </si>
  <si>
    <t>2 этаж. СТ-8</t>
  </si>
  <si>
    <t>1.1.1.1.1.2.2.50.1</t>
  </si>
  <si>
    <t xml:space="preserve"> Kerama Marazzi Белое солнце 8000, 300х200х6,9мм</t>
  </si>
  <si>
    <t>1.1.1.1.1.2.2.50.2</t>
  </si>
  <si>
    <t>1.1.1.1.1.2.2.50.3</t>
  </si>
  <si>
    <t>1.1.1.1.1.2.2.51</t>
  </si>
  <si>
    <t>2 этаж. СТ-11</t>
  </si>
  <si>
    <t>1.1.1.1.1.2.2.51.1</t>
  </si>
  <si>
    <t>ПР-2. Профиль Y-образный алюминиевый ПО-97-02, цвет: 02 серебро матовое</t>
  </si>
  <si>
    <t>1.1.1.1.1.2.2.51.2</t>
  </si>
  <si>
    <t>Ceresit 07 серая</t>
  </si>
  <si>
    <t>1.1.1.1.1.2.2.51.3</t>
  </si>
  <si>
    <t>1.1.1.1.1.2.2.51.4</t>
  </si>
  <si>
    <t>Kerama Marazzi Мечты о Париже Про Матрикс 11259R серый, 300х600х9мм</t>
  </si>
  <si>
    <t>1.1.1.1.1.2.2.51.5</t>
  </si>
  <si>
    <t>Профиль для внешнего угла / серебро матовое / ПМЮ-02 / 2700*30</t>
  </si>
  <si>
    <t>ПР-1. Профиль Г-образный для внешнего угла ПО Г10, цвет 02, серебро матовое</t>
  </si>
  <si>
    <t>1.1.1.1.1.2.2.52</t>
  </si>
  <si>
    <t>3 этаж. СТ-6.1</t>
  </si>
  <si>
    <t>1.1.1.1.1.2.2.52.1</t>
  </si>
  <si>
    <t xml:space="preserve">ПР-1. Профиль Г-образный для внешнего угла ПО Г10, цвет 02, серебро матовое
</t>
  </si>
  <si>
    <t>1.1.1.1.1.2.2.52.2</t>
  </si>
  <si>
    <t xml:space="preserve">Kerama Marazzi Калейдоскоп белый 5009 200х200х6,9мм.
</t>
  </si>
  <si>
    <t>1.1.1.1.1.2.2.52.3</t>
  </si>
  <si>
    <t>1.1.1.1.1.2.2.52.4</t>
  </si>
  <si>
    <t>1.1.1.1.1.2.2.52.5</t>
  </si>
  <si>
    <t>1.1.1.1.1.2.2.53</t>
  </si>
  <si>
    <t>3 этаж. СТ-6.2</t>
  </si>
  <si>
    <t>1.1.1.1.1.2.2.53.1</t>
  </si>
  <si>
    <t>1.1.1.1.1.2.2.53.2</t>
  </si>
  <si>
    <t>1.1.1.1.1.2.2.53.3</t>
  </si>
  <si>
    <t>1.1.1.1.1.2.2.53.4</t>
  </si>
  <si>
    <t>1.1.1.1.1.2.2.54</t>
  </si>
  <si>
    <t>3 этаж. СТ-6.3</t>
  </si>
  <si>
    <t>1.1.1.1.1.2.2.54.1</t>
  </si>
  <si>
    <t>1.1.1.1.1.2.2.54.2</t>
  </si>
  <si>
    <t>1.1.1.1.1.2.2.54.3</t>
  </si>
  <si>
    <t>1.1.1.1.1.2.2.54.4</t>
  </si>
  <si>
    <t>1.1.1.1.1.2.2.55</t>
  </si>
  <si>
    <t>3 этаж. СТ-6.4</t>
  </si>
  <si>
    <t>1.1.1.1.1.2.2.55.1</t>
  </si>
  <si>
    <t>1.1.1.1.1.2.2.55.2</t>
  </si>
  <si>
    <t>1.1.1.1.1.2.2.55.3</t>
  </si>
  <si>
    <t>1.1.1.1.1.2.2.55.4</t>
  </si>
  <si>
    <t xml:space="preserve"> Kerama Marazzi Калейдоскоп 5111 зеленый, 200х200х6,9мм</t>
  </si>
  <si>
    <t>1.1.1.1.1.2.2.56</t>
  </si>
  <si>
    <t>3 этаж. СТ-6.5</t>
  </si>
  <si>
    <t>1.1.1.1.1.2.2.56.1</t>
  </si>
  <si>
    <t>1.1.1.1.1.2.2.56.2</t>
  </si>
  <si>
    <t>1.1.1.1.1.2.2.56.3</t>
  </si>
  <si>
    <t>1.1.1.1.1.2.2.56.4</t>
  </si>
  <si>
    <t>1.1.1.1.1.2.2.57</t>
  </si>
  <si>
    <t>3 этаж. СТ-8</t>
  </si>
  <si>
    <t>1.1.1.1.1.2.2.57.1</t>
  </si>
  <si>
    <t>1.1.1.1.1.2.2.57.2</t>
  </si>
  <si>
    <t>1.1.1.1.1.2.2.57.3</t>
  </si>
  <si>
    <t>1.1.1.1.1.2.2.57.4</t>
  </si>
  <si>
    <t>Kerama Marazzi Белое солнце 8000, 300х200х6,9мм</t>
  </si>
  <si>
    <t>1.1.1.1.1.2.2.58</t>
  </si>
  <si>
    <t>3 этаж. СТ-11</t>
  </si>
  <si>
    <t>1.1.1.1.1.2.2.58.1</t>
  </si>
  <si>
    <t>1.1.1.1.1.2.2.58.2</t>
  </si>
  <si>
    <t>1.1.1.1.1.2.2.58.3</t>
  </si>
  <si>
    <t>1.1.1.1.1.2.2.58.4</t>
  </si>
  <si>
    <t>Затирка Цезерит СE33_/16 графит</t>
  </si>
  <si>
    <t xml:space="preserve"> Ceresit 07 серая</t>
  </si>
  <si>
    <t>1.1.1.1.1.2.2.58.5</t>
  </si>
  <si>
    <t>1.1.1.1.1.2.2.59</t>
  </si>
  <si>
    <t>2 и 3 этажи. СТ-6.1</t>
  </si>
  <si>
    <t>1.1.1.1.1.2.2.59.1</t>
  </si>
  <si>
    <t>1.1.1.1.1.2.2.59.2</t>
  </si>
  <si>
    <t>1.1.1.1.1.2.2.59.3</t>
  </si>
  <si>
    <t>1.1.1.1.1.2.2.59.4</t>
  </si>
  <si>
    <t>Керамическая плитка Kerama Marazzi Калейдоскоп белый 5009 200х200х6,9мм</t>
  </si>
  <si>
    <t>1.1.1.1.1.2.2.59.5</t>
  </si>
  <si>
    <t>1.1.1.1.1.2.2.60</t>
  </si>
  <si>
    <t>2 и 3 этажи. СТ-6.2</t>
  </si>
  <si>
    <t>1.1.1.1.1.2.2.60.1</t>
  </si>
  <si>
    <t>Керамическая плитка KERAMA MARAZZI мозаика Таделакт KM3030M0161N синий светлый матовый, 298х298х3,5 мм. Класс ПБ: НГ. Крестик: 2 мм</t>
  </si>
  <si>
    <t>1.1.1.1.1.2.2.60.2</t>
  </si>
  <si>
    <t>1.1.1.1.1.2.2.60.3</t>
  </si>
  <si>
    <t>1.1.1.1.1.2.2.60.4</t>
  </si>
  <si>
    <t>1.1.1.1.1.2.2.61</t>
  </si>
  <si>
    <t>2 и 3 этажи. СТ-6.3</t>
  </si>
  <si>
    <t>1.1.1.1.1.2.2.61.1</t>
  </si>
  <si>
    <t>1.1.1.1.1.2.2.61.2</t>
  </si>
  <si>
    <t>1.1.1.1.1.2.2.61.3</t>
  </si>
  <si>
    <t>1.1.1.1.1.2.2.61.4</t>
  </si>
  <si>
    <t>Керамическая плитка KERAMA MARAZZI мозаика Таделакт KM3030M0181N красный матовый, 298х298х3.5 мм. Класс ПБ: НГ. Крестик: 2 мм</t>
  </si>
  <si>
    <t>1.1.1.1.1.2.2.62</t>
  </si>
  <si>
    <t>2 и 3 этажи. СТ-8</t>
  </si>
  <si>
    <t>1.1.1.1.1.2.2.62.1</t>
  </si>
  <si>
    <t>Керамическая плитка, Kerama Marazzi Белое солнце 8000, 300х200х6,9мм, крестик 2мм. Класс ПБ: НГ</t>
  </si>
  <si>
    <t>1.1.1.1.1.2.2.62.2</t>
  </si>
  <si>
    <t>1.1.1.1.1.2.2.62.3</t>
  </si>
  <si>
    <t>1.1.1.1.1.2.2.62.4</t>
  </si>
  <si>
    <t>1.1.1.1.1.2.2.63</t>
  </si>
  <si>
    <t>2 и 3 этажи. СТ-11</t>
  </si>
  <si>
    <t>1.1.1.1.1.2.2.63.1</t>
  </si>
  <si>
    <t>1.1.1.1.1.2.2.63.2</t>
  </si>
  <si>
    <t>1.1.1.1.1.2.2.63.3</t>
  </si>
  <si>
    <t>1.1.1.1.1.2.2.63.4</t>
  </si>
  <si>
    <t>Керамическая плитка, 300х600х9мм, Kerama Marazzi Про Матрикс 11259R, серый светлый, НГ. крестик 2 мм</t>
  </si>
  <si>
    <t>1.1.1.1.1.2.2.64</t>
  </si>
  <si>
    <t>2 и 3 этажи. СТ-14</t>
  </si>
  <si>
    <t>1.1.1.1.1.2.2.64.1</t>
  </si>
  <si>
    <t>Плитка керамическая Kerama Marazzi, Аккорд 9010, 85х285х9,2 мм, белый; крестик 2 мм</t>
  </si>
  <si>
    <t>1.1.1.1.1.2.2.64.2</t>
  </si>
  <si>
    <t>1.1.1.1.1.2.2.64.3</t>
  </si>
  <si>
    <t>1.1.1.1.1.2.2.64.4</t>
  </si>
  <si>
    <t>1.1.1.1.1.2.2.65</t>
  </si>
  <si>
    <t>6.3.1.5.2.2.9.2</t>
  </si>
  <si>
    <t>Облицовка поверхности стен СКБ с затиркой швов / керамической, керамогранитной плиткой от 0,2м2/шт</t>
  </si>
  <si>
    <t>2 этаж. СТ-14</t>
  </si>
  <si>
    <t>1.1.1.1.1.2.2.65.1</t>
  </si>
  <si>
    <t>1.1.1.1.1.2.2.65.2</t>
  </si>
  <si>
    <t>1.1.1.1.1.2.2.65.3</t>
  </si>
  <si>
    <t>Керамический гранит Kerama marazzi "Радуга"_ / оранжевый / SG610100R / 600*600*11мм</t>
  </si>
  <si>
    <t>Kerama Marazzi Про Матрикс, арт. DD602020R 600х600х9мм</t>
  </si>
  <si>
    <t>1.1.1.1.1.2.2.65.4</t>
  </si>
  <si>
    <t>1.1.1.1.1.2.2.66</t>
  </si>
  <si>
    <t>3 этаж. СТ-14</t>
  </si>
  <si>
    <t>1.1.1.1.1.2.2.66.1</t>
  </si>
  <si>
    <t>1.1.1.1.1.2.2.66.2</t>
  </si>
  <si>
    <t>1.1.1.1.1.2.2.66.3</t>
  </si>
  <si>
    <t>1.1.1.1.1.2.2.66.4</t>
  </si>
  <si>
    <t xml:space="preserve"> Kerama Marazzi Про Матрикс, арт. DD602020R 600х600х9мм</t>
  </si>
  <si>
    <t>1.1.1.1.1.2.3</t>
  </si>
  <si>
    <t>6.3.1.5.2.3</t>
  </si>
  <si>
    <t>Устройство подоконников, оконных откосов</t>
  </si>
  <si>
    <t>1.1.1.1.1.2.3.1</t>
  </si>
  <si>
    <t>6.3.1.5.2.3.1.2</t>
  </si>
  <si>
    <t>Штукатурка поверхностей откосов сухими смесями с предварительной огрунтовкой поверхности / толщ. свыше 20 мм</t>
  </si>
  <si>
    <t>1.1.1.1.1.2.3.1.1</t>
  </si>
  <si>
    <t>Штукатурка цементная, сухая, ТАНИЛИТ_/PC10</t>
  </si>
  <si>
    <t>1.1.1.1.1.2.3.1.2</t>
  </si>
  <si>
    <t>Профиль маячковый_/ПМ10</t>
  </si>
  <si>
    <t>1.1.1.1.1.2.3.1.3</t>
  </si>
  <si>
    <t>1.1.1.1.1.2.3.2</t>
  </si>
  <si>
    <t>6.3.1.5.2.3.2.1</t>
  </si>
  <si>
    <t>Выравнивание поверхностей откосов толщ. до 5 мм с предварительной огрунтовкой поверхности</t>
  </si>
  <si>
    <t>2 и 3 этажи. Шпаклевка оконных откосов базовая.</t>
  </si>
  <si>
    <t>1.1.1.1.1.2.3.2.1</t>
  </si>
  <si>
    <t>1.1.1.1.1.2.3.2.2</t>
  </si>
  <si>
    <t>Уголок малярный_/перфорированный/25*25*3000мм</t>
  </si>
  <si>
    <t>1.1.1.1.1.2.3.2.3</t>
  </si>
  <si>
    <t>1.1.1.1.1.2.3.3</t>
  </si>
  <si>
    <t>2 и 3 этажи. Шпаклевка оконных откосов финишная.</t>
  </si>
  <si>
    <t>1.1.1.1.1.2.3.3.1</t>
  </si>
  <si>
    <t>1.1.1.1.1.2.3.3.2</t>
  </si>
  <si>
    <t>1.1.1.1.1.2.3.3.3</t>
  </si>
  <si>
    <t>1.1.1.1.1.2.3.4</t>
  </si>
  <si>
    <t>1.1.1.1.1.2.3.4.1</t>
  </si>
  <si>
    <t>1.1.1.1.1.2.3.4.2</t>
  </si>
  <si>
    <t>1.1.1.1.1.2.3.4.3</t>
  </si>
  <si>
    <t>1.1.1.1.1.2.3.5</t>
  </si>
  <si>
    <t>1.1.1.1.1.2.3.5.1</t>
  </si>
  <si>
    <t>1.1.1.1.1.2.3.5.2</t>
  </si>
  <si>
    <t>1.1.1.1.1.2.3.6</t>
  </si>
  <si>
    <t>1.1.1.1.1.2.3.6.1</t>
  </si>
  <si>
    <t>1.1.1.1.1.2.3.6.2</t>
  </si>
  <si>
    <t>1.1.1.1.1.2.3.6.3</t>
  </si>
  <si>
    <t>1.1.1.1.1.2.3.7</t>
  </si>
  <si>
    <t>1.1.1.1.1.2.3.7.1</t>
  </si>
  <si>
    <t>1.1.1.1.1.2.3.7.2</t>
  </si>
  <si>
    <t>1.1.1.1.1.2.3.8</t>
  </si>
  <si>
    <t>6.3.1.5.2.3.3.1</t>
  </si>
  <si>
    <t>Окраска поверхности откосов с предварительной огрунтовкой поверхности / в 2 слоя</t>
  </si>
  <si>
    <t>1.1.1.1.1.2.3.8.1</t>
  </si>
  <si>
    <t>Краска Tikkurila Проф Евро 7 / RAL 9003</t>
  </si>
  <si>
    <t>1.1.1.1.1.2.3.8.2</t>
  </si>
  <si>
    <t>1.1.1.1.1.2.3.9</t>
  </si>
  <si>
    <t>1.1.1.1.1.2.3.9.1</t>
  </si>
  <si>
    <t>1.1.1.1.1.2.3.9.2</t>
  </si>
  <si>
    <t>Краска для влажных помещений Стройтекс_/белая гл/мат</t>
  </si>
  <si>
    <t>1.1.1.1.1.2.3.10</t>
  </si>
  <si>
    <t>1.1.1.1.1.2.3.10.1</t>
  </si>
  <si>
    <t>1.1.1.1.1.2.3.10.2</t>
  </si>
  <si>
    <t>1.1.1.1.1.2.3.11</t>
  </si>
  <si>
    <t>1.1.1.1.1.2.3.11.1</t>
  </si>
  <si>
    <t>1.1.1.1.1.2.3.11.2</t>
  </si>
  <si>
    <t>1.1.1.1.1.2.3.12</t>
  </si>
  <si>
    <t>6.3.1.5.2.3.7.1</t>
  </si>
  <si>
    <t>Устройство откосов из ГКЛ на клеевом составе / в 1 слой</t>
  </si>
  <si>
    <t>ГКЛ 12,5мм</t>
  </si>
  <si>
    <t>1.1.1.1.1.2.3.12.1</t>
  </si>
  <si>
    <t>Шпаклевка д/заделки швов, ШОВСИЛК_/Т33</t>
  </si>
  <si>
    <t>1.1.1.1.1.2.3.12.2</t>
  </si>
  <si>
    <t>Гипсовые строительные плиты_ / влагостойкий / 12,5*1200*2500</t>
  </si>
  <si>
    <t>1.1.1.1.1.2.3.12.3</t>
  </si>
  <si>
    <t>Герметик_ / Универсальный, силиконовый</t>
  </si>
  <si>
    <t>1.1.1.1.1.2.3.12.4</t>
  </si>
  <si>
    <t>Дюбель гвоздь_/6*60</t>
  </si>
  <si>
    <t>1.1.1.1.1.2.3.13</t>
  </si>
  <si>
    <t>6.3.1.5.2.3.9.1</t>
  </si>
  <si>
    <t>Зашивка приборов отопления / ГВЛВ / в 1 слой на каркасе</t>
  </si>
  <si>
    <t>3 этаж. ПО-4</t>
  </si>
  <si>
    <t>1.1.1.1.1.2.3.13.1</t>
  </si>
  <si>
    <t>Профиль_/стоечный/50*50*0,40/3м</t>
  </si>
  <si>
    <t>1.1.1.1.1.2.3.13.2</t>
  </si>
  <si>
    <t>Профиль_/направляющий/50*50*0,40/3м</t>
  </si>
  <si>
    <t>1.1.1.1.1.2.3.13.3</t>
  </si>
  <si>
    <t>Плита Кнауф Файерборд_ / 2500х1200х12.5 м</t>
  </si>
  <si>
    <t>1.1.1.1.1.2.3.14</t>
  </si>
  <si>
    <t>2 этаж. ПО-4</t>
  </si>
  <si>
    <t>1.1.1.1.1.2.3.14.1</t>
  </si>
  <si>
    <t>1.1.1.1.1.2.3.14.2</t>
  </si>
  <si>
    <t>1.1.1.1.1.2.3.14.3</t>
  </si>
  <si>
    <t>1.1.1.1.1.2.3.15</t>
  </si>
  <si>
    <t>2 и 3 этажи. ПО-2. Зашивка приборов отопления ГВЛВ в 1 слой, KNAUF 1200х2500х12,5мм</t>
  </si>
  <si>
    <t>1.1.1.1.1.2.3.15.1</t>
  </si>
  <si>
    <t>Лист гипсоволокнистый ГВЛВ 12,5мм Г1</t>
  </si>
  <si>
    <t>1.1.1.1.1.2.3.15.2</t>
  </si>
  <si>
    <t>1.1.1.1.1.2.3.15.3</t>
  </si>
  <si>
    <t>1.1.1.1.1.2.3.16</t>
  </si>
  <si>
    <t>6.3.1.5.2.3.9.2</t>
  </si>
  <si>
    <t>Зашивка приборов отопления / ГВЛВ / в 2 слоя на каркасе</t>
  </si>
  <si>
    <t>1.1.1.1.1.2.3.16.1</t>
  </si>
  <si>
    <t>1.1.1.1.1.2.3.16.2</t>
  </si>
  <si>
    <t>1.1.1.1.1.2.3.16.3</t>
  </si>
  <si>
    <t>1.1.1.1.1.2.3.17</t>
  </si>
  <si>
    <t>3 этаж. ЗШ-1</t>
  </si>
  <si>
    <t>1.1.1.1.1.2.3.17.1</t>
  </si>
  <si>
    <t>Лист гипсоволокнистый ГВЛВ 10мм Г1</t>
  </si>
  <si>
    <t>1.1.1.1.1.2.3.17.2</t>
  </si>
  <si>
    <t>1.1.1.1.1.2.3.17.3</t>
  </si>
  <si>
    <t>1.1.1.1.1.2.3.17.4</t>
  </si>
  <si>
    <t>Угол пластиковый_/10*15*2,5м</t>
  </si>
  <si>
    <t>1.1.1.1.1.2.3.18</t>
  </si>
  <si>
    <t>2 этаж. ЗШ-1,  ЗШ-4</t>
  </si>
  <si>
    <t>1.1.1.1.1.2.3.18.1</t>
  </si>
  <si>
    <t>1.1.1.1.1.2.3.18.2</t>
  </si>
  <si>
    <t>1.1.1.1.1.2.3.18.3</t>
  </si>
  <si>
    <t>1.1.1.1.1.2.3.18.4</t>
  </si>
  <si>
    <t>1.1.1.1.1.2.3.19</t>
  </si>
  <si>
    <t>2 этаж. ЗШ-2</t>
  </si>
  <si>
    <t>1.1.1.1.1.2.3.19.1</t>
  </si>
  <si>
    <t>Плита Кнауф Файерборд_ / 2500х1200х9.5 м</t>
  </si>
  <si>
    <t>1.1.1.1.1.2.3.19.2</t>
  </si>
  <si>
    <t>1.1.1.1.1.2.3.19.3</t>
  </si>
  <si>
    <t>1.1.1.1.1.2.3.19.4</t>
  </si>
  <si>
    <t>1.1.1.1.1.2.3.20</t>
  </si>
  <si>
    <t>2 этаж. ПО-2</t>
  </si>
  <si>
    <t>1.1.1.1.1.2.3.20.1</t>
  </si>
  <si>
    <t>1.1.1.1.1.2.3.20.2</t>
  </si>
  <si>
    <t>1.1.1.1.1.2.3.20.3</t>
  </si>
  <si>
    <t>1.1.1.1.1.2.3.21</t>
  </si>
  <si>
    <t>3 этаж. ПО-2</t>
  </si>
  <si>
    <t>1.1.1.1.1.2.3.21.1</t>
  </si>
  <si>
    <t>1.1.1.1.1.2.3.21.2</t>
  </si>
  <si>
    <t>1.1.1.1.1.2.3.21.3</t>
  </si>
  <si>
    <t>1.1.1.1.1.2.3.21.4</t>
  </si>
  <si>
    <t>1.1.1.1.1.2.3.22</t>
  </si>
  <si>
    <t>2 и 3 этажи. ЗШ-1, ЗШ-3, ЗШ-4. Зашивка стояков отопления ГВЛВ в 2 слоя, KNAUF 1200х2500х12,5мм</t>
  </si>
  <si>
    <t>1.1.1.1.1.2.3.22.1</t>
  </si>
  <si>
    <t>1.1.1.1.1.2.3.22.2</t>
  </si>
  <si>
    <t>1.1.1.1.1.2.3.22.3</t>
  </si>
  <si>
    <t>1.1.1.1.1.2.3.22.4</t>
  </si>
  <si>
    <t>1.1.1.1.1.2.3.23</t>
  </si>
  <si>
    <t>2 и 3 этажи. ЗШ-2. Зашивка стояков отопления Knauf Файерборд 12,5мм в 2 слоя</t>
  </si>
  <si>
    <t>1.1.1.1.1.2.3.23.1</t>
  </si>
  <si>
    <t>1.1.1.1.1.2.3.23.2</t>
  </si>
  <si>
    <t>1.1.1.1.1.2.3.23.3</t>
  </si>
  <si>
    <t>1.1.1.1.1.2.3.23.4</t>
  </si>
  <si>
    <t>1.1.1.1.1.2.3.24</t>
  </si>
  <si>
    <t>2 и 3 этажи. ПО-4. Зашивка приборов отопления Knauf Файерборд в 2 слоя 1200x2500x12,5 мм</t>
  </si>
  <si>
    <t>1.1.1.1.1.2.3.24.1</t>
  </si>
  <si>
    <t>1.1.1.1.1.2.3.24.2</t>
  </si>
  <si>
    <t>1.1.1.1.1.2.3.24.3</t>
  </si>
  <si>
    <t>1.1.1.1.1.2.3.25</t>
  </si>
  <si>
    <t>6.3.1.5.2.3.10.2</t>
  </si>
  <si>
    <t>Устройство откосов из ГКЛ на металлическом каркасе / в 2 слоя</t>
  </si>
  <si>
    <t>2 и 3 этажи. Устройство оконных откосов из ГКЛВ по каркасу из профиля</t>
  </si>
  <si>
    <t>1.1.1.1.1.2.3.25.1</t>
  </si>
  <si>
    <t>Шуруп со сверлом 3,5/11</t>
  </si>
  <si>
    <t>1.1.1.1.1.2.3.25.2</t>
  </si>
  <si>
    <t>Шуруп_/3,5*25</t>
  </si>
  <si>
    <t>1.1.1.1.1.2.3.25.3</t>
  </si>
  <si>
    <t>1.1.1.1.1.2.3.25.4</t>
  </si>
  <si>
    <t>Профиль направляющий ПН 28х27х0,6мм Сталь оцинкованная</t>
  </si>
  <si>
    <t>1.1.1.1.1.2.3.25.5</t>
  </si>
  <si>
    <t>Дюбель гвоздь_/гриб/6*40</t>
  </si>
  <si>
    <t>1.1.1.1.1.2.3.25.6</t>
  </si>
  <si>
    <t>1.1.1.1.1.2.3.25.7</t>
  </si>
  <si>
    <t>1.1.1.1.1.2.3.26</t>
  </si>
  <si>
    <t>1.1.1.1.1.2.3.26.1</t>
  </si>
  <si>
    <t>1.1.1.1.1.2.3.26.2</t>
  </si>
  <si>
    <t>1.1.1.1.1.2.3.26.3</t>
  </si>
  <si>
    <t>1.1.1.1.1.2.3.26.4</t>
  </si>
  <si>
    <t>1.1.1.1.1.2.3.26.5</t>
  </si>
  <si>
    <t>1.1.1.1.1.2.3.26.6</t>
  </si>
  <si>
    <t>1.1.1.1.1.2.3.26.7</t>
  </si>
  <si>
    <t>1.1.1.1.1.2.4</t>
  </si>
  <si>
    <t>6.3.1.5.2.4</t>
  </si>
  <si>
    <t>Монтаж люков, панелей, решеток</t>
  </si>
  <si>
    <t>1.1.1.1.1.2.4.1</t>
  </si>
  <si>
    <t>6.3.1.5.2.4.2.1</t>
  </si>
  <si>
    <t>Установка люков противопожарных / в потолке</t>
  </si>
  <si>
    <t>Поставка и монтаж люков "Небоскреб" от ГК Хаммер</t>
  </si>
  <si>
    <t>1.1.1.1.1.2.4.1.1</t>
  </si>
  <si>
    <t>Люк ревизионный противопожарный Металл 850х2100мм EI60, открывание Правое</t>
  </si>
  <si>
    <t>Люк "Небоскреб" для выхода на кровлю противопожарный (EI60) Небоскреб (2450х1250, петли по стороне 2450, вн.проем 2200x1000, поручень справа), лебедка</t>
  </si>
  <si>
    <t>1.1.1.1.1.2.4.2</t>
  </si>
  <si>
    <t>1.1.1.1.1.2.4.2.1</t>
  </si>
  <si>
    <t>1.1.1.1.1.2.4.3</t>
  </si>
  <si>
    <t>6.3.1.5.2.4.2.2</t>
  </si>
  <si>
    <t>Установка люков противопожарных / в стене</t>
  </si>
  <si>
    <t>Поставка и монтаж люков "Техно" от ГК Хаммер</t>
  </si>
  <si>
    <t>1.1.1.1.1.2.4.3.1</t>
  </si>
  <si>
    <t>Люк ревизионный противопожарный Металл 680х1900мм EI60, открывание Правое</t>
  </si>
  <si>
    <t>Люк "Техно" под покраску противопожарный EIS60 однопольный,  (проем 700х1800h (габаритные размеры 680х1780), запирание №4 утопленная ручка Хефеле, шариковые защелки,  замок с трехгранным ключом.</t>
  </si>
  <si>
    <t>1.1.1.1.1.2.4.4</t>
  </si>
  <si>
    <t>1.1.1.1.1.2.4.4.1</t>
  </si>
  <si>
    <t>1.1.1.1.1.6</t>
  </si>
  <si>
    <t>6.3.1.5.99</t>
  </si>
  <si>
    <t>Прочие работы</t>
  </si>
  <si>
    <t>1.1.1.1.1.6.1</t>
  </si>
  <si>
    <t>6.3.1.5.99.2.1</t>
  </si>
  <si>
    <t>Содержание корпуса в период проведения отделки / 1 секция</t>
  </si>
  <si>
    <t>Кол-во месяцев согласно графика производства отделочных работ.</t>
  </si>
  <si>
    <t>НЗ № бн от 19.02.2026</t>
  </si>
  <si>
    <t>мес</t>
  </si>
  <si>
    <t>1.1.2</t>
  </si>
  <si>
    <t>6.6</t>
  </si>
  <si>
    <t>Затраты на генподрядчика</t>
  </si>
  <si>
    <t>1.1.2.1</t>
  </si>
  <si>
    <t>6.6.1</t>
  </si>
  <si>
    <t>Вознаграждение генподрядчика/подрядчика</t>
  </si>
  <si>
    <t>1.1.2.1.1</t>
  </si>
  <si>
    <t>6.6.1.2.1</t>
  </si>
  <si>
    <t>Вознаграждение подрядчика за досрочное выполнение отделочных работ</t>
  </si>
  <si>
    <t>1 м2 ОРП согласно приказа.</t>
  </si>
  <si>
    <t>Форсаж по выполнению отделочных работ.</t>
  </si>
  <si>
    <t>1.2</t>
  </si>
  <si>
    <t>12</t>
  </si>
  <si>
    <t>Дополнительные работы, неучтенные основным проектом</t>
  </si>
  <si>
    <t>1.2.1</t>
  </si>
  <si>
    <t>12.1</t>
  </si>
  <si>
    <t>Дополнительные работы, неучтенные основным проектом (невозмещаемые)</t>
  </si>
  <si>
    <t>1.2.1.1</t>
  </si>
  <si>
    <t>12.1.99</t>
  </si>
  <si>
    <t>1.2.1.1.1</t>
  </si>
  <si>
    <t>12.1.99.15.1</t>
  </si>
  <si>
    <t>Устройство временного теплового контура для проведения отделочных работ /фальш-окна (брус. армированная плёнка, утеплитель, фурнитура и пр.) полный комплекс работ, включая стоимость материалов и демонтаж</t>
  </si>
  <si>
    <t>Окна, двери и межсекционные перегородки.</t>
  </si>
  <si>
    <t>1.2.1.1.2</t>
  </si>
  <si>
    <t>НЗ № 19 от 22.09.2025г. Устройство временного теплового контура на 2 и 3 этажах (Окна, двери и межсекционные перегородки).</t>
  </si>
  <si>
    <t>eF7s/euSXFdyJoi+SpjM2qykRMTZt7UvPDY/ADCJzixkRgI7o8dmijJZXntoqiI1rNJ0t8bajBdRVRpWiyWV1KrDIosi1dPTP461oUhCRBEk+AqRr3Ce5Ky145Jg5PK93T32tyKoVpUhmZlIAN/na2/3by335f5//t5P/sOfXPzeC7/3o5M/+b1bv/d/nPzwTy+Om++8+qc//OGt37v492cXP5x94/d+vPgB+/n/+fLvnb32ox+99urLv/fCD+wX7m+xn15/99bL13/Zy/O/7eXrv6752R9f/1jz9fQfp19OH02/mD66euvq54Pp180Xn9qPX0+fTB8Pps+u3ph+Nv/S/dRf2P8+GXzP/eBg+tvp0+a3viR/8vebf+/stddeP3/l1ZOfzP7R23Hz3Ysf/+SVH9nvPXzt3+2dPwf41Z+88pP/cO9PX1l87z/e+jbbVy9f+bc6tv/nyy9f/7P237RfvWDiMk+j5Nbzv/VvLl7/8SuvvTr/iSLJqqQs/qOPyovrULEPgI6HD8lL6yD58Sv/VvkA+aDsrgNlraf5k+nfTf/v6YfTX03fn/5m6D5MP7D//7vpP0z/H/vx4+Y7fzeYfmS/8XfTv53+2n75n+1n7k/8nX2qP7E/8JH/mU1emCSbovXZaGBZPLt6075p9t28NZj+zfSZffee2a+fNe/gV83vPbPv4dXPRrccQft79oV8Nv108Tv2u59On44GRWyf6v9XbOzXH1v6/22Q3BqUJhpMv5o+vnrz6i0v+/SFSbop9h9fvWXxP7H4njl8Vz+/Nbh6e+G2rLuxrujqPUtuMP3GMn48/byxzD/Zz5wretLw/nL69Oqvrn5qf/7x1VvuZ61VHk9/2/w596nzfI/tn/rt1Tv24+fuX7t613175hnfaD6+O5i5vU/tb33TGP7r+T9if3DxjWfWCT4bNCb/yn7zqf2JL+2/8Gjg/hLrMZ/Zv+jNgX3i/nb68SBJ/pXX3NkLk2xT5v5obsTH1mQ/nxvX2f3bazAz9rPG13/qTNb8yKff4mlfqI/sM2ZfNu8rtW9eGJtNsfxg+l+GFtsn1hH8Zvr/GdgP9v8+lEfmhYebQlkVUZzESZkXPmS1eWGyKWT2+X3WOIw37IPg/In96HuQzQu3i01BfN89ls5VfOFc5MC6+I+n/+BDece8cGdjKD+0b4t7rx43vuM55fWc5/GBvmteuLsx0O83q9+Atm/9I4vyyfR3jQ9sMfOL5oUXtxCxdV1vXL1nP/7UfstGFR/0XfPC7sag/930cxv/naP9auQD95J54aWNgbN2vfpPV38+ah7UN+fR02vDe+aFe5uEOX06dJFqMP1rv6P/1+aFf70xfL+xyuMv7cP5eKYcZlB9KPfMC3sbQ/lfGy9l9ad9Y96e/nbUKWT28xe+n28K7QfOdboQZd+dR1bMvOvi1Msvv+pkntutWgqfP+9yvQQ2ZuuPLf5/aJT8h353+v2NQRM/BvfzF+5vDK1v+8DEfZC/cPidfnwPNmf1rsf3cGPQZr7Wv625ZQ3MfTrG+QvjjZEQv4NH+QsPvtPP8tHGbN35LD/YGDTxY/Awf+HhxtCu4Yrr/IXj7/TjW2/O6l2P7/HGoPXliif5C5N1SPzktZ+c/PAGh5d/79WTH13M/lo9j+cOxPiP+4txEmUAQn/y4z95/dj93oH9K19/5eSHu//7n77yJz+yf5uH5uUKzf+pnhx876D0HuYdoAHXP3r96NXXuSgP/SgP0SiPXn/lzPfE3ADZ2GvnGs+qtgAB/claa1/7rVojwcrW/diP8BiJkL3mjZ12jqk1n4BA/m+vnJ9fvLreW/+/+O36v+Ahy9b/f/Xj/F/xONlPQWOznf+Vegpu314T61oB+f1GxDydPrn689lpaJPGf3adZXsyO6BqDlGnX9qPi+/bb/15UwPw1ewPXb3nZWfJmRfck242RfEXPlx3LKKNycsP5yb/6ezg/9FMSF69ab/1xrWs9Bv07iaBfz59NPjev/r9QZMA+tqlVn0QX9wgRB+ef+3wNM/gplBN/5p6BtcRsWsh+qXTp83D9vW3U7xPmi/enn5jP2u++eVzgnae+HZJtk+bpLFLsjydJcWv/op6XjdG0j2v3c/qpuBRz2rRPKubQjX9G+pZLTeFiHxWmyew2YE5Hzp/Xn87L1Gbl8JcvX31VwNXqNY8xS6O2Sd18L3Zsz4rgFv44ifP++JHXmFxd5N2sI/z9xb0OE54U0CpB7tsHuxNoZr+knqwq00h+riJ918OnNP9doWRk1iLJ9yVXbzlCm3ean7v8+ZgyptyvbtJMk052Yh6FjcFi3oWq+ZZ3BSq6d8Sz2IcbQrRL5/3kNPf2f++O/2dO96aPaJm4OI8UZqySdysGL8xeMTjF0fu8dsYql3q6dtYIe+vbm4nB65245umCvZxUyvx9SxEu6LN/6upsnRO0QZE+6DaCL54BgaLb/x+Uwj6bFa3aJ/jd+fS1TnVL6yAfXr186YyyImHr278S+Tua3M2ooi6xISrwel8CTaFnHoJ4uYl2BSq6X+m3oKN1X3/jX3CP7cP6vMZhKameHYg4HIJjxeFyl966pKtsLUP+tv2jz5X59Z48q+aN+fqxo0N+wP2t6hHfWOG+NQZ4jkzDBud7imbpB71TSGnHvWkedQ3hWr699Sjnm4KkX9P11QTftPI4fkFJXfE8Fnzc89c7fGng7kodoeRs7tJ0793X9hfX7RVdN7dJFmWd94UOuqRTZtHdlOopr+iHtlsU4hWjm0/dlcJqEdtYyCbI9omCLjq50eMY4KNYaUevKx58DaFavo+9eCZTSH6jdWw71699fyNIqsR3hxYJ/q+K/P4lf0PcaDVnBm4M7C/tN96Z3GJZyaerVMdPnezqvG3/2rmX5u/ouNW591NmuS5TYB7wAc3FIP77r/ySSSvrn9xg1yo16BJm20M1fTX1GuwsSTKc6/BjSd0oR1cgZbVu+5Rb54I95A/f0PN/YnFXu9pIyRmt2+SYTpodMbMf377pZjvtprHyJXsm8HyfuFj94S5f+35Xan7Nx2k5o37YkWd2N8kX6eNmXbldVoF3XyvsQ718mwKOfXyNPm+jaGafkC9PBvL6vw/jaiepequFfdzmb1H9nmeB4nmhmxzrbXxre4ZuPlnfTvTWWnA5/bdeM/repVn2puz2nN3c9wr0H5V58UNIqXegyaXuDFU0w+p92BjSaC/nZ34zYLIZ/Ns9xvXYWRxj3t2vkCejGwM/+fWB7tH0ar7uVf+jHoWN4WRehab9N/GUPn3au5Z3FgS6DezavJWYdImS5499+e/1wgR64ett7Z6//fnl3M/bx7k5gTQnRe/ffVOcwL4dFbePm8V8btBs6f4aeOT5w7evQsOUhLZnZh90Ox/zfy/+RwSKWM2ZtAG1vB693utW7q+aY07q9S2Jn08/WJere1l+OIGGbpVGL788qtuFeb/LYbU+9akODcGdfoR8b4lm8p6TT+2T/7v3LvGc/IbA2ofyzeb1A5xlvniBrERD1vSJDQ3horo82ARbSy79MtG2DaydtZYpcmnW4f8pJEezT7x6o3BC4PpfxlNfzWa/mb0XE+ZmcS++qtbM4H8dHRrcDH80ckrP6Qe1U3RpB6HJrW3MVTTj6nHYWMZGNeQ4Pkiate6qTmn+4vps56egU1xo56BJue1MVTTT6hnIN0UItdpqclhNo2p5m1fvhzMupDN98bXG+LZ40It9qZIUIvdZIukqP6w+bvOL45OfvK/2e9ZjPnpWXJ6ehINL7JLM8zK6HJYlsXl8CRLo5PUZPH5+cnsJ19/7d/NPqlm/1myu/jhxfKmy/P02Lf7YvsW/s18X/hscejhluqJ5/vD54qmV37cdZ/zFn7fLl/Y42+DuEb5j/YPunQd0xh/sv7NwOrWQRxXlf9+IIhgJicou1F0WN06JFkdglgZOSv2/SNHalzdGpOkxiBS/BdzzVuK1a2aJFdjyDmlKyEnewaPq1vHJKNjEKNYxkj0/E2qWxOS0ARAyDHKX/52oFgl+OOLs5+84omDNlD86Y9OL3yrdTNUxD5Gt/2b7jQtyrQqsmqV1ixE2zVgI3RR84/+pAmbnSBzH8Q7SoirL3WLEXnR1pXvrHbcXEbTJzPpa2XwrNuk99z9bvXCnpLNjXhJ0+khXsZREzBzf8DUUliNiAwKMm90aHEfkrgPtbiNHLfI54wt7DEJe6yFzX8B1oxqFn5Nwq+V8G/ErQ74sifl2GI+JjEfazHzHbciMlnIExLyRAPZYZ77FXDsIaIPca9gjtpEpKHZIEXhZ5T6UN7RouS/gNwI9BsbW5r+x+7A9daipcvTq/dsDPq6qbZ+vvLqVtM5u8kTPHVZmCfLRAynLdDdOHphT0s9cLiK/YFKjT5ApPJDPlRDNnLIIvczJhCP1Yj5r8e68cmPvNYiR4cmP9xjNVy+S9dEJT/aiQpt81y8HCYgUSHJnwpY4I5JK7NhCkOSH+cdLU7+W6cKSrNxBf9kg8rTWbnhN9NZO/bFvbjf+djcjWMba5SMAseahIg1WvQBYo0f8qEaspFDFjmVMYF4rEbMf+rXjTV+5LUWOTrW+OEeq+HyvbUm1vjRTlRoHdz5gxwg1lDRxp90XCBPSDuzgYqjzcj4kN7RIuW/ecp4Qyav7saJDSpK2IGDSnrrICmzWwdFUd06qIr4lt27lLOsVUbEGy2xAPEmvXXo2Bw6NoeOzWHD5pBkc6hmY+RsRD5nbMmMHZmxIzN2ZMYNmTFJZqwmw39X1o1S6a3akaodqdqRqhtSNUmq1pJCB7D01rFjcuyYHDsmxw2TY5LJsZoJPzpoYlt6a+KITByRiSMyaYhMSCITFZGwWyw68PkLMBbYU3IR2FAVgY/aaimx8l9nbuj7qDnte9eH8m6c2minRBo42mUusOX2gzFEcNPyCBDcMhfHcvuBAH+oBm/k4EU+Zmyxjx32MYV9rMbOf9bXDV2Zi1K5/UBwqLUc0JEqc0Eptx8I4Mdq4Hz/rQlMmYtBuf1A4J6ocIePQ1QkylrRZ6TV2WBVkYiKRUq0/PdTEos+d9dT5t1RvpxfC5q6Gaefzq85D5puze5K5c8WxYbu+19eveEuSDd1pT6ad+PMBjMl1cDBzNg4VtrtW2J/GbeNu3WQRvaX/Tqz/83s1xbrQW4/z23MK+z3C/s9t9ur7OdV6fZ6TUSMiGCotUOAYGhsHCztbi+xv4zb9d06tOQPLflDS/7Qkj+0AA8t+UNL/tCSP7TkD93m0JI/tOQPHflDivyhmryRkxf5RRtDbRwt7eYwsb+M2yTeGlvuY8t9bLmPLfexxTe23MeW+9hyH1vuY7eXtNzHlvvYcR9T3Mdq7vyXfd1gbGwcLu1eMrG/jNtT3qqtDWprg9raoLY2qC3O2tqgtjaorQ1qa4PabT2tDWprg9rZoKZsUGttgA7mxsbx0m49E/vLuC3orWNL/NgSP7bEjy3xYwvu2BI/tsSPLfFjS/zY7VQt8WNL/NgRP6aIH6uJ84OoRgwYqwNKu1NN7C/jdqy3Jpb3xPKeWN4Ty3tisU0s74nlPbG8J5b3xG1sLe+J5T1xvCcU74mKtyM+9/qO/g/aRMW/e+31P/YYQ6coKE1hWknk5OLxsCoFBZ1LVMJdDbSUaZmK4h+X1ZS/W1RRLrsEufZr1wnFmcRwjYWeTT9rylm+XqqQZ4vpuZ82F4ffef6e8JNFX6Evm6vLv1v8+OdNT4hvrFhx1+C+nn3z6fxmi/ti1l5iVmzzl6Om2dsgbibTf0UIGKVJV2M2+QT8yDnqP3rlx5xHdvo306/ng5ub7uNvTpdToGbdFt8azNo624+uQsg3Sd5NkHquO41L6b4zXXRofH4cxDM3cuOp+3s/nd/y/tp1Nh/5zPSi1kxGZCaGiZLB1X9qLr39kw/nrhZnzsP5o4uTH//p66yX5KvEB/AlLcCCB/Di3//Jxas/9gF8dQVgPIqiyAfxnhZiyYP4f7z2wz9l+RkfuH+tBbcqtQhwTahlWM9ruT0tuHhVBBHonAJudABHCd5Y8KIYpbkP974aNzNmL3GT6m0VbFqWI//j+X01WGbQXoL1wLwhtqzpdh6OJ4cvfs/iujXw573vqyEzA7doe3zjUSYMfaBGzYyN3ZtZLtRDNVQjhMp+MKz1dhawbuwXtWiZUepP+ncRR2rMzMD1Jz25hwdqoMzw9SfcJ+Bo6Roe0K7hoRquJKBpngXqXau1iG/s9NsQs58ECuaxGiYzpgk35fZhOPa7g4kKqYN6fpmdl0V8MixjczHMojwflmdn8fAiTavL9DI9qy4vZmTITfaP5k+Gh6B2o01ttXMZSy4933a8hZVkS+7jcQfJYzXct60Oc6/+4fW2/HrH/fSPZhvl6T82O8Y/b5qGPL83nLeWaRp+Nd2Ah9OPp59Mf9E0sfrF9B/8rTDuIm1j+Lbh7yZ9LHaRLFYjeAsLwV7zS3/LvpeQTFbjegsTyabUqz7uIYmsxv0WImtuXYEkVtVAC4k1t7hAEje2wS0s1toKV6O88LHbh7ITeHfRhu6G2JipztlHS8lpzz/Ym/3Xx/oAylrg8dT7Fmo9j6DMpO8ch1nrWh51r2UNY9woztPTs4uTy7Qamiw7G2ZFeTk8ySMzzOLT8jw+PTlPzfwdDqo4vUett4kmxS2m4NELrjiBPAQ+ias4f7mS53nkJkJ83UjQWYPYb3Uv/LWVk05a/mr6gf314bUw/XD6/vQ39uMn7mf+u/3i48H9IxMP/NO37yKNZPhGWld6AlkIHHEf0hPIBCI9o1FijI/KPSSVcOITSEIaCDmr4SOxhyQRTHyW5aj00tuH0hN4+j7VZzFXLAWtPpGsBU5PrT7JBT2CUpO+dRxqHfKzczFrGGOnP9tkZb/VQoSg9LeVm5Er83KV3KarhZRwmUlHrh78blYL+Sx6V2vRjGfRfzbFQkozGZGZGCZKO4qFlDiZaViBiqaKhZQAmTlXvjhuKRZSQmRmW9cUvUpwktwqw3qEmFWCC1QslIyqyod7X42bGbLlxUJZRGWBv68Gy4zZwmKhclksVNLFQlrIzLgtUvfcdPuBGjUzNvZZLKSFaoRQ2Q+Gtd7OAtYK2rEaLTNKqbc9tIs4UmNmBi5ZsRDtHh6ogTLDl6BYqFwWC5Gu4aEariSgaZ4FulhIiTh0sZAWJjOmSYuFyp1jvzuYqJBubeomoYqFKhlLLr3gqRsgD8GBHnervqHUDdBIhm8k/rbSx2IXyUJwiinYdJKpGyCT0KkbIJVwqRsgCekhMmc1fCT2kCS2IXWDpCfw9KLNXUfqppqf9ld06gbJWuD01HuYltQNkpr0reNQ60jddC5mDWPcyM8sviyi4rQaFvFFYX8iiodlfpkMi5PLpDrPzaXZQK16QiR6iKmjLabg0QstP5E8BE6JKz9/vRhROHCNZ6bPmnTGT12u6Oq9m9kc+80/coqz/IM4ihbTy5OISN0gTWH4plhTZCJZCPytQGS6dNNno4F/VV5C8oFITe929R6SRjCZiSQhDXiMlfDLTCSJYDIzjkaZX2ZC6Qk8eo8yM4lmymT2Xx/rAyhrgdtTy0xyQY+g1KRvHYdau8zsXswaxnh7r0Qm/nlVt4lp5i2m4NELLjOBPAROiSszg16JRNrG8G2zru4EshA4YIHupA43kUwwipO4EokkEk5zAklIox9jLQjNCSQRTHNWo8h/JRLKTuDd+5Sc8VylxLTkRLIWeDy15KTW8wjKTPrOcZh1KM7OtaxhjMPWpBMaMmklxx4MHqgmXQuXWdvGlYD/jGrStRbNeBb951KTrjWTEZmJYaKOBpZanMxqP4GCJmrStQCZpX0SYUzVpGshMov61pS8SnCSEj6G9bIkT/3Zrz0twkCF6dHIZD7c+2rczLjda2G6GiwzcMsK05NkUZieJGRhuhoyM3iLFP6qqYukiLJ8FHtV0oEaOjNKyqvT7XNskpKsUVcDNkLA7GfE2nBnAWsF7ViNlhm11LugloaWaszMQCasUc/NKPc+Cg/UQJnhjF+jvvQSD2gv8VANVxLgNM9CYfI4sXsT44Nda2FjCtXjqsyqzIwq7/t2rAbLjHTCcnX7XBz7PcNEhXRrEznErvZ2kspYcukFT+QAeQiO+ri7+LCJHKBtDN82/I2mj8UukoXgWFOwDSUTOUAmYRM5QCLhEjlAEtJDZcZa5GUSE10+9pBUAqZz/AF5H8pO4ONFm72OdE46TwGkdDoHyVrg99QbGbLDJZSZ9M3jMOtI53SuZQ1jvL3XJImTuttJJjUFj15w3QnkIfBJXN25mWuSSCMZvpHWFaBAFgJH3IcABTKBCFD6miSSSjgJCiQhDYSM1YijshjFsXdPsIfkEk6D2gfO28RgH0pP4PD7FKHZXLhktAhFshb4PrUIpW9LQqlJXz4OtQ4V2rmYNYxx2KKizEfudmLayBXRKrlNFxUp4a56in8pKlpqTaVFM55F/9kUFSnNZERmYpioo9GlFiczPSsQ01RRkRIgMxfL18gtRUVKiMws7JraVwlOknNlWC8tsog6VVUi3HhRkRY3M273W1SkBcsM3MKiouVo3IQejauGzAzeIol/I01gUZh0VHhlx4EaOjNKKoqKsiqPWoqKtICNEDD7GbE23FnAWkE7VqNlRi31NqitqEiLmRnIhEVF5KPwQA2UGc4ERUXLKbm0l3iohisJcJpnIc/TNI9HpTc5U2thg4qKisokVU71wFSDZUY6aVGR2Tn2e4aJCunWJncyqqgol7Hk0gue3AHyEJz1cXfxG0ruAI1k+Ebi7zh9LHaRLAQHnIL9KJncATIJndwBUgmX3AGSkJ4vM1ajcrsG4/Xre0gq25DbQdIT+HvRxq8jtzMfu5rQI3ShrAWuT72pacntIKlJ3z0OtY7cTudi1jDG21vZnlEVRm3z3Lym4NELLkKBPAROiStCw1a2A21j+LZZV3sCWQgccB/aE8gEoj3JynYgkXDKE0hCGv0Ya2GqMiMvdgOphFOeZGU7kp3Ax/cpPOcDVxN6ei6UtcDvqYUnXdmOZCZ98zjMOnRn51rWMMb2f3/4nPd3cvIHbfqy3xoj4yN7O2kbZFSYG12ZAtUYFVSNkRIuM03JFYZ/b4XeV1bwfd0Utzy5+mkjEmeFLI9ndS1vugKXpkzo6h37U//UVAfNS2Bcycyzq/eauqFPB65a6ert6W8HPsZ3tYwzHmNZDZAP4YtahEaEkIGua1muV+NzV7zlSoy+nv7TyJUtPbYr8tip9k+dcHflW49d8/urd11x09V7V+8MkuF1dc+twfXnw3mT/E+nT6/e89Yn7WoNxMygCrTuV6kP4EtagMx0qUTCknU/SojMROma4lQJTpIWZVjPa7k9LbgwJT+JqQoiFbqvRs4MpPKiH5NZXU+W/WjhMmOpsOxnOeQ2oYfcqiEz46lIhN/MpRBDbtWomTFRXvFD1/pooRohVPaDYa23s4C1gnasRsuMVOrdSZubOFKjZoYvWbVPm4t4oIbKDGOCep/loFvaPTxUw5UENs3zQA661SLGlPqQg27VMJmRTVrkU+4c+13CRIXUQb24SMzF5UU1PDVxMYzji3JYRhdmGEUmMnlZxpWZxz1y/9tyGqDdA1NFPpWMJZeeb6fcwkqyW/bxuIPkITh7426jP57vlH8+uPqL5u7M7KqM3b4Nm13Ym3YH53ZvzeCxDxL/y3QXSdrwSfP3qT4Wu0gWggNEwWaSTJwAmWASJwW16QQyCZc5AZKQnt8yFoPYxAJJBMuZFKPMG372oewEflu0XevImcwnnSb02Fooa4HLU+9KqPU8gjKTvnMcZh05k861rGGMw97D9ibQb6dRC7myiFfJbThHooXLPNPhiruAORIt44zHuIcciRahESFkoOtalk3lSLQGYp48CWQtkSPRAmQeMgnUKpkj0UJkHi6tJ0O14CRHSQzrJaPSe9Cxp8UXKE1SxiWVJlEjZ8bSntMkarjMcCpLk6TRIk2SksNS76shM0OqSHevGjvNq9iMysyH/ECNnBka5amS2JSpSYmW6odqvEaIl/2EWBPuLGCtoB2r0TKjlnpn0povUaNmhjJZviQ3VRkRlx4eqKEyQxo/X7L0Ew9oP/FQDVcS5DTPQ5onRUXclq+1qDE5k7iKoiQbFd4H4liNlRnrhIkT+1Qc+33DRIV0axMnOZE4SVuHOt5kyaUXOnGC5CE4gOPurftJnCBJGz5p/ubVx2IXyUJwiijYYVKJEySTsIkTJJNgiRMkCekhLmMxsrLyxvc9JI+AuROiMxiUncB1i/Zw7bmTdD5MOaUHY0NZC7yeeodC5k6gzKSvHYdZe+6key1rGOPFfZPFQY97mgNeOPHeJ7qdJi1si/zG7ZpAyZSYmOx9R4uXefTDVXy+rrbNt96b/pMVFE8GVhO+P/3r+dXkR/Ynv/r2peRGC85P8ef9al0P1ixu2s/OetHmEdmKVmuGjGeGPlIsSoRGhJCB7nq09MiuynKJHs2vj1+9bdftbdf31olzYqVuLdsENwkYt1xm1ih49PLLr04/sd/95oXB9KO4vGU/DuPSvz/b1RqFeUAlEL1Ey1ktQOZZlEDL0mkVJUTmGdSaIlUJTnLixLCe13J7WnBBcipUce6+GjUznMrzKVUWk9kULVhmPBVmU5YDrFN6gLUaMjOkipQ496k4UKNmRkB5JoW8dKKGaoRQ2Q+Gtd7OAtYK2rEaLTNGqbcoWZKOUv+leDVmZtiSpVBKY6gLJ2qgzOAlSKAsp1bTruGhGq4knGmeBfLCiRYxJnlCXjhRw2TGNGneJNk59ruDiQppI7eq8ySPsmRoMteE4TI5G1ZFFA3jKKlOqksTJWZOhtz/thwHaPfAVN4klbHk0vPtlFtYSXbLPh53kDwEh2/cXfR/sfumL13z2Ka48I3F9st+aXdkb1y9O5j+vWswO/3CbYevfup2bX/kdtQ2MtqP2dA/J+wu0gqGbwX+FtXHYhfJQnCkyN9TXv3s6i0fk5eQTCCJFG9J2j0kjXBZFCAJ6XEuYyWIjSyQRLAUSjIyxIYXyU7gxUUbt44UynyAcUoPo4ayFvg79f6EWs8jKDPpO8dh1pFC6VzLGsZ4Nq/gPE2iy5NieHqRZcMsTePhiSkvhpUp4/T0tLpIyrnmCqosvfr5dppJTcGjF1xZAnkIfJJEWf52foo/myz4pTu3b9RjMYwTOrEC5Gn4PNfVjkAWAl/K1450EQ6QCUQ7uj2/d5N5D0klnH4EkpDGMs5q+EjsIUmE049ROZoH2hsKEslP4K37VJDz4cMpPUkaylrg9fQKklzRIyg36XvH4dahITtXs4YxnmnIyzK5OLU/dpqdJcMsrs6Gpyfp5TBKYlMmRWxOzdwqQTWkd/Fvp0ZsCha94BoSyEPglbga8uN5cc6jwdV/mj51yvHqzemnswPIKPoD98v4eN5F8jR8nutqSCALgTcVaEiqpgVIBCIhY3+W4h6SSDgBCSQhDWSMtSAEJJBEMAEZuzy190nbh/ITuOo+BaSZSw5ynuoBlLXA5akFJL2iR1Bu0veOw61DQHauZg1j3AjI7CSqqjyKh9XJuRnan4+G5UV+Ory4TM9NchLH+en5y+EFZOYzxe35TVOBKXj0ggtIIA+BV+IKyI9cUttKyKdNIfHnz98NbFTk9ANDXQUEEjV8ousqSCALgTsVKEjyFBLIBCIho5G/nucekkk4DQkkIY1lnMXwkdhDkgimIQsyiY1kJ/DVfSrI+YzMlB54CmUtcHlqBUmt5xGUmfSd4zDr0I+da1nDGDf6MTfm5DQ+y53WtD+bnV8Oy7g4GZo4Tc6z6jwuyrk7Daofjc8Ut9O2EVxeU/DoBdePQB4Cn8TXj4+v3nSp6/mIU9fi7+qn8/tns5uFX7l2f27AqY/vXSRfw+e7rowEshD4VIGMpHoWAomAVCSZywZSCScjgSSkIY2zGj4Se0gSwWRknEf0/T8kQYHX7lNJzqdepvQEUyhrgddTK8mWJT2CkpO+eRxyHWKyczlrGOPZYWR8WUTFaTUs4otimMVWgpb5ZTIsTi6T6jw3l8YNPA0uJnOfKW6npdQUPHrBxSSQh8AtccXkr+dNyR4N5t2fv2qu1Mybkn3eHE1+c/XnTSPp5pvNEWXp0txNsaT9IomookmgKQzfFOvqTCALgccV6EzXwOKz0cC/Ki8h+UDkJiE1gTTCSU0gCWnAY6wEITWBJMJJzWiUEUITSU/g0fsUmuVcmZBDBQ+grAVuTy80qQU9glKTvnUcah0ys3MxaxjjWdHk6dnFyWVaDU2WnQ2zorwcnuSRFafxaXken56cp2b+FgeVmURjs0pqCh694DITyEPglLgy85fNYJivm3ZZn86KJ99uhpl86pSlu+s9fXr1c/sD77qWZ7+e/mL68fST6a+mH9hfH87POaf/OP1w+v70N/bjJ+5n/rv94uPB/SMTD6a/8BnpLtJIhm+kdQUokIXAEwsEKJkvBzKBSM/If33vHpJIOPEJJCENg5y18JHYQ5IIJj7LkhitsA+lJ/DzfYrP+Zy6lJ45CGUtcHlq8Uku6BGUmvSt41DrEJ+di1nDGIcdOlj6yN2ebzH85MoiWSW36T65WryrruI73idXa4aMZ4Ye+uRqERoRQgY6UJ/cfNYn18d9V8t91bPD2uFqATL7CvL1Kd0OVwtxVX1C2uFqwa3GN0g7XC24zbbDVaNmRs1e2+GqwTLDpqwdbrYcLpjRwwXVkJmRUySwuU/FgRo1M9D12A5XDdUIobIfDGu9nQWsFbRjNVpmjFLvPLLcUM0C1JiZYau3drhqoMzgxW+Hu3QND2jX8FANVxLONM8C2Q5XizhwO1w1TGZME7bDtQ/Dsd8dTFRItzZ3QoypuD2fBcRmyaUXOneC5CE4U+NuljeTO0EayfCNxN+o+ljsIlkIDhIFW04qd4JkEjR3giQSLHeCJCE9xeWshY/EHpLEFuROoPQEfl60tWvPnWTzOXUZPXMQylrg8tQ7GDp3AqUmfes41NpzJ92LWcMYb299eEl0zM0SqSl49IKLTyAPgVPiik9kfTjSFIZvinUlJpCFwN8KJGZ7fTiSD0Ro+uvDkTTCyUwgCWnAY6wEITOBJILJTLo+HEpP4NH7lJnJXJmQM8AOoKwFbk8tM+n6cCg16VvHodYhMzsXs4Yx3t6eFiXRVDdLpabg0QsuM4E8BE6JKzPX7mmB5Gv4fNfVkkAWAqcq0JJETwskEYiIpHtaIKmEE5JAEtKQxlkNH4k9JIlwQrKlpwWUoMBr9ykl52OhMnrEF5S1wOvppWRLTwsoOembxyHXISY7l7OGMd7eBrsl0WA3y6Sm4NELLiaBPARuiS8mtQ12kUQNn+i6KhLIQuBPBSqSTHoDmYBkJNFgF8kknIoEkpDGMs5i+EjsIUkEU5Fkg10oO4Gv7lNCzqdCZfSMLyhrgctTS0iywS6UmfSd4zDr0I+da1nDGG/vhK+SaLCbGakpePSC60cgD4FP4upH9YQvJE/D57mufASyEPhSgXykrukBiUDUY0xM+EISCScegSSkgYyxFoR4BJIIJh5bJnxB+QlcdZ/ycT4TKqMnfEFZC1yeWj62TPiCcpO+dxxuHQKyczVrGOOZgGSNkw0uIHOfKW5nudgULHrBBSSQh8ArcQXkf5k+mf523gTh2fSpy2u7VHajIIthnNB9KYA8DZ/nugISyELgTQUCkjx/BDKBKMiWNDaQSjgNCSQhjWWc1fCR2EOSCKYh6aH0+1B+Am/dp4acz4XK6BlfUNYCr6fWkPSKHkG5Sd87DrcODdm5mjWMcaMhy+o8yaMsGZrMXAyzy+RsWBVRNIyjpDqpLk2UmLlmDKoh/R1zs7YZFV5T8OgF15BAHgKvJNGQX7rL3e7e99Ubi95a9surt6/euHp3MP17dwF8+oXrdXb1U3dcOTuhNO5jNoy9O4K7SCsYvhXWVZhAFgJfy1eYVz+7esvH5CUkE4jC9PZBvIekEU5dAklIoxxjJQh1CSQRTl2S6W0kO4EX71NbzsdEZfTULyhrgb/Ta0syvY1kJn3nOMw6lGXnWtYwxmHb4VY+crezspVcukpu4+1wlXhXPcV3ox0u2XH1rtYOGc8OffTDVSI0IoQMdCnVD5dqcWt/7BP7vW9eGEw/GrrGijfZ7WrZrfpuXMdbJUBm60C+/GzpeKuEuCovMR1vleBWQxim460SXJCOt2VRjgoiWa3FzQyN/fa81YJlxkZhz9ty2fOWHBt1Xw2ZGR5FItqX6fChPlCjZgazPnveaqEaIVT2g2Gtt7OAtYJ2rEbLjFLq3QXtIo7UmJmBS9bzlnYPD9RAmeFL0PO2XPa8JV3DQzVcSUDTPAt0z1sl4tA9b7UwmTFN2vO23Dn2u4OJCunWZj8qqudtJWPJpRc8+wHkITg34+6IUdkPoBUM3wr83aaPxS6SheA0kL+rpLMfQCYhsx9AGuGyH0AS0pNYxkoQW1kgiS3IfiDZCby4aOPWkf2YD5DL6GmAUNYCf6fen9DZDyQz6TvHYdaR/ehcyxrGuFGWJ3Gc5SarhnncNJIoi+GpOSuGl6fFeXQelybP51YJqiy9R6q358+EwBQ8eqGVJZKHwCdxleXHrhXE1ZtXPx883xfCHdkPp980v/PTJqcyy6gsRtvN+0bE/hf5LtIGhm+DNXUlkoXAz/J1JVm3jWQC0ZXEfNF7SCLBlCWShDTKMdbCryyRJIIpy3wUe4s896HsBF68R2VpopkaMeTkrgMoa4HHUytLaj2PoMyk7xyHWbuy7F7LGsZ4e9tGVEQPWxNLTcGjF1xZAnkIfBJfWSrbRiB5Gj7PddUjkIXAlwrUI1HrgiQCEo/e3MU9JJFw4hFIQhrIGGtBiEcgiWDisaVtBJSfwFX3KR/n05kMPWoLylrg8tTysaVtBJSb9L3jcOsQkJ2rWcMYb++srYroW2sSqSl49IILSCAPgVfiCkjkrC2kKQzfFOtqTCALgcMVaMz2WVtIPhip6aNxD0kjnNAEkpAGPMZKEEITSCKc0CRnbUHpCTx6nzpzPp7J0LO2oKwFbk+vM8lZW1Bq0reOQ61DZnYuZg1jPDunZI1/DS4zjc8Ut00qNQWPXnCZCeQhcEpcmfnLqzeu3m6Eprs/2JxX2i+nT1xBpf2tN6ePpk+vfm5/4F13j/DX019MP55+Mv3V9AP768P5fK7pP04/nL4//Y39+In7mf9uv/h4cN/uswbTX/iMdBdpJMM30roCFMhC4IkFApRMkQOZQKRn5K+juYckEk58AklIwyBnLXwk9pAkgolPcvz8PpSewM/3KT7n45wMPZ0Lylrg8tTik1zQIyg16VvHodYhPjsXs4YxDtt8Ivau522TtbLLVtltuvuEFu+qr/iud5/Q2iHj2aGH7hNahEaEkIEuUXSfILtOaFkx7/MKRCqViVcCZF7e5WtPuuuEFiLz2u6aqlIJbjV2QbpOaMEF6jpRjVwIv4l7X42bGRN77TqhBsuMibKuEyZbdJ0w5Pyn+2rIzLAoks/ce9sHatSZEDX7qSC7TqihGiFU9oNhrbezgLWCdqxGy4xS+n0F6SKO1JiZgau3rhNqoMzwxe86sXQND2jX8FANVxLQNM8C2XVCizhw1wk1TGZME3adsA/Dsd8dTFRItzYzEkdE2wljZDS5/IKnRoA8BEdm3K3whlIjQCMZvpH4u1Afi10kC8E5oWDXSaZGgEzCpkaARMKlRoAkpIe0nLXwkdhDktiG1AiSnsDPi/Z2HamR+aA5Q48NhLIWuDz9FoZOjSCpSd86DrWO1EjnYtYwxttb/h0TceO2yaW24PELrj6BPAReias+ofXfQFMYvinW1ZhAFgKHK9CYHfXfQD4QpUnUfwNphNOZQBLSiMdYCUJnAkkE05kt9d9IegKP3qfOnA+jM/RoQShrgdtT68yW+m8kNelbx6HWoTM7F7OGMd7ePhV2+b0FMLdN+ywcn+Zm8QuuM4E8BF6JqzP1jSqAPA2f57oiEshC4E0FIpIqjwESwahHqlEFkEg4/QgkIY1kjLUg9COQRDj92NKoAslP4Kr7FJDzmXOGnh8IZS1weXoB2dKoAslN+t5xuHUoyM7VrGGMt7eHrttA+Gxx27QPofDYgscvuIIE8hC4Jb6CRDTRBdrA8G2wrroEshC4WoG6JNPgQCYgeUk00QUSCScvgSSkYY6xFoS8BJIIJi/pJrpIdgIv3qe4LOdyhBwFdgBlLfB4anFJN9FFMpO+cxxmHdKycy1rGOPtHfxlpaXx2eK2k8QyW/D4BZeWQB4Cp8SVlqDJX0grGL4V1hWXQBYCV8sXl+TkLyQTiLgkpCWQRjhpCSQhDXOMlSCkJZBEMGlJTv6CshN48T6l5XxalKEnf0FZC/ydWlqSk7+gzKTvHIdZh7TsXMsaxjhw6wn/fZ08amVnVtltuvWEFu+qq/iut57Q2iHj2aGH1hNahEaEkIGO33rCLFtPfGK/980Lg+lHsd1zukYUpT8DvKtluerEYa0otACZN3r5OpRuRaGFyLzLu57G1IJbjWWQVhRacEFaURR5OUqMD/e+GjczRvbaikINlhkjZa0o8mjRiiInZ0rdV0NmhkmRmuZe5j5Qo2YGtR5bUaihGiFU9oNhrbezgLWCdqxGy4xS6m0G7SKO1JiZgau3VhRqoMzwxW9FsXQND2jX8FANVxLQNM8C2YpCizhwKwo1TGZME7aisA/Dsd8dTFRItzcPQhRn3s5jGU0uv9B5ECQPwQkad2sMyoMgrWD4VuBvO30sdpEsBOeC/G0lmQdBMgmYB0HSCJYHQZKQnskyVoLYywJJbD4PAmUn8OKinVt7HiSfj6bL6UGDUNYCf6feoJB5ECgz6TvHYdaeB+leyxrGeIurt2Oiz0SeSG3B4xdcWgJ5CJwSV1pCqreRNjB8G6wrLIEsBI6WLyzJ6m0kE4iwpKq3kUTCSUsgCWmYY6wFIS2BJIJJS7J6G8pO4MX7lJbzcXQ5PVsQylrg8dTSkqzehjKTvnMcZh3SsnMtaxjjLW4tQRS43M5TqS14/IJLSyAPgVPiS0tlawkkT8Pnua58BLIQOFOBfKTKXYBEQOrRm724hyQSTj0CSUgjGWMtCPUIJBFMPba0loDyE7jqPvXjfKJcTo8HhLIWuDy1fmxpLQHlJn3vONw6FGTnatYwxlvcBDcmWkvkmdQWPH7BFSSQh8AtcRUksgku0hSGb4p1RSaQhcDjCkRmexNcJB+M1vTRuIekEU5pAklIIx5jJQilCSQRTmmSTXCh9AQevU+hmc2lCTn76wDKWuD29EKTbIILpSZ96zjUOnRm52LWMMZbPOorJvpM5EZqCx6/4DoTyEPglbg6czOjvpBGMnwjratAgSwErligQMksOZAJRHtSo76QRMKpTyAJaRzkrIWPxB6SRDD1SY/6gtIT+Pk+1ed8OlROj/qCsha4PLX6pEd9QalJ3zoOtQ712bmYNYxx4FYU3khwO89b2eWr7DbeikKJd9VXfOdbUSjtkPHs0EcrCiVCI0LIQJeyW1HkN1tRDN0955vsdrXsmJd7BWKVyskrATJv8vI1aEsLCiVE5h3eNdWlEtxqDFuzBUWSVqPKB3BPCzBIG4qySkeR983ZV+Nmxsd+21BowTLjo7ANRb5sQ0GOjLqvhswMkSIpfeNxjrMki0ap19oHaujMqCbvRZEkpsjMqPLiPVTjNUK87EfEmnBnAWsF7ViNlhmz9LuNohwVRFGFFjMzjMkaUsRxUo0S77PwQI2UGc0EHSnyZUcK0ks8VMOVxDfNw5DEURklI+OV/7UWNqYtRVJEZWVGkfcqyrEaKzPQSXtT5DvHfs8wUSHd3txJQvWmaB+Fc4Mml1/w3AmQh+BMjbtX3lDuBGgkwzcSf5vqY7GLZCE4SBRsR8ncCZBJ2NwJkEi43AmQhPQUl7EWWTGqvEF2D0kkWP6kss+al94+lJ7A14s2fa1H7pbS/MidnkAIZS1we/odDZ0/QVKTvnkcaq2LedS9mDWM8RZXiSdUC4v2iTkeW/D4BVegQB4Cr8RVoNAqcaApDN8U6+pMIAuBwxXozI4qcSAfiNokqsSBNMJpTSAJacRjrESV+VjsIVkEE5pufBkhNJH0BC69T6E5n2CX09MIoawFfk8tNFvKxJHUpK8dh1qH0OxczBrGeIsbWiRUQ4tKagsev+BCE8hD4JW4QlPf0ALI0/B5rqsigSwE3lSgIqniGSARjHykGloAiYQTkEAS0kjGWIskT0clUbMDZBJORJpi5G9yvw/lJ/DXfarI+bC6nB48CGUt8Ht6FdnS1QLJTfrycbh1yMjO1axhjLe45W5CdLUoIqktePxCy0gkD4Fb4stIQMtdpA0M3wZrSkwkC4GrFUhMKiGOZALSmN6jo3tIIsE0JpKENMwx1iIxVVT5k0x7SCrBRGY+SvyNd6HsBL68R4lZRDNRUpADxA6grAV+Ty0xyca7UGbSN4/DrF1gdq9lDWO8xePCEqKdRdE+38JjCx6/4AITyEPglLgCEzQuDGkFw7fCuhITyELgavkSkxwXhmQCkZiEwATSCCcwgSSkYY6xEnEVk/oSyCSYvrQBKfOx24eyE7jyPvXlfM5UQc8Mg7IWOD21viRnhkGZSV88DrMOfdm5ljWMceCGFf7MdpG0sitW2W26YYUW76qr+K43rNDaIePZoYeGFVqERoSQgS5RNKwgG1VoWTEv/fJVKpVr1wJk3vDli0+6UYUWIvNq75rCUgluNXat2agiTwkPuKcFGKxRBaUEtbiZcbHXRhVqsMy4KGtUUSSLRhUFOYDqvhoyMzSKFPSqqU2eRVVM3OI5UENnRjN5owpTZZFJicYah2q8RoiX/YhYE+4sYK2gHavRMmOWepNRFtUornyYj9SYmWGsv0YVaqTMaMZvVLH0Eg9oL/FQDVcS3zQPgzEmSpPRvD3gjU2YEjamUUURJ2Wejirvse2xGisz0AkbVdjH4tjvGSYqpNubFUmJRhVFKqPJ5Rc8KwLkIThK4+6RUVkRoBUM3wr8/aePxS6SheCAkL/fpLMiQCYhsyJAGuGyIkAS0sNZxkqYyET+Usk9JJMtyIog2QlcuWhP15EVmQ+4K+hxhVDWAqen3rDQWREkM+mLx2HWkRXpXMsaxniLy7pTog1FkUltweMXXF8CeQicEldfYsq6gTYwfBusqy6BLASOlq8u6bJuIBOIuiTLuoFEwulLIAlpmGOsRV7GJSkwgVSCCUy6rBvJTuDL+xSY88l2BT2mEMpa4PfUApMu60Yyk755HGYdArNzLWsY4y1uP5ES7ScKI7UFj19wgQnkIXBKfIGpbD+B5Gn4PNcVkUAWAmcqEJFUSQyQCEhDehMZ95BEwmlIIAlpJGOsRV5lo8zrlveQTIJJyJb2E1B+An/dp4icD6gr6GmDUNYCv6cWkS3tJ6DcpC8fh1uHjOxczRrGeIvb5aZU+4lcagsev+AyEshD4Ja4MhLZLhdpCsM3xbpKE8hC4HEFSrO9XS6SD0Zw+mjcQ9IIJzeBJKQRj7ESSeE9ANpD0ginNcl+uVB6Ap/ep9TM5+KEnBp2AGUtcHx6qUn2y4VSk753HGodSrNzMWsY4y0eDZZSfSjah1T4VDeLX3ClCeQh8EpcpbmZ0WBIIxm+kdbVoEAWAlcs0KBkyhzIBKI+qdFgSCLh9CeQhDQOMtYiTvJR4i283kMyCSZB6dlgUHoCZ9+nBJ2Pkyro2WBQ1gK/p5ag9GwwKDXpq8eh1iFBOxezhjEO3Koi87G7XbQPpChX2W28VYUS76qv+M63qlDaIePZoY9WFUqERoSQgY7fqsIsW1V8Yr/3zQuD6UdxeatpXFH6s8e7WparXhzXukIJkHnnly9IW1pXKCEyL/uuKTWV4FZj2ZqtK9LMfyqwp8UXpHNFUUaEkNhX42aGyX47V2jBMsOksHNFuexcQU6auq+GzIyUIkV940A+r1KqQuJAjZwZ2+SNK9IkyzPimtKhGq4RwmU/INaCOwtYK2jHarTMgKXechR5OUqMD/ORGjMzhvXYt0KLlBnKBH0rymXfCtJHPFTDlQQ3zcOQ5CbKRrl3C1BrUWPaVqRlZQoiYXOshsoMctKuFeXOsd8vTFRItzeHklFdKyoZTS6/4DkUIA/BsRp3u7yhHArQSIZvJP5O1cdiF8lCcJYo2ImSORQgk7A5FCCRcDkUIAnpQS5jLfJR5aOxh6SxDQkUJD2Bpxdt9zoSKPP5dgU9rRDKWuD01LuZlgQKkpr0veNQ60igdC5mDWO8xdXiGdHVYv5QCGzB4xdafyJ5CLwSV38iq8WRpjB8U6ypMpEsBA5XoDLbq8WRfCBa018tjqQRTGkiSUgjHmclzMj4O+juIZkEE5t0wTiUnsCt9yg2y/msu5KeWwhlLfB9arFJF4xDqUlfPQ61drHZvZg1jPEWd7jIiA4XZSy1BY9fcLEJ5CHwSlyxqe5wgeRp+DzXVZJAFgJvKlCSROUMkghGQhIdLpBEwolIIAlpJGOsRVqMKu9bvockEk5D0g0uoPwE7rpPETkfaFfSwwmhrAVuTy8i6QYXUG7Sd4/DrUNFdq5mDWO8xY14M6LBRZlIbcHjF1xFAnkI3BJfRQIa8SJtYPg2WFdhAlkIXK1AYVIZcSQTkMT0nhzdQxIJJzGBJKRhjrEWaRwZH489JI9gCpPswgtlJ3DkferLZK5IyBFjB1DWAqen1pdkF14oM+lrx2HWoS4717KGMd7iMWLE9ZXbZSq1BY9fcHUJ5CFwSlx1CRojhrSC4VthXX0JZCFwtXx9SY4RQzKB6EtCXQJphFOXQBLSMMdYiaTwN6xA0ggmLskZYlB2Aj/ep7icz50q6RliUNYCj6cWl+QMMSgz6VvHYdYhLjvXsoYxtv/7w1uzBgI/aBOPPbetMD6Wt8ushWWRx6ssw7Wt8PqVO1q8qy5jS9tW5PF114oyIptWaK2Q8azQQ9MKLUIjQshARzataOoen1qVvjzzJRfq1s0OF7khW4rsarkzbwbz5SyZkFcCZF4D5qtUupWFFiLz/u+aClQJbjXOrdnKwmu5PS24IH0sIqIxxL4aNTNqyrtYxFGcUW0s1GiZYVPWxqLMFm0sSnJi1X01ZGbkFAlt7mNxoEadCVGzHwsK6qEaqhFCZT8Y1no7C1graMdqtMwgpd6BZKXVgd7TiyM1ZmbckrWvqJKEeBQeqIEyoxe/e8XSNTygXcNDNVxJPNM8C9S7VmsRYzpXUDCP1TCZQU3YtcI+DMd+dzBRIW30FmvP68iQ+9yW3b56r0t0rSiNjCaXn29H3EJLsiv28biD5CE4XOPullFJEqAVDN8K/L2oj8UukoXgyJC/q6STJEAmIZMkQBrhkiRAEtLjWsZKEFtZIImQKRJiy4tkJ/Diop1bR4pkPvKupAcYQlkL/J16g0KnSJDMpO8ch1lHiqRzLWsY49kdwfM0iS5PiuHpRZYNszSNhyemvBhWpozT09PqIinnmiustPSeqd4uc6ktePyCS0sgD4FTkkjL387P659Nn9pfX7oT+kY+FsM4oVMoQJ6Gz3Nd8QhkIXCmfPFIV3ADmUDEo9v1e3eZ95BUwglIIAlpMOOsho/EHpJEOAEZlaM09fHbh/ITeOs+JeR8ll1JDyaEshZ4Pb2EJFf0CMpN+t5xuHWIyM7VrGGMt7jRhKEaTbSNyPHbgsUvuIgE8hC4Ja6I1DeaAPI0fJ7rikggC4E7FYhIqq4FSASiIWOq0QSQSDgFCSQhjWSMtSAUJJBEMAVJtyTYh/ITuOo+FeR8FF1JzxWEsha4PLWCbGsygeQmfe843DoUZOdq1jDGs764J1FV5VE8rE7OzdD+fDQsL/LT4cVlem6SkzjOT89f3oCCzHy2uF22jZ/w2oLHL7iCBPIQuCWugvzI5bWthnzaFA1//nyniXknCeOvEbmLJGr4RNeVkEAWAn8qkJDkOSSQCURDRqPUq4bvIZmEE5FAEtJgxlkMH4k9JIlgIrIg89hIdgJf3aeELOeigxz5dQBlLXB5aglJrecRlJn0neMw6xCQnWtZwxg3AjI35uQ0Psud2LQ/m51fDsu4OBmaOE3Os+o8Lsq5Ow0rII3PFrfLSmoLHr/gAhLIQ+CU+ALy8dWbLns9H9J19Yb9xk/nl81mtwi/unr36i032MvH9y6Sr+HzXVdHAlkInKpAR37lPcl/CUkEJCPJdDaQSjgdCSQhjWmc1fCR2EOSCKYj4zyibwEiCQq8dp9Scj7XqaSHdEFZC7yeWkq2LOkRlJz0zeOQ61CTnctZwxhv8ZguM8p9trhdRVJb8PiFVpNIHgK/xFWTyDFdSFMYvinWFJpIFgKXKxCa7WO6kHwgetOvNZE0gmlNJAlpxGOshF9rIkmE05rUQKd9KD2BR+9RaVbzoU4VPaELylrg9vRKk5zQBaUmfes41Np1Zvdi1jDGs8JJ1ujY8DrT2/v4dhVLbcHjF1xnAnkIvBJXZ/7y6o2rtxul6e7fNAWU9svpE3eb2/7Wm9NH06dXP7c/8K5rcPbr6S+mH08/mf5q+oH99eH8pHP6j9MPp+9Pf2M/fuJ+5r/bLz4e3D8y8WD6C5+R7iKNZPhGWleBAlkIXLFAgVIpcyQTiPaM/Hf47iGJhFOfQBLSOMhZCx+JPSSJYOqTnF2/D6Un8PN9qs/5MKiKHu0FZS1weWr1SS7oEZSa9K3jUOtQn52LWcMYO/nZpip7botLnFsmLezKolplt+m2uFq8q77iO9EWl+y8eldrhoxnhh764moRGhFCBrqU6otLtbq1P/aJ/d43LwymHw3j5Fbzn3T2HzP7Tz7ycd7Vcl516bB+uFqAzL6CfGFK98PVQlyVnZB+uFpwq4EN0g9XCy5IP9wqNdT4VzVuZsDstyOuGi0zYso64lbJoiNuRU6Puq+GzAyaInHtK8fxoT5Qo2bGuB474qqhGiFU9oNhrbezgLWCdqxGywxT6l0H7SOO1JiZkUvWEbfFPzxQI2UGMH5L3KVveED7hodquJKQpnkYyJa4WsSBW+KqYTKjmrAlrn0Yjv3+YKJCur2Zk5xoiVulMppcfsEzJ0AeghM17k55Q5kToJEM30j8XaqPxS6SheAYUbDvJDMnQCZhMydAIuEyJ0AS0jNczlr4SOwhSWxD5gRJT+DnRZu7jszJfBZdRc8VhLIWuDz1HqYlc4KkJn3rONQ6Miedi1nDGG9xfXhOdM2tMqktePyCq08gD4FX4qpPaH040BSGb4p1NSaQhcDhCjRmR304kA9EaRL14UAa4XQmkIQ04jFWgtCZQBLBdGZLfTiSnsCj96kzs7k0ISeBHUBZC9yeWme21IcjqUnfOg61Dp3ZuZg1jPEWN9bNica6lZHagscvuM4E8hB4Ja7OVDfWRfI0fJ7rikggC4E3FYhIqkAGSASjHonGukgi4fQjkIQ0kjHWgtCPQBLh9CPdWBfKT+Cq+xSQ84lQFT3dC8pa4PL0ApJurAvlJn3vONw6FGTnatYwxo2CPInjLDdZNczjputFWQxPzVkxvDwtzqPzuDR5vhEFmflscbvKpbbg8QuuIIE8BG6JryC/cp3Rrn4+eL6nrqtMHk6/aX7np03l+Kxu/Ortq3eWx5XTD2J/h8O7SBsYvg3WVZdAFgJXK1CXZBocyAQkL0sfkXtIIuHkJZCENMwx1oKQl0ASweRlPoq91933oewEXrxPcTmfFFXRc7+grAUeTy0uqfU8gjKTvnMcZh3SsnMtaxjjRlryxsyGl5bGZ4vbVdv8Cq8tePyCS0sgD4FT4kpLNzr2S1dp6Yowr95Y3Ee0X1oZ+cbVu4Pp37tqzOkX7tqhlZlfTh/NTi6N+5gN/VdH7yKtYPhWWFdcAlkIXC1fXF797OotH5OXkEwg4pKQlkAa4aQlkIQ0zDFWgpCWQBLBpCU1xX4fyk7gxfuUlvMRUhU9EAzKWuDv1NKSWs8jKDPpO8dh1iEtO9eyhjEO3JmC6HRWtrEro1V2G+9MocS76iq+650plGbIeGboozOFEqERIWSgSwJ2plByXvXouM4USoDM+718UdrSmUIJkXmxd03BqQS3GtgwnSmU4AJ1pshGhfeh3FfjZgbMnjtTaNEyI6awM0W57ExBzqO6r4bMDJoibc292n2gRs2McX12ptBCNUKo7AfDWm9nAWsF7ViNlhmm1JsO2kccqTEzI1ePnSm0SJkBTNCZolx2piB9w0M1XElI0zwMdGcKJeLQnSm0MJlRTdqZotw59vuDiQrp9qZFCqozRSWjyeUXPC0C5CE4UOPulFFpEaAVDN8K/G2oj8UukoXgmJC/saTTIkAmIdMiQBrh0iJAEtIjWsZKELtZIIktSIsg2Qm8uGjr1pEWmY+yq+jJhFDWAn+n3qHQaREkM+k7x2HWkRbpXMsaxniLi7kLou1EPN8DCIzBIxhaW0KJCNwSV1xCyrmhRjB8I6ypLaE0BM6WLy7Jgm4oFYi6pCq6oUyCCUwoC2m0Y6yGX2FCWQSTmGRRN5aewJn3qDEtp5kwmX/iI36AJS7wfGqZSRZ2Y6lJ3zwOtXadyVnPGkd6iztPFETniXh+m1RgDB7B8FITSETgnfhSU9l7AkrU8ImuLSeBNAROVSAniSIYKBOQmvSmNO5BmQRUk0AW0pjGWA1KTQJZBFOTLR0osAQFHrtXPRkv9Ac9ZxBLXOD61HqypQsFlpz07eOQ61KU3Sta40hvcc/cguhEEUeJ1Bg8guEVJZCIwD9xFSWyay7UFoZvi7VFJ5CGwPMKRGd731woIYz29PG4B+URUHkCWUhjH2MtKOUJZBFOeZK9c7H8BI69V+GZLGQKOTXsAEtc4P70wpPsn4vlJn33ONy6dGf3gtY40ls8Kawg2lTEUSo1Bo9geN0JJCJwT1zduZlZYVArGb6V1lakQBoClyxQpHRWHUgFokWpcWFQJgHVKJCFNCJyVsPHYg/KIpgapSeGYfkJ3H2vajRdiBd6aBiWuMD1qdUoPTUMy0367nG4danR7gWtcaQDd7bwllpZfZm10otX6W26tYUa8KrT+I73tlDbIePZoYfmFmqIRgSRAS8N191CTZp5b1ggacnMvhIh85YwX6nS/S3UGJn3g9fVoEp0qzFuzQ4XqSnzUeWDuKeGGKbPhYlGpffK4r4eODN+9tvoQg+XGUBlnS4snEWrC/sp2etCj5oZRUWy+8ZjncVRnlajIvWBP9CDz4Tg2U9ImqdFbCNC7n1IDvWIjRAx+0lxVtxZAlsBPNYDZkYx9e6kSg1h5SM9aGZgE7a/SOwD4d9JPdBDZcY3fv+La4/xoMVjPNQjlsQ8zRORpsZUUTrKvY9yrQaO6YSRpXlmrG+rvNrsWI+WGf2EDTHc07EEtQJ2ogO7vTmYkuiJEUdGxpNLMHwOBkhEcCjH3WNvKgcDtJLhW4m/vfXR2IXSEBxECjasdA4GSCVwDgbIJGAOBshCeg7MWI3CXRTynn/uQakES8RU9nnz8tvH8hP4fNGOsCsRYxbn9vRQRCxxgf9Tb3XaEjFIbtIXkMOtKxHTvaA1jvQWl6OXZC+NXGoMHsHwkhRIROCeuJIUW44OtIXh22Jt4QmkIXC8AuHZVY4OJASRn1Q5OpBHQPEJZCGNfZy1KAtvpmMPSiSY9IyjkaGkJ5KfwLf3Kj3zhVKhRyZiiQs8oFp6tlWkI7lJXz8Oty7p2b2gNY70FvfWKMneGq2jfrw6nEUwvPQEEhG4J670XKO3BpCo4RNdW1cCaQi8qkBXkhU4QCYYQUn21gAyCSgpgSykMY2xGmmVmZGhCn+AXMKpSlMQaf59LEGB3+5VVhYLFUKPS8QSFzhAvaxs67CBJCd9BznkunRl94rWONJb3B64JDtstE/Y8BiDRzC8rgQSEfgnvq6EtAcGGsHwjbC25gTSELhcgeakk+hAKiDRSbUHBjIJKDqBLKQBj7EaNtbkOdFwcw9KJpjqzEcJ1SUYSU/g03vVnOVCoZCDzw6wxAUOUK05W7oEI6lJX0AOtS7F2b2eNY70Fs86K8neGpXUGDyC4RUnkIjAO3EVJ2jaGdQMhm+GtTUnkIbA5fI1JznvDEoFojkpxQnkEVBxAllIAx5jLZIyr4y/AGoPyiWY4ExGJvPR28fSE7j0XgVntRAo9PAzLHGB91MLTnL6GZaa9P3jUOsSnN3rWeNIB26fUfno3Y7jqJVeskpv4+0ztIBXfcZ3vX2G1g4Zzw59tM/QQjQiiAx4ScD2GVrSq64d1z5Di5B5y5ivVVvaZ2gxMq8Xr6lDtehWY9ya7TOyJM9H3sOhPTXEMO0zsmpUESeVauDM+Nlz+ww1XGYAFbbPiKNl+4yYnLV1X4+aGUVFqvvGYx2ZNEkLwuQHevDM0Cdvn5GlSZ6lKXHd6VCP2AgRs58UZ8WdJbAVwGM9YGYUU29OqjQbFd64dqQHzQxsPbbPUENlxjdB+4ylx3jQ4jEe6hFLYp7miWg2YXk1Kr1PRa0GjmmfYeIqLpJoZLwnwMd6tMzoJ22fYZ+OJagVsBMd2O1Ns1RU+4w4lvHkEgyeZkESEZzJcffYqDQL0gyGbwb+/tVHYxdKQ3DQyN+R0mkWJJWQaRYkj3BpFiQL6TEvYy3SLLbam7ijiOSyBWkWKD2BSxdt+DrSLPFitl/cMq0RSlzg/dQ7GTrNAqUmff841DrSLIz1rHGkt7iSvKKaY8SJ1Bg8guEFJ5CIwDtxBSemkhxpBMM3wtpyE0hD4HD5cpOuJEdSgchNspIcySSg4ASykAY8xmpkVZVEKdW4HEkmmOKkK8mh9AQ+vVfFuZjqF7eMaYQSFzhAteKkK8mh1KQvIIdal+LsXs8aR3qLe2JUVE+MOJUag0cwvOIEEhF4J77i1PbEQBI1fKJrq0ogDYFTFahKsqwGyAQkKr35jntQJgFFJZCFNKYxViPLq3SUUtU8QC7BNGVbTwwoQYHf7lVVLqbzxS3jFqHEBQ5QrSrbemJAyUnfQQ65Ll3ZvaI1jvQWt/mtqJ4YcSY1Bo9geF0JJCLwT1xdCW3zi7SF4dtibekJpCHwvALp2dHmF0kIo0B9PO5BeQTUn0AW0tjHWYvSX1e5ByUSTnzSbX6h/AS+vVftmS2UCjkS7QBLXOAB9dqTbvML5SZ9/TjcuqRn94LWONJbPPSsoppjxEZqDB7B8NITSETgnrjSc0NDz5BWMnwrrS1KgTQELlkgSuksO5AKRI6SQ8+QTAIKUiALaURkrEZp0lGa+ajsQakEk6QtQ8+g/AQ+v1dJupiRFbcMPYMSF/g/tSRtGXoG5SZ9ATncuiRp94LWONL2f3/4H5/TYqTm/PHF2U9eee1VjyFUktMbIqzazFt4FvkNnlQfDRqtREhet9Lwwr2jhrv6mLUYlysXrTL8vDmifDL9ounG8N7VX0yfXL13y3VneDz9ZvrUlV9+Mf3UysgvvT/29vIHHzdC87GPs1WI+Qt7auI3vCbNfD2nWU8Ovmf9YHHrIE4i9yF1H3L3obIf0th9cN9Ljfvgfi51v5G538jcb2TuNzL3G5n7DeN+w6SUw9XaI5Pbg7wl6TXCoTPCoTPCoTPCoTPCoTPCoTPCoTPCoTPCoTPCoTPCoTPCoTPCoTPCoTPCoTPCoTPCIWWEQ70RjNwI/MuX1gZjZ4Oxs8HY2WDsbDB2Nhg7G4ydDcbOBmNng7GzwdjZYOxsMHY2GDsbjJ0Nxs4GY8oGY70N+C5BH3icLWpni9rZona2qJ0tameL2tmidraonS1qZ4va2aJ2tqidLWpni9rZona2qJ0tasoWtdoWN+4Md9hC9kIcOwMcOwMcOwMcOwMcOwMcOwMcOwMcOwMcOwMcOwMcOwMcOwMcOwMcOwMcOwMcOwMcUwY41huAH3yFN5Et/4njP3H8J47/xPGfOP4Tx3/i+E8c/4njP3H8J47/xPGfOP4Tx3/i+E8c/wnFf6Lj37wNM/4uqv+gTZT02dwrIe8tt01nKPKMXEUeWKUgaRElSryroRnQ2st+8Vt39dhpjyaP2jTs+syvXaZPBldvDqbfNL/zZSNLnszbfj1xmdfB1c/cXzr91N8YrPmrn84TuM0X9m9vmovZ77m/7lnzp582f/nX00fzI7NPB4nrJ2a/ffWez7531fZdDfXIlmFKiEYEkQHvumWYD+iuGujqHhTY5kuJkNkNhX+s1tbmS4mR2QZl3QMzJbpVRbRmmy+v7fbU6IJ0+ErLfFSmPuD7euDMICrv8JUmLQ2+tGiZUVTa4Ku4bvBFDma6r0fNjKWiPe7Nc3aytZcWNjNEdW9FuVgP9ViNECv76XD221kCu7nD0wJmxiz1mSntLI70oJlhTNbUi3YUD/RImcFM0tOruO7pRTqJh3rEkgCneSCol65WQ8Z086JwHutxMmOccPfsnoglqJu7XQ3YRsyWiYnPzouhOXcX4uLLaljmJ00Jif2zVVWcpuczPuRG+Ecn/VaEuO0ltR1uGx3jocnl59syt9CSbJt9RO5AiQiSg9z99Ed2d/to+rumt8IbA7uPfuIaeNkvmxKQRcXHJ/Z332l2v26X/GWzm/754P/35//Zf7ngLtQKhm8F/pbSR2MXSkOQ8BRsOOmCDyAVVMGH8VG5B6USsOIDyEKacOYsh4/FHpRFsGKPJI5GKXX5DUlQ4NBFm7quao/FMLe4ZTgflLjA+al3LvSqHmHJSd8+Drmuco/uFa1xpBu9eVnmxdnZ5cXw/NLEw6zM8+HJeVYML9Pk9MxEeZZfnL0cXm9SJSGV1BY8fuH1JpCIwD1x9SZRUdIoy/kFONdE1uVTnix7xlr9+XfT/3v6YVNz/Kum9vjX0/+v058ppT+BVjF8q6ytP4E0BC64F/0JpALRn4n/7sI9KJOA8hPIQhoAGatByU8gi2Dy03XILSj5iSQo8O+9ys/FaLe4ZVQflLjA96nlJ72qR1hy0rePQ65LfnavaI0jHXJYX0IJyiRqYVeW6Sq7TdfzaPGu+ox/qefx2feu2r4Zz7591PNoIRoRRAa8tKOeRwuUmRsVyFuqnkeLkJkI5avWlnoeLUZmCnRNPapFJ0l3MuxH6EwtuiD1PFmUjyLispoaODOI9lvPo0bLjKLCep7kemBf0jKwT42aGUtF2pubBj/Qw2aGqD7redRYjRAr++lw9ttZAlsBPNYDZsYs9baEdhZHetDMMNZfPY8aKTOYCep5kusZfbSTeKhHLAlwmgeCrufRQg5dz6PGyYxx0nqexM3l8zuGiQ7s1uZXyOstSfvImBs0ufyC51eQRATnb9z9dKD8CtIqhm8V/hbTR2MXSkNwxijYgJL5FSSVsPkVJJNw+RUkC+kJL2M1qH0vkEW4/EoWE63o9rEEBf5dtMfryK8ki5luScuMPihxge9Tb2ToVT3CkpO+fRxyHfkVxorWONLbW05OZ2MSqS14/MLLTyARgXviyk9QOTnSCoZvhbXlJpCGwOX2IjeBVCByky4nR1IJqDeBLKQRj7McPhZ7UBbB9GZbOTmUoMCh96o3FxPdkpYJfVDiAuen1ptt5eRQctK3j0OuS292r2iNIx22nif1sbMKMm1lR18S5YGVKENePY8S76rP+Jd6Hp9976rtm/Hs20s9jxKiEUFkwOvqz6MFysyNCvQtWc+jRMhMhPJla1s9jxIjMwW6rh5VopOkOxn2S9J85L1Zv6dGGKamJ07IHj1q4MxA2nNNjxYtM5JKa3rS65oeclDcfT1qZjwV6e9Vc1dFEeejMvdBP9BDZ4YqeV1PkedVRLTePtTjNUK87KfE2XBnCWwF8FgPmBm/1FuUprbH6+2O9KCZIU1Y20O2Yn+gR8oMbJLanvS6tod0Fg/1iCXBTvNAVHlsHUXhfSRqNWxMfU+VREk5qrxO7ViPlRnzxDU+6c4S1ArYiQ7s1iZZUrLGJ5PR5PILn2QBElnVA23rw9xjo5IsQCsYvhX420wfjV0oDcE5o2ATSidZgFRCJ1mAVAImWYAspMe8jOUw1SguvAuyB6USMNOSjkqvO9vHEhR4ddFOryvTshg0mbRMDoUSF3hA9TamNdOCJCd9BTnkujIt3Sta40hvb2F5Slb2GKktePzCi04gEYF74orOUIXlQKsYvlXWFqFAGgIX3IsIBVKBiFC6sBzIJKAGBbKQBkDGapgqHpEaFEglmAaNs5QguI8lKHDyvWrQxWTJpGVUKJS4wAGqNWhrdTmSnPQV5JDr0qDdK1rjSIet9sl87KyqzFvZmVV2G6/2UeJd9Rn/Uu3js+9dtX0znn17qfZRQjQiiAx4nd17lECZ2VKBxiWrfZQImalRvnRtq/ZRYmQmRdcVpUp0kgQox34mGnkTiHtqhJuv9tECZwbSnqt9tGiZkVRa7ZNfV/vkLdU+WtTMeCrS36vmzpO4SEb+fhIHeujMUCWv9snKosoI8Xyox2uEeNlPibPhzhLYCuCxHjAzfqm3KK2dfLSgmSGtx2ofLVJmYJNU++TX1T6ks3ioRywJdpoHIo9jY0a58cGu1bAx1T6mNCYdJd7H91iPlRnzxNU++c4S1ArYiQ7s1iZeMrLap20QmYcml1/4xAuQiOBMjrvHDpV4AVrF8K3C33b6aOxCaawG9BYagk0pnXgBUgmceAEyCZh4AbKQnvoyViMtcv967EGZbEfeBUlQ4ONF+74bumMl71IsTunJqbEHWOIC/6fe1LTmXZDkpG8gh1zrih5xVrTGkd7egvOMrP1pG2DmtQWPX3gJCiQicE9cCYoqOAdawfCtsLbkBNIQuNxeJCeQCkRythScA6kE1JxAFtKIx1iOtCCOn/agTIJpztZ6cyRBgVPvVXMuxoomLYNiocQFDlCtOVvrzZHkpG8gh1yX5uxe0RpH2v7vDx3zbEbcuooXftCmLfut/fF6Jqsqqxa2RZ6vsg1U+5P58d5R4131IYDan6bu5htXWDOcfjH91GrELz0VP/YnZjU5n86V4z/YH3w6O9B0gnJ2oPmWE5v25x9Nny7LduJ52c70dz7T3FWbJuOZppeyHSVEI4LIgNfZpEcJlJn2FMhVsmxHiZCZ4+Sr0LayHSVGZnZzXXmpRCfJZDLsRzWDVKILUrITF+ko92YE9/XAmfFPXrJjcrpiRwuWGf+kFTvVdcUOOUz0vh41MwqKVPTNXSk5c0sLmxmh5NU6LTO3tFiNECv76XD221kCWwE81gNmhiz1BoP2FUd60MwoJqvUIf3EAz1QZiiTFOpU14U6pI94qEcsCW+a56Fl5JYSMqZIp2XklhYnM8KJC3SqnSWoFbATHdhmxxSX52cn58kwzk7yYZZUZ8PT5KIaZnlemNOzrCiKyxkfcgfbsqXX7mKpAp35EQabJpefb6/bQkuy3/URuQMlIjhI426EP7L70c+bXek/ufqb2R2U+R73yawup9kmP13cP3nlx6/98LVXByaKBrGJvJubu1AjGL4R+PvJ6/zP1X9yXB3zwfQX0y+v3l4UJw2GA2P39l/5GO9CGQuOEXvYmCKZQNIodgOb+qjcg1IJl0ZBspAe4jKWg9gPI1kES6HEeTnKvQT3sQQFnl+0+etIoaTR/MA9JYfDHmCJC3yffodDruoRlpz07eOQ60ihMFa0xpEOe13au2m1UrN91Bgt/3lgJRKSlTLR4mUeFnGV4jamTLSmyXim6SNlooVoRBAZ8LpuOmuBMs+f+lCmSoTMwyaR4qRSJlqMzHOmdaWkEp3kTIlhP0oiKtFtPGWiBs6Mf72mTNRgmfFPmDJJ42XKJCXng97Xo2ZGQZFq5h41HuhhMyNUnykTNVYjxMp+Opz9dpbAVgCP9YCZIUu/oWhJmahBM6NYbykTNVBmKBOkTJY+4kGLj3ioRywJb5rngU6ZaCGHTpmocTIjnDRlYp+IJagVsBMd2K1NmeRkyiSR0eTyC58yARIRHJxxN8KglAnQCIZvBP5+kpMyaUuYAPkKDg372JYCmYROmACpBEyYAFlIj2wZy0HthoEstiNhgiQo8PuirV9XwmQxezhtmSYNJS7wffr9TVvCBElO+vZxyHUlTLpXtMaRDpswKXzsrNBMW9kVq+w2njBR4mUeFXF14lYmTJSmyXim6SVh</t>
  </si>
  <si>
    <t>ooRoRBAZ8LrumGiBMk+f+lCmSoTMoyaR4iQTJkqMzFOmdaWkEp3kRIlhvzyNR17JvqdGGChpko+M8QHf1wNnxsB+kyZasMwYKE2aXM+BTlvmQKtRMyOhSDnfeDbiOHMW9/quAz12ZqiSZ05Sk5qEHAStxmuEeNmPibPhzhLYCuCxHjAzful3F23ZEy1oZkiTZU/yguhs/EAPlBnXJNmT6znQtLN4qEcsiXWq5yGqXPwz3keiVuPGpFCyJEvSUerFeqzHyox54jSKGwTtdxATHditTaMUZBolk9Hk8gufRgESWRUEbevD3B6D0ihAIxi+Efi7TE4apf3mCZCx4DCxj+0qkEnoRAqQSsBECpCF9CiXsRy5iUZJ6r1HuQflEi6dUsSjzBvH9rEEBf5ftCnsSqcsBgynLSOjocQFHlC/4WlLpyDJSd9BDrmudEr3itY40mHTKd75EFZwmlZ25Sq7jadTlHiZh0hcvbiV6RSlaTKeaXpJpyghGhFEBrzO+ydKoMzjqD70qRIh8+xJpDvJdIoSI/PYaV1BqUQnOWJi2C/JSr9z3lMj3Hw6RQucGQP7TadowTJjoDSdYq7TKeQU4ft61MxIKFLONw4e0yoxozzzQT/QQ2dGKnk2JU6rtCWbosVrhHjZT4mz4c4S2ArgsR4wM3zpNxdt2RQtaGZE6y+bogXKDGuSbIq5zqaQvuKhHrEk1GmehyxNonyUew8RajVsTDIlzou4opMpWqzMiCdOppidJagVsBMd2K1NppRkMiWX0eTyC59MARIRHKZxN8egZArQCIZvBP4ec/1kCpCx4Cixj80qkEnoZAqQSsBkCpCF9CCXsRyJ3b4l/u3EHpTLdiRTkAQF/l+0JWw9enecFkfv5HzoAyxxgQfU73fakilIctJ3kEOudUWPOCta40gv5qGYl5eqM+A8FG+a1wrQtomDRU5vCnhgJcLy+eQK0ff2jhov80iJqx//cZlJedwMwHv8fNLEKsrHzRC9r6ZfuOl59ptf+djcVbPJeGx6yYcoIRoRRAa8zuslSqCrTraHfIhXl72kRsg8PRJJRzIfosTIPDhaVxMq0UkOiRj2o24gK9EFyYVQvUr29bCZAUueCUliU9C5EC1cZsiS5kKK61wIOdn3vh41M3CJhC/32TjQw2ZGKHkepKUflxarEWJlPx3OfjtLYCuAx3rAzJCl3hMkeRSNKuNDfaRHzQxjsiRIi6t4oIfKjGaSNEhxnQYh3cRDPWJJhNM8Ei0tuZSQMSmQlpZcWpzMMCdOfxQ7S1ArYCc6sLN4EWe5uYyHSZHZHWgSnQxPT9LL4Wl1Ep/GcXlZFvM4SO47Wzbi2r0nmf5omz3qocnl59uhttCS7FJ9RO5AiQiOv7jb1/e/vUGdD3W/+vOrNwZxNPRnle9CSRo+Sf6W0UdjF0pDcGLXx4YSyASVs/CmX+5BqQTMWQBZSM9LGctB7WOBLIJlKxJjWra8SIYCfy3atXWlKxbDvtOW8e1Q4gLnp9+a0Mt6hGUnff847LryFd1LWuNIh738EXvX1ErEqoVeWVar9DaeoFDiZZ7zcBVeXwkKJZuMx6aXBIUSohFBZMBLBtMng+dubbz8albcyv8guhWbndj9N3eflLeM/TQtjI/NrpoN80ioD9GpRMg8/hGJSTKLocTIPPdZVyUq0UnOeBj2o9SfEl2QLMbsZDL3Id/XI2dGtr4TGVq4zNAmTWRcz2JPW2axq1EzA5xIEnNP/w70sJmRrNdEhharEWJlPx3OfjtLYCuAx3rAzKil3y3Q7uJIj5oZyfpMZGihMgOaJJFxPY6ddhMP9YglQU7zSLQkMpSQgycytDiZYU6cyHDj2P2uYaIDu7WJjDiiMhlZJOPJJRg8k4EkIjgZ4+5zdZkMJEnDJ8nfW/po7EJpCA7zethUIpkEzmQgqYTLZCBZSE9SGctB7GWRLLYjkwFlKPDXom1bRyYjW8zczlqmqEOJC5yffm/SlsmAspO+fxx2HZkMxpLWONKBMxmURGwds1dFq/Q2ncnQ4mUe9HAVXk+ZDC2bjMemj0yGFqIRQWTA6yWToWXDPBPqQ3QqETLPf0RikspkaDEyD37WVYlKdJJDHob9knRUxUSDKi3EQOmMLBv5x7Lu65Ezw1vP6Qw1XGZ8E6Yzsus56VnLnHQ1amaUE+niVXvnaZJRvWcO9NCZIU2e0jCxqawG8rrbQz1eI8TLfkqcDXeWwFYAj/WAmSFMv3VoS2uoUTPDmjCtYcpylBFpDTVUZnQTpDWy65HptLt4qEcsiXiaRyJPkqgaFd5nolbDxqQ28riyWP2dn471WJlhT5reyNzodL+LmOjAbm96IybTG4mMJ5dg+PQGkIjguIy7+VWmN4AkDZ8kf8Ppo7ELpSE44etjpwlkEjq9AaQSML0BZCE9XmUsR2J3iX69twelEjDHUSUjQ+U4kAwFTlu0l+vKcSzGZGctg8+hxAUeUL9Rac1xINlJX0IOu64cR/eS1jjSi+5S83DgxGLA7lKxN1pY3Zi20C0KWszz0Er04PM5D2K43R01XuZpEFf2+WZ3TD+3WvDPp8/st934DTeqo5nIYT9+5kZ7/Mz+1CMfq7tqVhmPVS+5DyVEI4LIgLeS+5g+GQ2mfzv9b8Ns8L1Z3un3Rz4Gu2oGzMMigQp1MD+zsL/yAX1JDZR5PiQSmWTaQ4mReTC0rnpUopMcAjHsZyr/CKI9NcAwSY+sikZl5kO+r0fOjG/ypEcc5fRgDjVcZoCTJj2u55xnLXPO1aiZYU4klG/YOyuTKBtV3nzegR47M5jJsx55miVUWuxQj9cI8bIfE2fDnSWwFcBjPWBmINNvJmi/caRHzYxqsqxHnBQVOZxDDZUZ3CRZj+tR57S/eKhHLAl4mkei1VfUatyYtEeRx3FC5MKO9ViZgU+c9nCjzv0+YqID28j1s7NLc3JxMcyNORlmlxfZ8OQkPxueXSZRVJbF5dn53E+TG9eWnbx680qmPTIZTy5B3xa3hZdkm+sjcgdKZFUUtC0Qc//732bFfcSO182gnGdCmq3Z9MPpx4MkjmbfMtFg+rHPCnehVjB8K/A3o5bZo+mXbjKHtYXb6f9uMP3GnQtYszyZPr36ubPR06v3BvY3H822p1c/Xx4JsE4MBtNf2u9/3hw2uGGgX1+9dfX21Rtzy/5i+uuhiZxdo1sDN+rz6q/s3/WkKcT83a0ZmCfub3rSzAL92lVnNv/qaPHXm4ieHoJcD8HxZo9bayAhTJ7Hx+MelEfAJA+QhfR8mbEWLdt5IJFwKZ7WbT+SoSBAiXauXSmexejurGUYO5S4wAeCdmVIdtJXkMOuK8XTvaQ1jnTgayxe7W81sWmhV1bxKr2Np3SUeJlnXVxJ23dKR8kq47HqJaWjhGhEEBnwqJRO3pnSUTJgnoT1qDuVQJmHXwI92ZLSUWJknnqtqxWV6CQnXAz7JSOqykeJbwsyOlrkzPDWd0ZHC5cZ36QZnetR61nLqHU1amaUE+niGwmSrMhH/vtZB3rkzEgmz+ckRRETI/EO9XCNEC77GXEm3FkCWwE81gNmBjHQxkGLmhnR+kznaKEyA5sknXM9a512Fg/1iCXBTvNItDiKWo0ak8xJ08SMKm/V27EeKjPkiXM5btK630FMdGC3N5eTkrmcXMaTSzB8LgdIRHBUxt34onI5QCsYvhX4u9BtyuUMpv9of/TXiJQOcFkEx5k9bq2BhIKmdIA8AqZ0gCyk58mMtaC380AeW5LRQTIUhCnRzrUro7OYH561TISHEhe4QNDGDMlO+gZy2HVldLqXtMaRDpzR8a6pVcZtwwbLKlmlt/GMjhIv86yLK2z7zugoWWU8Vr1kdJQQjQgiAx6V0bHP+K3FZ8ksu9P0hHPN4r4kszxKVswDsh6lqBIo80xMIDFbsjxKjMzDsHXloxKd5OCLYT9TjqhuZUqAW5Dm0SJnxry+0zxauMygJ03zXE+Rz1qmyKtRM0OfSCzfLMbPszwe+ScBHOixMwOcPNGTJ3lpH2gq06PFa4R42Y+Js+HOEtgK4LEeMDOQgTYUWtTMqNZnpkcLlRncJJme63HytL94qEcsCXiaR6LVV9Rq3JhcT2GSOCf67R3rsTIDnzjZ4+bK+33ERAd2e5M9GZnsaRuK6uHJJRg+2QMkIjhF4+6JUckeoBUM3wr8DSo/2cM5MCDzOh9NP55+OIyj6IXBw9v3B1UUpYPhII3tPzaafjX6fzffLaI4t99Nilvl/Ps+I+9CjSw4t+xxvwwkFDR1A+QRMHUDZCE9OGasRcseHUhkS3I3SIaCqCPajnblbhaz1DNylvoBlrjAB4K2Wkh20leQw64rd9O9pDWOdODcjfHRs0K3aqWXrtLbeO5GiZd5gMXVqX3nbpSsMh6rXnI3SohGBJEBj8rdpMvcTSrI3ShZMY+8etSiSqDMUy6BxmzJ3SgxMo+31tWPSnSSoyyG/RKiWcieGuAW5G60yJkxr+/cjRYuM+hJczfVde6GnIh9X4+aGfpEYvnGbsdEWTEy3iPOAz10ZnyTp26S1NgNGnlJR4vXCPGynxJnw50lsBXAYz1gZhwD7Se0qJlBrc/UjRYqM7ZJUjfVdeqGdBcP9Ygl8U7zSLS5iloNG5O5ScqkiEYpdU1Hi5UZ9sSZm2pnCWoF7EQHdnszN8TU0dvxfAgAmyeXYPDMDZKI4AyNuyMGZW6QVjB8K/C3p2EzN/HiKs63EjjFLW8GJzat+RukqQVnl/3tmZGEQuZvkDzC5W+QLKSHx4y1oPfpSCLbkb+BMhTEHtGWtCN/YxYT5A05Qf4AS1zgAzH7LSg76SvIYdeRv2EsaY0jHTh/490vWbkbt9LLVultOn+jxcs8xOKq1Z7zN1pWGY9VH/kbLUQjgsiAR969GXyvWYrHbrdA5Wu0LJjnXD1qTyVQ5tGWQFPS+RotRuaZ1rp6UYlOcn7FsV/qtd6eGt/m0zVq5MwQ13O6Rg2XGeOE6RoTL9M1hpz0fV+PmhnpRNp41d5pkpYRddp9oMfOjGfyfE2clqakRkEe6gEbIWD2c+KMuLMEtgJ4rAfMDGSgDYQWNTOq9ZiwUUNlBjdBwmbpMB60OIyHesSSgKd5JFqdRa3GjcnYxHmeVFQsOdaDZYY+acrGPhtLUCtgJzqw25uyycmUTSLjySUYPmUDJCI4NuNuglEpG6AVDN8K/B1p2JRNZC33W7vLfeoM7LPgLtSCglPIHnfDQEJBMzFAHgEzMUAW0mNgzlqQO3Agjy1JxCAZCiKKaLPZlYhZjLk35Jj7AyxxgQsE7aOQ7KRvIIddVyKme0lrHOnAiRjvzXgrYtNWemaV3sYTMUq8zOMprgbtOxGjZJXxWPWSiFFCNCKIDHjkRRpWIkbJgnl+1aP0VAJlHlkJJGVLIkaJkXlWta5cVKKTnEsx7GcMdaFaC3ALMjFa5MwY13cmRguXGeSkmZj0OhNDTh+/r0fNDHUicexJbFRlOSq9quJAj50Z0OSZGFNlZUI2PVPjNUK87MfE2XBnCWwF8FgPmBnIQBsILWpmVOszEaOFygxukkRMep2IIf3FQz1iScDTPBKtvqJW48YkYoo4tU9F6i1bO9ZjZQY+cR4m3VmCWgE70YHd3jwMsSW0W9hMxpNLMHweBkhkVRS0LRBzD4zKwwCtYPhW4G9IPXmYq7ftlt91cPgUnZZZ3qS5tbxJ4zPrLtSsgpPJHnfIQEJBkzNAHgGTM0AW0qNhxlq07MqBRLYkO4NkKIgzog1oV3ZmMaHekBPqD7DEBT4QtLlCspO+ghx2XdmZ7iWtcaTt//7wPz4nnEil++OLs5+88tqrHkOohK43eluNa1p4FgU9WpONViJfrzM1Xrh31HBXH7MW4zJFqjdR45TFl1dvXL1rv/HEKbFm7KCTaz46VpKaF/bUnG64RJrUeh6xnhx8zzq5/NZBnCfuQ2E/FO6zwrgPlf1Qui9L92Xpvqzcl5X7sipvHSRR4j7k7oP7Mo7cB/e9OHMf7J9IEvdZ4j5L3Wep+yxzn2XuM+M+M+6z3H2Wu88K91lRUT5Za9VMblXyEMBrykNnykNnykNnykNnykNnykNnykNnykNnykNnykNnykNnykNnykNnykNnykNnykNnykNnykNnykNnykNnykNnykNnykNnykNnykNnykNnykNnykNnykNnykNnykPKlId6Uxq5KflnFNaSY2fJsbPk2Fly7Cw5dpYcO0uOnSXHzpJjZ8mxs+TYWXLsLDl2lhw7S46dJcfOkmNnybGz5NhZcuwsOXaWHDtLjp0lx86SY2fJsbPk2Fly7Cw5dpYcO0uOKUuO9Zbk+y99lHQWrZ1Fa2fR2lm0dhatnUVrZ9HaWbR2Fq2dRWtn0dpZtHYWrZ1Fa2fR2lm0dhatnUVrZ9HaWbR2Fq2dRWtn0dpZtHYWrZ1Fa2fR2lm0dhatnUVrZ9GasmittuiNQ74Oi8pe8WNnxmNnxmNnxmNnxmNnxmNnxmNnxmNnxmNnxmNnxmNnxmNnxmNnxmNnxmNnxmNnxmNnxmNnxmNnxmNnxmNnxmNnxmNnxmNnxmNnxmNnxmNnxmNnxmNnxmNnxmPKjMd6M/JVi/AI0lpx4qw4cVacOCtOnBUnzooTZ8WJs+LEWXHirDhxVpw4K06cFSfOihNnxYmz4sRZceKsOHFWnDgrTpwVJ86KE2fFibPixFlx4qw4cVacOCtOnBUnzooTZ8UJZcWJzorN+/3yUgL+oE0T9lm6Qw72nreioljQbZx4YJV60GH24b2jxstMZyIE4aPB1Zuzw7vH08/daZwbDd2UmCxmVP9u4A6p7J98253MNQd+X86P/JovHtvfesf9ZPNvPZmfhz6ZfjGwP2d/c/po+tXsb7Cffd385YtKbvvvuy+/dFOpLYov7L/+VjOcevYPNMeDtGJVGntVVSELipQQjQgiA16yrCUaDaaf2MX55oXB9P3pPwxdY173X28yaFdNgJmCFZyUfpX4EL6kRshMtwqOPluKiJQYmXnWdY81legkOVWG/ahKciW6IBVE1LXXfT1sZpxVlA9laUWXD2nhMiOttHwovy4fIoc339ejZsZb0VkF99k40MNmRq7uwwAu1kM9ViPEyn46nP12lsBu7mu1gJkhS32wHWeFGUVe4XikR80MY9KqIRMTT8QDPVRmNJNUDeXXVUOkm3ioRyyJcJpHgnrtajVkTMEQhfNYj5MZ5oQ7dfdELEHd3BNrwDZoq5NTV3UwNKdZOsyqk2JYnp4kwzLL86SMTHZeXMz4kNvlH530WyxEbkLtprltEKSHJpefb2PdQkuyufYRuQMlIsjhcnfd79vd7OPnt7XPrn46qxGa7Yj/sdn8/rn99RfNHtftnR8tyoiazbSrePnV9P3h9GO7R/vF9MPp39qP/zD9xGeeu1DzGL55+JvQawvNi4Oe3/9PP14cWUx/644gpp8Npn9t7fOFKzxyhwO/mH4cR4OrN5vzhsZiTT3S1ZvuNz+O7LZ2kBj3zc985tqFmmtVO7SYS7DlJai8BKWCKQsaeXfv96BMAhYGAVlIqxIYq0HttIEsglUFxcko9Sbs97H8BPFEtKu8oXFWaoKKRQEJOSr8AEtc4Pr0WydqUY+w3KTvHodb64IecRa0xpFu1O5lfmnOTy5OhmlyWg3j+OJieBJHyfA8zvP45Cw6Pa26CoYQatcbQazabRsC6bUFj194tQskIvBOfLW7SO08sTL3sdVlVsU5VfZcnmfw/YvXT350Mjg4ef3kz/7sFVck/8ilpNz95UF9L4+jNIoeDvIo+vfuV2X/sq9csum3TTbqi0Wh+ZtNkumtWVue5xSgz453oXY0fDuKZLE3S7ZqvfqeiZI4sQZLoujqndJ9iOOBM9qtl19+dfpfGqt95nJo7psunWe3GDOp7Loa/ZP9Nfvye/YfeDxw/4r7pksAfRB7Xc0u1JqC0CFQzWSiCMgEJJoj73Wye1AqAVUzkIU0cjOWg1LNQBbhVHNcpXQqC8lQEJl61c2L+dKmZWQ4lLjA+el1M72sR1h20vePw65LOXcvaY0j3SjnPCrK07RKhkl6cjbMLk/MsDT5yTBLzqryrLhITy6zl8MrZ+/WySrnSmoLHr/wyhlIROCf1lHOj759HPpocPTKxU9eP3H/efXPTuZ3TK+F8PTZ8PmD0A+auqmF2Gt+9vtVVEVx9DCKovjfHB9F7ptW8D2aVX01lV3u32x+1mrvP3C/SiclfSa+CzWx4Zu4f1E9/cgdOs9N2Jw7u8PmF1/MoyRyUtudTP+t68Dklmv69dXPr95z2xL3E1mS2J+45cx39U7zodnAjHwW3IVaUBBL+hDSQCahhTSQSkAhDWQhDeSM5aCENJBFOCGdFtkoMz6G+1iGgkDVq5CuFqqLHHh8gCUucH56IZ1U0Sjy+sMjLDvp+8dh1yWku5e0xpFuhPRZUqVJEp8Oz6vU/myWZMMyiaLhRXxaVadFnNsffzm8kM58trgdz2fVC2zB4xdcSCOJCPwTV0j//XPXBR4Npv+1OTN+PLu/MJh+vJumf+T0bZTNz4zt7zelBc09hecVtM8ad6HWMHxr8DWvj8YulIbA9wqEJ1n3gKQCUZ7RKDE+KvegVMIpTyQLaeTjLIePxR6URTDlmdlnzbvL2cfyE/j1PnVnvhgwm7fMDIYSF/g+te4kF/UIy0367nG4dahOxoLWONKz49vLMsovz6PhZRJdDrOzvBqW51U1PLu4yKI8vTyJsnmUCKo6jc8WVnW2jaDyK3AWv/CqE0hE4J24qvOXKzdhH7lOeC6VPrsJ++b00ex8dXY0+2tXtzr9ZPqr6Qf214fzk9z7R0MTD6a/8BnkLtQghm+QtYUnkIbA+fYiPIFUQMIz9rqNe1AqAYUnkIU0+HGWw8diD8oimPB0bY+JygEoP4Fr71V4xgudQg4MPcASF/g+tfAkF/UIy0367nG4dQnP7gWtcaSbHny3loorcNsVoqY2T1rZ0i3AeWAlkvH5tisJ1XZFi3fVhQRtuzLrkPLUZZWb7zy2MvIraniSlmHGYyjrdTL9G3f16uqvrn46q1twbVv+0h26Xr3tkuV/M/3IR+JFNQkjIsEgcN0NxQd0Vw2UeYVcoEipHLwW4arYRHY90WJk3hNfV0Eq0a1GKEzXEy26IF1PYlOkoyjzId/XI2dGOnnjkyxOyL4narTMUCfse5Iny74nOTmv8b4eNTPgifQyt1nAgR42M4r12fdEjdUIsbKfDme/nSWwFcBjPWBm0FJvJVq8xZEeNTOQyfqe0J7igR4pM5wJ2p4svcSDFi/xUI9YEuI0TwTd9kQLOXTbEzVOZpCTtj2xT8QS1ArYiQ5s8yCcpBdpYszQnJ7kw6y6KIanp2flMCmqi/g0TsrqZG53crvasn/Xblmptid5KqPJ5efb2LbQkmxufUTuQIkIDs24u97Vph7cHS2QpeGz5G8ar4m6hiSuUvzp9f3KOffP7Hd/6y7CXr0z+Ha1vd3/v7NyGGD/3Pct/dcGRz/80x8PspbWJUhbCU4TBftWOpMCpALKpKQ+JvegTAImUoAspIe5nNXwsdiDsgiWSEkSup0olKAgKIh2hl2ZlHRx8E5O/DzAEhf4PvX2h17VIyw56dvHIdeVSule0RpHelbDk50XxdlFOjyNy3KY5SYZ2j996lqenMen+cl5ac5eDq9ZvdLcatZMagsev/CaFUhE4J64mvVmDc/iiqW3lGeW5nCt6Jvhl0P7nyf2d7+Z/9RipqX9KZ917kKtY/jWEWjdpYFai5s8Lft+3XTke2txX3Jw/8jEg9sDn112oXYR+PZedC2QCkjXkhVCQCoBhS2QhTS0cpbDx2IPyiKYsM3LUUbpWiQ/QeDoVdcuhjrmLXM6ocQFvk+ta8lFPcJyk757HG5dsrZ7QWsc6UbWlqdRfmnOomF2EsX2JxL7p/LzYliaqoouy7MLs0g8BZW1qc8WVtYaqS14/MLLWiARgXfiytqP5/Oblo2n3QSlr2ez1KnT2cH3Fr/l+u79X9PH0y9nstjKu+n707/+/bkyPj55/Y8vfvKT+XSn7n+p0cfPrGZ8q1GPi4nvHgDzy5nz35//6Z81I6CeXr07+wer2GTePdRd6BoZ/hrxxbWPxi6UhiAeCLRwx+x6JCGIIvbmle5BeQSUw0AW0pDMWAtKDgNZBJPD5GyVfSw/QcDpVQ6bhXoyLXIYSVzg/tRymFzUIyw36bvH4dYlh7sXtMaRbuRwkVwm53lVDvPTOBtmZZUOq+zyYhjl52V2flFF5xuRw5nPFlYO51Jb8PiFl8NAIgLvxJXDv/621OQq3axpqTyYy97d2/dnn41/9OorP/6T117/yY8Ht+8e740PBw+zyKONh0uJ/C39OzsxXVG/Hrl79RfzJn9N82vfOtyFroPhr8PakhdIQ+DzBZKXLMcHMsFoXX8V1T0ok4BqF8hCGnEZq0GpXSCLYGo3Tsmxo/tYhoKI0qvezRfyiBxJeIAlLvB9ar3bsqxHWHbS94/Drkvxdi9pjSPtJG+bku33Sih1pFu0sCurfJXdxq+EKvGuOo0tvhKqZJjxGAa6EqokYUQkGAQ6r4QqgTJv1/ShQZUImTdpJNqSvhKqxMi8Q7OualSik9yXYdjPZKnfq+2pEQa6FlpVo9j7dO7rkTOjnfxaqDE5fS1Ui5YZ7qTXQovra6HkWLj7etTMoCdSyTc6iuRlViZEJ/YDPXZmOJPfDU2juMrTUe59RA71gI0QMPs5cUbcWQJbATzWA2aGMP1WwhTJqPL6jSM9amZYE14QrTKi6uWBHikzuEkuiBbXF0RJf/FQj1gS8DRPRGmyxCSj0vhw12rcmFuiSV6aqBzN639WwB7rwTIDn/iqaLGzBLUCdqIDu7UJGUJG2c1s2xQoD00uv/AJGSARwfEZdzf8zzchA1wHw18H/nbXR2MXSkNwKNnHZhjIJHBCBsgkYEIGyEJ6IMxYDVMVo4zagwOpBMzK5DZCehnuYxkKwopov9mVlVlMh8xbBn5CiQscoH4r1ZqVQbKTvoQcdl1Zme4lrXGkt7csn27rWUltweMXXvYCiQj8E1f2dhfL/3MsyweukeGv0dqSGEhDEBEEkrirLB9ICKOMfTzuQXkE1MVAFtKQzFiLxHjLA/agPIKJYhMTR477WH6CkNOrJF7MecxbRndCiQscoFoStxXmI7lJ3z4Oty5B3L2gNY709rZfIYuaikhqCx6/4IIYSUTgnbiCOHD7FaR1DN86fCnad/sVn1l2oWYReHaBtCW7ryCpQEQt3X0FSSWcrkWykEZWxnKU8SjLvQuyB6USTNrm1chkPn77WH6C4NGntC0WwySLlumgUOICB6iWti0tWKDcpC8gh1uHtGUsaI0jvb3dsFPqzmnRNrDKawsev/DSFkhE4J240lbZDRvJ0vBZCiTq5rphI20lcNu96FYgFZBu9W6l70GZBJStQBbSqMlYjThPRpV3QfagVILJ1iRJR/N7dTd1K5KgIDL0qlsXsyiLluGiUOICB6jWrW0tsaHkpK8gh1yXcO1e0RpHejFddO5BnR4NOF2UkqZJC9uiKFbZBrpKWlJXSbV4V31IH1dJrYj6enlo2twtfbfJyH+6SPk3uqqpAPjzRpM9pkpWtawyHivZ9VEfxBfVEI0IIgPe9eXQ0WD60fQfht4ne1cNmHnDRqA4O4oAtECZl2r4erLlrqgWI/M6zbpKUYlOcnWGYT+v7fbU6ILcE6WnnKhhM+OY/JJoElFov69HywxkwkuixfXs0KJldqgaNTOcieQw99E40MNmxiv5/VB6dqgaqxFiZT8dzn47S2ArgMd6wMzApd4pxFE2Ml7QR3rQzCAmuxlKO4oHeqTMUCa4GVpcjw6lncRDPWJJeNM8EPToUC1kzKVQenSoGiczxknvgxZudKjfMUx0YJtdQhpfnmdRNozOq9QlVvJhVcWx3a5enJ6dXUZxkswfbnIv2rI51+5HqfugRSqjyeXn27W20JLsXH1E7kCJCI7EuFvaj643qlc/HxwPm1r3N+w+64tFictH0w+m/30YxYv6oFlN+uPmx565a6GP5kVEz6aPZz+SFFH0B6n35bsLtY/h24e/8/TR2IXSEBwA9rgfBRKC5EHsvtX4qNyDUgmYCAGykJ7CMpaD2gYDWQTLgVTRqPK2a9jH8hP4e9GerysFspghWbRMBYUSF3hA9caGXNQjLDfpu8fh1pUB6V7QGke6UaPurzkrYjOMT8/iYRZdmmF5HlXD2JxUcXIRZWfV+cvh1ahXdFs1mkltweMXXo0CiQi8E1eN/merQz935SpWSk4/azTlF67UnK7BfvxHTnL6yN+Fkjd88nypeV3R85UrqJ/lOxY63FPk84H99Cv7B1yV+kuv/PvB9B9XrTSY/tb+/tPmx9Mycn/xU5+xdqHGErhzvqC9+tnVWz4qL0GpQKRsNIoqH5V7UCoBpSyQhTSccpbDx2IPyiKYlI3JQ9J9LEFBtOhVyy4GRxYtk0ChxAXOT61l6VU9wpKTvn0ccl1itntFaxzpsJ3gjY+dlaemhV1Z0QfYPLAS2ckr31HiZeY7ueqy7/IdJauMx6qX8h0lRCOCyICXrpbv2I1oaxmPEjgzG8pXmZ3HpkqgzAwoX0O2lfEoMTJzn+uKQyU6SZ6TYT9K9CnRBSnjiatyVHqPMPb1wJkRredCHi1aZkiTFvKY60IecsLifT1qZmATCWFu/vtAD5sZuXot5NFiNUKs7KfD2W9nCWwF8FgPmBm69HsE0lkc6UEzw1iPhTxapMxgJinkMdeFPKSTeKhHLAlwmgeipZBHCTl4IY8WJzPGiQt5zM4S1ArYiQ7s1qZODFnIk8tocvmFT50AiQgOw7ib255TJ0Dyhk+ev8HcaOoEaCzB6SF/U9uSOgFSCZ06AVIJmDoBspAe3nKWw8diD8piO1InSIKCaCHaMXalThYjV4uWKbpQ4gLnp98WtaVOkOSkbx+HXFfqpHtFaxzp7a1KN2QdUPswJo8tePzCi1kgEYF74orZ8FXpQPsYvn0EevcTj1G++ZbZZjYaRPHge4771Ttp5IY4/f6t5TylwbDdcD5b7UJtJfD4fLnbmcMBEoKI3pbSdyCVgKIXyEIadhnLQYleIItgoreKRon3pGcfy08QVHrVvMVCIZFDOw+wxAUeUK15yUU9wnKTvnscbl2St3tBaxzpRvJWVXV6WV6cDs/LPBtmWV64aUbR8MxEeRqfnF5GJ2cvh5e8qc8WVvKWUlvw+IWXvEAiAu+kk7zTX3rknTu6/atZV3F3zDs/ypyNHVroYe+NlrtQYxi+MQT61meAmb6djU16ZpXrl/Nmll9cvXf1l03/SmuHv5n+36tKuD754cm/HXwvTpMoSn5/kCVX78TGaeFvSeEomath9485qz73lceou1CjCsJAj0IYSAgkhL1h7B6USUAdDGQhjcWM1aB0MJBFMB2cJdUooUqtkAQFoaZXIbyY7Fi0DOuEEhd4QLUQplf1CEtO+vZxyHUp4e4VrXGkw9bN5z52VttWrezKVXYbr5tX4l31GVtWN69klfFY9VI3r4RoRBAZ8JLB9Mngunh++mRRPu/DvavGzaw97FFpKoEy6w0lCpIum1diXNWHoLJ5JTpJVSHDflXlz53tqQEGqZw3STLKqXNNLXBmTJNXzsfWypW3zOX7erTMoCatnK+uK+fJEYj39aiZoU0khW88HHGZJaPK+3gc6KEz45e8ej6uSjdz3ov3UI/XCPGynxJnw50lsBXAYz1gZhTT7xaqbJRnPtBHetDMiCasoM9aKui1SJlxTVJBX11X0JPO4qEesSTW6R6IKC9Hifc5rtWwMVX0SVpGJV1Jr8XKjHniSvpqZwlqBexEB3ZrMzE5VUlfRjKaXH7BMzFIIoLjMe52F5uJQRrD8I3B34J+FzIxSKMKziH72x8jCYXNxCCZhMvEIFmsqpQWFtxdeRxVo5jYlyOphEvH5PloflZ9Y/8OJSiIN6I9aEc6plwMXy1bpulCiQvcoH6D1ZKOgZKTvoIcch3pGMaK1jjS23uxNKdq8cv2CW0eW/D4hZfDQCIC98SVw/1eLEWSN3zyAvm7wYulSGMJ/Dlf1tIXS5FUIIKWvliKpBJQ0QJZSMMpYznKUZV49d4elEkwQRtHMTlmF0pQEDF6FbSLoaxly5hdKHGBA1QL2sTQl0uh5KRvIIdcl6DtXtEaRzpsfZH3bM9K1KSVXbXKbtP1RVq8zCQsV2H2XF+kZZXxWPVRX6SFaEQQGfCo+qLMh3tXjZuZmeULzc7zUyVQZjaWLyNb6ou0GJl52HX1oRKdJOfKsF/l1UR7anhBqoviOBnFlJjTAmdGtH6ri9RomSFNWF1UXg/YLVsG7KpRMwObSAjfVPpFXoxS7+NxoIfOjF6a6iL3gETeiHCox2uEeNlPibPhzhLYCuCxHjAzhqn3CnFc0IffWtDMeNZfdZEaKTOqCaqLyutBu7SzeKhHLIl0ugciMSmRxqvVsFHVRRH5UBzrsTJjnrS6qHQDd/0OYqIDu7XplIKsLkplNLn8wqdTgEQEh2PczW7P6RQgecMnz99wbjSdAjSW4DSRv8ttSacAqYROpwCpBEynAFlID3MZy1EShex7UCLbkU1BEhQEDNEmsiubshjwWrZM7IUSF/g/9Q6pNZuCJCd9ATnkurIp3Sta40hvb6vOgiwPyqS24PELr2eBRATuiatng7fqRNrH8O0jkLyba9WJtJXA4/MVb2deB0gIonvpVp1IKgF1L5CFNOxyliOKRlQZEZBJMOFblaOYuNYO5ScILL3q3sUs2LJlui+UuMALqnVvS7tOKDfp+8fh1iV7uxe0xpG2//vD519XJ2d/0KZv+60q8jomq2xNC92ioE/PeWAlivX5qqI4IsuKlICZ2VeuMm3KipxUmv6uKTD61Immb6ZP3a1N+xtvu+PDgf3ii8H0y0ZZPWrOJD9rPvt6+sT+EVeR9Lv5H7JffumOad8cWBXnlNcT+4NfNj9w9bNGhH16q/ndbxqR9rn91iN3mml/8vHsLHf2lzX/gjvsnYu3Lxf/xrP5qeY77icbxE989r2rtm/Gs28vBU5KiEYEkQEv+fbg4V8Pvc/srhowMyvcowJWAmVmgkXKlqxsUmJk5oDXlaxKdJJ8L8N+XtvtqdEFKWyiByCpYTNDqrysKYtjctywGi0zpkrLmq7HDZct44bVqJmBVaTMuY/GgR42M17JS5roccNqrEaIlf10OPvtLIGtAB7rATMDl37Tko+yzIf5SI+ZGcNk1UxpkdHVTFqkzEgmqWa6njZM+4iHesSS6KZ5Huhpw1rImEqmliomLU5miBNXMblpw36/MNGBbVSOOT/L48tkmJnUfshMNTzNTorh6dlpepKf5iar5kGQ3BW3nBNod8ZkFVMuo8nl59s/t9CS7KF9RO5AiQgO57h76/eXG+YnVz+1n7/ZVDTZbexzu+fB9y9eP/nRyeBHJ6+f/NmfvTJP/0w/niU05hU71519Zr89ePHFPIrSKHp4a7DbGGNw/6UoHkxefeUnr/zw4t9YI7w2+LevX/yHwdG9weyP5C5h0nyIm6yJz8B3oQY2fAPzd652t/rcUUXHQcWjhbEPZsYezPJy8yRRU1T15dWbL7/8qjNvkljzOtPld46d9f59Za7eqQYrbZjsyswXavps2NmACWhdwRGrYJv9lTeP/BKUCSTDFBEn/vegVAJmmIAspCfcnOXwsdiDsgiWXSrJApx9LEFBBBNtYrvSS4t5uWXLBGQocYHvU+/U6FU9wpKTvn0ccl35pe4VrXGkG4F9llRpksSnw/MqPbM/m2TD0gbk4UV8WlWnRZwXF/PHPajA9oZDK7DbRuN5bcHjF15gA4kI3BNXYP/9cymmR4Ppf50+nn7RaD8nrKcf76Zpcysgyr5dFvSkyRt16bW7UGsYvjX4athHYxdKQ+B6BbLzy+lnPiovQamAdKf/Tug9KJWAuhPIQhr5OMvhY7EHZRFMd2bRKPG2XNnH8hP49V5l52JmbdkyhBhKXOD71LKTXNQjLDfpu8fh1qU6uxe0xpFuVGd+WUb55Xk0vEyiy2F2llfD8ryqhmcXF1mUp5cnUTaPEkFVZ+qzhVWdpdQWPH7hVSeQiMA7cVXnL1cqkx7Rt1J/N5j+evqL6cfTT6a/mn5gf304P+C9fzQ08WD6C59B7kINYvgGWVt4AmkInG8vwhNIBSU8Xbr9Jpd7UC4BlSeQhTT6cdbDx2IPyiKY8izLUUkdeCL5CXx7r8pzMSO2bJn6CyUucH5q5Uku6hGWm/Td43DrUp7dC1rjSC/r6edSMnA9vbfhgBWXVRvdMl6lG6qePibr6ZWAV51IH/X032rTaT991NQrL8rbP/OW2DeTgG4Nmj/09Oqvrn46fXT13sD97vN/39Xbg6ZY3x1zvuUOOb928vOtRpH+9urdQTNv6Fnztz9ust7v+ax1V22tjGetXqrjlRCNCCID3o3qeG8WYFcNmFlkKJCxXdXxSqCrQhVaHa/EyKwpXFd8KtFJ6gcZ9qNEpRLdpqvjtbCZAVJeHR/nVNXr9/VomRFSWh1/PVK4bBkprEbNDJMinc19NA70sJnxqtfqeC1WI8TKfjqc/XaWwFYAj/WAmYFLvQWJy3hUZD7QR3rQzCAmK4+PTU6Xx2uRMkOZpDz+epQw7SQe6hFLwpvmgWgpj1dCDl4er8XJjHHi8ng3QtjvGCY6sI1QzE2WXGanwzNzFg2z88vz4cllVgzNaXmSpHZbXJr5o0Juclu2/dqNLlUeX0Uymlx+vu1wCy3JlthH5A6UiOCsjbtV/nbp9mIWbn1w++Hx0cPxS3v3dwe3H0xup8W8hL0yf5AW0w+mHwySW8n0A58N7kJtYPg24O8uVyvYP7Nf/HZxUWBmkhdf++EP//ji1cH/fH8QR9EgirO8uwR98PD2/UERuR+dvj/9gNizIs0lOKXsb2+LJARJ1BBl6Uge4ZI0SBarYqOFxZr7aSSLYEmauEgIMb2PJSiIHKLdY0eWplqMjq1ahgFDiQv8n36LRK7qEZac9O3jkOtI0zBWtMaR3t7u9RVVll61zZHz2oLHL7ywBRIRuCeusO23ez2SvOGTFyjaDXavRxpL4M/5epbuXo+kAlGydPd6JJWAYhbIQhpOOcvhY7EHZRFOzEZ0GglKUBAtehWzi7GxVcsgYChxgfPTi1lyVY+w5KRvH4dcl5jtXtEaR3pZc5S9vBSpAWuOYu8iW8GatPJNV/mGKjrKqKIjLWBmNpUrOIkmns+c1rp6t7ki+d7sG0+f6+bZtN5sjhGfNILL/d6s+4grKnJlSFaB/ZWP+F018YxHvI/6IS1EI4LIgHddP+QDuqsGyky/8rUo2e5Di5CZa+VLzJaCIS1GZpZ1Xe2oRCfJqDLsR2lCJboNFwypYTOjm7xgKM/pdppqtMzoJiwYqq6nBFctU4LVqJkhTqSSuY/GgR42M0D1WTCkxmqEWNlPh7PfzhLYCuCxHjAzYqk3EEmUW6nmPYQ40qNmRjFZxRDtKR7okTJjmaBiqLoeD0x7iYd6xJL4pnki6IohLeTQFUNqnMwgJ60YqtxYYL9nmOjAOrSX2cVplecnw1P732EcX5wOy+jydBhFJjJ5WcaVmYdBcovasmlXb1PJkqFUxpNL0LeZbeEl2dD6iNyBEhGclXE3usvMwmwv++TqbdfU5/qCzCyh8Ln95O2rd5qhEV81P/r1LL2wSEL87fSp2xB/62KO3Se/M8tYfH719vPfampwht/eTk9/9737/+b41vUmeni9i/79W4PpP7k9tvtXr950f9B+fDb97WJixdXPB/EwvmWufnrruUaf02fDJsvxT/ZXw+PWILuVxtSV5LvQpTP8pePvg9mr1yzOrPTpW1NFOhf2X7/2o5Pmwx+/9sMfDo5f+eHFIPn+4GjiLDmgLLkLtaTg3JS/UW9JGgGpQJJGVPkTkEfAjBGQhfTMmrEW1OkAkEWwjFHLKQKSniAGinbCXfmixWDcqmXUMZS4wO+pt3tZRl67OMKyk758HHZdCaPuJa1xpBuRbi6q4iIrzfDs4jIeZqen+bA6yS6GJro4N0mSX56ez5c9rEj3bkasSM+kxuARDC/SgUQEDoov0m+K4ub2+qNZFmoh6ObZpvro7uDf7P2b24Pa/sMXP17OjvvL2XA5K+y+cjXu7q94bD+NbqV0/3qkpQzfUgJN/NFz5phr3pdee/30tcHu5eXFH//kZHD0+muXFz/+8SuvvXryw0EZ5dHgeHD/lX/7v/1kcPe1V89ev/jJxeDo4XhgXGv/5kMy71F/bcTFDAFnwt9ZA5bMLvbtNweAphYED75oprNbQCYYzTyKUh+Ve1AqAWUzkIU0cjOWg5LNQBbbIJuR9ARRqVfZvBisW7VMSoYSF3g+tWyOTVudFZKd9OXjsOuSzd1LWuNIO93cJod7LquiTqtNC70qilbpbb6sSgl41W1898qqlMQzHvFeyqqUEI0IIgNe2lVWpQTKTFL3ITyVCJkJaZGgJMuqlBiZqeh1laISnSTtzLAfpQCV6DZdVqWFzYxuPZdVadEyo5u0rOp6SnHVMqVYjZoZ4kSqmPtoHOhhMwNUr2VVWqxGiJX9dDj77SyBrQAe6wEzI5Z6w5CYzNAbBi1qZhTrsaxKi5QZyyRlVddzimkv8VCPWBLfNE9ES1mVEnLwsiotTmaQE5dVuTnFfs8w0YHd3oxNTJZV5TKeXILhMzZAIoKzMe5Gd5MZG6ClDN9S/G1nkIzNvJ6p95wN0NiCk8s+ts5AJqFzNkAqAXM2QBbSY2PGclA7diCLbcjZIOkJ4pJod9p6wO84LQ74W8YPQ4kLPJ96C2YlYEvOBslO+vJx2LUu6RFnSWsc6S2+jxCTpU6F1Bg8guGFM5CIwEHxhTOvov1/iPsIwKUz/KUTKHnu6gW/jwC0pCBY8WV6y30EIBWMTvfxuAflEVCkA1lIdQJjLSiRDmSxDSIdSU8QA3sV6YvZvlXLsGYocYHfU4v0zGQt9xGQ7KQvH4ddl0jvXtIaRzpwYRUlu9tmAlYRPc2Bh1Yip5mFVUrAzKwzVzZvoLBKSTzjEe+lsEoJ0YggMuB1FlYpga66YGBhlRIhMyUtUJMthVVKjMxk9LpKUYlOknhm2C/Nc+P3ZXtqiEGqq+JolHnP+/f1uJkxrufyKi1aZoyTlleV1+VV5LDe+3rUzEAn0sY3HuoySfJR5W1TdKCHzgxV8hKrJLN405jo2nmoR2yEiNnPibPizhLYCuCxHjAzgqk3EIlpu9CsRc2MarJCq6JKRwlVaKVFyoxtkkKr8rrQivQXD/WIJfFO80RUaV5UlRnlVLmVEjim3CqpoiI2xSj16rJjPVpm6BMXXZU7S1ArYCc6sI3Ozc6L4uwiHZ7GZTnMcpMMT1K7j82qk/P4ND85L83ZjA+5fW3Zv6u3sGTRVSXjySUYPncEJCI4N+Nugn/ZDG13yYLFpPg/mm1n/VNCZrVYbpbI5y47MXQDRZpszuynnjTJh+anfNa5C7WO4VuHvw310diF0hCcEQo2qUSa5yUoFUhuJBo5yXaTyj0olYDpESAL6QktYzlMVo2K3Lsie1AuwZIkeTUymY/fPpafwNuLdoJdWZJqcaRODmc+wBIXeED1Jodc1CMsN+kbyOHWlSPpXtAaR3qLC5kSopApmW9+BcbgEQwtRqFEBO6JK0a5pTD/AxQyQZfO8JeOr5TZqxe4kAlqSUGo4ot1spAJSgUi1v2FTFAewZQ6lIVUJzDWIktTH489KI9gKp0sZcLSE0TBHkW65TTTdPNPfMQPsMQFnk8t0ttKmbDspK8fh127TOcsaY0jvcUXdZOR129Zmd42mNBrDB7B8DIdSETgoPgyfVMXdaGWMnxLCVTxd/eiLtTYgvDBF85UKRaUCUY3Uxd1oVQCSmcgC2nsZixHWhRmFBlKPwPJbIN+RtIThKde9XO8EFv0KGsscYEDVOvntvu6WHbSd5DDrks/dy9pjSMd+CoApYiTVnrJKr1NXwVQA151G9+1qwBq4hmPeA9XAdQQjQgiA17H6Go1UGYhZR/6U4mQWTQp0pXEVQA1Rma55LqCUYlOUhrJsF9aJOnI+CDuqSFu+CqAHjczxvV6FUCPlhnjZFcBLJzFVQD7KXkVQI+aGehE2vjmVYAyzYm+7Qd66MxQpbkKkMdJat9D/1UAPWIjRMx+TpwVd5bAVgCP9YCZEUy9gWiuAvjvnR7pUTOjWm9XAfRImbGNfxXg2l88aPEXD/WIJfFO80RUJi6KOBmV3oeiVgNHXQUwaVZGxINxrEfLDH3CqwDu6ViCWgE70YHd3rROSlwFSOYnn2yeXILh0zpAIoJzM+4meJNpHaClDN9S/C3pdzqtAzS24FSzj201kEnotA6QSsC0DpCF9EiZsRxpmRqrDYyPzB6UzDakdZD0BOFJtHXtSuukixwAPXEaS1zgANW7sva0DpKd9B3ksOtK63QvaY0jvcW3F1Ly9kImNQaPYHj9DCQicFB8/cyrf/8f4vYCcOkMf+kEgp67esFvLwAtKQhWfLXecnsBSAUj13087kF5BNTqQBZSncBYiyzzCp49KI9tkOlIeoIo2KtMzxaajp5wjSUu8Hxqmd5+ewHJTvr6cdh1yfTuJa1xpLe4401K3l4wUmPwCIaX6UAiAgfFlelhO95ArWP41uErYR+NXSgNgTPmy1Cy4w2UCkSGkh1voFQCKlEgC2koZCyHMeXIJN4V2YNyCaZG6Y43WH4Cb9+rHDUL7UJOwT3AEhd4QLUcpTveYLlJ30AOty4x2r2gNY60/d8fPr+q1ugv/KBNdfZ8N8C7yFZv5i18i9Ks8g11NyAfeQHfUQNe9SJ93A1YnALO8v3fOpu1//1sdl3gqTtlvXrr6m2nHuc3AeanidOvnF68/mHGBQEl+4zHvpcLAkqIRgSRAe96VsDInc3+ekhVPigBr7rn9S8KuMfiMwv2Kx/Ql9RAmZWVfOnZdl9AiZFZU7muplSik9RPMuxHnVkq0QW5KpAW1SjxHlrs64EzY578rkASU2en39ejZcY86V2B/PquADlT9L4eNTPwiaQz96D6QA+bGbHk9wQorId6rEaIlf10OPvtLIGtAB7rATNDl3pXQTuLIz1oZhiTXRCgHcUDPVJmMJNcEMivLwiQTuKhHrEkwGkeCMrItRoy5moAhfNYj5MZ48SXAvKdJagVsBMdWIf2/CJO8vPLy2GanEcus3IxPImjZHge53l8chadnlbzeELuW1t28uq9K3kpoG2Gn4cnl6Bvh9vCS7LL9RG5AyUiOD/j7n4/en5Xu6x/ab7X7GwfX71t97aPBt9b/Naz6W+v/q/p4+mXswSLKyJ6f/rXvz+Io6gpXh/8z/ebz188ef2PB/deP/kPgyjO8sGLr/3wh3988eqA/Q8ufudzV6RjN9xfzrfWTebm8+aW/uDqZ823n/pW4i50JQx/JfjbXB+NXSgNwblkj5tfICFIfib2O617UCYB0zNAFtLDYcZqUFtuIItgiZk0y0aF8RHcxxIURBbR9rL1IN9xWhzk0xObscQFHlC/hyJX9QhLTvr2cci1rugRZ0VrHOnAXZq8a2q1bPtMr3SV3uYzMUrAzAMprhbdVCZGyT7jse8lE6OEaEQQGfASbiZGCZh5nNWjGFUCZR5hSUQmnYlRYmQeXq0rH5XoJAdVDPtRslCJbvOZGC1wZszrOROjRcuMedJMTHmdiaEHOOtRMwOfSCpzDzAP9LCZEavXTIwWqxFiZT8dzn47S2ArgMd6wMzQpd9FtGVitKCZYazHTIwWKTOYSTIx5XUmhp7arEcsCXCaB6IlE6OEHDwTo8XJjHHiTEy5swS1AnaiA7u9mRhDZmIqGU8uwfCZGCARwXkZd/fLTYx8FzMxwJUw/JXgb3N9NHahNATnkD1ufoGEAmdigEwCZmKALKRnwYzVoLbcQBbbkYlBEhREFtH2sisTUy3O7emp0FjiAg+o30O1ZWKQ5KRvH4dcVyame0VrHOnAmRhv9dTtJI5a6WWr9DaeidECZh5IcbXohjIxWvYZj30fmRgtRCOCyIDHvROjBcw8zupPjGqBMo+wJCKTzMRoMTIPr9aUj1p0koMqjv3yJKNmaGghhknHlIa8F60Gzgx8/aZj1GiZgU+YjomjZTomJoff3tejZkY/kV5eNXee5GlUjQrvCfyBHjszdslzMmkWx5khEzNqwEYImP2cOCPuLIGtAB7rATMjmX5T4RIz3uh7pAfNjGrCxIxJyMSMGikztgkSM0t38aDFXTzUI5bEO80Dkcd5lCWjsvLhrtW4MdmZLKrSIiNTNGqwzLgnTdHYZ2MJagXsRAd2e1M0OZWiidunXN7gySUYPEWDJCI4SONui7kZk+9giga5Eoa/Evz9r4/GLpSG4ICyx10xkFDYFA2SSbgUDZKF9JCYsxpFmY8q4+OyB+USLlFjolHmVVr7WIKC+CLaeHYkauLFGOy4ZbI5lLjAD+r3VC2JGig56TvIIdeRqGGsaI0jHThRU/joWUWbtNKj7+Tz0EqUKjNRowTMPKriKtJNJWqU7DMe+14SNUqIRgSRAY97ZUYLmHm81aMkVQJlHmlJpCadqFFiZB5mrSsilegkB1cc+xW5jbI+iHtqiJtP1GiBMwNfz4kaLVpm4JMmaq6nncct087VqJnRT6SXb5y+llGaJ6PM+3wc6LEzY5ciUVNEpizoRI0WsBECZj8nzog7S2ArgMd6wMxIpt9UtNygUYNmRrUeEzVapMzYJknUXA87p93FQz1iSbzTPBB5XiVJMYq9Nz5qNW5QoibLiigb+cckHevBMuOeOFHjRp37XcREB3Z7EzUFmahJZTy5BMMnaoBEBAdp3G0xN2/yXUzUAFfC8FeCv//10diF0hAcUPa4KwYSCpyoATIJmKgBspAeEnNWo8pi4nR0D8plOxI1SIKC+CLaeHYlahaDreOWWeVQ4gI/qN9TtSVqkOSk7yCHXFeipntFaxzp5diZOXOna0OOnfFukqzEzVr4FmWxyjdU5qbyh7c7asCrbqSPzM3VG1ZU/K7J4XzqS9O4Sd4uFePSM4+a+eCfNZ993YyldtLydytTqhvd6iN+V0084xHvJWmjhGhEEBnwrm/X+IDuqoEyj7h6lKVKoMxjLYncpJM1SozMA611haQSneTwimE/r+321OjC5GkKQzTJ3NcDZ4Y5eZ4mK1I6T6NFywxz0jxNdp2nIecx39ejZsY6kVy+8UCT/c3UsDMhbPajQfc3U2M1Qqzsp8PZb2cJbAXwWA+YGbr0OwnSWRzpQTPDmCw7QzuKB3qkzGAmyc5k19kZ0kk81COWBDjNA0H3N9NCxiRm6P5mapzMGCfOyWQ7S1ArYCc6sA7t6UWRnxaX0fC8TOJhZnfAw5Po1AzPs/PqNCrLuLyc8yG3qi2bd/V2lczJGBlPLkHfpraFl2Rj6yNyB0pEcGbG3fB+NN+mPrv6qd3hvut2rk2N4fR3fzQvR/zHZl/75/bXX9hfbzQljW6vO//pb9wO+aPpr6bvD+0295PpL6YfTv/WfvyH6Sc+A92FGsjwDcTfddq9e2OQZZro21v7xXnB9Lf2v0+mnw2mf23t84X99aVLOv1i+nEcuUzS46s3ru376OpN95sfR4PpJ4PEuG9+5jPXLtRcgqNIwd6XoPISlAokGRP56/DuQZkETMYAWUgPgjmr4WOxB2URLA3jbpV6I+M+lp8gooi2lV1ZmMWo+JgcFX+AJS5wfeq9E7moR1hu0nePw60rCdO9oDWO9KwIKUsKUxTxME3Oyq0pQipH3mIrK3hzqTF4BMMLXiARgXsSCd7rmiAyizPTan9rv/E7J96mXw9qd1s2iaKHThend44HeRRdvVOZphLJ/synrnrI/u3Phtdqz2eyu1CTGb7JBBJ4xWqtCbBHtwbfv3j95Ecng4OT10/+7M9esfsDJ5EH0w+s7n2rUclOGr/4Yh4lC3vmd45vLQxqfzmb3pIYdRdqVEG04Avlq59dveWj8hKUCkQox6My81G5B6USUCkDWUijNWM5KKUMZBFOKVc5cbK3jyUoiEW9SuV8oazIueQHWOIC56eXyuSqHmHJSd8+Drkurdy9ojWOdKOVE2MuktMLM6zOTq2uPjXJsMzOk2FWpVmclPFZWc2da1itnPqMYbVy+2RKjzF4BMNrZSARgX/iauW/d3qtOfRt7rD/VyuDv2hEn5V5g+nHu2n6R067xelgLuweNWfEXlVzF0re8MnzVe/g7sXrFz9+5SeDu5bpIMrmp7jWCs1Rb1Mg9i1d+vKrPua7UOYC78yXpi1nuEAqEGkajSJKmgKpBJSmQBbS4MhZDh+LPSiLYNI0K4j7zftYfgLP36syXQyVjlvGhEOJC3yfWpmSi3qE5SZ99zjcuoRp94LWONKNMM0vyyi/PI+Gl0l0OczO8mpYnlfV8OziIovy9PIkyuZRIqww9T4BVpiWUmPwCIYXpkAiAvfEFaa/tILrbXccuWyw5L6cPmmOC99orm02jZZmh7i/dkn46SfTX00/sL8+nBc23D8amngw/YXPIHehBjF8g/DFqo/GLpSGwPv2ojyBVFDK0185eQ/KJaD0BLKQhj/OevhY7EFZBJOeZTkqqUNRJD+Bb+9VepYLpUKOCD7AEhc4P7X0JBf1CMtN+u5xuHVJz+4FrXGkA3fb9F63tmKyaqFXRfkqvc3f2VQCXnUa3707m0riGY94L3c2lRCNCCIDXuedTSVQ5sUXgfLsurOpBLqqLaF3NpUYVzUj6M6mEp3kSgvDfpQOVKILcmczT0eFt5BsX4+bGeV6vrKpRcuMctIrm9X1lU1yIOt9PWpmqBNpY+5NpwM9bGag6vXKpharEWJlPx3OfjtLYCuAx3rAzMil3jaQvuJIj5kZxHq8salFygxlkhub1fWNTdJHPNQjloQ3zfPQcmNTCTn4jU0tTmaIE9/YrHaWoFbATnRgtzf3Qez+bidJJOPJJRg894EkIjgf42538bkPpEEM3yD8PaaPxi6UhuD4T7ADJXMfSCqhcx9ILuFyH0gW0vNXznr4WOxBWWxD7gPKT+DbRfu7jtxHEs2PyhNyCu8BlrjA+ak3MS25Dyg36bvH4daR+2AsaI0jvcX14BV1dzKJpcbgEQwvPYFEBO6JKz37rQdHkjd88mvLTCANgaftRWYCqaBkZuajcg9KJaDKBLKQRjrOcvhY7EFZBFOZLcXdUH4CN96rylyMP01aBtpCiQt8n1plthR3Q7lJ3z0Oty6V2b2gNY70fEzQmSmLk3KYX2YXw+zk8nR4em4/VCd5EcXl2UmRnL28AZWZ+oxhVWYiNQaPYHiVCSQicE9clfn+skjnydVP7eduHs+jb/dds+Lz/WaCjyvyaebsLrrVfbzss9Z8Xd+r4jSKosPZl/bTP3C/Stdfwmesu1BjGb6x+KpU1pvjRmuOFTteW+yWs9bVO7H7UC77ccyte2vgOtw9txm4vio5SNNBswNoILXuAXah1hYEEIF4/sq7J30JygSknf3Nqe5BqQTUzkAW0vjNWQ4fiz0oi3Da2eksor0dlKAgOvUqnpOF1iLnbx5giQt8n148k6t6hCUnffs45LrUc/eK1jjSW9zQuaKuRs5H+gqMwSMYXj0DiQj8E1c9h2/ojDSQ4RtIoJg32tAZaS6B2xdIXvq8GEgFpHkLH5N7UCYBJS+QhTToclbDx2IPyiKY5G1p6AzlJ4govSrexRDGpGWsJpS4wPWpFW9LQ2coN+m7x+HWJXi7F7TGkQ57ITPxOiIrYbNWejfum278QqYW8KrT+M5dyNQSz3jE+7iQqYVoRBAZ8JLlhcyR0/m/Hnofpl01YOb1FoH+7LiYqQXKvNPCV5ctFzO1GJm3WdbVjUp0kpsrDPtRelCJLsjFzLZhmmrgzHDX781MNVpmuBPezEyuh2kmLcM01aiZMU8kkrk3mg70sDMhbPajQd/MVGM1Qqzsp8PZb2cJbAXwWA+YGbrU+4e2YZpq0Mww1t/VTDVSZjATXM1Mrodp0k7ioR6xJMBpHgj6aqYWcuirmWqczBgnvZqZuGGafscw0YHd2txLEpFXM42MJ5dg+NwLkIjgpIy78d1A7gVoIMM3EH/3GSz3QvViR1pMcAYp2P7S6RcglcDpFyCTgOkXIAvpETBnNXws9qAstiL9guQnCCqinWVX+mUxfjFpmacJJS5wfertU1v6BclN+u5xuHWlX7oXtMaR3t55mlbzeutvrebNpcbgEQyveYFEBO5JpHk3PE8TaTLDN5lIBXvNtJnJmUjzCeICXxLTkzORVCCSmJ6ciaQSUBMDWUjjMmM5KE0MZBFOE7dMzoQSFESdXkXxYs5i0jI5E0pc4Pz0orhlciaUnPTt45DrUsXdK1rjSG9vpxSrilOfMawqLqTG4BEMr4qBRAT+iauKe+6UAiRv+OQF+pa6HMqao3nL3Ur9IKKPcIHmELhsvl5tOcIFUoHo1ZaOK0AqAfUqkIU0YnKWw8diD8oimF5t67iC5CcIB73K1cX0xaRlnCaUuMD3qeVqW8cVJDfpu8fh1qVWuxe0xpHe3pbSVq16nwCrVkupMXgEw6tVIBGBe+Kq1QAtpYEGMXyD8BWsj8YulIbA+/aiPIFUUMqTbCkN5BJQegJZSMMfZz18LPagLIJJz7aW0kh+At/eq/RcTF9MWsZpQokLnJ9aera1lEZyk757HG5d0rN7QWsc6cC3N6ki2KqVXrlKb/O3N5WAV53Gd+/2ppJ4xiPey+1NJUQjgsiAdz1O81b77U0lYOYVGIEC7bq9qQS6qjGhtzeVGFe1I+j2phKd5HILx35R7s9C7akRhrnBWVq3XPmA7+uBM0Oe5gZnMqq8aL+vR8sMedIbnNezNZOW2Zpq1My4JxLKN8wdmSweFbkP+oEeOjNyyW9xmigpSqKk6FCP1wjxsp8SZ8OdJbAVwGM9YGYYU+8lWm9yakEzQ5rsJqfJi1FO3eTUImUGNslNzushm7SzeKhHLAl2qgeiKu2Ll3kfiVoNG3ObM4/S1IzK0of1WI+VGfPENzrdsE2/g5jowG5vZiSmbnSmkYwnl2DwzAiSiOD0jLsZxmdGkAYxfIPwd6A+GrtQGoLDQcG+lMyMIKmEzowguYTLjCBZSE9nGesRj0zlXY89KJNg2ZEqGiVe8bCP5Sfw76JNX0d2JF3MZ0xbBm5CiQscoHpH05IdgXKTvn8cbh3ZEcaC1jjSW1xGHlOXK9NYagwewfDyE0hE4J648rPfMnIkecMnz5ea0sJxH+1dKG2BZ+5FmgKpoKRp5qNyD0oloDIFspBGRsZyZKPEeF38HpRJMGWalaPEm4Pax/ITuP5elelipmPaMqQTSlzg/9TKtKVkHMpN+v5xuHUp0+4FrXGkt7jtR0xdcEwTqTF4BMMrUyARgXviKtNtaPuBNJnhm4yvZ7er7QfSfIK4wNfFdNsPJBWILqbbfiCpBNTFQBbSuMxZjsqMTEUpYyCXYMo4rqpR4i1j2ccSFMSeXqXxYmBj2jKCE0pc4ALV0rit+QeUnPQd5JDr0sbdK1rjSG9xG+iYuk6ZplJj8AiG18ZAIgL/JNLGQdtAIw1k+AbiK2EfjV0oDYE75ivSlpNaIBWIIiV7MyOZBBSkQBbSYMhYjSIjRmvvQZmEk6P5KKVKCJD8BN6+VzW6mKaYtozHhBIXuD+9GqX7M0O5Sd8/DrcuMdq9oDWOdOALllRRQNZKr1qlt/ELllrAq07jO3fBUks84xHv44KlFqIRQWTAu3HBMvMB3lUDZt5MEWjQjguWWqDM2yh8hdlywVKLkXkPZV3tqEQnuXPCsF+ajYwP4J4aYJD7lXk2Kry3N/b1uJkBr9/rlWq0zIAnvF6ZXg/ITFsGZKpRM6OeSCavmjtJUkMcSx/okWdC5OynI87TuBzFXryHerxGiJf9kDgb7iyBrQAe6wEzY5h6I5Gno8IrOo/0mJnhrL/LlWqkzKAmuFyZXo/JpF3FQz1iSaDTPA9JXJUj/1Ncq1Fj7lbGlSmTUeJ9Jo71WJkBT3q3MnXTMv2GnejAbm+aJCHvVhoZTy7B8GkSIBHBwRl3H7yBNAnQQIZvIP5m1EdjF0pDcE4o2KLSaRIglcBpEiCTgGkSIAvpMS1jNZKM6MKxB2WyFWkSJD+Btxft/7rSJIuph2nLGEsocYH7U+9u2tIkSG7S94/DrStN0r2gNY70rJ794syUxUk5zC+zi2F2cnk6PD23H6qTvIji8uykSM5e3oAYpZIqudQYPILhxSiQiMA9ccXodWX2EytHH1+96W5cfns++SM3luaZ/dJlapwMfbbQqR8v55E3X9f3qjiNouhw9qX99A/cr9LVaPuMdRdqLMM3Fl+Yrtb/t2arHt0ob1+x47XFbjlrXb0Tuw/lsqa9vYwdaDtBOBCo4a+87/5LUCYgMewPZPegVAKqYSALaTRmLEc6Ksi+I0AmwdRwZrJRSdWwIwkK4k2vcngx7jBtGWAJJS7wf2o5nLn7nZQeRpKTvoEccl16uHtFaxzpLe48kpD3OwupMXgEw+thIBGBf+Lq4Z47jwDJGz55vr710diF0hC4WoHUpA9egVRAWpPsJAKkElBrAllIIx1jOWLiYHIPSiSc1GxpJILkJ/DkvSrNxajCtGX2JJS4wP3plWZLIxEkN+nrx+HWJTS7F7TGkd7iDssJeVmylBqDRzC80AQSEbgnrtAM0GEZaBDDN8ja4hNIQ+B9exGfQCoo8Ul2WAZyCag+gSyk4Y+1Hiam5CeQSTD52dZhGclP4N97lZ+LcYVpy/xJKHGBA1TLz7YOy0hu0vePw61LfnYvaI0jHfh6JHVyWbXRi6NVepu/HqkEvOo0vnvXI5XEMx7xXq5HKiEaEUQGvGR5PXLUOn9SC5h5tUSgQruuRyqBrupM6PVIJcZV/Qi6HqlEJ7k1wrBfkpf+oqo9NcIg9yPb5k+qgTNDXs8XJLVomSFPekHyev5k2jJ/Uo2aGfdEQvmGU4iShNSNB3rszNCluCJpX0NjRv5eiod6wEYImP2cOCPuLIGtAB7rATMDmXo30TaBUg2aGdR6vCSpRcoMbZJLktcTKGl38VCPWBLuNA9EHEV5bIjtSK3GDbomaZIkjUap100c68Ey4574nqSbQel3ERMd2O3NkKTUPcmsdSLSTZ5cgsEzJEgighM07oYYnyFBGsTwDcLfhfpo7EJpCA4IBXtTMkOCpBI6Q4LkEi5DgmQhPaFlrEc2ivxKYA/KZBsyJFB+Av8u2vh1ZEiyxcjCrGUGJZS4wAGq9zQtGRIoN+n7x+HWkSFhLGiNI73FleApdTNyfkdAYAwewfDyE0hE4J648rPfSnAkecMnz5ealuzz/IUTKW+5u44feH3aLtQWAnfdi14FUkHp1cxH5R6USkC5CmQhDZeM5YijUeHXc3tQKsH0aktBOZSfICD0qlcXgwyzlsmUUOICB6jWqy0F5VBu0heQw61Lr3YvaI0jvcWTKVPq5mKWSI3BIxherwKJCNwTV69uw2RKpMkM32QClbtVkymR5hPEBb4wpidTIqlAhDE9mRJJJaAwBrKQxmXGcthAOMpKShkDuQRTxm2TKaEEBbGnV2m8mGOYtUymhBIXuEC1NG6bTAklJ30HOeS6tHH3itY40lvccjmlLltmqdQYPILhtTGQiMA/ibRx0JbLSAMZvoH4SthHYxdKQ+CO+Yq05agWSAWiSMmWy0gmAQUpkIU0GDJWIy6LUeF163tQKuH0KN1zGcpP4O57laOLSYZZy2hKKHGB/9PLUbrnMpSb9AXkcOtSo90LWuNI2//9YaPC5q+rU5k/aJOdPV/GpARn1sK3KG/cNQ10GTOJqMuYWsCrXgRzGfPZ9Et3ftfkxd+bfeOpKw5oLlkO3LHr81nz5jLmE1e1uvxTVnJ+5Q5f/2b60Vx4ii90fm6hRLcS103X/gXUCdxdtSUzniX7uN2phWhEEBnwvnW78/3pP1DDL7WAmZdiBDKX6qWsRci8AcNXry3XOrUYmXdf1tWlSnSSey4M+3ltt6dGF+RKZ27lRu69LbKvB84MnPIrnXFuDHFW9309XGbkFN7pzK6HXmYtQy/VqJnhUyTAPaVHxHVONexMCJv9bFBYD/VYjRAr++lw9ttZAlsBPNYDZgYt9d6E9hZHetDMOCa7ydniKR7ooTLDmeAqZ3Y975L2Eg/1iCUhTvNEUG9drYaMucVJ4TzW42RGOekFzswNuvR7hokObIO2OjmtoigdmtMsHWbVSTEsT09cCVOeJ2VksvPiYsaH3P62HAiot8DkBU4j48kl6Nsot/CSbJZ9RO5AiQiO4bib6PdnKZbr/esy/QLKuQDNY/jm4W87ry30+fTpt4cuuc5NixOIWY399LPB9K+tfb6wv1ztkbvvGkfPjQma5bQeXb3pfvPjaDD9ZJCYAZUQ2YWaS3C2Kdj00rkdIBVIbofK7AB5BMzsAFlID5YZa0HttIEsQiZ1/Of/+1h+gmgi2lN2JXUWcxezlkGaUOICx6feOLUldZDcpO8eh1tXUqd7QWsc6S3uVpKR10VzqTF4BMOLXSARgXviit0A3UqABjF8g/DlrY/GLpSGwPv2IjuBVCCyMyJap92DUgmoPIEspNGPsxw+FntQFsGUJ9nTYh/LT+Dae1WeiwmHWcvMSihxge9TK8+2RiVIbtJ3j8OtS3l2L2iNI73FI9wz8uJnITUGj2B45QkkInBPXOW52RHuSGMZvrH4qpS68ike1p4uh7X7LLMLtYzA2QuELllUBGQC0bnxKKJOWIFUAupcIAtprGUsB6VzgSyC6Vx6jPc+lqAgkvQqdBcTFrOWkZlQ4gLfpxa6bcPZoeSkbx+HXJfS7V7RGkd6i1vyZeQ1zlJqDB7B8EoXSETgn7hKt+eWfEDyhk+er1x9NHahNASuViAz6fNUIBWIzoxGifFRuQelElBnAllIIx1nOXws9qAswulMqufaPpafwI33KjMXkxSzltGYUOIC36eXmS2N9JDcpO8eh1uXyuxe0BpHOvBoTOOjZ3Vj1UKviuNVepu/jakEvOo0/uU2ptaSGc+SvdzGVEI0IogMeCn3NqYSMPNii0DRkgenSoSrYhV6G1OJcVWFgm5jKtFJrqow7EcpSyW6cLcxSx/wfT1wZuDs+zamFi4zckpvY15P2MxaJmyqUTPDp0hvc+8wHehhM2NVr7cxtViNECv76XD221kCWwE81gNmBi31VoT2Fkd60Mw41udtTC1UZjiT3Ma8HqxJe4mHesSSEKd5IlpuYyohB7+NqcXJjHLi25hunKbfM0x0YLc3eWKo25gmkvHkEgyePEESEZy6cTfR/SZPkOQNnzx/U+mjsQulIThAFGw1yeQJkkrg5AmSSrjkCZKF9ACXsxw+FntQFtuQPIHyE7hx0WauI3liFkMWTcvUTChxge9T71hakidQbtJ3j8OtI3nCWNAaR3qLi9ENdQ3SxFJj8AiGV5lAIgL3xFWZmy1GRxrL8I3FV6W9F50jLSBw6gJBS+VOkEwgepYuOkdSCahngSykMZWxHJSeBbIIp2dbis6hBAURo1dBu5jCaFrGakKJC3yfXtC2FJ1DyUnfPg65LkXbvaI1jvQWN/Yw1PVKk0iNwSMYXtECiQj8E1fR4ht7IA1i+Abhq1YfjV0oDYH7FUhP+iwVSAWiPenGHkgqAbUnkIU0+nGWw8diD8oimPZsaewB5Sdw7b1Kz8WQQ9MythJKXOD71NKzpbEHlJv03eNw61Ke3Qta40hvcf9kQ113NKnUGDyC4ZUnkIjAPXGVZ+j+yUjzGL55+Dp0s/2TkeYS+Pxe9C6QCkTvUgetQB4BxS6QhTTgMtaCErtAFsHEbkv/ZCg/QTTpVewuZiialqGYUOICx6cWuy39k6HcpO8eh1uX2O1e0BpHOvCty9xHz8rXrJVeskpv47cutYBXnca/3LrUWjLjWbKPW5daiEYEkQGPOwNTC5h5gUUgZ8nKASVC5m0VvkptuXWpxci8prKuAlWik1xJYdgv</t>
  </si>
  <si>
    <t>MaPS6yP31AjD3LxM8lHl3aLs64Ezg2fPNy/VcJnRU3jz0lzPwTQtczDVqJkhVKS5b9o7LpNRTNy+VEPPhNDZz0eWFLEZGePDe6jHa4R42U+Js+HOEtgK4LEeMDOAqbclbfMw1aCZMU14A7Mqc/IGphoqM7QJbmCa63mYtLd4qEcsCXeaJyI2lX0mCm8kqdWwMbcwTZyYcpR792DHeqzMqCe9iWncXEy/h5jowG5vXicnb2IaGU8uwfB5HSARwUkcd2MdPK8DNI/hm4e/FfXR2IXSEBw7CjaodL4FSCVovgXII2C+BchCeubLWIu4jEa5d0H2oFRCJl1Som8RlJ/A1Ys2gF1Jl8WMQ9MytBJKXOD91LubtqQLkpv0BeRw60q6dC9ojSO9xbXtOXlbM5cag0cwvBIFEhG4J64SDVDbDjSI4Rtkbe0JpCHwvr1oTyAViPZsqW0HUgkoP4EspNGPsRzpqCy8bnwPyiSY+qyiUUKpTyQ/gXvvVX0u5hyalsGVUOIC/6dWn2317Uhu0vePw61LfXYvaI0jvcW9QnLyZmUhNQaPYHj1CSQicE9c9bnhXiFAYxm+sfjKNNjgSqRlBM5eIHbJSiAgE4jWbekhAqQSUOsCWUhjLWM5kmKUx9RRK5BKMLGbmWxUenO2+1iCgnDSq9pdzDo0LdMrocQFDlCtdlsbiSDJSV9BDrkuudu9ojWO9BY3YM7J65yl1Bg8guHlLpCIwD9x5W7PDZiB5A2fPF+++mjsQmkIXK1Aa9IHq0AqELHZ0oAZSCWg2ASykEY6xnJYh228JxR7UCbhtGY5Srz89rH8BK68V6m5GHhoWiZYQokL/J9earY0YUZyk75/HG5dSrN7QWsc6cB3Kb2bXqsdq1Z66Sq9zd+lVAJedRr/cpdSa8mMZ8le7lIqIRoRRAY87gRLLeBVzw68S6lEuCpYoXcplRhXlSjoLqUSneRyCcN+JvO7yD01wHBXKakDSi1wZuzs+yqlFi4zeEqvUl4PsTQtQyzVqJkRVCS5b9SipFVcjvz3eA700JkhS36VsqxMakbG+4Ac6vEaIV72U+JsuLMEtgJ4rAfMjF/qXUnbMEs1aGZI6/MqpRYqM7JJrlJeD7OkvcVDPWJJtNM8EWma5sko9T7ItRo25iplHBVZloxy71NxrAfLDHviu5RuqqXfRUx0YLc3qVJQdynz9uFLN3hyCQZPqiCJCE7iuBvrfpMqSPKGT56/0fTR2IXSEBwqCrafZFIFSSVwUgVJJVxSBclCeqjLWI44HRn/guxBqWxDVgXKT+DLRVu8jqxKvpiEmLeMtoQSFzhA9f6lJasC5SZ9ATncOrIqjAWtcaS3uFy9oC5L5u1TkTzG4BEMLzWBRATuiSs1N1uujjSW4RuLL017L0tHWkDg1AWqlkqqIJlARC1dlo6kElDUAllIYypjOUwxKkuiLB1JJZyobSlLhxIUhI1eVe1iGmLeMt8SSlzgAPWqtqUsHUpO+gpyyHXJ2u4VrXGkt7gHSEHdwswTqTF4BMPLWiARgX/iylp8DxCkQQzfIHzp6qOxC6UhcL8C/UmfqgKpQAQo3QMESSWgAAWykEY/xnKUo9i/HntQJsH0Z0sPECg/gXvvVX4uRiLmLTMuocQF/k8tP1t6gEC5Sd8/Drcu9dm9oDWO9Bb3Qi6oS5F5KjUGj2B49QkkInBPXPUZuhcy0jyGb561tSiQhsAX96JFgVQgWpQ6CQXyCChEgSykgZCxFhbWiDoIBTIJJkRbWiFD+Qk8fa9CdDGuMG+ZPwklLnB+aiHa0goZyk36/nG4dQnR7gWtcaTt//7w1kx//aBNaPZ8d9L7wlqJmbXQLKpolWa4u5PeNOUdNeBV5/HP9+7ks6u3WHcntZbMeJbs4+6kFqIRQWTAuzGH0usqd9WAmXdPBNKWTPMrETIvmvAVa8vdSS1G5g2TddWoEp3kNgnDfl7b7anRBbk4mSRpOopSH/J9PXJm5JTfnEyKkr45qYbLDJ3Cm5P59RDKvGUIpRo1M36KhPfNhIrf2Ad62JkQNvvZoLAe6rEaIVb20+Hst7MEtgJ4rAfMjFr6PYlJo1FpfKiP9KiZkUx2ZbLFVTzQQ2UGNMGVyfx6+iTtJh7qEUuCnOaRoF67Wg0Zc12Swnmsx8kMc9KbkrmbOul3DRMdWIf2tDo3J1laDpOTuBpmeXk5PDVuM5xn5fl5fH7eNCVyfMgNcMtJgHoTTN6UNDKeXIK+rXILL8l22UfkDpSI4PyNu43+aDXB4ra6TfJlXsQDSLYALWT4FuLvPa/TUZ9Pn367tN/u9j9eHENMf+sumE4/G0z/2trnC/vrS3fe8Ivpx3E0uHpzWerfGPjR1ZvuNz+OBtNPBokZUJmQXai5BOeagp0vndQBUoEkdWL/Idg9KJOAaR0gC+mxMmM1qA03kEXIlI7/9H8fy08QUkQ7y66UzmIYYt4y3RJKXOD69NunlpQOkpv03eNw60rpdC9ojSO9xZXtJXlhM5cag0cwvOIFEhG4J67iDVDZDjSI4RuEL3B9NHahNATetxfhCaQCEZ4tle1AKgGVJ5CFNPpxlsPHYg/KIpjyJAug97H8BK69V+W5GISYt0y2hBIX+D618myrakdyk757HG5dyrN7QWsc6UZ5pidnVXmR5kNzdm6G2clZMaziOB+WVXEWn53Fp+f5ycsbUJ7ePK9VnoXUGDyC4ZUnkIjAPXGVp69VyBMnMj1jG380649xs1GI/VNOqL5lRepzfUPyOCuj6KH7avqh/buauqeFim2++/70WXNM6U4yP73uUvL5/NufWR3c/F15FP2B++XfuN6F2tzwbc4Xt9SAzFs3WpF85CwxsEJ/1hPwSXN+++KLeZTY/z+85Uxz9U7zoXL9SG49txbTZ8PrE16f4XahhhOEFIGcJiuYgEwgapo+xgUyCSimgSykAZ2xGpSYBrIIJqbjMqqIrds+lqEgXvUqpxeDFvOW0ZlQ4gLfp5bTcZJkRD3BEZad9P3jsOsS1N1LWuNIN4L6LKnSJIlPh+dVejbMsiQblkkUDS/i06o6LeK8uJg/72EFdeYzhhXUpdQYPILhBTWQiMBBcQU1s81zlM3T7/b3mxx9c2GgS7HdhVrD8K3Bl7o+GrtQGgLnKxCe9DkukApEebb0fQZSCSg9gSykoY+zHD4We1AWwaRnFhHz+fax/AR+vVfhuZi7mLcM0oQSF/g+tfAkF/UIy0367nG4dcnO7gWtcaQDD9KsfPSskKxa6FVxtkpv85dBlYBXnca/XAbVWjLjWbKXy6BKiEYEkQHvxiBN6jKoEjDzWo1A0ZJHqUqEq2IVehlUiXFVhYIugyrRSe7JMOxHKUslui24DKpFzoycfV8G1cJlhk7pZdDrMZp5yxhNNWpm/BQJbu4NqgM9bGaw6vUyqBarEWJlPx3OfjtLYCuAx3rAzKil3ou0XwbVomZGsj4vg2qhMgOa5DLo9fxM2k081COWBDnNI9FyGVQJOfhlUC1OZpgTXwZ1YzP9rmGiA7u9+ZSKugxaRDKeXILB8ylIIoJzN+42GpxPQVrD8K3B32f6aOxCaQjOFAW7TzKfgqQSOJ+CpBIun4JkIT3T5SyHj8UelMU25FOg/AR+XbS968inFIuJi0XLCE0ocYHvU+9hWvIpUG7Sd4/DrSOfwljQGkd6i+viK+pGZhFLjcEjGF52AokI3BNXdv6zqItH2tzwbc4Xt9tSF480nCCkCOQ0lcxBMoGoabIuHskkoJgGspAGdMZqUGIayCKYmG6ti4cyFMSrXuX0YtJj0TK7E0pc4PvUcrq1Lh7KTvr+cdh1CeruJa1xpLe4xUlFXTQtEqkxeATDC2ogEYGD4gpqfIsTpEEM3yB8teujsQulIfC/Au1JH+UCqUDEJ93iBEkloPoEspBGP85y+FjsQVkEU58tLU6g/ASuvVftuZjzWLQM7oQSF/g+tfZsaXEC5SZ99zjcupRn94LWONJb3E66om5kFqnUGDyC4ZUnkIjAPXGV5wbaSSMtZPgW4kvRzbaTRppL4PZ7kbxAKhDJS5+3ApkEVLxAFtKoy1gNSvECWQRTvC3tpKH8BCGlV8W7GChZtEwIhRIXuD614m1pJw3lJn33ONy6FG/3gtY40mEvg6ZeR2Q1bNZKz6zS2/hlUC3gVafxL5dBtZbMeJbs4zKoFqIRQWTA404G1QJmXqsRCFqyfkCJkHmFRqJTycugWozMuzPrKlAlOsk9GYb90jSm5s9rEYa5EJq64rjUh3xfj5wZPXu+EKqGywyfwguhxfV00KJlOqgaNTOGikT3qr2LIskjMzLe20kHeuyZEDv7AakS+29nI+N9RA71gI0QMPs5cUbcWQJbATzWA2bGMP3OxLjTeONDfaRHzYxrsquhaZol5NVQNVRmeBNcDS2u54TSDuOhHrEk5GkeCZMUUWL3DN6HolbjxtwPjeOoNFk8yohbomq0zNgnvSVauJGhfi8x0YHd2hxPGpG3RI2MJ5dg+BwPkIjgQI67v95EjgdoIcO3EH9T6qOxC6UhOIAUbFXp3AuQSuDcC5BJwNwLkIX0/JezGlVFHCPuQamETMCkpY/fPpafwN+L9oJdCZjF+MeiZZ4nlLjA/+m3OS0JGCQ36QvI4daVgOle0BpHenuL3VPCbVk5mkuNwSMYXo4CiQjcE1eOBih2BxrE8A2ytvoE0hB4317UJ5AKRH22FLsDqQSUn0AW0ujHWI6sGhX+k6k9KJVg8tOpa0p+IvkJ/Huv8nMxA7JoGeoJJS5wgGr52VbxjuQmfQE53LrkZ/eC1jjS29u8xMpPb3rWys9CagwewfDyE0hE4J648vOfR/MSoM0N3+Z8hbs1zUuAhhOEFIGmJouPgEwgkpo+0AUyCaiogSykAZ2xGmlVjqLMR2UPSiWYoo4t1lFK1dQjGQqCVq+aejEGsmiZ7AklLnCAak3d3sEEyU76EnLYdanq7iWtcaS3txO1VdVe12VVdSk1Bo9geFUNJCJwUFxVje5EDbSG4VuDr3d9NHahNATOV6A+6RNdIBWI/GzpRA2kElB/AllIQx9jOcpkVPkXZA9KJZj+zKJR5Q1S+1h+Aufeq/pcTIMsWsZ7QokLHKBafba1o0Zyk76AHG5d2rN7QWsc6cA3OqmK1aqVXr5Kb/M3OpWAV53Gv9zo1Foy41mylxudSohGBJEBjzveUwuYeRtGIGvJQ1UlwlXFCr3RqcS4KkVBNzqV6CTXWxj2S1OiyemeGuEW3OjUImdGz75vdGrhMsOn9Ebn9YjPomXEpxo1M4aKRPeNG51VlEbFyH+T6ECPnRm1FDc6s6wyEX2jUwvYCAGznxNnxJ0lsBXAYz1gZgxT70zab3RqUTPjWp83OrVQmeFNcqPzetgn7TAe6hFLQp7mkTBpFVX5qPSqsVqNG3Wj04Zsu73OqRudWrTM2Ce+0enmfvq9xEQHdnuzLTF1o3Ne3cbmySUYPNuCJCI4kOPur8HZFqQ1DN8a/A2oj8YulIbgsFGwLSWzLUgqgbMtSCrhsi1IFtLDXsZylNmopLItSCrbkG2B8hM4d9HGryPbUi5mRZYtwz+hxAUOUL2nacm2QLlJX0AOt45sC2NBaxzpLa6fJ6pGrfaMpcbgEQyvPYFEBO6Jqz3/WdTPI21u+DbnK9xtqZ9HGk4QUgSamkr1IJlAJDVZP49kElBRA1lIAzpjNbKoGMW5j8oelEowRd1aPw9lKAhavWrqxbjIsmUCKJS4wAGqNXVr/TyUnfQl5LDrUtXdS1rjSG9xU5SYupVaJlJj8AiGV9VAIgIHxVXV+KYoSIMYvkH4ktdHYxdKQ+B/BQKUPtQFUoEoULopCpJKQAkKZCGNfozlMNGorLwLsgelEkyCtjRFgfIT+PdeBehiamTZMgYUSlzgANUCtKUpCpSb9AXkcOuSn90LWuNIb3GL6Ji6vlmmUmPwCIaXn0AiAvfElZ8baBGNtJDhW2htPQqkIXDHvehRIBWIHqVPRIFMAspRIAtpNGSsRhKlZuSVa3tQKsHkaEuLaCg/gb/vVY4uRjqWLTM6ocQF/k8tR1taREO5SV9ADrcuOdq9oDWOtP3fH8406VyIkYLzxxdnP3nltVc9llDoTap6IGuhWVTxKk3qZieNVaIhF5c7vWDvqMGuPmMthmXqxI+tRnzsJJ8PqNV02Qt7arQ3/BwNdz03V08Ovmc9l7l1kEX2Q27yWwdFEVEeTksnk9Mhq+W9HA4dh0PH4dBxOKQ4HOo5GDkHfg29pTB2FMaOwthRGFMUxnoK/JdA72cdldpRqR2V2lGpKSq1msqNixcdVGRP07HDf+zwHzv8xxT+Yz1+vqMX3saw8CcO/sTBnzj4Ewr+RAe/eZReDhm3yDsXphV+QlqfjVYVufxw76jh8l9bbuz6f5oKKtcT4NOrd6ePB00R1W9dQ4Crd+fnF980pxou4faO+8HmusSTQfMfG/V8BG3MMy7mKVmGjnk20iVlZT9YSPaD/TKNYvchcx8K+yGO3IfUfXC/G9sfTpPEfTDuQ2k/pO53U/dZ5j7L3GfGfWbcZ7n7LHefFe6zwv2lpfs3XMBN3T+eVu43qsLF35iKulqDhoi6NtY6Kx46Kx46Kx46Kx46Kx46Kx46Kx46Kx46Kx46Kx46Kx46Kx46Kx46Kx46Kx46Kx46Kx46Kx46Kx46Kx46Kx46Kx46Kx46Kx46Kx46Kx46Kx46Kx5SVjzUW9HIrSjy1mNnxLEz4tgZceyMOHZGHDsjjp0Rx86IY2fEsTPi2Blx7Iw4dkYcOyOOnRHHzohjZ8SxM+LYGXHsjDh2Rhw7I46dEcfOiGNnxLEz4tgZceyMOHZGHFNGHOuNyHdhaysPqzecMWtnzNoZs3bGrJ0xa2fM2hmzdsasnTFrZ8zaGbN2xqydMWtnzNoZs3bGrJ0xa2fM2hmzdsasnTFrZ8zaGbN2xqydMWtnzNoZs3bGrClj1mpjwrWPVTzOgsfOgsfOgsfOgsfOgsfOgsfOgsfOgsfOgsfOgsfOgsfOgsfOgsfOgsfOgsfOgsfOgsfOgsfOgsfOgsfOgsfOgsfOgsfOgsfOgsfOgsfOgsfOgseUBY/1FuTLFZX6sprLGXDiDDhxBpw4A06cASfOgBNnwIkz4MQZcOIMOHEGnDgDTpwBJ86AE2fAiTPgxBlw4gw4cQacOANOnAEnzoATZ8CJM+DEGXDiDDhxBpw4A04oA050BnxO/7n//KBNB/bXmyoZ0Vdv81YWGfkY8MAqNSCF944a76pAWrMz1W8Wea1ZjdXPXGuq6aeuBv7Z9Bur+96b/pOTerMGVb9tyuKfzZJcV++4blTTz5tCrc/sD7zj14uPm+sNM8V4y/3I7P7tZ/MrCp+7LliD77mrCtMv7OfLf+OWS5/9cvpR82dcYu2xy8kNpr+Yvm9RfzL9u+n7CwCj31/8C47MM/uPu3sSzd3e6Vc+899Vm39VTgHbWWkhGhFEBrzEdbMaDAdxmeS38nj61Wj6zejWIHXfHtnvJ1FmbiVm9v2XX37VR2dXTWf10Hv9ZlfuKf1sNPA/Gi+pgTJ7g0jSeWTPKy1GZlOQdRN1SnSrAnHNnlde2+2p0QXpdxXHo9R76r2vx82Mx4puVyXZ60oNlhmPhb2uynzZ66okBzLd16NmRmXRmcXNalO/sQ/0sJnRrPtkgIv1UI/VCLGynw5nv50lsJvbXS1gZuDSZ2opV3Gkx8yMYbL+VqSbeKAHygxkgu5WSxfxoMVFPNQjlgQ3zeNAvXK1GjKmsRWF81iPkxnghNt490QsQd3cNWvAOrRn5uK8ispqeHphzDA7vSiH5flpOowu7d95kpyfnp6YGR9yQ/2jE7rAUbmpJrfVhYwml59v691CS7L99hG5AyUiKEji7sv/m9v0NnfQH8/vP7k9tt2SvzkrNL16b9FE4LfNxthd+599TdalzloDtNSl2i1dRFVD3oUa0PANyN+2+mjsQmmsRvwWGoLtKl2fCqQCqU8lZn/egzIJWJ8KZCEtj+Osho/FHpRFuNLUZBQVPn77WH6CSCDaC95QJyulqYu5aGXLqDsocYHr0294qEU9wnKTvnscbq0LesRZ0BpHutGpFycX6flpFQ/zKjsbZqlrlZUWp0NzdpqcxHmZRcXFy+F1KlW/WkptweMXXqcCiQi8E1en/ropf33L6dNHVmy6JlhvXL199VdXf9nIze8tGq5+c/WeVaBWx/5+04k1NpFrtuQzwV2oCQzfBGsrTSANgbsVKM2uxAiQEERvErvae1AmAfUmkIU05jFWg9KbQBbB9GZBHGrtY+kJHHqvcnMxCq1smW0HJS7wf2q5Sa3pEZaa9M3jUOtSm93rWeNIhxttl7Tox6qFXRUXq+w2Xj6kxMtMVHLl3/+w5UNK82c88/dSPqSEaEQQGfBk5UMeLrtqLswUbI8SWQmUmXeVSF+6dkiJkZlyXVfUKtFJ0qsM+6WZf5bNnhpgqPIh/2ixfT1uZjzut3xIC5YZj6XlQ9ej8sqWUXlq1MyoLNLwq9bOrEMoiafjQA+dGdHkJURVkcXUWLRDPV4jxMt+SpwNd5bAVgCP9YCZMUy9zWkrI9JiZoYzWRlRmhLD0B7ogTJjmqSM6HpIHu0qHuoRS+Kc5nFIq7RMiDaDtRo2ppQotpvIKhtlVD2RFiwz4onridyIPL9/mOjAbm2ehrytXUUymlx+wfM0SCKCYz3uRh2Rp0GawPBNwN+J+mjsQmkIzin724QiCYXN0yCZhMvTIFlIT4sZq2Hjfz4iNr9IKgGTNf4OZ/tYegKvLtrodSRrqsUktaplNB6UuMAJqncxdLIGSk36+nGodSRrGOtZ40hvbwl7QqV2qvZ5Jh5b8PiFl5xAIgLnxJWc21fCjjSg4RtwbcEKpCHw1QLBSpawI6lApCpZwo5kElCqAllIYyVjNeIoS0fekuA9KJVgUjW2Uc17AW0fy08QDnrVqov5ZFXLyDkocYH/U2vVljp2KDfpC8jh1iVWuxe0xpFuWizfWqo091AHbFTkDRRWjiYtbIvqRkPpQJVGiR/vHTVeZk6TrSav3rp6u5lvbP9rNWFTbzSvC3KfvH31jhWXXzXtKe1/HttvvTf/cmB/0/3ko1mzS/tHn7kJHV85Ndl84QqWBq5eyf5lnzfS9I1m+sfj2Yy52Y83Y4a/NZPu2WJSc/Odp1d/ORq47pmDOL9l3F//VTOIeZDEg5YzVKV1M551+ygk0kI0IogMeMnAlQzZZfwnH9BdNVBmhlWgd6kZy1qEzHwqX8a2lAdpMTJTqesKVCU6SdqUYT+ill2LLkhtENV4YV8PmxlA5aVB7giaqg1So2VGUGFtUJUsa4MqcqzZfT1qZhwVyXDuo3Ggh80MUPK6ILq1kBqrEWJlPx3OfjtLYCuAx3rAzIil36GU6SgxPtBHetDMICYrCqIdxQM9UmYoE1QFLZ3EgxYn8VCPWBLeNA8E3VxICxlTEUQ3F1LjZMY4aTGQfSKWoFbATnRgHdrTyFRxVF4M8/zsYpidmHxYFbkZnlVJdpGdRafl6fw1JDfBLacC2o0wWQyUymhy+fm2yy20JFtmH5E7UCKCo7h19tJUbgaWiwGazPBNxt99sqw2aCZCufODR7PzA3fFaP6tq7esQQaURXahFhEcawq2uXRaB0gFktah6o+APAImdYAspGfKjLWg9tZAFsHyOcXIeCur9rH0BDFEtI/sSucsBixWLRMzocQFfk+9WaLW9AhLTfrmcah1ZXO617PGkW4EbpmXyVlxXgxP0yIaZvnF5bA6y06HaZVG1WV1cpJezB1rUIHr1fFW4GZSW/D4hRe4QCIC58QVuL9cydRYofbX07+z8vQ30w+HzQXwDxut+v70k6bM3Uf6LpS04ZPmS1QfjV0oDYF/7UVXAqlAdGVEHKPdg1IJKC2BLKQBjrMcPhZ7UBbBpGUctSR4kAQF/rtXcZktxEjWIi6RxAXOTy0u6VU9wpKTvn0ccl3ysntFaxzp2flpenoSl3E0TOPcStE4LodVdHE6PLtIqnNzVqZRMV/1oPIy9dnCyksjtQWPX3h5CSQicE9cefmROwd1Z6KuPmheSHT101kp0dW70981mnL60fQDb+nmXShdw6e7trAE0hD4VoGw7Lo4CSQEkZfxKDI+KvegVALKSyALaYBjLAclL4EswslLMyqoSnQkP4H77lVdmoUWMS3qEklc4AH16pJa1CMsN+m7x+HWJS67F7TGkV5Uomcz4k5cBaxEz3xsrXzMW9mWq2wDVaJn/tPUO2q8qy5kzUr0v7l61+V3p5+6zPg8G/5k+vj5avR1islnKfVnVz9bSTc/bpLuzZ/29cl8slqKnrRVnSstmfEs2UvVuRKiEUFkwLuuOrfCcXmn9eqvFwfLv513Hm3y/z4uu2ouqyEAWJiuRMis6RMpWrIwXYmRWc23rlRVopNU7jHsR0lQJbpNF6ZrYTPjqbwwPU0qujBdi5YZUKWF6dczb6uWmbdq1MywKlLl3EfjQA+bGcN6LUzXYjVCrOynw9lvZwlsBfBYD5gZsdQbliwe5ZkP85EeMzOGyerSaT/xQI+UGckkdenXQ29pH/FQj1gS3TTPQ0tduhJy8Lp0LU5miBPXpbuht36/MNGBdWhP4/Ikz6uzoTGn1TA7SU+H1enF2bDM0ovLiyqNLtOzGR9yS9xyRqDdFpN16YWMJpefb/PcQkuygfYRuQMlIjiY4+6st7BjENCAhm9A/m51ZsP5VA6/Db016t/axT5v36S1ZB1onlUp0WIewQaYLi0CUgHlfrw9mu9BmQRM/QBZSI+fGatB7buBLMKlfpKR8T5r+1h+gggj2mS2Zgocp0WmoGWYLpS4wPWpd1Lkoh5huUnfPQ631gU94ixojSPd6N/85KQ8Te2PFXmaDbPoshqemDP7IUris4vUXBaLvX5Q/UuVrZdSW/D4hde/QCIC78TVv//oxpq5EWTTL5uqounTq/esTPu6qSmaKd37/1M6/ar5NDFX7ySmLckDJG/45Pna1UdjF0pD4Gj5GtNl7nxUXoJSgWhMutslkElAjQlkIY1znNXwsdiDsgimMYt0FFNJICQ/gRfvVWMuJq5WLRN0ocQFrk+tMclFPcJyk757HG5dGrN7QWsc6UZjXlbGXKRn6TA25ekwjl1TzOi8GkaRiUxelnFl5uIrqMb0RhCrMSupLXj8wmtMIBGBd+JqTN8goNXj0o+/PQpo0D4FCMjf8PmvLTOBNAS+li8zO4vZgYQgYpPqwQHkEVBqAllIwx1jLSipCWQRTmrS5UZIegJf3qvSrBbChJxGeYAlLvB+eqVJX5JEUpO+eRxqXUKzez1rHOnZYeZlGeWX59HwMokuh9lZXg3L86oanl1cZFGeXp5E2TxABBWamc8Wt9P5gyGwBY9faKEJJSJwTlyhebMHh/uyqZh3letvNsebP58dbg6sLP1Fk5n/1fQD++vDxWnn0dDEg+kvfAa5CzWI4RtkTeUJpSHwvQLlSSXRoVQgmjMauf3zTSr3oFSCyU4oC2nw4yyHj8UelEUw2VmWo9KvO7H8BK69R91pOc10yvwTH/EDLHGB71PrTnJRj7DcpO8eh1u78OQsaI0j7ZRnm6Ds98Kk8bGzUrJ9UNENdhu+MKnGu+oy/oe/MKm2ZMazZA8XJtUQjQgiA17Hhcmmb4qr1v3Z7LjZx2ZXzYZ5AUUgdokrk2qEqzoWeGVSjZF50WRdcapEJ7lUwrAfJTqV6DZ7ZVIPmxlRe70yqUfLDKmyK5MWzuLKpP2UvDKpR80MrCIdzn00DvSwmVGsxyuTeqxGiJX9dDj77SyBrQAe6wEzI5Z6i5Kakf8615EeMzOG9XZlUo+UGcn4VyavfcSDFh/xUI9YEt00zwN5ZVINOfCVST1OZogTXpl0T8QS1ArYiQ7s1mZZDHFlMo0SGU0uv/BZFiARwVEcd28dIMsCNIjhG4S///TR2IXSEJw0CjaedJYFSCV0lgVIJWCWBchCetLLWQ4fiz0oi63IsiD5CVy7aHfXlWVJFofy5FTJAyxxge9Tb2HasixIbtJ3j8OtK8vSvaA1jvT29uowxF3FNEqltuDxCy88gUQE3okrPLeuVwfUgIZvQL5QVfbqWE2gtLbogFpF4Pt70b1AKhDdS7XogDIJKHuBLKShl7EalOwFsggme+kWHVh+gsDSq+xNFyqJHiyJJS5wfWrZS7fowHKTvnscbl2yt3tBaxzpRXf2ues0Lwftzu5Nzlhhm7WwLaNolW2gYqPSXxx1R4131YWsWWz0kZVOn7s+Gs8Pf/TX/1h5+f70r+dlQItapOuSohsFRV9OH89+O2kpFFJaIeNZoZdCISVEI4LIgHezUOhbWviGzrXr+tT959OrdxuF/GXz69HVT+3KuuX79PmSL7f+nzeK+cvpk5HPErtqSzBTtgLNSxYZKREyE7QSKUsXGSkxMlOz64pUJTpJGpZhP0p8KtEFKTIq0lHqfS739biZoVReZWSikq4y0qJlxlJplVF2XWVETjq8r0fNjKgiQc7Nzh/oYWdC2OxHo6XKSIvVCLGynw5nv50lsBXAYz1gZshS71WSfBR5fcWRHjMziMmqjGg/8UCPlBnKJFVG2XWVEekjHuoRS8Kb5nloqTJSQg5eZaTFyQxx4iqjbGcJagXsRAfWob2IT9M0OyuGZ+YsHmZnWTI8yUw8vDzJksqcFSeX+dzu5G645XhAuyMmq4yMjCaXn2/f3EJLsnf2EbkDJSI4k+Nuqm8me25szo53Hz68fXc8+Ne3D1/8X+6Obx8Pbt+/PziaPDwa17sDnxXuQq1g+Fbg71h9NHahNATnjILtJp1iAVLBpFh8PO5BeQRMsABZSA95GWtB7XGBLIIlWPKWGzdIfgJnLtrPdSVYzOI8nh5/iyUucHzqTUucjAqqrgjJTfrucbh1JVi6F7TGkd7egvacrCvKpbbg8QsvNYFEBN6JKzUDFLQDDWL4BllbdQJpCJxvL6oTSAWiOlsK2oFUAgpPIAtp8OMsh4/FHpRFMOHZVtCO5Cdw7b0Kz3yhU8hxlAdY4gLfpxaebQXtSG7Sd4/DrUt4di9ojSMdtm1Q4WNnpWTRwq6Kq1V2G6/kUeJl5h25SnDTlTxKK2Q8K/RSyaOEaEQQGfDSjVfyKC3BTIsKRC5ZyaNEyEyC8rVrWyWPEiMz/bmuKFWik6Q6GfajxKYS3cYrebS4maG050oeLVpmLJVW8hTXlTzkbMH7etTMiCoS4NwM+IEeNjME9lrJo8VqhFjZT4ez384S2ArgsR4wM2Sp9yZtlTxazMwg1mMljxYpM5RJKnmK60oe0kc81COWhDfN89BSyaOEHLySR4uTGeLElTzFzhLUCtiJDuzWplcKspKnbRSahyaXX/j0CpCI4AyOu6kOkF4BGsTwDcLfvPpo7EJpCI4YBTtPOr0CpLIa2Vuo8LeoLekVIJWA6RUgC+kRL2c5fCz2oCy2Ir2C5Cdw7aLdXVd6pVycxtNzZ7HEBb5PvYVpS68guUnfPQ63rvRK94LWONLbW0JekHU9ldQWPH7hhSeQiMA7cYUnqoQcaAXDt8LaahNIQ+Bxe1GbQCoQtUmVkAN5BJSaQBbScMdYC0pqAlkEk5ptJeRIfgJn3qvUrBbKhB48iyUucHxqqdlWQo7kJn33ONy6pGb3gtY40mErebxtl26ncdTGLrlRp7TpSh4tXmbekav9NlzJo7VCxrNCH5U8WohGBJEBr6Mnz/S39htfLLpTEsU4WjLMzKZApFLFOFqEzDymQHvSxThajMwM5pq6UotOkq1k2I/Qi1p0QYpxUjOaX7S6oQPVuJnRsN9iHDVaZjgUFuPE0bIYJyZHlN7Xo2YGRZGG5iaxD/SwmVGsz2IcNVYjxMp+Opz9dpbAVgCP9YCZIUu9vSB9xZEeMzOI9VeMo0bKDGWCYpylj3jQ4iMe6hFLwpvmeaCLcbSQQxfjqHEyQ5y0GMc+EUtQK2AnOrAOLa/xrONDbmhbdvTaTS1VjBO3zii7SZPLL3hOBElEcIzG3Rdv3wwFpAEN34D8/aqPxi6UhuBUUbBTJdMpSCqYdAo19ADJJFxCBclCeqjLWA1qgwxkESyhEicjfxXtPpafIBKINoMdCZU4np+/x+TY2QMscYHrU+94yEU9wnKTvnscbh0JFcaC1jjS21s0XlK1O3EitQWPX3idCiQi8E5cnYovGkcaxPANsrbuBNIQON9edCeQCkR30kXjSCoBhSeQhTT4cZbDx2IPyiKY8GwpGofyE7j2XoXnYiZp3DJkFkpc4PvUwrOlaBzKTfrucbh1Cc/uBa1xpMNW8lQ+dlZKpq3s4lV2G6/kUeJddRnf8UoepRUynhV6qeRRQjQiiAx4HT15eJU8SjLMtKhAp5KVPEqEzCQoX362VfIoMTLTn+vqSiU6SaqTYT9KLyrRbbySR4ubGQ17ruTRomWGQ2klT3pdyUPOA72vR80MiiINzc2AH+hhM6NYr5U8WqxGiJX9dDj77SyBrQAe6wEzQ5Z6e9FWyaPFzAxiPVbyaJEyQ5mkkie9ruQhfcRDPWJJeNM8Dy2VPErIwSt5tDiZIU5cyZPuLEGtgJ3owG5thqQiK3kyGU0uv/AZEiCR1fDftj7MfXGADAnQIIZvEP7+00djF0pDcEoo2HnSGRIgldAZEiCVgBkSIAvpKS1nOXws9qAstiJDguQncO2i3V1XhiRbHKiTs1oPsMQFvk+9hWnLkCC5Sd89DreuDEn3gtY40ttbQl6RpTlGagsev/DCE0hE4J24wnMLS8iBBjR8A64tVIE0BM66F6EKpAIRqnQJOZBJQJ0KZCGNlYzVoHQqkEUwndpWQo7kJ4gEverUxRTQuGWsK5S4wPWpdWpbCTmSm/Td43Dr0qndC1rjSIet5PFf0rTSM2+ll6zS23gpjxLvqs/4jpfyKK2Q8azQSymPEqIRQWTA62jKgx+vpbUEM6kqELlkHZASITOFKtGudB2QEiMzebquKlWikyRKGfYr46QcZT6Ie2qIoYqBcm9Wbl+PmxlQey4G0qJlBlRpMVB+XQxEjhC9r0fNDKsiGb5q7qSsMpMQM9gO9NiZwVBeEZTFif13i1FC1QVpERshYvaD4qy4swS2AnisB8wMYerNSpqPYu9px5EeMzOoyeqC8qga5VRdkBYpM7RJ6oLy67og0l081COWhDvN85BUWVSakfGGklqNG1MclFXGREUyyr0B+1iPlhn4xCVC+c4S1ArYiQ7s1mZq4oisESpkPLkEw6dqgEQEB3TcDfcWpmqABjR8A/I3wj4au1AagvNKwS6WTtUAqQRO1QCZBEzVAFlIj4s5q5HlqXX93m3GHpRMyIxN4g3g+1h+goAg2iq2HvA7TosDfnJ27AGWuMADqjdBLVMUoNykryCHW+uCHnEWtMaR3t6SdqtXqdKi1ullPmPwCIbXq0AiAvfE1asBatqBBjF8g6ytP4E0BN63F/0JpALRny017UAqAQUokIU0+jGWI07iitBne1AuwfRnZeOUd8uzj+UncPC96s/FfNG4ZWAslLjAA6r1Z1tlO5Kb9A3kcOvSn90LWuNIB64Yok5Aq1Z66Sq9jVcMKfGu+ozveMWQ0goZzwq9VAwpIRoRRAa8juY/ASqGlJZgplsFWpesGFIiZCZX+RK2rWJIiZGZVl1XmyrRSVKoDPsVaZH5AO6pAW68XkiLmxlOe64X0qJlhlNpvVB1XS9EDiq9r0fNDKoiEX6jCCBPjNWksfe5PtBjZ4ZCeb2QfQWN/ZfpPkJaxEaImP2gOCvuLIGtAB7rATMDmHqr0lYvpMXMDGk91gtpkTIDm6ReqLquFyLdxUM9Ykmw0zwPSZ4XVUyUFtZq3KB6oawycRWNMqqlkBYtM/CJ64WqnSWoFbATHdjtzb/EVL3QvAaUzZNLMHj+BUlEcDzH3W7j8y9Igxi+QfjbWh+NXSgNwemjYE9K5l+QVALnX5BUwuVfkCykp7+M5YjjKPf78T0olW1Iv0D5Cfy7aOfXkX5JovlpfUJOqz3AEhc4QPWepiX9AuUmfQE53DrSL4wFrXGkt7hcPabKf5L2AWgeY/AIhpefQCIC98SVn9tXro40oOEbcG25CqQh8Na9yFUgFYhcJcvVkUwCqlUgC2mw5KxGmhSp3+/vQbkEk6st1epQfoJ40KtcXUw0TVpG1EKJCxygWq62VKtDuUnfQA63LrnavaA1jnTgaiFKgCat9LJVepuuFtLiXfUZ3+1qIa0VMp4V+qgW0kI0IogMeB39hVijwrRkmPlSgVqlCn60CJnZUYkIJQt+tBiZedF15aUSnSQHyrBfW4sgLcRNl/yocTNjYr8lP2q0zJgoLPlJkmXJT0JONL2vR82MjCIlfSOP394iSI2dGc/kJT9dLYLUiI0QMftBcVbcWQJbATzWA2aGMPV+o6XkR42ZGdT6K/lRI2WGNkHJz9JdPGhxFw/1iCXhTvM8dLQI0uIGlfx0tAhSo2UGPmnJj304lqBWwE50YLc355KQJT+pjCeXYPicC5CI4IyNu2fewpwL0ICGb0D+XtZHYxdKQ3DkKNjF0jkXIJXAORcgk4A5FyAL6YkvZzVaWwQhyWxF0gXJTxAQRFvFrqRLujijJ+fgHmCJCzygehPUlnRBcpO+ghxuXUmX7gWtcaS3uEQ9IWuEMqkxeATD61UgEYF74urVACXqQIMYvkHW1p9AGgLv24v+BFKB6M+WEnUglYACFMhCGv0Yy9HaIgjJJZj+bKtRR/ITOPhe9ediVmrSMvwWSlzgAdX6s61GHclN+gZyuHXpz+4FrXGkAxf9pD56VlGaVnpmld7Gi36UeFd9xne86EdphYxnhV6KfpQQjQgiA15HiyBe0Y+SDDNjKpCrZNGPEiEzP8pXoW1FP0qMzMzouvJSiU6SBWXYj+7yowW48ZIfLW5mROy55EeLlhkRpSU/5rrkhxx9el+PmhkXRTr6Rh6/vcuPGjszmslLfrq6/KgRGyFi9oPirLizBLYCeKwHzAxg6t1GW8mPFjMzpPVY8qNFygxskpIfc13yQ7qLh3rEkmCneR46uvxocYNKfjq6/KjRMgOfuOTH7CxBrYCd6MBubwolJUt+chlPLsHwKRQgEcEJG3fHHCCFAjSI4RuEvzP10diF0hAcIAr2pHQKBUgldAoFSCVgCgXIQnqAy1iO1i4/QCpbkUFB8hP4d9HOryuDki8O3MmJtQdY4gIHqN7TtGVQkNykLyCHW1cGpXtBaxzpLa44J7o9WPlZSI3BIxhefgKJCNwTV35uYcU50ICGb8C15SqQhsBb9yJXgVQgcpWuOAcyCahWgSykwZKzGq1dfoBcgsnVtoJzJD9BPOhVri5GmCYtM2mhxAUOUC1X2wrOkdykbyCHW5dc7V7QGkfa/u8Pn39dnQz9QZsu7bkCKPPxtYq0bQZaGSWrfANVAMWRf+d/Rw141YusWQL0327U7Ty6ru+xWvHx9Cv3qf2GO9P86tbK96bPhlY7uqlTP3Vy0v3IwP4tj+ZjqJ41StN+600rMe3nj6efNzL1DatB3T/RnJXOx1RNP1s5W3XfntUbue88vfrLkRt89WyQRANXUzQXtvMZWM3P/G72A5n7/ceWUCNzfea/qzZ/xjN/L7VHSohGBJEB77rhkA/orhooMy0rEMVkXZESITMJK9G6dF2REiMz/bquilWik6RaGfbz2m5PjS5IUVFEVGDs62EzY6y8pqi02p+sKdKiZcZYaU1ReV1TRA5Hva9HzQy0IqnOfTQO9LCZAUpeTkRhPdRjNUKs7KfD2W9nCWwF8FgPmBmx1LuYpCxG81L9m9sYLWhmEJNVEtGO4oEeKTOUSSqJyutKItJJPNQjloQ3zQNBvXS1GjKmiIjCeazHyYxx4vKhcmcJagXsRAe2kbJpFl1WVToso+x8mJn8ZHgSnV4M09MkqrLT87S4nD8q5D655eRAvVcmy4cqGU8uQd+OuoWXZFftI3IHSkRwXrfWbvvbG+pHV+/5qN6FUjV8qvxtI5PtYPobu4H/utn0P7l6azD9xO7dm6tHg+k/TD9O4sHBIDEDKuGxCzWM4OhSsE2lczdAKqDcTepjcg/KJGDuBshCenLMWA1qdwxkESxrUxKF6/tYeoIgINoJdiVtqsUZPznl9gBLXOD51Nsdak2PsNSkbx6HWlfOpns9axzpRqJWl3EZX6bZsCqLbJhdnCTD0yi6GJ6b7Pzsoigvo8v5uxxWohIlRmkkNQaPYHCJiiQi8E5cifqxy5zMpNrqne5Grv2RS7tMv2mKi5qr4U2mpqk9cr9j/sD4zHAXagbDNwNfvvpo7EJpCFyuQGxSOREkE5DW9O5m70GZhNOaSBbSiMdYDUJrIlkE05pJTqZsoPwE7rxPsZkuppymLWNrocQFnk8tNslFPcJyk757HG4dapOxoDWO9KygPT09sT8dDdM4vxhmcVwOq+jidHh2kVTn5qxMo2K+6GHVpve4wqrNtqFoXmPwCIZXm0AiAvfEVZsfuRodV5buSoFc2Y6VkVc/nUlKd4dypjY/mn7gLdi8C6Vr+HTXVpVAGgLfKlCVrkvUZ6OBv7XTS1BCGHHp43EPyiOgtASykIY3xlpQ0hLIIpi0jM2oIIrPofwEvrtXabmYSJq2jJiFEhe4P7W0JBf1CMtN+u5xuHVJy+4FrXGkG2lZ5mVyVpwXw9O0iIZZfnE5rM6y02FapVF1WZ2cpBdz1xpWWmY+Y1hpmUiNwSMYXloCiQjcE1da3mzV8f9n729/JEmuM1/wX0nsp1llRcDfzF+02A/sUqgQpYqM7PSMueBVC4PMrMwL4t6hAA73ww4wwIgaUhpoIIrizI7AV5Fa3L0fLi6abLbYfGv+C1H/0bpFZkR0e5mZP+eEPxZRo9YMi1XVVc3nd8zdzmN+jpmtv7P+b+ufrn+0/uFk/T37X5uNjt9b/3TjMl3Qz6nQBoc+2GASMQQzrMBgemvkTBSKtUym7tOKXlBRIrpLIoU0wyHD4aKYUyniucvE32xOBRTM36Pay2zrRrw3Qy644ILJT28vvaN6yYWTvn0I3JC/HB7RlgdtNzc+e7RVMfc0Ghdm5xzzIGbex4y3p9FZUnxPLbg/e/zL2tP46ZtvnGXp09bFMfY2aoehwIZhjL2NWolGJBGQl33uXHXHg/N4NMr/Z/2dqe1M3YzZ+hPbCtE9AOvfdIPz7bPN6SsfPXZEfPZglc0j8uP1d6euGMzUMeinHN62Sa1CcMcJbqED2ya1GsG9Jod6Y6W6fublbJvUqouybbIok2np+1SqFQ4mcvnGyTQpK+/OSbVcMJMLd07m+W7nZO69s/CVXjWYzkULAXTD0UIvG0x/Y+6cVGs1Qq3w02Hjd74T1hO81AsGk5Z6jeSfLS71osE8Jts5GZgp3tdLBdOZYOvkbpZ4PzBLXOkVS1Kc5onwb53USo69dVKtE8xy0q2T3ROxE9UTu9KJ3dhZqIfd8niX44HvEuoluW/rZF7IOFFA18I9wCVZvLtA3qOC9B1AaIAOWdSDWyeZqAZHxVelLowZFUPwHVOwsPQXcYgolCKOd6MjkyRiDYdIIf2KDIyGbz1LpIhWw/FvdKTiCaZs0cJtqIKzvb00D1xHSwUXzHzq1Yl/oyMVTfrmIWhD9Zvh8Wx50Ce80dF4NzoaaTAwwPiGkggimJ1QQ0nb6EgMg8HDcLDZJGIIplyB2fRWMYgkJK/p60YnkkT0mkQKacYDRsPnNYkU0bxmaKMjk08wnY9qNs3WnHhvlVxwwQUzn9pshjY6Mtmk7x7CNuQ2hwe05UGf8EZH493oWEqDgQHGd5tEEMH0hLrNgzc6EnENjnuwqyRiCOZWgasc2uhIBOKYSxfHCypHRGtJpJCmN2AsfNaSSBHNWoY2OjL5BHP3qNZye4dgHrgUkgoumP7U1jK00ZHJJn33ELYhazk8oC0P+oQ3OhrvRsfQlUPOYGCA8a0lEUQwPaHWcqSNjkRog0MfbDCJGIIZVmAw/TVyIgrFWgY2OhJRIrpLIoU0wyHD4aKYUyniucvQRkcmoGD+HtVebu/8ywOXOFLBBZOf3l6GNjoy4aRvHwI35C+HR7TlQVuDGfKNI29wdK4ZOsdYB/CarOzjHX+Do1Jwf9b4YoPjYRsclcNQYMMwygZHpUQjkgjIAzc4/szuZVz/+s1fPjtbf3f9k/WPn222Lq5/rN/26ArMTB2Yfv4h7npUKgR3i+B+OrTrUakR3CZyqFFWqpNsCQHi5zPASnVxdj0W9bSpXcJf6oWD2X3sXY9auWB6l+563N8XmQfui1SrBnO8aFWA7hVa6GWDOXHUXY9arUaoFX46bPzOd8J6gpd6wWDSUi+Y/LPFpV40mMfG3PWolQqmM8mux/2Fkf5Z4kqvWJLiNE9EYNejUnL0XY9anWCWE+96tBdGumeGlU7sxs4+1En58DqZPGTJw6S4K5tJ/bppJnf390VS5g83SfH0HnrX6IGPFOp1unfXYyPjRAHj13aIIIJvg+hK/+3ajv1ltxL7ebdG/o/duuvDx+W4bSE6W39//Xfd0u2n639Y/6D7zw//zeMq+9XlxHSr779zBeQ5NSAGDwi+oHVhzKgYgk+fguWnv+5DRCHVfdwnmL2govRzfwDl0OUskUL65RkZDhfFnEoRre5T19PaV/Zh8gmmdtECb6jss702MA9cA0kFF8x96lWMd1AvuWzSdw9hG6r6DA9oy4M+4Yb10rc9skikwcAAoztPJohgekKd56EN60xcg+Me6iuZGIK5VeArBxrWmUAUd+lpWGdyxLOWTAppegPGwmMtmRTRrGWgYZ3KJ5i7x7SWxfaOwCJw6SMVXDD9qa1loGGdyiZ99xC2AWsJDGjLgz7hkzdK317IInRNkTMYGGB8a0kEEUxPqLVknbzBDIPBw3Cw5SRiCOZcgeX0ddIwSThe03fyBpMkotskUkgzHjAaPrdJpIjmNgMnb1D5BNP5qG5ze21gEbgHkgoumPnUbjNw8gaVTfruIWxDbnN4QFse9AkfHFz6tkcWmTQYGGB8t0kEEUxPqNs85OBgJqrBUQ92lEQMwbwqcJTe4jgThWQpnavPF1SSiJaSSCFNa8Bo+CwlkSKapfQfHEzFE0zZozrK7UWBReDqRyq4YOZTO0r/wcFUNOmbh6ANGcrh8Wx50JH3Q1YuvM4i5kG8qo939P2QWsH9OeOL/ZAH7YfUDkOBDcMY+yG1Eo1IIiAvx/ZDMi581Magn2h4Wx+1CsEtIxLX7N36qNUI7hU51A8r1fUzLmfro1ZdnK2PgQsf1cLBRD7y1ke1XDCTC7c+FvsLH4vAhY9q1WA6F9l/dMPQQi8bTH9jbn1UazVCrfDTYeN3vhPWE7zUCwaTlnplFLrwUS0azGMjbn1USwXTmWDrY7G/8NE/S1zpFUtSnOaJ8G991EqOvfVRrRPMctKtj4W98NE9M6x0Yk+3blP5tj4WhYwTBYxftyGC9B1AaIAOWdSjdRsiqsFR8VWpC2NGxRB8vRQsLP11GyJK5LoNkSRi3YZIIf16DIyGbz1LpDiFug0TTzBlixZuQ3Wb7QWBReDCRyq4YOZTr04CdRsmmvTNQ9CG6jbD49nyoE+47bzy7mg00mBggPENJRFEMDuhhpLWdk4Mg8HDcLDZJGIIplyB2fRWMYgkJK/pazsnkkT0mkQKacYDRsPnNYkU0bxmqO2cySeYzkc1m9v7AYvAhY9UcMHMpzabobZzJpv03UPYhtzm8IC2POgTPj+j8m5yLKXBwADju00iiGB6Qt3mwednEHENjnuwqyRiCOZWgascOj+DCMQxly6OF1SOiNaSSCFNb8BY+KwlkSKatQydn8HkE8zdo1rL7f2AReDCRyq4YPpTW8vQ+RlMNum7h7ANWcvhAW150Cd84WPl3dFYSYOBAca3lkQQwfSEWstxLnxkQhsc+mCDScQQzLACg+mvkRNRKNbSf+EjEyWiuyRSSDMcMhwuijmVIp67DFz4SAUUzN+j2svt9YBF4MJHKrhg8tPby8CFj1Q46duHwA35y+ERbXnQkTc41i68zjHWQby6j3f8DY5Kwf1Z44sNjodtcFQOQ4ENwygbHJUSjUgiIA/c4BjtwkdtYPr5h7jrUakQ3C2C++nQrkelRnCbyKFGWalOsiUEiJ/PACvVxdn1GLjwUS0czO5j73rUygXTu3TX4/7CxyJw4aNaNZjjRasCdK/QQi8bzImj7nrUajVCrfDTYeN3vhPWE7zUCwaTlnrBFLrwUS0azGNj7nrUSgXTmWTX4/7CR/8scaVXLElxmicisOtRKTn6rketTjDLiXc92gsf3TPDSid2Y2ehK3osj3eNHvhIoV6ne3c9NjJOFDB+bYcIIvg2iK70+Rc+MgNi8IDgC1oXxoyKIfj0KVh++us+RBRS3cd34SMTpZ/7AyiHLmeJFNIvz8hwuCjmVIpodZ/AhY9UPsHULlrgDZV9tvcDFoELH6nggrlPvYoJXPhIZZO+ewjbUNVneEBbHvQJN6zXvu2RJpEGAwOM7jyZIILpCXWehzasM3ENjnuor2RiCOZWga8caFhnAlHcpadhnckRz1oyKaTpDRgLj7VkUkSzloGGdSqfYO4e01qa7f2AJnDhIxVcMP2prWWgYZ3KJn33ELYBawkMaMuDPuGTN2rfXkgTvo/IEQwMML61JIIIpifUWrJO3mCGweBhONhyEjEEc67Acvo6aZgkHK/pO3mDSRLRbRIppBkPGA2f2yRSRHObgZM3qHyC6XxUt7m9H9AELnykggtmPrXbDJy8QWWTvnsI25DbHB7Qlgd9wgcH177tkSaTBgMDjO82iSCC6Ql1m4ccHMxENTjqwY6SiCGYVwWO0lscZ6KQLKVz9fmCShLRUhIppGkNGA2fpSRSRLOU/oODqXiCKXtUR7m9INAELnykggtmPrWj9B8cTEWTvnkI2pChHB7PlgcdeT9k48LrLGIexGv6eEffD6kV3J8zvtgPedB+SO0wFNgwjLEfUivRiCQC8jJsPyTjwkdtDPqJhrf1UasQ3DIicc3erY9ajeBekUP9sFJdP+MeuPUxrYqpc8vCXK0wzvbHsnM8hUv4S71wMJmPvP1RLRfM5sLtj2Z/6aMJXPqoVg2mdNES4C03nDa2UbBySV/opYNpUL4FMq1Lk6YeC3+hF2yEguHHxAbxfCesJ3ipFwxmMPUyKXT7o1o0mNSE+yCzOpkWzgfifb1UMLcJ9kGa/e2P/uniSq9Yku80T0SdmCyf5s6polXL5uyFzLK8TvNp4zRl13qxYN6Tbog09hpI9xSx0ok93WpO49sQaQoZJwoYv5pDBOl7gtAAHbLUR6s5RFSDo+JrVRfGjIoh+KYpWG76qzlElMjVHCJJxGoOkUL6TRkYjaoxubvcPqeiRCzpVMaF95KLJ5i3Reu5oZLO9u5AE7gLkgoumP7Ua5VASYeJJn39ELShks7weLY86BPuSG+8mx2NNBgYYHxXSQQRzE6oq6R1pBPDYPAwHOw4iRiCKVfgOL0FDiIJyXD6OtKJJBENJ5FCmvGQ0WiyaearqxBRohnOrJw+Xc78tuNk8gnm9FEd5/b+QBO4EJIKLpj+1I4z1JbOZJO+gAjbkOUcHtCWB33C52s03k2QpTQYGGB8y0kEEUxPqOU8+HwNIq7BcQ+2lkQMwdwqsJZD52sQgTgO08XxgsoR0V8SKaTpDRmLQNsOkSSavUw7J+Jcmb3k8gnm71Ht5fYOQRO4FJIKLpgC1fYydMYGk036/iFsQ/ZyeEBbHvQJXwrZeHc9VtJgYIDx7SURRDA9ofZynEshmdAGhz7YZBIxBDOswGT6K+ZEFIq99F8KyUSJ6DCJFNIMBwxHkU+dPXFzKkg8g5mknkbQl1xAwRQ+qsPc3iJoAvdCUsEF85/eYQbuhaTCSV9ABG7IYg6PaMuDjrsPMnOOaWca6xBenvTxjr8PUim4P2t8sQ/ysH2QymEosGEYZR+kUqIRSQTkgfsgo90LqQ1MP/8QN0cqFYL7SHBLHdocqdQIbiA51Csr1Uk2iwDxqxPfN1alvjhbI005rZze/aVeOJjfx94aqZULJnjp1sj9zZAmcDOkWjWY5UXrgn6887JJqmSaOtc+C712MDXK90bWZZbmvsaEC71gIxQMPyc2iOc7YT3BS71gMIGpF0+hOyLVosGcNubeSK1UMLVJ9kbu74j0zxdXesWSdKd5IvIyqyozrQuX7latm7M5Mk3yLvPlnrXitV4tmPrEuyPtdZHuSWKlE7txudAFP5bHu3QPfLtQL9+9uyMbGScKGL/qQwQRfDJEPwDwr4tkBsTgAcHXuS6MGRVD8EVUsCr1V4SIKKSKkO+6SCZK3wYEUA5d5RIppB+kgeFIs9T9WXNOJYlWEmoST8v+Sy6fYHoXrfyGKkLbGwZN4MpIKrhg/lMvagJXRlLZpO8fwjZUEBoe0JYHfbot7ZmnGvOl/Gl/rSAYGGB098kEEUxPqPs8tKWdiWtw3EO9JRNDMLcKvOVASzsTiOIwPS3tTI549pJJIU1vwFh4iy1MjmjmMtDQTuUTzN5jmstye8dgGbg0kgoumADV5jLQ0E5lk759CNuAuQQGtOVBn+4RHZ25zF3B6Mxl8E4jVzAwwPjmkggimJ5Qc8k6ooMZBoOH4WDTScQQzLkC0+lrs2GScNym74gOJklEv0mkkGY8YDRq+2nIRTKnkkRznIETOqh8gil9VMe5vWewDFwcSQUXzH5qxxk4oYPKJn3/ELYhxzk8oC0P+nSPGu4cp/O17hxnJg0GBhjfcRJBBNMT6jgPOWqYiWpw1INdJRFDMK8KXKW3TM5EIdlK5wr0BZUkoq0kUkjTGjAaeVm576WZU0mi2Ur/ScNUPMG0Paqr3F42WAYuj6SCC2Y/tav0nzRMRZO+fQjakKkcHs+WBx1506Sn57LMg3hpH+/omya1gvtzxhebJg/aNKkdhgIbhjE2TWolGpFEQF6ObZpkXB6pjUE/0fD2R2oVgntJJM7Zuz9SqxHcRHKoJ1aq62fcA/dHpqbwdYRqFcbZIRm4PFItHEzmI++QVMsFs7lwh2S5vzyyDFweqVYNpnTREqAf7yrLyu65blzSF3rpYBqUb5BMy8LkqWc/3IVesBEKhh8TG8TznbCe4KVeMJjB1Muk0OWRatFgUhtxg6RaKpjbBBsky/3lkf7p4kqvWJLvNE9ElSZ57tls36plk/ZHNlWRV9PSWfO81osF8550e2RpL490TxErndjTreh4GgO6pXoh40QB41d0iCB9TxAaoEOW+mhFh4hqcFR8rerCmFExBN80BctNf0WHiBK5okMkiVjRIVJIvykDo1ElaemeoOdUlFMo6TDxBPO2aD03VNLZXjZYBi6PpIILpj/1WiVQ0mGiSV8/BG2opDM8ni0P+oQ70z27tTtXaaTBwADju0oiiGB2Ql0lrTOdGAaDh+Fgx0nEEEy5AsfpLXAQSUiG09eZTiSJaDiJFNKMh4xG2UxLX12FiBLNcIZa05l8gjl9VMe5vWuwDFweSQUXTH9qxxlqTWeySV9AhG3Icg4PaMuDPuGTNjwfLjrLWUqDgQHGt5xEEMH0hFrOg0/aIOIaHPdga0nEEMytAms5dNIGEYjjMF0cL6gcEf0lkUKa3pCxCLTtEEmi2cvQWRtMPsH8Paq93N41WAYuj6SCC6ZAtb0MnbXBZJO+fwjbkL0cHtCWB326l0d29rJwBaOzl5U0GBhgfHtJBBFMT6i9HOfySCa0waEPNplEDMEMKzCZ/oo5EYViL/2XRzJRIjpMIoU0wwHDkddT4xyPOZUknsMM3B5JBRTM4aNazO1dg2Xg9kgquGAC1FvMwO2RVDjpG4jADXnM4RFtedCRN0L66uB1EC/r4x1/I6RScH/W+GIj5GEbIZXDUGDDMMpGSKVEI5IIyAM3Qka7PVIbmH7+Ie6OVCoEN5Lgnjq0O1KpEdxBcqhZVqqT7BYB4meqzP29Yq5WGGd3ZOD+SLVwMMOPvTtSKxdM8dLdkfv7I8vA/ZFq1WCeF60M3i7zp4Uxnpt5FnrtYHKUb48s06QyiecWkAu9YCMUDD8nNojnO2E9wUu9YDCFqZdPofsj1aLBrDbm9kitVDC5SbZH7u+P9M8XV3rFkoSneSIyUzZN6ZkrWrVuzv7IKs+aJJk2zs8613qxYOYT74+010e654iVTuzG5kKX/Vge79o98PFCvX737o9sZJwoYPy6DxFE8M0Q/QLAvz6SGRCDBwRf6LowZlQMwSdRwbLUXxMiopBqQr7rI5kofRcQQDl0mUukkH6RBoajNtPamVvnVJJoNaHA9ZFUPsH0Llr4DZWEtrcNloHrI6nggvlPvaYJXB9JZZO+fwjbUEVoeEBbHvQJN7Vnvn2UVSINBgYY3X0yQQTTE+o+D21qZ+IaHPdQb8nEEMytAm850NTOBKI4TE9TO5Mjnr1kUkjTGzAWgWoLkySavQw0tVP5BPP3mPay2t43WAUukKSCC6ZAtb0MNLVT2aTvH8I2YC+BAW150Cd8TEfm2zNZhe82cgQDA4xvL4kggukJtZesYzqYYTB4GA62nUQMwZwrsJ2+ThsmCcdv+o7pYJJEdJxECmnGA0ajzBrPKeJzKko0yxk4poPKJ5jTR7Wc2wsHq8ANklRwwfSntpyBYzqobNIXEGEbspzDA9ryoE/4vGHPSrmznJk0GBhgfMtJBBFMT6jlPOS8YSaqwVEPtpVEDMG8KrCV3ko5E4XkK51L0BdUkoi+kkghTWvAaGRlUngP6GCyRDOW/gOHqXiCiXtUX7m9c7AK3CFJBRfMf2pf6T9wmIomff8QtCFbOTyeLQ+6+78/25A/+Sn7X38a8o8j76X0fazMA7x1Yvq8sfZSeor376kF9ycR5l7K9UfrT9a/f9zeZrdJrj+xu95+u9k7+e2nXyo3Sa5/sv7e+jv6vZL2DxbPkqc/WgO7JrUBL7CAj7FrUivRiCQC8jJs1yTj+khtDPo5hrdBUqsQ3Eoisc3eDZJajeAekkMNsVJdP9keuEHSGbu5Wl2UzZF5mk8L51f4l3rhYMrWbI6scu/mSLVcMGcLN0dW+6sjq8DVkWrVYOIWOf+3W87dwV7oZYPpT74v0qf1Qq/VCLXCT4eN3/lOWE/wUi8YTFrqRZF/trjUiwbzmHBLpH+meF8vFUxngi2R1f7GSP8scaVXLElxmifC99a1asmc3ZA+ndd6nWCWk26ErOxFke6ZYaUTa9XeJqZJk/p+UpZ395PixpSTpirN5K7JivviLrmtb4+wETL3bYSsChknCuhaoge4JMt0F8h7VJC+AwgN0AHL98+u2jf9Qk8r6H+yOyRt2/qbb3X/+Y+fXZN1y7XHFd2P1/+w/t5ks1vy79Y/XP/X7sd/XP/02Vme+MoNz6khM3jI8NWtC2NGxRB8ABUsUP0FICIKpwDk4nhB5YhY/iFSSD8/A2PhWxUTKaIVfqpp1bjwXnLxBBO/aPk3VPjZ3kxYBW6apIIL5j31Gsc3ppdcNOmbh6ANFX6Gx7PlQZ/wDsncu0PSiIMBAca3pUQQweyE2tKDd0gScQ2Oe7ClJGIIplaBpRzaIUkEimosiRwRjSWRQpregLHwGUsiRTRj6d1I95LLJ5i7R3WW2wsIq8CNklRwwfSndpah3ZFMNum7h7ANWcvhAW150Cd85U/u3R1ZSoOBAca3lkQQwfSEWstxrvxhQhsc+mCDScQQzLACg+n/ZklEoVhL/5U/TJSI7pJIIc1wyHC4KOZUinju0nsxzEsuoGD+HtVebi8grAI3SlLBBZOf3l4GrvuhwknfPgRuyF8Oj2jLg4583U/hwuscYxXAa/K8j3f8FnWl4P6s8UWLOtqirgx4gQV8lBZ1pUQjkgjIA1vUdxf7nHWPAudKH21I+jmG2LGuVAh2+uGeOdSxrtQItvgdaoaV6iTtfED8fCZXqS5Ox3qSTt3tcS/1wsEMPnbHulYumMKlHevVvmPde4viK71qMI+LnD/a57nQywaz4agd61qtRqgVfjps/M53wnqCl3rBYNJSL4r8s8WlXjSYx8bsWNdKBdOZpGO92nese2eJK71iSYrTPBGBjnWl5Ogd61qdYJYTd6xX5ztRPbErndiNnYUOWrc83nV44EOEei3u7VivZZwoYPz6DRFE8P0PXc3zr+5hBsTgAcGXsi6MGRVD8HlTsPz013aIKP3cHkDB16n+q3uYKBFrO0QK6ddlZDhcFHMqRbTajveGl5dcPsHULlrgDZV26m0hwHuh5IILLpj71KuYwLU9VDbpu4ewDVV2hge05UGfcFO65wi1znk20mBggPGdJxFEMD2hzvPgpnQirsFxD/aVRAzB3CrwlUNN6UQgirv0NaUTOSJaSyKFNL0BY+GzlkSKaNYy1JTO5BPM3aNay+0FglXgRkgquGD6U1vLUFM6k0367iFsQ9ZyeEBbHvQJH8NR+JrSnxYdkmBAgNGtJRNEMD2h1vIUjuFghszgITvUnjIxBPOzwJ56P3syUWIaUyZHPGPKpJAmR2AsPMaUSRHNmPqP4aDiCSb+MX1pvb15sA5cJUkFF8x7al/qP4aDiiZ98xC0AVsKjGfLg47cy25ceJ3RDN9aVPTxjt7LrhUM9sAdYhT/x+xl1wa8wAI+Ri+7VqIRSQTk5VgvO+O4dW0MwD5AgY32Na9rFfYdMrN5XasR7PY71Pkq1Uk6+4D4+RytUl2c5vXAcetq4WDKHrl5XS0XzNnC5vU63TWv197rEV/pVYOJW2T00ZbPhV42mP7GbF5XazVCrfDTYeN3vhPWE7zUCwaTlnoNFDpuXS0azGMjNq+rpYLpTNC8vpsl3g/MEld6xZIUp3ki/M3rWsmxm9fVOsEsJ21e756Inaie2JVO7OnWeYyveb3OZJwoYPw6DxFE8LnvkOV79DoPMWQGDxm+unVhzKgYgu+dggWqv85DRIla5yFyRKzzECmkX5uBsfCtiokUp1DnYeIJJn7R8m+ozrO9l7UO3LNLBRfMe+o1TqDOw0STvnkI2lCdZ3g8Wx70CXe2G19ne52LgwEBxrelRBDB7ITa0kM725m4Bsc92FISMQRTq8BSDnS2M4GiGksiR0RjSaSQpjdgLHzGkkgRzVgGOtupfIK5e1RnmW+diPfKyQUXXDD9qZ1loLOdyiZ99xC2IWs5PKAtD/qEj1s33s72QhoMDDC+tSSCCKYn1FqOc9w6E9rg0AcbTCKGYIYVGEz/N0siCsVa+o9bZ6JEdJdECmmGQ4bDRTGnUsRzl4Hj1qmAgvl7VHu5vVewDtwTSQUXTH56exk4bp0KJ337ELghfzk8oi0POnKLunPN0DlGE8R76zT547eoKwX3Z40vWtTRFnVlwAss4KO0qCslGpFEQB7Yoh7huHVtSMDmP4G59nasKxWCnX64Zw51rCs1gi1+h5phpTpJOx8QP5/JVaqL07EeOG5dLRzM4GN3rGvlgilc2rFu9h3r3lsSX+lVg3lc5PzRPs+FXjaYDUftWNdqNUKt8NNh43e+E9YTvNQLBpOWelEUOm5dLRrMY2N2rGulgulM0rFu9h3r3lniSq9YkuI0T0SgY10pOXrHulYnmOXEHevmfCeqJ3alE7uxs9ABmZbHuw4PfIhQr8W9HeuljBMFjF+/IYIIvv+hq3n+cevMgBg8IPhS1oUxo2IIPm8Klp/+2g4RhVTb8R23zkSJWNshUki/LiPD4aKYUymi1XYCx61T+QRTu2iBN1Ta2d67Wgdu0qWCC+Y+9SomcNw6lU367iFsQ5Wd4QFtedAn3JReepvSK2kwMMD4zpMIIpieUOd5cFM6EdfguAf7SiKGYG4V+MqhpnQiEMVd+prSiRwRrSWRQpregLHwWUsiRTRrGWpKZ/IJ5u5RrWW1dSLeWyUXXHDB9Ke2lqGmdCab9N1D2Ias5fCAtjzoEz6Go/Q2pdfiYECA8a0lEUQwPaHW8iSO4SCGzOAhO9ieEjEE87PAnvo/exJRohpTIkdEY0qkkCZHYCx8xpRIEc2YBo7hYOIJJv5Rfen2QsI6cMMkFVww76l9aeAYDiaa9M1D0IZs6fB4tjzoyL3slQuvM5pNEK/s4x2/l10pGOyBO8Qo/g/ay64MeIEFfJRedqVEI5IIyMuwXnbKcevKGPRTCrF5Xamw75CpzetKjWC336HOV6lO0tkHxC8v02rq/HQ1V0uM08Ge1tPS+cXlpV44mLfH7mDXygUTt7SDvdl3sHuvVHylVw1mb5HbfyveqcnKykxrp/1d6MWDmVDex96Z07SsC0+LwoVesREqhp8UG8XznbCe4KVeMJjF1Iui4PnrWtFgYhN2s2d1Nzn7utm1UsH8Julmb/bd7N4Z40qvWJLzNE9EmnYammyaON1OqxbO6WkvSlMnWeqpOF3r1YLZT9zZ3pzvRPXErnRiT7cIVPk625tExokCRi8CMUEE3wIPWdvHLgIxQ2bwkOFLXxfGjIoh+BgqWL16i0BMlJhFICZHvCIQk0L6KRoZi6wsU8+SmYkSsRLUOI3QSy6eYPYXrQ0HKkHN9qLWJnDxLhVcMPmpFz3+ShAVTfr6IWgDlSBgPFse9An3vle+3vcmfB+SKxgQYHxvSgQRzE6oNz20952Ja3Dcg30lEUMwtQp85UDvOxMoqrskckR0l0QKaXoDxiJUkGGiRHOXaen5zvaSyyeYwEe1l+nWjnhvplxwwQVzoNpeBhrgqWzSFxBhG/KXwwPa8qBP+FT2ytcA/7SaFAQDA4zvL4kggukJ9ZfjnMrOhDY49MEuk4ghmGEFLtP/9ZKIQvGX/lPZmSgRLSaRQprhgOFokmJauEjmVJJ4DjNJp6XTjbzkAgrm8FEt5vYKwiZwpSQVXDAB6i1m4GR2Kpz0DUTghjzm8Ii2POjI3ey1C69zjXkQr+rjHb2bXSu4P2t80c0OdrNrA15gAR+jm10r0YgkAvLAbvYIJ7NrQ9LPMbzmdq1CsAcQ982B5natRrD571BDrFQnafQD4lcUZTJ1ppe5WmKc5vak9J4SohYOpvGRm9vVcsE8Lmxub/Jdc3vjvVXxlV41mMxF9v+teOdlp8JME2fdZqEXDyZGeXN7UdVlkdfTwtPcrlZshIrhJ8VG8XwnrCd4qRcMZjH1Kil0VLtaNJjYRmxuV0sF85uguX03Y7wfmDGu9IolOU/zRKR5YRpTTVNnImzVwjnN7aYq8iorp4lT7bVeLZj9pM3t3dOxE9UTu9KJ3Xhd6KBNy+NdpAe+UqgX6t7m9kLGiQLGL/AQQfrOIDRA4FKff2w7MyAGDwi+znVhzKgYgm+fgrWpv/hDRCEVf3zHtjNRIhZ/iBTST8/AcJRlM02dHz7mVJRo1Z8m8XxSfsnlE8zvotXfUPFne4lrE7iWlwoumADVy5rA2e1UNukLiLAN1X6GB7TlQZ9w/3rt7V830mBggPHtJxFEMD2h9vPg/nUirsFxDzaXRAzB3Cowl0P960QgisX09a8TOSL6SyKFNL0BYxGsuRBRovnLUP86k08wgY/qL83WjnjvqVxwwQVzoNpfhvrXmWzSFxBhG/KXwwPa8qBP+OyO2tu/XoqDAQHG95dEEMH0hPrLkzi7gxgyg4fsYI9KxBDMzwKP6v8ASkSJ6k6JHBHdKZFCmhyRsTBl6v46OKeiRHOngbM7mHiC2X9Uc7q957AJXFxJBRdMfmpzGji7g4kmff0QtCFvOjyeLQ86ct+7c0w7t1kF8eo+3vH73pWC+3PGF33vaN+7MuAFFvBR+t6VEo1IIiAvx/reGae4a2PQTynERnelwr5Npja6KzWCjYCH2l+lOknTHxC/PM2Me3qeqyXGaXQPnOKuFg7m7bEb3bVywcQtbXSv9o3u3psaX+lVg9lb5PbfauVoTFVn08K5YFvotYOJUN7nnucmz/PG09Z8oVdshIrhB8VG8XwnrCd4qRcMJjH1mih0iLtaNJjXxuxz10oF05ukz73a97l7J4wrvWJJytM8EU3VFGU9dfdit2rdnDb3IsmKJKmmxpm0r/VqwdwnbnOvzneiemJXOrGnWwdqvG3utYwTBYxfByKC</t>
  </si>
  <si>
    <t>Наименование</t>
  </si>
  <si>
    <t>Описание</t>
  </si>
  <si>
    <t>№ п.п</t>
  </si>
  <si>
    <t>Утеплитель</t>
  </si>
  <si>
    <t>Пожарная пена</t>
  </si>
  <si>
    <t>Подоконная заливка</t>
  </si>
  <si>
    <t>2 этаж. Шпаклевка оконных откосов базовая.</t>
  </si>
  <si>
    <t>3 этаж. Шпаклевка оконных откосов базовая.</t>
  </si>
  <si>
    <t>2 этаж. Шпаклевка оконных откосов финишная.</t>
  </si>
  <si>
    <t>3 этаж. Шпаклевка оконных откосов финишная.</t>
  </si>
  <si>
    <t>Устройство оконных откосов из ГЛВ В 2 слоя</t>
  </si>
  <si>
    <t>7-8 см, 177.8 м2</t>
  </si>
  <si>
    <t>Профиль, 28х27х0.6 мм</t>
  </si>
  <si>
    <t>Утеплитель минераловатный негорючий</t>
  </si>
  <si>
    <t>Объем, (0.3)</t>
  </si>
  <si>
    <t>Объем, (0.34)</t>
  </si>
  <si>
    <t>№ п.п.</t>
  </si>
  <si>
    <t>Объем</t>
  </si>
  <si>
    <t>№ 
пом.</t>
  </si>
  <si>
    <t>Тип пола</t>
  </si>
  <si>
    <t>Площадь,
м2.</t>
  </si>
  <si>
    <t>2.001</t>
  </si>
  <si>
    <t>2.007</t>
  </si>
  <si>
    <t>2.002</t>
  </si>
  <si>
    <t>2.037</t>
  </si>
  <si>
    <t>2.003</t>
  </si>
  <si>
    <t>2.038</t>
  </si>
  <si>
    <t>2.004</t>
  </si>
  <si>
    <t>2.057</t>
  </si>
  <si>
    <t>2.005</t>
  </si>
  <si>
    <t>Итог:</t>
  </si>
  <si>
    <t>2.012</t>
  </si>
  <si>
    <t>2.013</t>
  </si>
  <si>
    <t>2.014</t>
  </si>
  <si>
    <t>2.015</t>
  </si>
  <si>
    <t>2.016</t>
  </si>
  <si>
    <t>2.017</t>
  </si>
  <si>
    <t>2.022</t>
  </si>
  <si>
    <t>2.025</t>
  </si>
  <si>
    <t>2.030</t>
  </si>
  <si>
    <t>2.031</t>
  </si>
  <si>
    <t>2.032</t>
  </si>
  <si>
    <t>2.036</t>
  </si>
  <si>
    <t>2.039</t>
  </si>
  <si>
    <t>2.040</t>
  </si>
  <si>
    <t>2.041</t>
  </si>
  <si>
    <t>2.042</t>
  </si>
  <si>
    <t>2.045</t>
  </si>
  <si>
    <t>2.046</t>
  </si>
  <si>
    <t>2.047</t>
  </si>
  <si>
    <t>2.048</t>
  </si>
  <si>
    <t>2.049</t>
  </si>
  <si>
    <t>2.050</t>
  </si>
  <si>
    <t>2.060</t>
  </si>
  <si>
    <t>2.061</t>
  </si>
  <si>
    <t>2.062</t>
  </si>
  <si>
    <t>2.064</t>
  </si>
  <si>
    <t>2.066</t>
  </si>
  <si>
    <t>2.067</t>
  </si>
  <si>
    <t>2.068</t>
  </si>
  <si>
    <t>2.071</t>
  </si>
  <si>
    <t>Штукатурка поверхностей откосов сухими смесями с
предварительной огрунтовкой поверхности / толщ. 70 мм</t>
  </si>
  <si>
    <t>Черновая отделка под подоконники на 2 и 3 этажах СОШ2</t>
  </si>
  <si>
    <t>2 этаж ГКЛ 12,5мм</t>
  </si>
  <si>
    <t>СТ-8</t>
  </si>
  <si>
    <t>СТ-2.16</t>
  </si>
  <si>
    <t>СТ-11</t>
  </si>
  <si>
    <t>СТ-12</t>
  </si>
  <si>
    <t>СТ-6.1</t>
  </si>
  <si>
    <t>СТ-6.3</t>
  </si>
  <si>
    <t>СТ-6.4</t>
  </si>
  <si>
    <r>
      <rPr>
        <i/>
        <sz val="11"/>
        <rFont val="ISOCPEUR"/>
        <family val="2"/>
      </rPr>
      <t>СТ-1.2</t>
    </r>
  </si>
  <si>
    <r>
      <rPr>
        <i/>
        <sz val="11"/>
        <rFont val="ISOCPEUR"/>
        <family val="2"/>
      </rPr>
      <t>СТ-1.3</t>
    </r>
  </si>
  <si>
    <r>
      <rPr>
        <i/>
        <sz val="11"/>
        <rFont val="ISOCPEUR"/>
        <family val="2"/>
      </rPr>
      <t>СТ-1.4</t>
    </r>
  </si>
  <si>
    <r>
      <rPr>
        <i/>
        <sz val="11"/>
        <rFont val="ISOCPEUR"/>
        <family val="2"/>
      </rPr>
      <t>СТ-1.5</t>
    </r>
  </si>
  <si>
    <r>
      <rPr>
        <i/>
        <sz val="11"/>
        <rFont val="ISOCPEUR"/>
        <family val="2"/>
      </rPr>
      <t>СТ-1.7</t>
    </r>
  </si>
  <si>
    <r>
      <rPr>
        <i/>
        <sz val="11"/>
        <rFont val="ISOCPEUR"/>
        <family val="2"/>
      </rPr>
      <t>СТ-1.8</t>
    </r>
  </si>
  <si>
    <r>
      <rPr>
        <i/>
        <sz val="11"/>
        <rFont val="ISOCPEUR"/>
        <family val="2"/>
      </rPr>
      <t>СТ-2.1</t>
    </r>
  </si>
  <si>
    <r>
      <rPr>
        <i/>
        <sz val="11"/>
        <rFont val="ISOCPEUR"/>
        <family val="2"/>
      </rPr>
      <t>СТ-2.8</t>
    </r>
  </si>
  <si>
    <r>
      <rPr>
        <i/>
        <sz val="11"/>
        <rFont val="ISOCPEUR"/>
        <family val="2"/>
      </rPr>
      <t>СТ-2.10</t>
    </r>
  </si>
  <si>
    <r>
      <rPr>
        <i/>
        <sz val="11"/>
        <rFont val="ISOCPEUR"/>
        <family val="2"/>
      </rPr>
      <t>СТ-2.16</t>
    </r>
  </si>
  <si>
    <r>
      <rPr>
        <i/>
        <sz val="11"/>
        <rFont val="ISOCPEUR"/>
        <family val="2"/>
      </rPr>
      <t>СТ-2.17</t>
    </r>
  </si>
  <si>
    <r>
      <rPr>
        <i/>
        <sz val="11"/>
        <rFont val="ISOCPEUR"/>
        <family val="2"/>
      </rPr>
      <t>СТ-6.1</t>
    </r>
  </si>
  <si>
    <r>
      <rPr>
        <i/>
        <sz val="11"/>
        <rFont val="ISOCPEUR"/>
        <family val="2"/>
      </rPr>
      <t>СТ-6.2</t>
    </r>
  </si>
  <si>
    <r>
      <rPr>
        <i/>
        <sz val="11"/>
        <rFont val="ISOCPEUR"/>
        <family val="2"/>
      </rPr>
      <t>СТ-6.3</t>
    </r>
  </si>
  <si>
    <r>
      <rPr>
        <i/>
        <sz val="11"/>
        <rFont val="ISOCPEUR"/>
        <family val="2"/>
      </rPr>
      <t>СТ-7</t>
    </r>
  </si>
  <si>
    <r>
      <rPr>
        <i/>
        <sz val="11"/>
        <rFont val="ISOCPEUR"/>
        <family val="2"/>
      </rPr>
      <t>СТ-8</t>
    </r>
  </si>
  <si>
    <r>
      <rPr>
        <i/>
        <sz val="11"/>
        <rFont val="ISOCPEUR"/>
        <family val="2"/>
      </rPr>
      <t>СТ-10</t>
    </r>
  </si>
  <si>
    <r>
      <rPr>
        <i/>
        <sz val="11"/>
        <rFont val="ISOCPEUR"/>
        <family val="2"/>
      </rPr>
      <t>СТ-11</t>
    </r>
  </si>
  <si>
    <r>
      <rPr>
        <i/>
        <sz val="11"/>
        <rFont val="ISOCPEUR"/>
        <family val="2"/>
      </rPr>
      <t>СТ-12</t>
    </r>
  </si>
  <si>
    <r>
      <rPr>
        <i/>
        <sz val="11"/>
        <rFont val="ISOCPEUR"/>
        <family val="2"/>
      </rPr>
      <t>СТ-14</t>
    </r>
  </si>
  <si>
    <r>
      <rPr>
        <i/>
        <sz val="13"/>
        <rFont val="ISOCPEUR"/>
        <family val="2"/>
      </rPr>
      <t>Марка</t>
    </r>
  </si>
  <si>
    <r>
      <rPr>
        <i/>
        <sz val="13"/>
        <rFont val="ISOCPEUR"/>
        <family val="2"/>
      </rPr>
      <t>Тип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отделки</t>
    </r>
  </si>
  <si>
    <r>
      <rPr>
        <i/>
        <sz val="13"/>
        <rFont val="ISOCPEUR"/>
        <family val="2"/>
      </rPr>
      <t xml:space="preserve">Этаж
</t>
    </r>
    <r>
      <rPr>
        <i/>
        <sz val="13"/>
        <rFont val="ISOCPEUR"/>
        <family val="2"/>
      </rPr>
      <t>-1</t>
    </r>
  </si>
  <si>
    <r>
      <rPr>
        <i/>
        <sz val="13"/>
        <rFont val="ISOCPEUR"/>
        <family val="2"/>
      </rPr>
      <t>Этаж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01</t>
    </r>
  </si>
  <si>
    <r>
      <rPr>
        <i/>
        <sz val="13"/>
        <rFont val="ISOCPEUR"/>
        <family val="2"/>
      </rPr>
      <t>Этаж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02</t>
    </r>
  </si>
  <si>
    <r>
      <rPr>
        <i/>
        <sz val="13"/>
        <rFont val="ISOCPEUR"/>
        <family val="2"/>
      </rPr>
      <t>Этаж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03</t>
    </r>
  </si>
  <si>
    <r>
      <rPr>
        <i/>
        <sz val="13"/>
        <rFont val="ISOCPEUR"/>
        <family val="2"/>
      </rPr>
      <t>Общий</t>
    </r>
  </si>
  <si>
    <r>
      <rPr>
        <i/>
        <sz val="11"/>
        <rFont val="ISOCPEUR"/>
        <family val="2"/>
      </rPr>
      <t>Краска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моющаяся,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влагостойкая,
</t>
    </r>
    <r>
      <rPr>
        <i/>
        <sz val="11"/>
        <rFont val="ISOCPEUR"/>
        <family val="2"/>
      </rPr>
      <t>водно-дисперсионная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основе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акриловой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дисперсии,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BRAVO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PROFI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FW-55,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NCS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2030-R80B,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класс
</t>
    </r>
    <r>
      <rPr>
        <i/>
        <sz val="11"/>
        <rFont val="ISOCPEUR"/>
        <family val="2"/>
      </rPr>
      <t>истирания.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ПБ: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Г1,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В1,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(КМ1)</t>
    </r>
  </si>
  <si>
    <r>
      <rPr>
        <i/>
        <sz val="11"/>
        <rFont val="ISOCPEUR"/>
        <family val="2"/>
      </rPr>
      <t>Краска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моющаяся,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влагостойкая,
</t>
    </r>
    <r>
      <rPr>
        <i/>
        <sz val="11"/>
        <rFont val="ISOCPEUR"/>
        <family val="2"/>
      </rPr>
      <t>водно-дисперсионная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основе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акриловой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дисперсии,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BRAVO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PROFI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FW-55,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NCS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5030-R90B,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класс
</t>
    </r>
    <r>
      <rPr>
        <i/>
        <sz val="11"/>
        <rFont val="ISOCPEUR"/>
        <family val="2"/>
      </rPr>
      <t>истирания.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ПБ: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Г1,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В1,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(КМ1)</t>
    </r>
  </si>
  <si>
    <r>
      <rPr>
        <i/>
        <sz val="11"/>
        <rFont val="ISOCPEUR"/>
        <family val="2"/>
      </rPr>
      <t>Краска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моющаяся,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влагостойкая,
</t>
    </r>
    <r>
      <rPr>
        <i/>
        <sz val="11"/>
        <rFont val="ISOCPEUR"/>
        <family val="2"/>
      </rPr>
      <t>водно-дисперсионная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основе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акриловой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дисперсии,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BRAVO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PROFI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FW-55,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NCS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1070-Y30R,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класс
</t>
    </r>
    <r>
      <rPr>
        <i/>
        <sz val="11"/>
        <rFont val="ISOCPEUR"/>
        <family val="2"/>
      </rPr>
      <t>истирания.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ПБ: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Г1,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В1,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(КМ1)</t>
    </r>
  </si>
  <si>
    <r>
      <rPr>
        <i/>
        <sz val="11"/>
        <rFont val="ISOCPEUR"/>
        <family val="2"/>
      </rPr>
      <t>Краска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моющаяся,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влагостойкая,
</t>
    </r>
    <r>
      <rPr>
        <i/>
        <sz val="11"/>
        <rFont val="ISOCPEUR"/>
        <family val="2"/>
      </rPr>
      <t>водно-дисперсионная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основе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акриловой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дисперсии,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BRAVO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PROFI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FW-55,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NCS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5020-R70B,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класс
</t>
    </r>
    <r>
      <rPr>
        <i/>
        <sz val="11"/>
        <rFont val="ISOCPEUR"/>
        <family val="2"/>
      </rPr>
      <t>истирания.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ПБ: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Г1,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В1,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(КМ1)</t>
    </r>
  </si>
  <si>
    <r>
      <rPr>
        <i/>
        <sz val="11"/>
        <rFont val="ISOCPEUR"/>
        <family val="2"/>
      </rPr>
      <t>Краска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моющаяся,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влагостойкая,
</t>
    </r>
    <r>
      <rPr>
        <i/>
        <sz val="11"/>
        <rFont val="ISOCPEUR"/>
        <family val="2"/>
      </rPr>
      <t>водно-дисперсионная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основе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акриловой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дисперсии,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BRAVO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PROFI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FW-55,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NCS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3040-R20B,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класс
</t>
    </r>
    <r>
      <rPr>
        <i/>
        <sz val="11"/>
        <rFont val="ISOCPEUR"/>
        <family val="2"/>
      </rPr>
      <t>истирания.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ПБ: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Г1,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В1,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(КМ1)</t>
    </r>
  </si>
  <si>
    <r>
      <rPr>
        <i/>
        <sz val="11"/>
        <rFont val="ISOCPEUR"/>
        <family val="2"/>
      </rPr>
      <t>Краска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моющаяся,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влагостойкая,
</t>
    </r>
    <r>
      <rPr>
        <i/>
        <sz val="11"/>
        <rFont val="ISOCPEUR"/>
        <family val="2"/>
      </rPr>
      <t>водно-дисперсионная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основе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акриловой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дисперсии,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BRAVO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PROFI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FW-55,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NCS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2060-G40Y,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класс
</t>
    </r>
    <r>
      <rPr>
        <i/>
        <sz val="11"/>
        <rFont val="ISOCPEUR"/>
        <family val="2"/>
      </rPr>
      <t>истирания.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ПБ: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Г1,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В1,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(КМ1)</t>
    </r>
  </si>
  <si>
    <r>
      <rPr>
        <i/>
        <sz val="11"/>
        <rFont val="ISOCPEUR"/>
        <family val="2"/>
      </rPr>
      <t>СТ-1.14</t>
    </r>
  </si>
  <si>
    <r>
      <rPr>
        <i/>
        <sz val="11"/>
        <rFont val="ISOCPEUR"/>
        <family val="2"/>
      </rPr>
      <t>Краска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моющаяся,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влагостойкая,
</t>
    </r>
    <r>
      <rPr>
        <i/>
        <sz val="11"/>
        <rFont val="ISOCPEUR"/>
        <family val="2"/>
      </rPr>
      <t>водно-дисперсионная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основе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акриловой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дисперсии,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BRAVO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PROFI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FW-55,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NCS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4020-R90B,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класс
</t>
    </r>
    <r>
      <rPr>
        <i/>
        <sz val="11"/>
        <rFont val="ISOCPEUR"/>
        <family val="2"/>
      </rPr>
      <t>истирания.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ПБ: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Г1,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В1,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(КМ1)</t>
    </r>
  </si>
  <si>
    <r>
      <rPr>
        <i/>
        <sz val="11"/>
        <rFont val="ISOCPEUR"/>
        <family val="2"/>
      </rPr>
      <t>СТ-1.16</t>
    </r>
  </si>
  <si>
    <r>
      <rPr>
        <i/>
        <sz val="11"/>
        <rFont val="ISOCPEUR"/>
        <family val="2"/>
      </rPr>
      <t>Краска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моющаяся,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влагостойкая,
</t>
    </r>
    <r>
      <rPr>
        <i/>
        <sz val="11"/>
        <rFont val="ISOCPEUR"/>
        <family val="2"/>
      </rPr>
      <t>водно-дисперсионная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основе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акриловой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дисперсии,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BRAVO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PROFI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FW-55,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NCS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1502-Y,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класс
</t>
    </r>
    <r>
      <rPr>
        <i/>
        <sz val="11"/>
        <rFont val="ISOCPEUR"/>
        <family val="2"/>
      </rPr>
      <t>истирания.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ПБ: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Г1,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В1,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(КМ1)</t>
    </r>
  </si>
  <si>
    <r>
      <rPr>
        <i/>
        <sz val="11"/>
        <rFont val="ISOCPEUR"/>
        <family val="2"/>
      </rPr>
      <t>Краска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огнестойкая,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моющаяся,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влагостойкая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водно-дисперсионная,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силикатная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BRAVO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PROFI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W-200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аналог,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белая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RAL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9003,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истирания,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НГ</t>
    </r>
  </si>
  <si>
    <r>
      <rPr>
        <i/>
        <sz val="11"/>
        <rFont val="ISOCPEUR"/>
        <family val="2"/>
      </rPr>
      <t>СТ-2.2</t>
    </r>
  </si>
  <si>
    <r>
      <rPr>
        <i/>
        <sz val="11"/>
        <rFont val="ISOCPEUR"/>
        <family val="2"/>
      </rPr>
      <t>Краска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огнестойкая,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моющаяся,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влагостойкая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водно-дисперсионная,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силикатная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BRAVO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PROFI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W-200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аналог,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NCS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2030-R80B,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2
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истирания,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ПБ: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НГ</t>
    </r>
  </si>
  <si>
    <r>
      <rPr>
        <i/>
        <sz val="11"/>
        <rFont val="ISOCPEUR"/>
        <family val="2"/>
      </rPr>
      <t>СТ-2.3</t>
    </r>
  </si>
  <si>
    <r>
      <rPr>
        <i/>
        <sz val="11"/>
        <rFont val="ISOCPEUR"/>
        <family val="2"/>
      </rPr>
      <t>Краска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огнестойкая,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моющаяся,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влагостойкая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водно-дисперсионная,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силикатная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BRAVO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PROFI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W-200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аналог,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RAL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7044,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истирания,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ПБ: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НГ</t>
    </r>
  </si>
  <si>
    <r>
      <rPr>
        <i/>
        <sz val="11"/>
        <rFont val="ISOCPEUR"/>
        <family val="2"/>
      </rPr>
      <t>Краска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огнестойкая,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моющаяся,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влагостойкая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водно-дисперсионная,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силикатная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BRAVO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PROFI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W-200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аналог,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NCS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4020-R90B,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2
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истирания,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НГ</t>
    </r>
  </si>
  <si>
    <r>
      <rPr>
        <i/>
        <sz val="11"/>
        <rFont val="ISOCPEUR"/>
        <family val="2"/>
      </rPr>
      <t>Краска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огнестойкая,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моющаяся,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влагостойкая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водно-дисперсионная,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силикатная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BRAVO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PROFI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W-200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аналог,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NCS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1502-Y,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2
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истирания,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НГ</t>
    </r>
  </si>
  <si>
    <r>
      <rPr>
        <i/>
        <sz val="11"/>
        <rFont val="ISOCPEUR"/>
        <family val="2"/>
      </rPr>
      <t>Краска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огнестойкая,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моющаяся,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влагостойкая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водно-дисперсионная,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силикатная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BRAVO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PROFI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W-200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аналог,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RAL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7016,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истирания,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НГ</t>
    </r>
  </si>
  <si>
    <r>
      <rPr>
        <i/>
        <sz val="11"/>
        <rFont val="ISOCPEUR"/>
        <family val="2"/>
      </rPr>
      <t>Краска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огнестойкая,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моющаяся,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влагостойкая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водно-дисперсионная,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силикатная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BRAVO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PROFI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W-200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аналог,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NCS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S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2060-Y30R,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2
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истирания,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НГ</t>
    </r>
  </si>
  <si>
    <r>
      <rPr>
        <i/>
        <sz val="11"/>
        <rFont val="ISOCPEUR"/>
        <family val="2"/>
      </rPr>
      <t>Керамическая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плитка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Kerama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Marazzi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Калейдоскоп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белый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5009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200х200х6,9мм.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Затирка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Ceresit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CE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33,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04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серебристо-серый,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крестик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2мм.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ПБ: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НГ</t>
    </r>
  </si>
  <si>
    <r>
      <rPr>
        <i/>
        <sz val="11"/>
        <rFont val="ISOCPEUR"/>
        <family val="2"/>
      </rPr>
      <t>Керамическая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плитка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KERAMA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MARAZZI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мозаика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Таделакт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KM3030M0161N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синий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светлый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матовый,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298х298х3,5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мм.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ПБ: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НГ.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Крестик: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</si>
  <si>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Керамическая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плитка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KERAMA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MARAZZI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мозаика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Таделакт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KM3030M0181N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красный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матовый,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298х298х3.5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мм.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ПБ: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НГ.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Крестик: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</si>
  <si>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Керамическая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плитка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Керама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Марацци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арт.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11037TR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(1,8м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10пл)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Парус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белый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матовый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обрезной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300x600x9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мм.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Затирка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Ceresit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CE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33,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04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серебристо-серый,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крестик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2мм,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НГ</t>
    </r>
  </si>
  <si>
    <r>
      <rPr>
        <i/>
        <sz val="11"/>
        <rFont val="ISOCPEUR"/>
        <family val="2"/>
      </rPr>
      <t>Керамическая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плитка,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Kerama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Marazzi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Белое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солнце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8000,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300х200х6,9мм,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затирка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Ceresit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CE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33,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04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серебристо-серая,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крестик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2мм.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ПБ: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НГ</t>
    </r>
  </si>
  <si>
    <r>
      <rPr>
        <i/>
        <sz val="11"/>
        <rFont val="ISOCPEUR"/>
        <family val="2"/>
      </rPr>
      <t>Керамическая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плитка,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Kerama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Marazzi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Матрикс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серый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светлый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OS\C314\11259R,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300х600х9мм,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затирка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Ceresit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07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серый,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НГ</t>
    </r>
  </si>
  <si>
    <r>
      <rPr>
        <i/>
        <sz val="11"/>
        <rFont val="ISOCPEUR"/>
        <family val="2"/>
      </rPr>
      <t>Керамическая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плитка,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300х600х9мм,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Kerama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Marazzi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Матрикс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11259R,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серый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светлый,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НГ.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Затирка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Ceresit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33,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04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серебристо-серый;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крестик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</si>
  <si>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Зеркало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(заподлицо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плиткой),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толщина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4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мм,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подготовка: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шпаклевка+грунт</t>
    </r>
  </si>
  <si>
    <r>
      <rPr>
        <i/>
        <sz val="11"/>
        <rFont val="ISOCPEUR"/>
        <family val="2"/>
      </rPr>
      <t>Плитка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керамическая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Kerama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Marazzi,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Аккорд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9010,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85х285х9,2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мм,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белый;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крестик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мм,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затирка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Ceresit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CE33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04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Серебристо-серый,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НГ</t>
    </r>
  </si>
  <si>
    <r>
      <rPr>
        <i/>
        <sz val="11"/>
        <rFont val="ISOCPEUR"/>
        <family val="2"/>
      </rPr>
      <t>СТ-15</t>
    </r>
  </si>
  <si>
    <r>
      <rPr>
        <i/>
        <sz val="11"/>
        <rFont val="ISOCPEUR"/>
        <family val="2"/>
      </rPr>
      <t>Магнитно-маркерное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покрытие,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белый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RAL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9003</t>
    </r>
  </si>
  <si>
    <t>СТ-1.1</t>
  </si>
  <si>
    <t>2.006</t>
  </si>
  <si>
    <t>2.008</t>
  </si>
  <si>
    <t>2.009</t>
  </si>
  <si>
    <t>2.010</t>
  </si>
  <si>
    <t>2.011</t>
  </si>
  <si>
    <t>2.018</t>
  </si>
  <si>
    <t>2.019</t>
  </si>
  <si>
    <t>2.020</t>
  </si>
  <si>
    <t>2.021</t>
  </si>
  <si>
    <t>2.023</t>
  </si>
  <si>
    <t>2.024</t>
  </si>
  <si>
    <t>2.026</t>
  </si>
  <si>
    <t>2.027</t>
  </si>
  <si>
    <t>2.028</t>
  </si>
  <si>
    <t>2.029</t>
  </si>
  <si>
    <t>2.033</t>
  </si>
  <si>
    <t>2.034</t>
  </si>
  <si>
    <t>2.035</t>
  </si>
  <si>
    <t>2.043</t>
  </si>
  <si>
    <t>2.044</t>
  </si>
  <si>
    <t>2.051</t>
  </si>
  <si>
    <t>2.052</t>
  </si>
  <si>
    <t>2.053</t>
  </si>
  <si>
    <t>2.054</t>
  </si>
  <si>
    <t>2.055</t>
  </si>
  <si>
    <t>2.056</t>
  </si>
  <si>
    <t>2.059</t>
  </si>
  <si>
    <t>2.063</t>
  </si>
  <si>
    <t>2.065</t>
  </si>
  <si>
    <t>3.001</t>
  </si>
  <si>
    <t>3.002</t>
  </si>
  <si>
    <t>3.003</t>
  </si>
  <si>
    <t>3.004</t>
  </si>
  <si>
    <t>3.005</t>
  </si>
  <si>
    <t>3.006</t>
  </si>
  <si>
    <t>3.007</t>
  </si>
  <si>
    <t>3.008</t>
  </si>
  <si>
    <t>3.009</t>
  </si>
  <si>
    <t>3.010</t>
  </si>
  <si>
    <t>3.011</t>
  </si>
  <si>
    <t>3.012</t>
  </si>
  <si>
    <t>3.013</t>
  </si>
  <si>
    <t>3.014</t>
  </si>
  <si>
    <t>3.015</t>
  </si>
  <si>
    <t>3.016</t>
  </si>
  <si>
    <t>3.017</t>
  </si>
  <si>
    <t>3.018</t>
  </si>
  <si>
    <t>3.019</t>
  </si>
  <si>
    <t>3.020</t>
  </si>
  <si>
    <t>3.021</t>
  </si>
  <si>
    <t>3.022</t>
  </si>
  <si>
    <t>3.023</t>
  </si>
  <si>
    <t>3.024</t>
  </si>
  <si>
    <t>3.025</t>
  </si>
  <si>
    <t>3.026</t>
  </si>
  <si>
    <t>3.027</t>
  </si>
  <si>
    <t>3.028</t>
  </si>
  <si>
    <t>3.029</t>
  </si>
  <si>
    <t>3.030</t>
  </si>
  <si>
    <t>3.031</t>
  </si>
  <si>
    <t>3.032</t>
  </si>
  <si>
    <t>3.033</t>
  </si>
  <si>
    <t>3.034</t>
  </si>
  <si>
    <t>3.035</t>
  </si>
  <si>
    <t>3.036</t>
  </si>
  <si>
    <t>3.037</t>
  </si>
  <si>
    <t>3.038</t>
  </si>
  <si>
    <t>3.039</t>
  </si>
  <si>
    <t>3.040</t>
  </si>
  <si>
    <t>3.041</t>
  </si>
  <si>
    <t>3.042</t>
  </si>
  <si>
    <t>3.043</t>
  </si>
  <si>
    <t>3.044</t>
  </si>
  <si>
    <t>3.045</t>
  </si>
  <si>
    <t>3.046</t>
  </si>
  <si>
    <t>3.047</t>
  </si>
  <si>
    <t>3.048</t>
  </si>
  <si>
    <t>3.049</t>
  </si>
  <si>
    <t>3.050</t>
  </si>
  <si>
    <t>3.051</t>
  </si>
  <si>
    <t>3.052</t>
  </si>
  <si>
    <t>3.053</t>
  </si>
  <si>
    <t>3.054</t>
  </si>
  <si>
    <t>3.055</t>
  </si>
  <si>
    <t>3.057</t>
  </si>
  <si>
    <t>3.058</t>
  </si>
  <si>
    <t>3.059</t>
  </si>
  <si>
    <t>3.060</t>
  </si>
  <si>
    <t>3.061</t>
  </si>
  <si>
    <t>3.062</t>
  </si>
  <si>
    <t>3.063</t>
  </si>
  <si>
    <t>3.064</t>
  </si>
  <si>
    <t>3.066</t>
  </si>
  <si>
    <t>3.067</t>
  </si>
  <si>
    <t>134,4</t>
  </si>
  <si>
    <t>3,5</t>
  </si>
  <si>
    <t>2.070</t>
  </si>
  <si>
    <t>СТ-1.13</t>
  </si>
  <si>
    <t>СТ-1.2</t>
  </si>
  <si>
    <t>СТ-0</t>
  </si>
  <si>
    <t>СТ-2.1</t>
  </si>
  <si>
    <t>СТ-6.5</t>
  </si>
  <si>
    <t>СТ-1.3</t>
  </si>
  <si>
    <t>СТ-14</t>
  </si>
  <si>
    <t>СТ-1.7</t>
  </si>
  <si>
    <t>СТ-1.8</t>
  </si>
  <si>
    <t>СТ-1.4</t>
  </si>
  <si>
    <t>СТ-6.2</t>
  </si>
  <si>
    <t>СТ-1.11</t>
  </si>
  <si>
    <t>СТ-1.5</t>
  </si>
  <si>
    <t>СТ-2.10</t>
  </si>
  <si>
    <t>Пом</t>
  </si>
  <si>
    <t>Этаж</t>
  </si>
  <si>
    <t>Тип</t>
  </si>
  <si>
    <t>Старое РД</t>
  </si>
  <si>
    <t>Остаток</t>
  </si>
  <si>
    <t>5.1-Пликта</t>
  </si>
  <si>
    <t>ЗШ-1</t>
  </si>
  <si>
    <t>ЗШ-3</t>
  </si>
  <si>
    <t>ЗШ-4</t>
  </si>
  <si>
    <t>ЗШ-2</t>
  </si>
  <si>
    <t>ПО-4</t>
  </si>
  <si>
    <t>12,3</t>
  </si>
  <si>
    <t>помещения</t>
  </si>
  <si>
    <t>Кладка стен из кирпича без устройства перемычек, включая армирование, крепление к стенам, заделку примыканий, зачеканку швов</t>
  </si>
  <si>
    <t>АРОР от 19.02.2026г. ООО "Транс-Групп" - ООО "МФ-СТРОЙ"</t>
  </si>
  <si>
    <t>Устройство перегородок из ПГП без устройства перемычек, включая проклейку углов примыкания армирующей лентой, толщ. до 115 мм</t>
  </si>
  <si>
    <t>ПГП-влагостойкий.
АРОР от 19.02.2026г. ООО "Транс-Групп" - ООО "МФ-СТРОЙ"</t>
  </si>
  <si>
    <t>ОбЪем, м2 (Влагост.).</t>
  </si>
  <si>
    <t>т</t>
  </si>
  <si>
    <t>Устройство перемычек металлических с огрунтовкой и окраской</t>
  </si>
  <si>
    <t>Объем, м3.</t>
  </si>
  <si>
    <t>сумм</t>
  </si>
  <si>
    <t>№ 
поз.</t>
  </si>
  <si>
    <t>ПГП-влагостойкий.</t>
  </si>
  <si>
    <t>Кладка внутренних стен из блоков ячеистого бетона без устройства перемычек, включая армирование, устройство примыканий</t>
  </si>
  <si>
    <t>ПР-21</t>
  </si>
  <si>
    <t>ПР-27</t>
  </si>
  <si>
    <t>ПР-30</t>
  </si>
  <si>
    <t>ПР-33</t>
  </si>
  <si>
    <t>ПР-34</t>
  </si>
  <si>
    <t>ПР-35</t>
  </si>
  <si>
    <t>ПР-36</t>
  </si>
  <si>
    <t>ПР-37</t>
  </si>
  <si>
    <t>ПР-5</t>
  </si>
  <si>
    <t>ПР-6</t>
  </si>
  <si>
    <t>ПР-10</t>
  </si>
  <si>
    <t>ПР-12</t>
  </si>
  <si>
    <t>ПР-13</t>
  </si>
  <si>
    <t>ПР-17</t>
  </si>
  <si>
    <t>ПР-18</t>
  </si>
  <si>
    <t>ПР-20</t>
  </si>
  <si>
    <t>ПР-32</t>
  </si>
  <si>
    <t>ПР-4</t>
  </si>
  <si>
    <t>ПР-7</t>
  </si>
  <si>
    <t>ПР-9</t>
  </si>
  <si>
    <t>ПР-15</t>
  </si>
  <si>
    <t>ПР-16</t>
  </si>
  <si>
    <t>ПР-25</t>
  </si>
  <si>
    <t>ПР-28</t>
  </si>
  <si>
    <t>№ перемч</t>
  </si>
  <si>
    <t>вес, кг</t>
  </si>
  <si>
    <t>Кол-во, шт.</t>
  </si>
  <si>
    <t>общ. вес, кг.</t>
  </si>
  <si>
    <t>Кладка наружных стен из блоков ячеистого бетона без устройства перемычек, включая армирование, устройство примыканий</t>
  </si>
  <si>
    <t>Устройство металлоконструкций фахверков, стоек, рам, балок, опорных конструкций и усилений с учетом крепления, огрунтовки и окрашивания</t>
  </si>
  <si>
    <r>
      <rPr>
        <i/>
        <sz val="11"/>
        <rFont val="ISOCPEUR"/>
        <family val="2"/>
      </rPr>
      <t>Ф-250.3</t>
    </r>
  </si>
  <si>
    <r>
      <rPr>
        <i/>
        <sz val="11"/>
        <rFont val="ISOCPEUR"/>
        <family val="2"/>
      </rPr>
      <t>Ф-250.3.1</t>
    </r>
  </si>
  <si>
    <t>№ фархверки</t>
  </si>
  <si>
    <t>1-3 эт. Шпаклевка финишная</t>
  </si>
  <si>
    <t>1-3 эт. Шпаклевка базовая</t>
  </si>
  <si>
    <t>Подготовка поверхности СКБ / стен / по ГКЛ / 2мм</t>
  </si>
  <si>
    <t>1-3 эт. Дверные откосы. Фаиерборд.</t>
  </si>
  <si>
    <t>Подготовка поверхности СКБ / 2мм</t>
  </si>
  <si>
    <t>№ эт</t>
  </si>
  <si>
    <t>0,63х1,730</t>
  </si>
  <si>
    <t>Кол-во люков, шт</t>
  </si>
  <si>
    <t>Габариты 
(м*м).</t>
  </si>
  <si>
    <t>Сумма, 
м2.</t>
  </si>
  <si>
    <t>Ширина, 
м.</t>
  </si>
  <si>
    <t>Периметр
(п.м.).</t>
  </si>
  <si>
    <t>0,7+(1,8*2)</t>
  </si>
  <si>
    <t>1-3 эт. Откосы лючков "Хаммер".</t>
  </si>
  <si>
    <t>1-3 эт. Шпаклевка откосов финишная. Откосы лючков "Хаммер".</t>
  </si>
  <si>
    <t>1-3 эт. Шпаклевка откосов базовая. Откосы лючков "Хаммер".</t>
  </si>
  <si>
    <t>1-3 эт. Шпаклевка базовая лючков "Хаммер"</t>
  </si>
  <si>
    <t>1-3 эт. Шпаклевка финишная лючков "Хаммер"</t>
  </si>
  <si>
    <t>Пом.</t>
  </si>
  <si>
    <t>Заделка мест прохождения воздуховодов</t>
  </si>
  <si>
    <t>Заделка стояков отопления</t>
  </si>
  <si>
    <t>1.005</t>
  </si>
  <si>
    <t>1.007</t>
  </si>
  <si>
    <t>Объем, 
м3:</t>
  </si>
  <si>
    <t>1.015</t>
  </si>
  <si>
    <t>1.024</t>
  </si>
  <si>
    <t>1.027</t>
  </si>
  <si>
    <t>1.031</t>
  </si>
  <si>
    <t>1.032</t>
  </si>
  <si>
    <t>1.028</t>
  </si>
  <si>
    <t>1.044</t>
  </si>
  <si>
    <t>1.043</t>
  </si>
  <si>
    <t>1.092</t>
  </si>
  <si>
    <t>1.042</t>
  </si>
  <si>
    <t>1.050</t>
  </si>
  <si>
    <t>1.046</t>
  </si>
  <si>
    <t>1.047</t>
  </si>
  <si>
    <t>1.049</t>
  </si>
  <si>
    <t>1.060</t>
  </si>
  <si>
    <t>1.081</t>
  </si>
  <si>
    <t>1.082</t>
  </si>
  <si>
    <t>1.054</t>
  </si>
  <si>
    <t>1.058</t>
  </si>
  <si>
    <t>1.059</t>
  </si>
  <si>
    <t>1.087</t>
  </si>
  <si>
    <t>1.051</t>
  </si>
  <si>
    <t>1.009</t>
  </si>
  <si>
    <t>1.107</t>
  </si>
  <si>
    <t>1.105</t>
  </si>
  <si>
    <t>1.106</t>
  </si>
  <si>
    <t>1.109</t>
  </si>
  <si>
    <t>1.061</t>
  </si>
  <si>
    <t>1.063</t>
  </si>
  <si>
    <t>1.064</t>
  </si>
  <si>
    <t>1.097</t>
  </si>
  <si>
    <t>1.069</t>
  </si>
  <si>
    <t>1.070</t>
  </si>
  <si>
    <t>1.073</t>
  </si>
  <si>
    <t>1.072</t>
  </si>
  <si>
    <t>1.083</t>
  </si>
  <si>
    <t>1.078</t>
  </si>
  <si>
    <t>1.075</t>
  </si>
  <si>
    <t>1.076</t>
  </si>
  <si>
    <t>1.112</t>
  </si>
  <si>
    <t>Заделка отверстий в стенах в местах прохода коммуникации / до 500 см2</t>
  </si>
  <si>
    <t>Расчет</t>
  </si>
  <si>
    <t>Ср. ширина, м</t>
  </si>
  <si>
    <t>Ср. длина, м</t>
  </si>
  <si>
    <t>Сумма, м2</t>
  </si>
  <si>
    <t>Итог, м2:</t>
  </si>
  <si>
    <t>Устройство откосов из ГКЛ / в 2 слоя</t>
  </si>
  <si>
    <t>1-3 эт. Дверные откосы. Уменьшение дверных проемов. /файерборд</t>
  </si>
  <si>
    <t>Устройство проемов из файерборд / в 2 слоя</t>
  </si>
  <si>
    <t>Итог (м3):</t>
  </si>
  <si>
    <t>Объем, м2:</t>
  </si>
  <si>
    <t>№ эт.</t>
  </si>
  <si>
    <t>Монтаж, демонтаж, аренда строительных лесов</t>
  </si>
  <si>
    <t>Ведомость работ</t>
  </si>
  <si>
    <t>Заделка штроб</t>
  </si>
  <si>
    <t>пог. м.</t>
  </si>
  <si>
    <t>п.м</t>
  </si>
  <si>
    <t>СТ-2.3</t>
  </si>
  <si>
    <t>1 эт</t>
  </si>
  <si>
    <t>2 эт</t>
  </si>
  <si>
    <t>3 эт</t>
  </si>
  <si>
    <t>эт.</t>
  </si>
  <si>
    <t>Устройство проемов из файерборд / в 1 слои</t>
  </si>
  <si>
    <t>1-3 эт. Лючки "Хаммер"</t>
  </si>
  <si>
    <t>Лакокрасочные работы СКБ / окраска откосов / в 2 слоя</t>
  </si>
  <si>
    <t>Штукатурка поверхностей откосов сухими смесями с предварительной огрунтовкой поверхности</t>
  </si>
  <si>
    <t>Выравнивание поверхностей откосов толщ. до 5 мм с предварительной огрунтовкой поверхности (базовая шпаклевка)</t>
  </si>
  <si>
    <t>Лакокрасочные работы СКБ / окраска откосов / 2 слоя / СТ-2.1</t>
  </si>
  <si>
    <t>Лакокрасочные работы СКБ / окраска откосов  / 2 слоя / СТ-2.16</t>
  </si>
  <si>
    <t>Лакокрасочные работы СКБ / окраска откосов  / 2 слоя / СТ-1.1</t>
  </si>
  <si>
    <t>Лакокрасочные работы СКБ / окраска откосов  / 2 слоя / СТ-2.3</t>
  </si>
  <si>
    <t>Выравнивание поверхностей откосов толщ. до 5 мм с предварительной огрунтовкой поверхности (финишная шпаклевка)</t>
  </si>
  <si>
    <t>Устройство откосов из ГКЛ на клеевом составе / в 2 слой</t>
  </si>
  <si>
    <t>1-3 эт.</t>
  </si>
  <si>
    <t>верхняя пл-ть,
общая, м2</t>
  </si>
  <si>
    <t>боковая пл-тьь,
общая, м2</t>
  </si>
  <si>
    <t>Итог, м2</t>
  </si>
  <si>
    <t>Устройство витражных откосов.</t>
  </si>
  <si>
    <t>1-3 эт. Откосы, витражи
файерборд</t>
  </si>
  <si>
    <t>1-3 эт. Откосы, двери
файерборд</t>
  </si>
  <si>
    <t xml:space="preserve">Выравнивание поверхностей откосов толщ. до 5 мм с предварительной огрунтовкой поверхности </t>
  </si>
  <si>
    <t>Выравнивание поверхностей откосов толщ. до 5 мм с предварительной огрунтовкой поверхности (</t>
  </si>
  <si>
    <t>1х2,7</t>
  </si>
  <si>
    <t>да</t>
  </si>
  <si>
    <t>1,8х2,7</t>
  </si>
  <si>
    <t>7,8х2,7</t>
  </si>
  <si>
    <t>4,8х2,7</t>
  </si>
  <si>
    <t>4,65х2,7</t>
  </si>
  <si>
    <t>1,8х6,9</t>
  </si>
  <si>
    <t>нет</t>
  </si>
  <si>
    <t>9,5х6,9</t>
  </si>
  <si>
    <t>10,8х2,7</t>
  </si>
  <si>
    <t>13,7х6,9</t>
  </si>
  <si>
    <t>1,7х6,9</t>
  </si>
  <si>
    <t>1,8х1,5</t>
  </si>
  <si>
    <t>ИТОГО, м2</t>
  </si>
  <si>
    <t>Глубина 
откоса, м.</t>
  </si>
  <si>
    <t>Площадь одного 
откоса, м2</t>
  </si>
  <si>
    <t>высота
откоса, м.</t>
  </si>
  <si>
    <t>0.13</t>
  </si>
  <si>
    <t>Марка</t>
  </si>
  <si>
    <t>Кол-во</t>
  </si>
  <si>
    <t>3.4</t>
  </si>
  <si>
    <t>3.5</t>
  </si>
  <si>
    <t>3.6</t>
  </si>
  <si>
    <t>3.7</t>
  </si>
  <si>
    <t>3.8</t>
  </si>
  <si>
    <t>3.10</t>
  </si>
  <si>
    <t>3.11</t>
  </si>
  <si>
    <t>3.13</t>
  </si>
  <si>
    <t>3.14</t>
  </si>
  <si>
    <t>3.16</t>
  </si>
  <si>
    <t>3.17</t>
  </si>
  <si>
    <t>3.19</t>
  </si>
  <si>
    <t>3.21</t>
  </si>
  <si>
    <t>3.27</t>
  </si>
  <si>
    <t>3.28</t>
  </si>
  <si>
    <t>3.29</t>
  </si>
  <si>
    <t>3.30</t>
  </si>
  <si>
    <t>3.31</t>
  </si>
  <si>
    <t>1.6</t>
  </si>
  <si>
    <t>1.7</t>
  </si>
  <si>
    <t>1.9</t>
  </si>
  <si>
    <t>1.10</t>
  </si>
  <si>
    <t>1.11</t>
  </si>
  <si>
    <t>1.14</t>
  </si>
  <si>
    <t>1.18</t>
  </si>
  <si>
    <t>1.27</t>
  </si>
  <si>
    <t>1.29</t>
  </si>
  <si>
    <t>1.33</t>
  </si>
  <si>
    <t>1.34</t>
  </si>
  <si>
    <t>1.38</t>
  </si>
  <si>
    <t>1.39</t>
  </si>
  <si>
    <t>2.4</t>
  </si>
  <si>
    <t>2.5</t>
  </si>
  <si>
    <t>2.6</t>
  </si>
  <si>
    <t>2.7</t>
  </si>
  <si>
    <t>2.8</t>
  </si>
  <si>
    <t>2.10</t>
  </si>
  <si>
    <t>2.13</t>
  </si>
  <si>
    <t>2.14</t>
  </si>
  <si>
    <t>2.17</t>
  </si>
  <si>
    <t>2.18</t>
  </si>
  <si>
    <t>2.20</t>
  </si>
  <si>
    <t>2.26</t>
  </si>
  <si>
    <t>2.28</t>
  </si>
  <si>
    <t>2.30</t>
  </si>
  <si>
    <t>2.31</t>
  </si>
  <si>
    <t>1-3 эт. лючок "Хаммер".</t>
  </si>
  <si>
    <t>Установка люков  / в стене</t>
  </si>
  <si>
    <t>Ширина,
м</t>
  </si>
  <si>
    <t>Высота,
м</t>
  </si>
  <si>
    <t>Глубина,
м</t>
  </si>
  <si>
    <t>ВВ-1*</t>
  </si>
  <si>
    <t>ВВ-10*</t>
  </si>
  <si>
    <t>ВВ-11*</t>
  </si>
  <si>
    <t>ВВ-13*</t>
  </si>
  <si>
    <t>ВВ-14*</t>
  </si>
  <si>
    <t>ВВ-15*</t>
  </si>
  <si>
    <t>ВВ-16*</t>
  </si>
  <si>
    <t>ВВ-17*</t>
  </si>
  <si>
    <t>ВВ-18*</t>
  </si>
  <si>
    <t>ВВ-19*</t>
  </si>
  <si>
    <t>ВВ-2*</t>
  </si>
  <si>
    <t>ВВ-20*</t>
  </si>
  <si>
    <t>ВВ-3*</t>
  </si>
  <si>
    <t>ВВ-4*</t>
  </si>
  <si>
    <t>ВВ-5*</t>
  </si>
  <si>
    <t>ВВ-6*</t>
  </si>
  <si>
    <t>ВВ-7*</t>
  </si>
  <si>
    <t>ВВ-8*</t>
  </si>
  <si>
    <t>ВВ-9*</t>
  </si>
  <si>
    <t>ДВВ-10*</t>
  </si>
  <si>
    <t>ДВВ-11*</t>
  </si>
  <si>
    <t>ДВВ-12*</t>
  </si>
  <si>
    <t>ДВВ-13*</t>
  </si>
  <si>
    <t>ДВВ-14*</t>
  </si>
  <si>
    <t>ДВВ-15*</t>
  </si>
  <si>
    <t>ДВВ-16*</t>
  </si>
  <si>
    <t>ДВВ-17*</t>
  </si>
  <si>
    <t>ДВВ-18*</t>
  </si>
  <si>
    <t>ДВВ-19*</t>
  </si>
  <si>
    <t>ДВВ-20*</t>
  </si>
  <si>
    <t>ДВВ-21*</t>
  </si>
  <si>
    <t>ДВВ-22*</t>
  </si>
  <si>
    <t>ДВВ-23*</t>
  </si>
  <si>
    <t>ДВВ-24*</t>
  </si>
  <si>
    <t>ДВВ-3*</t>
  </si>
  <si>
    <t>ДВВ-4</t>
  </si>
  <si>
    <t>ДВВ-4*</t>
  </si>
  <si>
    <t>ДВВ-5*</t>
  </si>
  <si>
    <t>ДВВ-6*</t>
  </si>
  <si>
    <t>ДВВ-7*</t>
  </si>
  <si>
    <t>ДВВ-8*</t>
  </si>
  <si>
    <t>ДВВ-9*</t>
  </si>
  <si>
    <t>УВВ-1.1*</t>
  </si>
  <si>
    <t>УВВ-1.2*</t>
  </si>
  <si>
    <t>УДВВ-2.1*</t>
  </si>
  <si>
    <t>УДВВ-2.2*</t>
  </si>
  <si>
    <t>УДВВ-1.1</t>
  </si>
  <si>
    <t>УДВВ-1.2</t>
  </si>
  <si>
    <t>Размер проема (ШхВ), м</t>
  </si>
  <si>
    <t>1 эт., шт.</t>
  </si>
  <si>
    <t>2 эт., шт.</t>
  </si>
  <si>
    <t>3 эт., шт.</t>
  </si>
  <si>
    <t>Всего, шт.</t>
  </si>
  <si>
    <t>Наличие подоконика</t>
  </si>
  <si>
    <t>Периметр откоса, м.п.</t>
  </si>
  <si>
    <t>Глубина откоса, м.</t>
  </si>
  <si>
    <t>Площадь одного откоса, м2</t>
  </si>
  <si>
    <t>Общая площадь откосов, м2</t>
  </si>
  <si>
    <t>7,8х3,3</t>
  </si>
  <si>
    <t>Марка окна</t>
  </si>
  <si>
    <t>Размер (ШхВ), м</t>
  </si>
  <si>
    <t>ДВН-1, ДВН-1.1, ДВН-12*, ДВН-12.1*, ДВН-12.2*</t>
  </si>
  <si>
    <t>1,4х3,3</t>
  </si>
  <si>
    <t>ДВН-2</t>
  </si>
  <si>
    <t>1,75х3,3</t>
  </si>
  <si>
    <t>ДВН-3</t>
  </si>
  <si>
    <t>1,875х3,3</t>
  </si>
  <si>
    <t>ДВН-4, ДВН-4.1, ДВН-14*</t>
  </si>
  <si>
    <t>2,1х3,3</t>
  </si>
  <si>
    <t>ДВН-5</t>
  </si>
  <si>
    <t>2,56х3,88</t>
  </si>
  <si>
    <t>ДВН-6</t>
  </si>
  <si>
    <t>3,85х3,3</t>
  </si>
  <si>
    <t>ДВН-7</t>
  </si>
  <si>
    <t>4,8х3,3</t>
  </si>
  <si>
    <t>ДВН-8</t>
  </si>
  <si>
    <t>5,095х3,88</t>
  </si>
  <si>
    <t>ДВН-9</t>
  </si>
  <si>
    <t>5,245х3,88</t>
  </si>
  <si>
    <t>ДВН-10</t>
  </si>
  <si>
    <t>ДВН-11</t>
  </si>
  <si>
    <t>10,8х3,3</t>
  </si>
  <si>
    <t>ДВН-13*</t>
  </si>
  <si>
    <t>1,8х3,3</t>
  </si>
  <si>
    <t>ДВН-15*</t>
  </si>
  <si>
    <t>11,95х3,3</t>
  </si>
  <si>
    <t>ДВН-16*</t>
  </si>
  <si>
    <t>33,2х3,88</t>
  </si>
  <si>
    <t>ДН-1*</t>
  </si>
  <si>
    <t>1,3х2,76</t>
  </si>
  <si>
    <t>ДН-2*</t>
  </si>
  <si>
    <t>Д-4, Д-4(л), Д-5, Д-5(л), 
Д-6(л), Д-7(л), Д-8, Д-8(л)</t>
  </si>
  <si>
    <t>1,0х2,1</t>
  </si>
  <si>
    <t>Д-11, Д-11(л), Д-11.1, Д-11.1(л), Д-11.2, Д-11.2(л), Д-12, Д-12(л), Д-13, Д-13(л), Д-14*, Д-15*, Д-15*(л), Д-16, Д-16(л), Д-17*, Д-17*(л), Д-18, Д-19*(л), Д-20*, Д-21, Д-22*, Д-22*(л),  Д-23,  Д-24,  Д-25</t>
  </si>
  <si>
    <t>1,15х2,1</t>
  </si>
  <si>
    <t>Д-31*, Д-31*(л)</t>
  </si>
  <si>
    <t>1,6х2,1</t>
  </si>
  <si>
    <t>Д-32(л), Д-33*</t>
  </si>
  <si>
    <t>1,65х2,4</t>
  </si>
  <si>
    <t>Д-34*</t>
  </si>
  <si>
    <t>2,2х2,4</t>
  </si>
  <si>
    <t>ДО-1, ДО-1(л), ДО-1.1*</t>
  </si>
  <si>
    <t>1,7х2,4</t>
  </si>
  <si>
    <t>ДО-2*, ДО-2.1*</t>
  </si>
  <si>
    <t>2,0х2,4</t>
  </si>
  <si>
    <t>ДО-3*, ДО-3.1*, ДО-3.2*, ДО-3.3*, ДО-3.4*, ДО-3.5*</t>
  </si>
  <si>
    <t>2,1х2,4</t>
  </si>
  <si>
    <t>Витражи</t>
  </si>
  <si>
    <t>Окна</t>
  </si>
  <si>
    <t>Двери витражные</t>
  </si>
  <si>
    <t>Двери</t>
  </si>
  <si>
    <t>1-3 эт. Откосы, двери витражнык
файерборд</t>
  </si>
  <si>
    <t>ВВ-12*</t>
  </si>
  <si>
    <t>ДВВ-1</t>
  </si>
  <si>
    <t>ДВВ-2</t>
  </si>
  <si>
    <t>ДВВ-3</t>
  </si>
  <si>
    <t>ДВВ-2*</t>
  </si>
  <si>
    <t>ДВВ-1*</t>
  </si>
  <si>
    <t>ДВВ-25*</t>
  </si>
  <si>
    <t>Расход</t>
  </si>
  <si>
    <t>.2.052</t>
  </si>
  <si>
    <t>Классы</t>
  </si>
  <si>
    <t>(Ширина + Высота*2) * Кол-во * 2 стороны = Итог</t>
  </si>
  <si>
    <t>РД</t>
  </si>
  <si>
    <t>2 вып</t>
  </si>
  <si>
    <t>1 вып</t>
  </si>
  <si>
    <t>Надо закрыть</t>
  </si>
  <si>
    <t>Д-1*</t>
  </si>
  <si>
    <t>0,7х1,8</t>
  </si>
  <si>
    <t>Д-2*(л)</t>
  </si>
  <si>
    <t>0,7х2,1</t>
  </si>
  <si>
    <t>Д-3, Д-3(л), Д-3.1</t>
  </si>
  <si>
    <t>0,9х2,1</t>
  </si>
  <si>
    <t>Д-9, Д-9(л), Д-10*, Д-10*(л)</t>
  </si>
  <si>
    <t>1,1х2,1</t>
  </si>
  <si>
    <t>Д-26*</t>
  </si>
  <si>
    <t>1,2х2,1</t>
  </si>
  <si>
    <t>Д-27*(л)</t>
  </si>
  <si>
    <t>1,4х2,1</t>
  </si>
  <si>
    <t>Д-28*, Д-29*, Д-29*(л), Д-30*</t>
  </si>
  <si>
    <t>1,45х2,1</t>
  </si>
  <si>
    <t>1-3 эт. Откосы, окна. Файерборд</t>
  </si>
  <si>
    <t>Устройство тепло-звукоизоляции оконных откосов в 1 слой (ТЕХНОФАС ОПТИМА 50 мм)</t>
  </si>
  <si>
    <t>1-3 этаж. Оконные откосы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</si>
</sst>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₽_-;\-* #,##0.00\ _₽_-;_-* &quot;-&quot;??\ _₽_-;_-@_-"/>
    <numFmt numFmtId="164" formatCode="#,##0.000"/>
    <numFmt numFmtId="165" formatCode="#,##0.0"/>
    <numFmt numFmtId="166" formatCode="_-* #,##0.0\ _₽_-;\-* #,##0.0\ _₽_-;_-* &quot;-&quot;??\ _₽_-;_-@_-"/>
    <numFmt numFmtId="167" formatCode="0.0"/>
    <numFmt numFmtId="168" formatCode="0.000"/>
  </numFmts>
  <fonts count="41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Times New Roman"/>
      <family val="1"/>
      <charset val="204"/>
    </font>
    <font>
      <sz val="12"/>
      <color rgb="FF2F5487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000000"/>
      <name val="ГОСТ тип А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"/>
      <color theme="1"/>
      <name val="ГОСТ тип А"/>
      <family val="2"/>
      <charset val="204"/>
    </font>
    <font>
      <b/>
      <sz val="12"/>
      <color rgb="FF000000"/>
      <name val="ГОСТ тип А"/>
      <family val="2"/>
      <charset val="204"/>
    </font>
    <font>
      <b/>
      <sz val="12"/>
      <color theme="4" tint="-0.249977111117893"/>
      <name val="ГОСТ тип А"/>
      <family val="2"/>
      <charset val="204"/>
    </font>
    <font>
      <sz val="11"/>
      <color theme="4" tint="-0.249977111117893"/>
      <name val="Calibri"/>
      <family val="2"/>
      <charset val="204"/>
    </font>
    <font>
      <sz val="11"/>
      <name val="Calibri"/>
      <family val="2"/>
      <charset val="204"/>
    </font>
    <font>
      <sz val="14"/>
      <color theme="4" tint="-0.249977111117893"/>
      <name val="Times New Roman"/>
      <family val="1"/>
      <charset val="204"/>
    </font>
    <font>
      <i/>
      <sz val="11"/>
      <name val="ISOCPEUR"/>
      <family val="2"/>
      <charset val="204"/>
    </font>
    <font>
      <i/>
      <sz val="11"/>
      <name val="ISOCPEUR"/>
      <family val="2"/>
    </font>
    <font>
      <sz val="11"/>
      <name val="Times New Roman"/>
      <family val="1"/>
    </font>
    <font>
      <i/>
      <sz val="11"/>
      <color rgb="FF000000"/>
      <name val="ISOCPEUR"/>
      <family val="2"/>
    </font>
    <font>
      <i/>
      <sz val="13"/>
      <name val="ISOCPEUR"/>
      <family val="2"/>
      <charset val="204"/>
    </font>
    <font>
      <i/>
      <sz val="13"/>
      <name val="ISOCPEUR"/>
      <family val="2"/>
    </font>
    <font>
      <sz val="13"/>
      <name val="Times New Roman"/>
      <family val="1"/>
    </font>
    <font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2"/>
      <color rgb="FF000000"/>
      <name val="ГОСТ тип А"/>
      <family val="2"/>
      <charset val="204"/>
    </font>
    <font>
      <sz val="12"/>
      <name val="ГОСТ тип А"/>
      <family val="2"/>
      <charset val="204"/>
    </font>
    <font>
      <b/>
      <sz val="12"/>
      <name val="ГОСТ тип А"/>
      <family val="2"/>
      <charset val="204"/>
    </font>
    <font>
      <i/>
      <sz val="11"/>
      <name val="ISOCPEUR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ГОСТ тип А"/>
      <family val="2"/>
      <charset val="204"/>
    </font>
    <font>
      <b/>
      <sz val="14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color rgb="FFFF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4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99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2" fillId="0" borderId="0"/>
    <xf numFmtId="43" fontId="13" fillId="0" borderId="0" applyFont="0" applyFill="0" applyBorder="0" applyAlignment="0" applyProtection="0"/>
    <xf numFmtId="0" fontId="2" fillId="0" borderId="0"/>
    <xf numFmtId="0" fontId="33" fillId="0" borderId="0"/>
    <xf numFmtId="43" fontId="12" fillId="0" borderId="0" applyFont="0" applyFill="0" applyBorder="0" applyAlignment="0" applyProtection="0"/>
    <xf numFmtId="0" fontId="1" fillId="0" borderId="0"/>
  </cellStyleXfs>
  <cellXfs count="398">
    <xf numFmtId="0" fontId="0" fillId="0" borderId="0" xfId="0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0" fillId="2" borderId="0" xfId="0" applyFill="1"/>
    <xf numFmtId="0" fontId="6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righ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center" vertical="center" wrapText="1"/>
    </xf>
    <xf numFmtId="164" fontId="8" fillId="4" borderId="5" xfId="0" applyNumberFormat="1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right" vertical="center" wrapText="1"/>
    </xf>
    <xf numFmtId="0" fontId="8" fillId="4" borderId="5" xfId="0" applyFont="1" applyFill="1" applyBorder="1" applyAlignment="1">
      <alignment horizontal="center" vertical="center"/>
    </xf>
    <xf numFmtId="164" fontId="8" fillId="4" borderId="5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right" vertical="center" wrapText="1"/>
    </xf>
    <xf numFmtId="164" fontId="10" fillId="4" borderId="5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0" borderId="6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vertical="center"/>
    </xf>
    <xf numFmtId="2" fontId="11" fillId="0" borderId="6" xfId="0" applyNumberFormat="1" applyFont="1" applyFill="1" applyBorder="1" applyAlignment="1">
      <alignment horizontal="center" vertical="center"/>
    </xf>
    <xf numFmtId="165" fontId="11" fillId="0" borderId="6" xfId="0" applyNumberFormat="1" applyFont="1" applyFill="1" applyBorder="1" applyAlignment="1">
      <alignment horizontal="center" vertical="center"/>
    </xf>
    <xf numFmtId="0" fontId="11" fillId="0" borderId="5" xfId="1" applyFont="1" applyFill="1" applyBorder="1" applyAlignment="1" applyProtection="1">
      <alignment horizontal="center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center" vertical="center" wrapText="1"/>
    </xf>
    <xf numFmtId="164" fontId="11" fillId="0" borderId="5" xfId="0" applyNumberFormat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43" fontId="14" fillId="0" borderId="0" xfId="2" applyFont="1" applyAlignment="1"/>
    <xf numFmtId="49" fontId="14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2" fontId="14" fillId="0" borderId="6" xfId="0" applyNumberFormat="1" applyFont="1" applyBorder="1" applyAlignment="1">
      <alignment vertical="center"/>
    </xf>
    <xf numFmtId="0" fontId="14" fillId="0" borderId="6" xfId="0" applyFont="1" applyBorder="1" applyAlignment="1">
      <alignment horizontal="center" vertical="center"/>
    </xf>
    <xf numFmtId="2" fontId="14" fillId="0" borderId="6" xfId="2" applyNumberFormat="1" applyFont="1" applyBorder="1" applyAlignment="1">
      <alignment vertical="center"/>
    </xf>
    <xf numFmtId="0" fontId="16" fillId="0" borderId="10" xfId="0" applyFont="1" applyBorder="1" applyAlignment="1">
      <alignment horizontal="center" vertical="center" wrapText="1"/>
    </xf>
    <xf numFmtId="0" fontId="17" fillId="6" borderId="6" xfId="0" applyFont="1" applyFill="1" applyBorder="1"/>
    <xf numFmtId="0" fontId="17" fillId="0" borderId="6" xfId="0" applyFont="1" applyBorder="1"/>
    <xf numFmtId="0" fontId="12" fillId="0" borderId="0" xfId="0" applyFont="1"/>
    <xf numFmtId="0" fontId="18" fillId="6" borderId="6" xfId="0" applyFont="1" applyFill="1" applyBorder="1"/>
    <xf numFmtId="0" fontId="14" fillId="0" borderId="0" xfId="0" applyFont="1" applyAlignment="1"/>
    <xf numFmtId="0" fontId="0" fillId="0" borderId="0" xfId="0" applyAlignment="1"/>
    <xf numFmtId="0" fontId="6" fillId="0" borderId="4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9" fillId="0" borderId="5" xfId="0" applyFont="1" applyBorder="1" applyAlignment="1">
      <alignment horizontal="center" vertical="center" wrapText="1"/>
    </xf>
    <xf numFmtId="164" fontId="19" fillId="0" borderId="5" xfId="0" applyNumberFormat="1" applyFont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164" fontId="19" fillId="6" borderId="5" xfId="0" applyNumberFormat="1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167" fontId="23" fillId="0" borderId="5" xfId="0" applyNumberFormat="1" applyFont="1" applyFill="1" applyBorder="1" applyAlignment="1">
      <alignment horizontal="center" vertical="center" shrinkToFit="1"/>
    </xf>
    <xf numFmtId="167" fontId="23" fillId="0" borderId="5" xfId="0" applyNumberFormat="1" applyFont="1" applyFill="1" applyBorder="1" applyAlignment="1">
      <alignment horizontal="center" vertical="top" shrinkToFit="1"/>
    </xf>
    <xf numFmtId="0" fontId="24" fillId="0" borderId="5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top" wrapText="1" indent="1"/>
    </xf>
    <xf numFmtId="0" fontId="24" fillId="0" borderId="5" xfId="0" applyFont="1" applyFill="1" applyBorder="1" applyAlignment="1">
      <alignment horizontal="center" vertical="top" wrapText="1"/>
    </xf>
    <xf numFmtId="0" fontId="21" fillId="0" borderId="5" xfId="0" applyFont="1" applyFill="1" applyBorder="1" applyAlignment="1">
      <alignment horizontal="left" vertical="top" wrapText="1"/>
    </xf>
    <xf numFmtId="168" fontId="0" fillId="0" borderId="0" xfId="0" applyNumberFormat="1"/>
    <xf numFmtId="49" fontId="0" fillId="0" borderId="0" xfId="0" applyNumberFormat="1"/>
    <xf numFmtId="49" fontId="12" fillId="0" borderId="0" xfId="0" applyNumberFormat="1" applyFont="1"/>
    <xf numFmtId="49" fontId="12" fillId="0" borderId="0" xfId="0" applyNumberFormat="1" applyFont="1" applyAlignment="1">
      <alignment horizontal="right"/>
    </xf>
    <xf numFmtId="0" fontId="19" fillId="0" borderId="0" xfId="0" applyFont="1" applyBorder="1" applyAlignment="1">
      <alignment horizontal="center" vertical="center" wrapText="1"/>
    </xf>
    <xf numFmtId="164" fontId="19" fillId="0" borderId="0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16" fillId="0" borderId="6" xfId="0" applyFont="1" applyBorder="1" applyAlignment="1">
      <alignment horizontal="center" vertical="center"/>
    </xf>
    <xf numFmtId="49" fontId="16" fillId="0" borderId="6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164" fontId="16" fillId="6" borderId="6" xfId="0" applyNumberFormat="1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64" fontId="16" fillId="0" borderId="6" xfId="0" applyNumberFormat="1" applyFont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49" fontId="16" fillId="6" borderId="6" xfId="0" applyNumberFormat="1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49" fontId="16" fillId="6" borderId="16" xfId="0" applyNumberFormat="1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27" fillId="0" borderId="4" xfId="0" applyFont="1" applyBorder="1" applyAlignment="1">
      <alignment vertical="center" wrapText="1"/>
    </xf>
    <xf numFmtId="16" fontId="27" fillId="0" borderId="4" xfId="0" applyNumberFormat="1" applyFont="1" applyBorder="1" applyAlignment="1">
      <alignment vertical="center" wrapText="1"/>
    </xf>
    <xf numFmtId="0" fontId="0" fillId="0" borderId="6" xfId="0" applyBorder="1"/>
    <xf numFmtId="0" fontId="28" fillId="0" borderId="6" xfId="0" applyFont="1" applyBorder="1"/>
    <xf numFmtId="0" fontId="14" fillId="0" borderId="6" xfId="0" applyFont="1" applyBorder="1" applyAlignment="1">
      <alignment horizontal="center" vertical="center"/>
    </xf>
    <xf numFmtId="0" fontId="0" fillId="7" borderId="6" xfId="0" applyFill="1" applyBorder="1"/>
    <xf numFmtId="49" fontId="0" fillId="0" borderId="0" xfId="2" applyNumberFormat="1" applyFont="1"/>
    <xf numFmtId="49" fontId="0" fillId="0" borderId="0" xfId="2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 wrapText="1"/>
    </xf>
    <xf numFmtId="4" fontId="29" fillId="0" borderId="6" xfId="0" applyNumberFormat="1" applyFont="1" applyBorder="1" applyAlignment="1">
      <alignment horizontal="right" vertical="center" wrapText="1"/>
    </xf>
    <xf numFmtId="2" fontId="14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9" fillId="0" borderId="0" xfId="0" applyFont="1" applyAlignment="1">
      <alignment wrapText="1"/>
    </xf>
    <xf numFmtId="0" fontId="30" fillId="0" borderId="6" xfId="0" applyFont="1" applyBorder="1"/>
    <xf numFmtId="0" fontId="31" fillId="0" borderId="6" xfId="0" applyFont="1" applyBorder="1" applyAlignment="1">
      <alignment horizontal="center" vertical="center" wrapText="1"/>
    </xf>
    <xf numFmtId="0" fontId="30" fillId="0" borderId="6" xfId="0" applyFont="1" applyBorder="1" applyAlignment="1">
      <alignment wrapText="1"/>
    </xf>
    <xf numFmtId="0" fontId="30" fillId="0" borderId="6" xfId="0" applyFont="1" applyBorder="1" applyAlignment="1">
      <alignment horizontal="center"/>
    </xf>
    <xf numFmtId="0" fontId="30" fillId="8" borderId="6" xfId="0" applyFont="1" applyFill="1" applyBorder="1"/>
    <xf numFmtId="2" fontId="30" fillId="8" borderId="6" xfId="0" applyNumberFormat="1" applyFont="1" applyFill="1" applyBorder="1"/>
    <xf numFmtId="0" fontId="29" fillId="8" borderId="6" xfId="0" applyFont="1" applyFill="1" applyBorder="1" applyAlignment="1">
      <alignment horizontal="center" vertical="center"/>
    </xf>
    <xf numFmtId="0" fontId="29" fillId="8" borderId="6" xfId="0" applyFont="1" applyFill="1" applyBorder="1" applyAlignment="1">
      <alignment horizontal="center" vertical="center" wrapText="1"/>
    </xf>
    <xf numFmtId="4" fontId="29" fillId="8" borderId="6" xfId="0" applyNumberFormat="1" applyFont="1" applyFill="1" applyBorder="1" applyAlignment="1">
      <alignment horizontal="right" vertical="center" wrapText="1"/>
    </xf>
    <xf numFmtId="0" fontId="30" fillId="8" borderId="6" xfId="0" applyFont="1" applyFill="1" applyBorder="1" applyAlignment="1">
      <alignment wrapText="1"/>
    </xf>
    <xf numFmtId="0" fontId="30" fillId="8" borderId="14" xfId="0" applyFont="1" applyFill="1" applyBorder="1"/>
    <xf numFmtId="164" fontId="29" fillId="8" borderId="6" xfId="0" applyNumberFormat="1" applyFont="1" applyFill="1" applyBorder="1" applyAlignment="1">
      <alignment horizontal="right" vertical="center" wrapText="1"/>
    </xf>
    <xf numFmtId="2" fontId="30" fillId="0" borderId="6" xfId="0" applyNumberFormat="1" applyFont="1" applyBorder="1"/>
    <xf numFmtId="0" fontId="30" fillId="0" borderId="7" xfId="0" applyFont="1" applyBorder="1" applyAlignment="1">
      <alignment horizontal="center"/>
    </xf>
    <xf numFmtId="2" fontId="29" fillId="0" borderId="6" xfId="0" applyNumberFormat="1" applyFont="1" applyBorder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17" xfId="0" applyFont="1" applyBorder="1" applyAlignment="1">
      <alignment vertical="center"/>
    </xf>
    <xf numFmtId="0" fontId="29" fillId="0" borderId="6" xfId="0" applyFont="1" applyBorder="1"/>
    <xf numFmtId="0" fontId="29" fillId="0" borderId="6" xfId="0" applyFont="1" applyFill="1" applyBorder="1" applyAlignment="1">
      <alignment horizontal="center" vertical="center"/>
    </xf>
    <xf numFmtId="0" fontId="29" fillId="0" borderId="6" xfId="0" applyFont="1" applyFill="1" applyBorder="1" applyAlignment="1">
      <alignment horizontal="center" vertical="center" wrapText="1"/>
    </xf>
    <xf numFmtId="4" fontId="29" fillId="0" borderId="6" xfId="0" applyNumberFormat="1" applyFont="1" applyFill="1" applyBorder="1" applyAlignment="1">
      <alignment horizontal="right" vertical="center" wrapText="1"/>
    </xf>
    <xf numFmtId="0" fontId="29" fillId="0" borderId="0" xfId="0" applyFont="1" applyAlignment="1">
      <alignment horizontal="center" vertical="center"/>
    </xf>
    <xf numFmtId="164" fontId="29" fillId="0" borderId="6" xfId="0" applyNumberFormat="1" applyFont="1" applyBorder="1" applyAlignment="1">
      <alignment horizontal="right" vertical="center" wrapText="1"/>
    </xf>
    <xf numFmtId="164" fontId="29" fillId="0" borderId="6" xfId="0" applyNumberFormat="1" applyFont="1" applyFill="1" applyBorder="1" applyAlignment="1">
      <alignment horizontal="right" vertical="center" wrapText="1"/>
    </xf>
    <xf numFmtId="0" fontId="15" fillId="0" borderId="9" xfId="0" applyFont="1" applyBorder="1" applyAlignment="1">
      <alignment horizontal="center"/>
    </xf>
    <xf numFmtId="0" fontId="29" fillId="0" borderId="9" xfId="0" applyFont="1" applyBorder="1" applyAlignment="1">
      <alignment horizontal="left" vertical="center" wrapText="1"/>
    </xf>
    <xf numFmtId="0" fontId="29" fillId="0" borderId="0" xfId="0" applyFont="1" applyAlignment="1">
      <alignment horizontal="center" vertical="center"/>
    </xf>
    <xf numFmtId="0" fontId="32" fillId="0" borderId="6" xfId="0" applyFont="1" applyFill="1" applyBorder="1" applyAlignment="1">
      <alignment horizontal="left" vertical="top" wrapText="1"/>
    </xf>
    <xf numFmtId="2" fontId="0" fillId="0" borderId="6" xfId="0" applyNumberFormat="1" applyFill="1" applyBorder="1" applyAlignment="1">
      <alignment horizontal="left" vertical="top"/>
    </xf>
    <xf numFmtId="0" fontId="0" fillId="0" borderId="6" xfId="0" applyFill="1" applyBorder="1" applyAlignment="1">
      <alignment horizontal="left" vertical="top"/>
    </xf>
    <xf numFmtId="2" fontId="0" fillId="0" borderId="7" xfId="0" applyNumberFormat="1" applyFill="1" applyBorder="1" applyAlignment="1">
      <alignment horizontal="left" vertical="top"/>
    </xf>
    <xf numFmtId="0" fontId="29" fillId="0" borderId="0" xfId="0" applyFont="1" applyAlignment="1">
      <alignment horizontal="center" vertical="center"/>
    </xf>
    <xf numFmtId="0" fontId="15" fillId="0" borderId="9" xfId="0" applyFont="1" applyBorder="1" applyAlignment="1">
      <alignment horizontal="center"/>
    </xf>
    <xf numFmtId="0" fontId="29" fillId="0" borderId="9" xfId="0" applyFont="1" applyBorder="1" applyAlignment="1">
      <alignment horizontal="left" vertical="center" wrapText="1"/>
    </xf>
    <xf numFmtId="0" fontId="29" fillId="0" borderId="0" xfId="0" applyFont="1" applyAlignment="1">
      <alignment horizontal="center" vertical="center"/>
    </xf>
    <xf numFmtId="0" fontId="29" fillId="0" borderId="9" xfId="0" applyFont="1" applyBorder="1" applyAlignment="1">
      <alignment horizontal="left" vertical="center" wrapText="1"/>
    </xf>
    <xf numFmtId="165" fontId="29" fillId="0" borderId="6" xfId="0" applyNumberFormat="1" applyFont="1" applyFill="1" applyBorder="1" applyAlignment="1">
      <alignment horizontal="right" vertical="center" wrapText="1"/>
    </xf>
    <xf numFmtId="0" fontId="29" fillId="0" borderId="6" xfId="0" applyFont="1" applyBorder="1" applyAlignment="1">
      <alignment horizontal="center"/>
    </xf>
    <xf numFmtId="167" fontId="29" fillId="0" borderId="6" xfId="0" applyNumberFormat="1" applyFont="1" applyBorder="1"/>
    <xf numFmtId="0" fontId="29" fillId="0" borderId="6" xfId="0" applyFont="1" applyBorder="1" applyAlignment="1">
      <alignment horizontal="right"/>
    </xf>
    <xf numFmtId="0" fontId="29" fillId="0" borderId="0" xfId="0" applyFont="1" applyAlignment="1">
      <alignment horizontal="center" vertical="center"/>
    </xf>
    <xf numFmtId="0" fontId="29" fillId="0" borderId="6" xfId="0" applyFont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165" fontId="29" fillId="0" borderId="6" xfId="0" applyNumberFormat="1" applyFont="1" applyFill="1" applyBorder="1" applyAlignment="1">
      <alignment horizontal="center" vertical="center" wrapText="1"/>
    </xf>
    <xf numFmtId="0" fontId="29" fillId="0" borderId="6" xfId="0" applyFont="1" applyBorder="1" applyAlignment="1">
      <alignment horizontal="right" vertical="center"/>
    </xf>
    <xf numFmtId="0" fontId="15" fillId="0" borderId="6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5" fillId="0" borderId="6" xfId="0" applyFont="1" applyBorder="1"/>
    <xf numFmtId="0" fontId="29" fillId="0" borderId="7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/>
    </xf>
    <xf numFmtId="0" fontId="2" fillId="0" borderId="0" xfId="3"/>
    <xf numFmtId="0" fontId="14" fillId="0" borderId="6" xfId="3" applyFont="1" applyBorder="1" applyAlignment="1">
      <alignment horizontal="center" vertical="center"/>
    </xf>
    <xf numFmtId="0" fontId="14" fillId="0" borderId="16" xfId="3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2" fontId="14" fillId="0" borderId="6" xfId="4" applyNumberFormat="1" applyFont="1" applyBorder="1" applyAlignment="1">
      <alignment horizontal="center" vertical="center"/>
    </xf>
    <xf numFmtId="0" fontId="15" fillId="0" borderId="6" xfId="4" applyFont="1" applyBorder="1" applyAlignment="1">
      <alignment horizontal="center" vertical="center" wrapText="1"/>
    </xf>
    <xf numFmtId="49" fontId="14" fillId="0" borderId="6" xfId="4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67" fontId="14" fillId="0" borderId="6" xfId="5" applyNumberFormat="1" applyFont="1" applyBorder="1" applyAlignment="1">
      <alignment vertical="center"/>
    </xf>
    <xf numFmtId="0" fontId="34" fillId="0" borderId="6" xfId="6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9" xfId="0" applyFont="1" applyBorder="1" applyAlignment="1">
      <alignment horizontal="left" vertical="center" wrapText="1"/>
    </xf>
    <xf numFmtId="0" fontId="29" fillId="4" borderId="6" xfId="0" applyFont="1" applyFill="1" applyBorder="1" applyAlignment="1">
      <alignment horizontal="center" vertical="center" wrapText="1"/>
    </xf>
    <xf numFmtId="4" fontId="29" fillId="4" borderId="6" xfId="0" applyNumberFormat="1" applyFont="1" applyFill="1" applyBorder="1" applyAlignment="1">
      <alignment horizontal="right" vertical="center" wrapText="1"/>
    </xf>
    <xf numFmtId="0" fontId="29" fillId="9" borderId="6" xfId="0" applyFont="1" applyFill="1" applyBorder="1" applyAlignment="1">
      <alignment horizontal="center" vertical="center" wrapText="1"/>
    </xf>
    <xf numFmtId="2" fontId="29" fillId="9" borderId="6" xfId="0" applyNumberFormat="1" applyFont="1" applyFill="1" applyBorder="1" applyAlignment="1">
      <alignment horizontal="center" vertical="center"/>
    </xf>
    <xf numFmtId="4" fontId="29" fillId="9" borderId="6" xfId="0" applyNumberFormat="1" applyFont="1" applyFill="1" applyBorder="1" applyAlignment="1">
      <alignment horizontal="right" vertical="center" wrapText="1"/>
    </xf>
    <xf numFmtId="0" fontId="29" fillId="4" borderId="6" xfId="0" applyFont="1" applyFill="1" applyBorder="1" applyAlignment="1">
      <alignment horizontal="center" vertical="center"/>
    </xf>
    <xf numFmtId="0" fontId="29" fillId="9" borderId="6" xfId="0" applyFont="1" applyFill="1" applyBorder="1" applyAlignment="1">
      <alignment horizontal="center" vertical="center"/>
    </xf>
    <xf numFmtId="0" fontId="29" fillId="8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49" fontId="29" fillId="0" borderId="0" xfId="0" applyNumberFormat="1" applyFont="1"/>
    <xf numFmtId="0" fontId="29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9" fillId="0" borderId="7" xfId="0" applyFont="1" applyBorder="1" applyAlignment="1">
      <alignment horizontal="left" vertical="center" wrapText="1"/>
    </xf>
    <xf numFmtId="0" fontId="29" fillId="0" borderId="9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3" fontId="29" fillId="0" borderId="6" xfId="0" applyNumberFormat="1" applyFont="1" applyFill="1" applyBorder="1" applyAlignment="1">
      <alignment horizontal="right" vertical="center" wrapText="1"/>
    </xf>
    <xf numFmtId="0" fontId="29" fillId="9" borderId="6" xfId="0" applyFont="1" applyFill="1" applyBorder="1" applyAlignment="1">
      <alignment horizontal="center" vertical="center"/>
    </xf>
    <xf numFmtId="0" fontId="0" fillId="0" borderId="6" xfId="0" applyNumberFormat="1" applyFill="1" applyBorder="1" applyAlignment="1" applyProtection="1">
      <alignment horizontal="center" vertical="center"/>
    </xf>
    <xf numFmtId="0" fontId="0" fillId="0" borderId="6" xfId="0" applyNumberFormat="1" applyFill="1" applyBorder="1" applyAlignment="1" applyProtection="1">
      <alignment horizontal="center" vertical="center" wrapText="1"/>
    </xf>
    <xf numFmtId="2" fontId="0" fillId="0" borderId="6" xfId="0" applyNumberFormat="1" applyFill="1" applyBorder="1" applyAlignment="1" applyProtection="1">
      <alignment horizontal="center" vertical="center"/>
    </xf>
    <xf numFmtId="0" fontId="35" fillId="0" borderId="22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6" fillId="0" borderId="27" xfId="0" applyFont="1" applyFill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7" fillId="0" borderId="28" xfId="0" applyFont="1" applyBorder="1" applyAlignment="1">
      <alignment horizontal="center" vertical="center"/>
    </xf>
    <xf numFmtId="167" fontId="36" fillId="0" borderId="6" xfId="0" applyNumberFormat="1" applyFont="1" applyBorder="1" applyAlignment="1">
      <alignment horizontal="center" vertical="center"/>
    </xf>
    <xf numFmtId="167" fontId="36" fillId="0" borderId="24" xfId="0" applyNumberFormat="1" applyFont="1" applyBorder="1" applyAlignment="1">
      <alignment horizontal="center" vertical="center"/>
    </xf>
    <xf numFmtId="167" fontId="36" fillId="0" borderId="6" xfId="0" applyNumberFormat="1" applyFont="1" applyFill="1" applyBorder="1" applyAlignment="1">
      <alignment horizontal="center" vertical="center"/>
    </xf>
    <xf numFmtId="167" fontId="36" fillId="0" borderId="25" xfId="0" applyNumberFormat="1" applyFont="1" applyBorder="1" applyAlignment="1">
      <alignment horizontal="center" vertical="center"/>
    </xf>
    <xf numFmtId="167" fontId="36" fillId="0" borderId="26" xfId="0" applyNumberFormat="1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30" xfId="0" applyFont="1" applyFill="1" applyBorder="1" applyAlignment="1">
      <alignment horizontal="center" vertical="center"/>
    </xf>
    <xf numFmtId="167" fontId="36" fillId="0" borderId="29" xfId="0" applyNumberFormat="1" applyFont="1" applyBorder="1" applyAlignment="1">
      <alignment horizontal="center" vertical="center"/>
    </xf>
    <xf numFmtId="167" fontId="36" fillId="0" borderId="30" xfId="0" applyNumberFormat="1" applyFont="1" applyBorder="1" applyAlignment="1">
      <alignment horizontal="center" vertical="center"/>
    </xf>
    <xf numFmtId="167" fontId="36" fillId="0" borderId="31" xfId="0" applyNumberFormat="1" applyFont="1" applyBorder="1" applyAlignment="1">
      <alignment horizontal="center" vertical="center"/>
    </xf>
    <xf numFmtId="167" fontId="37" fillId="0" borderId="28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horizontal="center" vertical="center" wrapText="1"/>
    </xf>
    <xf numFmtId="0" fontId="36" fillId="0" borderId="33" xfId="0" applyFont="1" applyBorder="1" applyAlignment="1">
      <alignment horizontal="left" vertical="center" wrapText="1"/>
    </xf>
    <xf numFmtId="0" fontId="37" fillId="0" borderId="34" xfId="0" applyFont="1" applyBorder="1" applyAlignment="1">
      <alignment horizontal="left" vertical="center" wrapText="1"/>
    </xf>
    <xf numFmtId="0" fontId="36" fillId="0" borderId="33" xfId="0" applyFont="1" applyFill="1" applyBorder="1" applyAlignment="1">
      <alignment horizontal="left" vertical="center" wrapText="1"/>
    </xf>
    <xf numFmtId="0" fontId="38" fillId="0" borderId="27" xfId="0" applyFont="1" applyBorder="1" applyAlignment="1">
      <alignment horizontal="center" vertical="center"/>
    </xf>
    <xf numFmtId="2" fontId="36" fillId="0" borderId="6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2" fontId="37" fillId="0" borderId="28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2" fillId="0" borderId="6" xfId="0" applyNumberFormat="1" applyFont="1" applyFill="1" applyBorder="1" applyAlignment="1" applyProtection="1">
      <alignment horizontal="center" vertical="center"/>
    </xf>
    <xf numFmtId="0" fontId="0" fillId="0" borderId="7" xfId="0" applyNumberFormat="1" applyFill="1" applyBorder="1" applyAlignment="1" applyProtection="1">
      <alignment vertical="center"/>
    </xf>
    <xf numFmtId="0" fontId="0" fillId="0" borderId="8" xfId="0" applyNumberFormat="1" applyFill="1" applyBorder="1" applyAlignment="1" applyProtection="1">
      <alignment vertical="center"/>
    </xf>
    <xf numFmtId="0" fontId="18" fillId="0" borderId="6" xfId="0" applyNumberFormat="1" applyFont="1" applyFill="1" applyBorder="1" applyAlignment="1" applyProtection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6" fillId="6" borderId="38" xfId="0" applyFont="1" applyFill="1" applyBorder="1" applyAlignment="1">
      <alignment horizontal="center" vertical="center"/>
    </xf>
    <xf numFmtId="0" fontId="16" fillId="6" borderId="21" xfId="0" applyFont="1" applyFill="1" applyBorder="1" applyAlignment="1">
      <alignment horizontal="center" vertical="center"/>
    </xf>
    <xf numFmtId="164" fontId="39" fillId="10" borderId="39" xfId="0" applyNumberFormat="1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49" fontId="16" fillId="0" borderId="40" xfId="0" applyNumberFormat="1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6" borderId="42" xfId="0" applyFont="1" applyFill="1" applyBorder="1" applyAlignment="1">
      <alignment horizontal="center" vertical="center"/>
    </xf>
    <xf numFmtId="49" fontId="16" fillId="6" borderId="21" xfId="0" applyNumberFormat="1" applyFont="1" applyFill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9" fontId="16" fillId="0" borderId="21" xfId="0" applyNumberFormat="1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49" fontId="16" fillId="0" borderId="45" xfId="0" applyNumberFormat="1" applyFont="1" applyBorder="1" applyAlignment="1">
      <alignment horizontal="center" vertical="center"/>
    </xf>
    <xf numFmtId="165" fontId="16" fillId="0" borderId="6" xfId="0" applyNumberFormat="1" applyFont="1" applyBorder="1" applyAlignment="1">
      <alignment horizontal="center" vertical="center" wrapText="1"/>
    </xf>
    <xf numFmtId="0" fontId="16" fillId="8" borderId="6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/>
    </xf>
    <xf numFmtId="167" fontId="16" fillId="0" borderId="37" xfId="0" applyNumberFormat="1" applyFont="1" applyBorder="1" applyAlignment="1">
      <alignment horizontal="center" vertical="center" wrapText="1"/>
    </xf>
    <xf numFmtId="167" fontId="16" fillId="6" borderId="43" xfId="0" applyNumberFormat="1" applyFont="1" applyFill="1" applyBorder="1" applyAlignment="1">
      <alignment horizontal="center" vertical="center"/>
    </xf>
    <xf numFmtId="167" fontId="16" fillId="0" borderId="43" xfId="0" applyNumberFormat="1" applyFont="1" applyBorder="1" applyAlignment="1">
      <alignment horizontal="center" vertical="center"/>
    </xf>
    <xf numFmtId="167" fontId="16" fillId="0" borderId="37" xfId="0" applyNumberFormat="1" applyFont="1" applyBorder="1" applyAlignment="1">
      <alignment horizontal="center" vertical="center"/>
    </xf>
    <xf numFmtId="167" fontId="16" fillId="6" borderId="6" xfId="0" applyNumberFormat="1" applyFont="1" applyFill="1" applyBorder="1" applyAlignment="1">
      <alignment horizontal="center" vertical="center"/>
    </xf>
    <xf numFmtId="167" fontId="16" fillId="0" borderId="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18" fillId="0" borderId="6" xfId="0" applyNumberFormat="1" applyFont="1" applyFill="1" applyBorder="1" applyAlignment="1" applyProtection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49" fontId="16" fillId="6" borderId="7" xfId="0" applyNumberFormat="1" applyFont="1" applyFill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167" fontId="16" fillId="6" borderId="0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167" fontId="16" fillId="0" borderId="43" xfId="0" applyNumberFormat="1" applyFont="1" applyFill="1" applyBorder="1" applyAlignment="1">
      <alignment horizontal="center" vertical="center"/>
    </xf>
    <xf numFmtId="0" fontId="16" fillId="0" borderId="42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49" fontId="16" fillId="0" borderId="21" xfId="0" applyNumberFormat="1" applyFont="1" applyFill="1" applyBorder="1" applyAlignment="1">
      <alignment horizontal="center" vertical="center"/>
    </xf>
    <xf numFmtId="0" fontId="36" fillId="0" borderId="24" xfId="0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29" fillId="9" borderId="6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29" fillId="8" borderId="6" xfId="0" applyFont="1" applyFill="1" applyBorder="1" applyAlignment="1">
      <alignment vertical="center" wrapText="1"/>
    </xf>
    <xf numFmtId="0" fontId="29" fillId="0" borderId="6" xfId="0" applyFont="1" applyBorder="1" applyAlignment="1">
      <alignment vertical="center" wrapText="1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36" fillId="0" borderId="6" xfId="0" applyFont="1" applyFill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/>
    </xf>
    <xf numFmtId="0" fontId="29" fillId="9" borderId="6" xfId="0" applyFont="1" applyFill="1" applyBorder="1" applyAlignment="1">
      <alignment horizontal="right" vertical="center"/>
    </xf>
    <xf numFmtId="0" fontId="29" fillId="9" borderId="6" xfId="0" applyFont="1" applyFill="1" applyBorder="1" applyAlignment="1">
      <alignment horizontal="center" vertical="center"/>
    </xf>
    <xf numFmtId="0" fontId="29" fillId="9" borderId="7" xfId="0" applyFont="1" applyFill="1" applyBorder="1" applyAlignment="1">
      <alignment horizontal="center" vertical="center" wrapText="1"/>
    </xf>
    <xf numFmtId="0" fontId="29" fillId="9" borderId="8" xfId="0" applyFont="1" applyFill="1" applyBorder="1" applyAlignment="1">
      <alignment horizontal="center" vertical="center" wrapText="1"/>
    </xf>
    <xf numFmtId="0" fontId="29" fillId="9" borderId="9" xfId="0" applyFont="1" applyFill="1" applyBorder="1" applyAlignment="1">
      <alignment horizontal="center" vertical="center" wrapText="1"/>
    </xf>
    <xf numFmtId="2" fontId="29" fillId="9" borderId="7" xfId="0" applyNumberFormat="1" applyFont="1" applyFill="1" applyBorder="1" applyAlignment="1">
      <alignment horizontal="center" vertical="center"/>
    </xf>
    <xf numFmtId="2" fontId="29" fillId="9" borderId="8" xfId="0" applyNumberFormat="1" applyFont="1" applyFill="1" applyBorder="1" applyAlignment="1">
      <alignment horizontal="center" vertical="center"/>
    </xf>
    <xf numFmtId="2" fontId="29" fillId="9" borderId="9" xfId="0" applyNumberFormat="1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0" fontId="14" fillId="0" borderId="6" xfId="3" applyFont="1" applyBorder="1" applyAlignment="1">
      <alignment horizontal="right" vertical="center"/>
    </xf>
    <xf numFmtId="0" fontId="29" fillId="0" borderId="8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/>
    </xf>
    <xf numFmtId="0" fontId="29" fillId="0" borderId="7" xfId="0" applyFont="1" applyFill="1" applyBorder="1" applyAlignment="1">
      <alignment horizontal="center" vertical="center"/>
    </xf>
    <xf numFmtId="0" fontId="29" fillId="0" borderId="8" xfId="0" applyFont="1" applyFill="1" applyBorder="1" applyAlignment="1">
      <alignment horizontal="center" vertical="center"/>
    </xf>
    <xf numFmtId="0" fontId="29" fillId="0" borderId="9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14" fillId="0" borderId="17" xfId="4" applyFont="1" applyBorder="1" applyAlignment="1">
      <alignment horizontal="center"/>
    </xf>
    <xf numFmtId="0" fontId="2" fillId="0" borderId="0" xfId="3" applyAlignment="1">
      <alignment horizontal="center"/>
    </xf>
    <xf numFmtId="0" fontId="14" fillId="0" borderId="6" xfId="4" applyFont="1" applyBorder="1" applyAlignment="1">
      <alignment horizontal="center" vertical="center"/>
    </xf>
    <xf numFmtId="0" fontId="15" fillId="0" borderId="7" xfId="4" applyFont="1" applyBorder="1" applyAlignment="1">
      <alignment horizontal="center" vertical="center"/>
    </xf>
    <xf numFmtId="0" fontId="15" fillId="0" borderId="8" xfId="4" applyFont="1" applyBorder="1" applyAlignment="1">
      <alignment horizontal="center" vertical="center"/>
    </xf>
    <xf numFmtId="0" fontId="15" fillId="0" borderId="7" xfId="4" applyFont="1" applyFill="1" applyBorder="1" applyAlignment="1">
      <alignment vertical="center" wrapText="1"/>
    </xf>
    <xf numFmtId="0" fontId="15" fillId="0" borderId="8" xfId="4" applyFont="1" applyFill="1" applyBorder="1" applyAlignment="1">
      <alignment vertical="center" wrapText="1"/>
    </xf>
    <xf numFmtId="0" fontId="29" fillId="0" borderId="8" xfId="0" applyFont="1" applyFill="1" applyBorder="1" applyAlignment="1">
      <alignment horizontal="right" vertical="center"/>
    </xf>
    <xf numFmtId="0" fontId="29" fillId="0" borderId="9" xfId="0" applyFont="1" applyFill="1" applyBorder="1" applyAlignment="1">
      <alignment horizontal="right" vertical="center"/>
    </xf>
    <xf numFmtId="0" fontId="29" fillId="0" borderId="7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29" fillId="0" borderId="9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29" fillId="0" borderId="7" xfId="0" applyFont="1" applyBorder="1" applyAlignment="1">
      <alignment horizontal="right"/>
    </xf>
    <xf numFmtId="0" fontId="29" fillId="0" borderId="8" xfId="0" applyFont="1" applyBorder="1" applyAlignment="1">
      <alignment horizontal="right"/>
    </xf>
    <xf numFmtId="0" fontId="29" fillId="0" borderId="9" xfId="0" applyFont="1" applyBorder="1" applyAlignment="1">
      <alignment horizontal="right"/>
    </xf>
    <xf numFmtId="0" fontId="29" fillId="0" borderId="6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9" fillId="0" borderId="7" xfId="0" applyFont="1" applyFill="1" applyBorder="1" applyAlignment="1">
      <alignment horizontal="left" vertical="center" wrapText="1"/>
    </xf>
    <xf numFmtId="0" fontId="29" fillId="0" borderId="8" xfId="0" applyFont="1" applyFill="1" applyBorder="1" applyAlignment="1">
      <alignment horizontal="left" vertical="center" wrapText="1"/>
    </xf>
    <xf numFmtId="0" fontId="29" fillId="0" borderId="9" xfId="0" applyFont="1" applyFill="1" applyBorder="1" applyAlignment="1">
      <alignment horizontal="left" vertical="center" wrapText="1"/>
    </xf>
    <xf numFmtId="0" fontId="29" fillId="0" borderId="20" xfId="0" applyFont="1" applyBorder="1" applyAlignment="1">
      <alignment horizontal="center" wrapText="1"/>
    </xf>
    <xf numFmtId="0" fontId="29" fillId="0" borderId="0" xfId="0" applyFont="1" applyBorder="1" applyAlignment="1">
      <alignment horizontal="center" wrapText="1"/>
    </xf>
    <xf numFmtId="0" fontId="29" fillId="8" borderId="7" xfId="0" applyFont="1" applyFill="1" applyBorder="1" applyAlignment="1">
      <alignment horizontal="left" vertical="center" wrapText="1"/>
    </xf>
    <xf numFmtId="0" fontId="29" fillId="8" borderId="8" xfId="0" applyFont="1" applyFill="1" applyBorder="1" applyAlignment="1">
      <alignment horizontal="left" vertical="center" wrapText="1"/>
    </xf>
    <xf numFmtId="0" fontId="29" fillId="8" borderId="9" xfId="0" applyFont="1" applyFill="1" applyBorder="1" applyAlignment="1">
      <alignment horizontal="left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8" borderId="7" xfId="0" applyFont="1" applyFill="1" applyBorder="1" applyAlignment="1">
      <alignment horizontal="center" vertical="center" wrapText="1"/>
    </xf>
    <xf numFmtId="0" fontId="29" fillId="8" borderId="8" xfId="0" applyFont="1" applyFill="1" applyBorder="1" applyAlignment="1">
      <alignment horizontal="center" vertical="center" wrapText="1"/>
    </xf>
    <xf numFmtId="0" fontId="29" fillId="8" borderId="9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wrapText="1"/>
    </xf>
    <xf numFmtId="0" fontId="30" fillId="0" borderId="0" xfId="0" applyFont="1" applyBorder="1" applyAlignment="1">
      <alignment horizontal="center" vertical="center"/>
    </xf>
    <xf numFmtId="0" fontId="29" fillId="0" borderId="6" xfId="0" applyFont="1" applyBorder="1" applyAlignment="1">
      <alignment horizontal="right" vertical="center"/>
    </xf>
    <xf numFmtId="0" fontId="14" fillId="0" borderId="0" xfId="0" applyFont="1" applyAlignment="1">
      <alignment horizontal="center"/>
    </xf>
    <xf numFmtId="0" fontId="15" fillId="0" borderId="7" xfId="0" applyFont="1" applyFill="1" applyBorder="1" applyAlignment="1">
      <alignment vertical="center" wrapText="1"/>
    </xf>
    <xf numFmtId="0" fontId="15" fillId="0" borderId="8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 wrapText="1"/>
    </xf>
    <xf numFmtId="166" fontId="14" fillId="0" borderId="7" xfId="2" applyNumberFormat="1" applyFont="1" applyBorder="1" applyAlignment="1">
      <alignment horizontal="center" vertical="center"/>
    </xf>
    <xf numFmtId="166" fontId="14" fillId="0" borderId="9" xfId="2" applyNumberFormat="1" applyFont="1" applyBorder="1" applyAlignment="1">
      <alignment horizontal="center" vertical="center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2" fontId="14" fillId="0" borderId="7" xfId="0" applyNumberFormat="1" applyFont="1" applyBorder="1" applyAlignment="1">
      <alignment horizontal="center" vertical="center"/>
    </xf>
    <xf numFmtId="2" fontId="14" fillId="0" borderId="9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8" borderId="7" xfId="0" applyFont="1" applyFill="1" applyBorder="1" applyAlignment="1">
      <alignment horizontal="left" vertical="center" wrapText="1"/>
    </xf>
    <xf numFmtId="0" fontId="16" fillId="8" borderId="8" xfId="0" applyFont="1" applyFill="1" applyBorder="1" applyAlignment="1">
      <alignment horizontal="left" vertical="center" wrapText="1"/>
    </xf>
    <xf numFmtId="0" fontId="16" fillId="8" borderId="9" xfId="0" applyFont="1" applyFill="1" applyBorder="1" applyAlignment="1">
      <alignment horizontal="left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8" borderId="6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6" fillId="0" borderId="18" xfId="0" applyFont="1" applyBorder="1" applyAlignment="1">
      <alignment horizontal="center" vertical="center"/>
    </xf>
  </cellXfs>
  <cellStyles count="7">
    <cellStyle name="Обычный" xfId="0" builtinId="0"/>
    <cellStyle name="Обычный 2" xfId="1"/>
    <cellStyle name="Обычный 2 2" xfId="4"/>
    <cellStyle name="Обычный 3" xfId="3"/>
    <cellStyle name="Обычный 4" xfId="6"/>
    <cellStyle name="Финансовый" xfId="2" builtinId="3"/>
    <cellStyle name="Финансовый 2" xfId="5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ГОСТ тип А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ГОСТ тип А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ГОСТ тип А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ГОСТ тип А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ГОСТ тип А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ГОСТ тип А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ГОСТ тип А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ГОСТ тип А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800000"/>
        <name val="Times New Roman"/>
        <scheme val="none"/>
      </font>
      <numFmt numFmtId="164" formatCode="#,##0.0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800000"/>
        <name val="Times New Roman"/>
        <scheme val="none"/>
      </font>
      <numFmt numFmtId="164" formatCode="#,##0.0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numFmt numFmtId="164" formatCode="#,##0.0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ables/table1.xml><?xml version="1.0" encoding="utf-8"?>
<table xmlns="http://schemas.openxmlformats.org/spreadsheetml/2006/main" id="1" name="Таблица1" displayName="Таблица1" ref="A5:K500" totalsRowShown="0" headerRowDxfId="29" tableBorderDxfId="28">
  <autoFilter ref="A5:K500">
    <filterColumn colId="1">
      <customFilters>
        <customFilter operator="notEqual" val=" "/>
      </customFilters>
    </filterColumn>
    <filterColumn colId="8">
      <filters blank="1">
        <filter val="0,840"/>
        <filter val="1 043,700"/>
        <filter val="1 106,100"/>
        <filter val="1 184,340"/>
        <filter val="1 198,000"/>
        <filter val="1 219,260"/>
        <filter val="1 379,550"/>
        <filter val="1 391,828"/>
        <filter val="1 471,361"/>
        <filter val="1 804,080"/>
        <filter val="1,170"/>
        <filter val="1,185"/>
        <filter val="1,680"/>
        <filter val="1,950"/>
        <filter val="103,000"/>
        <filter val="107,800"/>
        <filter val="109 382,000"/>
        <filter val="111,705"/>
        <filter val="112,755"/>
        <filter val="115,346"/>
        <filter val="116,879"/>
        <filter val="121,200"/>
        <filter val="126 616,000"/>
        <filter val="13 255,500"/>
        <filter val="13 273,200"/>
        <filter val="132,660"/>
        <filter val="14 631,120"/>
        <filter val="14,000"/>
        <filter val="14,160"/>
        <filter val="14,820"/>
        <filter val="14,925"/>
        <filter val="143,280"/>
        <filter val="145,800"/>
        <filter val="146 958,000"/>
        <filter val="154,200"/>
        <filter val="156 128,000"/>
        <filter val="16,100"/>
        <filter val="16,170"/>
        <filter val="169,620"/>
        <filter val="174,800"/>
        <filter val="18,100"/>
        <filter val="187,200"/>
        <filter val="187,925"/>
        <filter val="192,280"/>
        <filter val="194,940"/>
        <filter val="198,833"/>
        <filter val="2 759,100"/>
        <filter val="2 982,488"/>
        <filter val="2,100"/>
        <filter val="2,370"/>
        <filter val="2,715"/>
        <filter val="22 368,656"/>
        <filter val="223,410"/>
        <filter val="238,800"/>
        <filter val="24,900"/>
        <filter val="240,000"/>
        <filter val="258,000"/>
        <filter val="26 044,200"/>
        <filter val="26,000"/>
        <filter val="26,100"/>
        <filter val="26,950"/>
        <filter val="27,318"/>
        <filter val="273,180"/>
        <filter val="28,320"/>
        <filter val="28,710"/>
        <filter val="29 162,100"/>
        <filter val="296,200"/>
        <filter val="3 125,200"/>
        <filter val="3 479,000"/>
        <filter val="3 617,600"/>
        <filter val="3 826,900"/>
        <filter val="3 947,800"/>
        <filter val="3,735"/>
        <filter val="302,000"/>
        <filter val="316,934"/>
        <filter val="32,800"/>
        <filter val="320,760"/>
        <filter val="353,800"/>
        <filter val="36 764,000"/>
        <filter val="378,566"/>
        <filter val="38,550"/>
        <filter val="38,960"/>
        <filter val="389,595"/>
        <filter val="397,665"/>
        <filter val="4 198,800"/>
        <filter val="4 460,800"/>
        <filter val="4,200"/>
        <filter val="4,920"/>
        <filter val="43,700"/>
        <filter val="44,430"/>
        <filter val="46,000"/>
        <filter val="49,400"/>
        <filter val="5,430"/>
        <filter val="5,600"/>
        <filter val="523,000"/>
        <filter val="525,360"/>
        <filter val="53,070"/>
        <filter val="572,400"/>
        <filter val="59,700"/>
        <filter val="592,170"/>
        <filter val="60,000"/>
        <filter val="60,300"/>
        <filter val="629,640"/>
        <filter val="629,820"/>
        <filter val="63,879"/>
        <filter val="646,800"/>
        <filter val="649,800"/>
        <filter val="662,775"/>
        <filter val="669,120"/>
        <filter val="7 016,100"/>
        <filter val="7 374,000"/>
        <filter val="7 953,400"/>
        <filter val="7,000"/>
        <filter val="7,410"/>
        <filter val="7,470"/>
        <filter val="7,800"/>
        <filter val="7,900"/>
        <filter val="710,880"/>
        <filter val="74,050"/>
        <filter val="744,700"/>
        <filter val="751,700"/>
        <filter val="781,300"/>
        <filter val="8 128,400"/>
        <filter val="8 947,463"/>
        <filter val="8,346"/>
        <filter val="8,955"/>
        <filter val="804,319"/>
        <filter val="808,000"/>
        <filter val="81,954"/>
        <filter val="849,120"/>
        <filter val="85,860"/>
        <filter val="88,450"/>
        <filter val="888,800"/>
        <filter val="9 197,000"/>
        <filter val="9,840"/>
        <filter val="904,400"/>
        <filter val="94,000"/>
        <filter val="94,400"/>
        <filter val="97,470"/>
        <filter val="99,416"/>
      </filters>
    </filterColumn>
  </autoFilter>
  <tableColumns count="11">
    <tableColumn id="1" name="Номер п/п" dataDxfId="27"/>
    <tableColumn id="2" name="Код узла ИСР" dataDxfId="26"/>
    <tableColumn id="3" name="Наименование затрат" dataDxfId="25"/>
    <tableColumn id="4" name="Комментарий по ИСР" dataDxfId="24"/>
    <tableColumn id="5" name="Комментарий подрядчика" dataDxfId="23"/>
    <tableColumn id="6" name="Ед. изм." dataDxfId="22"/>
    <tableColumn id="7" name="Коэф.расхода" dataDxfId="21"/>
    <tableColumn id="8" name="Кол-во БО" dataDxfId="20"/>
    <tableColumn id="9" name="Общее кол-во" dataDxfId="19"/>
    <tableColumn id="10" name="Остаток"/>
    <tableColumn id="11" name="5.1-Пликта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4" name="Таблица4" displayName="Таблица4" ref="A1:D269" totalsRowShown="0">
  <autoFilter ref="A1:D269">
    <filterColumn colId="0">
      <filters>
        <filter val="3"/>
      </filters>
    </filterColumn>
    <filterColumn colId="1">
      <filters>
        <filter val="3.008"/>
        <filter val="3.009"/>
        <filter val="3.015"/>
        <filter val="3.017"/>
        <filter val="3.018"/>
        <filter val="3.025"/>
        <filter val="3.026"/>
        <filter val="3.029"/>
      </filters>
    </filterColumn>
  </autoFilter>
  <tableColumns count="4">
    <tableColumn id="1" name="Этаж"/>
    <tableColumn id="2" name="Пом" dataDxfId="18"/>
    <tableColumn id="3" name="Тип" dataDxfId="17"/>
    <tableColumn id="4" name="Объем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5" name="Таблица5" displayName="Таблица5" ref="A9:D20" totalsRowShown="0" headerRowDxfId="16" dataDxfId="14" headerRowBorderDxfId="15" tableBorderDxfId="13" totalsRowBorderDxfId="12">
  <autoFilter ref="A9:D20"/>
  <sortState ref="A10:D20">
    <sortCondition ref="B9:B20"/>
  </sortState>
  <tableColumns count="4">
    <tableColumn id="1" name="Этаж" dataDxfId="11"/>
    <tableColumn id="2" name="Пом" dataDxfId="10"/>
    <tableColumn id="3" name="Тип" dataDxfId="9"/>
    <tableColumn id="4" name="Объем" dataDxfId="8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3" name="Таблица3" displayName="Таблица3" ref="F9:I20" totalsRowShown="0" headerRowDxfId="7" headerRowBorderDxfId="6" tableBorderDxfId="5" totalsRowBorderDxfId="4">
  <autoFilter ref="F9:I20"/>
  <sortState ref="F10:I20">
    <sortCondition ref="G9:G20"/>
  </sortState>
  <tableColumns count="4">
    <tableColumn id="1" name="Этаж" dataDxfId="3"/>
    <tableColumn id="2" name="Пом" dataDxfId="2"/>
    <tableColumn id="3" name="Тип" dataDxfId="1"/>
    <tableColumn id="4" name="Объем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="85" zoomScaleNormal="85" workbookViewId="0">
      <selection activeCell="D15" sqref="D15"/>
    </sheetView>
  </sheetViews>
  <sheetFormatPr defaultRowHeight="15.6" x14ac:dyDescent="0.3"/>
  <cols>
    <col min="1" max="1" width="7.44140625" style="200" customWidth="1"/>
    <col min="2" max="3" width="23.5546875" style="106" bestFit="1" customWidth="1"/>
    <col min="4" max="4" width="9.44140625" style="106" customWidth="1"/>
    <col min="5" max="5" width="7.109375" style="106" customWidth="1"/>
    <col min="6" max="16384" width="8.88671875" style="106"/>
  </cols>
  <sheetData>
    <row r="1" spans="1:5" x14ac:dyDescent="0.3">
      <c r="A1" s="289" t="s">
        <v>1188</v>
      </c>
      <c r="B1" s="289"/>
      <c r="C1" s="289"/>
      <c r="D1" s="289"/>
      <c r="E1" s="289"/>
    </row>
    <row r="2" spans="1:5" s="113" customFormat="1" x14ac:dyDescent="0.3">
      <c r="A2" s="195" t="s">
        <v>829</v>
      </c>
      <c r="B2" s="198" t="s">
        <v>7</v>
      </c>
      <c r="C2" s="199" t="s">
        <v>814</v>
      </c>
      <c r="D2" s="37" t="s">
        <v>10</v>
      </c>
      <c r="E2" s="111" t="s">
        <v>830</v>
      </c>
    </row>
    <row r="3" spans="1:5" ht="31.2" x14ac:dyDescent="0.3">
      <c r="A3" s="134">
        <v>1</v>
      </c>
      <c r="B3" s="196" t="s">
        <v>1284</v>
      </c>
      <c r="C3" s="197" t="s">
        <v>1283</v>
      </c>
      <c r="D3" s="109" t="s">
        <v>20</v>
      </c>
      <c r="E3" s="201">
        <v>60</v>
      </c>
    </row>
    <row r="4" spans="1:5" x14ac:dyDescent="0.3">
      <c r="A4" s="286"/>
      <c r="B4" s="286"/>
      <c r="C4" s="286"/>
      <c r="D4" s="286"/>
      <c r="E4" s="286"/>
    </row>
    <row r="5" spans="1:5" x14ac:dyDescent="0.3">
      <c r="A5" s="194" t="s">
        <v>1116</v>
      </c>
      <c r="B5" s="109" t="s">
        <v>1118</v>
      </c>
      <c r="C5" s="287"/>
      <c r="D5" s="288"/>
      <c r="E5" s="288"/>
    </row>
    <row r="6" spans="1:5" x14ac:dyDescent="0.3">
      <c r="A6" s="194">
        <v>1</v>
      </c>
      <c r="B6" s="133">
        <v>20</v>
      </c>
      <c r="C6" s="287"/>
      <c r="D6" s="288"/>
      <c r="E6" s="288"/>
    </row>
    <row r="7" spans="1:5" x14ac:dyDescent="0.3">
      <c r="A7" s="194">
        <v>2</v>
      </c>
      <c r="B7" s="133">
        <v>18</v>
      </c>
      <c r="C7" s="287"/>
      <c r="D7" s="288"/>
      <c r="E7" s="288"/>
    </row>
    <row r="8" spans="1:5" x14ac:dyDescent="0.3">
      <c r="A8" s="194">
        <v>3</v>
      </c>
      <c r="B8" s="133">
        <v>22</v>
      </c>
      <c r="C8" s="287"/>
      <c r="D8" s="288"/>
      <c r="E8" s="288"/>
    </row>
    <row r="9" spans="1:5" x14ac:dyDescent="0.3">
      <c r="A9" s="155" t="s">
        <v>843</v>
      </c>
      <c r="B9" s="133">
        <f>SUM(B6:B8)</f>
        <v>60</v>
      </c>
      <c r="C9" s="287"/>
      <c r="D9" s="288"/>
      <c r="E9" s="288"/>
    </row>
  </sheetData>
  <mergeCells count="3">
    <mergeCell ref="A4:E4"/>
    <mergeCell ref="C5:E9"/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zoomScale="70" zoomScaleNormal="70" workbookViewId="0">
      <selection activeCell="M9" sqref="M9"/>
    </sheetView>
  </sheetViews>
  <sheetFormatPr defaultRowHeight="15.6" x14ac:dyDescent="0.3"/>
  <cols>
    <col min="1" max="1" width="11.88671875" style="106" customWidth="1"/>
    <col min="2" max="2" width="8.21875" style="106" customWidth="1"/>
    <col min="3" max="3" width="5.88671875" style="106" customWidth="1"/>
    <col min="4" max="4" width="6.21875" style="106" customWidth="1"/>
    <col min="5" max="5" width="8.88671875" style="106" customWidth="1"/>
    <col min="6" max="6" width="14.77734375" style="106" customWidth="1"/>
    <col min="7" max="8" width="10.77734375" style="106" customWidth="1"/>
    <col min="9" max="9" width="10" style="106" customWidth="1"/>
    <col min="10" max="10" width="10.5546875" style="106" customWidth="1"/>
    <col min="11" max="11" width="11.33203125" style="106" customWidth="1"/>
    <col min="12" max="16384" width="8.88671875" style="106"/>
  </cols>
  <sheetData>
    <row r="1" spans="1:11" x14ac:dyDescent="0.3">
      <c r="A1" s="290" t="s">
        <v>1188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</row>
    <row r="2" spans="1:11" s="113" customFormat="1" x14ac:dyDescent="0.3">
      <c r="A2" s="191" t="s">
        <v>829</v>
      </c>
      <c r="B2" s="290" t="s">
        <v>7</v>
      </c>
      <c r="C2" s="290"/>
      <c r="D2" s="290"/>
      <c r="E2" s="290"/>
      <c r="F2" s="290"/>
      <c r="G2" s="290" t="s">
        <v>814</v>
      </c>
      <c r="H2" s="290"/>
      <c r="I2" s="290"/>
      <c r="J2" s="37" t="s">
        <v>10</v>
      </c>
      <c r="K2" s="111" t="s">
        <v>830</v>
      </c>
    </row>
    <row r="3" spans="1:11" ht="30.6" customHeight="1" x14ac:dyDescent="0.3">
      <c r="A3" s="189">
        <v>1</v>
      </c>
      <c r="B3" s="291" t="s">
        <v>1207</v>
      </c>
      <c r="C3" s="291"/>
      <c r="D3" s="291"/>
      <c r="E3" s="291"/>
      <c r="F3" s="291"/>
      <c r="G3" s="291" t="s">
        <v>1213</v>
      </c>
      <c r="H3" s="291"/>
      <c r="I3" s="291"/>
      <c r="J3" s="185" t="s">
        <v>15</v>
      </c>
      <c r="K3" s="187">
        <f>'10.3отк1'!F60</f>
        <v>195.41500000000005</v>
      </c>
    </row>
    <row r="4" spans="1:11" ht="30.6" customHeight="1" x14ac:dyDescent="0.3">
      <c r="A4" s="202">
        <v>2</v>
      </c>
      <c r="B4" s="291" t="s">
        <v>734</v>
      </c>
      <c r="C4" s="291"/>
      <c r="D4" s="291"/>
      <c r="E4" s="291"/>
      <c r="F4" s="291"/>
      <c r="G4" s="291" t="s">
        <v>1399</v>
      </c>
      <c r="H4" s="291"/>
      <c r="I4" s="291"/>
      <c r="J4" s="185" t="s">
        <v>15</v>
      </c>
      <c r="K4" s="187">
        <f>'10.3отк3'!G19</f>
        <v>106.10325000000002</v>
      </c>
    </row>
    <row r="5" spans="1:11" ht="30.6" customHeight="1" x14ac:dyDescent="0.3">
      <c r="A5" s="188">
        <v>3</v>
      </c>
      <c r="B5" s="292" t="s">
        <v>734</v>
      </c>
      <c r="C5" s="292"/>
      <c r="D5" s="292"/>
      <c r="E5" s="292"/>
      <c r="F5" s="292"/>
      <c r="G5" s="292" t="s">
        <v>1429</v>
      </c>
      <c r="H5" s="292"/>
      <c r="I5" s="292"/>
      <c r="J5" s="183" t="s">
        <v>15</v>
      </c>
      <c r="K5" s="184">
        <f>'10.3отк2'!J16</f>
        <v>930.67224999999996</v>
      </c>
    </row>
    <row r="6" spans="1:11" ht="30.6" customHeight="1" x14ac:dyDescent="0.3">
      <c r="A6" s="190">
        <v>4</v>
      </c>
      <c r="B6" s="293" t="s">
        <v>734</v>
      </c>
      <c r="C6" s="293"/>
      <c r="D6" s="293"/>
      <c r="E6" s="293"/>
      <c r="F6" s="293"/>
      <c r="G6" s="293" t="s">
        <v>1214</v>
      </c>
      <c r="H6" s="293"/>
      <c r="I6" s="293"/>
      <c r="J6" s="122" t="s">
        <v>15</v>
      </c>
      <c r="K6" s="123">
        <f>'10.3отк4'!G18</f>
        <v>288.32100000000003</v>
      </c>
    </row>
    <row r="7" spans="1:11" ht="30.6" customHeight="1" x14ac:dyDescent="0.3">
      <c r="A7" s="134">
        <v>5</v>
      </c>
      <c r="B7" s="294" t="s">
        <v>1430</v>
      </c>
      <c r="C7" s="294"/>
      <c r="D7" s="294"/>
      <c r="E7" s="294"/>
      <c r="F7" s="294"/>
      <c r="G7" s="294" t="s">
        <v>1431</v>
      </c>
      <c r="H7" s="294"/>
      <c r="I7" s="294"/>
      <c r="J7" s="109" t="s">
        <v>15</v>
      </c>
      <c r="K7" s="136">
        <v>930.67224999999996</v>
      </c>
    </row>
    <row r="8" spans="1:11" ht="30.6" customHeight="1" x14ac:dyDescent="0.3">
      <c r="A8" s="192">
        <v>6</v>
      </c>
      <c r="B8" s="294" t="s">
        <v>1215</v>
      </c>
      <c r="C8" s="294"/>
      <c r="D8" s="294"/>
      <c r="E8" s="294"/>
      <c r="F8" s="294"/>
      <c r="G8" s="294" t="s">
        <v>1112</v>
      </c>
      <c r="H8" s="294"/>
      <c r="I8" s="294"/>
      <c r="J8" s="109" t="s">
        <v>15</v>
      </c>
      <c r="K8" s="136">
        <f>SUM(K3:K6)</f>
        <v>1520.5115000000001</v>
      </c>
    </row>
    <row r="9" spans="1:11" ht="30.6" customHeight="1" x14ac:dyDescent="0.3">
      <c r="A9" s="192">
        <v>7</v>
      </c>
      <c r="B9" s="294" t="s">
        <v>1216</v>
      </c>
      <c r="C9" s="294"/>
      <c r="D9" s="294"/>
      <c r="E9" s="294"/>
      <c r="F9" s="294"/>
      <c r="G9" s="294" t="s">
        <v>1111</v>
      </c>
      <c r="H9" s="294"/>
      <c r="I9" s="294"/>
      <c r="J9" s="109" t="s">
        <v>15</v>
      </c>
      <c r="K9" s="136">
        <f>K8</f>
        <v>1520.5115000000001</v>
      </c>
    </row>
    <row r="10" spans="1:11" ht="30.6" customHeight="1" x14ac:dyDescent="0.3">
      <c r="A10" s="192">
        <v>8</v>
      </c>
      <c r="B10" s="294" t="s">
        <v>1199</v>
      </c>
      <c r="C10" s="294"/>
      <c r="D10" s="294"/>
      <c r="E10" s="294"/>
      <c r="F10" s="294"/>
      <c r="G10" s="294" t="s">
        <v>1208</v>
      </c>
      <c r="H10" s="294"/>
      <c r="I10" s="294"/>
      <c r="J10" s="109" t="s">
        <v>15</v>
      </c>
      <c r="K10" s="136">
        <f>K8</f>
        <v>1520.5115000000001</v>
      </c>
    </row>
  </sheetData>
  <mergeCells count="19">
    <mergeCell ref="B10:F10"/>
    <mergeCell ref="G9:I9"/>
    <mergeCell ref="G10:I10"/>
    <mergeCell ref="B9:F9"/>
    <mergeCell ref="B7:F7"/>
    <mergeCell ref="G7:I7"/>
    <mergeCell ref="A1:K1"/>
    <mergeCell ref="G3:I3"/>
    <mergeCell ref="G5:I5"/>
    <mergeCell ref="G6:I6"/>
    <mergeCell ref="G8:I8"/>
    <mergeCell ref="B3:F3"/>
    <mergeCell ref="B5:F5"/>
    <mergeCell ref="B6:F6"/>
    <mergeCell ref="B8:F8"/>
    <mergeCell ref="G2:I2"/>
    <mergeCell ref="B2:F2"/>
    <mergeCell ref="B4:F4"/>
    <mergeCell ref="G4:I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zoomScaleNormal="100" workbookViewId="0">
      <selection activeCell="J14" sqref="J14"/>
    </sheetView>
  </sheetViews>
  <sheetFormatPr defaultRowHeight="14.4" x14ac:dyDescent="0.3"/>
  <cols>
    <col min="1" max="1" width="9.88671875" bestFit="1" customWidth="1"/>
    <col min="2" max="2" width="8.5546875" bestFit="1" customWidth="1"/>
    <col min="3" max="3" width="7.6640625" bestFit="1" customWidth="1"/>
    <col min="4" max="4" width="7" bestFit="1" customWidth="1"/>
    <col min="5" max="5" width="8.5546875" bestFit="1" customWidth="1"/>
    <col min="6" max="6" width="8.109375" bestFit="1" customWidth="1"/>
  </cols>
  <sheetData>
    <row r="1" spans="1:6" x14ac:dyDescent="0.3">
      <c r="A1" s="295" t="s">
        <v>1395</v>
      </c>
      <c r="B1" s="296"/>
      <c r="C1" s="296"/>
      <c r="D1" s="296"/>
      <c r="E1" s="296"/>
      <c r="F1" s="297"/>
    </row>
    <row r="2" spans="1:6" x14ac:dyDescent="0.3">
      <c r="A2" s="295" t="s">
        <v>1410</v>
      </c>
      <c r="B2" s="296"/>
      <c r="C2" s="296"/>
      <c r="D2" s="296"/>
      <c r="E2" s="296"/>
      <c r="F2" s="297"/>
    </row>
    <row r="3" spans="1:6" ht="28.8" x14ac:dyDescent="0.3">
      <c r="A3" s="203" t="s">
        <v>1235</v>
      </c>
      <c r="B3" s="204" t="s">
        <v>1285</v>
      </c>
      <c r="C3" s="204" t="s">
        <v>1286</v>
      </c>
      <c r="D3" s="203" t="s">
        <v>1236</v>
      </c>
      <c r="E3" s="204" t="s">
        <v>1287</v>
      </c>
      <c r="F3" s="203" t="s">
        <v>1211</v>
      </c>
    </row>
    <row r="4" spans="1:6" x14ac:dyDescent="0.3">
      <c r="A4" s="241" t="s">
        <v>1288</v>
      </c>
      <c r="B4" s="241">
        <v>1.7</v>
      </c>
      <c r="C4" s="241">
        <v>2.7</v>
      </c>
      <c r="D4" s="241">
        <v>6</v>
      </c>
      <c r="E4" s="269">
        <v>0.15</v>
      </c>
      <c r="F4" s="205">
        <f>(B4+C4*2)*E4*D4*2</f>
        <v>12.78</v>
      </c>
    </row>
    <row r="5" spans="1:6" x14ac:dyDescent="0.3">
      <c r="A5" s="241" t="s">
        <v>1298</v>
      </c>
      <c r="B5" s="241">
        <v>1.8</v>
      </c>
      <c r="C5" s="241">
        <v>2.7</v>
      </c>
      <c r="D5" s="241">
        <v>1</v>
      </c>
      <c r="E5" s="269">
        <v>0.1</v>
      </c>
      <c r="F5" s="205">
        <f t="shared" ref="F5:F59" si="0">(B5+C5*2)*E5*D5*2</f>
        <v>1.4400000000000002</v>
      </c>
    </row>
    <row r="6" spans="1:6" x14ac:dyDescent="0.3">
      <c r="A6" s="241" t="s">
        <v>1300</v>
      </c>
      <c r="B6" s="241">
        <v>2.1</v>
      </c>
      <c r="C6" s="241">
        <v>2.7</v>
      </c>
      <c r="D6" s="241">
        <v>2</v>
      </c>
      <c r="E6" s="269">
        <v>0.2</v>
      </c>
      <c r="F6" s="205">
        <f t="shared" si="0"/>
        <v>6</v>
      </c>
    </row>
    <row r="7" spans="1:6" x14ac:dyDescent="0.3">
      <c r="A7" s="241" t="s">
        <v>1301</v>
      </c>
      <c r="B7" s="241">
        <v>2.1</v>
      </c>
      <c r="C7" s="241">
        <v>2.7</v>
      </c>
      <c r="D7" s="241">
        <v>2</v>
      </c>
      <c r="E7" s="269">
        <v>0.2</v>
      </c>
      <c r="F7" s="205">
        <f t="shared" si="0"/>
        <v>6</v>
      </c>
    </row>
    <row r="8" spans="1:6" x14ac:dyDescent="0.3">
      <c r="A8" s="241" t="s">
        <v>1302</v>
      </c>
      <c r="B8" s="241">
        <v>2.4</v>
      </c>
      <c r="C8" s="241">
        <v>2.7</v>
      </c>
      <c r="D8" s="241">
        <v>1</v>
      </c>
      <c r="E8" s="269">
        <v>0.1</v>
      </c>
      <c r="F8" s="205">
        <f t="shared" si="0"/>
        <v>1.5600000000000003</v>
      </c>
    </row>
    <row r="9" spans="1:6" x14ac:dyDescent="0.3">
      <c r="A9" s="241" t="s">
        <v>1303</v>
      </c>
      <c r="B9" s="241">
        <v>2.8</v>
      </c>
      <c r="C9" s="241">
        <v>2.7</v>
      </c>
      <c r="D9" s="241">
        <v>1</v>
      </c>
      <c r="E9" s="269">
        <v>0.13</v>
      </c>
      <c r="F9" s="205">
        <f t="shared" si="0"/>
        <v>2.1319999999999997</v>
      </c>
    </row>
    <row r="10" spans="1:6" x14ac:dyDescent="0.3">
      <c r="A10" s="241" t="s">
        <v>1304</v>
      </c>
      <c r="B10" s="241">
        <v>2.7</v>
      </c>
      <c r="C10" s="241">
        <v>2.7</v>
      </c>
      <c r="D10" s="241">
        <v>1</v>
      </c>
      <c r="E10" s="269">
        <v>0.24</v>
      </c>
      <c r="F10" s="205">
        <f t="shared" si="0"/>
        <v>3.8880000000000003</v>
      </c>
    </row>
    <row r="11" spans="1:6" x14ac:dyDescent="0.3">
      <c r="A11" s="241" t="s">
        <v>1305</v>
      </c>
      <c r="B11" s="241">
        <v>2.8</v>
      </c>
      <c r="C11" s="241">
        <v>2.7</v>
      </c>
      <c r="D11" s="241">
        <v>1</v>
      </c>
      <c r="E11" s="269">
        <v>0.1</v>
      </c>
      <c r="F11" s="205">
        <f t="shared" si="0"/>
        <v>1.64</v>
      </c>
    </row>
    <row r="12" spans="1:6" x14ac:dyDescent="0.3">
      <c r="A12" s="241" t="s">
        <v>1306</v>
      </c>
      <c r="B12" s="241">
        <v>3</v>
      </c>
      <c r="C12" s="241">
        <v>2.7</v>
      </c>
      <c r="D12" s="241">
        <v>1</v>
      </c>
      <c r="E12" s="269">
        <v>0.1</v>
      </c>
      <c r="F12" s="205">
        <f t="shared" si="0"/>
        <v>1.6800000000000002</v>
      </c>
    </row>
    <row r="13" spans="1:6" x14ac:dyDescent="0.3">
      <c r="A13" s="241" t="s">
        <v>1289</v>
      </c>
      <c r="B13" s="241">
        <v>3.2</v>
      </c>
      <c r="C13" s="241">
        <v>2.7</v>
      </c>
      <c r="D13" s="241">
        <v>2</v>
      </c>
      <c r="E13" s="269">
        <v>0.2</v>
      </c>
      <c r="F13" s="205">
        <f t="shared" si="0"/>
        <v>6.8800000000000017</v>
      </c>
    </row>
    <row r="14" spans="1:6" x14ac:dyDescent="0.3">
      <c r="A14" s="241" t="s">
        <v>1290</v>
      </c>
      <c r="B14" s="241">
        <v>3.7</v>
      </c>
      <c r="C14" s="241">
        <v>2.7</v>
      </c>
      <c r="D14" s="241">
        <v>1</v>
      </c>
      <c r="E14" s="269">
        <v>0.23499999999999999</v>
      </c>
      <c r="F14" s="205">
        <f t="shared" si="0"/>
        <v>4.2770000000000001</v>
      </c>
    </row>
    <row r="15" spans="1:6" x14ac:dyDescent="0.3">
      <c r="A15" s="241" t="s">
        <v>1400</v>
      </c>
      <c r="B15" s="241">
        <v>4.2</v>
      </c>
      <c r="C15" s="241">
        <v>2.7</v>
      </c>
      <c r="D15" s="241">
        <v>1</v>
      </c>
      <c r="E15" s="269">
        <v>0.1</v>
      </c>
      <c r="F15" s="205">
        <f t="shared" si="0"/>
        <v>1.9200000000000004</v>
      </c>
    </row>
    <row r="16" spans="1:6" x14ac:dyDescent="0.3">
      <c r="A16" s="241" t="s">
        <v>1291</v>
      </c>
      <c r="B16" s="241">
        <v>4.2</v>
      </c>
      <c r="C16" s="241">
        <v>2.7</v>
      </c>
      <c r="D16" s="241">
        <v>1</v>
      </c>
      <c r="E16" s="269">
        <v>0.1</v>
      </c>
      <c r="F16" s="205">
        <f t="shared" si="0"/>
        <v>1.9200000000000004</v>
      </c>
    </row>
    <row r="17" spans="1:6" x14ac:dyDescent="0.3">
      <c r="A17" s="241" t="s">
        <v>1292</v>
      </c>
      <c r="B17" s="241">
        <v>4.5</v>
      </c>
      <c r="C17" s="241">
        <v>2.7</v>
      </c>
      <c r="D17" s="241">
        <v>1</v>
      </c>
      <c r="E17" s="269">
        <v>0.1</v>
      </c>
      <c r="F17" s="205">
        <f t="shared" si="0"/>
        <v>1.9800000000000002</v>
      </c>
    </row>
    <row r="18" spans="1:6" x14ac:dyDescent="0.3">
      <c r="A18" s="241" t="s">
        <v>1293</v>
      </c>
      <c r="B18" s="241">
        <v>4.7</v>
      </c>
      <c r="C18" s="241">
        <v>2.2000000000000002</v>
      </c>
      <c r="D18" s="241">
        <v>1</v>
      </c>
      <c r="E18" s="269">
        <v>0.15</v>
      </c>
      <c r="F18" s="205">
        <f t="shared" si="0"/>
        <v>2.7300000000000004</v>
      </c>
    </row>
    <row r="19" spans="1:6" x14ac:dyDescent="0.3">
      <c r="A19" s="241" t="s">
        <v>1294</v>
      </c>
      <c r="B19" s="241">
        <v>4.7</v>
      </c>
      <c r="C19" s="241">
        <v>2.2000000000000002</v>
      </c>
      <c r="D19" s="241">
        <v>1</v>
      </c>
      <c r="E19" s="269">
        <v>0.2</v>
      </c>
      <c r="F19" s="205">
        <f t="shared" si="0"/>
        <v>3.6400000000000006</v>
      </c>
    </row>
    <row r="20" spans="1:6" x14ac:dyDescent="0.3">
      <c r="A20" s="241" t="s">
        <v>1295</v>
      </c>
      <c r="B20" s="241">
        <v>4.8</v>
      </c>
      <c r="C20" s="241">
        <v>2.7</v>
      </c>
      <c r="D20" s="241">
        <v>1</v>
      </c>
      <c r="E20" s="269">
        <v>0.2</v>
      </c>
      <c r="F20" s="205">
        <f t="shared" si="0"/>
        <v>4.08</v>
      </c>
    </row>
    <row r="21" spans="1:6" x14ac:dyDescent="0.3">
      <c r="A21" s="241" t="s">
        <v>1296</v>
      </c>
      <c r="B21" s="241">
        <v>5.4</v>
      </c>
      <c r="C21" s="241">
        <v>2.7</v>
      </c>
      <c r="D21" s="241">
        <v>2</v>
      </c>
      <c r="E21" s="269">
        <v>0.2</v>
      </c>
      <c r="F21" s="205">
        <f t="shared" si="0"/>
        <v>8.64</v>
      </c>
    </row>
    <row r="22" spans="1:6" x14ac:dyDescent="0.3">
      <c r="A22" s="241" t="s">
        <v>1297</v>
      </c>
      <c r="B22" s="241">
        <v>5.5</v>
      </c>
      <c r="C22" s="241">
        <v>2.7</v>
      </c>
      <c r="D22" s="241">
        <v>3</v>
      </c>
      <c r="E22" s="269">
        <v>0.15</v>
      </c>
      <c r="F22" s="205">
        <f t="shared" si="0"/>
        <v>9.81</v>
      </c>
    </row>
    <row r="23" spans="1:6" x14ac:dyDescent="0.3">
      <c r="A23" s="241" t="s">
        <v>1299</v>
      </c>
      <c r="B23" s="241">
        <v>5.4</v>
      </c>
      <c r="C23" s="241">
        <v>2.7</v>
      </c>
      <c r="D23" s="241">
        <v>1</v>
      </c>
      <c r="E23" s="269">
        <v>0.24</v>
      </c>
      <c r="F23" s="205">
        <f t="shared" si="0"/>
        <v>5.1840000000000002</v>
      </c>
    </row>
    <row r="24" spans="1:6" x14ac:dyDescent="0.3">
      <c r="A24" s="241" t="s">
        <v>1292</v>
      </c>
      <c r="B24" s="241">
        <v>6.8</v>
      </c>
      <c r="C24" s="241">
        <v>2.2999999999999998</v>
      </c>
      <c r="D24" s="241">
        <v>1</v>
      </c>
      <c r="E24" s="269">
        <v>0.1</v>
      </c>
      <c r="F24" s="205">
        <f t="shared" si="0"/>
        <v>2.2799999999999998</v>
      </c>
    </row>
    <row r="25" spans="1:6" x14ac:dyDescent="0.3">
      <c r="A25" s="241" t="s">
        <v>1330</v>
      </c>
      <c r="B25" s="241">
        <v>1.9</v>
      </c>
      <c r="C25" s="241">
        <v>2.7</v>
      </c>
      <c r="D25" s="241">
        <v>1</v>
      </c>
      <c r="E25" s="269">
        <v>0.1</v>
      </c>
      <c r="F25" s="205">
        <f t="shared" si="0"/>
        <v>1.4600000000000002</v>
      </c>
    </row>
    <row r="26" spans="1:6" x14ac:dyDescent="0.3">
      <c r="A26" s="241" t="s">
        <v>1331</v>
      </c>
      <c r="B26" s="241">
        <v>4.2</v>
      </c>
      <c r="C26" s="241">
        <v>2.7</v>
      </c>
      <c r="D26" s="241">
        <v>1</v>
      </c>
      <c r="E26" s="269">
        <v>0.1</v>
      </c>
      <c r="F26" s="205">
        <f t="shared" si="0"/>
        <v>1.9200000000000004</v>
      </c>
    </row>
    <row r="27" spans="1:6" x14ac:dyDescent="0.3">
      <c r="A27" s="203" t="s">
        <v>1401</v>
      </c>
      <c r="B27" s="203">
        <v>1.4</v>
      </c>
      <c r="C27" s="203">
        <v>3.3</v>
      </c>
      <c r="D27" s="203">
        <v>1</v>
      </c>
      <c r="E27" s="205">
        <v>0.1</v>
      </c>
      <c r="F27" s="205">
        <f t="shared" si="0"/>
        <v>1.6</v>
      </c>
    </row>
    <row r="28" spans="1:6" x14ac:dyDescent="0.3">
      <c r="A28" s="203" t="s">
        <v>1402</v>
      </c>
      <c r="B28" s="203">
        <v>1.875</v>
      </c>
      <c r="C28" s="203">
        <v>3.3</v>
      </c>
      <c r="D28" s="203">
        <v>1</v>
      </c>
      <c r="E28" s="205">
        <v>0.1</v>
      </c>
      <c r="F28" s="205">
        <f t="shared" si="0"/>
        <v>1.6950000000000001</v>
      </c>
    </row>
    <row r="29" spans="1:6" x14ac:dyDescent="0.3">
      <c r="A29" s="203" t="s">
        <v>1403</v>
      </c>
      <c r="B29" s="203">
        <v>5.1100000000000003</v>
      </c>
      <c r="C29" s="203">
        <v>2.8</v>
      </c>
      <c r="D29" s="203">
        <v>1</v>
      </c>
      <c r="E29" s="205">
        <v>0.1</v>
      </c>
      <c r="F29" s="205">
        <f t="shared" si="0"/>
        <v>2.1420000000000003</v>
      </c>
    </row>
    <row r="30" spans="1:6" x14ac:dyDescent="0.3">
      <c r="A30" s="203" t="s">
        <v>1323</v>
      </c>
      <c r="B30" s="203">
        <v>5.26</v>
      </c>
      <c r="C30" s="203">
        <v>2.8</v>
      </c>
      <c r="D30" s="203">
        <v>1</v>
      </c>
      <c r="E30" s="205">
        <v>0.1</v>
      </c>
      <c r="F30" s="205">
        <f t="shared" si="0"/>
        <v>2.1720000000000002</v>
      </c>
    </row>
    <row r="31" spans="1:6" x14ac:dyDescent="0.3">
      <c r="A31" s="238" t="s">
        <v>1405</v>
      </c>
      <c r="B31" s="203">
        <v>1.8</v>
      </c>
      <c r="C31" s="203">
        <v>3.3</v>
      </c>
      <c r="D31" s="203">
        <v>1</v>
      </c>
      <c r="E31" s="205">
        <v>0.1</v>
      </c>
      <c r="F31" s="205">
        <f t="shared" si="0"/>
        <v>1.6800000000000002</v>
      </c>
    </row>
    <row r="32" spans="1:6" x14ac:dyDescent="0.3">
      <c r="A32" s="238" t="s">
        <v>1404</v>
      </c>
      <c r="B32" s="203">
        <v>2.06</v>
      </c>
      <c r="C32" s="203">
        <v>3.1</v>
      </c>
      <c r="D32" s="203">
        <v>1</v>
      </c>
      <c r="E32" s="205">
        <v>0.1</v>
      </c>
      <c r="F32" s="205">
        <f t="shared" si="0"/>
        <v>1.6520000000000001</v>
      </c>
    </row>
    <row r="33" spans="1:6" x14ac:dyDescent="0.3">
      <c r="A33" s="238" t="s">
        <v>1322</v>
      </c>
      <c r="B33" s="203">
        <v>2.25</v>
      </c>
      <c r="C33" s="203">
        <v>2.7</v>
      </c>
      <c r="D33" s="203">
        <v>1</v>
      </c>
      <c r="E33" s="205">
        <v>0.13</v>
      </c>
      <c r="F33" s="205">
        <f t="shared" si="0"/>
        <v>1.9890000000000001</v>
      </c>
    </row>
    <row r="34" spans="1:6" x14ac:dyDescent="0.3">
      <c r="A34" s="203" t="s">
        <v>1324</v>
      </c>
      <c r="B34" s="203">
        <v>2.8</v>
      </c>
      <c r="C34" s="203">
        <v>2.7</v>
      </c>
      <c r="D34" s="203">
        <v>3</v>
      </c>
      <c r="E34" s="205">
        <v>0.1</v>
      </c>
      <c r="F34" s="205">
        <f t="shared" si="0"/>
        <v>4.92</v>
      </c>
    </row>
    <row r="35" spans="1:6" x14ac:dyDescent="0.3">
      <c r="A35" s="203" t="s">
        <v>1325</v>
      </c>
      <c r="B35" s="203">
        <v>2.8</v>
      </c>
      <c r="C35" s="203">
        <v>2.7</v>
      </c>
      <c r="D35" s="203">
        <v>1</v>
      </c>
      <c r="E35" s="205">
        <v>0.08</v>
      </c>
      <c r="F35" s="205">
        <f t="shared" si="0"/>
        <v>1.3119999999999998</v>
      </c>
    </row>
    <row r="36" spans="1:6" x14ac:dyDescent="0.3">
      <c r="A36" s="203" t="s">
        <v>1326</v>
      </c>
      <c r="B36" s="203">
        <v>2.8</v>
      </c>
      <c r="C36" s="203">
        <v>2.7</v>
      </c>
      <c r="D36" s="203">
        <v>2</v>
      </c>
      <c r="E36" s="205">
        <v>0.2</v>
      </c>
      <c r="F36" s="205">
        <f t="shared" si="0"/>
        <v>6.56</v>
      </c>
    </row>
    <row r="37" spans="1:6" x14ac:dyDescent="0.3">
      <c r="A37" s="241" t="s">
        <v>1327</v>
      </c>
      <c r="B37" s="241">
        <v>3</v>
      </c>
      <c r="C37" s="241">
        <v>2.7</v>
      </c>
      <c r="D37" s="241">
        <v>1</v>
      </c>
      <c r="E37" s="205">
        <v>0.2</v>
      </c>
      <c r="F37" s="205">
        <f t="shared" si="0"/>
        <v>3.3600000000000003</v>
      </c>
    </row>
    <row r="38" spans="1:6" x14ac:dyDescent="0.3">
      <c r="A38" s="241" t="s">
        <v>1328</v>
      </c>
      <c r="B38" s="241">
        <v>3.3</v>
      </c>
      <c r="C38" s="241">
        <v>2.7</v>
      </c>
      <c r="D38" s="241">
        <v>2</v>
      </c>
      <c r="E38" s="205">
        <v>0.2</v>
      </c>
      <c r="F38" s="205">
        <f t="shared" si="0"/>
        <v>6.96</v>
      </c>
    </row>
    <row r="39" spans="1:6" x14ac:dyDescent="0.3">
      <c r="A39" s="241" t="s">
        <v>1329</v>
      </c>
      <c r="B39" s="241">
        <v>3.5</v>
      </c>
      <c r="C39" s="241">
        <v>2.7</v>
      </c>
      <c r="D39" s="241">
        <v>1</v>
      </c>
      <c r="E39" s="205">
        <v>0.1</v>
      </c>
      <c r="F39" s="205">
        <f t="shared" si="0"/>
        <v>1.7800000000000002</v>
      </c>
    </row>
    <row r="40" spans="1:6" x14ac:dyDescent="0.3">
      <c r="A40" s="241" t="s">
        <v>1307</v>
      </c>
      <c r="B40" s="241">
        <v>3.5</v>
      </c>
      <c r="C40" s="241">
        <v>2.7</v>
      </c>
      <c r="D40" s="241">
        <v>1</v>
      </c>
      <c r="E40" s="205">
        <v>0.2</v>
      </c>
      <c r="F40" s="205">
        <f t="shared" si="0"/>
        <v>3.5600000000000005</v>
      </c>
    </row>
    <row r="41" spans="1:6" x14ac:dyDescent="0.3">
      <c r="A41" s="241" t="s">
        <v>1308</v>
      </c>
      <c r="B41" s="241">
        <v>3.6</v>
      </c>
      <c r="C41" s="241">
        <v>2.7</v>
      </c>
      <c r="D41" s="241">
        <v>1</v>
      </c>
      <c r="E41" s="205">
        <v>0.1</v>
      </c>
      <c r="F41" s="205">
        <f t="shared" si="0"/>
        <v>1.8</v>
      </c>
    </row>
    <row r="42" spans="1:6" x14ac:dyDescent="0.3">
      <c r="A42" s="241" t="s">
        <v>1309</v>
      </c>
      <c r="B42" s="241">
        <v>3.8</v>
      </c>
      <c r="C42" s="241">
        <v>2.7</v>
      </c>
      <c r="D42" s="241">
        <v>1</v>
      </c>
      <c r="E42" s="205">
        <v>0.27</v>
      </c>
      <c r="F42" s="205">
        <f t="shared" si="0"/>
        <v>4.968</v>
      </c>
    </row>
    <row r="43" spans="1:6" x14ac:dyDescent="0.3">
      <c r="A43" s="241" t="s">
        <v>1310</v>
      </c>
      <c r="B43" s="241">
        <v>3.85</v>
      </c>
      <c r="C43" s="241">
        <v>2.7</v>
      </c>
      <c r="D43" s="241">
        <v>1</v>
      </c>
      <c r="E43" s="205">
        <v>0.1</v>
      </c>
      <c r="F43" s="205">
        <f t="shared" si="0"/>
        <v>1.85</v>
      </c>
    </row>
    <row r="44" spans="1:6" x14ac:dyDescent="0.3">
      <c r="A44" s="241" t="s">
        <v>1311</v>
      </c>
      <c r="B44" s="241">
        <v>3.8</v>
      </c>
      <c r="C44" s="241">
        <v>2.7</v>
      </c>
      <c r="D44" s="241">
        <v>1</v>
      </c>
      <c r="E44" s="205">
        <v>0.2</v>
      </c>
      <c r="F44" s="205">
        <f t="shared" si="0"/>
        <v>3.6799999999999997</v>
      </c>
    </row>
    <row r="45" spans="1:6" x14ac:dyDescent="0.3">
      <c r="A45" s="241" t="s">
        <v>1312</v>
      </c>
      <c r="B45" s="241">
        <v>3.95</v>
      </c>
      <c r="C45" s="241">
        <v>2.7</v>
      </c>
      <c r="D45" s="241">
        <v>1</v>
      </c>
      <c r="E45" s="205">
        <v>0.2</v>
      </c>
      <c r="F45" s="205">
        <f t="shared" si="0"/>
        <v>3.7400000000000007</v>
      </c>
    </row>
    <row r="46" spans="1:6" x14ac:dyDescent="0.3">
      <c r="A46" s="203" t="s">
        <v>1313</v>
      </c>
      <c r="B46" s="203">
        <v>3.9</v>
      </c>
      <c r="C46" s="203">
        <v>2.7</v>
      </c>
      <c r="D46" s="203">
        <v>1</v>
      </c>
      <c r="E46" s="205">
        <v>0.1</v>
      </c>
      <c r="F46" s="205">
        <f t="shared" si="0"/>
        <v>1.8600000000000003</v>
      </c>
    </row>
    <row r="47" spans="1:6" x14ac:dyDescent="0.3">
      <c r="A47" s="203" t="s">
        <v>1314</v>
      </c>
      <c r="B47" s="203">
        <v>3.9</v>
      </c>
      <c r="C47" s="203">
        <v>2.7</v>
      </c>
      <c r="D47" s="203">
        <v>3</v>
      </c>
      <c r="E47" s="205">
        <v>0.14000000000000001</v>
      </c>
      <c r="F47" s="205">
        <f t="shared" si="0"/>
        <v>7.8120000000000012</v>
      </c>
    </row>
    <row r="48" spans="1:6" x14ac:dyDescent="0.3">
      <c r="A48" s="203" t="s">
        <v>1315</v>
      </c>
      <c r="B48" s="203">
        <v>4</v>
      </c>
      <c r="C48" s="203">
        <v>2.7</v>
      </c>
      <c r="D48" s="203">
        <v>2</v>
      </c>
      <c r="E48" s="205">
        <v>0.1</v>
      </c>
      <c r="F48" s="205">
        <f t="shared" si="0"/>
        <v>3.7600000000000002</v>
      </c>
    </row>
    <row r="49" spans="1:6" x14ac:dyDescent="0.3">
      <c r="A49" s="203" t="s">
        <v>1316</v>
      </c>
      <c r="B49" s="203">
        <v>4.7</v>
      </c>
      <c r="C49" s="203">
        <v>2.7</v>
      </c>
      <c r="D49" s="203">
        <v>1</v>
      </c>
      <c r="E49" s="205">
        <v>0.2</v>
      </c>
      <c r="F49" s="205">
        <f t="shared" si="0"/>
        <v>4.0400000000000009</v>
      </c>
    </row>
    <row r="50" spans="1:6" x14ac:dyDescent="0.3">
      <c r="A50" s="203" t="s">
        <v>1317</v>
      </c>
      <c r="B50" s="203">
        <v>4.7</v>
      </c>
      <c r="C50" s="203">
        <v>2.7</v>
      </c>
      <c r="D50" s="203">
        <v>1</v>
      </c>
      <c r="E50" s="205">
        <v>0.1</v>
      </c>
      <c r="F50" s="205">
        <f t="shared" si="0"/>
        <v>2.0200000000000005</v>
      </c>
    </row>
    <row r="51" spans="1:6" x14ac:dyDescent="0.3">
      <c r="A51" s="203" t="s">
        <v>1318</v>
      </c>
      <c r="B51" s="203">
        <v>4.8</v>
      </c>
      <c r="C51" s="203">
        <v>2.7</v>
      </c>
      <c r="D51" s="203">
        <v>1</v>
      </c>
      <c r="E51" s="205">
        <v>0.1</v>
      </c>
      <c r="F51" s="205">
        <f t="shared" si="0"/>
        <v>2.04</v>
      </c>
    </row>
    <row r="52" spans="1:6" x14ac:dyDescent="0.3">
      <c r="A52" s="203" t="s">
        <v>1319</v>
      </c>
      <c r="B52" s="203">
        <v>4.7</v>
      </c>
      <c r="C52" s="203">
        <v>2.7</v>
      </c>
      <c r="D52" s="203">
        <v>1</v>
      </c>
      <c r="E52" s="205">
        <v>0.1</v>
      </c>
      <c r="F52" s="205">
        <f t="shared" si="0"/>
        <v>2.0200000000000005</v>
      </c>
    </row>
    <row r="53" spans="1:6" x14ac:dyDescent="0.3">
      <c r="A53" s="203" t="s">
        <v>1320</v>
      </c>
      <c r="B53" s="203">
        <v>5.5</v>
      </c>
      <c r="C53" s="203">
        <v>2.7</v>
      </c>
      <c r="D53" s="203">
        <v>1</v>
      </c>
      <c r="E53" s="205">
        <v>0.15</v>
      </c>
      <c r="F53" s="205">
        <f t="shared" si="0"/>
        <v>3.27</v>
      </c>
    </row>
    <row r="54" spans="1:6" x14ac:dyDescent="0.3">
      <c r="A54" s="203" t="s">
        <v>1321</v>
      </c>
      <c r="B54" s="203">
        <v>6.3</v>
      </c>
      <c r="C54" s="203">
        <v>2.7</v>
      </c>
      <c r="D54" s="203">
        <v>1</v>
      </c>
      <c r="E54" s="205">
        <v>0.12</v>
      </c>
      <c r="F54" s="205">
        <f t="shared" si="0"/>
        <v>2.8079999999999998</v>
      </c>
    </row>
    <row r="55" spans="1:6" x14ac:dyDescent="0.3">
      <c r="A55" s="203" t="s">
        <v>1406</v>
      </c>
      <c r="B55" s="203">
        <v>6.55</v>
      </c>
      <c r="C55" s="203">
        <v>2.8</v>
      </c>
      <c r="D55" s="203">
        <v>1</v>
      </c>
      <c r="E55" s="205">
        <v>0.1</v>
      </c>
      <c r="F55" s="205">
        <f t="shared" si="0"/>
        <v>2.4299999999999997</v>
      </c>
    </row>
    <row r="56" spans="1:6" x14ac:dyDescent="0.3">
      <c r="A56" s="203" t="s">
        <v>1334</v>
      </c>
      <c r="B56" s="203">
        <v>2.8</v>
      </c>
      <c r="C56" s="203">
        <v>2.7</v>
      </c>
      <c r="D56" s="203">
        <v>1</v>
      </c>
      <c r="E56" s="205">
        <v>0.25</v>
      </c>
      <c r="F56" s="205">
        <f t="shared" si="0"/>
        <v>4.0999999999999996</v>
      </c>
    </row>
    <row r="57" spans="1:6" x14ac:dyDescent="0.3">
      <c r="A57" s="203" t="s">
        <v>1335</v>
      </c>
      <c r="B57" s="203">
        <v>3.9</v>
      </c>
      <c r="C57" s="203">
        <v>2.7</v>
      </c>
      <c r="D57" s="203">
        <v>1</v>
      </c>
      <c r="E57" s="205">
        <v>0.25</v>
      </c>
      <c r="F57" s="205">
        <f t="shared" si="0"/>
        <v>4.6500000000000004</v>
      </c>
    </row>
    <row r="58" spans="1:6" x14ac:dyDescent="0.3">
      <c r="A58" s="203" t="s">
        <v>1332</v>
      </c>
      <c r="B58" s="203">
        <v>4.7</v>
      </c>
      <c r="C58" s="203">
        <v>2.7</v>
      </c>
      <c r="D58" s="203">
        <v>1</v>
      </c>
      <c r="E58" s="205">
        <v>0.08</v>
      </c>
      <c r="F58" s="205">
        <f t="shared" si="0"/>
        <v>1.6160000000000003</v>
      </c>
    </row>
    <row r="59" spans="1:6" x14ac:dyDescent="0.3">
      <c r="A59" s="203" t="s">
        <v>1333</v>
      </c>
      <c r="B59" s="203">
        <v>5.4</v>
      </c>
      <c r="C59" s="203">
        <v>2.7</v>
      </c>
      <c r="D59" s="203">
        <v>1</v>
      </c>
      <c r="E59" s="205">
        <v>0.08</v>
      </c>
      <c r="F59" s="205">
        <f t="shared" si="0"/>
        <v>1.7280000000000002</v>
      </c>
    </row>
    <row r="60" spans="1:6" x14ac:dyDescent="0.3">
      <c r="A60" s="240"/>
      <c r="B60" s="240"/>
      <c r="C60" s="240"/>
      <c r="D60" s="239" t="s">
        <v>1180</v>
      </c>
      <c r="E60" s="240"/>
      <c r="F60" s="205">
        <f>SUM(F4:F59)</f>
        <v>195.41500000000005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zoomScale="55" zoomScaleNormal="55" workbookViewId="0">
      <selection activeCell="A58" sqref="A58"/>
    </sheetView>
  </sheetViews>
  <sheetFormatPr defaultRowHeight="14.4" x14ac:dyDescent="0.3"/>
  <cols>
    <col min="1" max="1" width="36.77734375" customWidth="1"/>
    <col min="2" max="2" width="17" customWidth="1"/>
    <col min="3" max="3" width="10" customWidth="1"/>
    <col min="4" max="4" width="16.33203125" customWidth="1"/>
    <col min="5" max="5" width="14.6640625" customWidth="1"/>
    <col min="6" max="6" width="16.88671875" customWidth="1"/>
    <col min="7" max="7" width="19" customWidth="1"/>
  </cols>
  <sheetData>
    <row r="1" spans="1:7" ht="15" thickBot="1" x14ac:dyDescent="0.35">
      <c r="A1" s="298" t="s">
        <v>1397</v>
      </c>
      <c r="B1" s="299"/>
      <c r="C1" s="299"/>
      <c r="D1" s="299"/>
      <c r="E1" s="299"/>
      <c r="F1" s="299"/>
      <c r="G1" s="299"/>
    </row>
    <row r="2" spans="1:7" ht="52.2" x14ac:dyDescent="0.3">
      <c r="A2" s="227" t="s">
        <v>1347</v>
      </c>
      <c r="B2" s="206" t="s">
        <v>1348</v>
      </c>
      <c r="C2" s="206" t="s">
        <v>1340</v>
      </c>
      <c r="D2" s="206" t="s">
        <v>1342</v>
      </c>
      <c r="E2" s="206" t="s">
        <v>1343</v>
      </c>
      <c r="F2" s="206" t="s">
        <v>1344</v>
      </c>
      <c r="G2" s="207" t="s">
        <v>1345</v>
      </c>
    </row>
    <row r="3" spans="1:7" ht="48.6" customHeight="1" x14ac:dyDescent="0.3">
      <c r="A3" s="228" t="s">
        <v>1349</v>
      </c>
      <c r="B3" s="209" t="s">
        <v>1350</v>
      </c>
      <c r="C3" s="209">
        <f>1+1+2+4+1</f>
        <v>9</v>
      </c>
      <c r="D3" s="232">
        <f>1.4+3.3*2</f>
        <v>8</v>
      </c>
      <c r="E3" s="232">
        <v>0.33</v>
      </c>
      <c r="F3" s="232">
        <f>D3*E3</f>
        <v>2.64</v>
      </c>
      <c r="G3" s="233">
        <f t="shared" ref="G3:G18" si="0">F3*C3</f>
        <v>23.76</v>
      </c>
    </row>
    <row r="4" spans="1:7" ht="21" x14ac:dyDescent="0.3">
      <c r="A4" s="228" t="s">
        <v>1351</v>
      </c>
      <c r="B4" s="209" t="s">
        <v>1352</v>
      </c>
      <c r="C4" s="209">
        <v>1</v>
      </c>
      <c r="D4" s="232">
        <f>1.75+3.3*2</f>
        <v>8.35</v>
      </c>
      <c r="E4" s="232">
        <f>E3</f>
        <v>0.33</v>
      </c>
      <c r="F4" s="232">
        <f t="shared" ref="F4:F18" si="1">D4*E4</f>
        <v>2.7555000000000001</v>
      </c>
      <c r="G4" s="233">
        <f t="shared" si="0"/>
        <v>2.7555000000000001</v>
      </c>
    </row>
    <row r="5" spans="1:7" ht="21" x14ac:dyDescent="0.3">
      <c r="A5" s="228" t="s">
        <v>1353</v>
      </c>
      <c r="B5" s="209" t="s">
        <v>1354</v>
      </c>
      <c r="C5" s="209">
        <v>1</v>
      </c>
      <c r="D5" s="232">
        <f>1.875+3.3*2</f>
        <v>8.4749999999999996</v>
      </c>
      <c r="E5" s="232">
        <f t="shared" ref="E5:E18" si="2">E4</f>
        <v>0.33</v>
      </c>
      <c r="F5" s="232">
        <f t="shared" si="1"/>
        <v>2.7967499999999998</v>
      </c>
      <c r="G5" s="233">
        <f t="shared" si="0"/>
        <v>2.7967499999999998</v>
      </c>
    </row>
    <row r="6" spans="1:7" ht="32.4" customHeight="1" x14ac:dyDescent="0.3">
      <c r="A6" s="228" t="s">
        <v>1355</v>
      </c>
      <c r="B6" s="209" t="s">
        <v>1356</v>
      </c>
      <c r="C6" s="209">
        <f>1+5+1</f>
        <v>7</v>
      </c>
      <c r="D6" s="232">
        <f>2.1+3.3*2</f>
        <v>8.6999999999999993</v>
      </c>
      <c r="E6" s="232">
        <f t="shared" si="2"/>
        <v>0.33</v>
      </c>
      <c r="F6" s="232">
        <f t="shared" si="1"/>
        <v>2.871</v>
      </c>
      <c r="G6" s="233">
        <f t="shared" si="0"/>
        <v>20.097000000000001</v>
      </c>
    </row>
    <row r="7" spans="1:7" ht="21" x14ac:dyDescent="0.3">
      <c r="A7" s="228" t="s">
        <v>1357</v>
      </c>
      <c r="B7" s="209" t="s">
        <v>1358</v>
      </c>
      <c r="C7" s="209">
        <v>1</v>
      </c>
      <c r="D7" s="232">
        <f>2.56+3.88*2</f>
        <v>10.32</v>
      </c>
      <c r="E7" s="232">
        <f t="shared" si="2"/>
        <v>0.33</v>
      </c>
      <c r="F7" s="232">
        <f t="shared" si="1"/>
        <v>3.4056000000000002</v>
      </c>
      <c r="G7" s="233">
        <f t="shared" si="0"/>
        <v>3.4056000000000002</v>
      </c>
    </row>
    <row r="8" spans="1:7" ht="21" x14ac:dyDescent="0.3">
      <c r="A8" s="228" t="s">
        <v>1359</v>
      </c>
      <c r="B8" s="209" t="s">
        <v>1360</v>
      </c>
      <c r="C8" s="209">
        <v>1</v>
      </c>
      <c r="D8" s="232">
        <f>3.85+3.3*2</f>
        <v>10.45</v>
      </c>
      <c r="E8" s="232">
        <f t="shared" si="2"/>
        <v>0.33</v>
      </c>
      <c r="F8" s="232">
        <f t="shared" si="1"/>
        <v>3.4485000000000001</v>
      </c>
      <c r="G8" s="233">
        <f t="shared" si="0"/>
        <v>3.4485000000000001</v>
      </c>
    </row>
    <row r="9" spans="1:7" ht="21" x14ac:dyDescent="0.3">
      <c r="A9" s="228" t="s">
        <v>1361</v>
      </c>
      <c r="B9" s="209" t="s">
        <v>1362</v>
      </c>
      <c r="C9" s="209">
        <v>1</v>
      </c>
      <c r="D9" s="232">
        <f>4.8+3.3*2</f>
        <v>11.399999999999999</v>
      </c>
      <c r="E9" s="232">
        <f t="shared" si="2"/>
        <v>0.33</v>
      </c>
      <c r="F9" s="232">
        <f t="shared" si="1"/>
        <v>3.7619999999999996</v>
      </c>
      <c r="G9" s="233">
        <f t="shared" si="0"/>
        <v>3.7619999999999996</v>
      </c>
    </row>
    <row r="10" spans="1:7" ht="21" x14ac:dyDescent="0.3">
      <c r="A10" s="228" t="s">
        <v>1363</v>
      </c>
      <c r="B10" s="209" t="s">
        <v>1364</v>
      </c>
      <c r="C10" s="209">
        <v>1</v>
      </c>
      <c r="D10" s="232">
        <f>5.095+3.88*2</f>
        <v>12.855</v>
      </c>
      <c r="E10" s="232">
        <f t="shared" si="2"/>
        <v>0.33</v>
      </c>
      <c r="F10" s="232">
        <f t="shared" si="1"/>
        <v>4.2421500000000005</v>
      </c>
      <c r="G10" s="233">
        <f t="shared" si="0"/>
        <v>4.2421500000000005</v>
      </c>
    </row>
    <row r="11" spans="1:7" ht="21" x14ac:dyDescent="0.3">
      <c r="A11" s="228" t="s">
        <v>1365</v>
      </c>
      <c r="B11" s="209" t="s">
        <v>1366</v>
      </c>
      <c r="C11" s="209">
        <v>1</v>
      </c>
      <c r="D11" s="232">
        <f>5.245+3.88*2</f>
        <v>13.004999999999999</v>
      </c>
      <c r="E11" s="232">
        <f t="shared" si="2"/>
        <v>0.33</v>
      </c>
      <c r="F11" s="232">
        <f t="shared" si="1"/>
        <v>4.2916499999999997</v>
      </c>
      <c r="G11" s="233">
        <f t="shared" si="0"/>
        <v>4.2916499999999997</v>
      </c>
    </row>
    <row r="12" spans="1:7" ht="21" x14ac:dyDescent="0.3">
      <c r="A12" s="228" t="s">
        <v>1367</v>
      </c>
      <c r="B12" s="209" t="s">
        <v>1346</v>
      </c>
      <c r="C12" s="209">
        <v>1</v>
      </c>
      <c r="D12" s="232">
        <f>7.8+3.3*2</f>
        <v>14.399999999999999</v>
      </c>
      <c r="E12" s="232">
        <f t="shared" si="2"/>
        <v>0.33</v>
      </c>
      <c r="F12" s="232">
        <f t="shared" si="1"/>
        <v>4.7519999999999998</v>
      </c>
      <c r="G12" s="233">
        <f t="shared" si="0"/>
        <v>4.7519999999999998</v>
      </c>
    </row>
    <row r="13" spans="1:7" ht="21" x14ac:dyDescent="0.3">
      <c r="A13" s="228" t="s">
        <v>1368</v>
      </c>
      <c r="B13" s="209" t="s">
        <v>1369</v>
      </c>
      <c r="C13" s="209">
        <v>1</v>
      </c>
      <c r="D13" s="232">
        <f>10.8+3.3*2</f>
        <v>17.399999999999999</v>
      </c>
      <c r="E13" s="232">
        <f t="shared" si="2"/>
        <v>0.33</v>
      </c>
      <c r="F13" s="232">
        <f t="shared" si="1"/>
        <v>5.742</v>
      </c>
      <c r="G13" s="233">
        <f t="shared" si="0"/>
        <v>5.742</v>
      </c>
    </row>
    <row r="14" spans="1:7" ht="21" x14ac:dyDescent="0.3">
      <c r="A14" s="228" t="s">
        <v>1370</v>
      </c>
      <c r="B14" s="209" t="s">
        <v>1371</v>
      </c>
      <c r="C14" s="209">
        <v>1</v>
      </c>
      <c r="D14" s="232">
        <f>1.8+3.3*2</f>
        <v>8.4</v>
      </c>
      <c r="E14" s="232">
        <f t="shared" si="2"/>
        <v>0.33</v>
      </c>
      <c r="F14" s="232">
        <f t="shared" si="1"/>
        <v>2.7720000000000002</v>
      </c>
      <c r="G14" s="233">
        <f t="shared" si="0"/>
        <v>2.7720000000000002</v>
      </c>
    </row>
    <row r="15" spans="1:7" ht="21" x14ac:dyDescent="0.3">
      <c r="A15" s="228" t="s">
        <v>1372</v>
      </c>
      <c r="B15" s="209" t="s">
        <v>1373</v>
      </c>
      <c r="C15" s="209">
        <v>1</v>
      </c>
      <c r="D15" s="232">
        <f>11.95+3.3*2</f>
        <v>18.549999999999997</v>
      </c>
      <c r="E15" s="232">
        <f t="shared" si="2"/>
        <v>0.33</v>
      </c>
      <c r="F15" s="232">
        <f t="shared" si="1"/>
        <v>6.1214999999999993</v>
      </c>
      <c r="G15" s="233">
        <f t="shared" si="0"/>
        <v>6.1214999999999993</v>
      </c>
    </row>
    <row r="16" spans="1:7" ht="21" x14ac:dyDescent="0.3">
      <c r="A16" s="228" t="s">
        <v>1374</v>
      </c>
      <c r="B16" s="209" t="s">
        <v>1375</v>
      </c>
      <c r="C16" s="209">
        <v>1</v>
      </c>
      <c r="D16" s="232">
        <f>33.2+3.3*2</f>
        <v>39.800000000000004</v>
      </c>
      <c r="E16" s="232">
        <f t="shared" si="2"/>
        <v>0.33</v>
      </c>
      <c r="F16" s="232">
        <f t="shared" si="1"/>
        <v>13.134000000000002</v>
      </c>
      <c r="G16" s="233">
        <f t="shared" si="0"/>
        <v>13.134000000000002</v>
      </c>
    </row>
    <row r="17" spans="1:7" ht="21" x14ac:dyDescent="0.3">
      <c r="A17" s="228" t="s">
        <v>1376</v>
      </c>
      <c r="B17" s="209" t="s">
        <v>1377</v>
      </c>
      <c r="C17" s="209">
        <v>1</v>
      </c>
      <c r="D17" s="232">
        <f>1.3+2.76*2</f>
        <v>6.8199999999999994</v>
      </c>
      <c r="E17" s="232">
        <f t="shared" si="2"/>
        <v>0.33</v>
      </c>
      <c r="F17" s="232">
        <f t="shared" si="1"/>
        <v>2.2505999999999999</v>
      </c>
      <c r="G17" s="233">
        <f t="shared" si="0"/>
        <v>2.2505999999999999</v>
      </c>
    </row>
    <row r="18" spans="1:7" ht="21.6" thickBot="1" x14ac:dyDescent="0.35">
      <c r="A18" s="228" t="s">
        <v>1378</v>
      </c>
      <c r="B18" s="209" t="s">
        <v>1371</v>
      </c>
      <c r="C18" s="209">
        <v>1</v>
      </c>
      <c r="D18" s="232">
        <f>1.8+3.3*2</f>
        <v>8.4</v>
      </c>
      <c r="E18" s="232">
        <f t="shared" si="2"/>
        <v>0.33</v>
      </c>
      <c r="F18" s="232">
        <f t="shared" si="1"/>
        <v>2.7720000000000002</v>
      </c>
      <c r="G18" s="233">
        <f t="shared" si="0"/>
        <v>2.7720000000000002</v>
      </c>
    </row>
    <row r="19" spans="1:7" ht="21.6" thickBot="1" x14ac:dyDescent="0.35">
      <c r="A19" s="229" t="s">
        <v>1230</v>
      </c>
      <c r="B19" s="212"/>
      <c r="C19" s="212"/>
      <c r="D19" s="213"/>
      <c r="E19" s="214"/>
      <c r="F19" s="214"/>
      <c r="G19" s="234">
        <f>SUM(G3:G18)</f>
        <v>106.10325000000002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zoomScale="85" zoomScaleNormal="85" workbookViewId="0">
      <selection activeCell="A2" sqref="A2"/>
    </sheetView>
  </sheetViews>
  <sheetFormatPr defaultRowHeight="14.4" x14ac:dyDescent="0.3"/>
  <cols>
    <col min="1" max="1" width="14.88671875" customWidth="1"/>
    <col min="2" max="2" width="9.88671875" bestFit="1" customWidth="1"/>
    <col min="3" max="3" width="8.5546875" bestFit="1" customWidth="1"/>
    <col min="4" max="4" width="7.6640625" bestFit="1" customWidth="1"/>
    <col min="5" max="5" width="8.5546875" bestFit="1" customWidth="1"/>
    <col min="6" max="10" width="12.5546875" customWidth="1"/>
  </cols>
  <sheetData>
    <row r="1" spans="1:10" ht="15" thickBot="1" x14ac:dyDescent="0.35">
      <c r="A1" s="298" t="s">
        <v>1396</v>
      </c>
      <c r="B1" s="299"/>
      <c r="C1" s="299"/>
      <c r="D1" s="299"/>
      <c r="E1" s="299"/>
      <c r="F1" s="299"/>
      <c r="G1" s="299"/>
      <c r="H1" s="299"/>
      <c r="I1" s="299"/>
      <c r="J1" s="299"/>
    </row>
    <row r="2" spans="1:10" ht="69.599999999999994" x14ac:dyDescent="0.3">
      <c r="A2" s="206" t="s">
        <v>1336</v>
      </c>
      <c r="B2" s="206" t="s">
        <v>1337</v>
      </c>
      <c r="C2" s="206" t="s">
        <v>1338</v>
      </c>
      <c r="D2" s="206" t="s">
        <v>1339</v>
      </c>
      <c r="E2" s="206" t="s">
        <v>1340</v>
      </c>
      <c r="F2" s="206" t="s">
        <v>1341</v>
      </c>
      <c r="G2" s="206" t="s">
        <v>1342</v>
      </c>
      <c r="H2" s="206" t="s">
        <v>1343</v>
      </c>
      <c r="I2" s="206" t="s">
        <v>1344</v>
      </c>
      <c r="J2" s="207" t="s">
        <v>1345</v>
      </c>
    </row>
    <row r="3" spans="1:10" ht="21" x14ac:dyDescent="0.3">
      <c r="A3" s="208" t="s">
        <v>1217</v>
      </c>
      <c r="B3" s="208">
        <f>2+2</f>
        <v>4</v>
      </c>
      <c r="C3" s="208">
        <f>3+1+1+4+1</f>
        <v>10</v>
      </c>
      <c r="D3" s="208">
        <f>3+1+1+4+1</f>
        <v>10</v>
      </c>
      <c r="E3" s="210">
        <f>SUM(B3:D3)</f>
        <v>24</v>
      </c>
      <c r="F3" s="208" t="s">
        <v>1218</v>
      </c>
      <c r="G3" s="216">
        <f>1+2*2.6</f>
        <v>6.2</v>
      </c>
      <c r="H3" s="216">
        <v>0.33</v>
      </c>
      <c r="I3" s="216">
        <f>G3*H3</f>
        <v>2.0460000000000003</v>
      </c>
      <c r="J3" s="217">
        <f>I3*E3</f>
        <v>49.104000000000006</v>
      </c>
    </row>
    <row r="4" spans="1:10" ht="21" x14ac:dyDescent="0.3">
      <c r="A4" s="208" t="s">
        <v>1219</v>
      </c>
      <c r="B4" s="208">
        <f>17+10+11+20+14+11+4</f>
        <v>87</v>
      </c>
      <c r="C4" s="208">
        <f>18+4+12+20+15+11+11+5</f>
        <v>96</v>
      </c>
      <c r="D4" s="208">
        <f>18+4+10+20+15+13+11+5+8</f>
        <v>104</v>
      </c>
      <c r="E4" s="210">
        <f t="shared" ref="E4:E14" si="0">SUM(B4:D4)</f>
        <v>287</v>
      </c>
      <c r="F4" s="208" t="s">
        <v>1218</v>
      </c>
      <c r="G4" s="216">
        <f>1.8+2*2.6</f>
        <v>7</v>
      </c>
      <c r="H4" s="216">
        <f>H3-0.005</f>
        <v>0.32500000000000001</v>
      </c>
      <c r="I4" s="216">
        <f t="shared" ref="I4:I14" si="1">G4*H4</f>
        <v>2.2749999999999999</v>
      </c>
      <c r="J4" s="217">
        <f>I4*E4-2</f>
        <v>650.92499999999995</v>
      </c>
    </row>
    <row r="5" spans="1:10" ht="21" x14ac:dyDescent="0.3">
      <c r="A5" s="208" t="s">
        <v>1220</v>
      </c>
      <c r="B5" s="208">
        <f>2</f>
        <v>2</v>
      </c>
      <c r="C5" s="208">
        <f>1+2</f>
        <v>3</v>
      </c>
      <c r="D5" s="208">
        <f>1+1</f>
        <v>2</v>
      </c>
      <c r="E5" s="210">
        <f t="shared" si="0"/>
        <v>7</v>
      </c>
      <c r="F5" s="208" t="s">
        <v>1218</v>
      </c>
      <c r="G5" s="216">
        <f>7.8+2*2.6</f>
        <v>13</v>
      </c>
      <c r="H5" s="216">
        <f t="shared" ref="H5:H14" si="2">H4</f>
        <v>0.32500000000000001</v>
      </c>
      <c r="I5" s="216">
        <f t="shared" si="1"/>
        <v>4.2250000000000005</v>
      </c>
      <c r="J5" s="217">
        <f t="shared" ref="J5:J14" si="3">I5*E5</f>
        <v>29.575000000000003</v>
      </c>
    </row>
    <row r="6" spans="1:10" ht="21" x14ac:dyDescent="0.3">
      <c r="A6" s="208" t="s">
        <v>1221</v>
      </c>
      <c r="B6" s="208">
        <f>1+1</f>
        <v>2</v>
      </c>
      <c r="C6" s="208">
        <f>1+2+2</f>
        <v>5</v>
      </c>
      <c r="D6" s="208">
        <f>1+1+3+2</f>
        <v>7</v>
      </c>
      <c r="E6" s="210">
        <f t="shared" si="0"/>
        <v>14</v>
      </c>
      <c r="F6" s="208" t="s">
        <v>1218</v>
      </c>
      <c r="G6" s="216">
        <f>4.8+2*2.6</f>
        <v>10</v>
      </c>
      <c r="H6" s="216">
        <f t="shared" si="2"/>
        <v>0.32500000000000001</v>
      </c>
      <c r="I6" s="216">
        <f t="shared" si="1"/>
        <v>3.25</v>
      </c>
      <c r="J6" s="217">
        <f t="shared" si="3"/>
        <v>45.5</v>
      </c>
    </row>
    <row r="7" spans="1:10" ht="21" x14ac:dyDescent="0.3">
      <c r="A7" s="208" t="s">
        <v>1222</v>
      </c>
      <c r="B7" s="208"/>
      <c r="C7" s="208">
        <f>1</f>
        <v>1</v>
      </c>
      <c r="D7" s="208"/>
      <c r="E7" s="210">
        <f t="shared" si="0"/>
        <v>1</v>
      </c>
      <c r="F7" s="208" t="s">
        <v>1218</v>
      </c>
      <c r="G7" s="216">
        <f>4.65+2*2.6</f>
        <v>9.8500000000000014</v>
      </c>
      <c r="H7" s="216">
        <f t="shared" si="2"/>
        <v>0.32500000000000001</v>
      </c>
      <c r="I7" s="216">
        <f t="shared" si="1"/>
        <v>3.2012500000000004</v>
      </c>
      <c r="J7" s="217">
        <f t="shared" si="3"/>
        <v>3.2012500000000004</v>
      </c>
    </row>
    <row r="8" spans="1:10" ht="21" x14ac:dyDescent="0.3">
      <c r="A8" s="208" t="s">
        <v>1223</v>
      </c>
      <c r="B8" s="208"/>
      <c r="C8" s="301">
        <v>7</v>
      </c>
      <c r="D8" s="301"/>
      <c r="E8" s="210">
        <f t="shared" si="0"/>
        <v>7</v>
      </c>
      <c r="F8" s="208" t="s">
        <v>1224</v>
      </c>
      <c r="G8" s="216">
        <f>(1.8+6.8)*2</f>
        <v>17.2</v>
      </c>
      <c r="H8" s="216">
        <f t="shared" si="2"/>
        <v>0.32500000000000001</v>
      </c>
      <c r="I8" s="216">
        <f t="shared" si="1"/>
        <v>5.59</v>
      </c>
      <c r="J8" s="217">
        <f t="shared" si="3"/>
        <v>39.129999999999995</v>
      </c>
    </row>
    <row r="9" spans="1:10" ht="21" x14ac:dyDescent="0.3">
      <c r="A9" s="208" t="s">
        <v>1223</v>
      </c>
      <c r="B9" s="208"/>
      <c r="C9" s="301">
        <v>4</v>
      </c>
      <c r="D9" s="301"/>
      <c r="E9" s="210">
        <f t="shared" si="0"/>
        <v>4</v>
      </c>
      <c r="F9" s="208" t="s">
        <v>1218</v>
      </c>
      <c r="G9" s="216">
        <f>1.8+2*6.8</f>
        <v>15.4</v>
      </c>
      <c r="H9" s="216">
        <f t="shared" si="2"/>
        <v>0.32500000000000001</v>
      </c>
      <c r="I9" s="216">
        <f t="shared" si="1"/>
        <v>5.0049999999999999</v>
      </c>
      <c r="J9" s="217">
        <f t="shared" si="3"/>
        <v>20.02</v>
      </c>
    </row>
    <row r="10" spans="1:10" ht="21" x14ac:dyDescent="0.3">
      <c r="A10" s="208" t="s">
        <v>1225</v>
      </c>
      <c r="B10" s="208"/>
      <c r="C10" s="301">
        <f>1</f>
        <v>1</v>
      </c>
      <c r="D10" s="301"/>
      <c r="E10" s="210">
        <f t="shared" si="0"/>
        <v>1</v>
      </c>
      <c r="F10" s="208" t="s">
        <v>1218</v>
      </c>
      <c r="G10" s="216">
        <f>9.5+2*6.8</f>
        <v>23.1</v>
      </c>
      <c r="H10" s="216">
        <f t="shared" si="2"/>
        <v>0.32500000000000001</v>
      </c>
      <c r="I10" s="216">
        <f t="shared" si="1"/>
        <v>7.5075000000000003</v>
      </c>
      <c r="J10" s="217">
        <f t="shared" si="3"/>
        <v>7.5075000000000003</v>
      </c>
    </row>
    <row r="11" spans="1:10" ht="21" x14ac:dyDescent="0.3">
      <c r="A11" s="208" t="s">
        <v>1226</v>
      </c>
      <c r="B11" s="208">
        <f>1</f>
        <v>1</v>
      </c>
      <c r="C11" s="208"/>
      <c r="D11" s="208"/>
      <c r="E11" s="210">
        <f t="shared" si="0"/>
        <v>1</v>
      </c>
      <c r="F11" s="208" t="s">
        <v>1218</v>
      </c>
      <c r="G11" s="216">
        <f>10.8+2*2.6</f>
        <v>16</v>
      </c>
      <c r="H11" s="216">
        <f t="shared" si="2"/>
        <v>0.32500000000000001</v>
      </c>
      <c r="I11" s="216">
        <f t="shared" si="1"/>
        <v>5.2</v>
      </c>
      <c r="J11" s="217">
        <f t="shared" si="3"/>
        <v>5.2</v>
      </c>
    </row>
    <row r="12" spans="1:10" ht="21" x14ac:dyDescent="0.3">
      <c r="A12" s="208" t="s">
        <v>1227</v>
      </c>
      <c r="B12" s="208"/>
      <c r="C12" s="301">
        <f>1</f>
        <v>1</v>
      </c>
      <c r="D12" s="301"/>
      <c r="E12" s="210">
        <f t="shared" si="0"/>
        <v>1</v>
      </c>
      <c r="F12" s="208" t="s">
        <v>1218</v>
      </c>
      <c r="G12" s="216">
        <f>13.7+2*6.8</f>
        <v>27.299999999999997</v>
      </c>
      <c r="H12" s="216">
        <f t="shared" si="2"/>
        <v>0.32500000000000001</v>
      </c>
      <c r="I12" s="216">
        <f t="shared" si="1"/>
        <v>8.8724999999999987</v>
      </c>
      <c r="J12" s="217">
        <f t="shared" si="3"/>
        <v>8.8724999999999987</v>
      </c>
    </row>
    <row r="13" spans="1:10" ht="21" x14ac:dyDescent="0.3">
      <c r="A13" s="210" t="s">
        <v>1228</v>
      </c>
      <c r="B13" s="210"/>
      <c r="C13" s="300">
        <f>10</f>
        <v>10</v>
      </c>
      <c r="D13" s="300"/>
      <c r="E13" s="210">
        <f t="shared" si="0"/>
        <v>10</v>
      </c>
      <c r="F13" s="208" t="s">
        <v>1218</v>
      </c>
      <c r="G13" s="218">
        <f>1.7+2*6.8</f>
        <v>15.299999999999999</v>
      </c>
      <c r="H13" s="216">
        <f t="shared" si="2"/>
        <v>0.32500000000000001</v>
      </c>
      <c r="I13" s="216">
        <f t="shared" si="1"/>
        <v>4.9725000000000001</v>
      </c>
      <c r="J13" s="217">
        <f t="shared" si="3"/>
        <v>49.725000000000001</v>
      </c>
    </row>
    <row r="14" spans="1:10" ht="21.6" thickBot="1" x14ac:dyDescent="0.35">
      <c r="A14" s="211" t="s">
        <v>1229</v>
      </c>
      <c r="B14" s="211"/>
      <c r="C14" s="211">
        <v>8</v>
      </c>
      <c r="D14" s="211"/>
      <c r="E14" s="210">
        <f t="shared" si="0"/>
        <v>8</v>
      </c>
      <c r="F14" s="211" t="s">
        <v>1224</v>
      </c>
      <c r="G14" s="219">
        <f>(1.8+1.5)*2</f>
        <v>6.6</v>
      </c>
      <c r="H14" s="216">
        <f t="shared" si="2"/>
        <v>0.32500000000000001</v>
      </c>
      <c r="I14" s="219">
        <f t="shared" si="1"/>
        <v>2.145</v>
      </c>
      <c r="J14" s="220">
        <f t="shared" si="3"/>
        <v>17.16</v>
      </c>
    </row>
    <row r="15" spans="1:10" ht="21.6" thickBot="1" x14ac:dyDescent="0.35">
      <c r="A15" s="221" t="s">
        <v>1346</v>
      </c>
      <c r="B15" s="221">
        <v>1</v>
      </c>
      <c r="C15" s="221">
        <v>0</v>
      </c>
      <c r="D15" s="221">
        <v>0</v>
      </c>
      <c r="E15" s="222">
        <v>1</v>
      </c>
      <c r="F15" s="221" t="s">
        <v>1218</v>
      </c>
      <c r="G15" s="223">
        <v>14.399999999999999</v>
      </c>
      <c r="H15" s="224">
        <v>0.33</v>
      </c>
      <c r="I15" s="223">
        <v>4.7519999999999998</v>
      </c>
      <c r="J15" s="225">
        <v>4.7519999999999998</v>
      </c>
    </row>
    <row r="16" spans="1:10" ht="21.6" thickBot="1" x14ac:dyDescent="0.35">
      <c r="A16" s="212"/>
      <c r="B16" s="212"/>
      <c r="C16" s="212"/>
      <c r="D16" s="212"/>
      <c r="E16" s="212"/>
      <c r="F16" s="212"/>
      <c r="G16" s="213"/>
      <c r="H16" s="214"/>
      <c r="I16" s="214"/>
      <c r="J16" s="226">
        <f>SUM(J3:J15)</f>
        <v>930.67224999999996</v>
      </c>
    </row>
  </sheetData>
  <mergeCells count="6">
    <mergeCell ref="C13:D13"/>
    <mergeCell ref="A1:J1"/>
    <mergeCell ref="C8:D8"/>
    <mergeCell ref="C9:D9"/>
    <mergeCell ref="C10:D10"/>
    <mergeCell ref="C12:D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A4" zoomScale="55" zoomScaleNormal="55" workbookViewId="0">
      <selection activeCell="G7" sqref="G7"/>
    </sheetView>
  </sheetViews>
  <sheetFormatPr defaultRowHeight="14.4" x14ac:dyDescent="0.3"/>
  <cols>
    <col min="1" max="1" width="43.6640625" customWidth="1"/>
    <col min="2" max="2" width="12" customWidth="1"/>
    <col min="3" max="3" width="8.5546875" bestFit="1" customWidth="1"/>
    <col min="4" max="4" width="14.88671875" bestFit="1" customWidth="1"/>
    <col min="5" max="5" width="12.6640625" bestFit="1" customWidth="1"/>
    <col min="6" max="6" width="13.44140625" bestFit="1" customWidth="1"/>
    <col min="7" max="7" width="14.88671875" bestFit="1" customWidth="1"/>
  </cols>
  <sheetData>
    <row r="1" spans="1:7" ht="18" x14ac:dyDescent="0.35">
      <c r="A1" s="302" t="s">
        <v>1398</v>
      </c>
      <c r="B1" s="302"/>
      <c r="C1" s="302"/>
      <c r="D1" s="302"/>
      <c r="E1" s="302"/>
      <c r="F1" s="302"/>
      <c r="G1" s="302"/>
    </row>
    <row r="2" spans="1:7" ht="69.599999999999994" x14ac:dyDescent="0.3">
      <c r="A2" s="283" t="s">
        <v>1347</v>
      </c>
      <c r="B2" s="284" t="s">
        <v>1348</v>
      </c>
      <c r="C2" s="284" t="s">
        <v>1340</v>
      </c>
      <c r="D2" s="284" t="s">
        <v>1342</v>
      </c>
      <c r="E2" s="284" t="s">
        <v>1343</v>
      </c>
      <c r="F2" s="284" t="s">
        <v>1344</v>
      </c>
      <c r="G2" s="285" t="s">
        <v>1345</v>
      </c>
    </row>
    <row r="3" spans="1:7" ht="21" x14ac:dyDescent="0.3">
      <c r="A3" s="228" t="s">
        <v>1415</v>
      </c>
      <c r="B3" s="275" t="s">
        <v>1416</v>
      </c>
      <c r="C3" s="275">
        <v>60</v>
      </c>
      <c r="D3" s="275">
        <f>0.7+2*1.8</f>
        <v>4.3</v>
      </c>
      <c r="E3" s="232">
        <v>0.13</v>
      </c>
      <c r="F3" s="275">
        <f>D3*E3</f>
        <v>0.55899999999999994</v>
      </c>
      <c r="G3" s="282">
        <f t="shared" ref="G3:G17" si="0">F3*C3</f>
        <v>33.54</v>
      </c>
    </row>
    <row r="4" spans="1:7" ht="21" x14ac:dyDescent="0.3">
      <c r="A4" s="228" t="s">
        <v>1417</v>
      </c>
      <c r="B4" s="275" t="s">
        <v>1418</v>
      </c>
      <c r="C4" s="275">
        <v>3</v>
      </c>
      <c r="D4" s="275">
        <f>0.7+2*2.1</f>
        <v>4.9000000000000004</v>
      </c>
      <c r="E4" s="232">
        <v>0.13</v>
      </c>
      <c r="F4" s="275">
        <f t="shared" ref="F4:F17" si="1">D4*E4</f>
        <v>0.63700000000000012</v>
      </c>
      <c r="G4" s="282">
        <f t="shared" si="0"/>
        <v>1.9110000000000005</v>
      </c>
    </row>
    <row r="5" spans="1:7" ht="21" x14ac:dyDescent="0.3">
      <c r="A5" s="228" t="s">
        <v>1419</v>
      </c>
      <c r="B5" s="275" t="s">
        <v>1420</v>
      </c>
      <c r="C5" s="275">
        <f>1+1+1</f>
        <v>3</v>
      </c>
      <c r="D5" s="275">
        <f>0.9+2*2.1</f>
        <v>5.1000000000000005</v>
      </c>
      <c r="E5" s="232">
        <v>0.13</v>
      </c>
      <c r="F5" s="275">
        <f t="shared" si="1"/>
        <v>0.66300000000000014</v>
      </c>
      <c r="G5" s="282">
        <f t="shared" si="0"/>
        <v>1.9890000000000003</v>
      </c>
    </row>
    <row r="6" spans="1:7" ht="42" x14ac:dyDescent="0.3">
      <c r="A6" s="228" t="s">
        <v>1379</v>
      </c>
      <c r="B6" s="275" t="s">
        <v>1380</v>
      </c>
      <c r="C6" s="275">
        <f>1+1+10+4+1+1+3+1</f>
        <v>22</v>
      </c>
      <c r="D6" s="275">
        <f t="shared" ref="D6" si="2">1+2*2.1</f>
        <v>5.2</v>
      </c>
      <c r="E6" s="232">
        <v>0.13</v>
      </c>
      <c r="F6" s="275">
        <f t="shared" si="1"/>
        <v>0.67600000000000005</v>
      </c>
      <c r="G6" s="282">
        <f t="shared" si="0"/>
        <v>14.872000000000002</v>
      </c>
    </row>
    <row r="7" spans="1:7" ht="21" x14ac:dyDescent="0.3">
      <c r="A7" s="228" t="s">
        <v>1421</v>
      </c>
      <c r="B7" s="275" t="s">
        <v>1422</v>
      </c>
      <c r="C7" s="275">
        <f>5+3+4+5</f>
        <v>17</v>
      </c>
      <c r="D7" s="275">
        <f>1.1+2*2.1</f>
        <v>5.3000000000000007</v>
      </c>
      <c r="E7" s="232">
        <v>0.13</v>
      </c>
      <c r="F7" s="275">
        <f t="shared" si="1"/>
        <v>0.68900000000000017</v>
      </c>
      <c r="G7" s="282">
        <f t="shared" si="0"/>
        <v>11.713000000000003</v>
      </c>
    </row>
    <row r="8" spans="1:7" ht="147" x14ac:dyDescent="0.3">
      <c r="A8" s="228" t="s">
        <v>1381</v>
      </c>
      <c r="B8" s="275" t="s">
        <v>1382</v>
      </c>
      <c r="C8" s="275">
        <f>5+3+1+1+6+4+10+4+4+4+4+5+1+5+3+15+4+1+1+2+2+2+2+3+2+1</f>
        <v>95</v>
      </c>
      <c r="D8" s="275">
        <f>1.15+2*2.1</f>
        <v>5.35</v>
      </c>
      <c r="E8" s="232">
        <v>0.13</v>
      </c>
      <c r="F8" s="275">
        <f t="shared" si="1"/>
        <v>0.69550000000000001</v>
      </c>
      <c r="G8" s="282">
        <f t="shared" si="0"/>
        <v>66.072500000000005</v>
      </c>
    </row>
    <row r="9" spans="1:7" ht="21" x14ac:dyDescent="0.3">
      <c r="A9" s="228" t="s">
        <v>1423</v>
      </c>
      <c r="B9" s="275" t="s">
        <v>1424</v>
      </c>
      <c r="C9" s="275">
        <v>2</v>
      </c>
      <c r="D9" s="275">
        <f>1.2+2*2.1</f>
        <v>5.4</v>
      </c>
      <c r="E9" s="232">
        <v>0.13</v>
      </c>
      <c r="F9" s="275">
        <f t="shared" si="1"/>
        <v>0.70200000000000007</v>
      </c>
      <c r="G9" s="282">
        <f t="shared" si="0"/>
        <v>1.4040000000000001</v>
      </c>
    </row>
    <row r="10" spans="1:7" ht="21" x14ac:dyDescent="0.3">
      <c r="A10" s="228" t="s">
        <v>1425</v>
      </c>
      <c r="B10" s="275" t="s">
        <v>1426</v>
      </c>
      <c r="C10" s="275">
        <v>1</v>
      </c>
      <c r="D10" s="275">
        <f>1.4+2*2.1</f>
        <v>5.6</v>
      </c>
      <c r="E10" s="232">
        <v>0.13</v>
      </c>
      <c r="F10" s="275">
        <f t="shared" si="1"/>
        <v>0.72799999999999998</v>
      </c>
      <c r="G10" s="282">
        <f t="shared" si="0"/>
        <v>0.72799999999999998</v>
      </c>
    </row>
    <row r="11" spans="1:7" ht="21" x14ac:dyDescent="0.3">
      <c r="A11" s="228" t="s">
        <v>1427</v>
      </c>
      <c r="B11" s="275" t="s">
        <v>1428</v>
      </c>
      <c r="C11" s="275">
        <f>6+6+2+1</f>
        <v>15</v>
      </c>
      <c r="D11" s="275">
        <f>1.45+2*2.1</f>
        <v>5.65</v>
      </c>
      <c r="E11" s="232">
        <v>0.13</v>
      </c>
      <c r="F11" s="275">
        <f t="shared" si="1"/>
        <v>0.73450000000000004</v>
      </c>
      <c r="G11" s="282">
        <f t="shared" si="0"/>
        <v>11.0175</v>
      </c>
    </row>
    <row r="12" spans="1:7" ht="21" x14ac:dyDescent="0.3">
      <c r="A12" s="230" t="s">
        <v>1383</v>
      </c>
      <c r="B12" s="275" t="s">
        <v>1384</v>
      </c>
      <c r="C12" s="275">
        <f>25+8</f>
        <v>33</v>
      </c>
      <c r="D12" s="275">
        <f>1.6+2*2.1</f>
        <v>5.8000000000000007</v>
      </c>
      <c r="E12" s="232">
        <v>0.18</v>
      </c>
      <c r="F12" s="275">
        <f t="shared" si="1"/>
        <v>1.044</v>
      </c>
      <c r="G12" s="282">
        <f t="shared" si="0"/>
        <v>34.451999999999998</v>
      </c>
    </row>
    <row r="13" spans="1:7" ht="21" x14ac:dyDescent="0.3">
      <c r="A13" s="230" t="s">
        <v>1385</v>
      </c>
      <c r="B13" s="275" t="s">
        <v>1386</v>
      </c>
      <c r="C13" s="275">
        <f>1+1</f>
        <v>2</v>
      </c>
      <c r="D13" s="275">
        <f>1.65+2*2.4</f>
        <v>6.4499999999999993</v>
      </c>
      <c r="E13" s="232">
        <v>0.18</v>
      </c>
      <c r="F13" s="275">
        <f t="shared" si="1"/>
        <v>1.1609999999999998</v>
      </c>
      <c r="G13" s="282">
        <f t="shared" si="0"/>
        <v>2.3219999999999996</v>
      </c>
    </row>
    <row r="14" spans="1:7" ht="21" x14ac:dyDescent="0.3">
      <c r="A14" s="230" t="s">
        <v>1387</v>
      </c>
      <c r="B14" s="275" t="s">
        <v>1388</v>
      </c>
      <c r="C14" s="275">
        <v>2</v>
      </c>
      <c r="D14" s="275">
        <f>2.2+2*2.4</f>
        <v>7</v>
      </c>
      <c r="E14" s="232">
        <v>0.18</v>
      </c>
      <c r="F14" s="275">
        <f t="shared" si="1"/>
        <v>1.26</v>
      </c>
      <c r="G14" s="282">
        <f t="shared" si="0"/>
        <v>2.52</v>
      </c>
    </row>
    <row r="15" spans="1:7" ht="21" x14ac:dyDescent="0.3">
      <c r="A15" s="230" t="s">
        <v>1389</v>
      </c>
      <c r="B15" s="275" t="s">
        <v>1390</v>
      </c>
      <c r="C15" s="275">
        <f>51+2+17</f>
        <v>70</v>
      </c>
      <c r="D15" s="275">
        <f>1.7+2*2.4</f>
        <v>6.5</v>
      </c>
      <c r="E15" s="232">
        <v>0.18</v>
      </c>
      <c r="F15" s="275">
        <f t="shared" si="1"/>
        <v>1.17</v>
      </c>
      <c r="G15" s="282">
        <f t="shared" si="0"/>
        <v>81.899999999999991</v>
      </c>
    </row>
    <row r="16" spans="1:7" ht="21" x14ac:dyDescent="0.3">
      <c r="A16" s="230" t="s">
        <v>1391</v>
      </c>
      <c r="B16" s="275" t="s">
        <v>1392</v>
      </c>
      <c r="C16" s="275">
        <f>3+1</f>
        <v>4</v>
      </c>
      <c r="D16" s="275">
        <f>2+2*2.4</f>
        <v>6.8</v>
      </c>
      <c r="E16" s="232">
        <v>0.33</v>
      </c>
      <c r="F16" s="275">
        <f t="shared" si="1"/>
        <v>2.2440000000000002</v>
      </c>
      <c r="G16" s="282">
        <f t="shared" si="0"/>
        <v>8.9760000000000009</v>
      </c>
    </row>
    <row r="17" spans="1:7" ht="42.6" thickBot="1" x14ac:dyDescent="0.35">
      <c r="A17" s="230" t="s">
        <v>1393</v>
      </c>
      <c r="B17" s="275" t="s">
        <v>1394</v>
      </c>
      <c r="C17" s="275">
        <f>1+3+2+2+2+2</f>
        <v>12</v>
      </c>
      <c r="D17" s="275">
        <f>2.1+2*2.4</f>
        <v>6.9</v>
      </c>
      <c r="E17" s="232">
        <v>0.18</v>
      </c>
      <c r="F17" s="275">
        <f t="shared" si="1"/>
        <v>1.242</v>
      </c>
      <c r="G17" s="282">
        <f t="shared" si="0"/>
        <v>14.904</v>
      </c>
    </row>
    <row r="18" spans="1:7" ht="21.6" thickBot="1" x14ac:dyDescent="0.35">
      <c r="A18" s="229" t="s">
        <v>1230</v>
      </c>
      <c r="B18" s="212"/>
      <c r="C18" s="215">
        <f>SUM(C3:C17)</f>
        <v>341</v>
      </c>
      <c r="D18" s="213"/>
      <c r="E18" s="231"/>
      <c r="F18" s="214"/>
      <c r="G18" s="215">
        <f>SUM(G3:G17)</f>
        <v>288.32100000000003</v>
      </c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8"/>
  <sheetViews>
    <sheetView zoomScale="55" zoomScaleNormal="55" workbookViewId="0">
      <selection activeCell="D28" sqref="D28"/>
    </sheetView>
  </sheetViews>
  <sheetFormatPr defaultRowHeight="15.6" x14ac:dyDescent="0.3"/>
  <cols>
    <col min="1" max="8" width="8.88671875" style="106"/>
  </cols>
  <sheetData>
    <row r="1" spans="1:22" x14ac:dyDescent="0.3">
      <c r="B1" s="193" t="s">
        <v>1255</v>
      </c>
      <c r="C1" s="106">
        <v>1000</v>
      </c>
      <c r="D1" s="106">
        <v>2700</v>
      </c>
      <c r="G1" s="106">
        <v>4</v>
      </c>
    </row>
    <row r="2" spans="1:22" x14ac:dyDescent="0.3">
      <c r="B2" s="193" t="s">
        <v>1256</v>
      </c>
      <c r="C2" s="106">
        <v>1800</v>
      </c>
      <c r="D2" s="106">
        <v>2700</v>
      </c>
      <c r="G2" s="106">
        <v>87</v>
      </c>
    </row>
    <row r="3" spans="1:22" x14ac:dyDescent="0.3">
      <c r="B3" s="193" t="s">
        <v>1257</v>
      </c>
      <c r="C3" s="106">
        <v>2060</v>
      </c>
      <c r="D3" s="106">
        <v>3230</v>
      </c>
      <c r="G3" s="106">
        <v>1</v>
      </c>
    </row>
    <row r="4" spans="1:22" x14ac:dyDescent="0.3">
      <c r="B4" s="193" t="s">
        <v>1258</v>
      </c>
      <c r="C4" s="106">
        <v>2150</v>
      </c>
      <c r="D4" s="106">
        <v>2700</v>
      </c>
      <c r="G4" s="106">
        <v>1</v>
      </c>
    </row>
    <row r="5" spans="1:22" x14ac:dyDescent="0.3">
      <c r="B5" s="193" t="s">
        <v>1259</v>
      </c>
      <c r="C5" s="106">
        <v>2150</v>
      </c>
      <c r="D5" s="106">
        <v>3430</v>
      </c>
      <c r="G5" s="106">
        <v>3</v>
      </c>
    </row>
    <row r="6" spans="1:22" x14ac:dyDescent="0.3">
      <c r="B6" s="193" t="s">
        <v>1260</v>
      </c>
      <c r="C6" s="106">
        <v>2800</v>
      </c>
      <c r="D6" s="106">
        <v>3430</v>
      </c>
      <c r="G6" s="106">
        <v>1</v>
      </c>
    </row>
    <row r="7" spans="1:22" x14ac:dyDescent="0.3">
      <c r="B7" s="193" t="s">
        <v>1261</v>
      </c>
      <c r="C7" s="106">
        <v>3300</v>
      </c>
      <c r="D7" s="106">
        <v>2700</v>
      </c>
      <c r="G7" s="106">
        <v>1</v>
      </c>
    </row>
    <row r="8" spans="1:22" x14ac:dyDescent="0.3">
      <c r="B8" s="193" t="s">
        <v>1262</v>
      </c>
      <c r="C8" s="106">
        <v>4800</v>
      </c>
      <c r="D8" s="106">
        <v>2700</v>
      </c>
      <c r="G8" s="106">
        <v>2</v>
      </c>
    </row>
    <row r="9" spans="1:22" x14ac:dyDescent="0.3">
      <c r="B9" s="193" t="s">
        <v>1263</v>
      </c>
      <c r="C9" s="106">
        <v>4800</v>
      </c>
      <c r="D9" s="106">
        <v>3430</v>
      </c>
      <c r="G9" s="106">
        <v>1</v>
      </c>
    </row>
    <row r="10" spans="1:22" x14ac:dyDescent="0.3">
      <c r="B10" s="193" t="s">
        <v>1264</v>
      </c>
      <c r="C10" s="106">
        <v>5150</v>
      </c>
      <c r="D10" s="106">
        <v>2700</v>
      </c>
      <c r="G10" s="106">
        <v>1</v>
      </c>
    </row>
    <row r="11" spans="1:22" x14ac:dyDescent="0.3">
      <c r="B11" s="193" t="s">
        <v>1265</v>
      </c>
      <c r="C11" s="106">
        <v>5150</v>
      </c>
      <c r="D11" s="106">
        <v>3430</v>
      </c>
      <c r="G11" s="106">
        <v>2</v>
      </c>
    </row>
    <row r="12" spans="1:22" x14ac:dyDescent="0.3">
      <c r="B12" s="193" t="s">
        <v>1266</v>
      </c>
      <c r="C12" s="106">
        <v>6550</v>
      </c>
      <c r="D12" s="106">
        <v>2930</v>
      </c>
      <c r="G12" s="106">
        <v>1</v>
      </c>
    </row>
    <row r="13" spans="1:22" x14ac:dyDescent="0.3">
      <c r="B13" s="193" t="s">
        <v>1267</v>
      </c>
      <c r="C13" s="106">
        <v>6800</v>
      </c>
      <c r="D13" s="106">
        <v>2300</v>
      </c>
      <c r="G13" s="106">
        <v>1</v>
      </c>
    </row>
    <row r="16" spans="1:22" s="106" customFormat="1" x14ac:dyDescent="0.3">
      <c r="A16" s="304" t="s">
        <v>1212</v>
      </c>
      <c r="B16" s="304"/>
      <c r="C16" s="304"/>
      <c r="D16" s="304"/>
      <c r="E16" s="304"/>
      <c r="F16" s="304"/>
      <c r="G16" s="304"/>
      <c r="H16" s="304"/>
      <c r="I16" s="304"/>
      <c r="J16" s="304"/>
      <c r="K16" s="304"/>
      <c r="O16"/>
      <c r="P16"/>
      <c r="Q16"/>
      <c r="R16"/>
      <c r="S16"/>
      <c r="T16"/>
      <c r="U16"/>
      <c r="V16"/>
    </row>
    <row r="17" spans="1:22" s="106" customFormat="1" ht="47.4" customHeight="1" x14ac:dyDescent="0.3">
      <c r="A17" s="189" t="s">
        <v>1196</v>
      </c>
      <c r="B17" s="189" t="s">
        <v>20</v>
      </c>
      <c r="C17" s="305" t="s">
        <v>1209</v>
      </c>
      <c r="D17" s="306"/>
      <c r="E17" s="307"/>
      <c r="F17" s="305" t="s">
        <v>1210</v>
      </c>
      <c r="G17" s="307"/>
      <c r="H17" s="185" t="s">
        <v>1233</v>
      </c>
      <c r="I17" s="185" t="s">
        <v>1231</v>
      </c>
      <c r="J17" s="185" t="s">
        <v>1232</v>
      </c>
      <c r="K17" s="189" t="s">
        <v>1211</v>
      </c>
      <c r="O17"/>
      <c r="P17"/>
      <c r="Q17"/>
      <c r="R17"/>
      <c r="S17"/>
      <c r="T17"/>
      <c r="U17"/>
      <c r="V17"/>
    </row>
    <row r="18" spans="1:22" s="106" customFormat="1" x14ac:dyDescent="0.3">
      <c r="A18" s="189" t="s">
        <v>1193</v>
      </c>
      <c r="B18" s="189">
        <v>33</v>
      </c>
      <c r="C18" s="308">
        <v>35.79</v>
      </c>
      <c r="D18" s="309"/>
      <c r="E18" s="310"/>
      <c r="F18" s="308">
        <f>B18*2*3.8*0.13</f>
        <v>32.603999999999999</v>
      </c>
      <c r="G18" s="310"/>
      <c r="H18" s="186">
        <v>3.85</v>
      </c>
      <c r="I18" s="186" t="s">
        <v>1234</v>
      </c>
      <c r="J18" s="186"/>
      <c r="K18" s="186">
        <f>SUM(C18:F18)</f>
        <v>68.394000000000005</v>
      </c>
      <c r="O18"/>
      <c r="P18"/>
      <c r="Q18"/>
      <c r="R18"/>
      <c r="S18"/>
      <c r="T18"/>
      <c r="U18"/>
      <c r="V18"/>
    </row>
    <row r="19" spans="1:22" s="106" customFormat="1" x14ac:dyDescent="0.3">
      <c r="A19" s="189" t="s">
        <v>1194</v>
      </c>
      <c r="B19" s="189">
        <v>17</v>
      </c>
      <c r="C19" s="308">
        <v>13.03</v>
      </c>
      <c r="D19" s="309"/>
      <c r="E19" s="310"/>
      <c r="F19" s="308">
        <f>B19*2*3.8*0.13</f>
        <v>16.795999999999999</v>
      </c>
      <c r="G19" s="310"/>
      <c r="H19" s="186">
        <v>3.85</v>
      </c>
      <c r="I19" s="186" t="s">
        <v>1234</v>
      </c>
      <c r="J19" s="186"/>
      <c r="K19" s="186">
        <f>SUM(C19:F19)</f>
        <v>29.826000000000001</v>
      </c>
      <c r="O19"/>
      <c r="P19"/>
      <c r="Q19"/>
      <c r="R19"/>
      <c r="S19"/>
      <c r="T19"/>
      <c r="U19"/>
      <c r="V19"/>
    </row>
    <row r="20" spans="1:22" s="106" customFormat="1" x14ac:dyDescent="0.3">
      <c r="A20" s="189" t="s">
        <v>1195</v>
      </c>
      <c r="B20" s="189">
        <v>25</v>
      </c>
      <c r="C20" s="308">
        <v>16.059999999999999</v>
      </c>
      <c r="D20" s="309"/>
      <c r="E20" s="310"/>
      <c r="F20" s="308">
        <f>B20*2*3.8*0.13</f>
        <v>24.7</v>
      </c>
      <c r="G20" s="310"/>
      <c r="H20" s="186">
        <v>3.85</v>
      </c>
      <c r="I20" s="186" t="s">
        <v>1234</v>
      </c>
      <c r="J20" s="186"/>
      <c r="K20" s="186">
        <f>SUM(C20:F20)</f>
        <v>40.76</v>
      </c>
      <c r="O20"/>
      <c r="P20"/>
      <c r="Q20"/>
      <c r="R20"/>
      <c r="S20"/>
      <c r="T20"/>
      <c r="U20"/>
      <c r="V20"/>
    </row>
    <row r="21" spans="1:22" s="106" customFormat="1" x14ac:dyDescent="0.3">
      <c r="A21" s="303" t="s">
        <v>843</v>
      </c>
      <c r="B21" s="303"/>
      <c r="C21" s="303"/>
      <c r="D21" s="303"/>
      <c r="E21" s="303"/>
      <c r="F21" s="303"/>
      <c r="G21" s="303"/>
      <c r="H21" s="303"/>
      <c r="I21" s="303"/>
      <c r="J21" s="303"/>
      <c r="K21" s="186">
        <f>SUM(K18:K20)</f>
        <v>138.97999999999999</v>
      </c>
      <c r="O21"/>
      <c r="P21"/>
      <c r="Q21"/>
      <c r="R21"/>
      <c r="S21"/>
      <c r="T21"/>
      <c r="U21"/>
      <c r="V21"/>
    </row>
    <row r="33" spans="2:7" x14ac:dyDescent="0.3">
      <c r="B33" s="193" t="s">
        <v>1268</v>
      </c>
      <c r="C33" s="106">
        <v>1000</v>
      </c>
      <c r="D33" s="106">
        <v>2700</v>
      </c>
      <c r="G33" s="106">
        <v>4</v>
      </c>
    </row>
    <row r="34" spans="2:7" x14ac:dyDescent="0.3">
      <c r="B34" s="193" t="s">
        <v>1269</v>
      </c>
      <c r="C34" s="106">
        <v>1500</v>
      </c>
      <c r="D34" s="106">
        <v>2700</v>
      </c>
      <c r="G34" s="106">
        <v>1</v>
      </c>
    </row>
    <row r="35" spans="2:7" x14ac:dyDescent="0.3">
      <c r="B35" s="193" t="s">
        <v>1270</v>
      </c>
      <c r="C35" s="106">
        <v>1700</v>
      </c>
      <c r="D35" s="106">
        <v>2700</v>
      </c>
      <c r="G35" s="106">
        <v>10</v>
      </c>
    </row>
    <row r="36" spans="2:7" x14ac:dyDescent="0.3">
      <c r="B36" s="193" t="s">
        <v>1271</v>
      </c>
      <c r="C36" s="106">
        <v>1800</v>
      </c>
      <c r="D36" s="106">
        <v>1500</v>
      </c>
      <c r="G36" s="106">
        <v>6</v>
      </c>
    </row>
    <row r="37" spans="2:7" x14ac:dyDescent="0.3">
      <c r="B37" s="193" t="s">
        <v>1272</v>
      </c>
      <c r="C37" s="106">
        <v>1800</v>
      </c>
      <c r="D37" s="106">
        <v>2700</v>
      </c>
      <c r="G37" s="106">
        <v>108</v>
      </c>
    </row>
    <row r="38" spans="2:7" x14ac:dyDescent="0.3">
      <c r="B38" s="193" t="s">
        <v>1273</v>
      </c>
      <c r="C38" s="106">
        <v>1930</v>
      </c>
      <c r="D38" s="106">
        <v>2700</v>
      </c>
      <c r="G38" s="106">
        <v>1</v>
      </c>
    </row>
    <row r="39" spans="2:7" x14ac:dyDescent="0.3">
      <c r="B39" s="193" t="s">
        <v>1274</v>
      </c>
      <c r="C39" s="106">
        <v>2370</v>
      </c>
      <c r="D39" s="106">
        <v>2700</v>
      </c>
      <c r="G39" s="106">
        <v>1</v>
      </c>
    </row>
    <row r="40" spans="2:7" x14ac:dyDescent="0.3">
      <c r="B40" s="193" t="s">
        <v>1275</v>
      </c>
      <c r="C40" s="106">
        <v>2800</v>
      </c>
      <c r="D40" s="106">
        <v>2700</v>
      </c>
      <c r="G40" s="106">
        <v>1</v>
      </c>
    </row>
    <row r="41" spans="2:7" x14ac:dyDescent="0.3">
      <c r="B41" s="193" t="s">
        <v>1276</v>
      </c>
      <c r="C41" s="106">
        <v>3000</v>
      </c>
      <c r="D41" s="106">
        <v>1200</v>
      </c>
      <c r="G41" s="106">
        <v>1</v>
      </c>
    </row>
    <row r="42" spans="2:7" x14ac:dyDescent="0.3">
      <c r="B42" s="193" t="s">
        <v>1277</v>
      </c>
      <c r="C42" s="106">
        <v>3000</v>
      </c>
      <c r="D42" s="106">
        <v>1200</v>
      </c>
      <c r="G42" s="106">
        <v>1</v>
      </c>
    </row>
    <row r="43" spans="2:7" x14ac:dyDescent="0.3">
      <c r="B43" s="193" t="s">
        <v>1278</v>
      </c>
      <c r="C43" s="106">
        <v>3300</v>
      </c>
      <c r="D43" s="106">
        <v>2700</v>
      </c>
      <c r="G43" s="106">
        <v>1</v>
      </c>
    </row>
    <row r="44" spans="2:7" x14ac:dyDescent="0.3">
      <c r="B44" s="193" t="s">
        <v>1279</v>
      </c>
      <c r="C44" s="106">
        <v>4650</v>
      </c>
      <c r="D44" s="106">
        <v>2700</v>
      </c>
      <c r="G44" s="106">
        <v>1</v>
      </c>
    </row>
    <row r="45" spans="2:7" x14ac:dyDescent="0.3">
      <c r="B45" s="193" t="s">
        <v>1280</v>
      </c>
      <c r="C45" s="106">
        <v>4800</v>
      </c>
      <c r="D45" s="106">
        <v>2700</v>
      </c>
      <c r="G45" s="106">
        <v>5</v>
      </c>
    </row>
    <row r="46" spans="2:7" x14ac:dyDescent="0.3">
      <c r="B46" s="193" t="s">
        <v>1281</v>
      </c>
      <c r="C46" s="106">
        <v>4850</v>
      </c>
      <c r="D46" s="106">
        <v>2700</v>
      </c>
      <c r="G46" s="106">
        <v>1</v>
      </c>
    </row>
    <row r="47" spans="2:7" x14ac:dyDescent="0.3">
      <c r="B47" s="193" t="s">
        <v>1282</v>
      </c>
      <c r="C47" s="106">
        <v>5350</v>
      </c>
      <c r="D47" s="106">
        <v>2700</v>
      </c>
      <c r="G47" s="106">
        <v>1</v>
      </c>
    </row>
    <row r="51" spans="2:7" x14ac:dyDescent="0.3">
      <c r="B51" s="193" t="s">
        <v>1237</v>
      </c>
      <c r="C51" s="106">
        <v>1000</v>
      </c>
      <c r="D51" s="106">
        <v>2700</v>
      </c>
      <c r="G51" s="106">
        <v>4</v>
      </c>
    </row>
    <row r="52" spans="2:7" x14ac:dyDescent="0.3">
      <c r="B52" s="193" t="s">
        <v>1238</v>
      </c>
      <c r="C52" s="106">
        <v>1500</v>
      </c>
      <c r="D52" s="106">
        <v>2700</v>
      </c>
      <c r="G52" s="106">
        <v>1</v>
      </c>
    </row>
    <row r="53" spans="2:7" x14ac:dyDescent="0.3">
      <c r="B53" s="193" t="s">
        <v>1239</v>
      </c>
      <c r="C53" s="106">
        <v>1700</v>
      </c>
      <c r="D53" s="106">
        <v>3380</v>
      </c>
      <c r="G53" s="106">
        <v>10</v>
      </c>
    </row>
    <row r="54" spans="2:7" x14ac:dyDescent="0.3">
      <c r="B54" s="193" t="s">
        <v>1240</v>
      </c>
      <c r="C54" s="106">
        <v>1800</v>
      </c>
      <c r="D54" s="106">
        <v>2160</v>
      </c>
      <c r="G54" s="106">
        <v>7</v>
      </c>
    </row>
    <row r="55" spans="2:7" x14ac:dyDescent="0.3">
      <c r="B55" s="193" t="s">
        <v>1241</v>
      </c>
      <c r="C55" s="106">
        <v>1800</v>
      </c>
      <c r="D55" s="106">
        <v>2700</v>
      </c>
      <c r="G55" s="106">
        <v>104</v>
      </c>
    </row>
    <row r="56" spans="2:7" x14ac:dyDescent="0.3">
      <c r="B56" s="193" t="s">
        <v>1242</v>
      </c>
      <c r="C56" s="106">
        <v>1800</v>
      </c>
      <c r="D56" s="106">
        <v>3380</v>
      </c>
      <c r="G56" s="106">
        <v>4</v>
      </c>
    </row>
    <row r="57" spans="2:7" x14ac:dyDescent="0.3">
      <c r="B57" s="193" t="s">
        <v>1243</v>
      </c>
      <c r="C57" s="106">
        <v>1930</v>
      </c>
      <c r="D57" s="106">
        <v>3380</v>
      </c>
      <c r="G57" s="106">
        <v>1</v>
      </c>
    </row>
    <row r="58" spans="2:7" x14ac:dyDescent="0.3">
      <c r="B58" s="193" t="s">
        <v>1244</v>
      </c>
      <c r="C58" s="106">
        <v>2150</v>
      </c>
      <c r="D58" s="106">
        <v>2700</v>
      </c>
      <c r="G58" s="106">
        <v>3</v>
      </c>
    </row>
    <row r="59" spans="2:7" x14ac:dyDescent="0.3">
      <c r="B59" s="193" t="s">
        <v>1245</v>
      </c>
      <c r="C59" s="106">
        <v>2200</v>
      </c>
      <c r="D59" s="106">
        <v>2880</v>
      </c>
      <c r="G59" s="106">
        <v>1</v>
      </c>
    </row>
    <row r="60" spans="2:7" x14ac:dyDescent="0.3">
      <c r="B60" s="193" t="s">
        <v>1246</v>
      </c>
      <c r="C60" s="106">
        <v>2370</v>
      </c>
      <c r="D60" s="106">
        <v>3380</v>
      </c>
      <c r="G60" s="106">
        <v>1</v>
      </c>
    </row>
    <row r="61" spans="2:7" x14ac:dyDescent="0.3">
      <c r="B61" s="193" t="s">
        <v>1247</v>
      </c>
      <c r="C61" s="106">
        <v>2500</v>
      </c>
      <c r="D61" s="106">
        <v>2700</v>
      </c>
      <c r="G61" s="106">
        <v>2</v>
      </c>
    </row>
    <row r="62" spans="2:7" x14ac:dyDescent="0.3">
      <c r="B62" s="193" t="s">
        <v>1248</v>
      </c>
      <c r="C62" s="106">
        <v>2800</v>
      </c>
      <c r="D62" s="106">
        <v>2700</v>
      </c>
      <c r="G62" s="106">
        <v>1</v>
      </c>
    </row>
    <row r="63" spans="2:7" x14ac:dyDescent="0.3">
      <c r="B63" s="193" t="s">
        <v>1249</v>
      </c>
      <c r="C63" s="106">
        <v>3300</v>
      </c>
      <c r="D63" s="106">
        <v>2880</v>
      </c>
      <c r="G63" s="106">
        <v>1</v>
      </c>
    </row>
    <row r="64" spans="2:7" x14ac:dyDescent="0.3">
      <c r="B64" s="193" t="s">
        <v>1250</v>
      </c>
      <c r="C64" s="106">
        <v>4800</v>
      </c>
      <c r="D64" s="106">
        <v>2700</v>
      </c>
      <c r="G64" s="106">
        <v>4</v>
      </c>
    </row>
    <row r="65" spans="2:7" x14ac:dyDescent="0.3">
      <c r="B65" s="193" t="s">
        <v>1251</v>
      </c>
      <c r="C65" s="106">
        <v>4800</v>
      </c>
      <c r="D65" s="106">
        <v>2880</v>
      </c>
      <c r="G65" s="106">
        <v>1</v>
      </c>
    </row>
    <row r="66" spans="2:7" x14ac:dyDescent="0.3">
      <c r="B66" s="193" t="s">
        <v>1252</v>
      </c>
      <c r="C66" s="106">
        <v>4850</v>
      </c>
      <c r="D66" s="106">
        <v>4200</v>
      </c>
      <c r="G66" s="106">
        <v>1</v>
      </c>
    </row>
    <row r="67" spans="2:7" x14ac:dyDescent="0.3">
      <c r="B67" s="193" t="s">
        <v>1253</v>
      </c>
      <c r="C67" s="106">
        <v>5150</v>
      </c>
      <c r="D67" s="106">
        <v>2700</v>
      </c>
      <c r="G67" s="106">
        <v>1</v>
      </c>
    </row>
    <row r="68" spans="2:7" x14ac:dyDescent="0.3">
      <c r="B68" s="193" t="s">
        <v>1254</v>
      </c>
      <c r="C68" s="106">
        <v>5350</v>
      </c>
      <c r="D68" s="106">
        <v>4200</v>
      </c>
      <c r="G68" s="106">
        <v>1</v>
      </c>
    </row>
  </sheetData>
  <mergeCells count="10">
    <mergeCell ref="A21:J21"/>
    <mergeCell ref="A16:K16"/>
    <mergeCell ref="C17:E17"/>
    <mergeCell ref="C18:E18"/>
    <mergeCell ref="C19:E19"/>
    <mergeCell ref="C20:E20"/>
    <mergeCell ref="F17:G17"/>
    <mergeCell ref="F18:G18"/>
    <mergeCell ref="F19:G19"/>
    <mergeCell ref="F20:G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zoomScale="85" zoomScaleNormal="85" workbookViewId="0">
      <selection activeCell="B5" sqref="B5:G5"/>
    </sheetView>
  </sheetViews>
  <sheetFormatPr defaultRowHeight="15.6" x14ac:dyDescent="0.3"/>
  <cols>
    <col min="1" max="1" width="7.33203125" style="181" customWidth="1"/>
    <col min="2" max="2" width="9.88671875" style="106" customWidth="1"/>
    <col min="3" max="3" width="12.77734375" style="106" customWidth="1"/>
    <col min="4" max="4" width="28.6640625" style="106" customWidth="1"/>
    <col min="5" max="5" width="3.88671875" style="106" customWidth="1"/>
    <col min="6" max="6" width="2" style="106" customWidth="1"/>
    <col min="7" max="7" width="8.21875" style="106" customWidth="1"/>
    <col min="8" max="8" width="10.6640625" style="106" customWidth="1"/>
    <col min="9" max="9" width="11.5546875" style="106" bestFit="1" customWidth="1"/>
    <col min="10" max="16384" width="8.88671875" style="106"/>
  </cols>
  <sheetData>
    <row r="1" spans="1:9" x14ac:dyDescent="0.3">
      <c r="A1" s="289" t="s">
        <v>1188</v>
      </c>
      <c r="B1" s="289"/>
      <c r="C1" s="289"/>
      <c r="D1" s="289"/>
      <c r="E1" s="289"/>
      <c r="F1" s="289"/>
      <c r="G1" s="289"/>
      <c r="H1" s="289"/>
      <c r="I1" s="289"/>
    </row>
    <row r="2" spans="1:9" s="158" customFormat="1" x14ac:dyDescent="0.3">
      <c r="A2" s="180" t="s">
        <v>829</v>
      </c>
      <c r="B2" s="322" t="s">
        <v>7</v>
      </c>
      <c r="C2" s="322"/>
      <c r="D2" s="322"/>
      <c r="E2" s="322"/>
      <c r="F2" s="322"/>
      <c r="G2" s="322"/>
      <c r="H2" s="37" t="s">
        <v>10</v>
      </c>
      <c r="I2" s="111" t="s">
        <v>830</v>
      </c>
    </row>
    <row r="3" spans="1:9" s="158" customFormat="1" ht="30" customHeight="1" x14ac:dyDescent="0.3">
      <c r="A3" s="134">
        <v>1</v>
      </c>
      <c r="B3" s="294" t="s">
        <v>1200</v>
      </c>
      <c r="C3" s="294"/>
      <c r="D3" s="294"/>
      <c r="E3" s="294"/>
      <c r="F3" s="294"/>
      <c r="G3" s="294"/>
      <c r="H3" s="109" t="s">
        <v>15</v>
      </c>
      <c r="I3" s="159">
        <f>C15</f>
        <v>1688.585</v>
      </c>
    </row>
    <row r="4" spans="1:9" s="158" customFormat="1" ht="30.6" customHeight="1" x14ac:dyDescent="0.3">
      <c r="A4" s="134">
        <v>2</v>
      </c>
      <c r="B4" s="294" t="s">
        <v>1201</v>
      </c>
      <c r="C4" s="294"/>
      <c r="D4" s="294"/>
      <c r="E4" s="294"/>
      <c r="F4" s="294"/>
      <c r="G4" s="294"/>
      <c r="H4" s="109" t="s">
        <v>15</v>
      </c>
      <c r="I4" s="159">
        <f>I3</f>
        <v>1688.585</v>
      </c>
    </row>
    <row r="5" spans="1:9" s="158" customFormat="1" ht="30.6" customHeight="1" x14ac:dyDescent="0.3">
      <c r="A5" s="134">
        <v>3</v>
      </c>
      <c r="B5" s="294" t="s">
        <v>1206</v>
      </c>
      <c r="C5" s="294"/>
      <c r="D5" s="294"/>
      <c r="E5" s="294"/>
      <c r="F5" s="294"/>
      <c r="G5" s="294"/>
      <c r="H5" s="109" t="s">
        <v>15</v>
      </c>
      <c r="I5" s="159">
        <f t="shared" ref="I5" si="0">I4</f>
        <v>1688.585</v>
      </c>
    </row>
    <row r="6" spans="1:9" s="158" customFormat="1" x14ac:dyDescent="0.3">
      <c r="A6" s="134">
        <v>4</v>
      </c>
      <c r="B6" s="294" t="s">
        <v>1202</v>
      </c>
      <c r="C6" s="294"/>
      <c r="D6" s="294"/>
      <c r="E6" s="294"/>
      <c r="F6" s="294"/>
      <c r="G6" s="294"/>
      <c r="H6" s="109" t="s">
        <v>15</v>
      </c>
      <c r="I6" s="159">
        <f>C21</f>
        <v>203.45099999999996</v>
      </c>
    </row>
    <row r="7" spans="1:9" s="158" customFormat="1" x14ac:dyDescent="0.3">
      <c r="A7" s="134">
        <v>5</v>
      </c>
      <c r="B7" s="294" t="s">
        <v>1203</v>
      </c>
      <c r="C7" s="294"/>
      <c r="D7" s="294"/>
      <c r="E7" s="294"/>
      <c r="F7" s="294"/>
      <c r="G7" s="294"/>
      <c r="H7" s="109" t="s">
        <v>15</v>
      </c>
      <c r="I7" s="159">
        <f>C28</f>
        <v>72.608999999999995</v>
      </c>
    </row>
    <row r="8" spans="1:9" s="158" customFormat="1" x14ac:dyDescent="0.3">
      <c r="A8" s="134">
        <v>6</v>
      </c>
      <c r="B8" s="294" t="s">
        <v>1204</v>
      </c>
      <c r="C8" s="294"/>
      <c r="D8" s="294"/>
      <c r="E8" s="294"/>
      <c r="F8" s="294"/>
      <c r="G8" s="294"/>
      <c r="H8" s="109" t="s">
        <v>15</v>
      </c>
      <c r="I8" s="159">
        <f>C35</f>
        <v>1374.6969999999999</v>
      </c>
    </row>
    <row r="9" spans="1:9" s="158" customFormat="1" x14ac:dyDescent="0.3">
      <c r="A9" s="134">
        <v>7</v>
      </c>
      <c r="B9" s="294" t="s">
        <v>1205</v>
      </c>
      <c r="C9" s="294"/>
      <c r="D9" s="294"/>
      <c r="E9" s="294"/>
      <c r="F9" s="294"/>
      <c r="G9" s="294"/>
      <c r="H9" s="109" t="s">
        <v>15</v>
      </c>
      <c r="I9" s="159">
        <f>I21</f>
        <v>37.827999999999996</v>
      </c>
    </row>
    <row r="10" spans="1:9" s="158" customFormat="1" ht="6" customHeight="1" x14ac:dyDescent="0.3">
      <c r="A10" s="319"/>
      <c r="B10" s="320"/>
      <c r="C10" s="321"/>
      <c r="D10" s="314"/>
      <c r="E10" s="315"/>
      <c r="F10" s="315"/>
      <c r="G10" s="315"/>
      <c r="H10" s="315"/>
      <c r="I10" s="315"/>
    </row>
    <row r="11" spans="1:9" x14ac:dyDescent="0.3">
      <c r="A11" s="170" t="s">
        <v>829</v>
      </c>
      <c r="B11" s="170" t="s">
        <v>1186</v>
      </c>
      <c r="C11" s="170" t="s">
        <v>1185</v>
      </c>
      <c r="D11" s="316"/>
      <c r="E11" s="317"/>
      <c r="F11" s="317"/>
      <c r="G11" s="317"/>
      <c r="H11" s="317"/>
      <c r="I11" s="317"/>
    </row>
    <row r="12" spans="1:9" x14ac:dyDescent="0.3">
      <c r="A12" s="170">
        <v>1</v>
      </c>
      <c r="B12" s="170">
        <v>1</v>
      </c>
      <c r="C12" s="170">
        <f>C18+I18+C25+C32</f>
        <v>631.9</v>
      </c>
      <c r="D12" s="316"/>
      <c r="E12" s="317"/>
      <c r="F12" s="317"/>
      <c r="G12" s="317"/>
      <c r="H12" s="317"/>
      <c r="I12" s="317"/>
    </row>
    <row r="13" spans="1:9" x14ac:dyDescent="0.3">
      <c r="A13" s="170">
        <v>2</v>
      </c>
      <c r="B13" s="170">
        <v>2</v>
      </c>
      <c r="C13" s="171">
        <f>C19+I19+C26+C33</f>
        <v>559.50399999999991</v>
      </c>
      <c r="D13" s="316"/>
      <c r="E13" s="317"/>
      <c r="F13" s="317"/>
      <c r="G13" s="317"/>
      <c r="H13" s="317"/>
      <c r="I13" s="317"/>
    </row>
    <row r="14" spans="1:9" x14ac:dyDescent="0.3">
      <c r="A14" s="170">
        <v>3</v>
      </c>
      <c r="B14" s="170">
        <v>3</v>
      </c>
      <c r="C14" s="171">
        <f>C20+I20+C27+C34</f>
        <v>497.18099999999998</v>
      </c>
      <c r="D14" s="316"/>
      <c r="E14" s="317"/>
      <c r="F14" s="317"/>
      <c r="G14" s="317"/>
      <c r="H14" s="317"/>
      <c r="I14" s="317"/>
    </row>
    <row r="15" spans="1:9" x14ac:dyDescent="0.3">
      <c r="A15" s="312" t="s">
        <v>843</v>
      </c>
      <c r="B15" s="312"/>
      <c r="C15" s="170">
        <f>SUM(C12:C14)</f>
        <v>1688.585</v>
      </c>
      <c r="D15" s="316"/>
      <c r="E15" s="317"/>
      <c r="F15" s="317"/>
      <c r="G15" s="317"/>
      <c r="H15" s="317"/>
      <c r="I15" s="317"/>
    </row>
    <row r="16" spans="1:9" x14ac:dyDescent="0.3">
      <c r="A16" s="313" t="s">
        <v>1042</v>
      </c>
      <c r="B16" s="313"/>
      <c r="C16" s="313"/>
      <c r="D16" s="288"/>
      <c r="E16" s="288"/>
      <c r="F16" s="288"/>
      <c r="G16" s="318" t="s">
        <v>1192</v>
      </c>
      <c r="H16" s="318"/>
      <c r="I16" s="318"/>
    </row>
    <row r="17" spans="1:9" x14ac:dyDescent="0.3">
      <c r="A17" s="170" t="s">
        <v>829</v>
      </c>
      <c r="B17" s="170" t="s">
        <v>1186</v>
      </c>
      <c r="C17" s="170" t="s">
        <v>1185</v>
      </c>
      <c r="D17" s="288"/>
      <c r="E17" s="288"/>
      <c r="F17" s="288"/>
      <c r="G17" s="170" t="s">
        <v>829</v>
      </c>
      <c r="H17" s="170" t="s">
        <v>1186</v>
      </c>
      <c r="I17" s="170" t="s">
        <v>1185</v>
      </c>
    </row>
    <row r="18" spans="1:9" x14ac:dyDescent="0.3">
      <c r="A18" s="170">
        <v>1</v>
      </c>
      <c r="B18" s="170">
        <v>1</v>
      </c>
      <c r="C18" s="170">
        <f>3.38*8+(1.5*4 + 1.1*4)*3.3+(6.8+9.19)*3.3</f>
        <v>114.12699999999998</v>
      </c>
      <c r="D18" s="288"/>
      <c r="E18" s="288"/>
      <c r="F18" s="288"/>
      <c r="G18" s="170">
        <v>1</v>
      </c>
      <c r="H18" s="170">
        <v>1</v>
      </c>
      <c r="I18" s="170">
        <f>(1.5*4 + 1.1*4)*0.7</f>
        <v>7.2799999999999994</v>
      </c>
    </row>
    <row r="19" spans="1:9" x14ac:dyDescent="0.3">
      <c r="A19" s="170">
        <v>2</v>
      </c>
      <c r="B19" s="170">
        <v>2</v>
      </c>
      <c r="C19" s="170">
        <f>8*2.8+7.2*3.3</f>
        <v>46.16</v>
      </c>
      <c r="D19" s="288"/>
      <c r="E19" s="288"/>
      <c r="F19" s="288"/>
      <c r="G19" s="170">
        <v>2</v>
      </c>
      <c r="H19" s="170">
        <v>2</v>
      </c>
      <c r="I19" s="170">
        <f>7.2*0.7+12.14*0.7</f>
        <v>13.538</v>
      </c>
    </row>
    <row r="20" spans="1:9" x14ac:dyDescent="0.3">
      <c r="A20" s="170">
        <v>3</v>
      </c>
      <c r="B20" s="170">
        <v>3</v>
      </c>
      <c r="C20" s="170">
        <f>3.38*7.8+4.2*4</f>
        <v>43.164000000000001</v>
      </c>
      <c r="D20" s="288"/>
      <c r="E20" s="288"/>
      <c r="F20" s="288"/>
      <c r="G20" s="170">
        <v>3</v>
      </c>
      <c r="H20" s="170">
        <v>3</v>
      </c>
      <c r="I20" s="170">
        <f>24.3*0.7</f>
        <v>17.009999999999998</v>
      </c>
    </row>
    <row r="21" spans="1:9" x14ac:dyDescent="0.3">
      <c r="A21" s="312" t="s">
        <v>843</v>
      </c>
      <c r="B21" s="312"/>
      <c r="C21" s="170">
        <f>SUM(C18:C20)</f>
        <v>203.45099999999996</v>
      </c>
      <c r="D21" s="288"/>
      <c r="E21" s="288"/>
      <c r="F21" s="288"/>
      <c r="G21" s="312" t="s">
        <v>843</v>
      </c>
      <c r="H21" s="312"/>
      <c r="I21" s="170">
        <f>SUM(I18:I20)</f>
        <v>37.827999999999996</v>
      </c>
    </row>
    <row r="22" spans="1:9" x14ac:dyDescent="0.3">
      <c r="A22" s="319"/>
      <c r="B22" s="320"/>
      <c r="C22" s="321"/>
      <c r="D22" s="288"/>
      <c r="E22" s="288"/>
      <c r="F22" s="288"/>
      <c r="G22" s="311"/>
      <c r="H22" s="311"/>
      <c r="I22" s="311"/>
    </row>
    <row r="23" spans="1:9" x14ac:dyDescent="0.3">
      <c r="A23" s="313" t="s">
        <v>878</v>
      </c>
      <c r="B23" s="313"/>
      <c r="C23" s="313"/>
      <c r="D23" s="288"/>
      <c r="E23" s="288"/>
      <c r="F23" s="288"/>
      <c r="G23" s="288"/>
      <c r="H23" s="288"/>
      <c r="I23" s="288"/>
    </row>
    <row r="24" spans="1:9" x14ac:dyDescent="0.3">
      <c r="A24" s="170" t="s">
        <v>829</v>
      </c>
      <c r="B24" s="170" t="s">
        <v>1186</v>
      </c>
      <c r="C24" s="170" t="s">
        <v>1185</v>
      </c>
      <c r="D24" s="288"/>
      <c r="E24" s="288"/>
      <c r="F24" s="288"/>
      <c r="G24" s="288"/>
      <c r="H24" s="288"/>
      <c r="I24" s="288"/>
    </row>
    <row r="25" spans="1:9" x14ac:dyDescent="0.3">
      <c r="A25" s="170">
        <v>1</v>
      </c>
      <c r="B25" s="170">
        <v>1</v>
      </c>
      <c r="C25" s="170">
        <f>0.62*8+1.1*4+6.9*0.7+(6.8+9.19)*0.7</f>
        <v>25.382999999999996</v>
      </c>
      <c r="D25" s="288"/>
      <c r="E25" s="288"/>
      <c r="F25" s="288"/>
      <c r="G25" s="288"/>
      <c r="H25" s="288"/>
      <c r="I25" s="288"/>
    </row>
    <row r="26" spans="1:9" x14ac:dyDescent="0.3">
      <c r="A26" s="170">
        <v>2</v>
      </c>
      <c r="B26" s="170">
        <v>2</v>
      </c>
      <c r="C26" s="170">
        <f>2.2*0.7</f>
        <v>1.54</v>
      </c>
      <c r="D26" s="288"/>
      <c r="E26" s="288"/>
      <c r="F26" s="288"/>
      <c r="G26" s="288"/>
      <c r="H26" s="288"/>
      <c r="I26" s="288"/>
    </row>
    <row r="27" spans="1:9" x14ac:dyDescent="0.3">
      <c r="A27" s="170">
        <v>3</v>
      </c>
      <c r="B27" s="170">
        <v>3</v>
      </c>
      <c r="C27" s="170">
        <f>2.16*4+0.62*7.8+0.7*1.8+5*4+4*0.62+12.1*0.7</f>
        <v>45.686</v>
      </c>
      <c r="D27" s="288"/>
      <c r="E27" s="288"/>
      <c r="F27" s="288"/>
      <c r="G27" s="288"/>
      <c r="H27" s="288"/>
      <c r="I27" s="288"/>
    </row>
    <row r="28" spans="1:9" x14ac:dyDescent="0.3">
      <c r="A28" s="312" t="s">
        <v>843</v>
      </c>
      <c r="B28" s="312"/>
      <c r="C28" s="170">
        <f>SUM(C25:C27)</f>
        <v>72.608999999999995</v>
      </c>
      <c r="D28" s="288"/>
      <c r="E28" s="288"/>
      <c r="F28" s="288"/>
      <c r="G28" s="288"/>
      <c r="H28" s="288"/>
      <c r="I28" s="288"/>
    </row>
    <row r="29" spans="1:9" x14ac:dyDescent="0.3">
      <c r="A29" s="319"/>
      <c r="B29" s="320"/>
      <c r="C29" s="321"/>
      <c r="D29" s="288"/>
      <c r="E29" s="288"/>
      <c r="F29" s="288"/>
      <c r="G29" s="288"/>
      <c r="H29" s="288"/>
      <c r="I29" s="288"/>
    </row>
    <row r="30" spans="1:9" x14ac:dyDescent="0.3">
      <c r="A30" s="313" t="s">
        <v>941</v>
      </c>
      <c r="B30" s="313"/>
      <c r="C30" s="313"/>
      <c r="D30" s="288"/>
      <c r="E30" s="288"/>
      <c r="F30" s="288"/>
      <c r="G30" s="288"/>
      <c r="H30" s="288"/>
      <c r="I30" s="288"/>
    </row>
    <row r="31" spans="1:9" x14ac:dyDescent="0.3">
      <c r="A31" s="170" t="s">
        <v>829</v>
      </c>
      <c r="B31" s="170" t="s">
        <v>1186</v>
      </c>
      <c r="C31" s="170" t="s">
        <v>1185</v>
      </c>
      <c r="D31" s="288"/>
      <c r="E31" s="288"/>
      <c r="F31" s="288"/>
      <c r="G31" s="288"/>
      <c r="H31" s="288"/>
      <c r="I31" s="288"/>
    </row>
    <row r="32" spans="1:9" x14ac:dyDescent="0.3">
      <c r="A32" s="170">
        <v>1</v>
      </c>
      <c r="B32" s="170">
        <v>1</v>
      </c>
      <c r="C32" s="170">
        <f>3.38*3+6.9*3.3+16.25*12.2+7.75*12.2+12.3*8+15.25*4</f>
        <v>485.11</v>
      </c>
      <c r="D32" s="288"/>
      <c r="E32" s="288"/>
      <c r="F32" s="288"/>
      <c r="G32" s="288"/>
      <c r="H32" s="288"/>
      <c r="I32" s="288"/>
    </row>
    <row r="33" spans="1:9" x14ac:dyDescent="0.3">
      <c r="A33" s="170">
        <v>2</v>
      </c>
      <c r="B33" s="170">
        <v>2</v>
      </c>
      <c r="C33" s="170">
        <f>4*15.2+1.6*8+1.3*3.38+4.2*4+12.14*3.3+14.35*4+5.6*8+24.13*4+17.3*9.1+2.2*3.3</f>
        <v>498.26599999999996</v>
      </c>
      <c r="D33" s="288"/>
      <c r="E33" s="288"/>
      <c r="F33" s="288"/>
      <c r="G33" s="288"/>
      <c r="H33" s="288"/>
      <c r="I33" s="288"/>
    </row>
    <row r="34" spans="1:9" x14ac:dyDescent="0.3">
      <c r="A34" s="170">
        <v>3</v>
      </c>
      <c r="B34" s="170">
        <v>3</v>
      </c>
      <c r="C34" s="170">
        <f>6*4+24.77*3.3+24.3*3.3+36.5*4+1.8*3.3+4*3.38+12.1*3.3</f>
        <v>391.32099999999997</v>
      </c>
      <c r="D34" s="288"/>
      <c r="E34" s="288"/>
      <c r="F34" s="288"/>
      <c r="G34" s="288"/>
      <c r="H34" s="288"/>
      <c r="I34" s="288"/>
    </row>
    <row r="35" spans="1:9" x14ac:dyDescent="0.3">
      <c r="A35" s="312" t="s">
        <v>843</v>
      </c>
      <c r="B35" s="312"/>
      <c r="C35" s="170">
        <f>SUM(C32:C34)</f>
        <v>1374.6969999999999</v>
      </c>
      <c r="D35" s="288"/>
      <c r="E35" s="288"/>
      <c r="F35" s="288"/>
      <c r="G35" s="288"/>
      <c r="H35" s="288"/>
      <c r="I35" s="288"/>
    </row>
  </sheetData>
  <mergeCells count="24">
    <mergeCell ref="B6:G6"/>
    <mergeCell ref="A10:C10"/>
    <mergeCell ref="A1:I1"/>
    <mergeCell ref="B2:G2"/>
    <mergeCell ref="B3:G3"/>
    <mergeCell ref="B4:G4"/>
    <mergeCell ref="B5:G5"/>
    <mergeCell ref="B7:G7"/>
    <mergeCell ref="B8:G8"/>
    <mergeCell ref="B9:G9"/>
    <mergeCell ref="G22:I35"/>
    <mergeCell ref="A21:B21"/>
    <mergeCell ref="A16:C16"/>
    <mergeCell ref="A15:B15"/>
    <mergeCell ref="D10:I15"/>
    <mergeCell ref="G16:I16"/>
    <mergeCell ref="G21:H21"/>
    <mergeCell ref="D16:F35"/>
    <mergeCell ref="A22:C22"/>
    <mergeCell ref="A29:C29"/>
    <mergeCell ref="A23:C23"/>
    <mergeCell ref="A28:B28"/>
    <mergeCell ref="A30:C30"/>
    <mergeCell ref="A35:B35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opLeftCell="A22" zoomScale="85" zoomScaleNormal="85" workbookViewId="0">
      <selection activeCell="A42" sqref="A42:XFD60"/>
    </sheetView>
  </sheetViews>
  <sheetFormatPr defaultRowHeight="15.6" x14ac:dyDescent="0.3"/>
  <cols>
    <col min="1" max="1" width="7.33203125" style="177" customWidth="1"/>
    <col min="2" max="2" width="6.88671875" style="106" customWidth="1"/>
    <col min="3" max="3" width="2.21875" style="106" customWidth="1"/>
    <col min="4" max="4" width="7.5546875" style="106" customWidth="1"/>
    <col min="5" max="5" width="8.21875" style="106" customWidth="1"/>
    <col min="6" max="6" width="2" style="106" customWidth="1"/>
    <col min="7" max="7" width="9.109375" style="106" bestFit="1" customWidth="1"/>
    <col min="8" max="8" width="9.33203125" style="106" customWidth="1"/>
    <col min="9" max="9" width="2.77734375" style="106" customWidth="1"/>
    <col min="10" max="10" width="5.88671875" style="106" bestFit="1" customWidth="1"/>
    <col min="11" max="11" width="5.5546875" style="106" bestFit="1" customWidth="1"/>
    <col min="12" max="12" width="3.21875" style="106" customWidth="1"/>
    <col min="13" max="13" width="5.88671875" style="106" bestFit="1" customWidth="1"/>
    <col min="14" max="14" width="5.5546875" style="106" bestFit="1" customWidth="1"/>
    <col min="15" max="15" width="3.88671875" style="106" customWidth="1"/>
    <col min="16" max="16" width="5.88671875" style="106" bestFit="1" customWidth="1"/>
    <col min="17" max="17" width="5.5546875" style="106" bestFit="1" customWidth="1"/>
    <col min="18" max="16384" width="8.88671875" style="106"/>
  </cols>
  <sheetData>
    <row r="1" spans="1:17" x14ac:dyDescent="0.3">
      <c r="A1" s="289" t="s">
        <v>1188</v>
      </c>
      <c r="B1" s="289"/>
      <c r="C1" s="289"/>
      <c r="D1" s="289"/>
      <c r="E1" s="289"/>
      <c r="F1" s="289"/>
      <c r="G1" s="289"/>
      <c r="H1" s="289"/>
      <c r="I1" s="326"/>
      <c r="J1" s="326"/>
      <c r="K1" s="326"/>
      <c r="L1" s="326"/>
      <c r="M1" s="326"/>
      <c r="N1" s="326"/>
      <c r="O1" s="326"/>
      <c r="P1" s="326"/>
      <c r="Q1" s="326"/>
    </row>
    <row r="2" spans="1:17" s="158" customFormat="1" ht="30" customHeight="1" x14ac:dyDescent="0.3">
      <c r="A2" s="176" t="s">
        <v>829</v>
      </c>
      <c r="B2" s="322" t="s">
        <v>7</v>
      </c>
      <c r="C2" s="322"/>
      <c r="D2" s="322"/>
      <c r="E2" s="322"/>
      <c r="F2" s="322"/>
      <c r="G2" s="37" t="s">
        <v>10</v>
      </c>
      <c r="H2" s="111" t="s">
        <v>830</v>
      </c>
      <c r="I2" s="326"/>
      <c r="J2" s="326"/>
      <c r="K2" s="326"/>
      <c r="L2" s="326"/>
      <c r="M2" s="326"/>
      <c r="N2" s="326"/>
      <c r="O2" s="326"/>
      <c r="P2" s="326"/>
      <c r="Q2" s="326"/>
    </row>
    <row r="3" spans="1:17" s="158" customFormat="1" ht="33" customHeight="1" x14ac:dyDescent="0.3">
      <c r="A3" s="134">
        <v>1</v>
      </c>
      <c r="B3" s="294" t="s">
        <v>1189</v>
      </c>
      <c r="C3" s="294"/>
      <c r="D3" s="294"/>
      <c r="E3" s="294"/>
      <c r="F3" s="294"/>
      <c r="G3" s="109" t="s">
        <v>1190</v>
      </c>
      <c r="H3" s="159">
        <f>B39+E19+H41+K39+N39+Q37</f>
        <v>5679</v>
      </c>
      <c r="I3" s="326"/>
      <c r="J3" s="326"/>
      <c r="K3" s="326"/>
      <c r="L3" s="326"/>
      <c r="M3" s="326"/>
      <c r="N3" s="326"/>
      <c r="O3" s="326"/>
      <c r="P3" s="326"/>
      <c r="Q3" s="326"/>
    </row>
    <row r="4" spans="1:17" x14ac:dyDescent="0.3">
      <c r="A4" s="325"/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</row>
    <row r="5" spans="1:17" s="177" customFormat="1" x14ac:dyDescent="0.3">
      <c r="A5" s="108" t="s">
        <v>1129</v>
      </c>
      <c r="B5" s="108" t="s">
        <v>1191</v>
      </c>
      <c r="C5" s="323"/>
      <c r="D5" s="108" t="s">
        <v>1129</v>
      </c>
      <c r="E5" s="108" t="s">
        <v>1191</v>
      </c>
      <c r="F5" s="323"/>
      <c r="G5" s="108" t="s">
        <v>1129</v>
      </c>
      <c r="H5" s="108" t="s">
        <v>1191</v>
      </c>
      <c r="I5" s="323"/>
      <c r="J5" s="108" t="s">
        <v>1129</v>
      </c>
      <c r="K5" s="108" t="s">
        <v>1191</v>
      </c>
      <c r="L5" s="323"/>
      <c r="M5" s="108" t="s">
        <v>1129</v>
      </c>
      <c r="N5" s="108" t="s">
        <v>1191</v>
      </c>
      <c r="O5" s="323"/>
      <c r="P5" s="108" t="s">
        <v>1129</v>
      </c>
      <c r="Q5" s="108" t="s">
        <v>1191</v>
      </c>
    </row>
    <row r="6" spans="1:17" x14ac:dyDescent="0.3">
      <c r="A6" s="179">
        <v>1006</v>
      </c>
      <c r="B6" s="179">
        <v>7</v>
      </c>
      <c r="C6" s="323"/>
      <c r="D6" s="179">
        <v>1112</v>
      </c>
      <c r="E6" s="179">
        <v>8</v>
      </c>
      <c r="F6" s="323"/>
      <c r="G6" s="179">
        <v>2001</v>
      </c>
      <c r="H6" s="179">
        <v>22.8</v>
      </c>
      <c r="I6" s="323"/>
      <c r="J6" s="179">
        <v>2036</v>
      </c>
      <c r="K6" s="179">
        <v>88.8</v>
      </c>
      <c r="L6" s="323"/>
      <c r="M6" s="179">
        <v>3001</v>
      </c>
      <c r="N6" s="179">
        <v>40</v>
      </c>
      <c r="O6" s="323"/>
      <c r="P6" s="179">
        <v>3034</v>
      </c>
      <c r="Q6" s="179">
        <v>6</v>
      </c>
    </row>
    <row r="7" spans="1:17" x14ac:dyDescent="0.3">
      <c r="A7" s="179">
        <v>1004</v>
      </c>
      <c r="B7" s="179">
        <v>4</v>
      </c>
      <c r="C7" s="323"/>
      <c r="D7" s="179">
        <v>1062</v>
      </c>
      <c r="E7" s="179">
        <v>34</v>
      </c>
      <c r="F7" s="323"/>
      <c r="G7" s="179">
        <v>2002</v>
      </c>
      <c r="H7" s="179">
        <v>57.599999999999994</v>
      </c>
      <c r="I7" s="323"/>
      <c r="J7" s="179">
        <v>2037</v>
      </c>
      <c r="K7" s="179">
        <v>151.19999999999999</v>
      </c>
      <c r="L7" s="323"/>
      <c r="M7" s="179">
        <v>3002</v>
      </c>
      <c r="N7" s="179">
        <v>40</v>
      </c>
      <c r="O7" s="323"/>
      <c r="P7" s="179">
        <v>3035</v>
      </c>
      <c r="Q7" s="179">
        <v>48</v>
      </c>
    </row>
    <row r="8" spans="1:17" x14ac:dyDescent="0.3">
      <c r="A8" s="179">
        <v>1005</v>
      </c>
      <c r="B8" s="179">
        <v>3</v>
      </c>
      <c r="C8" s="323"/>
      <c r="D8" s="179">
        <v>1061</v>
      </c>
      <c r="E8" s="179">
        <v>24</v>
      </c>
      <c r="F8" s="323"/>
      <c r="G8" s="179">
        <v>2003</v>
      </c>
      <c r="H8" s="179">
        <v>112.8</v>
      </c>
      <c r="I8" s="323"/>
      <c r="J8" s="179">
        <v>2038</v>
      </c>
      <c r="K8" s="179">
        <v>57.599999999999994</v>
      </c>
      <c r="L8" s="323"/>
      <c r="M8" s="179">
        <v>3003</v>
      </c>
      <c r="N8" s="179">
        <v>36</v>
      </c>
      <c r="O8" s="323"/>
      <c r="P8" s="179">
        <v>3036</v>
      </c>
      <c r="Q8" s="179">
        <v>16</v>
      </c>
    </row>
    <row r="9" spans="1:17" x14ac:dyDescent="0.3">
      <c r="A9" s="179">
        <v>1007</v>
      </c>
      <c r="B9" s="179">
        <v>20</v>
      </c>
      <c r="C9" s="323"/>
      <c r="D9" s="179">
        <v>1067</v>
      </c>
      <c r="E9" s="179">
        <v>15</v>
      </c>
      <c r="F9" s="323"/>
      <c r="G9" s="179">
        <v>2004</v>
      </c>
      <c r="H9" s="179">
        <v>45.6</v>
      </c>
      <c r="I9" s="323"/>
      <c r="J9" s="179">
        <v>2039</v>
      </c>
      <c r="K9" s="179">
        <v>50.4</v>
      </c>
      <c r="L9" s="323"/>
      <c r="M9" s="179">
        <v>3004</v>
      </c>
      <c r="N9" s="179">
        <v>88</v>
      </c>
      <c r="O9" s="323"/>
      <c r="P9" s="179">
        <v>3037</v>
      </c>
      <c r="Q9" s="179">
        <v>77</v>
      </c>
    </row>
    <row r="10" spans="1:17" x14ac:dyDescent="0.3">
      <c r="A10" s="179">
        <v>1009</v>
      </c>
      <c r="B10" s="179">
        <v>9</v>
      </c>
      <c r="C10" s="323"/>
      <c r="D10" s="179">
        <v>1073</v>
      </c>
      <c r="E10" s="179">
        <v>21</v>
      </c>
      <c r="F10" s="323"/>
      <c r="G10" s="179">
        <v>2005</v>
      </c>
      <c r="H10" s="179">
        <v>40.799999999999997</v>
      </c>
      <c r="I10" s="323"/>
      <c r="J10" s="179">
        <v>2040</v>
      </c>
      <c r="K10" s="179">
        <v>36</v>
      </c>
      <c r="L10" s="323"/>
      <c r="M10" s="179">
        <v>3005</v>
      </c>
      <c r="N10" s="179">
        <v>17</v>
      </c>
      <c r="O10" s="323"/>
      <c r="P10" s="179">
        <v>3038</v>
      </c>
      <c r="Q10" s="179">
        <v>122</v>
      </c>
    </row>
    <row r="11" spans="1:17" x14ac:dyDescent="0.3">
      <c r="A11" s="179">
        <v>1052</v>
      </c>
      <c r="B11" s="179">
        <v>2</v>
      </c>
      <c r="C11" s="323"/>
      <c r="D11" s="179">
        <v>1070</v>
      </c>
      <c r="E11" s="179">
        <v>9</v>
      </c>
      <c r="F11" s="323"/>
      <c r="G11" s="179">
        <v>2006</v>
      </c>
      <c r="H11" s="179">
        <v>9.6</v>
      </c>
      <c r="I11" s="323"/>
      <c r="J11" s="179">
        <v>2041</v>
      </c>
      <c r="K11" s="179">
        <v>48</v>
      </c>
      <c r="L11" s="323"/>
      <c r="M11" s="179">
        <v>3006</v>
      </c>
      <c r="N11" s="179">
        <v>39</v>
      </c>
      <c r="O11" s="323"/>
      <c r="P11" s="179">
        <v>3039</v>
      </c>
      <c r="Q11" s="179">
        <v>22</v>
      </c>
    </row>
    <row r="12" spans="1:17" x14ac:dyDescent="0.3">
      <c r="A12" s="179">
        <v>1088</v>
      </c>
      <c r="B12" s="179">
        <v>7</v>
      </c>
      <c r="C12" s="323"/>
      <c r="D12" s="179">
        <v>1079</v>
      </c>
      <c r="E12" s="179">
        <v>8</v>
      </c>
      <c r="F12" s="323"/>
      <c r="G12" s="179">
        <v>2007</v>
      </c>
      <c r="H12" s="179">
        <v>14.399999999999999</v>
      </c>
      <c r="I12" s="323"/>
      <c r="J12" s="179">
        <v>2042</v>
      </c>
      <c r="K12" s="179">
        <v>69.599999999999994</v>
      </c>
      <c r="L12" s="323"/>
      <c r="M12" s="179">
        <v>3007</v>
      </c>
      <c r="N12" s="179">
        <v>34</v>
      </c>
      <c r="O12" s="323"/>
      <c r="P12" s="179">
        <v>3040</v>
      </c>
      <c r="Q12" s="179">
        <v>88</v>
      </c>
    </row>
    <row r="13" spans="1:17" x14ac:dyDescent="0.3">
      <c r="A13" s="179">
        <v>1011</v>
      </c>
      <c r="B13" s="179">
        <v>6</v>
      </c>
      <c r="C13" s="323"/>
      <c r="D13" s="179">
        <v>1084</v>
      </c>
      <c r="E13" s="179">
        <v>5</v>
      </c>
      <c r="F13" s="323"/>
      <c r="G13" s="179">
        <v>2008</v>
      </c>
      <c r="H13" s="179">
        <v>9.6</v>
      </c>
      <c r="I13" s="323"/>
      <c r="J13" s="179">
        <v>2043</v>
      </c>
      <c r="K13" s="179">
        <v>31.2</v>
      </c>
      <c r="L13" s="323"/>
      <c r="M13" s="179">
        <v>3008</v>
      </c>
      <c r="N13" s="179">
        <v>2</v>
      </c>
      <c r="O13" s="323"/>
      <c r="P13" s="179">
        <v>3041</v>
      </c>
      <c r="Q13" s="179">
        <v>132</v>
      </c>
    </row>
    <row r="14" spans="1:17" x14ac:dyDescent="0.3">
      <c r="A14" s="179">
        <v>1012</v>
      </c>
      <c r="B14" s="179">
        <v>15</v>
      </c>
      <c r="C14" s="323"/>
      <c r="D14" s="179">
        <v>1080</v>
      </c>
      <c r="E14" s="179">
        <v>15</v>
      </c>
      <c r="F14" s="323"/>
      <c r="G14" s="179">
        <v>2009</v>
      </c>
      <c r="H14" s="179">
        <v>31.2</v>
      </c>
      <c r="I14" s="323"/>
      <c r="J14" s="179">
        <v>2044</v>
      </c>
      <c r="K14" s="179">
        <v>0</v>
      </c>
      <c r="L14" s="323"/>
      <c r="M14" s="179">
        <v>3009</v>
      </c>
      <c r="N14" s="179">
        <v>5</v>
      </c>
      <c r="O14" s="323"/>
      <c r="P14" s="179">
        <v>3042</v>
      </c>
      <c r="Q14" s="179">
        <v>5</v>
      </c>
    </row>
    <row r="15" spans="1:17" x14ac:dyDescent="0.3">
      <c r="A15" s="179">
        <v>1002</v>
      </c>
      <c r="B15" s="179">
        <v>19</v>
      </c>
      <c r="C15" s="323"/>
      <c r="D15" s="179">
        <v>1068</v>
      </c>
      <c r="E15" s="179">
        <v>14</v>
      </c>
      <c r="F15" s="323"/>
      <c r="G15" s="179">
        <v>2010</v>
      </c>
      <c r="H15" s="179">
        <v>6</v>
      </c>
      <c r="I15" s="323"/>
      <c r="J15" s="179">
        <v>2045</v>
      </c>
      <c r="K15" s="179">
        <v>112.8</v>
      </c>
      <c r="L15" s="323"/>
      <c r="M15" s="179">
        <v>3010</v>
      </c>
      <c r="N15" s="179">
        <v>82</v>
      </c>
      <c r="O15" s="323"/>
      <c r="P15" s="179">
        <v>3043</v>
      </c>
      <c r="Q15" s="179">
        <v>8</v>
      </c>
    </row>
    <row r="16" spans="1:17" x14ac:dyDescent="0.3">
      <c r="A16" s="179">
        <v>1008</v>
      </c>
      <c r="B16" s="179">
        <v>9</v>
      </c>
      <c r="C16" s="323"/>
      <c r="D16" s="179">
        <v>1057</v>
      </c>
      <c r="E16" s="179">
        <v>25</v>
      </c>
      <c r="F16" s="323"/>
      <c r="G16" s="179">
        <v>2011</v>
      </c>
      <c r="H16" s="179">
        <v>2.4</v>
      </c>
      <c r="I16" s="323"/>
      <c r="J16" s="179">
        <v>2046</v>
      </c>
      <c r="K16" s="179">
        <v>148.79999999999998</v>
      </c>
      <c r="L16" s="323"/>
      <c r="M16" s="179">
        <v>3011</v>
      </c>
      <c r="N16" s="179">
        <v>60</v>
      </c>
      <c r="O16" s="323"/>
      <c r="P16" s="179">
        <v>3044</v>
      </c>
      <c r="Q16" s="179">
        <v>2</v>
      </c>
    </row>
    <row r="17" spans="1:17" x14ac:dyDescent="0.3">
      <c r="A17" s="179">
        <v>1016</v>
      </c>
      <c r="B17" s="179">
        <v>4</v>
      </c>
      <c r="C17" s="323"/>
      <c r="D17" s="179">
        <v>1048</v>
      </c>
      <c r="E17" s="179">
        <v>18</v>
      </c>
      <c r="F17" s="323"/>
      <c r="G17" s="179">
        <v>2012</v>
      </c>
      <c r="H17" s="179">
        <v>74.399999999999991</v>
      </c>
      <c r="I17" s="323"/>
      <c r="J17" s="179">
        <v>2047</v>
      </c>
      <c r="K17" s="179">
        <v>14.399999999999999</v>
      </c>
      <c r="L17" s="323"/>
      <c r="M17" s="179">
        <v>3012</v>
      </c>
      <c r="N17" s="179">
        <v>126</v>
      </c>
      <c r="O17" s="323"/>
      <c r="P17" s="179">
        <v>3045</v>
      </c>
      <c r="Q17" s="179">
        <v>20</v>
      </c>
    </row>
    <row r="18" spans="1:17" x14ac:dyDescent="0.3">
      <c r="A18" s="179">
        <v>1085</v>
      </c>
      <c r="B18" s="179">
        <v>27</v>
      </c>
      <c r="C18" s="323"/>
      <c r="D18" s="179">
        <v>1045</v>
      </c>
      <c r="E18" s="179">
        <v>23</v>
      </c>
      <c r="F18" s="323"/>
      <c r="G18" s="179">
        <v>2013</v>
      </c>
      <c r="H18" s="179">
        <v>52.8</v>
      </c>
      <c r="I18" s="323"/>
      <c r="J18" s="179">
        <v>2048</v>
      </c>
      <c r="K18" s="179">
        <v>45.6</v>
      </c>
      <c r="L18" s="323"/>
      <c r="M18" s="179">
        <v>3013</v>
      </c>
      <c r="N18" s="179">
        <v>40</v>
      </c>
      <c r="O18" s="323"/>
      <c r="P18" s="179">
        <v>3046</v>
      </c>
      <c r="Q18" s="179">
        <v>22</v>
      </c>
    </row>
    <row r="19" spans="1:17" x14ac:dyDescent="0.3">
      <c r="A19" s="179">
        <v>1026</v>
      </c>
      <c r="B19" s="179">
        <v>3</v>
      </c>
      <c r="C19" s="323"/>
      <c r="D19" s="108" t="s">
        <v>843</v>
      </c>
      <c r="E19" s="133">
        <f>SUM(E6:E18)</f>
        <v>219</v>
      </c>
      <c r="F19" s="323"/>
      <c r="G19" s="179">
        <v>2014</v>
      </c>
      <c r="H19" s="179">
        <v>57.599999999999994</v>
      </c>
      <c r="I19" s="323"/>
      <c r="J19" s="179">
        <v>2049</v>
      </c>
      <c r="K19" s="179">
        <v>96</v>
      </c>
      <c r="L19" s="323"/>
      <c r="M19" s="179">
        <v>3014</v>
      </c>
      <c r="N19" s="179">
        <v>56</v>
      </c>
      <c r="O19" s="323"/>
      <c r="P19" s="179">
        <v>3047</v>
      </c>
      <c r="Q19" s="179">
        <v>33</v>
      </c>
    </row>
    <row r="20" spans="1:17" x14ac:dyDescent="0.3">
      <c r="A20" s="179">
        <v>1027</v>
      </c>
      <c r="B20" s="179">
        <v>3</v>
      </c>
      <c r="C20" s="323"/>
      <c r="D20" s="324"/>
      <c r="E20" s="324"/>
      <c r="F20" s="323"/>
      <c r="G20" s="179">
        <v>2015</v>
      </c>
      <c r="H20" s="179">
        <v>52.8</v>
      </c>
      <c r="I20" s="323"/>
      <c r="J20" s="179">
        <v>2050</v>
      </c>
      <c r="K20" s="179">
        <v>7.1999999999999993</v>
      </c>
      <c r="L20" s="323"/>
      <c r="M20" s="179">
        <v>3015</v>
      </c>
      <c r="N20" s="179">
        <v>12</v>
      </c>
      <c r="O20" s="323"/>
      <c r="P20" s="179">
        <v>3048</v>
      </c>
      <c r="Q20" s="179">
        <v>65</v>
      </c>
    </row>
    <row r="21" spans="1:17" x14ac:dyDescent="0.3">
      <c r="A21" s="179">
        <v>1024</v>
      </c>
      <c r="B21" s="179">
        <v>3</v>
      </c>
      <c r="C21" s="323"/>
      <c r="D21" s="324"/>
      <c r="E21" s="324"/>
      <c r="F21" s="323"/>
      <c r="G21" s="179">
        <v>2016</v>
      </c>
      <c r="H21" s="179">
        <v>48</v>
      </c>
      <c r="I21" s="323"/>
      <c r="J21" s="179">
        <v>2053</v>
      </c>
      <c r="K21" s="179">
        <v>14.399999999999999</v>
      </c>
      <c r="L21" s="323"/>
      <c r="M21" s="179">
        <v>3016</v>
      </c>
      <c r="N21" s="179">
        <v>35</v>
      </c>
      <c r="O21" s="323"/>
      <c r="P21" s="179">
        <v>3049</v>
      </c>
      <c r="Q21" s="179">
        <v>30</v>
      </c>
    </row>
    <row r="22" spans="1:17" x14ac:dyDescent="0.3">
      <c r="A22" s="179">
        <v>1017</v>
      </c>
      <c r="B22" s="179">
        <v>3</v>
      </c>
      <c r="C22" s="323"/>
      <c r="D22" s="324"/>
      <c r="E22" s="324"/>
      <c r="F22" s="323"/>
      <c r="G22" s="179">
        <v>2017</v>
      </c>
      <c r="H22" s="179">
        <v>151.19999999999999</v>
      </c>
      <c r="I22" s="323"/>
      <c r="J22" s="179">
        <v>2054</v>
      </c>
      <c r="K22" s="179">
        <v>3.5999999999999996</v>
      </c>
      <c r="L22" s="323"/>
      <c r="M22" s="179">
        <v>3017</v>
      </c>
      <c r="N22" s="179">
        <v>10</v>
      </c>
      <c r="O22" s="323"/>
      <c r="P22" s="179">
        <v>3050</v>
      </c>
      <c r="Q22" s="179">
        <v>82</v>
      </c>
    </row>
    <row r="23" spans="1:17" x14ac:dyDescent="0.3">
      <c r="A23" s="179">
        <v>1022</v>
      </c>
      <c r="B23" s="179">
        <v>7</v>
      </c>
      <c r="C23" s="323"/>
      <c r="D23" s="324"/>
      <c r="E23" s="324"/>
      <c r="F23" s="323"/>
      <c r="G23" s="179">
        <v>2018</v>
      </c>
      <c r="H23" s="179">
        <v>2.4</v>
      </c>
      <c r="I23" s="323"/>
      <c r="J23" s="179">
        <v>2055</v>
      </c>
      <c r="K23" s="179">
        <v>18</v>
      </c>
      <c r="L23" s="323"/>
      <c r="M23" s="179">
        <v>3018</v>
      </c>
      <c r="N23" s="179">
        <v>12</v>
      </c>
      <c r="O23" s="323"/>
      <c r="P23" s="179">
        <v>3051</v>
      </c>
      <c r="Q23" s="179">
        <v>61</v>
      </c>
    </row>
    <row r="24" spans="1:17" x14ac:dyDescent="0.3">
      <c r="A24" s="179">
        <v>1036</v>
      </c>
      <c r="B24" s="179">
        <v>21</v>
      </c>
      <c r="C24" s="323"/>
      <c r="D24" s="324"/>
      <c r="E24" s="324"/>
      <c r="F24" s="323"/>
      <c r="G24" s="179">
        <v>2019</v>
      </c>
      <c r="H24" s="179">
        <v>2.4</v>
      </c>
      <c r="I24" s="323"/>
      <c r="J24" s="179">
        <v>2056</v>
      </c>
      <c r="K24" s="179">
        <v>9.6</v>
      </c>
      <c r="L24" s="323"/>
      <c r="M24" s="179">
        <v>3019</v>
      </c>
      <c r="N24" s="179">
        <v>140</v>
      </c>
      <c r="O24" s="323"/>
      <c r="P24" s="179">
        <v>3052</v>
      </c>
      <c r="Q24" s="179">
        <v>0</v>
      </c>
    </row>
    <row r="25" spans="1:17" x14ac:dyDescent="0.3">
      <c r="A25" s="179">
        <v>1015</v>
      </c>
      <c r="B25" s="179">
        <v>34</v>
      </c>
      <c r="C25" s="323"/>
      <c r="D25" s="324"/>
      <c r="E25" s="324"/>
      <c r="F25" s="323"/>
      <c r="G25" s="179">
        <v>2020</v>
      </c>
      <c r="H25" s="179">
        <v>15.6</v>
      </c>
      <c r="I25" s="323"/>
      <c r="J25" s="179">
        <v>2057</v>
      </c>
      <c r="K25" s="179">
        <v>9.6</v>
      </c>
      <c r="L25" s="323"/>
      <c r="M25" s="179">
        <v>3020</v>
      </c>
      <c r="N25" s="179">
        <v>0</v>
      </c>
      <c r="O25" s="323"/>
      <c r="P25" s="179">
        <v>3053</v>
      </c>
      <c r="Q25" s="179">
        <v>88</v>
      </c>
    </row>
    <row r="26" spans="1:17" x14ac:dyDescent="0.3">
      <c r="A26" s="179">
        <v>1023</v>
      </c>
      <c r="B26" s="179">
        <v>16</v>
      </c>
      <c r="C26" s="323"/>
      <c r="D26" s="324"/>
      <c r="E26" s="324"/>
      <c r="F26" s="323"/>
      <c r="G26" s="179">
        <v>2021</v>
      </c>
      <c r="H26" s="179">
        <v>6</v>
      </c>
      <c r="I26" s="323"/>
      <c r="J26" s="179">
        <v>2058</v>
      </c>
      <c r="K26" s="179">
        <v>4.8</v>
      </c>
      <c r="L26" s="323"/>
      <c r="M26" s="179">
        <v>3021</v>
      </c>
      <c r="N26" s="179">
        <v>20</v>
      </c>
      <c r="O26" s="323"/>
      <c r="P26" s="179">
        <v>3054</v>
      </c>
      <c r="Q26" s="179">
        <v>44</v>
      </c>
    </row>
    <row r="27" spans="1:17" x14ac:dyDescent="0.3">
      <c r="A27" s="179">
        <v>1028</v>
      </c>
      <c r="B27" s="179">
        <v>17</v>
      </c>
      <c r="C27" s="323"/>
      <c r="D27" s="324"/>
      <c r="E27" s="324"/>
      <c r="F27" s="323"/>
      <c r="G27" s="179">
        <v>2022</v>
      </c>
      <c r="H27" s="179">
        <v>151.19999999999999</v>
      </c>
      <c r="I27" s="323"/>
      <c r="J27" s="179">
        <v>2059</v>
      </c>
      <c r="K27" s="179">
        <v>2.4</v>
      </c>
      <c r="L27" s="323"/>
      <c r="M27" s="179">
        <v>3022</v>
      </c>
      <c r="N27" s="179">
        <v>36</v>
      </c>
      <c r="O27" s="323"/>
      <c r="P27" s="179">
        <v>3055</v>
      </c>
      <c r="Q27" s="179">
        <v>5</v>
      </c>
    </row>
    <row r="28" spans="1:17" x14ac:dyDescent="0.3">
      <c r="A28" s="179">
        <v>1029</v>
      </c>
      <c r="B28" s="179">
        <v>15</v>
      </c>
      <c r="C28" s="323"/>
      <c r="D28" s="324"/>
      <c r="E28" s="324"/>
      <c r="F28" s="323"/>
      <c r="G28" s="179">
        <v>2023</v>
      </c>
      <c r="H28" s="179">
        <v>2.4</v>
      </c>
      <c r="I28" s="323"/>
      <c r="J28" s="179">
        <v>2060</v>
      </c>
      <c r="K28" s="179">
        <v>4.8</v>
      </c>
      <c r="L28" s="323"/>
      <c r="M28" s="179">
        <v>3023</v>
      </c>
      <c r="N28" s="179">
        <v>83</v>
      </c>
      <c r="O28" s="323"/>
      <c r="P28" s="179">
        <v>3057</v>
      </c>
      <c r="Q28" s="179">
        <v>5</v>
      </c>
    </row>
    <row r="29" spans="1:17" x14ac:dyDescent="0.3">
      <c r="A29" s="179">
        <v>1030</v>
      </c>
      <c r="B29" s="179">
        <v>10</v>
      </c>
      <c r="C29" s="323"/>
      <c r="D29" s="324"/>
      <c r="E29" s="324"/>
      <c r="F29" s="323"/>
      <c r="G29" s="179">
        <v>2024</v>
      </c>
      <c r="H29" s="179">
        <v>0</v>
      </c>
      <c r="I29" s="323"/>
      <c r="J29" s="179">
        <v>2061</v>
      </c>
      <c r="K29" s="179">
        <v>57.599999999999994</v>
      </c>
      <c r="L29" s="323"/>
      <c r="M29" s="179">
        <v>3024</v>
      </c>
      <c r="N29" s="179">
        <v>0</v>
      </c>
      <c r="O29" s="323"/>
      <c r="P29" s="179">
        <v>3058</v>
      </c>
      <c r="Q29" s="179">
        <v>54</v>
      </c>
    </row>
    <row r="30" spans="1:17" x14ac:dyDescent="0.3">
      <c r="A30" s="179">
        <v>1050</v>
      </c>
      <c r="B30" s="179">
        <v>4</v>
      </c>
      <c r="C30" s="323"/>
      <c r="D30" s="324"/>
      <c r="E30" s="324"/>
      <c r="F30" s="323"/>
      <c r="G30" s="179">
        <v>2025</v>
      </c>
      <c r="H30" s="179">
        <v>16.8</v>
      </c>
      <c r="I30" s="323"/>
      <c r="J30" s="179">
        <v>2062</v>
      </c>
      <c r="K30" s="179">
        <v>43.199999999999996</v>
      </c>
      <c r="L30" s="323"/>
      <c r="M30" s="179">
        <v>3025</v>
      </c>
      <c r="N30" s="179">
        <v>5</v>
      </c>
      <c r="O30" s="323"/>
      <c r="P30" s="179">
        <v>3059</v>
      </c>
      <c r="Q30" s="179">
        <v>104</v>
      </c>
    </row>
    <row r="31" spans="1:17" x14ac:dyDescent="0.3">
      <c r="A31" s="179">
        <v>1053</v>
      </c>
      <c r="B31" s="179">
        <v>8</v>
      </c>
      <c r="C31" s="323"/>
      <c r="D31" s="324"/>
      <c r="E31" s="324"/>
      <c r="F31" s="323"/>
      <c r="G31" s="179">
        <v>2026</v>
      </c>
      <c r="H31" s="179">
        <v>2.4</v>
      </c>
      <c r="I31" s="323"/>
      <c r="J31" s="179">
        <v>2063</v>
      </c>
      <c r="K31" s="179">
        <v>0</v>
      </c>
      <c r="L31" s="323"/>
      <c r="M31" s="179">
        <v>3026</v>
      </c>
      <c r="N31" s="179">
        <v>2</v>
      </c>
      <c r="O31" s="323"/>
      <c r="P31" s="179">
        <v>3061</v>
      </c>
      <c r="Q31" s="179">
        <v>2</v>
      </c>
    </row>
    <row r="32" spans="1:17" x14ac:dyDescent="0.3">
      <c r="A32" s="179">
        <v>1054</v>
      </c>
      <c r="B32" s="179">
        <v>9</v>
      </c>
      <c r="C32" s="323"/>
      <c r="D32" s="324"/>
      <c r="E32" s="324"/>
      <c r="F32" s="323"/>
      <c r="G32" s="179">
        <v>2027</v>
      </c>
      <c r="H32" s="179">
        <v>6</v>
      </c>
      <c r="I32" s="323"/>
      <c r="J32" s="179">
        <v>2064</v>
      </c>
      <c r="K32" s="179">
        <v>24</v>
      </c>
      <c r="L32" s="323"/>
      <c r="M32" s="179">
        <v>3027</v>
      </c>
      <c r="N32" s="179">
        <v>92</v>
      </c>
      <c r="O32" s="323"/>
      <c r="P32" s="179">
        <v>3062</v>
      </c>
      <c r="Q32" s="179">
        <v>2</v>
      </c>
    </row>
    <row r="33" spans="1:17" x14ac:dyDescent="0.3">
      <c r="A33" s="179">
        <v>1056</v>
      </c>
      <c r="B33" s="179">
        <v>15</v>
      </c>
      <c r="C33" s="323"/>
      <c r="D33" s="324"/>
      <c r="E33" s="324"/>
      <c r="F33" s="323"/>
      <c r="G33" s="179">
        <v>2028</v>
      </c>
      <c r="H33" s="179">
        <v>2.4</v>
      </c>
      <c r="I33" s="323"/>
      <c r="J33" s="179">
        <v>2065</v>
      </c>
      <c r="K33" s="179">
        <v>2.4</v>
      </c>
      <c r="L33" s="323"/>
      <c r="M33" s="179">
        <v>3028</v>
      </c>
      <c r="N33" s="179">
        <v>58</v>
      </c>
      <c r="O33" s="323"/>
      <c r="P33" s="179">
        <v>3063</v>
      </c>
      <c r="Q33" s="179">
        <v>20</v>
      </c>
    </row>
    <row r="34" spans="1:17" x14ac:dyDescent="0.3">
      <c r="A34" s="179">
        <v>1055</v>
      </c>
      <c r="B34" s="179">
        <v>23</v>
      </c>
      <c r="C34" s="323"/>
      <c r="D34" s="324"/>
      <c r="E34" s="324"/>
      <c r="F34" s="323"/>
      <c r="G34" s="179">
        <v>2029</v>
      </c>
      <c r="H34" s="179">
        <v>6</v>
      </c>
      <c r="I34" s="323"/>
      <c r="J34" s="179">
        <v>2066</v>
      </c>
      <c r="K34" s="179">
        <v>27.599999999999998</v>
      </c>
      <c r="L34" s="323"/>
      <c r="M34" s="179">
        <v>3029</v>
      </c>
      <c r="N34" s="179">
        <v>2</v>
      </c>
      <c r="O34" s="323"/>
      <c r="P34" s="179">
        <v>3064</v>
      </c>
      <c r="Q34" s="179">
        <v>5</v>
      </c>
    </row>
    <row r="35" spans="1:17" x14ac:dyDescent="0.3">
      <c r="A35" s="179">
        <v>1058</v>
      </c>
      <c r="B35" s="179">
        <v>7</v>
      </c>
      <c r="C35" s="323"/>
      <c r="D35" s="324"/>
      <c r="E35" s="324"/>
      <c r="F35" s="323"/>
      <c r="G35" s="179">
        <v>2030</v>
      </c>
      <c r="H35" s="179">
        <v>7.1999999999999993</v>
      </c>
      <c r="I35" s="323"/>
      <c r="J35" s="179">
        <v>2067</v>
      </c>
      <c r="K35" s="179">
        <v>81.599999999999994</v>
      </c>
      <c r="L35" s="323"/>
      <c r="M35" s="179">
        <v>3030</v>
      </c>
      <c r="N35" s="179">
        <v>50</v>
      </c>
      <c r="O35" s="323"/>
      <c r="P35" s="179">
        <v>3066</v>
      </c>
      <c r="Q35" s="179">
        <v>40</v>
      </c>
    </row>
    <row r="36" spans="1:17" x14ac:dyDescent="0.3">
      <c r="A36" s="179">
        <v>1059</v>
      </c>
      <c r="B36" s="179">
        <v>11</v>
      </c>
      <c r="C36" s="323"/>
      <c r="D36" s="324"/>
      <c r="E36" s="324"/>
      <c r="F36" s="323"/>
      <c r="G36" s="179">
        <v>2031</v>
      </c>
      <c r="H36" s="179">
        <v>21.599999999999998</v>
      </c>
      <c r="I36" s="323"/>
      <c r="J36" s="179">
        <v>2068</v>
      </c>
      <c r="K36" s="179">
        <v>38.4</v>
      </c>
      <c r="L36" s="323"/>
      <c r="M36" s="179">
        <v>3031</v>
      </c>
      <c r="N36" s="179">
        <v>54</v>
      </c>
      <c r="O36" s="323"/>
      <c r="P36" s="179">
        <v>3067</v>
      </c>
      <c r="Q36" s="179">
        <v>20</v>
      </c>
    </row>
    <row r="37" spans="1:17" x14ac:dyDescent="0.3">
      <c r="A37" s="179">
        <v>1087</v>
      </c>
      <c r="B37" s="179">
        <v>3</v>
      </c>
      <c r="C37" s="323"/>
      <c r="D37" s="324"/>
      <c r="E37" s="324"/>
      <c r="F37" s="323"/>
      <c r="G37" s="179">
        <v>2032</v>
      </c>
      <c r="H37" s="179">
        <v>45.6</v>
      </c>
      <c r="I37" s="323"/>
      <c r="J37" s="179">
        <v>2070</v>
      </c>
      <c r="K37" s="179">
        <v>52.8</v>
      </c>
      <c r="L37" s="323"/>
      <c r="M37" s="179">
        <v>3032</v>
      </c>
      <c r="N37" s="179">
        <v>42</v>
      </c>
      <c r="O37" s="323"/>
      <c r="P37" s="108" t="s">
        <v>843</v>
      </c>
      <c r="Q37" s="133">
        <f>SUM(Q6:Q36)</f>
        <v>1228</v>
      </c>
    </row>
    <row r="38" spans="1:17" x14ac:dyDescent="0.3">
      <c r="A38" s="179">
        <v>1051</v>
      </c>
      <c r="B38" s="179">
        <v>4</v>
      </c>
      <c r="C38" s="323"/>
      <c r="D38" s="324"/>
      <c r="E38" s="324"/>
      <c r="F38" s="323"/>
      <c r="G38" s="179">
        <v>2033</v>
      </c>
      <c r="H38" s="179">
        <v>7.1999999999999993</v>
      </c>
      <c r="I38" s="323"/>
      <c r="J38" s="179">
        <v>2071</v>
      </c>
      <c r="K38" s="179">
        <v>93.6</v>
      </c>
      <c r="L38" s="323"/>
      <c r="M38" s="179">
        <v>3033</v>
      </c>
      <c r="N38" s="179">
        <v>28</v>
      </c>
      <c r="O38" s="323"/>
      <c r="P38" s="324"/>
      <c r="Q38" s="324"/>
    </row>
    <row r="39" spans="1:17" x14ac:dyDescent="0.3">
      <c r="A39" s="108" t="s">
        <v>843</v>
      </c>
      <c r="B39" s="133">
        <f>SUM(B6:B38)</f>
        <v>348</v>
      </c>
      <c r="C39" s="323"/>
      <c r="D39" s="324"/>
      <c r="E39" s="324"/>
      <c r="F39" s="323"/>
      <c r="G39" s="179">
        <v>2034</v>
      </c>
      <c r="H39" s="179">
        <v>4.8</v>
      </c>
      <c r="I39" s="323"/>
      <c r="J39" s="108" t="s">
        <v>843</v>
      </c>
      <c r="K39" s="133">
        <f>SUM(K6:K38)</f>
        <v>1445.9999999999998</v>
      </c>
      <c r="L39" s="323"/>
      <c r="M39" s="108" t="s">
        <v>843</v>
      </c>
      <c r="N39" s="133">
        <f>SUM(N6:N38)</f>
        <v>1346</v>
      </c>
      <c r="O39" s="323"/>
      <c r="P39" s="324"/>
      <c r="Q39" s="324"/>
    </row>
    <row r="40" spans="1:17" x14ac:dyDescent="0.3">
      <c r="A40" s="323"/>
      <c r="B40" s="323"/>
      <c r="C40" s="323"/>
      <c r="D40" s="324"/>
      <c r="E40" s="324"/>
      <c r="F40" s="323"/>
      <c r="G40" s="179">
        <v>2035</v>
      </c>
      <c r="H40" s="179">
        <v>2.4</v>
      </c>
      <c r="I40" s="323"/>
      <c r="J40" s="323"/>
      <c r="K40" s="323"/>
      <c r="L40" s="323"/>
      <c r="M40" s="324"/>
      <c r="N40" s="324"/>
      <c r="O40" s="323"/>
      <c r="P40" s="324"/>
      <c r="Q40" s="324"/>
    </row>
    <row r="41" spans="1:17" x14ac:dyDescent="0.3">
      <c r="A41" s="323"/>
      <c r="B41" s="323"/>
      <c r="C41" s="323"/>
      <c r="D41" s="324"/>
      <c r="E41" s="324"/>
      <c r="F41" s="323"/>
      <c r="G41" s="108" t="s">
        <v>843</v>
      </c>
      <c r="H41" s="133">
        <f>SUM(H6:H40)</f>
        <v>1091.9999999999998</v>
      </c>
      <c r="I41" s="323"/>
      <c r="J41" s="323"/>
      <c r="K41" s="323"/>
      <c r="L41" s="323"/>
      <c r="M41" s="324"/>
      <c r="N41" s="324"/>
      <c r="O41" s="323"/>
      <c r="P41" s="324"/>
      <c r="Q41" s="324"/>
    </row>
  </sheetData>
  <mergeCells count="15">
    <mergeCell ref="C5:C41"/>
    <mergeCell ref="A40:B41"/>
    <mergeCell ref="D20:E41"/>
    <mergeCell ref="M40:N41"/>
    <mergeCell ref="A1:H1"/>
    <mergeCell ref="B2:F2"/>
    <mergeCell ref="B3:F3"/>
    <mergeCell ref="A4:H4"/>
    <mergeCell ref="F5:F41"/>
    <mergeCell ref="I1:Q4"/>
    <mergeCell ref="P38:Q41"/>
    <mergeCell ref="J40:K41"/>
    <mergeCell ref="I5:I41"/>
    <mergeCell ref="L5:L41"/>
    <mergeCell ref="O5:O41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70" zoomScaleNormal="70" workbookViewId="0">
      <selection activeCell="A5" sqref="A5:C9"/>
    </sheetView>
  </sheetViews>
  <sheetFormatPr defaultRowHeight="14.4" x14ac:dyDescent="0.3"/>
  <cols>
    <col min="1" max="2" width="8.88671875" style="169"/>
    <col min="3" max="3" width="17" style="169" customWidth="1"/>
    <col min="4" max="5" width="8.88671875" style="169"/>
    <col min="6" max="6" width="12.5546875" style="169" customWidth="1"/>
    <col min="7" max="16384" width="8.88671875" style="169"/>
  </cols>
  <sheetData>
    <row r="1" spans="1:6" ht="15.6" x14ac:dyDescent="0.3">
      <c r="A1" s="329" t="s">
        <v>1188</v>
      </c>
      <c r="B1" s="329"/>
      <c r="C1" s="329"/>
      <c r="D1" s="329"/>
      <c r="E1" s="329"/>
      <c r="F1" s="329"/>
    </row>
    <row r="2" spans="1:6" ht="15.6" x14ac:dyDescent="0.3">
      <c r="A2" s="175" t="s">
        <v>829</v>
      </c>
      <c r="B2" s="330" t="s">
        <v>7</v>
      </c>
      <c r="C2" s="331"/>
      <c r="D2" s="331"/>
      <c r="E2" s="174" t="s">
        <v>10</v>
      </c>
      <c r="F2" s="173" t="s">
        <v>830</v>
      </c>
    </row>
    <row r="3" spans="1:6" ht="58.2" customHeight="1" x14ac:dyDescent="0.3">
      <c r="A3" s="172">
        <v>1</v>
      </c>
      <c r="B3" s="332" t="s">
        <v>1187</v>
      </c>
      <c r="C3" s="333"/>
      <c r="D3" s="333"/>
      <c r="E3" s="172" t="s">
        <v>15</v>
      </c>
      <c r="F3" s="178">
        <f>C9</f>
        <v>2292</v>
      </c>
    </row>
    <row r="4" spans="1:6" ht="9" customHeight="1" x14ac:dyDescent="0.3">
      <c r="A4" s="327"/>
      <c r="B4" s="327"/>
      <c r="C4" s="327"/>
      <c r="D4" s="327"/>
      <c r="E4" s="327"/>
      <c r="F4" s="327"/>
    </row>
    <row r="5" spans="1:6" ht="15.6" x14ac:dyDescent="0.3">
      <c r="A5" s="170" t="s">
        <v>829</v>
      </c>
      <c r="B5" s="170" t="s">
        <v>1186</v>
      </c>
      <c r="C5" s="170" t="s">
        <v>1185</v>
      </c>
      <c r="D5" s="328"/>
      <c r="E5" s="328"/>
      <c r="F5" s="328"/>
    </row>
    <row r="6" spans="1:6" ht="15.6" x14ac:dyDescent="0.3">
      <c r="A6" s="170">
        <v>1</v>
      </c>
      <c r="B6" s="170">
        <v>1</v>
      </c>
      <c r="C6" s="170">
        <f>252+660</f>
        <v>912</v>
      </c>
      <c r="D6" s="328"/>
      <c r="E6" s="328"/>
      <c r="F6" s="328"/>
    </row>
    <row r="7" spans="1:6" ht="15.6" x14ac:dyDescent="0.3">
      <c r="A7" s="170">
        <v>2</v>
      </c>
      <c r="B7" s="170">
        <v>2</v>
      </c>
      <c r="C7" s="171">
        <f>378+608+322</f>
        <v>1308</v>
      </c>
      <c r="D7" s="328"/>
      <c r="E7" s="328"/>
      <c r="F7" s="328"/>
    </row>
    <row r="8" spans="1:6" ht="15.6" x14ac:dyDescent="0.3">
      <c r="A8" s="170">
        <v>3</v>
      </c>
      <c r="B8" s="170">
        <v>3</v>
      </c>
      <c r="C8" s="171">
        <f>12*3*2</f>
        <v>72</v>
      </c>
      <c r="D8" s="328"/>
      <c r="E8" s="328"/>
      <c r="F8" s="328"/>
    </row>
    <row r="9" spans="1:6" ht="14.4" customHeight="1" x14ac:dyDescent="0.3">
      <c r="A9" s="312" t="s">
        <v>843</v>
      </c>
      <c r="B9" s="312"/>
      <c r="C9" s="170">
        <f>SUM(C6:C8)</f>
        <v>2292</v>
      </c>
      <c r="D9" s="328"/>
      <c r="E9" s="328"/>
      <c r="F9" s="328"/>
    </row>
  </sheetData>
  <mergeCells count="6">
    <mergeCell ref="A4:F4"/>
    <mergeCell ref="D5:F9"/>
    <mergeCell ref="A9:B9"/>
    <mergeCell ref="A1:F1"/>
    <mergeCell ref="B2:D2"/>
    <mergeCell ref="B3:D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zoomScale="85" zoomScaleNormal="85" workbookViewId="0">
      <selection activeCell="K4" sqref="K4"/>
    </sheetView>
  </sheetViews>
  <sheetFormatPr defaultRowHeight="15.6" x14ac:dyDescent="0.3"/>
  <cols>
    <col min="1" max="1" width="7.33203125" style="165" customWidth="1"/>
    <col min="2" max="2" width="6.88671875" style="106" customWidth="1"/>
    <col min="3" max="3" width="2.21875" style="106" customWidth="1"/>
    <col min="4" max="4" width="5.33203125" style="106" customWidth="1"/>
    <col min="5" max="5" width="6.88671875" style="106" customWidth="1"/>
    <col min="6" max="6" width="2" style="106" customWidth="1"/>
    <col min="7" max="7" width="5.5546875" style="106" customWidth="1"/>
    <col min="8" max="8" width="12.21875" style="106" customWidth="1"/>
    <col min="9" max="9" width="2.44140625" style="106" customWidth="1"/>
    <col min="10" max="10" width="9.109375" style="106" bestFit="1" customWidth="1"/>
    <col min="11" max="11" width="7.109375" style="106" customWidth="1"/>
    <col min="12" max="16384" width="8.88671875" style="106"/>
  </cols>
  <sheetData>
    <row r="1" spans="1:11" x14ac:dyDescent="0.3">
      <c r="A1" s="289" t="s">
        <v>1188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</row>
    <row r="2" spans="1:11" s="158" customFormat="1" ht="30" customHeight="1" x14ac:dyDescent="0.3">
      <c r="A2" s="164" t="s">
        <v>829</v>
      </c>
      <c r="B2" s="322" t="s">
        <v>7</v>
      </c>
      <c r="C2" s="322"/>
      <c r="D2" s="322"/>
      <c r="E2" s="322"/>
      <c r="F2" s="322"/>
      <c r="G2" s="322"/>
      <c r="H2" s="322"/>
      <c r="I2" s="322"/>
      <c r="J2" s="37" t="s">
        <v>10</v>
      </c>
      <c r="K2" s="111" t="s">
        <v>830</v>
      </c>
    </row>
    <row r="3" spans="1:11" s="158" customFormat="1" ht="33" customHeight="1" x14ac:dyDescent="0.3">
      <c r="A3" s="134">
        <v>1</v>
      </c>
      <c r="B3" s="294" t="s">
        <v>1175</v>
      </c>
      <c r="C3" s="294"/>
      <c r="D3" s="294"/>
      <c r="E3" s="294"/>
      <c r="F3" s="294"/>
      <c r="G3" s="294"/>
      <c r="H3" s="294"/>
      <c r="I3" s="294"/>
      <c r="J3" s="109" t="s">
        <v>20</v>
      </c>
      <c r="K3" s="159">
        <v>746</v>
      </c>
    </row>
  </sheetData>
  <mergeCells count="3">
    <mergeCell ref="A1:K1"/>
    <mergeCell ref="B2:I2"/>
    <mergeCell ref="B3:I3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zoomScale="85" zoomScaleNormal="85" workbookViewId="0">
      <selection activeCell="A5" sqref="A5:J5"/>
    </sheetView>
  </sheetViews>
  <sheetFormatPr defaultRowHeight="15.6" x14ac:dyDescent="0.3"/>
  <cols>
    <col min="1" max="1" width="6" style="156" customWidth="1"/>
    <col min="2" max="2" width="6.88671875" style="106" customWidth="1"/>
    <col min="3" max="3" width="2.21875" style="106" customWidth="1"/>
    <col min="4" max="4" width="5.33203125" style="106" customWidth="1"/>
    <col min="5" max="5" width="6.88671875" style="106" customWidth="1"/>
    <col min="6" max="6" width="2" style="106" customWidth="1"/>
    <col min="7" max="7" width="5.5546875" style="106" customWidth="1"/>
    <col min="8" max="8" width="7" style="106" customWidth="1"/>
    <col min="9" max="9" width="2.44140625" style="106" customWidth="1"/>
    <col min="10" max="10" width="5.5546875" style="106" customWidth="1"/>
    <col min="11" max="11" width="7.109375" style="106" customWidth="1"/>
    <col min="12" max="12" width="2.88671875" style="106" customWidth="1"/>
    <col min="13" max="13" width="5.88671875" style="106" customWidth="1"/>
    <col min="14" max="14" width="7" style="106" customWidth="1"/>
    <col min="15" max="15" width="2" style="106" customWidth="1"/>
    <col min="16" max="16" width="5.33203125" style="106" customWidth="1"/>
    <col min="17" max="17" width="7" style="106" customWidth="1"/>
    <col min="18" max="16384" width="8.88671875" style="106"/>
  </cols>
  <sheetData>
    <row r="1" spans="1:17" x14ac:dyDescent="0.3">
      <c r="A1" s="289" t="s">
        <v>1188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8"/>
      <c r="M1" s="288"/>
      <c r="N1" s="288"/>
      <c r="O1" s="288"/>
      <c r="P1" s="288"/>
      <c r="Q1" s="288"/>
    </row>
    <row r="2" spans="1:17" s="158" customFormat="1" ht="30" customHeight="1" x14ac:dyDescent="0.3">
      <c r="A2" s="112" t="s">
        <v>829</v>
      </c>
      <c r="B2" s="322" t="s">
        <v>7</v>
      </c>
      <c r="C2" s="322"/>
      <c r="D2" s="322"/>
      <c r="E2" s="322"/>
      <c r="F2" s="322"/>
      <c r="G2" s="322"/>
      <c r="H2" s="322"/>
      <c r="I2" s="322"/>
      <c r="J2" s="37" t="s">
        <v>10</v>
      </c>
      <c r="K2" s="111" t="s">
        <v>830</v>
      </c>
      <c r="L2" s="288"/>
      <c r="M2" s="288"/>
      <c r="N2" s="288"/>
      <c r="O2" s="288"/>
      <c r="P2" s="288"/>
      <c r="Q2" s="288"/>
    </row>
    <row r="3" spans="1:17" x14ac:dyDescent="0.3">
      <c r="A3" s="134">
        <v>1</v>
      </c>
      <c r="B3" s="294" t="s">
        <v>1130</v>
      </c>
      <c r="C3" s="294"/>
      <c r="D3" s="294"/>
      <c r="E3" s="294"/>
      <c r="F3" s="294"/>
      <c r="G3" s="294"/>
      <c r="H3" s="294"/>
      <c r="I3" s="294"/>
      <c r="J3" s="109" t="s">
        <v>19</v>
      </c>
      <c r="K3" s="159">
        <f>Q35+N36+K36+H37+B37+E21</f>
        <v>86.995199999999997</v>
      </c>
      <c r="L3" s="288"/>
      <c r="M3" s="288"/>
      <c r="N3" s="288"/>
      <c r="O3" s="288"/>
      <c r="P3" s="288"/>
      <c r="Q3" s="288"/>
    </row>
    <row r="4" spans="1:17" x14ac:dyDescent="0.3">
      <c r="A4" s="134">
        <v>2</v>
      </c>
      <c r="B4" s="294" t="s">
        <v>1131</v>
      </c>
      <c r="C4" s="294"/>
      <c r="D4" s="294"/>
      <c r="E4" s="294"/>
      <c r="F4" s="294"/>
      <c r="G4" s="294"/>
      <c r="H4" s="294"/>
      <c r="I4" s="294"/>
      <c r="J4" s="109" t="s">
        <v>19</v>
      </c>
      <c r="K4" s="159">
        <f>292*(0.15*0.15*0.25)</f>
        <v>1.6424999999999998</v>
      </c>
      <c r="L4" s="288"/>
      <c r="M4" s="288"/>
      <c r="N4" s="288"/>
      <c r="O4" s="288"/>
      <c r="P4" s="288"/>
      <c r="Q4" s="288"/>
    </row>
    <row r="5" spans="1:17" x14ac:dyDescent="0.3">
      <c r="A5" s="334" t="s">
        <v>1184</v>
      </c>
      <c r="B5" s="334"/>
      <c r="C5" s="334"/>
      <c r="D5" s="334"/>
      <c r="E5" s="334"/>
      <c r="F5" s="334"/>
      <c r="G5" s="334"/>
      <c r="H5" s="334"/>
      <c r="I5" s="334"/>
      <c r="J5" s="335"/>
      <c r="K5" s="159">
        <f>SUM(K3:K4)</f>
        <v>88.637699999999995</v>
      </c>
      <c r="L5" s="288"/>
      <c r="M5" s="288"/>
      <c r="N5" s="288"/>
      <c r="O5" s="288"/>
      <c r="P5" s="288"/>
      <c r="Q5" s="288"/>
    </row>
    <row r="6" spans="1:17" ht="10.8" customHeight="1" x14ac:dyDescent="0.3">
      <c r="A6" s="286"/>
      <c r="B6" s="286"/>
      <c r="C6" s="286"/>
      <c r="D6" s="286"/>
      <c r="E6" s="286"/>
      <c r="F6" s="286"/>
      <c r="G6" s="286"/>
      <c r="H6" s="286"/>
      <c r="I6" s="286"/>
      <c r="J6" s="286"/>
      <c r="K6" s="286"/>
      <c r="L6" s="288"/>
      <c r="M6" s="288"/>
      <c r="N6" s="288"/>
      <c r="O6" s="288"/>
      <c r="P6" s="288"/>
      <c r="Q6" s="288"/>
    </row>
    <row r="7" spans="1:17" ht="29.4" customHeight="1" x14ac:dyDescent="0.3">
      <c r="A7" s="108" t="s">
        <v>1129</v>
      </c>
      <c r="B7" s="109" t="s">
        <v>1134</v>
      </c>
      <c r="C7" s="287"/>
      <c r="D7" s="108" t="s">
        <v>1129</v>
      </c>
      <c r="E7" s="109" t="s">
        <v>1134</v>
      </c>
      <c r="F7" s="287"/>
      <c r="G7" s="108" t="s">
        <v>1129</v>
      </c>
      <c r="H7" s="109" t="s">
        <v>1134</v>
      </c>
      <c r="I7" s="287"/>
      <c r="J7" s="108" t="s">
        <v>1129</v>
      </c>
      <c r="K7" s="109" t="s">
        <v>1134</v>
      </c>
      <c r="L7" s="323"/>
      <c r="M7" s="108" t="s">
        <v>1129</v>
      </c>
      <c r="N7" s="162" t="s">
        <v>1134</v>
      </c>
      <c r="O7" s="287"/>
      <c r="P7" s="108" t="s">
        <v>1129</v>
      </c>
      <c r="Q7" s="109" t="s">
        <v>1134</v>
      </c>
    </row>
    <row r="8" spans="1:17" x14ac:dyDescent="0.3">
      <c r="A8" s="108" t="s">
        <v>1132</v>
      </c>
      <c r="B8" s="108">
        <v>9.4559999999999991E-2</v>
      </c>
      <c r="C8" s="287"/>
      <c r="D8" s="108" t="s">
        <v>1174</v>
      </c>
      <c r="E8" s="108">
        <v>0.37823999999999997</v>
      </c>
      <c r="F8" s="287"/>
      <c r="G8" s="108" t="s">
        <v>834</v>
      </c>
      <c r="H8" s="108">
        <v>0.66192000000000006</v>
      </c>
      <c r="I8" s="287"/>
      <c r="J8" s="108" t="s">
        <v>855</v>
      </c>
      <c r="K8" s="108">
        <v>1.13472</v>
      </c>
      <c r="L8" s="323"/>
      <c r="M8" s="108" t="s">
        <v>971</v>
      </c>
      <c r="N8" s="108">
        <v>0.66192000000000006</v>
      </c>
      <c r="O8" s="287"/>
      <c r="P8" s="108" t="s">
        <v>1003</v>
      </c>
      <c r="Q8" s="108">
        <v>0.4728</v>
      </c>
    </row>
    <row r="9" spans="1:17" x14ac:dyDescent="0.3">
      <c r="A9" s="108" t="s">
        <v>1133</v>
      </c>
      <c r="B9" s="108">
        <v>0.37823999999999997</v>
      </c>
      <c r="C9" s="287"/>
      <c r="D9" s="108" t="s">
        <v>1162</v>
      </c>
      <c r="E9" s="108">
        <v>0.56735999999999998</v>
      </c>
      <c r="F9" s="287"/>
      <c r="G9" s="108" t="s">
        <v>836</v>
      </c>
      <c r="H9" s="108">
        <v>0.75647999999999993</v>
      </c>
      <c r="I9" s="287"/>
      <c r="J9" s="108" t="s">
        <v>839</v>
      </c>
      <c r="K9" s="108">
        <v>0.56735999999999998</v>
      </c>
      <c r="L9" s="323"/>
      <c r="M9" s="108" t="s">
        <v>972</v>
      </c>
      <c r="N9" s="108">
        <v>0.66192000000000006</v>
      </c>
      <c r="O9" s="287"/>
      <c r="P9" s="108" t="s">
        <v>1005</v>
      </c>
      <c r="Q9" s="108">
        <v>0.66192000000000006</v>
      </c>
    </row>
    <row r="10" spans="1:17" x14ac:dyDescent="0.3">
      <c r="A10" s="108" t="s">
        <v>1157</v>
      </c>
      <c r="B10" s="108">
        <v>0.18911999999999998</v>
      </c>
      <c r="C10" s="287"/>
      <c r="D10" s="108" t="s">
        <v>1163</v>
      </c>
      <c r="E10" s="108">
        <v>0.18911999999999998</v>
      </c>
      <c r="F10" s="287"/>
      <c r="G10" s="108" t="s">
        <v>838</v>
      </c>
      <c r="H10" s="108">
        <v>0.66192000000000006</v>
      </c>
      <c r="I10" s="287"/>
      <c r="J10" s="108" t="s">
        <v>856</v>
      </c>
      <c r="K10" s="108">
        <v>0.56735999999999998</v>
      </c>
      <c r="L10" s="323"/>
      <c r="M10" s="108" t="s">
        <v>973</v>
      </c>
      <c r="N10" s="108">
        <v>0.66192000000000006</v>
      </c>
      <c r="O10" s="287"/>
      <c r="P10" s="108" t="s">
        <v>1006</v>
      </c>
      <c r="Q10" s="108">
        <v>0.56735999999999998</v>
      </c>
    </row>
    <row r="11" spans="1:17" x14ac:dyDescent="0.3">
      <c r="A11" s="108" t="s">
        <v>1135</v>
      </c>
      <c r="B11" s="108">
        <v>9.4559999999999991E-2</v>
      </c>
      <c r="C11" s="287"/>
      <c r="D11" s="108" t="s">
        <v>1164</v>
      </c>
      <c r="E11" s="108">
        <v>9.4559999999999991E-2</v>
      </c>
      <c r="F11" s="287"/>
      <c r="G11" s="108" t="s">
        <v>840</v>
      </c>
      <c r="H11" s="108">
        <v>0.75647999999999993</v>
      </c>
      <c r="I11" s="287"/>
      <c r="J11" s="108" t="s">
        <v>857</v>
      </c>
      <c r="K11" s="108">
        <v>0.56735999999999998</v>
      </c>
      <c r="L11" s="323"/>
      <c r="M11" s="108" t="s">
        <v>974</v>
      </c>
      <c r="N11" s="108">
        <v>1.13472</v>
      </c>
      <c r="O11" s="287"/>
      <c r="P11" s="108" t="s">
        <v>1007</v>
      </c>
      <c r="Q11" s="108">
        <v>1.6075200000000001</v>
      </c>
    </row>
    <row r="12" spans="1:17" x14ac:dyDescent="0.3">
      <c r="A12" s="108" t="s">
        <v>1136</v>
      </c>
      <c r="B12" s="108">
        <v>0.18911999999999998</v>
      </c>
      <c r="C12" s="287"/>
      <c r="D12" s="108" t="s">
        <v>1165</v>
      </c>
      <c r="E12" s="108">
        <v>0.18911999999999998</v>
      </c>
      <c r="F12" s="287"/>
      <c r="G12" s="108" t="s">
        <v>842</v>
      </c>
      <c r="H12" s="108">
        <v>0.37823999999999997</v>
      </c>
      <c r="I12" s="287"/>
      <c r="J12" s="108" t="s">
        <v>858</v>
      </c>
      <c r="K12" s="108">
        <v>0.56735999999999998</v>
      </c>
      <c r="L12" s="323"/>
      <c r="M12" s="108" t="s">
        <v>975</v>
      </c>
      <c r="N12" s="108">
        <v>0.18911999999999998</v>
      </c>
      <c r="O12" s="287"/>
      <c r="P12" s="108" t="s">
        <v>1008</v>
      </c>
      <c r="Q12" s="108">
        <v>1.7020799999999998</v>
      </c>
    </row>
    <row r="13" spans="1:17" x14ac:dyDescent="0.3">
      <c r="A13" s="108" t="s">
        <v>1137</v>
      </c>
      <c r="B13" s="108">
        <v>9.4559999999999991E-2</v>
      </c>
      <c r="C13" s="287"/>
      <c r="D13" s="108" t="s">
        <v>1166</v>
      </c>
      <c r="E13" s="108">
        <v>0.4728</v>
      </c>
      <c r="F13" s="287"/>
      <c r="G13" s="108" t="s">
        <v>944</v>
      </c>
      <c r="H13" s="108">
        <v>0.4728</v>
      </c>
      <c r="I13" s="287"/>
      <c r="J13" s="108" t="s">
        <v>859</v>
      </c>
      <c r="K13" s="108">
        <v>1.7020799999999998</v>
      </c>
      <c r="L13" s="323"/>
      <c r="M13" s="108" t="s">
        <v>977</v>
      </c>
      <c r="N13" s="108">
        <v>0.4728</v>
      </c>
      <c r="O13" s="287"/>
      <c r="P13" s="108" t="s">
        <v>1009</v>
      </c>
      <c r="Q13" s="108">
        <v>0.18911999999999998</v>
      </c>
    </row>
    <row r="14" spans="1:17" x14ac:dyDescent="0.3">
      <c r="A14" s="108" t="s">
        <v>1138</v>
      </c>
      <c r="B14" s="108">
        <v>0.18911999999999998</v>
      </c>
      <c r="C14" s="287"/>
      <c r="D14" s="108" t="s">
        <v>1167</v>
      </c>
      <c r="E14" s="108">
        <v>0.4728</v>
      </c>
      <c r="F14" s="287"/>
      <c r="G14" s="108" t="s">
        <v>945</v>
      </c>
      <c r="H14" s="108">
        <v>0.18911999999999998</v>
      </c>
      <c r="I14" s="287"/>
      <c r="J14" s="108" t="s">
        <v>960</v>
      </c>
      <c r="K14" s="108">
        <v>0.4728</v>
      </c>
      <c r="L14" s="323"/>
      <c r="M14" s="108" t="s">
        <v>978</v>
      </c>
      <c r="N14" s="108">
        <v>0.37823999999999997</v>
      </c>
      <c r="O14" s="287"/>
      <c r="P14" s="108" t="s">
        <v>1010</v>
      </c>
      <c r="Q14" s="108">
        <v>0.9456</v>
      </c>
    </row>
    <row r="15" spans="1:17" x14ac:dyDescent="0.3">
      <c r="A15" s="108" t="s">
        <v>1139</v>
      </c>
      <c r="B15" s="108">
        <v>0.18911999999999998</v>
      </c>
      <c r="C15" s="287"/>
      <c r="D15" s="108" t="s">
        <v>1168</v>
      </c>
      <c r="E15" s="108">
        <v>0.9456</v>
      </c>
      <c r="F15" s="287"/>
      <c r="G15" s="108" t="s">
        <v>946</v>
      </c>
      <c r="H15" s="108">
        <v>0.18911999999999998</v>
      </c>
      <c r="I15" s="287"/>
      <c r="J15" s="108" t="s">
        <v>860</v>
      </c>
      <c r="K15" s="108">
        <v>1.7020799999999998</v>
      </c>
      <c r="L15" s="323"/>
      <c r="M15" s="108" t="s">
        <v>979</v>
      </c>
      <c r="N15" s="108">
        <v>9.4559999999999991E-2</v>
      </c>
      <c r="O15" s="287"/>
      <c r="P15" s="108" t="s">
        <v>1011</v>
      </c>
      <c r="Q15" s="108">
        <v>1.8912</v>
      </c>
    </row>
    <row r="16" spans="1:17" x14ac:dyDescent="0.3">
      <c r="A16" s="108" t="s">
        <v>1140</v>
      </c>
      <c r="B16" s="108">
        <v>9.4559999999999991E-2</v>
      </c>
      <c r="C16" s="287"/>
      <c r="D16" s="108" t="s">
        <v>1169</v>
      </c>
      <c r="E16" s="108">
        <v>9.4559999999999991E-2</v>
      </c>
      <c r="F16" s="287"/>
      <c r="G16" s="108" t="s">
        <v>844</v>
      </c>
      <c r="H16" s="108">
        <v>0.66192000000000006</v>
      </c>
      <c r="I16" s="287"/>
      <c r="J16" s="108" t="s">
        <v>861</v>
      </c>
      <c r="K16" s="108">
        <v>1.6075200000000001</v>
      </c>
      <c r="L16" s="323"/>
      <c r="M16" s="108" t="s">
        <v>980</v>
      </c>
      <c r="N16" s="108">
        <v>1.13472</v>
      </c>
      <c r="O16" s="287"/>
      <c r="P16" s="108" t="s">
        <v>1012</v>
      </c>
      <c r="Q16" s="108">
        <v>0.18911999999999998</v>
      </c>
    </row>
    <row r="17" spans="1:17" x14ac:dyDescent="0.3">
      <c r="A17" s="108" t="s">
        <v>1141</v>
      </c>
      <c r="B17" s="108">
        <v>9.4559999999999991E-2</v>
      </c>
      <c r="C17" s="287"/>
      <c r="D17" s="108" t="s">
        <v>1170</v>
      </c>
      <c r="E17" s="108">
        <v>0.4728</v>
      </c>
      <c r="F17" s="287"/>
      <c r="G17" s="108" t="s">
        <v>845</v>
      </c>
      <c r="H17" s="108">
        <v>0.66192000000000006</v>
      </c>
      <c r="I17" s="287"/>
      <c r="J17" s="108" t="s">
        <v>862</v>
      </c>
      <c r="K17" s="108">
        <v>1.04016</v>
      </c>
      <c r="L17" s="323"/>
      <c r="M17" s="108" t="s">
        <v>981</v>
      </c>
      <c r="N17" s="108">
        <v>1.13472</v>
      </c>
      <c r="O17" s="287"/>
      <c r="P17" s="108" t="s">
        <v>1013</v>
      </c>
      <c r="Q17" s="108">
        <v>0.18911999999999998</v>
      </c>
    </row>
    <row r="18" spans="1:17" x14ac:dyDescent="0.3">
      <c r="A18" s="108" t="s">
        <v>1142</v>
      </c>
      <c r="B18" s="108">
        <v>9.4559999999999991E-2</v>
      </c>
      <c r="C18" s="287"/>
      <c r="D18" s="108" t="s">
        <v>1171</v>
      </c>
      <c r="E18" s="108">
        <v>0.66192000000000006</v>
      </c>
      <c r="F18" s="287"/>
      <c r="G18" s="108" t="s">
        <v>846</v>
      </c>
      <c r="H18" s="108">
        <v>0.66192000000000006</v>
      </c>
      <c r="I18" s="287"/>
      <c r="J18" s="108" t="s">
        <v>863</v>
      </c>
      <c r="K18" s="108">
        <v>1.4183999999999999</v>
      </c>
      <c r="L18" s="323"/>
      <c r="M18" s="108" t="s">
        <v>982</v>
      </c>
      <c r="N18" s="108">
        <v>2.0803199999999999</v>
      </c>
      <c r="O18" s="287"/>
      <c r="P18" s="108" t="s">
        <v>1014</v>
      </c>
      <c r="Q18" s="108">
        <v>0.18911999999999998</v>
      </c>
    </row>
    <row r="19" spans="1:17" x14ac:dyDescent="0.3">
      <c r="A19" s="108" t="s">
        <v>1143</v>
      </c>
      <c r="B19" s="108">
        <v>9.4559999999999991E-2</v>
      </c>
      <c r="C19" s="287"/>
      <c r="D19" s="108" t="s">
        <v>1172</v>
      </c>
      <c r="E19" s="108">
        <v>0.56735999999999998</v>
      </c>
      <c r="F19" s="287"/>
      <c r="G19" s="108" t="s">
        <v>847</v>
      </c>
      <c r="H19" s="108">
        <v>0.66192000000000006</v>
      </c>
      <c r="I19" s="287"/>
      <c r="J19" s="108" t="s">
        <v>864</v>
      </c>
      <c r="K19" s="108">
        <v>1.04016</v>
      </c>
      <c r="L19" s="323"/>
      <c r="M19" s="108" t="s">
        <v>983</v>
      </c>
      <c r="N19" s="108">
        <v>0.56735999999999998</v>
      </c>
      <c r="O19" s="287"/>
      <c r="P19" s="108" t="s">
        <v>1015</v>
      </c>
      <c r="Q19" s="108">
        <v>0.18911999999999998</v>
      </c>
    </row>
    <row r="20" spans="1:17" x14ac:dyDescent="0.3">
      <c r="A20" s="108" t="s">
        <v>1144</v>
      </c>
      <c r="B20" s="108">
        <v>0.37823999999999997</v>
      </c>
      <c r="C20" s="287"/>
      <c r="D20" s="108" t="s">
        <v>1173</v>
      </c>
      <c r="E20" s="108">
        <v>0.75647999999999993</v>
      </c>
      <c r="F20" s="287"/>
      <c r="G20" s="108" t="s">
        <v>848</v>
      </c>
      <c r="H20" s="108">
        <v>0.66192000000000006</v>
      </c>
      <c r="I20" s="287"/>
      <c r="J20" s="108" t="s">
        <v>865</v>
      </c>
      <c r="K20" s="108">
        <v>0.56735999999999998</v>
      </c>
      <c r="L20" s="323"/>
      <c r="M20" s="108" t="s">
        <v>984</v>
      </c>
      <c r="N20" s="108">
        <v>0.66192000000000006</v>
      </c>
      <c r="O20" s="287"/>
      <c r="P20" s="108" t="s">
        <v>1016</v>
      </c>
      <c r="Q20" s="108">
        <v>0.4728</v>
      </c>
    </row>
    <row r="21" spans="1:17" x14ac:dyDescent="0.3">
      <c r="A21" s="108" t="s">
        <v>1145</v>
      </c>
      <c r="B21" s="108">
        <v>0.28367999999999999</v>
      </c>
      <c r="C21" s="287"/>
      <c r="D21" s="160" t="s">
        <v>843</v>
      </c>
      <c r="E21" s="133">
        <f>SUM(E8:E20)</f>
        <v>5.8627199999999995</v>
      </c>
      <c r="F21" s="287"/>
      <c r="G21" s="108" t="s">
        <v>849</v>
      </c>
      <c r="H21" s="108">
        <v>1.2292799999999999</v>
      </c>
      <c r="I21" s="287"/>
      <c r="J21" s="108" t="s">
        <v>962</v>
      </c>
      <c r="K21" s="108">
        <v>0.28367999999999999</v>
      </c>
      <c r="L21" s="323"/>
      <c r="M21" s="108" t="s">
        <v>985</v>
      </c>
      <c r="N21" s="108">
        <v>0.28367999999999999</v>
      </c>
      <c r="O21" s="287"/>
      <c r="P21" s="108" t="s">
        <v>1018</v>
      </c>
      <c r="Q21" s="108">
        <v>0.56735999999999998</v>
      </c>
    </row>
    <row r="22" spans="1:17" x14ac:dyDescent="0.3">
      <c r="A22" s="108" t="s">
        <v>1159</v>
      </c>
      <c r="B22" s="108">
        <v>9.4559999999999991E-2</v>
      </c>
      <c r="C22" s="287"/>
      <c r="D22" s="324"/>
      <c r="E22" s="324"/>
      <c r="F22" s="324"/>
      <c r="G22" s="108" t="s">
        <v>947</v>
      </c>
      <c r="H22" s="108">
        <v>0.18911999999999998</v>
      </c>
      <c r="I22" s="287"/>
      <c r="J22" s="108" t="s">
        <v>963</v>
      </c>
      <c r="K22" s="108">
        <v>0.37823999999999997</v>
      </c>
      <c r="L22" s="323"/>
      <c r="M22" s="108" t="s">
        <v>987</v>
      </c>
      <c r="N22" s="108">
        <v>9.4559999999999991E-2</v>
      </c>
      <c r="O22" s="287"/>
      <c r="P22" s="108" t="s">
        <v>1019</v>
      </c>
      <c r="Q22" s="108">
        <v>0.37823999999999997</v>
      </c>
    </row>
    <row r="23" spans="1:17" x14ac:dyDescent="0.3">
      <c r="A23" s="108" t="s">
        <v>1160</v>
      </c>
      <c r="B23" s="108">
        <v>9.4559999999999991E-2</v>
      </c>
      <c r="C23" s="287"/>
      <c r="D23" s="324"/>
      <c r="E23" s="324"/>
      <c r="F23" s="324"/>
      <c r="G23" s="108" t="s">
        <v>949</v>
      </c>
      <c r="H23" s="108">
        <v>0.18911999999999998</v>
      </c>
      <c r="I23" s="287"/>
      <c r="J23" s="108" t="s">
        <v>964</v>
      </c>
      <c r="K23" s="108">
        <v>0.18911999999999998</v>
      </c>
      <c r="L23" s="323"/>
      <c r="M23" s="108" t="s">
        <v>988</v>
      </c>
      <c r="N23" s="108">
        <v>9.4559999999999991E-2</v>
      </c>
      <c r="O23" s="287"/>
      <c r="P23" s="108" t="s">
        <v>1020</v>
      </c>
      <c r="Q23" s="108">
        <v>0.66192000000000006</v>
      </c>
    </row>
    <row r="24" spans="1:17" x14ac:dyDescent="0.3">
      <c r="A24" s="108" t="s">
        <v>1161</v>
      </c>
      <c r="B24" s="108">
        <v>0.18911999999999998</v>
      </c>
      <c r="C24" s="287"/>
      <c r="D24" s="324"/>
      <c r="E24" s="324"/>
      <c r="F24" s="324"/>
      <c r="G24" s="108" t="s">
        <v>950</v>
      </c>
      <c r="H24" s="108">
        <v>0.18911999999999998</v>
      </c>
      <c r="I24" s="287"/>
      <c r="J24" s="108" t="s">
        <v>965</v>
      </c>
      <c r="K24" s="108">
        <v>0.28367999999999999</v>
      </c>
      <c r="L24" s="323"/>
      <c r="M24" s="108" t="s">
        <v>989</v>
      </c>
      <c r="N24" s="108">
        <v>1.8912</v>
      </c>
      <c r="O24" s="287"/>
      <c r="P24" s="108" t="s">
        <v>1021</v>
      </c>
      <c r="Q24" s="108">
        <v>0.66192000000000006</v>
      </c>
    </row>
    <row r="25" spans="1:17" x14ac:dyDescent="0.3">
      <c r="A25" s="108" t="s">
        <v>1146</v>
      </c>
      <c r="B25" s="108">
        <v>0.28367999999999999</v>
      </c>
      <c r="C25" s="287"/>
      <c r="D25" s="324"/>
      <c r="E25" s="324"/>
      <c r="F25" s="324"/>
      <c r="G25" s="108" t="s">
        <v>850</v>
      </c>
      <c r="H25" s="108">
        <v>1.6075200000000001</v>
      </c>
      <c r="I25" s="287"/>
      <c r="J25" s="108" t="s">
        <v>966</v>
      </c>
      <c r="K25" s="108">
        <v>0.56735999999999998</v>
      </c>
      <c r="L25" s="323"/>
      <c r="M25" s="108" t="s">
        <v>991</v>
      </c>
      <c r="N25" s="108">
        <v>0.18911999999999998</v>
      </c>
      <c r="O25" s="287"/>
      <c r="P25" s="108" t="s">
        <v>1023</v>
      </c>
      <c r="Q25" s="108">
        <v>1.3238400000000001</v>
      </c>
    </row>
    <row r="26" spans="1:17" x14ac:dyDescent="0.3">
      <c r="A26" s="108" t="s">
        <v>1158</v>
      </c>
      <c r="B26" s="108">
        <v>9.4559999999999991E-2</v>
      </c>
      <c r="C26" s="287"/>
      <c r="D26" s="324"/>
      <c r="E26" s="324"/>
      <c r="F26" s="324"/>
      <c r="G26" s="108" t="s">
        <v>851</v>
      </c>
      <c r="H26" s="108">
        <v>0.75647999999999993</v>
      </c>
      <c r="I26" s="287"/>
      <c r="J26" s="108" t="s">
        <v>866</v>
      </c>
      <c r="K26" s="108">
        <v>1.04016</v>
      </c>
      <c r="L26" s="323"/>
      <c r="M26" s="108" t="s">
        <v>992</v>
      </c>
      <c r="N26" s="108">
        <v>0.66192000000000006</v>
      </c>
      <c r="O26" s="287"/>
      <c r="P26" s="108" t="s">
        <v>1024</v>
      </c>
      <c r="Q26" s="108">
        <v>0.37823999999999997</v>
      </c>
    </row>
    <row r="27" spans="1:17" x14ac:dyDescent="0.3">
      <c r="A27" s="108" t="s">
        <v>1147</v>
      </c>
      <c r="B27" s="108">
        <v>0.28367999999999999</v>
      </c>
      <c r="C27" s="287"/>
      <c r="D27" s="324"/>
      <c r="E27" s="324"/>
      <c r="F27" s="324"/>
      <c r="G27" s="108" t="s">
        <v>953</v>
      </c>
      <c r="H27" s="108">
        <v>9.4559999999999991E-2</v>
      </c>
      <c r="I27" s="287"/>
      <c r="J27" s="108" t="s">
        <v>867</v>
      </c>
      <c r="K27" s="108">
        <v>1.9857599999999997</v>
      </c>
      <c r="L27" s="323"/>
      <c r="M27" s="108" t="s">
        <v>993</v>
      </c>
      <c r="N27" s="108">
        <v>1.5129599999999999</v>
      </c>
      <c r="O27" s="287"/>
      <c r="P27" s="108" t="s">
        <v>1025</v>
      </c>
      <c r="Q27" s="108">
        <v>0.18911999999999998</v>
      </c>
    </row>
    <row r="28" spans="1:17" x14ac:dyDescent="0.3">
      <c r="A28" s="108" t="s">
        <v>1148</v>
      </c>
      <c r="B28" s="108">
        <v>0.28367999999999999</v>
      </c>
      <c r="C28" s="287"/>
      <c r="D28" s="324"/>
      <c r="E28" s="324"/>
      <c r="F28" s="324"/>
      <c r="G28" s="108" t="s">
        <v>954</v>
      </c>
      <c r="H28" s="108">
        <v>9.4559999999999991E-2</v>
      </c>
      <c r="I28" s="287"/>
      <c r="J28" s="108" t="s">
        <v>868</v>
      </c>
      <c r="K28" s="108">
        <v>1.7020799999999998</v>
      </c>
      <c r="L28" s="323"/>
      <c r="M28" s="108" t="s">
        <v>995</v>
      </c>
      <c r="N28" s="108">
        <v>9.4559999999999991E-2</v>
      </c>
      <c r="O28" s="287"/>
      <c r="P28" s="108" t="s">
        <v>1026</v>
      </c>
      <c r="Q28" s="108">
        <v>9.4559999999999991E-2</v>
      </c>
    </row>
    <row r="29" spans="1:17" x14ac:dyDescent="0.3">
      <c r="A29" s="108" t="s">
        <v>1149</v>
      </c>
      <c r="B29" s="108">
        <v>0.28367999999999999</v>
      </c>
      <c r="C29" s="287"/>
      <c r="D29" s="324"/>
      <c r="E29" s="324"/>
      <c r="F29" s="324"/>
      <c r="G29" s="108" t="s">
        <v>955</v>
      </c>
      <c r="H29" s="108">
        <v>0.18911999999999998</v>
      </c>
      <c r="I29" s="287"/>
      <c r="J29" s="108" t="s">
        <v>869</v>
      </c>
      <c r="K29" s="108">
        <v>0.18911999999999998</v>
      </c>
      <c r="L29" s="323"/>
      <c r="M29" s="108" t="s">
        <v>996</v>
      </c>
      <c r="N29" s="108">
        <v>9.4559999999999991E-2</v>
      </c>
      <c r="O29" s="287"/>
      <c r="P29" s="108" t="s">
        <v>1027</v>
      </c>
      <c r="Q29" s="108">
        <v>0.18911999999999998</v>
      </c>
    </row>
    <row r="30" spans="1:17" x14ac:dyDescent="0.3">
      <c r="A30" s="108" t="s">
        <v>1150</v>
      </c>
      <c r="B30" s="108">
        <v>9.4559999999999991E-2</v>
      </c>
      <c r="C30" s="287"/>
      <c r="D30" s="324"/>
      <c r="E30" s="324"/>
      <c r="F30" s="324"/>
      <c r="G30" s="108" t="s">
        <v>956</v>
      </c>
      <c r="H30" s="108">
        <v>9.4559999999999991E-2</v>
      </c>
      <c r="I30" s="287"/>
      <c r="J30" s="108" t="s">
        <v>970</v>
      </c>
      <c r="K30" s="108">
        <v>0.28367999999999999</v>
      </c>
      <c r="L30" s="323"/>
      <c r="M30" s="108" t="s">
        <v>997</v>
      </c>
      <c r="N30" s="108">
        <v>1.13472</v>
      </c>
      <c r="O30" s="287"/>
      <c r="P30" s="108" t="s">
        <v>1028</v>
      </c>
      <c r="Q30" s="108">
        <v>9.4559999999999991E-2</v>
      </c>
    </row>
    <row r="31" spans="1:17" x14ac:dyDescent="0.3">
      <c r="A31" s="108" t="s">
        <v>1151</v>
      </c>
      <c r="B31" s="108">
        <v>0.18911999999999998</v>
      </c>
      <c r="C31" s="287"/>
      <c r="D31" s="324"/>
      <c r="E31" s="324"/>
      <c r="F31" s="324"/>
      <c r="G31" s="108" t="s">
        <v>852</v>
      </c>
      <c r="H31" s="108">
        <v>0.75647999999999993</v>
      </c>
      <c r="I31" s="287"/>
      <c r="J31" s="108" t="s">
        <v>870</v>
      </c>
      <c r="K31" s="108">
        <v>1.7020799999999998</v>
      </c>
      <c r="L31" s="323"/>
      <c r="M31" s="108" t="s">
        <v>998</v>
      </c>
      <c r="N31" s="108">
        <v>0.66192000000000006</v>
      </c>
      <c r="O31" s="287"/>
      <c r="P31" s="108" t="s">
        <v>1032</v>
      </c>
      <c r="Q31" s="108">
        <v>0.75647999999999993</v>
      </c>
    </row>
    <row r="32" spans="1:17" x14ac:dyDescent="0.3">
      <c r="A32" s="108" t="s">
        <v>1152</v>
      </c>
      <c r="B32" s="108">
        <v>9.4559999999999991E-2</v>
      </c>
      <c r="C32" s="287"/>
      <c r="D32" s="324"/>
      <c r="E32" s="324"/>
      <c r="F32" s="324"/>
      <c r="G32" s="108" t="s">
        <v>853</v>
      </c>
      <c r="H32" s="108">
        <v>0.37823999999999997</v>
      </c>
      <c r="I32" s="287"/>
      <c r="J32" s="108" t="s">
        <v>871</v>
      </c>
      <c r="K32" s="108">
        <v>1.8912</v>
      </c>
      <c r="L32" s="323"/>
      <c r="M32" s="108" t="s">
        <v>999</v>
      </c>
      <c r="N32" s="108">
        <v>9.4559999999999991E-2</v>
      </c>
      <c r="O32" s="287"/>
      <c r="P32" s="108" t="s">
        <v>1033</v>
      </c>
      <c r="Q32" s="108">
        <v>9.4559999999999991E-2</v>
      </c>
    </row>
    <row r="33" spans="1:17" x14ac:dyDescent="0.3">
      <c r="A33" s="108" t="s">
        <v>1153</v>
      </c>
      <c r="B33" s="108">
        <v>0.18911999999999998</v>
      </c>
      <c r="C33" s="287"/>
      <c r="D33" s="324"/>
      <c r="E33" s="324"/>
      <c r="F33" s="324"/>
      <c r="G33" s="108" t="s">
        <v>854</v>
      </c>
      <c r="H33" s="108">
        <v>0.66192000000000006</v>
      </c>
      <c r="I33" s="287"/>
      <c r="J33" s="108" t="s">
        <v>872</v>
      </c>
      <c r="K33" s="108">
        <v>1.6075200000000001</v>
      </c>
      <c r="L33" s="323"/>
      <c r="M33" s="108" t="s">
        <v>1000</v>
      </c>
      <c r="N33" s="108">
        <v>0.66192000000000006</v>
      </c>
      <c r="O33" s="287"/>
      <c r="P33" s="108" t="s">
        <v>1034</v>
      </c>
      <c r="Q33" s="108">
        <v>1.4183999999999999</v>
      </c>
    </row>
    <row r="34" spans="1:17" x14ac:dyDescent="0.3">
      <c r="A34" s="108" t="s">
        <v>1154</v>
      </c>
      <c r="B34" s="108">
        <v>0.28367999999999999</v>
      </c>
      <c r="C34" s="287"/>
      <c r="D34" s="324"/>
      <c r="E34" s="324"/>
      <c r="F34" s="324"/>
      <c r="G34" s="108" t="s">
        <v>957</v>
      </c>
      <c r="H34" s="108">
        <v>9.4559999999999991E-2</v>
      </c>
      <c r="I34" s="287"/>
      <c r="J34" s="108" t="s">
        <v>1038</v>
      </c>
      <c r="K34" s="108">
        <v>0.4728</v>
      </c>
      <c r="L34" s="323"/>
      <c r="M34" s="108" t="s">
        <v>1001</v>
      </c>
      <c r="N34" s="108">
        <v>0.66192000000000006</v>
      </c>
      <c r="O34" s="287"/>
      <c r="P34" s="108" t="s">
        <v>1035</v>
      </c>
      <c r="Q34" s="108">
        <v>0.4728</v>
      </c>
    </row>
    <row r="35" spans="1:17" x14ac:dyDescent="0.3">
      <c r="A35" s="108" t="s">
        <v>1155</v>
      </c>
      <c r="B35" s="108">
        <v>9.4559999999999991E-2</v>
      </c>
      <c r="C35" s="287"/>
      <c r="D35" s="324"/>
      <c r="E35" s="324"/>
      <c r="F35" s="324"/>
      <c r="G35" s="108" t="s">
        <v>958</v>
      </c>
      <c r="H35" s="108">
        <v>9.4559999999999991E-2</v>
      </c>
      <c r="I35" s="287"/>
      <c r="J35" s="108" t="s">
        <v>873</v>
      </c>
      <c r="K35" s="108">
        <v>1.13472</v>
      </c>
      <c r="L35" s="323"/>
      <c r="M35" s="163" t="s">
        <v>1002</v>
      </c>
      <c r="N35" s="163">
        <v>0.66192000000000006</v>
      </c>
      <c r="O35" s="287"/>
      <c r="P35" s="160" t="s">
        <v>843</v>
      </c>
      <c r="Q35" s="133">
        <f>SUM(Q8:Q34)</f>
        <v>16.548000000000002</v>
      </c>
    </row>
    <row r="36" spans="1:17" x14ac:dyDescent="0.3">
      <c r="A36" s="108" t="s">
        <v>1156</v>
      </c>
      <c r="B36" s="108">
        <v>0.18911999999999998</v>
      </c>
      <c r="C36" s="287"/>
      <c r="D36" s="324"/>
      <c r="E36" s="324"/>
      <c r="F36" s="324"/>
      <c r="G36" s="108" t="s">
        <v>959</v>
      </c>
      <c r="H36" s="108">
        <v>9.4559999999999991E-2</v>
      </c>
      <c r="I36" s="287"/>
      <c r="J36" s="157" t="s">
        <v>843</v>
      </c>
      <c r="K36" s="133">
        <f>SUM(K8:K35)</f>
        <v>26.665920000000003</v>
      </c>
      <c r="L36" s="323"/>
      <c r="M36" s="160" t="s">
        <v>843</v>
      </c>
      <c r="N36" s="133">
        <f>SUM(N8:N35)</f>
        <v>18.628319999999995</v>
      </c>
      <c r="O36" s="324"/>
      <c r="P36" s="311"/>
      <c r="Q36" s="311"/>
    </row>
    <row r="37" spans="1:17" x14ac:dyDescent="0.3">
      <c r="A37" s="160" t="s">
        <v>843</v>
      </c>
      <c r="B37" s="133">
        <f>SUM(B8:B36)</f>
        <v>5.200800000000001</v>
      </c>
      <c r="C37" s="287"/>
      <c r="D37" s="324"/>
      <c r="E37" s="324"/>
      <c r="F37" s="324"/>
      <c r="G37" s="157" t="s">
        <v>843</v>
      </c>
      <c r="H37" s="133">
        <f>SUM(H8:H36)</f>
        <v>14.089440000000002</v>
      </c>
      <c r="I37" s="287"/>
      <c r="J37" s="311"/>
      <c r="K37" s="311"/>
      <c r="L37" s="323"/>
      <c r="M37" s="324"/>
      <c r="N37" s="324"/>
      <c r="O37" s="324"/>
      <c r="P37" s="324"/>
      <c r="Q37" s="324"/>
    </row>
  </sheetData>
  <mergeCells count="16">
    <mergeCell ref="O7:O37"/>
    <mergeCell ref="L1:Q6"/>
    <mergeCell ref="M37:N37"/>
    <mergeCell ref="P36:Q37"/>
    <mergeCell ref="B2:I2"/>
    <mergeCell ref="B3:I3"/>
    <mergeCell ref="A1:K1"/>
    <mergeCell ref="I7:I37"/>
    <mergeCell ref="L7:L37"/>
    <mergeCell ref="J37:K37"/>
    <mergeCell ref="A6:K6"/>
    <mergeCell ref="B4:I4"/>
    <mergeCell ref="A5:J5"/>
    <mergeCell ref="C7:C37"/>
    <mergeCell ref="F7:F37"/>
    <mergeCell ref="D22:E37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zoomScaleNormal="100" workbookViewId="0">
      <selection activeCell="A6" sqref="A6"/>
    </sheetView>
  </sheetViews>
  <sheetFormatPr defaultRowHeight="15.6" x14ac:dyDescent="0.3"/>
  <cols>
    <col min="1" max="1" width="7.44140625" style="150" customWidth="1"/>
    <col min="2" max="2" width="10.77734375" style="106" customWidth="1"/>
    <col min="3" max="3" width="17" style="106" customWidth="1"/>
    <col min="4" max="4" width="7.77734375" style="106" customWidth="1"/>
    <col min="5" max="5" width="9.5546875" style="106" customWidth="1"/>
    <col min="6" max="6" width="26.6640625" style="106" customWidth="1"/>
    <col min="7" max="7" width="9.44140625" style="106" customWidth="1"/>
    <col min="8" max="8" width="7.109375" style="106" customWidth="1"/>
    <col min="9" max="16384" width="8.88671875" style="106"/>
  </cols>
  <sheetData>
    <row r="1" spans="1:8" x14ac:dyDescent="0.3">
      <c r="A1" s="289" t="s">
        <v>1188</v>
      </c>
      <c r="B1" s="289"/>
      <c r="C1" s="289"/>
      <c r="D1" s="289"/>
      <c r="E1" s="289"/>
      <c r="F1" s="289"/>
      <c r="G1" s="289"/>
      <c r="H1" s="289"/>
    </row>
    <row r="2" spans="1:8" s="113" customFormat="1" x14ac:dyDescent="0.3">
      <c r="A2" s="112" t="s">
        <v>829</v>
      </c>
      <c r="B2" s="339" t="s">
        <v>7</v>
      </c>
      <c r="C2" s="340"/>
      <c r="D2" s="340"/>
      <c r="E2" s="341"/>
      <c r="F2" s="148" t="s">
        <v>814</v>
      </c>
      <c r="G2" s="37" t="s">
        <v>10</v>
      </c>
      <c r="H2" s="111" t="s">
        <v>830</v>
      </c>
    </row>
    <row r="3" spans="1:8" ht="49.2" customHeight="1" x14ac:dyDescent="0.3">
      <c r="A3" s="134">
        <v>1</v>
      </c>
      <c r="B3" s="336" t="s">
        <v>1197</v>
      </c>
      <c r="C3" s="337"/>
      <c r="D3" s="337"/>
      <c r="E3" s="338"/>
      <c r="F3" s="151" t="s">
        <v>1124</v>
      </c>
      <c r="G3" s="109" t="s">
        <v>15</v>
      </c>
      <c r="H3" s="152">
        <f>E12</f>
        <v>51.599999999999994</v>
      </c>
    </row>
    <row r="4" spans="1:8" ht="54" customHeight="1" x14ac:dyDescent="0.3">
      <c r="A4" s="134">
        <v>2</v>
      </c>
      <c r="B4" s="336" t="s">
        <v>1115</v>
      </c>
      <c r="C4" s="337"/>
      <c r="D4" s="337"/>
      <c r="E4" s="338"/>
      <c r="F4" s="149" t="s">
        <v>1126</v>
      </c>
      <c r="G4" s="109" t="s">
        <v>15</v>
      </c>
      <c r="H4" s="152">
        <f>H3</f>
        <v>51.599999999999994</v>
      </c>
    </row>
    <row r="5" spans="1:8" ht="52.2" customHeight="1" x14ac:dyDescent="0.3">
      <c r="A5" s="134">
        <v>3</v>
      </c>
      <c r="B5" s="336" t="s">
        <v>1115</v>
      </c>
      <c r="C5" s="337"/>
      <c r="D5" s="337"/>
      <c r="E5" s="338"/>
      <c r="F5" s="149" t="s">
        <v>1125</v>
      </c>
      <c r="G5" s="109" t="s">
        <v>15</v>
      </c>
      <c r="H5" s="152">
        <f>H4</f>
        <v>51.599999999999994</v>
      </c>
    </row>
    <row r="6" spans="1:8" ht="52.2" customHeight="1" x14ac:dyDescent="0.3">
      <c r="A6" s="134">
        <v>4</v>
      </c>
      <c r="B6" s="336" t="s">
        <v>1199</v>
      </c>
      <c r="C6" s="337"/>
      <c r="D6" s="337"/>
      <c r="E6" s="338"/>
      <c r="F6" s="182" t="s">
        <v>1124</v>
      </c>
      <c r="G6" s="109" t="s">
        <v>15</v>
      </c>
      <c r="H6" s="152">
        <f>H5</f>
        <v>51.599999999999994</v>
      </c>
    </row>
    <row r="7" spans="1:8" x14ac:dyDescent="0.3">
      <c r="A7" s="286"/>
      <c r="B7" s="286"/>
      <c r="C7" s="286"/>
      <c r="D7" s="286"/>
      <c r="E7" s="286"/>
      <c r="F7" s="286"/>
      <c r="G7" s="286"/>
      <c r="H7" s="286"/>
    </row>
    <row r="8" spans="1:8" ht="46.8" x14ac:dyDescent="0.3">
      <c r="A8" s="108" t="s">
        <v>1116</v>
      </c>
      <c r="B8" s="109" t="s">
        <v>1118</v>
      </c>
      <c r="C8" s="109" t="s">
        <v>1122</v>
      </c>
      <c r="D8" s="109" t="s">
        <v>1121</v>
      </c>
      <c r="E8" s="109" t="s">
        <v>1120</v>
      </c>
      <c r="F8" s="287"/>
      <c r="G8" s="288"/>
      <c r="H8" s="288"/>
    </row>
    <row r="9" spans="1:8" x14ac:dyDescent="0.3">
      <c r="A9" s="108">
        <v>1</v>
      </c>
      <c r="B9" s="133">
        <v>20</v>
      </c>
      <c r="C9" s="153" t="s">
        <v>1123</v>
      </c>
      <c r="D9" s="154">
        <v>0.2</v>
      </c>
      <c r="E9" s="154">
        <f>((0.7+(1.8*2))*0.2)*B9</f>
        <v>17.2</v>
      </c>
      <c r="F9" s="287"/>
      <c r="G9" s="288"/>
      <c r="H9" s="288"/>
    </row>
    <row r="10" spans="1:8" x14ac:dyDescent="0.3">
      <c r="A10" s="108">
        <v>2</v>
      </c>
      <c r="B10" s="133">
        <v>18</v>
      </c>
      <c r="C10" s="153" t="s">
        <v>1123</v>
      </c>
      <c r="D10" s="154">
        <v>0.2</v>
      </c>
      <c r="E10" s="154">
        <f t="shared" ref="E10:E11" si="0">((0.7+(1.8*2))*0.2)*B10</f>
        <v>15.48</v>
      </c>
      <c r="F10" s="287"/>
      <c r="G10" s="288"/>
      <c r="H10" s="288"/>
    </row>
    <row r="11" spans="1:8" x14ac:dyDescent="0.3">
      <c r="A11" s="108">
        <v>3</v>
      </c>
      <c r="B11" s="133">
        <v>22</v>
      </c>
      <c r="C11" s="153" t="s">
        <v>1123</v>
      </c>
      <c r="D11" s="154">
        <v>0.2</v>
      </c>
      <c r="E11" s="154">
        <f t="shared" si="0"/>
        <v>18.919999999999998</v>
      </c>
      <c r="F11" s="287"/>
      <c r="G11" s="288"/>
      <c r="H11" s="288"/>
    </row>
    <row r="12" spans="1:8" x14ac:dyDescent="0.3">
      <c r="A12" s="108"/>
      <c r="B12" s="133">
        <f>SUM(B9:B11)</f>
        <v>60</v>
      </c>
      <c r="C12" s="155"/>
      <c r="D12" s="155" t="s">
        <v>843</v>
      </c>
      <c r="E12" s="154">
        <f>SUM(E9:E11)</f>
        <v>51.599999999999994</v>
      </c>
      <c r="F12" s="287"/>
      <c r="G12" s="288"/>
      <c r="H12" s="288"/>
    </row>
  </sheetData>
  <mergeCells count="8">
    <mergeCell ref="B3:E3"/>
    <mergeCell ref="F8:H12"/>
    <mergeCell ref="A1:H1"/>
    <mergeCell ref="B2:E2"/>
    <mergeCell ref="B4:E4"/>
    <mergeCell ref="B5:E5"/>
    <mergeCell ref="A7:H7"/>
    <mergeCell ref="B6:E6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="115" zoomScaleNormal="115" workbookViewId="0">
      <selection activeCell="C8" sqref="C8"/>
    </sheetView>
  </sheetViews>
  <sheetFormatPr defaultRowHeight="15.6" x14ac:dyDescent="0.3"/>
  <cols>
    <col min="1" max="1" width="7.44140625" style="150" customWidth="1"/>
    <col min="2" max="2" width="10.77734375" style="106" customWidth="1"/>
    <col min="3" max="3" width="11" style="106" customWidth="1"/>
    <col min="4" max="4" width="7.77734375" style="106" customWidth="1"/>
    <col min="5" max="5" width="1.109375" style="106" customWidth="1"/>
    <col min="6" max="6" width="18.21875" style="106" customWidth="1"/>
    <col min="7" max="7" width="9.44140625" style="106" customWidth="1"/>
    <col min="8" max="8" width="7.109375" style="106" customWidth="1"/>
    <col min="9" max="16384" width="8.88671875" style="106"/>
  </cols>
  <sheetData>
    <row r="1" spans="1:8" x14ac:dyDescent="0.3">
      <c r="A1" s="289" t="s">
        <v>1188</v>
      </c>
      <c r="B1" s="289"/>
      <c r="C1" s="289"/>
      <c r="D1" s="289"/>
      <c r="E1" s="289"/>
      <c r="F1" s="289"/>
      <c r="G1" s="289"/>
      <c r="H1" s="289"/>
    </row>
    <row r="2" spans="1:8" s="113" customFormat="1" x14ac:dyDescent="0.3">
      <c r="A2" s="112" t="s">
        <v>829</v>
      </c>
      <c r="B2" s="339" t="s">
        <v>7</v>
      </c>
      <c r="C2" s="340"/>
      <c r="D2" s="340"/>
      <c r="E2" s="341"/>
      <c r="F2" s="148" t="s">
        <v>814</v>
      </c>
      <c r="G2" s="37" t="s">
        <v>10</v>
      </c>
      <c r="H2" s="111" t="s">
        <v>830</v>
      </c>
    </row>
    <row r="3" spans="1:8" ht="48.6" customHeight="1" x14ac:dyDescent="0.3">
      <c r="A3" s="134">
        <v>1</v>
      </c>
      <c r="B3" s="336" t="s">
        <v>1115</v>
      </c>
      <c r="C3" s="337"/>
      <c r="D3" s="337"/>
      <c r="E3" s="338"/>
      <c r="F3" s="149" t="s">
        <v>1127</v>
      </c>
      <c r="G3" s="109" t="s">
        <v>15</v>
      </c>
      <c r="H3" s="152">
        <f>D11</f>
        <v>65.394000000000005</v>
      </c>
    </row>
    <row r="4" spans="1:8" ht="49.8" customHeight="1" x14ac:dyDescent="0.3">
      <c r="A4" s="134">
        <v>2</v>
      </c>
      <c r="B4" s="336" t="s">
        <v>1115</v>
      </c>
      <c r="C4" s="337"/>
      <c r="D4" s="337"/>
      <c r="E4" s="338"/>
      <c r="F4" s="149" t="s">
        <v>1128</v>
      </c>
      <c r="G4" s="109" t="s">
        <v>15</v>
      </c>
      <c r="H4" s="152">
        <f>H3</f>
        <v>65.394000000000005</v>
      </c>
    </row>
    <row r="5" spans="1:8" ht="49.8" customHeight="1" x14ac:dyDescent="0.3">
      <c r="A5" s="134">
        <v>3</v>
      </c>
      <c r="B5" s="336" t="s">
        <v>254</v>
      </c>
      <c r="C5" s="337"/>
      <c r="D5" s="337"/>
      <c r="E5" s="338"/>
      <c r="F5" s="182" t="s">
        <v>1198</v>
      </c>
      <c r="G5" s="109" t="s">
        <v>15</v>
      </c>
      <c r="H5" s="152">
        <f>H4</f>
        <v>65.394000000000005</v>
      </c>
    </row>
    <row r="6" spans="1:8" x14ac:dyDescent="0.3">
      <c r="A6" s="286"/>
      <c r="B6" s="286"/>
      <c r="C6" s="286"/>
      <c r="D6" s="286"/>
      <c r="E6" s="286"/>
      <c r="F6" s="286"/>
      <c r="G6" s="286"/>
      <c r="H6" s="286"/>
    </row>
    <row r="7" spans="1:8" ht="31.2" x14ac:dyDescent="0.3">
      <c r="A7" s="108" t="s">
        <v>1116</v>
      </c>
      <c r="B7" s="109" t="s">
        <v>1118</v>
      </c>
      <c r="C7" s="109" t="s">
        <v>1119</v>
      </c>
      <c r="D7" s="109" t="s">
        <v>1120</v>
      </c>
      <c r="E7" s="287"/>
      <c r="F7" s="288"/>
      <c r="G7" s="288"/>
      <c r="H7" s="288"/>
    </row>
    <row r="8" spans="1:8" x14ac:dyDescent="0.3">
      <c r="A8" s="108">
        <v>1</v>
      </c>
      <c r="B8" s="133">
        <v>20</v>
      </c>
      <c r="C8" s="153" t="s">
        <v>1117</v>
      </c>
      <c r="D8" s="154">
        <f>0.63*1.73*B8</f>
        <v>21.798000000000002</v>
      </c>
      <c r="E8" s="287"/>
      <c r="F8" s="288"/>
      <c r="G8" s="288"/>
      <c r="H8" s="288"/>
    </row>
    <row r="9" spans="1:8" x14ac:dyDescent="0.3">
      <c r="A9" s="108">
        <v>2</v>
      </c>
      <c r="B9" s="133">
        <v>18</v>
      </c>
      <c r="C9" s="153" t="s">
        <v>1117</v>
      </c>
      <c r="D9" s="154">
        <f t="shared" ref="D9:D10" si="0">0.63*1.73*B9</f>
        <v>19.618200000000002</v>
      </c>
      <c r="E9" s="287"/>
      <c r="F9" s="288"/>
      <c r="G9" s="288"/>
      <c r="H9" s="288"/>
    </row>
    <row r="10" spans="1:8" x14ac:dyDescent="0.3">
      <c r="A10" s="108">
        <v>3</v>
      </c>
      <c r="B10" s="133">
        <v>22</v>
      </c>
      <c r="C10" s="153" t="s">
        <v>1117</v>
      </c>
      <c r="D10" s="154">
        <f t="shared" si="0"/>
        <v>23.977800000000002</v>
      </c>
      <c r="E10" s="287"/>
      <c r="F10" s="288"/>
      <c r="G10" s="288"/>
      <c r="H10" s="288"/>
    </row>
    <row r="11" spans="1:8" x14ac:dyDescent="0.3">
      <c r="A11" s="108"/>
      <c r="B11" s="133">
        <f>SUM(B8:B10)</f>
        <v>60</v>
      </c>
      <c r="C11" s="155" t="s">
        <v>843</v>
      </c>
      <c r="D11" s="154">
        <f>SUM(D8:D10)</f>
        <v>65.394000000000005</v>
      </c>
      <c r="E11" s="287"/>
      <c r="F11" s="288"/>
      <c r="G11" s="288"/>
      <c r="H11" s="288"/>
    </row>
  </sheetData>
  <mergeCells count="7">
    <mergeCell ref="E7:H11"/>
    <mergeCell ref="A1:H1"/>
    <mergeCell ref="B2:E2"/>
    <mergeCell ref="B3:E3"/>
    <mergeCell ref="B4:E4"/>
    <mergeCell ref="A6:H6"/>
    <mergeCell ref="B5:E5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zoomScale="115" zoomScaleNormal="115" workbookViewId="0">
      <selection activeCell="E9" sqref="A9:E19"/>
    </sheetView>
  </sheetViews>
  <sheetFormatPr defaultRowHeight="15.6" x14ac:dyDescent="0.3"/>
  <cols>
    <col min="1" max="1" width="7.44140625" style="147" customWidth="1"/>
    <col min="2" max="2" width="12.33203125" style="106" customWidth="1"/>
    <col min="3" max="3" width="15.33203125" style="106" customWidth="1"/>
    <col min="4" max="4" width="12.88671875" style="106" customWidth="1"/>
    <col min="5" max="5" width="13.21875" style="106" customWidth="1"/>
    <col min="6" max="6" width="8.88671875" style="106" customWidth="1"/>
    <col min="7" max="7" width="7.109375" style="106" customWidth="1"/>
    <col min="8" max="16384" width="8.88671875" style="106"/>
  </cols>
  <sheetData>
    <row r="1" spans="1:7" x14ac:dyDescent="0.3">
      <c r="A1" s="289" t="s">
        <v>1188</v>
      </c>
      <c r="B1" s="289"/>
      <c r="C1" s="289"/>
      <c r="D1" s="289"/>
      <c r="E1" s="289"/>
      <c r="F1" s="289"/>
      <c r="G1" s="289"/>
    </row>
    <row r="2" spans="1:7" s="113" customFormat="1" x14ac:dyDescent="0.3">
      <c r="A2" s="112" t="s">
        <v>829</v>
      </c>
      <c r="B2" s="290" t="s">
        <v>7</v>
      </c>
      <c r="C2" s="290"/>
      <c r="D2" s="290" t="s">
        <v>814</v>
      </c>
      <c r="E2" s="290"/>
      <c r="F2" s="37" t="s">
        <v>10</v>
      </c>
      <c r="G2" s="111" t="s">
        <v>830</v>
      </c>
    </row>
    <row r="3" spans="1:7" ht="45.6" customHeight="1" x14ac:dyDescent="0.3">
      <c r="A3" s="108">
        <v>1</v>
      </c>
      <c r="B3" s="345" t="s">
        <v>1183</v>
      </c>
      <c r="C3" s="345"/>
      <c r="D3" s="345" t="s">
        <v>1182</v>
      </c>
      <c r="E3" s="345"/>
      <c r="F3" s="109" t="s">
        <v>15</v>
      </c>
      <c r="G3" s="110">
        <f>E10</f>
        <v>12.66696</v>
      </c>
    </row>
    <row r="4" spans="1:7" ht="5.4" customHeight="1" x14ac:dyDescent="0.3">
      <c r="A4" s="286"/>
      <c r="B4" s="286"/>
      <c r="C4" s="286"/>
      <c r="D4" s="286"/>
      <c r="E4" s="286"/>
      <c r="F4" s="286"/>
      <c r="G4" s="286"/>
    </row>
    <row r="5" spans="1:7" x14ac:dyDescent="0.3">
      <c r="A5" s="322" t="s">
        <v>1176</v>
      </c>
      <c r="B5" s="322"/>
      <c r="C5" s="322"/>
      <c r="D5" s="322"/>
      <c r="E5" s="322"/>
      <c r="F5" s="288"/>
      <c r="G5" s="288"/>
    </row>
    <row r="6" spans="1:7" x14ac:dyDescent="0.3">
      <c r="A6" s="161" t="s">
        <v>1054</v>
      </c>
      <c r="B6" s="166" t="s">
        <v>1104</v>
      </c>
      <c r="C6" s="166" t="s">
        <v>1177</v>
      </c>
      <c r="D6" s="166" t="s">
        <v>1178</v>
      </c>
      <c r="E6" s="166" t="s">
        <v>1179</v>
      </c>
      <c r="F6" s="288"/>
      <c r="G6" s="288"/>
    </row>
    <row r="7" spans="1:7" x14ac:dyDescent="0.3">
      <c r="A7" s="108">
        <v>1</v>
      </c>
      <c r="B7" s="133">
        <v>20</v>
      </c>
      <c r="C7" s="133">
        <v>0.155</v>
      </c>
      <c r="D7" s="133">
        <v>1.1299999999999999</v>
      </c>
      <c r="E7" s="129">
        <f>C7*D7*B7</f>
        <v>3.5029999999999992</v>
      </c>
      <c r="F7" s="288"/>
      <c r="G7" s="288"/>
    </row>
    <row r="8" spans="1:7" x14ac:dyDescent="0.3">
      <c r="A8" s="108">
        <v>2</v>
      </c>
      <c r="B8" s="133">
        <v>13</v>
      </c>
      <c r="C8" s="133">
        <v>0.189</v>
      </c>
      <c r="D8" s="133">
        <v>1.4</v>
      </c>
      <c r="E8" s="129">
        <f t="shared" ref="E8:E9" si="0">C8*D8*B8</f>
        <v>3.4398</v>
      </c>
      <c r="F8" s="288"/>
      <c r="G8" s="288"/>
    </row>
    <row r="9" spans="1:7" x14ac:dyDescent="0.3">
      <c r="A9" s="108">
        <v>3</v>
      </c>
      <c r="B9" s="133">
        <v>26</v>
      </c>
      <c r="C9" s="133">
        <v>0.17199999999999999</v>
      </c>
      <c r="D9" s="133">
        <v>1.28</v>
      </c>
      <c r="E9" s="129">
        <f t="shared" si="0"/>
        <v>5.7241599999999995</v>
      </c>
      <c r="F9" s="288"/>
      <c r="G9" s="288"/>
    </row>
    <row r="10" spans="1:7" x14ac:dyDescent="0.3">
      <c r="A10" s="342" t="s">
        <v>1180</v>
      </c>
      <c r="B10" s="343"/>
      <c r="C10" s="343"/>
      <c r="D10" s="344"/>
      <c r="E10" s="129">
        <f>SUM(E7:E9)</f>
        <v>12.66696</v>
      </c>
      <c r="F10" s="288"/>
      <c r="G10" s="288"/>
    </row>
  </sheetData>
  <mergeCells count="9">
    <mergeCell ref="F5:G10"/>
    <mergeCell ref="A5:E5"/>
    <mergeCell ref="A10:D10"/>
    <mergeCell ref="A1:G1"/>
    <mergeCell ref="B2:C2"/>
    <mergeCell ref="B3:C3"/>
    <mergeCell ref="A4:G4"/>
    <mergeCell ref="D2:E2"/>
    <mergeCell ref="D3:E3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="115" zoomScaleNormal="115" workbookViewId="0">
      <selection sqref="A1:XFD1048576"/>
    </sheetView>
  </sheetViews>
  <sheetFormatPr defaultRowHeight="15.6" x14ac:dyDescent="0.3"/>
  <cols>
    <col min="1" max="1" width="7.44140625" style="142" customWidth="1"/>
    <col min="2" max="2" width="27.5546875" style="106" customWidth="1"/>
    <col min="3" max="3" width="26.33203125" style="106" customWidth="1"/>
    <col min="4" max="4" width="8.6640625" style="106" bestFit="1" customWidth="1"/>
    <col min="5" max="5" width="7.109375" style="106" customWidth="1"/>
    <col min="6" max="16384" width="8.88671875" style="106"/>
  </cols>
  <sheetData>
    <row r="1" spans="1:5" x14ac:dyDescent="0.3">
      <c r="A1" s="289" t="s">
        <v>1188</v>
      </c>
      <c r="B1" s="289"/>
      <c r="C1" s="289"/>
      <c r="D1" s="289"/>
      <c r="E1" s="289"/>
    </row>
    <row r="2" spans="1:5" s="113" customFormat="1" x14ac:dyDescent="0.3">
      <c r="A2" s="112" t="s">
        <v>829</v>
      </c>
      <c r="B2" s="168" t="s">
        <v>7</v>
      </c>
      <c r="C2" s="140" t="s">
        <v>814</v>
      </c>
      <c r="D2" s="37" t="s">
        <v>10</v>
      </c>
      <c r="E2" s="111" t="s">
        <v>830</v>
      </c>
    </row>
    <row r="3" spans="1:5" ht="31.8" customHeight="1" x14ac:dyDescent="0.3">
      <c r="A3" s="108">
        <v>1</v>
      </c>
      <c r="B3" s="167" t="s">
        <v>1181</v>
      </c>
      <c r="C3" s="141" t="s">
        <v>1114</v>
      </c>
      <c r="D3" s="109" t="s">
        <v>15</v>
      </c>
      <c r="E3" s="110">
        <v>20.85</v>
      </c>
    </row>
    <row r="4" spans="1:5" ht="31.8" customHeight="1" x14ac:dyDescent="0.3">
      <c r="A4" s="134">
        <v>2</v>
      </c>
      <c r="B4" s="167" t="s">
        <v>1113</v>
      </c>
      <c r="C4" s="141" t="s">
        <v>1112</v>
      </c>
      <c r="D4" s="109" t="s">
        <v>15</v>
      </c>
      <c r="E4" s="136">
        <f>E3</f>
        <v>20.85</v>
      </c>
    </row>
    <row r="5" spans="1:5" ht="30.6" customHeight="1" x14ac:dyDescent="0.3">
      <c r="A5" s="134">
        <v>3</v>
      </c>
      <c r="B5" s="167" t="s">
        <v>1113</v>
      </c>
      <c r="C5" s="141" t="s">
        <v>1111</v>
      </c>
      <c r="D5" s="109" t="s">
        <v>15</v>
      </c>
      <c r="E5" s="136">
        <f>E4</f>
        <v>20.85</v>
      </c>
    </row>
    <row r="6" spans="1:5" x14ac:dyDescent="0.3">
      <c r="A6" s="286"/>
      <c r="B6" s="286"/>
      <c r="C6" s="286"/>
      <c r="D6" s="286"/>
      <c r="E6" s="286"/>
    </row>
  </sheetData>
  <mergeCells count="2">
    <mergeCell ref="A1:E1"/>
    <mergeCell ref="A6:E6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zoomScale="115" zoomScaleNormal="115" workbookViewId="0">
      <selection activeCell="A10" sqref="A10:XFD16"/>
    </sheetView>
  </sheetViews>
  <sheetFormatPr defaultRowHeight="15.6" x14ac:dyDescent="0.3"/>
  <cols>
    <col min="1" max="1" width="7.44140625" style="137" customWidth="1"/>
    <col min="2" max="2" width="12.33203125" style="106" customWidth="1"/>
    <col min="3" max="4" width="12.109375" style="106" customWidth="1"/>
    <col min="5" max="5" width="13.33203125" style="106" customWidth="1"/>
    <col min="6" max="6" width="9.44140625" style="106" customWidth="1"/>
    <col min="7" max="7" width="7.109375" style="106" customWidth="1"/>
    <col min="8" max="16384" width="8.88671875" style="106"/>
  </cols>
  <sheetData>
    <row r="1" spans="1:7" x14ac:dyDescent="0.3">
      <c r="A1" s="289" t="s">
        <v>1188</v>
      </c>
      <c r="B1" s="289"/>
      <c r="C1" s="289"/>
      <c r="D1" s="289"/>
      <c r="E1" s="289"/>
      <c r="F1" s="289"/>
      <c r="G1" s="289"/>
    </row>
    <row r="2" spans="1:7" s="113" customFormat="1" x14ac:dyDescent="0.3">
      <c r="A2" s="112" t="s">
        <v>829</v>
      </c>
      <c r="B2" s="339" t="s">
        <v>7</v>
      </c>
      <c r="C2" s="340"/>
      <c r="D2" s="340"/>
      <c r="E2" s="341"/>
      <c r="F2" s="37" t="s">
        <v>10</v>
      </c>
      <c r="G2" s="111" t="s">
        <v>830</v>
      </c>
    </row>
    <row r="3" spans="1:7" ht="48.6" customHeight="1" x14ac:dyDescent="0.3">
      <c r="A3" s="108">
        <v>1</v>
      </c>
      <c r="B3" s="336" t="s">
        <v>1107</v>
      </c>
      <c r="C3" s="337"/>
      <c r="D3" s="337"/>
      <c r="E3" s="338"/>
      <c r="F3" s="109" t="s">
        <v>1071</v>
      </c>
      <c r="G3" s="138">
        <v>4.7729999999999997</v>
      </c>
    </row>
    <row r="4" spans="1:7" ht="48.6" customHeight="1" x14ac:dyDescent="0.3">
      <c r="A4" s="134">
        <v>2</v>
      </c>
      <c r="B4" s="336" t="s">
        <v>1107</v>
      </c>
      <c r="C4" s="337"/>
      <c r="D4" s="337"/>
      <c r="E4" s="338"/>
      <c r="F4" s="109" t="s">
        <v>1071</v>
      </c>
      <c r="G4" s="139">
        <v>1.9770000000000001</v>
      </c>
    </row>
    <row r="5" spans="1:7" x14ac:dyDescent="0.3">
      <c r="A5" s="286"/>
      <c r="B5" s="286"/>
      <c r="C5" s="286"/>
      <c r="D5" s="286"/>
      <c r="E5" s="286"/>
      <c r="F5" s="286"/>
      <c r="G5" s="286"/>
    </row>
    <row r="6" spans="1:7" x14ac:dyDescent="0.3">
      <c r="A6" s="133" t="s">
        <v>829</v>
      </c>
      <c r="B6" s="133" t="s">
        <v>1110</v>
      </c>
      <c r="C6" s="133" t="s">
        <v>1104</v>
      </c>
      <c r="D6" s="133" t="s">
        <v>1103</v>
      </c>
      <c r="E6" s="133" t="s">
        <v>1105</v>
      </c>
      <c r="F6" s="287"/>
      <c r="G6" s="288"/>
    </row>
    <row r="7" spans="1:7" x14ac:dyDescent="0.3">
      <c r="A7" s="108">
        <v>1</v>
      </c>
      <c r="B7" s="143" t="s">
        <v>1108</v>
      </c>
      <c r="C7" s="144">
        <v>42.64</v>
      </c>
      <c r="D7" s="145">
        <v>156</v>
      </c>
      <c r="E7" s="145">
        <f>C7*D7-29.76</f>
        <v>6622.08</v>
      </c>
      <c r="F7" s="287"/>
      <c r="G7" s="288"/>
    </row>
    <row r="8" spans="1:7" x14ac:dyDescent="0.3">
      <c r="A8" s="108">
        <v>2</v>
      </c>
      <c r="B8" s="143" t="s">
        <v>1109</v>
      </c>
      <c r="C8" s="146">
        <v>42.64</v>
      </c>
      <c r="D8" s="145">
        <v>3</v>
      </c>
      <c r="E8" s="145">
        <f t="shared" ref="E8" si="0">C8*D8</f>
        <v>127.92</v>
      </c>
      <c r="F8" s="287"/>
      <c r="G8" s="288"/>
    </row>
    <row r="9" spans="1:7" x14ac:dyDescent="0.3">
      <c r="D9" s="133" t="s">
        <v>843</v>
      </c>
      <c r="E9" s="133">
        <f>SUM(E7:E8)</f>
        <v>6750</v>
      </c>
      <c r="F9" s="287"/>
      <c r="G9" s="288"/>
    </row>
  </sheetData>
  <mergeCells count="6">
    <mergeCell ref="F6:G9"/>
    <mergeCell ref="A1:G1"/>
    <mergeCell ref="B2:E2"/>
    <mergeCell ref="B3:E3"/>
    <mergeCell ref="B4:E4"/>
    <mergeCell ref="A5:G5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zoomScale="115" zoomScaleNormal="115" workbookViewId="0">
      <selection activeCell="J9" sqref="J9"/>
    </sheetView>
  </sheetViews>
  <sheetFormatPr defaultRowHeight="15.6" x14ac:dyDescent="0.3"/>
  <cols>
    <col min="1" max="1" width="7.44140625" style="137" customWidth="1"/>
    <col min="2" max="2" width="12.33203125" style="106" customWidth="1"/>
    <col min="3" max="4" width="12.109375" style="106" customWidth="1"/>
    <col min="5" max="5" width="13.33203125" style="106" customWidth="1"/>
    <col min="6" max="6" width="9.44140625" style="106" customWidth="1"/>
    <col min="7" max="7" width="7.109375" style="106" customWidth="1"/>
    <col min="8" max="16384" width="8.88671875" style="106"/>
  </cols>
  <sheetData>
    <row r="1" spans="1:7" x14ac:dyDescent="0.3">
      <c r="A1" s="289" t="s">
        <v>1188</v>
      </c>
      <c r="B1" s="289"/>
      <c r="C1" s="289"/>
      <c r="D1" s="289"/>
      <c r="E1" s="289"/>
      <c r="F1" s="289"/>
      <c r="G1" s="289"/>
    </row>
    <row r="2" spans="1:7" s="113" customFormat="1" x14ac:dyDescent="0.3">
      <c r="A2" s="112" t="s">
        <v>829</v>
      </c>
      <c r="B2" s="339" t="s">
        <v>7</v>
      </c>
      <c r="C2" s="340"/>
      <c r="D2" s="340"/>
      <c r="E2" s="341"/>
      <c r="F2" s="37" t="s">
        <v>10</v>
      </c>
      <c r="G2" s="111" t="s">
        <v>830</v>
      </c>
    </row>
    <row r="3" spans="1:7" ht="48.6" customHeight="1" x14ac:dyDescent="0.3">
      <c r="A3" s="108">
        <v>1</v>
      </c>
      <c r="B3" s="336" t="s">
        <v>1106</v>
      </c>
      <c r="C3" s="337"/>
      <c r="D3" s="337"/>
      <c r="E3" s="338"/>
      <c r="F3" s="109" t="s">
        <v>19</v>
      </c>
      <c r="G3" s="110">
        <v>11.7</v>
      </c>
    </row>
    <row r="4" spans="1:7" ht="48.6" customHeight="1" x14ac:dyDescent="0.3">
      <c r="A4" s="134">
        <v>2</v>
      </c>
      <c r="B4" s="336" t="s">
        <v>1106</v>
      </c>
      <c r="C4" s="337"/>
      <c r="D4" s="337"/>
      <c r="E4" s="338"/>
      <c r="F4" s="109" t="s">
        <v>19</v>
      </c>
      <c r="G4" s="136">
        <v>9.5399999999999991</v>
      </c>
    </row>
    <row r="5" spans="1:7" ht="50.4" customHeight="1" x14ac:dyDescent="0.3">
      <c r="A5" s="108">
        <v>3</v>
      </c>
      <c r="B5" s="336" t="s">
        <v>1106</v>
      </c>
      <c r="C5" s="337"/>
      <c r="D5" s="337"/>
      <c r="E5" s="338"/>
      <c r="F5" s="109" t="s">
        <v>19</v>
      </c>
      <c r="G5" s="110">
        <v>11.8</v>
      </c>
    </row>
  </sheetData>
  <mergeCells count="5">
    <mergeCell ref="A1:G1"/>
    <mergeCell ref="B2:E2"/>
    <mergeCell ref="B3:E3"/>
    <mergeCell ref="B4:E4"/>
    <mergeCell ref="B5:E5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zoomScale="115" zoomScaleNormal="115" workbookViewId="0">
      <selection activeCell="A6" sqref="A6:E6"/>
    </sheetView>
  </sheetViews>
  <sheetFormatPr defaultRowHeight="15.6" x14ac:dyDescent="0.3"/>
  <cols>
    <col min="1" max="1" width="7.44140625" style="131" customWidth="1"/>
    <col min="2" max="2" width="12.33203125" style="106" customWidth="1"/>
    <col min="3" max="4" width="12.109375" style="106" customWidth="1"/>
    <col min="5" max="5" width="13.33203125" style="106" customWidth="1"/>
    <col min="6" max="6" width="9.44140625" style="106" customWidth="1"/>
    <col min="7" max="7" width="7.109375" style="106" customWidth="1"/>
    <col min="8" max="16384" width="8.88671875" style="106"/>
  </cols>
  <sheetData>
    <row r="1" spans="1:7" x14ac:dyDescent="0.3">
      <c r="A1" s="289" t="s">
        <v>1188</v>
      </c>
      <c r="B1" s="289"/>
      <c r="C1" s="289"/>
      <c r="D1" s="289"/>
      <c r="E1" s="289"/>
      <c r="F1" s="289"/>
      <c r="G1" s="289"/>
    </row>
    <row r="2" spans="1:7" s="113" customFormat="1" x14ac:dyDescent="0.3">
      <c r="A2" s="112" t="s">
        <v>829</v>
      </c>
      <c r="B2" s="339" t="s">
        <v>7</v>
      </c>
      <c r="C2" s="340"/>
      <c r="D2" s="340"/>
      <c r="E2" s="341"/>
      <c r="F2" s="37" t="s">
        <v>10</v>
      </c>
      <c r="G2" s="111" t="s">
        <v>830</v>
      </c>
    </row>
    <row r="3" spans="1:7" ht="48.6" customHeight="1" x14ac:dyDescent="0.3">
      <c r="A3" s="108">
        <v>1</v>
      </c>
      <c r="B3" s="336" t="s">
        <v>1072</v>
      </c>
      <c r="C3" s="337"/>
      <c r="D3" s="337"/>
      <c r="E3" s="338"/>
      <c r="F3" s="109" t="s">
        <v>1071</v>
      </c>
      <c r="G3" s="138">
        <v>0.58899999999999997</v>
      </c>
    </row>
    <row r="4" spans="1:7" ht="48.6" customHeight="1" x14ac:dyDescent="0.3">
      <c r="A4" s="134">
        <v>2</v>
      </c>
      <c r="B4" s="336" t="s">
        <v>1072</v>
      </c>
      <c r="C4" s="337"/>
      <c r="D4" s="337"/>
      <c r="E4" s="338"/>
      <c r="F4" s="135" t="s">
        <v>1071</v>
      </c>
      <c r="G4" s="139">
        <v>0.373</v>
      </c>
    </row>
    <row r="5" spans="1:7" ht="50.4" customHeight="1" x14ac:dyDescent="0.3">
      <c r="A5" s="108">
        <v>3</v>
      </c>
      <c r="B5" s="336" t="s">
        <v>1072</v>
      </c>
      <c r="C5" s="337"/>
      <c r="D5" s="337"/>
      <c r="E5" s="338"/>
      <c r="F5" s="109" t="s">
        <v>1071</v>
      </c>
      <c r="G5" s="138">
        <v>0.48399999999999999</v>
      </c>
    </row>
    <row r="6" spans="1:7" x14ac:dyDescent="0.3">
      <c r="A6" s="133" t="s">
        <v>829</v>
      </c>
      <c r="B6" s="133" t="s">
        <v>1102</v>
      </c>
      <c r="C6" s="133" t="s">
        <v>1104</v>
      </c>
      <c r="D6" s="133" t="s">
        <v>1103</v>
      </c>
      <c r="E6" s="133" t="s">
        <v>1105</v>
      </c>
      <c r="F6" s="346"/>
      <c r="G6" s="311"/>
    </row>
    <row r="7" spans="1:7" x14ac:dyDescent="0.3">
      <c r="A7" s="133">
        <v>1</v>
      </c>
      <c r="B7" s="133" t="s">
        <v>1078</v>
      </c>
      <c r="C7" s="133">
        <v>1</v>
      </c>
      <c r="D7" s="133">
        <f>23.43+0.68</f>
        <v>24.11</v>
      </c>
      <c r="E7" s="133">
        <f t="shared" ref="E7:E8" si="0">C7*D7</f>
        <v>24.11</v>
      </c>
      <c r="F7" s="287"/>
      <c r="G7" s="288"/>
    </row>
    <row r="8" spans="1:7" x14ac:dyDescent="0.3">
      <c r="A8" s="133">
        <v>2</v>
      </c>
      <c r="B8" s="133" t="s">
        <v>1079</v>
      </c>
      <c r="C8" s="133">
        <v>1</v>
      </c>
      <c r="D8" s="133">
        <f>33.07+1.13+1.38</f>
        <v>35.580000000000005</v>
      </c>
      <c r="E8" s="133">
        <f t="shared" si="0"/>
        <v>35.580000000000005</v>
      </c>
      <c r="F8" s="287"/>
      <c r="G8" s="288"/>
    </row>
    <row r="9" spans="1:7" x14ac:dyDescent="0.3">
      <c r="A9" s="133">
        <v>3</v>
      </c>
      <c r="B9" s="133" t="s">
        <v>1080</v>
      </c>
      <c r="C9" s="133">
        <v>1</v>
      </c>
      <c r="D9" s="133">
        <f>63.7+1.13+2.45</f>
        <v>67.28</v>
      </c>
      <c r="E9" s="133">
        <f>C9*D9-10.8</f>
        <v>56.480000000000004</v>
      </c>
      <c r="F9" s="287"/>
      <c r="G9" s="288"/>
    </row>
    <row r="10" spans="1:7" x14ac:dyDescent="0.3">
      <c r="A10" s="133">
        <v>4</v>
      </c>
      <c r="B10" s="133" t="s">
        <v>1081</v>
      </c>
      <c r="C10" s="133">
        <v>3</v>
      </c>
      <c r="D10" s="133">
        <f>13.79+0.87+3.45</f>
        <v>18.11</v>
      </c>
      <c r="E10" s="133">
        <f>C10*D10</f>
        <v>54.33</v>
      </c>
      <c r="F10" s="287"/>
      <c r="G10" s="288"/>
    </row>
    <row r="11" spans="1:7" x14ac:dyDescent="0.3">
      <c r="A11" s="133">
        <v>5</v>
      </c>
      <c r="B11" s="133" t="s">
        <v>1082</v>
      </c>
      <c r="C11" s="133">
        <v>1</v>
      </c>
      <c r="D11" s="133">
        <f>17.19+1.16+3.45</f>
        <v>21.8</v>
      </c>
      <c r="E11" s="133">
        <f t="shared" ref="E11:E25" si="1">C11*D11</f>
        <v>21.8</v>
      </c>
      <c r="F11" s="287"/>
      <c r="G11" s="288"/>
    </row>
    <row r="12" spans="1:7" x14ac:dyDescent="0.3">
      <c r="A12" s="133">
        <v>6</v>
      </c>
      <c r="B12" s="133" t="s">
        <v>1083</v>
      </c>
      <c r="C12" s="133">
        <v>5</v>
      </c>
      <c r="D12" s="133">
        <f>44.1+1.16+3.45</f>
        <v>48.71</v>
      </c>
      <c r="E12" s="133">
        <f t="shared" si="1"/>
        <v>243.55</v>
      </c>
      <c r="F12" s="287"/>
      <c r="G12" s="288"/>
    </row>
    <row r="13" spans="1:7" x14ac:dyDescent="0.3">
      <c r="A13" s="133">
        <v>7</v>
      </c>
      <c r="B13" s="133" t="s">
        <v>1084</v>
      </c>
      <c r="C13" s="133">
        <v>2</v>
      </c>
      <c r="D13" s="133">
        <f>44.1+1.16+3.45</f>
        <v>48.71</v>
      </c>
      <c r="E13" s="133">
        <f t="shared" si="1"/>
        <v>97.42</v>
      </c>
      <c r="F13" s="287"/>
      <c r="G13" s="288"/>
    </row>
    <row r="14" spans="1:7" x14ac:dyDescent="0.3">
      <c r="A14" s="133">
        <v>8</v>
      </c>
      <c r="B14" s="133" t="s">
        <v>1085</v>
      </c>
      <c r="C14" s="133">
        <v>1</v>
      </c>
      <c r="D14" s="133">
        <f>50.84+1.44+3.45</f>
        <v>55.730000000000004</v>
      </c>
      <c r="E14" s="133">
        <f t="shared" si="1"/>
        <v>55.730000000000004</v>
      </c>
      <c r="F14" s="287"/>
      <c r="G14" s="288"/>
    </row>
    <row r="15" spans="1:7" x14ac:dyDescent="0.3">
      <c r="A15" s="133"/>
      <c r="B15" s="133"/>
      <c r="C15" s="133"/>
      <c r="D15" s="133" t="s">
        <v>843</v>
      </c>
      <c r="E15" s="133">
        <f>SUM(E7:E14)</f>
        <v>589</v>
      </c>
      <c r="F15" s="287"/>
      <c r="G15" s="288"/>
    </row>
    <row r="16" spans="1:7" x14ac:dyDescent="0.3">
      <c r="A16" s="133">
        <v>9</v>
      </c>
      <c r="B16" s="133" t="s">
        <v>1086</v>
      </c>
      <c r="C16" s="133">
        <v>1</v>
      </c>
      <c r="D16" s="133">
        <f>13.09+0.68+1.38</f>
        <v>15.149999999999999</v>
      </c>
      <c r="E16" s="133">
        <f t="shared" si="1"/>
        <v>15.149999999999999</v>
      </c>
      <c r="F16" s="287"/>
      <c r="G16" s="288"/>
    </row>
    <row r="17" spans="1:7" x14ac:dyDescent="0.3">
      <c r="A17" s="133">
        <v>10</v>
      </c>
      <c r="B17" s="133" t="s">
        <v>1087</v>
      </c>
      <c r="C17" s="133">
        <v>3</v>
      </c>
      <c r="D17" s="133">
        <f>9.65+0.65+2.76</f>
        <v>13.06</v>
      </c>
      <c r="E17" s="133">
        <f t="shared" si="1"/>
        <v>39.18</v>
      </c>
      <c r="F17" s="287"/>
      <c r="G17" s="288"/>
    </row>
    <row r="18" spans="1:7" x14ac:dyDescent="0.3">
      <c r="A18" s="133">
        <v>11</v>
      </c>
      <c r="B18" s="133" t="s">
        <v>1088</v>
      </c>
      <c r="C18" s="133">
        <v>1</v>
      </c>
      <c r="D18" s="133">
        <f>20.67+0.68</f>
        <v>21.35</v>
      </c>
      <c r="E18" s="133">
        <f t="shared" si="1"/>
        <v>21.35</v>
      </c>
      <c r="F18" s="287"/>
      <c r="G18" s="288"/>
    </row>
    <row r="19" spans="1:7" x14ac:dyDescent="0.3">
      <c r="A19" s="133">
        <v>12</v>
      </c>
      <c r="B19" s="133" t="s">
        <v>1089</v>
      </c>
      <c r="C19" s="133">
        <v>1</v>
      </c>
      <c r="D19" s="133">
        <f>22.74+0.68</f>
        <v>23.419999999999998</v>
      </c>
      <c r="E19" s="133">
        <f t="shared" si="1"/>
        <v>23.419999999999998</v>
      </c>
      <c r="F19" s="287"/>
      <c r="G19" s="288"/>
    </row>
    <row r="20" spans="1:7" x14ac:dyDescent="0.3">
      <c r="A20" s="133">
        <v>13</v>
      </c>
      <c r="B20" s="133" t="s">
        <v>1090</v>
      </c>
      <c r="C20" s="133">
        <v>1</v>
      </c>
      <c r="D20" s="133">
        <f>19.29+0.68+1.38</f>
        <v>21.349999999999998</v>
      </c>
      <c r="E20" s="133">
        <f t="shared" si="1"/>
        <v>21.349999999999998</v>
      </c>
      <c r="F20" s="287"/>
      <c r="G20" s="288"/>
    </row>
    <row r="21" spans="1:7" x14ac:dyDescent="0.3">
      <c r="A21" s="133">
        <v>14</v>
      </c>
      <c r="B21" s="133" t="s">
        <v>1091</v>
      </c>
      <c r="C21" s="133">
        <v>4</v>
      </c>
      <c r="D21" s="133">
        <f>28.25+0.9+1.38</f>
        <v>30.529999999999998</v>
      </c>
      <c r="E21" s="133">
        <f>C21*D21-13.44</f>
        <v>108.67999999999999</v>
      </c>
      <c r="F21" s="287"/>
      <c r="G21" s="288"/>
    </row>
    <row r="22" spans="1:7" x14ac:dyDescent="0.3">
      <c r="A22" s="133">
        <v>15</v>
      </c>
      <c r="B22" s="133" t="s">
        <v>1092</v>
      </c>
      <c r="C22" s="133">
        <v>1</v>
      </c>
      <c r="D22" s="133">
        <f>28.25+0.9+1.38</f>
        <v>30.529999999999998</v>
      </c>
      <c r="E22" s="133">
        <f t="shared" si="1"/>
        <v>30.529999999999998</v>
      </c>
      <c r="F22" s="287"/>
      <c r="G22" s="288"/>
    </row>
    <row r="23" spans="1:7" x14ac:dyDescent="0.3">
      <c r="A23" s="133">
        <v>16</v>
      </c>
      <c r="B23" s="133" t="s">
        <v>1093</v>
      </c>
      <c r="C23" s="133">
        <v>1</v>
      </c>
      <c r="D23" s="133">
        <f>23.43+0.9+2.76</f>
        <v>27.089999999999996</v>
      </c>
      <c r="E23" s="133">
        <f t="shared" si="1"/>
        <v>27.089999999999996</v>
      </c>
      <c r="F23" s="287"/>
      <c r="G23" s="288"/>
    </row>
    <row r="24" spans="1:7" x14ac:dyDescent="0.3">
      <c r="A24" s="133">
        <v>17</v>
      </c>
      <c r="B24" s="133" t="s">
        <v>1080</v>
      </c>
      <c r="C24" s="133">
        <v>1</v>
      </c>
      <c r="D24" s="133">
        <f>53.9+1.13+2.76</f>
        <v>57.79</v>
      </c>
      <c r="E24" s="133">
        <f t="shared" si="1"/>
        <v>57.79</v>
      </c>
      <c r="F24" s="287"/>
      <c r="G24" s="288"/>
    </row>
    <row r="25" spans="1:7" x14ac:dyDescent="0.3">
      <c r="A25" s="133">
        <v>18</v>
      </c>
      <c r="B25" s="133" t="s">
        <v>1094</v>
      </c>
      <c r="C25" s="133">
        <v>1</v>
      </c>
      <c r="D25" s="133">
        <f>24.8+0.9+2.76</f>
        <v>28.46</v>
      </c>
      <c r="E25" s="133">
        <f t="shared" si="1"/>
        <v>28.46</v>
      </c>
      <c r="F25" s="287"/>
      <c r="G25" s="288"/>
    </row>
    <row r="26" spans="1:7" x14ac:dyDescent="0.3">
      <c r="A26" s="133"/>
      <c r="B26" s="133"/>
      <c r="C26" s="133"/>
      <c r="D26" s="133" t="s">
        <v>843</v>
      </c>
      <c r="E26" s="133">
        <f>SUM(E16:E25)</f>
        <v>372.99999999999994</v>
      </c>
      <c r="F26" s="287"/>
      <c r="G26" s="288"/>
    </row>
    <row r="27" spans="1:7" x14ac:dyDescent="0.3">
      <c r="A27" s="133">
        <v>19</v>
      </c>
      <c r="B27" s="133" t="s">
        <v>1095</v>
      </c>
      <c r="C27" s="133">
        <v>2</v>
      </c>
      <c r="D27" s="133">
        <f>13.09+0.68+2.76</f>
        <v>16.53</v>
      </c>
      <c r="E27" s="133">
        <f t="shared" ref="E27:E36" si="2">C27*D27</f>
        <v>33.06</v>
      </c>
      <c r="F27" s="287"/>
      <c r="G27" s="288"/>
    </row>
    <row r="28" spans="1:7" x14ac:dyDescent="0.3">
      <c r="A28" s="133">
        <v>20</v>
      </c>
      <c r="B28" s="133" t="s">
        <v>1086</v>
      </c>
      <c r="C28" s="133">
        <v>3</v>
      </c>
      <c r="D28" s="133">
        <f>9.65+0.65+2.76</f>
        <v>13.06</v>
      </c>
      <c r="E28" s="133">
        <f>C28*D28-7.92</f>
        <v>31.259999999999998</v>
      </c>
      <c r="F28" s="287"/>
      <c r="G28" s="288"/>
    </row>
    <row r="29" spans="1:7" x14ac:dyDescent="0.3">
      <c r="A29" s="133">
        <v>21</v>
      </c>
      <c r="B29" s="133" t="s">
        <v>1096</v>
      </c>
      <c r="C29" s="133">
        <v>1</v>
      </c>
      <c r="D29" s="133">
        <f>19.29+0.68</f>
        <v>19.97</v>
      </c>
      <c r="E29" s="133">
        <f t="shared" si="2"/>
        <v>19.97</v>
      </c>
      <c r="F29" s="287"/>
      <c r="G29" s="288"/>
    </row>
    <row r="30" spans="1:7" x14ac:dyDescent="0.3">
      <c r="A30" s="133">
        <v>22</v>
      </c>
      <c r="B30" s="133" t="s">
        <v>1097</v>
      </c>
      <c r="C30" s="133">
        <v>1</v>
      </c>
      <c r="D30" s="133">
        <f>20.76+0.68</f>
        <v>21.44</v>
      </c>
      <c r="E30" s="133">
        <f t="shared" si="2"/>
        <v>21.44</v>
      </c>
      <c r="F30" s="287"/>
      <c r="G30" s="288"/>
    </row>
    <row r="31" spans="1:7" x14ac:dyDescent="0.3">
      <c r="A31" s="133">
        <v>23</v>
      </c>
      <c r="B31" s="133" t="s">
        <v>1089</v>
      </c>
      <c r="C31" s="133">
        <v>1</v>
      </c>
      <c r="D31" s="133">
        <f>19.29+0.68+1.38</f>
        <v>21.349999999999998</v>
      </c>
      <c r="E31" s="133">
        <f t="shared" si="2"/>
        <v>21.349999999999998</v>
      </c>
      <c r="F31" s="287"/>
      <c r="G31" s="288"/>
    </row>
    <row r="32" spans="1:7" x14ac:dyDescent="0.3">
      <c r="A32" s="133">
        <v>24</v>
      </c>
      <c r="B32" s="133" t="s">
        <v>1098</v>
      </c>
      <c r="C32" s="133">
        <v>6</v>
      </c>
      <c r="D32" s="133">
        <f>28.25+0.9+1.38</f>
        <v>30.529999999999998</v>
      </c>
      <c r="E32" s="133">
        <f t="shared" si="2"/>
        <v>183.17999999999998</v>
      </c>
      <c r="F32" s="287"/>
      <c r="G32" s="288"/>
    </row>
    <row r="33" spans="1:7" x14ac:dyDescent="0.3">
      <c r="A33" s="133">
        <v>25</v>
      </c>
      <c r="B33" s="133" t="s">
        <v>1099</v>
      </c>
      <c r="C33" s="133">
        <v>1</v>
      </c>
      <c r="D33" s="133">
        <f>28.28+0.9+1.38</f>
        <v>30.56</v>
      </c>
      <c r="E33" s="133">
        <f t="shared" si="2"/>
        <v>30.56</v>
      </c>
      <c r="F33" s="287"/>
      <c r="G33" s="288"/>
    </row>
    <row r="34" spans="1:7" x14ac:dyDescent="0.3">
      <c r="A34" s="133">
        <v>26</v>
      </c>
      <c r="B34" s="133" t="s">
        <v>1092</v>
      </c>
      <c r="C34" s="133">
        <v>1</v>
      </c>
      <c r="D34" s="133">
        <f>23.43+0.9+2.76</f>
        <v>27.089999999999996</v>
      </c>
      <c r="E34" s="133">
        <f t="shared" si="2"/>
        <v>27.089999999999996</v>
      </c>
      <c r="F34" s="287"/>
      <c r="G34" s="288"/>
    </row>
    <row r="35" spans="1:7" x14ac:dyDescent="0.3">
      <c r="A35" s="133">
        <v>27</v>
      </c>
      <c r="B35" s="133" t="s">
        <v>1100</v>
      </c>
      <c r="C35" s="133">
        <v>1</v>
      </c>
      <c r="D35" s="133">
        <f>24.8+0.9+2.76</f>
        <v>28.46</v>
      </c>
      <c r="E35" s="133">
        <f t="shared" si="2"/>
        <v>28.46</v>
      </c>
      <c r="F35" s="287"/>
      <c r="G35" s="288"/>
    </row>
    <row r="36" spans="1:7" x14ac:dyDescent="0.3">
      <c r="A36" s="133">
        <v>28</v>
      </c>
      <c r="B36" s="133" t="s">
        <v>1079</v>
      </c>
      <c r="C36" s="133">
        <v>1</v>
      </c>
      <c r="D36" s="133">
        <f>27.56+0.9+1.38</f>
        <v>29.839999999999996</v>
      </c>
      <c r="E36" s="133">
        <f t="shared" si="2"/>
        <v>29.839999999999996</v>
      </c>
      <c r="F36" s="287"/>
      <c r="G36" s="288"/>
    </row>
    <row r="37" spans="1:7" x14ac:dyDescent="0.3">
      <c r="A37" s="133">
        <v>29</v>
      </c>
      <c r="B37" s="133" t="s">
        <v>1101</v>
      </c>
      <c r="C37" s="133">
        <v>1</v>
      </c>
      <c r="D37" s="133">
        <f>53.9+1.13+2.76</f>
        <v>57.79</v>
      </c>
      <c r="E37" s="133">
        <f>C37*D37</f>
        <v>57.79</v>
      </c>
      <c r="F37" s="287"/>
      <c r="G37" s="288"/>
    </row>
    <row r="38" spans="1:7" x14ac:dyDescent="0.3">
      <c r="A38" s="133"/>
      <c r="B38" s="133"/>
      <c r="C38" s="133"/>
      <c r="D38" s="133" t="s">
        <v>843</v>
      </c>
      <c r="E38" s="133">
        <f>SUM(E27:E37)</f>
        <v>483.99999999999994</v>
      </c>
      <c r="F38" s="287"/>
      <c r="G38" s="288"/>
    </row>
  </sheetData>
  <mergeCells count="6">
    <mergeCell ref="F6:G38"/>
    <mergeCell ref="A1:G1"/>
    <mergeCell ref="B2:E2"/>
    <mergeCell ref="B3:E3"/>
    <mergeCell ref="B4:E4"/>
    <mergeCell ref="B5:E5"/>
  </mergeCell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510"/>
  <sheetViews>
    <sheetView topLeftCell="A263" zoomScale="40" zoomScaleNormal="40" workbookViewId="0">
      <selection activeCell="E402" sqref="E402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4" width="38" hidden="1" customWidth="1"/>
    <col min="5" max="5" width="38" customWidth="1"/>
    <col min="6" max="6" width="16.44140625" hidden="1" customWidth="1"/>
    <col min="7" max="7" width="16.88671875" hidden="1" customWidth="1"/>
    <col min="8" max="8" width="16" hidden="1" customWidth="1"/>
    <col min="9" max="9" width="17.33203125" customWidth="1"/>
  </cols>
  <sheetData>
    <row r="1" spans="1:11" ht="15" customHeight="1" x14ac:dyDescent="0.3">
      <c r="A1" s="1" t="s">
        <v>0</v>
      </c>
      <c r="B1" s="3"/>
      <c r="C1" s="3"/>
      <c r="D1" s="2" t="s">
        <v>1</v>
      </c>
      <c r="E1" s="2"/>
      <c r="F1" s="2" t="s">
        <v>797</v>
      </c>
      <c r="G1" s="2" t="s">
        <v>810</v>
      </c>
      <c r="H1" s="2" t="s">
        <v>811</v>
      </c>
      <c r="I1" s="2" t="s">
        <v>812</v>
      </c>
    </row>
    <row r="2" spans="1:11" ht="30.75" customHeight="1" x14ac:dyDescent="0.3">
      <c r="A2" s="350" t="s">
        <v>2</v>
      </c>
      <c r="B2" s="350"/>
      <c r="C2" s="350"/>
      <c r="D2" s="350"/>
      <c r="E2" s="350"/>
      <c r="F2" s="350"/>
      <c r="G2" s="350"/>
      <c r="H2" s="350"/>
      <c r="I2" s="350"/>
    </row>
    <row r="3" spans="1:11" ht="15" customHeight="1" x14ac:dyDescent="0.3">
      <c r="A3" s="351" t="s">
        <v>3</v>
      </c>
      <c r="B3" s="351"/>
      <c r="C3" s="351"/>
      <c r="D3" s="351"/>
      <c r="E3" s="351"/>
      <c r="F3" s="351"/>
      <c r="G3" s="351"/>
      <c r="H3" s="351"/>
      <c r="I3" s="351"/>
    </row>
    <row r="4" spans="1:11" ht="15" customHeight="1" x14ac:dyDescent="0.3">
      <c r="A4" s="352" t="s">
        <v>4</v>
      </c>
      <c r="B4" s="352"/>
      <c r="C4" s="352"/>
      <c r="D4" s="352"/>
      <c r="E4" s="352"/>
      <c r="F4" s="352"/>
      <c r="G4" s="352"/>
      <c r="H4" s="352"/>
      <c r="I4" s="352"/>
    </row>
    <row r="5" spans="1:11" ht="40.799999999999997" customHeight="1" x14ac:dyDescent="0.3">
      <c r="A5" s="56" t="s">
        <v>5</v>
      </c>
      <c r="B5" s="48" t="s">
        <v>6</v>
      </c>
      <c r="C5" s="48" t="s">
        <v>7</v>
      </c>
      <c r="D5" s="48" t="s">
        <v>8</v>
      </c>
      <c r="E5" s="48" t="s">
        <v>9</v>
      </c>
      <c r="F5" s="48" t="s">
        <v>10</v>
      </c>
      <c r="G5" s="48" t="s">
        <v>11</v>
      </c>
      <c r="H5" s="48" t="s">
        <v>12</v>
      </c>
      <c r="I5" s="57" t="s">
        <v>13</v>
      </c>
      <c r="J5" s="97" t="s">
        <v>1057</v>
      </c>
      <c r="K5" s="98" t="s">
        <v>1058</v>
      </c>
    </row>
    <row r="6" spans="1:11" ht="16.95" customHeight="1" x14ac:dyDescent="0.3">
      <c r="A6" s="49" t="s">
        <v>28</v>
      </c>
      <c r="B6" s="4" t="s">
        <v>29</v>
      </c>
      <c r="C6" s="33" t="s">
        <v>30</v>
      </c>
      <c r="D6" s="34"/>
      <c r="E6" s="34"/>
      <c r="F6" s="34"/>
      <c r="G6" s="34"/>
      <c r="H6" s="34"/>
      <c r="I6" s="34"/>
      <c r="J6" s="99"/>
      <c r="K6" s="99"/>
    </row>
    <row r="7" spans="1:11" ht="16.95" customHeight="1" x14ac:dyDescent="0.3">
      <c r="A7" s="49" t="s">
        <v>31</v>
      </c>
      <c r="B7" s="4" t="s">
        <v>32</v>
      </c>
      <c r="C7" s="33" t="s">
        <v>33</v>
      </c>
      <c r="D7" s="34"/>
      <c r="E7" s="34"/>
      <c r="F7" s="34"/>
      <c r="G7" s="34"/>
      <c r="H7" s="34"/>
      <c r="I7" s="34"/>
      <c r="J7" s="99"/>
      <c r="K7" s="99"/>
    </row>
    <row r="8" spans="1:11" ht="54" hidden="1" customHeight="1" x14ac:dyDescent="0.3">
      <c r="A8" s="49" t="s">
        <v>34</v>
      </c>
      <c r="B8" s="4" t="s">
        <v>35</v>
      </c>
      <c r="C8" s="5" t="s">
        <v>36</v>
      </c>
      <c r="D8" s="6"/>
      <c r="E8" s="6" t="s">
        <v>37</v>
      </c>
      <c r="F8" s="6" t="s">
        <v>18</v>
      </c>
      <c r="G8" s="7">
        <v>1</v>
      </c>
      <c r="H8" s="7"/>
      <c r="I8" s="50">
        <v>0</v>
      </c>
    </row>
    <row r="9" spans="1:11" ht="36" hidden="1" customHeight="1" x14ac:dyDescent="0.3">
      <c r="A9" s="49" t="s">
        <v>38</v>
      </c>
      <c r="B9" s="4"/>
      <c r="C9" s="8" t="s">
        <v>39</v>
      </c>
      <c r="D9" s="6"/>
      <c r="E9" s="6"/>
      <c r="F9" s="9" t="s">
        <v>16</v>
      </c>
      <c r="G9" s="10">
        <v>0.3</v>
      </c>
      <c r="H9" s="11"/>
      <c r="I9" s="51">
        <v>0</v>
      </c>
    </row>
    <row r="10" spans="1:11" ht="18" hidden="1" customHeight="1" x14ac:dyDescent="0.3">
      <c r="A10" s="49" t="s">
        <v>40</v>
      </c>
      <c r="B10" s="4"/>
      <c r="C10" s="12" t="s">
        <v>41</v>
      </c>
      <c r="D10" s="6"/>
      <c r="E10" s="6"/>
      <c r="F10" s="9" t="s">
        <v>18</v>
      </c>
      <c r="G10" s="10">
        <v>1.1000000000000001</v>
      </c>
      <c r="H10" s="11"/>
      <c r="I10" s="51">
        <v>0</v>
      </c>
    </row>
    <row r="11" spans="1:11" ht="54" x14ac:dyDescent="0.3">
      <c r="A11" s="49" t="s">
        <v>42</v>
      </c>
      <c r="B11" s="4" t="s">
        <v>35</v>
      </c>
      <c r="C11" s="5" t="s">
        <v>36</v>
      </c>
      <c r="D11" s="6"/>
      <c r="E11" s="6" t="s">
        <v>43</v>
      </c>
      <c r="F11" s="6" t="s">
        <v>18</v>
      </c>
      <c r="G11" s="7">
        <v>1</v>
      </c>
      <c r="H11" s="7"/>
      <c r="I11" s="50">
        <v>3479</v>
      </c>
      <c r="J11" s="99"/>
      <c r="K11" s="99"/>
    </row>
    <row r="12" spans="1:11" ht="18" hidden="1" customHeight="1" x14ac:dyDescent="0.3">
      <c r="A12" s="49" t="s">
        <v>44</v>
      </c>
      <c r="B12" s="4"/>
      <c r="C12" s="12" t="s">
        <v>41</v>
      </c>
      <c r="D12" s="6"/>
      <c r="E12" s="6"/>
      <c r="F12" s="9" t="s">
        <v>18</v>
      </c>
      <c r="G12" s="10">
        <v>1.1000000000000001</v>
      </c>
      <c r="H12" s="11"/>
      <c r="I12" s="51">
        <v>3826.9</v>
      </c>
    </row>
    <row r="13" spans="1:11" ht="36" hidden="1" customHeight="1" x14ac:dyDescent="0.3">
      <c r="A13" s="49" t="s">
        <v>45</v>
      </c>
      <c r="B13" s="4"/>
      <c r="C13" s="8" t="s">
        <v>39</v>
      </c>
      <c r="D13" s="6"/>
      <c r="E13" s="6"/>
      <c r="F13" s="9" t="s">
        <v>16</v>
      </c>
      <c r="G13" s="10">
        <v>0.3</v>
      </c>
      <c r="H13" s="11"/>
      <c r="I13" s="51">
        <v>1043.7</v>
      </c>
    </row>
    <row r="14" spans="1:11" ht="54" hidden="1" customHeight="1" x14ac:dyDescent="0.3">
      <c r="A14" s="49" t="s">
        <v>46</v>
      </c>
      <c r="B14" s="4" t="s">
        <v>47</v>
      </c>
      <c r="C14" s="5" t="s">
        <v>48</v>
      </c>
      <c r="D14" s="6"/>
      <c r="E14" s="6" t="s">
        <v>14</v>
      </c>
      <c r="F14" s="6" t="s">
        <v>15</v>
      </c>
      <c r="G14" s="7">
        <v>1</v>
      </c>
      <c r="H14" s="7"/>
      <c r="I14" s="50">
        <v>0</v>
      </c>
    </row>
    <row r="15" spans="1:11" ht="36" hidden="1" customHeight="1" x14ac:dyDescent="0.3">
      <c r="A15" s="49" t="s">
        <v>49</v>
      </c>
      <c r="B15" s="4"/>
      <c r="C15" s="8" t="s">
        <v>50</v>
      </c>
      <c r="D15" s="6"/>
      <c r="E15" s="6" t="s">
        <v>51</v>
      </c>
      <c r="F15" s="9" t="s">
        <v>16</v>
      </c>
      <c r="G15" s="10">
        <v>1</v>
      </c>
      <c r="H15" s="11"/>
      <c r="I15" s="51">
        <v>0</v>
      </c>
    </row>
    <row r="16" spans="1:11" ht="18" hidden="1" customHeight="1" x14ac:dyDescent="0.3">
      <c r="A16" s="49" t="s">
        <v>52</v>
      </c>
      <c r="B16" s="4"/>
      <c r="C16" s="12" t="s">
        <v>53</v>
      </c>
      <c r="D16" s="6"/>
      <c r="E16" s="6"/>
      <c r="F16" s="9" t="s">
        <v>16</v>
      </c>
      <c r="G16" s="10">
        <v>0.25</v>
      </c>
      <c r="H16" s="10"/>
      <c r="I16" s="54">
        <v>0</v>
      </c>
    </row>
    <row r="17" spans="1:9" ht="18" hidden="1" customHeight="1" x14ac:dyDescent="0.3">
      <c r="A17" s="49" t="s">
        <v>54</v>
      </c>
      <c r="B17" s="4"/>
      <c r="C17" s="12" t="s">
        <v>55</v>
      </c>
      <c r="D17" s="6"/>
      <c r="E17" s="6"/>
      <c r="F17" s="9" t="s">
        <v>18</v>
      </c>
      <c r="G17" s="10">
        <v>1.05</v>
      </c>
      <c r="H17" s="11"/>
      <c r="I17" s="51">
        <v>0</v>
      </c>
    </row>
    <row r="18" spans="1:9" ht="54" hidden="1" customHeight="1" x14ac:dyDescent="0.3">
      <c r="A18" s="49" t="s">
        <v>56</v>
      </c>
      <c r="B18" s="4" t="s">
        <v>57</v>
      </c>
      <c r="C18" s="5" t="s">
        <v>58</v>
      </c>
      <c r="D18" s="6"/>
      <c r="E18" s="6" t="s">
        <v>59</v>
      </c>
      <c r="F18" s="6" t="s">
        <v>15</v>
      </c>
      <c r="G18" s="7">
        <v>1</v>
      </c>
      <c r="H18" s="7"/>
      <c r="I18" s="50">
        <v>0</v>
      </c>
    </row>
    <row r="19" spans="1:9" ht="36" hidden="1" customHeight="1" x14ac:dyDescent="0.3">
      <c r="A19" s="49" t="s">
        <v>60</v>
      </c>
      <c r="B19" s="4"/>
      <c r="C19" s="8" t="s">
        <v>39</v>
      </c>
      <c r="D19" s="6"/>
      <c r="E19" s="6" t="s">
        <v>61</v>
      </c>
      <c r="F19" s="9" t="s">
        <v>16</v>
      </c>
      <c r="G19" s="10">
        <v>1.8</v>
      </c>
      <c r="H19" s="10"/>
      <c r="I19" s="54">
        <v>0</v>
      </c>
    </row>
    <row r="20" spans="1:9" ht="18" hidden="1" customHeight="1" x14ac:dyDescent="0.3">
      <c r="A20" s="49" t="s">
        <v>62</v>
      </c>
      <c r="B20" s="4"/>
      <c r="C20" s="12" t="s">
        <v>63</v>
      </c>
      <c r="D20" s="6"/>
      <c r="E20" s="6"/>
      <c r="F20" s="9" t="s">
        <v>20</v>
      </c>
      <c r="G20" s="10">
        <v>0.3</v>
      </c>
      <c r="H20" s="11"/>
      <c r="I20" s="51">
        <v>0</v>
      </c>
    </row>
    <row r="21" spans="1:9" ht="18" hidden="1" customHeight="1" x14ac:dyDescent="0.3">
      <c r="A21" s="49" t="s">
        <v>64</v>
      </c>
      <c r="B21" s="4"/>
      <c r="C21" s="12" t="s">
        <v>65</v>
      </c>
      <c r="D21" s="6"/>
      <c r="E21" s="6"/>
      <c r="F21" s="9" t="s">
        <v>18</v>
      </c>
      <c r="G21" s="10">
        <v>1</v>
      </c>
      <c r="H21" s="11"/>
      <c r="I21" s="51">
        <v>0</v>
      </c>
    </row>
    <row r="22" spans="1:9" ht="36" hidden="1" customHeight="1" x14ac:dyDescent="0.3">
      <c r="A22" s="49" t="s">
        <v>66</v>
      </c>
      <c r="B22" s="4"/>
      <c r="C22" s="12" t="s">
        <v>23</v>
      </c>
      <c r="D22" s="6"/>
      <c r="E22" s="6"/>
      <c r="F22" s="9" t="s">
        <v>16</v>
      </c>
      <c r="G22" s="10">
        <v>0.15</v>
      </c>
      <c r="H22" s="10"/>
      <c r="I22" s="54">
        <v>0</v>
      </c>
    </row>
    <row r="23" spans="1:9" ht="54" hidden="1" customHeight="1" x14ac:dyDescent="0.3">
      <c r="A23" s="49" t="s">
        <v>67</v>
      </c>
      <c r="B23" s="4" t="s">
        <v>57</v>
      </c>
      <c r="C23" s="5" t="s">
        <v>58</v>
      </c>
      <c r="D23" s="6"/>
      <c r="E23" s="6" t="s">
        <v>68</v>
      </c>
      <c r="F23" s="6" t="s">
        <v>15</v>
      </c>
      <c r="G23" s="7">
        <v>1</v>
      </c>
      <c r="H23" s="7"/>
      <c r="I23" s="50">
        <v>0</v>
      </c>
    </row>
    <row r="24" spans="1:9" ht="36" hidden="1" customHeight="1" x14ac:dyDescent="0.3">
      <c r="A24" s="49" t="s">
        <v>69</v>
      </c>
      <c r="B24" s="4"/>
      <c r="C24" s="12" t="s">
        <v>23</v>
      </c>
      <c r="D24" s="6"/>
      <c r="E24" s="6"/>
      <c r="F24" s="9" t="s">
        <v>16</v>
      </c>
      <c r="G24" s="10">
        <v>0.15</v>
      </c>
      <c r="H24" s="10"/>
      <c r="I24" s="54">
        <v>0</v>
      </c>
    </row>
    <row r="25" spans="1:9" ht="36" hidden="1" customHeight="1" x14ac:dyDescent="0.3">
      <c r="A25" s="49" t="s">
        <v>70</v>
      </c>
      <c r="B25" s="4"/>
      <c r="C25" s="8" t="s">
        <v>39</v>
      </c>
      <c r="D25" s="6"/>
      <c r="E25" s="6" t="s">
        <v>71</v>
      </c>
      <c r="F25" s="9" t="s">
        <v>16</v>
      </c>
      <c r="G25" s="10">
        <v>1.8</v>
      </c>
      <c r="H25" s="10"/>
      <c r="I25" s="54">
        <v>0</v>
      </c>
    </row>
    <row r="26" spans="1:9" ht="54" hidden="1" customHeight="1" x14ac:dyDescent="0.3">
      <c r="A26" s="49" t="s">
        <v>72</v>
      </c>
      <c r="B26" s="4" t="s">
        <v>73</v>
      </c>
      <c r="C26" s="5" t="s">
        <v>74</v>
      </c>
      <c r="D26" s="6"/>
      <c r="E26" s="6" t="s">
        <v>75</v>
      </c>
      <c r="F26" s="6" t="s">
        <v>15</v>
      </c>
      <c r="G26" s="7">
        <v>1</v>
      </c>
      <c r="H26" s="7"/>
      <c r="I26" s="50">
        <v>0</v>
      </c>
    </row>
    <row r="27" spans="1:9" ht="36" hidden="1" customHeight="1" x14ac:dyDescent="0.3">
      <c r="A27" s="49" t="s">
        <v>76</v>
      </c>
      <c r="B27" s="4"/>
      <c r="C27" s="12" t="s">
        <v>77</v>
      </c>
      <c r="D27" s="6"/>
      <c r="E27" s="6"/>
      <c r="F27" s="9" t="s">
        <v>16</v>
      </c>
      <c r="G27" s="10">
        <v>1</v>
      </c>
      <c r="H27" s="10"/>
      <c r="I27" s="54">
        <v>0</v>
      </c>
    </row>
    <row r="28" spans="1:9" ht="36" hidden="1" customHeight="1" x14ac:dyDescent="0.3">
      <c r="A28" s="49" t="s">
        <v>78</v>
      </c>
      <c r="B28" s="4"/>
      <c r="C28" s="12" t="s">
        <v>23</v>
      </c>
      <c r="D28" s="6"/>
      <c r="E28" s="6"/>
      <c r="F28" s="9" t="s">
        <v>16</v>
      </c>
      <c r="G28" s="10">
        <v>0.15</v>
      </c>
      <c r="H28" s="10"/>
      <c r="I28" s="54">
        <v>0</v>
      </c>
    </row>
    <row r="29" spans="1:9" ht="54" hidden="1" customHeight="1" x14ac:dyDescent="0.3">
      <c r="A29" s="49" t="s">
        <v>79</v>
      </c>
      <c r="B29" s="4" t="s">
        <v>73</v>
      </c>
      <c r="C29" s="5" t="s">
        <v>74</v>
      </c>
      <c r="D29" s="6"/>
      <c r="E29" s="6" t="s">
        <v>80</v>
      </c>
      <c r="F29" s="6" t="s">
        <v>15</v>
      </c>
      <c r="G29" s="7">
        <v>1</v>
      </c>
      <c r="H29" s="7"/>
      <c r="I29" s="50">
        <v>0</v>
      </c>
    </row>
    <row r="30" spans="1:9" ht="36" hidden="1" customHeight="1" x14ac:dyDescent="0.3">
      <c r="A30" s="49" t="s">
        <v>81</v>
      </c>
      <c r="B30" s="4"/>
      <c r="C30" s="12" t="s">
        <v>23</v>
      </c>
      <c r="D30" s="6"/>
      <c r="E30" s="6"/>
      <c r="F30" s="9" t="s">
        <v>16</v>
      </c>
      <c r="G30" s="10">
        <v>0.15</v>
      </c>
      <c r="H30" s="10"/>
      <c r="I30" s="54">
        <v>0</v>
      </c>
    </row>
    <row r="31" spans="1:9" ht="36" hidden="1" customHeight="1" x14ac:dyDescent="0.3">
      <c r="A31" s="49" t="s">
        <v>82</v>
      </c>
      <c r="B31" s="4"/>
      <c r="C31" s="12" t="s">
        <v>77</v>
      </c>
      <c r="D31" s="6"/>
      <c r="E31" s="6"/>
      <c r="F31" s="9" t="s">
        <v>16</v>
      </c>
      <c r="G31" s="10">
        <v>1</v>
      </c>
      <c r="H31" s="10"/>
      <c r="I31" s="54">
        <v>0</v>
      </c>
    </row>
    <row r="32" spans="1:9" ht="36" hidden="1" customHeight="1" x14ac:dyDescent="0.3">
      <c r="A32" s="49" t="s">
        <v>83</v>
      </c>
      <c r="B32" s="4" t="s">
        <v>73</v>
      </c>
      <c r="C32" s="5" t="s">
        <v>74</v>
      </c>
      <c r="D32" s="6"/>
      <c r="E32" s="6" t="s">
        <v>84</v>
      </c>
      <c r="F32" s="6" t="s">
        <v>15</v>
      </c>
      <c r="G32" s="7">
        <v>1</v>
      </c>
      <c r="H32" s="7"/>
      <c r="I32" s="50">
        <v>0</v>
      </c>
    </row>
    <row r="33" spans="1:11" ht="36" hidden="1" customHeight="1" x14ac:dyDescent="0.3">
      <c r="A33" s="49" t="s">
        <v>85</v>
      </c>
      <c r="B33" s="4"/>
      <c r="C33" s="8" t="s">
        <v>39</v>
      </c>
      <c r="D33" s="6"/>
      <c r="E33" s="6"/>
      <c r="F33" s="9" t="s">
        <v>16</v>
      </c>
      <c r="G33" s="10">
        <v>1.8</v>
      </c>
      <c r="H33" s="10"/>
      <c r="I33" s="54">
        <v>0</v>
      </c>
    </row>
    <row r="34" spans="1:11" ht="36" hidden="1" customHeight="1" x14ac:dyDescent="0.3">
      <c r="A34" s="49" t="s">
        <v>86</v>
      </c>
      <c r="B34" s="4"/>
      <c r="C34" s="12" t="s">
        <v>23</v>
      </c>
      <c r="D34" s="6"/>
      <c r="E34" s="6"/>
      <c r="F34" s="9" t="s">
        <v>16</v>
      </c>
      <c r="G34" s="10">
        <v>0.15</v>
      </c>
      <c r="H34" s="10"/>
      <c r="I34" s="54">
        <v>0</v>
      </c>
    </row>
    <row r="35" spans="1:11" ht="36" hidden="1" customHeight="1" x14ac:dyDescent="0.3">
      <c r="A35" s="49" t="s">
        <v>87</v>
      </c>
      <c r="B35" s="4" t="s">
        <v>73</v>
      </c>
      <c r="C35" s="5" t="s">
        <v>74</v>
      </c>
      <c r="D35" s="6"/>
      <c r="E35" s="6" t="s">
        <v>88</v>
      </c>
      <c r="F35" s="6" t="s">
        <v>15</v>
      </c>
      <c r="G35" s="7">
        <v>1</v>
      </c>
      <c r="H35" s="7"/>
      <c r="I35" s="50">
        <v>0</v>
      </c>
    </row>
    <row r="36" spans="1:11" ht="36" hidden="1" customHeight="1" x14ac:dyDescent="0.3">
      <c r="A36" s="49" t="s">
        <v>89</v>
      </c>
      <c r="B36" s="4"/>
      <c r="C36" s="12" t="s">
        <v>23</v>
      </c>
      <c r="D36" s="6"/>
      <c r="E36" s="6"/>
      <c r="F36" s="9" t="s">
        <v>16</v>
      </c>
      <c r="G36" s="10">
        <v>0.15</v>
      </c>
      <c r="H36" s="10"/>
      <c r="I36" s="54">
        <v>0</v>
      </c>
    </row>
    <row r="37" spans="1:11" ht="36" hidden="1" customHeight="1" x14ac:dyDescent="0.3">
      <c r="A37" s="49" t="s">
        <v>90</v>
      </c>
      <c r="B37" s="4"/>
      <c r="C37" s="8" t="s">
        <v>39</v>
      </c>
      <c r="D37" s="6"/>
      <c r="E37" s="6"/>
      <c r="F37" s="9" t="s">
        <v>16</v>
      </c>
      <c r="G37" s="10">
        <v>1.8</v>
      </c>
      <c r="H37" s="10"/>
      <c r="I37" s="54">
        <v>0</v>
      </c>
    </row>
    <row r="38" spans="1:11" ht="54" x14ac:dyDescent="0.3">
      <c r="A38" s="49" t="s">
        <v>91</v>
      </c>
      <c r="B38" s="4" t="s">
        <v>73</v>
      </c>
      <c r="C38" s="5" t="s">
        <v>74</v>
      </c>
      <c r="D38" s="6"/>
      <c r="E38" s="6" t="s">
        <v>75</v>
      </c>
      <c r="F38" s="6" t="s">
        <v>15</v>
      </c>
      <c r="G38" s="7">
        <v>1</v>
      </c>
      <c r="H38" s="7"/>
      <c r="I38" s="50">
        <v>8128.4</v>
      </c>
      <c r="J38" s="99"/>
      <c r="K38" s="99"/>
    </row>
    <row r="39" spans="1:11" ht="36" hidden="1" customHeight="1" x14ac:dyDescent="0.3">
      <c r="A39" s="49" t="s">
        <v>92</v>
      </c>
      <c r="B39" s="4"/>
      <c r="C39" s="8" t="s">
        <v>39</v>
      </c>
      <c r="D39" s="6"/>
      <c r="E39" s="6"/>
      <c r="F39" s="9" t="s">
        <v>16</v>
      </c>
      <c r="G39" s="10">
        <v>1.8</v>
      </c>
      <c r="H39" s="10"/>
      <c r="I39" s="54">
        <v>14631.12</v>
      </c>
    </row>
    <row r="40" spans="1:11" ht="36" hidden="1" customHeight="1" x14ac:dyDescent="0.3">
      <c r="A40" s="49" t="s">
        <v>93</v>
      </c>
      <c r="B40" s="4"/>
      <c r="C40" s="12" t="s">
        <v>23</v>
      </c>
      <c r="D40" s="6"/>
      <c r="E40" s="6"/>
      <c r="F40" s="9" t="s">
        <v>16</v>
      </c>
      <c r="G40" s="10">
        <v>0.15</v>
      </c>
      <c r="H40" s="10"/>
      <c r="I40" s="54">
        <v>1219.26</v>
      </c>
    </row>
    <row r="41" spans="1:11" ht="54" x14ac:dyDescent="0.3">
      <c r="A41" s="49" t="s">
        <v>94</v>
      </c>
      <c r="B41" s="4" t="s">
        <v>73</v>
      </c>
      <c r="C41" s="5" t="s">
        <v>74</v>
      </c>
      <c r="D41" s="6"/>
      <c r="E41" s="6" t="s">
        <v>80</v>
      </c>
      <c r="F41" s="6" t="s">
        <v>15</v>
      </c>
      <c r="G41" s="7">
        <v>1</v>
      </c>
      <c r="H41" s="7"/>
      <c r="I41" s="50">
        <v>7374</v>
      </c>
      <c r="J41" s="99"/>
      <c r="K41" s="99"/>
    </row>
    <row r="42" spans="1:11" ht="36" hidden="1" customHeight="1" x14ac:dyDescent="0.3">
      <c r="A42" s="49" t="s">
        <v>95</v>
      </c>
      <c r="B42" s="4"/>
      <c r="C42" s="12" t="s">
        <v>23</v>
      </c>
      <c r="D42" s="6"/>
      <c r="E42" s="6"/>
      <c r="F42" s="9" t="s">
        <v>16</v>
      </c>
      <c r="G42" s="10">
        <v>0.15</v>
      </c>
      <c r="H42" s="10"/>
      <c r="I42" s="54">
        <v>1106.0999999999999</v>
      </c>
    </row>
    <row r="43" spans="1:11" ht="36" hidden="1" customHeight="1" x14ac:dyDescent="0.3">
      <c r="A43" s="49" t="s">
        <v>96</v>
      </c>
      <c r="B43" s="4"/>
      <c r="C43" s="8" t="s">
        <v>39</v>
      </c>
      <c r="D43" s="6"/>
      <c r="E43" s="6"/>
      <c r="F43" s="9" t="s">
        <v>16</v>
      </c>
      <c r="G43" s="10">
        <v>1.8</v>
      </c>
      <c r="H43" s="10"/>
      <c r="I43" s="54">
        <v>13273.2</v>
      </c>
    </row>
    <row r="44" spans="1:11" ht="36" x14ac:dyDescent="0.3">
      <c r="A44" s="49" t="s">
        <v>97</v>
      </c>
      <c r="B44" s="4" t="s">
        <v>73</v>
      </c>
      <c r="C44" s="5" t="s">
        <v>74</v>
      </c>
      <c r="D44" s="6"/>
      <c r="E44" s="6" t="s">
        <v>84</v>
      </c>
      <c r="F44" s="6" t="s">
        <v>15</v>
      </c>
      <c r="G44" s="7">
        <v>1</v>
      </c>
      <c r="H44" s="7"/>
      <c r="I44" s="50">
        <v>8128.4</v>
      </c>
      <c r="J44" s="99"/>
      <c r="K44" s="99"/>
    </row>
    <row r="45" spans="1:11" ht="36" hidden="1" customHeight="1" x14ac:dyDescent="0.3">
      <c r="A45" s="49" t="s">
        <v>98</v>
      </c>
      <c r="B45" s="4"/>
      <c r="C45" s="8" t="s">
        <v>39</v>
      </c>
      <c r="D45" s="6"/>
      <c r="E45" s="6"/>
      <c r="F45" s="9" t="s">
        <v>16</v>
      </c>
      <c r="G45" s="10">
        <v>1.8</v>
      </c>
      <c r="H45" s="10"/>
      <c r="I45" s="54">
        <v>14631.12</v>
      </c>
    </row>
    <row r="46" spans="1:11" ht="36" hidden="1" customHeight="1" x14ac:dyDescent="0.3">
      <c r="A46" s="49" t="s">
        <v>99</v>
      </c>
      <c r="B46" s="4"/>
      <c r="C46" s="12" t="s">
        <v>23</v>
      </c>
      <c r="D46" s="6"/>
      <c r="E46" s="6"/>
      <c r="F46" s="9" t="s">
        <v>16</v>
      </c>
      <c r="G46" s="10">
        <v>0.15</v>
      </c>
      <c r="H46" s="10"/>
      <c r="I46" s="54">
        <v>1219.26</v>
      </c>
    </row>
    <row r="47" spans="1:11" ht="36" x14ac:dyDescent="0.3">
      <c r="A47" s="49" t="s">
        <v>100</v>
      </c>
      <c r="B47" s="4" t="s">
        <v>73</v>
      </c>
      <c r="C47" s="5" t="s">
        <v>74</v>
      </c>
      <c r="D47" s="6"/>
      <c r="E47" s="6" t="s">
        <v>88</v>
      </c>
      <c r="F47" s="6" t="s">
        <v>15</v>
      </c>
      <c r="G47" s="7">
        <v>1</v>
      </c>
      <c r="H47" s="7"/>
      <c r="I47" s="50">
        <v>7374</v>
      </c>
      <c r="J47" s="99"/>
      <c r="K47" s="99"/>
    </row>
    <row r="48" spans="1:11" ht="36" hidden="1" customHeight="1" x14ac:dyDescent="0.3">
      <c r="A48" s="49" t="s">
        <v>101</v>
      </c>
      <c r="B48" s="4"/>
      <c r="C48" s="12" t="s">
        <v>23</v>
      </c>
      <c r="D48" s="6"/>
      <c r="E48" s="6"/>
      <c r="F48" s="9" t="s">
        <v>16</v>
      </c>
      <c r="G48" s="10">
        <v>0.15</v>
      </c>
      <c r="H48" s="10"/>
      <c r="I48" s="54">
        <v>1106.0999999999999</v>
      </c>
    </row>
    <row r="49" spans="1:9" ht="36" hidden="1" customHeight="1" x14ac:dyDescent="0.3">
      <c r="A49" s="49" t="s">
        <v>102</v>
      </c>
      <c r="B49" s="4"/>
      <c r="C49" s="8" t="s">
        <v>39</v>
      </c>
      <c r="D49" s="6"/>
      <c r="E49" s="6"/>
      <c r="F49" s="9" t="s">
        <v>16</v>
      </c>
      <c r="G49" s="10">
        <v>1.8</v>
      </c>
      <c r="H49" s="10"/>
      <c r="I49" s="54">
        <v>13273.2</v>
      </c>
    </row>
    <row r="50" spans="1:9" ht="72" hidden="1" customHeight="1" x14ac:dyDescent="0.3">
      <c r="A50" s="49" t="s">
        <v>103</v>
      </c>
      <c r="B50" s="4" t="s">
        <v>104</v>
      </c>
      <c r="C50" s="5" t="s">
        <v>105</v>
      </c>
      <c r="D50" s="6"/>
      <c r="E50" s="6" t="s">
        <v>14</v>
      </c>
      <c r="F50" s="6" t="s">
        <v>15</v>
      </c>
      <c r="G50" s="7">
        <v>1</v>
      </c>
      <c r="H50" s="7"/>
      <c r="I50" s="50">
        <v>0</v>
      </c>
    </row>
    <row r="51" spans="1:9" ht="36" hidden="1" customHeight="1" x14ac:dyDescent="0.3">
      <c r="A51" s="49" t="s">
        <v>106</v>
      </c>
      <c r="B51" s="4"/>
      <c r="C51" s="12" t="s">
        <v>107</v>
      </c>
      <c r="D51" s="6"/>
      <c r="E51" s="6" t="s">
        <v>108</v>
      </c>
      <c r="F51" s="9" t="s">
        <v>16</v>
      </c>
      <c r="G51" s="10">
        <v>1.3</v>
      </c>
      <c r="H51" s="11"/>
      <c r="I51" s="51">
        <v>0</v>
      </c>
    </row>
    <row r="52" spans="1:9" ht="18" hidden="1" customHeight="1" x14ac:dyDescent="0.3">
      <c r="A52" s="49" t="s">
        <v>109</v>
      </c>
      <c r="B52" s="4"/>
      <c r="C52" s="12" t="s">
        <v>110</v>
      </c>
      <c r="D52" s="6"/>
      <c r="E52" s="6"/>
      <c r="F52" s="9" t="s">
        <v>15</v>
      </c>
      <c r="G52" s="10">
        <v>1.1000000000000001</v>
      </c>
      <c r="H52" s="10"/>
      <c r="I52" s="54">
        <v>0</v>
      </c>
    </row>
    <row r="53" spans="1:9" ht="18" hidden="1" customHeight="1" x14ac:dyDescent="0.3">
      <c r="A53" s="49" t="s">
        <v>111</v>
      </c>
      <c r="B53" s="4"/>
      <c r="C53" s="12" t="s">
        <v>55</v>
      </c>
      <c r="D53" s="6"/>
      <c r="E53" s="6"/>
      <c r="F53" s="9" t="s">
        <v>18</v>
      </c>
      <c r="G53" s="10">
        <v>1</v>
      </c>
      <c r="H53" s="11"/>
      <c r="I53" s="51">
        <v>0</v>
      </c>
    </row>
    <row r="54" spans="1:9" ht="18" hidden="1" customHeight="1" x14ac:dyDescent="0.3">
      <c r="A54" s="49" t="s">
        <v>112</v>
      </c>
      <c r="B54" s="4"/>
      <c r="C54" s="12" t="s">
        <v>53</v>
      </c>
      <c r="D54" s="6"/>
      <c r="E54" s="6"/>
      <c r="F54" s="9" t="s">
        <v>16</v>
      </c>
      <c r="G54" s="10">
        <v>0.25</v>
      </c>
      <c r="H54" s="10"/>
      <c r="I54" s="54">
        <v>0</v>
      </c>
    </row>
    <row r="55" spans="1:9" ht="72" hidden="1" customHeight="1" x14ac:dyDescent="0.3">
      <c r="A55" s="49" t="s">
        <v>113</v>
      </c>
      <c r="B55" s="4" t="s">
        <v>114</v>
      </c>
      <c r="C55" s="5" t="s">
        <v>115</v>
      </c>
      <c r="D55" s="6"/>
      <c r="E55" s="6" t="s">
        <v>116</v>
      </c>
      <c r="F55" s="6" t="s">
        <v>15</v>
      </c>
      <c r="G55" s="7">
        <v>1</v>
      </c>
      <c r="H55" s="7"/>
      <c r="I55" s="50">
        <v>0</v>
      </c>
    </row>
    <row r="56" spans="1:9" ht="18" hidden="1" customHeight="1" x14ac:dyDescent="0.3">
      <c r="A56" s="49" t="s">
        <v>117</v>
      </c>
      <c r="B56" s="4"/>
      <c r="C56" s="12" t="s">
        <v>107</v>
      </c>
      <c r="D56" s="6"/>
      <c r="E56" s="6"/>
      <c r="F56" s="9" t="s">
        <v>16</v>
      </c>
      <c r="G56" s="10">
        <v>1.3</v>
      </c>
      <c r="H56" s="11"/>
      <c r="I56" s="51">
        <v>0</v>
      </c>
    </row>
    <row r="57" spans="1:9" ht="18" hidden="1" customHeight="1" x14ac:dyDescent="0.3">
      <c r="A57" s="49" t="s">
        <v>118</v>
      </c>
      <c r="B57" s="4"/>
      <c r="C57" s="12" t="s">
        <v>110</v>
      </c>
      <c r="D57" s="6"/>
      <c r="E57" s="6"/>
      <c r="F57" s="9" t="s">
        <v>15</v>
      </c>
      <c r="G57" s="10">
        <v>1.1000000000000001</v>
      </c>
      <c r="H57" s="10"/>
      <c r="I57" s="54">
        <v>0</v>
      </c>
    </row>
    <row r="58" spans="1:9" ht="18" hidden="1" customHeight="1" x14ac:dyDescent="0.3">
      <c r="A58" s="49" t="s">
        <v>119</v>
      </c>
      <c r="B58" s="4"/>
      <c r="C58" s="12" t="s">
        <v>55</v>
      </c>
      <c r="D58" s="6"/>
      <c r="E58" s="6"/>
      <c r="F58" s="9" t="s">
        <v>18</v>
      </c>
      <c r="G58" s="10">
        <v>1</v>
      </c>
      <c r="H58" s="11"/>
      <c r="I58" s="51">
        <v>0</v>
      </c>
    </row>
    <row r="59" spans="1:9" ht="18" hidden="1" customHeight="1" x14ac:dyDescent="0.3">
      <c r="A59" s="49" t="s">
        <v>120</v>
      </c>
      <c r="B59" s="4"/>
      <c r="C59" s="12" t="s">
        <v>53</v>
      </c>
      <c r="D59" s="6"/>
      <c r="E59" s="6"/>
      <c r="F59" s="9" t="s">
        <v>16</v>
      </c>
      <c r="G59" s="10">
        <v>0.25</v>
      </c>
      <c r="H59" s="10"/>
      <c r="I59" s="54">
        <v>0</v>
      </c>
    </row>
    <row r="60" spans="1:9" ht="72" hidden="1" customHeight="1" x14ac:dyDescent="0.3">
      <c r="A60" s="49" t="s">
        <v>121</v>
      </c>
      <c r="B60" s="4" t="s">
        <v>114</v>
      </c>
      <c r="C60" s="5" t="s">
        <v>115</v>
      </c>
      <c r="D60" s="6"/>
      <c r="E60" s="6" t="s">
        <v>122</v>
      </c>
      <c r="F60" s="6" t="s">
        <v>15</v>
      </c>
      <c r="G60" s="7">
        <v>1</v>
      </c>
      <c r="H60" s="7"/>
      <c r="I60" s="50">
        <v>0</v>
      </c>
    </row>
    <row r="61" spans="1:9" ht="36" hidden="1" customHeight="1" x14ac:dyDescent="0.3">
      <c r="A61" s="49" t="s">
        <v>123</v>
      </c>
      <c r="B61" s="4"/>
      <c r="C61" s="12" t="s">
        <v>23</v>
      </c>
      <c r="D61" s="6"/>
      <c r="E61" s="6"/>
      <c r="F61" s="9" t="s">
        <v>16</v>
      </c>
      <c r="G61" s="10">
        <v>0.15</v>
      </c>
      <c r="H61" s="10"/>
      <c r="I61" s="54">
        <v>0</v>
      </c>
    </row>
    <row r="62" spans="1:9" ht="18" hidden="1" customHeight="1" x14ac:dyDescent="0.3">
      <c r="A62" s="49" t="s">
        <v>124</v>
      </c>
      <c r="B62" s="4"/>
      <c r="C62" s="12" t="s">
        <v>55</v>
      </c>
      <c r="D62" s="6"/>
      <c r="E62" s="6"/>
      <c r="F62" s="9" t="s">
        <v>18</v>
      </c>
      <c r="G62" s="10">
        <v>1</v>
      </c>
      <c r="H62" s="11"/>
      <c r="I62" s="51">
        <v>0</v>
      </c>
    </row>
    <row r="63" spans="1:9" ht="18" hidden="1" customHeight="1" x14ac:dyDescent="0.3">
      <c r="A63" s="49" t="s">
        <v>125</v>
      </c>
      <c r="B63" s="4"/>
      <c r="C63" s="12" t="s">
        <v>110</v>
      </c>
      <c r="D63" s="6"/>
      <c r="E63" s="6"/>
      <c r="F63" s="9" t="s">
        <v>15</v>
      </c>
      <c r="G63" s="10">
        <v>1.1000000000000001</v>
      </c>
      <c r="H63" s="10"/>
      <c r="I63" s="54">
        <v>0</v>
      </c>
    </row>
    <row r="64" spans="1:9" ht="18" hidden="1" customHeight="1" x14ac:dyDescent="0.3">
      <c r="A64" s="49" t="s">
        <v>126</v>
      </c>
      <c r="B64" s="4"/>
      <c r="C64" s="12" t="s">
        <v>107</v>
      </c>
      <c r="D64" s="6"/>
      <c r="E64" s="6"/>
      <c r="F64" s="9" t="s">
        <v>16</v>
      </c>
      <c r="G64" s="10">
        <v>1.3</v>
      </c>
      <c r="H64" s="11"/>
      <c r="I64" s="51">
        <v>0</v>
      </c>
    </row>
    <row r="65" spans="1:11" ht="72" hidden="1" customHeight="1" x14ac:dyDescent="0.3">
      <c r="A65" s="49" t="s">
        <v>127</v>
      </c>
      <c r="B65" s="4" t="s">
        <v>114</v>
      </c>
      <c r="C65" s="5" t="s">
        <v>115</v>
      </c>
      <c r="D65" s="6"/>
      <c r="E65" s="6" t="s">
        <v>128</v>
      </c>
      <c r="F65" s="6" t="s">
        <v>15</v>
      </c>
      <c r="G65" s="7">
        <v>1</v>
      </c>
      <c r="H65" s="7"/>
      <c r="I65" s="50">
        <v>0</v>
      </c>
    </row>
    <row r="66" spans="1:11" ht="18" hidden="1" customHeight="1" x14ac:dyDescent="0.3">
      <c r="A66" s="49" t="s">
        <v>129</v>
      </c>
      <c r="B66" s="4"/>
      <c r="C66" s="12" t="s">
        <v>107</v>
      </c>
      <c r="D66" s="6"/>
      <c r="E66" s="6"/>
      <c r="F66" s="9" t="s">
        <v>16</v>
      </c>
      <c r="G66" s="10">
        <v>1.3</v>
      </c>
      <c r="H66" s="11"/>
      <c r="I66" s="51">
        <v>0</v>
      </c>
    </row>
    <row r="67" spans="1:11" ht="18" hidden="1" customHeight="1" x14ac:dyDescent="0.3">
      <c r="A67" s="49" t="s">
        <v>130</v>
      </c>
      <c r="B67" s="4"/>
      <c r="C67" s="12" t="s">
        <v>110</v>
      </c>
      <c r="D67" s="6"/>
      <c r="E67" s="6"/>
      <c r="F67" s="9" t="s">
        <v>15</v>
      </c>
      <c r="G67" s="10">
        <v>1.1000000000000001</v>
      </c>
      <c r="H67" s="10"/>
      <c r="I67" s="54">
        <v>0</v>
      </c>
    </row>
    <row r="68" spans="1:11" ht="18" hidden="1" customHeight="1" x14ac:dyDescent="0.3">
      <c r="A68" s="49" t="s">
        <v>131</v>
      </c>
      <c r="B68" s="4"/>
      <c r="C68" s="12" t="s">
        <v>55</v>
      </c>
      <c r="D68" s="6"/>
      <c r="E68" s="6"/>
      <c r="F68" s="9" t="s">
        <v>18</v>
      </c>
      <c r="G68" s="10">
        <v>1</v>
      </c>
      <c r="H68" s="11"/>
      <c r="I68" s="51">
        <v>0</v>
      </c>
    </row>
    <row r="69" spans="1:11" ht="18" hidden="1" customHeight="1" x14ac:dyDescent="0.3">
      <c r="A69" s="49" t="s">
        <v>132</v>
      </c>
      <c r="B69" s="4"/>
      <c r="C69" s="12" t="s">
        <v>53</v>
      </c>
      <c r="D69" s="6"/>
      <c r="E69" s="6"/>
      <c r="F69" s="9" t="s">
        <v>16</v>
      </c>
      <c r="G69" s="10">
        <v>0.25</v>
      </c>
      <c r="H69" s="10"/>
      <c r="I69" s="54">
        <v>0</v>
      </c>
    </row>
    <row r="70" spans="1:11" ht="72" hidden="1" customHeight="1" x14ac:dyDescent="0.3">
      <c r="A70" s="49" t="s">
        <v>133</v>
      </c>
      <c r="B70" s="4" t="s">
        <v>114</v>
      </c>
      <c r="C70" s="5" t="s">
        <v>115</v>
      </c>
      <c r="D70" s="6"/>
      <c r="E70" s="6" t="s">
        <v>134</v>
      </c>
      <c r="F70" s="6" t="s">
        <v>15</v>
      </c>
      <c r="G70" s="7">
        <v>1</v>
      </c>
      <c r="H70" s="7"/>
      <c r="I70" s="50">
        <v>0</v>
      </c>
    </row>
    <row r="71" spans="1:11" ht="36" hidden="1" customHeight="1" x14ac:dyDescent="0.3">
      <c r="A71" s="49" t="s">
        <v>135</v>
      </c>
      <c r="B71" s="4"/>
      <c r="C71" s="12" t="s">
        <v>23</v>
      </c>
      <c r="D71" s="6"/>
      <c r="E71" s="6"/>
      <c r="F71" s="9" t="s">
        <v>16</v>
      </c>
      <c r="G71" s="10">
        <v>0.15</v>
      </c>
      <c r="H71" s="10"/>
      <c r="I71" s="54">
        <v>0</v>
      </c>
    </row>
    <row r="72" spans="1:11" ht="18" hidden="1" customHeight="1" x14ac:dyDescent="0.3">
      <c r="A72" s="49" t="s">
        <v>136</v>
      </c>
      <c r="B72" s="4"/>
      <c r="C72" s="12" t="s">
        <v>55</v>
      </c>
      <c r="D72" s="6"/>
      <c r="E72" s="6"/>
      <c r="F72" s="9" t="s">
        <v>18</v>
      </c>
      <c r="G72" s="10">
        <v>1</v>
      </c>
      <c r="H72" s="11"/>
      <c r="I72" s="51">
        <v>0</v>
      </c>
    </row>
    <row r="73" spans="1:11" ht="18" hidden="1" customHeight="1" x14ac:dyDescent="0.3">
      <c r="A73" s="49" t="s">
        <v>137</v>
      </c>
      <c r="B73" s="4"/>
      <c r="C73" s="12" t="s">
        <v>110</v>
      </c>
      <c r="D73" s="6"/>
      <c r="E73" s="6"/>
      <c r="F73" s="9" t="s">
        <v>15</v>
      </c>
      <c r="G73" s="10">
        <v>1.1000000000000001</v>
      </c>
      <c r="H73" s="10"/>
      <c r="I73" s="54">
        <v>0</v>
      </c>
    </row>
    <row r="74" spans="1:11" ht="18" hidden="1" customHeight="1" x14ac:dyDescent="0.3">
      <c r="A74" s="49" t="s">
        <v>138</v>
      </c>
      <c r="B74" s="4"/>
      <c r="C74" s="12" t="s">
        <v>107</v>
      </c>
      <c r="D74" s="6"/>
      <c r="E74" s="6"/>
      <c r="F74" s="9" t="s">
        <v>16</v>
      </c>
      <c r="G74" s="10">
        <v>1.3</v>
      </c>
      <c r="H74" s="11"/>
      <c r="I74" s="51">
        <v>0</v>
      </c>
    </row>
    <row r="75" spans="1:11" ht="72" x14ac:dyDescent="0.3">
      <c r="A75" s="49" t="s">
        <v>139</v>
      </c>
      <c r="B75" s="4" t="s">
        <v>114</v>
      </c>
      <c r="C75" s="5" t="s">
        <v>115</v>
      </c>
      <c r="D75" s="6"/>
      <c r="E75" s="6" t="s">
        <v>116</v>
      </c>
      <c r="F75" s="6" t="s">
        <v>15</v>
      </c>
      <c r="G75" s="7">
        <v>1</v>
      </c>
      <c r="H75" s="7"/>
      <c r="I75" s="50">
        <v>174.8</v>
      </c>
      <c r="J75" s="99"/>
      <c r="K75" s="99"/>
    </row>
    <row r="76" spans="1:11" ht="18" hidden="1" customHeight="1" x14ac:dyDescent="0.3">
      <c r="A76" s="49" t="s">
        <v>140</v>
      </c>
      <c r="B76" s="4"/>
      <c r="C76" s="12" t="s">
        <v>107</v>
      </c>
      <c r="D76" s="6"/>
      <c r="E76" s="6"/>
      <c r="F76" s="9" t="s">
        <v>16</v>
      </c>
      <c r="G76" s="10">
        <v>1.3</v>
      </c>
      <c r="H76" s="11"/>
      <c r="I76" s="51">
        <v>7953.4</v>
      </c>
    </row>
    <row r="77" spans="1:11" ht="18" hidden="1" customHeight="1" x14ac:dyDescent="0.3">
      <c r="A77" s="49" t="s">
        <v>141</v>
      </c>
      <c r="B77" s="4"/>
      <c r="C77" s="12" t="s">
        <v>110</v>
      </c>
      <c r="D77" s="6"/>
      <c r="E77" s="6"/>
      <c r="F77" s="9" t="s">
        <v>15</v>
      </c>
      <c r="G77" s="10">
        <v>1.1000000000000001</v>
      </c>
      <c r="H77" s="10"/>
      <c r="I77" s="54">
        <v>192.28</v>
      </c>
    </row>
    <row r="78" spans="1:11" ht="18" hidden="1" customHeight="1" x14ac:dyDescent="0.3">
      <c r="A78" s="49" t="s">
        <v>142</v>
      </c>
      <c r="B78" s="4"/>
      <c r="C78" s="12" t="s">
        <v>55</v>
      </c>
      <c r="D78" s="6"/>
      <c r="E78" s="6"/>
      <c r="F78" s="9" t="s">
        <v>18</v>
      </c>
      <c r="G78" s="10">
        <v>1</v>
      </c>
      <c r="H78" s="11"/>
      <c r="I78" s="51">
        <v>174.8</v>
      </c>
    </row>
    <row r="79" spans="1:11" ht="18" hidden="1" customHeight="1" x14ac:dyDescent="0.3">
      <c r="A79" s="49" t="s">
        <v>143</v>
      </c>
      <c r="B79" s="4"/>
      <c r="C79" s="12" t="s">
        <v>53</v>
      </c>
      <c r="D79" s="6"/>
      <c r="E79" s="6"/>
      <c r="F79" s="9" t="s">
        <v>16</v>
      </c>
      <c r="G79" s="10">
        <v>0.25</v>
      </c>
      <c r="H79" s="10"/>
      <c r="I79" s="54">
        <v>43.7</v>
      </c>
    </row>
    <row r="80" spans="1:11" ht="72" x14ac:dyDescent="0.3">
      <c r="A80" s="49" t="s">
        <v>144</v>
      </c>
      <c r="B80" s="4" t="s">
        <v>114</v>
      </c>
      <c r="C80" s="5" t="s">
        <v>115</v>
      </c>
      <c r="D80" s="6"/>
      <c r="E80" s="6" t="s">
        <v>122</v>
      </c>
      <c r="F80" s="6" t="s">
        <v>15</v>
      </c>
      <c r="G80" s="7">
        <v>1</v>
      </c>
      <c r="H80" s="7"/>
      <c r="I80" s="50">
        <v>808</v>
      </c>
      <c r="J80" s="99"/>
      <c r="K80" s="99"/>
    </row>
    <row r="81" spans="1:11" ht="36" hidden="1" customHeight="1" x14ac:dyDescent="0.3">
      <c r="A81" s="49" t="s">
        <v>145</v>
      </c>
      <c r="B81" s="4"/>
      <c r="C81" s="12" t="s">
        <v>23</v>
      </c>
      <c r="D81" s="6"/>
      <c r="E81" s="6"/>
      <c r="F81" s="9" t="s">
        <v>16</v>
      </c>
      <c r="G81" s="10">
        <v>0.15</v>
      </c>
      <c r="H81" s="10"/>
      <c r="I81" s="54">
        <v>121.2</v>
      </c>
    </row>
    <row r="82" spans="1:11" ht="18" hidden="1" customHeight="1" x14ac:dyDescent="0.3">
      <c r="A82" s="49" t="s">
        <v>146</v>
      </c>
      <c r="B82" s="4"/>
      <c r="C82" s="12" t="s">
        <v>55</v>
      </c>
      <c r="D82" s="6"/>
      <c r="E82" s="6"/>
      <c r="F82" s="9" t="s">
        <v>18</v>
      </c>
      <c r="G82" s="10">
        <v>1</v>
      </c>
      <c r="H82" s="11"/>
      <c r="I82" s="51">
        <v>808</v>
      </c>
    </row>
    <row r="83" spans="1:11" ht="18" hidden="1" customHeight="1" x14ac:dyDescent="0.3">
      <c r="A83" s="49" t="s">
        <v>147</v>
      </c>
      <c r="B83" s="4"/>
      <c r="C83" s="12" t="s">
        <v>110</v>
      </c>
      <c r="D83" s="6"/>
      <c r="E83" s="6"/>
      <c r="F83" s="9" t="s">
        <v>15</v>
      </c>
      <c r="G83" s="10">
        <v>1.1000000000000001</v>
      </c>
      <c r="H83" s="10"/>
      <c r="I83" s="54">
        <v>888.8</v>
      </c>
    </row>
    <row r="84" spans="1:11" ht="18" hidden="1" customHeight="1" x14ac:dyDescent="0.3">
      <c r="A84" s="49" t="s">
        <v>148</v>
      </c>
      <c r="B84" s="4"/>
      <c r="C84" s="12" t="s">
        <v>107</v>
      </c>
      <c r="D84" s="6"/>
      <c r="E84" s="6"/>
      <c r="F84" s="9" t="s">
        <v>16</v>
      </c>
      <c r="G84" s="10">
        <v>1.3</v>
      </c>
      <c r="H84" s="11"/>
      <c r="I84" s="51">
        <v>36764</v>
      </c>
    </row>
    <row r="85" spans="1:11" ht="72" x14ac:dyDescent="0.3">
      <c r="A85" s="49" t="s">
        <v>149</v>
      </c>
      <c r="B85" s="4" t="s">
        <v>114</v>
      </c>
      <c r="C85" s="5" t="s">
        <v>115</v>
      </c>
      <c r="D85" s="6"/>
      <c r="E85" s="6" t="s">
        <v>128</v>
      </c>
      <c r="F85" s="6" t="s">
        <v>15</v>
      </c>
      <c r="G85" s="7">
        <v>1</v>
      </c>
      <c r="H85" s="7"/>
      <c r="I85" s="50">
        <v>154.19999999999999</v>
      </c>
      <c r="J85" s="99"/>
      <c r="K85" s="99"/>
    </row>
    <row r="86" spans="1:11" ht="18" hidden="1" customHeight="1" x14ac:dyDescent="0.3">
      <c r="A86" s="49" t="s">
        <v>150</v>
      </c>
      <c r="B86" s="4"/>
      <c r="C86" s="12" t="s">
        <v>107</v>
      </c>
      <c r="D86" s="6"/>
      <c r="E86" s="6"/>
      <c r="F86" s="9" t="s">
        <v>16</v>
      </c>
      <c r="G86" s="10">
        <v>1.3</v>
      </c>
      <c r="H86" s="11"/>
      <c r="I86" s="51">
        <v>7016.1</v>
      </c>
    </row>
    <row r="87" spans="1:11" ht="18" hidden="1" customHeight="1" x14ac:dyDescent="0.3">
      <c r="A87" s="49" t="s">
        <v>151</v>
      </c>
      <c r="B87" s="4"/>
      <c r="C87" s="12" t="s">
        <v>110</v>
      </c>
      <c r="D87" s="6"/>
      <c r="E87" s="6"/>
      <c r="F87" s="9" t="s">
        <v>15</v>
      </c>
      <c r="G87" s="10">
        <v>1.1000000000000001</v>
      </c>
      <c r="H87" s="10"/>
      <c r="I87" s="54">
        <v>169.62</v>
      </c>
    </row>
    <row r="88" spans="1:11" ht="18" hidden="1" customHeight="1" x14ac:dyDescent="0.3">
      <c r="A88" s="49" t="s">
        <v>152</v>
      </c>
      <c r="B88" s="4"/>
      <c r="C88" s="12" t="s">
        <v>55</v>
      </c>
      <c r="D88" s="6"/>
      <c r="E88" s="6"/>
      <c r="F88" s="9" t="s">
        <v>18</v>
      </c>
      <c r="G88" s="10">
        <v>1</v>
      </c>
      <c r="H88" s="11"/>
      <c r="I88" s="51">
        <v>154.19999999999999</v>
      </c>
    </row>
    <row r="89" spans="1:11" ht="18" hidden="1" customHeight="1" x14ac:dyDescent="0.3">
      <c r="A89" s="49" t="s">
        <v>153</v>
      </c>
      <c r="B89" s="4"/>
      <c r="C89" s="12" t="s">
        <v>53</v>
      </c>
      <c r="D89" s="6"/>
      <c r="E89" s="6"/>
      <c r="F89" s="9" t="s">
        <v>16</v>
      </c>
      <c r="G89" s="10">
        <v>0.25</v>
      </c>
      <c r="H89" s="10"/>
      <c r="I89" s="54">
        <v>38.549999999999997</v>
      </c>
    </row>
    <row r="90" spans="1:11" ht="72" x14ac:dyDescent="0.3">
      <c r="A90" s="49" t="s">
        <v>154</v>
      </c>
      <c r="B90" s="4" t="s">
        <v>114</v>
      </c>
      <c r="C90" s="5" t="s">
        <v>115</v>
      </c>
      <c r="D90" s="6"/>
      <c r="E90" s="6" t="s">
        <v>134</v>
      </c>
      <c r="F90" s="6" t="s">
        <v>15</v>
      </c>
      <c r="G90" s="7">
        <v>1</v>
      </c>
      <c r="H90" s="7"/>
      <c r="I90" s="50">
        <v>572.4</v>
      </c>
      <c r="J90" s="99"/>
      <c r="K90" s="99"/>
    </row>
    <row r="91" spans="1:11" ht="36" hidden="1" customHeight="1" x14ac:dyDescent="0.3">
      <c r="A91" s="49" t="s">
        <v>155</v>
      </c>
      <c r="B91" s="4"/>
      <c r="C91" s="12" t="s">
        <v>23</v>
      </c>
      <c r="D91" s="6"/>
      <c r="E91" s="6"/>
      <c r="F91" s="9" t="s">
        <v>16</v>
      </c>
      <c r="G91" s="10">
        <v>0.15</v>
      </c>
      <c r="H91" s="10"/>
      <c r="I91" s="54">
        <v>85.86</v>
      </c>
    </row>
    <row r="92" spans="1:11" ht="18" hidden="1" customHeight="1" x14ac:dyDescent="0.3">
      <c r="A92" s="49" t="s">
        <v>156</v>
      </c>
      <c r="B92" s="4"/>
      <c r="C92" s="12" t="s">
        <v>55</v>
      </c>
      <c r="D92" s="6"/>
      <c r="E92" s="6"/>
      <c r="F92" s="9" t="s">
        <v>18</v>
      </c>
      <c r="G92" s="10">
        <v>1</v>
      </c>
      <c r="H92" s="11"/>
      <c r="I92" s="51">
        <v>572.4</v>
      </c>
    </row>
    <row r="93" spans="1:11" ht="18" hidden="1" customHeight="1" x14ac:dyDescent="0.3">
      <c r="A93" s="49" t="s">
        <v>157</v>
      </c>
      <c r="B93" s="4"/>
      <c r="C93" s="12" t="s">
        <v>110</v>
      </c>
      <c r="D93" s="6"/>
      <c r="E93" s="6"/>
      <c r="F93" s="9" t="s">
        <v>15</v>
      </c>
      <c r="G93" s="10">
        <v>1.1000000000000001</v>
      </c>
      <c r="H93" s="10"/>
      <c r="I93" s="54">
        <v>629.64</v>
      </c>
    </row>
    <row r="94" spans="1:11" ht="18" hidden="1" customHeight="1" x14ac:dyDescent="0.3">
      <c r="A94" s="49" t="s">
        <v>158</v>
      </c>
      <c r="B94" s="4"/>
      <c r="C94" s="12" t="s">
        <v>107</v>
      </c>
      <c r="D94" s="6"/>
      <c r="E94" s="6"/>
      <c r="F94" s="9" t="s">
        <v>16</v>
      </c>
      <c r="G94" s="10">
        <v>1.3</v>
      </c>
      <c r="H94" s="11"/>
      <c r="I94" s="51">
        <v>26044.2</v>
      </c>
    </row>
    <row r="95" spans="1:11" ht="54" hidden="1" customHeight="1" x14ac:dyDescent="0.3">
      <c r="A95" s="49" t="s">
        <v>159</v>
      </c>
      <c r="B95" s="4" t="s">
        <v>160</v>
      </c>
      <c r="C95" s="5" t="s">
        <v>161</v>
      </c>
      <c r="D95" s="6"/>
      <c r="E95" s="6" t="s">
        <v>116</v>
      </c>
      <c r="F95" s="6" t="s">
        <v>15</v>
      </c>
      <c r="G95" s="7">
        <v>1</v>
      </c>
      <c r="H95" s="7"/>
      <c r="I95" s="50">
        <v>0</v>
      </c>
    </row>
    <row r="96" spans="1:11" ht="36" hidden="1" customHeight="1" x14ac:dyDescent="0.3">
      <c r="A96" s="49" t="s">
        <v>162</v>
      </c>
      <c r="B96" s="4"/>
      <c r="C96" s="8" t="s">
        <v>50</v>
      </c>
      <c r="D96" s="6"/>
      <c r="E96" s="6"/>
      <c r="F96" s="9" t="s">
        <v>16</v>
      </c>
      <c r="G96" s="10">
        <v>1</v>
      </c>
      <c r="H96" s="11"/>
      <c r="I96" s="51">
        <v>0</v>
      </c>
    </row>
    <row r="97" spans="1:11" ht="18" hidden="1" customHeight="1" x14ac:dyDescent="0.3">
      <c r="A97" s="49" t="s">
        <v>163</v>
      </c>
      <c r="B97" s="4"/>
      <c r="C97" s="12" t="s">
        <v>55</v>
      </c>
      <c r="D97" s="6"/>
      <c r="E97" s="6"/>
      <c r="F97" s="9" t="s">
        <v>18</v>
      </c>
      <c r="G97" s="10">
        <v>1</v>
      </c>
      <c r="H97" s="11"/>
      <c r="I97" s="51">
        <v>0</v>
      </c>
    </row>
    <row r="98" spans="1:11" ht="18" hidden="1" customHeight="1" x14ac:dyDescent="0.3">
      <c r="A98" s="49" t="s">
        <v>164</v>
      </c>
      <c r="B98" s="4"/>
      <c r="C98" s="12" t="s">
        <v>53</v>
      </c>
      <c r="D98" s="6"/>
      <c r="E98" s="6"/>
      <c r="F98" s="9" t="s">
        <v>16</v>
      </c>
      <c r="G98" s="10">
        <v>0.25</v>
      </c>
      <c r="H98" s="10"/>
      <c r="I98" s="54">
        <v>0</v>
      </c>
    </row>
    <row r="99" spans="1:11" ht="54" hidden="1" customHeight="1" x14ac:dyDescent="0.3">
      <c r="A99" s="49" t="s">
        <v>165</v>
      </c>
      <c r="B99" s="4" t="s">
        <v>160</v>
      </c>
      <c r="C99" s="5" t="s">
        <v>161</v>
      </c>
      <c r="D99" s="6"/>
      <c r="E99" s="6" t="s">
        <v>166</v>
      </c>
      <c r="F99" s="6" t="s">
        <v>15</v>
      </c>
      <c r="G99" s="7">
        <v>1</v>
      </c>
      <c r="H99" s="7"/>
      <c r="I99" s="50">
        <v>0</v>
      </c>
    </row>
    <row r="100" spans="1:11" ht="36" hidden="1" customHeight="1" x14ac:dyDescent="0.3">
      <c r="A100" s="49" t="s">
        <v>167</v>
      </c>
      <c r="B100" s="4"/>
      <c r="C100" s="12" t="s">
        <v>23</v>
      </c>
      <c r="D100" s="6"/>
      <c r="E100" s="6"/>
      <c r="F100" s="9" t="s">
        <v>16</v>
      </c>
      <c r="G100" s="10">
        <v>0.15</v>
      </c>
      <c r="H100" s="11"/>
      <c r="I100" s="51">
        <v>0</v>
      </c>
    </row>
    <row r="101" spans="1:11" ht="18" hidden="1" customHeight="1" x14ac:dyDescent="0.3">
      <c r="A101" s="49" t="s">
        <v>168</v>
      </c>
      <c r="B101" s="4"/>
      <c r="C101" s="12" t="s">
        <v>55</v>
      </c>
      <c r="D101" s="6"/>
      <c r="E101" s="6"/>
      <c r="F101" s="9" t="s">
        <v>18</v>
      </c>
      <c r="G101" s="10">
        <v>1</v>
      </c>
      <c r="H101" s="11"/>
      <c r="I101" s="51">
        <v>0</v>
      </c>
    </row>
    <row r="102" spans="1:11" ht="36" hidden="1" customHeight="1" x14ac:dyDescent="0.3">
      <c r="A102" s="49" t="s">
        <v>169</v>
      </c>
      <c r="B102" s="4"/>
      <c r="C102" s="8" t="s">
        <v>50</v>
      </c>
      <c r="D102" s="6"/>
      <c r="E102" s="6"/>
      <c r="F102" s="9" t="s">
        <v>16</v>
      </c>
      <c r="G102" s="10">
        <v>1</v>
      </c>
      <c r="H102" s="11"/>
      <c r="I102" s="51">
        <v>0</v>
      </c>
    </row>
    <row r="103" spans="1:11" ht="54" hidden="1" customHeight="1" x14ac:dyDescent="0.3">
      <c r="A103" s="49" t="s">
        <v>170</v>
      </c>
      <c r="B103" s="4" t="s">
        <v>160</v>
      </c>
      <c r="C103" s="5" t="s">
        <v>161</v>
      </c>
      <c r="D103" s="6"/>
      <c r="E103" s="6" t="s">
        <v>128</v>
      </c>
      <c r="F103" s="6" t="s">
        <v>15</v>
      </c>
      <c r="G103" s="7">
        <v>1</v>
      </c>
      <c r="H103" s="7"/>
      <c r="I103" s="50">
        <v>0</v>
      </c>
    </row>
    <row r="104" spans="1:11" ht="36" hidden="1" customHeight="1" x14ac:dyDescent="0.3">
      <c r="A104" s="49" t="s">
        <v>171</v>
      </c>
      <c r="B104" s="4"/>
      <c r="C104" s="8" t="s">
        <v>50</v>
      </c>
      <c r="D104" s="6"/>
      <c r="E104" s="6"/>
      <c r="F104" s="9" t="s">
        <v>16</v>
      </c>
      <c r="G104" s="10">
        <v>1</v>
      </c>
      <c r="H104" s="11"/>
      <c r="I104" s="51">
        <v>0</v>
      </c>
    </row>
    <row r="105" spans="1:11" ht="18" hidden="1" customHeight="1" x14ac:dyDescent="0.3">
      <c r="A105" s="49" t="s">
        <v>172</v>
      </c>
      <c r="B105" s="4"/>
      <c r="C105" s="12" t="s">
        <v>55</v>
      </c>
      <c r="D105" s="6"/>
      <c r="E105" s="6"/>
      <c r="F105" s="9" t="s">
        <v>18</v>
      </c>
      <c r="G105" s="10">
        <v>1</v>
      </c>
      <c r="H105" s="11"/>
      <c r="I105" s="51">
        <v>0</v>
      </c>
    </row>
    <row r="106" spans="1:11" ht="18" hidden="1" customHeight="1" x14ac:dyDescent="0.3">
      <c r="A106" s="49" t="s">
        <v>173</v>
      </c>
      <c r="B106" s="4"/>
      <c r="C106" s="12" t="s">
        <v>53</v>
      </c>
      <c r="D106" s="6"/>
      <c r="E106" s="6"/>
      <c r="F106" s="9" t="s">
        <v>16</v>
      </c>
      <c r="G106" s="10">
        <v>0.25</v>
      </c>
      <c r="H106" s="10"/>
      <c r="I106" s="54">
        <v>0</v>
      </c>
    </row>
    <row r="107" spans="1:11" ht="54" hidden="1" customHeight="1" x14ac:dyDescent="0.3">
      <c r="A107" s="49" t="s">
        <v>174</v>
      </c>
      <c r="B107" s="4" t="s">
        <v>160</v>
      </c>
      <c r="C107" s="5" t="s">
        <v>161</v>
      </c>
      <c r="D107" s="6"/>
      <c r="E107" s="6" t="s">
        <v>175</v>
      </c>
      <c r="F107" s="6" t="s">
        <v>15</v>
      </c>
      <c r="G107" s="7">
        <v>1</v>
      </c>
      <c r="H107" s="7"/>
      <c r="I107" s="50">
        <v>0</v>
      </c>
    </row>
    <row r="108" spans="1:11" ht="36" hidden="1" customHeight="1" x14ac:dyDescent="0.3">
      <c r="A108" s="49" t="s">
        <v>176</v>
      </c>
      <c r="B108" s="4"/>
      <c r="C108" s="12" t="s">
        <v>23</v>
      </c>
      <c r="D108" s="6"/>
      <c r="E108" s="6"/>
      <c r="F108" s="9" t="s">
        <v>16</v>
      </c>
      <c r="G108" s="10">
        <v>0.15</v>
      </c>
      <c r="H108" s="11"/>
      <c r="I108" s="51">
        <v>0</v>
      </c>
    </row>
    <row r="109" spans="1:11" ht="18" hidden="1" customHeight="1" x14ac:dyDescent="0.3">
      <c r="A109" s="49" t="s">
        <v>177</v>
      </c>
      <c r="B109" s="4"/>
      <c r="C109" s="12" t="s">
        <v>55</v>
      </c>
      <c r="D109" s="6"/>
      <c r="E109" s="6"/>
      <c r="F109" s="9" t="s">
        <v>18</v>
      </c>
      <c r="G109" s="10">
        <v>1</v>
      </c>
      <c r="H109" s="11"/>
      <c r="I109" s="51">
        <v>0</v>
      </c>
    </row>
    <row r="110" spans="1:11" ht="36" hidden="1" customHeight="1" x14ac:dyDescent="0.3">
      <c r="A110" s="49" t="s">
        <v>178</v>
      </c>
      <c r="B110" s="4"/>
      <c r="C110" s="8" t="s">
        <v>50</v>
      </c>
      <c r="D110" s="6"/>
      <c r="E110" s="6"/>
      <c r="F110" s="9" t="s">
        <v>16</v>
      </c>
      <c r="G110" s="10">
        <v>1</v>
      </c>
      <c r="H110" s="11"/>
      <c r="I110" s="51">
        <v>0</v>
      </c>
    </row>
    <row r="111" spans="1:11" ht="54" x14ac:dyDescent="0.3">
      <c r="A111" s="49" t="s">
        <v>179</v>
      </c>
      <c r="B111" s="4" t="s">
        <v>160</v>
      </c>
      <c r="C111" s="5" t="s">
        <v>161</v>
      </c>
      <c r="D111" s="6"/>
      <c r="E111" s="6" t="s">
        <v>116</v>
      </c>
      <c r="F111" s="6" t="s">
        <v>15</v>
      </c>
      <c r="G111" s="7">
        <v>1</v>
      </c>
      <c r="H111" s="7"/>
      <c r="I111" s="50">
        <v>3617.6</v>
      </c>
      <c r="J111" s="99"/>
      <c r="K111" s="99"/>
    </row>
    <row r="112" spans="1:11" ht="36" hidden="1" customHeight="1" x14ac:dyDescent="0.3">
      <c r="A112" s="49" t="s">
        <v>180</v>
      </c>
      <c r="B112" s="4"/>
      <c r="C112" s="8" t="s">
        <v>50</v>
      </c>
      <c r="D112" s="6"/>
      <c r="E112" s="6"/>
      <c r="F112" s="9" t="s">
        <v>16</v>
      </c>
      <c r="G112" s="10">
        <v>1</v>
      </c>
      <c r="H112" s="11"/>
      <c r="I112" s="51">
        <v>126616</v>
      </c>
    </row>
    <row r="113" spans="1:11" ht="18" hidden="1" customHeight="1" x14ac:dyDescent="0.3">
      <c r="A113" s="49" t="s">
        <v>181</v>
      </c>
      <c r="B113" s="4"/>
      <c r="C113" s="12" t="s">
        <v>55</v>
      </c>
      <c r="D113" s="6"/>
      <c r="E113" s="6"/>
      <c r="F113" s="9" t="s">
        <v>18</v>
      </c>
      <c r="G113" s="10">
        <v>1</v>
      </c>
      <c r="H113" s="11"/>
      <c r="I113" s="51">
        <v>3617.6</v>
      </c>
    </row>
    <row r="114" spans="1:11" ht="18" hidden="1" customHeight="1" x14ac:dyDescent="0.3">
      <c r="A114" s="49" t="s">
        <v>182</v>
      </c>
      <c r="B114" s="4"/>
      <c r="C114" s="12" t="s">
        <v>53</v>
      </c>
      <c r="D114" s="6"/>
      <c r="E114" s="6"/>
      <c r="F114" s="9" t="s">
        <v>16</v>
      </c>
      <c r="G114" s="10">
        <v>0.25</v>
      </c>
      <c r="H114" s="10"/>
      <c r="I114" s="54">
        <v>904.4</v>
      </c>
    </row>
    <row r="115" spans="1:11" ht="54" x14ac:dyDescent="0.3">
      <c r="A115" s="49" t="s">
        <v>183</v>
      </c>
      <c r="B115" s="4" t="s">
        <v>160</v>
      </c>
      <c r="C115" s="5" t="s">
        <v>161</v>
      </c>
      <c r="D115" s="6"/>
      <c r="E115" s="6" t="s">
        <v>166</v>
      </c>
      <c r="F115" s="6" t="s">
        <v>15</v>
      </c>
      <c r="G115" s="7">
        <v>1</v>
      </c>
      <c r="H115" s="7"/>
      <c r="I115" s="50">
        <v>4460.8</v>
      </c>
      <c r="J115" s="100"/>
      <c r="K115" s="100"/>
    </row>
    <row r="116" spans="1:11" ht="36" hidden="1" customHeight="1" x14ac:dyDescent="0.3">
      <c r="A116" s="49" t="s">
        <v>184</v>
      </c>
      <c r="B116" s="4"/>
      <c r="C116" s="12" t="s">
        <v>23</v>
      </c>
      <c r="D116" s="6"/>
      <c r="E116" s="6"/>
      <c r="F116" s="9" t="s">
        <v>16</v>
      </c>
      <c r="G116" s="10">
        <v>0.15</v>
      </c>
      <c r="H116" s="11"/>
      <c r="I116" s="51">
        <v>669.12</v>
      </c>
    </row>
    <row r="117" spans="1:11" ht="18" hidden="1" customHeight="1" x14ac:dyDescent="0.3">
      <c r="A117" s="49" t="s">
        <v>185</v>
      </c>
      <c r="B117" s="4"/>
      <c r="C117" s="12" t="s">
        <v>55</v>
      </c>
      <c r="D117" s="6"/>
      <c r="E117" s="6"/>
      <c r="F117" s="9" t="s">
        <v>18</v>
      </c>
      <c r="G117" s="10">
        <v>1</v>
      </c>
      <c r="H117" s="11"/>
      <c r="I117" s="51">
        <v>4460.8</v>
      </c>
    </row>
    <row r="118" spans="1:11" ht="36" hidden="1" customHeight="1" x14ac:dyDescent="0.3">
      <c r="A118" s="49" t="s">
        <v>186</v>
      </c>
      <c r="B118" s="4"/>
      <c r="C118" s="8" t="s">
        <v>50</v>
      </c>
      <c r="D118" s="6"/>
      <c r="E118" s="6"/>
      <c r="F118" s="9" t="s">
        <v>16</v>
      </c>
      <c r="G118" s="10">
        <v>1</v>
      </c>
      <c r="H118" s="11"/>
      <c r="I118" s="51">
        <v>156128</v>
      </c>
    </row>
    <row r="119" spans="1:11" ht="54" x14ac:dyDescent="0.3">
      <c r="A119" s="49" t="s">
        <v>187</v>
      </c>
      <c r="B119" s="4" t="s">
        <v>160</v>
      </c>
      <c r="C119" s="5" t="s">
        <v>161</v>
      </c>
      <c r="D119" s="6"/>
      <c r="E119" s="6" t="s">
        <v>128</v>
      </c>
      <c r="F119" s="6" t="s">
        <v>15</v>
      </c>
      <c r="G119" s="7">
        <v>1</v>
      </c>
      <c r="H119" s="7"/>
      <c r="I119" s="50">
        <v>3125.2</v>
      </c>
      <c r="J119" s="100"/>
      <c r="K119" s="100"/>
    </row>
    <row r="120" spans="1:11" ht="36" hidden="1" customHeight="1" x14ac:dyDescent="0.3">
      <c r="A120" s="49" t="s">
        <v>188</v>
      </c>
      <c r="B120" s="4"/>
      <c r="C120" s="8" t="s">
        <v>50</v>
      </c>
      <c r="D120" s="6"/>
      <c r="E120" s="6"/>
      <c r="F120" s="9" t="s">
        <v>16</v>
      </c>
      <c r="G120" s="10">
        <v>1</v>
      </c>
      <c r="H120" s="11"/>
      <c r="I120" s="51">
        <v>109382</v>
      </c>
    </row>
    <row r="121" spans="1:11" ht="18" hidden="1" customHeight="1" x14ac:dyDescent="0.3">
      <c r="A121" s="49" t="s">
        <v>189</v>
      </c>
      <c r="B121" s="4"/>
      <c r="C121" s="12" t="s">
        <v>55</v>
      </c>
      <c r="D121" s="6"/>
      <c r="E121" s="6"/>
      <c r="F121" s="9" t="s">
        <v>18</v>
      </c>
      <c r="G121" s="10">
        <v>1</v>
      </c>
      <c r="H121" s="11"/>
      <c r="I121" s="51">
        <v>3125.2</v>
      </c>
    </row>
    <row r="122" spans="1:11" ht="18" hidden="1" customHeight="1" x14ac:dyDescent="0.3">
      <c r="A122" s="49" t="s">
        <v>190</v>
      </c>
      <c r="B122" s="4"/>
      <c r="C122" s="12" t="s">
        <v>53</v>
      </c>
      <c r="D122" s="6"/>
      <c r="E122" s="6"/>
      <c r="F122" s="9" t="s">
        <v>16</v>
      </c>
      <c r="G122" s="10">
        <v>0.25</v>
      </c>
      <c r="H122" s="10"/>
      <c r="I122" s="54">
        <v>781.3</v>
      </c>
    </row>
    <row r="123" spans="1:11" ht="54" x14ac:dyDescent="0.3">
      <c r="A123" s="49" t="s">
        <v>191</v>
      </c>
      <c r="B123" s="4" t="s">
        <v>160</v>
      </c>
      <c r="C123" s="5" t="s">
        <v>161</v>
      </c>
      <c r="D123" s="6"/>
      <c r="E123" s="6" t="s">
        <v>175</v>
      </c>
      <c r="F123" s="6" t="s">
        <v>15</v>
      </c>
      <c r="G123" s="7">
        <v>1</v>
      </c>
      <c r="H123" s="7"/>
      <c r="I123" s="50">
        <v>4198.8</v>
      </c>
      <c r="J123" s="100"/>
      <c r="K123" s="100"/>
    </row>
    <row r="124" spans="1:11" ht="36" hidden="1" customHeight="1" x14ac:dyDescent="0.3">
      <c r="A124" s="49" t="s">
        <v>192</v>
      </c>
      <c r="B124" s="4"/>
      <c r="C124" s="12" t="s">
        <v>23</v>
      </c>
      <c r="D124" s="6"/>
      <c r="E124" s="6"/>
      <c r="F124" s="9" t="s">
        <v>16</v>
      </c>
      <c r="G124" s="10">
        <v>0.15</v>
      </c>
      <c r="H124" s="11"/>
      <c r="I124" s="51">
        <v>629.82000000000005</v>
      </c>
    </row>
    <row r="125" spans="1:11" ht="54" hidden="1" customHeight="1" x14ac:dyDescent="0.3">
      <c r="A125" s="49" t="s">
        <v>193</v>
      </c>
      <c r="B125" s="4"/>
      <c r="C125" s="12" t="s">
        <v>55</v>
      </c>
      <c r="D125" s="6"/>
      <c r="E125" s="6" t="s">
        <v>194</v>
      </c>
      <c r="F125" s="9" t="s">
        <v>18</v>
      </c>
      <c r="G125" s="10">
        <v>1</v>
      </c>
      <c r="H125" s="11"/>
      <c r="I125" s="51">
        <v>4198.8</v>
      </c>
    </row>
    <row r="126" spans="1:11" ht="36" hidden="1" customHeight="1" x14ac:dyDescent="0.3">
      <c r="A126" s="49" t="s">
        <v>195</v>
      </c>
      <c r="B126" s="4"/>
      <c r="C126" s="8" t="s">
        <v>50</v>
      </c>
      <c r="D126" s="6"/>
      <c r="E126" s="6"/>
      <c r="F126" s="9" t="s">
        <v>16</v>
      </c>
      <c r="G126" s="10">
        <v>1</v>
      </c>
      <c r="H126" s="11"/>
      <c r="I126" s="51">
        <v>146958</v>
      </c>
    </row>
    <row r="127" spans="1:11" ht="16.95" customHeight="1" x14ac:dyDescent="0.3">
      <c r="A127" s="49" t="s">
        <v>196</v>
      </c>
      <c r="B127" s="4" t="s">
        <v>197</v>
      </c>
      <c r="C127" s="33" t="s">
        <v>198</v>
      </c>
      <c r="D127" s="34"/>
      <c r="E127" s="34"/>
      <c r="F127" s="34"/>
      <c r="G127" s="34"/>
      <c r="H127" s="34"/>
      <c r="I127" s="34"/>
      <c r="J127" s="100"/>
      <c r="K127" s="100"/>
    </row>
    <row r="128" spans="1:11" ht="54" hidden="1" customHeight="1" x14ac:dyDescent="0.3">
      <c r="A128" s="49" t="s">
        <v>199</v>
      </c>
      <c r="B128" s="4" t="s">
        <v>200</v>
      </c>
      <c r="C128" s="5" t="s">
        <v>201</v>
      </c>
      <c r="D128" s="6"/>
      <c r="E128" s="6" t="s">
        <v>14</v>
      </c>
      <c r="F128" s="6" t="s">
        <v>15</v>
      </c>
      <c r="G128" s="7">
        <v>1</v>
      </c>
      <c r="H128" s="7"/>
      <c r="I128" s="50">
        <v>0</v>
      </c>
    </row>
    <row r="129" spans="1:9" ht="36" hidden="1" customHeight="1" x14ac:dyDescent="0.3">
      <c r="A129" s="49" t="s">
        <v>202</v>
      </c>
      <c r="B129" s="4"/>
      <c r="C129" s="12" t="s">
        <v>203</v>
      </c>
      <c r="D129" s="6"/>
      <c r="E129" s="6"/>
      <c r="F129" s="9" t="s">
        <v>18</v>
      </c>
      <c r="G129" s="10">
        <v>0.23</v>
      </c>
      <c r="H129" s="11"/>
      <c r="I129" s="51">
        <v>0</v>
      </c>
    </row>
    <row r="130" spans="1:9" ht="54" hidden="1" customHeight="1" x14ac:dyDescent="0.3">
      <c r="A130" s="49" t="s">
        <v>204</v>
      </c>
      <c r="B130" s="4"/>
      <c r="C130" s="8" t="s">
        <v>26</v>
      </c>
      <c r="D130" s="6"/>
      <c r="E130" s="6" t="s">
        <v>21</v>
      </c>
      <c r="F130" s="9" t="s">
        <v>16</v>
      </c>
      <c r="G130" s="10">
        <v>1.2</v>
      </c>
      <c r="H130" s="11"/>
      <c r="I130" s="51">
        <v>0</v>
      </c>
    </row>
    <row r="131" spans="1:9" ht="90" hidden="1" customHeight="1" x14ac:dyDescent="0.3">
      <c r="A131" s="49" t="s">
        <v>205</v>
      </c>
      <c r="B131" s="4"/>
      <c r="C131" s="8" t="s">
        <v>206</v>
      </c>
      <c r="D131" s="6"/>
      <c r="E131" s="6" t="s">
        <v>207</v>
      </c>
      <c r="F131" s="9" t="s">
        <v>15</v>
      </c>
      <c r="G131" s="10">
        <v>1.07</v>
      </c>
      <c r="H131" s="11"/>
      <c r="I131" s="51">
        <v>0</v>
      </c>
    </row>
    <row r="132" spans="1:9" ht="36" hidden="1" customHeight="1" x14ac:dyDescent="0.3">
      <c r="A132" s="49" t="s">
        <v>208</v>
      </c>
      <c r="B132" s="4"/>
      <c r="C132" s="12" t="s">
        <v>22</v>
      </c>
      <c r="D132" s="6"/>
      <c r="E132" s="6"/>
      <c r="F132" s="9" t="s">
        <v>16</v>
      </c>
      <c r="G132" s="10">
        <v>0.25</v>
      </c>
      <c r="H132" s="11"/>
      <c r="I132" s="51">
        <v>0</v>
      </c>
    </row>
    <row r="133" spans="1:9" ht="36" hidden="1" customHeight="1" x14ac:dyDescent="0.3">
      <c r="A133" s="49" t="s">
        <v>209</v>
      </c>
      <c r="B133" s="4"/>
      <c r="C133" s="12" t="s">
        <v>24</v>
      </c>
      <c r="D133" s="6"/>
      <c r="E133" s="6"/>
      <c r="F133" s="9" t="s">
        <v>16</v>
      </c>
      <c r="G133" s="10">
        <v>0.15</v>
      </c>
      <c r="H133" s="10"/>
      <c r="I133" s="54">
        <v>0</v>
      </c>
    </row>
    <row r="134" spans="1:9" ht="54" hidden="1" customHeight="1" x14ac:dyDescent="0.3">
      <c r="A134" s="49" t="s">
        <v>210</v>
      </c>
      <c r="B134" s="4" t="s">
        <v>200</v>
      </c>
      <c r="C134" s="5" t="s">
        <v>201</v>
      </c>
      <c r="D134" s="6"/>
      <c r="E134" s="6" t="s">
        <v>14</v>
      </c>
      <c r="F134" s="6" t="s">
        <v>15</v>
      </c>
      <c r="G134" s="7">
        <v>1</v>
      </c>
      <c r="H134" s="7"/>
      <c r="I134" s="50">
        <v>0</v>
      </c>
    </row>
    <row r="135" spans="1:9" ht="36" hidden="1" customHeight="1" x14ac:dyDescent="0.3">
      <c r="A135" s="49" t="s">
        <v>211</v>
      </c>
      <c r="B135" s="4"/>
      <c r="C135" s="12" t="s">
        <v>24</v>
      </c>
      <c r="D135" s="6"/>
      <c r="E135" s="6"/>
      <c r="F135" s="9" t="s">
        <v>16</v>
      </c>
      <c r="G135" s="10">
        <v>0.15</v>
      </c>
      <c r="H135" s="10"/>
      <c r="I135" s="54">
        <v>0</v>
      </c>
    </row>
    <row r="136" spans="1:9" ht="18" hidden="1" customHeight="1" x14ac:dyDescent="0.3">
      <c r="A136" s="49" t="s">
        <v>212</v>
      </c>
      <c r="B136" s="4"/>
      <c r="C136" s="12" t="s">
        <v>213</v>
      </c>
      <c r="D136" s="6"/>
      <c r="E136" s="6" t="s">
        <v>214</v>
      </c>
      <c r="F136" s="9" t="s">
        <v>16</v>
      </c>
      <c r="G136" s="10">
        <v>0.25</v>
      </c>
      <c r="H136" s="11"/>
      <c r="I136" s="51">
        <v>0</v>
      </c>
    </row>
    <row r="137" spans="1:9" ht="72" hidden="1" customHeight="1" x14ac:dyDescent="0.3">
      <c r="A137" s="49" t="s">
        <v>215</v>
      </c>
      <c r="B137" s="4"/>
      <c r="C137" s="12" t="s">
        <v>216</v>
      </c>
      <c r="D137" s="6"/>
      <c r="E137" s="6" t="s">
        <v>217</v>
      </c>
      <c r="F137" s="9" t="s">
        <v>15</v>
      </c>
      <c r="G137" s="10">
        <v>1.07</v>
      </c>
      <c r="H137" s="11"/>
      <c r="I137" s="51">
        <v>0</v>
      </c>
    </row>
    <row r="138" spans="1:9" ht="54" hidden="1" customHeight="1" x14ac:dyDescent="0.3">
      <c r="A138" s="49" t="s">
        <v>218</v>
      </c>
      <c r="B138" s="4"/>
      <c r="C138" s="8" t="s">
        <v>26</v>
      </c>
      <c r="D138" s="6"/>
      <c r="E138" s="6" t="s">
        <v>21</v>
      </c>
      <c r="F138" s="9" t="s">
        <v>16</v>
      </c>
      <c r="G138" s="10">
        <v>1.2</v>
      </c>
      <c r="H138" s="11"/>
      <c r="I138" s="51">
        <v>0</v>
      </c>
    </row>
    <row r="139" spans="1:9" ht="36" hidden="1" customHeight="1" x14ac:dyDescent="0.3">
      <c r="A139" s="49" t="s">
        <v>219</v>
      </c>
      <c r="B139" s="4"/>
      <c r="C139" s="12" t="s">
        <v>203</v>
      </c>
      <c r="D139" s="6"/>
      <c r="E139" s="6"/>
      <c r="F139" s="9" t="s">
        <v>18</v>
      </c>
      <c r="G139" s="10">
        <v>0.23</v>
      </c>
      <c r="H139" s="11"/>
      <c r="I139" s="51">
        <v>0</v>
      </c>
    </row>
    <row r="140" spans="1:9" ht="36" hidden="1" customHeight="1" x14ac:dyDescent="0.3">
      <c r="A140" s="49" t="s">
        <v>220</v>
      </c>
      <c r="B140" s="4" t="s">
        <v>221</v>
      </c>
      <c r="C140" s="5" t="s">
        <v>222</v>
      </c>
      <c r="D140" s="6"/>
      <c r="E140" s="6" t="s">
        <v>14</v>
      </c>
      <c r="F140" s="6" t="s">
        <v>15</v>
      </c>
      <c r="G140" s="7">
        <v>1</v>
      </c>
      <c r="H140" s="7"/>
      <c r="I140" s="50">
        <v>0</v>
      </c>
    </row>
    <row r="141" spans="1:9" ht="36" hidden="1" customHeight="1" x14ac:dyDescent="0.3">
      <c r="A141" s="49" t="s">
        <v>223</v>
      </c>
      <c r="B141" s="4"/>
      <c r="C141" s="12" t="s">
        <v>23</v>
      </c>
      <c r="D141" s="6"/>
      <c r="E141" s="6"/>
      <c r="F141" s="9" t="s">
        <v>16</v>
      </c>
      <c r="G141" s="10">
        <v>0.15</v>
      </c>
      <c r="H141" s="10"/>
      <c r="I141" s="54">
        <v>0</v>
      </c>
    </row>
    <row r="142" spans="1:9" ht="90" hidden="1" customHeight="1" x14ac:dyDescent="0.3">
      <c r="A142" s="49" t="s">
        <v>224</v>
      </c>
      <c r="B142" s="4"/>
      <c r="C142" s="12" t="s">
        <v>225</v>
      </c>
      <c r="D142" s="6"/>
      <c r="E142" s="6" t="s">
        <v>226</v>
      </c>
      <c r="F142" s="9" t="s">
        <v>16</v>
      </c>
      <c r="G142" s="10">
        <v>0.3</v>
      </c>
      <c r="H142" s="10"/>
      <c r="I142" s="54">
        <v>0</v>
      </c>
    </row>
    <row r="143" spans="1:9" ht="36" hidden="1" customHeight="1" x14ac:dyDescent="0.3">
      <c r="A143" s="49" t="s">
        <v>227</v>
      </c>
      <c r="B143" s="4" t="s">
        <v>221</v>
      </c>
      <c r="C143" s="5" t="s">
        <v>222</v>
      </c>
      <c r="D143" s="6"/>
      <c r="E143" s="6" t="s">
        <v>14</v>
      </c>
      <c r="F143" s="6" t="s">
        <v>15</v>
      </c>
      <c r="G143" s="7">
        <v>1</v>
      </c>
      <c r="H143" s="7"/>
      <c r="I143" s="50">
        <v>0</v>
      </c>
    </row>
    <row r="144" spans="1:9" ht="90" hidden="1" customHeight="1" x14ac:dyDescent="0.3">
      <c r="A144" s="49" t="s">
        <v>228</v>
      </c>
      <c r="B144" s="4"/>
      <c r="C144" s="12" t="s">
        <v>229</v>
      </c>
      <c r="D144" s="6"/>
      <c r="E144" s="6" t="s">
        <v>230</v>
      </c>
      <c r="F144" s="9" t="s">
        <v>16</v>
      </c>
      <c r="G144" s="10">
        <v>0.3</v>
      </c>
      <c r="H144" s="10"/>
      <c r="I144" s="54">
        <v>0</v>
      </c>
    </row>
    <row r="145" spans="1:9" ht="36" hidden="1" customHeight="1" x14ac:dyDescent="0.3">
      <c r="A145" s="49" t="s">
        <v>231</v>
      </c>
      <c r="B145" s="4"/>
      <c r="C145" s="12" t="s">
        <v>23</v>
      </c>
      <c r="D145" s="6"/>
      <c r="E145" s="6"/>
      <c r="F145" s="9" t="s">
        <v>16</v>
      </c>
      <c r="G145" s="10">
        <v>0.15</v>
      </c>
      <c r="H145" s="10"/>
      <c r="I145" s="54">
        <v>0</v>
      </c>
    </row>
    <row r="146" spans="1:9" ht="36" hidden="1" customHeight="1" x14ac:dyDescent="0.3">
      <c r="A146" s="49" t="s">
        <v>232</v>
      </c>
      <c r="B146" s="4" t="s">
        <v>221</v>
      </c>
      <c r="C146" s="5" t="s">
        <v>222</v>
      </c>
      <c r="D146" s="6"/>
      <c r="E146" s="6" t="s">
        <v>14</v>
      </c>
      <c r="F146" s="6" t="s">
        <v>15</v>
      </c>
      <c r="G146" s="7">
        <v>1</v>
      </c>
      <c r="H146" s="7"/>
      <c r="I146" s="50">
        <v>0</v>
      </c>
    </row>
    <row r="147" spans="1:9" ht="36" hidden="1" customHeight="1" x14ac:dyDescent="0.3">
      <c r="A147" s="49" t="s">
        <v>233</v>
      </c>
      <c r="B147" s="4"/>
      <c r="C147" s="12" t="s">
        <v>23</v>
      </c>
      <c r="D147" s="6"/>
      <c r="E147" s="6"/>
      <c r="F147" s="9" t="s">
        <v>16</v>
      </c>
      <c r="G147" s="10">
        <v>0.15</v>
      </c>
      <c r="H147" s="10"/>
      <c r="I147" s="54">
        <v>0</v>
      </c>
    </row>
    <row r="148" spans="1:9" ht="54" hidden="1" customHeight="1" x14ac:dyDescent="0.3">
      <c r="A148" s="49" t="s">
        <v>234</v>
      </c>
      <c r="B148" s="4"/>
      <c r="C148" s="12" t="s">
        <v>235</v>
      </c>
      <c r="D148" s="6"/>
      <c r="E148" s="6" t="s">
        <v>236</v>
      </c>
      <c r="F148" s="9" t="s">
        <v>16</v>
      </c>
      <c r="G148" s="10">
        <v>0.3</v>
      </c>
      <c r="H148" s="10"/>
      <c r="I148" s="54">
        <v>0</v>
      </c>
    </row>
    <row r="149" spans="1:9" ht="36" hidden="1" customHeight="1" x14ac:dyDescent="0.3">
      <c r="A149" s="49" t="s">
        <v>237</v>
      </c>
      <c r="B149" s="4" t="s">
        <v>221</v>
      </c>
      <c r="C149" s="5" t="s">
        <v>222</v>
      </c>
      <c r="D149" s="6"/>
      <c r="E149" s="6" t="s">
        <v>14</v>
      </c>
      <c r="F149" s="6" t="s">
        <v>15</v>
      </c>
      <c r="G149" s="7">
        <v>1</v>
      </c>
      <c r="H149" s="7"/>
      <c r="I149" s="50">
        <v>0</v>
      </c>
    </row>
    <row r="150" spans="1:9" ht="90" hidden="1" customHeight="1" x14ac:dyDescent="0.3">
      <c r="A150" s="49" t="s">
        <v>238</v>
      </c>
      <c r="B150" s="4"/>
      <c r="C150" s="12" t="s">
        <v>229</v>
      </c>
      <c r="D150" s="6"/>
      <c r="E150" s="6" t="s">
        <v>239</v>
      </c>
      <c r="F150" s="9" t="s">
        <v>16</v>
      </c>
      <c r="G150" s="10">
        <v>0.3</v>
      </c>
      <c r="H150" s="10"/>
      <c r="I150" s="54">
        <v>0</v>
      </c>
    </row>
    <row r="151" spans="1:9" ht="36" hidden="1" customHeight="1" x14ac:dyDescent="0.3">
      <c r="A151" s="49" t="s">
        <v>240</v>
      </c>
      <c r="B151" s="4"/>
      <c r="C151" s="12" t="s">
        <v>23</v>
      </c>
      <c r="D151" s="6"/>
      <c r="E151" s="6"/>
      <c r="F151" s="9" t="s">
        <v>16</v>
      </c>
      <c r="G151" s="10">
        <v>0.15</v>
      </c>
      <c r="H151" s="10"/>
      <c r="I151" s="54">
        <v>0</v>
      </c>
    </row>
    <row r="152" spans="1:9" ht="36" hidden="1" customHeight="1" x14ac:dyDescent="0.3">
      <c r="A152" s="49" t="s">
        <v>241</v>
      </c>
      <c r="B152" s="4" t="s">
        <v>221</v>
      </c>
      <c r="C152" s="5" t="s">
        <v>222</v>
      </c>
      <c r="D152" s="6"/>
      <c r="E152" s="6" t="s">
        <v>14</v>
      </c>
      <c r="F152" s="6" t="s">
        <v>15</v>
      </c>
      <c r="G152" s="7">
        <v>1</v>
      </c>
      <c r="H152" s="7"/>
      <c r="I152" s="50">
        <v>0</v>
      </c>
    </row>
    <row r="153" spans="1:9" ht="36" hidden="1" customHeight="1" x14ac:dyDescent="0.3">
      <c r="A153" s="49" t="s">
        <v>242</v>
      </c>
      <c r="B153" s="4"/>
      <c r="C153" s="12" t="s">
        <v>23</v>
      </c>
      <c r="D153" s="6"/>
      <c r="E153" s="6"/>
      <c r="F153" s="9" t="s">
        <v>16</v>
      </c>
      <c r="G153" s="10">
        <v>0.15</v>
      </c>
      <c r="H153" s="10"/>
      <c r="I153" s="54">
        <v>0</v>
      </c>
    </row>
    <row r="154" spans="1:9" ht="90" hidden="1" customHeight="1" x14ac:dyDescent="0.3">
      <c r="A154" s="49" t="s">
        <v>243</v>
      </c>
      <c r="B154" s="4"/>
      <c r="C154" s="12" t="s">
        <v>229</v>
      </c>
      <c r="D154" s="6"/>
      <c r="E154" s="6" t="s">
        <v>244</v>
      </c>
      <c r="F154" s="9" t="s">
        <v>16</v>
      </c>
      <c r="G154" s="10">
        <v>0.3</v>
      </c>
      <c r="H154" s="10"/>
      <c r="I154" s="54">
        <v>0</v>
      </c>
    </row>
    <row r="155" spans="1:9" ht="36" hidden="1" customHeight="1" x14ac:dyDescent="0.3">
      <c r="A155" s="49" t="s">
        <v>245</v>
      </c>
      <c r="B155" s="4" t="s">
        <v>221</v>
      </c>
      <c r="C155" s="5" t="s">
        <v>222</v>
      </c>
      <c r="D155" s="6"/>
      <c r="E155" s="6" t="s">
        <v>14</v>
      </c>
      <c r="F155" s="6" t="s">
        <v>15</v>
      </c>
      <c r="G155" s="7">
        <v>1</v>
      </c>
      <c r="H155" s="7"/>
      <c r="I155" s="50">
        <v>0</v>
      </c>
    </row>
    <row r="156" spans="1:9" ht="90" hidden="1" customHeight="1" x14ac:dyDescent="0.3">
      <c r="A156" s="49" t="s">
        <v>246</v>
      </c>
      <c r="B156" s="4"/>
      <c r="C156" s="12" t="s">
        <v>229</v>
      </c>
      <c r="D156" s="6"/>
      <c r="E156" s="6" t="s">
        <v>247</v>
      </c>
      <c r="F156" s="9" t="s">
        <v>16</v>
      </c>
      <c r="G156" s="10">
        <v>0.3</v>
      </c>
      <c r="H156" s="10"/>
      <c r="I156" s="54">
        <v>0</v>
      </c>
    </row>
    <row r="157" spans="1:9" ht="36" hidden="1" customHeight="1" x14ac:dyDescent="0.3">
      <c r="A157" s="49" t="s">
        <v>248</v>
      </c>
      <c r="B157" s="4"/>
      <c r="C157" s="12" t="s">
        <v>23</v>
      </c>
      <c r="D157" s="6"/>
      <c r="E157" s="6"/>
      <c r="F157" s="9" t="s">
        <v>16</v>
      </c>
      <c r="G157" s="10">
        <v>0.15</v>
      </c>
      <c r="H157" s="10"/>
      <c r="I157" s="54">
        <v>0</v>
      </c>
    </row>
    <row r="158" spans="1:9" ht="36" hidden="1" customHeight="1" x14ac:dyDescent="0.3">
      <c r="A158" s="49" t="s">
        <v>249</v>
      </c>
      <c r="B158" s="4" t="s">
        <v>221</v>
      </c>
      <c r="C158" s="5" t="s">
        <v>222</v>
      </c>
      <c r="D158" s="6"/>
      <c r="E158" s="6" t="s">
        <v>14</v>
      </c>
      <c r="F158" s="6" t="s">
        <v>15</v>
      </c>
      <c r="G158" s="7">
        <v>1</v>
      </c>
      <c r="H158" s="7"/>
      <c r="I158" s="50">
        <v>0</v>
      </c>
    </row>
    <row r="159" spans="1:9" ht="36" hidden="1" customHeight="1" x14ac:dyDescent="0.3">
      <c r="A159" s="49" t="s">
        <v>250</v>
      </c>
      <c r="B159" s="4"/>
      <c r="C159" s="12" t="s">
        <v>23</v>
      </c>
      <c r="D159" s="6"/>
      <c r="E159" s="6"/>
      <c r="F159" s="9" t="s">
        <v>16</v>
      </c>
      <c r="G159" s="10">
        <v>0.15</v>
      </c>
      <c r="H159" s="10"/>
      <c r="I159" s="54">
        <v>0</v>
      </c>
    </row>
    <row r="160" spans="1:9" ht="90" hidden="1" customHeight="1" x14ac:dyDescent="0.3">
      <c r="A160" s="49" t="s">
        <v>251</v>
      </c>
      <c r="B160" s="4"/>
      <c r="C160" s="12" t="s">
        <v>229</v>
      </c>
      <c r="D160" s="6"/>
      <c r="E160" s="6" t="s">
        <v>239</v>
      </c>
      <c r="F160" s="9" t="s">
        <v>16</v>
      </c>
      <c r="G160" s="10">
        <v>0.3</v>
      </c>
      <c r="H160" s="10"/>
      <c r="I160" s="54">
        <v>0</v>
      </c>
    </row>
    <row r="161" spans="1:9" ht="36" hidden="1" customHeight="1" x14ac:dyDescent="0.3">
      <c r="A161" s="49" t="s">
        <v>252</v>
      </c>
      <c r="B161" s="4" t="s">
        <v>253</v>
      </c>
      <c r="C161" s="5" t="s">
        <v>254</v>
      </c>
      <c r="D161" s="6"/>
      <c r="E161" s="6" t="s">
        <v>255</v>
      </c>
      <c r="F161" s="6" t="s">
        <v>15</v>
      </c>
      <c r="G161" s="7">
        <v>1</v>
      </c>
      <c r="H161" s="7"/>
      <c r="I161" s="50">
        <v>0</v>
      </c>
    </row>
    <row r="162" spans="1:9" ht="108" hidden="1" customHeight="1" x14ac:dyDescent="0.3">
      <c r="A162" s="49" t="s">
        <v>256</v>
      </c>
      <c r="B162" s="4"/>
      <c r="C162" s="12" t="s">
        <v>257</v>
      </c>
      <c r="D162" s="6"/>
      <c r="E162" s="6" t="s">
        <v>258</v>
      </c>
      <c r="F162" s="9" t="s">
        <v>16</v>
      </c>
      <c r="G162" s="10">
        <v>0.3</v>
      </c>
      <c r="H162" s="10"/>
      <c r="I162" s="54">
        <v>0</v>
      </c>
    </row>
    <row r="163" spans="1:9" ht="36" hidden="1" customHeight="1" x14ac:dyDescent="0.3">
      <c r="A163" s="49" t="s">
        <v>259</v>
      </c>
      <c r="B163" s="4"/>
      <c r="C163" s="12" t="s">
        <v>23</v>
      </c>
      <c r="D163" s="6"/>
      <c r="E163" s="6"/>
      <c r="F163" s="9" t="s">
        <v>16</v>
      </c>
      <c r="G163" s="10">
        <v>0.15</v>
      </c>
      <c r="H163" s="10"/>
      <c r="I163" s="54">
        <v>0</v>
      </c>
    </row>
    <row r="164" spans="1:9" ht="36" hidden="1" customHeight="1" x14ac:dyDescent="0.3">
      <c r="A164" s="49" t="s">
        <v>260</v>
      </c>
      <c r="B164" s="4" t="s">
        <v>253</v>
      </c>
      <c r="C164" s="5" t="s">
        <v>254</v>
      </c>
      <c r="D164" s="6"/>
      <c r="E164" s="6" t="s">
        <v>261</v>
      </c>
      <c r="F164" s="6" t="s">
        <v>15</v>
      </c>
      <c r="G164" s="7">
        <v>1</v>
      </c>
      <c r="H164" s="7"/>
      <c r="I164" s="50">
        <v>0</v>
      </c>
    </row>
    <row r="165" spans="1:9" ht="36" hidden="1" customHeight="1" x14ac:dyDescent="0.3">
      <c r="A165" s="49" t="s">
        <v>262</v>
      </c>
      <c r="B165" s="4"/>
      <c r="C165" s="12" t="s">
        <v>23</v>
      </c>
      <c r="D165" s="6"/>
      <c r="E165" s="6"/>
      <c r="F165" s="9" t="s">
        <v>16</v>
      </c>
      <c r="G165" s="10">
        <v>0.15</v>
      </c>
      <c r="H165" s="10"/>
      <c r="I165" s="54">
        <v>0</v>
      </c>
    </row>
    <row r="166" spans="1:9" ht="108" hidden="1" customHeight="1" x14ac:dyDescent="0.3">
      <c r="A166" s="49" t="s">
        <v>263</v>
      </c>
      <c r="B166" s="4"/>
      <c r="C166" s="12" t="s">
        <v>229</v>
      </c>
      <c r="D166" s="6"/>
      <c r="E166" s="6" t="s">
        <v>264</v>
      </c>
      <c r="F166" s="9" t="s">
        <v>16</v>
      </c>
      <c r="G166" s="10">
        <v>0.3</v>
      </c>
      <c r="H166" s="10"/>
      <c r="I166" s="54">
        <v>0</v>
      </c>
    </row>
    <row r="167" spans="1:9" ht="36" hidden="1" customHeight="1" x14ac:dyDescent="0.3">
      <c r="A167" s="49" t="s">
        <v>265</v>
      </c>
      <c r="B167" s="4" t="s">
        <v>253</v>
      </c>
      <c r="C167" s="5" t="s">
        <v>254</v>
      </c>
      <c r="D167" s="6"/>
      <c r="E167" s="6" t="s">
        <v>266</v>
      </c>
      <c r="F167" s="6" t="s">
        <v>15</v>
      </c>
      <c r="G167" s="7">
        <v>1</v>
      </c>
      <c r="H167" s="7"/>
      <c r="I167" s="50">
        <v>0</v>
      </c>
    </row>
    <row r="168" spans="1:9" ht="108" hidden="1" customHeight="1" x14ac:dyDescent="0.3">
      <c r="A168" s="49" t="s">
        <v>267</v>
      </c>
      <c r="B168" s="4"/>
      <c r="C168" s="12" t="s">
        <v>229</v>
      </c>
      <c r="D168" s="6"/>
      <c r="E168" s="6" t="s">
        <v>268</v>
      </c>
      <c r="F168" s="9" t="s">
        <v>16</v>
      </c>
      <c r="G168" s="10">
        <v>0.3</v>
      </c>
      <c r="H168" s="10"/>
      <c r="I168" s="54">
        <v>0</v>
      </c>
    </row>
    <row r="169" spans="1:9" ht="36" hidden="1" customHeight="1" x14ac:dyDescent="0.3">
      <c r="A169" s="49" t="s">
        <v>269</v>
      </c>
      <c r="B169" s="4"/>
      <c r="C169" s="12" t="s">
        <v>23</v>
      </c>
      <c r="D169" s="6"/>
      <c r="E169" s="6"/>
      <c r="F169" s="9" t="s">
        <v>16</v>
      </c>
      <c r="G169" s="10">
        <v>0.15</v>
      </c>
      <c r="H169" s="10"/>
      <c r="I169" s="54">
        <v>0</v>
      </c>
    </row>
    <row r="170" spans="1:9" ht="36" hidden="1" customHeight="1" x14ac:dyDescent="0.3">
      <c r="A170" s="49" t="s">
        <v>270</v>
      </c>
      <c r="B170" s="4" t="s">
        <v>253</v>
      </c>
      <c r="C170" s="5" t="s">
        <v>254</v>
      </c>
      <c r="D170" s="6"/>
      <c r="E170" s="6" t="s">
        <v>271</v>
      </c>
      <c r="F170" s="6" t="s">
        <v>15</v>
      </c>
      <c r="G170" s="7">
        <v>1</v>
      </c>
      <c r="H170" s="7"/>
      <c r="I170" s="50">
        <v>0</v>
      </c>
    </row>
    <row r="171" spans="1:9" ht="36" hidden="1" customHeight="1" x14ac:dyDescent="0.3">
      <c r="A171" s="49" t="s">
        <v>272</v>
      </c>
      <c r="B171" s="4"/>
      <c r="C171" s="12" t="s">
        <v>23</v>
      </c>
      <c r="D171" s="6"/>
      <c r="E171" s="6"/>
      <c r="F171" s="9" t="s">
        <v>16</v>
      </c>
      <c r="G171" s="10">
        <v>0.15</v>
      </c>
      <c r="H171" s="10"/>
      <c r="I171" s="54">
        <v>0</v>
      </c>
    </row>
    <row r="172" spans="1:9" ht="108" hidden="1" customHeight="1" x14ac:dyDescent="0.3">
      <c r="A172" s="49" t="s">
        <v>273</v>
      </c>
      <c r="B172" s="4"/>
      <c r="C172" s="12" t="s">
        <v>229</v>
      </c>
      <c r="D172" s="6"/>
      <c r="E172" s="6" t="s">
        <v>274</v>
      </c>
      <c r="F172" s="9" t="s">
        <v>16</v>
      </c>
      <c r="G172" s="10">
        <v>0.3</v>
      </c>
      <c r="H172" s="10"/>
      <c r="I172" s="54">
        <v>0</v>
      </c>
    </row>
    <row r="173" spans="1:9" ht="36" hidden="1" customHeight="1" x14ac:dyDescent="0.3">
      <c r="A173" s="49" t="s">
        <v>275</v>
      </c>
      <c r="B173" s="4" t="s">
        <v>253</v>
      </c>
      <c r="C173" s="5" t="s">
        <v>254</v>
      </c>
      <c r="D173" s="6"/>
      <c r="E173" s="6" t="s">
        <v>276</v>
      </c>
      <c r="F173" s="6" t="s">
        <v>15</v>
      </c>
      <c r="G173" s="7">
        <v>1</v>
      </c>
      <c r="H173" s="7"/>
      <c r="I173" s="50">
        <v>0</v>
      </c>
    </row>
    <row r="174" spans="1:9" ht="108" hidden="1" customHeight="1" x14ac:dyDescent="0.3">
      <c r="A174" s="49" t="s">
        <v>277</v>
      </c>
      <c r="B174" s="4"/>
      <c r="C174" s="12" t="s">
        <v>229</v>
      </c>
      <c r="D174" s="6"/>
      <c r="E174" s="6" t="s">
        <v>278</v>
      </c>
      <c r="F174" s="9" t="s">
        <v>16</v>
      </c>
      <c r="G174" s="10">
        <v>0.3</v>
      </c>
      <c r="H174" s="10"/>
      <c r="I174" s="54">
        <v>0</v>
      </c>
    </row>
    <row r="175" spans="1:9" ht="36" hidden="1" customHeight="1" x14ac:dyDescent="0.3">
      <c r="A175" s="49" t="s">
        <v>279</v>
      </c>
      <c r="B175" s="4"/>
      <c r="C175" s="12" t="s">
        <v>23</v>
      </c>
      <c r="D175" s="6"/>
      <c r="E175" s="6"/>
      <c r="F175" s="9" t="s">
        <v>16</v>
      </c>
      <c r="G175" s="10">
        <v>0.15</v>
      </c>
      <c r="H175" s="10"/>
      <c r="I175" s="54">
        <v>0</v>
      </c>
    </row>
    <row r="176" spans="1:9" ht="36" hidden="1" customHeight="1" x14ac:dyDescent="0.3">
      <c r="A176" s="49" t="s">
        <v>280</v>
      </c>
      <c r="B176" s="4" t="s">
        <v>253</v>
      </c>
      <c r="C176" s="5" t="s">
        <v>254</v>
      </c>
      <c r="D176" s="6"/>
      <c r="E176" s="6" t="s">
        <v>281</v>
      </c>
      <c r="F176" s="6" t="s">
        <v>15</v>
      </c>
      <c r="G176" s="7">
        <v>1</v>
      </c>
      <c r="H176" s="7"/>
      <c r="I176" s="50">
        <v>0</v>
      </c>
    </row>
    <row r="177" spans="1:9" ht="36" hidden="1" customHeight="1" x14ac:dyDescent="0.3">
      <c r="A177" s="49" t="s">
        <v>282</v>
      </c>
      <c r="B177" s="4"/>
      <c r="C177" s="12" t="s">
        <v>23</v>
      </c>
      <c r="D177" s="6"/>
      <c r="E177" s="6"/>
      <c r="F177" s="9" t="s">
        <v>16</v>
      </c>
      <c r="G177" s="10">
        <v>0.15</v>
      </c>
      <c r="H177" s="10"/>
      <c r="I177" s="54">
        <v>0</v>
      </c>
    </row>
    <row r="178" spans="1:9" ht="108" hidden="1" customHeight="1" x14ac:dyDescent="0.3">
      <c r="A178" s="49" t="s">
        <v>283</v>
      </c>
      <c r="B178" s="4"/>
      <c r="C178" s="12" t="s">
        <v>229</v>
      </c>
      <c r="D178" s="6"/>
      <c r="E178" s="6" t="s">
        <v>284</v>
      </c>
      <c r="F178" s="9" t="s">
        <v>16</v>
      </c>
      <c r="G178" s="10">
        <v>0.3</v>
      </c>
      <c r="H178" s="10"/>
      <c r="I178" s="54">
        <v>0</v>
      </c>
    </row>
    <row r="179" spans="1:9" ht="36" hidden="1" customHeight="1" x14ac:dyDescent="0.3">
      <c r="A179" s="49" t="s">
        <v>285</v>
      </c>
      <c r="B179" s="4" t="s">
        <v>253</v>
      </c>
      <c r="C179" s="5" t="s">
        <v>254</v>
      </c>
      <c r="D179" s="6"/>
      <c r="E179" s="6" t="s">
        <v>286</v>
      </c>
      <c r="F179" s="6" t="s">
        <v>15</v>
      </c>
      <c r="G179" s="7">
        <v>1</v>
      </c>
      <c r="H179" s="7"/>
      <c r="I179" s="50">
        <v>0</v>
      </c>
    </row>
    <row r="180" spans="1:9" ht="108" hidden="1" customHeight="1" x14ac:dyDescent="0.3">
      <c r="A180" s="49" t="s">
        <v>287</v>
      </c>
      <c r="B180" s="4"/>
      <c r="C180" s="12" t="s">
        <v>229</v>
      </c>
      <c r="D180" s="6"/>
      <c r="E180" s="6" t="s">
        <v>288</v>
      </c>
      <c r="F180" s="9" t="s">
        <v>16</v>
      </c>
      <c r="G180" s="10">
        <v>0.3</v>
      </c>
      <c r="H180" s="10"/>
      <c r="I180" s="54">
        <v>0</v>
      </c>
    </row>
    <row r="181" spans="1:9" ht="36" hidden="1" customHeight="1" x14ac:dyDescent="0.3">
      <c r="A181" s="49" t="s">
        <v>289</v>
      </c>
      <c r="B181" s="4"/>
      <c r="C181" s="12" t="s">
        <v>23</v>
      </c>
      <c r="D181" s="6"/>
      <c r="E181" s="6"/>
      <c r="F181" s="9" t="s">
        <v>16</v>
      </c>
      <c r="G181" s="10">
        <v>0.15</v>
      </c>
      <c r="H181" s="10"/>
      <c r="I181" s="54">
        <v>0</v>
      </c>
    </row>
    <row r="182" spans="1:9" ht="36" hidden="1" customHeight="1" x14ac:dyDescent="0.3">
      <c r="A182" s="49" t="s">
        <v>290</v>
      </c>
      <c r="B182" s="4" t="s">
        <v>253</v>
      </c>
      <c r="C182" s="5" t="s">
        <v>254</v>
      </c>
      <c r="D182" s="6"/>
      <c r="E182" s="6" t="s">
        <v>291</v>
      </c>
      <c r="F182" s="6" t="s">
        <v>15</v>
      </c>
      <c r="G182" s="7">
        <v>1</v>
      </c>
      <c r="H182" s="7"/>
      <c r="I182" s="50">
        <v>0</v>
      </c>
    </row>
    <row r="183" spans="1:9" ht="36" hidden="1" customHeight="1" x14ac:dyDescent="0.3">
      <c r="A183" s="49" t="s">
        <v>292</v>
      </c>
      <c r="B183" s="4"/>
      <c r="C183" s="12" t="s">
        <v>23</v>
      </c>
      <c r="D183" s="6"/>
      <c r="E183" s="6"/>
      <c r="F183" s="9" t="s">
        <v>16</v>
      </c>
      <c r="G183" s="10">
        <v>0.15</v>
      </c>
      <c r="H183" s="10"/>
      <c r="I183" s="54">
        <v>0</v>
      </c>
    </row>
    <row r="184" spans="1:9" ht="108" hidden="1" customHeight="1" x14ac:dyDescent="0.3">
      <c r="A184" s="49" t="s">
        <v>293</v>
      </c>
      <c r="B184" s="4"/>
      <c r="C184" s="12" t="s">
        <v>229</v>
      </c>
      <c r="D184" s="6"/>
      <c r="E184" s="6" t="s">
        <v>294</v>
      </c>
      <c r="F184" s="9" t="s">
        <v>16</v>
      </c>
      <c r="G184" s="10">
        <v>0.3</v>
      </c>
      <c r="H184" s="10"/>
      <c r="I184" s="54">
        <v>0</v>
      </c>
    </row>
    <row r="185" spans="1:9" ht="36" hidden="1" customHeight="1" x14ac:dyDescent="0.3">
      <c r="A185" s="49" t="s">
        <v>295</v>
      </c>
      <c r="B185" s="4" t="s">
        <v>253</v>
      </c>
      <c r="C185" s="5" t="s">
        <v>254</v>
      </c>
      <c r="D185" s="6"/>
      <c r="E185" s="6" t="s">
        <v>296</v>
      </c>
      <c r="F185" s="6" t="s">
        <v>15</v>
      </c>
      <c r="G185" s="7">
        <v>1</v>
      </c>
      <c r="H185" s="7"/>
      <c r="I185" s="50">
        <v>0</v>
      </c>
    </row>
    <row r="186" spans="1:9" ht="126" hidden="1" customHeight="1" x14ac:dyDescent="0.3">
      <c r="A186" s="49" t="s">
        <v>297</v>
      </c>
      <c r="B186" s="4"/>
      <c r="C186" s="12" t="s">
        <v>235</v>
      </c>
      <c r="D186" s="6"/>
      <c r="E186" s="6" t="s">
        <v>298</v>
      </c>
      <c r="F186" s="9" t="s">
        <v>16</v>
      </c>
      <c r="G186" s="10">
        <v>0.3</v>
      </c>
      <c r="H186" s="10"/>
      <c r="I186" s="54">
        <v>0</v>
      </c>
    </row>
    <row r="187" spans="1:9" ht="36" hidden="1" customHeight="1" x14ac:dyDescent="0.3">
      <c r="A187" s="49" t="s">
        <v>299</v>
      </c>
      <c r="B187" s="4"/>
      <c r="C187" s="12" t="s">
        <v>23</v>
      </c>
      <c r="D187" s="6"/>
      <c r="E187" s="6"/>
      <c r="F187" s="9" t="s">
        <v>16</v>
      </c>
      <c r="G187" s="10">
        <v>0.15</v>
      </c>
      <c r="H187" s="10"/>
      <c r="I187" s="54">
        <v>0</v>
      </c>
    </row>
    <row r="188" spans="1:9" ht="36" hidden="1" customHeight="1" x14ac:dyDescent="0.3">
      <c r="A188" s="49" t="s">
        <v>300</v>
      </c>
      <c r="B188" s="4" t="s">
        <v>253</v>
      </c>
      <c r="C188" s="5" t="s">
        <v>254</v>
      </c>
      <c r="D188" s="6"/>
      <c r="E188" s="6" t="s">
        <v>301</v>
      </c>
      <c r="F188" s="6" t="s">
        <v>15</v>
      </c>
      <c r="G188" s="7">
        <v>1</v>
      </c>
      <c r="H188" s="7"/>
      <c r="I188" s="50">
        <v>0</v>
      </c>
    </row>
    <row r="189" spans="1:9" ht="36" hidden="1" customHeight="1" x14ac:dyDescent="0.3">
      <c r="A189" s="49" t="s">
        <v>302</v>
      </c>
      <c r="B189" s="4"/>
      <c r="C189" s="12" t="s">
        <v>23</v>
      </c>
      <c r="D189" s="6"/>
      <c r="E189" s="6"/>
      <c r="F189" s="9" t="s">
        <v>16</v>
      </c>
      <c r="G189" s="10">
        <v>0.15</v>
      </c>
      <c r="H189" s="10"/>
      <c r="I189" s="54">
        <v>0</v>
      </c>
    </row>
    <row r="190" spans="1:9" ht="108" hidden="1" customHeight="1" x14ac:dyDescent="0.3">
      <c r="A190" s="49" t="s">
        <v>303</v>
      </c>
      <c r="B190" s="4"/>
      <c r="C190" s="12" t="s">
        <v>229</v>
      </c>
      <c r="D190" s="6"/>
      <c r="E190" s="6" t="s">
        <v>304</v>
      </c>
      <c r="F190" s="9" t="s">
        <v>16</v>
      </c>
      <c r="G190" s="10">
        <v>0.3</v>
      </c>
      <c r="H190" s="10"/>
      <c r="I190" s="54">
        <v>0</v>
      </c>
    </row>
    <row r="191" spans="1:9" ht="36" hidden="1" customHeight="1" x14ac:dyDescent="0.3">
      <c r="A191" s="49" t="s">
        <v>305</v>
      </c>
      <c r="B191" s="4" t="s">
        <v>253</v>
      </c>
      <c r="C191" s="5" t="s">
        <v>254</v>
      </c>
      <c r="D191" s="6"/>
      <c r="E191" s="6" t="s">
        <v>306</v>
      </c>
      <c r="F191" s="6" t="s">
        <v>15</v>
      </c>
      <c r="G191" s="7">
        <v>1</v>
      </c>
      <c r="H191" s="7"/>
      <c r="I191" s="50">
        <v>0</v>
      </c>
    </row>
    <row r="192" spans="1:9" ht="108" hidden="1" customHeight="1" x14ac:dyDescent="0.3">
      <c r="A192" s="49" t="s">
        <v>307</v>
      </c>
      <c r="B192" s="4"/>
      <c r="C192" s="12" t="s">
        <v>229</v>
      </c>
      <c r="D192" s="6"/>
      <c r="E192" s="6" t="s">
        <v>308</v>
      </c>
      <c r="F192" s="9" t="s">
        <v>16</v>
      </c>
      <c r="G192" s="10">
        <v>0.3</v>
      </c>
      <c r="H192" s="10"/>
      <c r="I192" s="54">
        <v>0</v>
      </c>
    </row>
    <row r="193" spans="1:9" ht="36" hidden="1" customHeight="1" x14ac:dyDescent="0.3">
      <c r="A193" s="49" t="s">
        <v>309</v>
      </c>
      <c r="B193" s="4"/>
      <c r="C193" s="12" t="s">
        <v>23</v>
      </c>
      <c r="D193" s="6"/>
      <c r="E193" s="6"/>
      <c r="F193" s="9" t="s">
        <v>16</v>
      </c>
      <c r="G193" s="10">
        <v>0.15</v>
      </c>
      <c r="H193" s="10"/>
      <c r="I193" s="54">
        <v>0</v>
      </c>
    </row>
    <row r="194" spans="1:9" ht="36" hidden="1" customHeight="1" x14ac:dyDescent="0.3">
      <c r="A194" s="49" t="s">
        <v>310</v>
      </c>
      <c r="B194" s="4" t="s">
        <v>253</v>
      </c>
      <c r="C194" s="5" t="s">
        <v>254</v>
      </c>
      <c r="D194" s="6"/>
      <c r="E194" s="6" t="s">
        <v>311</v>
      </c>
      <c r="F194" s="6" t="s">
        <v>15</v>
      </c>
      <c r="G194" s="7">
        <v>1</v>
      </c>
      <c r="H194" s="7"/>
      <c r="I194" s="50">
        <v>0</v>
      </c>
    </row>
    <row r="195" spans="1:9" ht="36" hidden="1" customHeight="1" x14ac:dyDescent="0.3">
      <c r="A195" s="49" t="s">
        <v>312</v>
      </c>
      <c r="B195" s="4"/>
      <c r="C195" s="12" t="s">
        <v>23</v>
      </c>
      <c r="D195" s="6"/>
      <c r="E195" s="6"/>
      <c r="F195" s="9" t="s">
        <v>16</v>
      </c>
      <c r="G195" s="10">
        <v>0.15</v>
      </c>
      <c r="H195" s="10"/>
      <c r="I195" s="54">
        <v>0</v>
      </c>
    </row>
    <row r="196" spans="1:9" ht="108" hidden="1" customHeight="1" x14ac:dyDescent="0.3">
      <c r="A196" s="49" t="s">
        <v>313</v>
      </c>
      <c r="B196" s="4"/>
      <c r="C196" s="12" t="s">
        <v>257</v>
      </c>
      <c r="D196" s="6"/>
      <c r="E196" s="6" t="s">
        <v>258</v>
      </c>
      <c r="F196" s="9" t="s">
        <v>16</v>
      </c>
      <c r="G196" s="10">
        <v>0.3</v>
      </c>
      <c r="H196" s="10"/>
      <c r="I196" s="54">
        <v>0</v>
      </c>
    </row>
    <row r="197" spans="1:9" ht="36" hidden="1" customHeight="1" x14ac:dyDescent="0.3">
      <c r="A197" s="49" t="s">
        <v>314</v>
      </c>
      <c r="B197" s="4" t="s">
        <v>253</v>
      </c>
      <c r="C197" s="5" t="s">
        <v>254</v>
      </c>
      <c r="D197" s="6"/>
      <c r="E197" s="6" t="s">
        <v>315</v>
      </c>
      <c r="F197" s="6" t="s">
        <v>15</v>
      </c>
      <c r="G197" s="7">
        <v>1</v>
      </c>
      <c r="H197" s="7"/>
      <c r="I197" s="50">
        <v>0</v>
      </c>
    </row>
    <row r="198" spans="1:9" ht="108" hidden="1" customHeight="1" x14ac:dyDescent="0.3">
      <c r="A198" s="49" t="s">
        <v>316</v>
      </c>
      <c r="B198" s="4"/>
      <c r="C198" s="12" t="s">
        <v>229</v>
      </c>
      <c r="D198" s="6"/>
      <c r="E198" s="6" t="s">
        <v>264</v>
      </c>
      <c r="F198" s="9" t="s">
        <v>16</v>
      </c>
      <c r="G198" s="10">
        <v>0.3</v>
      </c>
      <c r="H198" s="10"/>
      <c r="I198" s="54">
        <v>0</v>
      </c>
    </row>
    <row r="199" spans="1:9" ht="36" hidden="1" customHeight="1" x14ac:dyDescent="0.3">
      <c r="A199" s="49" t="s">
        <v>317</v>
      </c>
      <c r="B199" s="4"/>
      <c r="C199" s="12" t="s">
        <v>23</v>
      </c>
      <c r="D199" s="6"/>
      <c r="E199" s="6"/>
      <c r="F199" s="9" t="s">
        <v>16</v>
      </c>
      <c r="G199" s="10">
        <v>0.15</v>
      </c>
      <c r="H199" s="10"/>
      <c r="I199" s="54">
        <v>0</v>
      </c>
    </row>
    <row r="200" spans="1:9" ht="36" hidden="1" customHeight="1" x14ac:dyDescent="0.3">
      <c r="A200" s="49" t="s">
        <v>318</v>
      </c>
      <c r="B200" s="4" t="s">
        <v>253</v>
      </c>
      <c r="C200" s="5" t="s">
        <v>254</v>
      </c>
      <c r="D200" s="6"/>
      <c r="E200" s="6" t="s">
        <v>319</v>
      </c>
      <c r="F200" s="6" t="s">
        <v>15</v>
      </c>
      <c r="G200" s="7">
        <v>1</v>
      </c>
      <c r="H200" s="7"/>
      <c r="I200" s="50">
        <v>0</v>
      </c>
    </row>
    <row r="201" spans="1:9" ht="36" hidden="1" customHeight="1" x14ac:dyDescent="0.3">
      <c r="A201" s="49" t="s">
        <v>320</v>
      </c>
      <c r="B201" s="4"/>
      <c r="C201" s="12" t="s">
        <v>23</v>
      </c>
      <c r="D201" s="6"/>
      <c r="E201" s="6"/>
      <c r="F201" s="9" t="s">
        <v>16</v>
      </c>
      <c r="G201" s="10">
        <v>0.15</v>
      </c>
      <c r="H201" s="10"/>
      <c r="I201" s="54">
        <v>0</v>
      </c>
    </row>
    <row r="202" spans="1:9" ht="108" hidden="1" customHeight="1" x14ac:dyDescent="0.3">
      <c r="A202" s="49" t="s">
        <v>321</v>
      </c>
      <c r="B202" s="4"/>
      <c r="C202" s="12" t="s">
        <v>229</v>
      </c>
      <c r="D202" s="6"/>
      <c r="E202" s="6" t="s">
        <v>268</v>
      </c>
      <c r="F202" s="9" t="s">
        <v>16</v>
      </c>
      <c r="G202" s="10">
        <v>0.3</v>
      </c>
      <c r="H202" s="10"/>
      <c r="I202" s="54">
        <v>0</v>
      </c>
    </row>
    <row r="203" spans="1:9" ht="36" hidden="1" customHeight="1" x14ac:dyDescent="0.3">
      <c r="A203" s="49" t="s">
        <v>322</v>
      </c>
      <c r="B203" s="4" t="s">
        <v>253</v>
      </c>
      <c r="C203" s="5" t="s">
        <v>254</v>
      </c>
      <c r="D203" s="6"/>
      <c r="E203" s="6" t="s">
        <v>323</v>
      </c>
      <c r="F203" s="6" t="s">
        <v>15</v>
      </c>
      <c r="G203" s="7">
        <v>1</v>
      </c>
      <c r="H203" s="7"/>
      <c r="I203" s="50">
        <v>0</v>
      </c>
    </row>
    <row r="204" spans="1:9" ht="108" hidden="1" customHeight="1" x14ac:dyDescent="0.3">
      <c r="A204" s="49" t="s">
        <v>324</v>
      </c>
      <c r="B204" s="4"/>
      <c r="C204" s="12" t="s">
        <v>229</v>
      </c>
      <c r="D204" s="6"/>
      <c r="E204" s="6" t="s">
        <v>274</v>
      </c>
      <c r="F204" s="9" t="s">
        <v>16</v>
      </c>
      <c r="G204" s="10">
        <v>0.3</v>
      </c>
      <c r="H204" s="10"/>
      <c r="I204" s="54">
        <v>0</v>
      </c>
    </row>
    <row r="205" spans="1:9" ht="36" hidden="1" customHeight="1" x14ac:dyDescent="0.3">
      <c r="A205" s="49" t="s">
        <v>325</v>
      </c>
      <c r="B205" s="4"/>
      <c r="C205" s="12" t="s">
        <v>23</v>
      </c>
      <c r="D205" s="6"/>
      <c r="E205" s="6"/>
      <c r="F205" s="9" t="s">
        <v>16</v>
      </c>
      <c r="G205" s="10">
        <v>0.15</v>
      </c>
      <c r="H205" s="10"/>
      <c r="I205" s="54">
        <v>0</v>
      </c>
    </row>
    <row r="206" spans="1:9" ht="36" hidden="1" customHeight="1" x14ac:dyDescent="0.3">
      <c r="A206" s="49" t="s">
        <v>326</v>
      </c>
      <c r="B206" s="4" t="s">
        <v>253</v>
      </c>
      <c r="C206" s="5" t="s">
        <v>254</v>
      </c>
      <c r="D206" s="6"/>
      <c r="E206" s="6" t="s">
        <v>327</v>
      </c>
      <c r="F206" s="6" t="s">
        <v>15</v>
      </c>
      <c r="G206" s="7">
        <v>1</v>
      </c>
      <c r="H206" s="7"/>
      <c r="I206" s="50">
        <v>0</v>
      </c>
    </row>
    <row r="207" spans="1:9" ht="36" hidden="1" customHeight="1" x14ac:dyDescent="0.3">
      <c r="A207" s="49" t="s">
        <v>328</v>
      </c>
      <c r="B207" s="4"/>
      <c r="C207" s="12" t="s">
        <v>23</v>
      </c>
      <c r="D207" s="6"/>
      <c r="E207" s="6"/>
      <c r="F207" s="9" t="s">
        <v>16</v>
      </c>
      <c r="G207" s="10">
        <v>0.15</v>
      </c>
      <c r="H207" s="10"/>
      <c r="I207" s="54">
        <v>0</v>
      </c>
    </row>
    <row r="208" spans="1:9" ht="108" hidden="1" customHeight="1" x14ac:dyDescent="0.3">
      <c r="A208" s="49" t="s">
        <v>329</v>
      </c>
      <c r="B208" s="4"/>
      <c r="C208" s="12" t="s">
        <v>229</v>
      </c>
      <c r="D208" s="6"/>
      <c r="E208" s="6" t="s">
        <v>278</v>
      </c>
      <c r="F208" s="9" t="s">
        <v>16</v>
      </c>
      <c r="G208" s="10">
        <v>0.3</v>
      </c>
      <c r="H208" s="10"/>
      <c r="I208" s="54">
        <v>0</v>
      </c>
    </row>
    <row r="209" spans="1:9" ht="36" hidden="1" customHeight="1" x14ac:dyDescent="0.3">
      <c r="A209" s="49" t="s">
        <v>330</v>
      </c>
      <c r="B209" s="4" t="s">
        <v>253</v>
      </c>
      <c r="C209" s="5" t="s">
        <v>254</v>
      </c>
      <c r="D209" s="6"/>
      <c r="E209" s="6" t="s">
        <v>331</v>
      </c>
      <c r="F209" s="6" t="s">
        <v>15</v>
      </c>
      <c r="G209" s="7">
        <v>1</v>
      </c>
      <c r="H209" s="7"/>
      <c r="I209" s="50">
        <v>0</v>
      </c>
    </row>
    <row r="210" spans="1:9" ht="108" hidden="1" customHeight="1" x14ac:dyDescent="0.3">
      <c r="A210" s="49" t="s">
        <v>332</v>
      </c>
      <c r="B210" s="4"/>
      <c r="C210" s="12" t="s">
        <v>229</v>
      </c>
      <c r="D210" s="6"/>
      <c r="E210" s="6" t="s">
        <v>284</v>
      </c>
      <c r="F210" s="9" t="s">
        <v>16</v>
      </c>
      <c r="G210" s="10">
        <v>0.3</v>
      </c>
      <c r="H210" s="10"/>
      <c r="I210" s="54">
        <v>0</v>
      </c>
    </row>
    <row r="211" spans="1:9" ht="36" hidden="1" customHeight="1" x14ac:dyDescent="0.3">
      <c r="A211" s="49" t="s">
        <v>333</v>
      </c>
      <c r="B211" s="4"/>
      <c r="C211" s="12" t="s">
        <v>23</v>
      </c>
      <c r="D211" s="6"/>
      <c r="E211" s="6"/>
      <c r="F211" s="9" t="s">
        <v>16</v>
      </c>
      <c r="G211" s="10">
        <v>0.15</v>
      </c>
      <c r="H211" s="10"/>
      <c r="I211" s="54">
        <v>0</v>
      </c>
    </row>
    <row r="212" spans="1:9" ht="36" hidden="1" customHeight="1" x14ac:dyDescent="0.3">
      <c r="A212" s="49" t="s">
        <v>334</v>
      </c>
      <c r="B212" s="4" t="s">
        <v>253</v>
      </c>
      <c r="C212" s="5" t="s">
        <v>254</v>
      </c>
      <c r="D212" s="6"/>
      <c r="E212" s="6" t="s">
        <v>335</v>
      </c>
      <c r="F212" s="6" t="s">
        <v>15</v>
      </c>
      <c r="G212" s="7">
        <v>1</v>
      </c>
      <c r="H212" s="7"/>
      <c r="I212" s="50">
        <v>0</v>
      </c>
    </row>
    <row r="213" spans="1:9" ht="36" hidden="1" customHeight="1" x14ac:dyDescent="0.3">
      <c r="A213" s="49" t="s">
        <v>336</v>
      </c>
      <c r="B213" s="4"/>
      <c r="C213" s="12" t="s">
        <v>23</v>
      </c>
      <c r="D213" s="6"/>
      <c r="E213" s="6"/>
      <c r="F213" s="9" t="s">
        <v>16</v>
      </c>
      <c r="G213" s="10">
        <v>0.15</v>
      </c>
      <c r="H213" s="10"/>
      <c r="I213" s="54">
        <v>0</v>
      </c>
    </row>
    <row r="214" spans="1:9" ht="108" hidden="1" customHeight="1" x14ac:dyDescent="0.3">
      <c r="A214" s="49" t="s">
        <v>337</v>
      </c>
      <c r="B214" s="4"/>
      <c r="C214" s="12" t="s">
        <v>229</v>
      </c>
      <c r="D214" s="6"/>
      <c r="E214" s="6" t="s">
        <v>308</v>
      </c>
      <c r="F214" s="9" t="s">
        <v>16</v>
      </c>
      <c r="G214" s="10">
        <v>0.3</v>
      </c>
      <c r="H214" s="10"/>
      <c r="I214" s="54">
        <v>0</v>
      </c>
    </row>
    <row r="215" spans="1:9" ht="36" hidden="1" customHeight="1" x14ac:dyDescent="0.3">
      <c r="A215" s="49" t="s">
        <v>338</v>
      </c>
      <c r="B215" s="4" t="s">
        <v>253</v>
      </c>
      <c r="C215" s="5" t="s">
        <v>254</v>
      </c>
      <c r="D215" s="6"/>
      <c r="E215" s="6" t="s">
        <v>339</v>
      </c>
      <c r="F215" s="6" t="s">
        <v>15</v>
      </c>
      <c r="G215" s="7">
        <v>1</v>
      </c>
      <c r="H215" s="7"/>
      <c r="I215" s="50">
        <v>0</v>
      </c>
    </row>
    <row r="216" spans="1:9" ht="108" hidden="1" customHeight="1" x14ac:dyDescent="0.3">
      <c r="A216" s="49" t="s">
        <v>340</v>
      </c>
      <c r="B216" s="4"/>
      <c r="C216" s="12" t="s">
        <v>229</v>
      </c>
      <c r="D216" s="6"/>
      <c r="E216" s="6" t="s">
        <v>294</v>
      </c>
      <c r="F216" s="9" t="s">
        <v>16</v>
      </c>
      <c r="G216" s="10">
        <v>0.3</v>
      </c>
      <c r="H216" s="10"/>
      <c r="I216" s="54">
        <v>0</v>
      </c>
    </row>
    <row r="217" spans="1:9" ht="36" hidden="1" customHeight="1" x14ac:dyDescent="0.3">
      <c r="A217" s="49" t="s">
        <v>341</v>
      </c>
      <c r="B217" s="4"/>
      <c r="C217" s="12" t="s">
        <v>23</v>
      </c>
      <c r="D217" s="6"/>
      <c r="E217" s="6"/>
      <c r="F217" s="9" t="s">
        <v>16</v>
      </c>
      <c r="G217" s="10">
        <v>0.15</v>
      </c>
      <c r="H217" s="10"/>
      <c r="I217" s="54">
        <v>0</v>
      </c>
    </row>
    <row r="218" spans="1:9" ht="36" hidden="1" customHeight="1" x14ac:dyDescent="0.3">
      <c r="A218" s="49" t="s">
        <v>342</v>
      </c>
      <c r="B218" s="4" t="s">
        <v>253</v>
      </c>
      <c r="C218" s="5" t="s">
        <v>254</v>
      </c>
      <c r="D218" s="6"/>
      <c r="E218" s="6" t="s">
        <v>343</v>
      </c>
      <c r="F218" s="6" t="s">
        <v>15</v>
      </c>
      <c r="G218" s="7">
        <v>1</v>
      </c>
      <c r="H218" s="7"/>
      <c r="I218" s="50">
        <v>0</v>
      </c>
    </row>
    <row r="219" spans="1:9" ht="36" hidden="1" customHeight="1" x14ac:dyDescent="0.3">
      <c r="A219" s="49" t="s">
        <v>344</v>
      </c>
      <c r="B219" s="4"/>
      <c r="C219" s="12" t="s">
        <v>23</v>
      </c>
      <c r="D219" s="6"/>
      <c r="E219" s="6"/>
      <c r="F219" s="9" t="s">
        <v>16</v>
      </c>
      <c r="G219" s="10">
        <v>0.15</v>
      </c>
      <c r="H219" s="10"/>
      <c r="I219" s="54">
        <v>0</v>
      </c>
    </row>
    <row r="220" spans="1:9" ht="126" hidden="1" customHeight="1" x14ac:dyDescent="0.3">
      <c r="A220" s="49" t="s">
        <v>345</v>
      </c>
      <c r="B220" s="4"/>
      <c r="C220" s="12" t="s">
        <v>235</v>
      </c>
      <c r="D220" s="6"/>
      <c r="E220" s="6" t="s">
        <v>298</v>
      </c>
      <c r="F220" s="9" t="s">
        <v>16</v>
      </c>
      <c r="G220" s="10">
        <v>0.3</v>
      </c>
      <c r="H220" s="10"/>
      <c r="I220" s="54">
        <v>0</v>
      </c>
    </row>
    <row r="221" spans="1:9" ht="36" hidden="1" customHeight="1" x14ac:dyDescent="0.3">
      <c r="A221" s="49" t="s">
        <v>346</v>
      </c>
      <c r="B221" s="4" t="s">
        <v>253</v>
      </c>
      <c r="C221" s="5" t="s">
        <v>254</v>
      </c>
      <c r="D221" s="6"/>
      <c r="E221" s="6" t="s">
        <v>347</v>
      </c>
      <c r="F221" s="6" t="s">
        <v>15</v>
      </c>
      <c r="G221" s="7">
        <v>1</v>
      </c>
      <c r="H221" s="7"/>
      <c r="I221" s="50">
        <v>0</v>
      </c>
    </row>
    <row r="222" spans="1:9" ht="54" hidden="1" customHeight="1" x14ac:dyDescent="0.3">
      <c r="A222" s="49" t="s">
        <v>348</v>
      </c>
      <c r="B222" s="4"/>
      <c r="C222" s="12" t="s">
        <v>349</v>
      </c>
      <c r="D222" s="6"/>
      <c r="E222" s="6" t="s">
        <v>350</v>
      </c>
      <c r="F222" s="9" t="s">
        <v>16</v>
      </c>
      <c r="G222" s="10">
        <v>0.3</v>
      </c>
      <c r="H222" s="10"/>
      <c r="I222" s="54">
        <v>0</v>
      </c>
    </row>
    <row r="223" spans="1:9" ht="36" hidden="1" customHeight="1" x14ac:dyDescent="0.3">
      <c r="A223" s="49" t="s">
        <v>351</v>
      </c>
      <c r="B223" s="4"/>
      <c r="C223" s="12" t="s">
        <v>23</v>
      </c>
      <c r="D223" s="6"/>
      <c r="E223" s="6"/>
      <c r="F223" s="9" t="s">
        <v>16</v>
      </c>
      <c r="G223" s="10">
        <v>0.15</v>
      </c>
      <c r="H223" s="10"/>
      <c r="I223" s="54">
        <v>0</v>
      </c>
    </row>
    <row r="224" spans="1:9" ht="36" hidden="1" customHeight="1" x14ac:dyDescent="0.3">
      <c r="A224" s="49" t="s">
        <v>352</v>
      </c>
      <c r="B224" s="4" t="s">
        <v>253</v>
      </c>
      <c r="C224" s="5" t="s">
        <v>254</v>
      </c>
      <c r="D224" s="6"/>
      <c r="E224" s="6" t="s">
        <v>353</v>
      </c>
      <c r="F224" s="6" t="s">
        <v>15</v>
      </c>
      <c r="G224" s="7">
        <v>1</v>
      </c>
      <c r="H224" s="7"/>
      <c r="I224" s="50">
        <v>0</v>
      </c>
    </row>
    <row r="225" spans="1:11" ht="36" hidden="1" customHeight="1" x14ac:dyDescent="0.3">
      <c r="A225" s="49" t="s">
        <v>354</v>
      </c>
      <c r="B225" s="4"/>
      <c r="C225" s="12" t="s">
        <v>23</v>
      </c>
      <c r="D225" s="6"/>
      <c r="E225" s="6"/>
      <c r="F225" s="9" t="s">
        <v>16</v>
      </c>
      <c r="G225" s="10">
        <v>0.15</v>
      </c>
      <c r="H225" s="10"/>
      <c r="I225" s="54">
        <v>0</v>
      </c>
    </row>
    <row r="226" spans="1:11" ht="90" hidden="1" customHeight="1" x14ac:dyDescent="0.3">
      <c r="A226" s="49" t="s">
        <v>355</v>
      </c>
      <c r="B226" s="4"/>
      <c r="C226" s="12" t="s">
        <v>229</v>
      </c>
      <c r="D226" s="6"/>
      <c r="E226" s="6" t="s">
        <v>356</v>
      </c>
      <c r="F226" s="9" t="s">
        <v>16</v>
      </c>
      <c r="G226" s="10">
        <v>0.3</v>
      </c>
      <c r="H226" s="10"/>
      <c r="I226" s="54">
        <v>0</v>
      </c>
    </row>
    <row r="227" spans="1:11" ht="36" x14ac:dyDescent="0.3">
      <c r="A227" s="49" t="s">
        <v>357</v>
      </c>
      <c r="B227" s="4" t="s">
        <v>253</v>
      </c>
      <c r="C227" s="5" t="s">
        <v>254</v>
      </c>
      <c r="D227" s="6"/>
      <c r="E227" s="6" t="s">
        <v>358</v>
      </c>
      <c r="F227" s="6" t="s">
        <v>15</v>
      </c>
      <c r="G227" s="7">
        <v>1</v>
      </c>
      <c r="H227" s="7"/>
      <c r="I227" s="50">
        <v>9197</v>
      </c>
      <c r="J227" s="100"/>
      <c r="K227" s="100"/>
    </row>
    <row r="228" spans="1:11" ht="126" hidden="1" customHeight="1" x14ac:dyDescent="0.3">
      <c r="A228" s="49" t="s">
        <v>359</v>
      </c>
      <c r="B228" s="4"/>
      <c r="C228" s="12" t="s">
        <v>257</v>
      </c>
      <c r="D228" s="6"/>
      <c r="E228" s="6" t="s">
        <v>360</v>
      </c>
      <c r="F228" s="9" t="s">
        <v>16</v>
      </c>
      <c r="G228" s="10">
        <v>0.3</v>
      </c>
      <c r="H228" s="10"/>
      <c r="I228" s="54">
        <v>2759.1</v>
      </c>
    </row>
    <row r="229" spans="1:11" ht="36" hidden="1" customHeight="1" x14ac:dyDescent="0.3">
      <c r="A229" s="49" t="s">
        <v>361</v>
      </c>
      <c r="B229" s="4"/>
      <c r="C229" s="12" t="s">
        <v>23</v>
      </c>
      <c r="D229" s="6"/>
      <c r="E229" s="6"/>
      <c r="F229" s="9" t="s">
        <v>16</v>
      </c>
      <c r="G229" s="10">
        <v>0.15</v>
      </c>
      <c r="H229" s="10"/>
      <c r="I229" s="54">
        <v>1379.55</v>
      </c>
    </row>
    <row r="230" spans="1:11" ht="36" x14ac:dyDescent="0.3">
      <c r="A230" s="49" t="s">
        <v>362</v>
      </c>
      <c r="B230" s="4" t="s">
        <v>253</v>
      </c>
      <c r="C230" s="5" t="s">
        <v>254</v>
      </c>
      <c r="D230" s="6"/>
      <c r="E230" s="6" t="s">
        <v>363</v>
      </c>
      <c r="F230" s="6" t="s">
        <v>15</v>
      </c>
      <c r="G230" s="7">
        <v>1</v>
      </c>
      <c r="H230" s="7"/>
      <c r="I230" s="50">
        <v>14</v>
      </c>
      <c r="J230" s="100"/>
      <c r="K230" s="100"/>
    </row>
    <row r="231" spans="1:11" ht="36" hidden="1" customHeight="1" x14ac:dyDescent="0.3">
      <c r="A231" s="49" t="s">
        <v>364</v>
      </c>
      <c r="B231" s="4"/>
      <c r="C231" s="12" t="s">
        <v>23</v>
      </c>
      <c r="D231" s="6"/>
      <c r="E231" s="6"/>
      <c r="F231" s="9" t="s">
        <v>16</v>
      </c>
      <c r="G231" s="10">
        <v>0.15</v>
      </c>
      <c r="H231" s="10"/>
      <c r="I231" s="54">
        <v>2.1</v>
      </c>
    </row>
    <row r="232" spans="1:11" ht="126" hidden="1" customHeight="1" x14ac:dyDescent="0.3">
      <c r="A232" s="49" t="s">
        <v>365</v>
      </c>
      <c r="B232" s="4"/>
      <c r="C232" s="12" t="s">
        <v>229</v>
      </c>
      <c r="D232" s="6"/>
      <c r="E232" s="6" t="s">
        <v>366</v>
      </c>
      <c r="F232" s="9" t="s">
        <v>16</v>
      </c>
      <c r="G232" s="10">
        <v>0.3</v>
      </c>
      <c r="H232" s="10"/>
      <c r="I232" s="54">
        <v>4.2</v>
      </c>
    </row>
    <row r="233" spans="1:11" ht="36" x14ac:dyDescent="0.3">
      <c r="A233" s="49" t="s">
        <v>367</v>
      </c>
      <c r="B233" s="4" t="s">
        <v>253</v>
      </c>
      <c r="C233" s="5" t="s">
        <v>254</v>
      </c>
      <c r="D233" s="6"/>
      <c r="E233" s="6" t="s">
        <v>368</v>
      </c>
      <c r="F233" s="6" t="s">
        <v>15</v>
      </c>
      <c r="G233" s="7">
        <v>1</v>
      </c>
      <c r="H233" s="7"/>
      <c r="I233" s="50">
        <v>49.4</v>
      </c>
      <c r="J233" s="100"/>
      <c r="K233" s="100"/>
    </row>
    <row r="234" spans="1:11" ht="126" hidden="1" customHeight="1" x14ac:dyDescent="0.3">
      <c r="A234" s="49" t="s">
        <v>369</v>
      </c>
      <c r="B234" s="4"/>
      <c r="C234" s="12" t="s">
        <v>229</v>
      </c>
      <c r="D234" s="6"/>
      <c r="E234" s="6" t="s">
        <v>370</v>
      </c>
      <c r="F234" s="9" t="s">
        <v>16</v>
      </c>
      <c r="G234" s="10">
        <v>0.3</v>
      </c>
      <c r="H234" s="10"/>
      <c r="I234" s="54">
        <v>14.82</v>
      </c>
    </row>
    <row r="235" spans="1:11" ht="36" hidden="1" customHeight="1" x14ac:dyDescent="0.3">
      <c r="A235" s="49" t="s">
        <v>371</v>
      </c>
      <c r="B235" s="4"/>
      <c r="C235" s="12" t="s">
        <v>23</v>
      </c>
      <c r="D235" s="6"/>
      <c r="E235" s="6"/>
      <c r="F235" s="9" t="s">
        <v>16</v>
      </c>
      <c r="G235" s="10">
        <v>0.15</v>
      </c>
      <c r="H235" s="10"/>
      <c r="I235" s="54">
        <v>7.41</v>
      </c>
    </row>
    <row r="236" spans="1:11" ht="36" x14ac:dyDescent="0.3">
      <c r="A236" s="49" t="s">
        <v>372</v>
      </c>
      <c r="B236" s="4" t="s">
        <v>253</v>
      </c>
      <c r="C236" s="5" t="s">
        <v>254</v>
      </c>
      <c r="D236" s="6"/>
      <c r="E236" s="6" t="s">
        <v>373</v>
      </c>
      <c r="F236" s="6" t="s">
        <v>15</v>
      </c>
      <c r="G236" s="7">
        <v>1</v>
      </c>
      <c r="H236" s="7"/>
      <c r="I236" s="50">
        <v>32.799999999999997</v>
      </c>
      <c r="J236" s="100"/>
      <c r="K236" s="100"/>
    </row>
    <row r="237" spans="1:11" ht="36" hidden="1" customHeight="1" x14ac:dyDescent="0.3">
      <c r="A237" s="49" t="s">
        <v>374</v>
      </c>
      <c r="B237" s="4"/>
      <c r="C237" s="12" t="s">
        <v>23</v>
      </c>
      <c r="D237" s="6"/>
      <c r="E237" s="6"/>
      <c r="F237" s="9" t="s">
        <v>16</v>
      </c>
      <c r="G237" s="10">
        <v>0.15</v>
      </c>
      <c r="H237" s="10"/>
      <c r="I237" s="54">
        <v>4.92</v>
      </c>
    </row>
    <row r="238" spans="1:11" ht="126" hidden="1" customHeight="1" x14ac:dyDescent="0.3">
      <c r="A238" s="49" t="s">
        <v>375</v>
      </c>
      <c r="B238" s="4"/>
      <c r="C238" s="12" t="s">
        <v>229</v>
      </c>
      <c r="D238" s="6"/>
      <c r="E238" s="6" t="s">
        <v>376</v>
      </c>
      <c r="F238" s="9" t="s">
        <v>16</v>
      </c>
      <c r="G238" s="10">
        <v>0.3</v>
      </c>
      <c r="H238" s="10"/>
      <c r="I238" s="54">
        <v>9.84</v>
      </c>
    </row>
    <row r="239" spans="1:11" ht="36" x14ac:dyDescent="0.3">
      <c r="A239" s="49" t="s">
        <v>377</v>
      </c>
      <c r="B239" s="4" t="s">
        <v>253</v>
      </c>
      <c r="C239" s="5" t="s">
        <v>254</v>
      </c>
      <c r="D239" s="6"/>
      <c r="E239" s="6" t="s">
        <v>378</v>
      </c>
      <c r="F239" s="6" t="s">
        <v>15</v>
      </c>
      <c r="G239" s="7">
        <v>1</v>
      </c>
      <c r="H239" s="7"/>
      <c r="I239" s="50">
        <v>7.9</v>
      </c>
      <c r="J239" s="100"/>
      <c r="K239" s="100"/>
    </row>
    <row r="240" spans="1:11" ht="126" hidden="1" customHeight="1" x14ac:dyDescent="0.3">
      <c r="A240" s="49" t="s">
        <v>379</v>
      </c>
      <c r="B240" s="4"/>
      <c r="C240" s="12" t="s">
        <v>229</v>
      </c>
      <c r="D240" s="6"/>
      <c r="E240" s="6" t="s">
        <v>380</v>
      </c>
      <c r="F240" s="9" t="s">
        <v>16</v>
      </c>
      <c r="G240" s="10">
        <v>0.3</v>
      </c>
      <c r="H240" s="10"/>
      <c r="I240" s="54">
        <v>2.37</v>
      </c>
    </row>
    <row r="241" spans="1:11" ht="36" hidden="1" customHeight="1" x14ac:dyDescent="0.3">
      <c r="A241" s="49" t="s">
        <v>381</v>
      </c>
      <c r="B241" s="4"/>
      <c r="C241" s="12" t="s">
        <v>23</v>
      </c>
      <c r="D241" s="6"/>
      <c r="E241" s="6"/>
      <c r="F241" s="9" t="s">
        <v>16</v>
      </c>
      <c r="G241" s="10">
        <v>0.15</v>
      </c>
      <c r="H241" s="10"/>
      <c r="I241" s="54">
        <v>1.1850000000000001</v>
      </c>
    </row>
    <row r="242" spans="1:11" ht="36" x14ac:dyDescent="0.3">
      <c r="A242" s="49" t="s">
        <v>382</v>
      </c>
      <c r="B242" s="4" t="s">
        <v>253</v>
      </c>
      <c r="C242" s="5" t="s">
        <v>254</v>
      </c>
      <c r="D242" s="6"/>
      <c r="E242" s="6" t="s">
        <v>383</v>
      </c>
      <c r="F242" s="6" t="s">
        <v>15</v>
      </c>
      <c r="G242" s="7">
        <v>1</v>
      </c>
      <c r="H242" s="7"/>
      <c r="I242" s="50">
        <v>18.100000000000001</v>
      </c>
      <c r="J242" s="100"/>
      <c r="K242" s="100"/>
    </row>
    <row r="243" spans="1:11" ht="36" hidden="1" customHeight="1" x14ac:dyDescent="0.3">
      <c r="A243" s="49" t="s">
        <v>384</v>
      </c>
      <c r="B243" s="4"/>
      <c r="C243" s="12" t="s">
        <v>23</v>
      </c>
      <c r="D243" s="6"/>
      <c r="E243" s="6"/>
      <c r="F243" s="9" t="s">
        <v>16</v>
      </c>
      <c r="G243" s="10">
        <v>0.15</v>
      </c>
      <c r="H243" s="10"/>
      <c r="I243" s="54">
        <v>2.7149999999999999</v>
      </c>
    </row>
    <row r="244" spans="1:11" ht="126" hidden="1" customHeight="1" x14ac:dyDescent="0.3">
      <c r="A244" s="49" t="s">
        <v>385</v>
      </c>
      <c r="B244" s="4"/>
      <c r="C244" s="12" t="s">
        <v>229</v>
      </c>
      <c r="D244" s="6"/>
      <c r="E244" s="6" t="s">
        <v>386</v>
      </c>
      <c r="F244" s="9" t="s">
        <v>16</v>
      </c>
      <c r="G244" s="10">
        <v>0.3</v>
      </c>
      <c r="H244" s="10"/>
      <c r="I244" s="54">
        <v>5.43</v>
      </c>
    </row>
    <row r="245" spans="1:11" ht="36" x14ac:dyDescent="0.3">
      <c r="A245" s="49" t="s">
        <v>387</v>
      </c>
      <c r="B245" s="4" t="s">
        <v>253</v>
      </c>
      <c r="C245" s="5" t="s">
        <v>254</v>
      </c>
      <c r="D245" s="6"/>
      <c r="E245" s="6" t="s">
        <v>388</v>
      </c>
      <c r="F245" s="6" t="s">
        <v>15</v>
      </c>
      <c r="G245" s="7">
        <v>1</v>
      </c>
      <c r="H245" s="7"/>
      <c r="I245" s="50">
        <v>32.799999999999997</v>
      </c>
      <c r="J245" s="100"/>
      <c r="K245" s="100"/>
    </row>
    <row r="246" spans="1:11" ht="126" hidden="1" customHeight="1" x14ac:dyDescent="0.3">
      <c r="A246" s="49" t="s">
        <v>389</v>
      </c>
      <c r="B246" s="4"/>
      <c r="C246" s="12" t="s">
        <v>229</v>
      </c>
      <c r="D246" s="6"/>
      <c r="E246" s="6" t="s">
        <v>390</v>
      </c>
      <c r="F246" s="9" t="s">
        <v>16</v>
      </c>
      <c r="G246" s="10">
        <v>0.3</v>
      </c>
      <c r="H246" s="10"/>
      <c r="I246" s="54">
        <v>9.84</v>
      </c>
    </row>
    <row r="247" spans="1:11" ht="36" hidden="1" customHeight="1" x14ac:dyDescent="0.3">
      <c r="A247" s="49" t="s">
        <v>391</v>
      </c>
      <c r="B247" s="4"/>
      <c r="C247" s="12" t="s">
        <v>23</v>
      </c>
      <c r="D247" s="6"/>
      <c r="E247" s="6"/>
      <c r="F247" s="9" t="s">
        <v>16</v>
      </c>
      <c r="G247" s="10">
        <v>0.15</v>
      </c>
      <c r="H247" s="10"/>
      <c r="I247" s="54">
        <v>4.92</v>
      </c>
    </row>
    <row r="248" spans="1:11" ht="36" x14ac:dyDescent="0.3">
      <c r="A248" s="49" t="s">
        <v>392</v>
      </c>
      <c r="B248" s="4" t="s">
        <v>253</v>
      </c>
      <c r="C248" s="5" t="s">
        <v>254</v>
      </c>
      <c r="D248" s="6"/>
      <c r="E248" s="6" t="s">
        <v>393</v>
      </c>
      <c r="F248" s="6" t="s">
        <v>15</v>
      </c>
      <c r="G248" s="7">
        <v>1</v>
      </c>
      <c r="H248" s="7"/>
      <c r="I248" s="50">
        <v>5.6</v>
      </c>
      <c r="J248" s="100"/>
      <c r="K248" s="100"/>
    </row>
    <row r="249" spans="1:11" ht="36" hidden="1" customHeight="1" x14ac:dyDescent="0.3">
      <c r="A249" s="49" t="s">
        <v>394</v>
      </c>
      <c r="B249" s="4"/>
      <c r="C249" s="12" t="s">
        <v>23</v>
      </c>
      <c r="D249" s="6"/>
      <c r="E249" s="6"/>
      <c r="F249" s="9" t="s">
        <v>16</v>
      </c>
      <c r="G249" s="10">
        <v>0.15</v>
      </c>
      <c r="H249" s="10"/>
      <c r="I249" s="54">
        <v>0.84</v>
      </c>
    </row>
    <row r="250" spans="1:11" ht="126" hidden="1" customHeight="1" x14ac:dyDescent="0.3">
      <c r="A250" s="49" t="s">
        <v>395</v>
      </c>
      <c r="B250" s="4"/>
      <c r="C250" s="12" t="s">
        <v>229</v>
      </c>
      <c r="D250" s="6"/>
      <c r="E250" s="6" t="s">
        <v>396</v>
      </c>
      <c r="F250" s="9" t="s">
        <v>16</v>
      </c>
      <c r="G250" s="10">
        <v>0.3</v>
      </c>
      <c r="H250" s="10"/>
      <c r="I250" s="54">
        <v>1.68</v>
      </c>
    </row>
    <row r="251" spans="1:11" ht="36" x14ac:dyDescent="0.3">
      <c r="A251" s="49" t="s">
        <v>397</v>
      </c>
      <c r="B251" s="4" t="s">
        <v>253</v>
      </c>
      <c r="C251" s="5" t="s">
        <v>254</v>
      </c>
      <c r="D251" s="6"/>
      <c r="E251" s="6" t="s">
        <v>398</v>
      </c>
      <c r="F251" s="6" t="s">
        <v>15</v>
      </c>
      <c r="G251" s="7">
        <v>1</v>
      </c>
      <c r="H251" s="7"/>
      <c r="I251" s="50">
        <v>744.7</v>
      </c>
      <c r="J251" s="100"/>
      <c r="K251" s="100"/>
    </row>
    <row r="252" spans="1:11" ht="126" hidden="1" customHeight="1" x14ac:dyDescent="0.3">
      <c r="A252" s="49" t="s">
        <v>399</v>
      </c>
      <c r="B252" s="4"/>
      <c r="C252" s="12" t="s">
        <v>229</v>
      </c>
      <c r="D252" s="6"/>
      <c r="E252" s="6" t="s">
        <v>400</v>
      </c>
      <c r="F252" s="9" t="s">
        <v>16</v>
      </c>
      <c r="G252" s="10">
        <v>0.3</v>
      </c>
      <c r="H252" s="10"/>
      <c r="I252" s="54">
        <v>223.41</v>
      </c>
    </row>
    <row r="253" spans="1:11" ht="36" hidden="1" customHeight="1" x14ac:dyDescent="0.3">
      <c r="A253" s="49" t="s">
        <v>401</v>
      </c>
      <c r="B253" s="4"/>
      <c r="C253" s="12" t="s">
        <v>23</v>
      </c>
      <c r="D253" s="6"/>
      <c r="E253" s="6"/>
      <c r="F253" s="9" t="s">
        <v>16</v>
      </c>
      <c r="G253" s="10">
        <v>0.15</v>
      </c>
      <c r="H253" s="10"/>
      <c r="I253" s="54">
        <v>111.705</v>
      </c>
    </row>
    <row r="254" spans="1:11" ht="36" x14ac:dyDescent="0.3">
      <c r="A254" s="49" t="s">
        <v>402</v>
      </c>
      <c r="B254" s="4" t="s">
        <v>253</v>
      </c>
      <c r="C254" s="5" t="s">
        <v>254</v>
      </c>
      <c r="D254" s="6"/>
      <c r="E254" s="6" t="s">
        <v>403</v>
      </c>
      <c r="F254" s="6" t="s">
        <v>15</v>
      </c>
      <c r="G254" s="7">
        <v>1</v>
      </c>
      <c r="H254" s="7"/>
      <c r="I254" s="50">
        <v>3947.8</v>
      </c>
      <c r="J254" s="100"/>
      <c r="K254" s="100"/>
    </row>
    <row r="255" spans="1:11" ht="36" hidden="1" customHeight="1" x14ac:dyDescent="0.3">
      <c r="A255" s="49" t="s">
        <v>404</v>
      </c>
      <c r="B255" s="4"/>
      <c r="C255" s="12" t="s">
        <v>23</v>
      </c>
      <c r="D255" s="6"/>
      <c r="E255" s="6"/>
      <c r="F255" s="9" t="s">
        <v>16</v>
      </c>
      <c r="G255" s="10">
        <v>0.15</v>
      </c>
      <c r="H255" s="10"/>
      <c r="I255" s="54">
        <v>592.16999999999996</v>
      </c>
    </row>
    <row r="256" spans="1:11" ht="108" hidden="1" customHeight="1" x14ac:dyDescent="0.3">
      <c r="A256" s="49" t="s">
        <v>405</v>
      </c>
      <c r="B256" s="4"/>
      <c r="C256" s="12" t="s">
        <v>229</v>
      </c>
      <c r="D256" s="6"/>
      <c r="E256" s="6" t="s">
        <v>406</v>
      </c>
      <c r="F256" s="9" t="s">
        <v>16</v>
      </c>
      <c r="G256" s="10">
        <v>0.3</v>
      </c>
      <c r="H256" s="10"/>
      <c r="I256" s="54">
        <v>1184.3399999999999</v>
      </c>
    </row>
    <row r="257" spans="1:11" ht="36" x14ac:dyDescent="0.3">
      <c r="A257" s="49" t="s">
        <v>407</v>
      </c>
      <c r="B257" s="4" t="s">
        <v>253</v>
      </c>
      <c r="C257" s="5" t="s">
        <v>254</v>
      </c>
      <c r="D257" s="6"/>
      <c r="E257" s="6" t="s">
        <v>408</v>
      </c>
      <c r="F257" s="6" t="s">
        <v>15</v>
      </c>
      <c r="G257" s="7">
        <v>1</v>
      </c>
      <c r="H257" s="7"/>
      <c r="I257" s="50">
        <v>94.4</v>
      </c>
      <c r="J257" s="100"/>
      <c r="K257" s="100"/>
    </row>
    <row r="258" spans="1:11" ht="108" hidden="1" customHeight="1" x14ac:dyDescent="0.3">
      <c r="A258" s="49" t="s">
        <v>409</v>
      </c>
      <c r="B258" s="4"/>
      <c r="C258" s="12" t="s">
        <v>229</v>
      </c>
      <c r="D258" s="6"/>
      <c r="E258" s="6" t="s">
        <v>410</v>
      </c>
      <c r="F258" s="9" t="s">
        <v>16</v>
      </c>
      <c r="G258" s="10">
        <v>0.3</v>
      </c>
      <c r="H258" s="10"/>
      <c r="I258" s="54">
        <v>28.32</v>
      </c>
    </row>
    <row r="259" spans="1:11" ht="36" hidden="1" customHeight="1" x14ac:dyDescent="0.3">
      <c r="A259" s="49" t="s">
        <v>411</v>
      </c>
      <c r="B259" s="4"/>
      <c r="C259" s="12" t="s">
        <v>23</v>
      </c>
      <c r="D259" s="6"/>
      <c r="E259" s="6"/>
      <c r="F259" s="9" t="s">
        <v>16</v>
      </c>
      <c r="G259" s="10">
        <v>0.15</v>
      </c>
      <c r="H259" s="10"/>
      <c r="I259" s="54">
        <v>14.16</v>
      </c>
    </row>
    <row r="260" spans="1:11" ht="36" x14ac:dyDescent="0.3">
      <c r="A260" s="49" t="s">
        <v>412</v>
      </c>
      <c r="B260" s="4" t="s">
        <v>253</v>
      </c>
      <c r="C260" s="5" t="s">
        <v>254</v>
      </c>
      <c r="D260" s="6"/>
      <c r="E260" s="6" t="s">
        <v>413</v>
      </c>
      <c r="F260" s="6" t="s">
        <v>15</v>
      </c>
      <c r="G260" s="7">
        <v>1</v>
      </c>
      <c r="H260" s="7"/>
      <c r="I260" s="50">
        <v>24.9</v>
      </c>
      <c r="J260" s="100"/>
      <c r="K260" s="100"/>
    </row>
    <row r="261" spans="1:11" ht="36" hidden="1" customHeight="1" x14ac:dyDescent="0.3">
      <c r="A261" s="49" t="s">
        <v>414</v>
      </c>
      <c r="B261" s="4"/>
      <c r="C261" s="12" t="s">
        <v>23</v>
      </c>
      <c r="D261" s="6"/>
      <c r="E261" s="6"/>
      <c r="F261" s="9" t="s">
        <v>16</v>
      </c>
      <c r="G261" s="10">
        <v>0.15</v>
      </c>
      <c r="H261" s="10"/>
      <c r="I261" s="54">
        <v>3.7349999999999999</v>
      </c>
    </row>
    <row r="262" spans="1:11" ht="108" hidden="1" customHeight="1" x14ac:dyDescent="0.3">
      <c r="A262" s="49" t="s">
        <v>415</v>
      </c>
      <c r="B262" s="4"/>
      <c r="C262" s="12" t="s">
        <v>257</v>
      </c>
      <c r="D262" s="6"/>
      <c r="E262" s="6" t="s">
        <v>416</v>
      </c>
      <c r="F262" s="9" t="s">
        <v>16</v>
      </c>
      <c r="G262" s="10">
        <v>0.3</v>
      </c>
      <c r="H262" s="10"/>
      <c r="I262" s="54">
        <v>7.47</v>
      </c>
    </row>
    <row r="263" spans="1:11" ht="36" x14ac:dyDescent="0.3">
      <c r="A263" s="49" t="s">
        <v>417</v>
      </c>
      <c r="B263" s="4" t="s">
        <v>253</v>
      </c>
      <c r="C263" s="5" t="s">
        <v>254</v>
      </c>
      <c r="D263" s="6"/>
      <c r="E263" s="6" t="s">
        <v>418</v>
      </c>
      <c r="F263" s="6" t="s">
        <v>15</v>
      </c>
      <c r="G263" s="7">
        <v>1</v>
      </c>
      <c r="H263" s="7"/>
      <c r="I263" s="50">
        <v>649.79999999999995</v>
      </c>
      <c r="J263" s="100"/>
      <c r="K263" s="100" t="e">
        <f>'5.1_плтк'!#REF!</f>
        <v>#REF!</v>
      </c>
    </row>
    <row r="264" spans="1:11" ht="108" hidden="1" customHeight="1" x14ac:dyDescent="0.3">
      <c r="A264" s="49" t="s">
        <v>419</v>
      </c>
      <c r="B264" s="4"/>
      <c r="C264" s="12" t="s">
        <v>229</v>
      </c>
      <c r="D264" s="6"/>
      <c r="E264" s="6" t="s">
        <v>420</v>
      </c>
      <c r="F264" s="9" t="s">
        <v>16</v>
      </c>
      <c r="G264" s="10">
        <v>0.3</v>
      </c>
      <c r="H264" s="10"/>
      <c r="I264" s="54">
        <v>194.94</v>
      </c>
    </row>
    <row r="265" spans="1:11" ht="36" hidden="1" customHeight="1" x14ac:dyDescent="0.3">
      <c r="A265" s="49" t="s">
        <v>421</v>
      </c>
      <c r="B265" s="4"/>
      <c r="C265" s="12" t="s">
        <v>23</v>
      </c>
      <c r="D265" s="6"/>
      <c r="E265" s="6"/>
      <c r="F265" s="9" t="s">
        <v>16</v>
      </c>
      <c r="G265" s="10">
        <v>0.15</v>
      </c>
      <c r="H265" s="10"/>
      <c r="I265" s="54">
        <v>97.47</v>
      </c>
    </row>
    <row r="266" spans="1:11" ht="54" hidden="1" customHeight="1" x14ac:dyDescent="0.3">
      <c r="A266" s="49" t="s">
        <v>422</v>
      </c>
      <c r="B266" s="4" t="s">
        <v>423</v>
      </c>
      <c r="C266" s="5" t="s">
        <v>424</v>
      </c>
      <c r="D266" s="6"/>
      <c r="E266" s="6" t="s">
        <v>425</v>
      </c>
      <c r="F266" s="6" t="s">
        <v>15</v>
      </c>
      <c r="G266" s="7">
        <v>1</v>
      </c>
      <c r="H266" s="7"/>
      <c r="I266" s="50">
        <v>0</v>
      </c>
    </row>
    <row r="267" spans="1:11" ht="36" hidden="1" customHeight="1" x14ac:dyDescent="0.3">
      <c r="A267" s="49" t="s">
        <v>426</v>
      </c>
      <c r="B267" s="4"/>
      <c r="C267" s="12" t="s">
        <v>24</v>
      </c>
      <c r="D267" s="6"/>
      <c r="E267" s="6"/>
      <c r="F267" s="9" t="s">
        <v>16</v>
      </c>
      <c r="G267" s="10">
        <v>0.15</v>
      </c>
      <c r="H267" s="10"/>
      <c r="I267" s="54">
        <v>0</v>
      </c>
    </row>
    <row r="268" spans="1:11" ht="36" hidden="1" customHeight="1" x14ac:dyDescent="0.3">
      <c r="A268" s="49" t="s">
        <v>427</v>
      </c>
      <c r="B268" s="4"/>
      <c r="C268" s="12" t="s">
        <v>22</v>
      </c>
      <c r="D268" s="6"/>
      <c r="E268" s="6"/>
      <c r="F268" s="9" t="s">
        <v>16</v>
      </c>
      <c r="G268" s="10">
        <v>0.25</v>
      </c>
      <c r="H268" s="11"/>
      <c r="I268" s="51">
        <v>0</v>
      </c>
    </row>
    <row r="269" spans="1:11" ht="54" hidden="1" customHeight="1" x14ac:dyDescent="0.3">
      <c r="A269" s="49" t="s">
        <v>428</v>
      </c>
      <c r="B269" s="4"/>
      <c r="C269" s="8" t="s">
        <v>27</v>
      </c>
      <c r="D269" s="6"/>
      <c r="E269" s="6" t="s">
        <v>21</v>
      </c>
      <c r="F269" s="9" t="s">
        <v>16</v>
      </c>
      <c r="G269" s="10">
        <v>1.2</v>
      </c>
      <c r="H269" s="11"/>
      <c r="I269" s="51">
        <v>0</v>
      </c>
    </row>
    <row r="270" spans="1:11" ht="36" hidden="1" customHeight="1" x14ac:dyDescent="0.3">
      <c r="A270" s="49" t="s">
        <v>429</v>
      </c>
      <c r="B270" s="4"/>
      <c r="C270" s="8" t="s">
        <v>430</v>
      </c>
      <c r="D270" s="6"/>
      <c r="E270" s="6" t="s">
        <v>431</v>
      </c>
      <c r="F270" s="9" t="s">
        <v>15</v>
      </c>
      <c r="G270" s="10">
        <v>1.07</v>
      </c>
      <c r="H270" s="11"/>
      <c r="I270" s="51">
        <v>0</v>
      </c>
    </row>
    <row r="271" spans="1:11" ht="54" hidden="1" customHeight="1" x14ac:dyDescent="0.3">
      <c r="A271" s="49" t="s">
        <v>432</v>
      </c>
      <c r="B271" s="4" t="s">
        <v>423</v>
      </c>
      <c r="C271" s="5" t="s">
        <v>424</v>
      </c>
      <c r="D271" s="6"/>
      <c r="E271" s="6" t="s">
        <v>433</v>
      </c>
      <c r="F271" s="6" t="s">
        <v>15</v>
      </c>
      <c r="G271" s="7">
        <v>1</v>
      </c>
      <c r="H271" s="7"/>
      <c r="I271" s="50">
        <v>0</v>
      </c>
    </row>
    <row r="272" spans="1:11" ht="54" hidden="1" customHeight="1" x14ac:dyDescent="0.3">
      <c r="A272" s="49" t="s">
        <v>434</v>
      </c>
      <c r="B272" s="4"/>
      <c r="C272" s="8" t="s">
        <v>435</v>
      </c>
      <c r="D272" s="6"/>
      <c r="E272" s="6" t="s">
        <v>436</v>
      </c>
      <c r="F272" s="9" t="s">
        <v>15</v>
      </c>
      <c r="G272" s="10">
        <v>1.07</v>
      </c>
      <c r="H272" s="11"/>
      <c r="I272" s="51">
        <v>0</v>
      </c>
    </row>
    <row r="273" spans="1:9" ht="54" hidden="1" customHeight="1" x14ac:dyDescent="0.3">
      <c r="A273" s="49" t="s">
        <v>437</v>
      </c>
      <c r="B273" s="4"/>
      <c r="C273" s="8" t="s">
        <v>27</v>
      </c>
      <c r="D273" s="6"/>
      <c r="E273" s="6" t="s">
        <v>21</v>
      </c>
      <c r="F273" s="9" t="s">
        <v>16</v>
      </c>
      <c r="G273" s="10">
        <v>1.2</v>
      </c>
      <c r="H273" s="11"/>
      <c r="I273" s="51">
        <v>0</v>
      </c>
    </row>
    <row r="274" spans="1:9" ht="36" hidden="1" customHeight="1" x14ac:dyDescent="0.3">
      <c r="A274" s="49" t="s">
        <v>438</v>
      </c>
      <c r="B274" s="4"/>
      <c r="C274" s="12" t="s">
        <v>22</v>
      </c>
      <c r="D274" s="6"/>
      <c r="E274" s="6"/>
      <c r="F274" s="9" t="s">
        <v>16</v>
      </c>
      <c r="G274" s="10">
        <v>0.25</v>
      </c>
      <c r="H274" s="11"/>
      <c r="I274" s="51">
        <v>0</v>
      </c>
    </row>
    <row r="275" spans="1:9" ht="36" hidden="1" customHeight="1" x14ac:dyDescent="0.3">
      <c r="A275" s="49" t="s">
        <v>439</v>
      </c>
      <c r="B275" s="4"/>
      <c r="C275" s="12" t="s">
        <v>24</v>
      </c>
      <c r="D275" s="6"/>
      <c r="E275" s="6"/>
      <c r="F275" s="9" t="s">
        <v>16</v>
      </c>
      <c r="G275" s="10">
        <v>0.15</v>
      </c>
      <c r="H275" s="10"/>
      <c r="I275" s="54">
        <v>0</v>
      </c>
    </row>
    <row r="276" spans="1:9" ht="54" hidden="1" customHeight="1" x14ac:dyDescent="0.3">
      <c r="A276" s="49" t="s">
        <v>440</v>
      </c>
      <c r="B276" s="4" t="s">
        <v>423</v>
      </c>
      <c r="C276" s="5" t="s">
        <v>424</v>
      </c>
      <c r="D276" s="6"/>
      <c r="E276" s="6" t="s">
        <v>441</v>
      </c>
      <c r="F276" s="6" t="s">
        <v>15</v>
      </c>
      <c r="G276" s="7">
        <v>1</v>
      </c>
      <c r="H276" s="7"/>
      <c r="I276" s="50">
        <v>0</v>
      </c>
    </row>
    <row r="277" spans="1:9" ht="36" hidden="1" customHeight="1" x14ac:dyDescent="0.3">
      <c r="A277" s="49" t="s">
        <v>442</v>
      </c>
      <c r="B277" s="4"/>
      <c r="C277" s="12" t="s">
        <v>24</v>
      </c>
      <c r="D277" s="6"/>
      <c r="E277" s="6"/>
      <c r="F277" s="9" t="s">
        <v>16</v>
      </c>
      <c r="G277" s="10">
        <v>0.15</v>
      </c>
      <c r="H277" s="10"/>
      <c r="I277" s="54">
        <v>0</v>
      </c>
    </row>
    <row r="278" spans="1:9" ht="36" hidden="1" customHeight="1" x14ac:dyDescent="0.3">
      <c r="A278" s="49" t="s">
        <v>443</v>
      </c>
      <c r="B278" s="4"/>
      <c r="C278" s="12" t="s">
        <v>22</v>
      </c>
      <c r="D278" s="6"/>
      <c r="E278" s="6"/>
      <c r="F278" s="9" t="s">
        <v>16</v>
      </c>
      <c r="G278" s="10">
        <v>0.25</v>
      </c>
      <c r="H278" s="11"/>
      <c r="I278" s="51">
        <v>0</v>
      </c>
    </row>
    <row r="279" spans="1:9" ht="54" hidden="1" customHeight="1" x14ac:dyDescent="0.3">
      <c r="A279" s="49" t="s">
        <v>444</v>
      </c>
      <c r="B279" s="4"/>
      <c r="C279" s="8" t="s">
        <v>27</v>
      </c>
      <c r="D279" s="6"/>
      <c r="E279" s="6" t="s">
        <v>21</v>
      </c>
      <c r="F279" s="9" t="s">
        <v>16</v>
      </c>
      <c r="G279" s="10">
        <v>1.2</v>
      </c>
      <c r="H279" s="11"/>
      <c r="I279" s="51">
        <v>0</v>
      </c>
    </row>
    <row r="280" spans="1:9" ht="36" hidden="1" customHeight="1" x14ac:dyDescent="0.3">
      <c r="A280" s="49" t="s">
        <v>445</v>
      </c>
      <c r="B280" s="4"/>
      <c r="C280" s="8" t="s">
        <v>446</v>
      </c>
      <c r="D280" s="6"/>
      <c r="E280" s="6" t="s">
        <v>447</v>
      </c>
      <c r="F280" s="9" t="s">
        <v>15</v>
      </c>
      <c r="G280" s="10">
        <v>1.07</v>
      </c>
      <c r="H280" s="11"/>
      <c r="I280" s="51">
        <v>0</v>
      </c>
    </row>
    <row r="281" spans="1:9" ht="54" hidden="1" customHeight="1" x14ac:dyDescent="0.3">
      <c r="A281" s="49" t="s">
        <v>448</v>
      </c>
      <c r="B281" s="4" t="s">
        <v>423</v>
      </c>
      <c r="C281" s="5" t="s">
        <v>424</v>
      </c>
      <c r="D281" s="6"/>
      <c r="E281" s="6" t="s">
        <v>449</v>
      </c>
      <c r="F281" s="6" t="s">
        <v>15</v>
      </c>
      <c r="G281" s="7">
        <v>1</v>
      </c>
      <c r="H281" s="7"/>
      <c r="I281" s="50">
        <v>0</v>
      </c>
    </row>
    <row r="282" spans="1:9" ht="36" hidden="1" customHeight="1" x14ac:dyDescent="0.3">
      <c r="A282" s="49" t="s">
        <v>450</v>
      </c>
      <c r="B282" s="4"/>
      <c r="C282" s="8" t="s">
        <v>451</v>
      </c>
      <c r="D282" s="6"/>
      <c r="E282" s="6" t="s">
        <v>452</v>
      </c>
      <c r="F282" s="9" t="s">
        <v>15</v>
      </c>
      <c r="G282" s="10">
        <v>1.07</v>
      </c>
      <c r="H282" s="11"/>
      <c r="I282" s="51">
        <v>0</v>
      </c>
    </row>
    <row r="283" spans="1:9" ht="54" hidden="1" customHeight="1" x14ac:dyDescent="0.3">
      <c r="A283" s="49" t="s">
        <v>453</v>
      </c>
      <c r="B283" s="4"/>
      <c r="C283" s="8" t="s">
        <v>27</v>
      </c>
      <c r="D283" s="6"/>
      <c r="E283" s="6" t="s">
        <v>21</v>
      </c>
      <c r="F283" s="9" t="s">
        <v>16</v>
      </c>
      <c r="G283" s="10">
        <v>1.2</v>
      </c>
      <c r="H283" s="11"/>
      <c r="I283" s="51">
        <v>0</v>
      </c>
    </row>
    <row r="284" spans="1:9" ht="36" hidden="1" customHeight="1" x14ac:dyDescent="0.3">
      <c r="A284" s="49" t="s">
        <v>454</v>
      </c>
      <c r="B284" s="4"/>
      <c r="C284" s="12" t="s">
        <v>22</v>
      </c>
      <c r="D284" s="6"/>
      <c r="E284" s="6"/>
      <c r="F284" s="9" t="s">
        <v>16</v>
      </c>
      <c r="G284" s="10">
        <v>0.25</v>
      </c>
      <c r="H284" s="11"/>
      <c r="I284" s="51">
        <v>0</v>
      </c>
    </row>
    <row r="285" spans="1:9" ht="54" hidden="1" customHeight="1" x14ac:dyDescent="0.3">
      <c r="A285" s="49" t="s">
        <v>455</v>
      </c>
      <c r="B285" s="4" t="s">
        <v>423</v>
      </c>
      <c r="C285" s="5" t="s">
        <v>424</v>
      </c>
      <c r="D285" s="6"/>
      <c r="E285" s="6" t="s">
        <v>456</v>
      </c>
      <c r="F285" s="6" t="s">
        <v>15</v>
      </c>
      <c r="G285" s="7">
        <v>1</v>
      </c>
      <c r="H285" s="7"/>
      <c r="I285" s="50">
        <v>0</v>
      </c>
    </row>
    <row r="286" spans="1:9" ht="36" hidden="1" customHeight="1" x14ac:dyDescent="0.3">
      <c r="A286" s="49" t="s">
        <v>457</v>
      </c>
      <c r="B286" s="4"/>
      <c r="C286" s="12" t="s">
        <v>24</v>
      </c>
      <c r="D286" s="6"/>
      <c r="E286" s="6"/>
      <c r="F286" s="9" t="s">
        <v>16</v>
      </c>
      <c r="G286" s="10">
        <v>0.15</v>
      </c>
      <c r="H286" s="10"/>
      <c r="I286" s="54">
        <v>0</v>
      </c>
    </row>
    <row r="287" spans="1:9" ht="36" hidden="1" customHeight="1" x14ac:dyDescent="0.3">
      <c r="A287" s="49" t="s">
        <v>458</v>
      </c>
      <c r="B287" s="4"/>
      <c r="C287" s="12" t="s">
        <v>22</v>
      </c>
      <c r="D287" s="6"/>
      <c r="E287" s="6"/>
      <c r="F287" s="9" t="s">
        <v>16</v>
      </c>
      <c r="G287" s="10">
        <v>0.25</v>
      </c>
      <c r="H287" s="11"/>
      <c r="I287" s="51">
        <v>0</v>
      </c>
    </row>
    <row r="288" spans="1:9" ht="54" hidden="1" customHeight="1" x14ac:dyDescent="0.3">
      <c r="A288" s="49" t="s">
        <v>459</v>
      </c>
      <c r="B288" s="4"/>
      <c r="C288" s="8" t="s">
        <v>27</v>
      </c>
      <c r="D288" s="6"/>
      <c r="E288" s="6" t="s">
        <v>21</v>
      </c>
      <c r="F288" s="9" t="s">
        <v>16</v>
      </c>
      <c r="G288" s="10">
        <v>1.2</v>
      </c>
      <c r="H288" s="11"/>
      <c r="I288" s="51">
        <v>0</v>
      </c>
    </row>
    <row r="289" spans="1:9" ht="54" hidden="1" customHeight="1" x14ac:dyDescent="0.3">
      <c r="A289" s="49" t="s">
        <v>460</v>
      </c>
      <c r="B289" s="4"/>
      <c r="C289" s="8" t="s">
        <v>446</v>
      </c>
      <c r="D289" s="6"/>
      <c r="E289" s="6" t="s">
        <v>461</v>
      </c>
      <c r="F289" s="9" t="s">
        <v>15</v>
      </c>
      <c r="G289" s="10">
        <v>1.07</v>
      </c>
      <c r="H289" s="11"/>
      <c r="I289" s="51">
        <v>0</v>
      </c>
    </row>
    <row r="290" spans="1:9" ht="54" hidden="1" customHeight="1" x14ac:dyDescent="0.3">
      <c r="A290" s="49" t="s">
        <v>462</v>
      </c>
      <c r="B290" s="4" t="s">
        <v>423</v>
      </c>
      <c r="C290" s="5" t="s">
        <v>424</v>
      </c>
      <c r="D290" s="6"/>
      <c r="E290" s="6" t="s">
        <v>463</v>
      </c>
      <c r="F290" s="6" t="s">
        <v>15</v>
      </c>
      <c r="G290" s="7">
        <v>1</v>
      </c>
      <c r="H290" s="7"/>
      <c r="I290" s="50">
        <v>0</v>
      </c>
    </row>
    <row r="291" spans="1:9" ht="36" hidden="1" customHeight="1" x14ac:dyDescent="0.3">
      <c r="A291" s="49" t="s">
        <v>464</v>
      </c>
      <c r="B291" s="4"/>
      <c r="C291" s="8" t="s">
        <v>435</v>
      </c>
      <c r="D291" s="6"/>
      <c r="E291" s="6" t="s">
        <v>465</v>
      </c>
      <c r="F291" s="9" t="s">
        <v>15</v>
      </c>
      <c r="G291" s="10">
        <v>1.07</v>
      </c>
      <c r="H291" s="11"/>
      <c r="I291" s="51">
        <v>0</v>
      </c>
    </row>
    <row r="292" spans="1:9" ht="54" hidden="1" customHeight="1" x14ac:dyDescent="0.3">
      <c r="A292" s="49" t="s">
        <v>466</v>
      </c>
      <c r="B292" s="4"/>
      <c r="C292" s="8" t="s">
        <v>27</v>
      </c>
      <c r="D292" s="6"/>
      <c r="E292" s="6" t="s">
        <v>21</v>
      </c>
      <c r="F292" s="9" t="s">
        <v>16</v>
      </c>
      <c r="G292" s="10">
        <v>1.2</v>
      </c>
      <c r="H292" s="11"/>
      <c r="I292" s="51">
        <v>0</v>
      </c>
    </row>
    <row r="293" spans="1:9" ht="36" hidden="1" customHeight="1" x14ac:dyDescent="0.3">
      <c r="A293" s="49" t="s">
        <v>467</v>
      </c>
      <c r="B293" s="4"/>
      <c r="C293" s="12" t="s">
        <v>22</v>
      </c>
      <c r="D293" s="6"/>
      <c r="E293" s="6"/>
      <c r="F293" s="9" t="s">
        <v>16</v>
      </c>
      <c r="G293" s="10">
        <v>0.25</v>
      </c>
      <c r="H293" s="11"/>
      <c r="I293" s="51">
        <v>0</v>
      </c>
    </row>
    <row r="294" spans="1:9" ht="54" hidden="1" customHeight="1" x14ac:dyDescent="0.3">
      <c r="A294" s="49" t="s">
        <v>468</v>
      </c>
      <c r="B294" s="4" t="s">
        <v>423</v>
      </c>
      <c r="C294" s="5" t="s">
        <v>424</v>
      </c>
      <c r="D294" s="6"/>
      <c r="E294" s="6" t="s">
        <v>469</v>
      </c>
      <c r="F294" s="6" t="s">
        <v>15</v>
      </c>
      <c r="G294" s="7">
        <v>1</v>
      </c>
      <c r="H294" s="7"/>
      <c r="I294" s="50">
        <v>0</v>
      </c>
    </row>
    <row r="295" spans="1:9" ht="54" hidden="1" customHeight="1" x14ac:dyDescent="0.3">
      <c r="A295" s="49" t="s">
        <v>470</v>
      </c>
      <c r="B295" s="4"/>
      <c r="C295" s="12" t="s">
        <v>203</v>
      </c>
      <c r="D295" s="6"/>
      <c r="E295" s="6" t="s">
        <v>471</v>
      </c>
      <c r="F295" s="9" t="s">
        <v>18</v>
      </c>
      <c r="G295" s="10">
        <v>0.23</v>
      </c>
      <c r="H295" s="11"/>
      <c r="I295" s="51">
        <v>0</v>
      </c>
    </row>
    <row r="296" spans="1:9" ht="18" hidden="1" customHeight="1" x14ac:dyDescent="0.3">
      <c r="A296" s="49" t="s">
        <v>472</v>
      </c>
      <c r="B296" s="4"/>
      <c r="C296" s="12" t="s">
        <v>213</v>
      </c>
      <c r="D296" s="6"/>
      <c r="E296" s="6" t="s">
        <v>473</v>
      </c>
      <c r="F296" s="9" t="s">
        <v>16</v>
      </c>
      <c r="G296" s="10">
        <v>0.25</v>
      </c>
      <c r="H296" s="11"/>
      <c r="I296" s="51">
        <v>0</v>
      </c>
    </row>
    <row r="297" spans="1:9" ht="54" hidden="1" customHeight="1" x14ac:dyDescent="0.3">
      <c r="A297" s="49" t="s">
        <v>474</v>
      </c>
      <c r="B297" s="4"/>
      <c r="C297" s="8" t="s">
        <v>27</v>
      </c>
      <c r="D297" s="6"/>
      <c r="E297" s="6" t="s">
        <v>21</v>
      </c>
      <c r="F297" s="9" t="s">
        <v>16</v>
      </c>
      <c r="G297" s="10">
        <v>1.2</v>
      </c>
      <c r="H297" s="11"/>
      <c r="I297" s="51">
        <v>0</v>
      </c>
    </row>
    <row r="298" spans="1:9" ht="54" hidden="1" customHeight="1" x14ac:dyDescent="0.3">
      <c r="A298" s="49" t="s">
        <v>475</v>
      </c>
      <c r="B298" s="4"/>
      <c r="C298" s="8" t="s">
        <v>435</v>
      </c>
      <c r="D298" s="6"/>
      <c r="E298" s="6" t="s">
        <v>476</v>
      </c>
      <c r="F298" s="9" t="s">
        <v>15</v>
      </c>
      <c r="G298" s="10">
        <v>1.07</v>
      </c>
      <c r="H298" s="11"/>
      <c r="I298" s="51">
        <v>0</v>
      </c>
    </row>
    <row r="299" spans="1:9" ht="54" hidden="1" customHeight="1" x14ac:dyDescent="0.3">
      <c r="A299" s="49" t="s">
        <v>477</v>
      </c>
      <c r="B299" s="4"/>
      <c r="C299" s="8" t="s">
        <v>478</v>
      </c>
      <c r="D299" s="6"/>
      <c r="E299" s="6" t="s">
        <v>479</v>
      </c>
      <c r="F299" s="9" t="s">
        <v>18</v>
      </c>
      <c r="G299" s="10">
        <v>0.23</v>
      </c>
      <c r="H299" s="11"/>
      <c r="I299" s="51">
        <v>0</v>
      </c>
    </row>
    <row r="300" spans="1:9" ht="54" hidden="1" customHeight="1" x14ac:dyDescent="0.3">
      <c r="A300" s="49" t="s">
        <v>480</v>
      </c>
      <c r="B300" s="4" t="s">
        <v>423</v>
      </c>
      <c r="C300" s="5" t="s">
        <v>424</v>
      </c>
      <c r="D300" s="6"/>
      <c r="E300" s="6" t="s">
        <v>481</v>
      </c>
      <c r="F300" s="6" t="s">
        <v>15</v>
      </c>
      <c r="G300" s="7">
        <v>1</v>
      </c>
      <c r="H300" s="7"/>
      <c r="I300" s="50">
        <v>0</v>
      </c>
    </row>
    <row r="301" spans="1:9" ht="72" hidden="1" customHeight="1" x14ac:dyDescent="0.3">
      <c r="A301" s="49" t="s">
        <v>482</v>
      </c>
      <c r="B301" s="4"/>
      <c r="C301" s="8" t="s">
        <v>478</v>
      </c>
      <c r="D301" s="6"/>
      <c r="E301" s="6" t="s">
        <v>483</v>
      </c>
      <c r="F301" s="9" t="s">
        <v>18</v>
      </c>
      <c r="G301" s="10">
        <v>0.23</v>
      </c>
      <c r="H301" s="11"/>
      <c r="I301" s="51">
        <v>0</v>
      </c>
    </row>
    <row r="302" spans="1:9" ht="54" hidden="1" customHeight="1" x14ac:dyDescent="0.3">
      <c r="A302" s="49" t="s">
        <v>484</v>
      </c>
      <c r="B302" s="4"/>
      <c r="C302" s="8" t="s">
        <v>430</v>
      </c>
      <c r="D302" s="6"/>
      <c r="E302" s="6" t="s">
        <v>485</v>
      </c>
      <c r="F302" s="9" t="s">
        <v>15</v>
      </c>
      <c r="G302" s="10">
        <v>1.07</v>
      </c>
      <c r="H302" s="11"/>
      <c r="I302" s="51">
        <v>0</v>
      </c>
    </row>
    <row r="303" spans="1:9" ht="54" hidden="1" customHeight="1" x14ac:dyDescent="0.3">
      <c r="A303" s="49" t="s">
        <v>486</v>
      </c>
      <c r="B303" s="4"/>
      <c r="C303" s="8" t="s">
        <v>27</v>
      </c>
      <c r="D303" s="6"/>
      <c r="E303" s="6" t="s">
        <v>21</v>
      </c>
      <c r="F303" s="9" t="s">
        <v>16</v>
      </c>
      <c r="G303" s="10">
        <v>1.2</v>
      </c>
      <c r="H303" s="11"/>
      <c r="I303" s="51">
        <v>0</v>
      </c>
    </row>
    <row r="304" spans="1:9" ht="36" hidden="1" customHeight="1" x14ac:dyDescent="0.3">
      <c r="A304" s="49" t="s">
        <v>487</v>
      </c>
      <c r="B304" s="4"/>
      <c r="C304" s="12" t="s">
        <v>22</v>
      </c>
      <c r="D304" s="6"/>
      <c r="E304" s="6"/>
      <c r="F304" s="9" t="s">
        <v>16</v>
      </c>
      <c r="G304" s="10">
        <v>0.25</v>
      </c>
      <c r="H304" s="11"/>
      <c r="I304" s="51">
        <v>0</v>
      </c>
    </row>
    <row r="305" spans="1:9" ht="36" hidden="1" customHeight="1" x14ac:dyDescent="0.3">
      <c r="A305" s="49" t="s">
        <v>488</v>
      </c>
      <c r="B305" s="4"/>
      <c r="C305" s="12" t="s">
        <v>24</v>
      </c>
      <c r="D305" s="6"/>
      <c r="E305" s="6"/>
      <c r="F305" s="9" t="s">
        <v>16</v>
      </c>
      <c r="G305" s="10">
        <v>0.15</v>
      </c>
      <c r="H305" s="10"/>
      <c r="I305" s="54">
        <v>0</v>
      </c>
    </row>
    <row r="306" spans="1:9" ht="54" hidden="1" customHeight="1" x14ac:dyDescent="0.3">
      <c r="A306" s="49" t="s">
        <v>489</v>
      </c>
      <c r="B306" s="4" t="s">
        <v>423</v>
      </c>
      <c r="C306" s="5" t="s">
        <v>424</v>
      </c>
      <c r="D306" s="6"/>
      <c r="E306" s="6" t="s">
        <v>490</v>
      </c>
      <c r="F306" s="6" t="s">
        <v>15</v>
      </c>
      <c r="G306" s="7">
        <v>1</v>
      </c>
      <c r="H306" s="7"/>
      <c r="I306" s="50">
        <v>0</v>
      </c>
    </row>
    <row r="307" spans="1:9" ht="36" hidden="1" customHeight="1" x14ac:dyDescent="0.3">
      <c r="A307" s="49" t="s">
        <v>491</v>
      </c>
      <c r="B307" s="4"/>
      <c r="C307" s="12" t="s">
        <v>24</v>
      </c>
      <c r="D307" s="6"/>
      <c r="E307" s="6"/>
      <c r="F307" s="9" t="s">
        <v>16</v>
      </c>
      <c r="G307" s="10">
        <v>0.15</v>
      </c>
      <c r="H307" s="10"/>
      <c r="I307" s="54">
        <v>0</v>
      </c>
    </row>
    <row r="308" spans="1:9" ht="36" hidden="1" customHeight="1" x14ac:dyDescent="0.3">
      <c r="A308" s="49" t="s">
        <v>492</v>
      </c>
      <c r="B308" s="4"/>
      <c r="C308" s="12" t="s">
        <v>22</v>
      </c>
      <c r="D308" s="6"/>
      <c r="E308" s="6"/>
      <c r="F308" s="9" t="s">
        <v>16</v>
      </c>
      <c r="G308" s="10">
        <v>0.25</v>
      </c>
      <c r="H308" s="11"/>
      <c r="I308" s="51">
        <v>0</v>
      </c>
    </row>
    <row r="309" spans="1:9" ht="54" hidden="1" customHeight="1" x14ac:dyDescent="0.3">
      <c r="A309" s="49" t="s">
        <v>493</v>
      </c>
      <c r="B309" s="4"/>
      <c r="C309" s="8" t="s">
        <v>27</v>
      </c>
      <c r="D309" s="6"/>
      <c r="E309" s="6" t="s">
        <v>21</v>
      </c>
      <c r="F309" s="9" t="s">
        <v>16</v>
      </c>
      <c r="G309" s="10">
        <v>1.2</v>
      </c>
      <c r="H309" s="11"/>
      <c r="I309" s="51">
        <v>0</v>
      </c>
    </row>
    <row r="310" spans="1:9" ht="54" hidden="1" customHeight="1" x14ac:dyDescent="0.3">
      <c r="A310" s="49" t="s">
        <v>494</v>
      </c>
      <c r="B310" s="4"/>
      <c r="C310" s="8" t="s">
        <v>435</v>
      </c>
      <c r="D310" s="6"/>
      <c r="E310" s="6" t="s">
        <v>436</v>
      </c>
      <c r="F310" s="9" t="s">
        <v>15</v>
      </c>
      <c r="G310" s="10">
        <v>1.07</v>
      </c>
      <c r="H310" s="11"/>
      <c r="I310" s="51">
        <v>0</v>
      </c>
    </row>
    <row r="311" spans="1:9" ht="54" hidden="1" customHeight="1" x14ac:dyDescent="0.3">
      <c r="A311" s="49" t="s">
        <v>495</v>
      </c>
      <c r="B311" s="4" t="s">
        <v>423</v>
      </c>
      <c r="C311" s="5" t="s">
        <v>424</v>
      </c>
      <c r="D311" s="6"/>
      <c r="E311" s="6" t="s">
        <v>496</v>
      </c>
      <c r="F311" s="6" t="s">
        <v>15</v>
      </c>
      <c r="G311" s="7">
        <v>1</v>
      </c>
      <c r="H311" s="7"/>
      <c r="I311" s="50">
        <v>0</v>
      </c>
    </row>
    <row r="312" spans="1:9" ht="36" hidden="1" customHeight="1" x14ac:dyDescent="0.3">
      <c r="A312" s="49" t="s">
        <v>497</v>
      </c>
      <c r="B312" s="4"/>
      <c r="C312" s="8" t="s">
        <v>446</v>
      </c>
      <c r="D312" s="6"/>
      <c r="E312" s="6" t="s">
        <v>447</v>
      </c>
      <c r="F312" s="9" t="s">
        <v>15</v>
      </c>
      <c r="G312" s="10">
        <v>1.07</v>
      </c>
      <c r="H312" s="11"/>
      <c r="I312" s="51">
        <v>0</v>
      </c>
    </row>
    <row r="313" spans="1:9" ht="54" hidden="1" customHeight="1" x14ac:dyDescent="0.3">
      <c r="A313" s="49" t="s">
        <v>498</v>
      </c>
      <c r="B313" s="4"/>
      <c r="C313" s="8" t="s">
        <v>27</v>
      </c>
      <c r="D313" s="6"/>
      <c r="E313" s="6" t="s">
        <v>21</v>
      </c>
      <c r="F313" s="9" t="s">
        <v>16</v>
      </c>
      <c r="G313" s="10">
        <v>1.2</v>
      </c>
      <c r="H313" s="11"/>
      <c r="I313" s="51">
        <v>0</v>
      </c>
    </row>
    <row r="314" spans="1:9" ht="36" hidden="1" customHeight="1" x14ac:dyDescent="0.3">
      <c r="A314" s="49" t="s">
        <v>499</v>
      </c>
      <c r="B314" s="4"/>
      <c r="C314" s="12" t="s">
        <v>22</v>
      </c>
      <c r="D314" s="6"/>
      <c r="E314" s="6"/>
      <c r="F314" s="9" t="s">
        <v>16</v>
      </c>
      <c r="G314" s="10">
        <v>0.25</v>
      </c>
      <c r="H314" s="11"/>
      <c r="I314" s="51">
        <v>0</v>
      </c>
    </row>
    <row r="315" spans="1:9" ht="36" hidden="1" customHeight="1" x14ac:dyDescent="0.3">
      <c r="A315" s="49" t="s">
        <v>500</v>
      </c>
      <c r="B315" s="4"/>
      <c r="C315" s="12" t="s">
        <v>24</v>
      </c>
      <c r="D315" s="6"/>
      <c r="E315" s="6"/>
      <c r="F315" s="9" t="s">
        <v>16</v>
      </c>
      <c r="G315" s="10">
        <v>0.15</v>
      </c>
      <c r="H315" s="10"/>
      <c r="I315" s="54">
        <v>0</v>
      </c>
    </row>
    <row r="316" spans="1:9" ht="54" hidden="1" customHeight="1" x14ac:dyDescent="0.3">
      <c r="A316" s="49" t="s">
        <v>501</v>
      </c>
      <c r="B316" s="4" t="s">
        <v>423</v>
      </c>
      <c r="C316" s="5" t="s">
        <v>424</v>
      </c>
      <c r="D316" s="6"/>
      <c r="E316" s="6" t="s">
        <v>502</v>
      </c>
      <c r="F316" s="6" t="s">
        <v>15</v>
      </c>
      <c r="G316" s="7">
        <v>1</v>
      </c>
      <c r="H316" s="7"/>
      <c r="I316" s="50">
        <v>0</v>
      </c>
    </row>
    <row r="317" spans="1:9" ht="36" hidden="1" customHeight="1" x14ac:dyDescent="0.3">
      <c r="A317" s="49" t="s">
        <v>503</v>
      </c>
      <c r="B317" s="4"/>
      <c r="C317" s="12" t="s">
        <v>24</v>
      </c>
      <c r="D317" s="6"/>
      <c r="E317" s="6"/>
      <c r="F317" s="9" t="s">
        <v>16</v>
      </c>
      <c r="G317" s="10">
        <v>0.15</v>
      </c>
      <c r="H317" s="10"/>
      <c r="I317" s="54">
        <v>0</v>
      </c>
    </row>
    <row r="318" spans="1:9" ht="36" hidden="1" customHeight="1" x14ac:dyDescent="0.3">
      <c r="A318" s="49" t="s">
        <v>504</v>
      </c>
      <c r="B318" s="4"/>
      <c r="C318" s="12" t="s">
        <v>22</v>
      </c>
      <c r="D318" s="6"/>
      <c r="E318" s="6"/>
      <c r="F318" s="9" t="s">
        <v>16</v>
      </c>
      <c r="G318" s="10">
        <v>0.25</v>
      </c>
      <c r="H318" s="11"/>
      <c r="I318" s="51">
        <v>0</v>
      </c>
    </row>
    <row r="319" spans="1:9" ht="54" hidden="1" customHeight="1" x14ac:dyDescent="0.3">
      <c r="A319" s="49" t="s">
        <v>505</v>
      </c>
      <c r="B319" s="4"/>
      <c r="C319" s="8" t="s">
        <v>27</v>
      </c>
      <c r="D319" s="6"/>
      <c r="E319" s="6" t="s">
        <v>21</v>
      </c>
      <c r="F319" s="9" t="s">
        <v>16</v>
      </c>
      <c r="G319" s="10">
        <v>1.2</v>
      </c>
      <c r="H319" s="11"/>
      <c r="I319" s="51">
        <v>0</v>
      </c>
    </row>
    <row r="320" spans="1:9" ht="36" hidden="1" customHeight="1" x14ac:dyDescent="0.3">
      <c r="A320" s="49" t="s">
        <v>506</v>
      </c>
      <c r="B320" s="4"/>
      <c r="C320" s="8" t="s">
        <v>451</v>
      </c>
      <c r="D320" s="6"/>
      <c r="E320" s="6" t="s">
        <v>507</v>
      </c>
      <c r="F320" s="9" t="s">
        <v>15</v>
      </c>
      <c r="G320" s="10">
        <v>1.07</v>
      </c>
      <c r="H320" s="11"/>
      <c r="I320" s="51">
        <v>0</v>
      </c>
    </row>
    <row r="321" spans="1:9" ht="54" hidden="1" customHeight="1" x14ac:dyDescent="0.3">
      <c r="A321" s="49" t="s">
        <v>508</v>
      </c>
      <c r="B321" s="4" t="s">
        <v>423</v>
      </c>
      <c r="C321" s="5" t="s">
        <v>424</v>
      </c>
      <c r="D321" s="6"/>
      <c r="E321" s="6" t="s">
        <v>509</v>
      </c>
      <c r="F321" s="6" t="s">
        <v>15</v>
      </c>
      <c r="G321" s="7">
        <v>1</v>
      </c>
      <c r="H321" s="7"/>
      <c r="I321" s="50">
        <v>0</v>
      </c>
    </row>
    <row r="322" spans="1:9" ht="54" hidden="1" customHeight="1" x14ac:dyDescent="0.3">
      <c r="A322" s="49" t="s">
        <v>510</v>
      </c>
      <c r="B322" s="4"/>
      <c r="C322" s="8" t="s">
        <v>446</v>
      </c>
      <c r="D322" s="6"/>
      <c r="E322" s="6" t="s">
        <v>461</v>
      </c>
      <c r="F322" s="9" t="s">
        <v>15</v>
      </c>
      <c r="G322" s="10">
        <v>1.07</v>
      </c>
      <c r="H322" s="11"/>
      <c r="I322" s="51">
        <v>0</v>
      </c>
    </row>
    <row r="323" spans="1:9" ht="54" hidden="1" customHeight="1" x14ac:dyDescent="0.3">
      <c r="A323" s="49" t="s">
        <v>511</v>
      </c>
      <c r="B323" s="4"/>
      <c r="C323" s="8" t="s">
        <v>27</v>
      </c>
      <c r="D323" s="6"/>
      <c r="E323" s="6" t="s">
        <v>21</v>
      </c>
      <c r="F323" s="9" t="s">
        <v>16</v>
      </c>
      <c r="G323" s="10">
        <v>1.2</v>
      </c>
      <c r="H323" s="11"/>
      <c r="I323" s="51">
        <v>0</v>
      </c>
    </row>
    <row r="324" spans="1:9" ht="36" hidden="1" customHeight="1" x14ac:dyDescent="0.3">
      <c r="A324" s="49" t="s">
        <v>512</v>
      </c>
      <c r="B324" s="4"/>
      <c r="C324" s="12" t="s">
        <v>22</v>
      </c>
      <c r="D324" s="6"/>
      <c r="E324" s="6"/>
      <c r="F324" s="9" t="s">
        <v>16</v>
      </c>
      <c r="G324" s="10">
        <v>0.25</v>
      </c>
      <c r="H324" s="11"/>
      <c r="I324" s="51">
        <v>0</v>
      </c>
    </row>
    <row r="325" spans="1:9" ht="36" hidden="1" customHeight="1" x14ac:dyDescent="0.3">
      <c r="A325" s="49" t="s">
        <v>513</v>
      </c>
      <c r="B325" s="4"/>
      <c r="C325" s="12" t="s">
        <v>24</v>
      </c>
      <c r="D325" s="6"/>
      <c r="E325" s="6"/>
      <c r="F325" s="9" t="s">
        <v>16</v>
      </c>
      <c r="G325" s="10">
        <v>0.15</v>
      </c>
      <c r="H325" s="10"/>
      <c r="I325" s="54">
        <v>0</v>
      </c>
    </row>
    <row r="326" spans="1:9" ht="54" hidden="1" customHeight="1" x14ac:dyDescent="0.3">
      <c r="A326" s="49" t="s">
        <v>514</v>
      </c>
      <c r="B326" s="4" t="s">
        <v>423</v>
      </c>
      <c r="C326" s="5" t="s">
        <v>424</v>
      </c>
      <c r="D326" s="6"/>
      <c r="E326" s="6" t="s">
        <v>515</v>
      </c>
      <c r="F326" s="6" t="s">
        <v>15</v>
      </c>
      <c r="G326" s="7">
        <v>1</v>
      </c>
      <c r="H326" s="7"/>
      <c r="I326" s="50">
        <v>0</v>
      </c>
    </row>
    <row r="327" spans="1:9" ht="36" hidden="1" customHeight="1" x14ac:dyDescent="0.3">
      <c r="A327" s="49" t="s">
        <v>516</v>
      </c>
      <c r="B327" s="4"/>
      <c r="C327" s="12" t="s">
        <v>24</v>
      </c>
      <c r="D327" s="6"/>
      <c r="E327" s="6"/>
      <c r="F327" s="9" t="s">
        <v>16</v>
      </c>
      <c r="G327" s="10">
        <v>0.15</v>
      </c>
      <c r="H327" s="10"/>
      <c r="I327" s="54">
        <v>0</v>
      </c>
    </row>
    <row r="328" spans="1:9" ht="36" hidden="1" customHeight="1" x14ac:dyDescent="0.3">
      <c r="A328" s="49" t="s">
        <v>517</v>
      </c>
      <c r="B328" s="4"/>
      <c r="C328" s="12" t="s">
        <v>22</v>
      </c>
      <c r="D328" s="6"/>
      <c r="E328" s="6"/>
      <c r="F328" s="9" t="s">
        <v>16</v>
      </c>
      <c r="G328" s="10">
        <v>0.25</v>
      </c>
      <c r="H328" s="11"/>
      <c r="I328" s="51">
        <v>0</v>
      </c>
    </row>
    <row r="329" spans="1:9" ht="54" hidden="1" customHeight="1" x14ac:dyDescent="0.3">
      <c r="A329" s="49" t="s">
        <v>518</v>
      </c>
      <c r="B329" s="4"/>
      <c r="C329" s="8" t="s">
        <v>27</v>
      </c>
      <c r="D329" s="6"/>
      <c r="E329" s="6" t="s">
        <v>21</v>
      </c>
      <c r="F329" s="9" t="s">
        <v>16</v>
      </c>
      <c r="G329" s="10">
        <v>1.2</v>
      </c>
      <c r="H329" s="11"/>
      <c r="I329" s="51">
        <v>0</v>
      </c>
    </row>
    <row r="330" spans="1:9" ht="36" hidden="1" customHeight="1" x14ac:dyDescent="0.3">
      <c r="A330" s="49" t="s">
        <v>519</v>
      </c>
      <c r="B330" s="4"/>
      <c r="C330" s="8" t="s">
        <v>435</v>
      </c>
      <c r="D330" s="6"/>
      <c r="E330" s="6" t="s">
        <v>520</v>
      </c>
      <c r="F330" s="9" t="s">
        <v>15</v>
      </c>
      <c r="G330" s="10">
        <v>1.07</v>
      </c>
      <c r="H330" s="11"/>
      <c r="I330" s="51">
        <v>0</v>
      </c>
    </row>
    <row r="331" spans="1:9" ht="54" hidden="1" customHeight="1" x14ac:dyDescent="0.3">
      <c r="A331" s="49" t="s">
        <v>521</v>
      </c>
      <c r="B331" s="4" t="s">
        <v>423</v>
      </c>
      <c r="C331" s="5" t="s">
        <v>424</v>
      </c>
      <c r="D331" s="6"/>
      <c r="E331" s="6" t="s">
        <v>522</v>
      </c>
      <c r="F331" s="6" t="s">
        <v>15</v>
      </c>
      <c r="G331" s="7">
        <v>1</v>
      </c>
      <c r="H331" s="7"/>
      <c r="I331" s="50">
        <v>0</v>
      </c>
    </row>
    <row r="332" spans="1:9" ht="54" hidden="1" customHeight="1" x14ac:dyDescent="0.3">
      <c r="A332" s="49" t="s">
        <v>523</v>
      </c>
      <c r="B332" s="4"/>
      <c r="C332" s="8" t="s">
        <v>478</v>
      </c>
      <c r="D332" s="6"/>
      <c r="E332" s="6" t="s">
        <v>471</v>
      </c>
      <c r="F332" s="9" t="s">
        <v>18</v>
      </c>
      <c r="G332" s="10">
        <v>0.23</v>
      </c>
      <c r="H332" s="11"/>
      <c r="I332" s="51">
        <v>0</v>
      </c>
    </row>
    <row r="333" spans="1:9" ht="54" hidden="1" customHeight="1" x14ac:dyDescent="0.3">
      <c r="A333" s="49" t="s">
        <v>524</v>
      </c>
      <c r="B333" s="4"/>
      <c r="C333" s="8" t="s">
        <v>435</v>
      </c>
      <c r="D333" s="6"/>
      <c r="E333" s="6" t="s">
        <v>476</v>
      </c>
      <c r="F333" s="9" t="s">
        <v>15</v>
      </c>
      <c r="G333" s="10">
        <v>1.07</v>
      </c>
      <c r="H333" s="11"/>
      <c r="I333" s="51">
        <v>0</v>
      </c>
    </row>
    <row r="334" spans="1:9" ht="54" hidden="1" customHeight="1" x14ac:dyDescent="0.3">
      <c r="A334" s="49" t="s">
        <v>525</v>
      </c>
      <c r="B334" s="4"/>
      <c r="C334" s="8" t="s">
        <v>27</v>
      </c>
      <c r="D334" s="6"/>
      <c r="E334" s="6" t="s">
        <v>21</v>
      </c>
      <c r="F334" s="9" t="s">
        <v>16</v>
      </c>
      <c r="G334" s="10">
        <v>1.2</v>
      </c>
      <c r="H334" s="11"/>
      <c r="I334" s="51">
        <v>0</v>
      </c>
    </row>
    <row r="335" spans="1:9" ht="18" hidden="1" customHeight="1" x14ac:dyDescent="0.3">
      <c r="A335" s="49" t="s">
        <v>526</v>
      </c>
      <c r="B335" s="4"/>
      <c r="C335" s="12" t="s">
        <v>527</v>
      </c>
      <c r="D335" s="6"/>
      <c r="E335" s="6" t="s">
        <v>528</v>
      </c>
      <c r="F335" s="9" t="s">
        <v>16</v>
      </c>
      <c r="G335" s="10">
        <v>0.25</v>
      </c>
      <c r="H335" s="11"/>
      <c r="I335" s="51">
        <v>0</v>
      </c>
    </row>
    <row r="336" spans="1:9" ht="36" hidden="1" customHeight="1" x14ac:dyDescent="0.3">
      <c r="A336" s="49" t="s">
        <v>529</v>
      </c>
      <c r="B336" s="4"/>
      <c r="C336" s="12" t="s">
        <v>24</v>
      </c>
      <c r="D336" s="6"/>
      <c r="E336" s="6"/>
      <c r="F336" s="9" t="s">
        <v>16</v>
      </c>
      <c r="G336" s="10">
        <v>0.15</v>
      </c>
      <c r="H336" s="10"/>
      <c r="I336" s="54">
        <v>0</v>
      </c>
    </row>
    <row r="337" spans="1:11" ht="54" x14ac:dyDescent="0.3">
      <c r="A337" s="49" t="s">
        <v>530</v>
      </c>
      <c r="B337" s="4" t="s">
        <v>423</v>
      </c>
      <c r="C337" s="5" t="s">
        <v>424</v>
      </c>
      <c r="D337" s="6"/>
      <c r="E337" s="6" t="s">
        <v>531</v>
      </c>
      <c r="F337" s="6" t="s">
        <v>15</v>
      </c>
      <c r="G337" s="7">
        <v>1</v>
      </c>
      <c r="H337" s="7"/>
      <c r="I337" s="50">
        <v>353.8</v>
      </c>
      <c r="J337" s="100"/>
      <c r="K337" s="100">
        <f>'5.1_плтк'!I3</f>
        <v>208.6</v>
      </c>
    </row>
    <row r="338" spans="1:11" ht="36" hidden="1" customHeight="1" x14ac:dyDescent="0.3">
      <c r="A338" s="49" t="s">
        <v>532</v>
      </c>
      <c r="B338" s="4"/>
      <c r="C338" s="12" t="s">
        <v>24</v>
      </c>
      <c r="D338" s="6"/>
      <c r="E338" s="6"/>
      <c r="F338" s="9" t="s">
        <v>16</v>
      </c>
      <c r="G338" s="10">
        <v>0.15</v>
      </c>
      <c r="H338" s="10"/>
      <c r="I338" s="54">
        <v>53.07</v>
      </c>
    </row>
    <row r="339" spans="1:11" ht="36" hidden="1" customHeight="1" x14ac:dyDescent="0.3">
      <c r="A339" s="49" t="s">
        <v>533</v>
      </c>
      <c r="B339" s="4"/>
      <c r="C339" s="12" t="s">
        <v>22</v>
      </c>
      <c r="D339" s="6"/>
      <c r="E339" s="6"/>
      <c r="F339" s="9" t="s">
        <v>16</v>
      </c>
      <c r="G339" s="10">
        <v>0.25</v>
      </c>
      <c r="H339" s="11"/>
      <c r="I339" s="51">
        <v>88.45</v>
      </c>
    </row>
    <row r="340" spans="1:11" ht="36" hidden="1" customHeight="1" x14ac:dyDescent="0.3">
      <c r="A340" s="49" t="s">
        <v>534</v>
      </c>
      <c r="B340" s="4"/>
      <c r="C340" s="8" t="s">
        <v>27</v>
      </c>
      <c r="D340" s="6"/>
      <c r="E340" s="6"/>
      <c r="F340" s="9" t="s">
        <v>16</v>
      </c>
      <c r="G340" s="10">
        <v>1.2</v>
      </c>
      <c r="H340" s="11"/>
      <c r="I340" s="51">
        <v>849.12</v>
      </c>
    </row>
    <row r="341" spans="1:11" ht="54" hidden="1" customHeight="1" x14ac:dyDescent="0.3">
      <c r="A341" s="49" t="s">
        <v>535</v>
      </c>
      <c r="B341" s="4"/>
      <c r="C341" s="8" t="s">
        <v>430</v>
      </c>
      <c r="D341" s="6"/>
      <c r="E341" s="6" t="s">
        <v>536</v>
      </c>
      <c r="F341" s="9" t="s">
        <v>15</v>
      </c>
      <c r="G341" s="10">
        <v>1.07</v>
      </c>
      <c r="H341" s="11"/>
      <c r="I341" s="51">
        <v>378.56599999999997</v>
      </c>
    </row>
    <row r="342" spans="1:11" ht="36" hidden="1" customHeight="1" x14ac:dyDescent="0.3">
      <c r="A342" s="49" t="s">
        <v>537</v>
      </c>
      <c r="B342" s="4"/>
      <c r="C342" s="8" t="s">
        <v>478</v>
      </c>
      <c r="D342" s="6"/>
      <c r="E342" s="6"/>
      <c r="F342" s="9" t="s">
        <v>18</v>
      </c>
      <c r="G342" s="10">
        <v>0.23</v>
      </c>
      <c r="H342" s="11"/>
      <c r="I342" s="51">
        <v>16.100000000000001</v>
      </c>
    </row>
    <row r="343" spans="1:11" ht="54" x14ac:dyDescent="0.3">
      <c r="A343" s="49" t="s">
        <v>538</v>
      </c>
      <c r="B343" s="4" t="s">
        <v>423</v>
      </c>
      <c r="C343" s="5" t="s">
        <v>424</v>
      </c>
      <c r="D343" s="6"/>
      <c r="E343" s="6" t="s">
        <v>539</v>
      </c>
      <c r="F343" s="6" t="s">
        <v>15</v>
      </c>
      <c r="G343" s="7">
        <v>1</v>
      </c>
      <c r="H343" s="7"/>
      <c r="I343" s="50">
        <v>59.7</v>
      </c>
      <c r="J343" s="100"/>
      <c r="K343" s="100">
        <f>'5.1_плтк'!I4</f>
        <v>11.5</v>
      </c>
    </row>
    <row r="344" spans="1:11" ht="90" hidden="1" customHeight="1" x14ac:dyDescent="0.3">
      <c r="A344" s="49" t="s">
        <v>540</v>
      </c>
      <c r="B344" s="4"/>
      <c r="C344" s="8" t="s">
        <v>435</v>
      </c>
      <c r="D344" s="6"/>
      <c r="E344" s="6" t="s">
        <v>541</v>
      </c>
      <c r="F344" s="9" t="s">
        <v>15</v>
      </c>
      <c r="G344" s="10">
        <v>1.07</v>
      </c>
      <c r="H344" s="11"/>
      <c r="I344" s="51">
        <v>63.878999999999998</v>
      </c>
    </row>
    <row r="345" spans="1:11" ht="36" hidden="1" customHeight="1" x14ac:dyDescent="0.3">
      <c r="A345" s="49" t="s">
        <v>542</v>
      </c>
      <c r="B345" s="4"/>
      <c r="C345" s="8" t="s">
        <v>27</v>
      </c>
      <c r="D345" s="6"/>
      <c r="E345" s="6"/>
      <c r="F345" s="9" t="s">
        <v>16</v>
      </c>
      <c r="G345" s="10">
        <v>1.2</v>
      </c>
      <c r="H345" s="11"/>
      <c r="I345" s="51">
        <v>143.28</v>
      </c>
    </row>
    <row r="346" spans="1:11" ht="36" hidden="1" customHeight="1" x14ac:dyDescent="0.3">
      <c r="A346" s="49" t="s">
        <v>543</v>
      </c>
      <c r="B346" s="4"/>
      <c r="C346" s="12" t="s">
        <v>22</v>
      </c>
      <c r="D346" s="6"/>
      <c r="E346" s="6"/>
      <c r="F346" s="9" t="s">
        <v>16</v>
      </c>
      <c r="G346" s="10">
        <v>0.25</v>
      </c>
      <c r="H346" s="11"/>
      <c r="I346" s="51">
        <v>14.925000000000001</v>
      </c>
    </row>
    <row r="347" spans="1:11" ht="36" hidden="1" customHeight="1" x14ac:dyDescent="0.3">
      <c r="A347" s="49" t="s">
        <v>544</v>
      </c>
      <c r="B347" s="4"/>
      <c r="C347" s="12" t="s">
        <v>24</v>
      </c>
      <c r="D347" s="6"/>
      <c r="E347" s="6"/>
      <c r="F347" s="9" t="s">
        <v>16</v>
      </c>
      <c r="G347" s="10">
        <v>0.15</v>
      </c>
      <c r="H347" s="10"/>
      <c r="I347" s="54">
        <v>8.9550000000000001</v>
      </c>
    </row>
    <row r="348" spans="1:11" ht="54" x14ac:dyDescent="0.3">
      <c r="A348" s="49" t="s">
        <v>545</v>
      </c>
      <c r="B348" s="4" t="s">
        <v>423</v>
      </c>
      <c r="C348" s="5" t="s">
        <v>424</v>
      </c>
      <c r="D348" s="6"/>
      <c r="E348" s="6" t="s">
        <v>546</v>
      </c>
      <c r="F348" s="6" t="s">
        <v>15</v>
      </c>
      <c r="G348" s="7">
        <v>1</v>
      </c>
      <c r="H348" s="7"/>
      <c r="I348" s="50">
        <v>107.8</v>
      </c>
      <c r="J348" s="100"/>
      <c r="K348" s="100">
        <f>'5.1_плтк'!I5</f>
        <v>28.1</v>
      </c>
    </row>
    <row r="349" spans="1:11" ht="36" hidden="1" customHeight="1" x14ac:dyDescent="0.3">
      <c r="A349" s="49" t="s">
        <v>547</v>
      </c>
      <c r="B349" s="4"/>
      <c r="C349" s="12" t="s">
        <v>24</v>
      </c>
      <c r="D349" s="6"/>
      <c r="E349" s="6"/>
      <c r="F349" s="9" t="s">
        <v>16</v>
      </c>
      <c r="G349" s="10">
        <v>0.15</v>
      </c>
      <c r="H349" s="10"/>
      <c r="I349" s="54">
        <v>16.170000000000002</v>
      </c>
    </row>
    <row r="350" spans="1:11" ht="36" hidden="1" customHeight="1" x14ac:dyDescent="0.3">
      <c r="A350" s="49" t="s">
        <v>548</v>
      </c>
      <c r="B350" s="4"/>
      <c r="C350" s="12" t="s">
        <v>22</v>
      </c>
      <c r="D350" s="6"/>
      <c r="E350" s="6"/>
      <c r="F350" s="9" t="s">
        <v>16</v>
      </c>
      <c r="G350" s="10">
        <v>0.25</v>
      </c>
      <c r="H350" s="11"/>
      <c r="I350" s="51">
        <v>26.95</v>
      </c>
    </row>
    <row r="351" spans="1:11" ht="36" hidden="1" customHeight="1" x14ac:dyDescent="0.3">
      <c r="A351" s="49" t="s">
        <v>549</v>
      </c>
      <c r="B351" s="4"/>
      <c r="C351" s="8" t="s">
        <v>27</v>
      </c>
      <c r="D351" s="6"/>
      <c r="E351" s="6"/>
      <c r="F351" s="9" t="s">
        <v>16</v>
      </c>
      <c r="G351" s="10">
        <v>1.2</v>
      </c>
      <c r="H351" s="11"/>
      <c r="I351" s="51">
        <v>646.79999999999995</v>
      </c>
    </row>
    <row r="352" spans="1:11" ht="90" hidden="1" customHeight="1" x14ac:dyDescent="0.3">
      <c r="A352" s="49" t="s">
        <v>550</v>
      </c>
      <c r="B352" s="4"/>
      <c r="C352" s="8" t="s">
        <v>435</v>
      </c>
      <c r="D352" s="6"/>
      <c r="E352" s="6" t="s">
        <v>551</v>
      </c>
      <c r="F352" s="9" t="s">
        <v>15</v>
      </c>
      <c r="G352" s="10">
        <v>1.07</v>
      </c>
      <c r="H352" s="11"/>
      <c r="I352" s="51">
        <v>115.346</v>
      </c>
    </row>
    <row r="353" spans="1:11" ht="54" x14ac:dyDescent="0.3">
      <c r="A353" s="49" t="s">
        <v>552</v>
      </c>
      <c r="B353" s="4" t="s">
        <v>423</v>
      </c>
      <c r="C353" s="5" t="s">
        <v>424</v>
      </c>
      <c r="D353" s="6"/>
      <c r="E353" s="6" t="s">
        <v>553</v>
      </c>
      <c r="F353" s="6" t="s">
        <v>15</v>
      </c>
      <c r="G353" s="7">
        <v>1</v>
      </c>
      <c r="H353" s="7"/>
      <c r="I353" s="50">
        <v>296.2</v>
      </c>
      <c r="J353" s="100"/>
      <c r="K353" s="100">
        <f>'5.1_плтк'!I6</f>
        <v>210.4</v>
      </c>
    </row>
    <row r="354" spans="1:11" ht="72" hidden="1" customHeight="1" x14ac:dyDescent="0.3">
      <c r="A354" s="49" t="s">
        <v>554</v>
      </c>
      <c r="B354" s="4"/>
      <c r="C354" s="8" t="s">
        <v>435</v>
      </c>
      <c r="D354" s="6"/>
      <c r="E354" s="6" t="s">
        <v>555</v>
      </c>
      <c r="F354" s="9" t="s">
        <v>15</v>
      </c>
      <c r="G354" s="10">
        <v>1.07</v>
      </c>
      <c r="H354" s="11"/>
      <c r="I354" s="51">
        <v>316.93400000000003</v>
      </c>
    </row>
    <row r="355" spans="1:11" ht="36" hidden="1" customHeight="1" x14ac:dyDescent="0.3">
      <c r="A355" s="49" t="s">
        <v>556</v>
      </c>
      <c r="B355" s="4"/>
      <c r="C355" s="8" t="s">
        <v>27</v>
      </c>
      <c r="D355" s="6"/>
      <c r="E355" s="6"/>
      <c r="F355" s="9" t="s">
        <v>16</v>
      </c>
      <c r="G355" s="10">
        <v>1.2</v>
      </c>
      <c r="H355" s="11"/>
      <c r="I355" s="51">
        <v>710.88</v>
      </c>
    </row>
    <row r="356" spans="1:11" ht="36" hidden="1" customHeight="1" x14ac:dyDescent="0.3">
      <c r="A356" s="49" t="s">
        <v>557</v>
      </c>
      <c r="B356" s="4"/>
      <c r="C356" s="12" t="s">
        <v>22</v>
      </c>
      <c r="D356" s="6"/>
      <c r="E356" s="6"/>
      <c r="F356" s="9" t="s">
        <v>16</v>
      </c>
      <c r="G356" s="10">
        <v>0.25</v>
      </c>
      <c r="H356" s="11"/>
      <c r="I356" s="51">
        <v>74.05</v>
      </c>
    </row>
    <row r="357" spans="1:11" ht="36" hidden="1" customHeight="1" x14ac:dyDescent="0.3">
      <c r="A357" s="49" t="s">
        <v>558</v>
      </c>
      <c r="B357" s="4"/>
      <c r="C357" s="12" t="s">
        <v>24</v>
      </c>
      <c r="D357" s="6"/>
      <c r="E357" s="6"/>
      <c r="F357" s="9" t="s">
        <v>16</v>
      </c>
      <c r="G357" s="10">
        <v>0.15</v>
      </c>
      <c r="H357" s="10"/>
      <c r="I357" s="54">
        <v>44.43</v>
      </c>
    </row>
    <row r="358" spans="1:11" ht="54" x14ac:dyDescent="0.3">
      <c r="A358" s="49" t="s">
        <v>559</v>
      </c>
      <c r="B358" s="4" t="s">
        <v>423</v>
      </c>
      <c r="C358" s="5" t="s">
        <v>424</v>
      </c>
      <c r="D358" s="6"/>
      <c r="E358" s="6" t="s">
        <v>560</v>
      </c>
      <c r="F358" s="6" t="s">
        <v>15</v>
      </c>
      <c r="G358" s="7">
        <v>1</v>
      </c>
      <c r="H358" s="7"/>
      <c r="I358" s="50">
        <v>751.7</v>
      </c>
      <c r="J358" s="100"/>
      <c r="K358" s="100">
        <f>'5.1_плтк'!I7</f>
        <v>265.10000000000002</v>
      </c>
    </row>
    <row r="359" spans="1:11" ht="36" hidden="1" customHeight="1" x14ac:dyDescent="0.3">
      <c r="A359" s="49" t="s">
        <v>561</v>
      </c>
      <c r="B359" s="4"/>
      <c r="C359" s="12" t="s">
        <v>24</v>
      </c>
      <c r="D359" s="6"/>
      <c r="E359" s="6"/>
      <c r="F359" s="9" t="s">
        <v>16</v>
      </c>
      <c r="G359" s="10">
        <v>0.15</v>
      </c>
      <c r="H359" s="10"/>
      <c r="I359" s="54">
        <v>112.755</v>
      </c>
    </row>
    <row r="360" spans="1:11" ht="36" hidden="1" customHeight="1" x14ac:dyDescent="0.3">
      <c r="A360" s="49" t="s">
        <v>562</v>
      </c>
      <c r="B360" s="4"/>
      <c r="C360" s="12" t="s">
        <v>22</v>
      </c>
      <c r="D360" s="6"/>
      <c r="E360" s="6"/>
      <c r="F360" s="9" t="s">
        <v>16</v>
      </c>
      <c r="G360" s="10">
        <v>0.25</v>
      </c>
      <c r="H360" s="11"/>
      <c r="I360" s="51">
        <v>187.92500000000001</v>
      </c>
    </row>
    <row r="361" spans="1:11" ht="36" hidden="1" customHeight="1" x14ac:dyDescent="0.3">
      <c r="A361" s="49" t="s">
        <v>563</v>
      </c>
      <c r="B361" s="4"/>
      <c r="C361" s="8" t="s">
        <v>27</v>
      </c>
      <c r="D361" s="6"/>
      <c r="E361" s="6"/>
      <c r="F361" s="9" t="s">
        <v>16</v>
      </c>
      <c r="G361" s="10">
        <v>1.2</v>
      </c>
      <c r="H361" s="11"/>
      <c r="I361" s="51">
        <v>1804.08</v>
      </c>
    </row>
    <row r="362" spans="1:11" ht="72" hidden="1" customHeight="1" x14ac:dyDescent="0.3">
      <c r="A362" s="49" t="s">
        <v>564</v>
      </c>
      <c r="B362" s="4"/>
      <c r="C362" s="8" t="s">
        <v>435</v>
      </c>
      <c r="D362" s="6"/>
      <c r="E362" s="6" t="s">
        <v>565</v>
      </c>
      <c r="F362" s="9" t="s">
        <v>15</v>
      </c>
      <c r="G362" s="10">
        <v>1.07</v>
      </c>
      <c r="H362" s="11"/>
      <c r="I362" s="51">
        <v>804.31899999999996</v>
      </c>
    </row>
    <row r="363" spans="1:11" ht="54" x14ac:dyDescent="0.3">
      <c r="A363" s="49" t="s">
        <v>566</v>
      </c>
      <c r="B363" s="4" t="s">
        <v>423</v>
      </c>
      <c r="C363" s="5" t="s">
        <v>424</v>
      </c>
      <c r="D363" s="6"/>
      <c r="E363" s="6" t="s">
        <v>567</v>
      </c>
      <c r="F363" s="6" t="s">
        <v>15</v>
      </c>
      <c r="G363" s="7">
        <v>1</v>
      </c>
      <c r="H363" s="7"/>
      <c r="I363" s="50">
        <v>7.8</v>
      </c>
      <c r="J363" s="100"/>
      <c r="K363" s="100"/>
    </row>
    <row r="364" spans="1:11" ht="72" hidden="1" customHeight="1" x14ac:dyDescent="0.3">
      <c r="A364" s="49" t="s">
        <v>568</v>
      </c>
      <c r="B364" s="4"/>
      <c r="C364" s="8" t="s">
        <v>435</v>
      </c>
      <c r="D364" s="6"/>
      <c r="E364" s="6" t="s">
        <v>569</v>
      </c>
      <c r="F364" s="9" t="s">
        <v>15</v>
      </c>
      <c r="G364" s="10">
        <v>1.07</v>
      </c>
      <c r="H364" s="11"/>
      <c r="I364" s="51">
        <v>8.3460000000000001</v>
      </c>
    </row>
    <row r="365" spans="1:11" ht="36" hidden="1" customHeight="1" x14ac:dyDescent="0.3">
      <c r="A365" s="49" t="s">
        <v>570</v>
      </c>
      <c r="B365" s="4"/>
      <c r="C365" s="8" t="s">
        <v>27</v>
      </c>
      <c r="D365" s="6"/>
      <c r="E365" s="6"/>
      <c r="F365" s="9" t="s">
        <v>16</v>
      </c>
      <c r="G365" s="10">
        <v>1.2</v>
      </c>
      <c r="H365" s="11"/>
      <c r="I365" s="51">
        <v>187.2</v>
      </c>
    </row>
    <row r="366" spans="1:11" ht="36" hidden="1" customHeight="1" x14ac:dyDescent="0.3">
      <c r="A366" s="49" t="s">
        <v>571</v>
      </c>
      <c r="B366" s="4"/>
      <c r="C366" s="12" t="s">
        <v>22</v>
      </c>
      <c r="D366" s="6"/>
      <c r="E366" s="6"/>
      <c r="F366" s="9" t="s">
        <v>16</v>
      </c>
      <c r="G366" s="10">
        <v>0.25</v>
      </c>
      <c r="H366" s="11"/>
      <c r="I366" s="51">
        <v>1.95</v>
      </c>
    </row>
    <row r="367" spans="1:11" ht="36" hidden="1" customHeight="1" x14ac:dyDescent="0.3">
      <c r="A367" s="49" t="s">
        <v>572</v>
      </c>
      <c r="B367" s="4"/>
      <c r="C367" s="12" t="s">
        <v>24</v>
      </c>
      <c r="D367" s="6"/>
      <c r="E367" s="6"/>
      <c r="F367" s="9" t="s">
        <v>16</v>
      </c>
      <c r="G367" s="10">
        <v>0.15</v>
      </c>
      <c r="H367" s="10"/>
      <c r="I367" s="54">
        <v>1.17</v>
      </c>
    </row>
    <row r="368" spans="1:11" ht="54" hidden="1" customHeight="1" x14ac:dyDescent="0.3">
      <c r="A368" s="49" t="s">
        <v>573</v>
      </c>
      <c r="B368" s="4" t="s">
        <v>574</v>
      </c>
      <c r="C368" s="5" t="s">
        <v>575</v>
      </c>
      <c r="D368" s="6"/>
      <c r="E368" s="6" t="s">
        <v>576</v>
      </c>
      <c r="F368" s="6" t="s">
        <v>15</v>
      </c>
      <c r="G368" s="7">
        <v>1</v>
      </c>
      <c r="H368" s="7"/>
      <c r="I368" s="50">
        <v>0</v>
      </c>
    </row>
    <row r="369" spans="1:9" ht="36" hidden="1" customHeight="1" x14ac:dyDescent="0.3">
      <c r="A369" s="49" t="s">
        <v>577</v>
      </c>
      <c r="B369" s="4"/>
      <c r="C369" s="12" t="s">
        <v>24</v>
      </c>
      <c r="D369" s="6"/>
      <c r="E369" s="6"/>
      <c r="F369" s="9" t="s">
        <v>16</v>
      </c>
      <c r="G369" s="10">
        <v>0.15</v>
      </c>
      <c r="H369" s="10"/>
      <c r="I369" s="54">
        <v>0</v>
      </c>
    </row>
    <row r="370" spans="1:9" ht="54" hidden="1" customHeight="1" x14ac:dyDescent="0.3">
      <c r="A370" s="49" t="s">
        <v>578</v>
      </c>
      <c r="B370" s="4"/>
      <c r="C370" s="8" t="s">
        <v>27</v>
      </c>
      <c r="D370" s="6"/>
      <c r="E370" s="6" t="s">
        <v>21</v>
      </c>
      <c r="F370" s="9" t="s">
        <v>16</v>
      </c>
      <c r="G370" s="10">
        <v>1.2</v>
      </c>
      <c r="H370" s="11"/>
      <c r="I370" s="51">
        <v>0</v>
      </c>
    </row>
    <row r="371" spans="1:9" ht="54" hidden="1" customHeight="1" x14ac:dyDescent="0.3">
      <c r="A371" s="49" t="s">
        <v>579</v>
      </c>
      <c r="B371" s="4"/>
      <c r="C371" s="12" t="s">
        <v>580</v>
      </c>
      <c r="D371" s="6"/>
      <c r="E371" s="6" t="s">
        <v>581</v>
      </c>
      <c r="F371" s="9" t="s">
        <v>15</v>
      </c>
      <c r="G371" s="10">
        <v>1.1000000000000001</v>
      </c>
      <c r="H371" s="11"/>
      <c r="I371" s="51">
        <v>0</v>
      </c>
    </row>
    <row r="372" spans="1:9" ht="36" hidden="1" customHeight="1" x14ac:dyDescent="0.3">
      <c r="A372" s="49" t="s">
        <v>582</v>
      </c>
      <c r="B372" s="4"/>
      <c r="C372" s="12" t="s">
        <v>22</v>
      </c>
      <c r="D372" s="6"/>
      <c r="E372" s="6"/>
      <c r="F372" s="9" t="s">
        <v>16</v>
      </c>
      <c r="G372" s="10">
        <v>0.25</v>
      </c>
      <c r="H372" s="11"/>
      <c r="I372" s="51">
        <v>0</v>
      </c>
    </row>
    <row r="373" spans="1:9" ht="54" hidden="1" customHeight="1" x14ac:dyDescent="0.3">
      <c r="A373" s="49" t="s">
        <v>583</v>
      </c>
      <c r="B373" s="4" t="s">
        <v>574</v>
      </c>
      <c r="C373" s="5" t="s">
        <v>575</v>
      </c>
      <c r="D373" s="6"/>
      <c r="E373" s="6" t="s">
        <v>584</v>
      </c>
      <c r="F373" s="6" t="s">
        <v>15</v>
      </c>
      <c r="G373" s="7">
        <v>1</v>
      </c>
      <c r="H373" s="7"/>
      <c r="I373" s="50">
        <v>0</v>
      </c>
    </row>
    <row r="374" spans="1:9" ht="18" hidden="1" customHeight="1" x14ac:dyDescent="0.3">
      <c r="A374" s="49" t="s">
        <v>585</v>
      </c>
      <c r="B374" s="4"/>
      <c r="C374" s="12" t="s">
        <v>527</v>
      </c>
      <c r="D374" s="6"/>
      <c r="E374" s="6"/>
      <c r="F374" s="9" t="s">
        <v>16</v>
      </c>
      <c r="G374" s="10">
        <v>0.25</v>
      </c>
      <c r="H374" s="11"/>
      <c r="I374" s="51">
        <v>0</v>
      </c>
    </row>
    <row r="375" spans="1:9" ht="54" hidden="1" customHeight="1" x14ac:dyDescent="0.3">
      <c r="A375" s="49" t="s">
        <v>586</v>
      </c>
      <c r="B375" s="4"/>
      <c r="C375" s="8" t="s">
        <v>27</v>
      </c>
      <c r="D375" s="6"/>
      <c r="E375" s="6" t="s">
        <v>21</v>
      </c>
      <c r="F375" s="9" t="s">
        <v>16</v>
      </c>
      <c r="G375" s="10">
        <v>1.2</v>
      </c>
      <c r="H375" s="11"/>
      <c r="I375" s="51">
        <v>0</v>
      </c>
    </row>
    <row r="376" spans="1:9" ht="36" hidden="1" customHeight="1" x14ac:dyDescent="0.3">
      <c r="A376" s="49" t="s">
        <v>587</v>
      </c>
      <c r="B376" s="4"/>
      <c r="C376" s="12" t="s">
        <v>24</v>
      </c>
      <c r="D376" s="6"/>
      <c r="E376" s="6"/>
      <c r="F376" s="9" t="s">
        <v>16</v>
      </c>
      <c r="G376" s="10">
        <v>0.15</v>
      </c>
      <c r="H376" s="10"/>
      <c r="I376" s="54">
        <v>0</v>
      </c>
    </row>
    <row r="377" spans="1:9" ht="54" hidden="1" customHeight="1" x14ac:dyDescent="0.3">
      <c r="A377" s="49" t="s">
        <v>588</v>
      </c>
      <c r="B377" s="4"/>
      <c r="C377" s="8" t="s">
        <v>25</v>
      </c>
      <c r="D377" s="6"/>
      <c r="E377" s="6" t="s">
        <v>589</v>
      </c>
      <c r="F377" s="9" t="s">
        <v>15</v>
      </c>
      <c r="G377" s="10">
        <v>1.1000000000000001</v>
      </c>
      <c r="H377" s="11"/>
      <c r="I377" s="51">
        <v>0</v>
      </c>
    </row>
    <row r="378" spans="1:9" ht="16.95" customHeight="1" x14ac:dyDescent="0.3">
      <c r="A378" s="49" t="s">
        <v>590</v>
      </c>
      <c r="B378" s="4" t="s">
        <v>591</v>
      </c>
      <c r="C378" s="33" t="s">
        <v>592</v>
      </c>
      <c r="D378" s="34"/>
      <c r="E378" s="34"/>
      <c r="F378" s="34"/>
      <c r="G378" s="34"/>
      <c r="H378" s="34"/>
      <c r="I378" s="34"/>
    </row>
    <row r="379" spans="1:9" ht="54" hidden="1" customHeight="1" x14ac:dyDescent="0.3">
      <c r="A379" s="49" t="s">
        <v>593</v>
      </c>
      <c r="B379" s="4" t="s">
        <v>594</v>
      </c>
      <c r="C379" s="5" t="s">
        <v>595</v>
      </c>
      <c r="D379" s="6"/>
      <c r="E379" s="6"/>
      <c r="F379" s="6" t="s">
        <v>15</v>
      </c>
      <c r="G379" s="7">
        <v>1</v>
      </c>
      <c r="H379" s="7"/>
      <c r="I379" s="50">
        <v>0</v>
      </c>
    </row>
    <row r="380" spans="1:9" ht="36" hidden="1" customHeight="1" x14ac:dyDescent="0.3">
      <c r="A380" s="49" t="s">
        <v>596</v>
      </c>
      <c r="B380" s="4"/>
      <c r="C380" s="12" t="s">
        <v>597</v>
      </c>
      <c r="D380" s="6"/>
      <c r="E380" s="6" t="s">
        <v>108</v>
      </c>
      <c r="F380" s="9" t="s">
        <v>16</v>
      </c>
      <c r="G380" s="10">
        <v>1.8</v>
      </c>
      <c r="H380" s="11"/>
      <c r="I380" s="51">
        <v>0</v>
      </c>
    </row>
    <row r="381" spans="1:9" ht="18" hidden="1" customHeight="1" x14ac:dyDescent="0.3">
      <c r="A381" s="49" t="s">
        <v>598</v>
      </c>
      <c r="B381" s="4"/>
      <c r="C381" s="12" t="s">
        <v>599</v>
      </c>
      <c r="D381" s="6"/>
      <c r="E381" s="6"/>
      <c r="F381" s="9" t="s">
        <v>18</v>
      </c>
      <c r="G381" s="10">
        <v>1</v>
      </c>
      <c r="H381" s="10"/>
      <c r="I381" s="54">
        <v>0</v>
      </c>
    </row>
    <row r="382" spans="1:9" ht="18" hidden="1" customHeight="1" x14ac:dyDescent="0.3">
      <c r="A382" s="49" t="s">
        <v>600</v>
      </c>
      <c r="B382" s="4"/>
      <c r="C382" s="12" t="s">
        <v>53</v>
      </c>
      <c r="D382" s="6"/>
      <c r="E382" s="6"/>
      <c r="F382" s="9" t="s">
        <v>16</v>
      </c>
      <c r="G382" s="10">
        <v>0.25</v>
      </c>
      <c r="H382" s="10"/>
      <c r="I382" s="54">
        <v>0</v>
      </c>
    </row>
    <row r="383" spans="1:9" ht="54" hidden="1" customHeight="1" x14ac:dyDescent="0.3">
      <c r="A383" s="49" t="s">
        <v>601</v>
      </c>
      <c r="B383" s="4" t="s">
        <v>602</v>
      </c>
      <c r="C383" s="5" t="s">
        <v>603</v>
      </c>
      <c r="D383" s="6"/>
      <c r="E383" s="6" t="s">
        <v>604</v>
      </c>
      <c r="F383" s="6" t="s">
        <v>15</v>
      </c>
      <c r="G383" s="7">
        <v>1</v>
      </c>
      <c r="H383" s="7"/>
      <c r="I383" s="50">
        <v>0</v>
      </c>
    </row>
    <row r="384" spans="1:9" ht="36" hidden="1" customHeight="1" x14ac:dyDescent="0.3">
      <c r="A384" s="49" t="s">
        <v>605</v>
      </c>
      <c r="B384" s="4"/>
      <c r="C384" s="8" t="s">
        <v>39</v>
      </c>
      <c r="D384" s="6"/>
      <c r="E384" s="6" t="s">
        <v>61</v>
      </c>
      <c r="F384" s="9" t="s">
        <v>16</v>
      </c>
      <c r="G384" s="10">
        <v>4.5</v>
      </c>
      <c r="H384" s="10"/>
      <c r="I384" s="54">
        <v>0</v>
      </c>
    </row>
    <row r="385" spans="1:9" ht="36" hidden="1" customHeight="1" x14ac:dyDescent="0.3">
      <c r="A385" s="49" t="s">
        <v>606</v>
      </c>
      <c r="B385" s="4"/>
      <c r="C385" s="12" t="s">
        <v>607</v>
      </c>
      <c r="D385" s="6"/>
      <c r="E385" s="6"/>
      <c r="F385" s="9" t="s">
        <v>20</v>
      </c>
      <c r="G385" s="10">
        <v>0.3</v>
      </c>
      <c r="H385" s="11"/>
      <c r="I385" s="51">
        <v>0</v>
      </c>
    </row>
    <row r="386" spans="1:9" ht="36" hidden="1" customHeight="1" x14ac:dyDescent="0.3">
      <c r="A386" s="49" t="s">
        <v>608</v>
      </c>
      <c r="B386" s="4"/>
      <c r="C386" s="12" t="s">
        <v>23</v>
      </c>
      <c r="D386" s="6"/>
      <c r="E386" s="6"/>
      <c r="F386" s="9" t="s">
        <v>16</v>
      </c>
      <c r="G386" s="10">
        <v>0.15</v>
      </c>
      <c r="H386" s="10"/>
      <c r="I386" s="54">
        <v>0</v>
      </c>
    </row>
    <row r="387" spans="1:9" ht="54" hidden="1" customHeight="1" x14ac:dyDescent="0.3">
      <c r="A387" s="49" t="s">
        <v>609</v>
      </c>
      <c r="B387" s="4" t="s">
        <v>602</v>
      </c>
      <c r="C387" s="5" t="s">
        <v>603</v>
      </c>
      <c r="D387" s="6"/>
      <c r="E387" s="6" t="s">
        <v>610</v>
      </c>
      <c r="F387" s="6" t="s">
        <v>15</v>
      </c>
      <c r="G387" s="7">
        <v>1</v>
      </c>
      <c r="H387" s="7"/>
      <c r="I387" s="50">
        <v>0</v>
      </c>
    </row>
    <row r="388" spans="1:9" ht="36" hidden="1" customHeight="1" x14ac:dyDescent="0.3">
      <c r="A388" s="49" t="s">
        <v>611</v>
      </c>
      <c r="B388" s="4"/>
      <c r="C388" s="12" t="s">
        <v>23</v>
      </c>
      <c r="D388" s="6"/>
      <c r="E388" s="6"/>
      <c r="F388" s="9" t="s">
        <v>16</v>
      </c>
      <c r="G388" s="10">
        <v>0.15</v>
      </c>
      <c r="H388" s="10"/>
      <c r="I388" s="54">
        <v>0</v>
      </c>
    </row>
    <row r="389" spans="1:9" ht="36" hidden="1" customHeight="1" x14ac:dyDescent="0.3">
      <c r="A389" s="49" t="s">
        <v>612</v>
      </c>
      <c r="B389" s="4"/>
      <c r="C389" s="12" t="s">
        <v>607</v>
      </c>
      <c r="D389" s="6"/>
      <c r="E389" s="6"/>
      <c r="F389" s="9" t="s">
        <v>20</v>
      </c>
      <c r="G389" s="10">
        <v>0.3</v>
      </c>
      <c r="H389" s="11"/>
      <c r="I389" s="51">
        <v>0</v>
      </c>
    </row>
    <row r="390" spans="1:9" ht="36" hidden="1" customHeight="1" x14ac:dyDescent="0.3">
      <c r="A390" s="49" t="s">
        <v>613</v>
      </c>
      <c r="B390" s="4"/>
      <c r="C390" s="8" t="s">
        <v>39</v>
      </c>
      <c r="D390" s="6"/>
      <c r="E390" s="6" t="s">
        <v>71</v>
      </c>
      <c r="F390" s="9" t="s">
        <v>16</v>
      </c>
      <c r="G390" s="10">
        <v>4.5</v>
      </c>
      <c r="H390" s="10"/>
      <c r="I390" s="54">
        <v>0</v>
      </c>
    </row>
    <row r="391" spans="1:9" ht="54" hidden="1" customHeight="1" x14ac:dyDescent="0.3">
      <c r="A391" s="49" t="s">
        <v>614</v>
      </c>
      <c r="B391" s="4" t="s">
        <v>602</v>
      </c>
      <c r="C391" s="5" t="s">
        <v>603</v>
      </c>
      <c r="D391" s="6"/>
      <c r="E391" s="6" t="s">
        <v>604</v>
      </c>
      <c r="F391" s="6" t="s">
        <v>15</v>
      </c>
      <c r="G391" s="7">
        <v>1</v>
      </c>
      <c r="H391" s="7"/>
      <c r="I391" s="50">
        <v>0</v>
      </c>
    </row>
    <row r="392" spans="1:9" ht="36" hidden="1" customHeight="1" x14ac:dyDescent="0.3">
      <c r="A392" s="49" t="s">
        <v>615</v>
      </c>
      <c r="B392" s="4"/>
      <c r="C392" s="8" t="s">
        <v>39</v>
      </c>
      <c r="D392" s="6"/>
      <c r="E392" s="6"/>
      <c r="F392" s="9" t="s">
        <v>16</v>
      </c>
      <c r="G392" s="10">
        <v>4.5</v>
      </c>
      <c r="H392" s="10"/>
      <c r="I392" s="54">
        <v>0</v>
      </c>
    </row>
    <row r="393" spans="1:9" ht="18" hidden="1" customHeight="1" x14ac:dyDescent="0.3">
      <c r="A393" s="49" t="s">
        <v>616</v>
      </c>
      <c r="B393" s="4"/>
      <c r="C393" s="12" t="s">
        <v>63</v>
      </c>
      <c r="D393" s="6"/>
      <c r="E393" s="6"/>
      <c r="F393" s="9" t="s">
        <v>20</v>
      </c>
      <c r="G393" s="10">
        <v>0.3</v>
      </c>
      <c r="H393" s="10"/>
      <c r="I393" s="54">
        <v>0</v>
      </c>
    </row>
    <row r="394" spans="1:9" ht="36" hidden="1" customHeight="1" x14ac:dyDescent="0.3">
      <c r="A394" s="49" t="s">
        <v>617</v>
      </c>
      <c r="B394" s="4"/>
      <c r="C394" s="12" t="s">
        <v>23</v>
      </c>
      <c r="D394" s="6"/>
      <c r="E394" s="6"/>
      <c r="F394" s="9" t="s">
        <v>16</v>
      </c>
      <c r="G394" s="10">
        <v>0.15</v>
      </c>
      <c r="H394" s="10"/>
      <c r="I394" s="54">
        <v>0</v>
      </c>
    </row>
    <row r="395" spans="1:9" ht="54" hidden="1" customHeight="1" x14ac:dyDescent="0.3">
      <c r="A395" s="49" t="s">
        <v>618</v>
      </c>
      <c r="B395" s="4" t="s">
        <v>602</v>
      </c>
      <c r="C395" s="5" t="s">
        <v>603</v>
      </c>
      <c r="D395" s="6"/>
      <c r="E395" s="6" t="s">
        <v>610</v>
      </c>
      <c r="F395" s="6" t="s">
        <v>15</v>
      </c>
      <c r="G395" s="7">
        <v>1</v>
      </c>
      <c r="H395" s="7"/>
      <c r="I395" s="50">
        <v>0</v>
      </c>
    </row>
    <row r="396" spans="1:9" ht="36" hidden="1" customHeight="1" x14ac:dyDescent="0.3">
      <c r="A396" s="49" t="s">
        <v>619</v>
      </c>
      <c r="B396" s="4"/>
      <c r="C396" s="12" t="s">
        <v>23</v>
      </c>
      <c r="D396" s="6"/>
      <c r="E396" s="6"/>
      <c r="F396" s="9" t="s">
        <v>16</v>
      </c>
      <c r="G396" s="10">
        <v>0.15</v>
      </c>
      <c r="H396" s="10"/>
      <c r="I396" s="54">
        <v>0</v>
      </c>
    </row>
    <row r="397" spans="1:9" ht="36" hidden="1" customHeight="1" x14ac:dyDescent="0.3">
      <c r="A397" s="49" t="s">
        <v>620</v>
      </c>
      <c r="B397" s="4"/>
      <c r="C397" s="8" t="s">
        <v>39</v>
      </c>
      <c r="D397" s="6"/>
      <c r="E397" s="6"/>
      <c r="F397" s="9" t="s">
        <v>16</v>
      </c>
      <c r="G397" s="10">
        <v>4.5</v>
      </c>
      <c r="H397" s="10"/>
      <c r="I397" s="54">
        <v>0</v>
      </c>
    </row>
    <row r="398" spans="1:9" ht="54" x14ac:dyDescent="0.3">
      <c r="A398" s="49" t="s">
        <v>621</v>
      </c>
      <c r="B398" s="4" t="s">
        <v>602</v>
      </c>
      <c r="C398" s="13" t="s">
        <v>603</v>
      </c>
      <c r="D398" s="14"/>
      <c r="E398" s="14" t="s">
        <v>604</v>
      </c>
      <c r="F398" s="14" t="s">
        <v>15</v>
      </c>
      <c r="G398" s="15">
        <v>1</v>
      </c>
      <c r="H398" s="15"/>
      <c r="I398" s="52">
        <v>662.77499999999998</v>
      </c>
    </row>
    <row r="399" spans="1:9" ht="36" hidden="1" customHeight="1" x14ac:dyDescent="0.3">
      <c r="A399" s="49" t="s">
        <v>622</v>
      </c>
      <c r="B399" s="4"/>
      <c r="C399" s="16" t="s">
        <v>39</v>
      </c>
      <c r="D399" s="14"/>
      <c r="E399" s="14"/>
      <c r="F399" s="17" t="s">
        <v>16</v>
      </c>
      <c r="G399" s="18">
        <v>4.5</v>
      </c>
      <c r="H399" s="18"/>
      <c r="I399" s="55">
        <v>2982.4879999999998</v>
      </c>
    </row>
    <row r="400" spans="1:9" ht="18" hidden="1" customHeight="1" x14ac:dyDescent="0.3">
      <c r="A400" s="49" t="s">
        <v>623</v>
      </c>
      <c r="B400" s="4"/>
      <c r="C400" s="19" t="s">
        <v>63</v>
      </c>
      <c r="D400" s="14"/>
      <c r="E400" s="14"/>
      <c r="F400" s="17" t="s">
        <v>20</v>
      </c>
      <c r="G400" s="18">
        <v>0.3</v>
      </c>
      <c r="H400" s="18"/>
      <c r="I400" s="55">
        <v>198.833</v>
      </c>
    </row>
    <row r="401" spans="1:9" ht="36" hidden="1" customHeight="1" x14ac:dyDescent="0.3">
      <c r="A401" s="49" t="s">
        <v>624</v>
      </c>
      <c r="B401" s="4"/>
      <c r="C401" s="19" t="s">
        <v>23</v>
      </c>
      <c r="D401" s="14"/>
      <c r="E401" s="14"/>
      <c r="F401" s="17" t="s">
        <v>16</v>
      </c>
      <c r="G401" s="18">
        <v>0.15</v>
      </c>
      <c r="H401" s="18"/>
      <c r="I401" s="55">
        <v>99.415999999999997</v>
      </c>
    </row>
    <row r="402" spans="1:9" ht="54" x14ac:dyDescent="0.3">
      <c r="A402" s="49" t="s">
        <v>625</v>
      </c>
      <c r="B402" s="4" t="s">
        <v>602</v>
      </c>
      <c r="C402" s="13" t="s">
        <v>603</v>
      </c>
      <c r="D402" s="14"/>
      <c r="E402" s="14" t="s">
        <v>610</v>
      </c>
      <c r="F402" s="14" t="s">
        <v>15</v>
      </c>
      <c r="G402" s="15">
        <v>1</v>
      </c>
      <c r="H402" s="15"/>
      <c r="I402" s="52">
        <v>662.77499999999998</v>
      </c>
    </row>
    <row r="403" spans="1:9" ht="36" hidden="1" customHeight="1" x14ac:dyDescent="0.3">
      <c r="A403" s="49" t="s">
        <v>626</v>
      </c>
      <c r="B403" s="4"/>
      <c r="C403" s="19" t="s">
        <v>23</v>
      </c>
      <c r="D403" s="14"/>
      <c r="E403" s="14"/>
      <c r="F403" s="17" t="s">
        <v>16</v>
      </c>
      <c r="G403" s="18">
        <v>0.15</v>
      </c>
      <c r="H403" s="18"/>
      <c r="I403" s="55">
        <v>99.415999999999997</v>
      </c>
    </row>
    <row r="404" spans="1:9" ht="36" hidden="1" customHeight="1" x14ac:dyDescent="0.3">
      <c r="A404" s="49" t="s">
        <v>627</v>
      </c>
      <c r="B404" s="4"/>
      <c r="C404" s="16" t="s">
        <v>39</v>
      </c>
      <c r="D404" s="14"/>
      <c r="E404" s="14"/>
      <c r="F404" s="17" t="s">
        <v>16</v>
      </c>
      <c r="G404" s="18">
        <v>4.5</v>
      </c>
      <c r="H404" s="18"/>
      <c r="I404" s="55">
        <v>2982.4879999999998</v>
      </c>
    </row>
    <row r="405" spans="1:9" ht="54" hidden="1" customHeight="1" x14ac:dyDescent="0.3">
      <c r="A405" s="49" t="s">
        <v>628</v>
      </c>
      <c r="B405" s="4" t="s">
        <v>629</v>
      </c>
      <c r="C405" s="5" t="s">
        <v>630</v>
      </c>
      <c r="D405" s="6"/>
      <c r="E405" s="6" t="s">
        <v>14</v>
      </c>
      <c r="F405" s="6" t="s">
        <v>15</v>
      </c>
      <c r="G405" s="7">
        <v>1</v>
      </c>
      <c r="H405" s="7"/>
      <c r="I405" s="50">
        <v>0</v>
      </c>
    </row>
    <row r="406" spans="1:9" ht="18" hidden="1" customHeight="1" x14ac:dyDescent="0.3">
      <c r="A406" s="49" t="s">
        <v>631</v>
      </c>
      <c r="B406" s="4"/>
      <c r="C406" s="12" t="s">
        <v>632</v>
      </c>
      <c r="D406" s="6"/>
      <c r="E406" s="6"/>
      <c r="F406" s="9" t="s">
        <v>16</v>
      </c>
      <c r="G406" s="10">
        <v>0.3</v>
      </c>
      <c r="H406" s="10"/>
      <c r="I406" s="54">
        <v>0</v>
      </c>
    </row>
    <row r="407" spans="1:9" ht="36" hidden="1" customHeight="1" x14ac:dyDescent="0.3">
      <c r="A407" s="49" t="s">
        <v>633</v>
      </c>
      <c r="B407" s="4"/>
      <c r="C407" s="12" t="s">
        <v>23</v>
      </c>
      <c r="D407" s="6"/>
      <c r="E407" s="6"/>
      <c r="F407" s="9" t="s">
        <v>16</v>
      </c>
      <c r="G407" s="10">
        <v>0.1</v>
      </c>
      <c r="H407" s="10"/>
      <c r="I407" s="54">
        <v>0</v>
      </c>
    </row>
    <row r="408" spans="1:9" ht="54" hidden="1" customHeight="1" x14ac:dyDescent="0.3">
      <c r="A408" s="49" t="s">
        <v>634</v>
      </c>
      <c r="B408" s="4" t="s">
        <v>629</v>
      </c>
      <c r="C408" s="5" t="s">
        <v>630</v>
      </c>
      <c r="D408" s="6"/>
      <c r="E408" s="6" t="s">
        <v>17</v>
      </c>
      <c r="F408" s="6" t="s">
        <v>15</v>
      </c>
      <c r="G408" s="7">
        <v>1</v>
      </c>
      <c r="H408" s="7"/>
      <c r="I408" s="50">
        <v>0</v>
      </c>
    </row>
    <row r="409" spans="1:9" ht="36" hidden="1" customHeight="1" x14ac:dyDescent="0.3">
      <c r="A409" s="49" t="s">
        <v>635</v>
      </c>
      <c r="B409" s="4"/>
      <c r="C409" s="12" t="s">
        <v>23</v>
      </c>
      <c r="D409" s="6"/>
      <c r="E409" s="6"/>
      <c r="F409" s="9" t="s">
        <v>16</v>
      </c>
      <c r="G409" s="10">
        <v>0.1</v>
      </c>
      <c r="H409" s="10"/>
      <c r="I409" s="54">
        <v>0</v>
      </c>
    </row>
    <row r="410" spans="1:9" ht="36" hidden="1" customHeight="1" x14ac:dyDescent="0.3">
      <c r="A410" s="49" t="s">
        <v>636</v>
      </c>
      <c r="B410" s="4"/>
      <c r="C410" s="12" t="s">
        <v>637</v>
      </c>
      <c r="D410" s="6"/>
      <c r="E410" s="6"/>
      <c r="F410" s="9" t="s">
        <v>16</v>
      </c>
      <c r="G410" s="10">
        <v>0.3</v>
      </c>
      <c r="H410" s="10"/>
      <c r="I410" s="54">
        <v>0</v>
      </c>
    </row>
    <row r="411" spans="1:9" ht="54" x14ac:dyDescent="0.3">
      <c r="A411" s="49" t="s">
        <v>638</v>
      </c>
      <c r="B411" s="4" t="s">
        <v>629</v>
      </c>
      <c r="C411" s="13" t="s">
        <v>630</v>
      </c>
      <c r="D411" s="14"/>
      <c r="E411" s="14" t="s">
        <v>14</v>
      </c>
      <c r="F411" s="14" t="s">
        <v>15</v>
      </c>
      <c r="G411" s="15">
        <v>1</v>
      </c>
      <c r="H411" s="15"/>
      <c r="I411" s="52">
        <v>389.59500000000003</v>
      </c>
    </row>
    <row r="412" spans="1:9" ht="108" hidden="1" customHeight="1" x14ac:dyDescent="0.3">
      <c r="A412" s="49" t="s">
        <v>639</v>
      </c>
      <c r="B412" s="4"/>
      <c r="C412" s="19" t="s">
        <v>632</v>
      </c>
      <c r="D412" s="14"/>
      <c r="E412" s="14" t="s">
        <v>258</v>
      </c>
      <c r="F412" s="17" t="s">
        <v>16</v>
      </c>
      <c r="G412" s="18">
        <v>0.3</v>
      </c>
      <c r="H412" s="18"/>
      <c r="I412" s="55">
        <v>116.879</v>
      </c>
    </row>
    <row r="413" spans="1:9" ht="36" hidden="1" customHeight="1" x14ac:dyDescent="0.3">
      <c r="A413" s="49" t="s">
        <v>640</v>
      </c>
      <c r="B413" s="4"/>
      <c r="C413" s="19" t="s">
        <v>23</v>
      </c>
      <c r="D413" s="14"/>
      <c r="E413" s="14"/>
      <c r="F413" s="17" t="s">
        <v>16</v>
      </c>
      <c r="G413" s="18">
        <v>0.1</v>
      </c>
      <c r="H413" s="18"/>
      <c r="I413" s="55">
        <v>38.96</v>
      </c>
    </row>
    <row r="414" spans="1:9" ht="54" x14ac:dyDescent="0.3">
      <c r="A414" s="49" t="s">
        <v>641</v>
      </c>
      <c r="B414" s="4" t="s">
        <v>629</v>
      </c>
      <c r="C414" s="13" t="s">
        <v>630</v>
      </c>
      <c r="D414" s="14"/>
      <c r="E414" s="14" t="s">
        <v>17</v>
      </c>
      <c r="F414" s="14" t="s">
        <v>15</v>
      </c>
      <c r="G414" s="15">
        <v>1</v>
      </c>
      <c r="H414" s="15"/>
      <c r="I414" s="52">
        <v>273.18</v>
      </c>
    </row>
    <row r="415" spans="1:9" ht="36" hidden="1" customHeight="1" x14ac:dyDescent="0.3">
      <c r="A415" s="49" t="s">
        <v>642</v>
      </c>
      <c r="B415" s="4"/>
      <c r="C415" s="19" t="s">
        <v>23</v>
      </c>
      <c r="D415" s="14"/>
      <c r="E415" s="14"/>
      <c r="F415" s="17" t="s">
        <v>16</v>
      </c>
      <c r="G415" s="18">
        <v>0.1</v>
      </c>
      <c r="H415" s="18"/>
      <c r="I415" s="55">
        <v>27.318000000000001</v>
      </c>
    </row>
    <row r="416" spans="1:9" ht="108" hidden="1" customHeight="1" x14ac:dyDescent="0.3">
      <c r="A416" s="49" t="s">
        <v>643</v>
      </c>
      <c r="B416" s="4"/>
      <c r="C416" s="19" t="s">
        <v>632</v>
      </c>
      <c r="D416" s="14"/>
      <c r="E416" s="14" t="s">
        <v>258</v>
      </c>
      <c r="F416" s="17" t="s">
        <v>16</v>
      </c>
      <c r="G416" s="18">
        <v>0.3</v>
      </c>
      <c r="H416" s="18"/>
      <c r="I416" s="55">
        <v>81.953999999999994</v>
      </c>
    </row>
    <row r="417" spans="1:9" ht="36" hidden="1" customHeight="1" x14ac:dyDescent="0.3">
      <c r="A417" s="49" t="s">
        <v>644</v>
      </c>
      <c r="B417" s="4" t="s">
        <v>645</v>
      </c>
      <c r="C417" s="5" t="s">
        <v>646</v>
      </c>
      <c r="D417" s="6" t="s">
        <v>647</v>
      </c>
      <c r="E417" s="6" t="s">
        <v>876</v>
      </c>
      <c r="F417" s="6" t="s">
        <v>15</v>
      </c>
      <c r="G417" s="7">
        <v>1</v>
      </c>
      <c r="H417" s="7"/>
      <c r="I417" s="50">
        <v>0</v>
      </c>
    </row>
    <row r="418" spans="1:9" ht="18" hidden="1" customHeight="1" x14ac:dyDescent="0.3">
      <c r="A418" s="49" t="s">
        <v>648</v>
      </c>
      <c r="B418" s="4"/>
      <c r="C418" s="12" t="s">
        <v>649</v>
      </c>
      <c r="D418" s="6"/>
      <c r="E418" s="6"/>
      <c r="F418" s="9" t="s">
        <v>16</v>
      </c>
      <c r="G418" s="10">
        <v>0.35</v>
      </c>
      <c r="H418" s="10"/>
      <c r="I418" s="54">
        <v>0</v>
      </c>
    </row>
    <row r="419" spans="1:9" ht="36" hidden="1" customHeight="1" x14ac:dyDescent="0.3">
      <c r="A419" s="49" t="s">
        <v>650</v>
      </c>
      <c r="B419" s="4"/>
      <c r="C419" s="12" t="s">
        <v>651</v>
      </c>
      <c r="D419" s="6"/>
      <c r="E419" s="6"/>
      <c r="F419" s="9" t="s">
        <v>15</v>
      </c>
      <c r="G419" s="10">
        <v>1.05</v>
      </c>
      <c r="H419" s="10"/>
      <c r="I419" s="54">
        <v>0</v>
      </c>
    </row>
    <row r="420" spans="1:9" ht="18" hidden="1" customHeight="1" x14ac:dyDescent="0.3">
      <c r="A420" s="49" t="s">
        <v>652</v>
      </c>
      <c r="B420" s="4"/>
      <c r="C420" s="12" t="s">
        <v>653</v>
      </c>
      <c r="D420" s="6"/>
      <c r="E420" s="6"/>
      <c r="F420" s="9" t="s">
        <v>20</v>
      </c>
      <c r="G420" s="10">
        <v>0.6</v>
      </c>
      <c r="H420" s="10"/>
      <c r="I420" s="54">
        <v>0</v>
      </c>
    </row>
    <row r="421" spans="1:9" ht="18" hidden="1" customHeight="1" x14ac:dyDescent="0.3">
      <c r="A421" s="49" t="s">
        <v>654</v>
      </c>
      <c r="B421" s="4"/>
      <c r="C421" s="12" t="s">
        <v>655</v>
      </c>
      <c r="D421" s="6"/>
      <c r="E421" s="6"/>
      <c r="F421" s="9" t="s">
        <v>20</v>
      </c>
      <c r="G421" s="10">
        <v>20</v>
      </c>
      <c r="H421" s="10"/>
      <c r="I421" s="54">
        <v>0</v>
      </c>
    </row>
    <row r="422" spans="1:9" ht="36" hidden="1" customHeight="1" x14ac:dyDescent="0.3">
      <c r="A422" s="49" t="s">
        <v>656</v>
      </c>
      <c r="B422" s="4" t="s">
        <v>657</v>
      </c>
      <c r="C422" s="5" t="s">
        <v>658</v>
      </c>
      <c r="D422" s="6"/>
      <c r="E422" s="6" t="s">
        <v>659</v>
      </c>
      <c r="F422" s="6" t="s">
        <v>15</v>
      </c>
      <c r="G422" s="7">
        <v>1</v>
      </c>
      <c r="H422" s="7"/>
      <c r="I422" s="50">
        <v>0</v>
      </c>
    </row>
    <row r="423" spans="1:9" ht="18" hidden="1" customHeight="1" x14ac:dyDescent="0.3">
      <c r="A423" s="49" t="s">
        <v>660</v>
      </c>
      <c r="B423" s="4"/>
      <c r="C423" s="12" t="s">
        <v>661</v>
      </c>
      <c r="D423" s="6"/>
      <c r="E423" s="6"/>
      <c r="F423" s="9" t="s">
        <v>18</v>
      </c>
      <c r="G423" s="10">
        <v>1</v>
      </c>
      <c r="H423" s="11"/>
      <c r="I423" s="51">
        <v>0</v>
      </c>
    </row>
    <row r="424" spans="1:9" ht="18" hidden="1" customHeight="1" x14ac:dyDescent="0.3">
      <c r="A424" s="49" t="s">
        <v>662</v>
      </c>
      <c r="B424" s="4"/>
      <c r="C424" s="12" t="s">
        <v>663</v>
      </c>
      <c r="D424" s="6"/>
      <c r="E424" s="6"/>
      <c r="F424" s="9" t="s">
        <v>18</v>
      </c>
      <c r="G424" s="10">
        <v>1</v>
      </c>
      <c r="H424" s="11"/>
      <c r="I424" s="51">
        <v>0</v>
      </c>
    </row>
    <row r="425" spans="1:9" ht="18" hidden="1" customHeight="1" x14ac:dyDescent="0.3">
      <c r="A425" s="49" t="s">
        <v>664</v>
      </c>
      <c r="B425" s="4"/>
      <c r="C425" s="12" t="s">
        <v>665</v>
      </c>
      <c r="D425" s="6"/>
      <c r="E425" s="6"/>
      <c r="F425" s="9" t="s">
        <v>15</v>
      </c>
      <c r="G425" s="10">
        <v>1.1000000000000001</v>
      </c>
      <c r="H425" s="10"/>
      <c r="I425" s="54">
        <v>0</v>
      </c>
    </row>
    <row r="426" spans="1:9" ht="36" hidden="1" customHeight="1" x14ac:dyDescent="0.3">
      <c r="A426" s="49" t="s">
        <v>666</v>
      </c>
      <c r="B426" s="4" t="s">
        <v>657</v>
      </c>
      <c r="C426" s="5" t="s">
        <v>658</v>
      </c>
      <c r="D426" s="6"/>
      <c r="E426" s="6" t="s">
        <v>667</v>
      </c>
      <c r="F426" s="6" t="s">
        <v>15</v>
      </c>
      <c r="G426" s="7">
        <v>1</v>
      </c>
      <c r="H426" s="7"/>
      <c r="I426" s="50">
        <v>0</v>
      </c>
    </row>
    <row r="427" spans="1:9" ht="18" hidden="1" customHeight="1" x14ac:dyDescent="0.3">
      <c r="A427" s="49" t="s">
        <v>668</v>
      </c>
      <c r="B427" s="4"/>
      <c r="C427" s="12" t="s">
        <v>665</v>
      </c>
      <c r="D427" s="6"/>
      <c r="E427" s="6"/>
      <c r="F427" s="9" t="s">
        <v>15</v>
      </c>
      <c r="G427" s="10">
        <v>1.1000000000000001</v>
      </c>
      <c r="H427" s="10"/>
      <c r="I427" s="54">
        <v>0</v>
      </c>
    </row>
    <row r="428" spans="1:9" ht="18" hidden="1" customHeight="1" x14ac:dyDescent="0.3">
      <c r="A428" s="49" t="s">
        <v>669</v>
      </c>
      <c r="B428" s="4"/>
      <c r="C428" s="12" t="s">
        <v>661</v>
      </c>
      <c r="D428" s="6"/>
      <c r="E428" s="6"/>
      <c r="F428" s="9" t="s">
        <v>18</v>
      </c>
      <c r="G428" s="10">
        <v>1</v>
      </c>
      <c r="H428" s="11"/>
      <c r="I428" s="51">
        <v>0</v>
      </c>
    </row>
    <row r="429" spans="1:9" ht="18" hidden="1" customHeight="1" x14ac:dyDescent="0.3">
      <c r="A429" s="49" t="s">
        <v>670</v>
      </c>
      <c r="B429" s="4"/>
      <c r="C429" s="12" t="s">
        <v>663</v>
      </c>
      <c r="D429" s="6"/>
      <c r="E429" s="6"/>
      <c r="F429" s="9" t="s">
        <v>18</v>
      </c>
      <c r="G429" s="10">
        <v>1</v>
      </c>
      <c r="H429" s="11"/>
      <c r="I429" s="51">
        <v>0</v>
      </c>
    </row>
    <row r="430" spans="1:9" ht="72" x14ac:dyDescent="0.3">
      <c r="A430" s="49" t="s">
        <v>671</v>
      </c>
      <c r="B430" s="4" t="s">
        <v>657</v>
      </c>
      <c r="C430" s="13" t="s">
        <v>658</v>
      </c>
      <c r="D430" s="14"/>
      <c r="E430" s="14" t="s">
        <v>672</v>
      </c>
      <c r="F430" s="14" t="s">
        <v>15</v>
      </c>
      <c r="G430" s="15">
        <v>1</v>
      </c>
      <c r="H430" s="15"/>
      <c r="I430" s="52">
        <v>26.1</v>
      </c>
    </row>
    <row r="431" spans="1:9" ht="18" hidden="1" customHeight="1" x14ac:dyDescent="0.3">
      <c r="A431" s="49" t="s">
        <v>673</v>
      </c>
      <c r="B431" s="4"/>
      <c r="C431" s="16" t="s">
        <v>674</v>
      </c>
      <c r="D431" s="14"/>
      <c r="E431" s="14"/>
      <c r="F431" s="17" t="s">
        <v>15</v>
      </c>
      <c r="G431" s="18">
        <v>1.1000000000000001</v>
      </c>
      <c r="H431" s="18"/>
      <c r="I431" s="55">
        <v>28.71</v>
      </c>
    </row>
    <row r="432" spans="1:9" ht="18" hidden="1" customHeight="1" x14ac:dyDescent="0.3">
      <c r="A432" s="49" t="s">
        <v>675</v>
      </c>
      <c r="B432" s="4"/>
      <c r="C432" s="19" t="s">
        <v>661</v>
      </c>
      <c r="D432" s="14"/>
      <c r="E432" s="14"/>
      <c r="F432" s="17" t="s">
        <v>18</v>
      </c>
      <c r="G432" s="18">
        <v>1</v>
      </c>
      <c r="H432" s="20"/>
      <c r="I432" s="53">
        <v>94</v>
      </c>
    </row>
    <row r="433" spans="1:9" ht="18" hidden="1" customHeight="1" x14ac:dyDescent="0.3">
      <c r="A433" s="49" t="s">
        <v>676</v>
      </c>
      <c r="B433" s="4"/>
      <c r="C433" s="19" t="s">
        <v>663</v>
      </c>
      <c r="D433" s="14"/>
      <c r="E433" s="14"/>
      <c r="F433" s="17" t="s">
        <v>18</v>
      </c>
      <c r="G433" s="18">
        <v>1</v>
      </c>
      <c r="H433" s="20"/>
      <c r="I433" s="53">
        <v>46</v>
      </c>
    </row>
    <row r="434" spans="1:9" ht="36" hidden="1" customHeight="1" x14ac:dyDescent="0.3">
      <c r="A434" s="49" t="s">
        <v>677</v>
      </c>
      <c r="B434" s="4" t="s">
        <v>678</v>
      </c>
      <c r="C434" s="5" t="s">
        <v>679</v>
      </c>
      <c r="D434" s="6"/>
      <c r="E434" s="6" t="s">
        <v>14</v>
      </c>
      <c r="F434" s="6" t="s">
        <v>15</v>
      </c>
      <c r="G434" s="7">
        <v>1</v>
      </c>
      <c r="H434" s="7"/>
      <c r="I434" s="50">
        <v>0</v>
      </c>
    </row>
    <row r="435" spans="1:9" ht="18" hidden="1" customHeight="1" x14ac:dyDescent="0.3">
      <c r="A435" s="49" t="s">
        <v>680</v>
      </c>
      <c r="B435" s="4"/>
      <c r="C435" s="12" t="s">
        <v>661</v>
      </c>
      <c r="D435" s="6"/>
      <c r="E435" s="6"/>
      <c r="F435" s="9" t="s">
        <v>18</v>
      </c>
      <c r="G435" s="10">
        <v>1</v>
      </c>
      <c r="H435" s="11"/>
      <c r="I435" s="51">
        <v>0</v>
      </c>
    </row>
    <row r="436" spans="1:9" ht="18" hidden="1" customHeight="1" x14ac:dyDescent="0.3">
      <c r="A436" s="49" t="s">
        <v>681</v>
      </c>
      <c r="B436" s="4"/>
      <c r="C436" s="12" t="s">
        <v>663</v>
      </c>
      <c r="D436" s="6"/>
      <c r="E436" s="6"/>
      <c r="F436" s="9" t="s">
        <v>18</v>
      </c>
      <c r="G436" s="10">
        <v>1</v>
      </c>
      <c r="H436" s="11"/>
      <c r="I436" s="51">
        <v>0</v>
      </c>
    </row>
    <row r="437" spans="1:9" ht="18" hidden="1" customHeight="1" x14ac:dyDescent="0.3">
      <c r="A437" s="49" t="s">
        <v>682</v>
      </c>
      <c r="B437" s="4"/>
      <c r="C437" s="8" t="s">
        <v>674</v>
      </c>
      <c r="D437" s="6"/>
      <c r="E437" s="6"/>
      <c r="F437" s="9" t="s">
        <v>15</v>
      </c>
      <c r="G437" s="10">
        <v>1.1000000000000001</v>
      </c>
      <c r="H437" s="11"/>
      <c r="I437" s="51">
        <v>0</v>
      </c>
    </row>
    <row r="438" spans="1:9" ht="36" hidden="1" customHeight="1" x14ac:dyDescent="0.3">
      <c r="A438" s="49" t="s">
        <v>683</v>
      </c>
      <c r="B438" s="4" t="s">
        <v>678</v>
      </c>
      <c r="C438" s="5" t="s">
        <v>679</v>
      </c>
      <c r="D438" s="6"/>
      <c r="E438" s="6" t="s">
        <v>684</v>
      </c>
      <c r="F438" s="6" t="s">
        <v>15</v>
      </c>
      <c r="G438" s="7">
        <v>1</v>
      </c>
      <c r="H438" s="7"/>
      <c r="I438" s="50">
        <v>0</v>
      </c>
    </row>
    <row r="439" spans="1:9" ht="18" hidden="1" customHeight="1" x14ac:dyDescent="0.3">
      <c r="A439" s="49" t="s">
        <v>685</v>
      </c>
      <c r="B439" s="4"/>
      <c r="C439" s="8" t="s">
        <v>686</v>
      </c>
      <c r="D439" s="6"/>
      <c r="E439" s="6"/>
      <c r="F439" s="9" t="s">
        <v>15</v>
      </c>
      <c r="G439" s="10">
        <v>1.1000000000000001</v>
      </c>
      <c r="H439" s="11"/>
      <c r="I439" s="51">
        <v>0</v>
      </c>
    </row>
    <row r="440" spans="1:9" ht="18" hidden="1" customHeight="1" x14ac:dyDescent="0.3">
      <c r="A440" s="49" t="s">
        <v>687</v>
      </c>
      <c r="B440" s="4"/>
      <c r="C440" s="12" t="s">
        <v>661</v>
      </c>
      <c r="D440" s="6"/>
      <c r="E440" s="6"/>
      <c r="F440" s="9" t="s">
        <v>18</v>
      </c>
      <c r="G440" s="10">
        <v>1</v>
      </c>
      <c r="H440" s="11"/>
      <c r="I440" s="51">
        <v>0</v>
      </c>
    </row>
    <row r="441" spans="1:9" ht="18" hidden="1" customHeight="1" x14ac:dyDescent="0.3">
      <c r="A441" s="49" t="s">
        <v>688</v>
      </c>
      <c r="B441" s="4"/>
      <c r="C441" s="12" t="s">
        <v>663</v>
      </c>
      <c r="D441" s="6"/>
      <c r="E441" s="6"/>
      <c r="F441" s="9" t="s">
        <v>18</v>
      </c>
      <c r="G441" s="10">
        <v>1</v>
      </c>
      <c r="H441" s="11"/>
      <c r="I441" s="51">
        <v>0</v>
      </c>
    </row>
    <row r="442" spans="1:9" ht="18" hidden="1" customHeight="1" x14ac:dyDescent="0.3">
      <c r="A442" s="49" t="s">
        <v>689</v>
      </c>
      <c r="B442" s="4"/>
      <c r="C442" s="12" t="s">
        <v>690</v>
      </c>
      <c r="D442" s="6"/>
      <c r="E442" s="6"/>
      <c r="F442" s="9" t="s">
        <v>20</v>
      </c>
      <c r="G442" s="10">
        <v>1</v>
      </c>
      <c r="H442" s="11"/>
      <c r="I442" s="51">
        <v>0</v>
      </c>
    </row>
    <row r="443" spans="1:9" ht="36" hidden="1" customHeight="1" x14ac:dyDescent="0.3">
      <c r="A443" s="49" t="s">
        <v>691</v>
      </c>
      <c r="B443" s="4" t="s">
        <v>678</v>
      </c>
      <c r="C443" s="5" t="s">
        <v>679</v>
      </c>
      <c r="D443" s="6"/>
      <c r="E443" s="6" t="s">
        <v>692</v>
      </c>
      <c r="F443" s="6" t="s">
        <v>15</v>
      </c>
      <c r="G443" s="7">
        <v>1</v>
      </c>
      <c r="H443" s="7"/>
      <c r="I443" s="50">
        <v>0</v>
      </c>
    </row>
    <row r="444" spans="1:9" ht="18" hidden="1" customHeight="1" x14ac:dyDescent="0.3">
      <c r="A444" s="49" t="s">
        <v>693</v>
      </c>
      <c r="B444" s="4"/>
      <c r="C444" s="12" t="s">
        <v>690</v>
      </c>
      <c r="D444" s="6"/>
      <c r="E444" s="6"/>
      <c r="F444" s="9" t="s">
        <v>20</v>
      </c>
      <c r="G444" s="10">
        <v>1</v>
      </c>
      <c r="H444" s="11"/>
      <c r="I444" s="51">
        <v>0</v>
      </c>
    </row>
    <row r="445" spans="1:9" ht="18" hidden="1" customHeight="1" x14ac:dyDescent="0.3">
      <c r="A445" s="49" t="s">
        <v>694</v>
      </c>
      <c r="B445" s="4"/>
      <c r="C445" s="12" t="s">
        <v>661</v>
      </c>
      <c r="D445" s="6"/>
      <c r="E445" s="6"/>
      <c r="F445" s="9" t="s">
        <v>18</v>
      </c>
      <c r="G445" s="10">
        <v>1</v>
      </c>
      <c r="H445" s="11"/>
      <c r="I445" s="51">
        <v>0</v>
      </c>
    </row>
    <row r="446" spans="1:9" ht="18" hidden="1" customHeight="1" x14ac:dyDescent="0.3">
      <c r="A446" s="49" t="s">
        <v>695</v>
      </c>
      <c r="B446" s="4"/>
      <c r="C446" s="12" t="s">
        <v>663</v>
      </c>
      <c r="D446" s="6"/>
      <c r="E446" s="6"/>
      <c r="F446" s="9" t="s">
        <v>18</v>
      </c>
      <c r="G446" s="10">
        <v>1</v>
      </c>
      <c r="H446" s="11"/>
      <c r="I446" s="51">
        <v>0</v>
      </c>
    </row>
    <row r="447" spans="1:9" ht="18" hidden="1" customHeight="1" x14ac:dyDescent="0.3">
      <c r="A447" s="49" t="s">
        <v>696</v>
      </c>
      <c r="B447" s="4"/>
      <c r="C447" s="8" t="s">
        <v>686</v>
      </c>
      <c r="D447" s="6"/>
      <c r="E447" s="6"/>
      <c r="F447" s="9" t="s">
        <v>15</v>
      </c>
      <c r="G447" s="10">
        <v>1.1000000000000001</v>
      </c>
      <c r="H447" s="11"/>
      <c r="I447" s="51">
        <v>0</v>
      </c>
    </row>
    <row r="448" spans="1:9" ht="36" hidden="1" customHeight="1" x14ac:dyDescent="0.3">
      <c r="A448" s="49" t="s">
        <v>697</v>
      </c>
      <c r="B448" s="4" t="s">
        <v>678</v>
      </c>
      <c r="C448" s="5" t="s">
        <v>679</v>
      </c>
      <c r="D448" s="6"/>
      <c r="E448" s="6" t="s">
        <v>698</v>
      </c>
      <c r="F448" s="6" t="s">
        <v>15</v>
      </c>
      <c r="G448" s="7">
        <v>1</v>
      </c>
      <c r="H448" s="7"/>
      <c r="I448" s="50">
        <v>0</v>
      </c>
    </row>
    <row r="449" spans="1:9" ht="18" hidden="1" customHeight="1" x14ac:dyDescent="0.3">
      <c r="A449" s="49" t="s">
        <v>699</v>
      </c>
      <c r="B449" s="4"/>
      <c r="C449" s="12" t="s">
        <v>700</v>
      </c>
      <c r="D449" s="6"/>
      <c r="E449" s="6"/>
      <c r="F449" s="9" t="s">
        <v>15</v>
      </c>
      <c r="G449" s="10">
        <v>1.1000000000000001</v>
      </c>
      <c r="H449" s="11"/>
      <c r="I449" s="51">
        <v>0</v>
      </c>
    </row>
    <row r="450" spans="1:9" ht="18" hidden="1" customHeight="1" x14ac:dyDescent="0.3">
      <c r="A450" s="49" t="s">
        <v>701</v>
      </c>
      <c r="B450" s="4"/>
      <c r="C450" s="12" t="s">
        <v>661</v>
      </c>
      <c r="D450" s="6"/>
      <c r="E450" s="6"/>
      <c r="F450" s="9" t="s">
        <v>18</v>
      </c>
      <c r="G450" s="10">
        <v>1</v>
      </c>
      <c r="H450" s="11"/>
      <c r="I450" s="51">
        <v>0</v>
      </c>
    </row>
    <row r="451" spans="1:9" ht="18" hidden="1" customHeight="1" x14ac:dyDescent="0.3">
      <c r="A451" s="49" t="s">
        <v>702</v>
      </c>
      <c r="B451" s="4"/>
      <c r="C451" s="12" t="s">
        <v>663</v>
      </c>
      <c r="D451" s="6"/>
      <c r="E451" s="6"/>
      <c r="F451" s="9" t="s">
        <v>18</v>
      </c>
      <c r="G451" s="10">
        <v>1</v>
      </c>
      <c r="H451" s="11"/>
      <c r="I451" s="51">
        <v>0</v>
      </c>
    </row>
    <row r="452" spans="1:9" ht="18" hidden="1" customHeight="1" x14ac:dyDescent="0.3">
      <c r="A452" s="49" t="s">
        <v>703</v>
      </c>
      <c r="B452" s="4"/>
      <c r="C452" s="12" t="s">
        <v>690</v>
      </c>
      <c r="D452" s="6"/>
      <c r="E452" s="6"/>
      <c r="F452" s="9" t="s">
        <v>20</v>
      </c>
      <c r="G452" s="10">
        <v>1</v>
      </c>
      <c r="H452" s="11"/>
      <c r="I452" s="51">
        <v>0</v>
      </c>
    </row>
    <row r="453" spans="1:9" ht="36" hidden="1" customHeight="1" x14ac:dyDescent="0.3">
      <c r="A453" s="49" t="s">
        <v>704</v>
      </c>
      <c r="B453" s="4" t="s">
        <v>678</v>
      </c>
      <c r="C453" s="5" t="s">
        <v>679</v>
      </c>
      <c r="D453" s="6"/>
      <c r="E453" s="6" t="s">
        <v>705</v>
      </c>
      <c r="F453" s="6" t="s">
        <v>15</v>
      </c>
      <c r="G453" s="7">
        <v>1</v>
      </c>
      <c r="H453" s="7"/>
      <c r="I453" s="50">
        <v>0</v>
      </c>
    </row>
    <row r="454" spans="1:9" ht="18" hidden="1" customHeight="1" x14ac:dyDescent="0.3">
      <c r="A454" s="49" t="s">
        <v>706</v>
      </c>
      <c r="B454" s="4"/>
      <c r="C454" s="12" t="s">
        <v>661</v>
      </c>
      <c r="D454" s="6"/>
      <c r="E454" s="6"/>
      <c r="F454" s="9" t="s">
        <v>18</v>
      </c>
      <c r="G454" s="10">
        <v>1</v>
      </c>
      <c r="H454" s="11"/>
      <c r="I454" s="51">
        <v>0</v>
      </c>
    </row>
    <row r="455" spans="1:9" ht="18" hidden="1" customHeight="1" x14ac:dyDescent="0.3">
      <c r="A455" s="49" t="s">
        <v>707</v>
      </c>
      <c r="B455" s="4"/>
      <c r="C455" s="12" t="s">
        <v>663</v>
      </c>
      <c r="D455" s="6"/>
      <c r="E455" s="6"/>
      <c r="F455" s="9" t="s">
        <v>18</v>
      </c>
      <c r="G455" s="10">
        <v>1</v>
      </c>
      <c r="H455" s="11"/>
      <c r="I455" s="51">
        <v>0</v>
      </c>
    </row>
    <row r="456" spans="1:9" ht="18" hidden="1" customHeight="1" x14ac:dyDescent="0.3">
      <c r="A456" s="49" t="s">
        <v>708</v>
      </c>
      <c r="B456" s="4"/>
      <c r="C456" s="8" t="s">
        <v>674</v>
      </c>
      <c r="D456" s="6"/>
      <c r="E456" s="6"/>
      <c r="F456" s="9" t="s">
        <v>15</v>
      </c>
      <c r="G456" s="10">
        <v>1.1000000000000001</v>
      </c>
      <c r="H456" s="11"/>
      <c r="I456" s="51">
        <v>0</v>
      </c>
    </row>
    <row r="457" spans="1:9" ht="36" hidden="1" customHeight="1" x14ac:dyDescent="0.3">
      <c r="A457" s="49" t="s">
        <v>709</v>
      </c>
      <c r="B457" s="4" t="s">
        <v>678</v>
      </c>
      <c r="C457" s="5" t="s">
        <v>679</v>
      </c>
      <c r="D457" s="6"/>
      <c r="E457" s="6" t="s">
        <v>710</v>
      </c>
      <c r="F457" s="6" t="s">
        <v>15</v>
      </c>
      <c r="G457" s="7">
        <v>1</v>
      </c>
      <c r="H457" s="7"/>
      <c r="I457" s="50">
        <v>0</v>
      </c>
    </row>
    <row r="458" spans="1:9" ht="18" hidden="1" customHeight="1" x14ac:dyDescent="0.3">
      <c r="A458" s="49" t="s">
        <v>711</v>
      </c>
      <c r="B458" s="4"/>
      <c r="C458" s="8" t="s">
        <v>674</v>
      </c>
      <c r="D458" s="6"/>
      <c r="E458" s="6"/>
      <c r="F458" s="9" t="s">
        <v>15</v>
      </c>
      <c r="G458" s="10">
        <v>1.1000000000000001</v>
      </c>
      <c r="H458" s="11"/>
      <c r="I458" s="51">
        <v>0</v>
      </c>
    </row>
    <row r="459" spans="1:9" ht="18" hidden="1" customHeight="1" x14ac:dyDescent="0.3">
      <c r="A459" s="49" t="s">
        <v>712</v>
      </c>
      <c r="B459" s="4"/>
      <c r="C459" s="12" t="s">
        <v>661</v>
      </c>
      <c r="D459" s="6"/>
      <c r="E459" s="6"/>
      <c r="F459" s="9" t="s">
        <v>18</v>
      </c>
      <c r="G459" s="10">
        <v>1</v>
      </c>
      <c r="H459" s="11"/>
      <c r="I459" s="51">
        <v>0</v>
      </c>
    </row>
    <row r="460" spans="1:9" ht="18" hidden="1" customHeight="1" x14ac:dyDescent="0.3">
      <c r="A460" s="49" t="s">
        <v>713</v>
      </c>
      <c r="B460" s="4"/>
      <c r="C460" s="12" t="s">
        <v>663</v>
      </c>
      <c r="D460" s="6"/>
      <c r="E460" s="6"/>
      <c r="F460" s="9" t="s">
        <v>18</v>
      </c>
      <c r="G460" s="10">
        <v>1</v>
      </c>
      <c r="H460" s="11"/>
      <c r="I460" s="51">
        <v>0</v>
      </c>
    </row>
    <row r="461" spans="1:9" ht="18" hidden="1" customHeight="1" x14ac:dyDescent="0.3">
      <c r="A461" s="49" t="s">
        <v>714</v>
      </c>
      <c r="B461" s="4"/>
      <c r="C461" s="12" t="s">
        <v>690</v>
      </c>
      <c r="D461" s="6"/>
      <c r="E461" s="6"/>
      <c r="F461" s="9" t="s">
        <v>20</v>
      </c>
      <c r="G461" s="10">
        <v>1</v>
      </c>
      <c r="H461" s="11"/>
      <c r="I461" s="51">
        <v>0</v>
      </c>
    </row>
    <row r="462" spans="1:9" ht="72" x14ac:dyDescent="0.3">
      <c r="A462" s="49" t="s">
        <v>715</v>
      </c>
      <c r="B462" s="4" t="s">
        <v>678</v>
      </c>
      <c r="C462" s="13" t="s">
        <v>679</v>
      </c>
      <c r="D462" s="14"/>
      <c r="E462" s="14" t="s">
        <v>716</v>
      </c>
      <c r="F462" s="14" t="s">
        <v>15</v>
      </c>
      <c r="G462" s="15">
        <v>1</v>
      </c>
      <c r="H462" s="15"/>
      <c r="I462" s="52">
        <v>238.8</v>
      </c>
    </row>
    <row r="463" spans="1:9" ht="18" hidden="1" customHeight="1" x14ac:dyDescent="0.3">
      <c r="A463" s="49" t="s">
        <v>717</v>
      </c>
      <c r="B463" s="4"/>
      <c r="C463" s="19" t="s">
        <v>690</v>
      </c>
      <c r="D463" s="14"/>
      <c r="E463" s="14"/>
      <c r="F463" s="17" t="s">
        <v>20</v>
      </c>
      <c r="G463" s="18">
        <v>1</v>
      </c>
      <c r="H463" s="20"/>
      <c r="I463" s="53">
        <v>103</v>
      </c>
    </row>
    <row r="464" spans="1:9" ht="18" hidden="1" customHeight="1" x14ac:dyDescent="0.3">
      <c r="A464" s="49" t="s">
        <v>718</v>
      </c>
      <c r="B464" s="4"/>
      <c r="C464" s="19" t="s">
        <v>661</v>
      </c>
      <c r="D464" s="14"/>
      <c r="E464" s="14"/>
      <c r="F464" s="17" t="s">
        <v>18</v>
      </c>
      <c r="G464" s="18">
        <v>1</v>
      </c>
      <c r="H464" s="20"/>
      <c r="I464" s="53">
        <v>1198</v>
      </c>
    </row>
    <row r="465" spans="1:9" ht="18" hidden="1" customHeight="1" x14ac:dyDescent="0.3">
      <c r="A465" s="49" t="s">
        <v>719</v>
      </c>
      <c r="B465" s="4"/>
      <c r="C465" s="19" t="s">
        <v>663</v>
      </c>
      <c r="D465" s="14"/>
      <c r="E465" s="14"/>
      <c r="F465" s="17" t="s">
        <v>18</v>
      </c>
      <c r="G465" s="18">
        <v>1</v>
      </c>
      <c r="H465" s="20"/>
      <c r="I465" s="53">
        <v>240</v>
      </c>
    </row>
    <row r="466" spans="1:9" ht="18" hidden="1" customHeight="1" x14ac:dyDescent="0.3">
      <c r="A466" s="49" t="s">
        <v>720</v>
      </c>
      <c r="B466" s="4"/>
      <c r="C466" s="16" t="s">
        <v>674</v>
      </c>
      <c r="D466" s="14"/>
      <c r="E466" s="14"/>
      <c r="F466" s="17" t="s">
        <v>15</v>
      </c>
      <c r="G466" s="18">
        <v>1.1000000000000001</v>
      </c>
      <c r="H466" s="20"/>
      <c r="I466" s="53">
        <v>525.36</v>
      </c>
    </row>
    <row r="467" spans="1:9" ht="54" x14ac:dyDescent="0.3">
      <c r="A467" s="49" t="s">
        <v>721</v>
      </c>
      <c r="B467" s="4" t="s">
        <v>678</v>
      </c>
      <c r="C467" s="13" t="s">
        <v>679</v>
      </c>
      <c r="D467" s="14"/>
      <c r="E467" s="14" t="s">
        <v>722</v>
      </c>
      <c r="F467" s="14" t="s">
        <v>15</v>
      </c>
      <c r="G467" s="15">
        <v>1</v>
      </c>
      <c r="H467" s="15"/>
      <c r="I467" s="52">
        <v>60.3</v>
      </c>
    </row>
    <row r="468" spans="1:9" ht="18" hidden="1" customHeight="1" x14ac:dyDescent="0.3">
      <c r="A468" s="49" t="s">
        <v>723</v>
      </c>
      <c r="B468" s="4"/>
      <c r="C468" s="19" t="s">
        <v>665</v>
      </c>
      <c r="D468" s="14"/>
      <c r="E468" s="14"/>
      <c r="F468" s="17" t="s">
        <v>15</v>
      </c>
      <c r="G468" s="18">
        <v>1.1000000000000001</v>
      </c>
      <c r="H468" s="20"/>
      <c r="I468" s="53">
        <v>132.66</v>
      </c>
    </row>
    <row r="469" spans="1:9" ht="18" hidden="1" customHeight="1" x14ac:dyDescent="0.3">
      <c r="A469" s="49" t="s">
        <v>724</v>
      </c>
      <c r="B469" s="4"/>
      <c r="C469" s="19" t="s">
        <v>661</v>
      </c>
      <c r="D469" s="14"/>
      <c r="E469" s="14"/>
      <c r="F469" s="17" t="s">
        <v>18</v>
      </c>
      <c r="G469" s="18">
        <v>1</v>
      </c>
      <c r="H469" s="20"/>
      <c r="I469" s="53">
        <v>302</v>
      </c>
    </row>
    <row r="470" spans="1:9" ht="18" hidden="1" customHeight="1" x14ac:dyDescent="0.3">
      <c r="A470" s="49" t="s">
        <v>725</v>
      </c>
      <c r="B470" s="4"/>
      <c r="C470" s="19" t="s">
        <v>663</v>
      </c>
      <c r="D470" s="14"/>
      <c r="E470" s="14"/>
      <c r="F470" s="17" t="s">
        <v>18</v>
      </c>
      <c r="G470" s="18">
        <v>1</v>
      </c>
      <c r="H470" s="20"/>
      <c r="I470" s="53">
        <v>60</v>
      </c>
    </row>
    <row r="471" spans="1:9" ht="18" hidden="1" customHeight="1" x14ac:dyDescent="0.3">
      <c r="A471" s="49" t="s">
        <v>726</v>
      </c>
      <c r="B471" s="4"/>
      <c r="C471" s="19" t="s">
        <v>690</v>
      </c>
      <c r="D471" s="14"/>
      <c r="E471" s="14"/>
      <c r="F471" s="17" t="s">
        <v>20</v>
      </c>
      <c r="G471" s="18">
        <v>1</v>
      </c>
      <c r="H471" s="20"/>
      <c r="I471" s="53">
        <v>26</v>
      </c>
    </row>
    <row r="472" spans="1:9" ht="72" x14ac:dyDescent="0.3">
      <c r="A472" s="49" t="s">
        <v>727</v>
      </c>
      <c r="B472" s="4" t="s">
        <v>678</v>
      </c>
      <c r="C472" s="13" t="s">
        <v>679</v>
      </c>
      <c r="D472" s="14"/>
      <c r="E472" s="14" t="s">
        <v>728</v>
      </c>
      <c r="F472" s="14" t="s">
        <v>15</v>
      </c>
      <c r="G472" s="15">
        <v>1</v>
      </c>
      <c r="H472" s="15"/>
      <c r="I472" s="52">
        <v>145.80000000000001</v>
      </c>
    </row>
    <row r="473" spans="1:9" ht="18" hidden="1" customHeight="1" x14ac:dyDescent="0.3">
      <c r="A473" s="49" t="s">
        <v>729</v>
      </c>
      <c r="B473" s="4"/>
      <c r="C473" s="19" t="s">
        <v>661</v>
      </c>
      <c r="D473" s="14"/>
      <c r="E473" s="14"/>
      <c r="F473" s="17" t="s">
        <v>18</v>
      </c>
      <c r="G473" s="18">
        <v>1</v>
      </c>
      <c r="H473" s="20"/>
      <c r="I473" s="53">
        <v>523</v>
      </c>
    </row>
    <row r="474" spans="1:9" ht="18" hidden="1" customHeight="1" x14ac:dyDescent="0.3">
      <c r="A474" s="49" t="s">
        <v>730</v>
      </c>
      <c r="B474" s="4"/>
      <c r="C474" s="19" t="s">
        <v>663</v>
      </c>
      <c r="D474" s="14"/>
      <c r="E474" s="14"/>
      <c r="F474" s="17" t="s">
        <v>18</v>
      </c>
      <c r="G474" s="18">
        <v>1</v>
      </c>
      <c r="H474" s="20"/>
      <c r="I474" s="53">
        <v>258</v>
      </c>
    </row>
    <row r="475" spans="1:9" ht="18" hidden="1" customHeight="1" x14ac:dyDescent="0.3">
      <c r="A475" s="49" t="s">
        <v>731</v>
      </c>
      <c r="B475" s="4"/>
      <c r="C475" s="19" t="s">
        <v>665</v>
      </c>
      <c r="D475" s="14"/>
      <c r="E475" s="14"/>
      <c r="F475" s="17" t="s">
        <v>15</v>
      </c>
      <c r="G475" s="18">
        <v>1.1000000000000001</v>
      </c>
      <c r="H475" s="20"/>
      <c r="I475" s="53">
        <v>320.76</v>
      </c>
    </row>
    <row r="476" spans="1:9" ht="54" hidden="1" customHeight="1" x14ac:dyDescent="0.3">
      <c r="A476" s="49" t="s">
        <v>732</v>
      </c>
      <c r="B476" s="4" t="s">
        <v>733</v>
      </c>
      <c r="C476" s="5" t="s">
        <v>734</v>
      </c>
      <c r="D476" s="6"/>
      <c r="E476" s="6" t="s">
        <v>735</v>
      </c>
      <c r="F476" s="6" t="s">
        <v>15</v>
      </c>
      <c r="G476" s="7">
        <v>1</v>
      </c>
      <c r="H476" s="7"/>
      <c r="I476" s="50">
        <v>0</v>
      </c>
    </row>
    <row r="477" spans="1:9" ht="18" hidden="1" customHeight="1" x14ac:dyDescent="0.3">
      <c r="A477" s="49" t="s">
        <v>736</v>
      </c>
      <c r="B477" s="4"/>
      <c r="C477" s="12" t="s">
        <v>737</v>
      </c>
      <c r="D477" s="6"/>
      <c r="E477" s="6"/>
      <c r="F477" s="9" t="s">
        <v>20</v>
      </c>
      <c r="G477" s="10">
        <v>44</v>
      </c>
      <c r="H477" s="10"/>
      <c r="I477" s="54">
        <v>0</v>
      </c>
    </row>
    <row r="478" spans="1:9" ht="18" hidden="1" customHeight="1" x14ac:dyDescent="0.3">
      <c r="A478" s="49" t="s">
        <v>738</v>
      </c>
      <c r="B478" s="4"/>
      <c r="C478" s="12" t="s">
        <v>739</v>
      </c>
      <c r="D478" s="6"/>
      <c r="E478" s="6"/>
      <c r="F478" s="9" t="s">
        <v>20</v>
      </c>
      <c r="G478" s="10">
        <v>20</v>
      </c>
      <c r="H478" s="10"/>
      <c r="I478" s="54">
        <v>0</v>
      </c>
    </row>
    <row r="479" spans="1:9" ht="18" hidden="1" customHeight="1" x14ac:dyDescent="0.3">
      <c r="A479" s="49" t="s">
        <v>740</v>
      </c>
      <c r="B479" s="4"/>
      <c r="C479" s="12" t="s">
        <v>690</v>
      </c>
      <c r="D479" s="6"/>
      <c r="E479" s="6"/>
      <c r="F479" s="9" t="s">
        <v>20</v>
      </c>
      <c r="G479" s="10">
        <v>2.2200000000000002</v>
      </c>
      <c r="H479" s="10"/>
      <c r="I479" s="54">
        <v>0</v>
      </c>
    </row>
    <row r="480" spans="1:9" ht="36" hidden="1" customHeight="1" x14ac:dyDescent="0.3">
      <c r="A480" s="49" t="s">
        <v>741</v>
      </c>
      <c r="B480" s="4"/>
      <c r="C480" s="8" t="s">
        <v>742</v>
      </c>
      <c r="D480" s="6"/>
      <c r="E480" s="6"/>
      <c r="F480" s="9" t="s">
        <v>18</v>
      </c>
      <c r="G480" s="10">
        <v>13.5</v>
      </c>
      <c r="H480" s="10"/>
      <c r="I480" s="54">
        <v>0</v>
      </c>
    </row>
    <row r="481" spans="1:9" ht="18" hidden="1" customHeight="1" x14ac:dyDescent="0.3">
      <c r="A481" s="49" t="s">
        <v>743</v>
      </c>
      <c r="B481" s="4"/>
      <c r="C481" s="12" t="s">
        <v>744</v>
      </c>
      <c r="D481" s="6"/>
      <c r="E481" s="6"/>
      <c r="F481" s="9" t="s">
        <v>20</v>
      </c>
      <c r="G481" s="10">
        <v>33.75</v>
      </c>
      <c r="H481" s="10"/>
      <c r="I481" s="54">
        <v>0</v>
      </c>
    </row>
    <row r="482" spans="1:9" ht="36" hidden="1" customHeight="1" x14ac:dyDescent="0.3">
      <c r="A482" s="49" t="s">
        <v>745</v>
      </c>
      <c r="B482" s="4"/>
      <c r="C482" s="12" t="s">
        <v>651</v>
      </c>
      <c r="D482" s="6"/>
      <c r="E482" s="6"/>
      <c r="F482" s="9" t="s">
        <v>15</v>
      </c>
      <c r="G482" s="10">
        <v>2.1</v>
      </c>
      <c r="H482" s="10"/>
      <c r="I482" s="54">
        <v>0</v>
      </c>
    </row>
    <row r="483" spans="1:9" ht="18" hidden="1" customHeight="1" x14ac:dyDescent="0.3">
      <c r="A483" s="49" t="s">
        <v>746</v>
      </c>
      <c r="B483" s="4"/>
      <c r="C483" s="12" t="s">
        <v>653</v>
      </c>
      <c r="D483" s="6"/>
      <c r="E483" s="6"/>
      <c r="F483" s="9" t="s">
        <v>20</v>
      </c>
      <c r="G483" s="10">
        <v>0.6</v>
      </c>
      <c r="H483" s="10"/>
      <c r="I483" s="54">
        <v>0</v>
      </c>
    </row>
    <row r="484" spans="1:9" ht="54" x14ac:dyDescent="0.3">
      <c r="A484" s="49" t="s">
        <v>747</v>
      </c>
      <c r="B484" s="4" t="s">
        <v>733</v>
      </c>
      <c r="C484" s="13" t="s">
        <v>734</v>
      </c>
      <c r="D484" s="14"/>
      <c r="E484" s="14" t="s">
        <v>735</v>
      </c>
      <c r="F484" s="14" t="s">
        <v>15</v>
      </c>
      <c r="G484" s="15">
        <v>1</v>
      </c>
      <c r="H484" s="15"/>
      <c r="I484" s="52">
        <v>662.77499999999998</v>
      </c>
    </row>
    <row r="485" spans="1:9" ht="18" hidden="1" customHeight="1" x14ac:dyDescent="0.3">
      <c r="A485" s="49" t="s">
        <v>748</v>
      </c>
      <c r="B485" s="4"/>
      <c r="C485" s="19" t="s">
        <v>653</v>
      </c>
      <c r="D485" s="14"/>
      <c r="E485" s="14"/>
      <c r="F485" s="17" t="s">
        <v>20</v>
      </c>
      <c r="G485" s="18">
        <v>0.6</v>
      </c>
      <c r="H485" s="18"/>
      <c r="I485" s="55">
        <v>397.66500000000002</v>
      </c>
    </row>
    <row r="486" spans="1:9" ht="36" hidden="1" customHeight="1" x14ac:dyDescent="0.3">
      <c r="A486" s="49" t="s">
        <v>749</v>
      </c>
      <c r="B486" s="4"/>
      <c r="C486" s="19" t="s">
        <v>651</v>
      </c>
      <c r="D486" s="14"/>
      <c r="E486" s="14"/>
      <c r="F486" s="17" t="s">
        <v>15</v>
      </c>
      <c r="G486" s="18">
        <v>2.1</v>
      </c>
      <c r="H486" s="18"/>
      <c r="I486" s="55">
        <v>1391.828</v>
      </c>
    </row>
    <row r="487" spans="1:9" ht="18" hidden="1" customHeight="1" x14ac:dyDescent="0.3">
      <c r="A487" s="49" t="s">
        <v>750</v>
      </c>
      <c r="B487" s="4"/>
      <c r="C487" s="19" t="s">
        <v>744</v>
      </c>
      <c r="D487" s="14"/>
      <c r="E487" s="14"/>
      <c r="F487" s="17" t="s">
        <v>20</v>
      </c>
      <c r="G487" s="18">
        <v>33.75</v>
      </c>
      <c r="H487" s="18"/>
      <c r="I487" s="55">
        <v>22368.655999999999</v>
      </c>
    </row>
    <row r="488" spans="1:9" ht="36" hidden="1" customHeight="1" x14ac:dyDescent="0.3">
      <c r="A488" s="49" t="s">
        <v>751</v>
      </c>
      <c r="B488" s="4"/>
      <c r="C488" s="16" t="s">
        <v>742</v>
      </c>
      <c r="D488" s="14"/>
      <c r="E488" s="14"/>
      <c r="F488" s="17" t="s">
        <v>18</v>
      </c>
      <c r="G488" s="18">
        <v>13.5</v>
      </c>
      <c r="H488" s="18"/>
      <c r="I488" s="55">
        <v>8947.4629999999997</v>
      </c>
    </row>
    <row r="489" spans="1:9" ht="18" hidden="1" customHeight="1" x14ac:dyDescent="0.3">
      <c r="A489" s="49" t="s">
        <v>752</v>
      </c>
      <c r="B489" s="4"/>
      <c r="C489" s="19" t="s">
        <v>690</v>
      </c>
      <c r="D489" s="14"/>
      <c r="E489" s="14"/>
      <c r="F489" s="17" t="s">
        <v>20</v>
      </c>
      <c r="G489" s="18">
        <v>2.2200000000000002</v>
      </c>
      <c r="H489" s="18"/>
      <c r="I489" s="55">
        <v>1471.3610000000001</v>
      </c>
    </row>
    <row r="490" spans="1:9" ht="18" hidden="1" customHeight="1" x14ac:dyDescent="0.3">
      <c r="A490" s="49" t="s">
        <v>753</v>
      </c>
      <c r="B490" s="4"/>
      <c r="C490" s="19" t="s">
        <v>739</v>
      </c>
      <c r="D490" s="14"/>
      <c r="E490" s="14"/>
      <c r="F490" s="17" t="s">
        <v>20</v>
      </c>
      <c r="G490" s="18">
        <v>20</v>
      </c>
      <c r="H490" s="18"/>
      <c r="I490" s="55">
        <v>13255.5</v>
      </c>
    </row>
    <row r="491" spans="1:9" ht="18" hidden="1" customHeight="1" x14ac:dyDescent="0.3">
      <c r="A491" s="49" t="s">
        <v>754</v>
      </c>
      <c r="B491" s="4"/>
      <c r="C491" s="19" t="s">
        <v>737</v>
      </c>
      <c r="D491" s="14"/>
      <c r="E491" s="14"/>
      <c r="F491" s="17" t="s">
        <v>20</v>
      </c>
      <c r="G491" s="18">
        <v>44</v>
      </c>
      <c r="H491" s="18"/>
      <c r="I491" s="55">
        <v>29162.1</v>
      </c>
    </row>
    <row r="492" spans="1:9" ht="16.95" customHeight="1" x14ac:dyDescent="0.3">
      <c r="A492" s="49" t="s">
        <v>755</v>
      </c>
      <c r="B492" s="4" t="s">
        <v>756</v>
      </c>
      <c r="C492" s="33" t="s">
        <v>757</v>
      </c>
      <c r="D492" s="34"/>
      <c r="E492" s="34"/>
      <c r="F492" s="34"/>
      <c r="G492" s="34"/>
      <c r="H492" s="34"/>
      <c r="I492" s="34"/>
    </row>
    <row r="493" spans="1:9" ht="36" hidden="1" customHeight="1" x14ac:dyDescent="0.3">
      <c r="A493" s="49" t="s">
        <v>758</v>
      </c>
      <c r="B493" s="4" t="s">
        <v>759</v>
      </c>
      <c r="C493" s="5" t="s">
        <v>760</v>
      </c>
      <c r="D493" s="6"/>
      <c r="E493" s="6" t="s">
        <v>761</v>
      </c>
      <c r="F493" s="6" t="s">
        <v>20</v>
      </c>
      <c r="G493" s="7">
        <v>1</v>
      </c>
      <c r="H493" s="7"/>
      <c r="I493" s="50">
        <v>0</v>
      </c>
    </row>
    <row r="494" spans="1:9" ht="108" hidden="1" customHeight="1" x14ac:dyDescent="0.3">
      <c r="A494" s="49" t="s">
        <v>762</v>
      </c>
      <c r="B494" s="4"/>
      <c r="C494" s="12" t="s">
        <v>763</v>
      </c>
      <c r="D494" s="6"/>
      <c r="E494" s="6" t="s">
        <v>764</v>
      </c>
      <c r="F494" s="9" t="s">
        <v>20</v>
      </c>
      <c r="G494" s="10">
        <v>1</v>
      </c>
      <c r="H494" s="11"/>
      <c r="I494" s="51">
        <v>0</v>
      </c>
    </row>
    <row r="495" spans="1:9" ht="36" x14ac:dyDescent="0.3">
      <c r="A495" s="49" t="s">
        <v>765</v>
      </c>
      <c r="B495" s="4" t="s">
        <v>759</v>
      </c>
      <c r="C495" s="5" t="s">
        <v>760</v>
      </c>
      <c r="D495" s="6"/>
      <c r="E495" s="6" t="s">
        <v>761</v>
      </c>
      <c r="F495" s="6" t="s">
        <v>20</v>
      </c>
      <c r="G495" s="7">
        <v>1</v>
      </c>
      <c r="H495" s="7"/>
      <c r="I495" s="50">
        <v>7</v>
      </c>
    </row>
    <row r="496" spans="1:9" ht="108" hidden="1" customHeight="1" x14ac:dyDescent="0.3">
      <c r="A496" s="49" t="s">
        <v>766</v>
      </c>
      <c r="B496" s="4"/>
      <c r="C496" s="12" t="s">
        <v>763</v>
      </c>
      <c r="D496" s="6"/>
      <c r="E496" s="6" t="s">
        <v>764</v>
      </c>
      <c r="F496" s="9" t="s">
        <v>20</v>
      </c>
      <c r="G496" s="10">
        <v>1</v>
      </c>
      <c r="H496" s="11"/>
      <c r="I496" s="51">
        <v>7</v>
      </c>
    </row>
    <row r="497" spans="1:9" ht="36" hidden="1" customHeight="1" x14ac:dyDescent="0.3">
      <c r="A497" s="49" t="s">
        <v>767</v>
      </c>
      <c r="B497" s="4" t="s">
        <v>768</v>
      </c>
      <c r="C497" s="5" t="s">
        <v>769</v>
      </c>
      <c r="D497" s="6"/>
      <c r="E497" s="6" t="s">
        <v>770</v>
      </c>
      <c r="F497" s="6" t="s">
        <v>20</v>
      </c>
      <c r="G497" s="7">
        <v>1</v>
      </c>
      <c r="H497" s="7"/>
      <c r="I497" s="50">
        <v>0</v>
      </c>
    </row>
    <row r="498" spans="1:9" ht="144" hidden="1" customHeight="1" x14ac:dyDescent="0.3">
      <c r="A498" s="49" t="s">
        <v>771</v>
      </c>
      <c r="B498" s="4"/>
      <c r="C498" s="12" t="s">
        <v>772</v>
      </c>
      <c r="D498" s="6"/>
      <c r="E498" s="6" t="s">
        <v>773</v>
      </c>
      <c r="F498" s="9" t="s">
        <v>20</v>
      </c>
      <c r="G498" s="10">
        <v>1</v>
      </c>
      <c r="H498" s="11"/>
      <c r="I498" s="51">
        <v>0</v>
      </c>
    </row>
    <row r="499" spans="1:9" ht="36" x14ac:dyDescent="0.3">
      <c r="A499" s="49" t="s">
        <v>774</v>
      </c>
      <c r="B499" s="4" t="s">
        <v>768</v>
      </c>
      <c r="C499" s="5" t="s">
        <v>769</v>
      </c>
      <c r="D499" s="6"/>
      <c r="E499" s="6" t="s">
        <v>770</v>
      </c>
      <c r="F499" s="6" t="s">
        <v>20</v>
      </c>
      <c r="G499" s="7">
        <v>1</v>
      </c>
      <c r="H499" s="7"/>
      <c r="I499" s="50">
        <v>60</v>
      </c>
    </row>
    <row r="500" spans="1:9" ht="144" hidden="1" customHeight="1" x14ac:dyDescent="0.3">
      <c r="A500" s="49" t="s">
        <v>775</v>
      </c>
      <c r="B500" s="4"/>
      <c r="C500" s="12" t="s">
        <v>772</v>
      </c>
      <c r="D500" s="6"/>
      <c r="E500" s="6" t="s">
        <v>773</v>
      </c>
      <c r="F500" s="9" t="s">
        <v>20</v>
      </c>
      <c r="G500" s="10">
        <v>1</v>
      </c>
      <c r="H500" s="11"/>
      <c r="I500" s="51">
        <v>60</v>
      </c>
    </row>
    <row r="501" spans="1:9" ht="16.95" customHeight="1" x14ac:dyDescent="0.3">
      <c r="A501" s="4" t="s">
        <v>776</v>
      </c>
      <c r="B501" s="4" t="s">
        <v>777</v>
      </c>
      <c r="C501" s="347" t="s">
        <v>778</v>
      </c>
      <c r="D501" s="348"/>
      <c r="E501" s="348"/>
      <c r="F501" s="348"/>
      <c r="G501" s="348"/>
      <c r="H501" s="348"/>
      <c r="I501" s="349"/>
    </row>
    <row r="502" spans="1:9" ht="54" x14ac:dyDescent="0.3">
      <c r="A502" s="4" t="s">
        <v>779</v>
      </c>
      <c r="B502" s="4" t="s">
        <v>780</v>
      </c>
      <c r="C502" s="5" t="s">
        <v>781</v>
      </c>
      <c r="D502" s="6" t="s">
        <v>782</v>
      </c>
      <c r="E502" s="6" t="s">
        <v>783</v>
      </c>
      <c r="F502" s="6" t="s">
        <v>784</v>
      </c>
      <c r="G502" s="7">
        <v>1</v>
      </c>
      <c r="H502" s="7"/>
      <c r="I502" s="7">
        <v>9</v>
      </c>
    </row>
    <row r="503" spans="1:9" ht="16.95" customHeight="1" x14ac:dyDescent="0.3">
      <c r="A503" s="4" t="s">
        <v>785</v>
      </c>
      <c r="B503" s="4" t="s">
        <v>786</v>
      </c>
      <c r="C503" s="347" t="s">
        <v>787</v>
      </c>
      <c r="D503" s="348"/>
      <c r="E503" s="348"/>
      <c r="F503" s="348"/>
      <c r="G503" s="348"/>
      <c r="H503" s="348"/>
      <c r="I503" s="349"/>
    </row>
    <row r="504" spans="1:9" ht="16.95" customHeight="1" x14ac:dyDescent="0.3">
      <c r="A504" s="4" t="s">
        <v>788</v>
      </c>
      <c r="B504" s="4" t="s">
        <v>789</v>
      </c>
      <c r="C504" s="347" t="s">
        <v>790</v>
      </c>
      <c r="D504" s="348"/>
      <c r="E504" s="348"/>
      <c r="F504" s="348"/>
      <c r="G504" s="348"/>
      <c r="H504" s="348"/>
      <c r="I504" s="349"/>
    </row>
    <row r="505" spans="1:9" ht="36" x14ac:dyDescent="0.3">
      <c r="A505" s="4" t="s">
        <v>791</v>
      </c>
      <c r="B505" s="4" t="s">
        <v>792</v>
      </c>
      <c r="C505" s="5" t="s">
        <v>793</v>
      </c>
      <c r="D505" s="6" t="s">
        <v>794</v>
      </c>
      <c r="E505" s="6" t="s">
        <v>795</v>
      </c>
      <c r="F505" s="6" t="s">
        <v>15</v>
      </c>
      <c r="G505" s="7">
        <v>1</v>
      </c>
      <c r="H505" s="7"/>
      <c r="I505" s="7">
        <v>13140</v>
      </c>
    </row>
    <row r="506" spans="1:9" ht="16.95" customHeight="1" x14ac:dyDescent="0.3">
      <c r="A506" s="4" t="s">
        <v>796</v>
      </c>
      <c r="B506" s="4" t="s">
        <v>797</v>
      </c>
      <c r="C506" s="347" t="s">
        <v>798</v>
      </c>
      <c r="D506" s="348"/>
      <c r="E506" s="348"/>
      <c r="F506" s="348"/>
      <c r="G506" s="348"/>
      <c r="H506" s="348"/>
      <c r="I506" s="349"/>
    </row>
    <row r="507" spans="1:9" ht="16.95" customHeight="1" x14ac:dyDescent="0.3">
      <c r="A507" s="4" t="s">
        <v>799</v>
      </c>
      <c r="B507" s="4" t="s">
        <v>800</v>
      </c>
      <c r="C507" s="347" t="s">
        <v>801</v>
      </c>
      <c r="D507" s="348"/>
      <c r="E507" s="348"/>
      <c r="F507" s="348"/>
      <c r="G507" s="348"/>
      <c r="H507" s="348"/>
      <c r="I507" s="349"/>
    </row>
    <row r="508" spans="1:9" ht="16.95" customHeight="1" x14ac:dyDescent="0.3">
      <c r="A508" s="4" t="s">
        <v>802</v>
      </c>
      <c r="B508" s="4" t="s">
        <v>803</v>
      </c>
      <c r="C508" s="347" t="s">
        <v>778</v>
      </c>
      <c r="D508" s="348"/>
      <c r="E508" s="348"/>
      <c r="F508" s="348"/>
      <c r="G508" s="348"/>
      <c r="H508" s="348"/>
      <c r="I508" s="349"/>
    </row>
    <row r="509" spans="1:9" ht="90" x14ac:dyDescent="0.3">
      <c r="A509" s="4" t="s">
        <v>804</v>
      </c>
      <c r="B509" s="4" t="s">
        <v>805</v>
      </c>
      <c r="C509" s="5" t="s">
        <v>806</v>
      </c>
      <c r="D509" s="6"/>
      <c r="E509" s="6" t="s">
        <v>807</v>
      </c>
      <c r="F509" s="6" t="s">
        <v>15</v>
      </c>
      <c r="G509" s="7">
        <v>1</v>
      </c>
      <c r="H509" s="7"/>
      <c r="I509" s="7">
        <v>0</v>
      </c>
    </row>
    <row r="510" spans="1:9" ht="90" x14ac:dyDescent="0.3">
      <c r="A510" s="4" t="s">
        <v>808</v>
      </c>
      <c r="B510" s="4" t="s">
        <v>805</v>
      </c>
      <c r="C510" s="5" t="s">
        <v>806</v>
      </c>
      <c r="D510" s="6"/>
      <c r="E510" s="6" t="s">
        <v>809</v>
      </c>
      <c r="F510" s="6" t="s">
        <v>15</v>
      </c>
      <c r="G510" s="7">
        <v>1</v>
      </c>
      <c r="H510" s="7"/>
      <c r="I510" s="7">
        <v>1348.65</v>
      </c>
    </row>
  </sheetData>
  <mergeCells count="9">
    <mergeCell ref="C504:I504"/>
    <mergeCell ref="C506:I506"/>
    <mergeCell ref="C507:I507"/>
    <mergeCell ref="C508:I508"/>
    <mergeCell ref="A2:I2"/>
    <mergeCell ref="A3:I3"/>
    <mergeCell ref="A4:I4"/>
    <mergeCell ref="C501:I501"/>
    <mergeCell ref="C503:I503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="55" zoomScaleNormal="55" workbookViewId="0">
      <selection activeCell="I18" sqref="I18"/>
    </sheetView>
  </sheetViews>
  <sheetFormatPr defaultRowHeight="23.4" customHeight="1" x14ac:dyDescent="0.3"/>
  <cols>
    <col min="1" max="1" width="9.77734375" customWidth="1"/>
    <col min="2" max="2" width="52.88671875" hidden="1" customWidth="1"/>
    <col min="3" max="3" width="9.77734375" hidden="1" customWidth="1"/>
    <col min="4" max="4" width="10" hidden="1" customWidth="1"/>
    <col min="5" max="5" width="9.77734375" customWidth="1"/>
    <col min="6" max="6" width="10" customWidth="1"/>
    <col min="7" max="7" width="13.109375" customWidth="1"/>
    <col min="9" max="9" width="38" customWidth="1"/>
    <col min="10" max="10" width="17.33203125" customWidth="1"/>
  </cols>
  <sheetData>
    <row r="1" spans="1:16" ht="23.4" customHeight="1" x14ac:dyDescent="0.3">
      <c r="A1" s="67" t="s">
        <v>904</v>
      </c>
      <c r="B1" s="68" t="s">
        <v>905</v>
      </c>
      <c r="C1" s="68" t="s">
        <v>906</v>
      </c>
      <c r="D1" s="69" t="s">
        <v>907</v>
      </c>
      <c r="E1" s="64" t="s">
        <v>908</v>
      </c>
      <c r="F1" s="69" t="s">
        <v>909</v>
      </c>
      <c r="G1" s="70" t="s">
        <v>910</v>
      </c>
      <c r="N1" s="44" t="s">
        <v>1056</v>
      </c>
    </row>
    <row r="2" spans="1:16" ht="23.4" customHeight="1" x14ac:dyDescent="0.3">
      <c r="A2" s="71" t="s">
        <v>941</v>
      </c>
      <c r="B2" s="68"/>
      <c r="C2" s="68"/>
      <c r="D2" s="69"/>
      <c r="E2" s="66">
        <v>5092.3999999999996</v>
      </c>
      <c r="F2" s="66">
        <v>4104.6000000000004</v>
      </c>
      <c r="G2" s="66">
        <f>E2+F2</f>
        <v>9197</v>
      </c>
      <c r="I2" s="61" t="s">
        <v>358</v>
      </c>
      <c r="J2" s="62">
        <v>9197</v>
      </c>
      <c r="L2" s="72">
        <f>G2-J2</f>
        <v>0</v>
      </c>
      <c r="N2">
        <v>9779.2999999999993</v>
      </c>
      <c r="P2" s="78">
        <f t="shared" ref="P2:P29" si="0">J2-N2</f>
        <v>-582.29999999999927</v>
      </c>
    </row>
    <row r="3" spans="1:16" ht="23.4" customHeight="1" x14ac:dyDescent="0.3">
      <c r="A3" s="63" t="s">
        <v>884</v>
      </c>
      <c r="B3" s="64" t="s">
        <v>911</v>
      </c>
      <c r="C3" s="66">
        <v>0</v>
      </c>
      <c r="D3" s="66">
        <v>0</v>
      </c>
      <c r="E3" s="66">
        <v>7</v>
      </c>
      <c r="F3" s="66">
        <v>7</v>
      </c>
      <c r="G3" s="66">
        <f>E3+F3</f>
        <v>14</v>
      </c>
      <c r="I3" s="59" t="s">
        <v>363</v>
      </c>
      <c r="J3" s="60">
        <v>14</v>
      </c>
      <c r="L3" s="72">
        <f t="shared" ref="L3:L31" si="1">G3-J3</f>
        <v>0</v>
      </c>
      <c r="N3">
        <v>8.4</v>
      </c>
      <c r="P3" s="78">
        <f t="shared" si="0"/>
        <v>5.6</v>
      </c>
    </row>
    <row r="4" spans="1:16" ht="23.4" customHeight="1" x14ac:dyDescent="0.3">
      <c r="A4" s="63" t="s">
        <v>885</v>
      </c>
      <c r="B4" s="64" t="s">
        <v>912</v>
      </c>
      <c r="C4" s="66">
        <v>0</v>
      </c>
      <c r="D4" s="66">
        <v>16.399999999999999</v>
      </c>
      <c r="E4" s="66">
        <v>18.7</v>
      </c>
      <c r="F4" s="66">
        <v>30.7</v>
      </c>
      <c r="G4" s="66">
        <f t="shared" ref="G4:G31" si="2">E4+F4</f>
        <v>49.4</v>
      </c>
      <c r="I4" s="61" t="s">
        <v>368</v>
      </c>
      <c r="J4" s="62">
        <v>49.4</v>
      </c>
      <c r="L4" s="72">
        <f t="shared" si="1"/>
        <v>0</v>
      </c>
      <c r="N4">
        <v>55.3</v>
      </c>
      <c r="P4" s="78">
        <f t="shared" si="0"/>
        <v>-5.8999999999999986</v>
      </c>
    </row>
    <row r="5" spans="1:16" ht="23.4" customHeight="1" x14ac:dyDescent="0.3">
      <c r="A5" s="63" t="s">
        <v>886</v>
      </c>
      <c r="B5" s="64" t="s">
        <v>913</v>
      </c>
      <c r="C5" s="66">
        <v>0</v>
      </c>
      <c r="D5" s="66">
        <v>0</v>
      </c>
      <c r="E5" s="66">
        <v>8.4</v>
      </c>
      <c r="F5" s="66">
        <v>24.4</v>
      </c>
      <c r="G5" s="66">
        <f t="shared" si="2"/>
        <v>32.799999999999997</v>
      </c>
      <c r="I5" s="59" t="s">
        <v>373</v>
      </c>
      <c r="J5" s="60">
        <v>32.799999999999997</v>
      </c>
      <c r="L5" s="72">
        <f t="shared" si="1"/>
        <v>0</v>
      </c>
      <c r="N5">
        <v>34.799999999999997</v>
      </c>
      <c r="P5" s="78">
        <f t="shared" si="0"/>
        <v>-2</v>
      </c>
    </row>
    <row r="6" spans="1:16" ht="23.4" customHeight="1" x14ac:dyDescent="0.3">
      <c r="A6" s="63" t="s">
        <v>887</v>
      </c>
      <c r="B6" s="64" t="s">
        <v>914</v>
      </c>
      <c r="C6" s="66">
        <v>0</v>
      </c>
      <c r="D6" s="66">
        <v>0</v>
      </c>
      <c r="E6" s="66">
        <v>4</v>
      </c>
      <c r="F6" s="66">
        <v>3.9</v>
      </c>
      <c r="G6" s="66">
        <f t="shared" si="2"/>
        <v>7.9</v>
      </c>
      <c r="I6" s="61" t="s">
        <v>378</v>
      </c>
      <c r="J6" s="62">
        <v>7.9</v>
      </c>
      <c r="L6" s="72">
        <f t="shared" si="1"/>
        <v>0</v>
      </c>
      <c r="N6">
        <v>10.1</v>
      </c>
      <c r="P6" s="78">
        <f t="shared" si="0"/>
        <v>-2.1999999999999993</v>
      </c>
    </row>
    <row r="7" spans="1:16" ht="23.4" customHeight="1" x14ac:dyDescent="0.3">
      <c r="A7" s="63" t="s">
        <v>888</v>
      </c>
      <c r="B7" s="64" t="s">
        <v>915</v>
      </c>
      <c r="C7" s="66">
        <v>0</v>
      </c>
      <c r="D7" s="66">
        <v>9.6</v>
      </c>
      <c r="E7" s="66">
        <v>8.8000000000000007</v>
      </c>
      <c r="F7" s="66">
        <v>9.3000000000000007</v>
      </c>
      <c r="G7" s="66">
        <f t="shared" si="2"/>
        <v>18.100000000000001</v>
      </c>
      <c r="I7" s="59" t="s">
        <v>383</v>
      </c>
      <c r="J7" s="60">
        <v>18.100000000000001</v>
      </c>
      <c r="L7" s="72">
        <f t="shared" si="1"/>
        <v>0</v>
      </c>
      <c r="N7">
        <v>23.4</v>
      </c>
      <c r="P7" s="78">
        <f t="shared" si="0"/>
        <v>-5.2999999999999972</v>
      </c>
    </row>
    <row r="8" spans="1:16" ht="23.4" customHeight="1" x14ac:dyDescent="0.3">
      <c r="A8" s="63" t="s">
        <v>889</v>
      </c>
      <c r="B8" s="64" t="s">
        <v>916</v>
      </c>
      <c r="C8" s="66">
        <v>0</v>
      </c>
      <c r="D8" s="66">
        <v>16.7</v>
      </c>
      <c r="E8" s="66">
        <v>15.9</v>
      </c>
      <c r="F8" s="66">
        <v>16.899999999999999</v>
      </c>
      <c r="G8" s="66">
        <f t="shared" si="2"/>
        <v>32.799999999999997</v>
      </c>
      <c r="I8" s="61" t="s">
        <v>388</v>
      </c>
      <c r="J8" s="62">
        <v>32.799999999999997</v>
      </c>
      <c r="L8" s="72">
        <f t="shared" si="1"/>
        <v>0</v>
      </c>
      <c r="N8">
        <v>43.7</v>
      </c>
      <c r="P8" s="78">
        <f t="shared" si="0"/>
        <v>-10.900000000000006</v>
      </c>
    </row>
    <row r="9" spans="1:16" ht="23.4" customHeight="1" x14ac:dyDescent="0.3">
      <c r="A9" s="71" t="s">
        <v>1050</v>
      </c>
      <c r="B9" s="64"/>
      <c r="C9" s="66"/>
      <c r="D9" s="66"/>
      <c r="E9" s="66"/>
      <c r="F9" s="66"/>
      <c r="G9" s="66"/>
      <c r="I9" s="61"/>
      <c r="J9" s="62"/>
      <c r="L9" s="72"/>
      <c r="N9">
        <v>78.400000000000006</v>
      </c>
      <c r="P9" s="78">
        <f t="shared" si="0"/>
        <v>-78.400000000000006</v>
      </c>
    </row>
    <row r="10" spans="1:16" ht="23.4" customHeight="1" x14ac:dyDescent="0.3">
      <c r="A10" s="71" t="s">
        <v>1039</v>
      </c>
      <c r="B10" s="64"/>
      <c r="C10" s="66"/>
      <c r="D10" s="66"/>
      <c r="E10" s="66"/>
      <c r="F10" s="66"/>
      <c r="G10" s="66"/>
      <c r="I10" s="61"/>
      <c r="J10" s="62"/>
      <c r="L10" s="72"/>
      <c r="N10">
        <v>742.1</v>
      </c>
      <c r="P10" s="78">
        <f t="shared" si="0"/>
        <v>-742.1</v>
      </c>
    </row>
    <row r="11" spans="1:16" ht="23.4" customHeight="1" x14ac:dyDescent="0.3">
      <c r="A11" s="63" t="s">
        <v>917</v>
      </c>
      <c r="B11" s="64" t="s">
        <v>918</v>
      </c>
      <c r="C11" s="66">
        <v>0</v>
      </c>
      <c r="D11" s="66">
        <v>0</v>
      </c>
      <c r="E11" s="66">
        <v>2.8</v>
      </c>
      <c r="F11" s="66">
        <v>2.8</v>
      </c>
      <c r="G11" s="66">
        <f t="shared" si="2"/>
        <v>5.6</v>
      </c>
      <c r="I11" s="59" t="s">
        <v>393</v>
      </c>
      <c r="J11" s="60">
        <v>5.6</v>
      </c>
      <c r="L11" s="72">
        <f t="shared" si="1"/>
        <v>0</v>
      </c>
      <c r="P11" s="78">
        <f t="shared" si="0"/>
        <v>5.6</v>
      </c>
    </row>
    <row r="12" spans="1:16" ht="23.4" customHeight="1" x14ac:dyDescent="0.3">
      <c r="A12" s="63" t="s">
        <v>919</v>
      </c>
      <c r="B12" s="64" t="s">
        <v>920</v>
      </c>
      <c r="C12" s="66">
        <v>0</v>
      </c>
      <c r="D12" s="66">
        <v>229.6</v>
      </c>
      <c r="E12" s="66">
        <v>355.8</v>
      </c>
      <c r="F12" s="66">
        <v>388.9</v>
      </c>
      <c r="G12" s="66">
        <f t="shared" si="2"/>
        <v>744.7</v>
      </c>
      <c r="I12" s="61" t="s">
        <v>398</v>
      </c>
      <c r="J12" s="62">
        <v>744.7</v>
      </c>
      <c r="L12" s="72">
        <f t="shared" si="1"/>
        <v>0</v>
      </c>
      <c r="P12" s="78">
        <f t="shared" si="0"/>
        <v>744.7</v>
      </c>
    </row>
    <row r="13" spans="1:16" ht="23.4" customHeight="1" x14ac:dyDescent="0.3">
      <c r="A13" s="63" t="s">
        <v>890</v>
      </c>
      <c r="B13" s="64" t="s">
        <v>921</v>
      </c>
      <c r="C13" s="66">
        <v>1208</v>
      </c>
      <c r="D13" s="66">
        <v>2697.6</v>
      </c>
      <c r="E13" s="66">
        <v>1957.3</v>
      </c>
      <c r="F13" s="66">
        <v>1990.5</v>
      </c>
      <c r="G13" s="66">
        <f t="shared" si="2"/>
        <v>3947.8</v>
      </c>
      <c r="I13" s="59" t="s">
        <v>403</v>
      </c>
      <c r="J13" s="60">
        <v>3947.8</v>
      </c>
      <c r="L13" s="72">
        <f t="shared" si="1"/>
        <v>0</v>
      </c>
      <c r="N13">
        <v>4000.3</v>
      </c>
      <c r="P13" s="78">
        <f t="shared" si="0"/>
        <v>-52.5</v>
      </c>
    </row>
    <row r="14" spans="1:16" ht="23.4" customHeight="1" x14ac:dyDescent="0.3">
      <c r="A14" s="63" t="s">
        <v>922</v>
      </c>
      <c r="B14" s="64" t="s">
        <v>923</v>
      </c>
      <c r="C14" s="66">
        <v>0</v>
      </c>
      <c r="D14" s="66">
        <v>6.8</v>
      </c>
      <c r="E14" s="66">
        <v>0</v>
      </c>
      <c r="F14" s="66">
        <v>0</v>
      </c>
      <c r="G14" s="66">
        <f t="shared" si="2"/>
        <v>0</v>
      </c>
      <c r="L14" s="72">
        <f t="shared" si="1"/>
        <v>0</v>
      </c>
      <c r="P14" s="78">
        <f t="shared" si="0"/>
        <v>0</v>
      </c>
    </row>
    <row r="15" spans="1:16" ht="23.4" customHeight="1" x14ac:dyDescent="0.3">
      <c r="A15" s="63" t="s">
        <v>924</v>
      </c>
      <c r="B15" s="64" t="s">
        <v>925</v>
      </c>
      <c r="C15" s="66">
        <v>0</v>
      </c>
      <c r="D15" s="66">
        <v>89.4</v>
      </c>
      <c r="E15" s="66">
        <v>94.4</v>
      </c>
      <c r="F15" s="66">
        <v>0</v>
      </c>
      <c r="G15" s="66">
        <f t="shared" si="2"/>
        <v>94.4</v>
      </c>
      <c r="I15" s="61" t="s">
        <v>408</v>
      </c>
      <c r="J15" s="62">
        <v>94.4</v>
      </c>
      <c r="L15" s="72">
        <f t="shared" si="1"/>
        <v>0</v>
      </c>
      <c r="P15" s="78">
        <f t="shared" si="0"/>
        <v>94.4</v>
      </c>
    </row>
    <row r="16" spans="1:16" ht="23.4" customHeight="1" x14ac:dyDescent="0.3">
      <c r="A16" s="63" t="s">
        <v>891</v>
      </c>
      <c r="B16" s="64" t="s">
        <v>926</v>
      </c>
      <c r="C16" s="66">
        <v>0</v>
      </c>
      <c r="D16" s="66">
        <v>21.1</v>
      </c>
      <c r="E16" s="66">
        <v>0</v>
      </c>
      <c r="F16" s="66">
        <v>0</v>
      </c>
      <c r="G16" s="66">
        <f t="shared" si="2"/>
        <v>0</v>
      </c>
      <c r="L16" s="72"/>
      <c r="P16" s="78"/>
    </row>
    <row r="17" spans="1:16" ht="23.4" customHeight="1" x14ac:dyDescent="0.3">
      <c r="A17" s="63" t="s">
        <v>892</v>
      </c>
      <c r="B17" s="64" t="s">
        <v>927</v>
      </c>
      <c r="C17" s="66">
        <v>0</v>
      </c>
      <c r="D17" s="66">
        <v>0</v>
      </c>
      <c r="E17" s="66">
        <v>0</v>
      </c>
      <c r="F17" s="66">
        <v>24.9</v>
      </c>
      <c r="G17" s="66">
        <f t="shared" si="2"/>
        <v>24.9</v>
      </c>
      <c r="I17" s="59" t="s">
        <v>413</v>
      </c>
      <c r="J17" s="60">
        <v>24.9</v>
      </c>
      <c r="L17" s="72">
        <f t="shared" si="1"/>
        <v>0</v>
      </c>
      <c r="N17">
        <v>23.2</v>
      </c>
      <c r="P17" s="78">
        <f t="shared" si="0"/>
        <v>1.6999999999999993</v>
      </c>
    </row>
    <row r="18" spans="1:16" ht="23.4" customHeight="1" x14ac:dyDescent="0.3">
      <c r="A18" s="63" t="s">
        <v>893</v>
      </c>
      <c r="B18" s="64" t="s">
        <v>928</v>
      </c>
      <c r="C18" s="66">
        <v>0</v>
      </c>
      <c r="D18" s="66">
        <v>671.4</v>
      </c>
      <c r="E18" s="66">
        <v>458.6</v>
      </c>
      <c r="F18" s="66">
        <v>191.2</v>
      </c>
      <c r="G18" s="66">
        <f t="shared" si="2"/>
        <v>649.79999999999995</v>
      </c>
      <c r="I18" s="61" t="s">
        <v>418</v>
      </c>
      <c r="J18" s="62">
        <v>649.79999999999995</v>
      </c>
      <c r="L18" s="72">
        <f t="shared" si="1"/>
        <v>0</v>
      </c>
      <c r="N18">
        <v>239.5</v>
      </c>
      <c r="P18" s="78">
        <f t="shared" si="0"/>
        <v>410.29999999999995</v>
      </c>
    </row>
    <row r="19" spans="1:16" ht="23.4" customHeight="1" x14ac:dyDescent="0.3">
      <c r="A19" s="63" t="s">
        <v>894</v>
      </c>
      <c r="B19" s="64" t="s">
        <v>929</v>
      </c>
      <c r="C19" s="66">
        <v>0</v>
      </c>
      <c r="D19" s="66">
        <v>22</v>
      </c>
      <c r="E19" s="66">
        <v>0</v>
      </c>
      <c r="F19" s="66">
        <v>0</v>
      </c>
      <c r="G19" s="66">
        <f t="shared" si="2"/>
        <v>0</v>
      </c>
      <c r="L19" s="72"/>
      <c r="P19" s="78"/>
    </row>
    <row r="20" spans="1:16" ht="23.4" customHeight="1" x14ac:dyDescent="0.3">
      <c r="A20" s="63" t="s">
        <v>895</v>
      </c>
      <c r="B20" s="64" t="s">
        <v>930</v>
      </c>
      <c r="C20" s="65">
        <v>0</v>
      </c>
      <c r="D20" s="65">
        <v>382.5</v>
      </c>
      <c r="E20" s="65">
        <v>201.8</v>
      </c>
      <c r="F20" s="65">
        <v>152</v>
      </c>
      <c r="G20" s="66">
        <f t="shared" si="2"/>
        <v>353.8</v>
      </c>
      <c r="I20" s="59" t="s">
        <v>531</v>
      </c>
      <c r="J20" s="60">
        <v>353.8</v>
      </c>
      <c r="L20" s="72">
        <f t="shared" si="1"/>
        <v>0</v>
      </c>
      <c r="N20">
        <v>365.8</v>
      </c>
      <c r="P20" s="78">
        <f t="shared" si="0"/>
        <v>-12</v>
      </c>
    </row>
    <row r="21" spans="1:16" ht="23.4" customHeight="1" x14ac:dyDescent="0.3">
      <c r="A21" s="63" t="s">
        <v>896</v>
      </c>
      <c r="B21" s="64" t="s">
        <v>931</v>
      </c>
      <c r="C21" s="65">
        <v>0</v>
      </c>
      <c r="D21" s="65">
        <v>34.700000000000003</v>
      </c>
      <c r="E21" s="65">
        <v>38.700000000000003</v>
      </c>
      <c r="F21" s="65">
        <v>21</v>
      </c>
      <c r="G21" s="66">
        <f t="shared" si="2"/>
        <v>59.7</v>
      </c>
      <c r="I21" s="61" t="s">
        <v>539</v>
      </c>
      <c r="J21" s="62">
        <v>59.7</v>
      </c>
      <c r="L21" s="72">
        <f t="shared" si="1"/>
        <v>0</v>
      </c>
      <c r="N21">
        <v>48.3</v>
      </c>
      <c r="P21" s="78">
        <f t="shared" si="0"/>
        <v>11.400000000000006</v>
      </c>
    </row>
    <row r="22" spans="1:16" ht="23.4" customHeight="1" x14ac:dyDescent="0.3">
      <c r="A22" s="63" t="s">
        <v>897</v>
      </c>
      <c r="B22" s="64" t="s">
        <v>932</v>
      </c>
      <c r="C22" s="65">
        <v>0</v>
      </c>
      <c r="D22" s="65">
        <v>86.2</v>
      </c>
      <c r="E22" s="65">
        <v>64</v>
      </c>
      <c r="F22" s="65">
        <v>43.8</v>
      </c>
      <c r="G22" s="66">
        <f t="shared" si="2"/>
        <v>107.8</v>
      </c>
      <c r="I22" s="59" t="s">
        <v>546</v>
      </c>
      <c r="J22" s="60">
        <v>107.8</v>
      </c>
      <c r="L22" s="72">
        <f t="shared" si="1"/>
        <v>0</v>
      </c>
      <c r="N22">
        <v>91.8</v>
      </c>
      <c r="P22" s="78">
        <f t="shared" si="0"/>
        <v>16</v>
      </c>
    </row>
    <row r="23" spans="1:16" ht="23.4" customHeight="1" x14ac:dyDescent="0.3">
      <c r="A23" s="71" t="s">
        <v>883</v>
      </c>
      <c r="B23" s="64"/>
      <c r="C23" s="65"/>
      <c r="D23" s="65"/>
      <c r="E23" s="65"/>
      <c r="F23" s="65"/>
      <c r="G23" s="66"/>
      <c r="I23" s="76"/>
      <c r="J23" s="77"/>
      <c r="L23" s="72"/>
      <c r="N23">
        <v>11.5</v>
      </c>
      <c r="P23" s="78">
        <f t="shared" si="0"/>
        <v>-11.5</v>
      </c>
    </row>
    <row r="24" spans="1:16" ht="23.4" customHeight="1" x14ac:dyDescent="0.3">
      <c r="A24" s="71" t="s">
        <v>1043</v>
      </c>
      <c r="B24" s="64"/>
      <c r="C24" s="65"/>
      <c r="D24" s="65"/>
      <c r="E24" s="65"/>
      <c r="F24" s="65"/>
      <c r="G24" s="66"/>
      <c r="I24" s="76"/>
      <c r="J24" s="77"/>
      <c r="L24" s="72"/>
      <c r="N24">
        <v>16.3</v>
      </c>
      <c r="P24" s="78">
        <f t="shared" si="0"/>
        <v>-16.3</v>
      </c>
    </row>
    <row r="25" spans="1:16" ht="23.4" customHeight="1" x14ac:dyDescent="0.3">
      <c r="A25" s="63" t="s">
        <v>898</v>
      </c>
      <c r="B25" s="64" t="s">
        <v>933</v>
      </c>
      <c r="C25" s="66">
        <v>0</v>
      </c>
      <c r="D25" s="66">
        <v>169.5</v>
      </c>
      <c r="E25" s="66">
        <v>0</v>
      </c>
      <c r="F25" s="66">
        <v>0</v>
      </c>
      <c r="G25" s="66">
        <f t="shared" si="2"/>
        <v>0</v>
      </c>
      <c r="L25" s="72"/>
      <c r="P25" s="78"/>
    </row>
    <row r="26" spans="1:16" ht="23.4" customHeight="1" x14ac:dyDescent="0.3">
      <c r="A26" s="63" t="s">
        <v>899</v>
      </c>
      <c r="B26" s="64" t="s">
        <v>934</v>
      </c>
      <c r="C26" s="65">
        <v>0</v>
      </c>
      <c r="D26" s="65">
        <v>1784.9</v>
      </c>
      <c r="E26" s="65">
        <v>171.1</v>
      </c>
      <c r="F26" s="65">
        <v>125.1</v>
      </c>
      <c r="G26" s="66">
        <f t="shared" si="2"/>
        <v>296.2</v>
      </c>
      <c r="I26" s="61" t="s">
        <v>553</v>
      </c>
      <c r="J26" s="62">
        <v>296.2</v>
      </c>
      <c r="L26" s="72">
        <f t="shared" si="1"/>
        <v>0</v>
      </c>
      <c r="N26">
        <v>302.8</v>
      </c>
      <c r="P26" s="78">
        <f t="shared" si="0"/>
        <v>-6.6000000000000227</v>
      </c>
    </row>
    <row r="27" spans="1:16" ht="23.4" customHeight="1" x14ac:dyDescent="0.3">
      <c r="A27" s="63" t="s">
        <v>900</v>
      </c>
      <c r="B27" s="64" t="s">
        <v>935</v>
      </c>
      <c r="C27" s="65">
        <v>0</v>
      </c>
      <c r="D27" s="65">
        <v>204.1</v>
      </c>
      <c r="E27" s="65">
        <v>0</v>
      </c>
      <c r="F27" s="65">
        <v>0</v>
      </c>
      <c r="G27" s="66">
        <f t="shared" si="2"/>
        <v>0</v>
      </c>
      <c r="L27" s="72">
        <f t="shared" si="1"/>
        <v>0</v>
      </c>
      <c r="P27" s="78">
        <f t="shared" si="0"/>
        <v>0</v>
      </c>
    </row>
    <row r="28" spans="1:16" ht="23.4" customHeight="1" x14ac:dyDescent="0.3">
      <c r="A28" s="63" t="s">
        <v>901</v>
      </c>
      <c r="B28" s="64" t="s">
        <v>936</v>
      </c>
      <c r="C28" s="65">
        <v>0</v>
      </c>
      <c r="D28" s="65">
        <v>397.1</v>
      </c>
      <c r="E28" s="65">
        <v>400.4</v>
      </c>
      <c r="F28" s="65">
        <v>351.3</v>
      </c>
      <c r="G28" s="66">
        <f t="shared" si="2"/>
        <v>751.7</v>
      </c>
      <c r="I28" s="59" t="s">
        <v>560</v>
      </c>
      <c r="J28" s="60">
        <v>751.7</v>
      </c>
      <c r="L28" s="72">
        <f t="shared" si="1"/>
        <v>0</v>
      </c>
      <c r="N28">
        <v>751.5</v>
      </c>
      <c r="P28" s="78">
        <f t="shared" si="0"/>
        <v>0.20000000000004547</v>
      </c>
    </row>
    <row r="29" spans="1:16" ht="23.4" customHeight="1" x14ac:dyDescent="0.3">
      <c r="A29" s="63" t="s">
        <v>902</v>
      </c>
      <c r="B29" s="64" t="s">
        <v>937</v>
      </c>
      <c r="C29" s="66">
        <v>0</v>
      </c>
      <c r="D29" s="66">
        <v>24</v>
      </c>
      <c r="E29" s="66">
        <v>11.6</v>
      </c>
      <c r="F29" s="66">
        <v>12.8</v>
      </c>
      <c r="G29" s="66">
        <f t="shared" si="2"/>
        <v>24.4</v>
      </c>
      <c r="L29" s="72">
        <f t="shared" si="1"/>
        <v>24.4</v>
      </c>
      <c r="N29">
        <v>24.5</v>
      </c>
      <c r="P29" s="78">
        <f t="shared" si="0"/>
        <v>-24.5</v>
      </c>
    </row>
    <row r="30" spans="1:16" ht="23.4" customHeight="1" x14ac:dyDescent="0.3">
      <c r="A30" s="63" t="s">
        <v>903</v>
      </c>
      <c r="B30" s="64" t="s">
        <v>938</v>
      </c>
      <c r="C30" s="65">
        <v>0</v>
      </c>
      <c r="D30" s="65">
        <v>4.3</v>
      </c>
      <c r="E30" s="65">
        <v>3.9</v>
      </c>
      <c r="F30" s="65">
        <v>3.9</v>
      </c>
      <c r="G30" s="66">
        <f t="shared" si="2"/>
        <v>7.8</v>
      </c>
      <c r="I30" s="61" t="s">
        <v>567</v>
      </c>
      <c r="J30" s="62">
        <v>7.8</v>
      </c>
      <c r="L30" s="72">
        <f t="shared" si="1"/>
        <v>0</v>
      </c>
      <c r="N30">
        <v>8.3000000000000007</v>
      </c>
      <c r="P30" s="78">
        <f>J30-N30</f>
        <v>-0.50000000000000089</v>
      </c>
    </row>
    <row r="31" spans="1:16" ht="23.4" customHeight="1" x14ac:dyDescent="0.3">
      <c r="A31" s="63" t="s">
        <v>939</v>
      </c>
      <c r="B31" s="64" t="s">
        <v>940</v>
      </c>
      <c r="C31" s="66">
        <v>0</v>
      </c>
      <c r="D31" s="66">
        <v>0</v>
      </c>
      <c r="E31" s="66">
        <v>0</v>
      </c>
      <c r="F31" s="66">
        <v>3.8</v>
      </c>
      <c r="G31" s="66">
        <f t="shared" si="2"/>
        <v>3.8</v>
      </c>
      <c r="L31" s="72">
        <f t="shared" si="1"/>
        <v>3.8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9"/>
  <sheetViews>
    <sheetView zoomScale="70" zoomScaleNormal="70" workbookViewId="0">
      <selection activeCell="B296" sqref="B296"/>
    </sheetView>
  </sheetViews>
  <sheetFormatPr defaultRowHeight="14.4" x14ac:dyDescent="0.3"/>
  <cols>
    <col min="1" max="2" width="10.88671875" customWidth="1"/>
    <col min="3" max="3" width="10.88671875" style="73" customWidth="1"/>
    <col min="4" max="4" width="10.88671875" customWidth="1"/>
  </cols>
  <sheetData>
    <row r="1" spans="1:4" x14ac:dyDescent="0.3">
      <c r="A1" s="44" t="s">
        <v>1054</v>
      </c>
      <c r="B1" s="44" t="s">
        <v>1053</v>
      </c>
      <c r="C1" s="74" t="s">
        <v>1055</v>
      </c>
      <c r="D1" s="44" t="s">
        <v>830</v>
      </c>
    </row>
    <row r="2" spans="1:4" hidden="1" x14ac:dyDescent="0.3">
      <c r="A2">
        <v>2</v>
      </c>
      <c r="B2" s="44" t="s">
        <v>834</v>
      </c>
      <c r="C2" s="74" t="s">
        <v>941</v>
      </c>
      <c r="D2">
        <v>136.6</v>
      </c>
    </row>
    <row r="3" spans="1:4" hidden="1" x14ac:dyDescent="0.3">
      <c r="A3">
        <v>2</v>
      </c>
      <c r="B3" s="44" t="s">
        <v>834</v>
      </c>
      <c r="C3" s="74" t="s">
        <v>1039</v>
      </c>
      <c r="D3">
        <v>64.400000000000006</v>
      </c>
    </row>
    <row r="4" spans="1:4" hidden="1" x14ac:dyDescent="0.3">
      <c r="A4">
        <v>2</v>
      </c>
      <c r="B4" s="44" t="s">
        <v>834</v>
      </c>
      <c r="C4" s="74" t="s">
        <v>881</v>
      </c>
      <c r="D4">
        <v>1.3</v>
      </c>
    </row>
    <row r="5" spans="1:4" hidden="1" x14ac:dyDescent="0.3">
      <c r="A5">
        <v>2</v>
      </c>
      <c r="B5" s="44" t="s">
        <v>836</v>
      </c>
      <c r="C5" s="74" t="s">
        <v>881</v>
      </c>
      <c r="D5">
        <v>1</v>
      </c>
    </row>
    <row r="6" spans="1:4" hidden="1" x14ac:dyDescent="0.3">
      <c r="A6">
        <v>2</v>
      </c>
      <c r="B6" s="44" t="s">
        <v>838</v>
      </c>
      <c r="C6" s="74" t="s">
        <v>941</v>
      </c>
      <c r="D6">
        <v>299.8</v>
      </c>
    </row>
    <row r="7" spans="1:4" hidden="1" x14ac:dyDescent="0.3">
      <c r="A7">
        <v>2</v>
      </c>
      <c r="B7" s="44" t="s">
        <v>838</v>
      </c>
      <c r="C7" s="74" t="s">
        <v>1040</v>
      </c>
      <c r="D7">
        <v>8.4</v>
      </c>
    </row>
    <row r="8" spans="1:4" hidden="1" x14ac:dyDescent="0.3">
      <c r="A8">
        <v>2</v>
      </c>
      <c r="B8" s="44" t="s">
        <v>840</v>
      </c>
      <c r="C8" s="74" t="s">
        <v>941</v>
      </c>
      <c r="D8">
        <v>115.2</v>
      </c>
    </row>
    <row r="9" spans="1:4" hidden="1" x14ac:dyDescent="0.3">
      <c r="A9">
        <v>2</v>
      </c>
      <c r="B9" s="44" t="s">
        <v>842</v>
      </c>
      <c r="C9" s="74" t="s">
        <v>941</v>
      </c>
      <c r="D9">
        <v>56.4</v>
      </c>
    </row>
    <row r="10" spans="1:4" hidden="1" x14ac:dyDescent="0.3">
      <c r="A10">
        <v>2</v>
      </c>
      <c r="B10" s="44" t="s">
        <v>942</v>
      </c>
      <c r="C10" s="74" t="s">
        <v>1041</v>
      </c>
      <c r="D10">
        <v>0</v>
      </c>
    </row>
    <row r="11" spans="1:4" hidden="1" x14ac:dyDescent="0.3">
      <c r="A11">
        <v>2</v>
      </c>
      <c r="B11" s="44" t="s">
        <v>835</v>
      </c>
      <c r="C11" s="74" t="s">
        <v>1042</v>
      </c>
      <c r="D11">
        <v>73.5</v>
      </c>
    </row>
    <row r="12" spans="1:4" hidden="1" x14ac:dyDescent="0.3">
      <c r="A12">
        <v>2</v>
      </c>
      <c r="B12" s="44" t="s">
        <v>943</v>
      </c>
      <c r="C12" s="74" t="s">
        <v>1042</v>
      </c>
      <c r="D12">
        <v>104</v>
      </c>
    </row>
    <row r="13" spans="1:4" hidden="1" x14ac:dyDescent="0.3">
      <c r="A13">
        <v>2</v>
      </c>
      <c r="B13" s="44" t="s">
        <v>944</v>
      </c>
      <c r="C13" s="74" t="s">
        <v>1042</v>
      </c>
      <c r="D13">
        <v>49.3</v>
      </c>
    </row>
    <row r="14" spans="1:4" hidden="1" x14ac:dyDescent="0.3">
      <c r="A14">
        <v>2</v>
      </c>
      <c r="B14" s="44" t="s">
        <v>945</v>
      </c>
      <c r="C14" s="74" t="s">
        <v>878</v>
      </c>
      <c r="D14">
        <v>11.7</v>
      </c>
    </row>
    <row r="15" spans="1:4" hidden="1" x14ac:dyDescent="0.3">
      <c r="A15">
        <v>2</v>
      </c>
      <c r="B15" s="44" t="s">
        <v>945</v>
      </c>
      <c r="C15" s="74" t="s">
        <v>1043</v>
      </c>
      <c r="D15">
        <v>8.1999999999999993</v>
      </c>
    </row>
    <row r="16" spans="1:4" hidden="1" x14ac:dyDescent="0.3">
      <c r="A16">
        <v>2</v>
      </c>
      <c r="B16" s="44" t="s">
        <v>945</v>
      </c>
      <c r="C16" s="74" t="s">
        <v>879</v>
      </c>
      <c r="D16">
        <v>66.400000000000006</v>
      </c>
    </row>
    <row r="17" spans="1:4" hidden="1" x14ac:dyDescent="0.3">
      <c r="A17">
        <v>2</v>
      </c>
      <c r="B17" s="44" t="s">
        <v>945</v>
      </c>
      <c r="C17" s="74" t="s">
        <v>880</v>
      </c>
      <c r="D17">
        <v>2.6</v>
      </c>
    </row>
    <row r="18" spans="1:4" hidden="1" x14ac:dyDescent="0.3">
      <c r="A18">
        <v>2</v>
      </c>
      <c r="B18" s="44" t="s">
        <v>946</v>
      </c>
      <c r="C18" s="74" t="s">
        <v>877</v>
      </c>
      <c r="D18">
        <v>33.299999999999997</v>
      </c>
    </row>
    <row r="19" spans="1:4" hidden="1" x14ac:dyDescent="0.3">
      <c r="A19">
        <v>2</v>
      </c>
      <c r="B19" s="44" t="s">
        <v>844</v>
      </c>
      <c r="C19" s="74" t="s">
        <v>941</v>
      </c>
      <c r="D19">
        <v>74.900000000000006</v>
      </c>
    </row>
    <row r="20" spans="1:4" hidden="1" x14ac:dyDescent="0.3">
      <c r="A20">
        <v>2</v>
      </c>
      <c r="B20" s="44" t="s">
        <v>844</v>
      </c>
      <c r="C20" s="74" t="s">
        <v>1039</v>
      </c>
      <c r="D20">
        <v>25.8</v>
      </c>
    </row>
    <row r="21" spans="1:4" hidden="1" x14ac:dyDescent="0.3">
      <c r="A21">
        <v>2</v>
      </c>
      <c r="B21" s="44" t="s">
        <v>844</v>
      </c>
      <c r="C21" s="74" t="s">
        <v>881</v>
      </c>
      <c r="D21">
        <v>5.4</v>
      </c>
    </row>
    <row r="22" spans="1:4" hidden="1" x14ac:dyDescent="0.3">
      <c r="A22">
        <v>2</v>
      </c>
      <c r="B22" s="44" t="s">
        <v>845</v>
      </c>
      <c r="C22" s="74" t="s">
        <v>941</v>
      </c>
      <c r="D22">
        <v>74.3</v>
      </c>
    </row>
    <row r="23" spans="1:4" hidden="1" x14ac:dyDescent="0.3">
      <c r="A23">
        <v>2</v>
      </c>
      <c r="B23" s="44" t="s">
        <v>845</v>
      </c>
      <c r="C23" s="74" t="s">
        <v>1039</v>
      </c>
      <c r="D23">
        <v>26.7</v>
      </c>
    </row>
    <row r="24" spans="1:4" hidden="1" x14ac:dyDescent="0.3">
      <c r="A24">
        <v>2</v>
      </c>
      <c r="B24" s="44" t="s">
        <v>845</v>
      </c>
      <c r="C24" s="74" t="s">
        <v>881</v>
      </c>
      <c r="D24">
        <v>2.2999999999999998</v>
      </c>
    </row>
    <row r="25" spans="1:4" hidden="1" x14ac:dyDescent="0.3">
      <c r="A25">
        <v>2</v>
      </c>
      <c r="B25" s="44" t="s">
        <v>846</v>
      </c>
      <c r="C25" s="74" t="s">
        <v>941</v>
      </c>
      <c r="D25">
        <v>76</v>
      </c>
    </row>
    <row r="26" spans="1:4" hidden="1" x14ac:dyDescent="0.3">
      <c r="A26">
        <v>2</v>
      </c>
      <c r="B26" s="44" t="s">
        <v>846</v>
      </c>
      <c r="C26" s="74" t="s">
        <v>1039</v>
      </c>
      <c r="D26">
        <v>27.1</v>
      </c>
    </row>
    <row r="27" spans="1:4" hidden="1" x14ac:dyDescent="0.3">
      <c r="A27">
        <v>2</v>
      </c>
      <c r="B27" s="44" t="s">
        <v>846</v>
      </c>
      <c r="C27" s="74" t="s">
        <v>881</v>
      </c>
      <c r="D27">
        <v>1.8</v>
      </c>
    </row>
    <row r="28" spans="1:4" hidden="1" x14ac:dyDescent="0.3">
      <c r="A28">
        <v>2</v>
      </c>
      <c r="B28" s="44" t="s">
        <v>847</v>
      </c>
      <c r="C28" s="74" t="s">
        <v>941</v>
      </c>
      <c r="D28">
        <v>81.2</v>
      </c>
    </row>
    <row r="29" spans="1:4" hidden="1" x14ac:dyDescent="0.3">
      <c r="A29">
        <v>2</v>
      </c>
      <c r="B29" s="44" t="s">
        <v>847</v>
      </c>
      <c r="C29" s="74" t="s">
        <v>1039</v>
      </c>
      <c r="D29">
        <v>21.4</v>
      </c>
    </row>
    <row r="30" spans="1:4" hidden="1" x14ac:dyDescent="0.3">
      <c r="A30">
        <v>2</v>
      </c>
      <c r="B30" s="44" t="s">
        <v>847</v>
      </c>
      <c r="C30" s="74" t="s">
        <v>881</v>
      </c>
      <c r="D30">
        <v>3.9</v>
      </c>
    </row>
    <row r="31" spans="1:4" hidden="1" x14ac:dyDescent="0.3">
      <c r="A31">
        <v>2</v>
      </c>
      <c r="B31" s="44" t="s">
        <v>848</v>
      </c>
      <c r="C31" s="74" t="s">
        <v>941</v>
      </c>
      <c r="D31">
        <v>75.5</v>
      </c>
    </row>
    <row r="32" spans="1:4" hidden="1" x14ac:dyDescent="0.3">
      <c r="A32">
        <v>2</v>
      </c>
      <c r="B32" s="44" t="s">
        <v>848</v>
      </c>
      <c r="C32" s="74" t="s">
        <v>1039</v>
      </c>
      <c r="D32">
        <v>28.3</v>
      </c>
    </row>
    <row r="33" spans="1:4" hidden="1" x14ac:dyDescent="0.3">
      <c r="A33">
        <v>2</v>
      </c>
      <c r="B33" s="44" t="s">
        <v>849</v>
      </c>
      <c r="C33" s="74" t="s">
        <v>941</v>
      </c>
      <c r="D33">
        <v>344.2</v>
      </c>
    </row>
    <row r="34" spans="1:4" hidden="1" x14ac:dyDescent="0.3">
      <c r="A34">
        <v>2</v>
      </c>
      <c r="B34" s="44" t="s">
        <v>849</v>
      </c>
      <c r="C34" s="74" t="s">
        <v>1044</v>
      </c>
      <c r="D34">
        <v>11.6</v>
      </c>
    </row>
    <row r="35" spans="1:4" hidden="1" x14ac:dyDescent="0.3">
      <c r="A35">
        <v>2</v>
      </c>
      <c r="B35" s="44" t="s">
        <v>849</v>
      </c>
      <c r="C35" s="74" t="s">
        <v>878</v>
      </c>
      <c r="D35">
        <v>4.0999999999999996</v>
      </c>
    </row>
    <row r="36" spans="1:4" hidden="1" x14ac:dyDescent="0.3">
      <c r="A36">
        <v>2</v>
      </c>
      <c r="B36" s="44" t="s">
        <v>849</v>
      </c>
      <c r="C36" s="74" t="s">
        <v>1045</v>
      </c>
      <c r="D36">
        <v>1.3</v>
      </c>
    </row>
    <row r="37" spans="1:4" hidden="1" x14ac:dyDescent="0.3">
      <c r="A37">
        <v>2</v>
      </c>
      <c r="B37" s="44" t="s">
        <v>947</v>
      </c>
      <c r="C37" s="74" t="s">
        <v>878</v>
      </c>
      <c r="D37">
        <v>11.9</v>
      </c>
    </row>
    <row r="38" spans="1:4" hidden="1" x14ac:dyDescent="0.3">
      <c r="A38">
        <v>2</v>
      </c>
      <c r="B38" s="44" t="s">
        <v>947</v>
      </c>
      <c r="C38" s="74" t="s">
        <v>883</v>
      </c>
      <c r="D38">
        <v>5.7</v>
      </c>
    </row>
    <row r="39" spans="1:4" hidden="1" x14ac:dyDescent="0.3">
      <c r="A39">
        <v>2</v>
      </c>
      <c r="B39" s="44" t="s">
        <v>947</v>
      </c>
      <c r="C39" s="74" t="s">
        <v>879</v>
      </c>
      <c r="D39">
        <v>65.099999999999994</v>
      </c>
    </row>
    <row r="40" spans="1:4" hidden="1" x14ac:dyDescent="0.3">
      <c r="A40">
        <v>2</v>
      </c>
      <c r="B40" s="44" t="s">
        <v>947</v>
      </c>
      <c r="C40" s="74" t="s">
        <v>880</v>
      </c>
      <c r="D40">
        <v>1.8</v>
      </c>
    </row>
    <row r="41" spans="1:4" hidden="1" x14ac:dyDescent="0.3">
      <c r="A41">
        <v>2</v>
      </c>
      <c r="B41" s="44" t="s">
        <v>948</v>
      </c>
      <c r="C41" s="74" t="s">
        <v>1044</v>
      </c>
      <c r="D41">
        <v>9</v>
      </c>
    </row>
    <row r="42" spans="1:4" hidden="1" x14ac:dyDescent="0.3">
      <c r="A42">
        <v>2</v>
      </c>
      <c r="B42" s="44" t="s">
        <v>948</v>
      </c>
      <c r="C42" s="74" t="s">
        <v>1046</v>
      </c>
      <c r="D42">
        <v>11.7</v>
      </c>
    </row>
    <row r="43" spans="1:4" hidden="1" x14ac:dyDescent="0.3">
      <c r="A43">
        <v>2</v>
      </c>
      <c r="B43" s="44" t="s">
        <v>948</v>
      </c>
      <c r="C43" s="74" t="s">
        <v>1047</v>
      </c>
      <c r="D43">
        <v>15.5</v>
      </c>
    </row>
    <row r="44" spans="1:4" hidden="1" x14ac:dyDescent="0.3">
      <c r="A44">
        <v>2</v>
      </c>
      <c r="B44" s="44" t="s">
        <v>948</v>
      </c>
      <c r="C44" s="74" t="s">
        <v>1042</v>
      </c>
      <c r="D44">
        <v>231.6</v>
      </c>
    </row>
    <row r="45" spans="1:4" hidden="1" x14ac:dyDescent="0.3">
      <c r="A45">
        <v>2</v>
      </c>
      <c r="B45" s="44" t="s">
        <v>948</v>
      </c>
      <c r="C45" s="74" t="s">
        <v>878</v>
      </c>
      <c r="D45">
        <v>2</v>
      </c>
    </row>
    <row r="46" spans="1:4" hidden="1" x14ac:dyDescent="0.3">
      <c r="A46">
        <v>2</v>
      </c>
      <c r="B46" s="44" t="s">
        <v>949</v>
      </c>
      <c r="C46" s="74" t="s">
        <v>878</v>
      </c>
      <c r="D46">
        <v>11.7</v>
      </c>
    </row>
    <row r="47" spans="1:4" hidden="1" x14ac:dyDescent="0.3">
      <c r="A47">
        <v>2</v>
      </c>
      <c r="B47" s="44" t="s">
        <v>949</v>
      </c>
      <c r="C47" s="74" t="s">
        <v>881</v>
      </c>
      <c r="D47">
        <v>31.6</v>
      </c>
    </row>
    <row r="48" spans="1:4" hidden="1" x14ac:dyDescent="0.3">
      <c r="A48">
        <v>2</v>
      </c>
      <c r="B48" s="44" t="s">
        <v>949</v>
      </c>
      <c r="C48" s="74" t="s">
        <v>882</v>
      </c>
      <c r="D48">
        <v>5.9</v>
      </c>
    </row>
    <row r="49" spans="1:4" hidden="1" x14ac:dyDescent="0.3">
      <c r="A49">
        <v>2</v>
      </c>
      <c r="B49" s="44" t="s">
        <v>950</v>
      </c>
      <c r="C49" s="74" t="s">
        <v>881</v>
      </c>
      <c r="D49">
        <v>36.9</v>
      </c>
    </row>
    <row r="50" spans="1:4" hidden="1" x14ac:dyDescent="0.3">
      <c r="A50">
        <v>2</v>
      </c>
      <c r="B50" s="44" t="s">
        <v>850</v>
      </c>
      <c r="C50" s="74" t="s">
        <v>941</v>
      </c>
      <c r="D50">
        <v>653.1</v>
      </c>
    </row>
    <row r="51" spans="1:4" hidden="1" x14ac:dyDescent="0.3">
      <c r="A51">
        <v>2</v>
      </c>
      <c r="B51" s="44" t="s">
        <v>850</v>
      </c>
      <c r="C51" s="74" t="s">
        <v>1048</v>
      </c>
      <c r="D51">
        <v>10.4</v>
      </c>
    </row>
    <row r="52" spans="1:4" hidden="1" x14ac:dyDescent="0.3">
      <c r="A52">
        <v>2</v>
      </c>
      <c r="B52" s="44" t="s">
        <v>850</v>
      </c>
      <c r="C52" s="74" t="s">
        <v>1042</v>
      </c>
      <c r="D52">
        <v>5.5</v>
      </c>
    </row>
    <row r="53" spans="1:4" hidden="1" x14ac:dyDescent="0.3">
      <c r="A53">
        <v>2</v>
      </c>
      <c r="B53" s="44" t="s">
        <v>951</v>
      </c>
      <c r="C53" s="74" t="s">
        <v>1042</v>
      </c>
      <c r="D53">
        <v>81.900000000000006</v>
      </c>
    </row>
    <row r="54" spans="1:4" hidden="1" x14ac:dyDescent="0.3">
      <c r="A54">
        <v>2</v>
      </c>
      <c r="B54" s="44" t="s">
        <v>952</v>
      </c>
      <c r="C54" s="74" t="s">
        <v>1042</v>
      </c>
      <c r="D54">
        <v>86.5</v>
      </c>
    </row>
    <row r="55" spans="1:4" hidden="1" x14ac:dyDescent="0.3">
      <c r="A55">
        <v>2</v>
      </c>
      <c r="B55" s="44" t="s">
        <v>851</v>
      </c>
      <c r="C55" s="74" t="s">
        <v>941</v>
      </c>
      <c r="D55">
        <v>25.3</v>
      </c>
    </row>
    <row r="56" spans="1:4" hidden="1" x14ac:dyDescent="0.3">
      <c r="A56">
        <v>2</v>
      </c>
      <c r="B56" s="44" t="s">
        <v>953</v>
      </c>
      <c r="C56" s="74" t="s">
        <v>878</v>
      </c>
      <c r="D56">
        <v>9</v>
      </c>
    </row>
    <row r="57" spans="1:4" hidden="1" x14ac:dyDescent="0.3">
      <c r="A57">
        <v>2</v>
      </c>
      <c r="B57" s="44" t="s">
        <v>953</v>
      </c>
      <c r="C57" s="74" t="s">
        <v>882</v>
      </c>
      <c r="D57">
        <v>13.7</v>
      </c>
    </row>
    <row r="58" spans="1:4" hidden="1" x14ac:dyDescent="0.3">
      <c r="A58">
        <v>2</v>
      </c>
      <c r="B58" s="44" t="s">
        <v>953</v>
      </c>
      <c r="C58" s="74" t="s">
        <v>879</v>
      </c>
      <c r="D58">
        <v>31.9</v>
      </c>
    </row>
    <row r="59" spans="1:4" hidden="1" x14ac:dyDescent="0.3">
      <c r="A59">
        <v>2</v>
      </c>
      <c r="B59" s="44" t="s">
        <v>954</v>
      </c>
      <c r="C59" s="74" t="s">
        <v>878</v>
      </c>
      <c r="D59">
        <v>9.6999999999999993</v>
      </c>
    </row>
    <row r="60" spans="1:4" hidden="1" x14ac:dyDescent="0.3">
      <c r="A60">
        <v>2</v>
      </c>
      <c r="B60" s="44" t="s">
        <v>954</v>
      </c>
      <c r="C60" s="74" t="s">
        <v>882</v>
      </c>
      <c r="D60">
        <v>8.9</v>
      </c>
    </row>
    <row r="61" spans="1:4" hidden="1" x14ac:dyDescent="0.3">
      <c r="A61">
        <v>2</v>
      </c>
      <c r="B61" s="44" t="s">
        <v>954</v>
      </c>
      <c r="C61" s="74" t="s">
        <v>879</v>
      </c>
      <c r="D61">
        <v>24.3</v>
      </c>
    </row>
    <row r="62" spans="1:4" hidden="1" x14ac:dyDescent="0.3">
      <c r="A62">
        <v>2</v>
      </c>
      <c r="B62" s="44" t="s">
        <v>954</v>
      </c>
      <c r="C62" s="74" t="s">
        <v>880</v>
      </c>
      <c r="D62">
        <v>1.5</v>
      </c>
    </row>
    <row r="63" spans="1:4" hidden="1" x14ac:dyDescent="0.3">
      <c r="A63">
        <v>2</v>
      </c>
      <c r="B63" s="44" t="s">
        <v>955</v>
      </c>
      <c r="C63" s="74" t="s">
        <v>878</v>
      </c>
      <c r="D63">
        <v>19.2</v>
      </c>
    </row>
    <row r="64" spans="1:4" hidden="1" x14ac:dyDescent="0.3">
      <c r="A64">
        <v>2</v>
      </c>
      <c r="B64" s="44" t="s">
        <v>955</v>
      </c>
      <c r="C64" s="74" t="s">
        <v>1049</v>
      </c>
      <c r="D64">
        <v>17.600000000000001</v>
      </c>
    </row>
    <row r="65" spans="1:4" hidden="1" x14ac:dyDescent="0.3">
      <c r="A65">
        <v>2</v>
      </c>
      <c r="B65" s="44" t="s">
        <v>955</v>
      </c>
      <c r="C65" s="74" t="s">
        <v>879</v>
      </c>
      <c r="D65">
        <v>45.9</v>
      </c>
    </row>
    <row r="66" spans="1:4" hidden="1" x14ac:dyDescent="0.3">
      <c r="A66">
        <v>2</v>
      </c>
      <c r="B66" s="44" t="s">
        <v>956</v>
      </c>
      <c r="C66" s="74" t="s">
        <v>878</v>
      </c>
      <c r="D66">
        <v>1.3</v>
      </c>
    </row>
    <row r="67" spans="1:4" hidden="1" x14ac:dyDescent="0.3">
      <c r="A67">
        <v>2</v>
      </c>
      <c r="B67" s="44" t="s">
        <v>956</v>
      </c>
      <c r="C67" s="74" t="s">
        <v>1049</v>
      </c>
      <c r="D67">
        <v>9.1999999999999993</v>
      </c>
    </row>
    <row r="68" spans="1:4" hidden="1" x14ac:dyDescent="0.3">
      <c r="A68">
        <v>2</v>
      </c>
      <c r="B68" s="44" t="s">
        <v>956</v>
      </c>
      <c r="C68" s="74" t="s">
        <v>879</v>
      </c>
      <c r="D68">
        <v>22.4</v>
      </c>
    </row>
    <row r="69" spans="1:4" hidden="1" x14ac:dyDescent="0.3">
      <c r="A69">
        <v>2</v>
      </c>
      <c r="B69" s="44" t="s">
        <v>956</v>
      </c>
      <c r="C69" s="74" t="s">
        <v>880</v>
      </c>
      <c r="D69">
        <v>1.2</v>
      </c>
    </row>
    <row r="70" spans="1:4" hidden="1" x14ac:dyDescent="0.3">
      <c r="A70">
        <v>2</v>
      </c>
      <c r="B70" s="44" t="s">
        <v>852</v>
      </c>
      <c r="C70" s="74" t="s">
        <v>941</v>
      </c>
      <c r="D70">
        <v>229.9</v>
      </c>
    </row>
    <row r="71" spans="1:4" hidden="1" x14ac:dyDescent="0.3">
      <c r="A71">
        <v>2</v>
      </c>
      <c r="B71" s="44" t="s">
        <v>853</v>
      </c>
      <c r="C71" s="74" t="s">
        <v>941</v>
      </c>
      <c r="D71">
        <v>50.9</v>
      </c>
    </row>
    <row r="72" spans="1:4" hidden="1" x14ac:dyDescent="0.3">
      <c r="A72">
        <v>2</v>
      </c>
      <c r="B72" s="44" t="s">
        <v>853</v>
      </c>
      <c r="C72" s="74" t="s">
        <v>881</v>
      </c>
      <c r="D72">
        <v>49.2</v>
      </c>
    </row>
    <row r="73" spans="1:4" hidden="1" x14ac:dyDescent="0.3">
      <c r="A73">
        <v>2</v>
      </c>
      <c r="B73" s="44" t="s">
        <v>854</v>
      </c>
      <c r="C73" s="74" t="s">
        <v>941</v>
      </c>
      <c r="D73">
        <v>45.7</v>
      </c>
    </row>
    <row r="74" spans="1:4" hidden="1" x14ac:dyDescent="0.3">
      <c r="A74">
        <v>2</v>
      </c>
      <c r="B74" s="44" t="s">
        <v>854</v>
      </c>
      <c r="C74" s="74" t="s">
        <v>878</v>
      </c>
      <c r="D74">
        <v>11.1</v>
      </c>
    </row>
    <row r="75" spans="1:4" hidden="1" x14ac:dyDescent="0.3">
      <c r="A75">
        <v>2</v>
      </c>
      <c r="B75" s="44" t="s">
        <v>854</v>
      </c>
      <c r="C75" s="74" t="s">
        <v>882</v>
      </c>
      <c r="D75">
        <v>11.2</v>
      </c>
    </row>
    <row r="76" spans="1:4" hidden="1" x14ac:dyDescent="0.3">
      <c r="A76">
        <v>2</v>
      </c>
      <c r="B76" s="44" t="s">
        <v>854</v>
      </c>
      <c r="C76" s="74" t="s">
        <v>879</v>
      </c>
      <c r="D76">
        <v>24.2</v>
      </c>
    </row>
    <row r="77" spans="1:4" hidden="1" x14ac:dyDescent="0.3">
      <c r="A77">
        <v>2</v>
      </c>
      <c r="B77" s="44" t="s">
        <v>957</v>
      </c>
      <c r="C77" s="74" t="s">
        <v>1042</v>
      </c>
      <c r="D77">
        <v>113.1</v>
      </c>
    </row>
    <row r="78" spans="1:4" hidden="1" x14ac:dyDescent="0.3">
      <c r="A78">
        <v>2</v>
      </c>
      <c r="B78" s="44" t="s">
        <v>958</v>
      </c>
      <c r="C78" s="74" t="s">
        <v>881</v>
      </c>
      <c r="D78">
        <v>38.299999999999997</v>
      </c>
    </row>
    <row r="79" spans="1:4" hidden="1" x14ac:dyDescent="0.3">
      <c r="A79">
        <v>2</v>
      </c>
      <c r="B79" s="44" t="s">
        <v>959</v>
      </c>
      <c r="C79" s="74" t="s">
        <v>877</v>
      </c>
      <c r="D79">
        <v>44.2</v>
      </c>
    </row>
    <row r="80" spans="1:4" hidden="1" x14ac:dyDescent="0.3">
      <c r="A80">
        <v>2</v>
      </c>
      <c r="B80" s="44" t="s">
        <v>855</v>
      </c>
      <c r="C80" s="74" t="s">
        <v>941</v>
      </c>
      <c r="D80">
        <v>99.9</v>
      </c>
    </row>
    <row r="81" spans="1:4" hidden="1" x14ac:dyDescent="0.3">
      <c r="A81">
        <v>2</v>
      </c>
      <c r="B81" s="44" t="s">
        <v>855</v>
      </c>
      <c r="C81" s="74" t="s">
        <v>1039</v>
      </c>
      <c r="D81">
        <v>27.1</v>
      </c>
    </row>
    <row r="82" spans="1:4" hidden="1" x14ac:dyDescent="0.3">
      <c r="A82">
        <v>2</v>
      </c>
      <c r="B82" s="44" t="s">
        <v>837</v>
      </c>
      <c r="C82" s="74" t="s">
        <v>941</v>
      </c>
      <c r="D82">
        <v>781.3</v>
      </c>
    </row>
    <row r="83" spans="1:4" hidden="1" x14ac:dyDescent="0.3">
      <c r="A83">
        <v>2</v>
      </c>
      <c r="B83" s="44" t="s">
        <v>837</v>
      </c>
      <c r="C83" s="74" t="s">
        <v>1050</v>
      </c>
      <c r="D83">
        <v>78.400000000000006</v>
      </c>
    </row>
    <row r="84" spans="1:4" hidden="1" x14ac:dyDescent="0.3">
      <c r="A84">
        <v>2</v>
      </c>
      <c r="B84" s="44" t="s">
        <v>839</v>
      </c>
      <c r="C84" s="74" t="s">
        <v>941</v>
      </c>
      <c r="D84">
        <v>78.599999999999994</v>
      </c>
    </row>
    <row r="85" spans="1:4" hidden="1" x14ac:dyDescent="0.3">
      <c r="A85">
        <v>2</v>
      </c>
      <c r="B85" s="44" t="s">
        <v>839</v>
      </c>
      <c r="C85" s="74" t="s">
        <v>1039</v>
      </c>
      <c r="D85">
        <v>26.2</v>
      </c>
    </row>
    <row r="86" spans="1:4" hidden="1" x14ac:dyDescent="0.3">
      <c r="A86">
        <v>2</v>
      </c>
      <c r="B86" s="44" t="s">
        <v>856</v>
      </c>
      <c r="C86" s="74" t="s">
        <v>941</v>
      </c>
      <c r="D86">
        <v>76.2</v>
      </c>
    </row>
    <row r="87" spans="1:4" hidden="1" x14ac:dyDescent="0.3">
      <c r="A87">
        <v>2</v>
      </c>
      <c r="B87" s="44" t="s">
        <v>856</v>
      </c>
      <c r="C87" s="74" t="s">
        <v>1039</v>
      </c>
      <c r="D87">
        <v>26.6</v>
      </c>
    </row>
    <row r="88" spans="1:4" hidden="1" x14ac:dyDescent="0.3">
      <c r="A88">
        <v>2</v>
      </c>
      <c r="B88" s="44" t="s">
        <v>857</v>
      </c>
      <c r="C88" s="74" t="s">
        <v>941</v>
      </c>
      <c r="D88">
        <v>77.5</v>
      </c>
    </row>
    <row r="89" spans="1:4" hidden="1" x14ac:dyDescent="0.3">
      <c r="A89">
        <v>2</v>
      </c>
      <c r="B89" s="44" t="s">
        <v>857</v>
      </c>
      <c r="C89" s="74" t="s">
        <v>1039</v>
      </c>
      <c r="D89">
        <v>26.3</v>
      </c>
    </row>
    <row r="90" spans="1:4" hidden="1" x14ac:dyDescent="0.3">
      <c r="A90">
        <v>2</v>
      </c>
      <c r="B90" s="44" t="s">
        <v>858</v>
      </c>
      <c r="C90" s="74" t="s">
        <v>941</v>
      </c>
      <c r="D90">
        <v>78.2</v>
      </c>
    </row>
    <row r="91" spans="1:4" hidden="1" x14ac:dyDescent="0.3">
      <c r="A91">
        <v>2</v>
      </c>
      <c r="B91" s="44" t="s">
        <v>858</v>
      </c>
      <c r="C91" s="74" t="s">
        <v>1039</v>
      </c>
      <c r="D91">
        <v>25.6</v>
      </c>
    </row>
    <row r="92" spans="1:4" hidden="1" x14ac:dyDescent="0.3">
      <c r="A92">
        <v>2</v>
      </c>
      <c r="B92" s="44" t="s">
        <v>859</v>
      </c>
      <c r="C92" s="74" t="s">
        <v>941</v>
      </c>
      <c r="D92">
        <v>193.1</v>
      </c>
    </row>
    <row r="93" spans="1:4" hidden="1" x14ac:dyDescent="0.3">
      <c r="A93">
        <v>2</v>
      </c>
      <c r="B93" s="44" t="s">
        <v>859</v>
      </c>
      <c r="C93" s="74" t="s">
        <v>1047</v>
      </c>
      <c r="D93">
        <v>9.6</v>
      </c>
    </row>
    <row r="94" spans="1:4" hidden="1" x14ac:dyDescent="0.3">
      <c r="A94">
        <v>2</v>
      </c>
      <c r="B94" s="44" t="s">
        <v>960</v>
      </c>
      <c r="C94" s="74" t="s">
        <v>1042</v>
      </c>
      <c r="D94">
        <v>51.4</v>
      </c>
    </row>
    <row r="95" spans="1:4" hidden="1" x14ac:dyDescent="0.3">
      <c r="A95">
        <v>2</v>
      </c>
      <c r="B95" s="44" t="s">
        <v>961</v>
      </c>
      <c r="C95" s="74" t="s">
        <v>1042</v>
      </c>
      <c r="D95">
        <v>116.2</v>
      </c>
    </row>
    <row r="96" spans="1:4" hidden="1" x14ac:dyDescent="0.3">
      <c r="A96">
        <v>2</v>
      </c>
      <c r="B96" s="44" t="s">
        <v>860</v>
      </c>
      <c r="C96" s="74" t="s">
        <v>941</v>
      </c>
      <c r="D96">
        <v>222.4</v>
      </c>
    </row>
    <row r="97" spans="1:4" hidden="1" x14ac:dyDescent="0.3">
      <c r="A97">
        <v>2</v>
      </c>
      <c r="B97" s="44" t="s">
        <v>860</v>
      </c>
      <c r="C97" s="74" t="s">
        <v>881</v>
      </c>
      <c r="D97">
        <v>3.1</v>
      </c>
    </row>
    <row r="98" spans="1:4" hidden="1" x14ac:dyDescent="0.3">
      <c r="A98">
        <v>2</v>
      </c>
      <c r="B98" s="44" t="s">
        <v>861</v>
      </c>
      <c r="C98" s="74" t="s">
        <v>941</v>
      </c>
      <c r="D98">
        <v>319.3</v>
      </c>
    </row>
    <row r="99" spans="1:4" hidden="1" x14ac:dyDescent="0.3">
      <c r="A99">
        <v>2</v>
      </c>
      <c r="B99" s="44" t="s">
        <v>862</v>
      </c>
      <c r="C99" s="74" t="s">
        <v>1042</v>
      </c>
      <c r="D99">
        <v>75.099999999999994</v>
      </c>
    </row>
    <row r="100" spans="1:4" hidden="1" x14ac:dyDescent="0.3">
      <c r="A100">
        <v>2</v>
      </c>
      <c r="B100" s="44" t="s">
        <v>862</v>
      </c>
      <c r="C100" s="74" t="s">
        <v>881</v>
      </c>
      <c r="D100">
        <v>1.9</v>
      </c>
    </row>
    <row r="101" spans="1:4" hidden="1" x14ac:dyDescent="0.3">
      <c r="A101">
        <v>2</v>
      </c>
      <c r="B101" s="44" t="s">
        <v>863</v>
      </c>
      <c r="C101" s="74" t="s">
        <v>1042</v>
      </c>
      <c r="D101">
        <v>182.7</v>
      </c>
    </row>
    <row r="102" spans="1:4" hidden="1" x14ac:dyDescent="0.3">
      <c r="A102">
        <v>2</v>
      </c>
      <c r="B102" s="44" t="s">
        <v>863</v>
      </c>
      <c r="C102" s="74" t="s">
        <v>881</v>
      </c>
      <c r="D102">
        <v>2</v>
      </c>
    </row>
    <row r="103" spans="1:4" hidden="1" x14ac:dyDescent="0.3">
      <c r="A103">
        <v>2</v>
      </c>
      <c r="B103" s="44" t="s">
        <v>864</v>
      </c>
      <c r="C103" s="74" t="s">
        <v>941</v>
      </c>
      <c r="D103">
        <v>240.8</v>
      </c>
    </row>
    <row r="104" spans="1:4" hidden="1" x14ac:dyDescent="0.3">
      <c r="A104">
        <v>2</v>
      </c>
      <c r="B104" s="44" t="s">
        <v>864</v>
      </c>
      <c r="C104" s="74" t="s">
        <v>1045</v>
      </c>
      <c r="D104">
        <v>2.6</v>
      </c>
    </row>
    <row r="105" spans="1:4" hidden="1" x14ac:dyDescent="0.3">
      <c r="A105">
        <v>2</v>
      </c>
      <c r="B105" s="44" t="s">
        <v>865</v>
      </c>
      <c r="C105" s="74" t="s">
        <v>941</v>
      </c>
      <c r="D105">
        <v>5.6</v>
      </c>
    </row>
    <row r="106" spans="1:4" hidden="1" x14ac:dyDescent="0.3">
      <c r="A106">
        <v>2</v>
      </c>
      <c r="B106" s="44" t="s">
        <v>865</v>
      </c>
      <c r="C106" s="74" t="s">
        <v>1042</v>
      </c>
      <c r="D106">
        <v>68.5</v>
      </c>
    </row>
    <row r="107" spans="1:4" hidden="1" x14ac:dyDescent="0.3">
      <c r="A107">
        <v>2</v>
      </c>
      <c r="B107" s="44" t="s">
        <v>865</v>
      </c>
      <c r="C107" s="74" t="s">
        <v>881</v>
      </c>
      <c r="D107">
        <v>2.9</v>
      </c>
    </row>
    <row r="108" spans="1:4" hidden="1" x14ac:dyDescent="0.3">
      <c r="A108">
        <v>2</v>
      </c>
      <c r="B108" s="44" t="s">
        <v>962</v>
      </c>
      <c r="C108" s="74" t="s">
        <v>878</v>
      </c>
      <c r="D108">
        <v>16.899999999999999</v>
      </c>
    </row>
    <row r="109" spans="1:4" hidden="1" x14ac:dyDescent="0.3">
      <c r="A109">
        <v>2</v>
      </c>
      <c r="B109" s="44" t="s">
        <v>962</v>
      </c>
      <c r="C109" s="74" t="s">
        <v>1049</v>
      </c>
      <c r="D109">
        <v>6.2</v>
      </c>
    </row>
    <row r="110" spans="1:4" hidden="1" x14ac:dyDescent="0.3">
      <c r="A110">
        <v>2</v>
      </c>
      <c r="B110" s="44" t="s">
        <v>962</v>
      </c>
      <c r="C110" s="74" t="s">
        <v>879</v>
      </c>
      <c r="D110">
        <v>57.7</v>
      </c>
    </row>
    <row r="111" spans="1:4" hidden="1" x14ac:dyDescent="0.3">
      <c r="A111">
        <v>2</v>
      </c>
      <c r="B111" s="44" t="s">
        <v>962</v>
      </c>
      <c r="C111" s="74" t="s">
        <v>880</v>
      </c>
      <c r="D111">
        <v>2.2999999999999998</v>
      </c>
    </row>
    <row r="112" spans="1:4" hidden="1" x14ac:dyDescent="0.3">
      <c r="A112">
        <v>2</v>
      </c>
      <c r="B112" s="44" t="s">
        <v>963</v>
      </c>
      <c r="C112" s="74" t="s">
        <v>877</v>
      </c>
      <c r="D112">
        <v>35</v>
      </c>
    </row>
    <row r="113" spans="1:4" hidden="1" x14ac:dyDescent="0.3">
      <c r="A113">
        <v>2</v>
      </c>
      <c r="B113" s="44" t="s">
        <v>964</v>
      </c>
      <c r="C113" s="74" t="s">
        <v>878</v>
      </c>
      <c r="D113">
        <v>6.2</v>
      </c>
    </row>
    <row r="114" spans="1:4" hidden="1" x14ac:dyDescent="0.3">
      <c r="A114">
        <v>2</v>
      </c>
      <c r="B114" s="44" t="s">
        <v>964</v>
      </c>
      <c r="C114" s="74" t="s">
        <v>881</v>
      </c>
      <c r="D114">
        <v>19.2</v>
      </c>
    </row>
    <row r="115" spans="1:4" hidden="1" x14ac:dyDescent="0.3">
      <c r="A115">
        <v>2</v>
      </c>
      <c r="B115" s="44" t="s">
        <v>964</v>
      </c>
      <c r="C115" s="74" t="s">
        <v>882</v>
      </c>
      <c r="D115">
        <v>7</v>
      </c>
    </row>
    <row r="116" spans="1:4" hidden="1" x14ac:dyDescent="0.3">
      <c r="A116">
        <v>2</v>
      </c>
      <c r="B116" s="44" t="s">
        <v>965</v>
      </c>
      <c r="C116" s="74" t="s">
        <v>878</v>
      </c>
      <c r="D116">
        <v>17.7</v>
      </c>
    </row>
    <row r="117" spans="1:4" hidden="1" x14ac:dyDescent="0.3">
      <c r="A117">
        <v>2</v>
      </c>
      <c r="B117" s="44" t="s">
        <v>965</v>
      </c>
      <c r="C117" s="74" t="s">
        <v>882</v>
      </c>
      <c r="D117">
        <v>9.1</v>
      </c>
    </row>
    <row r="118" spans="1:4" hidden="1" x14ac:dyDescent="0.3">
      <c r="A118">
        <v>2</v>
      </c>
      <c r="B118" s="44" t="s">
        <v>965</v>
      </c>
      <c r="C118" s="74" t="s">
        <v>879</v>
      </c>
      <c r="D118">
        <v>62.5</v>
      </c>
    </row>
    <row r="119" spans="1:4" hidden="1" x14ac:dyDescent="0.3">
      <c r="A119">
        <v>2</v>
      </c>
      <c r="B119" s="44" t="s">
        <v>965</v>
      </c>
      <c r="C119" s="74" t="s">
        <v>880</v>
      </c>
      <c r="D119">
        <v>2.2999999999999998</v>
      </c>
    </row>
    <row r="120" spans="1:4" hidden="1" x14ac:dyDescent="0.3">
      <c r="A120">
        <v>2</v>
      </c>
      <c r="B120" s="44" t="s">
        <v>966</v>
      </c>
      <c r="C120" s="74" t="s">
        <v>1042</v>
      </c>
      <c r="D120">
        <v>48.7</v>
      </c>
    </row>
    <row r="121" spans="1:4" hidden="1" x14ac:dyDescent="0.3">
      <c r="A121">
        <v>2</v>
      </c>
      <c r="B121" s="44" t="s">
        <v>967</v>
      </c>
      <c r="C121" s="74" t="s">
        <v>1042</v>
      </c>
      <c r="D121">
        <v>107.8</v>
      </c>
    </row>
    <row r="122" spans="1:4" hidden="1" x14ac:dyDescent="0.3">
      <c r="A122">
        <v>2</v>
      </c>
      <c r="B122" s="44" t="s">
        <v>841</v>
      </c>
      <c r="C122" s="74" t="s">
        <v>1042</v>
      </c>
      <c r="D122">
        <v>82.1</v>
      </c>
    </row>
    <row r="123" spans="1:4" hidden="1" x14ac:dyDescent="0.3">
      <c r="A123">
        <v>2</v>
      </c>
      <c r="B123" s="44" t="s">
        <v>968</v>
      </c>
      <c r="C123" s="74" t="s">
        <v>877</v>
      </c>
      <c r="D123">
        <v>33.9</v>
      </c>
    </row>
    <row r="124" spans="1:4" hidden="1" x14ac:dyDescent="0.3">
      <c r="A124">
        <v>2</v>
      </c>
      <c r="B124" s="44" t="s">
        <v>866</v>
      </c>
      <c r="C124" s="74" t="s">
        <v>1042</v>
      </c>
      <c r="D124">
        <v>83</v>
      </c>
    </row>
    <row r="125" spans="1:4" hidden="1" x14ac:dyDescent="0.3">
      <c r="A125">
        <v>2</v>
      </c>
      <c r="B125" s="44" t="s">
        <v>866</v>
      </c>
      <c r="C125" s="74" t="s">
        <v>881</v>
      </c>
      <c r="D125">
        <v>1.7</v>
      </c>
    </row>
    <row r="126" spans="1:4" hidden="1" x14ac:dyDescent="0.3">
      <c r="A126">
        <v>2</v>
      </c>
      <c r="B126" s="44" t="s">
        <v>867</v>
      </c>
      <c r="C126" s="74" t="s">
        <v>941</v>
      </c>
      <c r="D126">
        <v>3.1</v>
      </c>
    </row>
    <row r="127" spans="1:4" hidden="1" x14ac:dyDescent="0.3">
      <c r="A127">
        <v>2</v>
      </c>
      <c r="B127" s="44" t="s">
        <v>867</v>
      </c>
      <c r="C127" s="74" t="s">
        <v>1042</v>
      </c>
      <c r="D127">
        <v>178.2</v>
      </c>
    </row>
    <row r="128" spans="1:4" hidden="1" x14ac:dyDescent="0.3">
      <c r="A128">
        <v>2</v>
      </c>
      <c r="B128" s="44" t="s">
        <v>867</v>
      </c>
      <c r="C128" s="74" t="s">
        <v>881</v>
      </c>
      <c r="D128">
        <v>3.6</v>
      </c>
    </row>
    <row r="129" spans="1:4" hidden="1" x14ac:dyDescent="0.3">
      <c r="A129">
        <v>2</v>
      </c>
      <c r="B129" s="44" t="s">
        <v>868</v>
      </c>
      <c r="C129" s="74" t="s">
        <v>941</v>
      </c>
      <c r="D129">
        <v>269</v>
      </c>
    </row>
    <row r="130" spans="1:4" hidden="1" x14ac:dyDescent="0.3">
      <c r="A130">
        <v>2</v>
      </c>
      <c r="B130" s="44" t="s">
        <v>969</v>
      </c>
      <c r="C130" s="74" t="s">
        <v>1041</v>
      </c>
      <c r="D130">
        <v>0</v>
      </c>
    </row>
    <row r="131" spans="1:4" hidden="1" x14ac:dyDescent="0.3">
      <c r="A131">
        <v>2</v>
      </c>
      <c r="B131" s="44" t="s">
        <v>869</v>
      </c>
      <c r="C131" s="74" t="s">
        <v>941</v>
      </c>
      <c r="D131">
        <v>79.400000000000006</v>
      </c>
    </row>
    <row r="132" spans="1:4" hidden="1" x14ac:dyDescent="0.3">
      <c r="A132">
        <v>2</v>
      </c>
      <c r="B132" s="44" t="s">
        <v>869</v>
      </c>
      <c r="C132" s="74" t="s">
        <v>1039</v>
      </c>
      <c r="D132">
        <v>26.3</v>
      </c>
    </row>
    <row r="133" spans="1:4" hidden="1" x14ac:dyDescent="0.3">
      <c r="A133">
        <v>2</v>
      </c>
      <c r="B133" s="44" t="s">
        <v>970</v>
      </c>
      <c r="C133" s="74" t="s">
        <v>877</v>
      </c>
      <c r="D133">
        <v>29.1</v>
      </c>
    </row>
    <row r="134" spans="1:4" hidden="1" x14ac:dyDescent="0.3">
      <c r="A134">
        <v>2</v>
      </c>
      <c r="B134" s="44" t="s">
        <v>870</v>
      </c>
      <c r="C134" s="74" t="s">
        <v>941</v>
      </c>
      <c r="D134">
        <v>113.3</v>
      </c>
    </row>
    <row r="135" spans="1:4" hidden="1" x14ac:dyDescent="0.3">
      <c r="A135">
        <v>2</v>
      </c>
      <c r="B135" s="44" t="s">
        <v>871</v>
      </c>
      <c r="C135" s="74" t="s">
        <v>941</v>
      </c>
      <c r="D135">
        <v>154.6</v>
      </c>
    </row>
    <row r="136" spans="1:4" hidden="1" x14ac:dyDescent="0.3">
      <c r="A136">
        <v>2</v>
      </c>
      <c r="B136" s="44" t="s">
        <v>872</v>
      </c>
      <c r="C136" s="74" t="s">
        <v>1042</v>
      </c>
      <c r="D136">
        <v>228.1</v>
      </c>
    </row>
    <row r="137" spans="1:4" hidden="1" x14ac:dyDescent="0.3">
      <c r="A137">
        <v>2</v>
      </c>
      <c r="B137" s="44" t="s">
        <v>1038</v>
      </c>
      <c r="C137" s="74" t="s">
        <v>1042</v>
      </c>
      <c r="D137">
        <v>52.9</v>
      </c>
    </row>
    <row r="138" spans="1:4" hidden="1" x14ac:dyDescent="0.3">
      <c r="A138">
        <v>2</v>
      </c>
      <c r="B138" s="44" t="s">
        <v>873</v>
      </c>
      <c r="C138" s="74" t="s">
        <v>941</v>
      </c>
      <c r="D138">
        <v>272.89999999999998</v>
      </c>
    </row>
    <row r="139" spans="1:4" hidden="1" x14ac:dyDescent="0.3">
      <c r="A139">
        <v>2</v>
      </c>
      <c r="B139" s="44" t="s">
        <v>873</v>
      </c>
      <c r="C139" s="74" t="s">
        <v>1051</v>
      </c>
      <c r="D139">
        <v>5.0999999999999996</v>
      </c>
    </row>
    <row r="140" spans="1:4" hidden="1" x14ac:dyDescent="0.3">
      <c r="A140">
        <v>3</v>
      </c>
      <c r="B140" s="44" t="s">
        <v>971</v>
      </c>
      <c r="C140" s="74" t="s">
        <v>941</v>
      </c>
      <c r="D140">
        <v>78.400000000000006</v>
      </c>
    </row>
    <row r="141" spans="1:4" hidden="1" x14ac:dyDescent="0.3">
      <c r="A141">
        <v>3</v>
      </c>
      <c r="B141" s="44" t="s">
        <v>971</v>
      </c>
      <c r="C141" s="74" t="s">
        <v>1039</v>
      </c>
      <c r="D141">
        <v>34.299999999999997</v>
      </c>
    </row>
    <row r="142" spans="1:4" hidden="1" x14ac:dyDescent="0.3">
      <c r="A142">
        <v>3</v>
      </c>
      <c r="B142" s="44" t="s">
        <v>971</v>
      </c>
      <c r="C142" s="74" t="s">
        <v>881</v>
      </c>
      <c r="D142">
        <v>1.4</v>
      </c>
    </row>
    <row r="143" spans="1:4" hidden="1" x14ac:dyDescent="0.3">
      <c r="A143">
        <v>3</v>
      </c>
      <c r="B143" s="44" t="s">
        <v>972</v>
      </c>
      <c r="C143" s="74" t="s">
        <v>941</v>
      </c>
      <c r="D143">
        <v>74.5</v>
      </c>
    </row>
    <row r="144" spans="1:4" hidden="1" x14ac:dyDescent="0.3">
      <c r="A144">
        <v>3</v>
      </c>
      <c r="B144" s="44" t="s">
        <v>972</v>
      </c>
      <c r="C144" s="74" t="s">
        <v>1039</v>
      </c>
      <c r="D144">
        <v>27.3</v>
      </c>
    </row>
    <row r="145" spans="1:4" hidden="1" x14ac:dyDescent="0.3">
      <c r="A145">
        <v>3</v>
      </c>
      <c r="B145" s="44" t="s">
        <v>973</v>
      </c>
      <c r="C145" s="74" t="s">
        <v>941</v>
      </c>
      <c r="D145">
        <v>94.4</v>
      </c>
    </row>
    <row r="146" spans="1:4" hidden="1" x14ac:dyDescent="0.3">
      <c r="A146">
        <v>3</v>
      </c>
      <c r="B146" s="44" t="s">
        <v>973</v>
      </c>
      <c r="C146" s="74" t="s">
        <v>1039</v>
      </c>
      <c r="D146">
        <v>28.1</v>
      </c>
    </row>
    <row r="147" spans="1:4" hidden="1" x14ac:dyDescent="0.3">
      <c r="A147">
        <v>3</v>
      </c>
      <c r="B147" s="44" t="s">
        <v>973</v>
      </c>
      <c r="C147" s="74" t="s">
        <v>881</v>
      </c>
      <c r="D147">
        <v>2.7</v>
      </c>
    </row>
    <row r="148" spans="1:4" hidden="1" x14ac:dyDescent="0.3">
      <c r="A148">
        <v>3</v>
      </c>
      <c r="B148" s="44" t="s">
        <v>974</v>
      </c>
      <c r="C148" s="74" t="s">
        <v>941</v>
      </c>
      <c r="D148">
        <v>158.1</v>
      </c>
    </row>
    <row r="149" spans="1:4" hidden="1" x14ac:dyDescent="0.3">
      <c r="A149">
        <v>3</v>
      </c>
      <c r="B149" s="44" t="s">
        <v>974</v>
      </c>
      <c r="C149" s="74" t="s">
        <v>1042</v>
      </c>
      <c r="D149">
        <v>8.6</v>
      </c>
    </row>
    <row r="150" spans="1:4" hidden="1" x14ac:dyDescent="0.3">
      <c r="A150">
        <v>3</v>
      </c>
      <c r="B150" s="44" t="s">
        <v>975</v>
      </c>
      <c r="C150" s="74" t="s">
        <v>1042</v>
      </c>
      <c r="D150">
        <v>72.8</v>
      </c>
    </row>
    <row r="151" spans="1:4" hidden="1" x14ac:dyDescent="0.3">
      <c r="A151">
        <v>3</v>
      </c>
      <c r="B151" s="44" t="s">
        <v>975</v>
      </c>
      <c r="C151" s="74" t="s">
        <v>881</v>
      </c>
      <c r="D151">
        <v>1.4</v>
      </c>
    </row>
    <row r="152" spans="1:4" hidden="1" x14ac:dyDescent="0.3">
      <c r="A152">
        <v>3</v>
      </c>
      <c r="B152" s="44" t="s">
        <v>976</v>
      </c>
      <c r="C152" s="74" t="s">
        <v>1042</v>
      </c>
      <c r="D152">
        <v>101.1</v>
      </c>
    </row>
    <row r="153" spans="1:4" hidden="1" x14ac:dyDescent="0.3">
      <c r="A153">
        <v>3</v>
      </c>
      <c r="B153" s="44" t="s">
        <v>977</v>
      </c>
      <c r="C153" s="74" t="s">
        <v>1042</v>
      </c>
      <c r="D153">
        <v>46.7</v>
      </c>
    </row>
    <row r="154" spans="1:4" x14ac:dyDescent="0.3">
      <c r="A154">
        <v>3</v>
      </c>
      <c r="B154" s="44" t="s">
        <v>978</v>
      </c>
      <c r="C154" s="74" t="s">
        <v>877</v>
      </c>
      <c r="D154">
        <v>33</v>
      </c>
    </row>
    <row r="155" spans="1:4" x14ac:dyDescent="0.3">
      <c r="A155">
        <v>3</v>
      </c>
      <c r="B155" s="44" t="s">
        <v>979</v>
      </c>
      <c r="C155" s="74" t="s">
        <v>878</v>
      </c>
      <c r="D155">
        <v>14.1</v>
      </c>
    </row>
    <row r="156" spans="1:4" x14ac:dyDescent="0.3">
      <c r="A156">
        <v>3</v>
      </c>
      <c r="B156" s="44" t="s">
        <v>979</v>
      </c>
      <c r="C156" s="74" t="s">
        <v>1043</v>
      </c>
      <c r="D156">
        <v>8.1</v>
      </c>
    </row>
    <row r="157" spans="1:4" x14ac:dyDescent="0.3">
      <c r="A157">
        <v>3</v>
      </c>
      <c r="B157" s="44" t="s">
        <v>979</v>
      </c>
      <c r="C157" s="74" t="s">
        <v>879</v>
      </c>
      <c r="D157">
        <v>65.8</v>
      </c>
    </row>
    <row r="158" spans="1:4" x14ac:dyDescent="0.3">
      <c r="A158">
        <v>3</v>
      </c>
      <c r="B158" s="44" t="s">
        <v>979</v>
      </c>
      <c r="C158" s="74" t="s">
        <v>880</v>
      </c>
      <c r="D158">
        <v>2.6</v>
      </c>
    </row>
    <row r="159" spans="1:4" hidden="1" x14ac:dyDescent="0.3">
      <c r="A159">
        <v>3</v>
      </c>
      <c r="B159" s="44" t="s">
        <v>980</v>
      </c>
      <c r="C159" s="74" t="s">
        <v>1042</v>
      </c>
      <c r="D159">
        <v>148.5</v>
      </c>
    </row>
    <row r="160" spans="1:4" hidden="1" x14ac:dyDescent="0.3">
      <c r="A160">
        <v>3</v>
      </c>
      <c r="B160" s="44" t="s">
        <v>980</v>
      </c>
      <c r="C160" s="74" t="s">
        <v>881</v>
      </c>
      <c r="D160">
        <v>2.5</v>
      </c>
    </row>
    <row r="161" spans="1:4" hidden="1" x14ac:dyDescent="0.3">
      <c r="A161">
        <v>3</v>
      </c>
      <c r="B161" s="44" t="s">
        <v>981</v>
      </c>
      <c r="C161" s="74" t="s">
        <v>941</v>
      </c>
      <c r="D161" s="75" t="s">
        <v>1036</v>
      </c>
    </row>
    <row r="162" spans="1:4" hidden="1" x14ac:dyDescent="0.3">
      <c r="A162">
        <v>3</v>
      </c>
      <c r="B162" s="44" t="s">
        <v>981</v>
      </c>
      <c r="C162" s="74" t="s">
        <v>881</v>
      </c>
      <c r="D162" s="75" t="s">
        <v>1037</v>
      </c>
    </row>
    <row r="163" spans="1:4" hidden="1" x14ac:dyDescent="0.3">
      <c r="A163">
        <v>3</v>
      </c>
      <c r="B163" s="44" t="s">
        <v>982</v>
      </c>
      <c r="C163" s="74" t="s">
        <v>941</v>
      </c>
      <c r="D163">
        <v>336.5</v>
      </c>
    </row>
    <row r="164" spans="1:4" hidden="1" x14ac:dyDescent="0.3">
      <c r="A164">
        <v>3</v>
      </c>
      <c r="B164" s="44" t="s">
        <v>982</v>
      </c>
      <c r="C164" s="74" t="s">
        <v>1044</v>
      </c>
      <c r="D164">
        <v>34.700000000000003</v>
      </c>
    </row>
    <row r="165" spans="1:4" hidden="1" x14ac:dyDescent="0.3">
      <c r="A165">
        <v>3</v>
      </c>
      <c r="B165" s="44" t="s">
        <v>982</v>
      </c>
      <c r="C165" s="74" t="s">
        <v>1045</v>
      </c>
      <c r="D165">
        <v>1.8</v>
      </c>
    </row>
    <row r="166" spans="1:4" hidden="1" x14ac:dyDescent="0.3">
      <c r="A166">
        <v>3</v>
      </c>
      <c r="B166" s="44" t="s">
        <v>983</v>
      </c>
      <c r="C166" s="74" t="s">
        <v>941</v>
      </c>
      <c r="D166">
        <v>91.2</v>
      </c>
    </row>
    <row r="167" spans="1:4" hidden="1" x14ac:dyDescent="0.3">
      <c r="A167">
        <v>3</v>
      </c>
      <c r="B167" s="44" t="s">
        <v>983</v>
      </c>
      <c r="C167" s="74" t="s">
        <v>1039</v>
      </c>
      <c r="D167">
        <v>16.399999999999999</v>
      </c>
    </row>
    <row r="168" spans="1:4" hidden="1" x14ac:dyDescent="0.3">
      <c r="A168">
        <v>3</v>
      </c>
      <c r="B168" s="44" t="s">
        <v>983</v>
      </c>
      <c r="C168" s="74" t="s">
        <v>881</v>
      </c>
      <c r="D168">
        <v>3.8</v>
      </c>
    </row>
    <row r="169" spans="1:4" hidden="1" x14ac:dyDescent="0.3">
      <c r="A169">
        <v>3</v>
      </c>
      <c r="B169" s="44" t="s">
        <v>984</v>
      </c>
      <c r="C169" s="74" t="s">
        <v>941</v>
      </c>
      <c r="D169">
        <v>80.900000000000006</v>
      </c>
    </row>
    <row r="170" spans="1:4" hidden="1" x14ac:dyDescent="0.3">
      <c r="A170">
        <v>3</v>
      </c>
      <c r="B170" s="44" t="s">
        <v>984</v>
      </c>
      <c r="C170" s="74" t="s">
        <v>1039</v>
      </c>
      <c r="D170">
        <v>28.3</v>
      </c>
    </row>
    <row r="171" spans="1:4" hidden="1" x14ac:dyDescent="0.3">
      <c r="A171">
        <v>3</v>
      </c>
      <c r="B171" s="44" t="s">
        <v>984</v>
      </c>
      <c r="C171" s="74" t="s">
        <v>881</v>
      </c>
      <c r="D171">
        <v>1.7</v>
      </c>
    </row>
    <row r="172" spans="1:4" x14ac:dyDescent="0.3">
      <c r="A172">
        <v>3</v>
      </c>
      <c r="B172" s="44" t="s">
        <v>985</v>
      </c>
      <c r="C172" s="74" t="s">
        <v>878</v>
      </c>
      <c r="D172">
        <v>13.6</v>
      </c>
    </row>
    <row r="173" spans="1:4" x14ac:dyDescent="0.3">
      <c r="A173">
        <v>3</v>
      </c>
      <c r="B173" s="44" t="s">
        <v>985</v>
      </c>
      <c r="C173" s="74" t="s">
        <v>883</v>
      </c>
      <c r="D173">
        <v>5.8</v>
      </c>
    </row>
    <row r="174" spans="1:4" x14ac:dyDescent="0.3">
      <c r="A174">
        <v>3</v>
      </c>
      <c r="B174" s="44" t="s">
        <v>985</v>
      </c>
      <c r="C174" s="74" t="s">
        <v>879</v>
      </c>
      <c r="D174">
        <v>67.8</v>
      </c>
    </row>
    <row r="175" spans="1:4" x14ac:dyDescent="0.3">
      <c r="A175">
        <v>3</v>
      </c>
      <c r="B175" s="44" t="s">
        <v>985</v>
      </c>
      <c r="C175" s="74" t="s">
        <v>880</v>
      </c>
      <c r="D175">
        <v>1.8</v>
      </c>
    </row>
    <row r="176" spans="1:4" hidden="1" x14ac:dyDescent="0.3">
      <c r="A176">
        <v>3</v>
      </c>
      <c r="B176" s="44" t="s">
        <v>986</v>
      </c>
      <c r="C176" s="74" t="s">
        <v>1042</v>
      </c>
      <c r="D176">
        <v>122.7</v>
      </c>
    </row>
    <row r="177" spans="1:4" x14ac:dyDescent="0.3">
      <c r="A177">
        <v>3</v>
      </c>
      <c r="B177" s="44" t="s">
        <v>987</v>
      </c>
      <c r="C177" s="74" t="s">
        <v>881</v>
      </c>
      <c r="D177">
        <v>35.4</v>
      </c>
    </row>
    <row r="178" spans="1:4" x14ac:dyDescent="0.3">
      <c r="A178">
        <v>3</v>
      </c>
      <c r="B178" s="44" t="s">
        <v>987</v>
      </c>
      <c r="C178" s="74" t="s">
        <v>882</v>
      </c>
      <c r="D178">
        <v>5.9</v>
      </c>
    </row>
    <row r="179" spans="1:4" x14ac:dyDescent="0.3">
      <c r="A179">
        <v>3</v>
      </c>
      <c r="B179" s="44" t="s">
        <v>988</v>
      </c>
      <c r="C179" s="74" t="s">
        <v>881</v>
      </c>
      <c r="D179">
        <v>29.5</v>
      </c>
    </row>
    <row r="180" spans="1:4" hidden="1" x14ac:dyDescent="0.3">
      <c r="A180">
        <v>3</v>
      </c>
      <c r="B180" s="44" t="s">
        <v>989</v>
      </c>
      <c r="C180" s="74" t="s">
        <v>941</v>
      </c>
      <c r="D180">
        <v>422</v>
      </c>
    </row>
    <row r="181" spans="1:4" hidden="1" x14ac:dyDescent="0.3">
      <c r="A181">
        <v>3</v>
      </c>
      <c r="B181" s="44" t="s">
        <v>989</v>
      </c>
      <c r="C181" s="74" t="s">
        <v>1048</v>
      </c>
      <c r="D181">
        <v>24.4</v>
      </c>
    </row>
    <row r="182" spans="1:4" hidden="1" x14ac:dyDescent="0.3">
      <c r="A182">
        <v>3</v>
      </c>
      <c r="B182" s="44" t="s">
        <v>990</v>
      </c>
      <c r="C182" s="74" t="s">
        <v>1042</v>
      </c>
      <c r="D182">
        <v>88.2</v>
      </c>
    </row>
    <row r="183" spans="1:4" hidden="1" x14ac:dyDescent="0.3">
      <c r="A183">
        <v>3</v>
      </c>
      <c r="B183" s="44" t="s">
        <v>991</v>
      </c>
      <c r="C183" s="74" t="s">
        <v>1042</v>
      </c>
      <c r="D183">
        <v>77.5</v>
      </c>
    </row>
    <row r="184" spans="1:4" hidden="1" x14ac:dyDescent="0.3">
      <c r="A184">
        <v>3</v>
      </c>
      <c r="B184" s="44" t="s">
        <v>991</v>
      </c>
      <c r="C184" s="74" t="s">
        <v>881</v>
      </c>
      <c r="D184">
        <v>6.1</v>
      </c>
    </row>
    <row r="185" spans="1:4" hidden="1" x14ac:dyDescent="0.3">
      <c r="A185">
        <v>3</v>
      </c>
      <c r="B185" s="44" t="s">
        <v>992</v>
      </c>
      <c r="C185" s="74" t="s">
        <v>941</v>
      </c>
      <c r="D185">
        <v>82.5</v>
      </c>
    </row>
    <row r="186" spans="1:4" hidden="1" x14ac:dyDescent="0.3">
      <c r="A186">
        <v>3</v>
      </c>
      <c r="B186" s="44" t="s">
        <v>992</v>
      </c>
      <c r="C186" s="74" t="s">
        <v>1039</v>
      </c>
      <c r="D186">
        <v>32.700000000000003</v>
      </c>
    </row>
    <row r="187" spans="1:4" hidden="1" x14ac:dyDescent="0.3">
      <c r="A187">
        <v>3</v>
      </c>
      <c r="B187" s="44" t="s">
        <v>992</v>
      </c>
      <c r="C187" s="74" t="s">
        <v>881</v>
      </c>
      <c r="D187">
        <v>2</v>
      </c>
    </row>
    <row r="188" spans="1:4" hidden="1" x14ac:dyDescent="0.3">
      <c r="A188">
        <v>3</v>
      </c>
      <c r="B188" s="44" t="s">
        <v>993</v>
      </c>
      <c r="C188" s="74" t="s">
        <v>941</v>
      </c>
      <c r="D188">
        <v>353.6</v>
      </c>
    </row>
    <row r="189" spans="1:4" hidden="1" x14ac:dyDescent="0.3">
      <c r="A189">
        <v>3</v>
      </c>
      <c r="B189" s="44" t="s">
        <v>993</v>
      </c>
      <c r="C189" s="74" t="s">
        <v>1051</v>
      </c>
      <c r="D189">
        <v>5</v>
      </c>
    </row>
    <row r="190" spans="1:4" hidden="1" x14ac:dyDescent="0.3">
      <c r="A190">
        <v>3</v>
      </c>
      <c r="B190" s="44" t="s">
        <v>994</v>
      </c>
      <c r="C190" s="74" t="s">
        <v>1042</v>
      </c>
      <c r="D190">
        <v>86.7</v>
      </c>
    </row>
    <row r="191" spans="1:4" x14ac:dyDescent="0.3">
      <c r="A191">
        <v>3</v>
      </c>
      <c r="B191" s="44" t="s">
        <v>995</v>
      </c>
      <c r="C191" s="74" t="s">
        <v>881</v>
      </c>
      <c r="D191">
        <v>36.9</v>
      </c>
    </row>
    <row r="192" spans="1:4" x14ac:dyDescent="0.3">
      <c r="A192">
        <v>3</v>
      </c>
      <c r="B192" s="44" t="s">
        <v>996</v>
      </c>
      <c r="C192" s="74" t="s">
        <v>877</v>
      </c>
      <c r="D192">
        <v>36.5</v>
      </c>
    </row>
    <row r="193" spans="1:4" hidden="1" x14ac:dyDescent="0.3">
      <c r="A193">
        <v>3</v>
      </c>
      <c r="B193" s="44" t="s">
        <v>997</v>
      </c>
      <c r="C193" s="74" t="s">
        <v>941</v>
      </c>
      <c r="D193">
        <v>107.2</v>
      </c>
    </row>
    <row r="194" spans="1:4" hidden="1" x14ac:dyDescent="0.3">
      <c r="A194">
        <v>3</v>
      </c>
      <c r="B194" s="44" t="s">
        <v>997</v>
      </c>
      <c r="C194" s="74" t="s">
        <v>1039</v>
      </c>
      <c r="D194">
        <v>27.1</v>
      </c>
    </row>
    <row r="195" spans="1:4" hidden="1" x14ac:dyDescent="0.3">
      <c r="A195">
        <v>3</v>
      </c>
      <c r="B195" s="44" t="s">
        <v>998</v>
      </c>
      <c r="C195" s="74" t="s">
        <v>941</v>
      </c>
      <c r="D195">
        <v>75.599999999999994</v>
      </c>
    </row>
    <row r="196" spans="1:4" hidden="1" x14ac:dyDescent="0.3">
      <c r="A196">
        <v>3</v>
      </c>
      <c r="B196" s="44" t="s">
        <v>998</v>
      </c>
      <c r="C196" s="74" t="s">
        <v>1039</v>
      </c>
      <c r="D196">
        <v>27.7</v>
      </c>
    </row>
    <row r="197" spans="1:4" x14ac:dyDescent="0.3">
      <c r="A197">
        <v>3</v>
      </c>
      <c r="B197" s="44" t="s">
        <v>999</v>
      </c>
      <c r="C197" s="74" t="s">
        <v>877</v>
      </c>
      <c r="D197">
        <v>29.5</v>
      </c>
    </row>
    <row r="198" spans="1:4" hidden="1" x14ac:dyDescent="0.3">
      <c r="A198">
        <v>3</v>
      </c>
      <c r="B198" s="44" t="s">
        <v>1000</v>
      </c>
      <c r="C198" s="74" t="s">
        <v>941</v>
      </c>
      <c r="D198">
        <v>87.3</v>
      </c>
    </row>
    <row r="199" spans="1:4" hidden="1" x14ac:dyDescent="0.3">
      <c r="A199">
        <v>3</v>
      </c>
      <c r="B199" s="44" t="s">
        <v>1000</v>
      </c>
      <c r="C199" s="74" t="s">
        <v>1039</v>
      </c>
      <c r="D199">
        <v>23.7</v>
      </c>
    </row>
    <row r="200" spans="1:4" hidden="1" x14ac:dyDescent="0.3">
      <c r="A200">
        <v>3</v>
      </c>
      <c r="B200" s="44" t="s">
        <v>1001</v>
      </c>
      <c r="C200" s="74" t="s">
        <v>941</v>
      </c>
      <c r="D200">
        <v>81.8</v>
      </c>
    </row>
    <row r="201" spans="1:4" hidden="1" x14ac:dyDescent="0.3">
      <c r="A201">
        <v>3</v>
      </c>
      <c r="B201" s="44" t="s">
        <v>1001</v>
      </c>
      <c r="C201" s="74" t="s">
        <v>1039</v>
      </c>
      <c r="D201">
        <v>26.5</v>
      </c>
    </row>
    <row r="202" spans="1:4" hidden="1" x14ac:dyDescent="0.3">
      <c r="A202">
        <v>3</v>
      </c>
      <c r="B202" s="44" t="s">
        <v>1002</v>
      </c>
      <c r="C202" s="74" t="s">
        <v>941</v>
      </c>
      <c r="D202">
        <v>83</v>
      </c>
    </row>
    <row r="203" spans="1:4" hidden="1" x14ac:dyDescent="0.3">
      <c r="A203">
        <v>3</v>
      </c>
      <c r="B203" s="44" t="s">
        <v>1002</v>
      </c>
      <c r="C203" s="74" t="s">
        <v>1039</v>
      </c>
      <c r="D203">
        <v>25.6</v>
      </c>
    </row>
    <row r="204" spans="1:4" hidden="1" x14ac:dyDescent="0.3">
      <c r="A204">
        <v>3</v>
      </c>
      <c r="B204" s="44" t="s">
        <v>1003</v>
      </c>
      <c r="C204" s="74" t="s">
        <v>1042</v>
      </c>
      <c r="D204">
        <v>42</v>
      </c>
    </row>
    <row r="205" spans="1:4" hidden="1" x14ac:dyDescent="0.3">
      <c r="A205">
        <v>3</v>
      </c>
      <c r="B205" s="44" t="s">
        <v>1004</v>
      </c>
      <c r="C205" s="74" t="s">
        <v>1042</v>
      </c>
      <c r="D205">
        <v>95.5</v>
      </c>
    </row>
    <row r="206" spans="1:4" hidden="1" x14ac:dyDescent="0.3">
      <c r="A206">
        <v>3</v>
      </c>
      <c r="B206" s="44" t="s">
        <v>1005</v>
      </c>
      <c r="C206" s="74" t="s">
        <v>941</v>
      </c>
      <c r="D206">
        <v>72</v>
      </c>
    </row>
    <row r="207" spans="1:4" hidden="1" x14ac:dyDescent="0.3">
      <c r="A207">
        <v>3</v>
      </c>
      <c r="B207" s="44" t="s">
        <v>1005</v>
      </c>
      <c r="C207" s="74" t="s">
        <v>1039</v>
      </c>
      <c r="D207">
        <v>21.6</v>
      </c>
    </row>
    <row r="208" spans="1:4" hidden="1" x14ac:dyDescent="0.3">
      <c r="A208">
        <v>3</v>
      </c>
      <c r="B208" s="44" t="s">
        <v>1006</v>
      </c>
      <c r="C208" s="74" t="s">
        <v>941</v>
      </c>
      <c r="D208">
        <v>74.7</v>
      </c>
    </row>
    <row r="209" spans="1:4" hidden="1" x14ac:dyDescent="0.3">
      <c r="A209">
        <v>3</v>
      </c>
      <c r="B209" s="44" t="s">
        <v>1006</v>
      </c>
      <c r="C209" s="74" t="s">
        <v>1039</v>
      </c>
      <c r="D209">
        <v>21.7</v>
      </c>
    </row>
    <row r="210" spans="1:4" hidden="1" x14ac:dyDescent="0.3">
      <c r="A210">
        <v>3</v>
      </c>
      <c r="B210" s="44" t="s">
        <v>1007</v>
      </c>
      <c r="C210" s="74" t="s">
        <v>941</v>
      </c>
      <c r="D210">
        <v>242.8</v>
      </c>
    </row>
    <row r="211" spans="1:4" hidden="1" x14ac:dyDescent="0.3">
      <c r="A211">
        <v>3</v>
      </c>
      <c r="B211" s="44" t="s">
        <v>1007</v>
      </c>
      <c r="C211" s="74" t="s">
        <v>1047</v>
      </c>
      <c r="D211">
        <v>8.6</v>
      </c>
    </row>
    <row r="212" spans="1:4" hidden="1" x14ac:dyDescent="0.3">
      <c r="A212">
        <v>3</v>
      </c>
      <c r="B212" s="44" t="s">
        <v>1008</v>
      </c>
      <c r="C212" s="74" t="s">
        <v>941</v>
      </c>
      <c r="D212">
        <v>206.7</v>
      </c>
    </row>
    <row r="213" spans="1:4" hidden="1" x14ac:dyDescent="0.3">
      <c r="A213">
        <v>3</v>
      </c>
      <c r="B213" s="44" t="s">
        <v>1008</v>
      </c>
      <c r="C213" s="74" t="s">
        <v>881</v>
      </c>
      <c r="D213">
        <v>7.8</v>
      </c>
    </row>
    <row r="214" spans="1:4" hidden="1" x14ac:dyDescent="0.3">
      <c r="A214">
        <v>3</v>
      </c>
      <c r="B214" s="44" t="s">
        <v>1009</v>
      </c>
      <c r="C214" s="74" t="s">
        <v>1042</v>
      </c>
      <c r="D214">
        <v>67.7</v>
      </c>
    </row>
    <row r="215" spans="1:4" hidden="1" x14ac:dyDescent="0.3">
      <c r="A215">
        <v>3</v>
      </c>
      <c r="B215" s="44" t="s">
        <v>1009</v>
      </c>
      <c r="C215" s="74" t="s">
        <v>881</v>
      </c>
      <c r="D215">
        <v>1.8</v>
      </c>
    </row>
    <row r="216" spans="1:4" hidden="1" x14ac:dyDescent="0.3">
      <c r="A216">
        <v>3</v>
      </c>
      <c r="B216" s="44" t="s">
        <v>1010</v>
      </c>
      <c r="C216" s="74" t="s">
        <v>941</v>
      </c>
      <c r="D216">
        <v>114.3</v>
      </c>
    </row>
    <row r="217" spans="1:4" hidden="1" x14ac:dyDescent="0.3">
      <c r="A217">
        <v>3</v>
      </c>
      <c r="B217" s="44" t="s">
        <v>1010</v>
      </c>
      <c r="C217" s="74" t="s">
        <v>1039</v>
      </c>
      <c r="D217">
        <v>22.7</v>
      </c>
    </row>
    <row r="218" spans="1:4" hidden="1" x14ac:dyDescent="0.3">
      <c r="A218">
        <v>3</v>
      </c>
      <c r="B218" s="44" t="s">
        <v>1011</v>
      </c>
      <c r="C218" s="74" t="s">
        <v>941</v>
      </c>
      <c r="D218">
        <v>330.6</v>
      </c>
    </row>
    <row r="219" spans="1:4" hidden="1" x14ac:dyDescent="0.3">
      <c r="A219">
        <v>3</v>
      </c>
      <c r="B219" s="44" t="s">
        <v>1011</v>
      </c>
      <c r="C219" s="74" t="s">
        <v>1046</v>
      </c>
      <c r="D219">
        <v>11.7</v>
      </c>
    </row>
    <row r="220" spans="1:4" hidden="1" x14ac:dyDescent="0.3">
      <c r="A220">
        <v>3</v>
      </c>
      <c r="B220" s="44" t="s">
        <v>1011</v>
      </c>
      <c r="C220" s="74" t="s">
        <v>1045</v>
      </c>
      <c r="D220">
        <v>2.6</v>
      </c>
    </row>
    <row r="221" spans="1:4" hidden="1" x14ac:dyDescent="0.3">
      <c r="A221">
        <v>3</v>
      </c>
      <c r="B221" s="44" t="s">
        <v>1012</v>
      </c>
      <c r="C221" s="74" t="s">
        <v>878</v>
      </c>
      <c r="D221">
        <v>17.2</v>
      </c>
    </row>
    <row r="222" spans="1:4" hidden="1" x14ac:dyDescent="0.3">
      <c r="A222">
        <v>3</v>
      </c>
      <c r="B222" s="44" t="s">
        <v>1012</v>
      </c>
      <c r="C222" s="74" t="s">
        <v>1049</v>
      </c>
      <c r="D222">
        <v>9.1</v>
      </c>
    </row>
    <row r="223" spans="1:4" hidden="1" x14ac:dyDescent="0.3">
      <c r="A223">
        <v>3</v>
      </c>
      <c r="B223" s="44" t="s">
        <v>1012</v>
      </c>
      <c r="C223" s="74" t="s">
        <v>879</v>
      </c>
      <c r="D223">
        <v>58.4</v>
      </c>
    </row>
    <row r="224" spans="1:4" hidden="1" x14ac:dyDescent="0.3">
      <c r="A224">
        <v>3</v>
      </c>
      <c r="B224" s="44" t="s">
        <v>1012</v>
      </c>
      <c r="C224" s="74" t="s">
        <v>880</v>
      </c>
      <c r="D224">
        <v>2.2999999999999998</v>
      </c>
    </row>
    <row r="225" spans="1:4" hidden="1" x14ac:dyDescent="0.3">
      <c r="A225">
        <v>3</v>
      </c>
      <c r="B225" s="44" t="s">
        <v>1013</v>
      </c>
      <c r="C225" s="74" t="s">
        <v>878</v>
      </c>
      <c r="D225">
        <v>17.7</v>
      </c>
    </row>
    <row r="226" spans="1:4" hidden="1" x14ac:dyDescent="0.3">
      <c r="A226">
        <v>3</v>
      </c>
      <c r="B226" s="44" t="s">
        <v>1013</v>
      </c>
      <c r="C226" s="74" t="s">
        <v>882</v>
      </c>
      <c r="D226">
        <v>6.3</v>
      </c>
    </row>
    <row r="227" spans="1:4" hidden="1" x14ac:dyDescent="0.3">
      <c r="A227">
        <v>3</v>
      </c>
      <c r="B227" s="44" t="s">
        <v>1013</v>
      </c>
      <c r="C227" s="74" t="s">
        <v>879</v>
      </c>
      <c r="D227">
        <v>64</v>
      </c>
    </row>
    <row r="228" spans="1:4" hidden="1" x14ac:dyDescent="0.3">
      <c r="A228">
        <v>3</v>
      </c>
      <c r="B228" s="44" t="s">
        <v>1013</v>
      </c>
      <c r="C228" s="74" t="s">
        <v>880</v>
      </c>
      <c r="D228">
        <v>2.2999999999999998</v>
      </c>
    </row>
    <row r="229" spans="1:4" hidden="1" x14ac:dyDescent="0.3">
      <c r="A229">
        <v>3</v>
      </c>
      <c r="B229" s="44" t="s">
        <v>1014</v>
      </c>
      <c r="C229" s="74" t="s">
        <v>877</v>
      </c>
      <c r="D229">
        <v>28.3</v>
      </c>
    </row>
    <row r="230" spans="1:4" hidden="1" x14ac:dyDescent="0.3">
      <c r="A230">
        <v>3</v>
      </c>
      <c r="B230" s="44" t="s">
        <v>1015</v>
      </c>
      <c r="C230" s="74" t="s">
        <v>878</v>
      </c>
      <c r="D230">
        <v>8.3000000000000007</v>
      </c>
    </row>
    <row r="231" spans="1:4" hidden="1" x14ac:dyDescent="0.3">
      <c r="A231">
        <v>3</v>
      </c>
      <c r="B231" s="44" t="s">
        <v>1015</v>
      </c>
      <c r="C231" s="74" t="s">
        <v>881</v>
      </c>
      <c r="D231">
        <v>19.2</v>
      </c>
    </row>
    <row r="232" spans="1:4" hidden="1" x14ac:dyDescent="0.3">
      <c r="A232">
        <v>3</v>
      </c>
      <c r="B232" s="44" t="s">
        <v>1015</v>
      </c>
      <c r="C232" s="74" t="s">
        <v>882</v>
      </c>
      <c r="D232">
        <v>7</v>
      </c>
    </row>
    <row r="233" spans="1:4" hidden="1" x14ac:dyDescent="0.3">
      <c r="A233">
        <v>3</v>
      </c>
      <c r="B233" s="44" t="s">
        <v>1016</v>
      </c>
      <c r="C233" s="74" t="s">
        <v>1042</v>
      </c>
      <c r="D233">
        <v>42.4</v>
      </c>
    </row>
    <row r="234" spans="1:4" hidden="1" x14ac:dyDescent="0.3">
      <c r="A234">
        <v>3</v>
      </c>
      <c r="B234" s="44" t="s">
        <v>1017</v>
      </c>
      <c r="C234" s="74" t="s">
        <v>1042</v>
      </c>
      <c r="D234">
        <v>107.8</v>
      </c>
    </row>
    <row r="235" spans="1:4" hidden="1" x14ac:dyDescent="0.3">
      <c r="A235">
        <v>3</v>
      </c>
      <c r="B235" s="44" t="s">
        <v>1018</v>
      </c>
      <c r="C235" s="74" t="s">
        <v>941</v>
      </c>
      <c r="D235">
        <v>196.9</v>
      </c>
    </row>
    <row r="236" spans="1:4" hidden="1" x14ac:dyDescent="0.3">
      <c r="A236">
        <v>3</v>
      </c>
      <c r="B236" s="44" t="s">
        <v>1019</v>
      </c>
      <c r="C236" s="74" t="s">
        <v>1042</v>
      </c>
      <c r="D236">
        <v>90.5</v>
      </c>
    </row>
    <row r="237" spans="1:4" hidden="1" x14ac:dyDescent="0.3">
      <c r="A237">
        <v>3</v>
      </c>
      <c r="B237" s="44" t="s">
        <v>1019</v>
      </c>
      <c r="C237" s="74" t="s">
        <v>881</v>
      </c>
      <c r="D237">
        <v>1</v>
      </c>
    </row>
    <row r="238" spans="1:4" hidden="1" x14ac:dyDescent="0.3">
      <c r="A238">
        <v>3</v>
      </c>
      <c r="B238" s="44" t="s">
        <v>1020</v>
      </c>
      <c r="C238" s="74" t="s">
        <v>1042</v>
      </c>
      <c r="D238">
        <v>161</v>
      </c>
    </row>
    <row r="239" spans="1:4" hidden="1" x14ac:dyDescent="0.3">
      <c r="A239">
        <v>3</v>
      </c>
      <c r="B239" s="44" t="s">
        <v>1020</v>
      </c>
      <c r="C239" s="74" t="s">
        <v>1052</v>
      </c>
      <c r="D239">
        <v>23.2</v>
      </c>
    </row>
    <row r="240" spans="1:4" hidden="1" x14ac:dyDescent="0.3">
      <c r="A240">
        <v>3</v>
      </c>
      <c r="B240" s="44" t="s">
        <v>1020</v>
      </c>
      <c r="C240" s="74" t="s">
        <v>881</v>
      </c>
      <c r="D240">
        <v>2.9</v>
      </c>
    </row>
    <row r="241" spans="1:4" hidden="1" x14ac:dyDescent="0.3">
      <c r="A241">
        <v>3</v>
      </c>
      <c r="B241" s="44" t="s">
        <v>1021</v>
      </c>
      <c r="C241" s="74" t="s">
        <v>941</v>
      </c>
      <c r="D241">
        <v>333.3</v>
      </c>
    </row>
    <row r="242" spans="1:4" hidden="1" x14ac:dyDescent="0.3">
      <c r="A242">
        <v>3</v>
      </c>
      <c r="B242" s="44" t="s">
        <v>1022</v>
      </c>
      <c r="C242" s="74" t="s">
        <v>1042</v>
      </c>
      <c r="D242">
        <v>87.5</v>
      </c>
    </row>
    <row r="243" spans="1:4" hidden="1" x14ac:dyDescent="0.3">
      <c r="A243">
        <v>3</v>
      </c>
      <c r="B243" s="44" t="s">
        <v>1023</v>
      </c>
      <c r="C243" s="74" t="s">
        <v>941</v>
      </c>
      <c r="D243">
        <v>257.10000000000002</v>
      </c>
    </row>
    <row r="244" spans="1:4" hidden="1" x14ac:dyDescent="0.3">
      <c r="A244">
        <v>3</v>
      </c>
      <c r="B244" s="44" t="s">
        <v>1024</v>
      </c>
      <c r="C244" s="74" t="s">
        <v>1042</v>
      </c>
      <c r="D244">
        <v>140</v>
      </c>
    </row>
    <row r="245" spans="1:4" hidden="1" x14ac:dyDescent="0.3">
      <c r="A245">
        <v>3</v>
      </c>
      <c r="B245" s="44" t="s">
        <v>1024</v>
      </c>
      <c r="C245" s="74" t="s">
        <v>881</v>
      </c>
      <c r="D245">
        <v>2.6</v>
      </c>
    </row>
    <row r="246" spans="1:4" hidden="1" x14ac:dyDescent="0.3">
      <c r="A246">
        <v>3</v>
      </c>
      <c r="B246" s="44" t="s">
        <v>1025</v>
      </c>
      <c r="C246" s="74" t="s">
        <v>878</v>
      </c>
      <c r="D246">
        <v>14.4</v>
      </c>
    </row>
    <row r="247" spans="1:4" hidden="1" x14ac:dyDescent="0.3">
      <c r="A247">
        <v>3</v>
      </c>
      <c r="B247" s="44" t="s">
        <v>1025</v>
      </c>
      <c r="C247" s="74" t="s">
        <v>882</v>
      </c>
      <c r="D247">
        <v>8.1</v>
      </c>
    </row>
    <row r="248" spans="1:4" hidden="1" x14ac:dyDescent="0.3">
      <c r="A248">
        <v>3</v>
      </c>
      <c r="B248" s="44" t="s">
        <v>1025</v>
      </c>
      <c r="C248" s="74" t="s">
        <v>879</v>
      </c>
      <c r="D248">
        <v>36.9</v>
      </c>
    </row>
    <row r="249" spans="1:4" hidden="1" x14ac:dyDescent="0.3">
      <c r="A249">
        <v>3</v>
      </c>
      <c r="B249" s="44" t="s">
        <v>1025</v>
      </c>
      <c r="C249" s="74" t="s">
        <v>880</v>
      </c>
      <c r="D249">
        <v>2.1</v>
      </c>
    </row>
    <row r="250" spans="1:4" hidden="1" x14ac:dyDescent="0.3">
      <c r="A250">
        <v>3</v>
      </c>
      <c r="B250" s="44" t="s">
        <v>1026</v>
      </c>
      <c r="C250" s="74" t="s">
        <v>878</v>
      </c>
      <c r="D250">
        <v>7</v>
      </c>
    </row>
    <row r="251" spans="1:4" hidden="1" x14ac:dyDescent="0.3">
      <c r="A251">
        <v>3</v>
      </c>
      <c r="B251" s="44" t="s">
        <v>1026</v>
      </c>
      <c r="C251" s="74" t="s">
        <v>882</v>
      </c>
      <c r="D251">
        <v>8.6999999999999993</v>
      </c>
    </row>
    <row r="252" spans="1:4" hidden="1" x14ac:dyDescent="0.3">
      <c r="A252">
        <v>3</v>
      </c>
      <c r="B252" s="44" t="s">
        <v>1026</v>
      </c>
      <c r="C252" s="74" t="s">
        <v>879</v>
      </c>
      <c r="D252">
        <v>19.7</v>
      </c>
    </row>
    <row r="253" spans="1:4" hidden="1" x14ac:dyDescent="0.3">
      <c r="A253">
        <v>3</v>
      </c>
      <c r="B253" s="44" t="s">
        <v>1026</v>
      </c>
      <c r="C253" s="74" t="s">
        <v>880</v>
      </c>
      <c r="D253">
        <v>0.6</v>
      </c>
    </row>
    <row r="254" spans="1:4" hidden="1" x14ac:dyDescent="0.3">
      <c r="A254">
        <v>3</v>
      </c>
      <c r="B254" s="44" t="s">
        <v>1027</v>
      </c>
      <c r="C254" s="74" t="s">
        <v>941</v>
      </c>
      <c r="D254">
        <v>98</v>
      </c>
    </row>
    <row r="255" spans="1:4" hidden="1" x14ac:dyDescent="0.3">
      <c r="A255">
        <v>3</v>
      </c>
      <c r="B255" s="44" t="s">
        <v>1027</v>
      </c>
      <c r="C255" s="74" t="s">
        <v>1039</v>
      </c>
      <c r="D255">
        <v>26.6</v>
      </c>
    </row>
    <row r="256" spans="1:4" hidden="1" x14ac:dyDescent="0.3">
      <c r="A256">
        <v>3</v>
      </c>
      <c r="B256" s="44" t="s">
        <v>1027</v>
      </c>
      <c r="C256" s="74" t="s">
        <v>881</v>
      </c>
      <c r="D256">
        <v>1</v>
      </c>
    </row>
    <row r="257" spans="1:4" hidden="1" x14ac:dyDescent="0.3">
      <c r="A257">
        <v>3</v>
      </c>
      <c r="B257" s="44" t="s">
        <v>1028</v>
      </c>
      <c r="C257" s="74" t="s">
        <v>1042</v>
      </c>
      <c r="D257">
        <v>46</v>
      </c>
    </row>
    <row r="258" spans="1:4" hidden="1" x14ac:dyDescent="0.3">
      <c r="A258">
        <v>3</v>
      </c>
      <c r="B258" s="44" t="s">
        <v>1029</v>
      </c>
      <c r="C258" s="74" t="s">
        <v>941</v>
      </c>
      <c r="D258">
        <v>46</v>
      </c>
    </row>
    <row r="259" spans="1:4" hidden="1" x14ac:dyDescent="0.3">
      <c r="A259">
        <v>3</v>
      </c>
      <c r="B259" s="44" t="s">
        <v>1029</v>
      </c>
      <c r="C259" s="74" t="s">
        <v>1042</v>
      </c>
      <c r="D259">
        <v>17.8</v>
      </c>
    </row>
    <row r="260" spans="1:4" hidden="1" x14ac:dyDescent="0.3">
      <c r="A260">
        <v>3</v>
      </c>
      <c r="B260" s="44" t="s">
        <v>1030</v>
      </c>
      <c r="C260" s="74" t="s">
        <v>1042</v>
      </c>
      <c r="D260">
        <v>56.9</v>
      </c>
    </row>
    <row r="261" spans="1:4" hidden="1" x14ac:dyDescent="0.3">
      <c r="A261">
        <v>3</v>
      </c>
      <c r="B261" s="44" t="s">
        <v>1031</v>
      </c>
      <c r="C261" s="74" t="s">
        <v>1042</v>
      </c>
      <c r="D261">
        <v>53.7</v>
      </c>
    </row>
    <row r="262" spans="1:4" hidden="1" x14ac:dyDescent="0.3">
      <c r="A262">
        <v>3</v>
      </c>
      <c r="B262" s="44" t="s">
        <v>1032</v>
      </c>
      <c r="C262" s="74" t="s">
        <v>1042</v>
      </c>
      <c r="D262">
        <v>194.3</v>
      </c>
    </row>
    <row r="263" spans="1:4" hidden="1" x14ac:dyDescent="0.3">
      <c r="A263">
        <v>3</v>
      </c>
      <c r="B263" s="44" t="s">
        <v>1033</v>
      </c>
      <c r="C263" s="74" t="s">
        <v>878</v>
      </c>
      <c r="D263">
        <v>14.7</v>
      </c>
    </row>
    <row r="264" spans="1:4" hidden="1" x14ac:dyDescent="0.3">
      <c r="A264">
        <v>3</v>
      </c>
      <c r="B264" s="44" t="s">
        <v>1033</v>
      </c>
      <c r="C264" s="74" t="s">
        <v>1049</v>
      </c>
      <c r="D264">
        <v>6.2</v>
      </c>
    </row>
    <row r="265" spans="1:4" hidden="1" x14ac:dyDescent="0.3">
      <c r="A265">
        <v>3</v>
      </c>
      <c r="B265" s="44" t="s">
        <v>1033</v>
      </c>
      <c r="C265" s="74" t="s">
        <v>879</v>
      </c>
      <c r="D265">
        <v>38.5</v>
      </c>
    </row>
    <row r="266" spans="1:4" hidden="1" x14ac:dyDescent="0.3">
      <c r="A266">
        <v>3</v>
      </c>
      <c r="B266" s="44" t="s">
        <v>1033</v>
      </c>
      <c r="C266" s="74" t="s">
        <v>880</v>
      </c>
      <c r="D266">
        <v>1.1000000000000001</v>
      </c>
    </row>
    <row r="267" spans="1:4" hidden="1" x14ac:dyDescent="0.3">
      <c r="A267">
        <v>3</v>
      </c>
      <c r="B267" s="44" t="s">
        <v>1034</v>
      </c>
      <c r="C267" s="74" t="s">
        <v>941</v>
      </c>
      <c r="D267">
        <v>195.7</v>
      </c>
    </row>
    <row r="268" spans="1:4" hidden="1" x14ac:dyDescent="0.3">
      <c r="A268">
        <v>3</v>
      </c>
      <c r="B268" s="44" t="s">
        <v>1034</v>
      </c>
      <c r="C268" s="74" t="s">
        <v>1047</v>
      </c>
      <c r="D268">
        <v>10</v>
      </c>
    </row>
    <row r="269" spans="1:4" hidden="1" x14ac:dyDescent="0.3">
      <c r="A269">
        <v>3</v>
      </c>
      <c r="B269" s="44" t="s">
        <v>1035</v>
      </c>
      <c r="C269" s="74" t="s">
        <v>1042</v>
      </c>
      <c r="D269">
        <v>24.3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zoomScale="115" zoomScaleNormal="115" workbookViewId="0">
      <selection activeCell="B3" sqref="B3:E3"/>
    </sheetView>
  </sheetViews>
  <sheetFormatPr defaultRowHeight="15.6" x14ac:dyDescent="0.3"/>
  <cols>
    <col min="1" max="1" width="7.44140625" style="131" customWidth="1"/>
    <col min="2" max="2" width="12.33203125" style="106" customWidth="1"/>
    <col min="3" max="4" width="12.109375" style="106" customWidth="1"/>
    <col min="5" max="5" width="13.33203125" style="106" customWidth="1"/>
    <col min="6" max="6" width="9.44140625" style="106" customWidth="1"/>
    <col min="7" max="7" width="7.109375" style="106" customWidth="1"/>
    <col min="8" max="16384" width="8.88671875" style="106"/>
  </cols>
  <sheetData>
    <row r="1" spans="1:7" x14ac:dyDescent="0.3">
      <c r="A1" s="289" t="s">
        <v>1188</v>
      </c>
      <c r="B1" s="289"/>
      <c r="C1" s="289"/>
      <c r="D1" s="289"/>
      <c r="E1" s="289"/>
      <c r="F1" s="289"/>
      <c r="G1" s="289"/>
    </row>
    <row r="2" spans="1:7" s="113" customFormat="1" x14ac:dyDescent="0.3">
      <c r="A2" s="112" t="s">
        <v>829</v>
      </c>
      <c r="B2" s="339" t="s">
        <v>7</v>
      </c>
      <c r="C2" s="340"/>
      <c r="D2" s="340"/>
      <c r="E2" s="341"/>
      <c r="F2" s="37" t="s">
        <v>10</v>
      </c>
      <c r="G2" s="111" t="s">
        <v>830</v>
      </c>
    </row>
    <row r="3" spans="1:7" ht="48.6" customHeight="1" x14ac:dyDescent="0.3">
      <c r="A3" s="108">
        <v>1</v>
      </c>
      <c r="B3" s="336" t="s">
        <v>1077</v>
      </c>
      <c r="C3" s="337"/>
      <c r="D3" s="337"/>
      <c r="E3" s="338"/>
      <c r="F3" s="109" t="s">
        <v>19</v>
      </c>
      <c r="G3" s="110">
        <v>30.4</v>
      </c>
    </row>
    <row r="4" spans="1:7" ht="48.6" customHeight="1" x14ac:dyDescent="0.3">
      <c r="A4" s="134">
        <v>2</v>
      </c>
      <c r="B4" s="336" t="s">
        <v>1077</v>
      </c>
      <c r="C4" s="337"/>
      <c r="D4" s="337"/>
      <c r="E4" s="338"/>
      <c r="F4" s="135" t="s">
        <v>19</v>
      </c>
      <c r="G4" s="136">
        <v>0.7</v>
      </c>
    </row>
    <row r="5" spans="1:7" ht="50.4" customHeight="1" x14ac:dyDescent="0.3">
      <c r="A5" s="108">
        <v>3</v>
      </c>
      <c r="B5" s="336" t="s">
        <v>1077</v>
      </c>
      <c r="C5" s="337"/>
      <c r="D5" s="337"/>
      <c r="E5" s="338"/>
      <c r="F5" s="109" t="s">
        <v>19</v>
      </c>
      <c r="G5" s="110">
        <v>61.3</v>
      </c>
    </row>
    <row r="6" spans="1:7" ht="48.6" customHeight="1" x14ac:dyDescent="0.3">
      <c r="A6" s="134">
        <v>4</v>
      </c>
      <c r="B6" s="353" t="s">
        <v>1077</v>
      </c>
      <c r="C6" s="354"/>
      <c r="D6" s="354"/>
      <c r="E6" s="355"/>
      <c r="F6" s="135" t="s">
        <v>19</v>
      </c>
      <c r="G6" s="136">
        <v>30.9</v>
      </c>
    </row>
  </sheetData>
  <mergeCells count="6">
    <mergeCell ref="B6:E6"/>
    <mergeCell ref="A1:G1"/>
    <mergeCell ref="B2:E2"/>
    <mergeCell ref="B3:E3"/>
    <mergeCell ref="B4:E4"/>
    <mergeCell ref="B5:E5"/>
  </mergeCells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zoomScale="115" zoomScaleNormal="115" workbookViewId="0">
      <selection activeCell="C6" sqref="C6"/>
    </sheetView>
  </sheetViews>
  <sheetFormatPr defaultRowHeight="15.6" x14ac:dyDescent="0.3"/>
  <cols>
    <col min="1" max="1" width="7.44140625" style="130" customWidth="1"/>
    <col min="2" max="2" width="12.33203125" style="106" customWidth="1"/>
    <col min="3" max="4" width="12.109375" style="106" customWidth="1"/>
    <col min="5" max="5" width="13.33203125" style="106" customWidth="1"/>
    <col min="6" max="6" width="9.44140625" style="106" customWidth="1"/>
    <col min="7" max="7" width="7.109375" style="106" customWidth="1"/>
    <col min="8" max="16384" width="8.88671875" style="106"/>
  </cols>
  <sheetData>
    <row r="1" spans="1:7" x14ac:dyDescent="0.3">
      <c r="A1" s="289" t="s">
        <v>1188</v>
      </c>
      <c r="B1" s="289"/>
      <c r="C1" s="289"/>
      <c r="D1" s="289"/>
      <c r="E1" s="289"/>
      <c r="F1" s="289"/>
      <c r="G1" s="289"/>
    </row>
    <row r="2" spans="1:7" s="113" customFormat="1" x14ac:dyDescent="0.3">
      <c r="A2" s="112" t="s">
        <v>829</v>
      </c>
      <c r="B2" s="339" t="s">
        <v>7</v>
      </c>
      <c r="C2" s="340"/>
      <c r="D2" s="340"/>
      <c r="E2" s="341"/>
      <c r="F2" s="37" t="s">
        <v>10</v>
      </c>
      <c r="G2" s="111" t="s">
        <v>830</v>
      </c>
    </row>
    <row r="3" spans="1:7" ht="50.4" customHeight="1" x14ac:dyDescent="0.3">
      <c r="A3" s="108">
        <v>1</v>
      </c>
      <c r="B3" s="336" t="s">
        <v>1066</v>
      </c>
      <c r="C3" s="337"/>
      <c r="D3" s="337"/>
      <c r="E3" s="338"/>
      <c r="F3" s="109" t="s">
        <v>19</v>
      </c>
      <c r="G3" s="110">
        <v>1.3</v>
      </c>
    </row>
    <row r="4" spans="1:7" ht="48.6" customHeight="1" x14ac:dyDescent="0.3">
      <c r="A4" s="134">
        <v>2</v>
      </c>
      <c r="B4" s="353" t="s">
        <v>1066</v>
      </c>
      <c r="C4" s="354"/>
      <c r="D4" s="354"/>
      <c r="E4" s="355"/>
      <c r="F4" s="135" t="s">
        <v>19</v>
      </c>
      <c r="G4" s="136">
        <v>0.2</v>
      </c>
    </row>
  </sheetData>
  <mergeCells count="4">
    <mergeCell ref="A1:G1"/>
    <mergeCell ref="B2:E2"/>
    <mergeCell ref="B3:E3"/>
    <mergeCell ref="B4:E4"/>
  </mergeCells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="115" zoomScaleNormal="115" workbookViewId="0">
      <selection activeCell="J16" sqref="J16"/>
    </sheetView>
  </sheetViews>
  <sheetFormatPr defaultRowHeight="15.6" x14ac:dyDescent="0.3"/>
  <cols>
    <col min="1" max="1" width="7.44140625" style="107" customWidth="1"/>
    <col min="2" max="2" width="12.33203125" style="106" customWidth="1"/>
    <col min="3" max="4" width="12.109375" style="106" customWidth="1"/>
    <col min="5" max="5" width="13.33203125" style="106" customWidth="1"/>
    <col min="6" max="6" width="10.5546875" style="106" customWidth="1"/>
    <col min="7" max="7" width="8.88671875" style="106" customWidth="1"/>
    <col min="8" max="16384" width="8.88671875" style="106"/>
  </cols>
  <sheetData>
    <row r="1" spans="1:7" x14ac:dyDescent="0.3">
      <c r="A1" s="289" t="s">
        <v>1188</v>
      </c>
      <c r="B1" s="289"/>
      <c r="C1" s="289"/>
      <c r="D1" s="289"/>
      <c r="E1" s="289"/>
      <c r="F1" s="289"/>
      <c r="G1" s="289"/>
    </row>
    <row r="2" spans="1:7" s="113" customFormat="1" x14ac:dyDescent="0.3">
      <c r="A2" s="112" t="s">
        <v>829</v>
      </c>
      <c r="B2" s="339" t="s">
        <v>7</v>
      </c>
      <c r="C2" s="340"/>
      <c r="D2" s="340"/>
      <c r="E2" s="341"/>
      <c r="F2" s="37" t="s">
        <v>10</v>
      </c>
      <c r="G2" s="111" t="s">
        <v>830</v>
      </c>
    </row>
    <row r="3" spans="1:7" ht="50.4" customHeight="1" x14ac:dyDescent="0.3">
      <c r="A3" s="108">
        <v>1</v>
      </c>
      <c r="B3" s="336" t="s">
        <v>1066</v>
      </c>
      <c r="C3" s="337"/>
      <c r="D3" s="337"/>
      <c r="E3" s="338"/>
      <c r="F3" s="109" t="s">
        <v>19</v>
      </c>
      <c r="G3" s="110">
        <f>B17</f>
        <v>21.897842499999996</v>
      </c>
    </row>
    <row r="4" spans="1:7" ht="30.6" customHeight="1" x14ac:dyDescent="0.3">
      <c r="A4" s="121">
        <v>2</v>
      </c>
      <c r="B4" s="358" t="s">
        <v>1072</v>
      </c>
      <c r="C4" s="359"/>
      <c r="D4" s="359"/>
      <c r="E4" s="360"/>
      <c r="F4" s="122" t="s">
        <v>1071</v>
      </c>
      <c r="G4" s="126">
        <v>2.3E-2</v>
      </c>
    </row>
    <row r="5" spans="1:7" x14ac:dyDescent="0.3">
      <c r="A5" s="286"/>
      <c r="B5" s="286"/>
      <c r="C5" s="286"/>
      <c r="D5" s="286"/>
      <c r="E5" s="286"/>
      <c r="F5" s="286"/>
      <c r="G5" s="286"/>
    </row>
    <row r="6" spans="1:7" s="114" customFormat="1" ht="37.799999999999997" customHeight="1" x14ac:dyDescent="0.3">
      <c r="A6" s="116" t="s">
        <v>829</v>
      </c>
      <c r="B6" s="117" t="s">
        <v>1073</v>
      </c>
      <c r="C6" s="356"/>
      <c r="D6" s="357"/>
      <c r="E6" s="357"/>
      <c r="F6" s="357"/>
      <c r="G6" s="357"/>
    </row>
    <row r="7" spans="1:7" x14ac:dyDescent="0.3">
      <c r="A7" s="118">
        <v>1</v>
      </c>
      <c r="B7" s="127">
        <f>7.72-0.525</f>
        <v>7.1949999999999994</v>
      </c>
      <c r="C7" s="356"/>
      <c r="D7" s="357"/>
      <c r="E7" s="357"/>
      <c r="F7" s="357"/>
      <c r="G7" s="357"/>
    </row>
    <row r="8" spans="1:7" x14ac:dyDescent="0.3">
      <c r="A8" s="118">
        <v>2</v>
      </c>
      <c r="B8" s="127">
        <f>0.6125*3.15-1.8821*1.1*0.25</f>
        <v>1.4117975</v>
      </c>
      <c r="C8" s="356"/>
      <c r="D8" s="357"/>
      <c r="E8" s="357"/>
      <c r="F8" s="357"/>
      <c r="G8" s="357"/>
    </row>
    <row r="9" spans="1:7" x14ac:dyDescent="0.3">
      <c r="A9" s="118">
        <v>3</v>
      </c>
      <c r="B9" s="127">
        <f>0.696*3.15-0.7*2.1*0.12*4</f>
        <v>1.4867999999999997</v>
      </c>
      <c r="C9" s="356"/>
      <c r="D9" s="357"/>
      <c r="E9" s="357"/>
      <c r="F9" s="357"/>
      <c r="G9" s="357"/>
    </row>
    <row r="10" spans="1:7" x14ac:dyDescent="0.3">
      <c r="A10" s="118">
        <v>4</v>
      </c>
      <c r="B10" s="127">
        <f>0.5625*3.15-0.156</f>
        <v>1.615875</v>
      </c>
      <c r="C10" s="356"/>
      <c r="D10" s="357"/>
      <c r="E10" s="357"/>
      <c r="F10" s="357"/>
      <c r="G10" s="357"/>
    </row>
    <row r="11" spans="1:7" x14ac:dyDescent="0.3">
      <c r="A11" s="118">
        <v>5</v>
      </c>
      <c r="B11" s="127">
        <f>0.4188*3.15--0.7*2.1*0.12*2</f>
        <v>1.6720200000000001</v>
      </c>
      <c r="C11" s="356"/>
      <c r="D11" s="357"/>
      <c r="E11" s="357"/>
      <c r="F11" s="357"/>
      <c r="G11" s="357"/>
    </row>
    <row r="12" spans="1:7" x14ac:dyDescent="0.3">
      <c r="A12" s="118">
        <v>6</v>
      </c>
      <c r="B12" s="127">
        <f>0.45*3.15-1*2.2*0.25</f>
        <v>0.86749999999999994</v>
      </c>
      <c r="C12" s="356"/>
      <c r="D12" s="357"/>
      <c r="E12" s="357"/>
      <c r="F12" s="357"/>
      <c r="G12" s="357"/>
    </row>
    <row r="13" spans="1:7" x14ac:dyDescent="0.3">
      <c r="A13" s="118">
        <v>7</v>
      </c>
      <c r="B13" s="127">
        <f>0.125*3.15+0.0375*3.15</f>
        <v>0.51187499999999997</v>
      </c>
      <c r="C13" s="356"/>
      <c r="D13" s="357"/>
      <c r="E13" s="357"/>
      <c r="F13" s="357"/>
      <c r="G13" s="357"/>
    </row>
    <row r="14" spans="1:7" x14ac:dyDescent="0.3">
      <c r="A14" s="128">
        <v>8</v>
      </c>
      <c r="B14" s="127">
        <f>0.45*3.15-1*2.2*0.25</f>
        <v>0.86749999999999994</v>
      </c>
      <c r="C14" s="356"/>
      <c r="D14" s="357"/>
      <c r="E14" s="357"/>
      <c r="F14" s="357"/>
      <c r="G14" s="357"/>
    </row>
    <row r="15" spans="1:7" x14ac:dyDescent="0.3">
      <c r="A15" s="128">
        <v>9</v>
      </c>
      <c r="B15" s="127">
        <f>3.9*3.15*0.25-0.25*2.1</f>
        <v>2.5462500000000001</v>
      </c>
      <c r="C15" s="356"/>
      <c r="D15" s="357"/>
      <c r="E15" s="357"/>
      <c r="F15" s="357"/>
      <c r="G15" s="357"/>
    </row>
    <row r="16" spans="1:7" x14ac:dyDescent="0.3">
      <c r="A16" s="128">
        <v>10</v>
      </c>
      <c r="B16" s="127">
        <f>0.9875*3.15-0.294*2.1+0.4*3.15-0.03</f>
        <v>3.7232250000000007</v>
      </c>
      <c r="C16" s="356"/>
      <c r="D16" s="357"/>
      <c r="E16" s="357"/>
      <c r="F16" s="357"/>
      <c r="G16" s="357"/>
    </row>
    <row r="17" spans="1:7" x14ac:dyDescent="0.3">
      <c r="A17" s="108" t="s">
        <v>1074</v>
      </c>
      <c r="B17" s="129">
        <f>SUM(B7:B16)</f>
        <v>21.897842499999996</v>
      </c>
      <c r="C17" s="356"/>
      <c r="D17" s="357"/>
      <c r="E17" s="357"/>
      <c r="F17" s="357"/>
      <c r="G17" s="357"/>
    </row>
  </sheetData>
  <mergeCells count="6">
    <mergeCell ref="C6:G17"/>
    <mergeCell ref="A1:G1"/>
    <mergeCell ref="B2:E2"/>
    <mergeCell ref="B3:E3"/>
    <mergeCell ref="B4:E4"/>
    <mergeCell ref="A5:G5"/>
  </mergeCells>
  <pageMargins left="0.7" right="0.7" top="0.75" bottom="0.75" header="0.3" footer="0.3"/>
  <pageSetup paperSize="9" orientation="portrait" horizontalDpi="0" verticalDpi="0" r:id="rId1"/>
  <ignoredErrors>
    <ignoredError sqref="B13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zoomScale="70" zoomScaleNormal="70" workbookViewId="0">
      <selection activeCell="A40" sqref="A40:XFD50"/>
    </sheetView>
  </sheetViews>
  <sheetFormatPr defaultRowHeight="15.6" x14ac:dyDescent="0.3"/>
  <cols>
    <col min="1" max="1" width="7.44140625" style="107" customWidth="1"/>
    <col min="2" max="2" width="10.33203125" style="107" customWidth="1"/>
    <col min="3" max="3" width="12.33203125" style="106" customWidth="1"/>
    <col min="4" max="5" width="12.109375" style="106" customWidth="1"/>
    <col min="6" max="6" width="13.33203125" style="106" customWidth="1"/>
    <col min="7" max="7" width="12.88671875" style="106" customWidth="1"/>
    <col min="8" max="8" width="11.44140625" style="106" customWidth="1"/>
    <col min="9" max="9" width="13" style="106" customWidth="1"/>
    <col min="10" max="10" width="10.5546875" style="106" customWidth="1"/>
    <col min="11" max="11" width="11.33203125" style="106" customWidth="1"/>
    <col min="12" max="16384" width="8.88671875" style="106"/>
  </cols>
  <sheetData>
    <row r="1" spans="1:11" x14ac:dyDescent="0.3">
      <c r="A1" s="289" t="s">
        <v>1188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</row>
    <row r="2" spans="1:11" s="113" customFormat="1" ht="31.2" x14ac:dyDescent="0.3">
      <c r="A2" s="112" t="s">
        <v>829</v>
      </c>
      <c r="B2" s="37" t="s">
        <v>1075</v>
      </c>
      <c r="C2" s="339" t="s">
        <v>7</v>
      </c>
      <c r="D2" s="340"/>
      <c r="E2" s="340"/>
      <c r="F2" s="341"/>
      <c r="G2" s="339" t="s">
        <v>814</v>
      </c>
      <c r="H2" s="340"/>
      <c r="I2" s="341"/>
      <c r="J2" s="37" t="s">
        <v>10</v>
      </c>
      <c r="K2" s="111" t="s">
        <v>830</v>
      </c>
    </row>
    <row r="3" spans="1:11" ht="50.4" customHeight="1" x14ac:dyDescent="0.3">
      <c r="A3" s="108">
        <v>1</v>
      </c>
      <c r="B3" s="108">
        <v>72</v>
      </c>
      <c r="C3" s="336" t="s">
        <v>1068</v>
      </c>
      <c r="D3" s="337"/>
      <c r="E3" s="337"/>
      <c r="F3" s="338"/>
      <c r="G3" s="361" t="s">
        <v>1067</v>
      </c>
      <c r="H3" s="362"/>
      <c r="I3" s="363"/>
      <c r="J3" s="109" t="s">
        <v>15</v>
      </c>
      <c r="K3" s="110">
        <v>128.30000000000001</v>
      </c>
    </row>
    <row r="4" spans="1:11" ht="50.4" customHeight="1" x14ac:dyDescent="0.3">
      <c r="A4" s="121">
        <v>2</v>
      </c>
      <c r="B4" s="121">
        <v>78</v>
      </c>
      <c r="C4" s="358" t="s">
        <v>1068</v>
      </c>
      <c r="D4" s="359"/>
      <c r="E4" s="359"/>
      <c r="F4" s="360"/>
      <c r="G4" s="364" t="s">
        <v>1069</v>
      </c>
      <c r="H4" s="365"/>
      <c r="I4" s="366"/>
      <c r="J4" s="122" t="s">
        <v>15</v>
      </c>
      <c r="K4" s="123">
        <v>317.60000000000002</v>
      </c>
    </row>
    <row r="5" spans="1:11" ht="50.4" customHeight="1" x14ac:dyDescent="0.3">
      <c r="A5" s="108">
        <v>3</v>
      </c>
      <c r="B5" s="108">
        <v>84</v>
      </c>
      <c r="C5" s="336" t="s">
        <v>1068</v>
      </c>
      <c r="D5" s="337"/>
      <c r="E5" s="337"/>
      <c r="F5" s="338"/>
      <c r="G5" s="361" t="s">
        <v>1067</v>
      </c>
      <c r="H5" s="362"/>
      <c r="I5" s="363"/>
      <c r="J5" s="109" t="s">
        <v>15</v>
      </c>
      <c r="K5" s="110">
        <v>350.5</v>
      </c>
    </row>
    <row r="6" spans="1:11" ht="50.4" customHeight="1" x14ac:dyDescent="0.3">
      <c r="A6" s="121">
        <v>4</v>
      </c>
      <c r="B6" s="121">
        <v>90</v>
      </c>
      <c r="C6" s="358" t="s">
        <v>1068</v>
      </c>
      <c r="D6" s="359"/>
      <c r="E6" s="359"/>
      <c r="F6" s="360"/>
      <c r="G6" s="364" t="s">
        <v>1069</v>
      </c>
      <c r="H6" s="365"/>
      <c r="I6" s="366"/>
      <c r="J6" s="122" t="s">
        <v>15</v>
      </c>
      <c r="K6" s="123">
        <v>543.29999999999995</v>
      </c>
    </row>
    <row r="7" spans="1:11" ht="50.4" customHeight="1" x14ac:dyDescent="0.3">
      <c r="A7" s="108">
        <v>5</v>
      </c>
      <c r="B7" s="108">
        <v>96</v>
      </c>
      <c r="C7" s="336" t="s">
        <v>1068</v>
      </c>
      <c r="D7" s="337"/>
      <c r="E7" s="337"/>
      <c r="F7" s="338"/>
      <c r="G7" s="361" t="s">
        <v>1067</v>
      </c>
      <c r="H7" s="362"/>
      <c r="I7" s="363"/>
      <c r="J7" s="109" t="s">
        <v>15</v>
      </c>
      <c r="K7" s="110">
        <v>814.7</v>
      </c>
    </row>
    <row r="8" spans="1:11" ht="50.4" customHeight="1" x14ac:dyDescent="0.3">
      <c r="A8" s="121">
        <v>6</v>
      </c>
      <c r="B8" s="121">
        <v>102</v>
      </c>
      <c r="C8" s="358" t="s">
        <v>1068</v>
      </c>
      <c r="D8" s="359"/>
      <c r="E8" s="359"/>
      <c r="F8" s="360"/>
      <c r="G8" s="364" t="s">
        <v>1069</v>
      </c>
      <c r="H8" s="365"/>
      <c r="I8" s="366"/>
      <c r="J8" s="122" t="s">
        <v>15</v>
      </c>
      <c r="K8" s="123">
        <v>200.8</v>
      </c>
    </row>
    <row r="9" spans="1:11" x14ac:dyDescent="0.3">
      <c r="A9" s="286"/>
      <c r="B9" s="286"/>
      <c r="C9" s="286"/>
      <c r="D9" s="286"/>
      <c r="E9" s="286"/>
      <c r="F9" s="286"/>
      <c r="G9" s="286"/>
      <c r="H9" s="286"/>
      <c r="I9" s="286"/>
      <c r="J9" s="286"/>
      <c r="K9" s="286"/>
    </row>
    <row r="10" spans="1:11" s="114" customFormat="1" ht="37.799999999999997" customHeight="1" x14ac:dyDescent="0.3">
      <c r="A10" s="116" t="s">
        <v>829</v>
      </c>
      <c r="B10" s="116" t="s">
        <v>831</v>
      </c>
      <c r="C10" s="124" t="s">
        <v>1070</v>
      </c>
      <c r="D10" s="369"/>
      <c r="E10" s="117" t="s">
        <v>829</v>
      </c>
      <c r="F10" s="117" t="s">
        <v>831</v>
      </c>
      <c r="G10" s="124" t="s">
        <v>1070</v>
      </c>
      <c r="H10" s="324"/>
      <c r="I10" s="324"/>
      <c r="J10" s="324"/>
      <c r="K10" s="324"/>
    </row>
    <row r="11" spans="1:11" x14ac:dyDescent="0.3">
      <c r="A11" s="118">
        <v>1</v>
      </c>
      <c r="B11" s="118">
        <v>1002</v>
      </c>
      <c r="C11" s="119">
        <v>3.24</v>
      </c>
      <c r="D11" s="369"/>
      <c r="E11" s="115">
        <v>28</v>
      </c>
      <c r="F11" s="118">
        <v>1058</v>
      </c>
      <c r="G11" s="119">
        <v>19.399999999999999</v>
      </c>
      <c r="H11" s="324"/>
      <c r="I11" s="324"/>
      <c r="J11" s="324"/>
      <c r="K11" s="324"/>
    </row>
    <row r="12" spans="1:11" x14ac:dyDescent="0.3">
      <c r="A12" s="118">
        <v>2</v>
      </c>
      <c r="B12" s="118">
        <v>1003</v>
      </c>
      <c r="C12" s="119">
        <v>34.08</v>
      </c>
      <c r="D12" s="369"/>
      <c r="E12" s="115">
        <v>29</v>
      </c>
      <c r="F12" s="118">
        <v>1059</v>
      </c>
      <c r="G12" s="119">
        <v>19.399999999999999</v>
      </c>
      <c r="H12" s="324"/>
      <c r="I12" s="324"/>
      <c r="J12" s="324"/>
      <c r="K12" s="324"/>
    </row>
    <row r="13" spans="1:11" x14ac:dyDescent="0.3">
      <c r="A13" s="118">
        <v>5</v>
      </c>
      <c r="B13" s="118">
        <v>1010</v>
      </c>
      <c r="C13" s="119">
        <v>7.68</v>
      </c>
      <c r="D13" s="369"/>
      <c r="E13" s="115">
        <v>30</v>
      </c>
      <c r="F13" s="118">
        <v>1061</v>
      </c>
      <c r="G13" s="119">
        <v>48.199999999999996</v>
      </c>
      <c r="H13" s="324"/>
      <c r="I13" s="324"/>
      <c r="J13" s="324"/>
      <c r="K13" s="324"/>
    </row>
    <row r="14" spans="1:11" x14ac:dyDescent="0.3">
      <c r="A14" s="118">
        <v>6</v>
      </c>
      <c r="B14" s="118">
        <v>1013</v>
      </c>
      <c r="C14" s="119">
        <v>17.16</v>
      </c>
      <c r="D14" s="369"/>
      <c r="E14" s="115">
        <v>31</v>
      </c>
      <c r="F14" s="118">
        <v>1063</v>
      </c>
      <c r="G14" s="119">
        <v>35</v>
      </c>
      <c r="H14" s="324"/>
      <c r="I14" s="324"/>
      <c r="J14" s="324"/>
      <c r="K14" s="324"/>
    </row>
    <row r="15" spans="1:11" x14ac:dyDescent="0.3">
      <c r="A15" s="118">
        <v>7</v>
      </c>
      <c r="B15" s="118">
        <v>1014</v>
      </c>
      <c r="C15" s="119">
        <v>32.4</v>
      </c>
      <c r="D15" s="369"/>
      <c r="E15" s="115">
        <v>32</v>
      </c>
      <c r="F15" s="118">
        <v>1064</v>
      </c>
      <c r="G15" s="119">
        <v>18.2</v>
      </c>
      <c r="H15" s="324"/>
      <c r="I15" s="324"/>
      <c r="J15" s="324"/>
      <c r="K15" s="324"/>
    </row>
    <row r="16" spans="1:11" x14ac:dyDescent="0.3">
      <c r="A16" s="118">
        <v>8</v>
      </c>
      <c r="B16" s="118">
        <v>1015</v>
      </c>
      <c r="C16" s="119">
        <v>19.2</v>
      </c>
      <c r="D16" s="369"/>
      <c r="E16" s="115">
        <v>33</v>
      </c>
      <c r="F16" s="118">
        <v>1065</v>
      </c>
      <c r="G16" s="119">
        <v>9.1999999999999993</v>
      </c>
      <c r="H16" s="324"/>
      <c r="I16" s="324"/>
      <c r="J16" s="324"/>
      <c r="K16" s="324"/>
    </row>
    <row r="17" spans="1:11" x14ac:dyDescent="0.3">
      <c r="A17" s="118">
        <v>10</v>
      </c>
      <c r="B17" s="118">
        <v>1019</v>
      </c>
      <c r="C17" s="119">
        <v>32.4</v>
      </c>
      <c r="D17" s="369"/>
      <c r="E17" s="115">
        <v>34</v>
      </c>
      <c r="F17" s="118">
        <v>1066</v>
      </c>
      <c r="G17" s="119">
        <v>21.8</v>
      </c>
      <c r="H17" s="324"/>
      <c r="I17" s="324"/>
      <c r="J17" s="324"/>
      <c r="K17" s="324"/>
    </row>
    <row r="18" spans="1:11" x14ac:dyDescent="0.3">
      <c r="A18" s="118">
        <v>11</v>
      </c>
      <c r="B18" s="118">
        <v>1022</v>
      </c>
      <c r="C18" s="119">
        <v>49.199999999999996</v>
      </c>
      <c r="D18" s="369"/>
      <c r="E18" s="115">
        <v>35</v>
      </c>
      <c r="F18" s="118">
        <v>1069</v>
      </c>
      <c r="G18" s="119">
        <v>24.2</v>
      </c>
      <c r="H18" s="324"/>
      <c r="I18" s="324"/>
      <c r="J18" s="324"/>
      <c r="K18" s="324"/>
    </row>
    <row r="19" spans="1:11" x14ac:dyDescent="0.3">
      <c r="A19" s="118">
        <v>12</v>
      </c>
      <c r="B19" s="118">
        <v>1025</v>
      </c>
      <c r="C19" s="119">
        <v>15.6</v>
      </c>
      <c r="D19" s="369"/>
      <c r="E19" s="115">
        <v>36</v>
      </c>
      <c r="F19" s="118">
        <v>1070</v>
      </c>
      <c r="G19" s="119">
        <v>42.199999999999996</v>
      </c>
      <c r="H19" s="324"/>
      <c r="I19" s="324"/>
      <c r="J19" s="324"/>
      <c r="K19" s="324"/>
    </row>
    <row r="20" spans="1:11" x14ac:dyDescent="0.3">
      <c r="A20" s="118">
        <v>13</v>
      </c>
      <c r="B20" s="118">
        <v>1027</v>
      </c>
      <c r="C20" s="119">
        <v>21.599999999999998</v>
      </c>
      <c r="D20" s="369"/>
      <c r="E20" s="115">
        <v>37</v>
      </c>
      <c r="F20" s="118">
        <v>1072</v>
      </c>
      <c r="G20" s="119">
        <v>1.7599999999999998</v>
      </c>
      <c r="H20" s="324"/>
      <c r="I20" s="324"/>
      <c r="J20" s="324"/>
      <c r="K20" s="324"/>
    </row>
    <row r="21" spans="1:11" x14ac:dyDescent="0.3">
      <c r="A21" s="118">
        <v>14</v>
      </c>
      <c r="B21" s="118">
        <v>1028</v>
      </c>
      <c r="C21" s="119">
        <v>8.4</v>
      </c>
      <c r="D21" s="369"/>
      <c r="E21" s="115">
        <v>38</v>
      </c>
      <c r="F21" s="118">
        <v>1076</v>
      </c>
      <c r="G21" s="119">
        <v>29</v>
      </c>
      <c r="H21" s="324"/>
      <c r="I21" s="324"/>
      <c r="J21" s="324"/>
      <c r="K21" s="324"/>
    </row>
    <row r="22" spans="1:11" x14ac:dyDescent="0.3">
      <c r="A22" s="118">
        <v>15</v>
      </c>
      <c r="B22" s="118">
        <v>1029</v>
      </c>
      <c r="C22" s="119">
        <v>4.8</v>
      </c>
      <c r="D22" s="369"/>
      <c r="E22" s="115">
        <v>39</v>
      </c>
      <c r="F22" s="118">
        <v>1077</v>
      </c>
      <c r="G22" s="119">
        <v>23</v>
      </c>
      <c r="H22" s="324"/>
      <c r="I22" s="324"/>
      <c r="J22" s="324"/>
      <c r="K22" s="324"/>
    </row>
    <row r="23" spans="1:11" x14ac:dyDescent="0.3">
      <c r="A23" s="118">
        <v>16</v>
      </c>
      <c r="B23" s="118">
        <v>1031</v>
      </c>
      <c r="C23" s="119">
        <v>20.04</v>
      </c>
      <c r="D23" s="369"/>
      <c r="E23" s="115">
        <v>40</v>
      </c>
      <c r="F23" s="118">
        <v>1078</v>
      </c>
      <c r="G23" s="119">
        <v>14.839999999999998</v>
      </c>
      <c r="H23" s="324"/>
      <c r="I23" s="324"/>
      <c r="J23" s="324"/>
      <c r="K23" s="324"/>
    </row>
    <row r="24" spans="1:11" x14ac:dyDescent="0.3">
      <c r="A24" s="118">
        <v>17</v>
      </c>
      <c r="B24" s="118">
        <v>1033</v>
      </c>
      <c r="C24" s="119">
        <v>19.2</v>
      </c>
      <c r="D24" s="369"/>
      <c r="E24" s="115">
        <v>41</v>
      </c>
      <c r="F24" s="118">
        <v>1079</v>
      </c>
      <c r="G24" s="119">
        <v>2.5999999999999996</v>
      </c>
      <c r="H24" s="324"/>
      <c r="I24" s="324"/>
      <c r="J24" s="324"/>
      <c r="K24" s="324"/>
    </row>
    <row r="25" spans="1:11" x14ac:dyDescent="0.3">
      <c r="A25" s="118">
        <v>18</v>
      </c>
      <c r="B25" s="118">
        <v>1035</v>
      </c>
      <c r="C25" s="119">
        <v>42</v>
      </c>
      <c r="D25" s="369"/>
      <c r="E25" s="115">
        <v>42</v>
      </c>
      <c r="F25" s="118">
        <v>1081</v>
      </c>
      <c r="G25" s="119">
        <v>27.4</v>
      </c>
      <c r="H25" s="324"/>
      <c r="I25" s="324"/>
      <c r="J25" s="324"/>
      <c r="K25" s="324"/>
    </row>
    <row r="26" spans="1:11" x14ac:dyDescent="0.3">
      <c r="A26" s="118">
        <v>19</v>
      </c>
      <c r="B26" s="118">
        <v>1037</v>
      </c>
      <c r="C26" s="119">
        <v>27.599999999999998</v>
      </c>
      <c r="D26" s="369"/>
      <c r="E26" s="115">
        <v>43</v>
      </c>
      <c r="F26" s="118">
        <v>1082</v>
      </c>
      <c r="G26" s="119">
        <v>19.399999999999999</v>
      </c>
      <c r="H26" s="324"/>
      <c r="I26" s="324"/>
      <c r="J26" s="324"/>
      <c r="K26" s="324"/>
    </row>
    <row r="27" spans="1:11" x14ac:dyDescent="0.3">
      <c r="A27" s="118">
        <v>20</v>
      </c>
      <c r="B27" s="118">
        <v>1038</v>
      </c>
      <c r="C27" s="119">
        <v>26.4</v>
      </c>
      <c r="D27" s="369"/>
      <c r="E27" s="115">
        <v>44</v>
      </c>
      <c r="F27" s="118">
        <v>1084</v>
      </c>
      <c r="G27" s="120">
        <v>4.5</v>
      </c>
      <c r="H27" s="324"/>
      <c r="I27" s="324"/>
      <c r="J27" s="324"/>
      <c r="K27" s="324"/>
    </row>
    <row r="28" spans="1:11" x14ac:dyDescent="0.3">
      <c r="A28" s="118">
        <v>21</v>
      </c>
      <c r="B28" s="118">
        <v>1043</v>
      </c>
      <c r="C28" s="119">
        <v>16.8</v>
      </c>
      <c r="D28" s="369"/>
      <c r="E28" s="115">
        <v>45</v>
      </c>
      <c r="F28" s="118">
        <v>1087</v>
      </c>
      <c r="G28" s="119">
        <v>6.4399999999999995</v>
      </c>
      <c r="H28" s="324"/>
      <c r="I28" s="324"/>
      <c r="J28" s="324"/>
      <c r="K28" s="324"/>
    </row>
    <row r="29" spans="1:11" x14ac:dyDescent="0.3">
      <c r="A29" s="118">
        <v>22</v>
      </c>
      <c r="B29" s="118">
        <v>1046</v>
      </c>
      <c r="C29" s="119">
        <v>8.4</v>
      </c>
      <c r="D29" s="369"/>
      <c r="E29" s="115">
        <v>46</v>
      </c>
      <c r="F29" s="118">
        <v>1096</v>
      </c>
      <c r="G29" s="119">
        <v>30.2</v>
      </c>
      <c r="H29" s="324"/>
      <c r="I29" s="324"/>
      <c r="J29" s="324"/>
      <c r="K29" s="324"/>
    </row>
    <row r="30" spans="1:11" x14ac:dyDescent="0.3">
      <c r="A30" s="118">
        <v>23</v>
      </c>
      <c r="B30" s="118">
        <v>1049</v>
      </c>
      <c r="C30" s="119">
        <v>108</v>
      </c>
      <c r="D30" s="369"/>
      <c r="E30" s="115">
        <v>47</v>
      </c>
      <c r="F30" s="118">
        <v>1098</v>
      </c>
      <c r="G30" s="119">
        <v>23.24</v>
      </c>
      <c r="H30" s="324"/>
      <c r="I30" s="324"/>
      <c r="J30" s="324"/>
      <c r="K30" s="324"/>
    </row>
    <row r="31" spans="1:11" x14ac:dyDescent="0.3">
      <c r="A31" s="118">
        <v>24</v>
      </c>
      <c r="B31" s="118">
        <v>1051</v>
      </c>
      <c r="C31" s="119">
        <v>12.360000000000001</v>
      </c>
      <c r="D31" s="369"/>
      <c r="E31" s="115">
        <v>48</v>
      </c>
      <c r="F31" s="118">
        <v>1100</v>
      </c>
      <c r="G31" s="119">
        <v>5.24</v>
      </c>
      <c r="H31" s="324"/>
      <c r="I31" s="324"/>
      <c r="J31" s="324"/>
      <c r="K31" s="324"/>
    </row>
    <row r="32" spans="1:11" x14ac:dyDescent="0.3">
      <c r="A32" s="118">
        <v>25</v>
      </c>
      <c r="B32" s="118">
        <v>1053</v>
      </c>
      <c r="C32" s="119">
        <v>7.68</v>
      </c>
      <c r="D32" s="369"/>
      <c r="E32" s="115">
        <v>49</v>
      </c>
      <c r="F32" s="118">
        <v>1101</v>
      </c>
      <c r="G32" s="119">
        <v>9.7999999999999989</v>
      </c>
      <c r="H32" s="324"/>
      <c r="I32" s="324"/>
      <c r="J32" s="324"/>
      <c r="K32" s="324"/>
    </row>
    <row r="33" spans="1:11" x14ac:dyDescent="0.3">
      <c r="A33" s="118">
        <v>26</v>
      </c>
      <c r="B33" s="118">
        <v>1054</v>
      </c>
      <c r="C33" s="119">
        <v>36</v>
      </c>
      <c r="D33" s="369"/>
      <c r="E33" s="115">
        <v>50</v>
      </c>
      <c r="F33" s="118">
        <v>1102</v>
      </c>
      <c r="G33" s="119">
        <v>9.7999999999999989</v>
      </c>
      <c r="H33" s="324"/>
      <c r="I33" s="324"/>
      <c r="J33" s="324"/>
      <c r="K33" s="324"/>
    </row>
    <row r="34" spans="1:11" x14ac:dyDescent="0.3">
      <c r="A34" s="132"/>
      <c r="B34" s="132"/>
      <c r="C34" s="125">
        <f>SUM(C11:C33)</f>
        <v>570.24</v>
      </c>
      <c r="D34" s="369"/>
      <c r="E34" s="115">
        <v>51</v>
      </c>
      <c r="F34" s="118">
        <v>1104</v>
      </c>
      <c r="G34" s="119">
        <v>20.599999999999998</v>
      </c>
      <c r="H34" s="324"/>
      <c r="I34" s="324"/>
      <c r="J34" s="324"/>
      <c r="K34" s="324"/>
    </row>
    <row r="35" spans="1:11" x14ac:dyDescent="0.3">
      <c r="A35" s="370"/>
      <c r="B35" s="370"/>
      <c r="C35" s="370"/>
      <c r="D35" s="369"/>
      <c r="E35" s="115">
        <v>52</v>
      </c>
      <c r="F35" s="118">
        <v>1105</v>
      </c>
      <c r="G35" s="119">
        <v>8.6</v>
      </c>
      <c r="H35" s="324"/>
      <c r="I35" s="324"/>
      <c r="J35" s="324"/>
      <c r="K35" s="324"/>
    </row>
    <row r="36" spans="1:11" x14ac:dyDescent="0.3">
      <c r="A36" s="370"/>
      <c r="B36" s="370"/>
      <c r="C36" s="370"/>
      <c r="D36" s="369"/>
      <c r="E36" s="115">
        <v>54</v>
      </c>
      <c r="F36" s="118">
        <v>1109</v>
      </c>
      <c r="G36" s="119">
        <v>9.7999999999999989</v>
      </c>
      <c r="H36" s="324"/>
      <c r="I36" s="324"/>
      <c r="J36" s="324"/>
      <c r="K36" s="324"/>
    </row>
    <row r="37" spans="1:11" x14ac:dyDescent="0.3">
      <c r="A37" s="370"/>
      <c r="B37" s="370"/>
      <c r="C37" s="370"/>
      <c r="D37" s="369"/>
      <c r="E37" s="115">
        <v>55</v>
      </c>
      <c r="F37" s="118">
        <v>1112</v>
      </c>
      <c r="G37" s="119">
        <v>7.6400000000000006</v>
      </c>
      <c r="H37" s="324"/>
      <c r="I37" s="324"/>
      <c r="J37" s="324"/>
      <c r="K37" s="324"/>
    </row>
    <row r="38" spans="1:11" x14ac:dyDescent="0.3">
      <c r="A38" s="367"/>
      <c r="B38" s="367"/>
      <c r="C38" s="367"/>
      <c r="D38" s="367"/>
      <c r="E38" s="367"/>
      <c r="F38" s="368"/>
      <c r="G38" s="119">
        <f>SUM(G11:G37)</f>
        <v>491.46</v>
      </c>
      <c r="H38" s="324"/>
      <c r="I38" s="324"/>
      <c r="J38" s="324"/>
      <c r="K38" s="324"/>
    </row>
    <row r="39" spans="1:11" x14ac:dyDescent="0.3">
      <c r="A39" s="371" t="s">
        <v>1076</v>
      </c>
      <c r="B39" s="371"/>
      <c r="C39" s="371"/>
      <c r="D39" s="133">
        <f>C34+G38</f>
        <v>1061.7</v>
      </c>
      <c r="E39" s="287"/>
      <c r="F39" s="324"/>
      <c r="G39" s="324"/>
      <c r="H39" s="324"/>
      <c r="I39" s="324"/>
      <c r="J39" s="324"/>
      <c r="K39" s="324"/>
    </row>
  </sheetData>
  <mergeCells count="22">
    <mergeCell ref="H10:K39"/>
    <mergeCell ref="A9:K9"/>
    <mergeCell ref="A38:F38"/>
    <mergeCell ref="D10:D37"/>
    <mergeCell ref="A35:C37"/>
    <mergeCell ref="E39:G39"/>
    <mergeCell ref="A39:C39"/>
    <mergeCell ref="A1:K1"/>
    <mergeCell ref="C3:F3"/>
    <mergeCell ref="C4:F4"/>
    <mergeCell ref="C5:F5"/>
    <mergeCell ref="C6:F6"/>
    <mergeCell ref="C8:F8"/>
    <mergeCell ref="C2:F2"/>
    <mergeCell ref="G2:I2"/>
    <mergeCell ref="G3:I3"/>
    <mergeCell ref="G4:I4"/>
    <mergeCell ref="G5:I5"/>
    <mergeCell ref="G6:I6"/>
    <mergeCell ref="G8:I8"/>
    <mergeCell ref="C7:F7"/>
    <mergeCell ref="G7:I7"/>
  </mergeCells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zoomScale="85" zoomScaleNormal="85" workbookViewId="0">
      <selection activeCell="F10" sqref="F10"/>
    </sheetView>
  </sheetViews>
  <sheetFormatPr defaultRowHeight="14.4" x14ac:dyDescent="0.3"/>
  <cols>
    <col min="1" max="1" width="7.21875" customWidth="1"/>
    <col min="2" max="2" width="7.88671875" customWidth="1"/>
    <col min="3" max="3" width="9.88671875" customWidth="1"/>
    <col min="4" max="4" width="4.109375" customWidth="1"/>
    <col min="5" max="5" width="7.109375" customWidth="1"/>
    <col min="6" max="6" width="7.6640625" customWidth="1"/>
    <col min="7" max="7" width="9.88671875" customWidth="1"/>
    <col min="8" max="8" width="5.33203125" customWidth="1"/>
    <col min="9" max="9" width="7.88671875" customWidth="1"/>
    <col min="10" max="10" width="8.21875" customWidth="1"/>
    <col min="11" max="11" width="9.88671875" customWidth="1"/>
  </cols>
  <sheetData>
    <row r="1" spans="1:11" ht="15.6" x14ac:dyDescent="0.3">
      <c r="A1" s="289" t="s">
        <v>1188</v>
      </c>
      <c r="B1" s="289"/>
      <c r="C1" s="289"/>
      <c r="D1" s="289"/>
      <c r="E1" s="289"/>
      <c r="F1" s="289"/>
      <c r="G1" s="289"/>
      <c r="H1" s="289"/>
      <c r="I1" s="289"/>
      <c r="J1" s="35"/>
      <c r="K1" s="35"/>
    </row>
    <row r="2" spans="1:11" ht="31.2" x14ac:dyDescent="0.3">
      <c r="A2" s="36" t="s">
        <v>829</v>
      </c>
      <c r="B2" s="378" t="s">
        <v>7</v>
      </c>
      <c r="C2" s="379"/>
      <c r="D2" s="379"/>
      <c r="E2" s="379"/>
      <c r="F2" s="379"/>
      <c r="G2" s="380"/>
      <c r="H2" s="381" t="s">
        <v>814</v>
      </c>
      <c r="I2" s="382"/>
      <c r="J2" s="37" t="s">
        <v>10</v>
      </c>
      <c r="K2" s="38" t="s">
        <v>830</v>
      </c>
    </row>
    <row r="3" spans="1:11" ht="62.4" customHeight="1" x14ac:dyDescent="0.3">
      <c r="A3" s="101">
        <v>1</v>
      </c>
      <c r="B3" s="373"/>
      <c r="C3" s="374"/>
      <c r="D3" s="374"/>
      <c r="E3" s="374"/>
      <c r="F3" s="374"/>
      <c r="G3" s="375"/>
      <c r="H3" s="376" t="s">
        <v>14</v>
      </c>
      <c r="I3" s="377"/>
      <c r="J3" s="101" t="s">
        <v>15</v>
      </c>
      <c r="K3" s="40"/>
    </row>
    <row r="4" spans="1:11" ht="62.4" customHeight="1" x14ac:dyDescent="0.3">
      <c r="A4" s="101">
        <v>2</v>
      </c>
      <c r="B4" s="373">
        <v>2</v>
      </c>
      <c r="C4" s="374"/>
      <c r="D4" s="374"/>
      <c r="E4" s="374"/>
      <c r="F4" s="374"/>
      <c r="G4" s="375"/>
      <c r="H4" s="376" t="s">
        <v>17</v>
      </c>
      <c r="I4" s="377"/>
      <c r="J4" s="101" t="s">
        <v>15</v>
      </c>
      <c r="K4" s="40"/>
    </row>
    <row r="5" spans="1:11" ht="15.6" x14ac:dyDescent="0.3">
      <c r="A5" s="372"/>
      <c r="B5" s="372"/>
      <c r="C5" s="372"/>
      <c r="D5" s="372"/>
      <c r="E5" s="372"/>
      <c r="F5" s="372"/>
      <c r="G5" s="372"/>
      <c r="H5" s="372"/>
      <c r="I5" s="372"/>
      <c r="J5" s="372"/>
      <c r="K5" s="372"/>
    </row>
    <row r="6" spans="1:11" ht="46.8" x14ac:dyDescent="0.3">
      <c r="A6" s="41" t="s">
        <v>831</v>
      </c>
      <c r="B6" s="41" t="s">
        <v>832</v>
      </c>
      <c r="C6" s="41" t="s">
        <v>833</v>
      </c>
      <c r="D6" s="46"/>
      <c r="E6" s="41" t="s">
        <v>831</v>
      </c>
      <c r="F6" s="41" t="s">
        <v>832</v>
      </c>
      <c r="G6" s="41" t="s">
        <v>833</v>
      </c>
      <c r="H6" s="47"/>
      <c r="I6" s="47"/>
      <c r="J6" s="47"/>
      <c r="K6" s="47"/>
    </row>
    <row r="7" spans="1:11" ht="14.4" customHeight="1" x14ac:dyDescent="0.3">
      <c r="A7" s="42"/>
      <c r="B7" s="42"/>
      <c r="C7" s="42"/>
      <c r="D7" s="46"/>
      <c r="E7" s="42"/>
      <c r="F7" s="42"/>
      <c r="G7" s="42"/>
      <c r="H7" s="47"/>
      <c r="I7" s="47"/>
      <c r="J7" s="47"/>
      <c r="K7" s="47"/>
    </row>
    <row r="8" spans="1:11" ht="14.4" customHeight="1" x14ac:dyDescent="0.3">
      <c r="A8" s="43"/>
      <c r="B8" s="43"/>
      <c r="C8" s="43"/>
      <c r="D8" s="46"/>
      <c r="E8" s="43"/>
      <c r="F8" s="43"/>
      <c r="G8" s="43"/>
      <c r="H8" s="47"/>
      <c r="I8" s="47"/>
      <c r="J8" s="47"/>
      <c r="K8" s="47"/>
    </row>
    <row r="9" spans="1:11" ht="14.4" customHeight="1" x14ac:dyDescent="0.3">
      <c r="A9" s="42"/>
      <c r="B9" s="42"/>
      <c r="C9" s="42"/>
      <c r="D9" s="46"/>
      <c r="E9" s="42"/>
      <c r="F9" s="42"/>
      <c r="G9" s="42"/>
      <c r="H9" s="47"/>
      <c r="I9" s="47"/>
      <c r="J9" s="47"/>
      <c r="K9" s="47"/>
    </row>
    <row r="10" spans="1:11" ht="14.4" customHeight="1" x14ac:dyDescent="0.3">
      <c r="A10" s="43"/>
      <c r="B10" s="43"/>
      <c r="C10" s="43"/>
      <c r="D10" s="46"/>
      <c r="E10" s="42"/>
      <c r="F10" s="42"/>
      <c r="G10" s="42"/>
      <c r="H10" s="47"/>
      <c r="I10" s="47"/>
      <c r="J10" s="47"/>
      <c r="K10" s="47"/>
    </row>
    <row r="11" spans="1:11" ht="14.4" customHeight="1" x14ac:dyDescent="0.3">
      <c r="A11" s="42"/>
      <c r="B11" s="42"/>
      <c r="C11" s="42"/>
      <c r="D11" s="46"/>
      <c r="F11" s="44" t="s">
        <v>843</v>
      </c>
      <c r="G11">
        <f>SUM(G7:G10)</f>
        <v>0</v>
      </c>
      <c r="H11" s="47"/>
      <c r="I11" s="47"/>
      <c r="J11" s="47"/>
      <c r="K11" s="47"/>
    </row>
    <row r="12" spans="1:11" ht="14.4" customHeight="1" x14ac:dyDescent="0.3">
      <c r="A12" s="43"/>
      <c r="B12" s="43"/>
      <c r="C12" s="43"/>
      <c r="D12" s="46"/>
      <c r="E12" s="46"/>
      <c r="F12" s="46"/>
      <c r="G12" s="46"/>
      <c r="H12" s="46"/>
      <c r="I12" s="46"/>
      <c r="J12" s="46"/>
      <c r="K12" s="46"/>
    </row>
    <row r="13" spans="1:11" ht="14.4" customHeight="1" x14ac:dyDescent="0.3">
      <c r="A13" s="42"/>
      <c r="B13" s="42"/>
      <c r="C13" s="42"/>
      <c r="D13" s="46"/>
      <c r="E13" s="46"/>
      <c r="F13" s="46"/>
      <c r="G13" s="46"/>
      <c r="H13" s="46"/>
      <c r="I13" s="46"/>
      <c r="J13" s="46"/>
      <c r="K13" s="46"/>
    </row>
    <row r="14" spans="1:11" ht="14.4" customHeight="1" x14ac:dyDescent="0.3">
      <c r="A14" s="43"/>
      <c r="B14" s="43"/>
      <c r="C14" s="43"/>
      <c r="D14" s="46"/>
      <c r="E14" s="46"/>
      <c r="F14" s="46"/>
      <c r="G14" s="46"/>
      <c r="H14" s="46"/>
      <c r="I14" s="46"/>
      <c r="J14" s="46"/>
      <c r="K14" s="46"/>
    </row>
    <row r="15" spans="1:11" ht="14.4" customHeight="1" x14ac:dyDescent="0.3">
      <c r="A15" s="42"/>
      <c r="B15" s="42"/>
      <c r="C15" s="42"/>
      <c r="D15" s="46"/>
      <c r="E15" s="46"/>
      <c r="F15" s="46"/>
      <c r="G15" s="46"/>
      <c r="H15" s="46"/>
      <c r="I15" s="46"/>
      <c r="J15" s="46"/>
      <c r="K15" s="46"/>
    </row>
    <row r="16" spans="1:11" ht="14.4" customHeight="1" x14ac:dyDescent="0.3">
      <c r="A16" s="43"/>
      <c r="B16" s="43"/>
      <c r="C16" s="43"/>
      <c r="D16" s="46"/>
      <c r="E16" s="46"/>
      <c r="F16" s="46"/>
      <c r="G16" s="46"/>
      <c r="H16" s="46"/>
      <c r="I16" s="46"/>
      <c r="J16" s="46"/>
      <c r="K16" s="46"/>
    </row>
    <row r="17" spans="1:11" ht="14.4" customHeight="1" x14ac:dyDescent="0.3">
      <c r="A17" s="42"/>
      <c r="B17" s="42"/>
      <c r="C17" s="42"/>
      <c r="D17" s="46"/>
      <c r="E17" s="46"/>
      <c r="F17" s="46"/>
      <c r="G17" s="46"/>
      <c r="H17" s="46"/>
      <c r="I17" s="46"/>
      <c r="J17" s="46"/>
      <c r="K17" s="46"/>
    </row>
    <row r="18" spans="1:11" ht="14.4" customHeight="1" x14ac:dyDescent="0.3">
      <c r="A18" s="43"/>
      <c r="B18" s="43"/>
      <c r="C18" s="43"/>
      <c r="D18" s="46"/>
      <c r="E18" s="46"/>
      <c r="F18" s="46"/>
      <c r="G18" s="46"/>
      <c r="H18" s="46"/>
      <c r="I18" s="46"/>
      <c r="J18" s="46"/>
      <c r="K18" s="46"/>
    </row>
    <row r="19" spans="1:11" ht="14.4" customHeight="1" x14ac:dyDescent="0.3">
      <c r="A19" s="42"/>
      <c r="B19" s="42"/>
      <c r="C19" s="42"/>
      <c r="D19" s="46"/>
      <c r="E19" s="46"/>
      <c r="F19" s="46"/>
      <c r="G19" s="46"/>
      <c r="H19" s="46"/>
      <c r="I19" s="46"/>
      <c r="J19" s="46"/>
      <c r="K19" s="46"/>
    </row>
    <row r="20" spans="1:11" ht="14.4" customHeight="1" x14ac:dyDescent="0.3">
      <c r="A20" s="43"/>
      <c r="B20" s="43"/>
      <c r="C20" s="43"/>
      <c r="D20" s="46"/>
      <c r="E20" s="46"/>
      <c r="F20" s="46"/>
      <c r="G20" s="46"/>
      <c r="H20" s="46"/>
      <c r="I20" s="46"/>
      <c r="J20" s="46"/>
      <c r="K20" s="46"/>
    </row>
    <row r="21" spans="1:11" ht="14.4" customHeight="1" x14ac:dyDescent="0.3">
      <c r="A21" s="42"/>
      <c r="B21" s="42"/>
      <c r="C21" s="42"/>
      <c r="D21" s="46"/>
      <c r="E21" s="46"/>
      <c r="F21" s="46"/>
      <c r="G21" s="46"/>
      <c r="H21" s="46"/>
      <c r="I21" s="46"/>
      <c r="J21" s="46"/>
      <c r="K21" s="46"/>
    </row>
    <row r="22" spans="1:11" ht="14.4" customHeight="1" x14ac:dyDescent="0.3">
      <c r="A22" s="42"/>
      <c r="B22" s="42"/>
      <c r="C22" s="42"/>
      <c r="D22" s="46"/>
      <c r="E22" s="46"/>
      <c r="F22" s="46"/>
      <c r="G22" s="46"/>
      <c r="H22" s="46"/>
      <c r="I22" s="46"/>
      <c r="J22" s="46"/>
      <c r="K22" s="46"/>
    </row>
    <row r="23" spans="1:11" ht="14.4" customHeight="1" x14ac:dyDescent="0.3">
      <c r="A23" s="43"/>
      <c r="B23" s="43"/>
      <c r="C23" s="43"/>
      <c r="D23" s="46"/>
      <c r="E23" s="46"/>
      <c r="F23" s="46"/>
      <c r="G23" s="46"/>
      <c r="H23" s="46"/>
      <c r="I23" s="46"/>
      <c r="J23" s="46"/>
      <c r="K23" s="46"/>
    </row>
    <row r="24" spans="1:11" ht="14.4" customHeight="1" x14ac:dyDescent="0.3">
      <c r="A24" s="42"/>
      <c r="B24" s="42"/>
      <c r="C24" s="42"/>
      <c r="D24" s="46"/>
      <c r="E24" s="46"/>
      <c r="F24" s="46"/>
      <c r="G24" s="46"/>
      <c r="H24" s="46"/>
      <c r="I24" s="46"/>
      <c r="J24" s="46"/>
      <c r="K24" s="46"/>
    </row>
    <row r="25" spans="1:11" ht="14.4" customHeight="1" x14ac:dyDescent="0.3">
      <c r="A25" s="43"/>
      <c r="B25" s="43"/>
      <c r="C25" s="43"/>
      <c r="D25" s="46"/>
      <c r="E25" s="46"/>
      <c r="F25" s="46"/>
      <c r="G25" s="46"/>
      <c r="H25" s="46"/>
      <c r="I25" s="46"/>
      <c r="J25" s="46"/>
      <c r="K25" s="46"/>
    </row>
    <row r="26" spans="1:11" ht="14.4" customHeight="1" x14ac:dyDescent="0.3">
      <c r="A26" s="42"/>
      <c r="B26" s="42"/>
      <c r="C26" s="42"/>
      <c r="D26" s="46"/>
      <c r="E26" s="46"/>
      <c r="F26" s="46"/>
      <c r="G26" s="46"/>
      <c r="H26" s="46"/>
      <c r="I26" s="46"/>
      <c r="J26" s="46"/>
      <c r="K26" s="46"/>
    </row>
    <row r="27" spans="1:11" ht="14.4" customHeight="1" x14ac:dyDescent="0.3">
      <c r="A27" s="43"/>
      <c r="B27" s="43"/>
      <c r="C27" s="43"/>
      <c r="D27" s="46"/>
      <c r="E27" s="46"/>
      <c r="F27" s="46"/>
      <c r="G27" s="46"/>
      <c r="H27" s="46"/>
      <c r="I27" s="46"/>
      <c r="J27" s="46"/>
      <c r="K27" s="46"/>
    </row>
    <row r="28" spans="1:11" ht="14.4" customHeight="1" x14ac:dyDescent="0.3">
      <c r="A28" s="42"/>
      <c r="B28" s="42"/>
      <c r="C28" s="42"/>
      <c r="D28" s="46"/>
      <c r="E28" s="46"/>
      <c r="F28" s="46"/>
      <c r="G28" s="46"/>
      <c r="H28" s="46"/>
      <c r="I28" s="46"/>
      <c r="J28" s="46"/>
      <c r="K28" s="46"/>
    </row>
    <row r="29" spans="1:11" ht="14.4" customHeight="1" x14ac:dyDescent="0.3">
      <c r="A29" s="43"/>
      <c r="B29" s="43"/>
      <c r="C29" s="43"/>
      <c r="D29" s="46"/>
      <c r="E29" s="46"/>
      <c r="F29" s="46"/>
      <c r="G29" s="46"/>
      <c r="H29" s="46"/>
      <c r="I29" s="46"/>
      <c r="J29" s="46"/>
      <c r="K29" s="46"/>
    </row>
    <row r="30" spans="1:11" ht="14.4" customHeight="1" x14ac:dyDescent="0.3">
      <c r="A30" s="42"/>
      <c r="B30" s="42"/>
      <c r="C30" s="45"/>
      <c r="D30" s="46"/>
      <c r="E30" s="46"/>
      <c r="F30" s="46"/>
      <c r="G30" s="46"/>
      <c r="H30" s="46"/>
      <c r="I30" s="46"/>
      <c r="J30" s="46"/>
      <c r="K30" s="46"/>
    </row>
    <row r="31" spans="1:11" ht="14.4" customHeight="1" x14ac:dyDescent="0.3">
      <c r="A31" s="43"/>
      <c r="B31" s="43"/>
      <c r="C31" s="43"/>
      <c r="D31" s="46"/>
      <c r="E31" s="46"/>
      <c r="F31" s="46"/>
      <c r="G31" s="46"/>
      <c r="H31" s="46"/>
      <c r="I31" s="46"/>
      <c r="J31" s="46"/>
      <c r="K31" s="46"/>
    </row>
    <row r="32" spans="1:11" ht="14.4" customHeight="1" x14ac:dyDescent="0.3">
      <c r="A32" s="42"/>
      <c r="B32" s="42"/>
      <c r="C32" s="42"/>
      <c r="D32" s="46"/>
      <c r="E32" s="46"/>
      <c r="F32" s="46"/>
      <c r="G32" s="46"/>
      <c r="H32" s="46"/>
      <c r="I32" s="46"/>
      <c r="J32" s="46"/>
      <c r="K32" s="46"/>
    </row>
    <row r="33" spans="1:11" ht="14.4" customHeight="1" x14ac:dyDescent="0.3">
      <c r="A33" s="43"/>
      <c r="B33" s="43"/>
      <c r="C33" s="43"/>
      <c r="D33" s="46"/>
      <c r="E33" s="46"/>
      <c r="F33" s="46"/>
      <c r="G33" s="46"/>
      <c r="H33" s="46"/>
      <c r="I33" s="46"/>
      <c r="J33" s="46"/>
      <c r="K33" s="46"/>
    </row>
    <row r="34" spans="1:11" ht="14.4" customHeight="1" x14ac:dyDescent="0.3">
      <c r="A34" s="42"/>
      <c r="B34" s="42"/>
      <c r="C34" s="42"/>
      <c r="D34" s="46"/>
      <c r="E34" s="46"/>
      <c r="F34" s="46"/>
      <c r="G34" s="46"/>
      <c r="H34" s="46"/>
      <c r="I34" s="46"/>
      <c r="J34" s="46"/>
      <c r="K34" s="46"/>
    </row>
    <row r="35" spans="1:11" ht="14.4" customHeight="1" x14ac:dyDescent="0.3">
      <c r="A35" s="43"/>
      <c r="B35" s="43"/>
      <c r="C35" s="43"/>
      <c r="D35" s="46"/>
      <c r="E35" s="46"/>
      <c r="F35" s="46"/>
      <c r="G35" s="46"/>
      <c r="H35" s="46"/>
      <c r="I35" s="46"/>
      <c r="J35" s="46"/>
      <c r="K35" s="46"/>
    </row>
    <row r="36" spans="1:11" ht="14.4" customHeight="1" x14ac:dyDescent="0.3">
      <c r="A36" s="42"/>
      <c r="B36" s="42"/>
      <c r="C36" s="42"/>
      <c r="D36" s="46"/>
      <c r="E36" s="46"/>
      <c r="F36" s="46"/>
      <c r="G36" s="46"/>
      <c r="H36" s="46"/>
      <c r="I36" s="46"/>
      <c r="J36" s="46"/>
      <c r="K36" s="46"/>
    </row>
    <row r="37" spans="1:11" ht="14.4" customHeight="1" x14ac:dyDescent="0.3">
      <c r="A37" s="43"/>
      <c r="B37" s="43"/>
      <c r="C37" s="43"/>
      <c r="D37" s="46"/>
      <c r="E37" s="46"/>
      <c r="F37" s="46"/>
      <c r="G37" s="46"/>
      <c r="H37" s="46"/>
      <c r="I37" s="46"/>
      <c r="J37" s="46"/>
      <c r="K37" s="46"/>
    </row>
    <row r="38" spans="1:11" ht="14.4" customHeight="1" x14ac:dyDescent="0.3">
      <c r="A38" s="42"/>
      <c r="B38" s="42"/>
      <c r="C38" s="42"/>
      <c r="D38" s="46"/>
      <c r="E38" s="46"/>
      <c r="F38" s="46"/>
      <c r="G38" s="46"/>
      <c r="H38" s="46"/>
      <c r="I38" s="46"/>
      <c r="J38" s="46"/>
      <c r="K38" s="46"/>
    </row>
    <row r="39" spans="1:11" ht="14.4" customHeight="1" x14ac:dyDescent="0.3">
      <c r="A39" s="43"/>
      <c r="B39" s="43"/>
      <c r="C39" s="43"/>
      <c r="D39" s="46"/>
      <c r="E39" s="46"/>
      <c r="F39" s="46"/>
      <c r="G39" s="46"/>
      <c r="H39" s="46"/>
      <c r="I39" s="46"/>
      <c r="J39" s="46"/>
      <c r="K39" s="46"/>
    </row>
    <row r="40" spans="1:11" ht="14.4" customHeight="1" x14ac:dyDescent="0.3">
      <c r="A40" s="42"/>
      <c r="B40" s="42"/>
      <c r="C40" s="42"/>
      <c r="D40" s="46"/>
      <c r="E40" s="46"/>
      <c r="F40" s="46"/>
      <c r="G40" s="46"/>
      <c r="H40" s="46"/>
      <c r="I40" s="46"/>
      <c r="J40" s="46"/>
      <c r="K40" s="46"/>
    </row>
    <row r="41" spans="1:11" ht="14.4" customHeight="1" x14ac:dyDescent="0.3">
      <c r="A41" s="43"/>
      <c r="B41" s="43"/>
      <c r="C41" s="43"/>
      <c r="D41" s="46"/>
      <c r="E41" s="46"/>
      <c r="F41" s="46"/>
      <c r="G41" s="46"/>
      <c r="H41" s="46"/>
      <c r="I41" s="46"/>
      <c r="J41" s="46"/>
      <c r="K41" s="46"/>
    </row>
    <row r="42" spans="1:11" ht="14.4" customHeight="1" x14ac:dyDescent="0.3">
      <c r="B42" s="44" t="s">
        <v>843</v>
      </c>
      <c r="C42">
        <f>SUM(C7:C41)</f>
        <v>0</v>
      </c>
      <c r="D42" s="46"/>
      <c r="E42" s="46"/>
      <c r="F42" s="46"/>
      <c r="G42" s="46"/>
      <c r="H42" s="46"/>
      <c r="I42" s="46"/>
      <c r="J42" s="46"/>
      <c r="K42" s="46"/>
    </row>
  </sheetData>
  <mergeCells count="8">
    <mergeCell ref="A5:K5"/>
    <mergeCell ref="B4:G4"/>
    <mergeCell ref="H4:I4"/>
    <mergeCell ref="A1:I1"/>
    <mergeCell ref="B2:G2"/>
    <mergeCell ref="H2:I2"/>
    <mergeCell ref="B3:G3"/>
    <mergeCell ref="H3:I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"/>
  <sheetViews>
    <sheetView topLeftCell="A28" zoomScale="85" zoomScaleNormal="85" workbookViewId="0">
      <selection activeCell="D16" sqref="D16"/>
    </sheetView>
  </sheetViews>
  <sheetFormatPr defaultRowHeight="15.6" x14ac:dyDescent="0.3"/>
  <cols>
    <col min="1" max="1" width="8.88671875" style="85"/>
    <col min="2" max="2" width="8.33203125" style="85" customWidth="1"/>
    <col min="3" max="3" width="8.44140625" style="85" customWidth="1"/>
    <col min="4" max="4" width="11.109375" style="85" customWidth="1"/>
    <col min="5" max="5" width="10.5546875" style="85" customWidth="1"/>
    <col min="6" max="6" width="11.6640625" style="85" customWidth="1"/>
    <col min="7" max="7" width="17.88671875" style="85" customWidth="1"/>
    <col min="8" max="8" width="8" style="85" customWidth="1"/>
    <col min="9" max="9" width="12.5546875" style="85" customWidth="1"/>
    <col min="10" max="15" width="8.88671875" style="85"/>
    <col min="16" max="16" width="9.6640625" style="85" bestFit="1" customWidth="1"/>
    <col min="17" max="17" width="8.88671875" style="85"/>
    <col min="18" max="18" width="17.33203125" style="85" customWidth="1"/>
    <col min="19" max="19" width="17.77734375" style="85" customWidth="1"/>
    <col min="20" max="16384" width="8.88671875" style="85"/>
  </cols>
  <sheetData>
    <row r="1" spans="1:14" x14ac:dyDescent="0.3">
      <c r="A1" s="393" t="s">
        <v>1188</v>
      </c>
      <c r="B1" s="393"/>
      <c r="C1" s="393"/>
      <c r="D1" s="393"/>
      <c r="E1" s="393"/>
      <c r="F1" s="393"/>
      <c r="G1" s="393"/>
      <c r="H1" s="393"/>
      <c r="I1" s="393"/>
    </row>
    <row r="2" spans="1:14" ht="31.2" x14ac:dyDescent="0.3">
      <c r="A2" s="79" t="s">
        <v>815</v>
      </c>
      <c r="B2" s="394" t="s">
        <v>7</v>
      </c>
      <c r="C2" s="394"/>
      <c r="D2" s="394"/>
      <c r="E2" s="394"/>
      <c r="F2" s="394"/>
      <c r="G2" s="79" t="s">
        <v>814</v>
      </c>
      <c r="H2" s="96" t="s">
        <v>10</v>
      </c>
      <c r="I2" s="79" t="s">
        <v>830</v>
      </c>
      <c r="L2" s="85" t="s">
        <v>1414</v>
      </c>
    </row>
    <row r="3" spans="1:14" ht="45.6" customHeight="1" x14ac:dyDescent="0.3">
      <c r="A3" s="79">
        <v>1</v>
      </c>
      <c r="B3" s="388" t="s">
        <v>424</v>
      </c>
      <c r="C3" s="388"/>
      <c r="D3" s="388"/>
      <c r="E3" s="388"/>
      <c r="F3" s="388"/>
      <c r="G3" s="96" t="s">
        <v>881</v>
      </c>
      <c r="H3" s="96" t="s">
        <v>15</v>
      </c>
      <c r="I3" s="258">
        <f t="shared" ref="I3:I7" si="0">SUM(SUMIF($C$11:$C$36, G3, $D$11:$D$36), SUMIF($H$11:$H$38, G3, $I$11:$I$38))</f>
        <v>143.34</v>
      </c>
      <c r="K3" s="85" t="s">
        <v>881</v>
      </c>
      <c r="L3" s="85">
        <v>145.20000000000002</v>
      </c>
      <c r="N3" s="261">
        <f>I3-L3</f>
        <v>-1.8600000000000136</v>
      </c>
    </row>
    <row r="4" spans="1:14" ht="45.6" customHeight="1" x14ac:dyDescent="0.3">
      <c r="A4" s="259">
        <v>2</v>
      </c>
      <c r="B4" s="384" t="s">
        <v>424</v>
      </c>
      <c r="C4" s="385"/>
      <c r="D4" s="385"/>
      <c r="E4" s="385"/>
      <c r="F4" s="386"/>
      <c r="G4" s="86" t="s">
        <v>1049</v>
      </c>
      <c r="H4" s="86" t="s">
        <v>15</v>
      </c>
      <c r="I4" s="258">
        <f t="shared" si="0"/>
        <v>47.600000000000009</v>
      </c>
      <c r="K4" s="85" t="s">
        <v>1049</v>
      </c>
      <c r="L4" s="85">
        <v>48.2</v>
      </c>
      <c r="N4" s="261">
        <f t="shared" ref="N4:N8" si="1">I4-L4</f>
        <v>-0.59999999999999432</v>
      </c>
    </row>
    <row r="5" spans="1:14" ht="45.6" customHeight="1" x14ac:dyDescent="0.3">
      <c r="A5" s="79">
        <v>3</v>
      </c>
      <c r="B5" s="388" t="s">
        <v>424</v>
      </c>
      <c r="C5" s="388"/>
      <c r="D5" s="388"/>
      <c r="E5" s="388"/>
      <c r="F5" s="388"/>
      <c r="G5" s="96" t="s">
        <v>882</v>
      </c>
      <c r="H5" s="96" t="s">
        <v>15</v>
      </c>
      <c r="I5" s="258">
        <f t="shared" si="0"/>
        <v>78.015000000000015</v>
      </c>
      <c r="K5" s="85" t="s">
        <v>882</v>
      </c>
      <c r="L5" s="85">
        <v>79.699999999999989</v>
      </c>
      <c r="N5" s="261">
        <f t="shared" si="1"/>
        <v>-1.6849999999999739</v>
      </c>
    </row>
    <row r="6" spans="1:14" ht="45.6" customHeight="1" x14ac:dyDescent="0.3">
      <c r="A6" s="259">
        <v>4</v>
      </c>
      <c r="B6" s="395" t="s">
        <v>424</v>
      </c>
      <c r="C6" s="395"/>
      <c r="D6" s="395"/>
      <c r="E6" s="395"/>
      <c r="F6" s="395"/>
      <c r="G6" s="86" t="s">
        <v>877</v>
      </c>
      <c r="H6" s="86" t="s">
        <v>15</v>
      </c>
      <c r="I6" s="258">
        <f t="shared" si="0"/>
        <v>78.84</v>
      </c>
      <c r="K6" s="85" t="s">
        <v>877</v>
      </c>
      <c r="L6" s="85">
        <v>85.799999999999983</v>
      </c>
      <c r="N6" s="261">
        <f t="shared" si="1"/>
        <v>-6.9599999999999795</v>
      </c>
    </row>
    <row r="7" spans="1:14" ht="45.6" customHeight="1" x14ac:dyDescent="0.3">
      <c r="A7" s="79">
        <v>5</v>
      </c>
      <c r="B7" s="389" t="s">
        <v>424</v>
      </c>
      <c r="C7" s="390"/>
      <c r="D7" s="390"/>
      <c r="E7" s="390"/>
      <c r="F7" s="391"/>
      <c r="G7" s="96" t="s">
        <v>879</v>
      </c>
      <c r="H7" s="96" t="s">
        <v>15</v>
      </c>
      <c r="I7" s="258">
        <f t="shared" si="0"/>
        <v>486.00800000000004</v>
      </c>
      <c r="K7" s="85" t="s">
        <v>879</v>
      </c>
      <c r="L7" s="85">
        <v>486.6</v>
      </c>
      <c r="N7" s="261">
        <f t="shared" si="1"/>
        <v>-0.59199999999998454</v>
      </c>
    </row>
    <row r="8" spans="1:14" ht="45.6" customHeight="1" x14ac:dyDescent="0.3">
      <c r="A8" s="259">
        <v>6</v>
      </c>
      <c r="B8" s="384" t="s">
        <v>424</v>
      </c>
      <c r="C8" s="385"/>
      <c r="D8" s="385"/>
      <c r="E8" s="385"/>
      <c r="F8" s="386"/>
      <c r="G8" s="260" t="s">
        <v>1045</v>
      </c>
      <c r="H8" s="260" t="s">
        <v>15</v>
      </c>
      <c r="I8" s="258">
        <f>SUM(SUMIF($C$11:$C$36, G8, $D$11:$D$36), SUMIF($H$11:$H$38, G8, $I$11:$I$38))</f>
        <v>7.8</v>
      </c>
      <c r="K8" s="85" t="s">
        <v>1045</v>
      </c>
      <c r="L8" s="85">
        <v>7.8</v>
      </c>
      <c r="N8" s="261">
        <f t="shared" si="1"/>
        <v>0</v>
      </c>
    </row>
    <row r="9" spans="1:14" x14ac:dyDescent="0.3">
      <c r="A9" s="392"/>
      <c r="B9" s="392"/>
      <c r="C9" s="392"/>
      <c r="D9" s="392"/>
      <c r="E9" s="392"/>
      <c r="F9" s="392"/>
      <c r="G9" s="392"/>
      <c r="H9" s="392"/>
      <c r="I9" s="392"/>
    </row>
    <row r="10" spans="1:14" x14ac:dyDescent="0.3">
      <c r="A10" s="246" t="s">
        <v>1054</v>
      </c>
      <c r="B10" s="247" t="s">
        <v>1053</v>
      </c>
      <c r="C10" s="248" t="s">
        <v>1055</v>
      </c>
      <c r="D10" s="249" t="s">
        <v>830</v>
      </c>
      <c r="E10" s="387"/>
      <c r="F10" s="79" t="s">
        <v>1054</v>
      </c>
      <c r="G10" s="79" t="s">
        <v>1053</v>
      </c>
      <c r="H10" s="80" t="s">
        <v>1055</v>
      </c>
      <c r="I10" s="79" t="s">
        <v>830</v>
      </c>
    </row>
    <row r="11" spans="1:14" x14ac:dyDescent="0.3">
      <c r="A11" s="250">
        <v>2</v>
      </c>
      <c r="B11" s="244" t="s">
        <v>953</v>
      </c>
      <c r="C11" s="251" t="s">
        <v>882</v>
      </c>
      <c r="D11" s="263">
        <f>L11*3</f>
        <v>13.799999999999999</v>
      </c>
      <c r="E11" s="387"/>
      <c r="F11" s="250">
        <v>3</v>
      </c>
      <c r="G11" s="244" t="s">
        <v>1033</v>
      </c>
      <c r="H11" s="251" t="s">
        <v>1049</v>
      </c>
      <c r="I11" s="263">
        <f>N11*2.9</f>
        <v>7.1050000000000004</v>
      </c>
      <c r="L11" s="263">
        <v>4.5999999999999996</v>
      </c>
      <c r="N11" s="263">
        <v>2.4500000000000002</v>
      </c>
    </row>
    <row r="12" spans="1:14" x14ac:dyDescent="0.3">
      <c r="A12" s="252">
        <v>2</v>
      </c>
      <c r="B12" s="253" t="s">
        <v>953</v>
      </c>
      <c r="C12" s="254" t="s">
        <v>879</v>
      </c>
      <c r="D12" s="263">
        <f>L12*3.8</f>
        <v>44.84</v>
      </c>
      <c r="E12" s="387"/>
      <c r="F12" s="252">
        <v>3</v>
      </c>
      <c r="G12" s="253" t="s">
        <v>1033</v>
      </c>
      <c r="H12" s="254" t="s">
        <v>879</v>
      </c>
      <c r="I12" s="263">
        <f>N12*3.5</f>
        <v>50.225000000000001</v>
      </c>
      <c r="L12" s="264">
        <v>11.8</v>
      </c>
      <c r="N12" s="264">
        <v>14.35</v>
      </c>
    </row>
    <row r="13" spans="1:14" x14ac:dyDescent="0.3">
      <c r="A13" s="250">
        <v>2</v>
      </c>
      <c r="B13" s="244" t="s">
        <v>954</v>
      </c>
      <c r="C13" s="251" t="s">
        <v>882</v>
      </c>
      <c r="D13" s="263">
        <f>L13*3</f>
        <v>10.5</v>
      </c>
      <c r="E13" s="387"/>
      <c r="F13" s="250">
        <v>3</v>
      </c>
      <c r="G13" s="244" t="s">
        <v>1025</v>
      </c>
      <c r="H13" s="251" t="s">
        <v>882</v>
      </c>
      <c r="I13" s="263">
        <f>N13*3</f>
        <v>8.1000000000000014</v>
      </c>
      <c r="L13" s="263">
        <v>3.5</v>
      </c>
      <c r="N13" s="263">
        <v>2.7</v>
      </c>
    </row>
    <row r="14" spans="1:14" x14ac:dyDescent="0.3">
      <c r="A14" s="252">
        <v>2</v>
      </c>
      <c r="B14" s="253" t="s">
        <v>954</v>
      </c>
      <c r="C14" s="254" t="s">
        <v>879</v>
      </c>
      <c r="D14" s="263">
        <f>L14*3.7</f>
        <v>32.005000000000003</v>
      </c>
      <c r="E14" s="387"/>
      <c r="F14" s="252">
        <v>3</v>
      </c>
      <c r="G14" s="253" t="s">
        <v>1025</v>
      </c>
      <c r="H14" s="254" t="s">
        <v>879</v>
      </c>
      <c r="I14" s="263">
        <f>N14*3.7</f>
        <v>50.911999999999999</v>
      </c>
      <c r="L14" s="264">
        <v>8.65</v>
      </c>
      <c r="N14" s="264">
        <v>13.76</v>
      </c>
    </row>
    <row r="15" spans="1:14" x14ac:dyDescent="0.3">
      <c r="A15" s="250">
        <v>2</v>
      </c>
      <c r="B15" s="244" t="s">
        <v>853</v>
      </c>
      <c r="C15" s="251" t="s">
        <v>881</v>
      </c>
      <c r="D15" s="263">
        <f>L15*1.8</f>
        <v>22.68</v>
      </c>
      <c r="E15" s="387"/>
      <c r="F15" s="250">
        <v>3</v>
      </c>
      <c r="G15" s="244" t="s">
        <v>1026</v>
      </c>
      <c r="H15" s="251" t="s">
        <v>882</v>
      </c>
      <c r="I15" s="263">
        <f>N15*3</f>
        <v>9.4499999999999993</v>
      </c>
      <c r="L15" s="263">
        <v>12.6</v>
      </c>
      <c r="N15" s="263">
        <v>3.15</v>
      </c>
    </row>
    <row r="16" spans="1:14" x14ac:dyDescent="0.3">
      <c r="A16" s="252">
        <v>2</v>
      </c>
      <c r="B16" s="253" t="s">
        <v>854</v>
      </c>
      <c r="C16" s="254" t="s">
        <v>882</v>
      </c>
      <c r="D16" s="263">
        <f>L16*2</f>
        <v>7.6</v>
      </c>
      <c r="E16" s="387"/>
      <c r="F16" s="252">
        <v>3</v>
      </c>
      <c r="G16" s="253" t="s">
        <v>1026</v>
      </c>
      <c r="H16" s="254" t="s">
        <v>879</v>
      </c>
      <c r="I16" s="263">
        <f>N16*3.7</f>
        <v>33.855000000000004</v>
      </c>
      <c r="L16" s="264">
        <v>3.8</v>
      </c>
      <c r="N16" s="264">
        <v>9.15</v>
      </c>
    </row>
    <row r="17" spans="1:14" x14ac:dyDescent="0.3">
      <c r="A17" s="250">
        <v>2</v>
      </c>
      <c r="B17" s="244" t="s">
        <v>854</v>
      </c>
      <c r="C17" s="251" t="s">
        <v>879</v>
      </c>
      <c r="D17" s="263">
        <f>L17*3.7</f>
        <v>32.93</v>
      </c>
      <c r="E17" s="387"/>
      <c r="F17" s="250">
        <v>3</v>
      </c>
      <c r="G17" s="244" t="s">
        <v>1012</v>
      </c>
      <c r="H17" s="251" t="s">
        <v>881</v>
      </c>
      <c r="I17" s="263">
        <f>N17*1.3</f>
        <v>26.975000000000001</v>
      </c>
      <c r="L17" s="263">
        <v>8.9</v>
      </c>
      <c r="N17" s="263">
        <v>20.75</v>
      </c>
    </row>
    <row r="18" spans="1:14" x14ac:dyDescent="0.3">
      <c r="A18" s="252">
        <v>2</v>
      </c>
      <c r="B18" s="253" t="s">
        <v>970</v>
      </c>
      <c r="C18" s="254" t="s">
        <v>877</v>
      </c>
      <c r="D18" s="263">
        <f>L18*3</f>
        <v>24.599999999999998</v>
      </c>
      <c r="E18" s="387"/>
      <c r="F18" s="252">
        <v>3</v>
      </c>
      <c r="G18" s="253" t="s">
        <v>1012</v>
      </c>
      <c r="H18" s="254" t="s">
        <v>1049</v>
      </c>
      <c r="I18" s="263">
        <f t="shared" ref="I18:I20" si="2">N18*2.9</f>
        <v>8.2650000000000006</v>
      </c>
      <c r="L18" s="264">
        <v>8.1999999999999993</v>
      </c>
      <c r="N18" s="264">
        <v>2.85</v>
      </c>
    </row>
    <row r="19" spans="1:14" x14ac:dyDescent="0.3">
      <c r="A19" s="250">
        <v>2</v>
      </c>
      <c r="B19" s="244" t="s">
        <v>956</v>
      </c>
      <c r="C19" s="251" t="s">
        <v>1049</v>
      </c>
      <c r="D19" s="263">
        <f>L19*2</f>
        <v>7</v>
      </c>
      <c r="E19" s="387"/>
      <c r="F19" s="250">
        <v>3</v>
      </c>
      <c r="G19" s="244" t="s">
        <v>1014</v>
      </c>
      <c r="H19" s="251" t="s">
        <v>877</v>
      </c>
      <c r="I19" s="263">
        <f>N19*3.2</f>
        <v>27.84</v>
      </c>
      <c r="L19" s="263">
        <v>3.5</v>
      </c>
      <c r="N19" s="263">
        <v>8.6999999999999993</v>
      </c>
    </row>
    <row r="20" spans="1:14" x14ac:dyDescent="0.3">
      <c r="A20" s="252">
        <v>2</v>
      </c>
      <c r="B20" s="253" t="s">
        <v>956</v>
      </c>
      <c r="C20" s="254" t="s">
        <v>879</v>
      </c>
      <c r="D20" s="263">
        <f>L20*3.7</f>
        <v>30.635999999999999</v>
      </c>
      <c r="E20" s="387"/>
      <c r="F20" s="252">
        <v>3</v>
      </c>
      <c r="G20" s="253" t="s">
        <v>1015</v>
      </c>
      <c r="H20" s="254" t="s">
        <v>881</v>
      </c>
      <c r="I20" s="263">
        <f t="shared" si="2"/>
        <v>20.734999999999999</v>
      </c>
      <c r="L20" s="264">
        <v>8.2799999999999994</v>
      </c>
      <c r="N20" s="264">
        <v>7.15</v>
      </c>
    </row>
    <row r="21" spans="1:14" x14ac:dyDescent="0.3">
      <c r="A21" s="250">
        <v>2</v>
      </c>
      <c r="B21" s="244" t="s">
        <v>955</v>
      </c>
      <c r="C21" s="251" t="s">
        <v>1049</v>
      </c>
      <c r="D21" s="263">
        <f t="shared" ref="D21:D28" si="3">L21*2.9</f>
        <v>16.965</v>
      </c>
      <c r="E21" s="387"/>
      <c r="F21" s="250">
        <v>3</v>
      </c>
      <c r="G21" s="244" t="s">
        <v>1015</v>
      </c>
      <c r="H21" s="251" t="s">
        <v>882</v>
      </c>
      <c r="I21" s="263">
        <f>N21*3</f>
        <v>7.0500000000000007</v>
      </c>
      <c r="L21" s="263">
        <v>5.85</v>
      </c>
      <c r="N21" s="263">
        <v>2.35</v>
      </c>
    </row>
    <row r="22" spans="1:14" x14ac:dyDescent="0.3">
      <c r="A22" s="252">
        <v>2</v>
      </c>
      <c r="B22" s="253" t="s">
        <v>955</v>
      </c>
      <c r="C22" s="254" t="s">
        <v>879</v>
      </c>
      <c r="D22" s="263">
        <f>L22*3.7</f>
        <v>59.754999999999995</v>
      </c>
      <c r="E22" s="387"/>
      <c r="F22" s="252">
        <v>3</v>
      </c>
      <c r="G22" s="253" t="s">
        <v>1013</v>
      </c>
      <c r="H22" s="254" t="s">
        <v>881</v>
      </c>
      <c r="I22" s="263">
        <f>N22*1.2</f>
        <v>26.82</v>
      </c>
      <c r="L22" s="264">
        <v>16.149999999999999</v>
      </c>
      <c r="N22" s="264">
        <v>22.35</v>
      </c>
    </row>
    <row r="23" spans="1:14" x14ac:dyDescent="0.3">
      <c r="A23" s="250">
        <v>2</v>
      </c>
      <c r="B23" s="244" t="s">
        <v>962</v>
      </c>
      <c r="C23" s="251" t="s">
        <v>1049</v>
      </c>
      <c r="D23" s="263">
        <f t="shared" si="3"/>
        <v>8.2650000000000006</v>
      </c>
      <c r="E23" s="387"/>
      <c r="F23" s="91">
        <v>3</v>
      </c>
      <c r="G23" s="91" t="s">
        <v>1013</v>
      </c>
      <c r="H23" s="92" t="s">
        <v>882</v>
      </c>
      <c r="I23" s="263">
        <f>N23*3</f>
        <v>8.5500000000000007</v>
      </c>
      <c r="L23" s="263">
        <v>2.85</v>
      </c>
      <c r="N23" s="266">
        <v>2.85</v>
      </c>
    </row>
    <row r="24" spans="1:14" x14ac:dyDescent="0.3">
      <c r="A24" s="252">
        <v>2</v>
      </c>
      <c r="B24" s="253" t="s">
        <v>962</v>
      </c>
      <c r="C24" s="254" t="s">
        <v>879</v>
      </c>
      <c r="D24" s="263">
        <f>L24*3.5</f>
        <v>72.625</v>
      </c>
      <c r="E24" s="387"/>
      <c r="F24" s="279">
        <v>3</v>
      </c>
      <c r="G24" s="280" t="s">
        <v>982</v>
      </c>
      <c r="H24" s="281" t="s">
        <v>1045</v>
      </c>
      <c r="I24" s="278">
        <v>2</v>
      </c>
      <c r="L24" s="264">
        <v>20.75</v>
      </c>
    </row>
    <row r="25" spans="1:14" x14ac:dyDescent="0.3">
      <c r="A25" s="250">
        <v>2</v>
      </c>
      <c r="B25" s="244" t="s">
        <v>1408</v>
      </c>
      <c r="C25" s="251" t="s">
        <v>877</v>
      </c>
      <c r="D25" s="263">
        <f>L25*3</f>
        <v>26.400000000000002</v>
      </c>
      <c r="E25" s="387"/>
      <c r="F25" s="91">
        <v>3</v>
      </c>
      <c r="G25" s="91" t="s">
        <v>1011</v>
      </c>
      <c r="H25" s="251" t="s">
        <v>1045</v>
      </c>
      <c r="I25" s="263">
        <v>1.9</v>
      </c>
      <c r="L25" s="263">
        <v>8.8000000000000007</v>
      </c>
    </row>
    <row r="26" spans="1:14" x14ac:dyDescent="0.3">
      <c r="A26" s="255">
        <v>2</v>
      </c>
      <c r="B26" s="256" t="s">
        <v>964</v>
      </c>
      <c r="C26" s="257" t="s">
        <v>881</v>
      </c>
      <c r="D26" s="263">
        <f>L26*2</f>
        <v>14.3</v>
      </c>
      <c r="E26" s="387"/>
      <c r="F26" s="79">
        <v>3</v>
      </c>
      <c r="G26" s="79" t="s">
        <v>1409</v>
      </c>
      <c r="H26" s="80" t="s">
        <v>881</v>
      </c>
      <c r="I26" s="267">
        <f>26.633*0.6</f>
        <v>15.979799999999999</v>
      </c>
      <c r="L26" s="265">
        <v>7.15</v>
      </c>
    </row>
    <row r="27" spans="1:14" x14ac:dyDescent="0.3">
      <c r="A27" s="250">
        <v>2</v>
      </c>
      <c r="B27" s="244" t="s">
        <v>964</v>
      </c>
      <c r="C27" s="251" t="s">
        <v>882</v>
      </c>
      <c r="D27" s="263">
        <f>L27*2</f>
        <v>4.7</v>
      </c>
      <c r="E27" s="387"/>
      <c r="F27" s="277"/>
      <c r="G27" s="277"/>
      <c r="H27" s="277"/>
      <c r="I27" s="277"/>
      <c r="L27" s="263">
        <v>2.35</v>
      </c>
    </row>
    <row r="28" spans="1:14" x14ac:dyDescent="0.3">
      <c r="A28" s="252">
        <v>2</v>
      </c>
      <c r="B28" s="253" t="s">
        <v>965</v>
      </c>
      <c r="C28" s="254" t="s">
        <v>882</v>
      </c>
      <c r="D28" s="263">
        <f t="shared" si="3"/>
        <v>8.2650000000000006</v>
      </c>
      <c r="E28" s="387"/>
      <c r="F28" s="277"/>
      <c r="G28" s="277"/>
      <c r="H28" s="277"/>
      <c r="I28" s="277"/>
      <c r="L28" s="264">
        <v>2.85</v>
      </c>
    </row>
    <row r="29" spans="1:14" x14ac:dyDescent="0.3">
      <c r="A29" s="250">
        <v>2</v>
      </c>
      <c r="B29" s="244" t="s">
        <v>965</v>
      </c>
      <c r="C29" s="251" t="s">
        <v>879</v>
      </c>
      <c r="D29" s="263">
        <f>L29*3.5</f>
        <v>78.225000000000009</v>
      </c>
      <c r="E29" s="387"/>
      <c r="F29" s="277"/>
      <c r="G29" s="277"/>
      <c r="H29" s="277"/>
      <c r="I29" s="277"/>
      <c r="L29" s="263">
        <v>22.35</v>
      </c>
    </row>
    <row r="30" spans="1:14" s="271" customFormat="1" x14ac:dyDescent="0.3">
      <c r="A30" s="279">
        <v>2</v>
      </c>
      <c r="B30" s="280" t="s">
        <v>849</v>
      </c>
      <c r="C30" s="281" t="s">
        <v>1045</v>
      </c>
      <c r="D30" s="278">
        <v>2</v>
      </c>
      <c r="E30" s="387"/>
      <c r="F30" s="277"/>
      <c r="G30" s="277"/>
      <c r="H30" s="277"/>
      <c r="I30" s="277"/>
      <c r="L30" s="276"/>
    </row>
    <row r="31" spans="1:14" s="271" customFormat="1" x14ac:dyDescent="0.3">
      <c r="A31" s="250">
        <v>2</v>
      </c>
      <c r="B31" s="244" t="s">
        <v>864</v>
      </c>
      <c r="C31" s="251" t="s">
        <v>1045</v>
      </c>
      <c r="D31" s="263">
        <v>1.9</v>
      </c>
      <c r="E31" s="387"/>
      <c r="F31" s="277"/>
      <c r="G31" s="277"/>
      <c r="H31" s="277"/>
      <c r="I31" s="277"/>
      <c r="L31" s="276"/>
    </row>
    <row r="32" spans="1:14" x14ac:dyDescent="0.3">
      <c r="A32" s="255">
        <v>2</v>
      </c>
      <c r="B32" s="256" t="s">
        <v>1409</v>
      </c>
      <c r="C32" s="257" t="s">
        <v>881</v>
      </c>
      <c r="D32" s="262">
        <f>26.417*0.6</f>
        <v>15.850200000000001</v>
      </c>
      <c r="E32" s="387"/>
      <c r="F32" s="277"/>
      <c r="G32" s="277"/>
      <c r="H32" s="277"/>
      <c r="I32" s="277"/>
    </row>
    <row r="33" spans="6:21" x14ac:dyDescent="0.3">
      <c r="F33" s="277"/>
      <c r="G33" s="277"/>
      <c r="H33" s="277"/>
      <c r="I33" s="277"/>
    </row>
    <row r="34" spans="6:21" x14ac:dyDescent="0.3">
      <c r="F34" s="277"/>
      <c r="G34" s="277"/>
      <c r="H34" s="277"/>
      <c r="I34" s="277"/>
      <c r="K34" s="85" t="s">
        <v>880</v>
      </c>
      <c r="L34" s="85">
        <v>11.64</v>
      </c>
      <c r="M34" s="85">
        <v>12.8</v>
      </c>
    </row>
    <row r="38" spans="6:21" x14ac:dyDescent="0.3">
      <c r="K38" s="85" t="s">
        <v>1235</v>
      </c>
      <c r="L38" s="85" t="s">
        <v>1407</v>
      </c>
      <c r="M38" s="85" t="s">
        <v>1407</v>
      </c>
    </row>
    <row r="39" spans="6:21" ht="31.2" x14ac:dyDescent="0.3">
      <c r="K39" s="85" t="s">
        <v>881</v>
      </c>
      <c r="L39" s="85">
        <v>201.83</v>
      </c>
      <c r="M39" s="85">
        <v>152.30000000000001</v>
      </c>
      <c r="O39" s="85">
        <f>SUM(L39:N39)</f>
        <v>354.13</v>
      </c>
      <c r="P39" s="245">
        <v>353.8</v>
      </c>
      <c r="Q39" s="242">
        <f>O39-P39</f>
        <v>0.32999999999998408</v>
      </c>
      <c r="R39" s="235" t="s">
        <v>531</v>
      </c>
      <c r="S39" s="89">
        <v>208.6</v>
      </c>
      <c r="U39" s="242">
        <f>P39-S39</f>
        <v>145.20000000000002</v>
      </c>
    </row>
    <row r="40" spans="6:21" ht="31.2" x14ac:dyDescent="0.3">
      <c r="K40" s="85" t="s">
        <v>1049</v>
      </c>
      <c r="L40" s="85">
        <v>38.68</v>
      </c>
      <c r="M40" s="85">
        <v>21</v>
      </c>
      <c r="O40" s="85">
        <f t="shared" ref="O40:O44" si="4">SUM(L40:N40)</f>
        <v>59.68</v>
      </c>
      <c r="P40" s="245">
        <v>59.7</v>
      </c>
      <c r="Q40" s="242">
        <f t="shared" ref="Q40:Q44" si="5">O40-P40</f>
        <v>-2.0000000000003126E-2</v>
      </c>
      <c r="R40" s="86" t="s">
        <v>539</v>
      </c>
      <c r="S40" s="87">
        <v>11.5</v>
      </c>
      <c r="U40" s="242">
        <f t="shared" ref="U40:U44" si="6">P40-S40</f>
        <v>48.2</v>
      </c>
    </row>
    <row r="41" spans="6:21" ht="31.2" x14ac:dyDescent="0.3">
      <c r="K41" s="85" t="s">
        <v>882</v>
      </c>
      <c r="L41" s="85">
        <v>69.02</v>
      </c>
      <c r="M41" s="85">
        <v>43.8</v>
      </c>
      <c r="O41" s="85">
        <f t="shared" si="4"/>
        <v>112.82</v>
      </c>
      <c r="P41" s="245">
        <v>107.8</v>
      </c>
      <c r="Q41" s="242">
        <f t="shared" si="5"/>
        <v>5.019999999999996</v>
      </c>
      <c r="R41" s="235" t="s">
        <v>546</v>
      </c>
      <c r="S41" s="89">
        <v>28.1</v>
      </c>
      <c r="U41" s="242">
        <f t="shared" si="6"/>
        <v>79.699999999999989</v>
      </c>
    </row>
    <row r="42" spans="6:21" ht="31.2" x14ac:dyDescent="0.3">
      <c r="K42" s="85" t="s">
        <v>877</v>
      </c>
      <c r="L42" s="85">
        <v>171.07</v>
      </c>
      <c r="M42" s="85">
        <v>125.1</v>
      </c>
      <c r="O42" s="85">
        <f t="shared" si="4"/>
        <v>296.16999999999996</v>
      </c>
      <c r="P42" s="245">
        <v>296.2</v>
      </c>
      <c r="Q42" s="242">
        <f t="shared" si="5"/>
        <v>-3.0000000000029559E-2</v>
      </c>
      <c r="R42" s="86" t="s">
        <v>553</v>
      </c>
      <c r="S42" s="87">
        <v>210.4</v>
      </c>
      <c r="U42" s="242">
        <f t="shared" si="6"/>
        <v>85.799999999999983</v>
      </c>
    </row>
    <row r="43" spans="6:21" ht="31.2" x14ac:dyDescent="0.3">
      <c r="K43" s="85" t="s">
        <v>879</v>
      </c>
      <c r="L43" s="85">
        <v>405.15</v>
      </c>
      <c r="M43" s="85">
        <v>351.3</v>
      </c>
      <c r="O43" s="85">
        <f t="shared" si="4"/>
        <v>756.45</v>
      </c>
      <c r="P43" s="245">
        <v>751.7</v>
      </c>
      <c r="Q43" s="242">
        <f t="shared" si="5"/>
        <v>4.75</v>
      </c>
      <c r="R43" s="235" t="s">
        <v>560</v>
      </c>
      <c r="S43" s="89">
        <v>265.10000000000002</v>
      </c>
      <c r="U43" s="242">
        <f t="shared" si="6"/>
        <v>486.6</v>
      </c>
    </row>
    <row r="44" spans="6:21" x14ac:dyDescent="0.3">
      <c r="K44" s="85" t="s">
        <v>1045</v>
      </c>
      <c r="L44" s="85">
        <v>3.94</v>
      </c>
      <c r="M44" s="85">
        <v>4</v>
      </c>
      <c r="O44" s="85">
        <f t="shared" si="4"/>
        <v>7.9399999999999995</v>
      </c>
      <c r="P44" s="245">
        <v>7.8</v>
      </c>
      <c r="Q44" s="242">
        <f t="shared" si="5"/>
        <v>0.13999999999999968</v>
      </c>
      <c r="U44" s="242">
        <f t="shared" si="6"/>
        <v>7.8</v>
      </c>
    </row>
    <row r="45" spans="6:21" x14ac:dyDescent="0.3">
      <c r="K45" s="85" t="s">
        <v>1411</v>
      </c>
      <c r="L45" s="85">
        <f>SUM(L39:L44)</f>
        <v>889.69</v>
      </c>
      <c r="M45" s="268">
        <f>SUM(M39:M44)</f>
        <v>697.5</v>
      </c>
    </row>
    <row r="46" spans="6:21" x14ac:dyDescent="0.3">
      <c r="K46" s="85" t="s">
        <v>1413</v>
      </c>
      <c r="L46" s="85">
        <f>SUM(L63:L73)</f>
        <v>369.49999999999994</v>
      </c>
    </row>
    <row r="47" spans="6:21" x14ac:dyDescent="0.3">
      <c r="K47" s="85" t="s">
        <v>1412</v>
      </c>
    </row>
    <row r="48" spans="6:21" s="268" customFormat="1" x14ac:dyDescent="0.3">
      <c r="F48" s="85"/>
      <c r="G48" s="85"/>
      <c r="H48" s="85"/>
      <c r="I48" s="85"/>
    </row>
    <row r="49" spans="6:17" x14ac:dyDescent="0.3">
      <c r="J49" s="82" t="s">
        <v>1053</v>
      </c>
      <c r="K49" s="83" t="s">
        <v>1055</v>
      </c>
      <c r="L49" s="84" t="s">
        <v>830</v>
      </c>
      <c r="M49" s="383"/>
      <c r="N49" s="253" t="s">
        <v>1054</v>
      </c>
      <c r="O49" s="253" t="s">
        <v>1053</v>
      </c>
      <c r="P49" s="254" t="s">
        <v>1055</v>
      </c>
      <c r="Q49" s="273" t="s">
        <v>830</v>
      </c>
    </row>
    <row r="50" spans="6:17" x14ac:dyDescent="0.3">
      <c r="F50" s="268"/>
      <c r="G50" s="268"/>
      <c r="H50" s="268"/>
      <c r="I50" s="268"/>
      <c r="J50" s="91" t="s">
        <v>945</v>
      </c>
      <c r="K50" s="92" t="s">
        <v>879</v>
      </c>
      <c r="L50" s="93"/>
      <c r="M50" s="383"/>
      <c r="N50" s="244">
        <v>3</v>
      </c>
      <c r="O50" s="244" t="s">
        <v>979</v>
      </c>
      <c r="P50" s="251" t="s">
        <v>879</v>
      </c>
      <c r="Q50" s="94"/>
    </row>
    <row r="51" spans="6:17" x14ac:dyDescent="0.3">
      <c r="J51" s="91" t="s">
        <v>947</v>
      </c>
      <c r="K51" s="92" t="s">
        <v>879</v>
      </c>
      <c r="L51" s="93"/>
      <c r="M51" s="383"/>
      <c r="N51" s="244">
        <v>3</v>
      </c>
      <c r="O51" s="244" t="s">
        <v>985</v>
      </c>
      <c r="P51" s="251" t="s">
        <v>879</v>
      </c>
      <c r="Q51" s="94"/>
    </row>
    <row r="52" spans="6:17" x14ac:dyDescent="0.3">
      <c r="J52" s="79" t="s">
        <v>949</v>
      </c>
      <c r="K52" s="80" t="s">
        <v>881</v>
      </c>
      <c r="L52" s="236"/>
      <c r="M52" s="383"/>
      <c r="N52" s="244">
        <v>3</v>
      </c>
      <c r="O52" s="244" t="s">
        <v>987</v>
      </c>
      <c r="P52" s="251" t="s">
        <v>881</v>
      </c>
      <c r="Q52" s="94"/>
    </row>
    <row r="53" spans="6:17" x14ac:dyDescent="0.3">
      <c r="J53" s="91" t="s">
        <v>950</v>
      </c>
      <c r="K53" s="92" t="s">
        <v>881</v>
      </c>
      <c r="L53" s="93"/>
      <c r="M53" s="383"/>
      <c r="N53" s="244">
        <v>3</v>
      </c>
      <c r="O53" s="244" t="s">
        <v>988</v>
      </c>
      <c r="P53" s="251" t="s">
        <v>881</v>
      </c>
      <c r="Q53" s="94"/>
    </row>
    <row r="54" spans="6:17" x14ac:dyDescent="0.3">
      <c r="J54" s="91" t="s">
        <v>958</v>
      </c>
      <c r="K54" s="92" t="s">
        <v>881</v>
      </c>
      <c r="L54" s="93"/>
      <c r="M54" s="383"/>
      <c r="N54" s="244">
        <v>3</v>
      </c>
      <c r="O54" s="244" t="s">
        <v>995</v>
      </c>
      <c r="P54" s="251" t="s">
        <v>881</v>
      </c>
      <c r="Q54" s="94"/>
    </row>
    <row r="55" spans="6:17" x14ac:dyDescent="0.3">
      <c r="J55" s="79" t="s">
        <v>947</v>
      </c>
      <c r="K55" s="80" t="s">
        <v>1049</v>
      </c>
      <c r="L55" s="236"/>
      <c r="M55" s="383"/>
      <c r="N55" s="244">
        <v>3</v>
      </c>
      <c r="O55" s="244" t="s">
        <v>985</v>
      </c>
      <c r="P55" s="251" t="s">
        <v>1049</v>
      </c>
      <c r="Q55" s="94"/>
    </row>
    <row r="56" spans="6:17" x14ac:dyDescent="0.3">
      <c r="J56" s="79" t="s">
        <v>945</v>
      </c>
      <c r="K56" s="80" t="s">
        <v>882</v>
      </c>
      <c r="L56" s="236"/>
      <c r="M56" s="383"/>
      <c r="N56" s="244">
        <v>3</v>
      </c>
      <c r="O56" s="244" t="s">
        <v>979</v>
      </c>
      <c r="P56" s="251" t="s">
        <v>882</v>
      </c>
      <c r="Q56" s="94"/>
    </row>
    <row r="57" spans="6:17" x14ac:dyDescent="0.3">
      <c r="J57" s="91" t="s">
        <v>949</v>
      </c>
      <c r="K57" s="92" t="s">
        <v>882</v>
      </c>
      <c r="L57" s="93"/>
      <c r="M57" s="383"/>
      <c r="N57" s="244">
        <v>3</v>
      </c>
      <c r="O57" s="244" t="s">
        <v>987</v>
      </c>
      <c r="P57" s="251" t="s">
        <v>882</v>
      </c>
      <c r="Q57" s="94"/>
    </row>
    <row r="58" spans="6:17" x14ac:dyDescent="0.3">
      <c r="J58" s="91" t="s">
        <v>946</v>
      </c>
      <c r="K58" s="92" t="s">
        <v>877</v>
      </c>
      <c r="L58" s="93"/>
      <c r="M58" s="383"/>
      <c r="N58" s="244">
        <v>3</v>
      </c>
      <c r="O58" s="244" t="s">
        <v>978</v>
      </c>
      <c r="P58" s="251" t="s">
        <v>877</v>
      </c>
      <c r="Q58" s="94"/>
    </row>
    <row r="59" spans="6:17" x14ac:dyDescent="0.3">
      <c r="J59" s="91" t="s">
        <v>968</v>
      </c>
      <c r="K59" s="92" t="s">
        <v>877</v>
      </c>
      <c r="L59" s="93"/>
      <c r="M59" s="383"/>
      <c r="N59" s="244">
        <v>3</v>
      </c>
      <c r="O59" s="244" t="s">
        <v>996</v>
      </c>
      <c r="P59" s="251" t="s">
        <v>877</v>
      </c>
      <c r="Q59" s="94"/>
    </row>
    <row r="60" spans="6:17" x14ac:dyDescent="0.3">
      <c r="J60" s="79" t="s">
        <v>959</v>
      </c>
      <c r="K60" s="80" t="s">
        <v>877</v>
      </c>
      <c r="L60" s="236"/>
      <c r="M60" s="383"/>
      <c r="N60" s="93">
        <v>3</v>
      </c>
      <c r="O60" s="93" t="s">
        <v>999</v>
      </c>
      <c r="P60" s="274" t="s">
        <v>877</v>
      </c>
      <c r="Q60" s="91"/>
    </row>
    <row r="62" spans="6:17" x14ac:dyDescent="0.3">
      <c r="J62" s="82" t="s">
        <v>1053</v>
      </c>
      <c r="K62" s="83" t="s">
        <v>1055</v>
      </c>
      <c r="L62" s="84" t="s">
        <v>830</v>
      </c>
      <c r="M62" s="383"/>
      <c r="N62" s="253" t="s">
        <v>1054</v>
      </c>
      <c r="O62" s="253" t="s">
        <v>1053</v>
      </c>
      <c r="P62" s="254" t="s">
        <v>1055</v>
      </c>
      <c r="Q62" s="273" t="s">
        <v>830</v>
      </c>
    </row>
    <row r="63" spans="6:17" x14ac:dyDescent="0.3">
      <c r="J63" s="91" t="s">
        <v>945</v>
      </c>
      <c r="K63" s="92" t="s">
        <v>879</v>
      </c>
      <c r="L63" s="93">
        <v>66.400000000000006</v>
      </c>
      <c r="M63" s="383"/>
      <c r="N63" s="244">
        <v>3</v>
      </c>
      <c r="O63" s="244" t="s">
        <v>979</v>
      </c>
      <c r="P63" s="251" t="s">
        <v>879</v>
      </c>
      <c r="Q63" s="94">
        <v>65.8</v>
      </c>
    </row>
    <row r="64" spans="6:17" x14ac:dyDescent="0.3">
      <c r="J64" s="91" t="s">
        <v>947</v>
      </c>
      <c r="K64" s="92" t="s">
        <v>879</v>
      </c>
      <c r="L64" s="93">
        <v>65.099999999999994</v>
      </c>
      <c r="M64" s="383"/>
      <c r="N64" s="244">
        <v>3</v>
      </c>
      <c r="O64" s="244" t="s">
        <v>985</v>
      </c>
      <c r="P64" s="251" t="s">
        <v>879</v>
      </c>
      <c r="Q64" s="94">
        <v>67.8</v>
      </c>
    </row>
    <row r="65" spans="10:17" x14ac:dyDescent="0.3">
      <c r="J65" s="79" t="s">
        <v>949</v>
      </c>
      <c r="K65" s="80" t="s">
        <v>881</v>
      </c>
      <c r="L65" s="236">
        <v>31.6</v>
      </c>
      <c r="M65" s="383"/>
      <c r="N65" s="244">
        <v>3</v>
      </c>
      <c r="O65" s="244" t="s">
        <v>987</v>
      </c>
      <c r="P65" s="251" t="s">
        <v>881</v>
      </c>
      <c r="Q65" s="94">
        <v>35.4</v>
      </c>
    </row>
    <row r="66" spans="10:17" x14ac:dyDescent="0.3">
      <c r="J66" s="91" t="s">
        <v>950</v>
      </c>
      <c r="K66" s="92" t="s">
        <v>881</v>
      </c>
      <c r="L66" s="93">
        <v>36.9</v>
      </c>
      <c r="M66" s="383"/>
      <c r="N66" s="244">
        <v>3</v>
      </c>
      <c r="O66" s="244" t="s">
        <v>988</v>
      </c>
      <c r="P66" s="251" t="s">
        <v>881</v>
      </c>
      <c r="Q66" s="94">
        <v>29.5</v>
      </c>
    </row>
    <row r="67" spans="10:17" x14ac:dyDescent="0.3">
      <c r="J67" s="91" t="s">
        <v>958</v>
      </c>
      <c r="K67" s="92" t="s">
        <v>881</v>
      </c>
      <c r="L67" s="93">
        <v>38.299999999999997</v>
      </c>
      <c r="M67" s="383"/>
      <c r="N67" s="244">
        <v>3</v>
      </c>
      <c r="O67" s="244" t="s">
        <v>995</v>
      </c>
      <c r="P67" s="251" t="s">
        <v>881</v>
      </c>
      <c r="Q67" s="94">
        <v>36.9</v>
      </c>
    </row>
    <row r="68" spans="10:17" x14ac:dyDescent="0.3">
      <c r="J68" s="79" t="s">
        <v>947</v>
      </c>
      <c r="K68" s="80" t="s">
        <v>1049</v>
      </c>
      <c r="L68" s="236">
        <v>5.7</v>
      </c>
      <c r="M68" s="383"/>
      <c r="N68" s="244">
        <v>3</v>
      </c>
      <c r="O68" s="244" t="s">
        <v>985</v>
      </c>
      <c r="P68" s="251" t="s">
        <v>1049</v>
      </c>
      <c r="Q68" s="94">
        <v>5.8</v>
      </c>
    </row>
    <row r="69" spans="10:17" x14ac:dyDescent="0.3">
      <c r="J69" s="79" t="s">
        <v>945</v>
      </c>
      <c r="K69" s="80" t="s">
        <v>882</v>
      </c>
      <c r="L69" s="236">
        <v>8.1999999999999993</v>
      </c>
      <c r="M69" s="383"/>
      <c r="N69" s="244">
        <v>3</v>
      </c>
      <c r="O69" s="244" t="s">
        <v>979</v>
      </c>
      <c r="P69" s="251" t="s">
        <v>882</v>
      </c>
      <c r="Q69" s="94">
        <v>8.1</v>
      </c>
    </row>
    <row r="70" spans="10:17" x14ac:dyDescent="0.3">
      <c r="J70" s="91" t="s">
        <v>949</v>
      </c>
      <c r="K70" s="92" t="s">
        <v>882</v>
      </c>
      <c r="L70" s="93">
        <v>5.9</v>
      </c>
      <c r="M70" s="383"/>
      <c r="N70" s="244">
        <v>3</v>
      </c>
      <c r="O70" s="244" t="s">
        <v>987</v>
      </c>
      <c r="P70" s="251" t="s">
        <v>882</v>
      </c>
      <c r="Q70" s="94">
        <v>5.9</v>
      </c>
    </row>
    <row r="71" spans="10:17" x14ac:dyDescent="0.3">
      <c r="J71" s="91" t="s">
        <v>946</v>
      </c>
      <c r="K71" s="92" t="s">
        <v>877</v>
      </c>
      <c r="L71" s="93">
        <v>33.299999999999997</v>
      </c>
      <c r="M71" s="383"/>
      <c r="N71" s="244">
        <v>3</v>
      </c>
      <c r="O71" s="244" t="s">
        <v>978</v>
      </c>
      <c r="P71" s="251" t="s">
        <v>877</v>
      </c>
      <c r="Q71" s="94">
        <v>33</v>
      </c>
    </row>
    <row r="72" spans="10:17" x14ac:dyDescent="0.3">
      <c r="J72" s="91" t="s">
        <v>968</v>
      </c>
      <c r="K72" s="92" t="s">
        <v>877</v>
      </c>
      <c r="L72" s="93">
        <v>33.9</v>
      </c>
      <c r="M72" s="383"/>
      <c r="N72" s="244">
        <v>3</v>
      </c>
      <c r="O72" s="244" t="s">
        <v>996</v>
      </c>
      <c r="P72" s="251" t="s">
        <v>877</v>
      </c>
      <c r="Q72" s="94">
        <v>36.5</v>
      </c>
    </row>
    <row r="73" spans="10:17" x14ac:dyDescent="0.3">
      <c r="J73" s="79" t="s">
        <v>959</v>
      </c>
      <c r="K73" s="80" t="s">
        <v>877</v>
      </c>
      <c r="L73" s="236">
        <v>44.2</v>
      </c>
      <c r="M73" s="383"/>
      <c r="N73" s="93">
        <v>3</v>
      </c>
      <c r="O73" s="93" t="s">
        <v>999</v>
      </c>
      <c r="P73" s="274" t="s">
        <v>877</v>
      </c>
      <c r="Q73" s="91">
        <v>29.5</v>
      </c>
    </row>
  </sheetData>
  <mergeCells count="12">
    <mergeCell ref="A1:I1"/>
    <mergeCell ref="B2:F2"/>
    <mergeCell ref="B3:F3"/>
    <mergeCell ref="B4:F4"/>
    <mergeCell ref="B6:F6"/>
    <mergeCell ref="M62:M73"/>
    <mergeCell ref="M49:M60"/>
    <mergeCell ref="B8:F8"/>
    <mergeCell ref="E10:E32"/>
    <mergeCell ref="B5:F5"/>
    <mergeCell ref="B7:F7"/>
    <mergeCell ref="A9:I9"/>
  </mergeCells>
  <pageMargins left="0.7" right="0.7" top="0.75" bottom="0.75" header="0.3" footer="0.3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zoomScale="85" zoomScaleNormal="85" workbookViewId="0">
      <selection activeCell="F27" sqref="F27:I32"/>
    </sheetView>
  </sheetViews>
  <sheetFormatPr defaultRowHeight="15.6" x14ac:dyDescent="0.3"/>
  <cols>
    <col min="1" max="1" width="8.88671875" style="271"/>
    <col min="2" max="2" width="8.33203125" style="271" customWidth="1"/>
    <col min="3" max="3" width="8.44140625" style="271" customWidth="1"/>
    <col min="4" max="4" width="11.109375" style="271" customWidth="1"/>
    <col min="5" max="5" width="10.5546875" style="271" customWidth="1"/>
    <col min="6" max="6" width="11.6640625" style="271" customWidth="1"/>
    <col min="7" max="7" width="17.88671875" style="271" customWidth="1"/>
    <col min="8" max="8" width="8" style="271" customWidth="1"/>
    <col min="9" max="9" width="12.5546875" style="271" customWidth="1"/>
    <col min="10" max="16384" width="8.88671875" style="271"/>
  </cols>
  <sheetData>
    <row r="1" spans="1:9" x14ac:dyDescent="0.3">
      <c r="A1" s="393" t="s">
        <v>1188</v>
      </c>
      <c r="B1" s="393"/>
      <c r="C1" s="393"/>
      <c r="D1" s="393"/>
      <c r="E1" s="393"/>
      <c r="F1" s="393"/>
      <c r="G1" s="393"/>
      <c r="H1" s="393"/>
      <c r="I1" s="393"/>
    </row>
    <row r="2" spans="1:9" ht="31.2" x14ac:dyDescent="0.3">
      <c r="A2" s="272" t="s">
        <v>815</v>
      </c>
      <c r="B2" s="394" t="s">
        <v>7</v>
      </c>
      <c r="C2" s="394"/>
      <c r="D2" s="394"/>
      <c r="E2" s="394"/>
      <c r="F2" s="394"/>
      <c r="G2" s="272" t="s">
        <v>814</v>
      </c>
      <c r="H2" s="270" t="s">
        <v>10</v>
      </c>
      <c r="I2" s="272" t="s">
        <v>830</v>
      </c>
    </row>
    <row r="3" spans="1:9" ht="45.6" customHeight="1" x14ac:dyDescent="0.3">
      <c r="A3" s="272">
        <v>1</v>
      </c>
      <c r="B3" s="388" t="s">
        <v>424</v>
      </c>
      <c r="C3" s="388"/>
      <c r="D3" s="388"/>
      <c r="E3" s="388"/>
      <c r="F3" s="388"/>
      <c r="G3" s="270" t="s">
        <v>881</v>
      </c>
      <c r="H3" s="270" t="s">
        <v>15</v>
      </c>
      <c r="I3" s="258">
        <f t="shared" ref="I3:I8" si="0">SUM(SUMIF($C$11:$C$32, G3, $D$11:$D$32), SUMIF($H$11:$H$32, G3, $I$11:$I$32))</f>
        <v>143.34</v>
      </c>
    </row>
    <row r="4" spans="1:9" ht="45.6" customHeight="1" x14ac:dyDescent="0.3">
      <c r="A4" s="259">
        <v>2</v>
      </c>
      <c r="B4" s="384" t="s">
        <v>424</v>
      </c>
      <c r="C4" s="385"/>
      <c r="D4" s="385"/>
      <c r="E4" s="385"/>
      <c r="F4" s="386"/>
      <c r="G4" s="86" t="s">
        <v>1049</v>
      </c>
      <c r="H4" s="86" t="s">
        <v>15</v>
      </c>
      <c r="I4" s="258">
        <f t="shared" si="0"/>
        <v>47.600000000000009</v>
      </c>
    </row>
    <row r="5" spans="1:9" ht="45.6" customHeight="1" x14ac:dyDescent="0.3">
      <c r="A5" s="272">
        <v>3</v>
      </c>
      <c r="B5" s="388" t="s">
        <v>424</v>
      </c>
      <c r="C5" s="388"/>
      <c r="D5" s="388"/>
      <c r="E5" s="388"/>
      <c r="F5" s="388"/>
      <c r="G5" s="270" t="s">
        <v>882</v>
      </c>
      <c r="H5" s="270" t="s">
        <v>15</v>
      </c>
      <c r="I5" s="258">
        <f t="shared" si="0"/>
        <v>78.015000000000015</v>
      </c>
    </row>
    <row r="6" spans="1:9" ht="45.6" customHeight="1" x14ac:dyDescent="0.3">
      <c r="A6" s="259">
        <v>4</v>
      </c>
      <c r="B6" s="395" t="s">
        <v>424</v>
      </c>
      <c r="C6" s="395"/>
      <c r="D6" s="395"/>
      <c r="E6" s="395"/>
      <c r="F6" s="395"/>
      <c r="G6" s="86" t="s">
        <v>877</v>
      </c>
      <c r="H6" s="86" t="s">
        <v>15</v>
      </c>
      <c r="I6" s="258">
        <f t="shared" si="0"/>
        <v>78.84</v>
      </c>
    </row>
    <row r="7" spans="1:9" ht="45.6" customHeight="1" x14ac:dyDescent="0.3">
      <c r="A7" s="272">
        <v>5</v>
      </c>
      <c r="B7" s="389" t="s">
        <v>424</v>
      </c>
      <c r="C7" s="390"/>
      <c r="D7" s="390"/>
      <c r="E7" s="390"/>
      <c r="F7" s="391"/>
      <c r="G7" s="270" t="s">
        <v>879</v>
      </c>
      <c r="H7" s="270" t="s">
        <v>15</v>
      </c>
      <c r="I7" s="258">
        <f t="shared" si="0"/>
        <v>486.00800000000004</v>
      </c>
    </row>
    <row r="8" spans="1:9" ht="45.6" customHeight="1" x14ac:dyDescent="0.3">
      <c r="A8" s="259">
        <v>6</v>
      </c>
      <c r="B8" s="384" t="s">
        <v>424</v>
      </c>
      <c r="C8" s="385"/>
      <c r="D8" s="385"/>
      <c r="E8" s="385"/>
      <c r="F8" s="386"/>
      <c r="G8" s="260" t="s">
        <v>1045</v>
      </c>
      <c r="H8" s="260" t="s">
        <v>15</v>
      </c>
      <c r="I8" s="258">
        <f t="shared" si="0"/>
        <v>7.8</v>
      </c>
    </row>
    <row r="9" spans="1:9" x14ac:dyDescent="0.3">
      <c r="A9" s="392"/>
      <c r="B9" s="392"/>
      <c r="C9" s="392"/>
      <c r="D9" s="392"/>
      <c r="E9" s="392"/>
      <c r="F9" s="392"/>
      <c r="G9" s="392"/>
      <c r="H9" s="392"/>
      <c r="I9" s="392"/>
    </row>
    <row r="10" spans="1:9" x14ac:dyDescent="0.3">
      <c r="A10" s="246" t="s">
        <v>1054</v>
      </c>
      <c r="B10" s="247" t="s">
        <v>1053</v>
      </c>
      <c r="C10" s="248" t="s">
        <v>1055</v>
      </c>
      <c r="D10" s="249" t="s">
        <v>830</v>
      </c>
      <c r="E10" s="387"/>
      <c r="F10" s="272" t="s">
        <v>1054</v>
      </c>
      <c r="G10" s="272" t="s">
        <v>1053</v>
      </c>
      <c r="H10" s="80" t="s">
        <v>1055</v>
      </c>
      <c r="I10" s="272" t="s">
        <v>830</v>
      </c>
    </row>
    <row r="11" spans="1:9" x14ac:dyDescent="0.3">
      <c r="A11" s="250">
        <v>2</v>
      </c>
      <c r="B11" s="244" t="s">
        <v>953</v>
      </c>
      <c r="C11" s="251" t="s">
        <v>882</v>
      </c>
      <c r="D11" s="263">
        <v>13.799999999999999</v>
      </c>
      <c r="E11" s="387"/>
      <c r="F11" s="250">
        <v>3</v>
      </c>
      <c r="G11" s="244" t="s">
        <v>1033</v>
      </c>
      <c r="H11" s="251" t="s">
        <v>1049</v>
      </c>
      <c r="I11" s="263">
        <v>7.1050000000000004</v>
      </c>
    </row>
    <row r="12" spans="1:9" x14ac:dyDescent="0.3">
      <c r="A12" s="252">
        <v>2</v>
      </c>
      <c r="B12" s="253" t="s">
        <v>953</v>
      </c>
      <c r="C12" s="254" t="s">
        <v>879</v>
      </c>
      <c r="D12" s="278">
        <v>44.84</v>
      </c>
      <c r="E12" s="387"/>
      <c r="F12" s="252">
        <v>3</v>
      </c>
      <c r="G12" s="253" t="s">
        <v>1033</v>
      </c>
      <c r="H12" s="254" t="s">
        <v>879</v>
      </c>
      <c r="I12" s="278">
        <v>50.225000000000001</v>
      </c>
    </row>
    <row r="13" spans="1:9" x14ac:dyDescent="0.3">
      <c r="A13" s="250">
        <v>2</v>
      </c>
      <c r="B13" s="244" t="s">
        <v>954</v>
      </c>
      <c r="C13" s="251" t="s">
        <v>882</v>
      </c>
      <c r="D13" s="263">
        <v>10.5</v>
      </c>
      <c r="E13" s="387"/>
      <c r="F13" s="250">
        <v>3</v>
      </c>
      <c r="G13" s="244" t="s">
        <v>1025</v>
      </c>
      <c r="H13" s="251" t="s">
        <v>882</v>
      </c>
      <c r="I13" s="263">
        <v>8.1000000000000014</v>
      </c>
    </row>
    <row r="14" spans="1:9" x14ac:dyDescent="0.3">
      <c r="A14" s="252">
        <v>2</v>
      </c>
      <c r="B14" s="253" t="s">
        <v>954</v>
      </c>
      <c r="C14" s="254" t="s">
        <v>879</v>
      </c>
      <c r="D14" s="278">
        <v>32.005000000000003</v>
      </c>
      <c r="E14" s="387"/>
      <c r="F14" s="252">
        <v>3</v>
      </c>
      <c r="G14" s="253" t="s">
        <v>1025</v>
      </c>
      <c r="H14" s="254" t="s">
        <v>879</v>
      </c>
      <c r="I14" s="278">
        <v>50.911999999999999</v>
      </c>
    </row>
    <row r="15" spans="1:9" x14ac:dyDescent="0.3">
      <c r="A15" s="250">
        <v>2</v>
      </c>
      <c r="B15" s="244" t="s">
        <v>853</v>
      </c>
      <c r="C15" s="251" t="s">
        <v>881</v>
      </c>
      <c r="D15" s="263">
        <v>22.68</v>
      </c>
      <c r="E15" s="387"/>
      <c r="F15" s="250">
        <v>3</v>
      </c>
      <c r="G15" s="244" t="s">
        <v>1026</v>
      </c>
      <c r="H15" s="251" t="s">
        <v>882</v>
      </c>
      <c r="I15" s="263">
        <v>9.4499999999999993</v>
      </c>
    </row>
    <row r="16" spans="1:9" x14ac:dyDescent="0.3">
      <c r="A16" s="252">
        <v>2</v>
      </c>
      <c r="B16" s="253" t="s">
        <v>854</v>
      </c>
      <c r="C16" s="254" t="s">
        <v>882</v>
      </c>
      <c r="D16" s="278">
        <v>7.6</v>
      </c>
      <c r="E16" s="387"/>
      <c r="F16" s="252">
        <v>3</v>
      </c>
      <c r="G16" s="253" t="s">
        <v>1026</v>
      </c>
      <c r="H16" s="254" t="s">
        <v>879</v>
      </c>
      <c r="I16" s="278">
        <v>33.855000000000004</v>
      </c>
    </row>
    <row r="17" spans="1:9" x14ac:dyDescent="0.3">
      <c r="A17" s="250">
        <v>2</v>
      </c>
      <c r="B17" s="244" t="s">
        <v>854</v>
      </c>
      <c r="C17" s="251" t="s">
        <v>879</v>
      </c>
      <c r="D17" s="263">
        <v>32.93</v>
      </c>
      <c r="E17" s="387"/>
      <c r="F17" s="250">
        <v>3</v>
      </c>
      <c r="G17" s="244" t="s">
        <v>1012</v>
      </c>
      <c r="H17" s="251" t="s">
        <v>881</v>
      </c>
      <c r="I17" s="263">
        <v>26.975000000000001</v>
      </c>
    </row>
    <row r="18" spans="1:9" x14ac:dyDescent="0.3">
      <c r="A18" s="252">
        <v>2</v>
      </c>
      <c r="B18" s="253" t="s">
        <v>970</v>
      </c>
      <c r="C18" s="254" t="s">
        <v>877</v>
      </c>
      <c r="D18" s="278">
        <v>24.599999999999998</v>
      </c>
      <c r="E18" s="387"/>
      <c r="F18" s="252">
        <v>3</v>
      </c>
      <c r="G18" s="253" t="s">
        <v>1012</v>
      </c>
      <c r="H18" s="254" t="s">
        <v>1049</v>
      </c>
      <c r="I18" s="278">
        <v>8.2650000000000006</v>
      </c>
    </row>
    <row r="19" spans="1:9" x14ac:dyDescent="0.3">
      <c r="A19" s="250">
        <v>2</v>
      </c>
      <c r="B19" s="244" t="s">
        <v>956</v>
      </c>
      <c r="C19" s="251" t="s">
        <v>1049</v>
      </c>
      <c r="D19" s="263">
        <v>7</v>
      </c>
      <c r="E19" s="387"/>
      <c r="F19" s="250">
        <v>3</v>
      </c>
      <c r="G19" s="244" t="s">
        <v>1014</v>
      </c>
      <c r="H19" s="251" t="s">
        <v>877</v>
      </c>
      <c r="I19" s="263">
        <v>27.84</v>
      </c>
    </row>
    <row r="20" spans="1:9" x14ac:dyDescent="0.3">
      <c r="A20" s="252">
        <v>2</v>
      </c>
      <c r="B20" s="253" t="s">
        <v>956</v>
      </c>
      <c r="C20" s="254" t="s">
        <v>879</v>
      </c>
      <c r="D20" s="278">
        <v>30.635999999999999</v>
      </c>
      <c r="E20" s="387"/>
      <c r="F20" s="252">
        <v>3</v>
      </c>
      <c r="G20" s="253" t="s">
        <v>1015</v>
      </c>
      <c r="H20" s="254" t="s">
        <v>881</v>
      </c>
      <c r="I20" s="278">
        <v>20.734999999999999</v>
      </c>
    </row>
    <row r="21" spans="1:9" x14ac:dyDescent="0.3">
      <c r="A21" s="250">
        <v>2</v>
      </c>
      <c r="B21" s="244" t="s">
        <v>955</v>
      </c>
      <c r="C21" s="251" t="s">
        <v>1049</v>
      </c>
      <c r="D21" s="263">
        <v>16.965</v>
      </c>
      <c r="E21" s="387"/>
      <c r="F21" s="250">
        <v>3</v>
      </c>
      <c r="G21" s="244" t="s">
        <v>1015</v>
      </c>
      <c r="H21" s="251" t="s">
        <v>882</v>
      </c>
      <c r="I21" s="263">
        <v>7.0500000000000007</v>
      </c>
    </row>
    <row r="22" spans="1:9" x14ac:dyDescent="0.3">
      <c r="A22" s="252">
        <v>2</v>
      </c>
      <c r="B22" s="253" t="s">
        <v>955</v>
      </c>
      <c r="C22" s="254" t="s">
        <v>879</v>
      </c>
      <c r="D22" s="278">
        <v>59.754999999999995</v>
      </c>
      <c r="E22" s="387"/>
      <c r="F22" s="252">
        <v>3</v>
      </c>
      <c r="G22" s="253" t="s">
        <v>1013</v>
      </c>
      <c r="H22" s="254" t="s">
        <v>881</v>
      </c>
      <c r="I22" s="278">
        <v>26.82</v>
      </c>
    </row>
    <row r="23" spans="1:9" x14ac:dyDescent="0.3">
      <c r="A23" s="250">
        <v>2</v>
      </c>
      <c r="B23" s="244" t="s">
        <v>962</v>
      </c>
      <c r="C23" s="251" t="s">
        <v>1049</v>
      </c>
      <c r="D23" s="263">
        <v>8.2650000000000006</v>
      </c>
      <c r="E23" s="387"/>
      <c r="F23" s="91">
        <v>3</v>
      </c>
      <c r="G23" s="91" t="s">
        <v>1013</v>
      </c>
      <c r="H23" s="92" t="s">
        <v>882</v>
      </c>
      <c r="I23" s="263">
        <v>8.5500000000000007</v>
      </c>
    </row>
    <row r="24" spans="1:9" x14ac:dyDescent="0.3">
      <c r="A24" s="252">
        <v>2</v>
      </c>
      <c r="B24" s="253" t="s">
        <v>962</v>
      </c>
      <c r="C24" s="254" t="s">
        <v>879</v>
      </c>
      <c r="D24" s="278">
        <v>72.625</v>
      </c>
      <c r="E24" s="387"/>
      <c r="F24" s="279">
        <v>3</v>
      </c>
      <c r="G24" s="280" t="s">
        <v>982</v>
      </c>
      <c r="H24" s="281" t="s">
        <v>1045</v>
      </c>
      <c r="I24" s="278">
        <v>2</v>
      </c>
    </row>
    <row r="25" spans="1:9" x14ac:dyDescent="0.3">
      <c r="A25" s="250">
        <v>2</v>
      </c>
      <c r="B25" s="244" t="s">
        <v>1408</v>
      </c>
      <c r="C25" s="251" t="s">
        <v>877</v>
      </c>
      <c r="D25" s="263">
        <v>26.400000000000002</v>
      </c>
      <c r="E25" s="387"/>
      <c r="F25" s="91">
        <v>3</v>
      </c>
      <c r="G25" s="91" t="s">
        <v>1011</v>
      </c>
      <c r="H25" s="251" t="s">
        <v>1045</v>
      </c>
      <c r="I25" s="263">
        <v>1.9</v>
      </c>
    </row>
    <row r="26" spans="1:9" x14ac:dyDescent="0.3">
      <c r="A26" s="255">
        <v>2</v>
      </c>
      <c r="B26" s="256" t="s">
        <v>964</v>
      </c>
      <c r="C26" s="257" t="s">
        <v>881</v>
      </c>
      <c r="D26" s="278">
        <v>14.3</v>
      </c>
      <c r="E26" s="387"/>
      <c r="F26" s="272">
        <v>3</v>
      </c>
      <c r="G26" s="272" t="s">
        <v>1409</v>
      </c>
      <c r="H26" s="80" t="s">
        <v>881</v>
      </c>
      <c r="I26" s="278">
        <v>15.979799999999999</v>
      </c>
    </row>
    <row r="27" spans="1:9" x14ac:dyDescent="0.3">
      <c r="A27" s="250">
        <v>2</v>
      </c>
      <c r="B27" s="244" t="s">
        <v>964</v>
      </c>
      <c r="C27" s="251" t="s">
        <v>882</v>
      </c>
      <c r="D27" s="263">
        <v>4.7</v>
      </c>
      <c r="E27" s="387"/>
      <c r="F27" s="396"/>
      <c r="G27" s="396"/>
      <c r="H27" s="396"/>
      <c r="I27" s="396"/>
    </row>
    <row r="28" spans="1:9" x14ac:dyDescent="0.3">
      <c r="A28" s="252">
        <v>2</v>
      </c>
      <c r="B28" s="253" t="s">
        <v>965</v>
      </c>
      <c r="C28" s="254" t="s">
        <v>882</v>
      </c>
      <c r="D28" s="278">
        <v>8.2650000000000006</v>
      </c>
      <c r="E28" s="387"/>
      <c r="F28" s="396"/>
      <c r="G28" s="396"/>
      <c r="H28" s="396"/>
      <c r="I28" s="396"/>
    </row>
    <row r="29" spans="1:9" x14ac:dyDescent="0.3">
      <c r="A29" s="250">
        <v>2</v>
      </c>
      <c r="B29" s="244" t="s">
        <v>965</v>
      </c>
      <c r="C29" s="251" t="s">
        <v>879</v>
      </c>
      <c r="D29" s="263">
        <v>78.225000000000009</v>
      </c>
      <c r="E29" s="387"/>
      <c r="F29" s="396"/>
      <c r="G29" s="396"/>
      <c r="H29" s="396"/>
      <c r="I29" s="396"/>
    </row>
    <row r="30" spans="1:9" x14ac:dyDescent="0.3">
      <c r="A30" s="279">
        <v>2</v>
      </c>
      <c r="B30" s="280" t="s">
        <v>849</v>
      </c>
      <c r="C30" s="281" t="s">
        <v>1045</v>
      </c>
      <c r="D30" s="278">
        <v>2</v>
      </c>
      <c r="E30" s="387"/>
      <c r="F30" s="396"/>
      <c r="G30" s="396"/>
      <c r="H30" s="396"/>
      <c r="I30" s="396"/>
    </row>
    <row r="31" spans="1:9" x14ac:dyDescent="0.3">
      <c r="A31" s="250">
        <v>2</v>
      </c>
      <c r="B31" s="244" t="s">
        <v>864</v>
      </c>
      <c r="C31" s="251" t="s">
        <v>1045</v>
      </c>
      <c r="D31" s="263">
        <v>1.9</v>
      </c>
      <c r="E31" s="387"/>
      <c r="F31" s="396"/>
      <c r="G31" s="396"/>
      <c r="H31" s="396"/>
      <c r="I31" s="396"/>
    </row>
    <row r="32" spans="1:9" x14ac:dyDescent="0.3">
      <c r="A32" s="255">
        <v>2</v>
      </c>
      <c r="B32" s="256" t="s">
        <v>1409</v>
      </c>
      <c r="C32" s="257" t="s">
        <v>881</v>
      </c>
      <c r="D32" s="262">
        <v>15.850200000000001</v>
      </c>
      <c r="E32" s="387"/>
      <c r="F32" s="396"/>
      <c r="G32" s="396"/>
      <c r="H32" s="396"/>
      <c r="I32" s="396"/>
    </row>
  </sheetData>
  <mergeCells count="11">
    <mergeCell ref="B7:F7"/>
    <mergeCell ref="B8:F8"/>
    <mergeCell ref="A9:I9"/>
    <mergeCell ref="E10:E32"/>
    <mergeCell ref="F27:I32"/>
    <mergeCell ref="B6:F6"/>
    <mergeCell ref="A1:I1"/>
    <mergeCell ref="B2:F2"/>
    <mergeCell ref="B3:F3"/>
    <mergeCell ref="B4:F4"/>
    <mergeCell ref="B5:F5"/>
  </mergeCells>
  <pageMargins left="0.7" right="0.7" top="0.75" bottom="0.75" header="0.3" footer="0.3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zoomScale="55" zoomScaleNormal="55" workbookViewId="0">
      <selection activeCell="J7" sqref="J3:J7"/>
    </sheetView>
  </sheetViews>
  <sheetFormatPr defaultRowHeight="15.6" x14ac:dyDescent="0.3"/>
  <cols>
    <col min="1" max="1" width="8.88671875" style="85"/>
    <col min="2" max="2" width="8.33203125" style="85" customWidth="1"/>
    <col min="3" max="3" width="8.44140625" style="85" customWidth="1"/>
    <col min="4" max="4" width="11.109375" style="85" customWidth="1"/>
    <col min="5" max="5" width="11" style="85" customWidth="1"/>
    <col min="6" max="6" width="11.6640625" style="85" customWidth="1"/>
    <col min="7" max="7" width="15.21875" style="85" customWidth="1"/>
    <col min="8" max="8" width="8" style="85" customWidth="1"/>
    <col min="9" max="9" width="12.5546875" style="85" customWidth="1"/>
    <col min="10" max="16384" width="8.88671875" style="85"/>
  </cols>
  <sheetData>
    <row r="1" spans="1:9" x14ac:dyDescent="0.3">
      <c r="A1" s="397" t="s">
        <v>1188</v>
      </c>
      <c r="B1" s="397"/>
      <c r="C1" s="397"/>
      <c r="D1" s="397"/>
      <c r="E1" s="397"/>
      <c r="F1" s="397"/>
      <c r="G1" s="397"/>
      <c r="H1" s="397"/>
      <c r="I1" s="397"/>
    </row>
    <row r="2" spans="1:9" ht="31.2" x14ac:dyDescent="0.3">
      <c r="A2" s="79" t="s">
        <v>815</v>
      </c>
      <c r="B2" s="394" t="s">
        <v>7</v>
      </c>
      <c r="C2" s="394"/>
      <c r="D2" s="394"/>
      <c r="E2" s="394"/>
      <c r="F2" s="394"/>
      <c r="G2" s="79" t="s">
        <v>814</v>
      </c>
      <c r="H2" s="88" t="s">
        <v>10</v>
      </c>
      <c r="I2" s="79" t="s">
        <v>830</v>
      </c>
    </row>
    <row r="3" spans="1:9" ht="31.2" x14ac:dyDescent="0.3">
      <c r="A3" s="79">
        <v>1</v>
      </c>
      <c r="B3" s="394" t="s">
        <v>424</v>
      </c>
      <c r="C3" s="394"/>
      <c r="D3" s="394"/>
      <c r="E3" s="394"/>
      <c r="F3" s="394"/>
      <c r="G3" s="88" t="s">
        <v>531</v>
      </c>
      <c r="H3" s="88" t="s">
        <v>15</v>
      </c>
      <c r="I3" s="89">
        <v>208.6</v>
      </c>
    </row>
    <row r="4" spans="1:9" ht="31.2" x14ac:dyDescent="0.3">
      <c r="A4" s="79">
        <v>2</v>
      </c>
      <c r="B4" s="394" t="s">
        <v>424</v>
      </c>
      <c r="C4" s="394"/>
      <c r="D4" s="394"/>
      <c r="E4" s="394"/>
      <c r="F4" s="394"/>
      <c r="G4" s="86" t="s">
        <v>539</v>
      </c>
      <c r="H4" s="86" t="s">
        <v>15</v>
      </c>
      <c r="I4" s="87">
        <v>11.5</v>
      </c>
    </row>
    <row r="5" spans="1:9" ht="31.2" x14ac:dyDescent="0.3">
      <c r="A5" s="79">
        <v>3</v>
      </c>
      <c r="B5" s="394" t="s">
        <v>424</v>
      </c>
      <c r="C5" s="394"/>
      <c r="D5" s="394"/>
      <c r="E5" s="394"/>
      <c r="F5" s="394"/>
      <c r="G5" s="88" t="s">
        <v>546</v>
      </c>
      <c r="H5" s="88" t="s">
        <v>15</v>
      </c>
      <c r="I5" s="89">
        <v>28.1</v>
      </c>
    </row>
    <row r="6" spans="1:9" ht="31.2" x14ac:dyDescent="0.3">
      <c r="A6" s="79">
        <v>4</v>
      </c>
      <c r="B6" s="394" t="s">
        <v>424</v>
      </c>
      <c r="C6" s="394"/>
      <c r="D6" s="394"/>
      <c r="E6" s="394"/>
      <c r="F6" s="394"/>
      <c r="G6" s="86" t="s">
        <v>553</v>
      </c>
      <c r="H6" s="86" t="s">
        <v>15</v>
      </c>
      <c r="I6" s="87">
        <v>210.4</v>
      </c>
    </row>
    <row r="7" spans="1:9" ht="31.2" x14ac:dyDescent="0.3">
      <c r="A7" s="79">
        <v>5</v>
      </c>
      <c r="B7" s="394" t="s">
        <v>424</v>
      </c>
      <c r="C7" s="394"/>
      <c r="D7" s="394"/>
      <c r="E7" s="394"/>
      <c r="F7" s="394"/>
      <c r="G7" s="88" t="s">
        <v>560</v>
      </c>
      <c r="H7" s="88" t="s">
        <v>15</v>
      </c>
      <c r="I7" s="89">
        <v>265.10000000000002</v>
      </c>
    </row>
    <row r="8" spans="1:9" x14ac:dyDescent="0.3">
      <c r="A8" s="392"/>
      <c r="B8" s="392"/>
      <c r="C8" s="392"/>
      <c r="D8" s="392"/>
      <c r="E8" s="392"/>
      <c r="F8" s="392"/>
      <c r="G8" s="392"/>
      <c r="H8" s="392"/>
      <c r="I8" s="392"/>
    </row>
    <row r="9" spans="1:9" x14ac:dyDescent="0.3">
      <c r="A9" s="81" t="s">
        <v>1054</v>
      </c>
      <c r="B9" s="82" t="s">
        <v>1053</v>
      </c>
      <c r="C9" s="83" t="s">
        <v>1055</v>
      </c>
      <c r="D9" s="84" t="s">
        <v>830</v>
      </c>
      <c r="E9" s="383"/>
      <c r="F9" s="81" t="s">
        <v>1054</v>
      </c>
      <c r="G9" s="82" t="s">
        <v>1053</v>
      </c>
      <c r="H9" s="83" t="s">
        <v>1055</v>
      </c>
      <c r="I9" s="84" t="s">
        <v>830</v>
      </c>
    </row>
    <row r="10" spans="1:9" x14ac:dyDescent="0.3">
      <c r="A10" s="237">
        <v>2</v>
      </c>
      <c r="B10" s="79" t="s">
        <v>945</v>
      </c>
      <c r="C10" s="80" t="s">
        <v>882</v>
      </c>
      <c r="D10" s="236">
        <v>8.1999999999999993</v>
      </c>
      <c r="E10" s="383"/>
      <c r="F10" s="90">
        <v>3</v>
      </c>
      <c r="G10" s="91" t="s">
        <v>978</v>
      </c>
      <c r="H10" s="92" t="s">
        <v>877</v>
      </c>
      <c r="I10" s="93">
        <v>33</v>
      </c>
    </row>
    <row r="11" spans="1:9" x14ac:dyDescent="0.3">
      <c r="A11" s="90">
        <v>2</v>
      </c>
      <c r="B11" s="91" t="s">
        <v>945</v>
      </c>
      <c r="C11" s="92" t="s">
        <v>879</v>
      </c>
      <c r="D11" s="93">
        <v>66.400000000000006</v>
      </c>
      <c r="E11" s="383"/>
      <c r="F11" s="90">
        <v>3</v>
      </c>
      <c r="G11" s="91" t="s">
        <v>979</v>
      </c>
      <c r="H11" s="92" t="s">
        <v>879</v>
      </c>
      <c r="I11" s="93">
        <v>65.8</v>
      </c>
    </row>
    <row r="12" spans="1:9" x14ac:dyDescent="0.3">
      <c r="A12" s="90">
        <v>2</v>
      </c>
      <c r="B12" s="91" t="s">
        <v>946</v>
      </c>
      <c r="C12" s="92" t="s">
        <v>877</v>
      </c>
      <c r="D12" s="93">
        <v>33.299999999999997</v>
      </c>
      <c r="E12" s="383"/>
      <c r="F12" s="90">
        <v>3</v>
      </c>
      <c r="G12" s="91" t="s">
        <v>979</v>
      </c>
      <c r="H12" s="92" t="s">
        <v>882</v>
      </c>
      <c r="I12" s="93">
        <v>8.1</v>
      </c>
    </row>
    <row r="13" spans="1:9" x14ac:dyDescent="0.3">
      <c r="A13" s="237">
        <v>2</v>
      </c>
      <c r="B13" s="79" t="s">
        <v>947</v>
      </c>
      <c r="C13" s="80" t="s">
        <v>1049</v>
      </c>
      <c r="D13" s="236">
        <v>5.7</v>
      </c>
      <c r="E13" s="383"/>
      <c r="F13" s="90">
        <v>3</v>
      </c>
      <c r="G13" s="91" t="s">
        <v>985</v>
      </c>
      <c r="H13" s="92" t="s">
        <v>879</v>
      </c>
      <c r="I13" s="93">
        <v>67.8</v>
      </c>
    </row>
    <row r="14" spans="1:9" x14ac:dyDescent="0.3">
      <c r="A14" s="90">
        <v>2</v>
      </c>
      <c r="B14" s="91" t="s">
        <v>947</v>
      </c>
      <c r="C14" s="92" t="s">
        <v>879</v>
      </c>
      <c r="D14" s="93">
        <v>65.099999999999994</v>
      </c>
      <c r="E14" s="383"/>
      <c r="F14" s="90">
        <v>3</v>
      </c>
      <c r="G14" s="91" t="s">
        <v>985</v>
      </c>
      <c r="H14" s="92" t="s">
        <v>1049</v>
      </c>
      <c r="I14" s="93">
        <v>5.8</v>
      </c>
    </row>
    <row r="15" spans="1:9" x14ac:dyDescent="0.3">
      <c r="A15" s="90">
        <v>2</v>
      </c>
      <c r="B15" s="91" t="s">
        <v>949</v>
      </c>
      <c r="C15" s="92" t="s">
        <v>882</v>
      </c>
      <c r="D15" s="93">
        <v>5.9</v>
      </c>
      <c r="E15" s="383"/>
      <c r="F15" s="90">
        <v>3</v>
      </c>
      <c r="G15" s="91" t="s">
        <v>987</v>
      </c>
      <c r="H15" s="92" t="s">
        <v>881</v>
      </c>
      <c r="I15" s="93">
        <v>35.4</v>
      </c>
    </row>
    <row r="16" spans="1:9" x14ac:dyDescent="0.3">
      <c r="A16" s="237">
        <v>2</v>
      </c>
      <c r="B16" s="79" t="s">
        <v>949</v>
      </c>
      <c r="C16" s="80" t="s">
        <v>881</v>
      </c>
      <c r="D16" s="236">
        <v>31.6</v>
      </c>
      <c r="E16" s="383"/>
      <c r="F16" s="90">
        <v>3</v>
      </c>
      <c r="G16" s="91" t="s">
        <v>987</v>
      </c>
      <c r="H16" s="92" t="s">
        <v>882</v>
      </c>
      <c r="I16" s="93">
        <v>5.9</v>
      </c>
    </row>
    <row r="17" spans="1:9" x14ac:dyDescent="0.3">
      <c r="A17" s="90">
        <v>2</v>
      </c>
      <c r="B17" s="91" t="s">
        <v>950</v>
      </c>
      <c r="C17" s="92" t="s">
        <v>881</v>
      </c>
      <c r="D17" s="93">
        <v>36.9</v>
      </c>
      <c r="E17" s="383"/>
      <c r="F17" s="90">
        <v>3</v>
      </c>
      <c r="G17" s="91" t="s">
        <v>988</v>
      </c>
      <c r="H17" s="92" t="s">
        <v>881</v>
      </c>
      <c r="I17" s="93">
        <v>29.5</v>
      </c>
    </row>
    <row r="18" spans="1:9" x14ac:dyDescent="0.3">
      <c r="A18" s="90">
        <v>2</v>
      </c>
      <c r="B18" s="91" t="s">
        <v>958</v>
      </c>
      <c r="C18" s="92" t="s">
        <v>881</v>
      </c>
      <c r="D18" s="93">
        <v>38.299999999999997</v>
      </c>
      <c r="E18" s="383"/>
      <c r="F18" s="90">
        <v>3</v>
      </c>
      <c r="G18" s="91" t="s">
        <v>995</v>
      </c>
      <c r="H18" s="92" t="s">
        <v>881</v>
      </c>
      <c r="I18" s="93">
        <v>36.9</v>
      </c>
    </row>
    <row r="19" spans="1:9" x14ac:dyDescent="0.3">
      <c r="A19" s="237">
        <v>2</v>
      </c>
      <c r="B19" s="79" t="s">
        <v>959</v>
      </c>
      <c r="C19" s="80" t="s">
        <v>877</v>
      </c>
      <c r="D19" s="236">
        <v>44.2</v>
      </c>
      <c r="E19" s="383"/>
      <c r="F19" s="90">
        <v>3</v>
      </c>
      <c r="G19" s="91" t="s">
        <v>996</v>
      </c>
      <c r="H19" s="92" t="s">
        <v>877</v>
      </c>
      <c r="I19" s="93">
        <v>36.5</v>
      </c>
    </row>
    <row r="20" spans="1:9" x14ac:dyDescent="0.3">
      <c r="A20" s="90">
        <v>2</v>
      </c>
      <c r="B20" s="91" t="s">
        <v>968</v>
      </c>
      <c r="C20" s="92" t="s">
        <v>877</v>
      </c>
      <c r="D20" s="93">
        <v>33.9</v>
      </c>
      <c r="E20" s="383"/>
      <c r="F20" s="243">
        <v>3</v>
      </c>
      <c r="G20" s="94" t="s">
        <v>999</v>
      </c>
      <c r="H20" s="95" t="s">
        <v>877</v>
      </c>
      <c r="I20" s="244">
        <v>29.5</v>
      </c>
    </row>
  </sheetData>
  <mergeCells count="9">
    <mergeCell ref="A1:I1"/>
    <mergeCell ref="E9:E20"/>
    <mergeCell ref="A8:I8"/>
    <mergeCell ref="B2:F2"/>
    <mergeCell ref="B3:F3"/>
    <mergeCell ref="B4:F4"/>
    <mergeCell ref="B5:F5"/>
    <mergeCell ref="B6:F6"/>
    <mergeCell ref="B7:F7"/>
  </mergeCells>
  <pageMargins left="0.7" right="0.7" top="0.75" bottom="0.75" header="0.3" footer="0.3"/>
  <tableParts count="2">
    <tablePart r:id="rId1"/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4.4" x14ac:dyDescent="0.3"/>
  <cols>
    <col min="2" max="2" width="55.6640625" customWidth="1"/>
    <col min="3" max="3" width="38" customWidth="1"/>
    <col min="4" max="4" width="16.44140625" customWidth="1"/>
    <col min="5" max="5" width="16.77734375" customWidth="1"/>
  </cols>
  <sheetData>
    <row r="1" spans="1:5" ht="49.8" customHeight="1" x14ac:dyDescent="0.3">
      <c r="A1" s="23" t="s">
        <v>815</v>
      </c>
      <c r="B1" s="23" t="s">
        <v>813</v>
      </c>
      <c r="C1" s="23" t="s">
        <v>814</v>
      </c>
      <c r="D1" s="23" t="s">
        <v>10</v>
      </c>
      <c r="E1" s="23" t="s">
        <v>830</v>
      </c>
    </row>
    <row r="2" spans="1:5" ht="72" x14ac:dyDescent="0.3">
      <c r="A2" s="23">
        <v>1</v>
      </c>
      <c r="B2" s="58" t="s">
        <v>874</v>
      </c>
      <c r="C2" s="29" t="s">
        <v>875</v>
      </c>
      <c r="D2" s="23" t="s">
        <v>15</v>
      </c>
      <c r="E2" s="25">
        <v>180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zoomScale="85" zoomScaleNormal="85" workbookViewId="0">
      <selection sqref="A1:I1"/>
    </sheetView>
  </sheetViews>
  <sheetFormatPr defaultRowHeight="14.4" x14ac:dyDescent="0.3"/>
  <cols>
    <col min="1" max="1" width="7.21875" customWidth="1"/>
    <col min="2" max="2" width="7.88671875" customWidth="1"/>
    <col min="3" max="3" width="9.88671875" customWidth="1"/>
    <col min="4" max="4" width="4.109375" customWidth="1"/>
    <col min="5" max="5" width="7.109375" customWidth="1"/>
    <col min="6" max="6" width="7.6640625" customWidth="1"/>
    <col min="7" max="7" width="9.88671875" customWidth="1"/>
    <col min="8" max="8" width="5.33203125" customWidth="1"/>
    <col min="9" max="9" width="7.88671875" customWidth="1"/>
    <col min="10" max="10" width="8.21875" customWidth="1"/>
    <col min="11" max="11" width="9.88671875" customWidth="1"/>
  </cols>
  <sheetData>
    <row r="1" spans="1:11" ht="15.6" x14ac:dyDescent="0.3">
      <c r="A1" s="289" t="s">
        <v>1188</v>
      </c>
      <c r="B1" s="289"/>
      <c r="C1" s="289"/>
      <c r="D1" s="289"/>
      <c r="E1" s="289"/>
      <c r="F1" s="289"/>
      <c r="G1" s="289"/>
      <c r="H1" s="289"/>
      <c r="I1" s="289"/>
      <c r="J1" s="35"/>
      <c r="K1" s="35"/>
    </row>
    <row r="2" spans="1:11" ht="31.2" x14ac:dyDescent="0.3">
      <c r="A2" s="36" t="s">
        <v>829</v>
      </c>
      <c r="B2" s="378" t="s">
        <v>7</v>
      </c>
      <c r="C2" s="379"/>
      <c r="D2" s="379"/>
      <c r="E2" s="379"/>
      <c r="F2" s="379"/>
      <c r="G2" s="380"/>
      <c r="H2" s="381" t="s">
        <v>814</v>
      </c>
      <c r="I2" s="382"/>
      <c r="J2" s="37" t="s">
        <v>10</v>
      </c>
      <c r="K2" s="38" t="s">
        <v>830</v>
      </c>
    </row>
    <row r="3" spans="1:11" ht="62.4" customHeight="1" x14ac:dyDescent="0.3">
      <c r="A3" s="39">
        <v>1</v>
      </c>
      <c r="B3" s="373"/>
      <c r="C3" s="374"/>
      <c r="D3" s="374"/>
      <c r="E3" s="374"/>
      <c r="F3" s="374"/>
      <c r="G3" s="375"/>
      <c r="H3" s="376" t="s">
        <v>14</v>
      </c>
      <c r="I3" s="377"/>
      <c r="J3" s="39" t="s">
        <v>15</v>
      </c>
      <c r="K3" s="40"/>
    </row>
    <row r="4" spans="1:11" ht="15.6" x14ac:dyDescent="0.3">
      <c r="A4" s="372"/>
      <c r="B4" s="372"/>
      <c r="C4" s="372"/>
      <c r="D4" s="372"/>
      <c r="E4" s="372"/>
      <c r="F4" s="372"/>
      <c r="G4" s="372"/>
      <c r="H4" s="372"/>
      <c r="I4" s="372"/>
      <c r="J4" s="372"/>
      <c r="K4" s="372"/>
    </row>
    <row r="5" spans="1:11" ht="46.8" x14ac:dyDescent="0.3">
      <c r="A5" s="41" t="s">
        <v>831</v>
      </c>
      <c r="B5" s="41" t="s">
        <v>832</v>
      </c>
      <c r="C5" s="41" t="s">
        <v>833</v>
      </c>
      <c r="D5" s="46"/>
      <c r="E5" s="41" t="s">
        <v>831</v>
      </c>
      <c r="F5" s="41" t="s">
        <v>832</v>
      </c>
      <c r="G5" s="41" t="s">
        <v>833</v>
      </c>
      <c r="H5" s="47"/>
      <c r="I5" s="47"/>
      <c r="J5" s="47"/>
      <c r="K5" s="47"/>
    </row>
    <row r="6" spans="1:11" ht="14.4" customHeight="1" x14ac:dyDescent="0.3">
      <c r="A6" s="42"/>
      <c r="B6" s="42"/>
      <c r="C6" s="42"/>
      <c r="D6" s="46"/>
      <c r="E6" s="42"/>
      <c r="F6" s="42"/>
      <c r="G6" s="42"/>
      <c r="H6" s="47"/>
      <c r="I6" s="47"/>
      <c r="J6" s="47"/>
      <c r="K6" s="47"/>
    </row>
    <row r="7" spans="1:11" ht="14.4" customHeight="1" x14ac:dyDescent="0.3">
      <c r="A7" s="43"/>
      <c r="B7" s="43"/>
      <c r="C7" s="43"/>
      <c r="D7" s="46"/>
      <c r="E7" s="43"/>
      <c r="F7" s="43"/>
      <c r="G7" s="43"/>
      <c r="H7" s="47"/>
      <c r="I7" s="47"/>
      <c r="J7" s="47"/>
      <c r="K7" s="47"/>
    </row>
    <row r="8" spans="1:11" ht="14.4" customHeight="1" x14ac:dyDescent="0.3">
      <c r="A8" s="42"/>
      <c r="B8" s="42"/>
      <c r="C8" s="42"/>
      <c r="D8" s="46"/>
      <c r="E8" s="42"/>
      <c r="F8" s="42"/>
      <c r="G8" s="42"/>
      <c r="H8" s="47"/>
      <c r="I8" s="47"/>
      <c r="J8" s="47"/>
      <c r="K8" s="47"/>
    </row>
    <row r="9" spans="1:11" ht="14.4" customHeight="1" x14ac:dyDescent="0.3">
      <c r="A9" s="43"/>
      <c r="B9" s="43"/>
      <c r="C9" s="43"/>
      <c r="D9" s="46"/>
      <c r="E9" s="42"/>
      <c r="F9" s="42"/>
      <c r="G9" s="42"/>
      <c r="H9" s="47"/>
      <c r="I9" s="47"/>
      <c r="J9" s="47"/>
      <c r="K9" s="47"/>
    </row>
    <row r="10" spans="1:11" ht="14.4" customHeight="1" x14ac:dyDescent="0.3">
      <c r="A10" s="42"/>
      <c r="B10" s="42"/>
      <c r="C10" s="42"/>
      <c r="D10" s="46"/>
      <c r="F10" s="44" t="s">
        <v>843</v>
      </c>
      <c r="G10">
        <f>SUM(G6:G9)</f>
        <v>0</v>
      </c>
      <c r="H10" s="47"/>
      <c r="I10" s="47"/>
      <c r="J10" s="47"/>
      <c r="K10" s="47"/>
    </row>
    <row r="11" spans="1:11" ht="14.4" customHeight="1" x14ac:dyDescent="0.3">
      <c r="A11" s="43"/>
      <c r="B11" s="43"/>
      <c r="C11" s="43"/>
      <c r="D11" s="46"/>
      <c r="E11" s="46"/>
      <c r="F11" s="46"/>
      <c r="G11" s="46"/>
      <c r="H11" s="46"/>
      <c r="I11" s="46"/>
      <c r="J11" s="46"/>
      <c r="K11" s="46"/>
    </row>
    <row r="12" spans="1:11" ht="14.4" customHeight="1" x14ac:dyDescent="0.3">
      <c r="A12" s="42"/>
      <c r="B12" s="42"/>
      <c r="C12" s="42"/>
      <c r="D12" s="46"/>
      <c r="E12" s="46"/>
      <c r="F12" s="46"/>
      <c r="G12" s="46"/>
      <c r="H12" s="46"/>
      <c r="I12" s="46"/>
      <c r="J12" s="46"/>
      <c r="K12" s="46"/>
    </row>
    <row r="13" spans="1:11" ht="14.4" customHeight="1" x14ac:dyDescent="0.3">
      <c r="A13" s="43"/>
      <c r="B13" s="43"/>
      <c r="C13" s="43"/>
      <c r="D13" s="46"/>
      <c r="E13" s="46"/>
      <c r="F13" s="46"/>
      <c r="G13" s="46"/>
      <c r="H13" s="46"/>
      <c r="I13" s="46"/>
      <c r="J13" s="46"/>
      <c r="K13" s="46"/>
    </row>
    <row r="14" spans="1:11" ht="14.4" customHeight="1" x14ac:dyDescent="0.3">
      <c r="A14" s="42"/>
      <c r="B14" s="42"/>
      <c r="C14" s="42"/>
      <c r="D14" s="46"/>
      <c r="E14" s="46"/>
      <c r="F14" s="46"/>
      <c r="G14" s="46"/>
      <c r="H14" s="46"/>
      <c r="I14" s="46"/>
      <c r="J14" s="46"/>
      <c r="K14" s="46"/>
    </row>
    <row r="15" spans="1:11" ht="14.4" customHeight="1" x14ac:dyDescent="0.3">
      <c r="A15" s="43"/>
      <c r="B15" s="43"/>
      <c r="C15" s="43"/>
      <c r="D15" s="46"/>
      <c r="E15" s="46"/>
      <c r="F15" s="46"/>
      <c r="G15" s="46"/>
      <c r="H15" s="46"/>
      <c r="I15" s="46"/>
      <c r="J15" s="46"/>
      <c r="K15" s="46"/>
    </row>
    <row r="16" spans="1:11" ht="14.4" customHeight="1" x14ac:dyDescent="0.3">
      <c r="A16" s="42"/>
      <c r="B16" s="42"/>
      <c r="C16" s="42"/>
      <c r="D16" s="46"/>
      <c r="E16" s="46"/>
      <c r="F16" s="46"/>
      <c r="G16" s="46"/>
      <c r="H16" s="46"/>
      <c r="I16" s="46"/>
      <c r="J16" s="46"/>
      <c r="K16" s="46"/>
    </row>
    <row r="17" spans="1:11" ht="14.4" customHeight="1" x14ac:dyDescent="0.3">
      <c r="A17" s="43"/>
      <c r="B17" s="43"/>
      <c r="C17" s="43"/>
      <c r="D17" s="46"/>
      <c r="E17" s="46"/>
      <c r="F17" s="46"/>
      <c r="G17" s="46"/>
      <c r="H17" s="46"/>
      <c r="I17" s="46"/>
      <c r="J17" s="46"/>
      <c r="K17" s="46"/>
    </row>
    <row r="18" spans="1:11" ht="14.4" customHeight="1" x14ac:dyDescent="0.3">
      <c r="A18" s="42"/>
      <c r="B18" s="42"/>
      <c r="C18" s="42"/>
      <c r="D18" s="46"/>
      <c r="E18" s="46"/>
      <c r="F18" s="46"/>
      <c r="G18" s="46"/>
      <c r="H18" s="46"/>
      <c r="I18" s="46"/>
      <c r="J18" s="46"/>
      <c r="K18" s="46"/>
    </row>
    <row r="19" spans="1:11" ht="14.4" customHeight="1" x14ac:dyDescent="0.3">
      <c r="A19" s="43"/>
      <c r="B19" s="43"/>
      <c r="C19" s="43"/>
      <c r="D19" s="46"/>
      <c r="E19" s="46"/>
      <c r="F19" s="46"/>
      <c r="G19" s="46"/>
      <c r="H19" s="46"/>
      <c r="I19" s="46"/>
      <c r="J19" s="46"/>
      <c r="K19" s="46"/>
    </row>
    <row r="20" spans="1:11" ht="14.4" customHeight="1" x14ac:dyDescent="0.3">
      <c r="A20" s="42"/>
      <c r="B20" s="42"/>
      <c r="C20" s="42"/>
      <c r="D20" s="46"/>
      <c r="E20" s="46"/>
      <c r="F20" s="46"/>
      <c r="G20" s="46"/>
      <c r="H20" s="46"/>
      <c r="I20" s="46"/>
      <c r="J20" s="46"/>
      <c r="K20" s="46"/>
    </row>
    <row r="21" spans="1:11" ht="14.4" customHeight="1" x14ac:dyDescent="0.3">
      <c r="A21" s="42"/>
      <c r="B21" s="42"/>
      <c r="C21" s="42"/>
      <c r="D21" s="46"/>
      <c r="E21" s="46"/>
      <c r="F21" s="46"/>
      <c r="G21" s="46"/>
      <c r="H21" s="46"/>
      <c r="I21" s="46"/>
      <c r="J21" s="46"/>
      <c r="K21" s="46"/>
    </row>
    <row r="22" spans="1:11" ht="14.4" customHeight="1" x14ac:dyDescent="0.3">
      <c r="A22" s="43"/>
      <c r="B22" s="43"/>
      <c r="C22" s="43"/>
      <c r="D22" s="46"/>
      <c r="E22" s="46"/>
      <c r="F22" s="46"/>
      <c r="G22" s="46"/>
      <c r="H22" s="46"/>
      <c r="I22" s="46"/>
      <c r="J22" s="46"/>
      <c r="K22" s="46"/>
    </row>
    <row r="23" spans="1:11" ht="14.4" customHeight="1" x14ac:dyDescent="0.3">
      <c r="A23" s="42"/>
      <c r="B23" s="42"/>
      <c r="C23" s="42"/>
      <c r="D23" s="46"/>
      <c r="E23" s="46"/>
      <c r="F23" s="46"/>
      <c r="G23" s="46"/>
      <c r="H23" s="46"/>
      <c r="I23" s="46"/>
      <c r="J23" s="46"/>
      <c r="K23" s="46"/>
    </row>
    <row r="24" spans="1:11" ht="14.4" customHeight="1" x14ac:dyDescent="0.3">
      <c r="A24" s="43"/>
      <c r="B24" s="43"/>
      <c r="C24" s="43"/>
      <c r="D24" s="46"/>
      <c r="E24" s="46"/>
      <c r="F24" s="46"/>
      <c r="G24" s="46"/>
      <c r="H24" s="46"/>
      <c r="I24" s="46"/>
      <c r="J24" s="46"/>
      <c r="K24" s="46"/>
    </row>
    <row r="25" spans="1:11" ht="14.4" customHeight="1" x14ac:dyDescent="0.3">
      <c r="A25" s="42"/>
      <c r="B25" s="42"/>
      <c r="C25" s="42"/>
      <c r="D25" s="46"/>
      <c r="E25" s="46"/>
      <c r="F25" s="46"/>
      <c r="G25" s="46"/>
      <c r="H25" s="46"/>
      <c r="I25" s="46"/>
      <c r="J25" s="46"/>
      <c r="K25" s="46"/>
    </row>
    <row r="26" spans="1:11" ht="14.4" customHeight="1" x14ac:dyDescent="0.3">
      <c r="A26" s="43"/>
      <c r="B26" s="43"/>
      <c r="C26" s="43"/>
      <c r="D26" s="46"/>
      <c r="E26" s="46"/>
      <c r="F26" s="46"/>
      <c r="G26" s="46"/>
      <c r="H26" s="46"/>
      <c r="I26" s="46"/>
      <c r="J26" s="46"/>
      <c r="K26" s="46"/>
    </row>
    <row r="27" spans="1:11" ht="14.4" customHeight="1" x14ac:dyDescent="0.3">
      <c r="A27" s="42"/>
      <c r="B27" s="42"/>
      <c r="C27" s="42"/>
      <c r="D27" s="46"/>
      <c r="E27" s="46"/>
      <c r="F27" s="46"/>
      <c r="G27" s="46"/>
      <c r="H27" s="46"/>
      <c r="I27" s="46"/>
      <c r="J27" s="46"/>
      <c r="K27" s="46"/>
    </row>
    <row r="28" spans="1:11" ht="14.4" customHeight="1" x14ac:dyDescent="0.3">
      <c r="A28" s="43"/>
      <c r="B28" s="43"/>
      <c r="C28" s="43"/>
      <c r="D28" s="46"/>
      <c r="E28" s="46"/>
      <c r="F28" s="46"/>
      <c r="G28" s="46"/>
      <c r="H28" s="46"/>
      <c r="I28" s="46"/>
      <c r="J28" s="46"/>
      <c r="K28" s="46"/>
    </row>
    <row r="29" spans="1:11" ht="14.4" customHeight="1" x14ac:dyDescent="0.3">
      <c r="A29" s="42"/>
      <c r="B29" s="42"/>
      <c r="C29" s="45"/>
      <c r="D29" s="46"/>
      <c r="E29" s="46"/>
      <c r="F29" s="46"/>
      <c r="G29" s="46"/>
      <c r="H29" s="46"/>
      <c r="I29" s="46"/>
      <c r="J29" s="46"/>
      <c r="K29" s="46"/>
    </row>
    <row r="30" spans="1:11" ht="14.4" customHeight="1" x14ac:dyDescent="0.3">
      <c r="A30" s="43"/>
      <c r="B30" s="43"/>
      <c r="C30" s="43"/>
      <c r="D30" s="46"/>
      <c r="E30" s="46"/>
      <c r="F30" s="46"/>
      <c r="G30" s="46"/>
      <c r="H30" s="46"/>
      <c r="I30" s="46"/>
      <c r="J30" s="46"/>
      <c r="K30" s="46"/>
    </row>
    <row r="31" spans="1:11" ht="14.4" customHeight="1" x14ac:dyDescent="0.3">
      <c r="A31" s="42"/>
      <c r="B31" s="42"/>
      <c r="C31" s="42"/>
      <c r="D31" s="46"/>
      <c r="E31" s="46"/>
      <c r="F31" s="46"/>
      <c r="G31" s="46"/>
      <c r="H31" s="46"/>
      <c r="I31" s="46"/>
      <c r="J31" s="46"/>
      <c r="K31" s="46"/>
    </row>
    <row r="32" spans="1:11" ht="14.4" customHeight="1" x14ac:dyDescent="0.3">
      <c r="A32" s="43"/>
      <c r="B32" s="43"/>
      <c r="C32" s="43"/>
      <c r="D32" s="46"/>
      <c r="E32" s="46"/>
      <c r="F32" s="46"/>
      <c r="G32" s="46"/>
      <c r="H32" s="46"/>
      <c r="I32" s="46"/>
      <c r="J32" s="46"/>
      <c r="K32" s="46"/>
    </row>
    <row r="33" spans="1:11" ht="14.4" customHeight="1" x14ac:dyDescent="0.3">
      <c r="A33" s="42"/>
      <c r="B33" s="42"/>
      <c r="C33" s="42"/>
      <c r="D33" s="46"/>
      <c r="E33" s="46"/>
      <c r="F33" s="46"/>
      <c r="G33" s="46"/>
      <c r="H33" s="46"/>
      <c r="I33" s="46"/>
      <c r="J33" s="46"/>
      <c r="K33" s="46"/>
    </row>
    <row r="34" spans="1:11" ht="14.4" customHeight="1" x14ac:dyDescent="0.3">
      <c r="A34" s="43"/>
      <c r="B34" s="43"/>
      <c r="C34" s="43"/>
      <c r="D34" s="46"/>
      <c r="E34" s="46"/>
      <c r="F34" s="46"/>
      <c r="G34" s="46"/>
      <c r="H34" s="46"/>
      <c r="I34" s="46"/>
      <c r="J34" s="46"/>
      <c r="K34" s="46"/>
    </row>
    <row r="35" spans="1:11" ht="14.4" customHeight="1" x14ac:dyDescent="0.3">
      <c r="A35" s="42"/>
      <c r="B35" s="42"/>
      <c r="C35" s="42"/>
      <c r="D35" s="46"/>
      <c r="E35" s="46"/>
      <c r="F35" s="46"/>
      <c r="G35" s="46"/>
      <c r="H35" s="46"/>
      <c r="I35" s="46"/>
      <c r="J35" s="46"/>
      <c r="K35" s="46"/>
    </row>
    <row r="36" spans="1:11" ht="14.4" customHeight="1" x14ac:dyDescent="0.3">
      <c r="A36" s="43"/>
      <c r="B36" s="43"/>
      <c r="C36" s="43"/>
      <c r="D36" s="46"/>
      <c r="E36" s="46"/>
      <c r="F36" s="46"/>
      <c r="G36" s="46"/>
      <c r="H36" s="46"/>
      <c r="I36" s="46"/>
      <c r="J36" s="46"/>
      <c r="K36" s="46"/>
    </row>
    <row r="37" spans="1:11" ht="14.4" customHeight="1" x14ac:dyDescent="0.3">
      <c r="A37" s="42"/>
      <c r="B37" s="42"/>
      <c r="C37" s="42"/>
      <c r="D37" s="46"/>
      <c r="E37" s="46"/>
      <c r="F37" s="46"/>
      <c r="G37" s="46"/>
      <c r="H37" s="46"/>
      <c r="I37" s="46"/>
      <c r="J37" s="46"/>
      <c r="K37" s="46"/>
    </row>
    <row r="38" spans="1:11" ht="14.4" customHeight="1" x14ac:dyDescent="0.3">
      <c r="A38" s="43"/>
      <c r="B38" s="43"/>
      <c r="C38" s="43"/>
      <c r="D38" s="46"/>
      <c r="E38" s="46"/>
      <c r="F38" s="46"/>
      <c r="G38" s="46"/>
      <c r="H38" s="46"/>
      <c r="I38" s="46"/>
      <c r="J38" s="46"/>
      <c r="K38" s="46"/>
    </row>
    <row r="39" spans="1:11" ht="14.4" customHeight="1" x14ac:dyDescent="0.3">
      <c r="A39" s="42"/>
      <c r="B39" s="42"/>
      <c r="C39" s="42"/>
      <c r="D39" s="46"/>
      <c r="E39" s="46"/>
      <c r="F39" s="46"/>
      <c r="G39" s="46"/>
      <c r="H39" s="46"/>
      <c r="I39" s="46"/>
      <c r="J39" s="46"/>
      <c r="K39" s="46"/>
    </row>
    <row r="40" spans="1:11" ht="14.4" customHeight="1" x14ac:dyDescent="0.3">
      <c r="A40" s="43"/>
      <c r="B40" s="43"/>
      <c r="C40" s="43"/>
      <c r="D40" s="46"/>
      <c r="E40" s="46"/>
      <c r="F40" s="46"/>
      <c r="G40" s="46"/>
      <c r="H40" s="46"/>
      <c r="I40" s="46"/>
      <c r="J40" s="46"/>
      <c r="K40" s="46"/>
    </row>
    <row r="41" spans="1:11" ht="14.4" customHeight="1" x14ac:dyDescent="0.3">
      <c r="B41" s="44" t="s">
        <v>843</v>
      </c>
      <c r="C41">
        <f>SUM(C6:C40)</f>
        <v>0</v>
      </c>
      <c r="D41" s="46"/>
      <c r="E41" s="46"/>
      <c r="F41" s="46"/>
      <c r="G41" s="46"/>
      <c r="H41" s="46"/>
      <c r="I41" s="46"/>
      <c r="J41" s="46"/>
      <c r="K41" s="46"/>
    </row>
  </sheetData>
  <mergeCells count="6">
    <mergeCell ref="A4:K4"/>
    <mergeCell ref="A1:I1"/>
    <mergeCell ref="B2:G2"/>
    <mergeCell ref="H2:I2"/>
    <mergeCell ref="B3:G3"/>
    <mergeCell ref="H3:I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zoomScale="70" zoomScaleNormal="70" workbookViewId="0"/>
  </sheetViews>
  <sheetFormatPr defaultRowHeight="18" x14ac:dyDescent="0.35"/>
  <cols>
    <col min="1" max="1" width="8.88671875" style="21"/>
    <col min="2" max="2" width="55.6640625" style="22" customWidth="1"/>
    <col min="3" max="3" width="38" style="22" customWidth="1"/>
    <col min="4" max="4" width="16.44140625" style="22" customWidth="1"/>
    <col min="5" max="6" width="16.77734375" style="22" customWidth="1"/>
    <col min="7" max="16384" width="8.88671875" style="22"/>
  </cols>
  <sheetData>
    <row r="1" spans="1:6" s="21" customFormat="1" x14ac:dyDescent="0.3">
      <c r="A1" s="23" t="s">
        <v>815</v>
      </c>
      <c r="B1" s="23" t="s">
        <v>813</v>
      </c>
      <c r="C1" s="23" t="s">
        <v>814</v>
      </c>
      <c r="D1" s="23" t="s">
        <v>10</v>
      </c>
      <c r="E1" s="23" t="s">
        <v>827</v>
      </c>
      <c r="F1" s="23" t="s">
        <v>828</v>
      </c>
    </row>
    <row r="2" spans="1:6" s="21" customFormat="1" ht="36" x14ac:dyDescent="0.3">
      <c r="A2" s="23">
        <v>1</v>
      </c>
      <c r="B2" s="24" t="s">
        <v>816</v>
      </c>
      <c r="C2" s="29" t="s">
        <v>826</v>
      </c>
      <c r="D2" s="23" t="s">
        <v>19</v>
      </c>
      <c r="E2" s="25">
        <f>E4*0.06</f>
        <v>39.269999999999996</v>
      </c>
      <c r="F2" s="25">
        <f>F4*0.06</f>
        <v>44.506000000000007</v>
      </c>
    </row>
    <row r="3" spans="1:6" s="21" customFormat="1" x14ac:dyDescent="0.3">
      <c r="A3" s="23">
        <v>2</v>
      </c>
      <c r="B3" s="24" t="s">
        <v>817</v>
      </c>
      <c r="C3" s="23"/>
      <c r="D3" s="23" t="s">
        <v>19</v>
      </c>
      <c r="E3" s="26">
        <f>E4*0.033</f>
        <v>21.598500000000001</v>
      </c>
      <c r="F3" s="26">
        <f>F4*0.033</f>
        <v>24.478300000000004</v>
      </c>
    </row>
    <row r="4" spans="1:6" s="21" customFormat="1" x14ac:dyDescent="0.3">
      <c r="A4" s="23">
        <v>3</v>
      </c>
      <c r="B4" s="24" t="s">
        <v>823</v>
      </c>
      <c r="C4" s="27" t="s">
        <v>825</v>
      </c>
      <c r="D4" s="23" t="s">
        <v>15</v>
      </c>
      <c r="E4" s="26">
        <f>E6+E7</f>
        <v>654.5</v>
      </c>
      <c r="F4" s="26">
        <f>F6+F7</f>
        <v>741.76666666666677</v>
      </c>
    </row>
    <row r="5" spans="1:6" s="21" customFormat="1" x14ac:dyDescent="0.3">
      <c r="A5" s="23">
        <v>4</v>
      </c>
      <c r="B5" s="24" t="s">
        <v>818</v>
      </c>
      <c r="C5" s="23" t="s">
        <v>824</v>
      </c>
      <c r="D5" s="23" t="s">
        <v>19</v>
      </c>
      <c r="E5" s="23">
        <v>12.4</v>
      </c>
      <c r="F5" s="23">
        <v>12.4</v>
      </c>
    </row>
    <row r="6" spans="1:6" ht="62.4" customHeight="1" x14ac:dyDescent="0.35">
      <c r="A6" s="23">
        <v>5</v>
      </c>
      <c r="B6" s="28" t="s">
        <v>603</v>
      </c>
      <c r="C6" s="29" t="s">
        <v>819</v>
      </c>
      <c r="D6" s="29" t="s">
        <v>15</v>
      </c>
      <c r="E6" s="30">
        <f>383.4</f>
        <v>383.4</v>
      </c>
      <c r="F6" s="30">
        <f>383.4/0.3*0.34</f>
        <v>434.52000000000004</v>
      </c>
    </row>
    <row r="7" spans="1:6" ht="62.4" customHeight="1" x14ac:dyDescent="0.35">
      <c r="A7" s="23">
        <v>6</v>
      </c>
      <c r="B7" s="28" t="s">
        <v>603</v>
      </c>
      <c r="C7" s="29" t="s">
        <v>820</v>
      </c>
      <c r="D7" s="29" t="s">
        <v>15</v>
      </c>
      <c r="E7" s="30">
        <v>271.10000000000002</v>
      </c>
      <c r="F7" s="30">
        <f>271.1/0.3*0.34</f>
        <v>307.24666666666673</v>
      </c>
    </row>
    <row r="8" spans="1:6" ht="63.6" customHeight="1" x14ac:dyDescent="0.35">
      <c r="A8" s="23">
        <v>7</v>
      </c>
      <c r="B8" s="28" t="s">
        <v>603</v>
      </c>
      <c r="C8" s="29" t="s">
        <v>821</v>
      </c>
      <c r="D8" s="29" t="s">
        <v>15</v>
      </c>
      <c r="E8" s="30">
        <f>E6</f>
        <v>383.4</v>
      </c>
      <c r="F8" s="30">
        <f>F6</f>
        <v>434.52000000000004</v>
      </c>
    </row>
    <row r="9" spans="1:6" ht="63.6" customHeight="1" x14ac:dyDescent="0.35">
      <c r="A9" s="23">
        <v>8</v>
      </c>
      <c r="B9" s="28" t="s">
        <v>603</v>
      </c>
      <c r="C9" s="29" t="s">
        <v>822</v>
      </c>
      <c r="D9" s="29" t="s">
        <v>15</v>
      </c>
      <c r="E9" s="30">
        <f>E7</f>
        <v>271.10000000000002</v>
      </c>
      <c r="F9" s="30">
        <f>F7</f>
        <v>307.24666666666673</v>
      </c>
    </row>
    <row r="10" spans="1:6" ht="54" x14ac:dyDescent="0.35">
      <c r="A10" s="23">
        <v>9</v>
      </c>
      <c r="B10" s="31" t="s">
        <v>630</v>
      </c>
      <c r="C10" s="32" t="s">
        <v>14</v>
      </c>
      <c r="D10" s="32" t="s">
        <v>15</v>
      </c>
      <c r="E10" s="30">
        <f>E6</f>
        <v>383.4</v>
      </c>
      <c r="F10" s="30">
        <f>F6</f>
        <v>434.52000000000004</v>
      </c>
    </row>
    <row r="11" spans="1:6" ht="54" x14ac:dyDescent="0.35">
      <c r="A11" s="23">
        <v>10</v>
      </c>
      <c r="B11" s="31" t="s">
        <v>630</v>
      </c>
      <c r="C11" s="32" t="s">
        <v>17</v>
      </c>
      <c r="D11" s="32" t="s">
        <v>15</v>
      </c>
      <c r="E11" s="30">
        <f>E7</f>
        <v>271.10000000000002</v>
      </c>
      <c r="F11" s="30">
        <f>F7</f>
        <v>307.24666666666673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70" zoomScaleNormal="70" workbookViewId="0"/>
  </sheetViews>
  <sheetFormatPr defaultRowHeight="18" x14ac:dyDescent="0.35"/>
  <cols>
    <col min="1" max="1" width="8.88671875" style="21"/>
    <col min="2" max="2" width="55.6640625" style="22" customWidth="1"/>
    <col min="3" max="3" width="38" style="22" customWidth="1"/>
    <col min="4" max="4" width="16.44140625" style="22" customWidth="1"/>
    <col min="5" max="5" width="16.77734375" style="22" customWidth="1"/>
    <col min="6" max="16384" width="8.88671875" style="22"/>
  </cols>
  <sheetData>
    <row r="1" spans="1:5" s="21" customFormat="1" x14ac:dyDescent="0.3">
      <c r="A1" s="23" t="s">
        <v>815</v>
      </c>
      <c r="B1" s="23" t="s">
        <v>813</v>
      </c>
      <c r="C1" s="23" t="s">
        <v>814</v>
      </c>
      <c r="D1" s="23" t="s">
        <v>10</v>
      </c>
      <c r="E1" s="23" t="s">
        <v>827</v>
      </c>
    </row>
    <row r="2" spans="1:5" s="21" customFormat="1" ht="36" x14ac:dyDescent="0.3">
      <c r="A2" s="23">
        <v>1</v>
      </c>
      <c r="B2" s="24" t="s">
        <v>816</v>
      </c>
      <c r="C2" s="29" t="s">
        <v>826</v>
      </c>
      <c r="D2" s="23" t="s">
        <v>19</v>
      </c>
      <c r="E2" s="25">
        <f>E4*0.06</f>
        <v>39.269999999999996</v>
      </c>
    </row>
    <row r="3" spans="1:5" s="21" customFormat="1" x14ac:dyDescent="0.3">
      <c r="A3" s="23">
        <v>2</v>
      </c>
      <c r="B3" s="24" t="s">
        <v>817</v>
      </c>
      <c r="C3" s="23"/>
      <c r="D3" s="23" t="s">
        <v>19</v>
      </c>
      <c r="E3" s="26">
        <f>E4*0.033</f>
        <v>21.598500000000001</v>
      </c>
    </row>
    <row r="4" spans="1:5" s="21" customFormat="1" x14ac:dyDescent="0.3">
      <c r="A4" s="23">
        <v>3</v>
      </c>
      <c r="B4" s="24" t="s">
        <v>823</v>
      </c>
      <c r="C4" s="27" t="s">
        <v>825</v>
      </c>
      <c r="D4" s="23" t="s">
        <v>15</v>
      </c>
      <c r="E4" s="26">
        <f>E6+E7</f>
        <v>654.5</v>
      </c>
    </row>
    <row r="5" spans="1:5" s="21" customFormat="1" x14ac:dyDescent="0.3">
      <c r="A5" s="23">
        <v>4</v>
      </c>
      <c r="B5" s="24" t="s">
        <v>818</v>
      </c>
      <c r="C5" s="23" t="s">
        <v>824</v>
      </c>
      <c r="D5" s="23" t="s">
        <v>19</v>
      </c>
      <c r="E5" s="23">
        <v>12.4</v>
      </c>
    </row>
    <row r="6" spans="1:5" ht="62.4" customHeight="1" x14ac:dyDescent="0.35">
      <c r="A6" s="23">
        <v>5</v>
      </c>
      <c r="B6" s="28" t="s">
        <v>603</v>
      </c>
      <c r="C6" s="29" t="s">
        <v>819</v>
      </c>
      <c r="D6" s="29" t="s">
        <v>15</v>
      </c>
      <c r="E6" s="30">
        <f>383.4</f>
        <v>383.4</v>
      </c>
    </row>
    <row r="7" spans="1:5" ht="62.4" customHeight="1" x14ac:dyDescent="0.35">
      <c r="A7" s="23">
        <v>6</v>
      </c>
      <c r="B7" s="28" t="s">
        <v>603</v>
      </c>
      <c r="C7" s="29" t="s">
        <v>820</v>
      </c>
      <c r="D7" s="29" t="s">
        <v>15</v>
      </c>
      <c r="E7" s="30">
        <v>271.10000000000002</v>
      </c>
    </row>
    <row r="8" spans="1:5" ht="63.6" customHeight="1" x14ac:dyDescent="0.35">
      <c r="A8" s="23">
        <v>7</v>
      </c>
      <c r="B8" s="28" t="s">
        <v>603</v>
      </c>
      <c r="C8" s="29" t="s">
        <v>821</v>
      </c>
      <c r="D8" s="29" t="s">
        <v>15</v>
      </c>
      <c r="E8" s="30">
        <f>E6</f>
        <v>383.4</v>
      </c>
    </row>
    <row r="9" spans="1:5" ht="63.6" customHeight="1" x14ac:dyDescent="0.35">
      <c r="A9" s="23">
        <v>8</v>
      </c>
      <c r="B9" s="28" t="s">
        <v>603</v>
      </c>
      <c r="C9" s="29" t="s">
        <v>822</v>
      </c>
      <c r="D9" s="29" t="s">
        <v>15</v>
      </c>
      <c r="E9" s="30">
        <f>E7</f>
        <v>271.10000000000002</v>
      </c>
    </row>
    <row r="10" spans="1:5" ht="54" x14ac:dyDescent="0.35">
      <c r="A10" s="23">
        <v>9</v>
      </c>
      <c r="B10" s="31" t="s">
        <v>630</v>
      </c>
      <c r="C10" s="32" t="s">
        <v>14</v>
      </c>
      <c r="D10" s="32" t="s">
        <v>15</v>
      </c>
      <c r="E10" s="30">
        <f>E6</f>
        <v>383.4</v>
      </c>
    </row>
    <row r="11" spans="1:5" ht="54" x14ac:dyDescent="0.35">
      <c r="A11" s="23">
        <v>10</v>
      </c>
      <c r="B11" s="31" t="s">
        <v>630</v>
      </c>
      <c r="C11" s="32" t="s">
        <v>17</v>
      </c>
      <c r="D11" s="32" t="s">
        <v>15</v>
      </c>
      <c r="E11" s="30">
        <f>E7</f>
        <v>271.10000000000002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I31"/>
  <sheetViews>
    <sheetView zoomScale="70" zoomScaleNormal="70" workbookViewId="0">
      <selection activeCell="G12" sqref="G12:H12"/>
    </sheetView>
  </sheetViews>
  <sheetFormatPr defaultRowHeight="14.4" x14ac:dyDescent="0.3"/>
  <cols>
    <col min="6" max="6" width="11.6640625" style="103" bestFit="1" customWidth="1"/>
  </cols>
  <sheetData>
    <row r="6" spans="3:9" x14ac:dyDescent="0.3">
      <c r="C6" s="102" t="s">
        <v>1059</v>
      </c>
      <c r="D6" s="102">
        <v>186.9</v>
      </c>
      <c r="E6" s="102">
        <v>35.4</v>
      </c>
      <c r="G6" s="102" t="s">
        <v>1059</v>
      </c>
      <c r="H6">
        <v>187.4</v>
      </c>
      <c r="I6">
        <v>8</v>
      </c>
    </row>
    <row r="7" spans="3:9" x14ac:dyDescent="0.3">
      <c r="C7" s="102" t="s">
        <v>1060</v>
      </c>
      <c r="D7" s="102">
        <v>2.7</v>
      </c>
      <c r="E7" s="102">
        <v>10.8</v>
      </c>
      <c r="G7" s="102" t="s">
        <v>1061</v>
      </c>
      <c r="H7">
        <v>16.7</v>
      </c>
    </row>
    <row r="8" spans="3:9" x14ac:dyDescent="0.3">
      <c r="C8" s="102" t="s">
        <v>1061</v>
      </c>
      <c r="D8" s="102">
        <v>13.8</v>
      </c>
      <c r="E8" s="102">
        <v>25.7</v>
      </c>
    </row>
    <row r="10" spans="3:9" x14ac:dyDescent="0.3">
      <c r="C10" t="s">
        <v>1062</v>
      </c>
      <c r="D10">
        <v>60.3</v>
      </c>
      <c r="E10">
        <v>0</v>
      </c>
      <c r="G10" t="s">
        <v>1062</v>
      </c>
      <c r="H10">
        <v>55.1</v>
      </c>
    </row>
    <row r="12" spans="3:9" x14ac:dyDescent="0.3">
      <c r="C12" t="s">
        <v>1063</v>
      </c>
      <c r="D12">
        <v>73.900000000000006</v>
      </c>
      <c r="E12">
        <v>71.900000000000006</v>
      </c>
      <c r="G12" t="s">
        <v>1063</v>
      </c>
      <c r="H12">
        <v>73.900000000000006</v>
      </c>
      <c r="I12">
        <v>71.900000000000006</v>
      </c>
    </row>
    <row r="21" spans="6:8" x14ac:dyDescent="0.3">
      <c r="F21" s="103" t="s">
        <v>1065</v>
      </c>
      <c r="G21" t="s">
        <v>1063</v>
      </c>
      <c r="H21" t="s">
        <v>1059</v>
      </c>
    </row>
    <row r="24" spans="6:8" x14ac:dyDescent="0.3">
      <c r="F24" s="103" t="s">
        <v>975</v>
      </c>
      <c r="G24">
        <v>2.9</v>
      </c>
    </row>
    <row r="25" spans="6:8" x14ac:dyDescent="0.3">
      <c r="F25" s="103" t="s">
        <v>989</v>
      </c>
      <c r="G25">
        <v>15</v>
      </c>
    </row>
    <row r="26" spans="6:8" x14ac:dyDescent="0.3">
      <c r="F26" s="103" t="s">
        <v>981</v>
      </c>
      <c r="H26">
        <v>1</v>
      </c>
    </row>
    <row r="27" spans="6:8" x14ac:dyDescent="0.3">
      <c r="F27" s="103" t="s">
        <v>997</v>
      </c>
      <c r="H27">
        <v>2.9</v>
      </c>
    </row>
    <row r="28" spans="6:8" x14ac:dyDescent="0.3">
      <c r="F28" s="103" t="s">
        <v>1008</v>
      </c>
      <c r="H28">
        <v>1.1000000000000001</v>
      </c>
    </row>
    <row r="29" spans="6:8" x14ac:dyDescent="0.3">
      <c r="F29" s="103" t="s">
        <v>1009</v>
      </c>
      <c r="H29">
        <v>3</v>
      </c>
    </row>
    <row r="30" spans="6:8" x14ac:dyDescent="0.3">
      <c r="F30" s="103" t="s">
        <v>1024</v>
      </c>
      <c r="G30" s="104" t="s">
        <v>1064</v>
      </c>
    </row>
    <row r="31" spans="6:8" x14ac:dyDescent="0.3">
      <c r="F31" s="103" t="s">
        <v>1028</v>
      </c>
      <c r="G31" s="105">
        <v>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35</vt:i4>
      </vt:variant>
    </vt:vector>
  </HeadingPairs>
  <TitlesOfParts>
    <vt:vector size="35" baseType="lpstr">
      <vt:lpstr>10.4ЛкХам</vt:lpstr>
      <vt:lpstr>10.3отк</vt:lpstr>
      <vt:lpstr>10.3отк1</vt:lpstr>
      <vt:lpstr>10.3отк3</vt:lpstr>
      <vt:lpstr>10.3отк2</vt:lpstr>
      <vt:lpstr>10.3отк4</vt:lpstr>
      <vt:lpstr>Лист1</vt:lpstr>
      <vt:lpstr>10.2плны</vt:lpstr>
      <vt:lpstr>8.7штр</vt:lpstr>
      <vt:lpstr>7.5.1лес</vt:lpstr>
      <vt:lpstr>8.6отв</vt:lpstr>
      <vt:lpstr>8.5дфрг</vt:lpstr>
      <vt:lpstr>8.4отк.лк</vt:lpstr>
      <vt:lpstr>8.3шп.лк</vt:lpstr>
      <vt:lpstr>8.2умнь.дв</vt:lpstr>
      <vt:lpstr>8.1дврн.откс</vt:lpstr>
      <vt:lpstr>7.8фрхв</vt:lpstr>
      <vt:lpstr>7.7внеш.блк</vt:lpstr>
      <vt:lpstr>7.6прмч</vt:lpstr>
      <vt:lpstr>КП</vt:lpstr>
      <vt:lpstr>Плитки</vt:lpstr>
      <vt:lpstr>Пом</vt:lpstr>
      <vt:lpstr>7.4Блок</vt:lpstr>
      <vt:lpstr>7.3Кирп1э</vt:lpstr>
      <vt:lpstr>7.2КирпПодв</vt:lpstr>
      <vt:lpstr>7.1ПГП</vt:lpstr>
      <vt:lpstr>6.1ГКЛ</vt:lpstr>
      <vt:lpstr>5.3_остаток</vt:lpstr>
      <vt:lpstr>5.2Плт</vt:lpstr>
      <vt:lpstr>5.1_плтк</vt:lpstr>
      <vt:lpstr>3.2-Ок-Ш2</vt:lpstr>
      <vt:lpstr>4.1-Ст</vt:lpstr>
      <vt:lpstr>3.1-Ок-Ш2_НЗ</vt:lpstr>
      <vt:lpstr>3.1-Ок-Ш2</vt:lpstr>
      <vt:lpstr>Лист2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2026-03-12T14:33:45Z</dcterms:created>
  <dcterms:modified xsi:type="dcterms:W3CDTF">2026-10-22T12:25:49Z</dcterms:modified>
  <cp:category/>
</cp:coreProperties>
</file>