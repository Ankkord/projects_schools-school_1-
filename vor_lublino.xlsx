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3265" yWindow="5565" windowWidth="5535" windowHeight="6105" activeTab="1"/>
  </bookViews>
  <sheets>
    <sheet name="Пример" sheetId="1" r:id="rId1"/>
    <sheet name="стены штукатурка" sheetId="2" r:id="rId2"/>
    <sheet name="Стены итог шт" sheetId="4" r:id="rId3"/>
    <sheet name="Стены шпаклевка" sheetId="3" r:id="rId4"/>
  </sheets>
  <calcPr calcId="145621"/>
</workbook>
</file>

<file path=xl/calcChain.xml><?xml version="1.0" encoding="utf-8"?>
<calcChain xmlns="http://schemas.openxmlformats.org/spreadsheetml/2006/main">
  <c r="D10" i="4" l="1"/>
  <c r="G5" i="4"/>
  <c r="D13" i="4"/>
  <c r="D12" i="4"/>
  <c r="D14" i="4" s="1"/>
  <c r="D11" i="4"/>
  <c r="D9" i="4"/>
  <c r="D8" i="4"/>
  <c r="D7" i="4"/>
  <c r="E75" i="2" l="1"/>
  <c r="E71" i="2"/>
  <c r="E67" i="2"/>
  <c r="E63" i="2"/>
  <c r="E59" i="2"/>
  <c r="E55" i="2"/>
  <c r="E47" i="2"/>
  <c r="E51" i="2"/>
  <c r="E43" i="2"/>
  <c r="E39" i="2"/>
  <c r="E35" i="2"/>
  <c r="E27" i="2"/>
  <c r="E19" i="2"/>
  <c r="E15" i="2"/>
  <c r="E11" i="2"/>
  <c r="E7" i="2"/>
  <c r="H73" i="2" l="1"/>
  <c r="E6" i="2"/>
  <c r="H5" i="2"/>
  <c r="E74" i="2"/>
  <c r="E83" i="3"/>
  <c r="E82" i="3"/>
  <c r="D81" i="3"/>
  <c r="D80" i="3"/>
  <c r="D60" i="3"/>
  <c r="E62" i="3" s="1"/>
  <c r="D50" i="3"/>
  <c r="D40" i="3"/>
  <c r="D29" i="3"/>
  <c r="D19" i="3"/>
  <c r="C19" i="3"/>
  <c r="C29" i="3" s="1"/>
  <c r="C40" i="3" s="1"/>
  <c r="C50" i="3" s="1"/>
  <c r="D9" i="3"/>
  <c r="E46" i="2"/>
  <c r="H45" i="2"/>
  <c r="E34" i="2"/>
  <c r="H33" i="2"/>
  <c r="E30" i="2"/>
  <c r="H29" i="2"/>
  <c r="E22" i="2"/>
  <c r="H21" i="2"/>
  <c r="H69" i="2"/>
  <c r="H65" i="2"/>
  <c r="H61" i="2"/>
  <c r="H57" i="2"/>
  <c r="H53" i="2"/>
  <c r="H49" i="2"/>
  <c r="H41" i="2"/>
  <c r="H37" i="2"/>
  <c r="H25" i="2"/>
  <c r="H17" i="2"/>
  <c r="H13" i="2"/>
  <c r="H9" i="2"/>
  <c r="E70" i="2"/>
  <c r="E54" i="2"/>
  <c r="E66" i="2"/>
  <c r="E26" i="2"/>
  <c r="E18" i="2"/>
  <c r="E14" i="2"/>
  <c r="E10" i="2"/>
  <c r="E42" i="2"/>
  <c r="E38" i="2"/>
  <c r="E50" i="2"/>
  <c r="E58" i="2"/>
  <c r="D5" i="4" l="1"/>
  <c r="E61" i="3"/>
  <c r="E62" i="2"/>
</calcChain>
</file>

<file path=xl/sharedStrings.xml><?xml version="1.0" encoding="utf-8"?>
<sst xmlns="http://schemas.openxmlformats.org/spreadsheetml/2006/main" count="222" uniqueCount="77">
  <si>
    <t>Штукатурка цементным составом толщиной 16‐20 мм</t>
  </si>
  <si>
    <t>Штукатурка цементным составом толщиной 21-40 мм</t>
  </si>
  <si>
    <t>Штукатурка цементным составом толщиной 41-60 мм</t>
  </si>
  <si>
    <t>Штукатурка цементным составом толщиной боле 60 мм</t>
  </si>
  <si>
    <t>Сетка штукатурная сварная оцинкованная 10х10 мм d0,6 мм</t>
  </si>
  <si>
    <t>Анкер‐клин 6х60 мм</t>
  </si>
  <si>
    <t>№ п.п.</t>
  </si>
  <si>
    <t>Наименование</t>
  </si>
  <si>
    <t>Объем, м</t>
  </si>
  <si>
    <t>Спецификация выполненных работ</t>
  </si>
  <si>
    <t>Примечание: 100% штукатурки выполнено по сетке штукатурной сварной 10х10 мм d0,6 мм, закрепленной к ограждающим конструкциям при помощи анкер‐клина 6х60 мм (не менее 5 шт/м2).</t>
  </si>
  <si>
    <t>Профиль углозащитный оцинкованный 31х31 мм 0,5 мм</t>
  </si>
  <si>
    <t>Шпаклевка базовая по оштукатуренной поверхности</t>
  </si>
  <si>
    <t>Шпаклевка базовая по поверхности ГВЛ</t>
  </si>
  <si>
    <t>Монтаж углавого профиля</t>
  </si>
  <si>
    <t>D</t>
  </si>
  <si>
    <t>Вид 1</t>
  </si>
  <si>
    <t>Вид 2</t>
  </si>
  <si>
    <t>Вид 3</t>
  </si>
  <si>
    <t>Вид 4</t>
  </si>
  <si>
    <t>Вид 5, 6 , 7 , 8</t>
  </si>
  <si>
    <t>Итог</t>
  </si>
  <si>
    <t>522.34 п.м.</t>
  </si>
  <si>
    <t>15.16 п.м.</t>
  </si>
  <si>
    <t>252.11 п.м.</t>
  </si>
  <si>
    <t>71.89 п.м.</t>
  </si>
  <si>
    <t>114.34 п.м.</t>
  </si>
  <si>
    <t>68.84 п.м.</t>
  </si>
  <si>
    <t>Объем, м²</t>
  </si>
  <si>
    <t xml:space="preserve">Окраска поверхности стен с предварительной огрунтовкой в 2 слоя </t>
  </si>
  <si>
    <t>Объем, кг*</t>
  </si>
  <si>
    <t>Окраска поверхности стен с предварительной огрунтовкой в 2 слоя:</t>
  </si>
  <si>
    <t>Грунтовка универсальная</t>
  </si>
  <si>
    <t>Матовая водно-дисперсионная краска RAL 9003 НГ</t>
  </si>
  <si>
    <t>Монтаж углового профиля</t>
  </si>
  <si>
    <t>Шпаклевка финишная по ГВЛ</t>
  </si>
  <si>
    <t>Шпаклевка финишная по оштукатуренной поверхности</t>
  </si>
  <si>
    <t>Зашивка коммуникации ГВЛ в 1 слой</t>
  </si>
  <si>
    <t>итог</t>
  </si>
  <si>
    <t>16.00 п.м.</t>
  </si>
  <si>
    <t>Откосы</t>
  </si>
  <si>
    <t>Шпаклевка оконных откосов базовая</t>
  </si>
  <si>
    <t>Шпаклевка оконных откосов финишная</t>
  </si>
  <si>
    <t xml:space="preserve">Окраска поверхности откосов с предварительной огрунтовкой в 2 слоя </t>
  </si>
  <si>
    <t xml:space="preserve"> п.м</t>
  </si>
  <si>
    <t>1.035, 1.037</t>
  </si>
  <si>
    <t>1.049</t>
  </si>
  <si>
    <t>1.039</t>
  </si>
  <si>
    <t>1.040, 1.043, 1.044</t>
  </si>
  <si>
    <t>1.048</t>
  </si>
  <si>
    <t>1.030</t>
  </si>
  <si>
    <t>1.032</t>
  </si>
  <si>
    <t>1.033</t>
  </si>
  <si>
    <t>1.036</t>
  </si>
  <si>
    <t>1.045, 1.046</t>
  </si>
  <si>
    <t>1.053</t>
  </si>
  <si>
    <t>1.026</t>
  </si>
  <si>
    <t>Сетка штукатурная стеклопакетная 10х10 мм</t>
  </si>
  <si>
    <t>Помещения:</t>
  </si>
  <si>
    <t>1.028</t>
  </si>
  <si>
    <t>Штукатурка цементная</t>
  </si>
  <si>
    <t>1.1.1</t>
  </si>
  <si>
    <t>1.1.2</t>
  </si>
  <si>
    <t>1.1.3</t>
  </si>
  <si>
    <t>1.2</t>
  </si>
  <si>
    <t>1.2.2</t>
  </si>
  <si>
    <t>1.2.1</t>
  </si>
  <si>
    <t>1.2.3</t>
  </si>
  <si>
    <t>Объем</t>
  </si>
  <si>
    <t>м²</t>
  </si>
  <si>
    <t>пог. м</t>
  </si>
  <si>
    <t>Грунтовка БЕТОН-КОНТАКТ</t>
  </si>
  <si>
    <t>кг</t>
  </si>
  <si>
    <t>Штукатурка стен цементным, цементно-песчаным раствором с предварительной огрунтовкой (ЧСТ-1)</t>
  </si>
  <si>
    <t>Штукатурка стен цементным, цементно-песчаным раствором с предварительной огрунтовкой (ЧСТ-2)</t>
  </si>
  <si>
    <t>Сетка штукатурная /пластиковая/5*5</t>
  </si>
  <si>
    <t>Грунтовка универсальный ЛАСТИМИН / LP-51 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</si>
</sst>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ГОСТ тип А"/>
      <family val="2"/>
      <charset val="204"/>
    </font>
    <font>
      <sz val="10"/>
      <color theme="1"/>
      <name val="ГОСТ тип А"/>
      <family val="2"/>
      <charset val="204"/>
    </font>
    <font>
      <sz val="10"/>
      <name val="ГОСТ тип А"/>
      <family val="2"/>
      <charset val="204"/>
    </font>
    <font>
      <i/>
      <sz val="10"/>
      <color theme="1"/>
      <name val="ГОСТ тип А"/>
      <family val="2"/>
      <charset val="204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>
      <alignment horizontal="right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top"/>
    </xf>
    <xf numFmtId="2" fontId="2" fillId="0" borderId="0" xfId="0" applyNumberFormat="1" applyFont="1" applyBorder="1" applyAlignment="1">
      <alignment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 wrapText="1"/>
    </xf>
    <xf numFmtId="2" fontId="2" fillId="0" borderId="0" xfId="0" applyNumberFormat="1" applyFont="1"/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9" xfId="0" applyNumberFormat="1" applyFont="1" applyBorder="1" applyAlignment="1">
      <alignment vertical="center"/>
    </xf>
    <xf numFmtId="2" fontId="2" fillId="0" borderId="9" xfId="0" applyNumberFormat="1" applyFont="1" applyBorder="1"/>
    <xf numFmtId="0" fontId="2" fillId="0" borderId="9" xfId="0" applyFont="1" applyBorder="1"/>
    <xf numFmtId="0" fontId="2" fillId="0" borderId="11" xfId="0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2" fillId="0" borderId="12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14" xfId="0" applyNumberFormat="1" applyFont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3" fillId="0" borderId="23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2" fontId="2" fillId="0" borderId="2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vertical="center"/>
    </xf>
    <xf numFmtId="49" fontId="3" fillId="0" borderId="26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2" fillId="0" borderId="8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2" fontId="2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49" fontId="2" fillId="0" borderId="31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left" vertical="center" wrapText="1"/>
    </xf>
    <xf numFmtId="2" fontId="2" fillId="0" borderId="32" xfId="0" applyNumberFormat="1" applyFont="1" applyBorder="1" applyAlignment="1">
      <alignment horizontal="center" vertical="center"/>
    </xf>
    <xf numFmtId="2" fontId="2" fillId="0" borderId="33" xfId="0" applyNumberFormat="1" applyFont="1" applyBorder="1" applyAlignment="1">
      <alignment horizontal="center" vertical="center"/>
    </xf>
    <xf numFmtId="49" fontId="2" fillId="0" borderId="34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vertical="center"/>
    </xf>
    <xf numFmtId="2" fontId="2" fillId="0" borderId="35" xfId="0" applyNumberFormat="1" applyFont="1" applyBorder="1" applyAlignment="1">
      <alignment horizontal="center" vertical="center"/>
    </xf>
    <xf numFmtId="2" fontId="2" fillId="0" borderId="3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2" fontId="1" fillId="0" borderId="29" xfId="0" applyNumberFormat="1" applyFont="1" applyBorder="1" applyAlignment="1">
      <alignment horizontal="center" vertical="center"/>
    </xf>
    <xf numFmtId="2" fontId="1" fillId="0" borderId="30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8"/>
  <sheetViews>
    <sheetView topLeftCell="A7" workbookViewId="0">
      <selection activeCell="B14" sqref="B14:D18"/>
    </sheetView>
  </sheetViews>
  <sheetFormatPr defaultRowHeight="15" x14ac:dyDescent="0.25"/>
  <cols>
    <col min="1" max="1" width="12.28515625" customWidth="1"/>
    <col min="2" max="2" width="9.140625" style="1"/>
    <col min="3" max="3" width="56.5703125" customWidth="1"/>
    <col min="4" max="4" width="12.7109375" style="1" customWidth="1"/>
  </cols>
  <sheetData>
    <row r="2" spans="1:4" x14ac:dyDescent="0.25">
      <c r="B2" s="5"/>
      <c r="C2" s="7" t="s">
        <v>9</v>
      </c>
      <c r="D2" s="6"/>
    </row>
    <row r="3" spans="1:4" x14ac:dyDescent="0.25">
      <c r="B3" s="2" t="s">
        <v>6</v>
      </c>
      <c r="C3" s="3" t="s">
        <v>7</v>
      </c>
      <c r="D3" s="2" t="s">
        <v>8</v>
      </c>
    </row>
    <row r="4" spans="1:4" x14ac:dyDescent="0.25">
      <c r="B4" s="2">
        <v>1</v>
      </c>
      <c r="C4" s="3" t="s">
        <v>0</v>
      </c>
      <c r="D4" s="2"/>
    </row>
    <row r="5" spans="1:4" x14ac:dyDescent="0.25">
      <c r="B5" s="2">
        <v>2</v>
      </c>
      <c r="C5" s="3" t="s">
        <v>1</v>
      </c>
      <c r="D5" s="2"/>
    </row>
    <row r="6" spans="1:4" x14ac:dyDescent="0.25">
      <c r="B6" s="2">
        <v>3</v>
      </c>
      <c r="C6" s="3" t="s">
        <v>2</v>
      </c>
      <c r="D6" s="2"/>
    </row>
    <row r="7" spans="1:4" x14ac:dyDescent="0.25">
      <c r="B7" s="2">
        <v>4</v>
      </c>
      <c r="C7" s="3" t="s">
        <v>3</v>
      </c>
      <c r="D7" s="2"/>
    </row>
    <row r="8" spans="1:4" x14ac:dyDescent="0.25">
      <c r="B8" s="2">
        <v>5</v>
      </c>
      <c r="C8" s="3" t="s">
        <v>4</v>
      </c>
      <c r="D8" s="2"/>
    </row>
    <row r="9" spans="1:4" x14ac:dyDescent="0.25">
      <c r="B9" s="2">
        <v>6</v>
      </c>
      <c r="C9" s="3" t="s">
        <v>5</v>
      </c>
      <c r="D9" s="2"/>
    </row>
    <row r="10" spans="1:4" ht="15" customHeight="1" x14ac:dyDescent="0.25">
      <c r="B10" s="2">
        <v>7</v>
      </c>
      <c r="C10" s="8" t="s">
        <v>11</v>
      </c>
      <c r="D10" s="2"/>
    </row>
    <row r="12" spans="1:4" ht="60" x14ac:dyDescent="0.25">
      <c r="C12" s="4" t="s">
        <v>10</v>
      </c>
    </row>
    <row r="13" spans="1:4" x14ac:dyDescent="0.25">
      <c r="A13" t="s">
        <v>15</v>
      </c>
    </row>
    <row r="14" spans="1:4" x14ac:dyDescent="0.25">
      <c r="B14" s="5"/>
      <c r="C14" s="7" t="s">
        <v>9</v>
      </c>
      <c r="D14" s="6"/>
    </row>
    <row r="15" spans="1:4" x14ac:dyDescent="0.25">
      <c r="B15" s="2" t="s">
        <v>6</v>
      </c>
      <c r="C15" s="3" t="s">
        <v>7</v>
      </c>
      <c r="D15" s="2" t="s">
        <v>8</v>
      </c>
    </row>
    <row r="16" spans="1:4" x14ac:dyDescent="0.25">
      <c r="B16" s="2">
        <v>1</v>
      </c>
      <c r="C16" s="3" t="s">
        <v>12</v>
      </c>
      <c r="D16" s="2"/>
    </row>
    <row r="17" spans="2:4" x14ac:dyDescent="0.25">
      <c r="B17" s="2">
        <v>2</v>
      </c>
      <c r="C17" s="3" t="s">
        <v>13</v>
      </c>
      <c r="D17" s="2"/>
    </row>
    <row r="18" spans="2:4" x14ac:dyDescent="0.25">
      <c r="B18" s="2">
        <v>3</v>
      </c>
      <c r="C18" s="3" t="s">
        <v>14</v>
      </c>
      <c r="D18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abSelected="1" topLeftCell="A61" zoomScale="130" zoomScaleNormal="130" workbookViewId="0">
      <selection activeCell="B3" sqref="B3:E75"/>
    </sheetView>
  </sheetViews>
  <sheetFormatPr defaultRowHeight="12.75" x14ac:dyDescent="0.2"/>
  <cols>
    <col min="1" max="1" width="9.140625" style="13"/>
    <col min="2" max="2" width="9.140625" style="21"/>
    <col min="3" max="3" width="13.7109375" style="59" customWidth="1"/>
    <col min="4" max="4" width="45.85546875" style="21" customWidth="1"/>
    <col min="5" max="5" width="12.7109375" style="12" customWidth="1"/>
    <col min="6" max="6" width="10.7109375" style="12" customWidth="1"/>
    <col min="7" max="7" width="7.42578125" style="37" customWidth="1"/>
    <col min="8" max="8" width="9.140625" style="13"/>
    <col min="9" max="9" width="9.28515625" style="13" customWidth="1"/>
    <col min="10" max="10" width="21.42578125" style="13" customWidth="1"/>
    <col min="11" max="16384" width="9.140625" style="13"/>
  </cols>
  <sheetData>
    <row r="1" spans="1:8" x14ac:dyDescent="0.2">
      <c r="A1" s="50"/>
    </row>
    <row r="2" spans="1:8" ht="13.5" thickBot="1" x14ac:dyDescent="0.25">
      <c r="A2" s="51"/>
    </row>
    <row r="3" spans="1:8" x14ac:dyDescent="0.2">
      <c r="A3" s="51"/>
      <c r="B3" s="56"/>
      <c r="C3" s="60"/>
      <c r="D3" s="57" t="s">
        <v>9</v>
      </c>
      <c r="E3" s="58"/>
    </row>
    <row r="4" spans="1:8" ht="13.5" thickBot="1" x14ac:dyDescent="0.25">
      <c r="A4" s="51"/>
      <c r="B4" s="64" t="s">
        <v>6</v>
      </c>
      <c r="C4" s="65" t="s">
        <v>58</v>
      </c>
      <c r="D4" s="66" t="s">
        <v>7</v>
      </c>
      <c r="E4" s="67" t="s">
        <v>28</v>
      </c>
    </row>
    <row r="5" spans="1:8" x14ac:dyDescent="0.2">
      <c r="A5" s="51"/>
      <c r="B5" s="53">
        <v>1</v>
      </c>
      <c r="C5" s="68" t="s">
        <v>56</v>
      </c>
      <c r="D5" s="69" t="s">
        <v>1</v>
      </c>
      <c r="E5" s="54">
        <v>284.86</v>
      </c>
      <c r="H5" s="37">
        <f>E5</f>
        <v>284.86</v>
      </c>
    </row>
    <row r="6" spans="1:8" x14ac:dyDescent="0.2">
      <c r="A6" s="51"/>
      <c r="B6" s="43"/>
      <c r="C6" s="61"/>
      <c r="D6" s="15" t="s">
        <v>57</v>
      </c>
      <c r="E6" s="44">
        <f>E5</f>
        <v>284.86</v>
      </c>
    </row>
    <row r="7" spans="1:8" x14ac:dyDescent="0.2">
      <c r="A7" s="51"/>
      <c r="B7" s="43"/>
      <c r="C7" s="61"/>
      <c r="D7" s="17" t="s">
        <v>11</v>
      </c>
      <c r="E7" s="45" t="str">
        <f>TEXT(G7, "0.00") &amp; " п.м"</f>
        <v>20.00 п.м</v>
      </c>
      <c r="G7" s="37">
        <v>20</v>
      </c>
    </row>
    <row r="8" spans="1:8" s="42" customFormat="1" ht="13.5" thickBot="1" x14ac:dyDescent="0.25">
      <c r="A8" s="51"/>
      <c r="B8" s="64"/>
      <c r="C8" s="70"/>
      <c r="D8" s="66"/>
      <c r="E8" s="67"/>
      <c r="F8" s="40"/>
      <c r="G8" s="41"/>
    </row>
    <row r="9" spans="1:8" x14ac:dyDescent="0.2">
      <c r="A9" s="51"/>
      <c r="B9" s="53">
        <v>2</v>
      </c>
      <c r="C9" s="68">
        <v>1.0269999999999999</v>
      </c>
      <c r="D9" s="69" t="s">
        <v>1</v>
      </c>
      <c r="E9" s="54">
        <v>110.55</v>
      </c>
      <c r="H9" s="37">
        <f>E9</f>
        <v>110.55</v>
      </c>
    </row>
    <row r="10" spans="1:8" x14ac:dyDescent="0.2">
      <c r="A10" s="51"/>
      <c r="B10" s="43"/>
      <c r="C10" s="61"/>
      <c r="D10" s="15" t="s">
        <v>57</v>
      </c>
      <c r="E10" s="44">
        <f>E9</f>
        <v>110.55</v>
      </c>
    </row>
    <row r="11" spans="1:8" x14ac:dyDescent="0.2">
      <c r="A11" s="51"/>
      <c r="B11" s="43"/>
      <c r="C11" s="61"/>
      <c r="D11" s="17" t="s">
        <v>11</v>
      </c>
      <c r="E11" s="45" t="str">
        <f>TEXT(G11, "0.00") &amp; " п.м"</f>
        <v>4.00 п.м</v>
      </c>
      <c r="G11" s="37">
        <v>4</v>
      </c>
    </row>
    <row r="12" spans="1:8" s="42" customFormat="1" ht="13.5" thickBot="1" x14ac:dyDescent="0.25">
      <c r="A12" s="51"/>
      <c r="B12" s="55"/>
      <c r="C12" s="62"/>
      <c r="D12" s="39"/>
      <c r="E12" s="46"/>
      <c r="F12" s="40"/>
      <c r="G12" s="41"/>
    </row>
    <row r="13" spans="1:8" x14ac:dyDescent="0.2">
      <c r="A13" s="51"/>
      <c r="B13" s="71">
        <v>3</v>
      </c>
      <c r="C13" s="63" t="s">
        <v>59</v>
      </c>
      <c r="D13" s="38" t="s">
        <v>1</v>
      </c>
      <c r="E13" s="47">
        <v>103.27</v>
      </c>
      <c r="H13" s="37">
        <f>E13</f>
        <v>103.27</v>
      </c>
    </row>
    <row r="14" spans="1:8" x14ac:dyDescent="0.2">
      <c r="A14" s="51"/>
      <c r="B14" s="43"/>
      <c r="C14" s="61"/>
      <c r="D14" s="15" t="s">
        <v>57</v>
      </c>
      <c r="E14" s="44">
        <f>E13</f>
        <v>103.27</v>
      </c>
    </row>
    <row r="15" spans="1:8" x14ac:dyDescent="0.2">
      <c r="A15" s="51"/>
      <c r="B15" s="43"/>
      <c r="C15" s="61"/>
      <c r="D15" s="17" t="s">
        <v>11</v>
      </c>
      <c r="E15" s="45" t="str">
        <f>TEXT(G15, "0.00") &amp; " п.м"</f>
        <v>0.00 п.м</v>
      </c>
    </row>
    <row r="16" spans="1:8" s="42" customFormat="1" ht="13.5" thickBot="1" x14ac:dyDescent="0.25">
      <c r="A16" s="51"/>
      <c r="B16" s="64"/>
      <c r="C16" s="70"/>
      <c r="D16" s="66"/>
      <c r="E16" s="67"/>
      <c r="F16" s="40"/>
      <c r="G16" s="41"/>
    </row>
    <row r="17" spans="1:8" x14ac:dyDescent="0.2">
      <c r="A17" s="51"/>
      <c r="B17" s="53">
        <v>4</v>
      </c>
      <c r="C17" s="68">
        <v>1.0289999999999999</v>
      </c>
      <c r="D17" s="69" t="s">
        <v>1</v>
      </c>
      <c r="E17" s="54">
        <v>92.42</v>
      </c>
      <c r="H17" s="37">
        <f>E17</f>
        <v>92.42</v>
      </c>
    </row>
    <row r="18" spans="1:8" x14ac:dyDescent="0.2">
      <c r="A18" s="51"/>
      <c r="B18" s="43"/>
      <c r="C18" s="61"/>
      <c r="D18" s="15" t="s">
        <v>57</v>
      </c>
      <c r="E18" s="44">
        <f>E17</f>
        <v>92.42</v>
      </c>
    </row>
    <row r="19" spans="1:8" x14ac:dyDescent="0.2">
      <c r="A19" s="51"/>
      <c r="B19" s="43"/>
      <c r="C19" s="61"/>
      <c r="D19" s="17" t="s">
        <v>11</v>
      </c>
      <c r="E19" s="45" t="str">
        <f>TEXT(G19, "0.00") &amp; " п.м"</f>
        <v>0.00 п.м</v>
      </c>
    </row>
    <row r="20" spans="1:8" s="42" customFormat="1" ht="13.5" thickBot="1" x14ac:dyDescent="0.25">
      <c r="A20" s="51"/>
      <c r="B20" s="55"/>
      <c r="C20" s="62"/>
      <c r="D20" s="39"/>
      <c r="E20" s="46"/>
      <c r="F20" s="40"/>
      <c r="G20" s="41"/>
    </row>
    <row r="21" spans="1:8" x14ac:dyDescent="0.2">
      <c r="A21" s="51"/>
      <c r="B21" s="71">
        <v>5</v>
      </c>
      <c r="C21" s="63" t="s">
        <v>50</v>
      </c>
      <c r="D21" s="38" t="s">
        <v>1</v>
      </c>
      <c r="E21" s="47">
        <v>94.91</v>
      </c>
      <c r="H21" s="37">
        <f>E21</f>
        <v>94.91</v>
      </c>
    </row>
    <row r="22" spans="1:8" x14ac:dyDescent="0.2">
      <c r="A22" s="51"/>
      <c r="B22" s="43"/>
      <c r="C22" s="61"/>
      <c r="D22" s="15" t="s">
        <v>57</v>
      </c>
      <c r="E22" s="44">
        <f>E21</f>
        <v>94.91</v>
      </c>
    </row>
    <row r="23" spans="1:8" x14ac:dyDescent="0.2">
      <c r="A23" s="51"/>
      <c r="B23" s="43"/>
      <c r="C23" s="61"/>
      <c r="D23" s="17" t="s">
        <v>11</v>
      </c>
      <c r="E23" s="44" t="s">
        <v>44</v>
      </c>
    </row>
    <row r="24" spans="1:8" s="42" customFormat="1" ht="13.5" thickBot="1" x14ac:dyDescent="0.25">
      <c r="A24" s="51"/>
      <c r="B24" s="64"/>
      <c r="C24" s="70"/>
      <c r="D24" s="66"/>
      <c r="E24" s="67"/>
      <c r="F24" s="40"/>
      <c r="G24" s="41"/>
    </row>
    <row r="25" spans="1:8" x14ac:dyDescent="0.2">
      <c r="A25" s="51"/>
      <c r="B25" s="53">
        <v>6</v>
      </c>
      <c r="C25" s="68">
        <v>1.0309999999999999</v>
      </c>
      <c r="D25" s="69" t="s">
        <v>1</v>
      </c>
      <c r="E25" s="54">
        <v>90.2</v>
      </c>
      <c r="H25" s="37">
        <f>E25</f>
        <v>90.2</v>
      </c>
    </row>
    <row r="26" spans="1:8" x14ac:dyDescent="0.2">
      <c r="A26" s="51"/>
      <c r="B26" s="43"/>
      <c r="C26" s="61"/>
      <c r="D26" s="15" t="s">
        <v>57</v>
      </c>
      <c r="E26" s="44">
        <f>E25</f>
        <v>90.2</v>
      </c>
    </row>
    <row r="27" spans="1:8" x14ac:dyDescent="0.2">
      <c r="A27" s="51"/>
      <c r="B27" s="43"/>
      <c r="C27" s="61"/>
      <c r="D27" s="17" t="s">
        <v>11</v>
      </c>
      <c r="E27" s="45" t="str">
        <f>TEXT(G27, "0.00") &amp; " п.м"</f>
        <v>0.00 п.м</v>
      </c>
    </row>
    <row r="28" spans="1:8" s="42" customFormat="1" ht="13.5" thickBot="1" x14ac:dyDescent="0.25">
      <c r="A28" s="51"/>
      <c r="B28" s="55"/>
      <c r="C28" s="62"/>
      <c r="D28" s="39"/>
      <c r="E28" s="46"/>
      <c r="F28" s="40"/>
      <c r="G28" s="41"/>
    </row>
    <row r="29" spans="1:8" x14ac:dyDescent="0.2">
      <c r="A29" s="51"/>
      <c r="B29" s="71">
        <v>7</v>
      </c>
      <c r="C29" s="63" t="s">
        <v>51</v>
      </c>
      <c r="D29" s="38" t="s">
        <v>1</v>
      </c>
      <c r="E29" s="47">
        <v>87.76</v>
      </c>
      <c r="H29" s="37">
        <f>E29</f>
        <v>87.76</v>
      </c>
    </row>
    <row r="30" spans="1:8" x14ac:dyDescent="0.2">
      <c r="A30" s="51"/>
      <c r="B30" s="43"/>
      <c r="C30" s="61"/>
      <c r="D30" s="15" t="s">
        <v>57</v>
      </c>
      <c r="E30" s="44">
        <f>E29</f>
        <v>87.76</v>
      </c>
    </row>
    <row r="31" spans="1:8" x14ac:dyDescent="0.2">
      <c r="A31" s="51"/>
      <c r="B31" s="43"/>
      <c r="C31" s="61"/>
      <c r="D31" s="17" t="s">
        <v>11</v>
      </c>
      <c r="E31" s="44" t="s">
        <v>44</v>
      </c>
      <c r="G31" s="37">
        <v>4</v>
      </c>
    </row>
    <row r="32" spans="1:8" s="42" customFormat="1" ht="13.5" thickBot="1" x14ac:dyDescent="0.25">
      <c r="A32" s="51"/>
      <c r="B32" s="64"/>
      <c r="C32" s="70"/>
      <c r="D32" s="66"/>
      <c r="E32" s="67"/>
      <c r="F32" s="40"/>
      <c r="G32" s="41"/>
    </row>
    <row r="33" spans="1:8" x14ac:dyDescent="0.2">
      <c r="A33" s="51"/>
      <c r="B33" s="53">
        <v>8</v>
      </c>
      <c r="C33" s="68" t="s">
        <v>52</v>
      </c>
      <c r="D33" s="69" t="s">
        <v>1</v>
      </c>
      <c r="E33" s="54">
        <v>142.44</v>
      </c>
      <c r="H33" s="37">
        <f>E33</f>
        <v>142.44</v>
      </c>
    </row>
    <row r="34" spans="1:8" x14ac:dyDescent="0.2">
      <c r="A34" s="51"/>
      <c r="B34" s="43"/>
      <c r="C34" s="61"/>
      <c r="D34" s="15" t="s">
        <v>57</v>
      </c>
      <c r="E34" s="44">
        <f>E33</f>
        <v>142.44</v>
      </c>
    </row>
    <row r="35" spans="1:8" x14ac:dyDescent="0.2">
      <c r="A35" s="51"/>
      <c r="B35" s="43"/>
      <c r="C35" s="61"/>
      <c r="D35" s="17" t="s">
        <v>11</v>
      </c>
      <c r="E35" s="45" t="str">
        <f>TEXT(G35, "0.00") &amp; " п.м"</f>
        <v>0.00 п.м</v>
      </c>
    </row>
    <row r="36" spans="1:8" s="42" customFormat="1" ht="13.5" thickBot="1" x14ac:dyDescent="0.25">
      <c r="A36" s="51"/>
      <c r="B36" s="55"/>
      <c r="C36" s="62"/>
      <c r="D36" s="39"/>
      <c r="E36" s="46"/>
      <c r="F36" s="40"/>
      <c r="G36" s="41"/>
    </row>
    <row r="37" spans="1:8" x14ac:dyDescent="0.2">
      <c r="A37" s="51"/>
      <c r="B37" s="53">
        <v>9</v>
      </c>
      <c r="C37" s="68">
        <v>1.034</v>
      </c>
      <c r="D37" s="69" t="s">
        <v>1</v>
      </c>
      <c r="E37" s="54">
        <v>76.23</v>
      </c>
      <c r="H37" s="37">
        <f>E37</f>
        <v>76.23</v>
      </c>
    </row>
    <row r="38" spans="1:8" x14ac:dyDescent="0.2">
      <c r="A38" s="51"/>
      <c r="B38" s="43"/>
      <c r="C38" s="61"/>
      <c r="D38" s="15" t="s">
        <v>57</v>
      </c>
      <c r="E38" s="44">
        <f>E37</f>
        <v>76.23</v>
      </c>
    </row>
    <row r="39" spans="1:8" x14ac:dyDescent="0.2">
      <c r="A39" s="51"/>
      <c r="B39" s="43"/>
      <c r="C39" s="61"/>
      <c r="D39" s="17" t="s">
        <v>11</v>
      </c>
      <c r="E39" s="45" t="str">
        <f>TEXT(G39, "0.00") &amp; " п.м"</f>
        <v>0.00 п.м</v>
      </c>
    </row>
    <row r="40" spans="1:8" s="42" customFormat="1" ht="13.5" thickBot="1" x14ac:dyDescent="0.25">
      <c r="A40" s="51"/>
      <c r="B40" s="55"/>
      <c r="C40" s="62"/>
      <c r="D40" s="39"/>
      <c r="E40" s="46"/>
      <c r="F40" s="40"/>
      <c r="G40" s="41"/>
    </row>
    <row r="41" spans="1:8" x14ac:dyDescent="0.2">
      <c r="A41" s="51"/>
      <c r="B41" s="71">
        <v>10</v>
      </c>
      <c r="C41" s="63" t="s">
        <v>45</v>
      </c>
      <c r="D41" s="38" t="s">
        <v>1</v>
      </c>
      <c r="E41" s="47">
        <v>40.76</v>
      </c>
      <c r="H41" s="37">
        <f>E41</f>
        <v>40.76</v>
      </c>
    </row>
    <row r="42" spans="1:8" x14ac:dyDescent="0.2">
      <c r="A42" s="51"/>
      <c r="B42" s="43"/>
      <c r="C42" s="61"/>
      <c r="D42" s="15" t="s">
        <v>57</v>
      </c>
      <c r="E42" s="44">
        <f>E41</f>
        <v>40.76</v>
      </c>
    </row>
    <row r="43" spans="1:8" x14ac:dyDescent="0.2">
      <c r="A43" s="51"/>
      <c r="B43" s="43"/>
      <c r="C43" s="61"/>
      <c r="D43" s="17" t="s">
        <v>11</v>
      </c>
      <c r="E43" s="45" t="str">
        <f>TEXT(G43, "0.00") &amp; " п.м"</f>
        <v>0.00 п.м</v>
      </c>
    </row>
    <row r="44" spans="1:8" s="42" customFormat="1" ht="13.5" thickBot="1" x14ac:dyDescent="0.25">
      <c r="A44" s="51"/>
      <c r="B44" s="64"/>
      <c r="C44" s="70"/>
      <c r="D44" s="66"/>
      <c r="E44" s="67"/>
      <c r="F44" s="40"/>
      <c r="G44" s="41"/>
    </row>
    <row r="45" spans="1:8" x14ac:dyDescent="0.2">
      <c r="A45" s="51"/>
      <c r="B45" s="53">
        <v>11</v>
      </c>
      <c r="C45" s="68" t="s">
        <v>53</v>
      </c>
      <c r="D45" s="69" t="s">
        <v>1</v>
      </c>
      <c r="E45" s="54">
        <v>14.15</v>
      </c>
      <c r="H45" s="37">
        <f>E45</f>
        <v>14.15</v>
      </c>
    </row>
    <row r="46" spans="1:8" x14ac:dyDescent="0.2">
      <c r="A46" s="51"/>
      <c r="B46" s="43"/>
      <c r="C46" s="61"/>
      <c r="D46" s="15" t="s">
        <v>57</v>
      </c>
      <c r="E46" s="44">
        <f>E45</f>
        <v>14.15</v>
      </c>
    </row>
    <row r="47" spans="1:8" x14ac:dyDescent="0.2">
      <c r="A47" s="51"/>
      <c r="B47" s="43"/>
      <c r="C47" s="61"/>
      <c r="D47" s="17" t="s">
        <v>11</v>
      </c>
      <c r="E47" s="45" t="str">
        <f>TEXT(G47, "0.00") &amp; " п.м"</f>
        <v>0.00 п.м</v>
      </c>
    </row>
    <row r="48" spans="1:8" s="42" customFormat="1" ht="13.5" thickBot="1" x14ac:dyDescent="0.25">
      <c r="A48" s="51"/>
      <c r="B48" s="55"/>
      <c r="C48" s="62"/>
      <c r="D48" s="39"/>
      <c r="E48" s="46"/>
      <c r="F48" s="40"/>
      <c r="G48" s="41"/>
    </row>
    <row r="49" spans="1:8" x14ac:dyDescent="0.2">
      <c r="A49" s="51"/>
      <c r="B49" s="71">
        <v>12</v>
      </c>
      <c r="C49" s="63">
        <v>1.038</v>
      </c>
      <c r="D49" s="38" t="s">
        <v>1</v>
      </c>
      <c r="E49" s="47">
        <v>36.69</v>
      </c>
      <c r="H49" s="37">
        <f>E49</f>
        <v>36.69</v>
      </c>
    </row>
    <row r="50" spans="1:8" x14ac:dyDescent="0.2">
      <c r="A50" s="51"/>
      <c r="B50" s="43"/>
      <c r="C50" s="61"/>
      <c r="D50" s="15" t="s">
        <v>57</v>
      </c>
      <c r="E50" s="44">
        <f>E49</f>
        <v>36.69</v>
      </c>
    </row>
    <row r="51" spans="1:8" x14ac:dyDescent="0.2">
      <c r="A51" s="51"/>
      <c r="B51" s="43"/>
      <c r="C51" s="61"/>
      <c r="D51" s="17" t="s">
        <v>11</v>
      </c>
      <c r="E51" s="45" t="str">
        <f>TEXT(G51, "0.00") &amp; " п.м"</f>
        <v>0.00 п.м</v>
      </c>
    </row>
    <row r="52" spans="1:8" s="42" customFormat="1" ht="13.5" thickBot="1" x14ac:dyDescent="0.25">
      <c r="A52" s="51"/>
      <c r="B52" s="64"/>
      <c r="C52" s="70"/>
      <c r="D52" s="66"/>
      <c r="E52" s="67"/>
      <c r="F52" s="40"/>
      <c r="G52" s="41"/>
    </row>
    <row r="53" spans="1:8" x14ac:dyDescent="0.2">
      <c r="A53" s="51"/>
      <c r="B53" s="53">
        <v>13</v>
      </c>
      <c r="C53" s="68" t="s">
        <v>47</v>
      </c>
      <c r="D53" s="69" t="s">
        <v>1</v>
      </c>
      <c r="E53" s="54">
        <v>166.2</v>
      </c>
      <c r="H53" s="37">
        <f>E53</f>
        <v>166.2</v>
      </c>
    </row>
    <row r="54" spans="1:8" x14ac:dyDescent="0.2">
      <c r="A54" s="51"/>
      <c r="B54" s="43"/>
      <c r="C54" s="61"/>
      <c r="D54" s="15" t="s">
        <v>57</v>
      </c>
      <c r="E54" s="44">
        <f>E53</f>
        <v>166.2</v>
      </c>
    </row>
    <row r="55" spans="1:8" x14ac:dyDescent="0.2">
      <c r="A55" s="51"/>
      <c r="B55" s="43"/>
      <c r="C55" s="61"/>
      <c r="D55" s="17" t="s">
        <v>11</v>
      </c>
      <c r="E55" s="45" t="str">
        <f>TEXT(G55, "0.00") &amp; " п.м"</f>
        <v>4.00 п.м</v>
      </c>
      <c r="G55" s="37">
        <v>4</v>
      </c>
    </row>
    <row r="56" spans="1:8" s="42" customFormat="1" ht="13.5" thickBot="1" x14ac:dyDescent="0.25">
      <c r="A56" s="51"/>
      <c r="B56" s="55"/>
      <c r="C56" s="62"/>
      <c r="D56" s="39"/>
      <c r="E56" s="46"/>
      <c r="F56" s="40"/>
      <c r="G56" s="41"/>
    </row>
    <row r="57" spans="1:8" x14ac:dyDescent="0.2">
      <c r="A57" s="51"/>
      <c r="B57" s="71">
        <v>14</v>
      </c>
      <c r="C57" s="63" t="s">
        <v>48</v>
      </c>
      <c r="D57" s="38" t="s">
        <v>1</v>
      </c>
      <c r="E57" s="47">
        <v>260.64999999999998</v>
      </c>
      <c r="H57" s="37">
        <f>E57</f>
        <v>260.64999999999998</v>
      </c>
    </row>
    <row r="58" spans="1:8" x14ac:dyDescent="0.2">
      <c r="A58" s="51"/>
      <c r="B58" s="43"/>
      <c r="C58" s="61"/>
      <c r="D58" s="15" t="s">
        <v>57</v>
      </c>
      <c r="E58" s="44">
        <f>E57</f>
        <v>260.64999999999998</v>
      </c>
    </row>
    <row r="59" spans="1:8" x14ac:dyDescent="0.2">
      <c r="A59" s="51"/>
      <c r="B59" s="43"/>
      <c r="C59" s="61"/>
      <c r="D59" s="17" t="s">
        <v>11</v>
      </c>
      <c r="E59" s="45" t="str">
        <f>TEXT(G59, "0.00") &amp; " п.м"</f>
        <v>103.45 п.м</v>
      </c>
      <c r="G59" s="37">
        <v>103.45</v>
      </c>
    </row>
    <row r="60" spans="1:8" s="42" customFormat="1" ht="13.5" thickBot="1" x14ac:dyDescent="0.25">
      <c r="A60" s="51"/>
      <c r="B60" s="64"/>
      <c r="C60" s="70"/>
      <c r="D60" s="66"/>
      <c r="E60" s="67"/>
      <c r="F60" s="40"/>
      <c r="G60" s="41"/>
    </row>
    <row r="61" spans="1:8" x14ac:dyDescent="0.2">
      <c r="A61" s="51"/>
      <c r="B61" s="53">
        <v>15</v>
      </c>
      <c r="C61" s="68" t="s">
        <v>54</v>
      </c>
      <c r="D61" s="69" t="s">
        <v>1</v>
      </c>
      <c r="E61" s="54">
        <v>372.12</v>
      </c>
      <c r="H61" s="37">
        <f>E61</f>
        <v>372.12</v>
      </c>
    </row>
    <row r="62" spans="1:8" x14ac:dyDescent="0.2">
      <c r="A62" s="51"/>
      <c r="B62" s="43"/>
      <c r="C62" s="61"/>
      <c r="D62" s="15" t="s">
        <v>57</v>
      </c>
      <c r="E62" s="44">
        <f>E61</f>
        <v>372.12</v>
      </c>
    </row>
    <row r="63" spans="1:8" x14ac:dyDescent="0.2">
      <c r="A63" s="51"/>
      <c r="B63" s="43"/>
      <c r="C63" s="61"/>
      <c r="D63" s="17" t="s">
        <v>11</v>
      </c>
      <c r="E63" s="45" t="str">
        <f>TEXT(G63, "0.00") &amp; " п.м"</f>
        <v>263.50 п.м</v>
      </c>
      <c r="G63" s="37">
        <v>263.5</v>
      </c>
    </row>
    <row r="64" spans="1:8" s="42" customFormat="1" ht="13.5" thickBot="1" x14ac:dyDescent="0.25">
      <c r="A64" s="51"/>
      <c r="B64" s="55"/>
      <c r="C64" s="62"/>
      <c r="D64" s="39"/>
      <c r="E64" s="46"/>
      <c r="F64" s="40"/>
      <c r="G64" s="41"/>
    </row>
    <row r="65" spans="1:8" x14ac:dyDescent="0.2">
      <c r="A65" s="51"/>
      <c r="B65" s="71">
        <v>16</v>
      </c>
      <c r="C65" s="63" t="s">
        <v>49</v>
      </c>
      <c r="D65" s="38" t="s">
        <v>1</v>
      </c>
      <c r="E65" s="47">
        <v>75.8</v>
      </c>
      <c r="H65" s="37">
        <f>E65</f>
        <v>75.8</v>
      </c>
    </row>
    <row r="66" spans="1:8" x14ac:dyDescent="0.2">
      <c r="A66" s="51"/>
      <c r="B66" s="43"/>
      <c r="C66" s="61"/>
      <c r="D66" s="15" t="s">
        <v>57</v>
      </c>
      <c r="E66" s="44">
        <f>E65</f>
        <v>75.8</v>
      </c>
    </row>
    <row r="67" spans="1:8" x14ac:dyDescent="0.2">
      <c r="A67" s="51"/>
      <c r="B67" s="43"/>
      <c r="C67" s="61"/>
      <c r="D67" s="17" t="s">
        <v>11</v>
      </c>
      <c r="E67" s="45" t="str">
        <f>TEXT(G67, "0.00") &amp; " п.м"</f>
        <v>7.40 п.м</v>
      </c>
      <c r="G67" s="37">
        <v>7.4</v>
      </c>
    </row>
    <row r="68" spans="1:8" s="42" customFormat="1" ht="13.5" thickBot="1" x14ac:dyDescent="0.25">
      <c r="A68" s="51"/>
      <c r="B68" s="64"/>
      <c r="C68" s="70"/>
      <c r="D68" s="66"/>
      <c r="E68" s="67"/>
      <c r="F68" s="40"/>
      <c r="G68" s="41"/>
    </row>
    <row r="69" spans="1:8" x14ac:dyDescent="0.2">
      <c r="A69" s="51"/>
      <c r="B69" s="53">
        <v>17</v>
      </c>
      <c r="C69" s="68" t="s">
        <v>46</v>
      </c>
      <c r="D69" s="69" t="s">
        <v>1</v>
      </c>
      <c r="E69" s="54">
        <v>152.54</v>
      </c>
      <c r="H69" s="37">
        <f>E69</f>
        <v>152.54</v>
      </c>
    </row>
    <row r="70" spans="1:8" x14ac:dyDescent="0.2">
      <c r="A70" s="51"/>
      <c r="B70" s="43"/>
      <c r="C70" s="61"/>
      <c r="D70" s="15" t="s">
        <v>57</v>
      </c>
      <c r="E70" s="44">
        <f>E69</f>
        <v>152.54</v>
      </c>
    </row>
    <row r="71" spans="1:8" x14ac:dyDescent="0.2">
      <c r="A71" s="51"/>
      <c r="B71" s="43"/>
      <c r="C71" s="61"/>
      <c r="D71" s="17" t="s">
        <v>11</v>
      </c>
      <c r="E71" s="45" t="str">
        <f>TEXT(G71, "0.00") &amp; " п.м"</f>
        <v>26.20 п.м</v>
      </c>
      <c r="G71" s="37">
        <v>26.2</v>
      </c>
    </row>
    <row r="72" spans="1:8" s="42" customFormat="1" ht="13.5" thickBot="1" x14ac:dyDescent="0.25">
      <c r="A72" s="51"/>
      <c r="B72" s="55"/>
      <c r="C72" s="62"/>
      <c r="D72" s="39"/>
      <c r="E72" s="46"/>
      <c r="F72" s="40"/>
      <c r="G72" s="41"/>
    </row>
    <row r="73" spans="1:8" x14ac:dyDescent="0.2">
      <c r="A73" s="51"/>
      <c r="B73" s="71">
        <v>18</v>
      </c>
      <c r="C73" s="63" t="s">
        <v>55</v>
      </c>
      <c r="D73" s="38" t="s">
        <v>1</v>
      </c>
      <c r="E73" s="47">
        <v>405.22</v>
      </c>
      <c r="H73" s="37">
        <f>E73</f>
        <v>405.22</v>
      </c>
    </row>
    <row r="74" spans="1:8" x14ac:dyDescent="0.2">
      <c r="A74" s="51"/>
      <c r="B74" s="43"/>
      <c r="C74" s="61"/>
      <c r="D74" s="15" t="s">
        <v>57</v>
      </c>
      <c r="E74" s="44">
        <f>E73</f>
        <v>405.22</v>
      </c>
    </row>
    <row r="75" spans="1:8" ht="13.5" thickBot="1" x14ac:dyDescent="0.25">
      <c r="A75" s="51"/>
      <c r="B75" s="55"/>
      <c r="C75" s="62"/>
      <c r="D75" s="48" t="s">
        <v>11</v>
      </c>
      <c r="E75" s="49" t="str">
        <f>TEXT(G75, "0.00") &amp; " п.м"</f>
        <v>284.90 п.м</v>
      </c>
      <c r="G75" s="37">
        <v>284.89999999999998</v>
      </c>
    </row>
    <row r="76" spans="1:8" x14ac:dyDescent="0.2">
      <c r="A76" s="51"/>
      <c r="B76" s="18"/>
      <c r="C76" s="63"/>
      <c r="D76" s="19"/>
      <c r="E76" s="20"/>
    </row>
    <row r="77" spans="1:8" x14ac:dyDescent="0.2">
      <c r="A77" s="5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zoomScaleNormal="100" workbookViewId="0">
      <selection activeCell="B3" sqref="B3:E15"/>
    </sheetView>
  </sheetViews>
  <sheetFormatPr defaultRowHeight="15" x14ac:dyDescent="0.25"/>
  <cols>
    <col min="1" max="1" width="6.42578125" customWidth="1"/>
    <col min="2" max="2" width="7.85546875" style="72" customWidth="1"/>
    <col min="3" max="3" width="53" customWidth="1"/>
    <col min="4" max="4" width="10.7109375" style="89" customWidth="1"/>
    <col min="5" max="5" width="9.140625" style="1"/>
  </cols>
  <sheetData>
    <row r="2" spans="1:7" ht="15.75" thickBot="1" x14ac:dyDescent="0.3"/>
    <row r="3" spans="1:7" s="13" customFormat="1" ht="12.75" x14ac:dyDescent="0.2">
      <c r="A3" s="51"/>
      <c r="B3" s="90"/>
      <c r="C3" s="91" t="s">
        <v>9</v>
      </c>
      <c r="D3" s="92"/>
      <c r="E3" s="93"/>
      <c r="F3" s="37"/>
    </row>
    <row r="4" spans="1:7" s="13" customFormat="1" ht="13.5" thickBot="1" x14ac:dyDescent="0.25">
      <c r="A4" s="51"/>
      <c r="B4" s="94" t="s">
        <v>6</v>
      </c>
      <c r="C4" s="95" t="s">
        <v>7</v>
      </c>
      <c r="D4" s="96" t="s">
        <v>68</v>
      </c>
      <c r="E4" s="97"/>
      <c r="F4" s="37"/>
    </row>
    <row r="5" spans="1:7" s="13" customFormat="1" ht="12.75" x14ac:dyDescent="0.2">
      <c r="A5" s="52"/>
      <c r="B5" s="77">
        <v>1</v>
      </c>
      <c r="C5" s="78" t="s">
        <v>1</v>
      </c>
      <c r="D5" s="79">
        <f>G5</f>
        <v>2606.7700000000004</v>
      </c>
      <c r="E5" s="47" t="s">
        <v>69</v>
      </c>
      <c r="F5" s="37"/>
      <c r="G5" s="13">
        <f>SUM('стены штукатурка'!H1:H75)</f>
        <v>2606.7700000000004</v>
      </c>
    </row>
    <row r="6" spans="1:7" s="13" customFormat="1" ht="25.5" x14ac:dyDescent="0.2">
      <c r="B6" s="73">
        <v>1.1000000000000001</v>
      </c>
      <c r="C6" s="22" t="s">
        <v>73</v>
      </c>
      <c r="D6" s="16">
        <v>991.77</v>
      </c>
      <c r="E6" s="44" t="s">
        <v>69</v>
      </c>
      <c r="F6" s="37"/>
    </row>
    <row r="7" spans="1:7" s="13" customFormat="1" ht="12.75" x14ac:dyDescent="0.2">
      <c r="B7" s="73" t="s">
        <v>61</v>
      </c>
      <c r="C7" s="75" t="s">
        <v>60</v>
      </c>
      <c r="D7" s="16">
        <f>D6*1.3</f>
        <v>1289.3009999999999</v>
      </c>
      <c r="E7" s="44" t="s">
        <v>72</v>
      </c>
      <c r="F7" s="37"/>
    </row>
    <row r="8" spans="1:7" s="13" customFormat="1" ht="12.75" x14ac:dyDescent="0.2">
      <c r="B8" s="73" t="s">
        <v>62</v>
      </c>
      <c r="C8" s="75" t="s">
        <v>75</v>
      </c>
      <c r="D8" s="16">
        <f>D6*1.1</f>
        <v>1090.9470000000001</v>
      </c>
      <c r="E8" s="44" t="s">
        <v>69</v>
      </c>
      <c r="F8" s="37"/>
    </row>
    <row r="9" spans="1:7" s="13" customFormat="1" ht="13.5" thickBot="1" x14ac:dyDescent="0.25">
      <c r="B9" s="74" t="s">
        <v>63</v>
      </c>
      <c r="C9" s="80" t="s">
        <v>71</v>
      </c>
      <c r="D9" s="76">
        <f>D6*0.25</f>
        <v>247.9425</v>
      </c>
      <c r="E9" s="46" t="s">
        <v>72</v>
      </c>
      <c r="F9" s="37"/>
    </row>
    <row r="10" spans="1:7" s="13" customFormat="1" ht="25.5" x14ac:dyDescent="0.2">
      <c r="B10" s="77" t="s">
        <v>64</v>
      </c>
      <c r="C10" s="98" t="s">
        <v>74</v>
      </c>
      <c r="D10" s="79">
        <f>D5-D6</f>
        <v>1615.0000000000005</v>
      </c>
      <c r="E10" s="47" t="s">
        <v>69</v>
      </c>
      <c r="F10" s="37"/>
    </row>
    <row r="11" spans="1:7" s="13" customFormat="1" ht="12.75" x14ac:dyDescent="0.2">
      <c r="B11" s="73" t="s">
        <v>66</v>
      </c>
      <c r="C11" s="75" t="s">
        <v>76</v>
      </c>
      <c r="D11" s="16">
        <f>D10*1.3</f>
        <v>2099.5000000000005</v>
      </c>
      <c r="E11" s="44" t="s">
        <v>72</v>
      </c>
      <c r="F11" s="37"/>
    </row>
    <row r="12" spans="1:7" s="13" customFormat="1" ht="12.75" x14ac:dyDescent="0.2">
      <c r="B12" s="73" t="s">
        <v>65</v>
      </c>
      <c r="C12" s="75" t="s">
        <v>75</v>
      </c>
      <c r="D12" s="16">
        <f>D10</f>
        <v>1615.0000000000005</v>
      </c>
      <c r="E12" s="44" t="s">
        <v>69</v>
      </c>
      <c r="F12" s="37"/>
    </row>
    <row r="13" spans="1:7" s="13" customFormat="1" ht="13.5" thickBot="1" x14ac:dyDescent="0.25">
      <c r="B13" s="74" t="s">
        <v>67</v>
      </c>
      <c r="C13" s="80" t="s">
        <v>60</v>
      </c>
      <c r="D13" s="76">
        <f>D10*0.25</f>
        <v>403.75000000000011</v>
      </c>
      <c r="E13" s="46" t="s">
        <v>72</v>
      </c>
      <c r="F13" s="37"/>
    </row>
    <row r="14" spans="1:7" s="13" customFormat="1" ht="13.5" thickBot="1" x14ac:dyDescent="0.25">
      <c r="B14" s="85">
        <v>2</v>
      </c>
      <c r="C14" s="86" t="s">
        <v>57</v>
      </c>
      <c r="D14" s="87">
        <f>D12+D8</f>
        <v>2705.9470000000006</v>
      </c>
      <c r="E14" s="88" t="s">
        <v>69</v>
      </c>
      <c r="F14" s="37"/>
    </row>
    <row r="15" spans="1:7" s="13" customFormat="1" ht="13.5" thickBot="1" x14ac:dyDescent="0.25">
      <c r="B15" s="81">
        <v>3</v>
      </c>
      <c r="C15" s="82" t="s">
        <v>11</v>
      </c>
      <c r="D15" s="83">
        <v>717.45</v>
      </c>
      <c r="E15" s="84" t="s">
        <v>70</v>
      </c>
      <c r="F15" s="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topLeftCell="A7" workbookViewId="0">
      <selection activeCell="F35" sqref="F35"/>
    </sheetView>
  </sheetViews>
  <sheetFormatPr defaultRowHeight="15" x14ac:dyDescent="0.25"/>
  <cols>
    <col min="1" max="1" width="15.140625" bestFit="1" customWidth="1"/>
    <col min="2" max="2" width="5.7109375" bestFit="1" customWidth="1"/>
    <col min="3" max="3" width="56.85546875" bestFit="1" customWidth="1"/>
    <col min="4" max="4" width="9.28515625" bestFit="1" customWidth="1"/>
    <col min="5" max="5" width="9.5703125" bestFit="1" customWidth="1"/>
  </cols>
  <sheetData>
    <row r="1" spans="1:7" s="13" customFormat="1" ht="12.75" x14ac:dyDescent="0.2">
      <c r="A1" s="35" t="s">
        <v>16</v>
      </c>
      <c r="B1" s="21"/>
      <c r="C1" s="21"/>
      <c r="D1" s="12"/>
      <c r="E1" s="12"/>
    </row>
    <row r="2" spans="1:7" s="13" customFormat="1" ht="12.75" x14ac:dyDescent="0.2">
      <c r="A2" s="35"/>
      <c r="B2" s="9"/>
      <c r="C2" s="10" t="s">
        <v>9</v>
      </c>
      <c r="D2" s="11"/>
      <c r="E2" s="12"/>
    </row>
    <row r="3" spans="1:7" s="13" customFormat="1" ht="12.75" x14ac:dyDescent="0.2">
      <c r="A3" s="35"/>
      <c r="B3" s="14" t="s">
        <v>6</v>
      </c>
      <c r="C3" s="15" t="s">
        <v>7</v>
      </c>
      <c r="D3" s="16" t="s">
        <v>28</v>
      </c>
      <c r="E3" s="12"/>
    </row>
    <row r="4" spans="1:7" s="13" customFormat="1" ht="12.75" x14ac:dyDescent="0.2">
      <c r="A4" s="35"/>
      <c r="B4" s="14">
        <v>1</v>
      </c>
      <c r="C4" s="15" t="s">
        <v>12</v>
      </c>
      <c r="D4" s="16">
        <v>178.11</v>
      </c>
      <c r="E4" s="12"/>
      <c r="G4" s="37"/>
    </row>
    <row r="5" spans="1:7" s="13" customFormat="1" ht="12.75" x14ac:dyDescent="0.2">
      <c r="A5" s="35"/>
      <c r="B5" s="14">
        <v>2</v>
      </c>
      <c r="C5" s="15" t="s">
        <v>13</v>
      </c>
      <c r="D5" s="16">
        <v>0</v>
      </c>
      <c r="E5" s="12"/>
    </row>
    <row r="6" spans="1:7" s="13" customFormat="1" ht="12.75" x14ac:dyDescent="0.2">
      <c r="A6" s="35"/>
      <c r="B6" s="14">
        <v>3</v>
      </c>
      <c r="C6" s="15" t="s">
        <v>36</v>
      </c>
      <c r="D6" s="16">
        <v>178.11</v>
      </c>
      <c r="E6" s="32"/>
    </row>
    <row r="7" spans="1:7" s="13" customFormat="1" ht="12.75" x14ac:dyDescent="0.2">
      <c r="A7" s="35"/>
      <c r="B7" s="14">
        <v>4</v>
      </c>
      <c r="C7" s="15" t="s">
        <v>35</v>
      </c>
      <c r="D7" s="16">
        <v>0</v>
      </c>
      <c r="E7" s="32"/>
    </row>
    <row r="8" spans="1:7" s="13" customFormat="1" ht="12.75" x14ac:dyDescent="0.2">
      <c r="A8" s="35"/>
      <c r="B8" s="14">
        <v>5</v>
      </c>
      <c r="C8" s="15" t="s">
        <v>34</v>
      </c>
      <c r="D8" s="16" t="s">
        <v>27</v>
      </c>
      <c r="E8" s="12"/>
    </row>
    <row r="9" spans="1:7" s="13" customFormat="1" ht="12.75" x14ac:dyDescent="0.2">
      <c r="A9" s="35"/>
      <c r="B9" s="14">
        <v>6</v>
      </c>
      <c r="C9" s="22" t="s">
        <v>29</v>
      </c>
      <c r="D9" s="16">
        <f>D4</f>
        <v>178.11</v>
      </c>
      <c r="E9" s="12"/>
    </row>
    <row r="10" spans="1:7" s="13" customFormat="1" ht="12.75" x14ac:dyDescent="0.2">
      <c r="A10" s="35"/>
      <c r="B10" s="21"/>
      <c r="C10" s="21"/>
      <c r="D10" s="12"/>
      <c r="E10" s="12"/>
    </row>
    <row r="11" spans="1:7" s="13" customFormat="1" ht="12.75" x14ac:dyDescent="0.2">
      <c r="A11" s="35" t="s">
        <v>17</v>
      </c>
      <c r="B11" s="21"/>
      <c r="C11" s="21"/>
      <c r="D11" s="12"/>
      <c r="E11" s="12"/>
      <c r="G11" s="37"/>
    </row>
    <row r="12" spans="1:7" s="13" customFormat="1" ht="12.75" x14ac:dyDescent="0.2">
      <c r="A12" s="35"/>
      <c r="B12" s="9"/>
      <c r="C12" s="10" t="s">
        <v>9</v>
      </c>
      <c r="D12" s="11"/>
      <c r="E12" s="12"/>
    </row>
    <row r="13" spans="1:7" s="13" customFormat="1" ht="12.75" x14ac:dyDescent="0.2">
      <c r="A13" s="35"/>
      <c r="B13" s="14" t="s">
        <v>6</v>
      </c>
      <c r="C13" s="15" t="s">
        <v>7</v>
      </c>
      <c r="D13" s="16" t="s">
        <v>28</v>
      </c>
      <c r="E13" s="12"/>
    </row>
    <row r="14" spans="1:7" s="13" customFormat="1" ht="12.75" x14ac:dyDescent="0.2">
      <c r="A14" s="35"/>
      <c r="B14" s="14">
        <v>1</v>
      </c>
      <c r="C14" s="15" t="s">
        <v>12</v>
      </c>
      <c r="D14" s="16">
        <v>340.88</v>
      </c>
      <c r="E14" s="12"/>
    </row>
    <row r="15" spans="1:7" s="13" customFormat="1" ht="12.75" x14ac:dyDescent="0.2">
      <c r="A15" s="35"/>
      <c r="B15" s="14">
        <v>2</v>
      </c>
      <c r="C15" s="15" t="s">
        <v>13</v>
      </c>
      <c r="D15" s="16">
        <v>0</v>
      </c>
      <c r="E15" s="12"/>
    </row>
    <row r="16" spans="1:7" s="13" customFormat="1" ht="12.75" x14ac:dyDescent="0.2">
      <c r="A16" s="35"/>
      <c r="B16" s="14">
        <v>3</v>
      </c>
      <c r="C16" s="15" t="s">
        <v>36</v>
      </c>
      <c r="D16" s="16">
        <v>340.88</v>
      </c>
      <c r="E16" s="32"/>
    </row>
    <row r="17" spans="1:7" s="13" customFormat="1" ht="12.75" x14ac:dyDescent="0.2">
      <c r="A17" s="35"/>
      <c r="B17" s="14">
        <v>4</v>
      </c>
      <c r="C17" s="15" t="s">
        <v>35</v>
      </c>
      <c r="D17" s="16">
        <v>0</v>
      </c>
      <c r="E17" s="32"/>
    </row>
    <row r="18" spans="1:7" s="13" customFormat="1" ht="12.75" x14ac:dyDescent="0.2">
      <c r="A18" s="35"/>
      <c r="B18" s="14">
        <v>5</v>
      </c>
      <c r="C18" s="15" t="s">
        <v>34</v>
      </c>
      <c r="D18" s="16" t="s">
        <v>26</v>
      </c>
      <c r="E18" s="12"/>
      <c r="G18" s="37"/>
    </row>
    <row r="19" spans="1:7" s="13" customFormat="1" ht="12.75" x14ac:dyDescent="0.2">
      <c r="A19" s="35"/>
      <c r="B19" s="14">
        <v>6</v>
      </c>
      <c r="C19" s="22" t="str">
        <f>C9</f>
        <v xml:space="preserve">Окраска поверхности стен с предварительной огрунтовкой в 2 слоя </v>
      </c>
      <c r="D19" s="16">
        <f>D14</f>
        <v>340.88</v>
      </c>
      <c r="E19" s="12"/>
    </row>
    <row r="20" spans="1:7" s="13" customFormat="1" ht="12.75" x14ac:dyDescent="0.2">
      <c r="A20" s="35"/>
      <c r="B20" s="21"/>
      <c r="C20" s="21"/>
      <c r="D20" s="12"/>
      <c r="E20" s="12"/>
    </row>
    <row r="21" spans="1:7" s="13" customFormat="1" ht="12.75" x14ac:dyDescent="0.2">
      <c r="A21" s="35" t="s">
        <v>18</v>
      </c>
      <c r="B21" s="21"/>
      <c r="C21" s="21"/>
      <c r="D21" s="12"/>
      <c r="E21" s="12"/>
    </row>
    <row r="22" spans="1:7" s="13" customFormat="1" ht="12.75" x14ac:dyDescent="0.2">
      <c r="A22" s="35"/>
      <c r="B22" s="9"/>
      <c r="C22" s="10" t="s">
        <v>9</v>
      </c>
      <c r="D22" s="11"/>
      <c r="E22" s="12"/>
    </row>
    <row r="23" spans="1:7" s="13" customFormat="1" ht="12.75" x14ac:dyDescent="0.2">
      <c r="A23" s="35"/>
      <c r="B23" s="14" t="s">
        <v>6</v>
      </c>
      <c r="C23" s="15" t="s">
        <v>7</v>
      </c>
      <c r="D23" s="16" t="s">
        <v>28</v>
      </c>
      <c r="E23" s="12"/>
    </row>
    <row r="24" spans="1:7" s="13" customFormat="1" ht="12.75" x14ac:dyDescent="0.2">
      <c r="A24" s="35"/>
      <c r="B24" s="14">
        <v>1</v>
      </c>
      <c r="C24" s="15" t="s">
        <v>12</v>
      </c>
      <c r="D24" s="16">
        <v>192.99</v>
      </c>
      <c r="E24" s="12"/>
    </row>
    <row r="25" spans="1:7" s="13" customFormat="1" ht="12.75" x14ac:dyDescent="0.2">
      <c r="A25" s="35"/>
      <c r="B25" s="14">
        <v>2</v>
      </c>
      <c r="C25" s="15" t="s">
        <v>13</v>
      </c>
      <c r="D25" s="16">
        <v>0</v>
      </c>
      <c r="E25" s="12"/>
      <c r="G25" s="37"/>
    </row>
    <row r="26" spans="1:7" s="13" customFormat="1" ht="12.75" x14ac:dyDescent="0.2">
      <c r="A26" s="35"/>
      <c r="B26" s="14">
        <v>3</v>
      </c>
      <c r="C26" s="15" t="s">
        <v>36</v>
      </c>
      <c r="D26" s="16">
        <v>192.99</v>
      </c>
      <c r="E26" s="32"/>
    </row>
    <row r="27" spans="1:7" s="13" customFormat="1" ht="12.75" x14ac:dyDescent="0.2">
      <c r="A27" s="35"/>
      <c r="B27" s="14">
        <v>4</v>
      </c>
      <c r="C27" s="15" t="s">
        <v>35</v>
      </c>
      <c r="D27" s="16">
        <v>0</v>
      </c>
      <c r="E27" s="32"/>
    </row>
    <row r="28" spans="1:7" s="13" customFormat="1" ht="12.75" x14ac:dyDescent="0.2">
      <c r="A28" s="35"/>
      <c r="B28" s="14">
        <v>5</v>
      </c>
      <c r="C28" s="15" t="s">
        <v>34</v>
      </c>
      <c r="D28" s="16" t="s">
        <v>25</v>
      </c>
      <c r="E28" s="12"/>
    </row>
    <row r="29" spans="1:7" s="13" customFormat="1" ht="12.75" x14ac:dyDescent="0.2">
      <c r="A29" s="35"/>
      <c r="B29" s="14">
        <v>6</v>
      </c>
      <c r="C29" s="22" t="str">
        <f>C19</f>
        <v xml:space="preserve">Окраска поверхности стен с предварительной огрунтовкой в 2 слоя </v>
      </c>
      <c r="D29" s="16">
        <f>D24</f>
        <v>192.99</v>
      </c>
      <c r="E29" s="12"/>
    </row>
    <row r="30" spans="1:7" s="13" customFormat="1" ht="12.75" x14ac:dyDescent="0.2">
      <c r="A30" s="35"/>
      <c r="B30" s="18"/>
      <c r="C30" s="23"/>
      <c r="D30" s="20"/>
      <c r="E30" s="12"/>
    </row>
    <row r="31" spans="1:7" s="13" customFormat="1" ht="12.75" x14ac:dyDescent="0.2">
      <c r="A31" s="35"/>
      <c r="B31" s="21"/>
      <c r="C31" s="21"/>
      <c r="D31" s="12"/>
      <c r="E31" s="12"/>
    </row>
    <row r="32" spans="1:7" s="13" customFormat="1" ht="12.75" x14ac:dyDescent="0.2">
      <c r="A32" s="35" t="s">
        <v>19</v>
      </c>
      <c r="B32" s="21"/>
      <c r="C32" s="21"/>
      <c r="D32" s="12"/>
      <c r="E32" s="12"/>
    </row>
    <row r="33" spans="1:5" s="13" customFormat="1" ht="12.75" x14ac:dyDescent="0.2">
      <c r="A33" s="35"/>
      <c r="B33" s="9"/>
      <c r="C33" s="10" t="s">
        <v>9</v>
      </c>
      <c r="D33" s="11"/>
      <c r="E33" s="12"/>
    </row>
    <row r="34" spans="1:5" s="13" customFormat="1" ht="12.75" x14ac:dyDescent="0.2">
      <c r="A34" s="35"/>
      <c r="B34" s="14" t="s">
        <v>6</v>
      </c>
      <c r="C34" s="15" t="s">
        <v>7</v>
      </c>
      <c r="D34" s="16" t="s">
        <v>8</v>
      </c>
      <c r="E34" s="12"/>
    </row>
    <row r="35" spans="1:5" s="13" customFormat="1" ht="12.75" x14ac:dyDescent="0.2">
      <c r="A35" s="35"/>
      <c r="B35" s="14">
        <v>1</v>
      </c>
      <c r="C35" s="15" t="s">
        <v>12</v>
      </c>
      <c r="D35" s="16">
        <v>246.3</v>
      </c>
      <c r="E35" s="12"/>
    </row>
    <row r="36" spans="1:5" s="13" customFormat="1" ht="12.75" x14ac:dyDescent="0.2">
      <c r="A36" s="35"/>
      <c r="B36" s="14">
        <v>2</v>
      </c>
      <c r="C36" s="15" t="s">
        <v>13</v>
      </c>
      <c r="D36" s="16">
        <v>0</v>
      </c>
      <c r="E36" s="12"/>
    </row>
    <row r="37" spans="1:5" s="13" customFormat="1" ht="12.75" x14ac:dyDescent="0.2">
      <c r="A37" s="35"/>
      <c r="B37" s="14">
        <v>3</v>
      </c>
      <c r="C37" s="15" t="s">
        <v>36</v>
      </c>
      <c r="D37" s="16">
        <v>246.3</v>
      </c>
      <c r="E37" s="32"/>
    </row>
    <row r="38" spans="1:5" s="13" customFormat="1" ht="12.75" x14ac:dyDescent="0.2">
      <c r="A38" s="35"/>
      <c r="B38" s="14">
        <v>4</v>
      </c>
      <c r="C38" s="15" t="s">
        <v>35</v>
      </c>
      <c r="D38" s="16">
        <v>0</v>
      </c>
      <c r="E38" s="32"/>
    </row>
    <row r="39" spans="1:5" s="13" customFormat="1" ht="12.75" x14ac:dyDescent="0.2">
      <c r="A39" s="35"/>
      <c r="B39" s="14">
        <v>5</v>
      </c>
      <c r="C39" s="15" t="s">
        <v>34</v>
      </c>
      <c r="D39" s="16" t="s">
        <v>24</v>
      </c>
      <c r="E39" s="12"/>
    </row>
    <row r="40" spans="1:5" s="13" customFormat="1" ht="12.75" x14ac:dyDescent="0.2">
      <c r="A40" s="35"/>
      <c r="B40" s="14">
        <v>6</v>
      </c>
      <c r="C40" s="22" t="str">
        <f>C29</f>
        <v xml:space="preserve">Окраска поверхности стен с предварительной огрунтовкой в 2 слоя </v>
      </c>
      <c r="D40" s="16">
        <f>D35</f>
        <v>246.3</v>
      </c>
      <c r="E40" s="12"/>
    </row>
    <row r="41" spans="1:5" s="13" customFormat="1" ht="12.75" x14ac:dyDescent="0.2">
      <c r="A41" s="35"/>
      <c r="B41" s="21"/>
      <c r="C41" s="21"/>
      <c r="D41" s="12"/>
      <c r="E41" s="12"/>
    </row>
    <row r="42" spans="1:5" s="13" customFormat="1" ht="12.75" x14ac:dyDescent="0.2">
      <c r="A42" s="35" t="s">
        <v>20</v>
      </c>
      <c r="B42" s="21"/>
      <c r="C42" s="21"/>
      <c r="D42" s="12"/>
      <c r="E42" s="12"/>
    </row>
    <row r="43" spans="1:5" s="13" customFormat="1" ht="12.75" x14ac:dyDescent="0.2">
      <c r="A43" s="35"/>
      <c r="B43" s="9"/>
      <c r="C43" s="10" t="s">
        <v>9</v>
      </c>
      <c r="D43" s="11"/>
      <c r="E43" s="12"/>
    </row>
    <row r="44" spans="1:5" s="13" customFormat="1" ht="12.75" x14ac:dyDescent="0.2">
      <c r="A44" s="35"/>
      <c r="B44" s="14" t="s">
        <v>6</v>
      </c>
      <c r="C44" s="15" t="s">
        <v>7</v>
      </c>
      <c r="D44" s="16" t="s">
        <v>28</v>
      </c>
      <c r="E44" s="12"/>
    </row>
    <row r="45" spans="1:5" s="13" customFormat="1" ht="12.75" x14ac:dyDescent="0.2">
      <c r="A45" s="35"/>
      <c r="B45" s="14">
        <v>1</v>
      </c>
      <c r="C45" s="15" t="s">
        <v>12</v>
      </c>
      <c r="D45" s="16">
        <v>105.63</v>
      </c>
      <c r="E45" s="12"/>
    </row>
    <row r="46" spans="1:5" s="13" customFormat="1" ht="12.75" x14ac:dyDescent="0.2">
      <c r="A46" s="35"/>
      <c r="B46" s="14">
        <v>2</v>
      </c>
      <c r="C46" s="15" t="s">
        <v>13</v>
      </c>
      <c r="D46" s="16">
        <v>4.1500000000000004</v>
      </c>
      <c r="E46" s="12"/>
    </row>
    <row r="47" spans="1:5" s="13" customFormat="1" ht="12.75" x14ac:dyDescent="0.2">
      <c r="A47" s="35"/>
      <c r="B47" s="14">
        <v>3</v>
      </c>
      <c r="C47" s="15" t="s">
        <v>36</v>
      </c>
      <c r="D47" s="16">
        <v>105.63</v>
      </c>
      <c r="E47" s="32"/>
    </row>
    <row r="48" spans="1:5" s="13" customFormat="1" ht="12.75" x14ac:dyDescent="0.2">
      <c r="A48" s="35"/>
      <c r="B48" s="14">
        <v>4</v>
      </c>
      <c r="C48" s="15" t="s">
        <v>35</v>
      </c>
      <c r="D48" s="16">
        <v>4.1500000000000004</v>
      </c>
      <c r="E48" s="32"/>
    </row>
    <row r="49" spans="1:5" s="13" customFormat="1" ht="12.75" x14ac:dyDescent="0.2">
      <c r="A49" s="35"/>
      <c r="B49" s="14">
        <v>5</v>
      </c>
      <c r="C49" s="15" t="s">
        <v>34</v>
      </c>
      <c r="D49" s="16" t="s">
        <v>23</v>
      </c>
      <c r="E49" s="12"/>
    </row>
    <row r="50" spans="1:5" s="26" customFormat="1" ht="12.75" x14ac:dyDescent="0.2">
      <c r="A50" s="36"/>
      <c r="B50" s="14">
        <v>6</v>
      </c>
      <c r="C50" s="22" t="str">
        <f>C40</f>
        <v xml:space="preserve">Окраска поверхности стен с предварительной огрунтовкой в 2 слоя </v>
      </c>
      <c r="D50" s="24">
        <f>D45+D46</f>
        <v>109.78</v>
      </c>
      <c r="E50" s="25"/>
    </row>
    <row r="51" spans="1:5" s="13" customFormat="1" ht="12.75" x14ac:dyDescent="0.2">
      <c r="A51" s="35"/>
      <c r="B51" s="21"/>
      <c r="C51" s="21"/>
      <c r="D51" s="12"/>
      <c r="E51" s="12"/>
    </row>
    <row r="52" spans="1:5" s="13" customFormat="1" ht="12.75" x14ac:dyDescent="0.2">
      <c r="A52" s="35" t="s">
        <v>21</v>
      </c>
      <c r="B52" s="21"/>
      <c r="C52" s="21"/>
      <c r="D52" s="12"/>
      <c r="E52" s="12"/>
    </row>
    <row r="53" spans="1:5" s="13" customFormat="1" ht="12.75" x14ac:dyDescent="0.2">
      <c r="A53" s="35"/>
      <c r="B53" s="9"/>
      <c r="C53" s="27" t="s">
        <v>9</v>
      </c>
      <c r="D53" s="28"/>
      <c r="E53" s="29"/>
    </row>
    <row r="54" spans="1:5" s="13" customFormat="1" ht="12.75" x14ac:dyDescent="0.2">
      <c r="A54" s="35"/>
      <c r="B54" s="14" t="s">
        <v>6</v>
      </c>
      <c r="C54" s="15" t="s">
        <v>7</v>
      </c>
      <c r="D54" s="16" t="s">
        <v>28</v>
      </c>
      <c r="E54" s="30" t="s">
        <v>30</v>
      </c>
    </row>
    <row r="55" spans="1:5" s="13" customFormat="1" ht="12.75" x14ac:dyDescent="0.2">
      <c r="A55" s="35"/>
      <c r="B55" s="14">
        <v>1</v>
      </c>
      <c r="C55" s="15" t="s">
        <v>12</v>
      </c>
      <c r="D55" s="16">
        <v>1063.9100000000001</v>
      </c>
      <c r="E55" s="30"/>
    </row>
    <row r="56" spans="1:5" s="13" customFormat="1" ht="12.75" x14ac:dyDescent="0.2">
      <c r="A56" s="35"/>
      <c r="B56" s="14">
        <v>2</v>
      </c>
      <c r="C56" s="15" t="s">
        <v>13</v>
      </c>
      <c r="D56" s="16">
        <v>4.1500000000000004</v>
      </c>
      <c r="E56" s="30"/>
    </row>
    <row r="57" spans="1:5" s="13" customFormat="1" ht="12.75" x14ac:dyDescent="0.2">
      <c r="A57" s="35"/>
      <c r="B57" s="14">
        <v>3</v>
      </c>
      <c r="C57" s="15" t="s">
        <v>36</v>
      </c>
      <c r="D57" s="16">
        <v>1063.9100000000001</v>
      </c>
      <c r="E57" s="30"/>
    </row>
    <row r="58" spans="1:5" s="13" customFormat="1" ht="12.75" x14ac:dyDescent="0.2">
      <c r="A58" s="35"/>
      <c r="B58" s="14">
        <v>4</v>
      </c>
      <c r="C58" s="15" t="s">
        <v>35</v>
      </c>
      <c r="D58" s="16">
        <v>4.1500000000000004</v>
      </c>
      <c r="E58" s="30"/>
    </row>
    <row r="59" spans="1:5" s="13" customFormat="1" ht="12.75" x14ac:dyDescent="0.2">
      <c r="A59" s="35"/>
      <c r="B59" s="14">
        <v>5</v>
      </c>
      <c r="C59" s="15" t="s">
        <v>34</v>
      </c>
      <c r="D59" s="16" t="s">
        <v>22</v>
      </c>
      <c r="E59" s="30"/>
    </row>
    <row r="60" spans="1:5" s="13" customFormat="1" ht="12.75" x14ac:dyDescent="0.2">
      <c r="A60" s="35"/>
      <c r="B60" s="14">
        <v>6</v>
      </c>
      <c r="C60" s="22" t="s">
        <v>31</v>
      </c>
      <c r="D60" s="16">
        <f>D55+D56</f>
        <v>1068.0600000000002</v>
      </c>
      <c r="E60" s="30"/>
    </row>
    <row r="61" spans="1:5" s="13" customFormat="1" ht="12.75" x14ac:dyDescent="0.2">
      <c r="A61" s="35"/>
      <c r="B61" s="31">
        <v>6.1</v>
      </c>
      <c r="C61" s="15" t="s">
        <v>32</v>
      </c>
      <c r="D61" s="30"/>
      <c r="E61" s="30">
        <f>D60*0.15</f>
        <v>160.20900000000003</v>
      </c>
    </row>
    <row r="62" spans="1:5" s="13" customFormat="1" ht="12.75" x14ac:dyDescent="0.2">
      <c r="A62" s="35"/>
      <c r="B62" s="31">
        <v>6.2</v>
      </c>
      <c r="C62" s="15" t="s">
        <v>33</v>
      </c>
      <c r="D62" s="30"/>
      <c r="E62" s="30">
        <f>D60*0.3</f>
        <v>320.41800000000006</v>
      </c>
    </row>
    <row r="63" spans="1:5" s="13" customFormat="1" ht="12.75" x14ac:dyDescent="0.2">
      <c r="A63" s="35"/>
      <c r="B63" s="21"/>
      <c r="C63" s="21"/>
      <c r="D63" s="12"/>
      <c r="E63" s="12"/>
    </row>
    <row r="64" spans="1:5" s="13" customFormat="1" ht="12.75" x14ac:dyDescent="0.2">
      <c r="A64" s="35"/>
      <c r="B64" s="21"/>
      <c r="C64" s="21"/>
      <c r="D64" s="12"/>
      <c r="E64" s="12"/>
    </row>
    <row r="65" spans="1:5" s="13" customFormat="1" ht="12.75" x14ac:dyDescent="0.2">
      <c r="A65" s="35"/>
      <c r="B65" s="9"/>
      <c r="C65" s="10" t="s">
        <v>9</v>
      </c>
      <c r="D65" s="33"/>
      <c r="E65" s="34"/>
    </row>
    <row r="66" spans="1:5" s="13" customFormat="1" ht="12.75" x14ac:dyDescent="0.2">
      <c r="A66" s="35"/>
      <c r="B66" s="14" t="s">
        <v>6</v>
      </c>
      <c r="C66" s="15" t="s">
        <v>7</v>
      </c>
      <c r="D66" s="16" t="s">
        <v>28</v>
      </c>
      <c r="E66" s="12"/>
    </row>
    <row r="67" spans="1:5" s="13" customFormat="1" ht="12.75" x14ac:dyDescent="0.2">
      <c r="A67" s="35"/>
      <c r="B67" s="14">
        <v>1</v>
      </c>
      <c r="C67" s="15" t="s">
        <v>37</v>
      </c>
      <c r="D67" s="16">
        <v>4.1500000000000004</v>
      </c>
      <c r="E67" s="12"/>
    </row>
    <row r="68" spans="1:5" s="13" customFormat="1" ht="12.75" x14ac:dyDescent="0.2">
      <c r="A68" s="35"/>
      <c r="B68" s="21"/>
      <c r="C68" s="21"/>
      <c r="D68" s="12"/>
      <c r="E68" s="12"/>
    </row>
    <row r="69" spans="1:5" s="13" customFormat="1" ht="12.75" x14ac:dyDescent="0.2">
      <c r="A69" s="35"/>
      <c r="B69" s="21"/>
      <c r="C69" s="21"/>
      <c r="D69" s="12"/>
      <c r="E69" s="12"/>
    </row>
    <row r="70" spans="1:5" s="13" customFormat="1" ht="12.75" x14ac:dyDescent="0.2">
      <c r="A70" s="35"/>
      <c r="B70" s="21"/>
      <c r="C70" s="21"/>
      <c r="D70" s="12"/>
      <c r="E70" s="12"/>
    </row>
    <row r="71" spans="1:5" s="13" customFormat="1" ht="12.75" x14ac:dyDescent="0.2">
      <c r="A71" s="35" t="s">
        <v>38</v>
      </c>
      <c r="B71" s="9"/>
      <c r="C71" s="10" t="s">
        <v>9</v>
      </c>
      <c r="D71" s="11"/>
      <c r="E71" s="12"/>
    </row>
    <row r="72" spans="1:5" s="13" customFormat="1" ht="12.75" x14ac:dyDescent="0.2">
      <c r="A72" s="35"/>
      <c r="B72" s="14" t="s">
        <v>6</v>
      </c>
      <c r="C72" s="15" t="s">
        <v>7</v>
      </c>
      <c r="D72" s="16" t="s">
        <v>28</v>
      </c>
      <c r="E72" s="12"/>
    </row>
    <row r="73" spans="1:5" s="13" customFormat="1" ht="12.75" x14ac:dyDescent="0.2">
      <c r="A73" s="35"/>
      <c r="B73" s="14">
        <v>1</v>
      </c>
      <c r="C73" s="15" t="s">
        <v>0</v>
      </c>
      <c r="D73" s="16">
        <v>28.72</v>
      </c>
      <c r="E73" s="12"/>
    </row>
    <row r="74" spans="1:5" s="13" customFormat="1" ht="12.75" x14ac:dyDescent="0.2">
      <c r="A74" s="35"/>
      <c r="B74" s="14">
        <v>2</v>
      </c>
      <c r="C74" s="17" t="s">
        <v>11</v>
      </c>
      <c r="D74" s="16" t="s">
        <v>39</v>
      </c>
      <c r="E74" s="12"/>
    </row>
    <row r="75" spans="1:5" s="13" customFormat="1" ht="12.75" x14ac:dyDescent="0.2">
      <c r="A75" s="35"/>
      <c r="B75" s="21"/>
      <c r="C75" s="21"/>
      <c r="D75" s="12"/>
      <c r="E75" s="12"/>
    </row>
    <row r="76" spans="1:5" s="13" customFormat="1" ht="12.75" x14ac:dyDescent="0.2">
      <c r="A76" s="35"/>
      <c r="B76" s="21"/>
      <c r="C76" s="21"/>
      <c r="D76" s="12"/>
      <c r="E76" s="12"/>
    </row>
    <row r="77" spans="1:5" s="13" customFormat="1" ht="12.75" x14ac:dyDescent="0.2">
      <c r="A77" s="35" t="s">
        <v>40</v>
      </c>
      <c r="B77" s="9"/>
      <c r="C77" s="10" t="s">
        <v>9</v>
      </c>
      <c r="D77" s="11"/>
      <c r="E77" s="30" t="s">
        <v>30</v>
      </c>
    </row>
    <row r="78" spans="1:5" s="13" customFormat="1" ht="12.75" x14ac:dyDescent="0.2">
      <c r="A78" s="35"/>
      <c r="B78" s="14" t="s">
        <v>6</v>
      </c>
      <c r="C78" s="15" t="s">
        <v>7</v>
      </c>
      <c r="D78" s="16" t="s">
        <v>28</v>
      </c>
      <c r="E78" s="30"/>
    </row>
    <row r="79" spans="1:5" s="13" customFormat="1" ht="12.75" x14ac:dyDescent="0.2">
      <c r="A79" s="35"/>
      <c r="B79" s="14">
        <v>1</v>
      </c>
      <c r="C79" s="15" t="s">
        <v>41</v>
      </c>
      <c r="D79" s="16">
        <v>37.68</v>
      </c>
      <c r="E79" s="30"/>
    </row>
    <row r="80" spans="1:5" s="13" customFormat="1" ht="12.75" x14ac:dyDescent="0.2">
      <c r="A80" s="35"/>
      <c r="B80" s="14">
        <v>2</v>
      </c>
      <c r="C80" s="15" t="s">
        <v>42</v>
      </c>
      <c r="D80" s="16">
        <f>D79</f>
        <v>37.68</v>
      </c>
      <c r="E80" s="30"/>
    </row>
    <row r="81" spans="1:5" s="26" customFormat="1" ht="25.5" x14ac:dyDescent="0.2">
      <c r="A81" s="36"/>
      <c r="B81" s="14">
        <v>3</v>
      </c>
      <c r="C81" s="22" t="s">
        <v>43</v>
      </c>
      <c r="D81" s="24">
        <f>D79</f>
        <v>37.68</v>
      </c>
      <c r="E81" s="30"/>
    </row>
    <row r="82" spans="1:5" s="13" customFormat="1" ht="12.75" x14ac:dyDescent="0.2">
      <c r="A82" s="35"/>
      <c r="B82" s="31">
        <v>3.1</v>
      </c>
      <c r="C82" s="15" t="s">
        <v>32</v>
      </c>
      <c r="D82" s="30"/>
      <c r="E82" s="30">
        <f>D79*0.15</f>
        <v>5.6520000000000001</v>
      </c>
    </row>
    <row r="83" spans="1:5" s="13" customFormat="1" ht="12.75" x14ac:dyDescent="0.2">
      <c r="A83" s="35"/>
      <c r="B83" s="31">
        <v>3.2</v>
      </c>
      <c r="C83" s="15" t="s">
        <v>33</v>
      </c>
      <c r="D83" s="30"/>
      <c r="E83" s="30">
        <f>D79*0.3</f>
        <v>11.304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Пример</vt:lpstr>
      <vt:lpstr>стены штукатурка</vt:lpstr>
      <vt:lpstr>Стены итог шт</vt:lpstr>
      <vt:lpstr>Стены шпаклевка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МирзаяновИИ</cp:lastModifiedBy>
  <dcterms:created xsi:type="dcterms:W3CDTF">2025-09-01T11:02:25Z</dcterms:created>
  <dcterms:modified xsi:type="dcterms:W3CDTF">2025-09-11T14:18:26Z</dcterms:modified>
</cp:coreProperties>
</file>