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65" yWindow="5565" windowWidth="5535" windowHeight="6105" activeTab="1"/>
  </bookViews>
  <sheets>
    <sheet name="Пример" sheetId="1" r:id="rId1"/>
    <sheet name="стены штукатурка" sheetId="2" r:id="rId2"/>
    <sheet name="Стены шпаклевка" sheetId="3" r:id="rId3"/>
  </sheets>
  <calcPr calcId="145621"/>
</workbook>
</file>

<file path=xl/calcChain.xml><?xml version="1.0" encoding="utf-8"?>
<calcChain xmlns="http://schemas.openxmlformats.org/spreadsheetml/2006/main">
  <c r="D131" i="2" l="1"/>
  <c r="G131" i="2"/>
  <c r="D132" i="2"/>
  <c r="G124" i="2" l="1"/>
  <c r="D6" i="2"/>
  <c r="G5" i="2"/>
  <c r="D125" i="2"/>
  <c r="E83" i="3"/>
  <c r="E82" i="3"/>
  <c r="D81" i="3"/>
  <c r="D80" i="3"/>
  <c r="D60" i="3"/>
  <c r="E62" i="3" s="1"/>
  <c r="D50" i="3"/>
  <c r="D40" i="3"/>
  <c r="D29" i="3"/>
  <c r="D19" i="3"/>
  <c r="C19" i="3"/>
  <c r="C29" i="3" s="1"/>
  <c r="C40" i="3" s="1"/>
  <c r="C50" i="3" s="1"/>
  <c r="D9" i="3"/>
  <c r="D76" i="2"/>
  <c r="G75" i="2"/>
  <c r="D55" i="2"/>
  <c r="G54" i="2"/>
  <c r="D48" i="2"/>
  <c r="G47" i="2"/>
  <c r="D34" i="2"/>
  <c r="G33" i="2"/>
  <c r="G117" i="2"/>
  <c r="G110" i="2"/>
  <c r="G103" i="2"/>
  <c r="G96" i="2"/>
  <c r="G89" i="2"/>
  <c r="G82" i="2"/>
  <c r="G68" i="2"/>
  <c r="G61" i="2"/>
  <c r="G40" i="2"/>
  <c r="G26" i="2"/>
  <c r="G19" i="2"/>
  <c r="G12" i="2"/>
  <c r="D118" i="2"/>
  <c r="D90" i="2"/>
  <c r="D111" i="2"/>
  <c r="D41" i="2"/>
  <c r="D27" i="2"/>
  <c r="D20" i="2"/>
  <c r="D13" i="2"/>
  <c r="D69" i="2"/>
  <c r="D62" i="2"/>
  <c r="D83" i="2"/>
  <c r="D97" i="2"/>
  <c r="E61" i="3" l="1"/>
  <c r="D104" i="2"/>
</calcChain>
</file>

<file path=xl/sharedStrings.xml><?xml version="1.0" encoding="utf-8"?>
<sst xmlns="http://schemas.openxmlformats.org/spreadsheetml/2006/main" count="279" uniqueCount="60">
  <si>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</si>
  <si>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</si>
  <si>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</si>
  <si>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</si>
  <si>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</si>
  <si>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</si>
  <si>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</si>
  <si>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</si>
  <si>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</si>
  <si>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</si>
  <si>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</si>
  <si>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</si>
  <si>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</si>
  <si>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</si>
  <si>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</si>
  <si>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</si>
  <si>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</si>
  <si>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</si>
  <si>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</si>
  <si>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</si>
  <si>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</si>
  <si>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</si>
  <si>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</si>
  <si>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</si>
  <si>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</si>
  <si>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</si>
  <si>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</si>
  <si>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</si>
  <si>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</si>
  <si>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</si>
  <si>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</si>
  <si>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</si>
  <si>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</si>
  <si>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</si>
  <si>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</si>
  <si>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</si>
  <si>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</si>
  <si>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</si>
  <si>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</si>
  <si>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</si>
  <si>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</si>
  <si>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</si>
  <si>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</si>
  <si>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</si>
  <si>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</si>
  <si>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 xml:space="preserve"> п.м</t>
  </si>
  <si>
    <t>1.035, 1.037</t>
  </si>
  <si>
    <t>1.049</t>
  </si>
  <si>
    <t>1.039</t>
  </si>
  <si>
    <t>1.040, 1.043, 1.044</t>
  </si>
  <si>
    <t>1.048</t>
  </si>
  <si>
    <t>1.030</t>
  </si>
  <si>
    <t>1.032</t>
  </si>
  <si>
    <t>1.033</t>
  </si>
  <si>
    <t>1.036</t>
  </si>
  <si>
    <t>1.045, 1.046</t>
  </si>
  <si>
    <t>1.053</t>
  </si>
  <si>
    <t>1.026</t>
  </si>
  <si>
    <t>717.47 п.м</t>
  </si>
  <si>
    <t>Сетка штукатурная стеклопакетная 10х10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</si>
</sst>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b/>
      <sz val="10"/>
      <color rgb="FFFF0000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 wrapText="1"/>
    </xf>
    <xf numFmtId="2" fontId="2" fillId="0" borderId="0" xfId="0" applyNumberFormat="1" applyFont="1"/>
    <xf numFmtId="49" fontId="3" fillId="0" borderId="0" xfId="0" applyNumberFormat="1" applyFont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15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12</v>
      </c>
      <c r="D16" s="2"/>
    </row>
    <row r="17" spans="2:4" x14ac:dyDescent="0.25">
      <c r="B17" s="2">
        <v>2</v>
      </c>
      <c r="C17" s="3" t="s">
        <v>13</v>
      </c>
      <c r="D17" s="2"/>
    </row>
    <row r="18" spans="2:4" x14ac:dyDescent="0.25">
      <c r="B18" s="2">
        <v>3</v>
      </c>
      <c r="C18" s="3" t="s">
        <v>14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33"/>
  <sheetViews>
    <sheetView tabSelected="1" zoomScale="70" zoomScaleNormal="70" workbookViewId="0">
      <selection activeCell="C17" sqref="C17"/>
    </sheetView>
  </sheetViews>
  <sheetFormatPr defaultRowHeight="12.75" x14ac:dyDescent="0.2"/>
  <cols>
    <col min="1" max="1" width="22.7109375" style="35" customWidth="1"/>
    <col min="2" max="2" width="9.140625" style="21"/>
    <col min="3" max="3" width="59.5703125" style="21" customWidth="1"/>
    <col min="4" max="4" width="12.7109375" style="12" customWidth="1"/>
    <col min="5" max="5" width="10.7109375" style="12" customWidth="1"/>
    <col min="6" max="7" width="9.140625" style="13"/>
    <col min="8" max="8" width="9.28515625" style="13" customWidth="1"/>
    <col min="9" max="9" width="21.42578125" style="13" customWidth="1"/>
    <col min="10" max="16384" width="9.140625" style="13"/>
  </cols>
  <sheetData>
    <row r="3" spans="1:7" x14ac:dyDescent="0.2">
      <c r="A3" s="35" t="s">
        <v>57</v>
      </c>
      <c r="B3" s="9"/>
      <c r="C3" s="10" t="s">
        <v>9</v>
      </c>
      <c r="D3" s="11"/>
    </row>
    <row r="4" spans="1:7" x14ac:dyDescent="0.2">
      <c r="B4" s="14" t="s">
        <v>6</v>
      </c>
      <c r="C4" s="15" t="s">
        <v>7</v>
      </c>
      <c r="D4" s="16" t="s">
        <v>28</v>
      </c>
    </row>
    <row r="5" spans="1:7" x14ac:dyDescent="0.2">
      <c r="B5" s="14">
        <v>1</v>
      </c>
      <c r="C5" s="15" t="s">
        <v>1</v>
      </c>
      <c r="D5" s="16">
        <v>284.86</v>
      </c>
      <c r="G5" s="37">
        <f>D5</f>
        <v>284.86</v>
      </c>
    </row>
    <row r="6" spans="1:7" x14ac:dyDescent="0.2">
      <c r="B6" s="14">
        <v>2</v>
      </c>
      <c r="C6" s="15" t="s">
        <v>59</v>
      </c>
      <c r="D6" s="16">
        <f>D5</f>
        <v>284.86</v>
      </c>
    </row>
    <row r="7" spans="1:7" x14ac:dyDescent="0.2">
      <c r="B7" s="14">
        <v>3</v>
      </c>
      <c r="C7" s="17" t="s">
        <v>11</v>
      </c>
      <c r="D7" s="16" t="s">
        <v>45</v>
      </c>
    </row>
    <row r="8" spans="1:7" x14ac:dyDescent="0.2">
      <c r="B8" s="18"/>
      <c r="C8" s="19"/>
      <c r="D8" s="20"/>
    </row>
    <row r="10" spans="1:7" x14ac:dyDescent="0.2">
      <c r="A10" s="35">
        <v>1.0269999999999999</v>
      </c>
      <c r="B10" s="9"/>
      <c r="C10" s="10" t="s">
        <v>9</v>
      </c>
      <c r="D10" s="11"/>
    </row>
    <row r="11" spans="1:7" x14ac:dyDescent="0.2">
      <c r="B11" s="14" t="s">
        <v>6</v>
      </c>
      <c r="C11" s="15" t="s">
        <v>7</v>
      </c>
      <c r="D11" s="16" t="s">
        <v>28</v>
      </c>
    </row>
    <row r="12" spans="1:7" x14ac:dyDescent="0.2">
      <c r="B12" s="14">
        <v>1</v>
      </c>
      <c r="C12" s="15" t="s">
        <v>1</v>
      </c>
      <c r="D12" s="16">
        <v>110.55</v>
      </c>
      <c r="G12" s="37">
        <f>D12</f>
        <v>110.55</v>
      </c>
    </row>
    <row r="13" spans="1:7" x14ac:dyDescent="0.2">
      <c r="B13" s="14">
        <v>2</v>
      </c>
      <c r="C13" s="15" t="s">
        <v>59</v>
      </c>
      <c r="D13" s="16">
        <f>D12</f>
        <v>110.55</v>
      </c>
    </row>
    <row r="14" spans="1:7" x14ac:dyDescent="0.2">
      <c r="B14" s="14">
        <v>3</v>
      </c>
      <c r="C14" s="17" t="s">
        <v>11</v>
      </c>
      <c r="D14" s="16" t="s">
        <v>45</v>
      </c>
    </row>
    <row r="15" spans="1:7" x14ac:dyDescent="0.2">
      <c r="B15" s="18"/>
      <c r="C15" s="19"/>
      <c r="D15" s="20"/>
    </row>
    <row r="17" spans="1:7" x14ac:dyDescent="0.2">
      <c r="A17" s="35">
        <v>1.028</v>
      </c>
      <c r="B17" s="9"/>
      <c r="C17" s="10" t="s">
        <v>9</v>
      </c>
      <c r="D17" s="11"/>
    </row>
    <row r="18" spans="1:7" x14ac:dyDescent="0.2">
      <c r="B18" s="14" t="s">
        <v>6</v>
      </c>
      <c r="C18" s="15" t="s">
        <v>7</v>
      </c>
      <c r="D18" s="16" t="s">
        <v>28</v>
      </c>
    </row>
    <row r="19" spans="1:7" x14ac:dyDescent="0.2">
      <c r="B19" s="14">
        <v>1</v>
      </c>
      <c r="C19" s="15" t="s">
        <v>1</v>
      </c>
      <c r="D19" s="16">
        <v>103.27</v>
      </c>
      <c r="G19" s="37">
        <f>D19</f>
        <v>103.27</v>
      </c>
    </row>
    <row r="20" spans="1:7" x14ac:dyDescent="0.2">
      <c r="B20" s="14">
        <v>2</v>
      </c>
      <c r="C20" s="15" t="s">
        <v>59</v>
      </c>
      <c r="D20" s="16">
        <f>D19</f>
        <v>103.27</v>
      </c>
    </row>
    <row r="21" spans="1:7" x14ac:dyDescent="0.2">
      <c r="B21" s="14">
        <v>3</v>
      </c>
      <c r="C21" s="17" t="s">
        <v>11</v>
      </c>
      <c r="D21" s="16" t="s">
        <v>45</v>
      </c>
    </row>
    <row r="22" spans="1:7" x14ac:dyDescent="0.2">
      <c r="B22" s="18"/>
      <c r="C22" s="19"/>
      <c r="D22" s="20"/>
    </row>
    <row r="24" spans="1:7" x14ac:dyDescent="0.2">
      <c r="A24" s="35">
        <v>1.0289999999999999</v>
      </c>
      <c r="B24" s="9"/>
      <c r="C24" s="10" t="s">
        <v>9</v>
      </c>
      <c r="D24" s="11"/>
    </row>
    <row r="25" spans="1:7" x14ac:dyDescent="0.2">
      <c r="B25" s="14" t="s">
        <v>6</v>
      </c>
      <c r="C25" s="15" t="s">
        <v>7</v>
      </c>
      <c r="D25" s="16" t="s">
        <v>28</v>
      </c>
    </row>
    <row r="26" spans="1:7" x14ac:dyDescent="0.2">
      <c r="B26" s="14">
        <v>1</v>
      </c>
      <c r="C26" s="15" t="s">
        <v>1</v>
      </c>
      <c r="D26" s="16">
        <v>92.42</v>
      </c>
      <c r="G26" s="37">
        <f>D26</f>
        <v>92.42</v>
      </c>
    </row>
    <row r="27" spans="1:7" x14ac:dyDescent="0.2">
      <c r="B27" s="14">
        <v>2</v>
      </c>
      <c r="C27" s="15" t="s">
        <v>59</v>
      </c>
      <c r="D27" s="16">
        <f>D26</f>
        <v>92.42</v>
      </c>
    </row>
    <row r="28" spans="1:7" x14ac:dyDescent="0.2">
      <c r="B28" s="14">
        <v>3</v>
      </c>
      <c r="C28" s="17" t="s">
        <v>11</v>
      </c>
      <c r="D28" s="16" t="s">
        <v>45</v>
      </c>
    </row>
    <row r="29" spans="1:7" x14ac:dyDescent="0.2">
      <c r="B29" s="18"/>
      <c r="C29" s="19"/>
      <c r="D29" s="20"/>
    </row>
    <row r="31" spans="1:7" x14ac:dyDescent="0.2">
      <c r="A31" s="35" t="s">
        <v>51</v>
      </c>
      <c r="B31" s="9"/>
      <c r="C31" s="10" t="s">
        <v>9</v>
      </c>
      <c r="D31" s="11"/>
    </row>
    <row r="32" spans="1:7" x14ac:dyDescent="0.2">
      <c r="B32" s="14" t="s">
        <v>6</v>
      </c>
      <c r="C32" s="15" t="s">
        <v>7</v>
      </c>
      <c r="D32" s="16" t="s">
        <v>28</v>
      </c>
    </row>
    <row r="33" spans="1:7" x14ac:dyDescent="0.2">
      <c r="B33" s="14">
        <v>1</v>
      </c>
      <c r="C33" s="15" t="s">
        <v>1</v>
      </c>
      <c r="D33" s="16">
        <v>94.91</v>
      </c>
      <c r="G33" s="37">
        <f>D33</f>
        <v>94.91</v>
      </c>
    </row>
    <row r="34" spans="1:7" x14ac:dyDescent="0.2">
      <c r="B34" s="14">
        <v>2</v>
      </c>
      <c r="C34" s="15" t="s">
        <v>59</v>
      </c>
      <c r="D34" s="16">
        <f>D33</f>
        <v>94.91</v>
      </c>
    </row>
    <row r="35" spans="1:7" x14ac:dyDescent="0.2">
      <c r="B35" s="14">
        <v>3</v>
      </c>
      <c r="C35" s="17" t="s">
        <v>11</v>
      </c>
      <c r="D35" s="16" t="s">
        <v>45</v>
      </c>
    </row>
    <row r="36" spans="1:7" x14ac:dyDescent="0.2">
      <c r="B36" s="18"/>
      <c r="C36" s="19"/>
      <c r="D36" s="20"/>
    </row>
    <row r="38" spans="1:7" x14ac:dyDescent="0.2">
      <c r="A38" s="35">
        <v>1.0309999999999999</v>
      </c>
      <c r="B38" s="9"/>
      <c r="C38" s="10" t="s">
        <v>9</v>
      </c>
      <c r="D38" s="11"/>
    </row>
    <row r="39" spans="1:7" x14ac:dyDescent="0.2">
      <c r="B39" s="14" t="s">
        <v>6</v>
      </c>
      <c r="C39" s="15" t="s">
        <v>7</v>
      </c>
      <c r="D39" s="16" t="s">
        <v>28</v>
      </c>
    </row>
    <row r="40" spans="1:7" x14ac:dyDescent="0.2">
      <c r="B40" s="14">
        <v>1</v>
      </c>
      <c r="C40" s="15" t="s">
        <v>1</v>
      </c>
      <c r="D40" s="16">
        <v>90.2</v>
      </c>
      <c r="G40" s="37">
        <f>D40</f>
        <v>90.2</v>
      </c>
    </row>
    <row r="41" spans="1:7" x14ac:dyDescent="0.2">
      <c r="B41" s="14">
        <v>2</v>
      </c>
      <c r="C41" s="15" t="s">
        <v>59</v>
      </c>
      <c r="D41" s="16">
        <f>D40</f>
        <v>90.2</v>
      </c>
    </row>
    <row r="42" spans="1:7" x14ac:dyDescent="0.2">
      <c r="B42" s="14">
        <v>3</v>
      </c>
      <c r="C42" s="17" t="s">
        <v>11</v>
      </c>
      <c r="D42" s="16" t="s">
        <v>45</v>
      </c>
    </row>
    <row r="43" spans="1:7" x14ac:dyDescent="0.2">
      <c r="B43" s="18"/>
      <c r="C43" s="19"/>
      <c r="D43" s="20"/>
    </row>
    <row r="45" spans="1:7" x14ac:dyDescent="0.2">
      <c r="A45" s="35" t="s">
        <v>52</v>
      </c>
      <c r="B45" s="9"/>
      <c r="C45" s="10" t="s">
        <v>9</v>
      </c>
      <c r="D45" s="11"/>
    </row>
    <row r="46" spans="1:7" x14ac:dyDescent="0.2">
      <c r="B46" s="14" t="s">
        <v>6</v>
      </c>
      <c r="C46" s="15" t="s">
        <v>7</v>
      </c>
      <c r="D46" s="16" t="s">
        <v>28</v>
      </c>
    </row>
    <row r="47" spans="1:7" x14ac:dyDescent="0.2">
      <c r="B47" s="14">
        <v>1</v>
      </c>
      <c r="C47" s="15" t="s">
        <v>1</v>
      </c>
      <c r="D47" s="16">
        <v>87.76</v>
      </c>
      <c r="G47" s="37">
        <f>D47</f>
        <v>87.76</v>
      </c>
    </row>
    <row r="48" spans="1:7" x14ac:dyDescent="0.2">
      <c r="B48" s="14">
        <v>2</v>
      </c>
      <c r="C48" s="15" t="s">
        <v>59</v>
      </c>
      <c r="D48" s="16">
        <f>D47</f>
        <v>87.76</v>
      </c>
    </row>
    <row r="49" spans="1:7" x14ac:dyDescent="0.2">
      <c r="B49" s="14">
        <v>3</v>
      </c>
      <c r="C49" s="17" t="s">
        <v>11</v>
      </c>
      <c r="D49" s="16" t="s">
        <v>45</v>
      </c>
    </row>
    <row r="50" spans="1:7" x14ac:dyDescent="0.2">
      <c r="B50" s="18"/>
      <c r="C50" s="19"/>
      <c r="D50" s="20"/>
    </row>
    <row r="52" spans="1:7" x14ac:dyDescent="0.2">
      <c r="A52" s="35" t="s">
        <v>53</v>
      </c>
      <c r="B52" s="9"/>
      <c r="C52" s="10" t="s">
        <v>9</v>
      </c>
      <c r="D52" s="11"/>
    </row>
    <row r="53" spans="1:7" x14ac:dyDescent="0.2">
      <c r="B53" s="14" t="s">
        <v>6</v>
      </c>
      <c r="C53" s="15" t="s">
        <v>7</v>
      </c>
      <c r="D53" s="16" t="s">
        <v>28</v>
      </c>
    </row>
    <row r="54" spans="1:7" x14ac:dyDescent="0.2">
      <c r="B54" s="14">
        <v>1</v>
      </c>
      <c r="C54" s="15" t="s">
        <v>1</v>
      </c>
      <c r="D54" s="16">
        <v>142.44</v>
      </c>
      <c r="G54" s="37">
        <f>D54</f>
        <v>142.44</v>
      </c>
    </row>
    <row r="55" spans="1:7" x14ac:dyDescent="0.2">
      <c r="B55" s="14">
        <v>2</v>
      </c>
      <c r="C55" s="15" t="s">
        <v>59</v>
      </c>
      <c r="D55" s="16">
        <f>D54</f>
        <v>142.44</v>
      </c>
    </row>
    <row r="56" spans="1:7" x14ac:dyDescent="0.2">
      <c r="B56" s="14">
        <v>3</v>
      </c>
      <c r="C56" s="17" t="s">
        <v>11</v>
      </c>
      <c r="D56" s="16" t="s">
        <v>45</v>
      </c>
    </row>
    <row r="57" spans="1:7" x14ac:dyDescent="0.2">
      <c r="B57" s="18"/>
      <c r="C57" s="19"/>
      <c r="D57" s="20"/>
    </row>
    <row r="59" spans="1:7" x14ac:dyDescent="0.2">
      <c r="A59" s="35">
        <v>1.034</v>
      </c>
      <c r="B59" s="9"/>
      <c r="C59" s="10" t="s">
        <v>9</v>
      </c>
      <c r="D59" s="11"/>
    </row>
    <row r="60" spans="1:7" x14ac:dyDescent="0.2">
      <c r="B60" s="14" t="s">
        <v>6</v>
      </c>
      <c r="C60" s="15" t="s">
        <v>7</v>
      </c>
      <c r="D60" s="16" t="s">
        <v>28</v>
      </c>
    </row>
    <row r="61" spans="1:7" x14ac:dyDescent="0.2">
      <c r="B61" s="14">
        <v>1</v>
      </c>
      <c r="C61" s="15" t="s">
        <v>1</v>
      </c>
      <c r="D61" s="16">
        <v>76.23</v>
      </c>
      <c r="G61" s="37">
        <f>D61</f>
        <v>76.23</v>
      </c>
    </row>
    <row r="62" spans="1:7" x14ac:dyDescent="0.2">
      <c r="B62" s="14">
        <v>2</v>
      </c>
      <c r="C62" s="15" t="s">
        <v>59</v>
      </c>
      <c r="D62" s="16">
        <f>D61</f>
        <v>76.23</v>
      </c>
    </row>
    <row r="63" spans="1:7" x14ac:dyDescent="0.2">
      <c r="B63" s="14">
        <v>3</v>
      </c>
      <c r="C63" s="17" t="s">
        <v>11</v>
      </c>
      <c r="D63" s="16" t="s">
        <v>45</v>
      </c>
    </row>
    <row r="64" spans="1:7" x14ac:dyDescent="0.2">
      <c r="B64" s="18"/>
      <c r="C64" s="19"/>
      <c r="D64" s="20"/>
    </row>
    <row r="66" spans="1:7" x14ac:dyDescent="0.2">
      <c r="A66" s="35" t="s">
        <v>46</v>
      </c>
      <c r="B66" s="9"/>
      <c r="C66" s="10" t="s">
        <v>9</v>
      </c>
      <c r="D66" s="11"/>
    </row>
    <row r="67" spans="1:7" x14ac:dyDescent="0.2">
      <c r="B67" s="14" t="s">
        <v>6</v>
      </c>
      <c r="C67" s="15" t="s">
        <v>7</v>
      </c>
      <c r="D67" s="16" t="s">
        <v>28</v>
      </c>
    </row>
    <row r="68" spans="1:7" x14ac:dyDescent="0.2">
      <c r="B68" s="14">
        <v>1</v>
      </c>
      <c r="C68" s="15" t="s">
        <v>1</v>
      </c>
      <c r="D68" s="16">
        <v>40.76</v>
      </c>
      <c r="G68" s="37">
        <f>D68</f>
        <v>40.76</v>
      </c>
    </row>
    <row r="69" spans="1:7" x14ac:dyDescent="0.2">
      <c r="B69" s="14">
        <v>2</v>
      </c>
      <c r="C69" s="15" t="s">
        <v>59</v>
      </c>
      <c r="D69" s="16">
        <f>D68</f>
        <v>40.76</v>
      </c>
    </row>
    <row r="70" spans="1:7" x14ac:dyDescent="0.2">
      <c r="B70" s="14">
        <v>3</v>
      </c>
      <c r="C70" s="17" t="s">
        <v>11</v>
      </c>
      <c r="D70" s="16" t="s">
        <v>45</v>
      </c>
    </row>
    <row r="71" spans="1:7" x14ac:dyDescent="0.2">
      <c r="B71" s="18"/>
      <c r="C71" s="19"/>
      <c r="D71" s="20"/>
    </row>
    <row r="73" spans="1:7" x14ac:dyDescent="0.2">
      <c r="A73" s="35" t="s">
        <v>54</v>
      </c>
      <c r="B73" s="9"/>
      <c r="C73" s="10" t="s">
        <v>9</v>
      </c>
      <c r="D73" s="11"/>
    </row>
    <row r="74" spans="1:7" x14ac:dyDescent="0.2">
      <c r="B74" s="14" t="s">
        <v>6</v>
      </c>
      <c r="C74" s="15" t="s">
        <v>7</v>
      </c>
      <c r="D74" s="16" t="s">
        <v>28</v>
      </c>
    </row>
    <row r="75" spans="1:7" x14ac:dyDescent="0.2">
      <c r="B75" s="14">
        <v>1</v>
      </c>
      <c r="C75" s="15" t="s">
        <v>1</v>
      </c>
      <c r="D75" s="16">
        <v>14.15</v>
      </c>
      <c r="G75" s="37">
        <f>D75</f>
        <v>14.15</v>
      </c>
    </row>
    <row r="76" spans="1:7" x14ac:dyDescent="0.2">
      <c r="B76" s="14">
        <v>2</v>
      </c>
      <c r="C76" s="15" t="s">
        <v>59</v>
      </c>
      <c r="D76" s="16">
        <f>D75</f>
        <v>14.15</v>
      </c>
    </row>
    <row r="77" spans="1:7" x14ac:dyDescent="0.2">
      <c r="B77" s="14">
        <v>3</v>
      </c>
      <c r="C77" s="17" t="s">
        <v>11</v>
      </c>
      <c r="D77" s="16" t="s">
        <v>45</v>
      </c>
    </row>
    <row r="78" spans="1:7" x14ac:dyDescent="0.2">
      <c r="B78" s="18"/>
      <c r="C78" s="19"/>
      <c r="D78" s="20"/>
    </row>
    <row r="80" spans="1:7" x14ac:dyDescent="0.2">
      <c r="A80" s="35">
        <v>1.038</v>
      </c>
      <c r="B80" s="9"/>
      <c r="C80" s="10" t="s">
        <v>9</v>
      </c>
      <c r="D80" s="11"/>
    </row>
    <row r="81" spans="1:7" x14ac:dyDescent="0.2">
      <c r="B81" s="14" t="s">
        <v>6</v>
      </c>
      <c r="C81" s="15" t="s">
        <v>7</v>
      </c>
      <c r="D81" s="16" t="s">
        <v>28</v>
      </c>
    </row>
    <row r="82" spans="1:7" x14ac:dyDescent="0.2">
      <c r="B82" s="14">
        <v>1</v>
      </c>
      <c r="C82" s="15" t="s">
        <v>1</v>
      </c>
      <c r="D82" s="16">
        <v>36.69</v>
      </c>
      <c r="G82" s="37">
        <f>D82</f>
        <v>36.69</v>
      </c>
    </row>
    <row r="83" spans="1:7" x14ac:dyDescent="0.2">
      <c r="B83" s="14">
        <v>2</v>
      </c>
      <c r="C83" s="15" t="s">
        <v>59</v>
      </c>
      <c r="D83" s="16">
        <f>D82</f>
        <v>36.69</v>
      </c>
    </row>
    <row r="84" spans="1:7" x14ac:dyDescent="0.2">
      <c r="B84" s="14">
        <v>3</v>
      </c>
      <c r="C84" s="17" t="s">
        <v>11</v>
      </c>
      <c r="D84" s="16" t="s">
        <v>45</v>
      </c>
    </row>
    <row r="85" spans="1:7" x14ac:dyDescent="0.2">
      <c r="B85" s="18"/>
      <c r="C85" s="19"/>
      <c r="D85" s="20"/>
    </row>
    <row r="87" spans="1:7" x14ac:dyDescent="0.2">
      <c r="A87" s="35" t="s">
        <v>48</v>
      </c>
      <c r="B87" s="9"/>
      <c r="C87" s="10" t="s">
        <v>9</v>
      </c>
      <c r="D87" s="11"/>
    </row>
    <row r="88" spans="1:7" x14ac:dyDescent="0.2">
      <c r="B88" s="14" t="s">
        <v>6</v>
      </c>
      <c r="C88" s="15" t="s">
        <v>7</v>
      </c>
      <c r="D88" s="16" t="s">
        <v>28</v>
      </c>
    </row>
    <row r="89" spans="1:7" x14ac:dyDescent="0.2">
      <c r="B89" s="14">
        <v>1</v>
      </c>
      <c r="C89" s="15" t="s">
        <v>1</v>
      </c>
      <c r="D89" s="16">
        <v>166.2</v>
      </c>
      <c r="G89" s="37">
        <f>D89</f>
        <v>166.2</v>
      </c>
    </row>
    <row r="90" spans="1:7" x14ac:dyDescent="0.2">
      <c r="B90" s="14">
        <v>2</v>
      </c>
      <c r="C90" s="15" t="s">
        <v>59</v>
      </c>
      <c r="D90" s="16">
        <f>D89</f>
        <v>166.2</v>
      </c>
    </row>
    <row r="91" spans="1:7" x14ac:dyDescent="0.2">
      <c r="B91" s="14">
        <v>3</v>
      </c>
      <c r="C91" s="17" t="s">
        <v>11</v>
      </c>
      <c r="D91" s="16" t="s">
        <v>45</v>
      </c>
    </row>
    <row r="92" spans="1:7" x14ac:dyDescent="0.2">
      <c r="B92" s="18"/>
      <c r="C92" s="19"/>
      <c r="D92" s="20"/>
    </row>
    <row r="94" spans="1:7" x14ac:dyDescent="0.2">
      <c r="A94" s="35" t="s">
        <v>49</v>
      </c>
      <c r="B94" s="9"/>
      <c r="C94" s="10" t="s">
        <v>9</v>
      </c>
      <c r="D94" s="11"/>
    </row>
    <row r="95" spans="1:7" x14ac:dyDescent="0.2">
      <c r="B95" s="14" t="s">
        <v>6</v>
      </c>
      <c r="C95" s="15" t="s">
        <v>7</v>
      </c>
      <c r="D95" s="16" t="s">
        <v>28</v>
      </c>
    </row>
    <row r="96" spans="1:7" x14ac:dyDescent="0.2">
      <c r="B96" s="14">
        <v>1</v>
      </c>
      <c r="C96" s="15" t="s">
        <v>1</v>
      </c>
      <c r="D96" s="16">
        <v>260.64999999999998</v>
      </c>
      <c r="G96" s="37">
        <f>D96</f>
        <v>260.64999999999998</v>
      </c>
    </row>
    <row r="97" spans="1:7" x14ac:dyDescent="0.2">
      <c r="B97" s="14">
        <v>2</v>
      </c>
      <c r="C97" s="15" t="s">
        <v>59</v>
      </c>
      <c r="D97" s="16">
        <f>D96</f>
        <v>260.64999999999998</v>
      </c>
    </row>
    <row r="98" spans="1:7" x14ac:dyDescent="0.2">
      <c r="B98" s="14">
        <v>3</v>
      </c>
      <c r="C98" s="17" t="s">
        <v>11</v>
      </c>
      <c r="D98" s="16" t="s">
        <v>45</v>
      </c>
    </row>
    <row r="99" spans="1:7" x14ac:dyDescent="0.2">
      <c r="B99" s="18"/>
      <c r="C99" s="19"/>
      <c r="D99" s="20"/>
    </row>
    <row r="101" spans="1:7" x14ac:dyDescent="0.2">
      <c r="A101" s="35" t="s">
        <v>55</v>
      </c>
      <c r="B101" s="9"/>
      <c r="C101" s="10" t="s">
        <v>9</v>
      </c>
      <c r="D101" s="11"/>
    </row>
    <row r="102" spans="1:7" x14ac:dyDescent="0.2">
      <c r="B102" s="14" t="s">
        <v>6</v>
      </c>
      <c r="C102" s="15" t="s">
        <v>7</v>
      </c>
      <c r="D102" s="16" t="s">
        <v>28</v>
      </c>
    </row>
    <row r="103" spans="1:7" x14ac:dyDescent="0.2">
      <c r="B103" s="14">
        <v>1</v>
      </c>
      <c r="C103" s="15" t="s">
        <v>1</v>
      </c>
      <c r="D103" s="16">
        <v>372.12</v>
      </c>
      <c r="G103" s="37">
        <f>D103</f>
        <v>372.12</v>
      </c>
    </row>
    <row r="104" spans="1:7" x14ac:dyDescent="0.2">
      <c r="B104" s="14">
        <v>2</v>
      </c>
      <c r="C104" s="15" t="s">
        <v>59</v>
      </c>
      <c r="D104" s="16">
        <f>D103</f>
        <v>372.12</v>
      </c>
    </row>
    <row r="105" spans="1:7" x14ac:dyDescent="0.2">
      <c r="B105" s="14">
        <v>3</v>
      </c>
      <c r="C105" s="17" t="s">
        <v>11</v>
      </c>
      <c r="D105" s="16" t="s">
        <v>44</v>
      </c>
    </row>
    <row r="106" spans="1:7" x14ac:dyDescent="0.2">
      <c r="B106" s="18"/>
      <c r="C106" s="19"/>
      <c r="D106" s="20"/>
    </row>
    <row r="108" spans="1:7" x14ac:dyDescent="0.2">
      <c r="A108" s="38" t="s">
        <v>50</v>
      </c>
      <c r="B108" s="9"/>
      <c r="C108" s="10" t="s">
        <v>9</v>
      </c>
      <c r="D108" s="11"/>
    </row>
    <row r="109" spans="1:7" x14ac:dyDescent="0.2">
      <c r="B109" s="14" t="s">
        <v>6</v>
      </c>
      <c r="C109" s="15" t="s">
        <v>7</v>
      </c>
      <c r="D109" s="16" t="s">
        <v>28</v>
      </c>
    </row>
    <row r="110" spans="1:7" x14ac:dyDescent="0.2">
      <c r="B110" s="14">
        <v>1</v>
      </c>
      <c r="C110" s="15" t="s">
        <v>1</v>
      </c>
      <c r="D110" s="16">
        <v>75.8</v>
      </c>
      <c r="G110" s="37">
        <f>D110</f>
        <v>75.8</v>
      </c>
    </row>
    <row r="111" spans="1:7" x14ac:dyDescent="0.2">
      <c r="B111" s="14">
        <v>2</v>
      </c>
      <c r="C111" s="15" t="s">
        <v>59</v>
      </c>
      <c r="D111" s="16">
        <f>D110</f>
        <v>75.8</v>
      </c>
    </row>
    <row r="112" spans="1:7" x14ac:dyDescent="0.2">
      <c r="B112" s="14">
        <v>3</v>
      </c>
      <c r="C112" s="17" t="s">
        <v>11</v>
      </c>
      <c r="D112" s="16" t="s">
        <v>45</v>
      </c>
    </row>
    <row r="113" spans="1:7" x14ac:dyDescent="0.2">
      <c r="B113" s="18"/>
      <c r="C113" s="19"/>
      <c r="D113" s="20"/>
    </row>
    <row r="115" spans="1:7" x14ac:dyDescent="0.2">
      <c r="A115" s="35" t="s">
        <v>47</v>
      </c>
      <c r="B115" s="9"/>
      <c r="C115" s="10" t="s">
        <v>9</v>
      </c>
      <c r="D115" s="11"/>
    </row>
    <row r="116" spans="1:7" x14ac:dyDescent="0.2">
      <c r="B116" s="14" t="s">
        <v>6</v>
      </c>
      <c r="C116" s="15" t="s">
        <v>7</v>
      </c>
      <c r="D116" s="16" t="s">
        <v>28</v>
      </c>
    </row>
    <row r="117" spans="1:7" x14ac:dyDescent="0.2">
      <c r="B117" s="14">
        <v>1</v>
      </c>
      <c r="C117" s="15" t="s">
        <v>1</v>
      </c>
      <c r="D117" s="16">
        <v>152.54</v>
      </c>
      <c r="G117" s="37">
        <f>D117</f>
        <v>152.54</v>
      </c>
    </row>
    <row r="118" spans="1:7" x14ac:dyDescent="0.2">
      <c r="B118" s="14">
        <v>2</v>
      </c>
      <c r="C118" s="15" t="s">
        <v>59</v>
      </c>
      <c r="D118" s="16">
        <f>D117</f>
        <v>152.54</v>
      </c>
    </row>
    <row r="119" spans="1:7" x14ac:dyDescent="0.2">
      <c r="B119" s="14">
        <v>3</v>
      </c>
      <c r="C119" s="17" t="s">
        <v>11</v>
      </c>
      <c r="D119" s="16" t="s">
        <v>45</v>
      </c>
    </row>
    <row r="120" spans="1:7" x14ac:dyDescent="0.2">
      <c r="B120" s="18"/>
      <c r="C120" s="19"/>
      <c r="D120" s="20"/>
    </row>
    <row r="122" spans="1:7" x14ac:dyDescent="0.2">
      <c r="A122" s="38" t="s">
        <v>56</v>
      </c>
      <c r="B122" s="9"/>
      <c r="C122" s="10" t="s">
        <v>9</v>
      </c>
      <c r="D122" s="11"/>
    </row>
    <row r="123" spans="1:7" x14ac:dyDescent="0.2">
      <c r="B123" s="14" t="s">
        <v>6</v>
      </c>
      <c r="C123" s="15" t="s">
        <v>7</v>
      </c>
      <c r="D123" s="16" t="s">
        <v>28</v>
      </c>
    </row>
    <row r="124" spans="1:7" x14ac:dyDescent="0.2">
      <c r="B124" s="14">
        <v>1</v>
      </c>
      <c r="C124" s="15" t="s">
        <v>1</v>
      </c>
      <c r="D124" s="16">
        <v>405.22</v>
      </c>
      <c r="G124" s="37">
        <f>D124</f>
        <v>405.22</v>
      </c>
    </row>
    <row r="125" spans="1:7" x14ac:dyDescent="0.2">
      <c r="B125" s="14">
        <v>2</v>
      </c>
      <c r="C125" s="15" t="s">
        <v>59</v>
      </c>
      <c r="D125" s="16">
        <f>D124</f>
        <v>405.22</v>
      </c>
    </row>
    <row r="126" spans="1:7" x14ac:dyDescent="0.2">
      <c r="B126" s="14">
        <v>3</v>
      </c>
      <c r="C126" s="17" t="s">
        <v>11</v>
      </c>
      <c r="D126" s="16" t="s">
        <v>45</v>
      </c>
    </row>
    <row r="127" spans="1:7" x14ac:dyDescent="0.2">
      <c r="B127" s="18"/>
      <c r="C127" s="19"/>
      <c r="D127" s="20"/>
    </row>
    <row r="129" spans="2:7" x14ac:dyDescent="0.2">
      <c r="B129" s="9"/>
      <c r="C129" s="10" t="s">
        <v>9</v>
      </c>
      <c r="D129" s="11"/>
    </row>
    <row r="130" spans="2:7" x14ac:dyDescent="0.2">
      <c r="B130" s="14" t="s">
        <v>6</v>
      </c>
      <c r="C130" s="15" t="s">
        <v>7</v>
      </c>
      <c r="D130" s="16" t="s">
        <v>28</v>
      </c>
    </row>
    <row r="131" spans="2:7" x14ac:dyDescent="0.2">
      <c r="B131" s="14">
        <v>1</v>
      </c>
      <c r="C131" s="15" t="s">
        <v>1</v>
      </c>
      <c r="D131" s="16">
        <f>G131</f>
        <v>2606.7700000000004</v>
      </c>
      <c r="G131" s="13">
        <f>SUM(G1:G126)</f>
        <v>2606.7700000000004</v>
      </c>
    </row>
    <row r="132" spans="2:7" x14ac:dyDescent="0.2">
      <c r="B132" s="14">
        <v>2</v>
      </c>
      <c r="C132" s="15" t="s">
        <v>59</v>
      </c>
      <c r="D132" s="16">
        <f>D131</f>
        <v>2606.7700000000004</v>
      </c>
    </row>
    <row r="133" spans="2:7" x14ac:dyDescent="0.2">
      <c r="B133" s="14">
        <v>3</v>
      </c>
      <c r="C133" s="17" t="s">
        <v>11</v>
      </c>
      <c r="D133" s="16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3"/>
  <sheetViews>
    <sheetView workbookViewId="0">
      <selection activeCell="F35" sqref="F35"/>
    </sheetView>
  </sheetViews>
  <sheetFormatPr defaultRowHeight="15" x14ac:dyDescent="0.25"/>
  <cols>
    <col min="1" max="1" width="15.140625" bestFit="1" customWidth="1"/>
    <col min="2" max="2" width="5.7109375" bestFit="1" customWidth="1"/>
    <col min="3" max="3" width="56.85546875" bestFit="1" customWidth="1"/>
    <col min="4" max="4" width="9.28515625" bestFit="1" customWidth="1"/>
    <col min="5" max="5" width="9.5703125" bestFit="1" customWidth="1"/>
  </cols>
  <sheetData>
    <row r="1" spans="1:7" s="13" customFormat="1" ht="12.75" x14ac:dyDescent="0.2">
      <c r="A1" s="35" t="s">
        <v>16</v>
      </c>
      <c r="B1" s="21"/>
      <c r="C1" s="21"/>
      <c r="D1" s="12"/>
      <c r="E1" s="12"/>
    </row>
    <row r="2" spans="1:7" s="13" customFormat="1" ht="12.75" x14ac:dyDescent="0.2">
      <c r="A2" s="35"/>
      <c r="B2" s="9"/>
      <c r="C2" s="10" t="s">
        <v>9</v>
      </c>
      <c r="D2" s="11"/>
      <c r="E2" s="12"/>
    </row>
    <row r="3" spans="1:7" s="13" customFormat="1" ht="12.75" x14ac:dyDescent="0.2">
      <c r="A3" s="35"/>
      <c r="B3" s="14" t="s">
        <v>6</v>
      </c>
      <c r="C3" s="15" t="s">
        <v>7</v>
      </c>
      <c r="D3" s="16" t="s">
        <v>28</v>
      </c>
      <c r="E3" s="12"/>
    </row>
    <row r="4" spans="1:7" s="13" customFormat="1" ht="12.75" x14ac:dyDescent="0.2">
      <c r="A4" s="35"/>
      <c r="B4" s="14">
        <v>1</v>
      </c>
      <c r="C4" s="15" t="s">
        <v>12</v>
      </c>
      <c r="D4" s="16">
        <v>178.11</v>
      </c>
      <c r="E4" s="12"/>
      <c r="G4" s="37"/>
    </row>
    <row r="5" spans="1:7" s="13" customFormat="1" ht="12.75" x14ac:dyDescent="0.2">
      <c r="A5" s="35"/>
      <c r="B5" s="14">
        <v>2</v>
      </c>
      <c r="C5" s="15" t="s">
        <v>13</v>
      </c>
      <c r="D5" s="16">
        <v>0</v>
      </c>
      <c r="E5" s="12"/>
    </row>
    <row r="6" spans="1:7" s="13" customFormat="1" ht="12.75" x14ac:dyDescent="0.2">
      <c r="A6" s="35"/>
      <c r="B6" s="14">
        <v>3</v>
      </c>
      <c r="C6" s="15" t="s">
        <v>36</v>
      </c>
      <c r="D6" s="16">
        <v>178.11</v>
      </c>
      <c r="E6" s="32"/>
    </row>
    <row r="7" spans="1:7" s="13" customFormat="1" ht="12.75" x14ac:dyDescent="0.2">
      <c r="A7" s="35"/>
      <c r="B7" s="14">
        <v>4</v>
      </c>
      <c r="C7" s="15" t="s">
        <v>35</v>
      </c>
      <c r="D7" s="16">
        <v>0</v>
      </c>
      <c r="E7" s="32"/>
    </row>
    <row r="8" spans="1:7" s="13" customFormat="1" ht="12.75" x14ac:dyDescent="0.2">
      <c r="A8" s="35"/>
      <c r="B8" s="14">
        <v>5</v>
      </c>
      <c r="C8" s="15" t="s">
        <v>34</v>
      </c>
      <c r="D8" s="16" t="s">
        <v>27</v>
      </c>
      <c r="E8" s="12"/>
    </row>
    <row r="9" spans="1:7" s="13" customFormat="1" ht="12.75" x14ac:dyDescent="0.2">
      <c r="A9" s="35"/>
      <c r="B9" s="14">
        <v>6</v>
      </c>
      <c r="C9" s="22" t="s">
        <v>29</v>
      </c>
      <c r="D9" s="16">
        <f>D4</f>
        <v>178.11</v>
      </c>
      <c r="E9" s="12"/>
    </row>
    <row r="10" spans="1:7" s="13" customFormat="1" ht="12.75" x14ac:dyDescent="0.2">
      <c r="A10" s="35"/>
      <c r="B10" s="21"/>
      <c r="C10" s="21"/>
      <c r="D10" s="12"/>
      <c r="E10" s="12"/>
    </row>
    <row r="11" spans="1:7" s="13" customFormat="1" ht="12.75" x14ac:dyDescent="0.2">
      <c r="A11" s="35" t="s">
        <v>17</v>
      </c>
      <c r="B11" s="21"/>
      <c r="C11" s="21"/>
      <c r="D11" s="12"/>
      <c r="E11" s="12"/>
      <c r="G11" s="37"/>
    </row>
    <row r="12" spans="1:7" s="13" customFormat="1" ht="12.75" x14ac:dyDescent="0.2">
      <c r="A12" s="35"/>
      <c r="B12" s="9"/>
      <c r="C12" s="10" t="s">
        <v>9</v>
      </c>
      <c r="D12" s="11"/>
      <c r="E12" s="12"/>
    </row>
    <row r="13" spans="1:7" s="13" customFormat="1" ht="12.75" x14ac:dyDescent="0.2">
      <c r="A13" s="35"/>
      <c r="B13" s="14" t="s">
        <v>6</v>
      </c>
      <c r="C13" s="15" t="s">
        <v>7</v>
      </c>
      <c r="D13" s="16" t="s">
        <v>28</v>
      </c>
      <c r="E13" s="12"/>
    </row>
    <row r="14" spans="1:7" s="13" customFormat="1" ht="12.75" x14ac:dyDescent="0.2">
      <c r="A14" s="35"/>
      <c r="B14" s="14">
        <v>1</v>
      </c>
      <c r="C14" s="15" t="s">
        <v>12</v>
      </c>
      <c r="D14" s="16">
        <v>340.88</v>
      </c>
      <c r="E14" s="12"/>
    </row>
    <row r="15" spans="1:7" s="13" customFormat="1" ht="12.75" x14ac:dyDescent="0.2">
      <c r="A15" s="35"/>
      <c r="B15" s="14">
        <v>2</v>
      </c>
      <c r="C15" s="15" t="s">
        <v>13</v>
      </c>
      <c r="D15" s="16">
        <v>0</v>
      </c>
      <c r="E15" s="12"/>
    </row>
    <row r="16" spans="1:7" s="13" customFormat="1" ht="12.75" x14ac:dyDescent="0.2">
      <c r="A16" s="35"/>
      <c r="B16" s="14">
        <v>3</v>
      </c>
      <c r="C16" s="15" t="s">
        <v>36</v>
      </c>
      <c r="D16" s="16">
        <v>340.88</v>
      </c>
      <c r="E16" s="32"/>
    </row>
    <row r="17" spans="1:7" s="13" customFormat="1" ht="12.75" x14ac:dyDescent="0.2">
      <c r="A17" s="35"/>
      <c r="B17" s="14">
        <v>4</v>
      </c>
      <c r="C17" s="15" t="s">
        <v>35</v>
      </c>
      <c r="D17" s="16">
        <v>0</v>
      </c>
      <c r="E17" s="32"/>
    </row>
    <row r="18" spans="1:7" s="13" customFormat="1" ht="12.75" x14ac:dyDescent="0.2">
      <c r="A18" s="35"/>
      <c r="B18" s="14">
        <v>5</v>
      </c>
      <c r="C18" s="15" t="s">
        <v>34</v>
      </c>
      <c r="D18" s="16" t="s">
        <v>26</v>
      </c>
      <c r="E18" s="12"/>
      <c r="G18" s="37"/>
    </row>
    <row r="19" spans="1:7" s="13" customFormat="1" ht="12.75" x14ac:dyDescent="0.2">
      <c r="A19" s="35"/>
      <c r="B19" s="14">
        <v>6</v>
      </c>
      <c r="C19" s="22" t="str">
        <f>C9</f>
        <v xml:space="preserve">Окраска поверхности стен с предварительной огрунтовкой в 2 слоя </v>
      </c>
      <c r="D19" s="16">
        <f>D14</f>
        <v>340.88</v>
      </c>
      <c r="E19" s="12"/>
    </row>
    <row r="20" spans="1:7" s="13" customFormat="1" ht="12.75" x14ac:dyDescent="0.2">
      <c r="A20" s="35"/>
      <c r="B20" s="21"/>
      <c r="C20" s="21"/>
      <c r="D20" s="12"/>
      <c r="E20" s="12"/>
    </row>
    <row r="21" spans="1:7" s="13" customFormat="1" ht="12.75" x14ac:dyDescent="0.2">
      <c r="A21" s="35" t="s">
        <v>18</v>
      </c>
      <c r="B21" s="21"/>
      <c r="C21" s="21"/>
      <c r="D21" s="12"/>
      <c r="E21" s="12"/>
    </row>
    <row r="22" spans="1:7" s="13" customFormat="1" ht="12.75" x14ac:dyDescent="0.2">
      <c r="A22" s="35"/>
      <c r="B22" s="9"/>
      <c r="C22" s="10" t="s">
        <v>9</v>
      </c>
      <c r="D22" s="11"/>
      <c r="E22" s="12"/>
    </row>
    <row r="23" spans="1:7" s="13" customFormat="1" ht="12.75" x14ac:dyDescent="0.2">
      <c r="A23" s="35"/>
      <c r="B23" s="14" t="s">
        <v>6</v>
      </c>
      <c r="C23" s="15" t="s">
        <v>7</v>
      </c>
      <c r="D23" s="16" t="s">
        <v>28</v>
      </c>
      <c r="E23" s="12"/>
    </row>
    <row r="24" spans="1:7" s="13" customFormat="1" ht="12.75" x14ac:dyDescent="0.2">
      <c r="A24" s="35"/>
      <c r="B24" s="14">
        <v>1</v>
      </c>
      <c r="C24" s="15" t="s">
        <v>12</v>
      </c>
      <c r="D24" s="16">
        <v>192.99</v>
      </c>
      <c r="E24" s="12"/>
    </row>
    <row r="25" spans="1:7" s="13" customFormat="1" ht="12.75" x14ac:dyDescent="0.2">
      <c r="A25" s="35"/>
      <c r="B25" s="14">
        <v>2</v>
      </c>
      <c r="C25" s="15" t="s">
        <v>13</v>
      </c>
      <c r="D25" s="16">
        <v>0</v>
      </c>
      <c r="E25" s="12"/>
      <c r="G25" s="37"/>
    </row>
    <row r="26" spans="1:7" s="13" customFormat="1" ht="12.75" x14ac:dyDescent="0.2">
      <c r="A26" s="35"/>
      <c r="B26" s="14">
        <v>3</v>
      </c>
      <c r="C26" s="15" t="s">
        <v>36</v>
      </c>
      <c r="D26" s="16">
        <v>192.99</v>
      </c>
      <c r="E26" s="32"/>
    </row>
    <row r="27" spans="1:7" s="13" customFormat="1" ht="12.75" x14ac:dyDescent="0.2">
      <c r="A27" s="35"/>
      <c r="B27" s="14">
        <v>4</v>
      </c>
      <c r="C27" s="15" t="s">
        <v>35</v>
      </c>
      <c r="D27" s="16">
        <v>0</v>
      </c>
      <c r="E27" s="32"/>
    </row>
    <row r="28" spans="1:7" s="13" customFormat="1" ht="12.75" x14ac:dyDescent="0.2">
      <c r="A28" s="35"/>
      <c r="B28" s="14">
        <v>5</v>
      </c>
      <c r="C28" s="15" t="s">
        <v>34</v>
      </c>
      <c r="D28" s="16" t="s">
        <v>25</v>
      </c>
      <c r="E28" s="12"/>
    </row>
    <row r="29" spans="1:7" s="13" customFormat="1" ht="25.5" x14ac:dyDescent="0.2">
      <c r="A29" s="35"/>
      <c r="B29" s="14">
        <v>6</v>
      </c>
      <c r="C29" s="22" t="str">
        <f>C19</f>
        <v xml:space="preserve">Окраска поверхности стен с предварительной огрунтовкой в 2 слоя </v>
      </c>
      <c r="D29" s="16">
        <f>D24</f>
        <v>192.99</v>
      </c>
      <c r="E29" s="12"/>
    </row>
    <row r="30" spans="1:7" s="13" customFormat="1" ht="12.75" x14ac:dyDescent="0.2">
      <c r="A30" s="35"/>
      <c r="B30" s="18"/>
      <c r="C30" s="23"/>
      <c r="D30" s="20"/>
      <c r="E30" s="12"/>
    </row>
    <row r="31" spans="1:7" s="13" customFormat="1" ht="12.75" x14ac:dyDescent="0.2">
      <c r="A31" s="35"/>
      <c r="B31" s="21"/>
      <c r="C31" s="21"/>
      <c r="D31" s="12"/>
      <c r="E31" s="12"/>
    </row>
    <row r="32" spans="1:7" s="13" customFormat="1" ht="12.75" x14ac:dyDescent="0.2">
      <c r="A32" s="35" t="s">
        <v>19</v>
      </c>
      <c r="B32" s="21"/>
      <c r="C32" s="21"/>
      <c r="D32" s="12"/>
      <c r="E32" s="12"/>
    </row>
    <row r="33" spans="1:5" s="13" customFormat="1" ht="12.75" x14ac:dyDescent="0.2">
      <c r="A33" s="35"/>
      <c r="B33" s="9"/>
      <c r="C33" s="10" t="s">
        <v>9</v>
      </c>
      <c r="D33" s="11"/>
      <c r="E33" s="12"/>
    </row>
    <row r="34" spans="1:5" s="13" customFormat="1" ht="12.75" x14ac:dyDescent="0.2">
      <c r="A34" s="35"/>
      <c r="B34" s="14" t="s">
        <v>6</v>
      </c>
      <c r="C34" s="15" t="s">
        <v>7</v>
      </c>
      <c r="D34" s="16" t="s">
        <v>8</v>
      </c>
      <c r="E34" s="12"/>
    </row>
    <row r="35" spans="1:5" s="13" customFormat="1" ht="12.75" x14ac:dyDescent="0.2">
      <c r="A35" s="35"/>
      <c r="B35" s="14">
        <v>1</v>
      </c>
      <c r="C35" s="15" t="s">
        <v>12</v>
      </c>
      <c r="D35" s="16">
        <v>246.3</v>
      </c>
      <c r="E35" s="12"/>
    </row>
    <row r="36" spans="1:5" s="13" customFormat="1" ht="12.75" x14ac:dyDescent="0.2">
      <c r="A36" s="35"/>
      <c r="B36" s="14">
        <v>2</v>
      </c>
      <c r="C36" s="15" t="s">
        <v>13</v>
      </c>
      <c r="D36" s="16">
        <v>0</v>
      </c>
      <c r="E36" s="12"/>
    </row>
    <row r="37" spans="1:5" s="13" customFormat="1" ht="12.75" x14ac:dyDescent="0.2">
      <c r="A37" s="35"/>
      <c r="B37" s="14">
        <v>3</v>
      </c>
      <c r="C37" s="15" t="s">
        <v>36</v>
      </c>
      <c r="D37" s="16">
        <v>246.3</v>
      </c>
      <c r="E37" s="32"/>
    </row>
    <row r="38" spans="1:5" s="13" customFormat="1" ht="12.75" x14ac:dyDescent="0.2">
      <c r="A38" s="35"/>
      <c r="B38" s="14">
        <v>4</v>
      </c>
      <c r="C38" s="15" t="s">
        <v>35</v>
      </c>
      <c r="D38" s="16">
        <v>0</v>
      </c>
      <c r="E38" s="32"/>
    </row>
    <row r="39" spans="1:5" s="13" customFormat="1" ht="12.75" x14ac:dyDescent="0.2">
      <c r="A39" s="35"/>
      <c r="B39" s="14">
        <v>5</v>
      </c>
      <c r="C39" s="15" t="s">
        <v>34</v>
      </c>
      <c r="D39" s="16" t="s">
        <v>24</v>
      </c>
      <c r="E39" s="12"/>
    </row>
    <row r="40" spans="1:5" s="13" customFormat="1" ht="25.5" x14ac:dyDescent="0.2">
      <c r="A40" s="35"/>
      <c r="B40" s="14">
        <v>6</v>
      </c>
      <c r="C40" s="22" t="str">
        <f>C29</f>
        <v xml:space="preserve">Окраска поверхности стен с предварительной огрунтовкой в 2 слоя </v>
      </c>
      <c r="D40" s="16">
        <f>D35</f>
        <v>246.3</v>
      </c>
      <c r="E40" s="12"/>
    </row>
    <row r="41" spans="1:5" s="13" customFormat="1" ht="12.75" x14ac:dyDescent="0.2">
      <c r="A41" s="35"/>
      <c r="B41" s="21"/>
      <c r="C41" s="21"/>
      <c r="D41" s="12"/>
      <c r="E41" s="12"/>
    </row>
    <row r="42" spans="1:5" s="13" customFormat="1" ht="12.75" x14ac:dyDescent="0.2">
      <c r="A42" s="35" t="s">
        <v>20</v>
      </c>
      <c r="B42" s="21"/>
      <c r="C42" s="21"/>
      <c r="D42" s="12"/>
      <c r="E42" s="12"/>
    </row>
    <row r="43" spans="1:5" s="13" customFormat="1" ht="12.75" x14ac:dyDescent="0.2">
      <c r="A43" s="35"/>
      <c r="B43" s="9"/>
      <c r="C43" s="10" t="s">
        <v>9</v>
      </c>
      <c r="D43" s="11"/>
      <c r="E43" s="12"/>
    </row>
    <row r="44" spans="1:5" s="13" customFormat="1" ht="12.75" x14ac:dyDescent="0.2">
      <c r="A44" s="35"/>
      <c r="B44" s="14" t="s">
        <v>6</v>
      </c>
      <c r="C44" s="15" t="s">
        <v>7</v>
      </c>
      <c r="D44" s="16" t="s">
        <v>28</v>
      </c>
      <c r="E44" s="12"/>
    </row>
    <row r="45" spans="1:5" s="13" customFormat="1" ht="12.75" x14ac:dyDescent="0.2">
      <c r="A45" s="35"/>
      <c r="B45" s="14">
        <v>1</v>
      </c>
      <c r="C45" s="15" t="s">
        <v>12</v>
      </c>
      <c r="D45" s="16">
        <v>105.63</v>
      </c>
      <c r="E45" s="12"/>
    </row>
    <row r="46" spans="1:5" s="13" customFormat="1" ht="12.75" x14ac:dyDescent="0.2">
      <c r="A46" s="35"/>
      <c r="B46" s="14">
        <v>2</v>
      </c>
      <c r="C46" s="15" t="s">
        <v>13</v>
      </c>
      <c r="D46" s="16">
        <v>4.1500000000000004</v>
      </c>
      <c r="E46" s="12"/>
    </row>
    <row r="47" spans="1:5" s="13" customFormat="1" ht="12.75" x14ac:dyDescent="0.2">
      <c r="A47" s="35"/>
      <c r="B47" s="14">
        <v>3</v>
      </c>
      <c r="C47" s="15" t="s">
        <v>36</v>
      </c>
      <c r="D47" s="16">
        <v>105.63</v>
      </c>
      <c r="E47" s="32"/>
    </row>
    <row r="48" spans="1:5" s="13" customFormat="1" ht="12.75" x14ac:dyDescent="0.2">
      <c r="A48" s="35"/>
      <c r="B48" s="14">
        <v>4</v>
      </c>
      <c r="C48" s="15" t="s">
        <v>35</v>
      </c>
      <c r="D48" s="16">
        <v>4.1500000000000004</v>
      </c>
      <c r="E48" s="32"/>
    </row>
    <row r="49" spans="1:5" s="13" customFormat="1" ht="12.75" x14ac:dyDescent="0.2">
      <c r="A49" s="35"/>
      <c r="B49" s="14">
        <v>5</v>
      </c>
      <c r="C49" s="15" t="s">
        <v>34</v>
      </c>
      <c r="D49" s="16" t="s">
        <v>23</v>
      </c>
      <c r="E49" s="12"/>
    </row>
    <row r="50" spans="1:5" s="26" customFormat="1" ht="25.5" x14ac:dyDescent="0.2">
      <c r="A50" s="36"/>
      <c r="B50" s="14">
        <v>6</v>
      </c>
      <c r="C50" s="22" t="str">
        <f>C40</f>
        <v xml:space="preserve">Окраска поверхности стен с предварительной огрунтовкой в 2 слоя </v>
      </c>
      <c r="D50" s="24">
        <f>D45+D46</f>
        <v>109.78</v>
      </c>
      <c r="E50" s="25"/>
    </row>
    <row r="51" spans="1:5" s="13" customFormat="1" ht="12.75" x14ac:dyDescent="0.2">
      <c r="A51" s="35"/>
      <c r="B51" s="21"/>
      <c r="C51" s="21"/>
      <c r="D51" s="12"/>
      <c r="E51" s="12"/>
    </row>
    <row r="52" spans="1:5" s="13" customFormat="1" ht="12.75" x14ac:dyDescent="0.2">
      <c r="A52" s="35" t="s">
        <v>21</v>
      </c>
      <c r="B52" s="21"/>
      <c r="C52" s="21"/>
      <c r="D52" s="12"/>
      <c r="E52" s="12"/>
    </row>
    <row r="53" spans="1:5" s="13" customFormat="1" ht="12.75" x14ac:dyDescent="0.2">
      <c r="A53" s="35"/>
      <c r="B53" s="9"/>
      <c r="C53" s="27" t="s">
        <v>9</v>
      </c>
      <c r="D53" s="28"/>
      <c r="E53" s="29"/>
    </row>
    <row r="54" spans="1:5" s="13" customFormat="1" ht="12.75" x14ac:dyDescent="0.2">
      <c r="A54" s="35"/>
      <c r="B54" s="14" t="s">
        <v>6</v>
      </c>
      <c r="C54" s="15" t="s">
        <v>7</v>
      </c>
      <c r="D54" s="16" t="s">
        <v>28</v>
      </c>
      <c r="E54" s="30" t="s">
        <v>30</v>
      </c>
    </row>
    <row r="55" spans="1:5" s="13" customFormat="1" ht="12.75" x14ac:dyDescent="0.2">
      <c r="A55" s="35"/>
      <c r="B55" s="14">
        <v>1</v>
      </c>
      <c r="C55" s="15" t="s">
        <v>12</v>
      </c>
      <c r="D55" s="16">
        <v>1063.9100000000001</v>
      </c>
      <c r="E55" s="30"/>
    </row>
    <row r="56" spans="1:5" s="13" customFormat="1" ht="12.75" x14ac:dyDescent="0.2">
      <c r="A56" s="35"/>
      <c r="B56" s="14">
        <v>2</v>
      </c>
      <c r="C56" s="15" t="s">
        <v>13</v>
      </c>
      <c r="D56" s="16">
        <v>4.1500000000000004</v>
      </c>
      <c r="E56" s="30"/>
    </row>
    <row r="57" spans="1:5" s="13" customFormat="1" ht="12.75" x14ac:dyDescent="0.2">
      <c r="A57" s="35"/>
      <c r="B57" s="14">
        <v>3</v>
      </c>
      <c r="C57" s="15" t="s">
        <v>36</v>
      </c>
      <c r="D57" s="16">
        <v>1063.9100000000001</v>
      </c>
      <c r="E57" s="30"/>
    </row>
    <row r="58" spans="1:5" s="13" customFormat="1" ht="12.75" x14ac:dyDescent="0.2">
      <c r="A58" s="35"/>
      <c r="B58" s="14">
        <v>4</v>
      </c>
      <c r="C58" s="15" t="s">
        <v>35</v>
      </c>
      <c r="D58" s="16">
        <v>4.1500000000000004</v>
      </c>
      <c r="E58" s="30"/>
    </row>
    <row r="59" spans="1:5" s="13" customFormat="1" ht="12.75" x14ac:dyDescent="0.2">
      <c r="A59" s="35"/>
      <c r="B59" s="14">
        <v>5</v>
      </c>
      <c r="C59" s="15" t="s">
        <v>34</v>
      </c>
      <c r="D59" s="16" t="s">
        <v>22</v>
      </c>
      <c r="E59" s="30"/>
    </row>
    <row r="60" spans="1:5" s="13" customFormat="1" ht="25.5" x14ac:dyDescent="0.2">
      <c r="A60" s="35"/>
      <c r="B60" s="14">
        <v>6</v>
      </c>
      <c r="C60" s="22" t="s">
        <v>31</v>
      </c>
      <c r="D60" s="16">
        <f>D55+D56</f>
        <v>1068.0600000000002</v>
      </c>
      <c r="E60" s="30"/>
    </row>
    <row r="61" spans="1:5" s="13" customFormat="1" ht="12.75" x14ac:dyDescent="0.2">
      <c r="A61" s="35"/>
      <c r="B61" s="31">
        <v>6.1</v>
      </c>
      <c r="C61" s="15" t="s">
        <v>32</v>
      </c>
      <c r="D61" s="30"/>
      <c r="E61" s="30">
        <f>D60*0.15</f>
        <v>160.20900000000003</v>
      </c>
    </row>
    <row r="62" spans="1:5" s="13" customFormat="1" ht="12.75" x14ac:dyDescent="0.2">
      <c r="A62" s="35"/>
      <c r="B62" s="31">
        <v>6.2</v>
      </c>
      <c r="C62" s="15" t="s">
        <v>33</v>
      </c>
      <c r="D62" s="30"/>
      <c r="E62" s="30">
        <f>D60*0.3</f>
        <v>320.41800000000006</v>
      </c>
    </row>
    <row r="63" spans="1:5" s="13" customFormat="1" ht="12.75" x14ac:dyDescent="0.2">
      <c r="A63" s="35"/>
      <c r="B63" s="21"/>
      <c r="C63" s="21"/>
      <c r="D63" s="12"/>
      <c r="E63" s="12"/>
    </row>
    <row r="64" spans="1:5" s="13" customFormat="1" ht="12.75" x14ac:dyDescent="0.2">
      <c r="A64" s="35"/>
      <c r="B64" s="21"/>
      <c r="C64" s="21"/>
      <c r="D64" s="12"/>
      <c r="E64" s="12"/>
    </row>
    <row r="65" spans="1:5" s="13" customFormat="1" ht="12.75" x14ac:dyDescent="0.2">
      <c r="A65" s="35"/>
      <c r="B65" s="9"/>
      <c r="C65" s="10" t="s">
        <v>9</v>
      </c>
      <c r="D65" s="33"/>
      <c r="E65" s="34"/>
    </row>
    <row r="66" spans="1:5" s="13" customFormat="1" ht="12.75" x14ac:dyDescent="0.2">
      <c r="A66" s="35"/>
      <c r="B66" s="14" t="s">
        <v>6</v>
      </c>
      <c r="C66" s="15" t="s">
        <v>7</v>
      </c>
      <c r="D66" s="16" t="s">
        <v>28</v>
      </c>
      <c r="E66" s="12"/>
    </row>
    <row r="67" spans="1:5" s="13" customFormat="1" ht="12.75" x14ac:dyDescent="0.2">
      <c r="A67" s="35"/>
      <c r="B67" s="14">
        <v>1</v>
      </c>
      <c r="C67" s="15" t="s">
        <v>37</v>
      </c>
      <c r="D67" s="16">
        <v>4.1500000000000004</v>
      </c>
      <c r="E67" s="12"/>
    </row>
    <row r="68" spans="1:5" s="13" customFormat="1" ht="12.75" x14ac:dyDescent="0.2">
      <c r="A68" s="35"/>
      <c r="B68" s="21"/>
      <c r="C68" s="21"/>
      <c r="D68" s="12"/>
      <c r="E68" s="12"/>
    </row>
    <row r="69" spans="1:5" s="13" customFormat="1" ht="12.75" x14ac:dyDescent="0.2">
      <c r="A69" s="35"/>
      <c r="B69" s="21"/>
      <c r="C69" s="21"/>
      <c r="D69" s="12"/>
      <c r="E69" s="12"/>
    </row>
    <row r="70" spans="1:5" s="13" customFormat="1" ht="12.75" x14ac:dyDescent="0.2">
      <c r="A70" s="35"/>
      <c r="B70" s="21"/>
      <c r="C70" s="21"/>
      <c r="D70" s="12"/>
      <c r="E70" s="12"/>
    </row>
    <row r="71" spans="1:5" s="13" customFormat="1" ht="12.75" x14ac:dyDescent="0.2">
      <c r="A71" s="35" t="s">
        <v>38</v>
      </c>
      <c r="B71" s="9"/>
      <c r="C71" s="10" t="s">
        <v>9</v>
      </c>
      <c r="D71" s="11"/>
      <c r="E71" s="12"/>
    </row>
    <row r="72" spans="1:5" s="13" customFormat="1" ht="12.75" x14ac:dyDescent="0.2">
      <c r="A72" s="35"/>
      <c r="B72" s="14" t="s">
        <v>6</v>
      </c>
      <c r="C72" s="15" t="s">
        <v>7</v>
      </c>
      <c r="D72" s="16" t="s">
        <v>28</v>
      </c>
      <c r="E72" s="12"/>
    </row>
    <row r="73" spans="1:5" s="13" customFormat="1" ht="12.75" x14ac:dyDescent="0.2">
      <c r="A73" s="35"/>
      <c r="B73" s="14">
        <v>1</v>
      </c>
      <c r="C73" s="15" t="s">
        <v>0</v>
      </c>
      <c r="D73" s="16">
        <v>28.72</v>
      </c>
      <c r="E73" s="12"/>
    </row>
    <row r="74" spans="1:5" s="13" customFormat="1" ht="12.75" x14ac:dyDescent="0.2">
      <c r="A74" s="35"/>
      <c r="B74" s="14">
        <v>2</v>
      </c>
      <c r="C74" s="17" t="s">
        <v>11</v>
      </c>
      <c r="D74" s="16" t="s">
        <v>39</v>
      </c>
      <c r="E74" s="12"/>
    </row>
    <row r="75" spans="1:5" s="13" customFormat="1" ht="12.75" x14ac:dyDescent="0.2">
      <c r="A75" s="35"/>
      <c r="B75" s="21"/>
      <c r="C75" s="21"/>
      <c r="D75" s="12"/>
      <c r="E75" s="12"/>
    </row>
    <row r="76" spans="1:5" s="13" customFormat="1" ht="12.75" x14ac:dyDescent="0.2">
      <c r="A76" s="35"/>
      <c r="B76" s="21"/>
      <c r="C76" s="21"/>
      <c r="D76" s="12"/>
      <c r="E76" s="12"/>
    </row>
    <row r="77" spans="1:5" s="13" customFormat="1" ht="12.75" x14ac:dyDescent="0.2">
      <c r="A77" s="35" t="s">
        <v>40</v>
      </c>
      <c r="B77" s="9"/>
      <c r="C77" s="10" t="s">
        <v>9</v>
      </c>
      <c r="D77" s="11"/>
      <c r="E77" s="30" t="s">
        <v>30</v>
      </c>
    </row>
    <row r="78" spans="1:5" s="13" customFormat="1" ht="12.75" x14ac:dyDescent="0.2">
      <c r="A78" s="35"/>
      <c r="B78" s="14" t="s">
        <v>6</v>
      </c>
      <c r="C78" s="15" t="s">
        <v>7</v>
      </c>
      <c r="D78" s="16" t="s">
        <v>28</v>
      </c>
      <c r="E78" s="30"/>
    </row>
    <row r="79" spans="1:5" s="13" customFormat="1" ht="12.75" x14ac:dyDescent="0.2">
      <c r="A79" s="35"/>
      <c r="B79" s="14">
        <v>1</v>
      </c>
      <c r="C79" s="15" t="s">
        <v>41</v>
      </c>
      <c r="D79" s="16">
        <v>37.68</v>
      </c>
      <c r="E79" s="30"/>
    </row>
    <row r="80" spans="1:5" s="13" customFormat="1" ht="12.75" x14ac:dyDescent="0.2">
      <c r="A80" s="35"/>
      <c r="B80" s="14">
        <v>2</v>
      </c>
      <c r="C80" s="15" t="s">
        <v>42</v>
      </c>
      <c r="D80" s="16">
        <f>D79</f>
        <v>37.68</v>
      </c>
      <c r="E80" s="30"/>
    </row>
    <row r="81" spans="1:5" s="26" customFormat="1" ht="25.5" x14ac:dyDescent="0.2">
      <c r="A81" s="36"/>
      <c r="B81" s="14">
        <v>3</v>
      </c>
      <c r="C81" s="22" t="s">
        <v>43</v>
      </c>
      <c r="D81" s="24">
        <f>D79</f>
        <v>37.68</v>
      </c>
      <c r="E81" s="30"/>
    </row>
    <row r="82" spans="1:5" s="13" customFormat="1" ht="12.75" x14ac:dyDescent="0.2">
      <c r="A82" s="35"/>
      <c r="B82" s="31">
        <v>3.1</v>
      </c>
      <c r="C82" s="15" t="s">
        <v>32</v>
      </c>
      <c r="D82" s="30"/>
      <c r="E82" s="30">
        <f>D79*0.15</f>
        <v>5.6520000000000001</v>
      </c>
    </row>
    <row r="83" spans="1:5" s="13" customFormat="1" ht="12.75" x14ac:dyDescent="0.2">
      <c r="A83" s="35"/>
      <c r="B83" s="31">
        <v>3.2</v>
      </c>
      <c r="C83" s="15" t="s">
        <v>33</v>
      </c>
      <c r="D83" s="30"/>
      <c r="E83" s="30">
        <f>D79*0.3</f>
        <v>11.304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Пример</vt:lpstr>
      <vt:lpstr>стены штукатурка</vt:lpstr>
      <vt:lpstr>Стены шпаклевка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2025-09-11T09:53:02Z</dcterms:modified>
</cp:coreProperties>
</file>