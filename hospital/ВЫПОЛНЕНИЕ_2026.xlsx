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срк\OneDrive\Рабочий стол\МФ СТРОЙ\ПОЛИКЛИНИКА\2026 ГОД\ВЫПОЛНЕНИЕ\"/>
    </mc:Choice>
  </mc:AlternateContent>
  <xr:revisionPtr revIDLastSave="0" documentId="13_ncr:1_{D6B576EE-982D-4E84-8E92-4CDD66017BC6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Изменения" sheetId="1" r:id="rId1"/>
    <sheet name="ТКП" sheetId="2" r:id="rId2"/>
    <sheet name="ВЫПОЛНЕНИЕ_2026" sheetId="7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84" i="7" l="1"/>
  <c r="R684" i="7"/>
  <c r="T683" i="7"/>
  <c r="R683" i="7"/>
  <c r="S682" i="7"/>
  <c r="S681" i="7"/>
  <c r="P680" i="7" s="1"/>
  <c r="T680" i="7"/>
  <c r="S679" i="7"/>
  <c r="S678" i="7"/>
  <c r="S677" i="7"/>
  <c r="S676" i="7"/>
  <c r="S675" i="7"/>
  <c r="S674" i="7"/>
  <c r="S673" i="7"/>
  <c r="S672" i="7"/>
  <c r="S671" i="7"/>
  <c r="S670" i="7"/>
  <c r="T669" i="7"/>
  <c r="S668" i="7"/>
  <c r="P659" i="7" s="1"/>
  <c r="S659" i="7" s="1"/>
  <c r="S667" i="7"/>
  <c r="S666" i="7"/>
  <c r="S665" i="7"/>
  <c r="S664" i="7"/>
  <c r="S663" i="7"/>
  <c r="S662" i="7"/>
  <c r="S661" i="7"/>
  <c r="S660" i="7"/>
  <c r="T659" i="7"/>
  <c r="S658" i="7"/>
  <c r="S657" i="7"/>
  <c r="S656" i="7"/>
  <c r="S655" i="7"/>
  <c r="S654" i="7"/>
  <c r="S653" i="7"/>
  <c r="S652" i="7"/>
  <c r="S651" i="7"/>
  <c r="S650" i="7"/>
  <c r="S649" i="7"/>
  <c r="T648" i="7"/>
  <c r="T647" i="7"/>
  <c r="U647" i="7" s="1"/>
  <c r="R647" i="7"/>
  <c r="S646" i="7"/>
  <c r="P645" i="7" s="1"/>
  <c r="T645" i="7"/>
  <c r="S644" i="7"/>
  <c r="T643" i="7"/>
  <c r="S641" i="7"/>
  <c r="S640" i="7"/>
  <c r="T639" i="7"/>
  <c r="S638" i="7"/>
  <c r="S637" i="7"/>
  <c r="P636" i="7" s="1"/>
  <c r="T636" i="7"/>
  <c r="S635" i="7"/>
  <c r="P633" i="7" s="1"/>
  <c r="S633" i="7" s="1"/>
  <c r="S634" i="7"/>
  <c r="T633" i="7"/>
  <c r="S632" i="7"/>
  <c r="P630" i="7" s="1"/>
  <c r="S630" i="7" s="1"/>
  <c r="S631" i="7"/>
  <c r="T630" i="7"/>
  <c r="S628" i="7"/>
  <c r="S627" i="7"/>
  <c r="T626" i="7"/>
  <c r="S625" i="7"/>
  <c r="S624" i="7"/>
  <c r="S623" i="7"/>
  <c r="S622" i="7"/>
  <c r="T621" i="7"/>
  <c r="T620" i="7" s="1"/>
  <c r="S618" i="7"/>
  <c r="S617" i="7"/>
  <c r="S616" i="7"/>
  <c r="S615" i="7"/>
  <c r="T614" i="7"/>
  <c r="S613" i="7"/>
  <c r="S612" i="7"/>
  <c r="T611" i="7"/>
  <c r="S610" i="7"/>
  <c r="S609" i="7"/>
  <c r="T608" i="7"/>
  <c r="S607" i="7"/>
  <c r="T606" i="7"/>
  <c r="S604" i="7"/>
  <c r="S603" i="7"/>
  <c r="S602" i="7"/>
  <c r="S601" i="7"/>
  <c r="T600" i="7"/>
  <c r="S597" i="7"/>
  <c r="S596" i="7"/>
  <c r="S595" i="7"/>
  <c r="S594" i="7"/>
  <c r="T593" i="7"/>
  <c r="S592" i="7"/>
  <c r="S591" i="7"/>
  <c r="S590" i="7"/>
  <c r="S589" i="7"/>
  <c r="T588" i="7"/>
  <c r="S587" i="7"/>
  <c r="S586" i="7"/>
  <c r="S585" i="7"/>
  <c r="S584" i="7"/>
  <c r="T583" i="7"/>
  <c r="S582" i="7"/>
  <c r="S581" i="7"/>
  <c r="S580" i="7"/>
  <c r="S579" i="7"/>
  <c r="T578" i="7"/>
  <c r="S577" i="7"/>
  <c r="S576" i="7"/>
  <c r="S575" i="7"/>
  <c r="S574" i="7"/>
  <c r="T573" i="7"/>
  <c r="S572" i="7"/>
  <c r="S571" i="7"/>
  <c r="S570" i="7"/>
  <c r="S569" i="7"/>
  <c r="T568" i="7"/>
  <c r="S567" i="7"/>
  <c r="S566" i="7"/>
  <c r="S565" i="7"/>
  <c r="S564" i="7"/>
  <c r="T563" i="7"/>
  <c r="S562" i="7"/>
  <c r="S561" i="7"/>
  <c r="S560" i="7"/>
  <c r="S559" i="7"/>
  <c r="T558" i="7"/>
  <c r="S557" i="7"/>
  <c r="P555" i="7" s="1"/>
  <c r="S555" i="7" s="1"/>
  <c r="S556" i="7"/>
  <c r="T555" i="7"/>
  <c r="S554" i="7"/>
  <c r="S553" i="7"/>
  <c r="S552" i="7"/>
  <c r="T551" i="7"/>
  <c r="S550" i="7"/>
  <c r="P547" i="7" s="1"/>
  <c r="S547" i="7" s="1"/>
  <c r="S549" i="7"/>
  <c r="S548" i="7"/>
  <c r="T547" i="7"/>
  <c r="S545" i="7"/>
  <c r="T544" i="7"/>
  <c r="S543" i="7"/>
  <c r="T542" i="7"/>
  <c r="S541" i="7"/>
  <c r="P540" i="7" s="1"/>
  <c r="T540" i="7"/>
  <c r="S539" i="7"/>
  <c r="P538" i="7" s="1"/>
  <c r="R538" i="7" s="1"/>
  <c r="T538" i="7"/>
  <c r="S537" i="7"/>
  <c r="T536" i="7"/>
  <c r="S535" i="7"/>
  <c r="P534" i="7" s="1"/>
  <c r="R534" i="7" s="1"/>
  <c r="T534" i="7"/>
  <c r="S533" i="7"/>
  <c r="T532" i="7"/>
  <c r="S531" i="7"/>
  <c r="P530" i="7" s="1"/>
  <c r="S530" i="7" s="1"/>
  <c r="T530" i="7"/>
  <c r="S529" i="7"/>
  <c r="P528" i="7" s="1"/>
  <c r="T528" i="7"/>
  <c r="S527" i="7"/>
  <c r="T526" i="7"/>
  <c r="S525" i="7"/>
  <c r="T524" i="7"/>
  <c r="S522" i="7"/>
  <c r="S521" i="7"/>
  <c r="S520" i="7"/>
  <c r="T519" i="7"/>
  <c r="S518" i="7"/>
  <c r="S517" i="7"/>
  <c r="S516" i="7"/>
  <c r="S515" i="7"/>
  <c r="T514" i="7"/>
  <c r="S513" i="7"/>
  <c r="P512" i="7" s="1"/>
  <c r="T512" i="7"/>
  <c r="T511" i="7" s="1"/>
  <c r="S506" i="7"/>
  <c r="S505" i="7"/>
  <c r="S504" i="7"/>
  <c r="S503" i="7"/>
  <c r="S502" i="7"/>
  <c r="T501" i="7"/>
  <c r="S500" i="7"/>
  <c r="S499" i="7"/>
  <c r="S498" i="7"/>
  <c r="S497" i="7"/>
  <c r="S496" i="7"/>
  <c r="T495" i="7"/>
  <c r="S494" i="7"/>
  <c r="S493" i="7"/>
  <c r="S492" i="7"/>
  <c r="S491" i="7"/>
  <c r="S490" i="7"/>
  <c r="P489" i="7" s="1"/>
  <c r="T489" i="7"/>
  <c r="S488" i="7"/>
  <c r="P483" i="7" s="1"/>
  <c r="S487" i="7"/>
  <c r="S486" i="7"/>
  <c r="S485" i="7"/>
  <c r="S484" i="7"/>
  <c r="T483" i="7"/>
  <c r="S482" i="7"/>
  <c r="S481" i="7"/>
  <c r="S480" i="7"/>
  <c r="S479" i="7"/>
  <c r="S478" i="7"/>
  <c r="T477" i="7"/>
  <c r="S476" i="7"/>
  <c r="S475" i="7"/>
  <c r="S474" i="7"/>
  <c r="S473" i="7"/>
  <c r="S472" i="7"/>
  <c r="T471" i="7"/>
  <c r="S470" i="7"/>
  <c r="S469" i="7"/>
  <c r="S468" i="7"/>
  <c r="S467" i="7"/>
  <c r="S466" i="7"/>
  <c r="T465" i="7"/>
  <c r="S464" i="7"/>
  <c r="S463" i="7"/>
  <c r="S462" i="7"/>
  <c r="S461" i="7"/>
  <c r="S460" i="7"/>
  <c r="T459" i="7"/>
  <c r="T451" i="7"/>
  <c r="U451" i="7" s="1"/>
  <c r="R451" i="7"/>
  <c r="L451" i="7"/>
  <c r="U450" i="7"/>
  <c r="R450" i="7"/>
  <c r="L450" i="7"/>
  <c r="T449" i="7"/>
  <c r="S449" i="7"/>
  <c r="S448" i="7"/>
  <c r="P447" i="7" s="1"/>
  <c r="J447" i="7"/>
  <c r="T447" i="7"/>
  <c r="S446" i="7"/>
  <c r="U445" i="7"/>
  <c r="R445" i="7"/>
  <c r="L445" i="7"/>
  <c r="S444" i="7"/>
  <c r="S443" i="7"/>
  <c r="S442" i="7"/>
  <c r="S441" i="7"/>
  <c r="S440" i="7"/>
  <c r="S439" i="7"/>
  <c r="S438" i="7"/>
  <c r="S437" i="7"/>
  <c r="S436" i="7"/>
  <c r="T435" i="7"/>
  <c r="S434" i="7"/>
  <c r="S433" i="7"/>
  <c r="S432" i="7"/>
  <c r="S431" i="7"/>
  <c r="S430" i="7"/>
  <c r="S429" i="7"/>
  <c r="S428" i="7"/>
  <c r="S427" i="7"/>
  <c r="S426" i="7"/>
  <c r="S425" i="7"/>
  <c r="T424" i="7"/>
  <c r="J424" i="7"/>
  <c r="S423" i="7"/>
  <c r="S422" i="7"/>
  <c r="S421" i="7"/>
  <c r="S420" i="7"/>
  <c r="S419" i="7"/>
  <c r="S418" i="7"/>
  <c r="S417" i="7"/>
  <c r="S416" i="7"/>
  <c r="S415" i="7"/>
  <c r="S414" i="7"/>
  <c r="T413" i="7"/>
  <c r="S412" i="7"/>
  <c r="S411" i="7"/>
  <c r="S410" i="7"/>
  <c r="S409" i="7"/>
  <c r="S408" i="7"/>
  <c r="S407" i="7"/>
  <c r="S406" i="7"/>
  <c r="S405" i="7"/>
  <c r="S404" i="7"/>
  <c r="S403" i="7"/>
  <c r="U402" i="7"/>
  <c r="R402" i="7"/>
  <c r="L402" i="7"/>
  <c r="S401" i="7"/>
  <c r="S400" i="7"/>
  <c r="S399" i="7"/>
  <c r="S398" i="7"/>
  <c r="S397" i="7"/>
  <c r="S396" i="7"/>
  <c r="S395" i="7"/>
  <c r="S394" i="7"/>
  <c r="S393" i="7"/>
  <c r="S392" i="7"/>
  <c r="U391" i="7"/>
  <c r="R391" i="7"/>
  <c r="L391" i="7"/>
  <c r="S390" i="7"/>
  <c r="S389" i="7"/>
  <c r="S388" i="7"/>
  <c r="S387" i="7"/>
  <c r="S386" i="7"/>
  <c r="S385" i="7"/>
  <c r="S384" i="7"/>
  <c r="S383" i="7"/>
  <c r="S382" i="7"/>
  <c r="S381" i="7"/>
  <c r="U380" i="7"/>
  <c r="R380" i="7"/>
  <c r="L380" i="7"/>
  <c r="T379" i="7"/>
  <c r="U379" i="7" s="1"/>
  <c r="R379" i="7"/>
  <c r="L379" i="7"/>
  <c r="U378" i="7"/>
  <c r="R378" i="7"/>
  <c r="L378" i="7"/>
  <c r="S377" i="7"/>
  <c r="P376" i="7" s="1"/>
  <c r="T376" i="7"/>
  <c r="J376" i="7"/>
  <c r="L376" i="7" s="1"/>
  <c r="S375" i="7"/>
  <c r="P374" i="7" s="1"/>
  <c r="T374" i="7"/>
  <c r="J374" i="7"/>
  <c r="S373" i="7"/>
  <c r="U372" i="7"/>
  <c r="R372" i="7"/>
  <c r="L372" i="7"/>
  <c r="S371" i="7"/>
  <c r="U370" i="7"/>
  <c r="R370" i="7"/>
  <c r="L370" i="7"/>
  <c r="S368" i="7"/>
  <c r="S367" i="7"/>
  <c r="P366" i="7" s="1"/>
  <c r="T366" i="7"/>
  <c r="S365" i="7"/>
  <c r="S364" i="7"/>
  <c r="T363" i="7"/>
  <c r="S362" i="7"/>
  <c r="J360" i="7"/>
  <c r="S361" i="7"/>
  <c r="T360" i="7"/>
  <c r="S359" i="7"/>
  <c r="J357" i="7"/>
  <c r="S358" i="7"/>
  <c r="P357" i="7" s="1"/>
  <c r="T357" i="7"/>
  <c r="S356" i="7"/>
  <c r="S355" i="7"/>
  <c r="U354" i="7"/>
  <c r="R354" i="7"/>
  <c r="L354" i="7"/>
  <c r="S353" i="7"/>
  <c r="S352" i="7"/>
  <c r="U351" i="7"/>
  <c r="R351" i="7"/>
  <c r="L351" i="7"/>
  <c r="S350" i="7"/>
  <c r="S349" i="7"/>
  <c r="U348" i="7"/>
  <c r="R348" i="7"/>
  <c r="L348" i="7"/>
  <c r="S347" i="7"/>
  <c r="S346" i="7"/>
  <c r="U345" i="7"/>
  <c r="R345" i="7"/>
  <c r="L345" i="7"/>
  <c r="T344" i="7"/>
  <c r="S343" i="7"/>
  <c r="J341" i="7"/>
  <c r="S342" i="7"/>
  <c r="P341" i="7" s="1"/>
  <c r="T341" i="7"/>
  <c r="S340" i="7"/>
  <c r="S339" i="7"/>
  <c r="U338" i="7"/>
  <c r="R338" i="7"/>
  <c r="L338" i="7"/>
  <c r="S337" i="7"/>
  <c r="S336" i="7"/>
  <c r="S335" i="7"/>
  <c r="P333" i="7" s="1"/>
  <c r="S334" i="7"/>
  <c r="J333" i="7"/>
  <c r="T333" i="7"/>
  <c r="S332" i="7"/>
  <c r="S331" i="7"/>
  <c r="S330" i="7"/>
  <c r="S329" i="7"/>
  <c r="U328" i="7"/>
  <c r="R328" i="7"/>
  <c r="L328" i="7"/>
  <c r="S325" i="7"/>
  <c r="S324" i="7"/>
  <c r="S323" i="7"/>
  <c r="S322" i="7"/>
  <c r="T321" i="7"/>
  <c r="S320" i="7"/>
  <c r="S319" i="7"/>
  <c r="S318" i="7"/>
  <c r="S317" i="7"/>
  <c r="U316" i="7"/>
  <c r="R316" i="7"/>
  <c r="L316" i="7"/>
  <c r="S315" i="7"/>
  <c r="J313" i="7"/>
  <c r="S314" i="7"/>
  <c r="P313" i="7" s="1"/>
  <c r="S313" i="7" s="1"/>
  <c r="T313" i="7"/>
  <c r="S312" i="7"/>
  <c r="J310" i="7"/>
  <c r="S311" i="7"/>
  <c r="P310" i="7" s="1"/>
  <c r="S310" i="7" s="1"/>
  <c r="T310" i="7"/>
  <c r="S309" i="7"/>
  <c r="S308" i="7"/>
  <c r="U307" i="7"/>
  <c r="R307" i="7"/>
  <c r="L307" i="7"/>
  <c r="S306" i="7"/>
  <c r="S305" i="7"/>
  <c r="U304" i="7"/>
  <c r="R304" i="7"/>
  <c r="L304" i="7"/>
  <c r="S303" i="7"/>
  <c r="P302" i="7" s="1"/>
  <c r="J302" i="7"/>
  <c r="T302" i="7"/>
  <c r="S301" i="7"/>
  <c r="U300" i="7"/>
  <c r="R300" i="7"/>
  <c r="L300" i="7"/>
  <c r="S298" i="7"/>
  <c r="S297" i="7"/>
  <c r="S296" i="7"/>
  <c r="S295" i="7"/>
  <c r="P294" i="7" s="1"/>
  <c r="T294" i="7"/>
  <c r="S293" i="7"/>
  <c r="S292" i="7"/>
  <c r="S291" i="7"/>
  <c r="S290" i="7"/>
  <c r="U289" i="7"/>
  <c r="R289" i="7"/>
  <c r="L289" i="7"/>
  <c r="T288" i="7"/>
  <c r="S286" i="7"/>
  <c r="J282" i="7"/>
  <c r="S285" i="7"/>
  <c r="S284" i="7"/>
  <c r="S283" i="7"/>
  <c r="T282" i="7"/>
  <c r="S281" i="7"/>
  <c r="S280" i="7"/>
  <c r="S279" i="7"/>
  <c r="S278" i="7"/>
  <c r="J277" i="7"/>
  <c r="T277" i="7"/>
  <c r="S276" i="7"/>
  <c r="S275" i="7"/>
  <c r="S274" i="7"/>
  <c r="S273" i="7"/>
  <c r="U272" i="7"/>
  <c r="R272" i="7"/>
  <c r="L272" i="7"/>
  <c r="S271" i="7"/>
  <c r="S270" i="7"/>
  <c r="S269" i="7"/>
  <c r="S268" i="7"/>
  <c r="U267" i="7"/>
  <c r="R267" i="7"/>
  <c r="L267" i="7"/>
  <c r="S266" i="7"/>
  <c r="S265" i="7"/>
  <c r="S264" i="7"/>
  <c r="J262" i="7"/>
  <c r="S263" i="7"/>
  <c r="T262" i="7"/>
  <c r="S261" i="7"/>
  <c r="S260" i="7"/>
  <c r="S259" i="7"/>
  <c r="S258" i="7"/>
  <c r="T257" i="7"/>
  <c r="S256" i="7"/>
  <c r="S255" i="7"/>
  <c r="S254" i="7"/>
  <c r="S253" i="7"/>
  <c r="U252" i="7"/>
  <c r="R252" i="7"/>
  <c r="L252" i="7"/>
  <c r="S251" i="7"/>
  <c r="S250" i="7"/>
  <c r="S249" i="7"/>
  <c r="S248" i="7"/>
  <c r="U247" i="7"/>
  <c r="R247" i="7"/>
  <c r="L247" i="7"/>
  <c r="S246" i="7"/>
  <c r="P242" i="7" s="1"/>
  <c r="J242" i="7"/>
  <c r="S245" i="7"/>
  <c r="S244" i="7"/>
  <c r="S243" i="7"/>
  <c r="T242" i="7"/>
  <c r="S241" i="7"/>
  <c r="S240" i="7"/>
  <c r="S239" i="7"/>
  <c r="S238" i="7"/>
  <c r="J237" i="7"/>
  <c r="T237" i="7"/>
  <c r="S236" i="7"/>
  <c r="S235" i="7"/>
  <c r="S234" i="7"/>
  <c r="S233" i="7"/>
  <c r="J232" i="7"/>
  <c r="T232" i="7"/>
  <c r="S231" i="7"/>
  <c r="S230" i="7"/>
  <c r="S229" i="7"/>
  <c r="S228" i="7"/>
  <c r="U227" i="7"/>
  <c r="R227" i="7"/>
  <c r="L227" i="7"/>
  <c r="S226" i="7"/>
  <c r="S225" i="7"/>
  <c r="S224" i="7"/>
  <c r="S223" i="7"/>
  <c r="U222" i="7"/>
  <c r="R222" i="7"/>
  <c r="L222" i="7"/>
  <c r="S221" i="7"/>
  <c r="S220" i="7"/>
  <c r="S219" i="7"/>
  <c r="S218" i="7"/>
  <c r="U217" i="7"/>
  <c r="R217" i="7"/>
  <c r="L217" i="7"/>
  <c r="S216" i="7"/>
  <c r="S215" i="7"/>
  <c r="S214" i="7"/>
  <c r="S213" i="7"/>
  <c r="J212" i="7"/>
  <c r="T212" i="7"/>
  <c r="S211" i="7"/>
  <c r="S210" i="7"/>
  <c r="S209" i="7"/>
  <c r="S208" i="7"/>
  <c r="U207" i="7"/>
  <c r="R207" i="7"/>
  <c r="L207" i="7"/>
  <c r="S206" i="7"/>
  <c r="S205" i="7"/>
  <c r="T204" i="7"/>
  <c r="S203" i="7"/>
  <c r="S202" i="7"/>
  <c r="U201" i="7"/>
  <c r="R201" i="7"/>
  <c r="L201" i="7"/>
  <c r="S200" i="7"/>
  <c r="J197" i="7"/>
  <c r="S199" i="7"/>
  <c r="S198" i="7"/>
  <c r="T197" i="7"/>
  <c r="S196" i="7"/>
  <c r="S195" i="7"/>
  <c r="S194" i="7"/>
  <c r="S193" i="7"/>
  <c r="J192" i="7"/>
  <c r="T192" i="7"/>
  <c r="S191" i="7"/>
  <c r="S190" i="7"/>
  <c r="S189" i="7"/>
  <c r="U188" i="7"/>
  <c r="R188" i="7"/>
  <c r="L188" i="7"/>
  <c r="S187" i="7"/>
  <c r="S186" i="7"/>
  <c r="S185" i="7"/>
  <c r="S184" i="7"/>
  <c r="U183" i="7"/>
  <c r="R183" i="7"/>
  <c r="L183" i="7"/>
  <c r="S181" i="7"/>
  <c r="P180" i="7" s="1"/>
  <c r="R180" i="7" s="1"/>
  <c r="J180" i="7"/>
  <c r="T180" i="7"/>
  <c r="S179" i="7"/>
  <c r="U178" i="7"/>
  <c r="R178" i="7"/>
  <c r="L178" i="7"/>
  <c r="S177" i="7"/>
  <c r="P176" i="7" s="1"/>
  <c r="J176" i="7"/>
  <c r="T176" i="7"/>
  <c r="S175" i="7"/>
  <c r="P174" i="7" s="1"/>
  <c r="S174" i="7" s="1"/>
  <c r="T174" i="7"/>
  <c r="J174" i="7"/>
  <c r="S173" i="7"/>
  <c r="P172" i="7" s="1"/>
  <c r="J172" i="7"/>
  <c r="T172" i="7"/>
  <c r="S171" i="7"/>
  <c r="J170" i="7"/>
  <c r="T170" i="7"/>
  <c r="P170" i="7"/>
  <c r="S170" i="7" s="1"/>
  <c r="S169" i="7"/>
  <c r="P168" i="7" s="1"/>
  <c r="J168" i="7"/>
  <c r="T168" i="7"/>
  <c r="S167" i="7"/>
  <c r="P166" i="7" s="1"/>
  <c r="S166" i="7" s="1"/>
  <c r="J166" i="7"/>
  <c r="T166" i="7"/>
  <c r="S165" i="7"/>
  <c r="U164" i="7"/>
  <c r="R164" i="7"/>
  <c r="L164" i="7"/>
  <c r="S163" i="7"/>
  <c r="U162" i="7"/>
  <c r="R162" i="7"/>
  <c r="L162" i="7"/>
  <c r="S161" i="7"/>
  <c r="U160" i="7"/>
  <c r="R160" i="7"/>
  <c r="L160" i="7"/>
  <c r="S159" i="7"/>
  <c r="U158" i="7"/>
  <c r="R158" i="7"/>
  <c r="L158" i="7"/>
  <c r="S157" i="7"/>
  <c r="U156" i="7"/>
  <c r="R156" i="7"/>
  <c r="L156" i="7"/>
  <c r="S155" i="7"/>
  <c r="U154" i="7"/>
  <c r="R154" i="7"/>
  <c r="L154" i="7"/>
  <c r="S153" i="7"/>
  <c r="P152" i="7" s="1"/>
  <c r="S152" i="7" s="1"/>
  <c r="T152" i="7"/>
  <c r="J152" i="7"/>
  <c r="S151" i="7"/>
  <c r="U150" i="7"/>
  <c r="R150" i="7"/>
  <c r="L150" i="7"/>
  <c r="S149" i="7"/>
  <c r="P148" i="7" s="1"/>
  <c r="R148" i="7" s="1"/>
  <c r="J148" i="7"/>
  <c r="T148" i="7"/>
  <c r="S147" i="7"/>
  <c r="U146" i="7"/>
  <c r="R146" i="7"/>
  <c r="L146" i="7"/>
  <c r="S145" i="7"/>
  <c r="P144" i="7" s="1"/>
  <c r="J144" i="7"/>
  <c r="T144" i="7"/>
  <c r="S144" i="7"/>
  <c r="S143" i="7"/>
  <c r="U142" i="7"/>
  <c r="R142" i="7"/>
  <c r="L142" i="7"/>
  <c r="S141" i="7"/>
  <c r="J140" i="7"/>
  <c r="T140" i="7"/>
  <c r="S139" i="7"/>
  <c r="U138" i="7"/>
  <c r="R138" i="7"/>
  <c r="L138" i="7"/>
  <c r="S136" i="7"/>
  <c r="S135" i="7"/>
  <c r="J133" i="7"/>
  <c r="S134" i="7"/>
  <c r="P133" i="7" s="1"/>
  <c r="T133" i="7"/>
  <c r="S132" i="7"/>
  <c r="S131" i="7"/>
  <c r="S130" i="7"/>
  <c r="U129" i="7"/>
  <c r="R129" i="7"/>
  <c r="L129" i="7"/>
  <c r="S128" i="7"/>
  <c r="S127" i="7"/>
  <c r="S126" i="7"/>
  <c r="S125" i="7"/>
  <c r="T124" i="7"/>
  <c r="S123" i="7"/>
  <c r="S122" i="7"/>
  <c r="S121" i="7"/>
  <c r="S120" i="7"/>
  <c r="U119" i="7"/>
  <c r="R119" i="7"/>
  <c r="L119" i="7"/>
  <c r="S118" i="7"/>
  <c r="T117" i="7"/>
  <c r="J117" i="7"/>
  <c r="S116" i="7"/>
  <c r="U115" i="7"/>
  <c r="R115" i="7"/>
  <c r="L115" i="7"/>
  <c r="S109" i="7"/>
  <c r="S108" i="7"/>
  <c r="S107" i="7"/>
  <c r="S106" i="7"/>
  <c r="S105" i="7"/>
  <c r="T104" i="7"/>
  <c r="S103" i="7"/>
  <c r="S102" i="7"/>
  <c r="S101" i="7"/>
  <c r="S100" i="7"/>
  <c r="S99" i="7"/>
  <c r="T98" i="7"/>
  <c r="S97" i="7"/>
  <c r="S96" i="7"/>
  <c r="S95" i="7"/>
  <c r="S94" i="7"/>
  <c r="S93" i="7"/>
  <c r="J92" i="7"/>
  <c r="T92" i="7"/>
  <c r="S91" i="7"/>
  <c r="S90" i="7"/>
  <c r="S89" i="7"/>
  <c r="S88" i="7"/>
  <c r="P86" i="7" s="1"/>
  <c r="S86" i="7" s="1"/>
  <c r="S87" i="7"/>
  <c r="J86" i="7"/>
  <c r="T86" i="7"/>
  <c r="S85" i="7"/>
  <c r="S84" i="7"/>
  <c r="S83" i="7"/>
  <c r="S82" i="7"/>
  <c r="S81" i="7"/>
  <c r="T80" i="7"/>
  <c r="S79" i="7"/>
  <c r="S78" i="7"/>
  <c r="S77" i="7"/>
  <c r="S76" i="7"/>
  <c r="S75" i="7"/>
  <c r="U74" i="7"/>
  <c r="R74" i="7"/>
  <c r="L74" i="7"/>
  <c r="S73" i="7"/>
  <c r="S72" i="7"/>
  <c r="S71" i="7"/>
  <c r="S70" i="7"/>
  <c r="S69" i="7"/>
  <c r="U68" i="7"/>
  <c r="R68" i="7"/>
  <c r="L68" i="7"/>
  <c r="S67" i="7"/>
  <c r="S66" i="7"/>
  <c r="S65" i="7"/>
  <c r="S64" i="7"/>
  <c r="S63" i="7"/>
  <c r="U62" i="7"/>
  <c r="R62" i="7"/>
  <c r="L62" i="7"/>
  <c r="S61" i="7"/>
  <c r="S60" i="7"/>
  <c r="S59" i="7"/>
  <c r="S58" i="7"/>
  <c r="S57" i="7"/>
  <c r="U56" i="7"/>
  <c r="R56" i="7"/>
  <c r="L56" i="7"/>
  <c r="S55" i="7"/>
  <c r="S54" i="7"/>
  <c r="S53" i="7"/>
  <c r="S52" i="7"/>
  <c r="S51" i="7"/>
  <c r="U50" i="7"/>
  <c r="R50" i="7"/>
  <c r="L50" i="7"/>
  <c r="S49" i="7"/>
  <c r="S48" i="7"/>
  <c r="S47" i="7"/>
  <c r="S46" i="7"/>
  <c r="S45" i="7"/>
  <c r="T44" i="7"/>
  <c r="S43" i="7"/>
  <c r="S42" i="7"/>
  <c r="S41" i="7"/>
  <c r="S40" i="7"/>
  <c r="S39" i="7"/>
  <c r="T38" i="7"/>
  <c r="S37" i="7"/>
  <c r="S36" i="7"/>
  <c r="S35" i="7"/>
  <c r="S34" i="7"/>
  <c r="U33" i="7"/>
  <c r="R33" i="7"/>
  <c r="L33" i="7"/>
  <c r="S32" i="7"/>
  <c r="S31" i="7"/>
  <c r="S30" i="7"/>
  <c r="S29" i="7"/>
  <c r="S28" i="7"/>
  <c r="U27" i="7"/>
  <c r="R27" i="7"/>
  <c r="L27" i="7"/>
  <c r="S26" i="7"/>
  <c r="S25" i="7"/>
  <c r="S24" i="7"/>
  <c r="S23" i="7"/>
  <c r="S22" i="7"/>
  <c r="T21" i="7"/>
  <c r="S20" i="7"/>
  <c r="S19" i="7"/>
  <c r="S18" i="7"/>
  <c r="S17" i="7"/>
  <c r="S16" i="7"/>
  <c r="U15" i="7"/>
  <c r="R15" i="7"/>
  <c r="L15" i="7"/>
  <c r="W684" i="2"/>
  <c r="T684" i="2"/>
  <c r="Z684" i="2" s="1"/>
  <c r="AA684" i="2" s="1"/>
  <c r="R684" i="2"/>
  <c r="X684" i="2" s="1"/>
  <c r="N684" i="2"/>
  <c r="O684" i="2" s="1"/>
  <c r="O682" i="2" s="1"/>
  <c r="L684" i="2"/>
  <c r="Z683" i="2"/>
  <c r="W683" i="2"/>
  <c r="U683" i="2"/>
  <c r="T683" i="2"/>
  <c r="R683" i="2"/>
  <c r="X683" i="2" s="1"/>
  <c r="O683" i="2"/>
  <c r="N683" i="2"/>
  <c r="L683" i="2"/>
  <c r="Y682" i="2"/>
  <c r="T682" i="2"/>
  <c r="S682" i="2"/>
  <c r="N682" i="2"/>
  <c r="M682" i="2"/>
  <c r="V681" i="2"/>
  <c r="S681" i="2"/>
  <c r="Y681" i="2" s="1"/>
  <c r="M681" i="2"/>
  <c r="Z680" i="2"/>
  <c r="W680" i="2"/>
  <c r="T680" i="2"/>
  <c r="P680" i="2"/>
  <c r="N680" i="2"/>
  <c r="J680" i="2"/>
  <c r="L680" i="2" s="1"/>
  <c r="V679" i="2"/>
  <c r="S679" i="2"/>
  <c r="Y679" i="2" s="1"/>
  <c r="M679" i="2"/>
  <c r="V678" i="2"/>
  <c r="S678" i="2"/>
  <c r="Y678" i="2" s="1"/>
  <c r="M678" i="2"/>
  <c r="V677" i="2"/>
  <c r="S677" i="2"/>
  <c r="Y677" i="2" s="1"/>
  <c r="M677" i="2"/>
  <c r="V676" i="2"/>
  <c r="S676" i="2"/>
  <c r="Y676" i="2" s="1"/>
  <c r="M676" i="2"/>
  <c r="V675" i="2"/>
  <c r="S675" i="2"/>
  <c r="Y675" i="2" s="1"/>
  <c r="M675" i="2"/>
  <c r="V674" i="2"/>
  <c r="S674" i="2"/>
  <c r="Y674" i="2" s="1"/>
  <c r="M674" i="2"/>
  <c r="V673" i="2"/>
  <c r="S673" i="2"/>
  <c r="Y673" i="2" s="1"/>
  <c r="M673" i="2"/>
  <c r="V672" i="2"/>
  <c r="S672" i="2"/>
  <c r="Y672" i="2" s="1"/>
  <c r="M672" i="2"/>
  <c r="V671" i="2"/>
  <c r="S671" i="2"/>
  <c r="Y671" i="2" s="1"/>
  <c r="M671" i="2"/>
  <c r="V670" i="2"/>
  <c r="S670" i="2"/>
  <c r="Y670" i="2" s="1"/>
  <c r="M670" i="2"/>
  <c r="W669" i="2"/>
  <c r="T669" i="2"/>
  <c r="Z669" i="2" s="1"/>
  <c r="N669" i="2"/>
  <c r="J669" i="2"/>
  <c r="L669" i="2" s="1"/>
  <c r="V668" i="2"/>
  <c r="S668" i="2"/>
  <c r="Y668" i="2" s="1"/>
  <c r="M668" i="2"/>
  <c r="V667" i="2"/>
  <c r="S667" i="2"/>
  <c r="Y667" i="2" s="1"/>
  <c r="M667" i="2"/>
  <c r="V666" i="2"/>
  <c r="S666" i="2"/>
  <c r="Y666" i="2" s="1"/>
  <c r="M666" i="2"/>
  <c r="V665" i="2"/>
  <c r="S665" i="2"/>
  <c r="Y665" i="2" s="1"/>
  <c r="M665" i="2"/>
  <c r="V664" i="2"/>
  <c r="S664" i="2"/>
  <c r="Y664" i="2" s="1"/>
  <c r="M664" i="2"/>
  <c r="V663" i="2"/>
  <c r="S663" i="2"/>
  <c r="Y663" i="2" s="1"/>
  <c r="M663" i="2"/>
  <c r="V662" i="2"/>
  <c r="S662" i="2"/>
  <c r="Y662" i="2" s="1"/>
  <c r="M662" i="2"/>
  <c r="V661" i="2"/>
  <c r="S661" i="2"/>
  <c r="Y661" i="2" s="1"/>
  <c r="M661" i="2"/>
  <c r="J659" i="2" s="1"/>
  <c r="M659" i="2" s="1"/>
  <c r="O659" i="2" s="1"/>
  <c r="V660" i="2"/>
  <c r="S660" i="2"/>
  <c r="M660" i="2"/>
  <c r="Z659" i="2"/>
  <c r="W659" i="2"/>
  <c r="T659" i="2"/>
  <c r="N659" i="2"/>
  <c r="V658" i="2"/>
  <c r="S658" i="2"/>
  <c r="Y658" i="2" s="1"/>
  <c r="M658" i="2"/>
  <c r="V657" i="2"/>
  <c r="S657" i="2"/>
  <c r="Y657" i="2" s="1"/>
  <c r="M657" i="2"/>
  <c r="V656" i="2"/>
  <c r="S656" i="2"/>
  <c r="Y656" i="2" s="1"/>
  <c r="M656" i="2"/>
  <c r="V655" i="2"/>
  <c r="S655" i="2"/>
  <c r="Y655" i="2" s="1"/>
  <c r="M655" i="2"/>
  <c r="V654" i="2"/>
  <c r="S654" i="2"/>
  <c r="Y654" i="2" s="1"/>
  <c r="M654" i="2"/>
  <c r="V653" i="2"/>
  <c r="S653" i="2"/>
  <c r="Y653" i="2" s="1"/>
  <c r="M653" i="2"/>
  <c r="V652" i="2"/>
  <c r="S652" i="2"/>
  <c r="Y652" i="2" s="1"/>
  <c r="M652" i="2"/>
  <c r="V651" i="2"/>
  <c r="S651" i="2"/>
  <c r="Y651" i="2" s="1"/>
  <c r="M651" i="2"/>
  <c r="V650" i="2"/>
  <c r="S650" i="2"/>
  <c r="Y650" i="2" s="1"/>
  <c r="M650" i="2"/>
  <c r="J648" i="2" s="1"/>
  <c r="M648" i="2" s="1"/>
  <c r="O648" i="2" s="1"/>
  <c r="V649" i="2"/>
  <c r="S649" i="2"/>
  <c r="M649" i="2"/>
  <c r="Z648" i="2"/>
  <c r="W648" i="2"/>
  <c r="T648" i="2"/>
  <c r="N648" i="2"/>
  <c r="Z647" i="2"/>
  <c r="AA647" i="2" s="1"/>
  <c r="W647" i="2"/>
  <c r="T647" i="2"/>
  <c r="U647" i="2" s="1"/>
  <c r="R647" i="2"/>
  <c r="X647" i="2" s="1"/>
  <c r="O647" i="2"/>
  <c r="N647" i="2"/>
  <c r="L647" i="2"/>
  <c r="Y646" i="2"/>
  <c r="V646" i="2"/>
  <c r="S646" i="2"/>
  <c r="M646" i="2"/>
  <c r="X645" i="2"/>
  <c r="W645" i="2"/>
  <c r="V645" i="2"/>
  <c r="T645" i="2"/>
  <c r="Z645" i="2" s="1"/>
  <c r="Z642" i="2" s="1"/>
  <c r="S645" i="2"/>
  <c r="R645" i="2"/>
  <c r="P645" i="2"/>
  <c r="N645" i="2"/>
  <c r="M645" i="2"/>
  <c r="O645" i="2" s="1"/>
  <c r="J645" i="2"/>
  <c r="L645" i="2" s="1"/>
  <c r="Y644" i="2"/>
  <c r="V644" i="2"/>
  <c r="S644" i="2"/>
  <c r="P643" i="2" s="1"/>
  <c r="M644" i="2"/>
  <c r="Z643" i="2"/>
  <c r="W643" i="2"/>
  <c r="T643" i="2"/>
  <c r="N643" i="2"/>
  <c r="N642" i="2" s="1"/>
  <c r="J643" i="2"/>
  <c r="M643" i="2" s="1"/>
  <c r="T642" i="2"/>
  <c r="Y641" i="2"/>
  <c r="V641" i="2"/>
  <c r="S641" i="2"/>
  <c r="M641" i="2"/>
  <c r="J639" i="2" s="1"/>
  <c r="V640" i="2"/>
  <c r="S640" i="2"/>
  <c r="P639" i="2" s="1"/>
  <c r="M640" i="2"/>
  <c r="W639" i="2"/>
  <c r="T639" i="2"/>
  <c r="Z639" i="2" s="1"/>
  <c r="N639" i="2"/>
  <c r="Y638" i="2"/>
  <c r="V638" i="2"/>
  <c r="S638" i="2"/>
  <c r="M638" i="2"/>
  <c r="J636" i="2" s="1"/>
  <c r="V637" i="2"/>
  <c r="S637" i="2"/>
  <c r="P636" i="2" s="1"/>
  <c r="M637" i="2"/>
  <c r="W636" i="2"/>
  <c r="T636" i="2"/>
  <c r="Z636" i="2" s="1"/>
  <c r="N636" i="2"/>
  <c r="Y635" i="2"/>
  <c r="V635" i="2"/>
  <c r="S635" i="2"/>
  <c r="M635" i="2"/>
  <c r="J633" i="2" s="1"/>
  <c r="V634" i="2"/>
  <c r="S634" i="2"/>
  <c r="P633" i="2" s="1"/>
  <c r="M634" i="2"/>
  <c r="W633" i="2"/>
  <c r="T633" i="2"/>
  <c r="Z633" i="2" s="1"/>
  <c r="N633" i="2"/>
  <c r="Y632" i="2"/>
  <c r="V632" i="2"/>
  <c r="S632" i="2"/>
  <c r="M632" i="2"/>
  <c r="J630" i="2" s="1"/>
  <c r="V631" i="2"/>
  <c r="S631" i="2"/>
  <c r="P630" i="2" s="1"/>
  <c r="M631" i="2"/>
  <c r="W630" i="2"/>
  <c r="T630" i="2"/>
  <c r="Z630" i="2" s="1"/>
  <c r="Z629" i="2" s="1"/>
  <c r="N630" i="2"/>
  <c r="N629" i="2"/>
  <c r="V628" i="2"/>
  <c r="S628" i="2"/>
  <c r="Y628" i="2" s="1"/>
  <c r="M628" i="2"/>
  <c r="V627" i="2"/>
  <c r="S627" i="2"/>
  <c r="Y627" i="2" s="1"/>
  <c r="M627" i="2"/>
  <c r="W626" i="2"/>
  <c r="T626" i="2"/>
  <c r="Z626" i="2" s="1"/>
  <c r="P626" i="2"/>
  <c r="N626" i="2"/>
  <c r="J626" i="2"/>
  <c r="L626" i="2" s="1"/>
  <c r="V625" i="2"/>
  <c r="S625" i="2"/>
  <c r="Y625" i="2" s="1"/>
  <c r="M625" i="2"/>
  <c r="V624" i="2"/>
  <c r="S624" i="2"/>
  <c r="Y624" i="2" s="1"/>
  <c r="M624" i="2"/>
  <c r="V623" i="2"/>
  <c r="S623" i="2"/>
  <c r="Y623" i="2" s="1"/>
  <c r="M623" i="2"/>
  <c r="V622" i="2"/>
  <c r="S622" i="2"/>
  <c r="Y622" i="2" s="1"/>
  <c r="M622" i="2"/>
  <c r="W621" i="2"/>
  <c r="T621" i="2"/>
  <c r="Z621" i="2" s="1"/>
  <c r="Z620" i="2" s="1"/>
  <c r="Z619" i="2" s="1"/>
  <c r="N621" i="2"/>
  <c r="J621" i="2"/>
  <c r="L621" i="2" s="1"/>
  <c r="N620" i="2"/>
  <c r="N619" i="2" s="1"/>
  <c r="Y618" i="2"/>
  <c r="V618" i="2"/>
  <c r="S618" i="2"/>
  <c r="M618" i="2"/>
  <c r="Y617" i="2"/>
  <c r="V617" i="2"/>
  <c r="S617" i="2"/>
  <c r="M617" i="2"/>
  <c r="Y616" i="2"/>
  <c r="V616" i="2"/>
  <c r="S616" i="2"/>
  <c r="M616" i="2"/>
  <c r="Y615" i="2"/>
  <c r="V615" i="2"/>
  <c r="S615" i="2"/>
  <c r="M615" i="2"/>
  <c r="Z614" i="2"/>
  <c r="W614" i="2"/>
  <c r="V614" i="2"/>
  <c r="T614" i="2"/>
  <c r="S614" i="2"/>
  <c r="R614" i="2"/>
  <c r="X614" i="2" s="1"/>
  <c r="P614" i="2"/>
  <c r="N614" i="2"/>
  <c r="M614" i="2"/>
  <c r="O614" i="2" s="1"/>
  <c r="J614" i="2"/>
  <c r="L614" i="2" s="1"/>
  <c r="Y613" i="2"/>
  <c r="V613" i="2"/>
  <c r="S613" i="2"/>
  <c r="M613" i="2"/>
  <c r="Y612" i="2"/>
  <c r="V612" i="2"/>
  <c r="S612" i="2"/>
  <c r="M612" i="2"/>
  <c r="Z611" i="2"/>
  <c r="W611" i="2"/>
  <c r="V611" i="2"/>
  <c r="T611" i="2"/>
  <c r="S611" i="2"/>
  <c r="R611" i="2"/>
  <c r="X611" i="2" s="1"/>
  <c r="P611" i="2"/>
  <c r="N611" i="2"/>
  <c r="M611" i="2"/>
  <c r="O611" i="2" s="1"/>
  <c r="J611" i="2"/>
  <c r="L611" i="2" s="1"/>
  <c r="Y610" i="2"/>
  <c r="V610" i="2"/>
  <c r="S610" i="2"/>
  <c r="M610" i="2"/>
  <c r="Y609" i="2"/>
  <c r="V609" i="2"/>
  <c r="S609" i="2"/>
  <c r="M609" i="2"/>
  <c r="W608" i="2"/>
  <c r="V608" i="2"/>
  <c r="T608" i="2"/>
  <c r="Z608" i="2" s="1"/>
  <c r="Z605" i="2" s="1"/>
  <c r="S608" i="2"/>
  <c r="R608" i="2"/>
  <c r="X608" i="2" s="1"/>
  <c r="P608" i="2"/>
  <c r="N608" i="2"/>
  <c r="M608" i="2"/>
  <c r="M605" i="2" s="1"/>
  <c r="J608" i="2"/>
  <c r="L608" i="2" s="1"/>
  <c r="Y607" i="2"/>
  <c r="V607" i="2"/>
  <c r="S607" i="2"/>
  <c r="P606" i="2" s="1"/>
  <c r="M607" i="2"/>
  <c r="Z606" i="2"/>
  <c r="W606" i="2"/>
  <c r="T606" i="2"/>
  <c r="N606" i="2"/>
  <c r="N605" i="2" s="1"/>
  <c r="N598" i="2" s="1"/>
  <c r="M606" i="2"/>
  <c r="J606" i="2"/>
  <c r="L606" i="2" s="1"/>
  <c r="T605" i="2"/>
  <c r="Y604" i="2"/>
  <c r="V604" i="2"/>
  <c r="S604" i="2"/>
  <c r="M604" i="2"/>
  <c r="Y603" i="2"/>
  <c r="V603" i="2"/>
  <c r="S603" i="2"/>
  <c r="M603" i="2"/>
  <c r="Y602" i="2"/>
  <c r="V602" i="2"/>
  <c r="S602" i="2"/>
  <c r="M602" i="2"/>
  <c r="J600" i="2" s="1"/>
  <c r="Y601" i="2"/>
  <c r="V601" i="2"/>
  <c r="S601" i="2"/>
  <c r="M601" i="2"/>
  <c r="W600" i="2"/>
  <c r="T600" i="2"/>
  <c r="Z600" i="2" s="1"/>
  <c r="Z599" i="2" s="1"/>
  <c r="Z598" i="2" s="1"/>
  <c r="S600" i="2"/>
  <c r="Y600" i="2" s="1"/>
  <c r="P600" i="2"/>
  <c r="R600" i="2" s="1"/>
  <c r="X600" i="2" s="1"/>
  <c r="N600" i="2"/>
  <c r="N599" i="2"/>
  <c r="V597" i="2"/>
  <c r="S597" i="2"/>
  <c r="Y597" i="2" s="1"/>
  <c r="M597" i="2"/>
  <c r="V596" i="2"/>
  <c r="S596" i="2"/>
  <c r="Y596" i="2" s="1"/>
  <c r="M596" i="2"/>
  <c r="V595" i="2"/>
  <c r="S595" i="2"/>
  <c r="Y595" i="2" s="1"/>
  <c r="M595" i="2"/>
  <c r="J593" i="2" s="1"/>
  <c r="V594" i="2"/>
  <c r="S594" i="2"/>
  <c r="P593" i="2" s="1"/>
  <c r="M594" i="2"/>
  <c r="Z593" i="2"/>
  <c r="Z546" i="2" s="1"/>
  <c r="W593" i="2"/>
  <c r="T593" i="2"/>
  <c r="N593" i="2"/>
  <c r="V592" i="2"/>
  <c r="S592" i="2"/>
  <c r="Y592" i="2" s="1"/>
  <c r="M592" i="2"/>
  <c r="V591" i="2"/>
  <c r="S591" i="2"/>
  <c r="Y591" i="2" s="1"/>
  <c r="M591" i="2"/>
  <c r="V590" i="2"/>
  <c r="S590" i="2"/>
  <c r="Y590" i="2" s="1"/>
  <c r="M590" i="2"/>
  <c r="V589" i="2"/>
  <c r="S589" i="2"/>
  <c r="P588" i="2" s="1"/>
  <c r="M589" i="2"/>
  <c r="Z588" i="2"/>
  <c r="W588" i="2"/>
  <c r="T588" i="2"/>
  <c r="R588" i="2"/>
  <c r="X588" i="2" s="1"/>
  <c r="N588" i="2"/>
  <c r="M588" i="2"/>
  <c r="O588" i="2" s="1"/>
  <c r="L588" i="2"/>
  <c r="J588" i="2"/>
  <c r="V587" i="2"/>
  <c r="S587" i="2"/>
  <c r="Y587" i="2" s="1"/>
  <c r="M587" i="2"/>
  <c r="V586" i="2"/>
  <c r="S586" i="2"/>
  <c r="Y586" i="2" s="1"/>
  <c r="M586" i="2"/>
  <c r="V585" i="2"/>
  <c r="S585" i="2"/>
  <c r="Y585" i="2" s="1"/>
  <c r="M585" i="2"/>
  <c r="V584" i="2"/>
  <c r="S584" i="2"/>
  <c r="P583" i="2" s="1"/>
  <c r="M584" i="2"/>
  <c r="Z583" i="2"/>
  <c r="W583" i="2"/>
  <c r="T583" i="2"/>
  <c r="R583" i="2"/>
  <c r="X583" i="2" s="1"/>
  <c r="N583" i="2"/>
  <c r="M583" i="2"/>
  <c r="O583" i="2" s="1"/>
  <c r="L583" i="2"/>
  <c r="J583" i="2"/>
  <c r="V582" i="2"/>
  <c r="S582" i="2"/>
  <c r="Y582" i="2" s="1"/>
  <c r="M582" i="2"/>
  <c r="Y581" i="2"/>
  <c r="V581" i="2"/>
  <c r="S581" i="2"/>
  <c r="M581" i="2"/>
  <c r="V580" i="2"/>
  <c r="S580" i="2"/>
  <c r="Y580" i="2" s="1"/>
  <c r="M580" i="2"/>
  <c r="Y579" i="2"/>
  <c r="V579" i="2"/>
  <c r="S579" i="2"/>
  <c r="P578" i="2" s="1"/>
  <c r="M579" i="2"/>
  <c r="Z578" i="2"/>
  <c r="W578" i="2"/>
  <c r="T578" i="2"/>
  <c r="R578" i="2"/>
  <c r="X578" i="2" s="1"/>
  <c r="N578" i="2"/>
  <c r="M578" i="2"/>
  <c r="O578" i="2" s="1"/>
  <c r="L578" i="2"/>
  <c r="J578" i="2"/>
  <c r="V577" i="2"/>
  <c r="S577" i="2"/>
  <c r="Y577" i="2" s="1"/>
  <c r="M577" i="2"/>
  <c r="Y576" i="2"/>
  <c r="V576" i="2"/>
  <c r="S576" i="2"/>
  <c r="M576" i="2"/>
  <c r="V575" i="2"/>
  <c r="S575" i="2"/>
  <c r="Y575" i="2" s="1"/>
  <c r="M575" i="2"/>
  <c r="Y574" i="2"/>
  <c r="V574" i="2"/>
  <c r="S574" i="2"/>
  <c r="P573" i="2" s="1"/>
  <c r="M574" i="2"/>
  <c r="Z573" i="2"/>
  <c r="W573" i="2"/>
  <c r="T573" i="2"/>
  <c r="R573" i="2"/>
  <c r="X573" i="2" s="1"/>
  <c r="N573" i="2"/>
  <c r="M573" i="2"/>
  <c r="O573" i="2" s="1"/>
  <c r="L573" i="2"/>
  <c r="J573" i="2"/>
  <c r="V572" i="2"/>
  <c r="S572" i="2"/>
  <c r="Y572" i="2" s="1"/>
  <c r="M572" i="2"/>
  <c r="Y571" i="2"/>
  <c r="V571" i="2"/>
  <c r="S571" i="2"/>
  <c r="M571" i="2"/>
  <c r="V570" i="2"/>
  <c r="S570" i="2"/>
  <c r="Y570" i="2" s="1"/>
  <c r="M570" i="2"/>
  <c r="Y569" i="2"/>
  <c r="V569" i="2"/>
  <c r="S569" i="2"/>
  <c r="P568" i="2" s="1"/>
  <c r="M569" i="2"/>
  <c r="Z568" i="2"/>
  <c r="W568" i="2"/>
  <c r="T568" i="2"/>
  <c r="N568" i="2"/>
  <c r="M568" i="2"/>
  <c r="O568" i="2" s="1"/>
  <c r="L568" i="2"/>
  <c r="J568" i="2"/>
  <c r="V567" i="2"/>
  <c r="S567" i="2"/>
  <c r="Y567" i="2" s="1"/>
  <c r="M567" i="2"/>
  <c r="Y566" i="2"/>
  <c r="V566" i="2"/>
  <c r="S566" i="2"/>
  <c r="M566" i="2"/>
  <c r="V565" i="2"/>
  <c r="S565" i="2"/>
  <c r="Y565" i="2" s="1"/>
  <c r="M565" i="2"/>
  <c r="Y564" i="2"/>
  <c r="V564" i="2"/>
  <c r="S564" i="2"/>
  <c r="P563" i="2" s="1"/>
  <c r="M564" i="2"/>
  <c r="Z563" i="2"/>
  <c r="W563" i="2"/>
  <c r="T563" i="2"/>
  <c r="R563" i="2"/>
  <c r="X563" i="2" s="1"/>
  <c r="N563" i="2"/>
  <c r="M563" i="2"/>
  <c r="O563" i="2" s="1"/>
  <c r="L563" i="2"/>
  <c r="J563" i="2"/>
  <c r="V562" i="2"/>
  <c r="S562" i="2"/>
  <c r="Y562" i="2" s="1"/>
  <c r="M562" i="2"/>
  <c r="Y561" i="2"/>
  <c r="V561" i="2"/>
  <c r="S561" i="2"/>
  <c r="M561" i="2"/>
  <c r="V560" i="2"/>
  <c r="S560" i="2"/>
  <c r="Y560" i="2" s="1"/>
  <c r="M560" i="2"/>
  <c r="Y559" i="2"/>
  <c r="V559" i="2"/>
  <c r="S559" i="2"/>
  <c r="P558" i="2" s="1"/>
  <c r="M559" i="2"/>
  <c r="Z558" i="2"/>
  <c r="W558" i="2"/>
  <c r="T558" i="2"/>
  <c r="R558" i="2"/>
  <c r="X558" i="2" s="1"/>
  <c r="N558" i="2"/>
  <c r="M558" i="2"/>
  <c r="O558" i="2" s="1"/>
  <c r="L558" i="2"/>
  <c r="J558" i="2"/>
  <c r="V557" i="2"/>
  <c r="S557" i="2"/>
  <c r="Y557" i="2" s="1"/>
  <c r="M557" i="2"/>
  <c r="Y556" i="2"/>
  <c r="V556" i="2"/>
  <c r="S556" i="2"/>
  <c r="P555" i="2" s="1"/>
  <c r="M556" i="2"/>
  <c r="Z555" i="2"/>
  <c r="W555" i="2"/>
  <c r="T555" i="2"/>
  <c r="N555" i="2"/>
  <c r="L555" i="2"/>
  <c r="J555" i="2"/>
  <c r="M555" i="2" s="1"/>
  <c r="O555" i="2" s="1"/>
  <c r="V554" i="2"/>
  <c r="S554" i="2"/>
  <c r="Y554" i="2" s="1"/>
  <c r="M554" i="2"/>
  <c r="Y553" i="2"/>
  <c r="V553" i="2"/>
  <c r="S553" i="2"/>
  <c r="M553" i="2"/>
  <c r="J551" i="2" s="1"/>
  <c r="L551" i="2" s="1"/>
  <c r="V552" i="2"/>
  <c r="S552" i="2"/>
  <c r="Y552" i="2" s="1"/>
  <c r="M552" i="2"/>
  <c r="Z551" i="2"/>
  <c r="W551" i="2"/>
  <c r="V551" i="2"/>
  <c r="T551" i="2"/>
  <c r="S551" i="2"/>
  <c r="P551" i="2"/>
  <c r="R551" i="2" s="1"/>
  <c r="X551" i="2" s="1"/>
  <c r="N551" i="2"/>
  <c r="M551" i="2"/>
  <c r="O551" i="2" s="1"/>
  <c r="Y550" i="2"/>
  <c r="V550" i="2"/>
  <c r="S550" i="2"/>
  <c r="M550" i="2"/>
  <c r="V549" i="2"/>
  <c r="S549" i="2"/>
  <c r="Y549" i="2" s="1"/>
  <c r="M549" i="2"/>
  <c r="V548" i="2"/>
  <c r="S548" i="2"/>
  <c r="M548" i="2"/>
  <c r="Z547" i="2"/>
  <c r="W547" i="2"/>
  <c r="T547" i="2"/>
  <c r="N547" i="2"/>
  <c r="N546" i="2" s="1"/>
  <c r="L547" i="2"/>
  <c r="J547" i="2"/>
  <c r="M547" i="2" s="1"/>
  <c r="T546" i="2"/>
  <c r="Y545" i="2"/>
  <c r="V545" i="2"/>
  <c r="S545" i="2"/>
  <c r="M545" i="2"/>
  <c r="J544" i="2" s="1"/>
  <c r="W544" i="2"/>
  <c r="V544" i="2"/>
  <c r="T544" i="2"/>
  <c r="Z544" i="2" s="1"/>
  <c r="P544" i="2"/>
  <c r="N544" i="2"/>
  <c r="Y543" i="2"/>
  <c r="V543" i="2"/>
  <c r="S543" i="2"/>
  <c r="P542" i="2" s="1"/>
  <c r="S542" i="2" s="1"/>
  <c r="M543" i="2"/>
  <c r="Z542" i="2"/>
  <c r="W542" i="2"/>
  <c r="V542" i="2"/>
  <c r="T542" i="2"/>
  <c r="R542" i="2"/>
  <c r="X542" i="2" s="1"/>
  <c r="O542" i="2"/>
  <c r="N542" i="2"/>
  <c r="M542" i="2"/>
  <c r="L542" i="2"/>
  <c r="J542" i="2"/>
  <c r="Y541" i="2"/>
  <c r="V541" i="2"/>
  <c r="S541" i="2"/>
  <c r="M541" i="2"/>
  <c r="Y540" i="2"/>
  <c r="AA540" i="2" s="1"/>
  <c r="W540" i="2"/>
  <c r="V540" i="2"/>
  <c r="T540" i="2"/>
  <c r="Z540" i="2" s="1"/>
  <c r="S540" i="2"/>
  <c r="U540" i="2" s="1"/>
  <c r="R540" i="2"/>
  <c r="X540" i="2" s="1"/>
  <c r="P540" i="2"/>
  <c r="N540" i="2"/>
  <c r="M540" i="2"/>
  <c r="O540" i="2" s="1"/>
  <c r="J540" i="2"/>
  <c r="L540" i="2" s="1"/>
  <c r="V539" i="2"/>
  <c r="S539" i="2"/>
  <c r="M539" i="2"/>
  <c r="Z538" i="2"/>
  <c r="W538" i="2"/>
  <c r="T538" i="2"/>
  <c r="N538" i="2"/>
  <c r="M538" i="2"/>
  <c r="O538" i="2" s="1"/>
  <c r="L538" i="2"/>
  <c r="J538" i="2"/>
  <c r="Y537" i="2"/>
  <c r="V537" i="2"/>
  <c r="S537" i="2"/>
  <c r="M537" i="2"/>
  <c r="W536" i="2"/>
  <c r="T536" i="2"/>
  <c r="Z536" i="2" s="1"/>
  <c r="P536" i="2"/>
  <c r="N536" i="2"/>
  <c r="M536" i="2"/>
  <c r="O536" i="2" s="1"/>
  <c r="J536" i="2"/>
  <c r="L536" i="2" s="1"/>
  <c r="Y535" i="2"/>
  <c r="V535" i="2"/>
  <c r="S535" i="2"/>
  <c r="P534" i="2" s="1"/>
  <c r="M535" i="2"/>
  <c r="AA534" i="2"/>
  <c r="Z534" i="2"/>
  <c r="W534" i="2"/>
  <c r="V534" i="2"/>
  <c r="U534" i="2"/>
  <c r="T534" i="2"/>
  <c r="S534" i="2"/>
  <c r="Y534" i="2" s="1"/>
  <c r="R534" i="2"/>
  <c r="X534" i="2" s="1"/>
  <c r="N534" i="2"/>
  <c r="O534" i="2" s="1"/>
  <c r="M534" i="2"/>
  <c r="L534" i="2"/>
  <c r="J534" i="2"/>
  <c r="Y533" i="2"/>
  <c r="V533" i="2"/>
  <c r="S533" i="2"/>
  <c r="M533" i="2"/>
  <c r="J532" i="2" s="1"/>
  <c r="Z532" i="2"/>
  <c r="W532" i="2"/>
  <c r="T532" i="2"/>
  <c r="S532" i="2"/>
  <c r="U532" i="2" s="1"/>
  <c r="P532" i="2"/>
  <c r="V532" i="2" s="1"/>
  <c r="N532" i="2"/>
  <c r="Y531" i="2"/>
  <c r="V531" i="2"/>
  <c r="S531" i="2"/>
  <c r="P530" i="2" s="1"/>
  <c r="M531" i="2"/>
  <c r="W530" i="2"/>
  <c r="T530" i="2"/>
  <c r="Z530" i="2" s="1"/>
  <c r="N530" i="2"/>
  <c r="M530" i="2"/>
  <c r="O530" i="2" s="1"/>
  <c r="L530" i="2"/>
  <c r="J530" i="2"/>
  <c r="Y529" i="2"/>
  <c r="V529" i="2"/>
  <c r="S529" i="2"/>
  <c r="M529" i="2"/>
  <c r="Z528" i="2"/>
  <c r="W528" i="2"/>
  <c r="T528" i="2"/>
  <c r="S528" i="2"/>
  <c r="P528" i="2"/>
  <c r="V528" i="2" s="1"/>
  <c r="N528" i="2"/>
  <c r="M528" i="2"/>
  <c r="J528" i="2"/>
  <c r="L528" i="2" s="1"/>
  <c r="Y527" i="2"/>
  <c r="V527" i="2"/>
  <c r="S527" i="2"/>
  <c r="P526" i="2" s="1"/>
  <c r="M527" i="2"/>
  <c r="W526" i="2"/>
  <c r="T526" i="2"/>
  <c r="Z526" i="2" s="1"/>
  <c r="N526" i="2"/>
  <c r="M526" i="2"/>
  <c r="L526" i="2"/>
  <c r="J526" i="2"/>
  <c r="Y525" i="2"/>
  <c r="V525" i="2"/>
  <c r="S525" i="2"/>
  <c r="M525" i="2"/>
  <c r="Z524" i="2"/>
  <c r="W524" i="2"/>
  <c r="T524" i="2"/>
  <c r="S524" i="2"/>
  <c r="P524" i="2"/>
  <c r="V524" i="2" s="1"/>
  <c r="N524" i="2"/>
  <c r="J524" i="2"/>
  <c r="M524" i="2" s="1"/>
  <c r="O524" i="2" s="1"/>
  <c r="T523" i="2"/>
  <c r="Y522" i="2"/>
  <c r="V522" i="2"/>
  <c r="S522" i="2"/>
  <c r="M522" i="2"/>
  <c r="V521" i="2"/>
  <c r="S521" i="2"/>
  <c r="Y521" i="2" s="1"/>
  <c r="M521" i="2"/>
  <c r="Y520" i="2"/>
  <c r="V520" i="2"/>
  <c r="S520" i="2"/>
  <c r="P519" i="2" s="1"/>
  <c r="M520" i="2"/>
  <c r="W519" i="2"/>
  <c r="T519" i="2"/>
  <c r="Z519" i="2" s="1"/>
  <c r="N519" i="2"/>
  <c r="J519" i="2"/>
  <c r="V518" i="2"/>
  <c r="S518" i="2"/>
  <c r="Y518" i="2" s="1"/>
  <c r="M518" i="2"/>
  <c r="Y517" i="2"/>
  <c r="V517" i="2"/>
  <c r="S517" i="2"/>
  <c r="M517" i="2"/>
  <c r="V516" i="2"/>
  <c r="S516" i="2"/>
  <c r="Y516" i="2" s="1"/>
  <c r="M516" i="2"/>
  <c r="Y515" i="2"/>
  <c r="V515" i="2"/>
  <c r="S515" i="2"/>
  <c r="P514" i="2" s="1"/>
  <c r="M515" i="2"/>
  <c r="W514" i="2"/>
  <c r="T514" i="2"/>
  <c r="Z514" i="2" s="1"/>
  <c r="N514" i="2"/>
  <c r="V513" i="2"/>
  <c r="S513" i="2"/>
  <c r="Y513" i="2" s="1"/>
  <c r="M513" i="2"/>
  <c r="J512" i="2" s="1"/>
  <c r="Z512" i="2"/>
  <c r="Z511" i="2" s="1"/>
  <c r="W512" i="2"/>
  <c r="T512" i="2"/>
  <c r="S512" i="2"/>
  <c r="Y512" i="2" s="1"/>
  <c r="R512" i="2"/>
  <c r="X512" i="2" s="1"/>
  <c r="P512" i="2"/>
  <c r="V512" i="2" s="1"/>
  <c r="N512" i="2"/>
  <c r="N511" i="2"/>
  <c r="V506" i="2"/>
  <c r="S506" i="2"/>
  <c r="Y506" i="2" s="1"/>
  <c r="M506" i="2"/>
  <c r="Y505" i="2"/>
  <c r="V505" i="2"/>
  <c r="S505" i="2"/>
  <c r="M505" i="2"/>
  <c r="V504" i="2"/>
  <c r="S504" i="2"/>
  <c r="Y504" i="2" s="1"/>
  <c r="M504" i="2"/>
  <c r="Y503" i="2"/>
  <c r="V503" i="2"/>
  <c r="S503" i="2"/>
  <c r="M503" i="2"/>
  <c r="V502" i="2"/>
  <c r="S502" i="2"/>
  <c r="Y502" i="2" s="1"/>
  <c r="M502" i="2"/>
  <c r="W501" i="2"/>
  <c r="T501" i="2"/>
  <c r="Z501" i="2" s="1"/>
  <c r="N501" i="2"/>
  <c r="L501" i="2"/>
  <c r="J501" i="2"/>
  <c r="M501" i="2" s="1"/>
  <c r="O501" i="2" s="1"/>
  <c r="Y500" i="2"/>
  <c r="V500" i="2"/>
  <c r="S500" i="2"/>
  <c r="M500" i="2"/>
  <c r="V499" i="2"/>
  <c r="S499" i="2"/>
  <c r="Y499" i="2" s="1"/>
  <c r="M499" i="2"/>
  <c r="Y498" i="2"/>
  <c r="V498" i="2"/>
  <c r="S498" i="2"/>
  <c r="M498" i="2"/>
  <c r="V497" i="2"/>
  <c r="S497" i="2"/>
  <c r="Y497" i="2" s="1"/>
  <c r="M497" i="2"/>
  <c r="J495" i="2" s="1"/>
  <c r="M495" i="2" s="1"/>
  <c r="V496" i="2"/>
  <c r="S496" i="2"/>
  <c r="M496" i="2"/>
  <c r="W495" i="2"/>
  <c r="T495" i="2"/>
  <c r="Z495" i="2" s="1"/>
  <c r="N495" i="2"/>
  <c r="L495" i="2"/>
  <c r="V494" i="2"/>
  <c r="S494" i="2"/>
  <c r="Y494" i="2" s="1"/>
  <c r="M494" i="2"/>
  <c r="Y493" i="2"/>
  <c r="V493" i="2"/>
  <c r="S493" i="2"/>
  <c r="M493" i="2"/>
  <c r="V492" i="2"/>
  <c r="S492" i="2"/>
  <c r="Y492" i="2" s="1"/>
  <c r="M492" i="2"/>
  <c r="V491" i="2"/>
  <c r="S491" i="2"/>
  <c r="Y491" i="2" s="1"/>
  <c r="M491" i="2"/>
  <c r="V490" i="2"/>
  <c r="S490" i="2"/>
  <c r="Y490" i="2" s="1"/>
  <c r="M490" i="2"/>
  <c r="W489" i="2"/>
  <c r="T489" i="2"/>
  <c r="Z489" i="2" s="1"/>
  <c r="N489" i="2"/>
  <c r="L489" i="2"/>
  <c r="J489" i="2"/>
  <c r="M489" i="2" s="1"/>
  <c r="O489" i="2" s="1"/>
  <c r="V488" i="2"/>
  <c r="S488" i="2"/>
  <c r="Y488" i="2" s="1"/>
  <c r="M488" i="2"/>
  <c r="V487" i="2"/>
  <c r="S487" i="2"/>
  <c r="Y487" i="2" s="1"/>
  <c r="M487" i="2"/>
  <c r="V486" i="2"/>
  <c r="S486" i="2"/>
  <c r="Y486" i="2" s="1"/>
  <c r="M486" i="2"/>
  <c r="V485" i="2"/>
  <c r="S485" i="2"/>
  <c r="M485" i="2"/>
  <c r="J483" i="2" s="1"/>
  <c r="M483" i="2" s="1"/>
  <c r="O483" i="2" s="1"/>
  <c r="Y484" i="2"/>
  <c r="V484" i="2"/>
  <c r="S484" i="2"/>
  <c r="M484" i="2"/>
  <c r="W483" i="2"/>
  <c r="T483" i="2"/>
  <c r="Z483" i="2" s="1"/>
  <c r="N483" i="2"/>
  <c r="L483" i="2"/>
  <c r="V482" i="2"/>
  <c r="S482" i="2"/>
  <c r="Y482" i="2" s="1"/>
  <c r="M482" i="2"/>
  <c r="Y481" i="2"/>
  <c r="V481" i="2"/>
  <c r="S481" i="2"/>
  <c r="M481" i="2"/>
  <c r="V480" i="2"/>
  <c r="S480" i="2"/>
  <c r="Y480" i="2" s="1"/>
  <c r="M480" i="2"/>
  <c r="Y479" i="2"/>
  <c r="V479" i="2"/>
  <c r="S479" i="2"/>
  <c r="M479" i="2"/>
  <c r="V478" i="2"/>
  <c r="S478" i="2"/>
  <c r="Y478" i="2" s="1"/>
  <c r="M478" i="2"/>
  <c r="W477" i="2"/>
  <c r="T477" i="2"/>
  <c r="Z477" i="2" s="1"/>
  <c r="N477" i="2"/>
  <c r="L477" i="2"/>
  <c r="J477" i="2"/>
  <c r="M477" i="2" s="1"/>
  <c r="O477" i="2" s="1"/>
  <c r="Y476" i="2"/>
  <c r="V476" i="2"/>
  <c r="S476" i="2"/>
  <c r="M476" i="2"/>
  <c r="V475" i="2"/>
  <c r="S475" i="2"/>
  <c r="Y475" i="2" s="1"/>
  <c r="M475" i="2"/>
  <c r="Y474" i="2"/>
  <c r="V474" i="2"/>
  <c r="S474" i="2"/>
  <c r="M474" i="2"/>
  <c r="V473" i="2"/>
  <c r="S473" i="2"/>
  <c r="Y473" i="2" s="1"/>
  <c r="M473" i="2"/>
  <c r="J471" i="2" s="1"/>
  <c r="M471" i="2" s="1"/>
  <c r="V472" i="2"/>
  <c r="S472" i="2"/>
  <c r="M472" i="2"/>
  <c r="W471" i="2"/>
  <c r="T471" i="2"/>
  <c r="Z471" i="2" s="1"/>
  <c r="N471" i="2"/>
  <c r="L471" i="2"/>
  <c r="V470" i="2"/>
  <c r="S470" i="2"/>
  <c r="Y470" i="2" s="1"/>
  <c r="M470" i="2"/>
  <c r="Y469" i="2"/>
  <c r="V469" i="2"/>
  <c r="S469" i="2"/>
  <c r="M469" i="2"/>
  <c r="V468" i="2"/>
  <c r="S468" i="2"/>
  <c r="Y468" i="2" s="1"/>
  <c r="M468" i="2"/>
  <c r="V467" i="2"/>
  <c r="S467" i="2"/>
  <c r="Y467" i="2" s="1"/>
  <c r="M467" i="2"/>
  <c r="V466" i="2"/>
  <c r="S466" i="2"/>
  <c r="Y466" i="2" s="1"/>
  <c r="M466" i="2"/>
  <c r="W465" i="2"/>
  <c r="T465" i="2"/>
  <c r="Z465" i="2" s="1"/>
  <c r="N465" i="2"/>
  <c r="L465" i="2"/>
  <c r="J465" i="2"/>
  <c r="M465" i="2" s="1"/>
  <c r="O465" i="2" s="1"/>
  <c r="Y464" i="2"/>
  <c r="V464" i="2"/>
  <c r="S464" i="2"/>
  <c r="M464" i="2"/>
  <c r="V463" i="2"/>
  <c r="S463" i="2"/>
  <c r="Y463" i="2" s="1"/>
  <c r="M463" i="2"/>
  <c r="V462" i="2"/>
  <c r="S462" i="2"/>
  <c r="Y462" i="2" s="1"/>
  <c r="M462" i="2"/>
  <c r="V461" i="2"/>
  <c r="S461" i="2"/>
  <c r="M461" i="2"/>
  <c r="J459" i="2" s="1"/>
  <c r="M459" i="2" s="1"/>
  <c r="Y460" i="2"/>
  <c r="V460" i="2"/>
  <c r="S460" i="2"/>
  <c r="M460" i="2"/>
  <c r="W459" i="2"/>
  <c r="T459" i="2"/>
  <c r="Z459" i="2" s="1"/>
  <c r="N459" i="2"/>
  <c r="L459" i="2"/>
  <c r="T458" i="2"/>
  <c r="T457" i="2" s="1"/>
  <c r="T456" i="2"/>
  <c r="T455" i="2" s="1"/>
  <c r="T454" i="2" s="1"/>
  <c r="W451" i="2"/>
  <c r="T451" i="2"/>
  <c r="R451" i="2"/>
  <c r="X451" i="2" s="1"/>
  <c r="O451" i="2"/>
  <c r="O449" i="2" s="1"/>
  <c r="N451" i="2"/>
  <c r="N449" i="2" s="1"/>
  <c r="L451" i="2"/>
  <c r="Z450" i="2"/>
  <c r="AA450" i="2" s="1"/>
  <c r="W450" i="2"/>
  <c r="U450" i="2"/>
  <c r="R450" i="2"/>
  <c r="X450" i="2" s="1"/>
  <c r="O450" i="2"/>
  <c r="L450" i="2"/>
  <c r="Y449" i="2"/>
  <c r="S449" i="2"/>
  <c r="M449" i="2"/>
  <c r="V448" i="2"/>
  <c r="S448" i="2"/>
  <c r="M448" i="2"/>
  <c r="W447" i="2"/>
  <c r="T447" i="2"/>
  <c r="Z447" i="2" s="1"/>
  <c r="N447" i="2"/>
  <c r="M447" i="2"/>
  <c r="L447" i="2"/>
  <c r="J447" i="2"/>
  <c r="Y446" i="2"/>
  <c r="V446" i="2"/>
  <c r="S446" i="2"/>
  <c r="M446" i="2"/>
  <c r="AA445" i="2"/>
  <c r="Z445" i="2"/>
  <c r="Y445" i="2"/>
  <c r="X445" i="2"/>
  <c r="W445" i="2"/>
  <c r="V445" i="2"/>
  <c r="U445" i="2"/>
  <c r="R445" i="2"/>
  <c r="O445" i="2"/>
  <c r="L445" i="2"/>
  <c r="Y444" i="2"/>
  <c r="V444" i="2"/>
  <c r="S444" i="2"/>
  <c r="M444" i="2"/>
  <c r="V443" i="2"/>
  <c r="S443" i="2"/>
  <c r="Y443" i="2" s="1"/>
  <c r="M443" i="2"/>
  <c r="Y442" i="2"/>
  <c r="V442" i="2"/>
  <c r="S442" i="2"/>
  <c r="M442" i="2"/>
  <c r="V441" i="2"/>
  <c r="S441" i="2"/>
  <c r="Y441" i="2" s="1"/>
  <c r="M441" i="2"/>
  <c r="Y440" i="2"/>
  <c r="V440" i="2"/>
  <c r="S440" i="2"/>
  <c r="M440" i="2"/>
  <c r="V439" i="2"/>
  <c r="S439" i="2"/>
  <c r="Y439" i="2" s="1"/>
  <c r="M439" i="2"/>
  <c r="V438" i="2"/>
  <c r="S438" i="2"/>
  <c r="Y438" i="2" s="1"/>
  <c r="M438" i="2"/>
  <c r="V437" i="2"/>
  <c r="S437" i="2"/>
  <c r="Y437" i="2" s="1"/>
  <c r="M437" i="2"/>
  <c r="J435" i="2" s="1"/>
  <c r="M435" i="2" s="1"/>
  <c r="O435" i="2" s="1"/>
  <c r="V436" i="2"/>
  <c r="S436" i="2"/>
  <c r="M436" i="2"/>
  <c r="W435" i="2"/>
  <c r="T435" i="2"/>
  <c r="Z435" i="2" s="1"/>
  <c r="N435" i="2"/>
  <c r="L435" i="2"/>
  <c r="V434" i="2"/>
  <c r="S434" i="2"/>
  <c r="Y434" i="2" s="1"/>
  <c r="M434" i="2"/>
  <c r="V433" i="2"/>
  <c r="S433" i="2"/>
  <c r="Y433" i="2" s="1"/>
  <c r="M433" i="2"/>
  <c r="V432" i="2"/>
  <c r="S432" i="2"/>
  <c r="Y432" i="2" s="1"/>
  <c r="M432" i="2"/>
  <c r="Y431" i="2"/>
  <c r="V431" i="2"/>
  <c r="S431" i="2"/>
  <c r="M431" i="2"/>
  <c r="V430" i="2"/>
  <c r="S430" i="2"/>
  <c r="Y430" i="2" s="1"/>
  <c r="M430" i="2"/>
  <c r="Y429" i="2"/>
  <c r="V429" i="2"/>
  <c r="S429" i="2"/>
  <c r="M429" i="2"/>
  <c r="V428" i="2"/>
  <c r="S428" i="2"/>
  <c r="Y428" i="2" s="1"/>
  <c r="M428" i="2"/>
  <c r="Y427" i="2"/>
  <c r="V427" i="2"/>
  <c r="S427" i="2"/>
  <c r="M427" i="2"/>
  <c r="V426" i="2"/>
  <c r="S426" i="2"/>
  <c r="Y426" i="2" s="1"/>
  <c r="M426" i="2"/>
  <c r="J424" i="2" s="1"/>
  <c r="M424" i="2" s="1"/>
  <c r="Y425" i="2"/>
  <c r="V425" i="2"/>
  <c r="S425" i="2"/>
  <c r="M425" i="2"/>
  <c r="W424" i="2"/>
  <c r="T424" i="2"/>
  <c r="Z424" i="2" s="1"/>
  <c r="P424" i="2"/>
  <c r="N424" i="2"/>
  <c r="L424" i="2"/>
  <c r="V423" i="2"/>
  <c r="S423" i="2"/>
  <c r="Y423" i="2" s="1"/>
  <c r="M423" i="2"/>
  <c r="V422" i="2"/>
  <c r="S422" i="2"/>
  <c r="Y422" i="2" s="1"/>
  <c r="M422" i="2"/>
  <c r="V421" i="2"/>
  <c r="S421" i="2"/>
  <c r="Y421" i="2" s="1"/>
  <c r="M421" i="2"/>
  <c r="V420" i="2"/>
  <c r="S420" i="2"/>
  <c r="Y420" i="2" s="1"/>
  <c r="M420" i="2"/>
  <c r="V419" i="2"/>
  <c r="S419" i="2"/>
  <c r="Y419" i="2" s="1"/>
  <c r="M419" i="2"/>
  <c r="V418" i="2"/>
  <c r="S418" i="2"/>
  <c r="Y418" i="2" s="1"/>
  <c r="M418" i="2"/>
  <c r="V417" i="2"/>
  <c r="S417" i="2"/>
  <c r="Y417" i="2" s="1"/>
  <c r="M417" i="2"/>
  <c r="Y416" i="2"/>
  <c r="V416" i="2"/>
  <c r="S416" i="2"/>
  <c r="M416" i="2"/>
  <c r="V415" i="2"/>
  <c r="S415" i="2"/>
  <c r="M415" i="2"/>
  <c r="Y414" i="2"/>
  <c r="V414" i="2"/>
  <c r="S414" i="2"/>
  <c r="M414" i="2"/>
  <c r="W413" i="2"/>
  <c r="T413" i="2"/>
  <c r="Z413" i="2" s="1"/>
  <c r="N413" i="2"/>
  <c r="L413" i="2"/>
  <c r="J413" i="2"/>
  <c r="M413" i="2" s="1"/>
  <c r="V412" i="2"/>
  <c r="S412" i="2"/>
  <c r="Y412" i="2" s="1"/>
  <c r="M412" i="2"/>
  <c r="Y411" i="2"/>
  <c r="V411" i="2"/>
  <c r="S411" i="2"/>
  <c r="M411" i="2"/>
  <c r="V410" i="2"/>
  <c r="S410" i="2"/>
  <c r="Y410" i="2" s="1"/>
  <c r="M410" i="2"/>
  <c r="Y409" i="2"/>
  <c r="V409" i="2"/>
  <c r="S409" i="2"/>
  <c r="M409" i="2"/>
  <c r="V408" i="2"/>
  <c r="S408" i="2"/>
  <c r="Y408" i="2" s="1"/>
  <c r="M408" i="2"/>
  <c r="V407" i="2"/>
  <c r="S407" i="2"/>
  <c r="Y407" i="2" s="1"/>
  <c r="M407" i="2"/>
  <c r="V406" i="2"/>
  <c r="S406" i="2"/>
  <c r="Y406" i="2" s="1"/>
  <c r="M406" i="2"/>
  <c r="V405" i="2"/>
  <c r="S405" i="2"/>
  <c r="Y405" i="2" s="1"/>
  <c r="M405" i="2"/>
  <c r="V404" i="2"/>
  <c r="S404" i="2"/>
  <c r="Y404" i="2" s="1"/>
  <c r="M404" i="2"/>
  <c r="V403" i="2"/>
  <c r="S403" i="2"/>
  <c r="Y403" i="2" s="1"/>
  <c r="M403" i="2"/>
  <c r="Z402" i="2"/>
  <c r="Y402" i="2"/>
  <c r="AA402" i="2" s="1"/>
  <c r="W402" i="2"/>
  <c r="V402" i="2"/>
  <c r="U402" i="2"/>
  <c r="R402" i="2"/>
  <c r="X402" i="2" s="1"/>
  <c r="O402" i="2"/>
  <c r="L402" i="2"/>
  <c r="Y401" i="2"/>
  <c r="V401" i="2"/>
  <c r="S401" i="2"/>
  <c r="M401" i="2"/>
  <c r="Y400" i="2"/>
  <c r="V400" i="2"/>
  <c r="S400" i="2"/>
  <c r="M400" i="2"/>
  <c r="Y399" i="2"/>
  <c r="V399" i="2"/>
  <c r="S399" i="2"/>
  <c r="M399" i="2"/>
  <c r="Y398" i="2"/>
  <c r="V398" i="2"/>
  <c r="S398" i="2"/>
  <c r="M398" i="2"/>
  <c r="Y397" i="2"/>
  <c r="V397" i="2"/>
  <c r="S397" i="2"/>
  <c r="M397" i="2"/>
  <c r="Y396" i="2"/>
  <c r="V396" i="2"/>
  <c r="S396" i="2"/>
  <c r="M396" i="2"/>
  <c r="Y395" i="2"/>
  <c r="V395" i="2"/>
  <c r="S395" i="2"/>
  <c r="M395" i="2"/>
  <c r="Y394" i="2"/>
  <c r="V394" i="2"/>
  <c r="S394" i="2"/>
  <c r="M394" i="2"/>
  <c r="Y393" i="2"/>
  <c r="V393" i="2"/>
  <c r="S393" i="2"/>
  <c r="M393" i="2"/>
  <c r="Y392" i="2"/>
  <c r="V392" i="2"/>
  <c r="S392" i="2"/>
  <c r="M392" i="2"/>
  <c r="AA391" i="2"/>
  <c r="Z391" i="2"/>
  <c r="Y391" i="2"/>
  <c r="X391" i="2"/>
  <c r="W391" i="2"/>
  <c r="V391" i="2"/>
  <c r="U391" i="2"/>
  <c r="R391" i="2"/>
  <c r="O391" i="2"/>
  <c r="L391" i="2"/>
  <c r="Y390" i="2"/>
  <c r="V390" i="2"/>
  <c r="S390" i="2"/>
  <c r="M390" i="2"/>
  <c r="V389" i="2"/>
  <c r="S389" i="2"/>
  <c r="Y389" i="2" s="1"/>
  <c r="M389" i="2"/>
  <c r="Y388" i="2"/>
  <c r="V388" i="2"/>
  <c r="S388" i="2"/>
  <c r="M388" i="2"/>
  <c r="V387" i="2"/>
  <c r="S387" i="2"/>
  <c r="Y387" i="2" s="1"/>
  <c r="M387" i="2"/>
  <c r="Y386" i="2"/>
  <c r="V386" i="2"/>
  <c r="S386" i="2"/>
  <c r="M386" i="2"/>
  <c r="V385" i="2"/>
  <c r="S385" i="2"/>
  <c r="Y385" i="2" s="1"/>
  <c r="M385" i="2"/>
  <c r="Y384" i="2"/>
  <c r="V384" i="2"/>
  <c r="S384" i="2"/>
  <c r="M384" i="2"/>
  <c r="V383" i="2"/>
  <c r="S383" i="2"/>
  <c r="Y383" i="2" s="1"/>
  <c r="M383" i="2"/>
  <c r="V382" i="2"/>
  <c r="S382" i="2"/>
  <c r="Y382" i="2" s="1"/>
  <c r="M382" i="2"/>
  <c r="V381" i="2"/>
  <c r="S381" i="2"/>
  <c r="Y381" i="2" s="1"/>
  <c r="M381" i="2"/>
  <c r="Z380" i="2"/>
  <c r="Y380" i="2"/>
  <c r="AA380" i="2" s="1"/>
  <c r="W380" i="2"/>
  <c r="V380" i="2"/>
  <c r="U380" i="2"/>
  <c r="R380" i="2"/>
  <c r="X380" i="2" s="1"/>
  <c r="O380" i="2"/>
  <c r="L380" i="2"/>
  <c r="W379" i="2"/>
  <c r="U379" i="2"/>
  <c r="T379" i="2"/>
  <c r="Z379" i="2" s="1"/>
  <c r="AA379" i="2" s="1"/>
  <c r="R379" i="2"/>
  <c r="X379" i="2" s="1"/>
  <c r="N379" i="2"/>
  <c r="O379" i="2" s="1"/>
  <c r="L379" i="2"/>
  <c r="Z378" i="2"/>
  <c r="AA378" i="2" s="1"/>
  <c r="X378" i="2"/>
  <c r="W378" i="2"/>
  <c r="U378" i="2"/>
  <c r="R378" i="2"/>
  <c r="O378" i="2"/>
  <c r="L378" i="2"/>
  <c r="V377" i="2"/>
  <c r="S377" i="2"/>
  <c r="Y377" i="2" s="1"/>
  <c r="M377" i="2"/>
  <c r="W376" i="2"/>
  <c r="T376" i="2"/>
  <c r="Z376" i="2" s="1"/>
  <c r="P376" i="2"/>
  <c r="N376" i="2"/>
  <c r="L376" i="2"/>
  <c r="J376" i="2"/>
  <c r="M376" i="2" s="1"/>
  <c r="Y375" i="2"/>
  <c r="V375" i="2"/>
  <c r="S375" i="2"/>
  <c r="M375" i="2"/>
  <c r="W374" i="2"/>
  <c r="T374" i="2"/>
  <c r="T369" i="2" s="1"/>
  <c r="P374" i="2"/>
  <c r="N374" i="2"/>
  <c r="L374" i="2"/>
  <c r="J374" i="2"/>
  <c r="M374" i="2" s="1"/>
  <c r="V373" i="2"/>
  <c r="S373" i="2"/>
  <c r="Y373" i="2" s="1"/>
  <c r="M373" i="2"/>
  <c r="AA372" i="2"/>
  <c r="Z372" i="2"/>
  <c r="Y372" i="2"/>
  <c r="W372" i="2"/>
  <c r="V372" i="2"/>
  <c r="U372" i="2"/>
  <c r="R372" i="2"/>
  <c r="X372" i="2" s="1"/>
  <c r="O372" i="2"/>
  <c r="L372" i="2"/>
  <c r="Y371" i="2"/>
  <c r="V371" i="2"/>
  <c r="S371" i="2"/>
  <c r="M371" i="2"/>
  <c r="Z370" i="2"/>
  <c r="Y370" i="2"/>
  <c r="X370" i="2"/>
  <c r="W370" i="2"/>
  <c r="V370" i="2"/>
  <c r="U370" i="2"/>
  <c r="R370" i="2"/>
  <c r="O370" i="2"/>
  <c r="L370" i="2"/>
  <c r="V368" i="2"/>
  <c r="S368" i="2"/>
  <c r="Y368" i="2" s="1"/>
  <c r="M368" i="2"/>
  <c r="V367" i="2"/>
  <c r="S367" i="2"/>
  <c r="P366" i="2" s="1"/>
  <c r="M367" i="2"/>
  <c r="J366" i="2" s="1"/>
  <c r="W366" i="2"/>
  <c r="T366" i="2"/>
  <c r="Z366" i="2" s="1"/>
  <c r="N366" i="2"/>
  <c r="V365" i="2"/>
  <c r="S365" i="2"/>
  <c r="Y365" i="2" s="1"/>
  <c r="M365" i="2"/>
  <c r="V364" i="2"/>
  <c r="S364" i="2"/>
  <c r="P363" i="2" s="1"/>
  <c r="S363" i="2" s="1"/>
  <c r="M364" i="2"/>
  <c r="Z363" i="2"/>
  <c r="W363" i="2"/>
  <c r="T363" i="2"/>
  <c r="N363" i="2"/>
  <c r="M363" i="2"/>
  <c r="O363" i="2" s="1"/>
  <c r="J363" i="2"/>
  <c r="L363" i="2" s="1"/>
  <c r="V362" i="2"/>
  <c r="S362" i="2"/>
  <c r="Y362" i="2" s="1"/>
  <c r="M362" i="2"/>
  <c r="V361" i="2"/>
  <c r="S361" i="2"/>
  <c r="P360" i="2" s="1"/>
  <c r="S360" i="2" s="1"/>
  <c r="M361" i="2"/>
  <c r="W360" i="2"/>
  <c r="V360" i="2"/>
  <c r="T360" i="2"/>
  <c r="Z360" i="2" s="1"/>
  <c r="R360" i="2"/>
  <c r="X360" i="2" s="1"/>
  <c r="N360" i="2"/>
  <c r="J360" i="2"/>
  <c r="L360" i="2" s="1"/>
  <c r="V359" i="2"/>
  <c r="S359" i="2"/>
  <c r="Y359" i="2" s="1"/>
  <c r="M359" i="2"/>
  <c r="V358" i="2"/>
  <c r="S358" i="2"/>
  <c r="M358" i="2"/>
  <c r="J357" i="2" s="1"/>
  <c r="W357" i="2"/>
  <c r="T357" i="2"/>
  <c r="N357" i="2"/>
  <c r="V356" i="2"/>
  <c r="S356" i="2"/>
  <c r="Y356" i="2" s="1"/>
  <c r="M356" i="2"/>
  <c r="V355" i="2"/>
  <c r="S355" i="2"/>
  <c r="Y355" i="2" s="1"/>
  <c r="M355" i="2"/>
  <c r="Z354" i="2"/>
  <c r="Y354" i="2"/>
  <c r="AA354" i="2" s="1"/>
  <c r="W354" i="2"/>
  <c r="V354" i="2"/>
  <c r="U354" i="2"/>
  <c r="R354" i="2"/>
  <c r="X354" i="2" s="1"/>
  <c r="O354" i="2"/>
  <c r="L354" i="2"/>
  <c r="Y353" i="2"/>
  <c r="V353" i="2"/>
  <c r="S353" i="2"/>
  <c r="M353" i="2"/>
  <c r="Y352" i="2"/>
  <c r="V352" i="2"/>
  <c r="S352" i="2"/>
  <c r="M352" i="2"/>
  <c r="AA351" i="2"/>
  <c r="Z351" i="2"/>
  <c r="Y351" i="2"/>
  <c r="W351" i="2"/>
  <c r="V351" i="2"/>
  <c r="U351" i="2"/>
  <c r="R351" i="2"/>
  <c r="X351" i="2" s="1"/>
  <c r="O351" i="2"/>
  <c r="L351" i="2"/>
  <c r="V350" i="2"/>
  <c r="S350" i="2"/>
  <c r="Y350" i="2" s="1"/>
  <c r="M350" i="2"/>
  <c r="V349" i="2"/>
  <c r="S349" i="2"/>
  <c r="Y349" i="2" s="1"/>
  <c r="M349" i="2"/>
  <c r="Z348" i="2"/>
  <c r="Y348" i="2"/>
  <c r="AA348" i="2" s="1"/>
  <c r="X348" i="2"/>
  <c r="W348" i="2"/>
  <c r="V348" i="2"/>
  <c r="U348" i="2"/>
  <c r="R348" i="2"/>
  <c r="O348" i="2"/>
  <c r="L348" i="2"/>
  <c r="Y347" i="2"/>
  <c r="V347" i="2"/>
  <c r="S347" i="2"/>
  <c r="M347" i="2"/>
  <c r="Y346" i="2"/>
  <c r="V346" i="2"/>
  <c r="S346" i="2"/>
  <c r="M346" i="2"/>
  <c r="Z345" i="2"/>
  <c r="Y345" i="2"/>
  <c r="AA345" i="2" s="1"/>
  <c r="X345" i="2"/>
  <c r="W345" i="2"/>
  <c r="V345" i="2"/>
  <c r="U345" i="2"/>
  <c r="R345" i="2"/>
  <c r="O345" i="2"/>
  <c r="L345" i="2"/>
  <c r="N344" i="2"/>
  <c r="Y343" i="2"/>
  <c r="V343" i="2"/>
  <c r="S343" i="2"/>
  <c r="M343" i="2"/>
  <c r="Y342" i="2"/>
  <c r="V342" i="2"/>
  <c r="S342" i="2"/>
  <c r="P341" i="2" s="1"/>
  <c r="M342" i="2"/>
  <c r="W341" i="2"/>
  <c r="V341" i="2"/>
  <c r="T341" i="2"/>
  <c r="U341" i="2" s="1"/>
  <c r="S341" i="2"/>
  <c r="Y341" i="2" s="1"/>
  <c r="R341" i="2"/>
  <c r="X341" i="2" s="1"/>
  <c r="N341" i="2"/>
  <c r="L341" i="2"/>
  <c r="J341" i="2"/>
  <c r="M341" i="2" s="1"/>
  <c r="O341" i="2" s="1"/>
  <c r="Y340" i="2"/>
  <c r="V340" i="2"/>
  <c r="S340" i="2"/>
  <c r="M340" i="2"/>
  <c r="V339" i="2"/>
  <c r="S339" i="2"/>
  <c r="Y339" i="2" s="1"/>
  <c r="M339" i="2"/>
  <c r="Z338" i="2"/>
  <c r="AA338" i="2" s="1"/>
  <c r="Y338" i="2"/>
  <c r="W338" i="2"/>
  <c r="V338" i="2"/>
  <c r="U338" i="2"/>
  <c r="R338" i="2"/>
  <c r="X338" i="2" s="1"/>
  <c r="O338" i="2"/>
  <c r="L338" i="2"/>
  <c r="V337" i="2"/>
  <c r="S337" i="2"/>
  <c r="Y337" i="2" s="1"/>
  <c r="M337" i="2"/>
  <c r="V336" i="2"/>
  <c r="S336" i="2"/>
  <c r="Y336" i="2" s="1"/>
  <c r="M336" i="2"/>
  <c r="V335" i="2"/>
  <c r="S335" i="2"/>
  <c r="Y335" i="2" s="1"/>
  <c r="M335" i="2"/>
  <c r="V334" i="2"/>
  <c r="S334" i="2"/>
  <c r="Y334" i="2" s="1"/>
  <c r="M334" i="2"/>
  <c r="W333" i="2"/>
  <c r="T333" i="2"/>
  <c r="Z333" i="2" s="1"/>
  <c r="N333" i="2"/>
  <c r="N327" i="2" s="1"/>
  <c r="N326" i="2" s="1"/>
  <c r="V332" i="2"/>
  <c r="S332" i="2"/>
  <c r="Y332" i="2" s="1"/>
  <c r="M332" i="2"/>
  <c r="Y331" i="2"/>
  <c r="V331" i="2"/>
  <c r="S331" i="2"/>
  <c r="M331" i="2"/>
  <c r="V330" i="2"/>
  <c r="S330" i="2"/>
  <c r="Y330" i="2" s="1"/>
  <c r="M330" i="2"/>
  <c r="V329" i="2"/>
  <c r="S329" i="2"/>
  <c r="Y329" i="2" s="1"/>
  <c r="M329" i="2"/>
  <c r="Z328" i="2"/>
  <c r="Y328" i="2"/>
  <c r="AA328" i="2" s="1"/>
  <c r="W328" i="2"/>
  <c r="V328" i="2"/>
  <c r="U328" i="2"/>
  <c r="R328" i="2"/>
  <c r="X328" i="2" s="1"/>
  <c r="O328" i="2"/>
  <c r="L328" i="2"/>
  <c r="T327" i="2"/>
  <c r="Y325" i="2"/>
  <c r="V325" i="2"/>
  <c r="S325" i="2"/>
  <c r="M325" i="2"/>
  <c r="V324" i="2"/>
  <c r="S324" i="2"/>
  <c r="M324" i="2"/>
  <c r="Y323" i="2"/>
  <c r="V323" i="2"/>
  <c r="S323" i="2"/>
  <c r="M323" i="2"/>
  <c r="V322" i="2"/>
  <c r="S322" i="2"/>
  <c r="Y322" i="2" s="1"/>
  <c r="M322" i="2"/>
  <c r="J321" i="2" s="1"/>
  <c r="W321" i="2"/>
  <c r="T321" i="2"/>
  <c r="N321" i="2"/>
  <c r="Y320" i="2"/>
  <c r="V320" i="2"/>
  <c r="S320" i="2"/>
  <c r="M320" i="2"/>
  <c r="V319" i="2"/>
  <c r="S319" i="2"/>
  <c r="Y319" i="2" s="1"/>
  <c r="M319" i="2"/>
  <c r="Y318" i="2"/>
  <c r="V318" i="2"/>
  <c r="S318" i="2"/>
  <c r="M318" i="2"/>
  <c r="V317" i="2"/>
  <c r="S317" i="2"/>
  <c r="Y317" i="2" s="1"/>
  <c r="M317" i="2"/>
  <c r="AA316" i="2"/>
  <c r="Z316" i="2"/>
  <c r="Y316" i="2"/>
  <c r="W316" i="2"/>
  <c r="V316" i="2"/>
  <c r="U316" i="2"/>
  <c r="R316" i="2"/>
  <c r="X316" i="2" s="1"/>
  <c r="O316" i="2"/>
  <c r="L316" i="2"/>
  <c r="Y315" i="2"/>
  <c r="V315" i="2"/>
  <c r="S315" i="2"/>
  <c r="M315" i="2"/>
  <c r="J313" i="2" s="1"/>
  <c r="V314" i="2"/>
  <c r="S314" i="2"/>
  <c r="M314" i="2"/>
  <c r="W313" i="2"/>
  <c r="T313" i="2"/>
  <c r="Z313" i="2" s="1"/>
  <c r="N313" i="2"/>
  <c r="Y312" i="2"/>
  <c r="V312" i="2"/>
  <c r="S312" i="2"/>
  <c r="M312" i="2"/>
  <c r="J310" i="2" s="1"/>
  <c r="V311" i="2"/>
  <c r="S311" i="2"/>
  <c r="M311" i="2"/>
  <c r="W310" i="2"/>
  <c r="T310" i="2"/>
  <c r="Z310" i="2" s="1"/>
  <c r="N310" i="2"/>
  <c r="M310" i="2"/>
  <c r="O310" i="2" s="1"/>
  <c r="L310" i="2"/>
  <c r="Y309" i="2"/>
  <c r="V309" i="2"/>
  <c r="S309" i="2"/>
  <c r="M309" i="2"/>
  <c r="V308" i="2"/>
  <c r="S308" i="2"/>
  <c r="Y308" i="2" s="1"/>
  <c r="M308" i="2"/>
  <c r="AA307" i="2"/>
  <c r="Z307" i="2"/>
  <c r="Y307" i="2"/>
  <c r="X307" i="2"/>
  <c r="W307" i="2"/>
  <c r="V307" i="2"/>
  <c r="U307" i="2"/>
  <c r="R307" i="2"/>
  <c r="O307" i="2"/>
  <c r="L307" i="2"/>
  <c r="V306" i="2"/>
  <c r="S306" i="2"/>
  <c r="Y306" i="2" s="1"/>
  <c r="M306" i="2"/>
  <c r="Y305" i="2"/>
  <c r="V305" i="2"/>
  <c r="S305" i="2"/>
  <c r="M305" i="2"/>
  <c r="Z304" i="2"/>
  <c r="Y304" i="2"/>
  <c r="AA304" i="2" s="1"/>
  <c r="X304" i="2"/>
  <c r="W304" i="2"/>
  <c r="V304" i="2"/>
  <c r="U304" i="2"/>
  <c r="R304" i="2"/>
  <c r="O304" i="2"/>
  <c r="L304" i="2"/>
  <c r="V303" i="2"/>
  <c r="S303" i="2"/>
  <c r="M303" i="2"/>
  <c r="W302" i="2"/>
  <c r="T302" i="2"/>
  <c r="Z302" i="2" s="1"/>
  <c r="N302" i="2"/>
  <c r="M302" i="2"/>
  <c r="O302" i="2" s="1"/>
  <c r="L302" i="2"/>
  <c r="J302" i="2"/>
  <c r="Y301" i="2"/>
  <c r="V301" i="2"/>
  <c r="S301" i="2"/>
  <c r="M301" i="2"/>
  <c r="Z300" i="2"/>
  <c r="Y300" i="2"/>
  <c r="W300" i="2"/>
  <c r="V300" i="2"/>
  <c r="U300" i="2"/>
  <c r="R300" i="2"/>
  <c r="X300" i="2" s="1"/>
  <c r="O300" i="2"/>
  <c r="L300" i="2"/>
  <c r="N299" i="2"/>
  <c r="Y298" i="2"/>
  <c r="V298" i="2"/>
  <c r="S298" i="2"/>
  <c r="M298" i="2"/>
  <c r="V297" i="2"/>
  <c r="S297" i="2"/>
  <c r="Y297" i="2" s="1"/>
  <c r="M297" i="2"/>
  <c r="Y296" i="2"/>
  <c r="V296" i="2"/>
  <c r="S296" i="2"/>
  <c r="M296" i="2"/>
  <c r="V295" i="2"/>
  <c r="S295" i="2"/>
  <c r="M295" i="2"/>
  <c r="W294" i="2"/>
  <c r="T294" i="2"/>
  <c r="Z294" i="2" s="1"/>
  <c r="N294" i="2"/>
  <c r="J294" i="2"/>
  <c r="Y293" i="2"/>
  <c r="V293" i="2"/>
  <c r="S293" i="2"/>
  <c r="M293" i="2"/>
  <c r="V292" i="2"/>
  <c r="S292" i="2"/>
  <c r="Y292" i="2" s="1"/>
  <c r="M292" i="2"/>
  <c r="Y291" i="2"/>
  <c r="V291" i="2"/>
  <c r="S291" i="2"/>
  <c r="M291" i="2"/>
  <c r="V290" i="2"/>
  <c r="S290" i="2"/>
  <c r="Y290" i="2" s="1"/>
  <c r="M290" i="2"/>
  <c r="Z289" i="2"/>
  <c r="AA289" i="2" s="1"/>
  <c r="Y289" i="2"/>
  <c r="W289" i="2"/>
  <c r="V289" i="2"/>
  <c r="U289" i="2"/>
  <c r="R289" i="2"/>
  <c r="X289" i="2" s="1"/>
  <c r="O289" i="2"/>
  <c r="L289" i="2"/>
  <c r="T288" i="2"/>
  <c r="N288" i="2"/>
  <c r="N287" i="2" s="1"/>
  <c r="V286" i="2"/>
  <c r="S286" i="2"/>
  <c r="Y286" i="2" s="1"/>
  <c r="M286" i="2"/>
  <c r="Y285" i="2"/>
  <c r="V285" i="2"/>
  <c r="S285" i="2"/>
  <c r="M285" i="2"/>
  <c r="V284" i="2"/>
  <c r="S284" i="2"/>
  <c r="Y284" i="2" s="1"/>
  <c r="M284" i="2"/>
  <c r="J282" i="2" s="1"/>
  <c r="Y283" i="2"/>
  <c r="V283" i="2"/>
  <c r="S283" i="2"/>
  <c r="M283" i="2"/>
  <c r="Z282" i="2"/>
  <c r="W282" i="2"/>
  <c r="T282" i="2"/>
  <c r="P282" i="2"/>
  <c r="N282" i="2"/>
  <c r="V281" i="2"/>
  <c r="S281" i="2"/>
  <c r="Y281" i="2" s="1"/>
  <c r="M281" i="2"/>
  <c r="Y280" i="2"/>
  <c r="V280" i="2"/>
  <c r="S280" i="2"/>
  <c r="M280" i="2"/>
  <c r="V279" i="2"/>
  <c r="S279" i="2"/>
  <c r="Y279" i="2" s="1"/>
  <c r="M279" i="2"/>
  <c r="J277" i="2" s="1"/>
  <c r="Y278" i="2"/>
  <c r="V278" i="2"/>
  <c r="S278" i="2"/>
  <c r="M278" i="2"/>
  <c r="Z277" i="2"/>
  <c r="W277" i="2"/>
  <c r="T277" i="2"/>
  <c r="N277" i="2"/>
  <c r="V276" i="2"/>
  <c r="S276" i="2"/>
  <c r="Y276" i="2" s="1"/>
  <c r="M276" i="2"/>
  <c r="Y275" i="2"/>
  <c r="V275" i="2"/>
  <c r="S275" i="2"/>
  <c r="M275" i="2"/>
  <c r="V274" i="2"/>
  <c r="S274" i="2"/>
  <c r="Y274" i="2" s="1"/>
  <c r="M274" i="2"/>
  <c r="Y273" i="2"/>
  <c r="V273" i="2"/>
  <c r="S273" i="2"/>
  <c r="M273" i="2"/>
  <c r="Z272" i="2"/>
  <c r="Y272" i="2"/>
  <c r="AA272" i="2" s="1"/>
  <c r="X272" i="2"/>
  <c r="W272" i="2"/>
  <c r="V272" i="2"/>
  <c r="U272" i="2"/>
  <c r="R272" i="2"/>
  <c r="O272" i="2"/>
  <c r="L272" i="2"/>
  <c r="Y271" i="2"/>
  <c r="V271" i="2"/>
  <c r="S271" i="2"/>
  <c r="M271" i="2"/>
  <c r="V270" i="2"/>
  <c r="S270" i="2"/>
  <c r="Y270" i="2" s="1"/>
  <c r="M270" i="2"/>
  <c r="Y269" i="2"/>
  <c r="V269" i="2"/>
  <c r="S269" i="2"/>
  <c r="M269" i="2"/>
  <c r="V268" i="2"/>
  <c r="S268" i="2"/>
  <c r="Y268" i="2" s="1"/>
  <c r="M268" i="2"/>
  <c r="AA267" i="2"/>
  <c r="Z267" i="2"/>
  <c r="Y267" i="2"/>
  <c r="X267" i="2"/>
  <c r="W267" i="2"/>
  <c r="V267" i="2"/>
  <c r="U267" i="2"/>
  <c r="R267" i="2"/>
  <c r="O267" i="2"/>
  <c r="L267" i="2"/>
  <c r="Y266" i="2"/>
  <c r="V266" i="2"/>
  <c r="S266" i="2"/>
  <c r="M266" i="2"/>
  <c r="V265" i="2"/>
  <c r="S265" i="2"/>
  <c r="Y265" i="2" s="1"/>
  <c r="M265" i="2"/>
  <c r="J262" i="2" s="1"/>
  <c r="M262" i="2" s="1"/>
  <c r="O262" i="2" s="1"/>
  <c r="Y264" i="2"/>
  <c r="V264" i="2"/>
  <c r="S264" i="2"/>
  <c r="M264" i="2"/>
  <c r="V263" i="2"/>
  <c r="S263" i="2"/>
  <c r="M263" i="2"/>
  <c r="W262" i="2"/>
  <c r="T262" i="2"/>
  <c r="Z262" i="2" s="1"/>
  <c r="N262" i="2"/>
  <c r="L262" i="2"/>
  <c r="Y261" i="2"/>
  <c r="V261" i="2"/>
  <c r="S261" i="2"/>
  <c r="M261" i="2"/>
  <c r="V260" i="2"/>
  <c r="S260" i="2"/>
  <c r="Y260" i="2" s="1"/>
  <c r="M260" i="2"/>
  <c r="Y259" i="2"/>
  <c r="V259" i="2"/>
  <c r="S259" i="2"/>
  <c r="M259" i="2"/>
  <c r="V258" i="2"/>
  <c r="S258" i="2"/>
  <c r="M258" i="2"/>
  <c r="W257" i="2"/>
  <c r="T257" i="2"/>
  <c r="Z257" i="2" s="1"/>
  <c r="N257" i="2"/>
  <c r="Y256" i="2"/>
  <c r="V256" i="2"/>
  <c r="S256" i="2"/>
  <c r="M256" i="2"/>
  <c r="V255" i="2"/>
  <c r="S255" i="2"/>
  <c r="Y255" i="2" s="1"/>
  <c r="M255" i="2"/>
  <c r="V254" i="2"/>
  <c r="S254" i="2"/>
  <c r="Y254" i="2" s="1"/>
  <c r="M254" i="2"/>
  <c r="V253" i="2"/>
  <c r="S253" i="2"/>
  <c r="Y253" i="2" s="1"/>
  <c r="M253" i="2"/>
  <c r="Z252" i="2"/>
  <c r="Y252" i="2"/>
  <c r="AA252" i="2" s="1"/>
  <c r="W252" i="2"/>
  <c r="V252" i="2"/>
  <c r="U252" i="2"/>
  <c r="R252" i="2"/>
  <c r="X252" i="2" s="1"/>
  <c r="O252" i="2"/>
  <c r="L252" i="2"/>
  <c r="V251" i="2"/>
  <c r="S251" i="2"/>
  <c r="Y251" i="2" s="1"/>
  <c r="M251" i="2"/>
  <c r="Y250" i="2"/>
  <c r="V250" i="2"/>
  <c r="S250" i="2"/>
  <c r="M250" i="2"/>
  <c r="V249" i="2"/>
  <c r="S249" i="2"/>
  <c r="Y249" i="2" s="1"/>
  <c r="M249" i="2"/>
  <c r="Y248" i="2"/>
  <c r="V248" i="2"/>
  <c r="S248" i="2"/>
  <c r="M248" i="2"/>
  <c r="Z247" i="2"/>
  <c r="Y247" i="2"/>
  <c r="AA247" i="2" s="1"/>
  <c r="W247" i="2"/>
  <c r="V247" i="2"/>
  <c r="U247" i="2"/>
  <c r="R247" i="2"/>
  <c r="X247" i="2" s="1"/>
  <c r="O247" i="2"/>
  <c r="L247" i="2"/>
  <c r="V246" i="2"/>
  <c r="S246" i="2"/>
  <c r="Y246" i="2" s="1"/>
  <c r="M246" i="2"/>
  <c r="Y245" i="2"/>
  <c r="V245" i="2"/>
  <c r="S245" i="2"/>
  <c r="M245" i="2"/>
  <c r="V244" i="2"/>
  <c r="S244" i="2"/>
  <c r="Y244" i="2" s="1"/>
  <c r="M244" i="2"/>
  <c r="V243" i="2"/>
  <c r="S243" i="2"/>
  <c r="Y243" i="2" s="1"/>
  <c r="M243" i="2"/>
  <c r="Z242" i="2"/>
  <c r="W242" i="2"/>
  <c r="T242" i="2"/>
  <c r="P242" i="2"/>
  <c r="N242" i="2"/>
  <c r="V241" i="2"/>
  <c r="S241" i="2"/>
  <c r="Y241" i="2" s="1"/>
  <c r="M241" i="2"/>
  <c r="Y240" i="2"/>
  <c r="V240" i="2"/>
  <c r="S240" i="2"/>
  <c r="M240" i="2"/>
  <c r="V239" i="2"/>
  <c r="S239" i="2"/>
  <c r="Y239" i="2" s="1"/>
  <c r="M239" i="2"/>
  <c r="Y238" i="2"/>
  <c r="V238" i="2"/>
  <c r="S238" i="2"/>
  <c r="M238" i="2"/>
  <c r="W237" i="2"/>
  <c r="T237" i="2"/>
  <c r="Z237" i="2" s="1"/>
  <c r="N237" i="2"/>
  <c r="V236" i="2"/>
  <c r="S236" i="2"/>
  <c r="Y236" i="2" s="1"/>
  <c r="M236" i="2"/>
  <c r="Y235" i="2"/>
  <c r="V235" i="2"/>
  <c r="S235" i="2"/>
  <c r="M235" i="2"/>
  <c r="V234" i="2"/>
  <c r="S234" i="2"/>
  <c r="Y234" i="2" s="1"/>
  <c r="M234" i="2"/>
  <c r="Y233" i="2"/>
  <c r="V233" i="2"/>
  <c r="S233" i="2"/>
  <c r="M233" i="2"/>
  <c r="W232" i="2"/>
  <c r="T232" i="2"/>
  <c r="Z232" i="2" s="1"/>
  <c r="P232" i="2"/>
  <c r="N232" i="2"/>
  <c r="V231" i="2"/>
  <c r="S231" i="2"/>
  <c r="Y231" i="2" s="1"/>
  <c r="M231" i="2"/>
  <c r="Y230" i="2"/>
  <c r="V230" i="2"/>
  <c r="S230" i="2"/>
  <c r="M230" i="2"/>
  <c r="V229" i="2"/>
  <c r="S229" i="2"/>
  <c r="Y229" i="2" s="1"/>
  <c r="M229" i="2"/>
  <c r="Y228" i="2"/>
  <c r="V228" i="2"/>
  <c r="S228" i="2"/>
  <c r="M228" i="2"/>
  <c r="Z227" i="2"/>
  <c r="Y227" i="2"/>
  <c r="AA227" i="2" s="1"/>
  <c r="X227" i="2"/>
  <c r="W227" i="2"/>
  <c r="V227" i="2"/>
  <c r="U227" i="2"/>
  <c r="R227" i="2"/>
  <c r="O227" i="2"/>
  <c r="L227" i="2"/>
  <c r="Y226" i="2"/>
  <c r="V226" i="2"/>
  <c r="S226" i="2"/>
  <c r="M226" i="2"/>
  <c r="Y225" i="2"/>
  <c r="V225" i="2"/>
  <c r="S225" i="2"/>
  <c r="M225" i="2"/>
  <c r="Y224" i="2"/>
  <c r="V224" i="2"/>
  <c r="S224" i="2"/>
  <c r="M224" i="2"/>
  <c r="Y223" i="2"/>
  <c r="V223" i="2"/>
  <c r="S223" i="2"/>
  <c r="M223" i="2"/>
  <c r="AA222" i="2"/>
  <c r="Z222" i="2"/>
  <c r="Y222" i="2"/>
  <c r="X222" i="2"/>
  <c r="W222" i="2"/>
  <c r="V222" i="2"/>
  <c r="U222" i="2"/>
  <c r="R222" i="2"/>
  <c r="O222" i="2"/>
  <c r="L222" i="2"/>
  <c r="Y221" i="2"/>
  <c r="V221" i="2"/>
  <c r="S221" i="2"/>
  <c r="M221" i="2"/>
  <c r="V220" i="2"/>
  <c r="S220" i="2"/>
  <c r="Y220" i="2" s="1"/>
  <c r="M220" i="2"/>
  <c r="Y219" i="2"/>
  <c r="V219" i="2"/>
  <c r="S219" i="2"/>
  <c r="M219" i="2"/>
  <c r="V218" i="2"/>
  <c r="S218" i="2"/>
  <c r="Y218" i="2" s="1"/>
  <c r="M218" i="2"/>
  <c r="Z217" i="2"/>
  <c r="AA217" i="2" s="1"/>
  <c r="Y217" i="2"/>
  <c r="W217" i="2"/>
  <c r="V217" i="2"/>
  <c r="U217" i="2"/>
  <c r="R217" i="2"/>
  <c r="X217" i="2" s="1"/>
  <c r="O217" i="2"/>
  <c r="L217" i="2"/>
  <c r="Y216" i="2"/>
  <c r="V216" i="2"/>
  <c r="S216" i="2"/>
  <c r="M216" i="2"/>
  <c r="Y215" i="2"/>
  <c r="V215" i="2"/>
  <c r="S215" i="2"/>
  <c r="M215" i="2"/>
  <c r="Y214" i="2"/>
  <c r="V214" i="2"/>
  <c r="S214" i="2"/>
  <c r="M214" i="2"/>
  <c r="Y213" i="2"/>
  <c r="V213" i="2"/>
  <c r="S213" i="2"/>
  <c r="P212" i="2" s="1"/>
  <c r="S212" i="2" s="1"/>
  <c r="M213" i="2"/>
  <c r="W212" i="2"/>
  <c r="V212" i="2"/>
  <c r="T212" i="2"/>
  <c r="Z212" i="2" s="1"/>
  <c r="N212" i="2"/>
  <c r="V211" i="2"/>
  <c r="S211" i="2"/>
  <c r="Y211" i="2" s="1"/>
  <c r="M211" i="2"/>
  <c r="Y210" i="2"/>
  <c r="V210" i="2"/>
  <c r="S210" i="2"/>
  <c r="M210" i="2"/>
  <c r="V209" i="2"/>
  <c r="S209" i="2"/>
  <c r="Y209" i="2" s="1"/>
  <c r="M209" i="2"/>
  <c r="Y208" i="2"/>
  <c r="V208" i="2"/>
  <c r="S208" i="2"/>
  <c r="M208" i="2"/>
  <c r="Z207" i="2"/>
  <c r="Y207" i="2"/>
  <c r="X207" i="2"/>
  <c r="W207" i="2"/>
  <c r="V207" i="2"/>
  <c r="U207" i="2"/>
  <c r="R207" i="2"/>
  <c r="O207" i="2"/>
  <c r="L207" i="2"/>
  <c r="V206" i="2"/>
  <c r="S206" i="2"/>
  <c r="Y206" i="2" s="1"/>
  <c r="M206" i="2"/>
  <c r="Y205" i="2"/>
  <c r="V205" i="2"/>
  <c r="S205" i="2"/>
  <c r="M205" i="2"/>
  <c r="W204" i="2"/>
  <c r="V204" i="2"/>
  <c r="T204" i="2"/>
  <c r="Z204" i="2" s="1"/>
  <c r="P204" i="2"/>
  <c r="S204" i="2" s="1"/>
  <c r="U204" i="2" s="1"/>
  <c r="N204" i="2"/>
  <c r="J204" i="2"/>
  <c r="V203" i="2"/>
  <c r="S203" i="2"/>
  <c r="Y203" i="2" s="1"/>
  <c r="M203" i="2"/>
  <c r="Y202" i="2"/>
  <c r="V202" i="2"/>
  <c r="S202" i="2"/>
  <c r="M202" i="2"/>
  <c r="Z201" i="2"/>
  <c r="Y201" i="2"/>
  <c r="AA201" i="2" s="1"/>
  <c r="X201" i="2"/>
  <c r="W201" i="2"/>
  <c r="V201" i="2"/>
  <c r="U201" i="2"/>
  <c r="R201" i="2"/>
  <c r="O201" i="2"/>
  <c r="L201" i="2"/>
  <c r="Y200" i="2"/>
  <c r="V200" i="2"/>
  <c r="S200" i="2"/>
  <c r="M200" i="2"/>
  <c r="J197" i="2" s="1"/>
  <c r="V199" i="2"/>
  <c r="S199" i="2"/>
  <c r="Y199" i="2" s="1"/>
  <c r="M199" i="2"/>
  <c r="Y198" i="2"/>
  <c r="V198" i="2"/>
  <c r="S198" i="2"/>
  <c r="M198" i="2"/>
  <c r="W197" i="2"/>
  <c r="T197" i="2"/>
  <c r="N197" i="2"/>
  <c r="N182" i="2" s="1"/>
  <c r="V196" i="2"/>
  <c r="S196" i="2"/>
  <c r="Y196" i="2" s="1"/>
  <c r="M196" i="2"/>
  <c r="Y195" i="2"/>
  <c r="V195" i="2"/>
  <c r="S195" i="2"/>
  <c r="M195" i="2"/>
  <c r="V194" i="2"/>
  <c r="S194" i="2"/>
  <c r="Y194" i="2" s="1"/>
  <c r="M194" i="2"/>
  <c r="J192" i="2" s="1"/>
  <c r="V193" i="2"/>
  <c r="S193" i="2"/>
  <c r="Y193" i="2" s="1"/>
  <c r="M193" i="2"/>
  <c r="Z192" i="2"/>
  <c r="W192" i="2"/>
  <c r="T192" i="2"/>
  <c r="N192" i="2"/>
  <c r="V191" i="2"/>
  <c r="S191" i="2"/>
  <c r="Y191" i="2" s="1"/>
  <c r="M191" i="2"/>
  <c r="V190" i="2"/>
  <c r="S190" i="2"/>
  <c r="Y190" i="2" s="1"/>
  <c r="M190" i="2"/>
  <c r="V189" i="2"/>
  <c r="S189" i="2"/>
  <c r="Y189" i="2" s="1"/>
  <c r="M189" i="2"/>
  <c r="Z188" i="2"/>
  <c r="Y188" i="2"/>
  <c r="AA188" i="2" s="1"/>
  <c r="W188" i="2"/>
  <c r="V188" i="2"/>
  <c r="U188" i="2"/>
  <c r="R188" i="2"/>
  <c r="X188" i="2" s="1"/>
  <c r="O188" i="2"/>
  <c r="L188" i="2"/>
  <c r="Y187" i="2"/>
  <c r="V187" i="2"/>
  <c r="S187" i="2"/>
  <c r="M187" i="2"/>
  <c r="Y186" i="2"/>
  <c r="V186" i="2"/>
  <c r="S186" i="2"/>
  <c r="M186" i="2"/>
  <c r="Y185" i="2"/>
  <c r="V185" i="2"/>
  <c r="S185" i="2"/>
  <c r="M185" i="2"/>
  <c r="Y184" i="2"/>
  <c r="V184" i="2"/>
  <c r="S184" i="2"/>
  <c r="M184" i="2"/>
  <c r="AA183" i="2"/>
  <c r="Z183" i="2"/>
  <c r="Y183" i="2"/>
  <c r="X183" i="2"/>
  <c r="W183" i="2"/>
  <c r="V183" i="2"/>
  <c r="U183" i="2"/>
  <c r="R183" i="2"/>
  <c r="O183" i="2"/>
  <c r="L183" i="2"/>
  <c r="V181" i="2"/>
  <c r="S181" i="2"/>
  <c r="M181" i="2"/>
  <c r="Z180" i="2"/>
  <c r="W180" i="2"/>
  <c r="T180" i="2"/>
  <c r="N180" i="2"/>
  <c r="M180" i="2"/>
  <c r="O180" i="2" s="1"/>
  <c r="L180" i="2"/>
  <c r="J180" i="2"/>
  <c r="Y179" i="2"/>
  <c r="V179" i="2"/>
  <c r="S179" i="2"/>
  <c r="M179" i="2"/>
  <c r="Z178" i="2"/>
  <c r="Y178" i="2"/>
  <c r="AA178" i="2" s="1"/>
  <c r="X178" i="2"/>
  <c r="W178" i="2"/>
  <c r="V178" i="2"/>
  <c r="U178" i="2"/>
  <c r="R178" i="2"/>
  <c r="O178" i="2"/>
  <c r="L178" i="2"/>
  <c r="Y177" i="2"/>
  <c r="V177" i="2"/>
  <c r="S177" i="2"/>
  <c r="M177" i="2"/>
  <c r="W176" i="2"/>
  <c r="T176" i="2"/>
  <c r="Z176" i="2" s="1"/>
  <c r="P176" i="2"/>
  <c r="V176" i="2" s="1"/>
  <c r="O176" i="2"/>
  <c r="N176" i="2"/>
  <c r="J176" i="2"/>
  <c r="M176" i="2" s="1"/>
  <c r="V175" i="2"/>
  <c r="S175" i="2"/>
  <c r="P174" i="2" s="1"/>
  <c r="M175" i="2"/>
  <c r="J174" i="2" s="1"/>
  <c r="W174" i="2"/>
  <c r="T174" i="2"/>
  <c r="Z174" i="2" s="1"/>
  <c r="S174" i="2"/>
  <c r="N174" i="2"/>
  <c r="Y173" i="2"/>
  <c r="V173" i="2"/>
  <c r="S173" i="2"/>
  <c r="M173" i="2"/>
  <c r="W172" i="2"/>
  <c r="T172" i="2"/>
  <c r="Z172" i="2" s="1"/>
  <c r="P172" i="2"/>
  <c r="V172" i="2" s="1"/>
  <c r="N172" i="2"/>
  <c r="J172" i="2"/>
  <c r="M172" i="2" s="1"/>
  <c r="O172" i="2" s="1"/>
  <c r="V171" i="2"/>
  <c r="S171" i="2"/>
  <c r="P170" i="2" s="1"/>
  <c r="M171" i="2"/>
  <c r="J170" i="2" s="1"/>
  <c r="W170" i="2"/>
  <c r="T170" i="2"/>
  <c r="Z170" i="2" s="1"/>
  <c r="N170" i="2"/>
  <c r="Y169" i="2"/>
  <c r="V169" i="2"/>
  <c r="S169" i="2"/>
  <c r="M169" i="2"/>
  <c r="W168" i="2"/>
  <c r="T168" i="2"/>
  <c r="Z168" i="2" s="1"/>
  <c r="P168" i="2"/>
  <c r="V168" i="2" s="1"/>
  <c r="N168" i="2"/>
  <c r="O168" i="2" s="1"/>
  <c r="J168" i="2"/>
  <c r="M168" i="2" s="1"/>
  <c r="V167" i="2"/>
  <c r="S167" i="2"/>
  <c r="P166" i="2" s="1"/>
  <c r="M167" i="2"/>
  <c r="J166" i="2" s="1"/>
  <c r="W166" i="2"/>
  <c r="T166" i="2"/>
  <c r="S166" i="2"/>
  <c r="N166" i="2"/>
  <c r="Y165" i="2"/>
  <c r="V165" i="2"/>
  <c r="S165" i="2"/>
  <c r="M165" i="2"/>
  <c r="Z164" i="2"/>
  <c r="Y164" i="2"/>
  <c r="AA164" i="2" s="1"/>
  <c r="X164" i="2"/>
  <c r="W164" i="2"/>
  <c r="V164" i="2"/>
  <c r="U164" i="2"/>
  <c r="R164" i="2"/>
  <c r="O164" i="2"/>
  <c r="L164" i="2"/>
  <c r="V163" i="2"/>
  <c r="S163" i="2"/>
  <c r="Y163" i="2" s="1"/>
  <c r="M163" i="2"/>
  <c r="Z162" i="2"/>
  <c r="AA162" i="2" s="1"/>
  <c r="Y162" i="2"/>
  <c r="W162" i="2"/>
  <c r="V162" i="2"/>
  <c r="U162" i="2"/>
  <c r="R162" i="2"/>
  <c r="X162" i="2" s="1"/>
  <c r="O162" i="2"/>
  <c r="L162" i="2"/>
  <c r="V161" i="2"/>
  <c r="S161" i="2"/>
  <c r="Y161" i="2" s="1"/>
  <c r="M161" i="2"/>
  <c r="AA160" i="2"/>
  <c r="Z160" i="2"/>
  <c r="Y160" i="2"/>
  <c r="W160" i="2"/>
  <c r="V160" i="2"/>
  <c r="U160" i="2"/>
  <c r="R160" i="2"/>
  <c r="X160" i="2" s="1"/>
  <c r="O160" i="2"/>
  <c r="L160" i="2"/>
  <c r="Y159" i="2"/>
  <c r="V159" i="2"/>
  <c r="S159" i="2"/>
  <c r="M159" i="2"/>
  <c r="Z158" i="2"/>
  <c r="Y158" i="2"/>
  <c r="AA158" i="2" s="1"/>
  <c r="X158" i="2"/>
  <c r="W158" i="2"/>
  <c r="V158" i="2"/>
  <c r="U158" i="2"/>
  <c r="R158" i="2"/>
  <c r="O158" i="2"/>
  <c r="L158" i="2"/>
  <c r="Y157" i="2"/>
  <c r="V157" i="2"/>
  <c r="S157" i="2"/>
  <c r="M157" i="2"/>
  <c r="Z156" i="2"/>
  <c r="Y156" i="2"/>
  <c r="AA156" i="2" s="1"/>
  <c r="X156" i="2"/>
  <c r="W156" i="2"/>
  <c r="V156" i="2"/>
  <c r="U156" i="2"/>
  <c r="R156" i="2"/>
  <c r="O156" i="2"/>
  <c r="L156" i="2"/>
  <c r="V155" i="2"/>
  <c r="S155" i="2"/>
  <c r="Y155" i="2" s="1"/>
  <c r="M155" i="2"/>
  <c r="Z154" i="2"/>
  <c r="AA154" i="2" s="1"/>
  <c r="Y154" i="2"/>
  <c r="W154" i="2"/>
  <c r="V154" i="2"/>
  <c r="U154" i="2"/>
  <c r="R154" i="2"/>
  <c r="X154" i="2" s="1"/>
  <c r="O154" i="2"/>
  <c r="L154" i="2"/>
  <c r="V153" i="2"/>
  <c r="S153" i="2"/>
  <c r="P152" i="2" s="1"/>
  <c r="M153" i="2"/>
  <c r="W152" i="2"/>
  <c r="T152" i="2"/>
  <c r="Z152" i="2" s="1"/>
  <c r="N152" i="2"/>
  <c r="J152" i="2"/>
  <c r="Y151" i="2"/>
  <c r="V151" i="2"/>
  <c r="S151" i="2"/>
  <c r="M151" i="2"/>
  <c r="Z150" i="2"/>
  <c r="Y150" i="2"/>
  <c r="AA150" i="2" s="1"/>
  <c r="X150" i="2"/>
  <c r="W150" i="2"/>
  <c r="V150" i="2"/>
  <c r="U150" i="2"/>
  <c r="R150" i="2"/>
  <c r="O150" i="2"/>
  <c r="L150" i="2"/>
  <c r="V149" i="2"/>
  <c r="S149" i="2"/>
  <c r="M149" i="2"/>
  <c r="Z148" i="2"/>
  <c r="W148" i="2"/>
  <c r="T148" i="2"/>
  <c r="N148" i="2"/>
  <c r="M148" i="2"/>
  <c r="O148" i="2" s="1"/>
  <c r="L148" i="2"/>
  <c r="J148" i="2"/>
  <c r="Y147" i="2"/>
  <c r="V147" i="2"/>
  <c r="S147" i="2"/>
  <c r="M147" i="2"/>
  <c r="Z146" i="2"/>
  <c r="Y146" i="2"/>
  <c r="AA146" i="2" s="1"/>
  <c r="X146" i="2"/>
  <c r="W146" i="2"/>
  <c r="V146" i="2"/>
  <c r="U146" i="2"/>
  <c r="R146" i="2"/>
  <c r="O146" i="2"/>
  <c r="L146" i="2"/>
  <c r="Y145" i="2"/>
  <c r="V145" i="2"/>
  <c r="S145" i="2"/>
  <c r="M145" i="2"/>
  <c r="W144" i="2"/>
  <c r="T144" i="2"/>
  <c r="Z144" i="2" s="1"/>
  <c r="P144" i="2"/>
  <c r="V144" i="2" s="1"/>
  <c r="N144" i="2"/>
  <c r="J144" i="2"/>
  <c r="M144" i="2" s="1"/>
  <c r="O144" i="2" s="1"/>
  <c r="V143" i="2"/>
  <c r="S143" i="2"/>
  <c r="Y143" i="2" s="1"/>
  <c r="M143" i="2"/>
  <c r="AA142" i="2"/>
  <c r="Z142" i="2"/>
  <c r="Y142" i="2"/>
  <c r="W142" i="2"/>
  <c r="V142" i="2"/>
  <c r="U142" i="2"/>
  <c r="R142" i="2"/>
  <c r="X142" i="2" s="1"/>
  <c r="O142" i="2"/>
  <c r="L142" i="2"/>
  <c r="Y141" i="2"/>
  <c r="V141" i="2"/>
  <c r="S141" i="2"/>
  <c r="M141" i="2"/>
  <c r="Z140" i="2"/>
  <c r="W140" i="2"/>
  <c r="T140" i="2"/>
  <c r="P140" i="2"/>
  <c r="N140" i="2"/>
  <c r="M140" i="2"/>
  <c r="O140" i="2" s="1"/>
  <c r="J140" i="2"/>
  <c r="L140" i="2" s="1"/>
  <c r="V139" i="2"/>
  <c r="S139" i="2"/>
  <c r="Y139" i="2" s="1"/>
  <c r="M139" i="2"/>
  <c r="Z138" i="2"/>
  <c r="AA138" i="2" s="1"/>
  <c r="Y138" i="2"/>
  <c r="W138" i="2"/>
  <c r="V138" i="2"/>
  <c r="U138" i="2"/>
  <c r="R138" i="2"/>
  <c r="X138" i="2" s="1"/>
  <c r="O138" i="2"/>
  <c r="L138" i="2"/>
  <c r="V136" i="2"/>
  <c r="S136" i="2"/>
  <c r="Y136" i="2" s="1"/>
  <c r="M136" i="2"/>
  <c r="V135" i="2"/>
  <c r="S135" i="2"/>
  <c r="Y135" i="2" s="1"/>
  <c r="M135" i="2"/>
  <c r="V134" i="2"/>
  <c r="S134" i="2"/>
  <c r="M134" i="2"/>
  <c r="J133" i="2" s="1"/>
  <c r="W133" i="2"/>
  <c r="T133" i="2"/>
  <c r="Z133" i="2" s="1"/>
  <c r="N133" i="2"/>
  <c r="V132" i="2"/>
  <c r="S132" i="2"/>
  <c r="Y132" i="2" s="1"/>
  <c r="M132" i="2"/>
  <c r="V131" i="2"/>
  <c r="S131" i="2"/>
  <c r="Y131" i="2" s="1"/>
  <c r="M131" i="2"/>
  <c r="V130" i="2"/>
  <c r="S130" i="2"/>
  <c r="Y130" i="2" s="1"/>
  <c r="M130" i="2"/>
  <c r="Z129" i="2"/>
  <c r="Y129" i="2"/>
  <c r="AA129" i="2" s="1"/>
  <c r="X129" i="2"/>
  <c r="W129" i="2"/>
  <c r="V129" i="2"/>
  <c r="U129" i="2"/>
  <c r="R129" i="2"/>
  <c r="O129" i="2"/>
  <c r="L129" i="2"/>
  <c r="Y128" i="2"/>
  <c r="V128" i="2"/>
  <c r="S128" i="2"/>
  <c r="M128" i="2"/>
  <c r="Y127" i="2"/>
  <c r="V127" i="2"/>
  <c r="S127" i="2"/>
  <c r="M127" i="2"/>
  <c r="Y126" i="2"/>
  <c r="V126" i="2"/>
  <c r="S126" i="2"/>
  <c r="M126" i="2"/>
  <c r="Y125" i="2"/>
  <c r="V125" i="2"/>
  <c r="S125" i="2"/>
  <c r="M125" i="2"/>
  <c r="Z124" i="2"/>
  <c r="W124" i="2"/>
  <c r="T124" i="2"/>
  <c r="S124" i="2"/>
  <c r="R124" i="2"/>
  <c r="X124" i="2" s="1"/>
  <c r="P124" i="2"/>
  <c r="V124" i="2" s="1"/>
  <c r="N124" i="2"/>
  <c r="N114" i="2" s="1"/>
  <c r="J124" i="2"/>
  <c r="M124" i="2" s="1"/>
  <c r="Y123" i="2"/>
  <c r="V123" i="2"/>
  <c r="S123" i="2"/>
  <c r="M123" i="2"/>
  <c r="Y122" i="2"/>
  <c r="V122" i="2"/>
  <c r="S122" i="2"/>
  <c r="M122" i="2"/>
  <c r="Y121" i="2"/>
  <c r="V121" i="2"/>
  <c r="S121" i="2"/>
  <c r="M121" i="2"/>
  <c r="Y120" i="2"/>
  <c r="V120" i="2"/>
  <c r="S120" i="2"/>
  <c r="M120" i="2"/>
  <c r="Z119" i="2"/>
  <c r="AA119" i="2" s="1"/>
  <c r="Y119" i="2"/>
  <c r="W119" i="2"/>
  <c r="V119" i="2"/>
  <c r="U119" i="2"/>
  <c r="R119" i="2"/>
  <c r="X119" i="2" s="1"/>
  <c r="O119" i="2"/>
  <c r="L119" i="2"/>
  <c r="V118" i="2"/>
  <c r="S118" i="2"/>
  <c r="Y118" i="2" s="1"/>
  <c r="M118" i="2"/>
  <c r="Z117" i="2"/>
  <c r="W117" i="2"/>
  <c r="T117" i="2"/>
  <c r="P117" i="2"/>
  <c r="O117" i="2"/>
  <c r="N117" i="2"/>
  <c r="M117" i="2"/>
  <c r="L117" i="2"/>
  <c r="J117" i="2"/>
  <c r="V116" i="2"/>
  <c r="S116" i="2"/>
  <c r="Y116" i="2" s="1"/>
  <c r="M116" i="2"/>
  <c r="Z115" i="2"/>
  <c r="Z114" i="2" s="1"/>
  <c r="Y115" i="2"/>
  <c r="AA115" i="2" s="1"/>
  <c r="W115" i="2"/>
  <c r="V115" i="2"/>
  <c r="U115" i="2"/>
  <c r="R115" i="2"/>
  <c r="X115" i="2" s="1"/>
  <c r="O115" i="2"/>
  <c r="L115" i="2"/>
  <c r="T114" i="2"/>
  <c r="Y109" i="2"/>
  <c r="V109" i="2"/>
  <c r="S109" i="2"/>
  <c r="M109" i="2"/>
  <c r="V108" i="2"/>
  <c r="S108" i="2"/>
  <c r="Y108" i="2" s="1"/>
  <c r="M108" i="2"/>
  <c r="Y107" i="2"/>
  <c r="V107" i="2"/>
  <c r="S107" i="2"/>
  <c r="M107" i="2"/>
  <c r="V106" i="2"/>
  <c r="S106" i="2"/>
  <c r="Y106" i="2" s="1"/>
  <c r="M106" i="2"/>
  <c r="J104" i="2" s="1"/>
  <c r="Y105" i="2"/>
  <c r="V105" i="2"/>
  <c r="S105" i="2"/>
  <c r="M105" i="2"/>
  <c r="W104" i="2"/>
  <c r="T104" i="2"/>
  <c r="Z104" i="2" s="1"/>
  <c r="P104" i="2"/>
  <c r="V104" i="2" s="1"/>
  <c r="N104" i="2"/>
  <c r="V103" i="2"/>
  <c r="S103" i="2"/>
  <c r="Y103" i="2" s="1"/>
  <c r="M103" i="2"/>
  <c r="Y102" i="2"/>
  <c r="V102" i="2"/>
  <c r="S102" i="2"/>
  <c r="M102" i="2"/>
  <c r="V101" i="2"/>
  <c r="S101" i="2"/>
  <c r="Y101" i="2" s="1"/>
  <c r="M101" i="2"/>
  <c r="Y100" i="2"/>
  <c r="V100" i="2"/>
  <c r="S100" i="2"/>
  <c r="M100" i="2"/>
  <c r="V99" i="2"/>
  <c r="S99" i="2"/>
  <c r="P98" i="2" s="1"/>
  <c r="M99" i="2"/>
  <c r="J98" i="2" s="1"/>
  <c r="W98" i="2"/>
  <c r="T98" i="2"/>
  <c r="Z98" i="2" s="1"/>
  <c r="S98" i="2"/>
  <c r="N98" i="2"/>
  <c r="Y97" i="2"/>
  <c r="V97" i="2"/>
  <c r="S97" i="2"/>
  <c r="M97" i="2"/>
  <c r="V96" i="2"/>
  <c r="S96" i="2"/>
  <c r="Y96" i="2" s="1"/>
  <c r="M96" i="2"/>
  <c r="Y95" i="2"/>
  <c r="V95" i="2"/>
  <c r="S95" i="2"/>
  <c r="M95" i="2"/>
  <c r="V94" i="2"/>
  <c r="S94" i="2"/>
  <c r="Y94" i="2" s="1"/>
  <c r="M94" i="2"/>
  <c r="Y93" i="2"/>
  <c r="V93" i="2"/>
  <c r="S93" i="2"/>
  <c r="M93" i="2"/>
  <c r="W92" i="2"/>
  <c r="T92" i="2"/>
  <c r="Z92" i="2" s="1"/>
  <c r="P92" i="2"/>
  <c r="V92" i="2" s="1"/>
  <c r="N92" i="2"/>
  <c r="V91" i="2"/>
  <c r="S91" i="2"/>
  <c r="Y91" i="2" s="1"/>
  <c r="M91" i="2"/>
  <c r="Y90" i="2"/>
  <c r="V90" i="2"/>
  <c r="S90" i="2"/>
  <c r="M90" i="2"/>
  <c r="V89" i="2"/>
  <c r="S89" i="2"/>
  <c r="Y89" i="2" s="1"/>
  <c r="M89" i="2"/>
  <c r="Y88" i="2"/>
  <c r="V88" i="2"/>
  <c r="S88" i="2"/>
  <c r="M88" i="2"/>
  <c r="V87" i="2"/>
  <c r="S87" i="2"/>
  <c r="P86" i="2" s="1"/>
  <c r="S86" i="2" s="1"/>
  <c r="M87" i="2"/>
  <c r="W86" i="2"/>
  <c r="T86" i="2"/>
  <c r="N86" i="2"/>
  <c r="J86" i="2"/>
  <c r="Y85" i="2"/>
  <c r="V85" i="2"/>
  <c r="S85" i="2"/>
  <c r="M85" i="2"/>
  <c r="V84" i="2"/>
  <c r="S84" i="2"/>
  <c r="Y84" i="2" s="1"/>
  <c r="M84" i="2"/>
  <c r="Y83" i="2"/>
  <c r="V83" i="2"/>
  <c r="S83" i="2"/>
  <c r="M83" i="2"/>
  <c r="V82" i="2"/>
  <c r="S82" i="2"/>
  <c r="Y82" i="2" s="1"/>
  <c r="M82" i="2"/>
  <c r="Y81" i="2"/>
  <c r="V81" i="2"/>
  <c r="S81" i="2"/>
  <c r="M81" i="2"/>
  <c r="W80" i="2"/>
  <c r="T80" i="2"/>
  <c r="Z80" i="2" s="1"/>
  <c r="P80" i="2"/>
  <c r="V80" i="2" s="1"/>
  <c r="N80" i="2"/>
  <c r="N14" i="2" s="1"/>
  <c r="N13" i="2" s="1"/>
  <c r="N12" i="2" s="1"/>
  <c r="N11" i="2" s="1"/>
  <c r="N10" i="2" s="1"/>
  <c r="V79" i="2"/>
  <c r="S79" i="2"/>
  <c r="Y79" i="2" s="1"/>
  <c r="M79" i="2"/>
  <c r="Y78" i="2"/>
  <c r="V78" i="2"/>
  <c r="S78" i="2"/>
  <c r="M78" i="2"/>
  <c r="V77" i="2"/>
  <c r="S77" i="2"/>
  <c r="Y77" i="2" s="1"/>
  <c r="M77" i="2"/>
  <c r="Y76" i="2"/>
  <c r="V76" i="2"/>
  <c r="S76" i="2"/>
  <c r="M76" i="2"/>
  <c r="V75" i="2"/>
  <c r="S75" i="2"/>
  <c r="Y75" i="2" s="1"/>
  <c r="M75" i="2"/>
  <c r="AA74" i="2"/>
  <c r="Z74" i="2"/>
  <c r="Y74" i="2"/>
  <c r="X74" i="2"/>
  <c r="W74" i="2"/>
  <c r="V74" i="2"/>
  <c r="U74" i="2"/>
  <c r="R74" i="2"/>
  <c r="O74" i="2"/>
  <c r="L74" i="2"/>
  <c r="Y73" i="2"/>
  <c r="V73" i="2"/>
  <c r="S73" i="2"/>
  <c r="M73" i="2"/>
  <c r="V72" i="2"/>
  <c r="S72" i="2"/>
  <c r="Y72" i="2" s="1"/>
  <c r="M72" i="2"/>
  <c r="Y71" i="2"/>
  <c r="V71" i="2"/>
  <c r="S71" i="2"/>
  <c r="M71" i="2"/>
  <c r="V70" i="2"/>
  <c r="S70" i="2"/>
  <c r="Y70" i="2" s="1"/>
  <c r="M70" i="2"/>
  <c r="Y69" i="2"/>
  <c r="V69" i="2"/>
  <c r="S69" i="2"/>
  <c r="M69" i="2"/>
  <c r="Z68" i="2"/>
  <c r="Y68" i="2"/>
  <c r="AA68" i="2" s="1"/>
  <c r="X68" i="2"/>
  <c r="W68" i="2"/>
  <c r="V68" i="2"/>
  <c r="U68" i="2"/>
  <c r="R68" i="2"/>
  <c r="O68" i="2"/>
  <c r="L68" i="2"/>
  <c r="Y67" i="2"/>
  <c r="V67" i="2"/>
  <c r="S67" i="2"/>
  <c r="M67" i="2"/>
  <c r="V66" i="2"/>
  <c r="S66" i="2"/>
  <c r="Y66" i="2" s="1"/>
  <c r="M66" i="2"/>
  <c r="Y65" i="2"/>
  <c r="V65" i="2"/>
  <c r="S65" i="2"/>
  <c r="M65" i="2"/>
  <c r="V64" i="2"/>
  <c r="S64" i="2"/>
  <c r="Y64" i="2" s="1"/>
  <c r="M64" i="2"/>
  <c r="Y63" i="2"/>
  <c r="V63" i="2"/>
  <c r="S63" i="2"/>
  <c r="M63" i="2"/>
  <c r="Z62" i="2"/>
  <c r="Y62" i="2"/>
  <c r="AA62" i="2" s="1"/>
  <c r="W62" i="2"/>
  <c r="V62" i="2"/>
  <c r="U62" i="2"/>
  <c r="R62" i="2"/>
  <c r="X62" i="2" s="1"/>
  <c r="O62" i="2"/>
  <c r="L62" i="2"/>
  <c r="V61" i="2"/>
  <c r="S61" i="2"/>
  <c r="Y61" i="2" s="1"/>
  <c r="M61" i="2"/>
  <c r="Y60" i="2"/>
  <c r="V60" i="2"/>
  <c r="S60" i="2"/>
  <c r="M60" i="2"/>
  <c r="V59" i="2"/>
  <c r="S59" i="2"/>
  <c r="Y59" i="2" s="1"/>
  <c r="M59" i="2"/>
  <c r="Y58" i="2"/>
  <c r="V58" i="2"/>
  <c r="S58" i="2"/>
  <c r="M58" i="2"/>
  <c r="V57" i="2"/>
  <c r="S57" i="2"/>
  <c r="Y57" i="2" s="1"/>
  <c r="M57" i="2"/>
  <c r="Z56" i="2"/>
  <c r="AA56" i="2" s="1"/>
  <c r="Y56" i="2"/>
  <c r="W56" i="2"/>
  <c r="V56" i="2"/>
  <c r="U56" i="2"/>
  <c r="R56" i="2"/>
  <c r="X56" i="2" s="1"/>
  <c r="O56" i="2"/>
  <c r="L56" i="2"/>
  <c r="V55" i="2"/>
  <c r="S55" i="2"/>
  <c r="Y55" i="2" s="1"/>
  <c r="M55" i="2"/>
  <c r="Y54" i="2"/>
  <c r="V54" i="2"/>
  <c r="S54" i="2"/>
  <c r="M54" i="2"/>
  <c r="V53" i="2"/>
  <c r="S53" i="2"/>
  <c r="Y53" i="2" s="1"/>
  <c r="M53" i="2"/>
  <c r="Y52" i="2"/>
  <c r="V52" i="2"/>
  <c r="S52" i="2"/>
  <c r="M52" i="2"/>
  <c r="V51" i="2"/>
  <c r="S51" i="2"/>
  <c r="Y51" i="2" s="1"/>
  <c r="M51" i="2"/>
  <c r="AA50" i="2"/>
  <c r="Z50" i="2"/>
  <c r="Y50" i="2"/>
  <c r="X50" i="2"/>
  <c r="W50" i="2"/>
  <c r="V50" i="2"/>
  <c r="U50" i="2"/>
  <c r="R50" i="2"/>
  <c r="O50" i="2"/>
  <c r="L50" i="2"/>
  <c r="Y49" i="2"/>
  <c r="V49" i="2"/>
  <c r="S49" i="2"/>
  <c r="M49" i="2"/>
  <c r="V48" i="2"/>
  <c r="S48" i="2"/>
  <c r="Y48" i="2" s="1"/>
  <c r="M48" i="2"/>
  <c r="Y47" i="2"/>
  <c r="V47" i="2"/>
  <c r="S47" i="2"/>
  <c r="M47" i="2"/>
  <c r="V46" i="2"/>
  <c r="S46" i="2"/>
  <c r="Y46" i="2" s="1"/>
  <c r="M46" i="2"/>
  <c r="J44" i="2" s="1"/>
  <c r="L44" i="2" s="1"/>
  <c r="Y45" i="2"/>
  <c r="V45" i="2"/>
  <c r="S45" i="2"/>
  <c r="M45" i="2"/>
  <c r="Z44" i="2"/>
  <c r="W44" i="2"/>
  <c r="T44" i="2"/>
  <c r="N44" i="2"/>
  <c r="M44" i="2"/>
  <c r="O44" i="2" s="1"/>
  <c r="V43" i="2"/>
  <c r="S43" i="2"/>
  <c r="Y43" i="2" s="1"/>
  <c r="M43" i="2"/>
  <c r="Y42" i="2"/>
  <c r="V42" i="2"/>
  <c r="S42" i="2"/>
  <c r="M42" i="2"/>
  <c r="V41" i="2"/>
  <c r="S41" i="2"/>
  <c r="Y41" i="2" s="1"/>
  <c r="M41" i="2"/>
  <c r="Y40" i="2"/>
  <c r="V40" i="2"/>
  <c r="S40" i="2"/>
  <c r="M40" i="2"/>
  <c r="V39" i="2"/>
  <c r="S39" i="2"/>
  <c r="M39" i="2"/>
  <c r="Z38" i="2"/>
  <c r="W38" i="2"/>
  <c r="T38" i="2"/>
  <c r="N38" i="2"/>
  <c r="M38" i="2"/>
  <c r="O38" i="2" s="1"/>
  <c r="L38" i="2"/>
  <c r="J38" i="2"/>
  <c r="Y37" i="2"/>
  <c r="V37" i="2"/>
  <c r="S37" i="2"/>
  <c r="M37" i="2"/>
  <c r="V36" i="2"/>
  <c r="S36" i="2"/>
  <c r="Y36" i="2" s="1"/>
  <c r="M36" i="2"/>
  <c r="Y35" i="2"/>
  <c r="V35" i="2"/>
  <c r="S35" i="2"/>
  <c r="M35" i="2"/>
  <c r="V34" i="2"/>
  <c r="S34" i="2"/>
  <c r="Y34" i="2" s="1"/>
  <c r="M34" i="2"/>
  <c r="Z33" i="2"/>
  <c r="AA33" i="2" s="1"/>
  <c r="Y33" i="2"/>
  <c r="W33" i="2"/>
  <c r="V33" i="2"/>
  <c r="U33" i="2"/>
  <c r="R33" i="2"/>
  <c r="X33" i="2" s="1"/>
  <c r="O33" i="2"/>
  <c r="L33" i="2"/>
  <c r="V32" i="2"/>
  <c r="S32" i="2"/>
  <c r="Y32" i="2" s="1"/>
  <c r="M32" i="2"/>
  <c r="Y31" i="2"/>
  <c r="V31" i="2"/>
  <c r="S31" i="2"/>
  <c r="M31" i="2"/>
  <c r="V30" i="2"/>
  <c r="S30" i="2"/>
  <c r="Y30" i="2" s="1"/>
  <c r="M30" i="2"/>
  <c r="Y29" i="2"/>
  <c r="V29" i="2"/>
  <c r="S29" i="2"/>
  <c r="M29" i="2"/>
  <c r="V28" i="2"/>
  <c r="S28" i="2"/>
  <c r="Y28" i="2" s="1"/>
  <c r="M28" i="2"/>
  <c r="AA27" i="2"/>
  <c r="Z27" i="2"/>
  <c r="Y27" i="2"/>
  <c r="W27" i="2"/>
  <c r="V27" i="2"/>
  <c r="U27" i="2"/>
  <c r="R27" i="2"/>
  <c r="X27" i="2" s="1"/>
  <c r="O27" i="2"/>
  <c r="L27" i="2"/>
  <c r="Y26" i="2"/>
  <c r="V26" i="2"/>
  <c r="S26" i="2"/>
  <c r="M26" i="2"/>
  <c r="V25" i="2"/>
  <c r="S25" i="2"/>
  <c r="Y25" i="2" s="1"/>
  <c r="M25" i="2"/>
  <c r="Y24" i="2"/>
  <c r="V24" i="2"/>
  <c r="S24" i="2"/>
  <c r="M24" i="2"/>
  <c r="V23" i="2"/>
  <c r="S23" i="2"/>
  <c r="Y23" i="2" s="1"/>
  <c r="M23" i="2"/>
  <c r="J21" i="2" s="1"/>
  <c r="L21" i="2" s="1"/>
  <c r="Y22" i="2"/>
  <c r="V22" i="2"/>
  <c r="S22" i="2"/>
  <c r="M22" i="2"/>
  <c r="Z21" i="2"/>
  <c r="W21" i="2"/>
  <c r="T21" i="2"/>
  <c r="O21" i="2"/>
  <c r="N21" i="2"/>
  <c r="M21" i="2"/>
  <c r="V20" i="2"/>
  <c r="S20" i="2"/>
  <c r="Y20" i="2" s="1"/>
  <c r="M20" i="2"/>
  <c r="Y19" i="2"/>
  <c r="V19" i="2"/>
  <c r="S19" i="2"/>
  <c r="M19" i="2"/>
  <c r="V18" i="2"/>
  <c r="S18" i="2"/>
  <c r="Y18" i="2" s="1"/>
  <c r="M18" i="2"/>
  <c r="Y17" i="2"/>
  <c r="V17" i="2"/>
  <c r="S17" i="2"/>
  <c r="M17" i="2"/>
  <c r="V16" i="2"/>
  <c r="S16" i="2"/>
  <c r="Y16" i="2" s="1"/>
  <c r="M16" i="2"/>
  <c r="Z15" i="2"/>
  <c r="Y15" i="2"/>
  <c r="W15" i="2"/>
  <c r="V15" i="2"/>
  <c r="U15" i="2"/>
  <c r="R15" i="2"/>
  <c r="X15" i="2" s="1"/>
  <c r="O15" i="2"/>
  <c r="L15" i="2"/>
  <c r="AA895" i="1"/>
  <c r="X895" i="1"/>
  <c r="W895" i="1"/>
  <c r="U895" i="1"/>
  <c r="T895" i="1"/>
  <c r="Z895" i="1" s="1"/>
  <c r="R895" i="1"/>
  <c r="N895" i="1"/>
  <c r="O895" i="1" s="1"/>
  <c r="L895" i="1"/>
  <c r="AA894" i="1"/>
  <c r="AA893" i="1" s="1"/>
  <c r="Z894" i="1"/>
  <c r="W894" i="1"/>
  <c r="T894" i="1"/>
  <c r="U894" i="1" s="1"/>
  <c r="U893" i="1" s="1"/>
  <c r="R894" i="1"/>
  <c r="X894" i="1" s="1"/>
  <c r="N894" i="1"/>
  <c r="O894" i="1" s="1"/>
  <c r="L894" i="1"/>
  <c r="Y893" i="1"/>
  <c r="T893" i="1"/>
  <c r="S893" i="1"/>
  <c r="O893" i="1"/>
  <c r="N893" i="1"/>
  <c r="M893" i="1"/>
  <c r="V892" i="1"/>
  <c r="S892" i="1"/>
  <c r="Y892" i="1" s="1"/>
  <c r="M892" i="1"/>
  <c r="Z891" i="1"/>
  <c r="W891" i="1"/>
  <c r="T891" i="1"/>
  <c r="R891" i="1"/>
  <c r="X891" i="1" s="1"/>
  <c r="P891" i="1"/>
  <c r="N891" i="1"/>
  <c r="J891" i="1"/>
  <c r="V890" i="1"/>
  <c r="S890" i="1"/>
  <c r="Y890" i="1" s="1"/>
  <c r="M890" i="1"/>
  <c r="V889" i="1"/>
  <c r="S889" i="1"/>
  <c r="Y889" i="1" s="1"/>
  <c r="M889" i="1"/>
  <c r="V888" i="1"/>
  <c r="S888" i="1"/>
  <c r="Y888" i="1" s="1"/>
  <c r="M888" i="1"/>
  <c r="V887" i="1"/>
  <c r="S887" i="1"/>
  <c r="Y887" i="1" s="1"/>
  <c r="M887" i="1"/>
  <c r="V886" i="1"/>
  <c r="S886" i="1"/>
  <c r="Y886" i="1" s="1"/>
  <c r="M886" i="1"/>
  <c r="V885" i="1"/>
  <c r="S885" i="1"/>
  <c r="Y885" i="1" s="1"/>
  <c r="M885" i="1"/>
  <c r="V884" i="1"/>
  <c r="S884" i="1"/>
  <c r="Y884" i="1" s="1"/>
  <c r="M884" i="1"/>
  <c r="V883" i="1"/>
  <c r="S883" i="1"/>
  <c r="Y883" i="1" s="1"/>
  <c r="M883" i="1"/>
  <c r="J880" i="1" s="1"/>
  <c r="V882" i="1"/>
  <c r="S882" i="1"/>
  <c r="Y882" i="1" s="1"/>
  <c r="M882" i="1"/>
  <c r="V881" i="1"/>
  <c r="S881" i="1"/>
  <c r="Y881" i="1" s="1"/>
  <c r="M881" i="1"/>
  <c r="Z880" i="1"/>
  <c r="W880" i="1"/>
  <c r="T880" i="1"/>
  <c r="R880" i="1"/>
  <c r="X880" i="1" s="1"/>
  <c r="P880" i="1"/>
  <c r="N880" i="1"/>
  <c r="V879" i="1"/>
  <c r="S879" i="1"/>
  <c r="Y879" i="1" s="1"/>
  <c r="M879" i="1"/>
  <c r="V878" i="1"/>
  <c r="S878" i="1"/>
  <c r="Y878" i="1" s="1"/>
  <c r="M878" i="1"/>
  <c r="V877" i="1"/>
  <c r="S877" i="1"/>
  <c r="Y877" i="1" s="1"/>
  <c r="M877" i="1"/>
  <c r="V876" i="1"/>
  <c r="S876" i="1"/>
  <c r="Y876" i="1" s="1"/>
  <c r="M876" i="1"/>
  <c r="V875" i="1"/>
  <c r="S875" i="1"/>
  <c r="Y875" i="1" s="1"/>
  <c r="M875" i="1"/>
  <c r="V874" i="1"/>
  <c r="S874" i="1"/>
  <c r="Y874" i="1" s="1"/>
  <c r="M874" i="1"/>
  <c r="V873" i="1"/>
  <c r="S873" i="1"/>
  <c r="Y873" i="1" s="1"/>
  <c r="M873" i="1"/>
  <c r="V872" i="1"/>
  <c r="S872" i="1"/>
  <c r="Y872" i="1" s="1"/>
  <c r="M872" i="1"/>
  <c r="V871" i="1"/>
  <c r="S871" i="1"/>
  <c r="M871" i="1"/>
  <c r="W870" i="1"/>
  <c r="T870" i="1"/>
  <c r="Z870" i="1" s="1"/>
  <c r="N870" i="1"/>
  <c r="V869" i="1"/>
  <c r="S869" i="1"/>
  <c r="Y869" i="1" s="1"/>
  <c r="M869" i="1"/>
  <c r="V868" i="1"/>
  <c r="S868" i="1"/>
  <c r="Y868" i="1" s="1"/>
  <c r="M868" i="1"/>
  <c r="V867" i="1"/>
  <c r="S867" i="1"/>
  <c r="Y867" i="1" s="1"/>
  <c r="M867" i="1"/>
  <c r="V866" i="1"/>
  <c r="S866" i="1"/>
  <c r="Y866" i="1" s="1"/>
  <c r="M866" i="1"/>
  <c r="V865" i="1"/>
  <c r="S865" i="1"/>
  <c r="Y865" i="1" s="1"/>
  <c r="M865" i="1"/>
  <c r="V864" i="1"/>
  <c r="S864" i="1"/>
  <c r="Y864" i="1" s="1"/>
  <c r="M864" i="1"/>
  <c r="V863" i="1"/>
  <c r="S863" i="1"/>
  <c r="Y863" i="1" s="1"/>
  <c r="M863" i="1"/>
  <c r="V862" i="1"/>
  <c r="S862" i="1"/>
  <c r="Y862" i="1" s="1"/>
  <c r="M862" i="1"/>
  <c r="V861" i="1"/>
  <c r="S861" i="1"/>
  <c r="Y861" i="1" s="1"/>
  <c r="M861" i="1"/>
  <c r="V860" i="1"/>
  <c r="S860" i="1"/>
  <c r="M860" i="1"/>
  <c r="W859" i="1"/>
  <c r="T859" i="1"/>
  <c r="Z859" i="1" s="1"/>
  <c r="N859" i="1"/>
  <c r="W858" i="1"/>
  <c r="T858" i="1"/>
  <c r="R858" i="1"/>
  <c r="X858" i="1" s="1"/>
  <c r="O858" i="1"/>
  <c r="N858" i="1"/>
  <c r="L858" i="1"/>
  <c r="Y857" i="1"/>
  <c r="V857" i="1"/>
  <c r="S857" i="1"/>
  <c r="M857" i="1"/>
  <c r="J856" i="1" s="1"/>
  <c r="W856" i="1"/>
  <c r="V856" i="1"/>
  <c r="T856" i="1"/>
  <c r="Z856" i="1" s="1"/>
  <c r="S856" i="1"/>
  <c r="R856" i="1"/>
  <c r="X856" i="1" s="1"/>
  <c r="P856" i="1"/>
  <c r="N856" i="1"/>
  <c r="Y855" i="1"/>
  <c r="V855" i="1"/>
  <c r="S855" i="1"/>
  <c r="P854" i="1" s="1"/>
  <c r="M855" i="1"/>
  <c r="Z854" i="1"/>
  <c r="X854" i="1"/>
  <c r="W854" i="1"/>
  <c r="T854" i="1"/>
  <c r="R854" i="1"/>
  <c r="O854" i="1"/>
  <c r="N854" i="1"/>
  <c r="N853" i="1" s="1"/>
  <c r="M854" i="1"/>
  <c r="J854" i="1"/>
  <c r="L854" i="1" s="1"/>
  <c r="V852" i="1"/>
  <c r="S852" i="1"/>
  <c r="Y852" i="1" s="1"/>
  <c r="M852" i="1"/>
  <c r="J850" i="1" s="1"/>
  <c r="Y851" i="1"/>
  <c r="V851" i="1"/>
  <c r="S851" i="1"/>
  <c r="M851" i="1"/>
  <c r="W850" i="1"/>
  <c r="T850" i="1"/>
  <c r="Z850" i="1" s="1"/>
  <c r="S850" i="1"/>
  <c r="P850" i="1"/>
  <c r="N850" i="1"/>
  <c r="V849" i="1"/>
  <c r="S849" i="1"/>
  <c r="M849" i="1"/>
  <c r="J847" i="1" s="1"/>
  <c r="Y848" i="1"/>
  <c r="V848" i="1"/>
  <c r="S848" i="1"/>
  <c r="M848" i="1"/>
  <c r="W847" i="1"/>
  <c r="T847" i="1"/>
  <c r="Z847" i="1" s="1"/>
  <c r="N847" i="1"/>
  <c r="Y846" i="1"/>
  <c r="V846" i="1"/>
  <c r="S846" i="1"/>
  <c r="M846" i="1"/>
  <c r="J844" i="1" s="1"/>
  <c r="Y845" i="1"/>
  <c r="V845" i="1"/>
  <c r="S845" i="1"/>
  <c r="M845" i="1"/>
  <c r="Y844" i="1"/>
  <c r="W844" i="1"/>
  <c r="T844" i="1"/>
  <c r="Z844" i="1" s="1"/>
  <c r="S844" i="1"/>
  <c r="U844" i="1" s="1"/>
  <c r="P844" i="1"/>
  <c r="N844" i="1"/>
  <c r="Y843" i="1"/>
  <c r="V843" i="1"/>
  <c r="S843" i="1"/>
  <c r="P841" i="1" s="1"/>
  <c r="M843" i="1"/>
  <c r="J841" i="1" s="1"/>
  <c r="Y842" i="1"/>
  <c r="V842" i="1"/>
  <c r="S842" i="1"/>
  <c r="M842" i="1"/>
  <c r="W841" i="1"/>
  <c r="T841" i="1"/>
  <c r="T840" i="1" s="1"/>
  <c r="N841" i="1"/>
  <c r="N840" i="1"/>
  <c r="V839" i="1"/>
  <c r="S839" i="1"/>
  <c r="Y839" i="1" s="1"/>
  <c r="M839" i="1"/>
  <c r="V838" i="1"/>
  <c r="S838" i="1"/>
  <c r="Y838" i="1" s="1"/>
  <c r="M838" i="1"/>
  <c r="J837" i="1" s="1"/>
  <c r="Z837" i="1"/>
  <c r="W837" i="1"/>
  <c r="T837" i="1"/>
  <c r="N837" i="1"/>
  <c r="V836" i="1"/>
  <c r="S836" i="1"/>
  <c r="Y836" i="1" s="1"/>
  <c r="M836" i="1"/>
  <c r="V835" i="1"/>
  <c r="S835" i="1"/>
  <c r="Y835" i="1" s="1"/>
  <c r="M835" i="1"/>
  <c r="V834" i="1"/>
  <c r="S834" i="1"/>
  <c r="M834" i="1"/>
  <c r="V833" i="1"/>
  <c r="S833" i="1"/>
  <c r="Y833" i="1" s="1"/>
  <c r="M833" i="1"/>
  <c r="Z832" i="1"/>
  <c r="W832" i="1"/>
  <c r="T832" i="1"/>
  <c r="T831" i="1" s="1"/>
  <c r="T830" i="1" s="1"/>
  <c r="N832" i="1"/>
  <c r="J832" i="1"/>
  <c r="Z831" i="1"/>
  <c r="N831" i="1"/>
  <c r="N830" i="1" s="1"/>
  <c r="Y829" i="1"/>
  <c r="V829" i="1"/>
  <c r="S829" i="1"/>
  <c r="M829" i="1"/>
  <c r="Y828" i="1"/>
  <c r="V828" i="1"/>
  <c r="S828" i="1"/>
  <c r="M828" i="1"/>
  <c r="Y827" i="1"/>
  <c r="V827" i="1"/>
  <c r="S827" i="1"/>
  <c r="M827" i="1"/>
  <c r="Y826" i="1"/>
  <c r="V826" i="1"/>
  <c r="S826" i="1"/>
  <c r="M826" i="1"/>
  <c r="W825" i="1"/>
  <c r="V825" i="1"/>
  <c r="T825" i="1"/>
  <c r="S825" i="1"/>
  <c r="R825" i="1"/>
  <c r="X825" i="1" s="1"/>
  <c r="P825" i="1"/>
  <c r="N825" i="1"/>
  <c r="J825" i="1"/>
  <c r="Y824" i="1"/>
  <c r="V824" i="1"/>
  <c r="S824" i="1"/>
  <c r="M824" i="1"/>
  <c r="Y823" i="1"/>
  <c r="V823" i="1"/>
  <c r="S823" i="1"/>
  <c r="M823" i="1"/>
  <c r="W822" i="1"/>
  <c r="V822" i="1"/>
  <c r="T822" i="1"/>
  <c r="Z822" i="1" s="1"/>
  <c r="S822" i="1"/>
  <c r="R822" i="1"/>
  <c r="X822" i="1" s="1"/>
  <c r="P822" i="1"/>
  <c r="N822" i="1"/>
  <c r="J822" i="1"/>
  <c r="Y821" i="1"/>
  <c r="V821" i="1"/>
  <c r="S821" i="1"/>
  <c r="M821" i="1"/>
  <c r="Y820" i="1"/>
  <c r="V820" i="1"/>
  <c r="S820" i="1"/>
  <c r="M820" i="1"/>
  <c r="J819" i="1" s="1"/>
  <c r="L819" i="1" s="1"/>
  <c r="W819" i="1"/>
  <c r="V819" i="1"/>
  <c r="T819" i="1"/>
  <c r="Z819" i="1" s="1"/>
  <c r="S819" i="1"/>
  <c r="R819" i="1"/>
  <c r="X819" i="1" s="1"/>
  <c r="P819" i="1"/>
  <c r="N819" i="1"/>
  <c r="M819" i="1"/>
  <c r="Y818" i="1"/>
  <c r="V818" i="1"/>
  <c r="S818" i="1"/>
  <c r="P817" i="1" s="1"/>
  <c r="M818" i="1"/>
  <c r="Z817" i="1"/>
  <c r="W817" i="1"/>
  <c r="T817" i="1"/>
  <c r="O817" i="1"/>
  <c r="N817" i="1"/>
  <c r="N816" i="1" s="1"/>
  <c r="M817" i="1"/>
  <c r="J817" i="1"/>
  <c r="L817" i="1" s="1"/>
  <c r="V815" i="1"/>
  <c r="S815" i="1"/>
  <c r="Y815" i="1" s="1"/>
  <c r="M815" i="1"/>
  <c r="Y814" i="1"/>
  <c r="V814" i="1"/>
  <c r="S814" i="1"/>
  <c r="M814" i="1"/>
  <c r="V813" i="1"/>
  <c r="S813" i="1"/>
  <c r="Y813" i="1" s="1"/>
  <c r="M813" i="1"/>
  <c r="J811" i="1" s="1"/>
  <c r="Y812" i="1"/>
  <c r="V812" i="1"/>
  <c r="S812" i="1"/>
  <c r="M812" i="1"/>
  <c r="W811" i="1"/>
  <c r="T811" i="1"/>
  <c r="T810" i="1" s="1"/>
  <c r="P811" i="1"/>
  <c r="N811" i="1"/>
  <c r="N810" i="1"/>
  <c r="N809" i="1"/>
  <c r="Y808" i="1"/>
  <c r="V808" i="1"/>
  <c r="S808" i="1"/>
  <c r="M808" i="1"/>
  <c r="V807" i="1"/>
  <c r="S807" i="1"/>
  <c r="Y807" i="1" s="1"/>
  <c r="M807" i="1"/>
  <c r="Y806" i="1"/>
  <c r="V806" i="1"/>
  <c r="S806" i="1"/>
  <c r="M806" i="1"/>
  <c r="V805" i="1"/>
  <c r="S805" i="1"/>
  <c r="M805" i="1"/>
  <c r="Z804" i="1"/>
  <c r="W804" i="1"/>
  <c r="T804" i="1"/>
  <c r="N804" i="1"/>
  <c r="M804" i="1"/>
  <c r="O804" i="1" s="1"/>
  <c r="L804" i="1"/>
  <c r="J804" i="1"/>
  <c r="Y803" i="1"/>
  <c r="V803" i="1"/>
  <c r="S803" i="1"/>
  <c r="M803" i="1"/>
  <c r="V802" i="1"/>
  <c r="S802" i="1"/>
  <c r="Y802" i="1" s="1"/>
  <c r="M802" i="1"/>
  <c r="Y801" i="1"/>
  <c r="V801" i="1"/>
  <c r="S801" i="1"/>
  <c r="M801" i="1"/>
  <c r="V800" i="1"/>
  <c r="S800" i="1"/>
  <c r="Y800" i="1" s="1"/>
  <c r="M800" i="1"/>
  <c r="Z799" i="1"/>
  <c r="W799" i="1"/>
  <c r="T799" i="1"/>
  <c r="P799" i="1"/>
  <c r="N799" i="1"/>
  <c r="M799" i="1"/>
  <c r="O799" i="1" s="1"/>
  <c r="L799" i="1"/>
  <c r="J799" i="1"/>
  <c r="V798" i="1"/>
  <c r="S798" i="1"/>
  <c r="Y798" i="1" s="1"/>
  <c r="M798" i="1"/>
  <c r="V797" i="1"/>
  <c r="S797" i="1"/>
  <c r="M797" i="1"/>
  <c r="Y796" i="1"/>
  <c r="V796" i="1"/>
  <c r="S796" i="1"/>
  <c r="M796" i="1"/>
  <c r="V795" i="1"/>
  <c r="S795" i="1"/>
  <c r="Y795" i="1" s="1"/>
  <c r="M795" i="1"/>
  <c r="Z794" i="1"/>
  <c r="W794" i="1"/>
  <c r="T794" i="1"/>
  <c r="N794" i="1"/>
  <c r="M794" i="1"/>
  <c r="O794" i="1" s="1"/>
  <c r="L794" i="1"/>
  <c r="J794" i="1"/>
  <c r="V793" i="1"/>
  <c r="S793" i="1"/>
  <c r="Y793" i="1" s="1"/>
  <c r="M793" i="1"/>
  <c r="V792" i="1"/>
  <c r="S792" i="1"/>
  <c r="Y792" i="1" s="1"/>
  <c r="M792" i="1"/>
  <c r="Y791" i="1"/>
  <c r="V791" i="1"/>
  <c r="S791" i="1"/>
  <c r="M791" i="1"/>
  <c r="V790" i="1"/>
  <c r="S790" i="1"/>
  <c r="Y790" i="1" s="1"/>
  <c r="M790" i="1"/>
  <c r="Z789" i="1"/>
  <c r="W789" i="1"/>
  <c r="T789" i="1"/>
  <c r="P789" i="1"/>
  <c r="N789" i="1"/>
  <c r="M789" i="1"/>
  <c r="O789" i="1" s="1"/>
  <c r="L789" i="1"/>
  <c r="J789" i="1"/>
  <c r="V788" i="1"/>
  <c r="S788" i="1"/>
  <c r="Y788" i="1" s="1"/>
  <c r="M788" i="1"/>
  <c r="V787" i="1"/>
  <c r="S787" i="1"/>
  <c r="M787" i="1"/>
  <c r="Y786" i="1"/>
  <c r="V786" i="1"/>
  <c r="S786" i="1"/>
  <c r="M786" i="1"/>
  <c r="V785" i="1"/>
  <c r="S785" i="1"/>
  <c r="Y785" i="1" s="1"/>
  <c r="M785" i="1"/>
  <c r="Z784" i="1"/>
  <c r="W784" i="1"/>
  <c r="T784" i="1"/>
  <c r="N784" i="1"/>
  <c r="M784" i="1"/>
  <c r="O784" i="1" s="1"/>
  <c r="L784" i="1"/>
  <c r="J784" i="1"/>
  <c r="V783" i="1"/>
  <c r="S783" i="1"/>
  <c r="Y783" i="1" s="1"/>
  <c r="M783" i="1"/>
  <c r="V782" i="1"/>
  <c r="S782" i="1"/>
  <c r="Y782" i="1" s="1"/>
  <c r="M782" i="1"/>
  <c r="V781" i="1"/>
  <c r="S781" i="1"/>
  <c r="P779" i="1" s="1"/>
  <c r="M781" i="1"/>
  <c r="V780" i="1"/>
  <c r="S780" i="1"/>
  <c r="Y780" i="1" s="1"/>
  <c r="M780" i="1"/>
  <c r="Z779" i="1"/>
  <c r="W779" i="1"/>
  <c r="T779" i="1"/>
  <c r="N779" i="1"/>
  <c r="M779" i="1"/>
  <c r="O779" i="1" s="1"/>
  <c r="L779" i="1"/>
  <c r="J779" i="1"/>
  <c r="Y778" i="1"/>
  <c r="V778" i="1"/>
  <c r="S778" i="1"/>
  <c r="M778" i="1"/>
  <c r="V777" i="1"/>
  <c r="S777" i="1"/>
  <c r="M777" i="1"/>
  <c r="Y776" i="1"/>
  <c r="V776" i="1"/>
  <c r="S776" i="1"/>
  <c r="M776" i="1"/>
  <c r="V775" i="1"/>
  <c r="S775" i="1"/>
  <c r="Y775" i="1" s="1"/>
  <c r="M775" i="1"/>
  <c r="J774" i="1" s="1"/>
  <c r="Z774" i="1"/>
  <c r="W774" i="1"/>
  <c r="T774" i="1"/>
  <c r="N774" i="1"/>
  <c r="V773" i="1"/>
  <c r="S773" i="1"/>
  <c r="Y773" i="1" s="1"/>
  <c r="M773" i="1"/>
  <c r="V772" i="1"/>
  <c r="S772" i="1"/>
  <c r="Y772" i="1" s="1"/>
  <c r="M772" i="1"/>
  <c r="V771" i="1"/>
  <c r="S771" i="1"/>
  <c r="Y771" i="1" s="1"/>
  <c r="M771" i="1"/>
  <c r="V770" i="1"/>
  <c r="S770" i="1"/>
  <c r="Y770" i="1" s="1"/>
  <c r="M770" i="1"/>
  <c r="Z769" i="1"/>
  <c r="W769" i="1"/>
  <c r="T769" i="1"/>
  <c r="N769" i="1"/>
  <c r="M769" i="1"/>
  <c r="O769" i="1" s="1"/>
  <c r="L769" i="1"/>
  <c r="J769" i="1"/>
  <c r="Y768" i="1"/>
  <c r="V768" i="1"/>
  <c r="S768" i="1"/>
  <c r="M768" i="1"/>
  <c r="J766" i="1" s="1"/>
  <c r="M766" i="1" s="1"/>
  <c r="O766" i="1" s="1"/>
  <c r="V767" i="1"/>
  <c r="S767" i="1"/>
  <c r="M767" i="1"/>
  <c r="W766" i="1"/>
  <c r="T766" i="1"/>
  <c r="Z766" i="1" s="1"/>
  <c r="N766" i="1"/>
  <c r="L766" i="1"/>
  <c r="Y765" i="1"/>
  <c r="V765" i="1"/>
  <c r="S765" i="1"/>
  <c r="M765" i="1"/>
  <c r="V764" i="1"/>
  <c r="S764" i="1"/>
  <c r="Y764" i="1" s="1"/>
  <c r="M764" i="1"/>
  <c r="Y763" i="1"/>
  <c r="V763" i="1"/>
  <c r="S763" i="1"/>
  <c r="M763" i="1"/>
  <c r="Z762" i="1"/>
  <c r="W762" i="1"/>
  <c r="T762" i="1"/>
  <c r="P762" i="1"/>
  <c r="N762" i="1"/>
  <c r="J762" i="1"/>
  <c r="V761" i="1"/>
  <c r="S761" i="1"/>
  <c r="Y761" i="1" s="1"/>
  <c r="M761" i="1"/>
  <c r="Y760" i="1"/>
  <c r="V760" i="1"/>
  <c r="S760" i="1"/>
  <c r="M760" i="1"/>
  <c r="J758" i="1" s="1"/>
  <c r="M758" i="1" s="1"/>
  <c r="V759" i="1"/>
  <c r="S759" i="1"/>
  <c r="M759" i="1"/>
  <c r="W758" i="1"/>
  <c r="T758" i="1"/>
  <c r="Z758" i="1" s="1"/>
  <c r="O758" i="1"/>
  <c r="N758" i="1"/>
  <c r="L758" i="1"/>
  <c r="N757" i="1"/>
  <c r="V756" i="1"/>
  <c r="S756" i="1"/>
  <c r="M756" i="1"/>
  <c r="Z755" i="1"/>
  <c r="W755" i="1"/>
  <c r="T755" i="1"/>
  <c r="N755" i="1"/>
  <c r="L755" i="1"/>
  <c r="J755" i="1"/>
  <c r="M755" i="1" s="1"/>
  <c r="O755" i="1" s="1"/>
  <c r="Y754" i="1"/>
  <c r="V754" i="1"/>
  <c r="S754" i="1"/>
  <c r="M754" i="1"/>
  <c r="W753" i="1"/>
  <c r="V753" i="1"/>
  <c r="T753" i="1"/>
  <c r="Z753" i="1" s="1"/>
  <c r="P753" i="1"/>
  <c r="N753" i="1"/>
  <c r="M753" i="1"/>
  <c r="L753" i="1"/>
  <c r="J753" i="1"/>
  <c r="V752" i="1"/>
  <c r="S752" i="1"/>
  <c r="M752" i="1"/>
  <c r="Z751" i="1"/>
  <c r="W751" i="1"/>
  <c r="T751" i="1"/>
  <c r="N751" i="1"/>
  <c r="L751" i="1"/>
  <c r="J751" i="1"/>
  <c r="M751" i="1" s="1"/>
  <c r="O751" i="1" s="1"/>
  <c r="Y750" i="1"/>
  <c r="V750" i="1"/>
  <c r="S750" i="1"/>
  <c r="M750" i="1"/>
  <c r="W749" i="1"/>
  <c r="V749" i="1"/>
  <c r="T749" i="1"/>
  <c r="Z749" i="1" s="1"/>
  <c r="P749" i="1"/>
  <c r="N749" i="1"/>
  <c r="M749" i="1"/>
  <c r="O749" i="1" s="1"/>
  <c r="L749" i="1"/>
  <c r="J749" i="1"/>
  <c r="V748" i="1"/>
  <c r="S748" i="1"/>
  <c r="M748" i="1"/>
  <c r="Z747" i="1"/>
  <c r="W747" i="1"/>
  <c r="T747" i="1"/>
  <c r="N747" i="1"/>
  <c r="L747" i="1"/>
  <c r="J747" i="1"/>
  <c r="M747" i="1" s="1"/>
  <c r="O747" i="1" s="1"/>
  <c r="Y746" i="1"/>
  <c r="V746" i="1"/>
  <c r="S746" i="1"/>
  <c r="M746" i="1"/>
  <c r="W745" i="1"/>
  <c r="T745" i="1"/>
  <c r="Z745" i="1" s="1"/>
  <c r="Z734" i="1" s="1"/>
  <c r="P745" i="1"/>
  <c r="N745" i="1"/>
  <c r="M745" i="1"/>
  <c r="O745" i="1" s="1"/>
  <c r="L745" i="1"/>
  <c r="J745" i="1"/>
  <c r="V744" i="1"/>
  <c r="S744" i="1"/>
  <c r="M744" i="1"/>
  <c r="Z743" i="1"/>
  <c r="W743" i="1"/>
  <c r="T743" i="1"/>
  <c r="N743" i="1"/>
  <c r="L743" i="1"/>
  <c r="J743" i="1"/>
  <c r="M743" i="1" s="1"/>
  <c r="O743" i="1" s="1"/>
  <c r="Y742" i="1"/>
  <c r="V742" i="1"/>
  <c r="S742" i="1"/>
  <c r="M742" i="1"/>
  <c r="W741" i="1"/>
  <c r="T741" i="1"/>
  <c r="Z741" i="1" s="1"/>
  <c r="P741" i="1"/>
  <c r="N741" i="1"/>
  <c r="M741" i="1"/>
  <c r="O741" i="1" s="1"/>
  <c r="L741" i="1"/>
  <c r="J741" i="1"/>
  <c r="V740" i="1"/>
  <c r="S740" i="1"/>
  <c r="M740" i="1"/>
  <c r="Z739" i="1"/>
  <c r="W739" i="1"/>
  <c r="T739" i="1"/>
  <c r="N739" i="1"/>
  <c r="L739" i="1"/>
  <c r="J739" i="1"/>
  <c r="M739" i="1" s="1"/>
  <c r="O739" i="1" s="1"/>
  <c r="Y738" i="1"/>
  <c r="V738" i="1"/>
  <c r="S738" i="1"/>
  <c r="M738" i="1"/>
  <c r="W737" i="1"/>
  <c r="V737" i="1"/>
  <c r="T737" i="1"/>
  <c r="Z737" i="1" s="1"/>
  <c r="P737" i="1"/>
  <c r="N737" i="1"/>
  <c r="M737" i="1"/>
  <c r="L737" i="1"/>
  <c r="J737" i="1"/>
  <c r="V736" i="1"/>
  <c r="S736" i="1"/>
  <c r="M736" i="1"/>
  <c r="Z735" i="1"/>
  <c r="W735" i="1"/>
  <c r="T735" i="1"/>
  <c r="N735" i="1"/>
  <c r="L735" i="1"/>
  <c r="J735" i="1"/>
  <c r="M735" i="1" s="1"/>
  <c r="O735" i="1" s="1"/>
  <c r="T734" i="1"/>
  <c r="Y733" i="1"/>
  <c r="V733" i="1"/>
  <c r="S733" i="1"/>
  <c r="M733" i="1"/>
  <c r="V732" i="1"/>
  <c r="S732" i="1"/>
  <c r="Y732" i="1" s="1"/>
  <c r="M732" i="1"/>
  <c r="J730" i="1" s="1"/>
  <c r="Y731" i="1"/>
  <c r="V731" i="1"/>
  <c r="S731" i="1"/>
  <c r="M731" i="1"/>
  <c r="Z730" i="1"/>
  <c r="X730" i="1"/>
  <c r="W730" i="1"/>
  <c r="V730" i="1"/>
  <c r="T730" i="1"/>
  <c r="R730" i="1"/>
  <c r="P730" i="1"/>
  <c r="S730" i="1" s="1"/>
  <c r="N730" i="1"/>
  <c r="V729" i="1"/>
  <c r="S729" i="1"/>
  <c r="Y729" i="1" s="1"/>
  <c r="M729" i="1"/>
  <c r="Y728" i="1"/>
  <c r="V728" i="1"/>
  <c r="S728" i="1"/>
  <c r="M728" i="1"/>
  <c r="V727" i="1"/>
  <c r="S727" i="1"/>
  <c r="Y727" i="1" s="1"/>
  <c r="M727" i="1"/>
  <c r="J725" i="1" s="1"/>
  <c r="Y726" i="1"/>
  <c r="V726" i="1"/>
  <c r="S726" i="1"/>
  <c r="M726" i="1"/>
  <c r="Z725" i="1"/>
  <c r="W725" i="1"/>
  <c r="V725" i="1"/>
  <c r="T725" i="1"/>
  <c r="R725" i="1"/>
  <c r="X725" i="1" s="1"/>
  <c r="P725" i="1"/>
  <c r="S725" i="1" s="1"/>
  <c r="N725" i="1"/>
  <c r="N722" i="1" s="1"/>
  <c r="V724" i="1"/>
  <c r="S724" i="1"/>
  <c r="P723" i="1" s="1"/>
  <c r="M724" i="1"/>
  <c r="W723" i="1"/>
  <c r="T723" i="1"/>
  <c r="S723" i="1"/>
  <c r="N723" i="1"/>
  <c r="J723" i="1"/>
  <c r="L723" i="1" s="1"/>
  <c r="V717" i="1"/>
  <c r="S717" i="1"/>
  <c r="Y717" i="1" s="1"/>
  <c r="M717" i="1"/>
  <c r="Y716" i="1"/>
  <c r="V716" i="1"/>
  <c r="S716" i="1"/>
  <c r="M716" i="1"/>
  <c r="V715" i="1"/>
  <c r="S715" i="1"/>
  <c r="Y715" i="1" s="1"/>
  <c r="M715" i="1"/>
  <c r="Y714" i="1"/>
  <c r="V714" i="1"/>
  <c r="S714" i="1"/>
  <c r="M714" i="1"/>
  <c r="V713" i="1"/>
  <c r="S713" i="1"/>
  <c r="P712" i="1" s="1"/>
  <c r="M713" i="1"/>
  <c r="W712" i="1"/>
  <c r="T712" i="1"/>
  <c r="Z712" i="1" s="1"/>
  <c r="N712" i="1"/>
  <c r="J712" i="1"/>
  <c r="Y711" i="1"/>
  <c r="V711" i="1"/>
  <c r="S711" i="1"/>
  <c r="M711" i="1"/>
  <c r="Y710" i="1"/>
  <c r="V710" i="1"/>
  <c r="S710" i="1"/>
  <c r="M710" i="1"/>
  <c r="Y709" i="1"/>
  <c r="V709" i="1"/>
  <c r="S709" i="1"/>
  <c r="M709" i="1"/>
  <c r="Y708" i="1"/>
  <c r="V708" i="1"/>
  <c r="S708" i="1"/>
  <c r="M708" i="1"/>
  <c r="J706" i="1" s="1"/>
  <c r="Y707" i="1"/>
  <c r="V707" i="1"/>
  <c r="S707" i="1"/>
  <c r="M707" i="1"/>
  <c r="Z706" i="1"/>
  <c r="W706" i="1"/>
  <c r="T706" i="1"/>
  <c r="S706" i="1"/>
  <c r="P706" i="1"/>
  <c r="N706" i="1"/>
  <c r="V705" i="1"/>
  <c r="S705" i="1"/>
  <c r="Y705" i="1" s="1"/>
  <c r="M705" i="1"/>
  <c r="Y704" i="1"/>
  <c r="V704" i="1"/>
  <c r="S704" i="1"/>
  <c r="M704" i="1"/>
  <c r="V703" i="1"/>
  <c r="S703" i="1"/>
  <c r="Y703" i="1" s="1"/>
  <c r="M703" i="1"/>
  <c r="Y702" i="1"/>
  <c r="V702" i="1"/>
  <c r="S702" i="1"/>
  <c r="M702" i="1"/>
  <c r="V701" i="1"/>
  <c r="S701" i="1"/>
  <c r="P700" i="1" s="1"/>
  <c r="M701" i="1"/>
  <c r="J700" i="1" s="1"/>
  <c r="W700" i="1"/>
  <c r="T700" i="1"/>
  <c r="Z700" i="1" s="1"/>
  <c r="N700" i="1"/>
  <c r="Y699" i="1"/>
  <c r="V699" i="1"/>
  <c r="S699" i="1"/>
  <c r="M699" i="1"/>
  <c r="Y698" i="1"/>
  <c r="V698" i="1"/>
  <c r="S698" i="1"/>
  <c r="M698" i="1"/>
  <c r="Y697" i="1"/>
  <c r="V697" i="1"/>
  <c r="S697" i="1"/>
  <c r="M697" i="1"/>
  <c r="Y696" i="1"/>
  <c r="V696" i="1"/>
  <c r="S696" i="1"/>
  <c r="M696" i="1"/>
  <c r="J694" i="1" s="1"/>
  <c r="Y695" i="1"/>
  <c r="V695" i="1"/>
  <c r="S695" i="1"/>
  <c r="M695" i="1"/>
  <c r="Z694" i="1"/>
  <c r="W694" i="1"/>
  <c r="T694" i="1"/>
  <c r="S694" i="1"/>
  <c r="P694" i="1"/>
  <c r="N694" i="1"/>
  <c r="V693" i="1"/>
  <c r="S693" i="1"/>
  <c r="Y693" i="1" s="1"/>
  <c r="M693" i="1"/>
  <c r="Y692" i="1"/>
  <c r="V692" i="1"/>
  <c r="S692" i="1"/>
  <c r="M692" i="1"/>
  <c r="V691" i="1"/>
  <c r="S691" i="1"/>
  <c r="Y691" i="1" s="1"/>
  <c r="M691" i="1"/>
  <c r="Y690" i="1"/>
  <c r="V690" i="1"/>
  <c r="S690" i="1"/>
  <c r="M690" i="1"/>
  <c r="V689" i="1"/>
  <c r="S689" i="1"/>
  <c r="P688" i="1" s="1"/>
  <c r="M689" i="1"/>
  <c r="J688" i="1" s="1"/>
  <c r="W688" i="1"/>
  <c r="T688" i="1"/>
  <c r="Z688" i="1" s="1"/>
  <c r="N688" i="1"/>
  <c r="Y687" i="1"/>
  <c r="V687" i="1"/>
  <c r="S687" i="1"/>
  <c r="M687" i="1"/>
  <c r="Y686" i="1"/>
  <c r="V686" i="1"/>
  <c r="S686" i="1"/>
  <c r="M686" i="1"/>
  <c r="Y685" i="1"/>
  <c r="V685" i="1"/>
  <c r="S685" i="1"/>
  <c r="M685" i="1"/>
  <c r="Y684" i="1"/>
  <c r="V684" i="1"/>
  <c r="S684" i="1"/>
  <c r="M684" i="1"/>
  <c r="J682" i="1" s="1"/>
  <c r="Y683" i="1"/>
  <c r="V683" i="1"/>
  <c r="S683" i="1"/>
  <c r="M683" i="1"/>
  <c r="Z682" i="1"/>
  <c r="W682" i="1"/>
  <c r="T682" i="1"/>
  <c r="S682" i="1"/>
  <c r="P682" i="1"/>
  <c r="N682" i="1"/>
  <c r="V681" i="1"/>
  <c r="S681" i="1"/>
  <c r="Y681" i="1" s="1"/>
  <c r="M681" i="1"/>
  <c r="Y680" i="1"/>
  <c r="V680" i="1"/>
  <c r="S680" i="1"/>
  <c r="M680" i="1"/>
  <c r="V679" i="1"/>
  <c r="S679" i="1"/>
  <c r="Y679" i="1" s="1"/>
  <c r="M679" i="1"/>
  <c r="Y678" i="1"/>
  <c r="V678" i="1"/>
  <c r="S678" i="1"/>
  <c r="M678" i="1"/>
  <c r="V677" i="1"/>
  <c r="S677" i="1"/>
  <c r="P676" i="1" s="1"/>
  <c r="M677" i="1"/>
  <c r="W676" i="1"/>
  <c r="T676" i="1"/>
  <c r="N676" i="1"/>
  <c r="J676" i="1"/>
  <c r="Y675" i="1"/>
  <c r="V675" i="1"/>
  <c r="S675" i="1"/>
  <c r="M675" i="1"/>
  <c r="Y674" i="1"/>
  <c r="V674" i="1"/>
  <c r="S674" i="1"/>
  <c r="M674" i="1"/>
  <c r="Y673" i="1"/>
  <c r="V673" i="1"/>
  <c r="S673" i="1"/>
  <c r="M673" i="1"/>
  <c r="Y672" i="1"/>
  <c r="V672" i="1"/>
  <c r="S672" i="1"/>
  <c r="M672" i="1"/>
  <c r="J670" i="1" s="1"/>
  <c r="Y671" i="1"/>
  <c r="V671" i="1"/>
  <c r="S671" i="1"/>
  <c r="M671" i="1"/>
  <c r="W670" i="1"/>
  <c r="T670" i="1"/>
  <c r="Z670" i="1" s="1"/>
  <c r="P670" i="1"/>
  <c r="N670" i="1"/>
  <c r="N669" i="1" s="1"/>
  <c r="N668" i="1" s="1"/>
  <c r="N667" i="1" s="1"/>
  <c r="N666" i="1" s="1"/>
  <c r="N665" i="1" s="1"/>
  <c r="Z662" i="1"/>
  <c r="W662" i="1"/>
  <c r="U662" i="1"/>
  <c r="T662" i="1"/>
  <c r="R662" i="1"/>
  <c r="X662" i="1" s="1"/>
  <c r="O662" i="1"/>
  <c r="N662" i="1"/>
  <c r="L662" i="1"/>
  <c r="Z661" i="1"/>
  <c r="X661" i="1"/>
  <c r="W661" i="1"/>
  <c r="AA660" i="1"/>
  <c r="Z660" i="1"/>
  <c r="X660" i="1"/>
  <c r="W660" i="1"/>
  <c r="U660" i="1"/>
  <c r="U659" i="1" s="1"/>
  <c r="R660" i="1"/>
  <c r="O660" i="1"/>
  <c r="L660" i="1"/>
  <c r="Y659" i="1"/>
  <c r="T659" i="1"/>
  <c r="S659" i="1"/>
  <c r="O659" i="1"/>
  <c r="N659" i="1"/>
  <c r="M659" i="1"/>
  <c r="V658" i="1"/>
  <c r="S658" i="1"/>
  <c r="Y658" i="1" s="1"/>
  <c r="M658" i="1"/>
  <c r="W657" i="1"/>
  <c r="T657" i="1"/>
  <c r="Z657" i="1" s="1"/>
  <c r="R657" i="1"/>
  <c r="X657" i="1" s="1"/>
  <c r="P657" i="1"/>
  <c r="N657" i="1"/>
  <c r="J657" i="1"/>
  <c r="V656" i="1"/>
  <c r="S656" i="1"/>
  <c r="Y656" i="1" s="1"/>
  <c r="M656" i="1"/>
  <c r="V655" i="1"/>
  <c r="S655" i="1"/>
  <c r="Y655" i="1" s="1"/>
  <c r="M655" i="1"/>
  <c r="Z654" i="1"/>
  <c r="X654" i="1"/>
  <c r="W654" i="1"/>
  <c r="AA653" i="1"/>
  <c r="Z653" i="1"/>
  <c r="Y653" i="1"/>
  <c r="W653" i="1"/>
  <c r="V653" i="1"/>
  <c r="U653" i="1"/>
  <c r="R653" i="1"/>
  <c r="X653" i="1" s="1"/>
  <c r="O653" i="1"/>
  <c r="L653" i="1"/>
  <c r="V652" i="1"/>
  <c r="S652" i="1"/>
  <c r="Y652" i="1" s="1"/>
  <c r="M652" i="1"/>
  <c r="Y651" i="1"/>
  <c r="V651" i="1"/>
  <c r="S651" i="1"/>
  <c r="M651" i="1"/>
  <c r="V650" i="1"/>
  <c r="S650" i="1"/>
  <c r="Y650" i="1" s="1"/>
  <c r="M650" i="1"/>
  <c r="Y649" i="1"/>
  <c r="V649" i="1"/>
  <c r="S649" i="1"/>
  <c r="M649" i="1"/>
  <c r="V648" i="1"/>
  <c r="S648" i="1"/>
  <c r="Y648" i="1" s="1"/>
  <c r="M648" i="1"/>
  <c r="Y647" i="1"/>
  <c r="V647" i="1"/>
  <c r="S647" i="1"/>
  <c r="M647" i="1"/>
  <c r="V646" i="1"/>
  <c r="S646" i="1"/>
  <c r="Y646" i="1" s="1"/>
  <c r="M646" i="1"/>
  <c r="Y645" i="1"/>
  <c r="V645" i="1"/>
  <c r="S645" i="1"/>
  <c r="M645" i="1"/>
  <c r="V644" i="1"/>
  <c r="S644" i="1"/>
  <c r="M644" i="1"/>
  <c r="Z643" i="1"/>
  <c r="W643" i="1"/>
  <c r="T643" i="1"/>
  <c r="N643" i="1"/>
  <c r="M643" i="1"/>
  <c r="O643" i="1" s="1"/>
  <c r="L643" i="1"/>
  <c r="J643" i="1"/>
  <c r="Y642" i="1"/>
  <c r="V642" i="1"/>
  <c r="S642" i="1"/>
  <c r="M642" i="1"/>
  <c r="V641" i="1"/>
  <c r="S641" i="1"/>
  <c r="Y641" i="1" s="1"/>
  <c r="M641" i="1"/>
  <c r="Y640" i="1"/>
  <c r="V640" i="1"/>
  <c r="S640" i="1"/>
  <c r="M640" i="1"/>
  <c r="V639" i="1"/>
  <c r="S639" i="1"/>
  <c r="Y639" i="1" s="1"/>
  <c r="M639" i="1"/>
  <c r="Y638" i="1"/>
  <c r="V638" i="1"/>
  <c r="S638" i="1"/>
  <c r="M638" i="1"/>
  <c r="V637" i="1"/>
  <c r="S637" i="1"/>
  <c r="Y637" i="1" s="1"/>
  <c r="M637" i="1"/>
  <c r="Y636" i="1"/>
  <c r="V636" i="1"/>
  <c r="S636" i="1"/>
  <c r="M636" i="1"/>
  <c r="V635" i="1"/>
  <c r="S635" i="1"/>
  <c r="Y635" i="1" s="1"/>
  <c r="M635" i="1"/>
  <c r="Y634" i="1"/>
  <c r="V634" i="1"/>
  <c r="S634" i="1"/>
  <c r="M634" i="1"/>
  <c r="V633" i="1"/>
  <c r="S633" i="1"/>
  <c r="M633" i="1"/>
  <c r="Z632" i="1"/>
  <c r="W632" i="1"/>
  <c r="T632" i="1"/>
  <c r="N632" i="1"/>
  <c r="M632" i="1"/>
  <c r="O632" i="1" s="1"/>
  <c r="L632" i="1"/>
  <c r="J632" i="1"/>
  <c r="Y631" i="1"/>
  <c r="V631" i="1"/>
  <c r="S631" i="1"/>
  <c r="M631" i="1"/>
  <c r="V630" i="1"/>
  <c r="S630" i="1"/>
  <c r="Y630" i="1" s="1"/>
  <c r="M630" i="1"/>
  <c r="Y629" i="1"/>
  <c r="V629" i="1"/>
  <c r="S629" i="1"/>
  <c r="M629" i="1"/>
  <c r="V628" i="1"/>
  <c r="S628" i="1"/>
  <c r="Y628" i="1" s="1"/>
  <c r="M628" i="1"/>
  <c r="Y627" i="1"/>
  <c r="V627" i="1"/>
  <c r="S627" i="1"/>
  <c r="M627" i="1"/>
  <c r="V626" i="1"/>
  <c r="S626" i="1"/>
  <c r="Y626" i="1" s="1"/>
  <c r="M626" i="1"/>
  <c r="Y625" i="1"/>
  <c r="V625" i="1"/>
  <c r="S625" i="1"/>
  <c r="M625" i="1"/>
  <c r="V624" i="1"/>
  <c r="S624" i="1"/>
  <c r="Y624" i="1" s="1"/>
  <c r="M624" i="1"/>
  <c r="Y623" i="1"/>
  <c r="V623" i="1"/>
  <c r="S623" i="1"/>
  <c r="M623" i="1"/>
  <c r="V622" i="1"/>
  <c r="S622" i="1"/>
  <c r="M622" i="1"/>
  <c r="Z621" i="1"/>
  <c r="W621" i="1"/>
  <c r="T621" i="1"/>
  <c r="N621" i="1"/>
  <c r="M621" i="1"/>
  <c r="O621" i="1" s="1"/>
  <c r="L621" i="1"/>
  <c r="J621" i="1"/>
  <c r="Y620" i="1"/>
  <c r="V620" i="1"/>
  <c r="S620" i="1"/>
  <c r="M620" i="1"/>
  <c r="V619" i="1"/>
  <c r="S619" i="1"/>
  <c r="Y619" i="1" s="1"/>
  <c r="M619" i="1"/>
  <c r="V618" i="1"/>
  <c r="S618" i="1"/>
  <c r="Y618" i="1" s="1"/>
  <c r="M618" i="1"/>
  <c r="V617" i="1"/>
  <c r="S617" i="1"/>
  <c r="Y617" i="1" s="1"/>
  <c r="M617" i="1"/>
  <c r="V616" i="1"/>
  <c r="S616" i="1"/>
  <c r="Y616" i="1" s="1"/>
  <c r="M616" i="1"/>
  <c r="V615" i="1"/>
  <c r="S615" i="1"/>
  <c r="Y615" i="1" s="1"/>
  <c r="M615" i="1"/>
  <c r="V614" i="1"/>
  <c r="S614" i="1"/>
  <c r="Y614" i="1" s="1"/>
  <c r="M614" i="1"/>
  <c r="V613" i="1"/>
  <c r="S613" i="1"/>
  <c r="Y613" i="1" s="1"/>
  <c r="M613" i="1"/>
  <c r="Y612" i="1"/>
  <c r="V612" i="1"/>
  <c r="S612" i="1"/>
  <c r="M612" i="1"/>
  <c r="V611" i="1"/>
  <c r="S611" i="1"/>
  <c r="Y611" i="1" s="1"/>
  <c r="M611" i="1"/>
  <c r="Y610" i="1"/>
  <c r="V610" i="1"/>
  <c r="S610" i="1"/>
  <c r="M610" i="1"/>
  <c r="V609" i="1"/>
  <c r="S609" i="1"/>
  <c r="Y609" i="1" s="1"/>
  <c r="M609" i="1"/>
  <c r="V608" i="1"/>
  <c r="S608" i="1"/>
  <c r="Y608" i="1" s="1"/>
  <c r="M608" i="1"/>
  <c r="V607" i="1"/>
  <c r="S607" i="1"/>
  <c r="Y607" i="1" s="1"/>
  <c r="M607" i="1"/>
  <c r="V606" i="1"/>
  <c r="S606" i="1"/>
  <c r="Y606" i="1" s="1"/>
  <c r="M606" i="1"/>
  <c r="V605" i="1"/>
  <c r="S605" i="1"/>
  <c r="Y605" i="1" s="1"/>
  <c r="M605" i="1"/>
  <c r="Y604" i="1"/>
  <c r="V604" i="1"/>
  <c r="S604" i="1"/>
  <c r="M604" i="1"/>
  <c r="V603" i="1"/>
  <c r="S603" i="1"/>
  <c r="Y603" i="1" s="1"/>
  <c r="M603" i="1"/>
  <c r="V602" i="1"/>
  <c r="S602" i="1"/>
  <c r="Y602" i="1" s="1"/>
  <c r="M602" i="1"/>
  <c r="V601" i="1"/>
  <c r="S601" i="1"/>
  <c r="Y601" i="1" s="1"/>
  <c r="M601" i="1"/>
  <c r="Z600" i="1"/>
  <c r="X600" i="1"/>
  <c r="W600" i="1"/>
  <c r="Z599" i="1"/>
  <c r="Y599" i="1"/>
  <c r="AA599" i="1" s="1"/>
  <c r="X599" i="1"/>
  <c r="W599" i="1"/>
  <c r="V599" i="1"/>
  <c r="U599" i="1"/>
  <c r="R599" i="1"/>
  <c r="O599" i="1"/>
  <c r="L599" i="1"/>
  <c r="Y598" i="1"/>
  <c r="V598" i="1"/>
  <c r="S598" i="1"/>
  <c r="M598" i="1"/>
  <c r="Y597" i="1"/>
  <c r="V597" i="1"/>
  <c r="S597" i="1"/>
  <c r="M597" i="1"/>
  <c r="Y596" i="1"/>
  <c r="V596" i="1"/>
  <c r="S596" i="1"/>
  <c r="M596" i="1"/>
  <c r="Y595" i="1"/>
  <c r="V595" i="1"/>
  <c r="S595" i="1"/>
  <c r="M595" i="1"/>
  <c r="Y594" i="1"/>
  <c r="V594" i="1"/>
  <c r="S594" i="1"/>
  <c r="M594" i="1"/>
  <c r="Y593" i="1"/>
  <c r="V593" i="1"/>
  <c r="S593" i="1"/>
  <c r="M593" i="1"/>
  <c r="Y592" i="1"/>
  <c r="V592" i="1"/>
  <c r="S592" i="1"/>
  <c r="M592" i="1"/>
  <c r="Y591" i="1"/>
  <c r="V591" i="1"/>
  <c r="S591" i="1"/>
  <c r="M591" i="1"/>
  <c r="Y590" i="1"/>
  <c r="V590" i="1"/>
  <c r="S590" i="1"/>
  <c r="M590" i="1"/>
  <c r="Y589" i="1"/>
  <c r="V589" i="1"/>
  <c r="S589" i="1"/>
  <c r="M589" i="1"/>
  <c r="V588" i="1"/>
  <c r="S588" i="1"/>
  <c r="Y588" i="1" s="1"/>
  <c r="M588" i="1"/>
  <c r="Y587" i="1"/>
  <c r="V587" i="1"/>
  <c r="S587" i="1"/>
  <c r="M587" i="1"/>
  <c r="V586" i="1"/>
  <c r="S586" i="1"/>
  <c r="Y586" i="1" s="1"/>
  <c r="M586" i="1"/>
  <c r="Y585" i="1"/>
  <c r="V585" i="1"/>
  <c r="S585" i="1"/>
  <c r="M585" i="1"/>
  <c r="V584" i="1"/>
  <c r="S584" i="1"/>
  <c r="Y584" i="1" s="1"/>
  <c r="M584" i="1"/>
  <c r="Y583" i="1"/>
  <c r="V583" i="1"/>
  <c r="S583" i="1"/>
  <c r="M583" i="1"/>
  <c r="V582" i="1"/>
  <c r="S582" i="1"/>
  <c r="Y582" i="1" s="1"/>
  <c r="M582" i="1"/>
  <c r="Y581" i="1"/>
  <c r="V581" i="1"/>
  <c r="S581" i="1"/>
  <c r="M581" i="1"/>
  <c r="V580" i="1"/>
  <c r="S580" i="1"/>
  <c r="Y580" i="1" s="1"/>
  <c r="M580" i="1"/>
  <c r="Y579" i="1"/>
  <c r="V579" i="1"/>
  <c r="S579" i="1"/>
  <c r="M579" i="1"/>
  <c r="Z578" i="1"/>
  <c r="X578" i="1"/>
  <c r="W578" i="1"/>
  <c r="Z577" i="1"/>
  <c r="AA577" i="1" s="1"/>
  <c r="Y577" i="1"/>
  <c r="W577" i="1"/>
  <c r="V577" i="1"/>
  <c r="U577" i="1"/>
  <c r="R577" i="1"/>
  <c r="X577" i="1" s="1"/>
  <c r="O577" i="1"/>
  <c r="L577" i="1"/>
  <c r="Y576" i="1"/>
  <c r="V576" i="1"/>
  <c r="S576" i="1"/>
  <c r="M576" i="1"/>
  <c r="V575" i="1"/>
  <c r="S575" i="1"/>
  <c r="Y575" i="1" s="1"/>
  <c r="M575" i="1"/>
  <c r="Y574" i="1"/>
  <c r="V574" i="1"/>
  <c r="S574" i="1"/>
  <c r="M574" i="1"/>
  <c r="V573" i="1"/>
  <c r="S573" i="1"/>
  <c r="Y573" i="1" s="1"/>
  <c r="M573" i="1"/>
  <c r="V572" i="1"/>
  <c r="S572" i="1"/>
  <c r="Y572" i="1" s="1"/>
  <c r="M572" i="1"/>
  <c r="V571" i="1"/>
  <c r="S571" i="1"/>
  <c r="Y571" i="1" s="1"/>
  <c r="M571" i="1"/>
  <c r="Y570" i="1"/>
  <c r="V570" i="1"/>
  <c r="S570" i="1"/>
  <c r="M570" i="1"/>
  <c r="V569" i="1"/>
  <c r="S569" i="1"/>
  <c r="Y569" i="1" s="1"/>
  <c r="M569" i="1"/>
  <c r="Y568" i="1"/>
  <c r="V568" i="1"/>
  <c r="S568" i="1"/>
  <c r="M568" i="1"/>
  <c r="V567" i="1"/>
  <c r="S567" i="1"/>
  <c r="Y567" i="1" s="1"/>
  <c r="M567" i="1"/>
  <c r="V566" i="1"/>
  <c r="S566" i="1"/>
  <c r="Y566" i="1" s="1"/>
  <c r="M566" i="1"/>
  <c r="V565" i="1"/>
  <c r="S565" i="1"/>
  <c r="Y565" i="1" s="1"/>
  <c r="M565" i="1"/>
  <c r="V564" i="1"/>
  <c r="S564" i="1"/>
  <c r="Y564" i="1" s="1"/>
  <c r="M564" i="1"/>
  <c r="V563" i="1"/>
  <c r="S563" i="1"/>
  <c r="Y563" i="1" s="1"/>
  <c r="M563" i="1"/>
  <c r="V562" i="1"/>
  <c r="S562" i="1"/>
  <c r="Y562" i="1" s="1"/>
  <c r="M562" i="1"/>
  <c r="V561" i="1"/>
  <c r="S561" i="1"/>
  <c r="Y561" i="1" s="1"/>
  <c r="M561" i="1"/>
  <c r="V560" i="1"/>
  <c r="S560" i="1"/>
  <c r="Y560" i="1" s="1"/>
  <c r="M560" i="1"/>
  <c r="V559" i="1"/>
  <c r="S559" i="1"/>
  <c r="Y559" i="1" s="1"/>
  <c r="M559" i="1"/>
  <c r="Y558" i="1"/>
  <c r="V558" i="1"/>
  <c r="S558" i="1"/>
  <c r="M558" i="1"/>
  <c r="V557" i="1"/>
  <c r="S557" i="1"/>
  <c r="Y557" i="1" s="1"/>
  <c r="M557" i="1"/>
  <c r="Z556" i="1"/>
  <c r="X556" i="1"/>
  <c r="W556" i="1"/>
  <c r="Z555" i="1"/>
  <c r="Y555" i="1"/>
  <c r="AA555" i="1" s="1"/>
  <c r="W555" i="1"/>
  <c r="V555" i="1"/>
  <c r="U555" i="1"/>
  <c r="R555" i="1"/>
  <c r="X555" i="1" s="1"/>
  <c r="O555" i="1"/>
  <c r="L555" i="1"/>
  <c r="X554" i="1"/>
  <c r="W554" i="1"/>
  <c r="T554" i="1"/>
  <c r="R554" i="1"/>
  <c r="N554" i="1"/>
  <c r="O554" i="1" s="1"/>
  <c r="L554" i="1"/>
  <c r="Z553" i="1"/>
  <c r="X553" i="1"/>
  <c r="W553" i="1"/>
  <c r="Z552" i="1"/>
  <c r="AA552" i="1" s="1"/>
  <c r="W552" i="1"/>
  <c r="U552" i="1"/>
  <c r="R552" i="1"/>
  <c r="X552" i="1" s="1"/>
  <c r="O552" i="1"/>
  <c r="L552" i="1"/>
  <c r="Y551" i="1"/>
  <c r="V551" i="1"/>
  <c r="S551" i="1"/>
  <c r="M551" i="1"/>
  <c r="W550" i="1"/>
  <c r="T550" i="1"/>
  <c r="Z550" i="1" s="1"/>
  <c r="R550" i="1"/>
  <c r="X550" i="1" s="1"/>
  <c r="P550" i="1"/>
  <c r="N550" i="1"/>
  <c r="J550" i="1"/>
  <c r="L550" i="1" s="1"/>
  <c r="V549" i="1"/>
  <c r="S549" i="1"/>
  <c r="M549" i="1"/>
  <c r="Z548" i="1"/>
  <c r="W548" i="1"/>
  <c r="T548" i="1"/>
  <c r="O548" i="1"/>
  <c r="N548" i="1"/>
  <c r="M548" i="1"/>
  <c r="L548" i="1"/>
  <c r="J548" i="1"/>
  <c r="Y547" i="1"/>
  <c r="V547" i="1"/>
  <c r="S547" i="1"/>
  <c r="M547" i="1"/>
  <c r="V546" i="1"/>
  <c r="S546" i="1"/>
  <c r="Y546" i="1" s="1"/>
  <c r="M546" i="1"/>
  <c r="Z545" i="1"/>
  <c r="X545" i="1"/>
  <c r="W545" i="1"/>
  <c r="AA544" i="1"/>
  <c r="Z544" i="1"/>
  <c r="Y544" i="1"/>
  <c r="X544" i="1"/>
  <c r="W544" i="1"/>
  <c r="V544" i="1"/>
  <c r="U544" i="1"/>
  <c r="R544" i="1"/>
  <c r="O544" i="1"/>
  <c r="L544" i="1"/>
  <c r="Y543" i="1"/>
  <c r="V543" i="1"/>
  <c r="S543" i="1"/>
  <c r="M543" i="1"/>
  <c r="V542" i="1"/>
  <c r="S542" i="1"/>
  <c r="Y542" i="1" s="1"/>
  <c r="M542" i="1"/>
  <c r="Z541" i="1"/>
  <c r="X541" i="1"/>
  <c r="W541" i="1"/>
  <c r="Z540" i="1"/>
  <c r="AA540" i="1" s="1"/>
  <c r="Y540" i="1"/>
  <c r="X540" i="1"/>
  <c r="W540" i="1"/>
  <c r="V540" i="1"/>
  <c r="U540" i="1"/>
  <c r="R540" i="1"/>
  <c r="O540" i="1"/>
  <c r="L540" i="1"/>
  <c r="N539" i="1"/>
  <c r="V538" i="1"/>
  <c r="S538" i="1"/>
  <c r="Y538" i="1" s="1"/>
  <c r="M538" i="1"/>
  <c r="J536" i="1" s="1"/>
  <c r="M536" i="1" s="1"/>
  <c r="O536" i="1" s="1"/>
  <c r="V537" i="1"/>
  <c r="S537" i="1"/>
  <c r="M537" i="1"/>
  <c r="Z536" i="1"/>
  <c r="W536" i="1"/>
  <c r="T536" i="1"/>
  <c r="N536" i="1"/>
  <c r="L536" i="1"/>
  <c r="Y535" i="1"/>
  <c r="V535" i="1"/>
  <c r="S535" i="1"/>
  <c r="M535" i="1"/>
  <c r="J533" i="1" s="1"/>
  <c r="M533" i="1" s="1"/>
  <c r="O533" i="1" s="1"/>
  <c r="V534" i="1"/>
  <c r="S534" i="1"/>
  <c r="Y534" i="1" s="1"/>
  <c r="M534" i="1"/>
  <c r="Z533" i="1"/>
  <c r="W533" i="1"/>
  <c r="T533" i="1"/>
  <c r="P533" i="1"/>
  <c r="S533" i="1" s="1"/>
  <c r="N533" i="1"/>
  <c r="V532" i="1"/>
  <c r="S532" i="1"/>
  <c r="M532" i="1"/>
  <c r="J530" i="1" s="1"/>
  <c r="L530" i="1" s="1"/>
  <c r="V531" i="1"/>
  <c r="S531" i="1"/>
  <c r="Y531" i="1" s="1"/>
  <c r="M531" i="1"/>
  <c r="Z530" i="1"/>
  <c r="W530" i="1"/>
  <c r="T530" i="1"/>
  <c r="N530" i="1"/>
  <c r="Y529" i="1"/>
  <c r="V529" i="1"/>
  <c r="S529" i="1"/>
  <c r="M529" i="1"/>
  <c r="J527" i="1" s="1"/>
  <c r="M527" i="1" s="1"/>
  <c r="V528" i="1"/>
  <c r="S528" i="1"/>
  <c r="M528" i="1"/>
  <c r="Z527" i="1"/>
  <c r="W527" i="1"/>
  <c r="T527" i="1"/>
  <c r="N527" i="1"/>
  <c r="L527" i="1"/>
  <c r="Y526" i="1"/>
  <c r="V526" i="1"/>
  <c r="S526" i="1"/>
  <c r="M526" i="1"/>
  <c r="V525" i="1"/>
  <c r="S525" i="1"/>
  <c r="Y525" i="1" s="1"/>
  <c r="M525" i="1"/>
  <c r="V524" i="1"/>
  <c r="S524" i="1"/>
  <c r="Y524" i="1" s="1"/>
  <c r="M524" i="1"/>
  <c r="V523" i="1"/>
  <c r="S523" i="1"/>
  <c r="Y523" i="1" s="1"/>
  <c r="M523" i="1"/>
  <c r="Z522" i="1"/>
  <c r="X522" i="1"/>
  <c r="W522" i="1"/>
  <c r="AA521" i="1"/>
  <c r="Z521" i="1"/>
  <c r="Y521" i="1"/>
  <c r="W521" i="1"/>
  <c r="V521" i="1"/>
  <c r="U521" i="1"/>
  <c r="R521" i="1"/>
  <c r="X521" i="1" s="1"/>
  <c r="O521" i="1"/>
  <c r="L521" i="1"/>
  <c r="Y520" i="1"/>
  <c r="V520" i="1"/>
  <c r="S520" i="1"/>
  <c r="M520" i="1"/>
  <c r="V519" i="1"/>
  <c r="S519" i="1"/>
  <c r="Y519" i="1" s="1"/>
  <c r="M519" i="1"/>
  <c r="Y518" i="1"/>
  <c r="V518" i="1"/>
  <c r="S518" i="1"/>
  <c r="M518" i="1"/>
  <c r="V517" i="1"/>
  <c r="S517" i="1"/>
  <c r="Y517" i="1" s="1"/>
  <c r="M517" i="1"/>
  <c r="Z516" i="1"/>
  <c r="X516" i="1"/>
  <c r="W516" i="1"/>
  <c r="Z515" i="1"/>
  <c r="Y515" i="1"/>
  <c r="AA515" i="1" s="1"/>
  <c r="X515" i="1"/>
  <c r="W515" i="1"/>
  <c r="V515" i="1"/>
  <c r="U515" i="1"/>
  <c r="R515" i="1"/>
  <c r="O515" i="1"/>
  <c r="L515" i="1"/>
  <c r="Y514" i="1"/>
  <c r="V514" i="1"/>
  <c r="S514" i="1"/>
  <c r="M514" i="1"/>
  <c r="V513" i="1"/>
  <c r="S513" i="1"/>
  <c r="Y513" i="1" s="1"/>
  <c r="M513" i="1"/>
  <c r="Y512" i="1"/>
  <c r="V512" i="1"/>
  <c r="S512" i="1"/>
  <c r="M512" i="1"/>
  <c r="V511" i="1"/>
  <c r="S511" i="1"/>
  <c r="Y511" i="1" s="1"/>
  <c r="M511" i="1"/>
  <c r="Z510" i="1"/>
  <c r="X510" i="1"/>
  <c r="W510" i="1"/>
  <c r="AA509" i="1"/>
  <c r="Z509" i="1"/>
  <c r="Y509" i="1"/>
  <c r="X509" i="1"/>
  <c r="W509" i="1"/>
  <c r="V509" i="1"/>
  <c r="U509" i="1"/>
  <c r="R509" i="1"/>
  <c r="O509" i="1"/>
  <c r="L509" i="1"/>
  <c r="V508" i="1"/>
  <c r="S508" i="1"/>
  <c r="Y508" i="1" s="1"/>
  <c r="M508" i="1"/>
  <c r="V507" i="1"/>
  <c r="S507" i="1"/>
  <c r="Y507" i="1" s="1"/>
  <c r="M507" i="1"/>
  <c r="V506" i="1"/>
  <c r="S506" i="1"/>
  <c r="Y506" i="1" s="1"/>
  <c r="M506" i="1"/>
  <c r="V505" i="1"/>
  <c r="S505" i="1"/>
  <c r="Y505" i="1" s="1"/>
  <c r="M505" i="1"/>
  <c r="Z504" i="1"/>
  <c r="X504" i="1"/>
  <c r="W504" i="1"/>
  <c r="AA503" i="1"/>
  <c r="Z503" i="1"/>
  <c r="Y503" i="1"/>
  <c r="X503" i="1"/>
  <c r="W503" i="1"/>
  <c r="V503" i="1"/>
  <c r="U503" i="1"/>
  <c r="R503" i="1"/>
  <c r="O503" i="1"/>
  <c r="L503" i="1"/>
  <c r="Z502" i="1"/>
  <c r="T502" i="1"/>
  <c r="N502" i="1"/>
  <c r="Y501" i="1"/>
  <c r="V501" i="1"/>
  <c r="S501" i="1"/>
  <c r="M501" i="1"/>
  <c r="J499" i="1" s="1"/>
  <c r="M499" i="1" s="1"/>
  <c r="O499" i="1" s="1"/>
  <c r="V500" i="1"/>
  <c r="S500" i="1"/>
  <c r="M500" i="1"/>
  <c r="Z499" i="1"/>
  <c r="W499" i="1"/>
  <c r="T499" i="1"/>
  <c r="N499" i="1"/>
  <c r="Y498" i="1"/>
  <c r="V498" i="1"/>
  <c r="S498" i="1"/>
  <c r="M498" i="1"/>
  <c r="V497" i="1"/>
  <c r="S497" i="1"/>
  <c r="Y497" i="1" s="1"/>
  <c r="M497" i="1"/>
  <c r="Y496" i="1"/>
  <c r="V496" i="1"/>
  <c r="S496" i="1"/>
  <c r="M496" i="1"/>
  <c r="V495" i="1"/>
  <c r="S495" i="1"/>
  <c r="Y495" i="1" s="1"/>
  <c r="M495" i="1"/>
  <c r="Z494" i="1"/>
  <c r="X494" i="1"/>
  <c r="W494" i="1"/>
  <c r="AA493" i="1"/>
  <c r="Z493" i="1"/>
  <c r="Y493" i="1"/>
  <c r="X493" i="1"/>
  <c r="W493" i="1"/>
  <c r="V493" i="1"/>
  <c r="U493" i="1"/>
  <c r="R493" i="1"/>
  <c r="O493" i="1"/>
  <c r="L493" i="1"/>
  <c r="Y492" i="1"/>
  <c r="V492" i="1"/>
  <c r="S492" i="1"/>
  <c r="M492" i="1"/>
  <c r="V491" i="1"/>
  <c r="S491" i="1"/>
  <c r="Y491" i="1" s="1"/>
  <c r="M491" i="1"/>
  <c r="Y490" i="1"/>
  <c r="V490" i="1"/>
  <c r="S490" i="1"/>
  <c r="M490" i="1"/>
  <c r="J488" i="1" s="1"/>
  <c r="M488" i="1" s="1"/>
  <c r="V489" i="1"/>
  <c r="S489" i="1"/>
  <c r="M489" i="1"/>
  <c r="Z488" i="1"/>
  <c r="W488" i="1"/>
  <c r="T488" i="1"/>
  <c r="N488" i="1"/>
  <c r="O488" i="1" s="1"/>
  <c r="L488" i="1"/>
  <c r="Y487" i="1"/>
  <c r="V487" i="1"/>
  <c r="S487" i="1"/>
  <c r="M487" i="1"/>
  <c r="Y486" i="1"/>
  <c r="V486" i="1"/>
  <c r="S486" i="1"/>
  <c r="M486" i="1"/>
  <c r="Y485" i="1"/>
  <c r="V485" i="1"/>
  <c r="S485" i="1"/>
  <c r="M485" i="1"/>
  <c r="Y484" i="1"/>
  <c r="V484" i="1"/>
  <c r="S484" i="1"/>
  <c r="M484" i="1"/>
  <c r="Y483" i="1"/>
  <c r="V483" i="1"/>
  <c r="S483" i="1"/>
  <c r="M483" i="1"/>
  <c r="Y482" i="1"/>
  <c r="V482" i="1"/>
  <c r="S482" i="1"/>
  <c r="M482" i="1"/>
  <c r="Y481" i="1"/>
  <c r="V481" i="1"/>
  <c r="S481" i="1"/>
  <c r="M481" i="1"/>
  <c r="Y480" i="1"/>
  <c r="V480" i="1"/>
  <c r="S480" i="1"/>
  <c r="M480" i="1"/>
  <c r="Z479" i="1"/>
  <c r="X479" i="1"/>
  <c r="W479" i="1"/>
  <c r="Z478" i="1"/>
  <c r="Z477" i="1" s="1"/>
  <c r="Z476" i="1" s="1"/>
  <c r="Y478" i="1"/>
  <c r="X478" i="1"/>
  <c r="W478" i="1"/>
  <c r="V478" i="1"/>
  <c r="U478" i="1"/>
  <c r="R478" i="1"/>
  <c r="O478" i="1"/>
  <c r="L478" i="1"/>
  <c r="T477" i="1"/>
  <c r="N477" i="1"/>
  <c r="N476" i="1" s="1"/>
  <c r="V475" i="1"/>
  <c r="S475" i="1"/>
  <c r="Y475" i="1" s="1"/>
  <c r="M475" i="1"/>
  <c r="Y474" i="1"/>
  <c r="V474" i="1"/>
  <c r="S474" i="1"/>
  <c r="M474" i="1"/>
  <c r="V473" i="1"/>
  <c r="S473" i="1"/>
  <c r="Y473" i="1" s="1"/>
  <c r="M473" i="1"/>
  <c r="Y472" i="1"/>
  <c r="V472" i="1"/>
  <c r="S472" i="1"/>
  <c r="M472" i="1"/>
  <c r="W471" i="1"/>
  <c r="T471" i="1"/>
  <c r="Z471" i="1" s="1"/>
  <c r="R471" i="1"/>
  <c r="X471" i="1" s="1"/>
  <c r="P471" i="1"/>
  <c r="N471" i="1"/>
  <c r="J471" i="1"/>
  <c r="L471" i="1" s="1"/>
  <c r="V470" i="1"/>
  <c r="S470" i="1"/>
  <c r="Y470" i="1" s="1"/>
  <c r="M470" i="1"/>
  <c r="Y469" i="1"/>
  <c r="V469" i="1"/>
  <c r="S469" i="1"/>
  <c r="M469" i="1"/>
  <c r="V468" i="1"/>
  <c r="S468" i="1"/>
  <c r="Y468" i="1" s="1"/>
  <c r="M468" i="1"/>
  <c r="Y467" i="1"/>
  <c r="V467" i="1"/>
  <c r="S467" i="1"/>
  <c r="M467" i="1"/>
  <c r="V466" i="1"/>
  <c r="S466" i="1"/>
  <c r="Y466" i="1" s="1"/>
  <c r="M466" i="1"/>
  <c r="Y465" i="1"/>
  <c r="V465" i="1"/>
  <c r="S465" i="1"/>
  <c r="M465" i="1"/>
  <c r="V464" i="1"/>
  <c r="S464" i="1"/>
  <c r="Y464" i="1" s="1"/>
  <c r="M464" i="1"/>
  <c r="Y463" i="1"/>
  <c r="V463" i="1"/>
  <c r="S463" i="1"/>
  <c r="M463" i="1"/>
  <c r="Z462" i="1"/>
  <c r="X462" i="1"/>
  <c r="W462" i="1"/>
  <c r="Z461" i="1"/>
  <c r="Y461" i="1"/>
  <c r="W461" i="1"/>
  <c r="V461" i="1"/>
  <c r="U461" i="1"/>
  <c r="R461" i="1"/>
  <c r="X461" i="1" s="1"/>
  <c r="O461" i="1"/>
  <c r="L461" i="1"/>
  <c r="V460" i="1"/>
  <c r="S460" i="1"/>
  <c r="P458" i="1" s="1"/>
  <c r="M460" i="1"/>
  <c r="Y459" i="1"/>
  <c r="V459" i="1"/>
  <c r="S459" i="1"/>
  <c r="M459" i="1"/>
  <c r="J458" i="1" s="1"/>
  <c r="W458" i="1"/>
  <c r="T458" i="1"/>
  <c r="Z458" i="1" s="1"/>
  <c r="S458" i="1"/>
  <c r="N458" i="1"/>
  <c r="V457" i="1"/>
  <c r="S457" i="1"/>
  <c r="M457" i="1"/>
  <c r="Y456" i="1"/>
  <c r="V456" i="1"/>
  <c r="S456" i="1"/>
  <c r="M456" i="1"/>
  <c r="W455" i="1"/>
  <c r="T455" i="1"/>
  <c r="Z455" i="1" s="1"/>
  <c r="N455" i="1"/>
  <c r="J455" i="1"/>
  <c r="L455" i="1" s="1"/>
  <c r="Y454" i="1"/>
  <c r="V454" i="1"/>
  <c r="S454" i="1"/>
  <c r="M454" i="1"/>
  <c r="Y453" i="1"/>
  <c r="V453" i="1"/>
  <c r="S453" i="1"/>
  <c r="M453" i="1"/>
  <c r="Y452" i="1"/>
  <c r="V452" i="1"/>
  <c r="S452" i="1"/>
  <c r="M452" i="1"/>
  <c r="Y451" i="1"/>
  <c r="V451" i="1"/>
  <c r="S451" i="1"/>
  <c r="M451" i="1"/>
  <c r="Z450" i="1"/>
  <c r="X450" i="1"/>
  <c r="W450" i="1"/>
  <c r="Z449" i="1"/>
  <c r="Y449" i="1"/>
  <c r="AA449" i="1" s="1"/>
  <c r="W449" i="1"/>
  <c r="V449" i="1"/>
  <c r="U449" i="1"/>
  <c r="R449" i="1"/>
  <c r="X449" i="1" s="1"/>
  <c r="O449" i="1"/>
  <c r="L449" i="1"/>
  <c r="Y448" i="1"/>
  <c r="V448" i="1"/>
  <c r="S448" i="1"/>
  <c r="M448" i="1"/>
  <c r="Y447" i="1"/>
  <c r="V447" i="1"/>
  <c r="S447" i="1"/>
  <c r="M447" i="1"/>
  <c r="Y446" i="1"/>
  <c r="V446" i="1"/>
  <c r="S446" i="1"/>
  <c r="M446" i="1"/>
  <c r="Y445" i="1"/>
  <c r="V445" i="1"/>
  <c r="S445" i="1"/>
  <c r="M445" i="1"/>
  <c r="Z444" i="1"/>
  <c r="X444" i="1"/>
  <c r="W444" i="1"/>
  <c r="Z443" i="1"/>
  <c r="Y443" i="1"/>
  <c r="AA443" i="1" s="1"/>
  <c r="W443" i="1"/>
  <c r="V443" i="1"/>
  <c r="U443" i="1"/>
  <c r="R443" i="1"/>
  <c r="X443" i="1" s="1"/>
  <c r="O443" i="1"/>
  <c r="L443" i="1"/>
  <c r="V442" i="1"/>
  <c r="S442" i="1"/>
  <c r="Y442" i="1" s="1"/>
  <c r="M442" i="1"/>
  <c r="W441" i="1"/>
  <c r="T441" i="1"/>
  <c r="T436" i="1" s="1"/>
  <c r="R441" i="1"/>
  <c r="X441" i="1" s="1"/>
  <c r="P441" i="1"/>
  <c r="N441" i="1"/>
  <c r="J441" i="1"/>
  <c r="M441" i="1" s="1"/>
  <c r="V440" i="1"/>
  <c r="S440" i="1"/>
  <c r="Y440" i="1" s="1"/>
  <c r="M440" i="1"/>
  <c r="Y439" i="1"/>
  <c r="V439" i="1"/>
  <c r="S439" i="1"/>
  <c r="M439" i="1"/>
  <c r="Z438" i="1"/>
  <c r="X438" i="1"/>
  <c r="W438" i="1"/>
  <c r="Z437" i="1"/>
  <c r="AA437" i="1" s="1"/>
  <c r="Y437" i="1"/>
  <c r="X437" i="1"/>
  <c r="W437" i="1"/>
  <c r="V437" i="1"/>
  <c r="U437" i="1"/>
  <c r="R437" i="1"/>
  <c r="O437" i="1"/>
  <c r="L437" i="1"/>
  <c r="N436" i="1"/>
  <c r="Y435" i="1"/>
  <c r="V435" i="1"/>
  <c r="S435" i="1"/>
  <c r="M435" i="1"/>
  <c r="Y434" i="1"/>
  <c r="V434" i="1"/>
  <c r="S434" i="1"/>
  <c r="M434" i="1"/>
  <c r="Y433" i="1"/>
  <c r="V433" i="1"/>
  <c r="S433" i="1"/>
  <c r="M433" i="1"/>
  <c r="J431" i="1" s="1"/>
  <c r="Y432" i="1"/>
  <c r="V432" i="1"/>
  <c r="S432" i="1"/>
  <c r="P431" i="1" s="1"/>
  <c r="V431" i="1" s="1"/>
  <c r="M432" i="1"/>
  <c r="Z431" i="1"/>
  <c r="X431" i="1"/>
  <c r="W431" i="1"/>
  <c r="U431" i="1"/>
  <c r="T431" i="1"/>
  <c r="S431" i="1"/>
  <c r="R431" i="1"/>
  <c r="N431" i="1"/>
  <c r="Y430" i="1"/>
  <c r="V430" i="1"/>
  <c r="S430" i="1"/>
  <c r="M430" i="1"/>
  <c r="V429" i="1"/>
  <c r="S429" i="1"/>
  <c r="Y429" i="1" s="1"/>
  <c r="M429" i="1"/>
  <c r="Y428" i="1"/>
  <c r="V428" i="1"/>
  <c r="S428" i="1"/>
  <c r="M428" i="1"/>
  <c r="V427" i="1"/>
  <c r="S427" i="1"/>
  <c r="Y427" i="1" s="1"/>
  <c r="M427" i="1"/>
  <c r="Y426" i="1"/>
  <c r="V426" i="1"/>
  <c r="S426" i="1"/>
  <c r="M426" i="1"/>
  <c r="V425" i="1"/>
  <c r="S425" i="1"/>
  <c r="Y425" i="1" s="1"/>
  <c r="M425" i="1"/>
  <c r="Y424" i="1"/>
  <c r="V424" i="1"/>
  <c r="S424" i="1"/>
  <c r="M424" i="1"/>
  <c r="V423" i="1"/>
  <c r="S423" i="1"/>
  <c r="Y423" i="1" s="1"/>
  <c r="M423" i="1"/>
  <c r="Z422" i="1"/>
  <c r="X422" i="1"/>
  <c r="W422" i="1"/>
  <c r="Z421" i="1"/>
  <c r="AA421" i="1" s="1"/>
  <c r="Y421" i="1"/>
  <c r="X421" i="1"/>
  <c r="W421" i="1"/>
  <c r="V421" i="1"/>
  <c r="U421" i="1"/>
  <c r="R421" i="1"/>
  <c r="O421" i="1"/>
  <c r="L421" i="1"/>
  <c r="T420" i="1"/>
  <c r="N420" i="1"/>
  <c r="N419" i="1" s="1"/>
  <c r="V418" i="1"/>
  <c r="S418" i="1"/>
  <c r="Y418" i="1" s="1"/>
  <c r="M418" i="1"/>
  <c r="Y417" i="1"/>
  <c r="V417" i="1"/>
  <c r="S417" i="1"/>
  <c r="M417" i="1"/>
  <c r="V416" i="1"/>
  <c r="S416" i="1"/>
  <c r="M416" i="1"/>
  <c r="Y415" i="1"/>
  <c r="V415" i="1"/>
  <c r="S415" i="1"/>
  <c r="M415" i="1"/>
  <c r="Z414" i="1"/>
  <c r="W414" i="1"/>
  <c r="T414" i="1"/>
  <c r="N414" i="1"/>
  <c r="J414" i="1"/>
  <c r="L414" i="1" s="1"/>
  <c r="V413" i="1"/>
  <c r="S413" i="1"/>
  <c r="Y413" i="1" s="1"/>
  <c r="M413" i="1"/>
  <c r="Y412" i="1"/>
  <c r="V412" i="1"/>
  <c r="S412" i="1"/>
  <c r="M412" i="1"/>
  <c r="V411" i="1"/>
  <c r="S411" i="1"/>
  <c r="M411" i="1"/>
  <c r="Y410" i="1"/>
  <c r="V410" i="1"/>
  <c r="S410" i="1"/>
  <c r="M410" i="1"/>
  <c r="Z409" i="1"/>
  <c r="W409" i="1"/>
  <c r="T409" i="1"/>
  <c r="N409" i="1"/>
  <c r="J409" i="1"/>
  <c r="L409" i="1" s="1"/>
  <c r="V408" i="1"/>
  <c r="S408" i="1"/>
  <c r="Y408" i="1" s="1"/>
  <c r="M408" i="1"/>
  <c r="Y407" i="1"/>
  <c r="V407" i="1"/>
  <c r="S407" i="1"/>
  <c r="M407" i="1"/>
  <c r="V406" i="1"/>
  <c r="S406" i="1"/>
  <c r="Y406" i="1" s="1"/>
  <c r="M406" i="1"/>
  <c r="Y405" i="1"/>
  <c r="V405" i="1"/>
  <c r="S405" i="1"/>
  <c r="M405" i="1"/>
  <c r="V404" i="1"/>
  <c r="S404" i="1"/>
  <c r="Y404" i="1" s="1"/>
  <c r="M404" i="1"/>
  <c r="Y403" i="1"/>
  <c r="V403" i="1"/>
  <c r="S403" i="1"/>
  <c r="M403" i="1"/>
  <c r="V402" i="1"/>
  <c r="S402" i="1"/>
  <c r="Y402" i="1" s="1"/>
  <c r="M402" i="1"/>
  <c r="Y401" i="1"/>
  <c r="V401" i="1"/>
  <c r="S401" i="1"/>
  <c r="M401" i="1"/>
  <c r="Z400" i="1"/>
  <c r="X400" i="1"/>
  <c r="W400" i="1"/>
  <c r="Z399" i="1"/>
  <c r="Y399" i="1"/>
  <c r="AA399" i="1" s="1"/>
  <c r="W399" i="1"/>
  <c r="V399" i="1"/>
  <c r="U399" i="1"/>
  <c r="R399" i="1"/>
  <c r="X399" i="1" s="1"/>
  <c r="O399" i="1"/>
  <c r="L399" i="1"/>
  <c r="V398" i="1"/>
  <c r="S398" i="1"/>
  <c r="Y398" i="1" s="1"/>
  <c r="M398" i="1"/>
  <c r="Y397" i="1"/>
  <c r="V397" i="1"/>
  <c r="S397" i="1"/>
  <c r="M397" i="1"/>
  <c r="V396" i="1"/>
  <c r="S396" i="1"/>
  <c r="Y396" i="1" s="1"/>
  <c r="M396" i="1"/>
  <c r="Y395" i="1"/>
  <c r="V395" i="1"/>
  <c r="S395" i="1"/>
  <c r="M395" i="1"/>
  <c r="V394" i="1"/>
  <c r="S394" i="1"/>
  <c r="Y394" i="1" s="1"/>
  <c r="M394" i="1"/>
  <c r="Y393" i="1"/>
  <c r="V393" i="1"/>
  <c r="S393" i="1"/>
  <c r="M393" i="1"/>
  <c r="V392" i="1"/>
  <c r="S392" i="1"/>
  <c r="Y392" i="1" s="1"/>
  <c r="M392" i="1"/>
  <c r="Y391" i="1"/>
  <c r="V391" i="1"/>
  <c r="S391" i="1"/>
  <c r="M391" i="1"/>
  <c r="Z390" i="1"/>
  <c r="X390" i="1"/>
  <c r="W390" i="1"/>
  <c r="Z389" i="1"/>
  <c r="Y389" i="1"/>
  <c r="AA389" i="1" s="1"/>
  <c r="W389" i="1"/>
  <c r="V389" i="1"/>
  <c r="U389" i="1"/>
  <c r="R389" i="1"/>
  <c r="X389" i="1" s="1"/>
  <c r="O389" i="1"/>
  <c r="L389" i="1"/>
  <c r="V388" i="1"/>
  <c r="S388" i="1"/>
  <c r="Y388" i="1" s="1"/>
  <c r="M388" i="1"/>
  <c r="Y387" i="1"/>
  <c r="V387" i="1"/>
  <c r="S387" i="1"/>
  <c r="M387" i="1"/>
  <c r="V386" i="1"/>
  <c r="S386" i="1"/>
  <c r="Y386" i="1" s="1"/>
  <c r="M386" i="1"/>
  <c r="Y385" i="1"/>
  <c r="V385" i="1"/>
  <c r="S385" i="1"/>
  <c r="M385" i="1"/>
  <c r="J384" i="1" s="1"/>
  <c r="W384" i="1"/>
  <c r="T384" i="1"/>
  <c r="Z384" i="1" s="1"/>
  <c r="S384" i="1"/>
  <c r="P384" i="1"/>
  <c r="N384" i="1"/>
  <c r="V383" i="1"/>
  <c r="S383" i="1"/>
  <c r="Y383" i="1" s="1"/>
  <c r="M383" i="1"/>
  <c r="J379" i="1" s="1"/>
  <c r="Y382" i="1"/>
  <c r="V382" i="1"/>
  <c r="S382" i="1"/>
  <c r="M382" i="1"/>
  <c r="V381" i="1"/>
  <c r="S381" i="1"/>
  <c r="M381" i="1"/>
  <c r="V380" i="1"/>
  <c r="S380" i="1"/>
  <c r="Y380" i="1" s="1"/>
  <c r="M380" i="1"/>
  <c r="W379" i="1"/>
  <c r="T379" i="1"/>
  <c r="Z379" i="1" s="1"/>
  <c r="N379" i="1"/>
  <c r="Y378" i="1"/>
  <c r="V378" i="1"/>
  <c r="S378" i="1"/>
  <c r="M378" i="1"/>
  <c r="V377" i="1"/>
  <c r="S377" i="1"/>
  <c r="Y377" i="1" s="1"/>
  <c r="M377" i="1"/>
  <c r="Y376" i="1"/>
  <c r="V376" i="1"/>
  <c r="S376" i="1"/>
  <c r="M376" i="1"/>
  <c r="V375" i="1"/>
  <c r="S375" i="1"/>
  <c r="Y375" i="1" s="1"/>
  <c r="M375" i="1"/>
  <c r="V374" i="1"/>
  <c r="S374" i="1"/>
  <c r="Y374" i="1" s="1"/>
  <c r="M374" i="1"/>
  <c r="V373" i="1"/>
  <c r="S373" i="1"/>
  <c r="Y373" i="1" s="1"/>
  <c r="M373" i="1"/>
  <c r="V372" i="1"/>
  <c r="S372" i="1"/>
  <c r="Y372" i="1" s="1"/>
  <c r="M372" i="1"/>
  <c r="V371" i="1"/>
  <c r="S371" i="1"/>
  <c r="Y371" i="1" s="1"/>
  <c r="M371" i="1"/>
  <c r="Z370" i="1"/>
  <c r="X370" i="1"/>
  <c r="W370" i="1"/>
  <c r="AA369" i="1"/>
  <c r="Z369" i="1"/>
  <c r="Y369" i="1"/>
  <c r="W369" i="1"/>
  <c r="V369" i="1"/>
  <c r="U369" i="1"/>
  <c r="R369" i="1"/>
  <c r="X369" i="1" s="1"/>
  <c r="O369" i="1"/>
  <c r="L369" i="1"/>
  <c r="Y368" i="1"/>
  <c r="V368" i="1"/>
  <c r="S368" i="1"/>
  <c r="M368" i="1"/>
  <c r="V367" i="1"/>
  <c r="S367" i="1"/>
  <c r="Y367" i="1" s="1"/>
  <c r="M367" i="1"/>
  <c r="Y366" i="1"/>
  <c r="V366" i="1"/>
  <c r="S366" i="1"/>
  <c r="M366" i="1"/>
  <c r="V365" i="1"/>
  <c r="S365" i="1"/>
  <c r="Y365" i="1" s="1"/>
  <c r="M365" i="1"/>
  <c r="V364" i="1"/>
  <c r="S364" i="1"/>
  <c r="Y364" i="1" s="1"/>
  <c r="M364" i="1"/>
  <c r="V363" i="1"/>
  <c r="S363" i="1"/>
  <c r="Y363" i="1" s="1"/>
  <c r="M363" i="1"/>
  <c r="V362" i="1"/>
  <c r="S362" i="1"/>
  <c r="Y362" i="1" s="1"/>
  <c r="M362" i="1"/>
  <c r="V361" i="1"/>
  <c r="S361" i="1"/>
  <c r="Y361" i="1" s="1"/>
  <c r="M361" i="1"/>
  <c r="Z360" i="1"/>
  <c r="X360" i="1"/>
  <c r="W360" i="1"/>
  <c r="AA359" i="1"/>
  <c r="Z359" i="1"/>
  <c r="Y359" i="1"/>
  <c r="W359" i="1"/>
  <c r="V359" i="1"/>
  <c r="U359" i="1"/>
  <c r="R359" i="1"/>
  <c r="X359" i="1" s="1"/>
  <c r="O359" i="1"/>
  <c r="L359" i="1"/>
  <c r="Y358" i="1"/>
  <c r="V358" i="1"/>
  <c r="S358" i="1"/>
  <c r="M358" i="1"/>
  <c r="V357" i="1"/>
  <c r="S357" i="1"/>
  <c r="Y357" i="1" s="1"/>
  <c r="M357" i="1"/>
  <c r="Y356" i="1"/>
  <c r="V356" i="1"/>
  <c r="S356" i="1"/>
  <c r="M356" i="1"/>
  <c r="J354" i="1" s="1"/>
  <c r="L354" i="1" s="1"/>
  <c r="V355" i="1"/>
  <c r="S355" i="1"/>
  <c r="M355" i="1"/>
  <c r="Z354" i="1"/>
  <c r="W354" i="1"/>
  <c r="T354" i="1"/>
  <c r="N354" i="1"/>
  <c r="Y353" i="1"/>
  <c r="V353" i="1"/>
  <c r="S353" i="1"/>
  <c r="M353" i="1"/>
  <c r="V352" i="1"/>
  <c r="S352" i="1"/>
  <c r="Y352" i="1" s="1"/>
  <c r="M352" i="1"/>
  <c r="Y351" i="1"/>
  <c r="V351" i="1"/>
  <c r="S351" i="1"/>
  <c r="M351" i="1"/>
  <c r="V350" i="1"/>
  <c r="S350" i="1"/>
  <c r="M350" i="1"/>
  <c r="Z349" i="1"/>
  <c r="W349" i="1"/>
  <c r="T349" i="1"/>
  <c r="N349" i="1"/>
  <c r="Y348" i="1"/>
  <c r="V348" i="1"/>
  <c r="S348" i="1"/>
  <c r="M348" i="1"/>
  <c r="V347" i="1"/>
  <c r="S347" i="1"/>
  <c r="Y347" i="1" s="1"/>
  <c r="M347" i="1"/>
  <c r="Y346" i="1"/>
  <c r="V346" i="1"/>
  <c r="S346" i="1"/>
  <c r="M346" i="1"/>
  <c r="V345" i="1"/>
  <c r="S345" i="1"/>
  <c r="M345" i="1"/>
  <c r="Z344" i="1"/>
  <c r="W344" i="1"/>
  <c r="T344" i="1"/>
  <c r="N344" i="1"/>
  <c r="Y343" i="1"/>
  <c r="V343" i="1"/>
  <c r="S343" i="1"/>
  <c r="M343" i="1"/>
  <c r="V342" i="1"/>
  <c r="S342" i="1"/>
  <c r="Y342" i="1" s="1"/>
  <c r="M342" i="1"/>
  <c r="Y341" i="1"/>
  <c r="V341" i="1"/>
  <c r="S341" i="1"/>
  <c r="M341" i="1"/>
  <c r="V340" i="1"/>
  <c r="S340" i="1"/>
  <c r="Y340" i="1" s="1"/>
  <c r="M340" i="1"/>
  <c r="Y339" i="1"/>
  <c r="V339" i="1"/>
  <c r="S339" i="1"/>
  <c r="M339" i="1"/>
  <c r="V338" i="1"/>
  <c r="S338" i="1"/>
  <c r="Y338" i="1" s="1"/>
  <c r="M338" i="1"/>
  <c r="Y337" i="1"/>
  <c r="V337" i="1"/>
  <c r="S337" i="1"/>
  <c r="M337" i="1"/>
  <c r="V336" i="1"/>
  <c r="S336" i="1"/>
  <c r="Y336" i="1" s="1"/>
  <c r="M336" i="1"/>
  <c r="Z335" i="1"/>
  <c r="X335" i="1"/>
  <c r="W335" i="1"/>
  <c r="Z334" i="1"/>
  <c r="Y334" i="1"/>
  <c r="AA334" i="1" s="1"/>
  <c r="X334" i="1"/>
  <c r="W334" i="1"/>
  <c r="V334" i="1"/>
  <c r="U334" i="1"/>
  <c r="R334" i="1"/>
  <c r="O334" i="1"/>
  <c r="L334" i="1"/>
  <c r="Y333" i="1"/>
  <c r="V333" i="1"/>
  <c r="S333" i="1"/>
  <c r="M333" i="1"/>
  <c r="Y332" i="1"/>
  <c r="V332" i="1"/>
  <c r="S332" i="1"/>
  <c r="M332" i="1"/>
  <c r="Y331" i="1"/>
  <c r="V331" i="1"/>
  <c r="S331" i="1"/>
  <c r="M331" i="1"/>
  <c r="Y330" i="1"/>
  <c r="V330" i="1"/>
  <c r="S330" i="1"/>
  <c r="M330" i="1"/>
  <c r="Y329" i="1"/>
  <c r="V329" i="1"/>
  <c r="S329" i="1"/>
  <c r="M329" i="1"/>
  <c r="Y328" i="1"/>
  <c r="V328" i="1"/>
  <c r="S328" i="1"/>
  <c r="M328" i="1"/>
  <c r="Y327" i="1"/>
  <c r="V327" i="1"/>
  <c r="S327" i="1"/>
  <c r="M327" i="1"/>
  <c r="Y326" i="1"/>
  <c r="V326" i="1"/>
  <c r="S326" i="1"/>
  <c r="M326" i="1"/>
  <c r="Z325" i="1"/>
  <c r="X325" i="1"/>
  <c r="W325" i="1"/>
  <c r="Z324" i="1"/>
  <c r="AA324" i="1" s="1"/>
  <c r="Y324" i="1"/>
  <c r="X324" i="1"/>
  <c r="W324" i="1"/>
  <c r="V324" i="1"/>
  <c r="U324" i="1"/>
  <c r="R324" i="1"/>
  <c r="O324" i="1"/>
  <c r="L324" i="1"/>
  <c r="Y323" i="1"/>
  <c r="V323" i="1"/>
  <c r="S323" i="1"/>
  <c r="M323" i="1"/>
  <c r="V322" i="1"/>
  <c r="S322" i="1"/>
  <c r="Y322" i="1" s="1"/>
  <c r="M322" i="1"/>
  <c r="Y321" i="1"/>
  <c r="V321" i="1"/>
  <c r="S321" i="1"/>
  <c r="M321" i="1"/>
  <c r="V320" i="1"/>
  <c r="S320" i="1"/>
  <c r="Y320" i="1" s="1"/>
  <c r="M320" i="1"/>
  <c r="V319" i="1"/>
  <c r="S319" i="1"/>
  <c r="Y319" i="1" s="1"/>
  <c r="M319" i="1"/>
  <c r="V318" i="1"/>
  <c r="S318" i="1"/>
  <c r="Y318" i="1" s="1"/>
  <c r="M318" i="1"/>
  <c r="V317" i="1"/>
  <c r="S317" i="1"/>
  <c r="Y317" i="1" s="1"/>
  <c r="M317" i="1"/>
  <c r="Y316" i="1"/>
  <c r="V316" i="1"/>
  <c r="S316" i="1"/>
  <c r="M316" i="1"/>
  <c r="Z315" i="1"/>
  <c r="X315" i="1"/>
  <c r="W315" i="1"/>
  <c r="Z314" i="1"/>
  <c r="AA314" i="1" s="1"/>
  <c r="Y314" i="1"/>
  <c r="X314" i="1"/>
  <c r="W314" i="1"/>
  <c r="V314" i="1"/>
  <c r="U314" i="1"/>
  <c r="R314" i="1"/>
  <c r="O314" i="1"/>
  <c r="L314" i="1"/>
  <c r="V313" i="1"/>
  <c r="S313" i="1"/>
  <c r="Y313" i="1" s="1"/>
  <c r="M313" i="1"/>
  <c r="V312" i="1"/>
  <c r="S312" i="1"/>
  <c r="Y312" i="1" s="1"/>
  <c r="M312" i="1"/>
  <c r="V311" i="1"/>
  <c r="S311" i="1"/>
  <c r="Y311" i="1" s="1"/>
  <c r="M311" i="1"/>
  <c r="V310" i="1"/>
  <c r="S310" i="1"/>
  <c r="Y310" i="1" s="1"/>
  <c r="M310" i="1"/>
  <c r="J309" i="1" s="1"/>
  <c r="W309" i="1"/>
  <c r="T309" i="1"/>
  <c r="Z309" i="1" s="1"/>
  <c r="P309" i="1"/>
  <c r="N309" i="1"/>
  <c r="V308" i="1"/>
  <c r="S308" i="1"/>
  <c r="Y308" i="1" s="1"/>
  <c r="M308" i="1"/>
  <c r="V307" i="1"/>
  <c r="S307" i="1"/>
  <c r="Y307" i="1" s="1"/>
  <c r="M307" i="1"/>
  <c r="V306" i="1"/>
  <c r="S306" i="1"/>
  <c r="Y306" i="1" s="1"/>
  <c r="M306" i="1"/>
  <c r="V305" i="1"/>
  <c r="S305" i="1"/>
  <c r="Y305" i="1" s="1"/>
  <c r="M305" i="1"/>
  <c r="V304" i="1"/>
  <c r="S304" i="1"/>
  <c r="Y304" i="1" s="1"/>
  <c r="M304" i="1"/>
  <c r="V303" i="1"/>
  <c r="S303" i="1"/>
  <c r="Y303" i="1" s="1"/>
  <c r="M303" i="1"/>
  <c r="V302" i="1"/>
  <c r="S302" i="1"/>
  <c r="Y302" i="1" s="1"/>
  <c r="M302" i="1"/>
  <c r="V301" i="1"/>
  <c r="S301" i="1"/>
  <c r="Y301" i="1" s="1"/>
  <c r="M301" i="1"/>
  <c r="Z300" i="1"/>
  <c r="X300" i="1"/>
  <c r="W300" i="1"/>
  <c r="Z299" i="1"/>
  <c r="Y299" i="1"/>
  <c r="AA299" i="1" s="1"/>
  <c r="W299" i="1"/>
  <c r="V299" i="1"/>
  <c r="U299" i="1"/>
  <c r="R299" i="1"/>
  <c r="X299" i="1" s="1"/>
  <c r="O299" i="1"/>
  <c r="L299" i="1"/>
  <c r="V298" i="1"/>
  <c r="S298" i="1"/>
  <c r="Y298" i="1" s="1"/>
  <c r="M298" i="1"/>
  <c r="Y297" i="1"/>
  <c r="V297" i="1"/>
  <c r="S297" i="1"/>
  <c r="M297" i="1"/>
  <c r="W296" i="1"/>
  <c r="T296" i="1"/>
  <c r="Z296" i="1" s="1"/>
  <c r="P296" i="1"/>
  <c r="R296" i="1" s="1"/>
  <c r="X296" i="1" s="1"/>
  <c r="N296" i="1"/>
  <c r="J296" i="1"/>
  <c r="L296" i="1" s="1"/>
  <c r="V295" i="1"/>
  <c r="S295" i="1"/>
  <c r="Y295" i="1" s="1"/>
  <c r="M295" i="1"/>
  <c r="Y294" i="1"/>
  <c r="V294" i="1"/>
  <c r="S294" i="1"/>
  <c r="M294" i="1"/>
  <c r="V293" i="1"/>
  <c r="S293" i="1"/>
  <c r="Y293" i="1" s="1"/>
  <c r="M293" i="1"/>
  <c r="Y292" i="1"/>
  <c r="V292" i="1"/>
  <c r="S292" i="1"/>
  <c r="M292" i="1"/>
  <c r="Z291" i="1"/>
  <c r="X291" i="1"/>
  <c r="W291" i="1"/>
  <c r="Z290" i="1"/>
  <c r="Y290" i="1"/>
  <c r="AA290" i="1" s="1"/>
  <c r="W290" i="1"/>
  <c r="V290" i="1"/>
  <c r="U290" i="1"/>
  <c r="R290" i="1"/>
  <c r="X290" i="1" s="1"/>
  <c r="O290" i="1"/>
  <c r="L290" i="1"/>
  <c r="V289" i="1"/>
  <c r="S289" i="1"/>
  <c r="Y289" i="1" s="1"/>
  <c r="M289" i="1"/>
  <c r="Y288" i="1"/>
  <c r="V288" i="1"/>
  <c r="S288" i="1"/>
  <c r="M288" i="1"/>
  <c r="J286" i="1" s="1"/>
  <c r="M286" i="1" s="1"/>
  <c r="V287" i="1"/>
  <c r="S287" i="1"/>
  <c r="M287" i="1"/>
  <c r="Z286" i="1"/>
  <c r="W286" i="1"/>
  <c r="T286" i="1"/>
  <c r="N286" i="1"/>
  <c r="O286" i="1" s="1"/>
  <c r="L286" i="1"/>
  <c r="Y285" i="1"/>
  <c r="V285" i="1"/>
  <c r="S285" i="1"/>
  <c r="M285" i="1"/>
  <c r="Y284" i="1"/>
  <c r="V284" i="1"/>
  <c r="S284" i="1"/>
  <c r="M284" i="1"/>
  <c r="Y283" i="1"/>
  <c r="V283" i="1"/>
  <c r="S283" i="1"/>
  <c r="M283" i="1"/>
  <c r="J281" i="1" s="1"/>
  <c r="Y282" i="1"/>
  <c r="V282" i="1"/>
  <c r="S282" i="1"/>
  <c r="P281" i="1" s="1"/>
  <c r="V281" i="1" s="1"/>
  <c r="M282" i="1"/>
  <c r="Z281" i="1"/>
  <c r="X281" i="1"/>
  <c r="W281" i="1"/>
  <c r="U281" i="1"/>
  <c r="T281" i="1"/>
  <c r="S281" i="1"/>
  <c r="R281" i="1"/>
  <c r="N281" i="1"/>
  <c r="N262" i="1" s="1"/>
  <c r="Y280" i="1"/>
  <c r="V280" i="1"/>
  <c r="S280" i="1"/>
  <c r="M280" i="1"/>
  <c r="V279" i="1"/>
  <c r="S279" i="1"/>
  <c r="Y279" i="1" s="1"/>
  <c r="M279" i="1"/>
  <c r="Y278" i="1"/>
  <c r="V278" i="1"/>
  <c r="S278" i="1"/>
  <c r="M278" i="1"/>
  <c r="V277" i="1"/>
  <c r="S277" i="1"/>
  <c r="Y277" i="1" s="1"/>
  <c r="M277" i="1"/>
  <c r="Y276" i="1"/>
  <c r="V276" i="1"/>
  <c r="S276" i="1"/>
  <c r="M276" i="1"/>
  <c r="V275" i="1"/>
  <c r="S275" i="1"/>
  <c r="Y275" i="1" s="1"/>
  <c r="M275" i="1"/>
  <c r="Z274" i="1"/>
  <c r="X274" i="1"/>
  <c r="W274" i="1"/>
  <c r="Z273" i="1"/>
  <c r="AA273" i="1" s="1"/>
  <c r="Y273" i="1"/>
  <c r="X273" i="1"/>
  <c r="W273" i="1"/>
  <c r="V273" i="1"/>
  <c r="U273" i="1"/>
  <c r="R273" i="1"/>
  <c r="O273" i="1"/>
  <c r="L273" i="1"/>
  <c r="V272" i="1"/>
  <c r="S272" i="1"/>
  <c r="Y272" i="1" s="1"/>
  <c r="M272" i="1"/>
  <c r="Y271" i="1"/>
  <c r="V271" i="1"/>
  <c r="S271" i="1"/>
  <c r="M271" i="1"/>
  <c r="V270" i="1"/>
  <c r="S270" i="1"/>
  <c r="Y270" i="1" s="1"/>
  <c r="M270" i="1"/>
  <c r="V269" i="1"/>
  <c r="S269" i="1"/>
  <c r="Y269" i="1" s="1"/>
  <c r="M269" i="1"/>
  <c r="V268" i="1"/>
  <c r="S268" i="1"/>
  <c r="Y268" i="1" s="1"/>
  <c r="M268" i="1"/>
  <c r="V267" i="1"/>
  <c r="S267" i="1"/>
  <c r="Y267" i="1" s="1"/>
  <c r="M267" i="1"/>
  <c r="V266" i="1"/>
  <c r="S266" i="1"/>
  <c r="Y266" i="1" s="1"/>
  <c r="M266" i="1"/>
  <c r="V265" i="1"/>
  <c r="S265" i="1"/>
  <c r="Y265" i="1" s="1"/>
  <c r="M265" i="1"/>
  <c r="Z264" i="1"/>
  <c r="X264" i="1"/>
  <c r="W264" i="1"/>
  <c r="AA263" i="1"/>
  <c r="Z263" i="1"/>
  <c r="Y263" i="1"/>
  <c r="X263" i="1"/>
  <c r="W263" i="1"/>
  <c r="V263" i="1"/>
  <c r="U263" i="1"/>
  <c r="R263" i="1"/>
  <c r="O263" i="1"/>
  <c r="L263" i="1"/>
  <c r="T262" i="1"/>
  <c r="Y261" i="1"/>
  <c r="V261" i="1"/>
  <c r="S261" i="1"/>
  <c r="M261" i="1"/>
  <c r="Z260" i="1"/>
  <c r="Y260" i="1"/>
  <c r="AA260" i="1" s="1"/>
  <c r="W260" i="1"/>
  <c r="V260" i="1"/>
  <c r="T260" i="1"/>
  <c r="R260" i="1"/>
  <c r="X260" i="1" s="1"/>
  <c r="P260" i="1"/>
  <c r="S260" i="1" s="1"/>
  <c r="N260" i="1"/>
  <c r="J260" i="1"/>
  <c r="V259" i="1"/>
  <c r="S259" i="1"/>
  <c r="Y259" i="1" s="1"/>
  <c r="M259" i="1"/>
  <c r="Y258" i="1"/>
  <c r="V258" i="1"/>
  <c r="S258" i="1"/>
  <c r="M258" i="1"/>
  <c r="Z257" i="1"/>
  <c r="X257" i="1"/>
  <c r="W257" i="1"/>
  <c r="Z256" i="1"/>
  <c r="Y256" i="1"/>
  <c r="AA256" i="1" s="1"/>
  <c r="W256" i="1"/>
  <c r="V256" i="1"/>
  <c r="U256" i="1"/>
  <c r="R256" i="1"/>
  <c r="X256" i="1" s="1"/>
  <c r="O256" i="1"/>
  <c r="L256" i="1"/>
  <c r="Y255" i="1"/>
  <c r="V255" i="1"/>
  <c r="S255" i="1"/>
  <c r="P254" i="1" s="1"/>
  <c r="V254" i="1" s="1"/>
  <c r="M255" i="1"/>
  <c r="Z254" i="1"/>
  <c r="AA254" i="1" s="1"/>
  <c r="X254" i="1"/>
  <c r="W254" i="1"/>
  <c r="U254" i="1"/>
  <c r="T254" i="1"/>
  <c r="S254" i="1"/>
  <c r="Y254" i="1" s="1"/>
  <c r="R254" i="1"/>
  <c r="N254" i="1"/>
  <c r="O254" i="1" s="1"/>
  <c r="L254" i="1"/>
  <c r="J254" i="1"/>
  <c r="M254" i="1" s="1"/>
  <c r="Y253" i="1"/>
  <c r="V253" i="1"/>
  <c r="S253" i="1"/>
  <c r="M253" i="1"/>
  <c r="Y252" i="1"/>
  <c r="AA252" i="1" s="1"/>
  <c r="W252" i="1"/>
  <c r="V252" i="1"/>
  <c r="T252" i="1"/>
  <c r="Z252" i="1" s="1"/>
  <c r="S252" i="1"/>
  <c r="U252" i="1" s="1"/>
  <c r="P252" i="1"/>
  <c r="R252" i="1" s="1"/>
  <c r="X252" i="1" s="1"/>
  <c r="N252" i="1"/>
  <c r="J252" i="1"/>
  <c r="Y251" i="1"/>
  <c r="V251" i="1"/>
  <c r="S251" i="1"/>
  <c r="P250" i="1" s="1"/>
  <c r="V250" i="1" s="1"/>
  <c r="M251" i="1"/>
  <c r="Z250" i="1"/>
  <c r="X250" i="1"/>
  <c r="W250" i="1"/>
  <c r="U250" i="1"/>
  <c r="T250" i="1"/>
  <c r="S250" i="1"/>
  <c r="Y250" i="1" s="1"/>
  <c r="AA250" i="1" s="1"/>
  <c r="R250" i="1"/>
  <c r="N250" i="1"/>
  <c r="L250" i="1"/>
  <c r="J250" i="1"/>
  <c r="M250" i="1" s="1"/>
  <c r="O250" i="1" s="1"/>
  <c r="Y249" i="1"/>
  <c r="V249" i="1"/>
  <c r="S249" i="1"/>
  <c r="M249" i="1"/>
  <c r="W248" i="1"/>
  <c r="V248" i="1"/>
  <c r="T248" i="1"/>
  <c r="Z248" i="1" s="1"/>
  <c r="P248" i="1"/>
  <c r="R248" i="1" s="1"/>
  <c r="X248" i="1" s="1"/>
  <c r="N248" i="1"/>
  <c r="J248" i="1"/>
  <c r="L248" i="1" s="1"/>
  <c r="V247" i="1"/>
  <c r="S247" i="1"/>
  <c r="M247" i="1"/>
  <c r="Z246" i="1"/>
  <c r="W246" i="1"/>
  <c r="T246" i="1"/>
  <c r="N246" i="1"/>
  <c r="L246" i="1"/>
  <c r="J246" i="1"/>
  <c r="M246" i="1" s="1"/>
  <c r="O246" i="1" s="1"/>
  <c r="Y245" i="1"/>
  <c r="V245" i="1"/>
  <c r="S245" i="1"/>
  <c r="M245" i="1"/>
  <c r="W244" i="1"/>
  <c r="T244" i="1"/>
  <c r="Z244" i="1" s="1"/>
  <c r="P244" i="1"/>
  <c r="S244" i="1" s="1"/>
  <c r="N244" i="1"/>
  <c r="J244" i="1"/>
  <c r="L244" i="1" s="1"/>
  <c r="V243" i="1"/>
  <c r="S243" i="1"/>
  <c r="Y243" i="1" s="1"/>
  <c r="M243" i="1"/>
  <c r="Y242" i="1"/>
  <c r="V242" i="1"/>
  <c r="S242" i="1"/>
  <c r="M242" i="1"/>
  <c r="Z241" i="1"/>
  <c r="X241" i="1"/>
  <c r="W241" i="1"/>
  <c r="Z240" i="1"/>
  <c r="Y240" i="1"/>
  <c r="W240" i="1"/>
  <c r="V240" i="1"/>
  <c r="U240" i="1"/>
  <c r="R240" i="1"/>
  <c r="X240" i="1" s="1"/>
  <c r="O240" i="1"/>
  <c r="L240" i="1"/>
  <c r="Y239" i="1"/>
  <c r="V239" i="1"/>
  <c r="S239" i="1"/>
  <c r="M239" i="1"/>
  <c r="V238" i="1"/>
  <c r="S238" i="1"/>
  <c r="Y238" i="1" s="1"/>
  <c r="M238" i="1"/>
  <c r="Z237" i="1"/>
  <c r="X237" i="1"/>
  <c r="W237" i="1"/>
  <c r="Z236" i="1"/>
  <c r="Y236" i="1"/>
  <c r="AA236" i="1" s="1"/>
  <c r="W236" i="1"/>
  <c r="V236" i="1"/>
  <c r="U236" i="1"/>
  <c r="R236" i="1"/>
  <c r="X236" i="1" s="1"/>
  <c r="O236" i="1"/>
  <c r="L236" i="1"/>
  <c r="Y235" i="1"/>
  <c r="V235" i="1"/>
  <c r="S235" i="1"/>
  <c r="M235" i="1"/>
  <c r="V234" i="1"/>
  <c r="S234" i="1"/>
  <c r="Y234" i="1" s="1"/>
  <c r="M234" i="1"/>
  <c r="Z233" i="1"/>
  <c r="X233" i="1"/>
  <c r="W233" i="1"/>
  <c r="Z232" i="1"/>
  <c r="Y232" i="1"/>
  <c r="AA232" i="1" s="1"/>
  <c r="X232" i="1"/>
  <c r="W232" i="1"/>
  <c r="V232" i="1"/>
  <c r="U232" i="1"/>
  <c r="R232" i="1"/>
  <c r="O232" i="1"/>
  <c r="L232" i="1"/>
  <c r="Y231" i="1"/>
  <c r="V231" i="1"/>
  <c r="S231" i="1"/>
  <c r="M231" i="1"/>
  <c r="V230" i="1"/>
  <c r="S230" i="1"/>
  <c r="Y230" i="1" s="1"/>
  <c r="M230" i="1"/>
  <c r="Z229" i="1"/>
  <c r="X229" i="1"/>
  <c r="W229" i="1"/>
  <c r="AA228" i="1"/>
  <c r="Z228" i="1"/>
  <c r="Y228" i="1"/>
  <c r="X228" i="1"/>
  <c r="W228" i="1"/>
  <c r="V228" i="1"/>
  <c r="U228" i="1"/>
  <c r="R228" i="1"/>
  <c r="O228" i="1"/>
  <c r="L228" i="1"/>
  <c r="Y227" i="1"/>
  <c r="V227" i="1"/>
  <c r="S227" i="1"/>
  <c r="M227" i="1"/>
  <c r="V226" i="1"/>
  <c r="S226" i="1"/>
  <c r="Y226" i="1" s="1"/>
  <c r="M226" i="1"/>
  <c r="Z225" i="1"/>
  <c r="X225" i="1"/>
  <c r="W225" i="1"/>
  <c r="Z224" i="1"/>
  <c r="AA224" i="1" s="1"/>
  <c r="Y224" i="1"/>
  <c r="X224" i="1"/>
  <c r="W224" i="1"/>
  <c r="V224" i="1"/>
  <c r="U224" i="1"/>
  <c r="R224" i="1"/>
  <c r="O224" i="1"/>
  <c r="L224" i="1"/>
  <c r="V223" i="1"/>
  <c r="S223" i="1"/>
  <c r="Y223" i="1" s="1"/>
  <c r="M223" i="1"/>
  <c r="Y222" i="1"/>
  <c r="V222" i="1"/>
  <c r="S222" i="1"/>
  <c r="M222" i="1"/>
  <c r="Z221" i="1"/>
  <c r="X221" i="1"/>
  <c r="W221" i="1"/>
  <c r="Z220" i="1"/>
  <c r="AA220" i="1" s="1"/>
  <c r="Y220" i="1"/>
  <c r="X220" i="1"/>
  <c r="W220" i="1"/>
  <c r="V220" i="1"/>
  <c r="U220" i="1"/>
  <c r="R220" i="1"/>
  <c r="O220" i="1"/>
  <c r="L220" i="1"/>
  <c r="V219" i="1"/>
  <c r="S219" i="1"/>
  <c r="Y219" i="1" s="1"/>
  <c r="M219" i="1"/>
  <c r="X218" i="1"/>
  <c r="W218" i="1"/>
  <c r="T218" i="1"/>
  <c r="Z218" i="1" s="1"/>
  <c r="P218" i="1"/>
  <c r="R218" i="1" s="1"/>
  <c r="O218" i="1"/>
  <c r="N218" i="1"/>
  <c r="M218" i="1"/>
  <c r="L218" i="1"/>
  <c r="J218" i="1"/>
  <c r="V217" i="1"/>
  <c r="S217" i="1"/>
  <c r="Y217" i="1" s="1"/>
  <c r="M217" i="1"/>
  <c r="V216" i="1"/>
  <c r="S216" i="1"/>
  <c r="Y216" i="1" s="1"/>
  <c r="M216" i="1"/>
  <c r="Z215" i="1"/>
  <c r="X215" i="1"/>
  <c r="W215" i="1"/>
  <c r="Z214" i="1"/>
  <c r="Y214" i="1"/>
  <c r="AA214" i="1" s="1"/>
  <c r="W214" i="1"/>
  <c r="V214" i="1"/>
  <c r="U214" i="1"/>
  <c r="R214" i="1"/>
  <c r="X214" i="1" s="1"/>
  <c r="O214" i="1"/>
  <c r="L214" i="1"/>
  <c r="Y213" i="1"/>
  <c r="V213" i="1"/>
  <c r="S213" i="1"/>
  <c r="M213" i="1"/>
  <c r="Y212" i="1"/>
  <c r="W212" i="1"/>
  <c r="V212" i="1"/>
  <c r="T212" i="1"/>
  <c r="Z212" i="1" s="1"/>
  <c r="P212" i="1"/>
  <c r="S212" i="1" s="1"/>
  <c r="N212" i="1"/>
  <c r="J212" i="1"/>
  <c r="L212" i="1" s="1"/>
  <c r="V211" i="1"/>
  <c r="S211" i="1"/>
  <c r="Y211" i="1" s="1"/>
  <c r="M211" i="1"/>
  <c r="Y210" i="1"/>
  <c r="V210" i="1"/>
  <c r="S210" i="1"/>
  <c r="M210" i="1"/>
  <c r="Z209" i="1"/>
  <c r="X209" i="1"/>
  <c r="W209" i="1"/>
  <c r="Z208" i="1"/>
  <c r="Y208" i="1"/>
  <c r="W208" i="1"/>
  <c r="V208" i="1"/>
  <c r="U208" i="1"/>
  <c r="R208" i="1"/>
  <c r="X208" i="1" s="1"/>
  <c r="O208" i="1"/>
  <c r="L208" i="1"/>
  <c r="Y207" i="1"/>
  <c r="V207" i="1"/>
  <c r="S207" i="1"/>
  <c r="P206" i="1" s="1"/>
  <c r="V206" i="1" s="1"/>
  <c r="M207" i="1"/>
  <c r="Z206" i="1"/>
  <c r="X206" i="1"/>
  <c r="W206" i="1"/>
  <c r="U206" i="1"/>
  <c r="T206" i="1"/>
  <c r="S206" i="1"/>
  <c r="Y206" i="1" s="1"/>
  <c r="AA206" i="1" s="1"/>
  <c r="R206" i="1"/>
  <c r="N206" i="1"/>
  <c r="L206" i="1"/>
  <c r="J206" i="1"/>
  <c r="M206" i="1" s="1"/>
  <c r="O206" i="1" s="1"/>
  <c r="Y205" i="1"/>
  <c r="V205" i="1"/>
  <c r="S205" i="1"/>
  <c r="M205" i="1"/>
  <c r="V204" i="1"/>
  <c r="S204" i="1"/>
  <c r="Y204" i="1" s="1"/>
  <c r="M204" i="1"/>
  <c r="Z203" i="1"/>
  <c r="X203" i="1"/>
  <c r="W203" i="1"/>
  <c r="AA202" i="1"/>
  <c r="Z202" i="1"/>
  <c r="Y202" i="1"/>
  <c r="X202" i="1"/>
  <c r="W202" i="1"/>
  <c r="V202" i="1"/>
  <c r="U202" i="1"/>
  <c r="R202" i="1"/>
  <c r="O202" i="1"/>
  <c r="L202" i="1"/>
  <c r="V201" i="1"/>
  <c r="S201" i="1"/>
  <c r="Y201" i="1" s="1"/>
  <c r="M201" i="1"/>
  <c r="J200" i="1" s="1"/>
  <c r="W200" i="1"/>
  <c r="T200" i="1"/>
  <c r="P200" i="1"/>
  <c r="N200" i="1"/>
  <c r="V199" i="1"/>
  <c r="S199" i="1"/>
  <c r="Y199" i="1" s="1"/>
  <c r="M199" i="1"/>
  <c r="V198" i="1"/>
  <c r="S198" i="1"/>
  <c r="Y198" i="1" s="1"/>
  <c r="M198" i="1"/>
  <c r="Z197" i="1"/>
  <c r="X197" i="1"/>
  <c r="W197" i="1"/>
  <c r="Z196" i="1"/>
  <c r="Y196" i="1"/>
  <c r="AA196" i="1" s="1"/>
  <c r="W196" i="1"/>
  <c r="V196" i="1"/>
  <c r="U196" i="1"/>
  <c r="R196" i="1"/>
  <c r="X196" i="1" s="1"/>
  <c r="O196" i="1"/>
  <c r="L196" i="1"/>
  <c r="V194" i="1"/>
  <c r="S194" i="1"/>
  <c r="Y194" i="1" s="1"/>
  <c r="M194" i="1"/>
  <c r="Y193" i="1"/>
  <c r="V193" i="1"/>
  <c r="S193" i="1"/>
  <c r="M193" i="1"/>
  <c r="J191" i="1" s="1"/>
  <c r="M191" i="1" s="1"/>
  <c r="V192" i="1"/>
  <c r="S192" i="1"/>
  <c r="M192" i="1"/>
  <c r="Z191" i="1"/>
  <c r="W191" i="1"/>
  <c r="T191" i="1"/>
  <c r="O191" i="1"/>
  <c r="N191" i="1"/>
  <c r="Y190" i="1"/>
  <c r="V190" i="1"/>
  <c r="S190" i="1"/>
  <c r="M190" i="1"/>
  <c r="V189" i="1"/>
  <c r="S189" i="1"/>
  <c r="Y189" i="1" s="1"/>
  <c r="M189" i="1"/>
  <c r="Y188" i="1"/>
  <c r="V188" i="1"/>
  <c r="S188" i="1"/>
  <c r="M188" i="1"/>
  <c r="V187" i="1"/>
  <c r="S187" i="1"/>
  <c r="Y187" i="1" s="1"/>
  <c r="M187" i="1"/>
  <c r="Y186" i="1"/>
  <c r="V186" i="1"/>
  <c r="S186" i="1"/>
  <c r="M186" i="1"/>
  <c r="V185" i="1"/>
  <c r="S185" i="1"/>
  <c r="Y185" i="1" s="1"/>
  <c r="M185" i="1"/>
  <c r="Z184" i="1"/>
  <c r="X184" i="1"/>
  <c r="W184" i="1"/>
  <c r="Z183" i="1"/>
  <c r="Y183" i="1"/>
  <c r="AA183" i="1" s="1"/>
  <c r="X183" i="1"/>
  <c r="W183" i="1"/>
  <c r="V183" i="1"/>
  <c r="U183" i="1"/>
  <c r="R183" i="1"/>
  <c r="O183" i="1"/>
  <c r="L183" i="1"/>
  <c r="Y182" i="1"/>
  <c r="V182" i="1"/>
  <c r="S182" i="1"/>
  <c r="M182" i="1"/>
  <c r="Y181" i="1"/>
  <c r="V181" i="1"/>
  <c r="S181" i="1"/>
  <c r="M181" i="1"/>
  <c r="Y180" i="1"/>
  <c r="V180" i="1"/>
  <c r="S180" i="1"/>
  <c r="M180" i="1"/>
  <c r="J178" i="1" s="1"/>
  <c r="M178" i="1" s="1"/>
  <c r="Y179" i="1"/>
  <c r="V179" i="1"/>
  <c r="S179" i="1"/>
  <c r="P178" i="1" s="1"/>
  <c r="V178" i="1" s="1"/>
  <c r="M179" i="1"/>
  <c r="Z178" i="1"/>
  <c r="AA178" i="1" s="1"/>
  <c r="X178" i="1"/>
  <c r="W178" i="1"/>
  <c r="U178" i="1"/>
  <c r="T178" i="1"/>
  <c r="S178" i="1"/>
  <c r="Y178" i="1" s="1"/>
  <c r="R178" i="1"/>
  <c r="N178" i="1"/>
  <c r="L178" i="1"/>
  <c r="Y177" i="1"/>
  <c r="V177" i="1"/>
  <c r="S177" i="1"/>
  <c r="M177" i="1"/>
  <c r="V176" i="1"/>
  <c r="S176" i="1"/>
  <c r="Y176" i="1" s="1"/>
  <c r="M176" i="1"/>
  <c r="Y175" i="1"/>
  <c r="V175" i="1"/>
  <c r="S175" i="1"/>
  <c r="M175" i="1"/>
  <c r="V174" i="1"/>
  <c r="S174" i="1"/>
  <c r="Y174" i="1" s="1"/>
  <c r="M174" i="1"/>
  <c r="Y173" i="1"/>
  <c r="V173" i="1"/>
  <c r="S173" i="1"/>
  <c r="M173" i="1"/>
  <c r="V172" i="1"/>
  <c r="S172" i="1"/>
  <c r="Y172" i="1" s="1"/>
  <c r="M172" i="1"/>
  <c r="Y171" i="1"/>
  <c r="V171" i="1"/>
  <c r="S171" i="1"/>
  <c r="M171" i="1"/>
  <c r="V170" i="1"/>
  <c r="S170" i="1"/>
  <c r="Y170" i="1" s="1"/>
  <c r="M170" i="1"/>
  <c r="Z169" i="1"/>
  <c r="X169" i="1"/>
  <c r="W169" i="1"/>
  <c r="Z168" i="1"/>
  <c r="AA168" i="1" s="1"/>
  <c r="Y168" i="1"/>
  <c r="X168" i="1"/>
  <c r="W168" i="1"/>
  <c r="V168" i="1"/>
  <c r="U168" i="1"/>
  <c r="R168" i="1"/>
  <c r="O168" i="1"/>
  <c r="L168" i="1"/>
  <c r="V167" i="1"/>
  <c r="S167" i="1"/>
  <c r="Y167" i="1" s="1"/>
  <c r="M167" i="1"/>
  <c r="J166" i="1" s="1"/>
  <c r="W166" i="1"/>
  <c r="T166" i="1"/>
  <c r="S166" i="1"/>
  <c r="P166" i="1"/>
  <c r="N166" i="1"/>
  <c r="V165" i="1"/>
  <c r="S165" i="1"/>
  <c r="Y165" i="1" s="1"/>
  <c r="M165" i="1"/>
  <c r="V164" i="1"/>
  <c r="S164" i="1"/>
  <c r="Y164" i="1" s="1"/>
  <c r="M164" i="1"/>
  <c r="Z163" i="1"/>
  <c r="X163" i="1"/>
  <c r="W163" i="1"/>
  <c r="AA162" i="1"/>
  <c r="Z162" i="1"/>
  <c r="Y162" i="1"/>
  <c r="W162" i="1"/>
  <c r="V162" i="1"/>
  <c r="U162" i="1"/>
  <c r="R162" i="1"/>
  <c r="X162" i="1" s="1"/>
  <c r="O162" i="1"/>
  <c r="L162" i="1"/>
  <c r="Y156" i="1"/>
  <c r="V156" i="1"/>
  <c r="S156" i="1"/>
  <c r="M156" i="1"/>
  <c r="V155" i="1"/>
  <c r="S155" i="1"/>
  <c r="Y155" i="1" s="1"/>
  <c r="M155" i="1"/>
  <c r="Y154" i="1"/>
  <c r="V154" i="1"/>
  <c r="S154" i="1"/>
  <c r="M154" i="1"/>
  <c r="V153" i="1"/>
  <c r="S153" i="1"/>
  <c r="M153" i="1"/>
  <c r="Y152" i="1"/>
  <c r="V152" i="1"/>
  <c r="S152" i="1"/>
  <c r="M152" i="1"/>
  <c r="Z151" i="1"/>
  <c r="W151" i="1"/>
  <c r="T151" i="1"/>
  <c r="N151" i="1"/>
  <c r="J151" i="1"/>
  <c r="V150" i="1"/>
  <c r="S150" i="1"/>
  <c r="Y150" i="1" s="1"/>
  <c r="M150" i="1"/>
  <c r="Y149" i="1"/>
  <c r="V149" i="1"/>
  <c r="S149" i="1"/>
  <c r="M149" i="1"/>
  <c r="V148" i="1"/>
  <c r="S148" i="1"/>
  <c r="Y148" i="1" s="1"/>
  <c r="M148" i="1"/>
  <c r="Y147" i="1"/>
  <c r="V147" i="1"/>
  <c r="S147" i="1"/>
  <c r="M147" i="1"/>
  <c r="V146" i="1"/>
  <c r="S146" i="1"/>
  <c r="M146" i="1"/>
  <c r="Z145" i="1"/>
  <c r="W145" i="1"/>
  <c r="T145" i="1"/>
  <c r="N145" i="1"/>
  <c r="Y144" i="1"/>
  <c r="V144" i="1"/>
  <c r="S144" i="1"/>
  <c r="M144" i="1"/>
  <c r="V143" i="1"/>
  <c r="S143" i="1"/>
  <c r="Y143" i="1" s="1"/>
  <c r="M143" i="1"/>
  <c r="Y142" i="1"/>
  <c r="V142" i="1"/>
  <c r="S142" i="1"/>
  <c r="M142" i="1"/>
  <c r="V141" i="1"/>
  <c r="S141" i="1"/>
  <c r="Y141" i="1" s="1"/>
  <c r="M141" i="1"/>
  <c r="Y140" i="1"/>
  <c r="V140" i="1"/>
  <c r="S140" i="1"/>
  <c r="M140" i="1"/>
  <c r="J139" i="1" s="1"/>
  <c r="Z139" i="1"/>
  <c r="W139" i="1"/>
  <c r="T139" i="1"/>
  <c r="P139" i="1"/>
  <c r="S139" i="1" s="1"/>
  <c r="U139" i="1" s="1"/>
  <c r="N139" i="1"/>
  <c r="V138" i="1"/>
  <c r="S138" i="1"/>
  <c r="Y138" i="1" s="1"/>
  <c r="M138" i="1"/>
  <c r="Y137" i="1"/>
  <c r="V137" i="1"/>
  <c r="S137" i="1"/>
  <c r="M137" i="1"/>
  <c r="V136" i="1"/>
  <c r="S136" i="1"/>
  <c r="Y136" i="1" s="1"/>
  <c r="M136" i="1"/>
  <c r="V135" i="1"/>
  <c r="S135" i="1"/>
  <c r="Y135" i="1" s="1"/>
  <c r="M135" i="1"/>
  <c r="J133" i="1" s="1"/>
  <c r="V134" i="1"/>
  <c r="S134" i="1"/>
  <c r="Y134" i="1" s="1"/>
  <c r="M134" i="1"/>
  <c r="Z133" i="1"/>
  <c r="W133" i="1"/>
  <c r="T133" i="1"/>
  <c r="P133" i="1"/>
  <c r="N133" i="1"/>
  <c r="V132" i="1"/>
  <c r="S132" i="1"/>
  <c r="Y132" i="1" s="1"/>
  <c r="M132" i="1"/>
  <c r="V131" i="1"/>
  <c r="S131" i="1"/>
  <c r="Y131" i="1" s="1"/>
  <c r="M131" i="1"/>
  <c r="V130" i="1"/>
  <c r="S130" i="1"/>
  <c r="Y130" i="1" s="1"/>
  <c r="M130" i="1"/>
  <c r="V129" i="1"/>
  <c r="S129" i="1"/>
  <c r="Y129" i="1" s="1"/>
  <c r="M129" i="1"/>
  <c r="V128" i="1"/>
  <c r="S128" i="1"/>
  <c r="M128" i="1"/>
  <c r="J127" i="1" s="1"/>
  <c r="W127" i="1"/>
  <c r="T127" i="1"/>
  <c r="Z127" i="1" s="1"/>
  <c r="N127" i="1"/>
  <c r="V126" i="1"/>
  <c r="S126" i="1"/>
  <c r="Y126" i="1" s="1"/>
  <c r="M126" i="1"/>
  <c r="V125" i="1"/>
  <c r="S125" i="1"/>
  <c r="Y125" i="1" s="1"/>
  <c r="M125" i="1"/>
  <c r="V124" i="1"/>
  <c r="S124" i="1"/>
  <c r="Y124" i="1" s="1"/>
  <c r="M124" i="1"/>
  <c r="V123" i="1"/>
  <c r="S123" i="1"/>
  <c r="Y123" i="1" s="1"/>
  <c r="M123" i="1"/>
  <c r="V122" i="1"/>
  <c r="S122" i="1"/>
  <c r="Y122" i="1" s="1"/>
  <c r="M122" i="1"/>
  <c r="V121" i="1"/>
  <c r="S121" i="1"/>
  <c r="Y121" i="1" s="1"/>
  <c r="M121" i="1"/>
  <c r="V120" i="1"/>
  <c r="S120" i="1"/>
  <c r="Y120" i="1" s="1"/>
  <c r="M120" i="1"/>
  <c r="V119" i="1"/>
  <c r="S119" i="1"/>
  <c r="Y119" i="1" s="1"/>
  <c r="M119" i="1"/>
  <c r="V118" i="1"/>
  <c r="S118" i="1"/>
  <c r="Y118" i="1" s="1"/>
  <c r="M118" i="1"/>
  <c r="V117" i="1"/>
  <c r="S117" i="1"/>
  <c r="Y117" i="1" s="1"/>
  <c r="M117" i="1"/>
  <c r="Z116" i="1"/>
  <c r="X116" i="1"/>
  <c r="W116" i="1"/>
  <c r="Z115" i="1"/>
  <c r="Y115" i="1"/>
  <c r="AA115" i="1" s="1"/>
  <c r="X115" i="1"/>
  <c r="W115" i="1"/>
  <c r="V115" i="1"/>
  <c r="U115" i="1"/>
  <c r="R115" i="1"/>
  <c r="O115" i="1"/>
  <c r="L115" i="1"/>
  <c r="V114" i="1"/>
  <c r="S114" i="1"/>
  <c r="Y114" i="1" s="1"/>
  <c r="M114" i="1"/>
  <c r="Y113" i="1"/>
  <c r="V113" i="1"/>
  <c r="S113" i="1"/>
  <c r="M113" i="1"/>
  <c r="V112" i="1"/>
  <c r="S112" i="1"/>
  <c r="Y112" i="1" s="1"/>
  <c r="M112" i="1"/>
  <c r="Y111" i="1"/>
  <c r="V111" i="1"/>
  <c r="S111" i="1"/>
  <c r="M111" i="1"/>
  <c r="V110" i="1"/>
  <c r="S110" i="1"/>
  <c r="Y110" i="1" s="1"/>
  <c r="M110" i="1"/>
  <c r="Y109" i="1"/>
  <c r="V109" i="1"/>
  <c r="S109" i="1"/>
  <c r="M109" i="1"/>
  <c r="V108" i="1"/>
  <c r="S108" i="1"/>
  <c r="Y108" i="1" s="1"/>
  <c r="M108" i="1"/>
  <c r="Y107" i="1"/>
  <c r="V107" i="1"/>
  <c r="S107" i="1"/>
  <c r="M107" i="1"/>
  <c r="V106" i="1"/>
  <c r="S106" i="1"/>
  <c r="Y106" i="1" s="1"/>
  <c r="M106" i="1"/>
  <c r="Y105" i="1"/>
  <c r="V105" i="1"/>
  <c r="S105" i="1"/>
  <c r="M105" i="1"/>
  <c r="Z104" i="1"/>
  <c r="X104" i="1"/>
  <c r="W104" i="1"/>
  <c r="Z103" i="1"/>
  <c r="Y103" i="1"/>
  <c r="AA103" i="1" s="1"/>
  <c r="W103" i="1"/>
  <c r="V103" i="1"/>
  <c r="U103" i="1"/>
  <c r="R103" i="1"/>
  <c r="X103" i="1" s="1"/>
  <c r="O103" i="1"/>
  <c r="L103" i="1"/>
  <c r="V102" i="1"/>
  <c r="S102" i="1"/>
  <c r="Y102" i="1" s="1"/>
  <c r="M102" i="1"/>
  <c r="Y101" i="1"/>
  <c r="V101" i="1"/>
  <c r="S101" i="1"/>
  <c r="M101" i="1"/>
  <c r="V100" i="1"/>
  <c r="S100" i="1"/>
  <c r="Y100" i="1" s="1"/>
  <c r="M100" i="1"/>
  <c r="Y99" i="1"/>
  <c r="V99" i="1"/>
  <c r="S99" i="1"/>
  <c r="M99" i="1"/>
  <c r="V98" i="1"/>
  <c r="S98" i="1"/>
  <c r="Y98" i="1" s="1"/>
  <c r="M98" i="1"/>
  <c r="Y97" i="1"/>
  <c r="V97" i="1"/>
  <c r="S97" i="1"/>
  <c r="M97" i="1"/>
  <c r="V96" i="1"/>
  <c r="S96" i="1"/>
  <c r="Y96" i="1" s="1"/>
  <c r="M96" i="1"/>
  <c r="Y95" i="1"/>
  <c r="V95" i="1"/>
  <c r="S95" i="1"/>
  <c r="M95" i="1"/>
  <c r="V94" i="1"/>
  <c r="S94" i="1"/>
  <c r="Y94" i="1" s="1"/>
  <c r="M94" i="1"/>
  <c r="Y93" i="1"/>
  <c r="V93" i="1"/>
  <c r="S93" i="1"/>
  <c r="M93" i="1"/>
  <c r="Z92" i="1"/>
  <c r="X92" i="1"/>
  <c r="W92" i="1"/>
  <c r="Z91" i="1"/>
  <c r="Y91" i="1"/>
  <c r="AA91" i="1" s="1"/>
  <c r="W91" i="1"/>
  <c r="V91" i="1"/>
  <c r="U91" i="1"/>
  <c r="R91" i="1"/>
  <c r="X91" i="1" s="1"/>
  <c r="O91" i="1"/>
  <c r="L91" i="1"/>
  <c r="Y90" i="1"/>
  <c r="V90" i="1"/>
  <c r="S90" i="1"/>
  <c r="M90" i="1"/>
  <c r="V89" i="1"/>
  <c r="S89" i="1"/>
  <c r="Y89" i="1" s="1"/>
  <c r="M89" i="1"/>
  <c r="Y88" i="1"/>
  <c r="V88" i="1"/>
  <c r="S88" i="1"/>
  <c r="M88" i="1"/>
  <c r="V87" i="1"/>
  <c r="S87" i="1"/>
  <c r="Y87" i="1" s="1"/>
  <c r="M87" i="1"/>
  <c r="Y86" i="1"/>
  <c r="V86" i="1"/>
  <c r="S86" i="1"/>
  <c r="M86" i="1"/>
  <c r="V85" i="1"/>
  <c r="S85" i="1"/>
  <c r="Y85" i="1" s="1"/>
  <c r="M85" i="1"/>
  <c r="Y84" i="1"/>
  <c r="V84" i="1"/>
  <c r="S84" i="1"/>
  <c r="M84" i="1"/>
  <c r="V83" i="1"/>
  <c r="S83" i="1"/>
  <c r="Y83" i="1" s="1"/>
  <c r="M83" i="1"/>
  <c r="Y82" i="1"/>
  <c r="V82" i="1"/>
  <c r="S82" i="1"/>
  <c r="M82" i="1"/>
  <c r="V81" i="1"/>
  <c r="S81" i="1"/>
  <c r="Y81" i="1" s="1"/>
  <c r="M81" i="1"/>
  <c r="Z80" i="1"/>
  <c r="X80" i="1"/>
  <c r="W80" i="1"/>
  <c r="Z79" i="1"/>
  <c r="Y79" i="1"/>
  <c r="AA79" i="1" s="1"/>
  <c r="X79" i="1"/>
  <c r="W79" i="1"/>
  <c r="V79" i="1"/>
  <c r="U79" i="1"/>
  <c r="R79" i="1"/>
  <c r="O79" i="1"/>
  <c r="L79" i="1"/>
  <c r="V78" i="1"/>
  <c r="S78" i="1"/>
  <c r="Y78" i="1" s="1"/>
  <c r="M78" i="1"/>
  <c r="V77" i="1"/>
  <c r="S77" i="1"/>
  <c r="Y77" i="1" s="1"/>
  <c r="M77" i="1"/>
  <c r="V76" i="1"/>
  <c r="S76" i="1"/>
  <c r="Y76" i="1" s="1"/>
  <c r="M76" i="1"/>
  <c r="V75" i="1"/>
  <c r="S75" i="1"/>
  <c r="Y75" i="1" s="1"/>
  <c r="M75" i="1"/>
  <c r="V74" i="1"/>
  <c r="S74" i="1"/>
  <c r="Y74" i="1" s="1"/>
  <c r="M74" i="1"/>
  <c r="V73" i="1"/>
  <c r="S73" i="1"/>
  <c r="Y73" i="1" s="1"/>
  <c r="M73" i="1"/>
  <c r="V72" i="1"/>
  <c r="S72" i="1"/>
  <c r="Y72" i="1" s="1"/>
  <c r="M72" i="1"/>
  <c r="V71" i="1"/>
  <c r="S71" i="1"/>
  <c r="Y71" i="1" s="1"/>
  <c r="M71" i="1"/>
  <c r="V70" i="1"/>
  <c r="S70" i="1"/>
  <c r="Y70" i="1" s="1"/>
  <c r="M70" i="1"/>
  <c r="V69" i="1"/>
  <c r="S69" i="1"/>
  <c r="Y69" i="1" s="1"/>
  <c r="M69" i="1"/>
  <c r="Z68" i="1"/>
  <c r="X68" i="1"/>
  <c r="W68" i="1"/>
  <c r="AA67" i="1"/>
  <c r="Z67" i="1"/>
  <c r="Y67" i="1"/>
  <c r="W67" i="1"/>
  <c r="V67" i="1"/>
  <c r="U67" i="1"/>
  <c r="R67" i="1"/>
  <c r="X67" i="1" s="1"/>
  <c r="O67" i="1"/>
  <c r="L67" i="1"/>
  <c r="Y66" i="1"/>
  <c r="V66" i="1"/>
  <c r="S66" i="1"/>
  <c r="M66" i="1"/>
  <c r="V65" i="1"/>
  <c r="S65" i="1"/>
  <c r="Y65" i="1" s="1"/>
  <c r="M65" i="1"/>
  <c r="Y64" i="1"/>
  <c r="V64" i="1"/>
  <c r="S64" i="1"/>
  <c r="M64" i="1"/>
  <c r="V63" i="1"/>
  <c r="S63" i="1"/>
  <c r="Y63" i="1" s="1"/>
  <c r="M63" i="1"/>
  <c r="Y62" i="1"/>
  <c r="V62" i="1"/>
  <c r="S62" i="1"/>
  <c r="M62" i="1"/>
  <c r="J61" i="1" s="1"/>
  <c r="Z61" i="1"/>
  <c r="W61" i="1"/>
  <c r="T61" i="1"/>
  <c r="N61" i="1"/>
  <c r="V60" i="1"/>
  <c r="S60" i="1"/>
  <c r="Y60" i="1" s="1"/>
  <c r="M60" i="1"/>
  <c r="Y59" i="1"/>
  <c r="V59" i="1"/>
  <c r="S59" i="1"/>
  <c r="M59" i="1"/>
  <c r="V58" i="1"/>
  <c r="S58" i="1"/>
  <c r="Y58" i="1" s="1"/>
  <c r="M58" i="1"/>
  <c r="Y57" i="1"/>
  <c r="V57" i="1"/>
  <c r="S57" i="1"/>
  <c r="M57" i="1"/>
  <c r="J55" i="1" s="1"/>
  <c r="M55" i="1" s="1"/>
  <c r="O55" i="1" s="1"/>
  <c r="V56" i="1"/>
  <c r="S56" i="1"/>
  <c r="M56" i="1"/>
  <c r="Z55" i="1"/>
  <c r="W55" i="1"/>
  <c r="T55" i="1"/>
  <c r="N55" i="1"/>
  <c r="N14" i="1" s="1"/>
  <c r="N13" i="1" s="1"/>
  <c r="N12" i="1" s="1"/>
  <c r="Y54" i="1"/>
  <c r="V54" i="1"/>
  <c r="S54" i="1"/>
  <c r="M54" i="1"/>
  <c r="V53" i="1"/>
  <c r="S53" i="1"/>
  <c r="Y53" i="1" s="1"/>
  <c r="M53" i="1"/>
  <c r="V52" i="1"/>
  <c r="S52" i="1"/>
  <c r="Y52" i="1" s="1"/>
  <c r="M52" i="1"/>
  <c r="V51" i="1"/>
  <c r="S51" i="1"/>
  <c r="Y51" i="1" s="1"/>
  <c r="M51" i="1"/>
  <c r="V50" i="1"/>
  <c r="S50" i="1"/>
  <c r="Y50" i="1" s="1"/>
  <c r="M50" i="1"/>
  <c r="V49" i="1"/>
  <c r="S49" i="1"/>
  <c r="Y49" i="1" s="1"/>
  <c r="M49" i="1"/>
  <c r="V48" i="1"/>
  <c r="S48" i="1"/>
  <c r="Y48" i="1" s="1"/>
  <c r="M48" i="1"/>
  <c r="V47" i="1"/>
  <c r="S47" i="1"/>
  <c r="Y47" i="1" s="1"/>
  <c r="M47" i="1"/>
  <c r="Z46" i="1"/>
  <c r="X46" i="1"/>
  <c r="W46" i="1"/>
  <c r="Z45" i="1"/>
  <c r="Y45" i="1"/>
  <c r="AA45" i="1" s="1"/>
  <c r="X45" i="1"/>
  <c r="W45" i="1"/>
  <c r="V45" i="1"/>
  <c r="U45" i="1"/>
  <c r="R45" i="1"/>
  <c r="O45" i="1"/>
  <c r="L45" i="1"/>
  <c r="Y44" i="1"/>
  <c r="V44" i="1"/>
  <c r="S44" i="1"/>
  <c r="M44" i="1"/>
  <c r="V43" i="1"/>
  <c r="S43" i="1"/>
  <c r="Y43" i="1" s="1"/>
  <c r="M43" i="1"/>
  <c r="Y42" i="1"/>
  <c r="V42" i="1"/>
  <c r="S42" i="1"/>
  <c r="M42" i="1"/>
  <c r="V41" i="1"/>
  <c r="S41" i="1"/>
  <c r="Y41" i="1" s="1"/>
  <c r="M41" i="1"/>
  <c r="Y40" i="1"/>
  <c r="V40" i="1"/>
  <c r="S40" i="1"/>
  <c r="M40" i="1"/>
  <c r="V39" i="1"/>
  <c r="S39" i="1"/>
  <c r="Y39" i="1" s="1"/>
  <c r="M39" i="1"/>
  <c r="Y38" i="1"/>
  <c r="V38" i="1"/>
  <c r="S38" i="1"/>
  <c r="M38" i="1"/>
  <c r="V37" i="1"/>
  <c r="S37" i="1"/>
  <c r="Y37" i="1" s="1"/>
  <c r="M37" i="1"/>
  <c r="Y36" i="1"/>
  <c r="V36" i="1"/>
  <c r="S36" i="1"/>
  <c r="M36" i="1"/>
  <c r="V35" i="1"/>
  <c r="S35" i="1"/>
  <c r="Y35" i="1" s="1"/>
  <c r="M35" i="1"/>
  <c r="Z34" i="1"/>
  <c r="X34" i="1"/>
  <c r="W34" i="1"/>
  <c r="Z33" i="1"/>
  <c r="AA33" i="1" s="1"/>
  <c r="Y33" i="1"/>
  <c r="X33" i="1"/>
  <c r="W33" i="1"/>
  <c r="V33" i="1"/>
  <c r="U33" i="1"/>
  <c r="R33" i="1"/>
  <c r="O33" i="1"/>
  <c r="L33" i="1"/>
  <c r="V32" i="1"/>
  <c r="S32" i="1"/>
  <c r="Y32" i="1" s="1"/>
  <c r="M32" i="1"/>
  <c r="Y31" i="1"/>
  <c r="V31" i="1"/>
  <c r="S31" i="1"/>
  <c r="M31" i="1"/>
  <c r="V30" i="1"/>
  <c r="S30" i="1"/>
  <c r="Y30" i="1" s="1"/>
  <c r="M30" i="1"/>
  <c r="Y29" i="1"/>
  <c r="V29" i="1"/>
  <c r="S29" i="1"/>
  <c r="M29" i="1"/>
  <c r="V28" i="1"/>
  <c r="S28" i="1"/>
  <c r="P27" i="1" s="1"/>
  <c r="S27" i="1" s="1"/>
  <c r="M28" i="1"/>
  <c r="J27" i="1" s="1"/>
  <c r="W27" i="1"/>
  <c r="T27" i="1"/>
  <c r="N27" i="1"/>
  <c r="Y26" i="1"/>
  <c r="V26" i="1"/>
  <c r="S26" i="1"/>
  <c r="M26" i="1"/>
  <c r="V25" i="1"/>
  <c r="S25" i="1"/>
  <c r="Y25" i="1" s="1"/>
  <c r="M25" i="1"/>
  <c r="Y24" i="1"/>
  <c r="V24" i="1"/>
  <c r="S24" i="1"/>
  <c r="M24" i="1"/>
  <c r="V23" i="1"/>
  <c r="S23" i="1"/>
  <c r="Y23" i="1" s="1"/>
  <c r="M23" i="1"/>
  <c r="Y22" i="1"/>
  <c r="V22" i="1"/>
  <c r="S22" i="1"/>
  <c r="M22" i="1"/>
  <c r="V21" i="1"/>
  <c r="S21" i="1"/>
  <c r="Y21" i="1" s="1"/>
  <c r="M21" i="1"/>
  <c r="Y20" i="1"/>
  <c r="V20" i="1"/>
  <c r="S20" i="1"/>
  <c r="M20" i="1"/>
  <c r="V19" i="1"/>
  <c r="S19" i="1"/>
  <c r="Y19" i="1" s="1"/>
  <c r="M19" i="1"/>
  <c r="Y18" i="1"/>
  <c r="V18" i="1"/>
  <c r="S18" i="1"/>
  <c r="M18" i="1"/>
  <c r="V17" i="1"/>
  <c r="S17" i="1"/>
  <c r="Y17" i="1" s="1"/>
  <c r="M17" i="1"/>
  <c r="Z16" i="1"/>
  <c r="X16" i="1"/>
  <c r="W16" i="1"/>
  <c r="Z15" i="1"/>
  <c r="Y15" i="1"/>
  <c r="AA15" i="1" s="1"/>
  <c r="X15" i="1"/>
  <c r="W15" i="1"/>
  <c r="V15" i="1"/>
  <c r="U15" i="1"/>
  <c r="R15" i="1"/>
  <c r="O15" i="1"/>
  <c r="L15" i="1"/>
  <c r="N11" i="1"/>
  <c r="N10" i="1"/>
  <c r="P519" i="7" l="1"/>
  <c r="S519" i="7" s="1"/>
  <c r="R333" i="7"/>
  <c r="S333" i="7"/>
  <c r="P237" i="7"/>
  <c r="P197" i="7"/>
  <c r="P80" i="7"/>
  <c r="P232" i="7"/>
  <c r="P471" i="7"/>
  <c r="R471" i="7" s="1"/>
  <c r="P192" i="7"/>
  <c r="S192" i="7" s="1"/>
  <c r="U192" i="7" s="1"/>
  <c r="U530" i="7"/>
  <c r="P104" i="7"/>
  <c r="P262" i="7"/>
  <c r="T299" i="7"/>
  <c r="P459" i="7"/>
  <c r="P92" i="7"/>
  <c r="S92" i="7" s="1"/>
  <c r="U92" i="7" s="1"/>
  <c r="P648" i="7"/>
  <c r="S648" i="7" s="1"/>
  <c r="U648" i="7" s="1"/>
  <c r="P639" i="7"/>
  <c r="S639" i="7" s="1"/>
  <c r="U639" i="7" s="1"/>
  <c r="P626" i="7"/>
  <c r="S626" i="7" s="1"/>
  <c r="P600" i="7"/>
  <c r="S600" i="7" s="1"/>
  <c r="P593" i="7"/>
  <c r="P588" i="7"/>
  <c r="R588" i="7" s="1"/>
  <c r="P583" i="7"/>
  <c r="R583" i="7" s="1"/>
  <c r="P578" i="7"/>
  <c r="R578" i="7" s="1"/>
  <c r="P573" i="7"/>
  <c r="S573" i="7" s="1"/>
  <c r="U573" i="7" s="1"/>
  <c r="P568" i="7"/>
  <c r="R568" i="7" s="1"/>
  <c r="P563" i="7"/>
  <c r="R563" i="7" s="1"/>
  <c r="P558" i="7"/>
  <c r="S558" i="7" s="1"/>
  <c r="P551" i="7"/>
  <c r="P514" i="7"/>
  <c r="R514" i="7" s="1"/>
  <c r="P495" i="7"/>
  <c r="R495" i="7" s="1"/>
  <c r="R483" i="7"/>
  <c r="S483" i="7"/>
  <c r="U483" i="7" s="1"/>
  <c r="P477" i="7"/>
  <c r="S477" i="7" s="1"/>
  <c r="J124" i="7"/>
  <c r="S197" i="7"/>
  <c r="R197" i="7"/>
  <c r="S374" i="7"/>
  <c r="R374" i="7"/>
  <c r="R80" i="7"/>
  <c r="S80" i="7"/>
  <c r="U80" i="7" s="1"/>
  <c r="S104" i="7"/>
  <c r="R104" i="7"/>
  <c r="L140" i="7"/>
  <c r="L180" i="7"/>
  <c r="L197" i="7"/>
  <c r="S514" i="7"/>
  <c r="R593" i="7"/>
  <c r="S593" i="7"/>
  <c r="U593" i="7" s="1"/>
  <c r="S447" i="7"/>
  <c r="U447" i="7" s="1"/>
  <c r="R447" i="7"/>
  <c r="L302" i="7"/>
  <c r="S495" i="7"/>
  <c r="U495" i="7" s="1"/>
  <c r="L192" i="7"/>
  <c r="L232" i="7"/>
  <c r="S563" i="7"/>
  <c r="U563" i="7" s="1"/>
  <c r="S583" i="7"/>
  <c r="U583" i="7" s="1"/>
  <c r="S341" i="7"/>
  <c r="R341" i="7"/>
  <c r="L148" i="7"/>
  <c r="S636" i="7"/>
  <c r="R636" i="7"/>
  <c r="S302" i="7"/>
  <c r="R302" i="7"/>
  <c r="L124" i="7"/>
  <c r="L212" i="7"/>
  <c r="L237" i="7"/>
  <c r="L242" i="7"/>
  <c r="L277" i="7"/>
  <c r="L282" i="7"/>
  <c r="L447" i="7"/>
  <c r="R630" i="7"/>
  <c r="T642" i="7"/>
  <c r="R310" i="7"/>
  <c r="R313" i="7"/>
  <c r="J366" i="7"/>
  <c r="L366" i="7" s="1"/>
  <c r="R633" i="7"/>
  <c r="T682" i="7"/>
  <c r="J104" i="7"/>
  <c r="P124" i="7"/>
  <c r="S124" i="7" s="1"/>
  <c r="J294" i="7"/>
  <c r="J363" i="7"/>
  <c r="L363" i="7" s="1"/>
  <c r="T605" i="7"/>
  <c r="P669" i="7"/>
  <c r="S669" i="7" s="1"/>
  <c r="J80" i="7"/>
  <c r="L80" i="7" s="1"/>
  <c r="J98" i="7"/>
  <c r="L117" i="7"/>
  <c r="P212" i="7"/>
  <c r="J21" i="7"/>
  <c r="P98" i="7"/>
  <c r="S98" i="7" s="1"/>
  <c r="J204" i="7"/>
  <c r="J413" i="7"/>
  <c r="L413" i="7" s="1"/>
  <c r="P424" i="7"/>
  <c r="T14" i="7"/>
  <c r="T13" i="7" s="1"/>
  <c r="T12" i="7" s="1"/>
  <c r="T11" i="7" s="1"/>
  <c r="T10" i="7" s="1"/>
  <c r="R519" i="7"/>
  <c r="P621" i="7"/>
  <c r="S621" i="7" s="1"/>
  <c r="J44" i="7"/>
  <c r="J257" i="7"/>
  <c r="P321" i="7"/>
  <c r="R321" i="7" s="1"/>
  <c r="U449" i="7"/>
  <c r="P465" i="7"/>
  <c r="P501" i="7"/>
  <c r="R501" i="7" s="1"/>
  <c r="L104" i="7"/>
  <c r="L21" i="7"/>
  <c r="L98" i="7"/>
  <c r="L168" i="7"/>
  <c r="L172" i="7"/>
  <c r="L176" i="7"/>
  <c r="L144" i="7"/>
  <c r="L86" i="7"/>
  <c r="L92" i="7"/>
  <c r="L44" i="7"/>
  <c r="U144" i="7"/>
  <c r="P21" i="7"/>
  <c r="T137" i="7"/>
  <c r="P204" i="7"/>
  <c r="U600" i="7"/>
  <c r="U599" i="7" s="1"/>
  <c r="S599" i="7"/>
  <c r="S133" i="7"/>
  <c r="R133" i="7"/>
  <c r="P117" i="7"/>
  <c r="U166" i="7"/>
  <c r="S321" i="7"/>
  <c r="S299" i="7" s="1"/>
  <c r="S366" i="7"/>
  <c r="R366" i="7"/>
  <c r="P38" i="7"/>
  <c r="R172" i="7"/>
  <c r="S172" i="7"/>
  <c r="R98" i="7"/>
  <c r="R168" i="7"/>
  <c r="S168" i="7"/>
  <c r="L333" i="7"/>
  <c r="U197" i="7"/>
  <c r="L262" i="7"/>
  <c r="U310" i="7"/>
  <c r="L313" i="7"/>
  <c r="P360" i="7"/>
  <c r="L133" i="7"/>
  <c r="U174" i="7"/>
  <c r="P44" i="7"/>
  <c r="U104" i="7"/>
  <c r="R144" i="7"/>
  <c r="U170" i="7"/>
  <c r="U341" i="7"/>
  <c r="S327" i="7"/>
  <c r="J38" i="7"/>
  <c r="U86" i="7"/>
  <c r="T114" i="7"/>
  <c r="S148" i="7"/>
  <c r="U152" i="7"/>
  <c r="R176" i="7"/>
  <c r="S176" i="7"/>
  <c r="R242" i="7"/>
  <c r="S242" i="7"/>
  <c r="S262" i="7"/>
  <c r="R262" i="7"/>
  <c r="L204" i="7"/>
  <c r="P140" i="7"/>
  <c r="S212" i="7"/>
  <c r="R212" i="7"/>
  <c r="L360" i="7"/>
  <c r="L424" i="7"/>
  <c r="R424" i="7"/>
  <c r="S424" i="7"/>
  <c r="S180" i="7"/>
  <c r="L257" i="7"/>
  <c r="P277" i="7"/>
  <c r="P282" i="7"/>
  <c r="L341" i="7"/>
  <c r="S357" i="7"/>
  <c r="R357" i="7"/>
  <c r="S376" i="7"/>
  <c r="R376" i="7"/>
  <c r="R86" i="7"/>
  <c r="R152" i="7"/>
  <c r="R166" i="7"/>
  <c r="R170" i="7"/>
  <c r="R174" i="7"/>
  <c r="T182" i="7"/>
  <c r="L310" i="7"/>
  <c r="L357" i="7"/>
  <c r="P257" i="7"/>
  <c r="J321" i="7"/>
  <c r="P363" i="7"/>
  <c r="T369" i="7"/>
  <c r="R232" i="7"/>
  <c r="R237" i="7"/>
  <c r="L152" i="7"/>
  <c r="L166" i="7"/>
  <c r="L170" i="7"/>
  <c r="L174" i="7"/>
  <c r="R192" i="7"/>
  <c r="S232" i="7"/>
  <c r="S237" i="7"/>
  <c r="T327" i="7"/>
  <c r="T326" i="7" s="1"/>
  <c r="P435" i="7"/>
  <c r="J435" i="7"/>
  <c r="T287" i="7"/>
  <c r="S294" i="7"/>
  <c r="R294" i="7"/>
  <c r="U302" i="7"/>
  <c r="U313" i="7"/>
  <c r="L374" i="7"/>
  <c r="R459" i="7"/>
  <c r="S459" i="7"/>
  <c r="S528" i="7"/>
  <c r="R528" i="7"/>
  <c r="S465" i="7"/>
  <c r="R465" i="7"/>
  <c r="S512" i="7"/>
  <c r="R512" i="7"/>
  <c r="U547" i="7"/>
  <c r="U333" i="7"/>
  <c r="U374" i="7"/>
  <c r="P526" i="7"/>
  <c r="P413" i="7"/>
  <c r="T458" i="7"/>
  <c r="T457" i="7" s="1"/>
  <c r="T456" i="7" s="1"/>
  <c r="T455" i="7" s="1"/>
  <c r="T454" i="7" s="1"/>
  <c r="P524" i="7"/>
  <c r="P542" i="7"/>
  <c r="P544" i="7"/>
  <c r="S551" i="7"/>
  <c r="R551" i="7"/>
  <c r="T523" i="7"/>
  <c r="S489" i="7"/>
  <c r="R489" i="7"/>
  <c r="U514" i="7"/>
  <c r="U519" i="7"/>
  <c r="P608" i="7"/>
  <c r="R477" i="7"/>
  <c r="P643" i="7"/>
  <c r="T546" i="7"/>
  <c r="P614" i="7"/>
  <c r="R540" i="7"/>
  <c r="U558" i="7"/>
  <c r="P606" i="7"/>
  <c r="S680" i="7"/>
  <c r="R680" i="7"/>
  <c r="R530" i="7"/>
  <c r="P532" i="7"/>
  <c r="S534" i="7"/>
  <c r="P536" i="7"/>
  <c r="S538" i="7"/>
  <c r="S540" i="7"/>
  <c r="U555" i="7"/>
  <c r="P611" i="7"/>
  <c r="U684" i="7"/>
  <c r="U633" i="7"/>
  <c r="U630" i="7"/>
  <c r="S645" i="7"/>
  <c r="R645" i="7"/>
  <c r="U659" i="7"/>
  <c r="R659" i="7"/>
  <c r="U683" i="7"/>
  <c r="U682" i="7" s="1"/>
  <c r="T599" i="7"/>
  <c r="T629" i="7"/>
  <c r="T619" i="7" s="1"/>
  <c r="R547" i="7"/>
  <c r="R555" i="7"/>
  <c r="R558" i="7"/>
  <c r="R600" i="7"/>
  <c r="L27" i="1"/>
  <c r="M27" i="1"/>
  <c r="M127" i="1"/>
  <c r="O127" i="1" s="1"/>
  <c r="L127" i="1"/>
  <c r="Y27" i="1"/>
  <c r="U27" i="1"/>
  <c r="U244" i="1"/>
  <c r="Y244" i="1"/>
  <c r="AA244" i="1" s="1"/>
  <c r="L379" i="1"/>
  <c r="M379" i="1"/>
  <c r="O379" i="1" s="1"/>
  <c r="Y533" i="1"/>
  <c r="AA533" i="1" s="1"/>
  <c r="U533" i="1"/>
  <c r="P145" i="1"/>
  <c r="Y146" i="1"/>
  <c r="S309" i="1"/>
  <c r="V309" i="1"/>
  <c r="R309" i="1"/>
  <c r="X309" i="1" s="1"/>
  <c r="Y411" i="1"/>
  <c r="P409" i="1"/>
  <c r="S441" i="1"/>
  <c r="V441" i="1"/>
  <c r="P488" i="1"/>
  <c r="Y489" i="1"/>
  <c r="O527" i="1"/>
  <c r="M700" i="1"/>
  <c r="O700" i="1" s="1"/>
  <c r="L700" i="1"/>
  <c r="L151" i="1"/>
  <c r="M151" i="1"/>
  <c r="O151" i="1" s="1"/>
  <c r="P246" i="1"/>
  <c r="Y247" i="1"/>
  <c r="Z659" i="1"/>
  <c r="AA662" i="1"/>
  <c r="AA659" i="1" s="1"/>
  <c r="R200" i="1"/>
  <c r="X200" i="1" s="1"/>
  <c r="S200" i="1"/>
  <c r="V200" i="1"/>
  <c r="U458" i="1"/>
  <c r="Y458" i="1"/>
  <c r="AA458" i="1" s="1"/>
  <c r="R458" i="1"/>
  <c r="X458" i="1" s="1"/>
  <c r="V458" i="1"/>
  <c r="U730" i="1"/>
  <c r="Y730" i="1"/>
  <c r="AA730" i="1" s="1"/>
  <c r="M844" i="1"/>
  <c r="O844" i="1" s="1"/>
  <c r="L844" i="1"/>
  <c r="M139" i="1"/>
  <c r="O139" i="1" s="1"/>
  <c r="L139" i="1"/>
  <c r="R244" i="1"/>
  <c r="X244" i="1" s="1"/>
  <c r="V244" i="1"/>
  <c r="U554" i="1"/>
  <c r="Z554" i="1"/>
  <c r="AA554" i="1" s="1"/>
  <c r="M688" i="1"/>
  <c r="O688" i="1" s="1"/>
  <c r="L688" i="1"/>
  <c r="S741" i="1"/>
  <c r="R741" i="1"/>
  <c r="X741" i="1" s="1"/>
  <c r="V741" i="1"/>
  <c r="M762" i="1"/>
  <c r="O762" i="1" s="1"/>
  <c r="O757" i="1" s="1"/>
  <c r="L762" i="1"/>
  <c r="R166" i="1"/>
  <c r="X166" i="1" s="1"/>
  <c r="V166" i="1"/>
  <c r="N161" i="1"/>
  <c r="O178" i="1"/>
  <c r="AA240" i="1"/>
  <c r="L252" i="1"/>
  <c r="M252" i="1"/>
  <c r="O252" i="1" s="1"/>
  <c r="Z262" i="1"/>
  <c r="M309" i="1"/>
  <c r="O309" i="1" s="1"/>
  <c r="L309" i="1"/>
  <c r="P379" i="1"/>
  <c r="Y381" i="1"/>
  <c r="U420" i="1"/>
  <c r="M706" i="1"/>
  <c r="O706" i="1" s="1"/>
  <c r="L706" i="1"/>
  <c r="M712" i="1"/>
  <c r="O712" i="1" s="1"/>
  <c r="L712" i="1"/>
  <c r="M723" i="1"/>
  <c r="N721" i="1"/>
  <c r="N720" i="1" s="1"/>
  <c r="N719" i="1" s="1"/>
  <c r="N718" i="1" s="1"/>
  <c r="M281" i="1"/>
  <c r="L281" i="1"/>
  <c r="L384" i="1"/>
  <c r="M384" i="1"/>
  <c r="O384" i="1" s="1"/>
  <c r="Y153" i="1"/>
  <c r="P151" i="1"/>
  <c r="U166" i="1"/>
  <c r="Y166" i="1"/>
  <c r="P349" i="1"/>
  <c r="Y350" i="1"/>
  <c r="Y416" i="1"/>
  <c r="P414" i="1"/>
  <c r="M431" i="1"/>
  <c r="L431" i="1"/>
  <c r="O477" i="1"/>
  <c r="AA478" i="1"/>
  <c r="M530" i="1"/>
  <c r="O530" i="1" s="1"/>
  <c r="T539" i="1"/>
  <c r="S550" i="1"/>
  <c r="V550" i="1"/>
  <c r="Z27" i="1"/>
  <c r="Z14" i="1" s="1"/>
  <c r="Z13" i="1" s="1"/>
  <c r="Z12" i="1" s="1"/>
  <c r="Z11" i="1" s="1"/>
  <c r="Z10" i="1" s="1"/>
  <c r="T14" i="1"/>
  <c r="T13" i="1" s="1"/>
  <c r="T12" i="1" s="1"/>
  <c r="T11" i="1" s="1"/>
  <c r="T10" i="1" s="1"/>
  <c r="L55" i="1"/>
  <c r="M61" i="1"/>
  <c r="O61" i="1" s="1"/>
  <c r="L61" i="1"/>
  <c r="P127" i="1"/>
  <c r="Y128" i="1"/>
  <c r="R133" i="1"/>
  <c r="X133" i="1" s="1"/>
  <c r="V133" i="1"/>
  <c r="S133" i="1"/>
  <c r="P286" i="1"/>
  <c r="Y287" i="1"/>
  <c r="R384" i="1"/>
  <c r="X384" i="1" s="1"/>
  <c r="V384" i="1"/>
  <c r="L458" i="1"/>
  <c r="M458" i="1"/>
  <c r="O458" i="1" s="1"/>
  <c r="S471" i="1"/>
  <c r="V471" i="1"/>
  <c r="Z539" i="1"/>
  <c r="N664" i="1"/>
  <c r="N663" i="1" s="1"/>
  <c r="P735" i="1"/>
  <c r="Y736" i="1"/>
  <c r="R27" i="1"/>
  <c r="X27" i="1" s="1"/>
  <c r="V27" i="1"/>
  <c r="S296" i="1"/>
  <c r="V296" i="1"/>
  <c r="R533" i="1"/>
  <c r="X533" i="1" s="1"/>
  <c r="V533" i="1"/>
  <c r="P55" i="1"/>
  <c r="Y56" i="1"/>
  <c r="M133" i="1"/>
  <c r="O133" i="1" s="1"/>
  <c r="L133" i="1"/>
  <c r="L200" i="1"/>
  <c r="M200" i="1"/>
  <c r="U384" i="1"/>
  <c r="Y384" i="1"/>
  <c r="AA384" i="1" s="1"/>
  <c r="P499" i="1"/>
  <c r="Y500" i="1"/>
  <c r="Y528" i="1"/>
  <c r="P527" i="1"/>
  <c r="Y532" i="1"/>
  <c r="P530" i="1"/>
  <c r="Y537" i="1"/>
  <c r="P536" i="1"/>
  <c r="V670" i="1"/>
  <c r="R670" i="1"/>
  <c r="X670" i="1" s="1"/>
  <c r="S670" i="1"/>
  <c r="M837" i="1"/>
  <c r="O837" i="1" s="1"/>
  <c r="L837" i="1"/>
  <c r="P61" i="1"/>
  <c r="L166" i="1"/>
  <c r="M166" i="1"/>
  <c r="L260" i="1"/>
  <c r="M260" i="1"/>
  <c r="O260" i="1" s="1"/>
  <c r="P455" i="1"/>
  <c r="Y457" i="1"/>
  <c r="P751" i="1"/>
  <c r="Y752" i="1"/>
  <c r="P758" i="1"/>
  <c r="Y759" i="1"/>
  <c r="S789" i="1"/>
  <c r="R789" i="1"/>
  <c r="X789" i="1" s="1"/>
  <c r="V789" i="1"/>
  <c r="V811" i="1"/>
  <c r="R811" i="1"/>
  <c r="X811" i="1" s="1"/>
  <c r="S811" i="1"/>
  <c r="M166" i="2"/>
  <c r="O166" i="2" s="1"/>
  <c r="L166" i="2"/>
  <c r="V424" i="2"/>
  <c r="S424" i="2"/>
  <c r="R424" i="2"/>
  <c r="X424" i="2" s="1"/>
  <c r="Y461" i="2"/>
  <c r="P459" i="2"/>
  <c r="R152" i="2"/>
  <c r="X152" i="2" s="1"/>
  <c r="V152" i="2"/>
  <c r="S152" i="2"/>
  <c r="P739" i="1"/>
  <c r="Y740" i="1"/>
  <c r="P755" i="1"/>
  <c r="Y756" i="1"/>
  <c r="P766" i="1"/>
  <c r="Y767" i="1"/>
  <c r="M774" i="1"/>
  <c r="O774" i="1" s="1"/>
  <c r="L774" i="1"/>
  <c r="Y777" i="1"/>
  <c r="P774" i="1"/>
  <c r="Y797" i="1"/>
  <c r="P794" i="1"/>
  <c r="M880" i="1"/>
  <c r="O880" i="1" s="1"/>
  <c r="L880" i="1"/>
  <c r="J349" i="1"/>
  <c r="T419" i="1"/>
  <c r="J145" i="1"/>
  <c r="Z200" i="1"/>
  <c r="Z195" i="1" s="1"/>
  <c r="T195" i="1"/>
  <c r="AA212" i="1"/>
  <c r="S218" i="1"/>
  <c r="M409" i="1"/>
  <c r="O409" i="1" s="1"/>
  <c r="M414" i="1"/>
  <c r="O414" i="1" s="1"/>
  <c r="L499" i="1"/>
  <c r="P548" i="1"/>
  <c r="Y549" i="1"/>
  <c r="U682" i="1"/>
  <c r="Y682" i="1"/>
  <c r="AA682" i="1" s="1"/>
  <c r="Y723" i="1"/>
  <c r="U723" i="1"/>
  <c r="M734" i="1"/>
  <c r="V762" i="1"/>
  <c r="S762" i="1"/>
  <c r="S779" i="1"/>
  <c r="R779" i="1"/>
  <c r="X779" i="1" s="1"/>
  <c r="V779" i="1"/>
  <c r="S799" i="1"/>
  <c r="R799" i="1"/>
  <c r="X799" i="1" s="1"/>
  <c r="Y834" i="1"/>
  <c r="P832" i="1"/>
  <c r="M841" i="1"/>
  <c r="L841" i="1"/>
  <c r="U850" i="1"/>
  <c r="Y850" i="1"/>
  <c r="AA850" i="1" s="1"/>
  <c r="L856" i="1"/>
  <c r="M856" i="1"/>
  <c r="Z858" i="1"/>
  <c r="U858" i="1"/>
  <c r="T853" i="1"/>
  <c r="P310" i="2"/>
  <c r="Y311" i="2"/>
  <c r="AA370" i="2"/>
  <c r="R139" i="1"/>
  <c r="X139" i="1" s="1"/>
  <c r="P191" i="1"/>
  <c r="Y192" i="1"/>
  <c r="N195" i="1"/>
  <c r="P354" i="1"/>
  <c r="Y355" i="1"/>
  <c r="M455" i="1"/>
  <c r="O455" i="1" s="1"/>
  <c r="M670" i="1"/>
  <c r="L670" i="1"/>
  <c r="M676" i="1"/>
  <c r="O676" i="1" s="1"/>
  <c r="L676" i="1"/>
  <c r="Y28" i="1"/>
  <c r="M212" i="1"/>
  <c r="O212" i="1" s="1"/>
  <c r="M248" i="1"/>
  <c r="O248" i="1" s="1"/>
  <c r="U260" i="1"/>
  <c r="Z420" i="1"/>
  <c r="AA461" i="1"/>
  <c r="M477" i="1"/>
  <c r="L533" i="1"/>
  <c r="Z723" i="1"/>
  <c r="Z722" i="1" s="1"/>
  <c r="T722" i="1"/>
  <c r="R762" i="1"/>
  <c r="X762" i="1" s="1"/>
  <c r="P769" i="1"/>
  <c r="Y825" i="1"/>
  <c r="U825" i="1"/>
  <c r="O114" i="2"/>
  <c r="O124" i="2"/>
  <c r="M114" i="2"/>
  <c r="P659" i="2"/>
  <c r="Y660" i="2"/>
  <c r="L191" i="1"/>
  <c r="P344" i="1"/>
  <c r="Y345" i="1"/>
  <c r="O441" i="1"/>
  <c r="O436" i="1" s="1"/>
  <c r="M436" i="1"/>
  <c r="Y460" i="1"/>
  <c r="T669" i="1"/>
  <c r="T668" i="1" s="1"/>
  <c r="T667" i="1" s="1"/>
  <c r="T666" i="1" s="1"/>
  <c r="T665" i="1" s="1"/>
  <c r="Z676" i="1"/>
  <c r="M682" i="1"/>
  <c r="O682" i="1" s="1"/>
  <c r="L682" i="1"/>
  <c r="U694" i="1"/>
  <c r="Y694" i="1"/>
  <c r="AA694" i="1" s="1"/>
  <c r="M725" i="1"/>
  <c r="O725" i="1" s="1"/>
  <c r="L725" i="1"/>
  <c r="Y781" i="1"/>
  <c r="V799" i="1"/>
  <c r="P38" i="2"/>
  <c r="Y39" i="2"/>
  <c r="U212" i="1"/>
  <c r="V218" i="1"/>
  <c r="M244" i="1"/>
  <c r="O244" i="1" s="1"/>
  <c r="Y281" i="1"/>
  <c r="M296" i="1"/>
  <c r="O296" i="1" s="1"/>
  <c r="M354" i="1"/>
  <c r="O354" i="1" s="1"/>
  <c r="Y431" i="1"/>
  <c r="S420" i="1"/>
  <c r="L441" i="1"/>
  <c r="Z441" i="1"/>
  <c r="Z436" i="1" s="1"/>
  <c r="M471" i="1"/>
  <c r="O471" i="1" s="1"/>
  <c r="M550" i="1"/>
  <c r="O550" i="1" s="1"/>
  <c r="O734" i="1"/>
  <c r="S737" i="1"/>
  <c r="R737" i="1"/>
  <c r="X737" i="1" s="1"/>
  <c r="S753" i="1"/>
  <c r="R753" i="1"/>
  <c r="X753" i="1" s="1"/>
  <c r="M104" i="2"/>
  <c r="O104" i="2" s="1"/>
  <c r="L104" i="2"/>
  <c r="Z166" i="1"/>
  <c r="Z161" i="1" s="1"/>
  <c r="Z160" i="1" s="1"/>
  <c r="T161" i="1"/>
  <c r="V139" i="1"/>
  <c r="T476" i="1"/>
  <c r="P621" i="1"/>
  <c r="Y622" i="1"/>
  <c r="Y139" i="1"/>
  <c r="AA139" i="1" s="1"/>
  <c r="AA208" i="1"/>
  <c r="R212" i="1"/>
  <c r="X212" i="1" s="1"/>
  <c r="S248" i="1"/>
  <c r="J344" i="1"/>
  <c r="M694" i="1"/>
  <c r="O694" i="1" s="1"/>
  <c r="L694" i="1"/>
  <c r="U706" i="1"/>
  <c r="Y706" i="1"/>
  <c r="AA706" i="1" s="1"/>
  <c r="S722" i="1"/>
  <c r="R723" i="1"/>
  <c r="X723" i="1" s="1"/>
  <c r="V723" i="1"/>
  <c r="S745" i="1"/>
  <c r="R745" i="1"/>
  <c r="X745" i="1" s="1"/>
  <c r="V745" i="1"/>
  <c r="P747" i="1"/>
  <c r="Y748" i="1"/>
  <c r="P804" i="1"/>
  <c r="Y805" i="1"/>
  <c r="M811" i="1"/>
  <c r="L811" i="1"/>
  <c r="O819" i="1"/>
  <c r="V880" i="1"/>
  <c r="S880" i="1"/>
  <c r="M174" i="2"/>
  <c r="O174" i="2" s="1"/>
  <c r="L174" i="2"/>
  <c r="P643" i="1"/>
  <c r="Y644" i="1"/>
  <c r="M657" i="1"/>
  <c r="O657" i="1" s="1"/>
  <c r="O539" i="1" s="1"/>
  <c r="L657" i="1"/>
  <c r="Z669" i="1"/>
  <c r="Z668" i="1" s="1"/>
  <c r="Z667" i="1" s="1"/>
  <c r="Z666" i="1" s="1"/>
  <c r="Z665" i="1" s="1"/>
  <c r="S676" i="1"/>
  <c r="R676" i="1"/>
  <c r="X676" i="1" s="1"/>
  <c r="V676" i="1"/>
  <c r="S688" i="1"/>
  <c r="R688" i="1"/>
  <c r="X688" i="1" s="1"/>
  <c r="V688" i="1"/>
  <c r="S700" i="1"/>
  <c r="R700" i="1"/>
  <c r="X700" i="1" s="1"/>
  <c r="V700" i="1"/>
  <c r="S712" i="1"/>
  <c r="R712" i="1"/>
  <c r="X712" i="1" s="1"/>
  <c r="V712" i="1"/>
  <c r="U725" i="1"/>
  <c r="Y725" i="1"/>
  <c r="AA725" i="1" s="1"/>
  <c r="N734" i="1"/>
  <c r="V850" i="1"/>
  <c r="R850" i="1"/>
  <c r="X850" i="1" s="1"/>
  <c r="M850" i="1"/>
  <c r="O850" i="1" s="1"/>
  <c r="L850" i="1"/>
  <c r="Z86" i="2"/>
  <c r="T14" i="2"/>
  <c r="T13" i="2" s="1"/>
  <c r="T12" i="2" s="1"/>
  <c r="T11" i="2" s="1"/>
  <c r="T10" i="2" s="1"/>
  <c r="P632" i="1"/>
  <c r="Y633" i="1"/>
  <c r="V657" i="1"/>
  <c r="S657" i="1"/>
  <c r="Y677" i="1"/>
  <c r="Y689" i="1"/>
  <c r="Y701" i="1"/>
  <c r="Y713" i="1"/>
  <c r="M730" i="1"/>
  <c r="O730" i="1" s="1"/>
  <c r="L730" i="1"/>
  <c r="Z825" i="1"/>
  <c r="Z816" i="1" s="1"/>
  <c r="T816" i="1"/>
  <c r="V841" i="1"/>
  <c r="R841" i="1"/>
  <c r="X841" i="1" s="1"/>
  <c r="S841" i="1"/>
  <c r="AA844" i="1"/>
  <c r="Y98" i="2"/>
  <c r="AA98" i="2" s="1"/>
  <c r="U98" i="2"/>
  <c r="M192" i="2"/>
  <c r="L192" i="2"/>
  <c r="Y86" i="2"/>
  <c r="AA86" i="2" s="1"/>
  <c r="U86" i="2"/>
  <c r="M170" i="2"/>
  <c r="O170" i="2" s="1"/>
  <c r="L170" i="2"/>
  <c r="V682" i="1"/>
  <c r="R682" i="1"/>
  <c r="X682" i="1" s="1"/>
  <c r="V694" i="1"/>
  <c r="R694" i="1"/>
  <c r="X694" i="1" s="1"/>
  <c r="V706" i="1"/>
  <c r="R706" i="1"/>
  <c r="X706" i="1" s="1"/>
  <c r="O737" i="1"/>
  <c r="P743" i="1"/>
  <c r="Y744" i="1"/>
  <c r="S749" i="1"/>
  <c r="R749" i="1"/>
  <c r="X749" i="1" s="1"/>
  <c r="O753" i="1"/>
  <c r="Z757" i="1"/>
  <c r="Y787" i="1"/>
  <c r="P784" i="1"/>
  <c r="L822" i="1"/>
  <c r="M822" i="1"/>
  <c r="O822" i="1" s="1"/>
  <c r="L825" i="1"/>
  <c r="M825" i="1"/>
  <c r="O825" i="1" s="1"/>
  <c r="O816" i="1" s="1"/>
  <c r="P847" i="1"/>
  <c r="Y849" i="1"/>
  <c r="T757" i="1"/>
  <c r="T809" i="1"/>
  <c r="P837" i="1"/>
  <c r="M847" i="1"/>
  <c r="O847" i="1" s="1"/>
  <c r="L847" i="1"/>
  <c r="Z893" i="1"/>
  <c r="V117" i="2"/>
  <c r="S117" i="2"/>
  <c r="R117" i="2"/>
  <c r="X117" i="2" s="1"/>
  <c r="R170" i="2"/>
  <c r="X170" i="2" s="1"/>
  <c r="V170" i="2"/>
  <c r="S170" i="2"/>
  <c r="Y724" i="1"/>
  <c r="V817" i="1"/>
  <c r="S817" i="1"/>
  <c r="Y819" i="1"/>
  <c r="AA819" i="1" s="1"/>
  <c r="U819" i="1"/>
  <c r="M832" i="1"/>
  <c r="L832" i="1"/>
  <c r="V854" i="1"/>
  <c r="S854" i="1"/>
  <c r="Y856" i="1"/>
  <c r="AA856" i="1" s="1"/>
  <c r="U856" i="1"/>
  <c r="P870" i="1"/>
  <c r="Y871" i="1"/>
  <c r="M891" i="1"/>
  <c r="O891" i="1" s="1"/>
  <c r="L891" i="1"/>
  <c r="J92" i="2"/>
  <c r="M294" i="2"/>
  <c r="L294" i="2"/>
  <c r="P859" i="1"/>
  <c r="Y860" i="1"/>
  <c r="Y166" i="2"/>
  <c r="AA166" i="2" s="1"/>
  <c r="U166" i="2"/>
  <c r="P180" i="2"/>
  <c r="Y181" i="2"/>
  <c r="T287" i="2"/>
  <c r="M321" i="2"/>
  <c r="O321" i="2" s="1"/>
  <c r="L321" i="2"/>
  <c r="Y324" i="2"/>
  <c r="P321" i="2"/>
  <c r="Y485" i="2"/>
  <c r="P483" i="2"/>
  <c r="R817" i="1"/>
  <c r="X817" i="1" s="1"/>
  <c r="Y822" i="1"/>
  <c r="AA822" i="1" s="1"/>
  <c r="U822" i="1"/>
  <c r="V844" i="1"/>
  <c r="R844" i="1"/>
  <c r="X844" i="1" s="1"/>
  <c r="J870" i="1"/>
  <c r="V891" i="1"/>
  <c r="S891" i="1"/>
  <c r="M86" i="2"/>
  <c r="O86" i="2" s="1"/>
  <c r="L86" i="2"/>
  <c r="M98" i="2"/>
  <c r="O98" i="2" s="1"/>
  <c r="L98" i="2"/>
  <c r="Z166" i="2"/>
  <c r="T137" i="2"/>
  <c r="T113" i="2" s="1"/>
  <c r="T112" i="2" s="1"/>
  <c r="T111" i="2" s="1"/>
  <c r="T110" i="2" s="1"/>
  <c r="J257" i="2"/>
  <c r="J859" i="1"/>
  <c r="M133" i="2"/>
  <c r="O133" i="2" s="1"/>
  <c r="L133" i="2"/>
  <c r="Y174" i="2"/>
  <c r="AA174" i="2" s="1"/>
  <c r="U174" i="2"/>
  <c r="M197" i="2"/>
  <c r="O197" i="2" s="1"/>
  <c r="L197" i="2"/>
  <c r="Z811" i="1"/>
  <c r="Z810" i="1" s="1"/>
  <c r="Z841" i="1"/>
  <c r="Z840" i="1" s="1"/>
  <c r="Z830" i="1" s="1"/>
  <c r="P21" i="2"/>
  <c r="P44" i="2"/>
  <c r="J80" i="2"/>
  <c r="P192" i="2"/>
  <c r="Y472" i="2"/>
  <c r="P471" i="2"/>
  <c r="N113" i="2"/>
  <c r="N137" i="2"/>
  <c r="M152" i="2"/>
  <c r="O152" i="2" s="1"/>
  <c r="O137" i="2" s="1"/>
  <c r="L152" i="2"/>
  <c r="L204" i="2"/>
  <c r="M204" i="2"/>
  <c r="O204" i="2" s="1"/>
  <c r="J212" i="2"/>
  <c r="S232" i="2"/>
  <c r="R232" i="2"/>
  <c r="X232" i="2" s="1"/>
  <c r="V232" i="2"/>
  <c r="M313" i="2"/>
  <c r="O313" i="2" s="1"/>
  <c r="O299" i="2" s="1"/>
  <c r="L313" i="2"/>
  <c r="L519" i="2"/>
  <c r="M519" i="2"/>
  <c r="O519" i="2" s="1"/>
  <c r="AA15" i="2"/>
  <c r="Z14" i="2"/>
  <c r="Z13" i="2" s="1"/>
  <c r="Z12" i="2" s="1"/>
  <c r="Z11" i="2" s="1"/>
  <c r="Z10" i="2" s="1"/>
  <c r="P133" i="2"/>
  <c r="Y134" i="2"/>
  <c r="V140" i="2"/>
  <c r="S140" i="2"/>
  <c r="P148" i="2"/>
  <c r="Y149" i="2"/>
  <c r="R166" i="2"/>
  <c r="X166" i="2" s="1"/>
  <c r="V166" i="2"/>
  <c r="R174" i="2"/>
  <c r="X174" i="2" s="1"/>
  <c r="V174" i="2"/>
  <c r="J237" i="2"/>
  <c r="P294" i="2"/>
  <c r="Y295" i="2"/>
  <c r="L366" i="2"/>
  <c r="M366" i="2"/>
  <c r="O366" i="2" s="1"/>
  <c r="R98" i="2"/>
  <c r="X98" i="2" s="1"/>
  <c r="V98" i="2"/>
  <c r="R140" i="2"/>
  <c r="X140" i="2" s="1"/>
  <c r="T182" i="2"/>
  <c r="Z197" i="2"/>
  <c r="Z182" i="2" s="1"/>
  <c r="R86" i="2"/>
  <c r="X86" i="2" s="1"/>
  <c r="V86" i="2"/>
  <c r="Y124" i="2"/>
  <c r="AA124" i="2" s="1"/>
  <c r="U124" i="2"/>
  <c r="O447" i="2"/>
  <c r="Y496" i="2"/>
  <c r="P495" i="2"/>
  <c r="J232" i="2"/>
  <c r="P257" i="2"/>
  <c r="Y258" i="2"/>
  <c r="V282" i="2"/>
  <c r="S282" i="2"/>
  <c r="R282" i="2"/>
  <c r="X282" i="2" s="1"/>
  <c r="T326" i="2"/>
  <c r="S366" i="2"/>
  <c r="V366" i="2"/>
  <c r="R366" i="2"/>
  <c r="X366" i="2" s="1"/>
  <c r="U528" i="2"/>
  <c r="Y528" i="2"/>
  <c r="AA528" i="2" s="1"/>
  <c r="S643" i="2"/>
  <c r="R643" i="2"/>
  <c r="X643" i="2" s="1"/>
  <c r="V643" i="2"/>
  <c r="U645" i="2"/>
  <c r="Y645" i="2"/>
  <c r="AA645" i="2" s="1"/>
  <c r="R80" i="2"/>
  <c r="X80" i="2" s="1"/>
  <c r="R92" i="2"/>
  <c r="X92" i="2" s="1"/>
  <c r="R104" i="2"/>
  <c r="X104" i="2" s="1"/>
  <c r="L124" i="2"/>
  <c r="Z137" i="2"/>
  <c r="Z113" i="2" s="1"/>
  <c r="R144" i="2"/>
  <c r="X144" i="2" s="1"/>
  <c r="R168" i="2"/>
  <c r="X168" i="2" s="1"/>
  <c r="R172" i="2"/>
  <c r="X172" i="2" s="1"/>
  <c r="R176" i="2"/>
  <c r="X176" i="2" s="1"/>
  <c r="Y204" i="2"/>
  <c r="AA204" i="2" s="1"/>
  <c r="AA207" i="2"/>
  <c r="Y436" i="2"/>
  <c r="P435" i="2"/>
  <c r="M512" i="2"/>
  <c r="L512" i="2"/>
  <c r="R526" i="2"/>
  <c r="X526" i="2" s="1"/>
  <c r="V526" i="2"/>
  <c r="S526" i="2"/>
  <c r="V555" i="2"/>
  <c r="S555" i="2"/>
  <c r="R555" i="2"/>
  <c r="X555" i="2" s="1"/>
  <c r="S80" i="2"/>
  <c r="Y87" i="2"/>
  <c r="S92" i="2"/>
  <c r="Y99" i="2"/>
  <c r="S104" i="2"/>
  <c r="S144" i="2"/>
  <c r="Y153" i="2"/>
  <c r="Y167" i="2"/>
  <c r="S168" i="2"/>
  <c r="Y171" i="2"/>
  <c r="S172" i="2"/>
  <c r="Y175" i="2"/>
  <c r="S176" i="2"/>
  <c r="P277" i="2"/>
  <c r="M282" i="2"/>
  <c r="O282" i="2" s="1"/>
  <c r="L282" i="2"/>
  <c r="T344" i="2"/>
  <c r="Z357" i="2"/>
  <c r="Z344" i="2" s="1"/>
  <c r="Y415" i="2"/>
  <c r="P413" i="2"/>
  <c r="Y542" i="2"/>
  <c r="AA542" i="2" s="1"/>
  <c r="U542" i="2"/>
  <c r="V242" i="2"/>
  <c r="S242" i="2"/>
  <c r="R242" i="2"/>
  <c r="X242" i="2" s="1"/>
  <c r="M299" i="2"/>
  <c r="P302" i="2"/>
  <c r="Y303" i="2"/>
  <c r="J333" i="2"/>
  <c r="O376" i="2"/>
  <c r="M369" i="2"/>
  <c r="P447" i="2"/>
  <c r="Y448" i="2"/>
  <c r="L144" i="2"/>
  <c r="L168" i="2"/>
  <c r="L172" i="2"/>
  <c r="L176" i="2"/>
  <c r="R204" i="2"/>
  <c r="X204" i="2" s="1"/>
  <c r="U212" i="2"/>
  <c r="Y212" i="2"/>
  <c r="AA212" i="2" s="1"/>
  <c r="J242" i="2"/>
  <c r="P262" i="2"/>
  <c r="Y263" i="2"/>
  <c r="M277" i="2"/>
  <c r="O277" i="2" s="1"/>
  <c r="L277" i="2"/>
  <c r="AA300" i="2"/>
  <c r="P313" i="2"/>
  <c r="Y314" i="2"/>
  <c r="Z321" i="2"/>
  <c r="Z299" i="2" s="1"/>
  <c r="T299" i="2"/>
  <c r="M357" i="2"/>
  <c r="L357" i="2"/>
  <c r="J514" i="2"/>
  <c r="P197" i="2"/>
  <c r="R212" i="2"/>
  <c r="X212" i="2" s="1"/>
  <c r="P237" i="2"/>
  <c r="P465" i="2"/>
  <c r="P489" i="2"/>
  <c r="P333" i="2"/>
  <c r="Z341" i="2"/>
  <c r="AA341" i="2" s="1"/>
  <c r="O424" i="2"/>
  <c r="T449" i="2"/>
  <c r="Z451" i="2"/>
  <c r="U451" i="2"/>
  <c r="U449" i="2" s="1"/>
  <c r="AA512" i="2"/>
  <c r="O526" i="2"/>
  <c r="R530" i="2"/>
  <c r="X530" i="2" s="1"/>
  <c r="V530" i="2"/>
  <c r="Y532" i="2"/>
  <c r="AA532" i="2" s="1"/>
  <c r="L544" i="2"/>
  <c r="M544" i="2"/>
  <c r="O544" i="2" s="1"/>
  <c r="Y363" i="2"/>
  <c r="AA363" i="2" s="1"/>
  <c r="U363" i="2"/>
  <c r="R376" i="2"/>
  <c r="X376" i="2" s="1"/>
  <c r="V376" i="2"/>
  <c r="O471" i="2"/>
  <c r="O495" i="2"/>
  <c r="T511" i="2"/>
  <c r="T510" i="2" s="1"/>
  <c r="S514" i="2"/>
  <c r="R514" i="2"/>
  <c r="X514" i="2" s="1"/>
  <c r="S536" i="2"/>
  <c r="R536" i="2"/>
  <c r="X536" i="2" s="1"/>
  <c r="Y551" i="2"/>
  <c r="AA551" i="2" s="1"/>
  <c r="U551" i="2"/>
  <c r="M593" i="2"/>
  <c r="O593" i="2" s="1"/>
  <c r="L593" i="2"/>
  <c r="Z288" i="2"/>
  <c r="O374" i="2"/>
  <c r="O369" i="2" s="1"/>
  <c r="S376" i="2"/>
  <c r="O413" i="2"/>
  <c r="P477" i="2"/>
  <c r="P501" i="2"/>
  <c r="M532" i="2"/>
  <c r="L532" i="2"/>
  <c r="M360" i="2"/>
  <c r="O360" i="2" s="1"/>
  <c r="Y360" i="2"/>
  <c r="AA360" i="2" s="1"/>
  <c r="U360" i="2"/>
  <c r="R363" i="2"/>
  <c r="X363" i="2" s="1"/>
  <c r="N458" i="2"/>
  <c r="N457" i="2" s="1"/>
  <c r="N456" i="2" s="1"/>
  <c r="N455" i="2" s="1"/>
  <c r="N454" i="2" s="1"/>
  <c r="N523" i="2"/>
  <c r="N510" i="2" s="1"/>
  <c r="N509" i="2" s="1"/>
  <c r="N508" i="2" s="1"/>
  <c r="N507" i="2" s="1"/>
  <c r="Z523" i="2"/>
  <c r="Z510" i="2" s="1"/>
  <c r="Z509" i="2" s="1"/>
  <c r="Z508" i="2" s="1"/>
  <c r="Z507" i="2" s="1"/>
  <c r="O528" i="2"/>
  <c r="S530" i="2"/>
  <c r="V536" i="2"/>
  <c r="P538" i="2"/>
  <c r="Y539" i="2"/>
  <c r="R544" i="2"/>
  <c r="X544" i="2" s="1"/>
  <c r="S544" i="2"/>
  <c r="U614" i="2"/>
  <c r="Y614" i="2"/>
  <c r="AA614" i="2" s="1"/>
  <c r="N369" i="2"/>
  <c r="P357" i="2"/>
  <c r="Y358" i="2"/>
  <c r="V363" i="2"/>
  <c r="V374" i="2"/>
  <c r="S374" i="2"/>
  <c r="R374" i="2"/>
  <c r="X374" i="2" s="1"/>
  <c r="Z458" i="2"/>
  <c r="Z457" i="2" s="1"/>
  <c r="Z456" i="2" s="1"/>
  <c r="Z455" i="2" s="1"/>
  <c r="Z454" i="2" s="1"/>
  <c r="M458" i="2"/>
  <c r="M457" i="2" s="1"/>
  <c r="M456" i="2" s="1"/>
  <c r="M455" i="2" s="1"/>
  <c r="M454" i="2" s="1"/>
  <c r="O459" i="2"/>
  <c r="V514" i="2"/>
  <c r="S519" i="2"/>
  <c r="R519" i="2"/>
  <c r="X519" i="2" s="1"/>
  <c r="V519" i="2"/>
  <c r="U524" i="2"/>
  <c r="Y524" i="2"/>
  <c r="S680" i="2"/>
  <c r="R680" i="2"/>
  <c r="X680" i="2" s="1"/>
  <c r="V680" i="2"/>
  <c r="M546" i="2"/>
  <c r="O547" i="2"/>
  <c r="O546" i="2" s="1"/>
  <c r="V593" i="2"/>
  <c r="S593" i="2"/>
  <c r="R524" i="2"/>
  <c r="X524" i="2" s="1"/>
  <c r="R528" i="2"/>
  <c r="X528" i="2" s="1"/>
  <c r="R532" i="2"/>
  <c r="X532" i="2" s="1"/>
  <c r="P547" i="2"/>
  <c r="V568" i="2"/>
  <c r="S568" i="2"/>
  <c r="AA600" i="2"/>
  <c r="AA599" i="2" s="1"/>
  <c r="Y599" i="2"/>
  <c r="M600" i="2"/>
  <c r="L600" i="2"/>
  <c r="S630" i="2"/>
  <c r="R630" i="2"/>
  <c r="X630" i="2" s="1"/>
  <c r="V630" i="2"/>
  <c r="S636" i="2"/>
  <c r="R636" i="2"/>
  <c r="X636" i="2" s="1"/>
  <c r="V636" i="2"/>
  <c r="P648" i="2"/>
  <c r="Y649" i="2"/>
  <c r="P669" i="2"/>
  <c r="AA683" i="2"/>
  <c r="AA682" i="2" s="1"/>
  <c r="Z682" i="2"/>
  <c r="Y361" i="2"/>
  <c r="Y364" i="2"/>
  <c r="Y367" i="2"/>
  <c r="Z374" i="2"/>
  <c r="Z369" i="2" s="1"/>
  <c r="U512" i="2"/>
  <c r="Y548" i="2"/>
  <c r="V563" i="2"/>
  <c r="S563" i="2"/>
  <c r="V583" i="2"/>
  <c r="S583" i="2"/>
  <c r="R593" i="2"/>
  <c r="X593" i="2" s="1"/>
  <c r="M630" i="2"/>
  <c r="L630" i="2"/>
  <c r="M636" i="2"/>
  <c r="O636" i="2" s="1"/>
  <c r="L636" i="2"/>
  <c r="L648" i="2"/>
  <c r="S511" i="2"/>
  <c r="L524" i="2"/>
  <c r="R568" i="2"/>
  <c r="X568" i="2" s="1"/>
  <c r="O643" i="2"/>
  <c r="V558" i="2"/>
  <c r="S558" i="2"/>
  <c r="V578" i="2"/>
  <c r="S578" i="2"/>
  <c r="S606" i="2"/>
  <c r="R606" i="2"/>
  <c r="X606" i="2" s="1"/>
  <c r="V606" i="2"/>
  <c r="U608" i="2"/>
  <c r="Y608" i="2"/>
  <c r="AA608" i="2" s="1"/>
  <c r="P621" i="2"/>
  <c r="S633" i="2"/>
  <c r="R633" i="2"/>
  <c r="X633" i="2" s="1"/>
  <c r="V633" i="2"/>
  <c r="S639" i="2"/>
  <c r="R639" i="2"/>
  <c r="X639" i="2" s="1"/>
  <c r="V639" i="2"/>
  <c r="V573" i="2"/>
  <c r="S573" i="2"/>
  <c r="V588" i="2"/>
  <c r="S588" i="2"/>
  <c r="O606" i="2"/>
  <c r="O605" i="2" s="1"/>
  <c r="U611" i="2"/>
  <c r="Y611" i="2"/>
  <c r="AA611" i="2" s="1"/>
  <c r="S626" i="2"/>
  <c r="R626" i="2"/>
  <c r="X626" i="2" s="1"/>
  <c r="V626" i="2"/>
  <c r="M633" i="2"/>
  <c r="O633" i="2" s="1"/>
  <c r="L633" i="2"/>
  <c r="M639" i="2"/>
  <c r="O639" i="2" s="1"/>
  <c r="L639" i="2"/>
  <c r="L659" i="2"/>
  <c r="Y584" i="2"/>
  <c r="Y589" i="2"/>
  <c r="Y594" i="2"/>
  <c r="U600" i="2"/>
  <c r="U599" i="2" s="1"/>
  <c r="O608" i="2"/>
  <c r="M621" i="2"/>
  <c r="M626" i="2"/>
  <c r="O626" i="2" s="1"/>
  <c r="M669" i="2"/>
  <c r="O669" i="2" s="1"/>
  <c r="M680" i="2"/>
  <c r="O680" i="2" s="1"/>
  <c r="S599" i="2"/>
  <c r="V600" i="2"/>
  <c r="T620" i="2"/>
  <c r="T619" i="2" s="1"/>
  <c r="L643" i="2"/>
  <c r="T599" i="2"/>
  <c r="T598" i="2" s="1"/>
  <c r="T629" i="2"/>
  <c r="Y631" i="2"/>
  <c r="Y634" i="2"/>
  <c r="Y637" i="2"/>
  <c r="Y640" i="2"/>
  <c r="U684" i="2"/>
  <c r="U682" i="2" s="1"/>
  <c r="S471" i="7" l="1"/>
  <c r="U471" i="7" s="1"/>
  <c r="S578" i="7"/>
  <c r="U578" i="7" s="1"/>
  <c r="R92" i="7"/>
  <c r="R648" i="7"/>
  <c r="R669" i="7"/>
  <c r="S629" i="7"/>
  <c r="R639" i="7"/>
  <c r="R626" i="7"/>
  <c r="R621" i="7"/>
  <c r="S588" i="7"/>
  <c r="U588" i="7" s="1"/>
  <c r="R573" i="7"/>
  <c r="S568" i="7"/>
  <c r="U568" i="7" s="1"/>
  <c r="S501" i="7"/>
  <c r="U501" i="7" s="1"/>
  <c r="R124" i="7"/>
  <c r="U636" i="7"/>
  <c r="U629" i="7" s="1"/>
  <c r="U327" i="7"/>
  <c r="T598" i="7"/>
  <c r="T509" i="7" s="1"/>
  <c r="T508" i="7" s="1"/>
  <c r="T507" i="7" s="1"/>
  <c r="T453" i="7" s="1"/>
  <c r="T452" i="7" s="1"/>
  <c r="T510" i="7"/>
  <c r="L294" i="7"/>
  <c r="U148" i="7"/>
  <c r="S611" i="7"/>
  <c r="R611" i="7"/>
  <c r="U626" i="7"/>
  <c r="R544" i="7"/>
  <c r="S544" i="7"/>
  <c r="L435" i="7"/>
  <c r="U237" i="7"/>
  <c r="U212" i="7"/>
  <c r="U176" i="7"/>
  <c r="U321" i="7"/>
  <c r="U299" i="7" s="1"/>
  <c r="U459" i="7"/>
  <c r="S44" i="7"/>
  <c r="R44" i="7"/>
  <c r="U645" i="7"/>
  <c r="R532" i="7"/>
  <c r="S532" i="7"/>
  <c r="S614" i="7"/>
  <c r="R614" i="7"/>
  <c r="U477" i="7"/>
  <c r="S435" i="7"/>
  <c r="R435" i="7"/>
  <c r="U232" i="7"/>
  <c r="S363" i="7"/>
  <c r="R363" i="7"/>
  <c r="S282" i="7"/>
  <c r="R282" i="7"/>
  <c r="U424" i="7"/>
  <c r="S38" i="7"/>
  <c r="R38" i="7"/>
  <c r="R204" i="7"/>
  <c r="S204" i="7"/>
  <c r="S21" i="7"/>
  <c r="R21" i="7"/>
  <c r="S542" i="7"/>
  <c r="R542" i="7"/>
  <c r="L321" i="7"/>
  <c r="S277" i="7"/>
  <c r="R277" i="7"/>
  <c r="L38" i="7"/>
  <c r="U168" i="7"/>
  <c r="U172" i="7"/>
  <c r="U540" i="7"/>
  <c r="S606" i="7"/>
  <c r="R606" i="7"/>
  <c r="S524" i="7"/>
  <c r="R524" i="7"/>
  <c r="S526" i="7"/>
  <c r="R526" i="7"/>
  <c r="U512" i="7"/>
  <c r="U511" i="7" s="1"/>
  <c r="S511" i="7"/>
  <c r="U528" i="7"/>
  <c r="U357" i="7"/>
  <c r="U262" i="7"/>
  <c r="U124" i="7"/>
  <c r="U621" i="7"/>
  <c r="S620" i="7"/>
  <c r="U538" i="7"/>
  <c r="S413" i="7"/>
  <c r="S369" i="7" s="1"/>
  <c r="R413" i="7"/>
  <c r="S257" i="7"/>
  <c r="R257" i="7"/>
  <c r="T113" i="7"/>
  <c r="T112" i="7" s="1"/>
  <c r="T111" i="7" s="1"/>
  <c r="T110" i="7" s="1"/>
  <c r="T9" i="7" s="1"/>
  <c r="T8" i="7" s="1"/>
  <c r="S360" i="7"/>
  <c r="S344" i="7" s="1"/>
  <c r="S326" i="7" s="1"/>
  <c r="R360" i="7"/>
  <c r="U133" i="7"/>
  <c r="U534" i="7"/>
  <c r="U680" i="7"/>
  <c r="U489" i="7"/>
  <c r="U294" i="7"/>
  <c r="U288" i="7" s="1"/>
  <c r="S288" i="7"/>
  <c r="S287" i="7" s="1"/>
  <c r="S140" i="7"/>
  <c r="R140" i="7"/>
  <c r="U242" i="7"/>
  <c r="U366" i="7"/>
  <c r="S117" i="7"/>
  <c r="R117" i="7"/>
  <c r="U669" i="7"/>
  <c r="R536" i="7"/>
  <c r="S536" i="7"/>
  <c r="S643" i="7"/>
  <c r="R643" i="7"/>
  <c r="S608" i="7"/>
  <c r="R608" i="7"/>
  <c r="U551" i="7"/>
  <c r="U546" i="7" s="1"/>
  <c r="U465" i="7"/>
  <c r="U376" i="7"/>
  <c r="U180" i="7"/>
  <c r="U98" i="7"/>
  <c r="Y526" i="2"/>
  <c r="AA526" i="2" s="1"/>
  <c r="U526" i="2"/>
  <c r="S133" i="2"/>
  <c r="R133" i="2"/>
  <c r="X133" i="2" s="1"/>
  <c r="V133" i="2"/>
  <c r="O192" i="2"/>
  <c r="Y630" i="2"/>
  <c r="S629" i="2"/>
  <c r="U630" i="2"/>
  <c r="R501" i="2"/>
  <c r="X501" i="2" s="1"/>
  <c r="V501" i="2"/>
  <c r="S501" i="2"/>
  <c r="R465" i="2"/>
  <c r="X465" i="2" s="1"/>
  <c r="V465" i="2"/>
  <c r="S465" i="2"/>
  <c r="U626" i="2"/>
  <c r="Y626" i="2"/>
  <c r="AA626" i="2" s="1"/>
  <c r="O642" i="2"/>
  <c r="U680" i="2"/>
  <c r="Y680" i="2"/>
  <c r="AA680" i="2" s="1"/>
  <c r="O458" i="2"/>
  <c r="O457" i="2" s="1"/>
  <c r="O456" i="2" s="1"/>
  <c r="O455" i="2" s="1"/>
  <c r="O454" i="2" s="1"/>
  <c r="S357" i="2"/>
  <c r="V357" i="2"/>
  <c r="R357" i="2"/>
  <c r="X357" i="2" s="1"/>
  <c r="S538" i="2"/>
  <c r="R538" i="2"/>
  <c r="X538" i="2" s="1"/>
  <c r="V538" i="2"/>
  <c r="R477" i="2"/>
  <c r="X477" i="2" s="1"/>
  <c r="V477" i="2"/>
  <c r="S477" i="2"/>
  <c r="AA451" i="2"/>
  <c r="AA449" i="2" s="1"/>
  <c r="Z449" i="2"/>
  <c r="M333" i="2"/>
  <c r="L333" i="2"/>
  <c r="U176" i="2"/>
  <c r="Y176" i="2"/>
  <c r="AA176" i="2" s="1"/>
  <c r="M137" i="2"/>
  <c r="Y366" i="2"/>
  <c r="AA366" i="2" s="1"/>
  <c r="U366" i="2"/>
  <c r="S21" i="2"/>
  <c r="V21" i="2"/>
  <c r="R21" i="2"/>
  <c r="X21" i="2" s="1"/>
  <c r="S816" i="1"/>
  <c r="U817" i="1"/>
  <c r="U816" i="1" s="1"/>
  <c r="Y817" i="1"/>
  <c r="V847" i="1"/>
  <c r="R847" i="1"/>
  <c r="X847" i="1" s="1"/>
  <c r="S847" i="1"/>
  <c r="U657" i="1"/>
  <c r="Y657" i="1"/>
  <c r="AA657" i="1" s="1"/>
  <c r="Y676" i="1"/>
  <c r="AA676" i="1" s="1"/>
  <c r="U676" i="1"/>
  <c r="L344" i="1"/>
  <c r="M344" i="1"/>
  <c r="O344" i="1" s="1"/>
  <c r="U753" i="1"/>
  <c r="Y753" i="1"/>
  <c r="AA753" i="1" s="1"/>
  <c r="V659" i="2"/>
  <c r="S659" i="2"/>
  <c r="R659" i="2"/>
  <c r="X659" i="2" s="1"/>
  <c r="S769" i="1"/>
  <c r="R769" i="1"/>
  <c r="X769" i="1" s="1"/>
  <c r="V769" i="1"/>
  <c r="V794" i="1"/>
  <c r="S794" i="1"/>
  <c r="R794" i="1"/>
  <c r="X794" i="1" s="1"/>
  <c r="M757" i="1"/>
  <c r="V459" i="2"/>
  <c r="S459" i="2"/>
  <c r="R459" i="2"/>
  <c r="X459" i="2" s="1"/>
  <c r="S810" i="1"/>
  <c r="S809" i="1" s="1"/>
  <c r="U811" i="1"/>
  <c r="U810" i="1" s="1"/>
  <c r="Y811" i="1"/>
  <c r="V61" i="1"/>
  <c r="S61" i="1"/>
  <c r="R61" i="1"/>
  <c r="X61" i="1" s="1"/>
  <c r="R536" i="1"/>
  <c r="X536" i="1" s="1"/>
  <c r="S536" i="1"/>
  <c r="V536" i="1"/>
  <c r="R55" i="1"/>
  <c r="X55" i="1" s="1"/>
  <c r="S55" i="1"/>
  <c r="V55" i="1"/>
  <c r="V735" i="1"/>
  <c r="S735" i="1"/>
  <c r="R735" i="1"/>
  <c r="X735" i="1" s="1"/>
  <c r="R145" i="1"/>
  <c r="X145" i="1" s="1"/>
  <c r="V145" i="1"/>
  <c r="S145" i="1"/>
  <c r="M629" i="2"/>
  <c r="O630" i="2"/>
  <c r="O629" i="2" s="1"/>
  <c r="AA524" i="2"/>
  <c r="M859" i="1"/>
  <c r="O859" i="1" s="1"/>
  <c r="L859" i="1"/>
  <c r="R804" i="1"/>
  <c r="X804" i="1" s="1"/>
  <c r="V804" i="1"/>
  <c r="S804" i="1"/>
  <c r="S349" i="1"/>
  <c r="V349" i="1"/>
  <c r="R349" i="1"/>
  <c r="X349" i="1" s="1"/>
  <c r="S409" i="1"/>
  <c r="R409" i="1"/>
  <c r="X409" i="1" s="1"/>
  <c r="V409" i="1"/>
  <c r="AA27" i="1"/>
  <c r="Y639" i="2"/>
  <c r="AA639" i="2" s="1"/>
  <c r="U639" i="2"/>
  <c r="U593" i="2"/>
  <c r="Y593" i="2"/>
  <c r="AA593" i="2" s="1"/>
  <c r="Z453" i="2"/>
  <c r="Z452" i="2" s="1"/>
  <c r="Y530" i="2"/>
  <c r="AA530" i="2" s="1"/>
  <c r="U530" i="2"/>
  <c r="U376" i="2"/>
  <c r="Y376" i="2"/>
  <c r="AA376" i="2" s="1"/>
  <c r="U536" i="2"/>
  <c r="Y536" i="2"/>
  <c r="AA536" i="2" s="1"/>
  <c r="S302" i="2"/>
  <c r="R302" i="2"/>
  <c r="X302" i="2" s="1"/>
  <c r="V302" i="2"/>
  <c r="U172" i="2"/>
  <c r="Y172" i="2"/>
  <c r="AA172" i="2" s="1"/>
  <c r="Z327" i="2"/>
  <c r="Z326" i="2" s="1"/>
  <c r="L232" i="2"/>
  <c r="M232" i="2"/>
  <c r="O232" i="2" s="1"/>
  <c r="U232" i="2"/>
  <c r="Y232" i="2"/>
  <c r="AA232" i="2" s="1"/>
  <c r="Z809" i="1"/>
  <c r="M257" i="2"/>
  <c r="O257" i="2" s="1"/>
  <c r="L257" i="2"/>
  <c r="U854" i="1"/>
  <c r="Y854" i="1"/>
  <c r="U749" i="1"/>
  <c r="Y749" i="1"/>
  <c r="AA749" i="1" s="1"/>
  <c r="Y700" i="1"/>
  <c r="AA700" i="1" s="1"/>
  <c r="U700" i="1"/>
  <c r="U880" i="1"/>
  <c r="Y880" i="1"/>
  <c r="AA880" i="1" s="1"/>
  <c r="U248" i="1"/>
  <c r="Y248" i="1"/>
  <c r="AA248" i="1" s="1"/>
  <c r="U737" i="1"/>
  <c r="Y737" i="1"/>
  <c r="AA737" i="1" s="1"/>
  <c r="Y420" i="1"/>
  <c r="AA431" i="1"/>
  <c r="AA420" i="1" s="1"/>
  <c r="T721" i="1"/>
  <c r="T720" i="1" s="1"/>
  <c r="T719" i="1" s="1"/>
  <c r="T718" i="1" s="1"/>
  <c r="V354" i="1"/>
  <c r="S354" i="1"/>
  <c r="R354" i="1"/>
  <c r="X354" i="1" s="1"/>
  <c r="S310" i="2"/>
  <c r="R310" i="2"/>
  <c r="X310" i="2" s="1"/>
  <c r="V310" i="2"/>
  <c r="U779" i="1"/>
  <c r="Y779" i="1"/>
  <c r="AA779" i="1" s="1"/>
  <c r="V774" i="1"/>
  <c r="S774" i="1"/>
  <c r="R774" i="1"/>
  <c r="X774" i="1" s="1"/>
  <c r="V755" i="1"/>
  <c r="S755" i="1"/>
  <c r="R755" i="1"/>
  <c r="X755" i="1" s="1"/>
  <c r="R530" i="1"/>
  <c r="X530" i="1" s="1"/>
  <c r="V530" i="1"/>
  <c r="S530" i="1"/>
  <c r="V286" i="1"/>
  <c r="R286" i="1"/>
  <c r="X286" i="1" s="1"/>
  <c r="S286" i="1"/>
  <c r="O281" i="1"/>
  <c r="U741" i="1"/>
  <c r="Y741" i="1"/>
  <c r="AA741" i="1" s="1"/>
  <c r="O502" i="1"/>
  <c r="V648" i="2"/>
  <c r="S648" i="2"/>
  <c r="R648" i="2"/>
  <c r="X648" i="2" s="1"/>
  <c r="U104" i="2"/>
  <c r="Y104" i="2"/>
  <c r="AA104" i="2" s="1"/>
  <c r="S257" i="2"/>
  <c r="R257" i="2"/>
  <c r="X257" i="2" s="1"/>
  <c r="V257" i="2"/>
  <c r="V483" i="2"/>
  <c r="S483" i="2"/>
  <c r="R483" i="2"/>
  <c r="X483" i="2" s="1"/>
  <c r="S523" i="2"/>
  <c r="V495" i="2"/>
  <c r="S495" i="2"/>
  <c r="R495" i="2"/>
  <c r="X495" i="2" s="1"/>
  <c r="L212" i="2"/>
  <c r="M212" i="2"/>
  <c r="O212" i="2" s="1"/>
  <c r="V471" i="2"/>
  <c r="S471" i="2"/>
  <c r="R471" i="2"/>
  <c r="X471" i="2" s="1"/>
  <c r="L870" i="1"/>
  <c r="M870" i="1"/>
  <c r="O870" i="1" s="1"/>
  <c r="R321" i="2"/>
  <c r="X321" i="2" s="1"/>
  <c r="V321" i="2"/>
  <c r="S321" i="2"/>
  <c r="M92" i="2"/>
  <c r="O92" i="2" s="1"/>
  <c r="L92" i="2"/>
  <c r="Y170" i="2"/>
  <c r="AA170" i="2" s="1"/>
  <c r="U170" i="2"/>
  <c r="V632" i="1"/>
  <c r="R632" i="1"/>
  <c r="X632" i="1" s="1"/>
  <c r="S632" i="1"/>
  <c r="V747" i="1"/>
  <c r="S747" i="1"/>
  <c r="R747" i="1"/>
  <c r="X747" i="1" s="1"/>
  <c r="T160" i="1"/>
  <c r="T159" i="1" s="1"/>
  <c r="T158" i="1" s="1"/>
  <c r="T157" i="1" s="1"/>
  <c r="T9" i="1" s="1"/>
  <c r="T8" i="1" s="1"/>
  <c r="T896" i="1" s="1"/>
  <c r="Z721" i="1"/>
  <c r="M840" i="1"/>
  <c r="O841" i="1"/>
  <c r="O840" i="1" s="1"/>
  <c r="U762" i="1"/>
  <c r="Y762" i="1"/>
  <c r="AA762" i="1" s="1"/>
  <c r="V548" i="1"/>
  <c r="S548" i="1"/>
  <c r="R548" i="1"/>
  <c r="X548" i="1" s="1"/>
  <c r="L145" i="1"/>
  <c r="M145" i="1"/>
  <c r="O145" i="1" s="1"/>
  <c r="Y424" i="2"/>
  <c r="AA424" i="2" s="1"/>
  <c r="U424" i="2"/>
  <c r="R455" i="1"/>
  <c r="X455" i="1" s="1"/>
  <c r="S455" i="1"/>
  <c r="V455" i="1"/>
  <c r="M195" i="1"/>
  <c r="O200" i="1"/>
  <c r="O195" i="1" s="1"/>
  <c r="U133" i="1"/>
  <c r="Y133" i="1"/>
  <c r="AA133" i="1" s="1"/>
  <c r="O476" i="1"/>
  <c r="AA166" i="1"/>
  <c r="R379" i="1"/>
  <c r="X379" i="1" s="1"/>
  <c r="S379" i="1"/>
  <c r="V379" i="1"/>
  <c r="N160" i="1"/>
  <c r="N159" i="1" s="1"/>
  <c r="N158" i="1" s="1"/>
  <c r="N157" i="1" s="1"/>
  <c r="N9" i="1" s="1"/>
  <c r="N8" i="1" s="1"/>
  <c r="N896" i="1" s="1"/>
  <c r="V246" i="1"/>
  <c r="R246" i="1"/>
  <c r="X246" i="1" s="1"/>
  <c r="S246" i="1"/>
  <c r="M502" i="1"/>
  <c r="M476" i="1" s="1"/>
  <c r="M642" i="2"/>
  <c r="N112" i="2"/>
  <c r="N111" i="2" s="1"/>
  <c r="N110" i="2" s="1"/>
  <c r="N9" i="2" s="1"/>
  <c r="N8" i="2" s="1"/>
  <c r="S180" i="2"/>
  <c r="R180" i="2"/>
  <c r="X180" i="2" s="1"/>
  <c r="V180" i="2"/>
  <c r="S197" i="2"/>
  <c r="R197" i="2"/>
  <c r="X197" i="2" s="1"/>
  <c r="V197" i="2"/>
  <c r="U588" i="2"/>
  <c r="Y588" i="2"/>
  <c r="AA588" i="2" s="1"/>
  <c r="U578" i="2"/>
  <c r="Y578" i="2"/>
  <c r="AA578" i="2" s="1"/>
  <c r="Y636" i="2"/>
  <c r="AA636" i="2" s="1"/>
  <c r="U636" i="2"/>
  <c r="U568" i="2"/>
  <c r="Y568" i="2"/>
  <c r="AA568" i="2" s="1"/>
  <c r="Y374" i="2"/>
  <c r="U374" i="2"/>
  <c r="Z287" i="2"/>
  <c r="Z112" i="2" s="1"/>
  <c r="Z111" i="2" s="1"/>
  <c r="Z110" i="2" s="1"/>
  <c r="Z9" i="2" s="1"/>
  <c r="Z8" i="2" s="1"/>
  <c r="Z685" i="2" s="1"/>
  <c r="U514" i="2"/>
  <c r="U511" i="2" s="1"/>
  <c r="Y514" i="2"/>
  <c r="L514" i="2"/>
  <c r="M514" i="2"/>
  <c r="O514" i="2" s="1"/>
  <c r="M242" i="2"/>
  <c r="O242" i="2" s="1"/>
  <c r="L242" i="2"/>
  <c r="U168" i="2"/>
  <c r="Y168" i="2"/>
  <c r="AA168" i="2" s="1"/>
  <c r="V837" i="1"/>
  <c r="S837" i="1"/>
  <c r="R837" i="1"/>
  <c r="X837" i="1" s="1"/>
  <c r="V743" i="1"/>
  <c r="R743" i="1"/>
  <c r="X743" i="1" s="1"/>
  <c r="S743" i="1"/>
  <c r="T9" i="2"/>
  <c r="T8" i="2" s="1"/>
  <c r="M816" i="1"/>
  <c r="V832" i="1"/>
  <c r="S832" i="1"/>
  <c r="R832" i="1"/>
  <c r="X832" i="1" s="1"/>
  <c r="V739" i="1"/>
  <c r="S739" i="1"/>
  <c r="R739" i="1"/>
  <c r="X739" i="1" s="1"/>
  <c r="S669" i="1"/>
  <c r="S668" i="1" s="1"/>
  <c r="S667" i="1" s="1"/>
  <c r="S666" i="1" s="1"/>
  <c r="S665" i="1" s="1"/>
  <c r="U670" i="1"/>
  <c r="Y670" i="1"/>
  <c r="R527" i="1"/>
  <c r="X527" i="1" s="1"/>
  <c r="S527" i="1"/>
  <c r="V527" i="1"/>
  <c r="U296" i="1"/>
  <c r="Y296" i="1"/>
  <c r="AA296" i="1" s="1"/>
  <c r="U471" i="1"/>
  <c r="Y471" i="1"/>
  <c r="AA471" i="1" s="1"/>
  <c r="O723" i="1"/>
  <c r="O722" i="1" s="1"/>
  <c r="O721" i="1" s="1"/>
  <c r="M722" i="1"/>
  <c r="M721" i="1" s="1"/>
  <c r="M620" i="2"/>
  <c r="O621" i="2"/>
  <c r="O620" i="2" s="1"/>
  <c r="O619" i="2" s="1"/>
  <c r="Y606" i="2"/>
  <c r="S605" i="2"/>
  <c r="U606" i="2"/>
  <c r="U605" i="2" s="1"/>
  <c r="S313" i="2"/>
  <c r="R313" i="2"/>
  <c r="X313" i="2" s="1"/>
  <c r="V313" i="2"/>
  <c r="U92" i="2"/>
  <c r="Y92" i="2"/>
  <c r="AA92" i="2" s="1"/>
  <c r="U563" i="2"/>
  <c r="Y563" i="2"/>
  <c r="AA563" i="2" s="1"/>
  <c r="U544" i="2"/>
  <c r="Y544" i="2"/>
  <c r="AA544" i="2" s="1"/>
  <c r="O532" i="2"/>
  <c r="O523" i="2" s="1"/>
  <c r="M523" i="2"/>
  <c r="T509" i="2"/>
  <c r="T508" i="2" s="1"/>
  <c r="T507" i="2" s="1"/>
  <c r="T453" i="2" s="1"/>
  <c r="T452" i="2" s="1"/>
  <c r="S333" i="2"/>
  <c r="R333" i="2"/>
  <c r="X333" i="2" s="1"/>
  <c r="V333" i="2"/>
  <c r="R447" i="2"/>
  <c r="X447" i="2" s="1"/>
  <c r="V447" i="2"/>
  <c r="S447" i="2"/>
  <c r="U242" i="2"/>
  <c r="Y242" i="2"/>
  <c r="AA242" i="2" s="1"/>
  <c r="U80" i="2"/>
  <c r="Y80" i="2"/>
  <c r="AA80" i="2" s="1"/>
  <c r="M511" i="2"/>
  <c r="M510" i="2" s="1"/>
  <c r="O512" i="2"/>
  <c r="O511" i="2" s="1"/>
  <c r="S148" i="2"/>
  <c r="R148" i="2"/>
  <c r="X148" i="2" s="1"/>
  <c r="V148" i="2"/>
  <c r="V192" i="2"/>
  <c r="S192" i="2"/>
  <c r="R192" i="2"/>
  <c r="X192" i="2" s="1"/>
  <c r="S859" i="1"/>
  <c r="R859" i="1"/>
  <c r="X859" i="1" s="1"/>
  <c r="V859" i="1"/>
  <c r="O832" i="1"/>
  <c r="O831" i="1" s="1"/>
  <c r="M831" i="1"/>
  <c r="M830" i="1" s="1"/>
  <c r="V784" i="1"/>
  <c r="R784" i="1"/>
  <c r="X784" i="1" s="1"/>
  <c r="S784" i="1"/>
  <c r="S840" i="1"/>
  <c r="U841" i="1"/>
  <c r="Y841" i="1"/>
  <c r="Y688" i="1"/>
  <c r="AA688" i="1" s="1"/>
  <c r="U688" i="1"/>
  <c r="V643" i="1"/>
  <c r="R643" i="1"/>
  <c r="X643" i="1" s="1"/>
  <c r="S643" i="1"/>
  <c r="M539" i="1"/>
  <c r="S38" i="2"/>
  <c r="V38" i="2"/>
  <c r="R38" i="2"/>
  <c r="X38" i="2" s="1"/>
  <c r="V344" i="1"/>
  <c r="S344" i="1"/>
  <c r="R344" i="1"/>
  <c r="X344" i="1" s="1"/>
  <c r="S191" i="1"/>
  <c r="V191" i="1"/>
  <c r="R191" i="1"/>
  <c r="X191" i="1" s="1"/>
  <c r="AA858" i="1"/>
  <c r="Z853" i="1"/>
  <c r="M349" i="1"/>
  <c r="O349" i="1" s="1"/>
  <c r="L349" i="1"/>
  <c r="Y152" i="2"/>
  <c r="AA152" i="2" s="1"/>
  <c r="U152" i="2"/>
  <c r="U789" i="1"/>
  <c r="Y789" i="1"/>
  <c r="AA789" i="1" s="1"/>
  <c r="M420" i="1"/>
  <c r="M419" i="1" s="1"/>
  <c r="O431" i="1"/>
  <c r="O420" i="1" s="1"/>
  <c r="O419" i="1" s="1"/>
  <c r="S151" i="1"/>
  <c r="V151" i="1"/>
  <c r="R151" i="1"/>
  <c r="X151" i="1" s="1"/>
  <c r="U200" i="1"/>
  <c r="Y200" i="1"/>
  <c r="S195" i="1"/>
  <c r="V488" i="1"/>
  <c r="S488" i="1"/>
  <c r="R488" i="1"/>
  <c r="X488" i="1" s="1"/>
  <c r="Y309" i="1"/>
  <c r="AA309" i="1" s="1"/>
  <c r="U309" i="1"/>
  <c r="O27" i="1"/>
  <c r="O14" i="1" s="1"/>
  <c r="O13" i="1" s="1"/>
  <c r="O12" i="1" s="1"/>
  <c r="O11" i="1" s="1"/>
  <c r="O10" i="1" s="1"/>
  <c r="M14" i="1"/>
  <c r="M13" i="1" s="1"/>
  <c r="M12" i="1" s="1"/>
  <c r="M11" i="1" s="1"/>
  <c r="M10" i="1" s="1"/>
  <c r="V413" i="2"/>
  <c r="S413" i="2"/>
  <c r="R413" i="2"/>
  <c r="X413" i="2" s="1"/>
  <c r="Y643" i="2"/>
  <c r="U643" i="2"/>
  <c r="M288" i="2"/>
  <c r="M287" i="2" s="1"/>
  <c r="O294" i="2"/>
  <c r="O288" i="2" s="1"/>
  <c r="O287" i="2" s="1"/>
  <c r="V751" i="1"/>
  <c r="S751" i="1"/>
  <c r="R751" i="1"/>
  <c r="X751" i="1" s="1"/>
  <c r="U583" i="2"/>
  <c r="Y583" i="2"/>
  <c r="AA583" i="2" s="1"/>
  <c r="S262" i="2"/>
  <c r="R262" i="2"/>
  <c r="X262" i="2" s="1"/>
  <c r="V262" i="2"/>
  <c r="U598" i="2"/>
  <c r="Y633" i="2"/>
  <c r="AA633" i="2" s="1"/>
  <c r="U633" i="2"/>
  <c r="U573" i="2"/>
  <c r="Y573" i="2"/>
  <c r="AA573" i="2" s="1"/>
  <c r="S621" i="2"/>
  <c r="R621" i="2"/>
  <c r="X621" i="2" s="1"/>
  <c r="V621" i="2"/>
  <c r="U558" i="2"/>
  <c r="Y558" i="2"/>
  <c r="AA558" i="2" s="1"/>
  <c r="V547" i="2"/>
  <c r="S547" i="2"/>
  <c r="R547" i="2"/>
  <c r="X547" i="2" s="1"/>
  <c r="U519" i="2"/>
  <c r="Y519" i="2"/>
  <c r="AA519" i="2" s="1"/>
  <c r="N453" i="2"/>
  <c r="N452" i="2" s="1"/>
  <c r="R489" i="2"/>
  <c r="X489" i="2" s="1"/>
  <c r="V489" i="2"/>
  <c r="S489" i="2"/>
  <c r="O357" i="2"/>
  <c r="O344" i="2" s="1"/>
  <c r="M344" i="2"/>
  <c r="V435" i="2"/>
  <c r="S435" i="2"/>
  <c r="R435" i="2"/>
  <c r="X435" i="2" s="1"/>
  <c r="U282" i="2"/>
  <c r="Y282" i="2"/>
  <c r="AA282" i="2" s="1"/>
  <c r="S294" i="2"/>
  <c r="R294" i="2"/>
  <c r="X294" i="2" s="1"/>
  <c r="V294" i="2"/>
  <c r="S137" i="2"/>
  <c r="U140" i="2"/>
  <c r="Y140" i="2"/>
  <c r="M80" i="2"/>
  <c r="L80" i="2"/>
  <c r="U745" i="1"/>
  <c r="Y745" i="1"/>
  <c r="AA745" i="1" s="1"/>
  <c r="AA281" i="1"/>
  <c r="O856" i="1"/>
  <c r="O853" i="1" s="1"/>
  <c r="M853" i="1"/>
  <c r="U722" i="1"/>
  <c r="O166" i="1"/>
  <c r="O161" i="1" s="1"/>
  <c r="M161" i="1"/>
  <c r="S414" i="1"/>
  <c r="R414" i="1"/>
  <c r="X414" i="1" s="1"/>
  <c r="V414" i="1"/>
  <c r="M599" i="2"/>
  <c r="M598" i="2" s="1"/>
  <c r="O600" i="2"/>
  <c r="O599" i="2" s="1"/>
  <c r="O598" i="2" s="1"/>
  <c r="S237" i="2"/>
  <c r="R237" i="2"/>
  <c r="X237" i="2" s="1"/>
  <c r="V237" i="2"/>
  <c r="U891" i="1"/>
  <c r="Y891" i="1"/>
  <c r="AA891" i="1" s="1"/>
  <c r="S598" i="2"/>
  <c r="S669" i="2"/>
  <c r="R669" i="2"/>
  <c r="X669" i="2" s="1"/>
  <c r="V669" i="2"/>
  <c r="V277" i="2"/>
  <c r="S277" i="2"/>
  <c r="R277" i="2"/>
  <c r="X277" i="2" s="1"/>
  <c r="U144" i="2"/>
  <c r="Y144" i="2"/>
  <c r="AA144" i="2" s="1"/>
  <c r="U555" i="2"/>
  <c r="Y555" i="2"/>
  <c r="AA555" i="2" s="1"/>
  <c r="L237" i="2"/>
  <c r="M237" i="2"/>
  <c r="O237" i="2" s="1"/>
  <c r="S44" i="2"/>
  <c r="V44" i="2"/>
  <c r="R44" i="2"/>
  <c r="X44" i="2" s="1"/>
  <c r="S870" i="1"/>
  <c r="R870" i="1"/>
  <c r="X870" i="1" s="1"/>
  <c r="V870" i="1"/>
  <c r="U117" i="2"/>
  <c r="S114" i="2"/>
  <c r="Y117" i="2"/>
  <c r="Y712" i="1"/>
  <c r="AA712" i="1" s="1"/>
  <c r="U712" i="1"/>
  <c r="O811" i="1"/>
  <c r="O810" i="1" s="1"/>
  <c r="O809" i="1" s="1"/>
  <c r="M810" i="1"/>
  <c r="V621" i="1"/>
  <c r="S621" i="1"/>
  <c r="R621" i="1"/>
  <c r="X621" i="1" s="1"/>
  <c r="T664" i="1"/>
  <c r="T663" i="1" s="1"/>
  <c r="AA825" i="1"/>
  <c r="Z419" i="1"/>
  <c r="Z159" i="1" s="1"/>
  <c r="Z158" i="1" s="1"/>
  <c r="Z157" i="1" s="1"/>
  <c r="Z9" i="1" s="1"/>
  <c r="Z8" i="1" s="1"/>
  <c r="O670" i="1"/>
  <c r="O669" i="1" s="1"/>
  <c r="O668" i="1" s="1"/>
  <c r="O667" i="1" s="1"/>
  <c r="O666" i="1" s="1"/>
  <c r="O665" i="1" s="1"/>
  <c r="M669" i="1"/>
  <c r="M668" i="1" s="1"/>
  <c r="M667" i="1" s="1"/>
  <c r="M666" i="1" s="1"/>
  <c r="M665" i="1" s="1"/>
  <c r="U799" i="1"/>
  <c r="Y799" i="1"/>
  <c r="AA799" i="1" s="1"/>
  <c r="Y722" i="1"/>
  <c r="AA723" i="1"/>
  <c r="AA722" i="1" s="1"/>
  <c r="U218" i="1"/>
  <c r="Y218" i="1"/>
  <c r="AA218" i="1" s="1"/>
  <c r="S766" i="1"/>
  <c r="R766" i="1"/>
  <c r="X766" i="1" s="1"/>
  <c r="V766" i="1"/>
  <c r="S758" i="1"/>
  <c r="R758" i="1"/>
  <c r="X758" i="1" s="1"/>
  <c r="V758" i="1"/>
  <c r="R499" i="1"/>
  <c r="X499" i="1" s="1"/>
  <c r="V499" i="1"/>
  <c r="S499" i="1"/>
  <c r="S127" i="1"/>
  <c r="V127" i="1"/>
  <c r="R127" i="1"/>
  <c r="X127" i="1" s="1"/>
  <c r="U550" i="1"/>
  <c r="Y550" i="1"/>
  <c r="AA550" i="1" s="1"/>
  <c r="S436" i="1"/>
  <c r="S419" i="1" s="1"/>
  <c r="Y441" i="1"/>
  <c r="U441" i="1"/>
  <c r="S619" i="7" l="1"/>
  <c r="U620" i="7"/>
  <c r="U619" i="7" s="1"/>
  <c r="S546" i="7"/>
  <c r="S458" i="7"/>
  <c r="S457" i="7" s="1"/>
  <c r="S456" i="7" s="1"/>
  <c r="S455" i="7" s="1"/>
  <c r="S454" i="7" s="1"/>
  <c r="U413" i="7"/>
  <c r="U524" i="7"/>
  <c r="S523" i="7"/>
  <c r="U38" i="7"/>
  <c r="U608" i="7"/>
  <c r="U44" i="7"/>
  <c r="U287" i="7"/>
  <c r="S14" i="7"/>
  <c r="S13" i="7" s="1"/>
  <c r="S12" i="7" s="1"/>
  <c r="S11" i="7" s="1"/>
  <c r="S10" i="7" s="1"/>
  <c r="U21" i="7"/>
  <c r="U363" i="7"/>
  <c r="U458" i="7"/>
  <c r="U457" i="7" s="1"/>
  <c r="U456" i="7" s="1"/>
  <c r="U455" i="7" s="1"/>
  <c r="U454" i="7" s="1"/>
  <c r="S114" i="7"/>
  <c r="U117" i="7"/>
  <c r="U114" i="7" s="1"/>
  <c r="U257" i="7"/>
  <c r="U277" i="7"/>
  <c r="U360" i="7"/>
  <c r="S605" i="7"/>
  <c r="S598" i="7" s="1"/>
  <c r="U606" i="7"/>
  <c r="U204" i="7"/>
  <c r="S182" i="7"/>
  <c r="U614" i="7"/>
  <c r="U526" i="7"/>
  <c r="S642" i="7"/>
  <c r="U643" i="7"/>
  <c r="U642" i="7" s="1"/>
  <c r="T685" i="7"/>
  <c r="U544" i="7"/>
  <c r="U611" i="7"/>
  <c r="U536" i="7"/>
  <c r="S137" i="7"/>
  <c r="U140" i="7"/>
  <c r="U137" i="7" s="1"/>
  <c r="U542" i="7"/>
  <c r="U282" i="7"/>
  <c r="U435" i="7"/>
  <c r="U532" i="7"/>
  <c r="O80" i="2"/>
  <c r="O14" i="2" s="1"/>
  <c r="O13" i="2" s="1"/>
  <c r="O12" i="2" s="1"/>
  <c r="O11" i="2" s="1"/>
  <c r="O10" i="2" s="1"/>
  <c r="M14" i="2"/>
  <c r="M13" i="2" s="1"/>
  <c r="M12" i="2" s="1"/>
  <c r="M11" i="2" s="1"/>
  <c r="M10" i="2" s="1"/>
  <c r="Y488" i="1"/>
  <c r="S477" i="1"/>
  <c r="S476" i="1" s="1"/>
  <c r="U488" i="1"/>
  <c r="Y197" i="2"/>
  <c r="AA197" i="2" s="1"/>
  <c r="U197" i="2"/>
  <c r="S539" i="1"/>
  <c r="Y548" i="1"/>
  <c r="U548" i="1"/>
  <c r="O262" i="1"/>
  <c r="Y735" i="1"/>
  <c r="S734" i="1"/>
  <c r="S721" i="1" s="1"/>
  <c r="U735" i="1"/>
  <c r="U769" i="1"/>
  <c r="Y769" i="1"/>
  <c r="AA769" i="1" s="1"/>
  <c r="M182" i="2"/>
  <c r="M113" i="2" s="1"/>
  <c r="M112" i="2" s="1"/>
  <c r="M111" i="2" s="1"/>
  <c r="M110" i="2" s="1"/>
  <c r="AA140" i="2"/>
  <c r="O830" i="1"/>
  <c r="Y447" i="2"/>
  <c r="AA447" i="2" s="1"/>
  <c r="U447" i="2"/>
  <c r="T685" i="2"/>
  <c r="Y246" i="1"/>
  <c r="AA246" i="1" s="1"/>
  <c r="U246" i="1"/>
  <c r="U455" i="1"/>
  <c r="Y455" i="1"/>
  <c r="AA455" i="1" s="1"/>
  <c r="Y471" i="2"/>
  <c r="AA471" i="2" s="1"/>
  <c r="U471" i="2"/>
  <c r="M262" i="1"/>
  <c r="Y349" i="1"/>
  <c r="AA349" i="1" s="1"/>
  <c r="U349" i="1"/>
  <c r="Y523" i="2"/>
  <c r="U61" i="1"/>
  <c r="Y61" i="1"/>
  <c r="AA61" i="1" s="1"/>
  <c r="U501" i="2"/>
  <c r="Y501" i="2"/>
  <c r="AA501" i="2" s="1"/>
  <c r="Y621" i="1"/>
  <c r="AA621" i="1" s="1"/>
  <c r="U621" i="1"/>
  <c r="U237" i="2"/>
  <c r="Y237" i="2"/>
  <c r="AA237" i="2" s="1"/>
  <c r="Y413" i="2"/>
  <c r="AA413" i="2" s="1"/>
  <c r="U413" i="2"/>
  <c r="Y127" i="1"/>
  <c r="AA127" i="1" s="1"/>
  <c r="U127" i="1"/>
  <c r="M809" i="1"/>
  <c r="M720" i="1" s="1"/>
  <c r="M719" i="1" s="1"/>
  <c r="M718" i="1" s="1"/>
  <c r="M664" i="1" s="1"/>
  <c r="M663" i="1" s="1"/>
  <c r="U669" i="2"/>
  <c r="Y669" i="2"/>
  <c r="AA669" i="2" s="1"/>
  <c r="Y435" i="2"/>
  <c r="AA435" i="2" s="1"/>
  <c r="U435" i="2"/>
  <c r="AA841" i="1"/>
  <c r="AA840" i="1" s="1"/>
  <c r="Y840" i="1"/>
  <c r="Y148" i="2"/>
  <c r="AA148" i="2" s="1"/>
  <c r="U148" i="2"/>
  <c r="M619" i="2"/>
  <c r="Y739" i="1"/>
  <c r="AA739" i="1" s="1"/>
  <c r="U739" i="1"/>
  <c r="Y743" i="1"/>
  <c r="AA743" i="1" s="1"/>
  <c r="U743" i="1"/>
  <c r="U369" i="2"/>
  <c r="Y747" i="1"/>
  <c r="AA747" i="1" s="1"/>
  <c r="U747" i="1"/>
  <c r="Y755" i="1"/>
  <c r="AA755" i="1" s="1"/>
  <c r="U755" i="1"/>
  <c r="Y659" i="2"/>
  <c r="AA659" i="2" s="1"/>
  <c r="U659" i="2"/>
  <c r="S113" i="2"/>
  <c r="Y38" i="2"/>
  <c r="AA38" i="2" s="1"/>
  <c r="U38" i="2"/>
  <c r="O510" i="2"/>
  <c r="O509" i="2" s="1"/>
  <c r="O508" i="2" s="1"/>
  <c r="O507" i="2" s="1"/>
  <c r="AA374" i="2"/>
  <c r="Y321" i="2"/>
  <c r="AA321" i="2" s="1"/>
  <c r="U321" i="2"/>
  <c r="Y483" i="2"/>
  <c r="AA483" i="2" s="1"/>
  <c r="U483" i="2"/>
  <c r="Y648" i="2"/>
  <c r="AA648" i="2" s="1"/>
  <c r="U648" i="2"/>
  <c r="U642" i="2" s="1"/>
  <c r="Y286" i="1"/>
  <c r="U286" i="1"/>
  <c r="S262" i="1"/>
  <c r="Y310" i="2"/>
  <c r="AA310" i="2" s="1"/>
  <c r="U310" i="2"/>
  <c r="Y804" i="1"/>
  <c r="AA804" i="1" s="1"/>
  <c r="U804" i="1"/>
  <c r="Y55" i="1"/>
  <c r="U55" i="1"/>
  <c r="S14" i="1"/>
  <c r="S13" i="1" s="1"/>
  <c r="S12" i="1" s="1"/>
  <c r="S11" i="1" s="1"/>
  <c r="S10" i="1" s="1"/>
  <c r="AA811" i="1"/>
  <c r="AA810" i="1" s="1"/>
  <c r="AA809" i="1" s="1"/>
  <c r="Y810" i="1"/>
  <c r="Y794" i="1"/>
  <c r="AA794" i="1" s="1"/>
  <c r="U794" i="1"/>
  <c r="M327" i="2"/>
  <c r="M326" i="2" s="1"/>
  <c r="O333" i="2"/>
  <c r="O327" i="2" s="1"/>
  <c r="O326" i="2" s="1"/>
  <c r="Y538" i="2"/>
  <c r="AA538" i="2" s="1"/>
  <c r="AA523" i="2" s="1"/>
  <c r="U538" i="2"/>
  <c r="U523" i="2" s="1"/>
  <c r="Y133" i="2"/>
  <c r="AA133" i="2" s="1"/>
  <c r="U133" i="2"/>
  <c r="U114" i="2" s="1"/>
  <c r="Y758" i="1"/>
  <c r="S757" i="1"/>
  <c r="U758" i="1"/>
  <c r="U195" i="1"/>
  <c r="Y191" i="1"/>
  <c r="U191" i="1"/>
  <c r="U161" i="1" s="1"/>
  <c r="S161" i="1"/>
  <c r="S160" i="1" s="1"/>
  <c r="M509" i="2"/>
  <c r="M508" i="2" s="1"/>
  <c r="M507" i="2" s="1"/>
  <c r="M453" i="2" s="1"/>
  <c r="M452" i="2" s="1"/>
  <c r="Y313" i="2"/>
  <c r="AA313" i="2" s="1"/>
  <c r="U313" i="2"/>
  <c r="S502" i="1"/>
  <c r="Y527" i="1"/>
  <c r="U527" i="1"/>
  <c r="S369" i="2"/>
  <c r="Y632" i="1"/>
  <c r="AA632" i="1" s="1"/>
  <c r="U632" i="1"/>
  <c r="AA854" i="1"/>
  <c r="Y302" i="2"/>
  <c r="S299" i="2"/>
  <c r="U302" i="2"/>
  <c r="Y145" i="1"/>
  <c r="AA145" i="1" s="1"/>
  <c r="U145" i="1"/>
  <c r="U809" i="1"/>
  <c r="U847" i="1"/>
  <c r="U840" i="1" s="1"/>
  <c r="Y847" i="1"/>
  <c r="AA847" i="1" s="1"/>
  <c r="U21" i="2"/>
  <c r="S14" i="2"/>
  <c r="S13" i="2" s="1"/>
  <c r="S12" i="2" s="1"/>
  <c r="S11" i="2" s="1"/>
  <c r="S10" i="2" s="1"/>
  <c r="Y21" i="2"/>
  <c r="U629" i="2"/>
  <c r="Y499" i="1"/>
  <c r="AA499" i="1" s="1"/>
  <c r="U499" i="1"/>
  <c r="Y766" i="1"/>
  <c r="AA766" i="1" s="1"/>
  <c r="U766" i="1"/>
  <c r="U621" i="2"/>
  <c r="U620" i="2" s="1"/>
  <c r="S620" i="2"/>
  <c r="S619" i="2" s="1"/>
  <c r="Y621" i="2"/>
  <c r="AA441" i="1"/>
  <c r="AA436" i="1" s="1"/>
  <c r="AA419" i="1" s="1"/>
  <c r="Y436" i="1"/>
  <c r="Y419" i="1" s="1"/>
  <c r="Y859" i="1"/>
  <c r="AA859" i="1" s="1"/>
  <c r="U859" i="1"/>
  <c r="U853" i="1" s="1"/>
  <c r="O720" i="1"/>
  <c r="O719" i="1" s="1"/>
  <c r="O718" i="1" s="1"/>
  <c r="O664" i="1" s="1"/>
  <c r="O663" i="1" s="1"/>
  <c r="U414" i="1"/>
  <c r="Y414" i="1"/>
  <c r="AA414" i="1" s="1"/>
  <c r="S546" i="2"/>
  <c r="S510" i="2" s="1"/>
  <c r="S509" i="2" s="1"/>
  <c r="S508" i="2" s="1"/>
  <c r="S507" i="2" s="1"/>
  <c r="Y547" i="2"/>
  <c r="U547" i="2"/>
  <c r="U546" i="2" s="1"/>
  <c r="U510" i="2" s="1"/>
  <c r="S642" i="2"/>
  <c r="Y643" i="1"/>
  <c r="AA643" i="1" s="1"/>
  <c r="U643" i="1"/>
  <c r="Y784" i="1"/>
  <c r="AA784" i="1" s="1"/>
  <c r="U784" i="1"/>
  <c r="S831" i="1"/>
  <c r="S830" i="1" s="1"/>
  <c r="U832" i="1"/>
  <c r="Y832" i="1"/>
  <c r="Y180" i="2"/>
  <c r="AA180" i="2" s="1"/>
  <c r="U180" i="2"/>
  <c r="U137" i="2" s="1"/>
  <c r="Y774" i="1"/>
  <c r="AA774" i="1" s="1"/>
  <c r="U774" i="1"/>
  <c r="Y354" i="1"/>
  <c r="AA354" i="1" s="1"/>
  <c r="U354" i="1"/>
  <c r="AA606" i="2"/>
  <c r="AA605" i="2" s="1"/>
  <c r="AA598" i="2" s="1"/>
  <c r="Y605" i="2"/>
  <c r="Y598" i="2" s="1"/>
  <c r="U436" i="1"/>
  <c r="U419" i="1" s="1"/>
  <c r="Y870" i="1"/>
  <c r="AA870" i="1" s="1"/>
  <c r="U870" i="1"/>
  <c r="Y262" i="2"/>
  <c r="AA262" i="2" s="1"/>
  <c r="U262" i="2"/>
  <c r="AA200" i="1"/>
  <c r="AA195" i="1" s="1"/>
  <c r="Y195" i="1"/>
  <c r="AA117" i="2"/>
  <c r="AA114" i="2" s="1"/>
  <c r="Y114" i="2"/>
  <c r="U44" i="2"/>
  <c r="Y44" i="2"/>
  <c r="AA44" i="2" s="1"/>
  <c r="U277" i="2"/>
  <c r="Y277" i="2"/>
  <c r="AA277" i="2" s="1"/>
  <c r="M160" i="1"/>
  <c r="M159" i="1" s="1"/>
  <c r="M158" i="1" s="1"/>
  <c r="M157" i="1" s="1"/>
  <c r="M9" i="1" s="1"/>
  <c r="M8" i="1" s="1"/>
  <c r="M896" i="1" s="1"/>
  <c r="O896" i="1" s="1"/>
  <c r="Y294" i="2"/>
  <c r="U294" i="2"/>
  <c r="U288" i="2" s="1"/>
  <c r="S288" i="2"/>
  <c r="S287" i="2" s="1"/>
  <c r="Y489" i="2"/>
  <c r="AA489" i="2" s="1"/>
  <c r="U489" i="2"/>
  <c r="AA643" i="2"/>
  <c r="AA642" i="2" s="1"/>
  <c r="S182" i="2"/>
  <c r="U192" i="2"/>
  <c r="Y192" i="2"/>
  <c r="Y669" i="1"/>
  <c r="Y668" i="1" s="1"/>
  <c r="Y667" i="1" s="1"/>
  <c r="Y666" i="1" s="1"/>
  <c r="Y665" i="1" s="1"/>
  <c r="AA670" i="1"/>
  <c r="AA669" i="1" s="1"/>
  <c r="AA668" i="1" s="1"/>
  <c r="AA667" i="1" s="1"/>
  <c r="AA666" i="1" s="1"/>
  <c r="AA665" i="1" s="1"/>
  <c r="U837" i="1"/>
  <c r="Y837" i="1"/>
  <c r="AA837" i="1" s="1"/>
  <c r="N685" i="2"/>
  <c r="U379" i="1"/>
  <c r="Y379" i="1"/>
  <c r="AA379" i="1" s="1"/>
  <c r="Z720" i="1"/>
  <c r="Z719" i="1" s="1"/>
  <c r="Z718" i="1" s="1"/>
  <c r="Z664" i="1" s="1"/>
  <c r="Z663" i="1" s="1"/>
  <c r="Z896" i="1" s="1"/>
  <c r="Y495" i="2"/>
  <c r="AA495" i="2" s="1"/>
  <c r="U495" i="2"/>
  <c r="U530" i="1"/>
  <c r="Y530" i="1"/>
  <c r="AA530" i="1" s="1"/>
  <c r="S853" i="1"/>
  <c r="U409" i="1"/>
  <c r="Y409" i="1"/>
  <c r="AA409" i="1" s="1"/>
  <c r="Y536" i="1"/>
  <c r="AA536" i="1" s="1"/>
  <c r="U536" i="1"/>
  <c r="U477" i="2"/>
  <c r="Y477" i="2"/>
  <c r="AA477" i="2" s="1"/>
  <c r="Y357" i="2"/>
  <c r="S344" i="2"/>
  <c r="U357" i="2"/>
  <c r="U344" i="2" s="1"/>
  <c r="Y465" i="2"/>
  <c r="AA465" i="2" s="1"/>
  <c r="U465" i="2"/>
  <c r="AA630" i="2"/>
  <c r="AA629" i="2" s="1"/>
  <c r="Y629" i="2"/>
  <c r="O160" i="1"/>
  <c r="O159" i="1" s="1"/>
  <c r="O158" i="1" s="1"/>
  <c r="O157" i="1" s="1"/>
  <c r="O9" i="1" s="1"/>
  <c r="O8" i="1" s="1"/>
  <c r="Y751" i="1"/>
  <c r="AA751" i="1" s="1"/>
  <c r="U751" i="1"/>
  <c r="U151" i="1"/>
  <c r="Y151" i="1"/>
  <c r="AA151" i="1" s="1"/>
  <c r="Y344" i="1"/>
  <c r="AA344" i="1" s="1"/>
  <c r="U344" i="1"/>
  <c r="U333" i="2"/>
  <c r="U327" i="2" s="1"/>
  <c r="Y333" i="2"/>
  <c r="S327" i="2"/>
  <c r="S326" i="2" s="1"/>
  <c r="U669" i="1"/>
  <c r="U668" i="1" s="1"/>
  <c r="U667" i="1" s="1"/>
  <c r="U666" i="1" s="1"/>
  <c r="U665" i="1" s="1"/>
  <c r="AA514" i="2"/>
  <c r="AA511" i="2" s="1"/>
  <c r="Y511" i="2"/>
  <c r="Y257" i="2"/>
  <c r="AA257" i="2" s="1"/>
  <c r="U257" i="2"/>
  <c r="S458" i="2"/>
  <c r="S457" i="2" s="1"/>
  <c r="S456" i="2" s="1"/>
  <c r="S455" i="2" s="1"/>
  <c r="S454" i="2" s="1"/>
  <c r="Y459" i="2"/>
  <c r="U459" i="2"/>
  <c r="AA817" i="1"/>
  <c r="AA816" i="1" s="1"/>
  <c r="Y816" i="1"/>
  <c r="O453" i="2"/>
  <c r="O452" i="2" s="1"/>
  <c r="O182" i="2"/>
  <c r="O113" i="2" s="1"/>
  <c r="O112" i="2" s="1"/>
  <c r="O111" i="2" s="1"/>
  <c r="O110" i="2" s="1"/>
  <c r="U344" i="7" l="1"/>
  <c r="U326" i="7" s="1"/>
  <c r="S510" i="7"/>
  <c r="U369" i="7"/>
  <c r="U14" i="7"/>
  <c r="U13" i="7" s="1"/>
  <c r="U12" i="7" s="1"/>
  <c r="U11" i="7" s="1"/>
  <c r="U10" i="7" s="1"/>
  <c r="U182" i="7"/>
  <c r="U113" i="7" s="1"/>
  <c r="U112" i="7" s="1"/>
  <c r="U111" i="7" s="1"/>
  <c r="U110" i="7" s="1"/>
  <c r="U9" i="7" s="1"/>
  <c r="U8" i="7" s="1"/>
  <c r="S509" i="7"/>
  <c r="S508" i="7" s="1"/>
  <c r="S507" i="7" s="1"/>
  <c r="S453" i="7" s="1"/>
  <c r="S452" i="7" s="1"/>
  <c r="U605" i="7"/>
  <c r="U598" i="7" s="1"/>
  <c r="S113" i="7"/>
  <c r="S112" i="7" s="1"/>
  <c r="S111" i="7" s="1"/>
  <c r="S110" i="7" s="1"/>
  <c r="S9" i="7" s="1"/>
  <c r="S8" i="7" s="1"/>
  <c r="U523" i="7"/>
  <c r="U510" i="7" s="1"/>
  <c r="U509" i="2"/>
  <c r="U508" i="2" s="1"/>
  <c r="U507" i="2" s="1"/>
  <c r="U182" i="2"/>
  <c r="U113" i="2" s="1"/>
  <c r="U112" i="2" s="1"/>
  <c r="U111" i="2" s="1"/>
  <c r="U110" i="2" s="1"/>
  <c r="S112" i="2"/>
  <c r="S111" i="2" s="1"/>
  <c r="S110" i="2" s="1"/>
  <c r="S9" i="2" s="1"/>
  <c r="S8" i="2" s="1"/>
  <c r="S685" i="2" s="1"/>
  <c r="U685" i="2" s="1"/>
  <c r="AA548" i="1"/>
  <c r="AA539" i="1" s="1"/>
  <c r="Y539" i="1"/>
  <c r="M9" i="2"/>
  <c r="M8" i="2" s="1"/>
  <c r="M685" i="2" s="1"/>
  <c r="O685" i="2" s="1"/>
  <c r="U14" i="2"/>
  <c r="U13" i="2" s="1"/>
  <c r="U12" i="2" s="1"/>
  <c r="U11" i="2" s="1"/>
  <c r="U10" i="2" s="1"/>
  <c r="AA302" i="2"/>
  <c r="AA299" i="2" s="1"/>
  <c r="Y299" i="2"/>
  <c r="S9" i="1"/>
  <c r="S8" i="1" s="1"/>
  <c r="S896" i="1" s="1"/>
  <c r="U896" i="1" s="1"/>
  <c r="O9" i="2"/>
  <c r="O8" i="2" s="1"/>
  <c r="AA621" i="2"/>
  <c r="AA620" i="2" s="1"/>
  <c r="AA619" i="2" s="1"/>
  <c r="Y620" i="2"/>
  <c r="Y619" i="2" s="1"/>
  <c r="U619" i="2"/>
  <c r="Y642" i="2"/>
  <c r="AA832" i="1"/>
  <c r="AA831" i="1" s="1"/>
  <c r="AA830" i="1" s="1"/>
  <c r="Y831" i="1"/>
  <c r="Y830" i="1" s="1"/>
  <c r="Y853" i="1"/>
  <c r="U14" i="1"/>
  <c r="U13" i="1" s="1"/>
  <c r="U12" i="1" s="1"/>
  <c r="U11" i="1" s="1"/>
  <c r="U10" i="1" s="1"/>
  <c r="U262" i="1"/>
  <c r="Y369" i="2"/>
  <c r="Y510" i="2"/>
  <c r="AA357" i="2"/>
  <c r="AA344" i="2" s="1"/>
  <c r="Y344" i="2"/>
  <c r="U831" i="1"/>
  <c r="U830" i="1" s="1"/>
  <c r="AA547" i="2"/>
  <c r="AA546" i="2" s="1"/>
  <c r="AA510" i="2" s="1"/>
  <c r="AA509" i="2" s="1"/>
  <c r="AA508" i="2" s="1"/>
  <c r="AA507" i="2" s="1"/>
  <c r="Y546" i="2"/>
  <c r="AA853" i="1"/>
  <c r="AA55" i="1"/>
  <c r="AA14" i="1" s="1"/>
  <c r="AA13" i="1" s="1"/>
  <c r="AA12" i="1" s="1"/>
  <c r="AA11" i="1" s="1"/>
  <c r="AA10" i="1" s="1"/>
  <c r="Y14" i="1"/>
  <c r="Y13" i="1" s="1"/>
  <c r="Y12" i="1" s="1"/>
  <c r="Y11" i="1" s="1"/>
  <c r="Y10" i="1" s="1"/>
  <c r="AA286" i="1"/>
  <c r="AA262" i="1" s="1"/>
  <c r="Y262" i="1"/>
  <c r="AA369" i="2"/>
  <c r="U734" i="1"/>
  <c r="AA459" i="2"/>
  <c r="AA458" i="2" s="1"/>
  <c r="AA457" i="2" s="1"/>
  <c r="AA456" i="2" s="1"/>
  <c r="AA455" i="2" s="1"/>
  <c r="AA454" i="2" s="1"/>
  <c r="Y458" i="2"/>
  <c r="Y457" i="2" s="1"/>
  <c r="Y456" i="2" s="1"/>
  <c r="Y455" i="2" s="1"/>
  <c r="Y454" i="2" s="1"/>
  <c r="U757" i="1"/>
  <c r="S720" i="1"/>
  <c r="S719" i="1" s="1"/>
  <c r="S718" i="1" s="1"/>
  <c r="S664" i="1" s="1"/>
  <c r="S663" i="1" s="1"/>
  <c r="AA294" i="2"/>
  <c r="AA288" i="2" s="1"/>
  <c r="Y288" i="2"/>
  <c r="AA527" i="1"/>
  <c r="AA502" i="1" s="1"/>
  <c r="Y502" i="1"/>
  <c r="U458" i="2"/>
  <c r="U457" i="2" s="1"/>
  <c r="U456" i="2" s="1"/>
  <c r="U455" i="2" s="1"/>
  <c r="U454" i="2" s="1"/>
  <c r="AA333" i="2"/>
  <c r="AA327" i="2" s="1"/>
  <c r="Y327" i="2"/>
  <c r="Y326" i="2" s="1"/>
  <c r="S453" i="2"/>
  <c r="S452" i="2" s="1"/>
  <c r="U326" i="2"/>
  <c r="S159" i="1"/>
  <c r="S158" i="1" s="1"/>
  <c r="S157" i="1" s="1"/>
  <c r="Y734" i="1"/>
  <c r="Y721" i="1" s="1"/>
  <c r="AA735" i="1"/>
  <c r="AA734" i="1" s="1"/>
  <c r="U477" i="1"/>
  <c r="U476" i="1" s="1"/>
  <c r="U160" i="1"/>
  <c r="AA758" i="1"/>
  <c r="AA757" i="1" s="1"/>
  <c r="Y757" i="1"/>
  <c r="Y137" i="2"/>
  <c r="Y113" i="2" s="1"/>
  <c r="AA192" i="2"/>
  <c r="AA182" i="2" s="1"/>
  <c r="Y182" i="2"/>
  <c r="U287" i="2"/>
  <c r="AA21" i="2"/>
  <c r="AA14" i="2" s="1"/>
  <c r="AA13" i="2" s="1"/>
  <c r="AA12" i="2" s="1"/>
  <c r="AA11" i="2" s="1"/>
  <c r="AA10" i="2" s="1"/>
  <c r="Y14" i="2"/>
  <c r="Y13" i="2" s="1"/>
  <c r="Y12" i="2" s="1"/>
  <c r="Y11" i="2" s="1"/>
  <c r="Y10" i="2" s="1"/>
  <c r="U299" i="2"/>
  <c r="U502" i="1"/>
  <c r="AA191" i="1"/>
  <c r="AA161" i="1" s="1"/>
  <c r="Y161" i="1"/>
  <c r="Y160" i="1" s="1"/>
  <c r="Y809" i="1"/>
  <c r="AA137" i="2"/>
  <c r="AA113" i="2" s="1"/>
  <c r="U539" i="1"/>
  <c r="Y477" i="1"/>
  <c r="Y476" i="1" s="1"/>
  <c r="AA488" i="1"/>
  <c r="AA477" i="1" s="1"/>
  <c r="AA476" i="1" s="1"/>
  <c r="U509" i="7" l="1"/>
  <c r="U508" i="7" s="1"/>
  <c r="U507" i="7" s="1"/>
  <c r="U453" i="7" s="1"/>
  <c r="U452" i="7" s="1"/>
  <c r="S685" i="7"/>
  <c r="U685" i="7" s="1"/>
  <c r="AA326" i="2"/>
  <c r="U9" i="2"/>
  <c r="U8" i="2" s="1"/>
  <c r="Y159" i="1"/>
  <c r="Y158" i="1" s="1"/>
  <c r="Y157" i="1" s="1"/>
  <c r="Y9" i="1" s="1"/>
  <c r="Y8" i="1" s="1"/>
  <c r="Y896" i="1" s="1"/>
  <c r="AA896" i="1" s="1"/>
  <c r="Y720" i="1"/>
  <c r="Y719" i="1" s="1"/>
  <c r="Y718" i="1" s="1"/>
  <c r="Y664" i="1" s="1"/>
  <c r="Y663" i="1" s="1"/>
  <c r="AA453" i="2"/>
  <c r="AA452" i="2" s="1"/>
  <c r="U453" i="2"/>
  <c r="U452" i="2" s="1"/>
  <c r="AA160" i="1"/>
  <c r="AA159" i="1" s="1"/>
  <c r="AA158" i="1" s="1"/>
  <c r="AA157" i="1" s="1"/>
  <c r="U721" i="1"/>
  <c r="U720" i="1" s="1"/>
  <c r="U719" i="1" s="1"/>
  <c r="U718" i="1" s="1"/>
  <c r="U664" i="1" s="1"/>
  <c r="U663" i="1" s="1"/>
  <c r="Y509" i="2"/>
  <c r="Y508" i="2" s="1"/>
  <c r="Y507" i="2" s="1"/>
  <c r="Y453" i="2" s="1"/>
  <c r="Y452" i="2" s="1"/>
  <c r="AA721" i="1"/>
  <c r="AA720" i="1" s="1"/>
  <c r="AA719" i="1" s="1"/>
  <c r="AA718" i="1" s="1"/>
  <c r="AA664" i="1" s="1"/>
  <c r="AA663" i="1" s="1"/>
  <c r="Y287" i="2"/>
  <c r="Y112" i="2" s="1"/>
  <c r="Y111" i="2" s="1"/>
  <c r="Y110" i="2" s="1"/>
  <c r="Y9" i="2" s="1"/>
  <c r="Y8" i="2" s="1"/>
  <c r="Y685" i="2" s="1"/>
  <c r="AA685" i="2" s="1"/>
  <c r="AA287" i="2"/>
  <c r="AA112" i="2" s="1"/>
  <c r="AA111" i="2" s="1"/>
  <c r="AA110" i="2" s="1"/>
  <c r="AA9" i="2" s="1"/>
  <c r="AA8" i="2" s="1"/>
  <c r="U159" i="1"/>
  <c r="U158" i="1" s="1"/>
  <c r="U157" i="1" s="1"/>
  <c r="U9" i="1" s="1"/>
  <c r="U8" i="1" s="1"/>
  <c r="AA9" i="1"/>
  <c r="AA8" i="1" s="1"/>
</calcChain>
</file>

<file path=xl/sharedStrings.xml><?xml version="1.0" encoding="utf-8"?>
<sst xmlns="http://schemas.openxmlformats.org/spreadsheetml/2006/main" count="12419" uniqueCount="2484">
  <si>
    <t>Указать название организации (на бланке организации)</t>
  </si>
  <si>
    <t>{"estimateId":5150278,"estimateVersionId":7006337}</t>
  </si>
  <si>
    <t>7</t>
  </si>
  <si>
    <t>MFKdQ/UnvYDBmKUPhQ1Ob+OmobsyJpx2Zr2W3RBywCvIFEHQ58CLp6dELJl99xC/UbqPwdthuHba0SGzChOZ0+RVDZwmoOCVfZusGkvJqD4qkANt98XFvpueCi9INVKQeR9oK5hfoUv5ilnVXm+yGjdpEKt+b+AMaGN0UjerdOI=</t>
  </si>
  <si>
    <t>ТЕХНИКО-КОММЕРЧЕСКОЕ ПРЕДЛОЖЕНИЕ (ТКП)</t>
  </si>
  <si>
    <t>г. Москва, ул. Люблинская, вл. 72, поликлиника на 560 пос/см</t>
  </si>
  <si>
    <t>Стоимость, указанная в предложении, включает в себя все необходимые затраты на выполнение полного комплекса работс НДС 20%</t>
  </si>
  <si>
    <t>Предельная стоимость производства работ (ПСПР)</t>
  </si>
  <si>
    <t>МФ-СТРОЙ ООО</t>
  </si>
  <si>
    <t>9701212867</t>
  </si>
  <si>
    <t>eF7s/WmTZMd1pov+lTCaXTOwKiPunnwPkOEDUMwqRbIyIyp3xDnWLchoOR7BjgjqkNSVTre1GQZx0AFbHCRd6YKkQJDq4Ut3FwGUWBiqYNY/oC3yH133HUNWRbj7fteKvTwDAklDooaswvssj73W69Pa//4r3/2//+ziKy9+5Zsnf/aVva/8f07+9M8vJs2vvP7nf/qne1+5+Muziz+d/8JXvrP8Bv3jf//qV86+9c1vfuv1V7/y4h/pn5i/Rf/w+lf3Xr3+y15d/G2vXv91zfd+5/rbmp/PfjP7ZPZw9rvZw6u3rn7Umz1pfvKB/vpk9nj2qDd7evXG7MPFT813fV//+3HvBfONvdlvZ582v/WJ8zu/2vz3zr71rW+fv/b6yXfn/9GX4+ZXL77z3de+qX/t+Ft/MTx/RvDr333tu//3vT9/bflr/2HvedrXL1/7P3i0//7VV6//s/q/qX/2oopVlBTl3rO/9b9dfPs7r33r9cV3FFGUp2nxH2woX9sGRX8AeBw2JXe3UfKd1/4P5gfIJmV/GylbfZp/Pfv72X+a/XL2j7N3Z//UN19mv9D///vZr2b/RX99v/mVv+/N3tO/8Pezv5v9XP/0/6t/ZP7E3+tP9a/1N7xn/8wmL06Tm8L6cNDTFE+v3tRPmn4293pXb88+1b/286u/aZ7Bx7Mnze89vPrxXk9/h/69ItE/+nz2tPndT+bf0/zoYfOQ91QeNb9/9ab+jP+/9Z/+zEqdvjhNb4r6/au3tP7Hs8+MSpOeGu5FutIQTwyvxtUcOvU8mn2kKZ/O/kX/yJA+biKhya/+5uoH+vsfXb1lvleTPpr9tvlz5ocmGI/0n/rt1ff014/Mf+3qHfPL84z4RvP1nXnI9J94ZxHSJ4v/yKPe6hee6uT3tKf/g0+14M/1Lz2afaL/Cw975i/Ro/RU/0Vv9vQn7e9m7/eS6P9lDXf24jS7qXC/twjiIx2yHy2Ca+L+/BjMg/20yfEfmJA13/LBc5z6QXpPP2v6IbM+SgfqxZG6KcpfzP65r7X9WieAf5r9/3r6i/6/TeVYvXh8UyqrIoqTOCnzwqasVi9Ob0qZ/vyaz/ejqzf0B8FkDv3V9kFWL75c3JTEd83H0qSK3xl70tOp/f3Zr2wqX1EvvnJjKn+pnxbzXD1qcsczjuuZzGMTfUe9eOfGRL/bjH4jWj/1D7XKx7OPmxzoCfPX1Itf20HFOnW9cfVj/fUH87pok76vXty/Mel/P/tI13iTaD8b2MTdVS/evTFxOq5X//HqrwbNB/XNRfW0xvCeevHeTcqcfdo3lao3+6k90f+hevEPb0zfP2nn8df6w/lo7hzmUm0qh+rF4Y2p/M9NljK+8w2dVn87aDUyB/mLX89vSu0vTOo0JUo/Ow+1mXnH1KlXX33d2DwzS9UIHz2bcq0ANxbr97X+X+2ZKcov7en06zcmjfwxuJ+/eP/G1NqmD6Duw/zFoy/0x/fw5qLe9vE9ujFp81xrn9bs6QCjn45R/uLoxiDIz+A4f/HBF/qzPL6xWLd+lh/cmDTyx+A4f/H4xtRukYrr/MXJF/rjW99c1Ns+vpMbk9ZVKp7mL063gfjut7578qcbDK9+5fWTb17M/1o+xzMLYvjH/Wtltc2n3cXzZ9/5s29PzO8d6r/y26+d/On+//Xnr/3ZN/XfZqG8XKN8qZ4evnBY7h3meWpd0DsUFl1/89vj17+NKj0q945cSo+ElY6//dqZ7YOzIdSE7PZKzbrBkFH53a0+AHW5V7vCWgsKpg3+pNybuFROBFXCA29CdXviGPipjMI/ee38/OL17Z7/f1Pu/RtXYP+NuGzah+Dflnv/1qX134prhT8KJmy3/63jo/Dyy2Shf9z8LecX45Pv/on+NS07Pz1LTk9Pov5Fdqn6WRld9suyuOyfZGl0kqosPj8/mX/nt7/1F/MfVPN/rYAv/vRi9TFh1ch40Jv9rKmIZtvoUbNv99Ssdz22/Hq/2V16bPt2s3f7U2ukyheHJRwpNCj/Qf/BOIWD0UGBrRy1VQYto6PRHsIjO8+REI+i88APqsEZ2XFGQjj4Y7hlVbdj1TJYSUTDon3iJnaWiRBLTGMhfdqmdpSpAIphyV99vgiso33n4uy7r1kme7oI/Pk3Ty9sI7RZBmIb0cuVlSiNVBznVVKuY80rso4+rNBUxG/8WVMSW0VaK/ErTInrj7AniFglnf3D5pmUVaV8bBYqzMmNxXkM6ybSnerFIZNmoxa6cTqohXG0dxirwl4RuQTrJQ8goCWgIy37yCX7iCtb0WWTcs1Iqx65VI+4qvFP/5YFTKuvXeprpvqNOtWinvYxmWjJE5fkCVcynrMZ5UgrnroUTzmKn8nhwlXHUXfiyKu6csYZFkkqPIPEpvIVrkr86UNrT7OY3BxS0OXm86u3m6ONs9/qmvM7c/T7rfnBQf37j20gd+LoxSEXJnDpie1Vh60+QNmxSz5iS1Z0yaR8MnIoHrEV4x/4bcuNXXnNVS5dauxyJ2y5eJLmlBm72ilLbcgS4yoy9osQC91p5IwyLJNYZFxlhqkTf+qIZcZcQ/po9jtdUj5r1v8+7pkz/M3U5vF6EXrBWoWsH6Q7cazLEBM2cBlKHGWIqz5AGbJLPmJLVnTJpHwzcigesRXjD8S2ZciuvOYqly5DdrkTtlw8kXPKkF3tlKXWyF08ewHKkKsQ2a+uLZXHzjjDQsmFaJDZlL7CVYo/eWgp+tnsia4wbzW3op4sLmc0FchcJXin2b/6vDkb9Mjc/GoW4T5yz38SXXiYaIELj+OMB1t9gMLjOOzBlqzokkkZZuRQPGIrxj/+2xYexwkQrnLpwuM4CsKWi6duTuGxq52y1Iad/7hLT+rVnjgjDUtllB7XPIipFX/60OLzm9XGzsfLDR1buXk6+8QGcidOdblhwgQuN5mj3HDVByg3dslHbMmKLpmUV0YOxSO2YvwDv225sSuvucqly41d7oQtF0/YnHJjVztlqQ09z3EXnMyrPnXGGhbLKjiu+Q5TLf4Edl9ymrmPuab+Qz0p+mDeU2Te9+Kzq7eXbUaa/j8f92Z/O3t39nMb+p0400WKiR+4SKm9w6TYO9R6DjP9Y6X/yWP9j/61oto7rPSP40j/Zmy+MzbfGpvvjVP9m7H5E7FybStxAxCgzqm9I41ypEUcaYYjTX2kqY809ZGmPtLUR4b6yFAfGeojQ31kqI8M9ZGL+ohNrejUpJw40igjTTLSGkYaYaShRxp6pKFHGnqkoUcGemSgRwZ6ZKBHBnpkoEcu6BEbGn/Wt622aq/WRLXWUmuUWsPXGr7W8LWGrzV8beBrA18b+NrA1wa+NvC1C77mwksXbLU30RgTLWCi9U808UQTTzTxRBNPNPHEEE8M8cQQTwzxxBBPDPHERTxhE+NVk1Pz1d5UU0z1f3+q5U818FQDTzXwVANPNfDUAE8N8NQATw3w1ABPDfDUBTxlATcf8DmwKcB/5LMPf/Gtb/+flijwvIP+/zdsGC/HuRUjKfKyytMc3rRzqGWaBy3XMWdlyl0voK7gCriHppmWaSL0lrlVaXqTXf1A/+zNuYnoNe7hjebrm4sOW6Zt1+PF4qv+g72vv37y55c9cxuzN3u/H8fJ4sc/SfqxaXym/63m/0qULWp3uFFbr7rOQf6mSbzfeO07yOdy9rOrd2YfNlcE/2XeqUyj/rhp/dJ0LVk02DFdyv6fpq2YidtnvVeGh6bF3X+2AX6NC6hIgABcfPUfzQXIZP6vdP6vbP4vZf41MDdULevovdmvdQQ+7yfub3jfjHxz7/LTq7+ePV5sFceJMh+vz/Z65rrlR7MPmo1i0xvu48V3NKFcmtfmFz5oOlnqv35m+rg9MZ/G5u/92PyH9F+m/2OfLj6BD+c//VvT4az/tbt/mDzzn/ne4h5oI/LJ4pM+7yv3pPlQP5l/wvEPf/MZaFquXf2V/olpK/dxc6W3UH+ZRY0Tf2/2fqGuvqeiOfAHG/sWnzVufb113VzH4wb2jUZLc5NZ61oE6fNG3Fvz7ff1IKtoEePm257O/9T84uvV3/RS1c+UYfmw6RH2WTqXZv7wR7N5Y7ync1kfNC39njbiPjSD0LTD0QL1AxDtlVGvb/6lev/rt39h+5zvcz/nOfY5/+bFyXf+/NtQBvzMmp/vcgUWmMCLv/yzi9e/YxP4+prAeBBFkU3iPa7EdV/qkNi4FEBgnsfRwJquh1yF8bp7dEg0k4XGRyHeeSOwcVwMcmtoD9jCQe+zEu70vRtqq8p8Emxqv85WC3qfldrtdN5n6wRND2nJYF14kZZFWWWD0qr9kK0dtB7ts/2NSKdxHqtIDZRV8RFbsSIqRmcyNpUjtkqwEvyZQHoYs0WD1eHPukoND9hKS4LS7TQeszVSChnnI+BPCTVX98baiE83/inwp4MJWy1Y0kiLGjaFU5ZCI7Essyovs6x/Ul5E/axKL/onl9Vl/+TiMo7VxUkUXZzNIZxrFN9cfDwsYOx1CudKhf06qJMTBbStZni4KCsaNo5XJDnWK75vfMCljvea2dgPmgNheg601iLKTAU/NbN319aJmdA1myK9F5rpXNOXVs+Pfqj/hPm7zK81myp6bjVfFHjSzL4Wv3b1Qz27M7/6uf79j5oG8M29z/mBtKs3Bl9drIU8N+28esfM6J6ZW86/ycxdm+nbj5s5cTPh+/7iv+U4yCY4VgofK3z9wUaxL0mx7ic8FITZ5fN95d+yUd2VpFo3HB4qwpTUhnFPEmO90nswupi2CpJsTG09KFtNb8tykFrxDkTxCImbNF3b2BY5Hk2PvvbC/KtG2uslX701nP/bRn0oSk1IHuwJiXNAx6Jo1EcPQfMO5rh9MGsx4sZPnp9E6cX52WX/NDuv+lmkyn5VFWm/PFGXl9FJVETni6gE9ZOJw08m9mt2nmBggKH9pCQHIS3R/GSzun/1o280C+bm/tvnzar8B8ZMXv1Ns/L+sfm9Qt3KolvRXh6Zn6X29/bckQyBwkOwpU2TpCBkWoJNa7YxBj37qNyV5BExaNGgtIHckwSh1gkAQyW65mU2kqEkSTCLlqeDIrXhHYjiEXJhhxYtieZVff5vG/WhKDUhcbAtmnNAx6Jo1EcPQfNbtPbBrMWIG4t2oSp1Up5f6N+M9PfGZ5V2clHcry6K4iQpLrKL+PzV8BYtdVm0hBoMDDC4RRPkIKQlnkWbr50tTog8uvrBYnlt/svan6nGny1W2DKzDbYZgTuSEVB4BLZ1aIIUhETbnUMT5BFxaIn9FsQ9SRBqmQAw4rQsk0FkfVSGkizBPFqlBlFhwzsQxSMkwy49WrIo64nbo0lSE1IH26M5B3QsikZ9+BC0Fo/WOpi1GHHj0dKz/ELFUdQvE/O9VVb1T8uLi36sTi/OqtOsUoV6NbxHy1weLaMGAwMM7tEEOQhpCfZoi+OqD589Vmrenvm0WUIz19GezpZvjZ5vkf5au7fvNQdaH84+MaeETX+p2Sfz312ccLWF5o5kaBQemm3NmyAFIQMTzNtn1knxXUkQEdcWaauT2FDuSaJQSwcAkmbpoMhyG8pQEiWYbcuiJHec2zoQBSRkyC6NW7ao9ZnbuElSE9IG27h5hnQsCkd9/hC4FuvWOpy1GPF8eS2Pzk/SOO2rJDvrZ1mU9U9z86eaW4FxXJxWN7EDqlzWjXhyEAUMbt0EOQiJCbVuf2suejV3gj64emfRZu3qubcaNEtsj1Z3kq7eWSzCXV/ceu7C1sfNaTjbVa6P538uTvbUrTiJoluJsp8mviMZQ4XHcFuPJ0hBSNYUj2c1RnclQUQ8nqPJ1D1JEGqFATCSosgz+yLjUBIlmMOLUzVQjt1TST5CHu3S4OULR5C7DZ4kNSFnsA2ee0THomzUpw9ha/F3raNZixEbg+fzbd12a7Dm0pcT+8t/G6FFFGXrcDfcq4Erdz1VfLl6NXCjlmFRu/leDVxARQIE4Gzq9rnq1jO92A17rkDwDiXu+Nw37LkS1yvKljfsreKGXHEil+s36t3w7v7x8eh4UfGadmxJuXeYVHuHaaT/ifU/uvTplKJBTBXci6yF8ICNCRa2bq/is9WCpc13FX9jDHTsbs/j//V5jG2S77Mlg+WtCxesSW4N3QyHbAaw2LTfzncI16JvPTcELoQjNoIiIsAfHx3V20tZa2pHbLVgeYEnEUDiqXXiqXXiqXXiqXXiqaHEM2YjggWKdsk/qcrccbX7AVvplpf8N2I/XiWcB+6H9Zgtl1JWWZ+d5fTMm2xqrv5u7v23JpoH/kQzYcsHCyqpEcBLOpq3J/YkM2Up3dntC8eRv5cT+102JyWKF3zzQpCDsOiGzqZ3c/NCMIYKj+G2U09BCsJCZAdTVEGQsJsXgiDU5VMAwzHhFYTYiW0LST5CBu1iwracti2ucifue/mi1IRsAc848BEdi7JRnzuErWXbonU0azHi3T1R7Hg768tJRQ0Fhhfc1wlyELIS6uuCnicWDI3CQ7OtXROkICRgil2zptu7kiAids1znlgQhVo4EBAbxFASIphh854klgQk5MYuHVu1qPGV27FJUhMSBtuxeU8SS8JRnzwErsWytQ5nLUa8u72UkoG1gLyc2nsWeEKB4YW2bJIchLQEWzaBTkqSIVB4CLa0ZpIUhExLsGb+e/qSPEIOzd5JSRKEWiUADE8nJUmSYCbNNN6xGukDUTxCLuzQoqWL5jupu5OSKDUhcbAtmruTkiga9dFD0PwGrX0wazHi3e2k5Hjt6stpTA0FhhfcoAlyEJISz6B10kdJMgIKj8C2/kyQgpBmu/Nngjwi/szVR0kShFokAAxvHyVJlmAOzbTdsVrpA1E8QjLs0qHFi6Ieux2aJDUhdbAdmruPkiga9eFD0FocWutg1mLEu/t6m8T+7oSX04QaCgwvuEMT5CAkJZpD+5K+3EZyrBQ+Vtt6SUEKQkEgeEnk5TaSVCKO0uEnBTGoJQ2AsO/HSkIEM5LmNSi5De9AFI+Qs7s0kosejqm7IacoNSFvsI2k+702omjUpw5BazGSrYNZixHr//2xoTYW6o98TrHb6/+ufuhpZuVMyrhQSV5G65zBGgDE1l2EV7h617PGv5YOAOn85n9mC9YdbrAyLFg3f/GfC6hIgABccvUfr97a66Xzf2Xzfynzr0Fv9t7G5+ITY8d/be699FPHNzzsNWcfPzcfnvfNkNM+R3u9ZlrwabNbbw5Uftzr9+JENUco9W++aWYiH5gjlsbhzz5efE8T/h/qP/JB87fqX/h08UnUY2FEv9vMGd6++qv+7J/1r33cKP+t0f3M3/m9xZp0A/Nkofy5GcdcMQqz+JB8fr34rYP1sYnbL1X0l1nUzG7em72voqvvqWhO94Ge1rzdPKOPmkOmj83f+jtzmMGExdwMan7x0VzH4+aq0BuNFjPBMVOtRUQWl46an2zEdHEmde+ZwfrH2T/M/mn2K/3Pu73Zb8zkq1HxsLmq9LH5XDR/5dP5f6HJIz+6+pteqvqZMtwfNscuPvufH845zH/po+Z5eHMemeuztM0KsvlrtaCGRj9O0V4Z6ZHW/1K9//Xbv7A9Nfvcpwa8MUyYtzhu+3AFgvd9CVMQZ0MKrsR1s7NlQ4o4d2zQDbkCRZpSbMiO0mpQOVahucJBA9Vtmwm2WtBA+dpMEHTeZ+sEjRNpqrX5KS7LKhmYs4qb0g/Z0kEb095SYl1vmqRpWg4ya6iP2HoVUS96tdumcsRWCVYB9iw0L1U+iK1JbcwWDVYGWicIz/P2gK10y04QBI3HbI2UIsb5CMRxnGZp4fgU1Fzd3bR9ICWDCVsrWM1IPR5sCqcshTu7G5bqfxwrHTmNEwUMvh8myEFYW0VXSr7c+2GCY6XwscLXMWwU+5IUhHVtwrwS2g8TpAq5HyaIQV2ZRyDcE1ZBkKB7YsqGdyCKR8jbpIlay57Yonly6m6FLUpNyB3s2YhnT0wSjfrkIWgte2Ktg1mLETd28uTk/PL0Ij/pn5zG5iBWcto/yU7zfp6p0/z0Us9jiuzV8HYycdlJe38NTzAwwOB2UpCDkJZodvLZG4rrx9/Nr6locfbdfzNREF3h6Nu6M0EKQoYluLOWk++CPCK+LBlEVkdzT5KEWiAAjjSNB0llPdEzlEQJZs7ybKAcB5Yk8QhZsEtztmgRlbobfolSE1IH25w5B3QsikZ99hC0FnPWOpi1GHFjzi7PzvLL4vSsXxZnZ9rIncX90+zkrH+ZnyTJyelpWRaLheug5sx1qimzX9T0BAMDDG3OJDkIaYlvznztI7RDA9pHSIZA4SHY0qRJUhAybWcmTZJHxKS52kdIglDrBIARJ9Wgsh6aGUqSBLNoKh7kqQ3vQBSPkAs7tGjZouNA5m4fIUpNSBxsi+Yc0LEoGvXRQ9D8Fq19MGsx4t1tyZoOMpdFsx+w9wQDAwxu0QQ5CGkJtmgBm7JKhkbhodnWuglSEDIwwbo5mrJKggh5NldTVkkUaukAQMpBlikbyFASJJhp8zVmFQUk5Mcubdvi9ljmvgooSk1IGmzb5mvMKgpHffoQuBbj1jqctRjx7r4jKR0ol3HLqMHAAIMbN0EOQmJCjdtOviVJMoYKjyHu8Dj312zk+5LkhARPcYVWK3VXEkTEFbrerCQJQq1KAEZu2oxZ1ySHkiTBTKHn9UqifITU26UnzBYmInN7QklqQspge8JYJdEgdSzmScJRnz4ErsUTtg5nLUZsTKHP63XbF8K5POc461eUqixVmq7j3XRfCK7e9XTxpegLwQ1WhgXr5vtCcAEVCRCAiwmdIAqsE0S+2YVAe/R5GwJ2W4fmis3sZybazcfyI/PJXfzxz3rN/v3v5vOERTuF5pfnf0Ez9bB+ZCldG3o30rYBasWQNu0dHs2/d87ThOej5/5UtBcZpp9dvWX+1Auzz279z4ez9786sH1A97kf0PU6L9aCgSsQvGiL2313CwauxHU7sWULBlXZjxYMufqCdGCozMassuk+YOsGnUq3DRjYakGn0lUDBrZO0KGQJjMbn+G8ispBbu0ifMhWDtoFev+FOK6iPHasTx+x9Sqi3m2uXY/YKsESwJ7muTPDmK0ZrArdtV9gKy0JSrfTeMzWSClgnE+ALxvUXNUyzRe8mWDC1gpWsu2bL7AU7uymkZmfO5YTHKfTXZwoYPBNI0EOwsoluhyxm5tGgjFUeAzxSbyNYl+SgrCa28FMTxAk7AaQIAh1CRrASLTPinMbyVCSZCc2gCT5CGmUNGdq2QBa3NDK3NftRKkJKYM9M3CP6FiUjfrwIWwt+z+to1mLEe/uYe7M2QxBOU62u4OBAYa2d5IchLyE2ruQh7klQ6Pw0Gzp2iQpCCmY4tqsCfeuJIiIa3Mf5pZEoZYOACQdxNZOXENJjmCuzXeWWxSQkB47tG1qcWtLua/giVITcgbbtvnOcovCUR8+BM7v29qHsxYj3t0mVpmzT4JyHGx3BwMDDO7bBDkIiQn2bR02sZJEVzj6tr5MkIKQYwm+zN8fQZJHxJ45m1hJklALBMARJ/GgcnRIkEQJZtDcTaxE8QhZsEt7tribpdxX7USpCamDbc/cTaxE0ajPHoLWYs5aB7MWI97dJlaZ8wi2yqjBwACDmzNBDkJa4puz7ZtYSYZA4SHY1qQJUhAybXcmTZBHxKS5mlhJglDrBICRFYMys4EMJUGCOTR3DytRPEIq7NKhLW5KKffFN1FqQt5gOzR3DytRNOqTh6C1OLTWwazFiMNee1M2uJeVssItX/qcr8Pd9KU3rt71VPGluPTGDVaGBevmL71xARUJEID7/cuQf/8y5C/My5C5Tw14DYMwWXGcz+QKBO9c4LMP9008rkTKRQZAoFXckCtO5Brehv8a3t0/Ph4dLxxYPT184VDle4eq0P+U+p9q7zCPvmqeAg1iXNleZDVmB2xM0Gh1e2uPrRa0Wr5bextjoGN3ex7/r89jbJN8ny0ZdFtdTMo0ya2hm+GQzQCaoParfA7hWvSt54bAhXDERlBEBPjjo6N6eylrTe2IrRYsL/CcFkg8tU48tU48tU48tU48NZR4xmxEsEDRLgUmVZkPlP1SIFvplpcCN2I/XiWcB+6H9Zgtl1JWWZ+d5XKBN9nUXP3d3BRsTTQP/IlmwpYPFlTS5cGXdDRvT+xJZspSaqRir+czMM5lGc+iFHdpZmA9XvnyYpMUpkTxgm+HCXIQ1oDRxZ0v9fubJcdK4WOFL73YKPYlKQjr74SpMPL+Zkkqkd07+/ubJTGoOwgAhGOOLQgRbN/OvOrXcbJKEo+Qs7uYIi4niovX/Sr3u5tFqQl5A57j2AZU2dDGomjUpw5Ba9m3ax3MWox4d4+9K/s98ZdVQQ0FhhfcSApyEJISzUh2dOhdEF3h6Nv6MkEKQn4l+LKW81SCPCKOzH3oXZCEWh4ADt+bmyVRglkzz6F3STxCFuzSmhWLal64rZkkNSF1sK2Z59C7JBr12UPQWqxZ62DWYsS7e+hdDVJbKF5W9qYanlBgeMGtmSAHISnxrVkHR94FQ6DwEGxr0QQpCHm2O4smyCNi0ZxH3gVBqFUCwPC8t1mSJJhBM0ekMxvegSgeIRd2adAW3aGUu9eXKDUhcbANmufMuyQa9dFD0FoMWutg1mLEu9vqSw2sT/PLqqKGAsMLbtAEOQhJCTZoIRt9CYZG4aHZ1rgJUhDyL8G4uRp9CYIIOTZnoy9BFGrhQEBsEENJiGB2zdvlSxKQkBu7NGzVosZXbsMmSU1IGGzD5u3yJQlHffIQuBbL1jqctRjx7jbfV45Ljbm94ZknFBheaMsmyUFIS6hl28nW+5IxVHgMcW/HuWJnI9+XJCekd4oftF8HkwQR8YOudv2SINSaBGDY3aAkRDA36OnUL8pHyLodmsF80SM0d7d8FaUmZAu2GfR06hdloz53CJvfC7aPZi1GHLZlhXW7/OU89sIV63A33bKCq3c9V3wpWlZwg5Vhwbr5lhVcQEUCBOB+/55mtKHEl+s9zdwP6HqRF+sOwRUIXr7Fbb67OwRX4rqZEOkOwRV3Y90h8mTvME/1P5n+R+l/8vkl7Tz2dYdgY4KeptvuEGy1oKuhdYfI42V3iHmMbZLvsyWDxqaLCZAmuTV0MxyyGUC/we8OoYU/NwTO7hBsBEVEgD8+Oqq3l7LW1I7YasHyAs8fgcRT68RT68RT68RT68RTQ4lnzEYEC1R33SHYSjvvDrFKOA/cD+sxWy6lrLI+O8uZuTfZ1Fz9st0hVonmgT/RTNjywYJK7A6hPzITe5KZspTu7C5X7ugOkSc0ShQv+C6XIAdhvRVdR9nNXS7BGCo8hvjqg41iX5KCsAbdwRRVECTsjpUgCHXlHMBwTHgFIXZix0qSj5BBu5iwLadtixen5O634IhSE7IFPOPAR3QsykZ97hC2lh2r1tGsxYh398B57mjWsLiEQAgFhhfc1wlyELIS6utCHjiXDI3CQ7OtXROkICRgil2zptu7kiAids194FwShVo4EBAbxFASIphh8x04FwUk5MYuHVu6qPGp27FJUhMSBtux+Q6ci8JRnzwErsWytQ5nLUa8u/21ckcTh8VFYEIoMLzglk2Qg5CWYMvWYX8tSXSFo29ryQQpCBmWYMn8zRskeUScmbO/liQJtTwAHL6XSkuiBLNn7v5aoniELNilOVu85S53v7JQlJqQOtjmzN1fSxSN+uwhaC3WrHUwazHi3e2vlTvaN+SKGgoML7g1E+QgJCW+Ndu+v5ZkCBQegm0tmiAFIc92Z9EEeUQsmqu/liQItUoAGO5XSkuCBPNn7vZaoniEVNilP1OLku5+j5koNSFvsP2Zu72WKBr1yUPQWvxZ62DWYsS7+46j3NWrIaeGAsML7s8EOQhJiebPvqTvOJIcK4WP1bZGUpCCUBAIRhJ5x5EklYidtB7OvSeJQS1pAIRjH1YQIpiRdL/jSBSPkLO7NJKL1+Lk7ncciVIT8gbbSLrfcSSKRn3qELQWI9k6mLUYsf7fHz9joTL9rz/yGcZuGz8Ug2/YcF/O7W1pk6LKo1hVG30tArV+SOxrj69w5a7nji07P/zTmil62Fs0angCtG7Ik3x5e+FZp7Xo5tCPI9PNoZ8UtgDc4QYgwwKwA90cmICKBIjAvdd45Q+Mf9/rLXo7JPN/pfN/ZYSGD5n+BsvH5rrZg/lYzPsxzFsUPN9+Ae8dstH/oFCL/gd4wwj7tZqmecSHq8s6zX920YPhSTOXaL5ho9nE+7P3+n+YNP/1RRsF06XhmV5rZnY0B392bkLEdvefKNQz/ScKZfpP7Hb7iTd7zR/+qHlk3pzDXh+gbdaOzfjo/0YjUD9x0V4Z9frmX6r3v377F6+++rrt2drnPlvrHkSuEQVTIHjPlzAFcTeiYEpcNztbNqIoytTezGnIFSjSjGLDaUZqECmb7gO2btA4MbpLJIlydpfgqgWNk6+7BEHnfbZO0DGRZlobBwzSqEyLQWzdPTpkSwe9TnsniXW9laqqOHKE+oitVxH1oje6bSpHbJVgEeBPQp2pYczWDNYFWv8Hz+P2gK20JCjdTuMxWyOlhHE+Ad50UHNld9PrgZQKJmytYC0jNXawKZyyFBqJUZpk+cVZ3E/Oi6SfJVXcP03zqH+S5rnKI1Wlp4vPiXNlw7POw17diB3rG4W9b6eTEwUMvRkmyUFYWEUXSMDNsI3NpWfWUeR3xL6xuds1/+/Nl2KemUuaP6Vnks0UTU8il1Nq20jdkRwphY8UvtBho9iXpCAsaROmlMhWmCRVwK0wSQzqojwA4Z6rSoIE2w6LY12ClI3vQJSPkLZJszT/flix6JVduDufi1ITkgd7KuIe0bEoG/XZQ9j8G2Lto1mLETd28vwkSi/Ozy77p9l51c8iVfarqkj75Ym6vIxOoiI6vwk7mbjsZEINBgYY3E4KchDyEs1OomffC4WcfZcMgcJDsK1PE6QgpFqCT/OffZfkEXFo0aC0ept7kiTUQgFw5EU6KCuHTRNECWbT8nRQpDa8A1E8Qjbs0qUt+kMV7m5fotSE1MF2ac4BHYuiUZ89BK3FpLUOZi1GPG/iqip1Up5f6N80XSbis6p/chHF/eqiKE6S4iK7iM9fDW/SUpdJy6jBwACDmzRBDkJa4pm0+SLaeveI3vyXtUObN5BYrMBl9tnWHckIKDwC23o0QQpCou3OownyiHi0xN7v+Z4kCLVMABhxninHjfyhJEowi1apQWQ99nggikfIhV1atEXTgcLdQUKUmpA52BbNOaBjUTTqs4egtVi01sGsxYh3tx9rMchcFs1+yt4TDAwwuEUT5CCkJdiiBezIKhkahYdmW+8mSEHIwATv5ujIKgkiYtrcHVklUailAwDJokGRWavgUJIkmGvztWUVBSQkyC592+IOWeG+EChKTcgabN/ma8sqCkd9/BC4FufWOpy1GPG8LWucVNW5Ouuf5CdlP1NF2S/j+KJfnZzlpxdZUiXJyavhnZtyOTfiwUEUMLhzE+QgJCbUuf18fqvKdv9qefvq4+VLkeZXrma/TMyhtZ/PfjN79/qtRx6/JhgQhQdkW78mSEHIvBS/ZjU5dyVBRPxa4njhkSQItVwAGHGRpANHm1ZJlGB2LY6ygXKssknyEZJil26tXJT30u3WJKkJOYPt1twjOhZloz59CFuLWWsdzVqM2Lg1nwnrtl9D6bBfpe80Xp6rdbwb7tfAlbueLL6w/Rq4AciwANx8vwYuoCIBInDd9mtQX8h+DTPbS08dfRvauzZ87a6ZRPy+cUOwxg0DV+cG7lO2bj/EOjdwBYI3dPFpiLtzA1fius3ZsnNDkpXRwL4czFV4060b2LpBD9Vt6wa2WtBDddW6ga0TNE+kWdaG8KoqorIYKKvvO2RrB30PvXdDGqVlqbRga7CP2IIVUfA2t7ZHbJVgHWBPQT3NG9iawdLQXfMGttKAzRvYGilVjPMJ8CeEmqtbpnuDPxlM2GLBerZ9+waWwmbalajTk6xU/TSLz/vZaV70T/S49atMRempivLLG+hkXg5c7RtK37l2CycKGHq3SZKDsLCKrpfQd5u+dpe02SQZD4XHA19dsFHsS1IQFo47mL0JggTdbJIEoS53AxgqU66KOZRE2YXNJlE+Qk4kTYP8m03l4qJW6b51J0pNyBlsp+/ZbBJloz59CJt/s6l9NGsx4t090106eyMs3p1FCAYGGNyrCXIQ8hLq1UKe6ZYMjcJDs61tE6QgpGCKbUttIHclQURsm/tMtyQKtXQAIHFSDipHtwRJlGDGzXeoWxSQkCG7dG6L+1ul+zKeKDUhbbCdm+9Qtygc9flD4FqsW+tw1mLEu9vWqnR2TCh9J9ytwcAAg1s3QQ5CYoKtm0BbK8kQKDwE21o0QQpCriVYNH/LBEkeIafmaGslSUItFABHEqfpQFc+G8tQkiWYU3P3tRLFI6TDLn3a4rZW6b58J0pNyB1sn+buayWKRn34ELQWl9Y6mLUY8e72tSqdTRNK39F2azAwwOAuTZCDkJZ4Lq2TvlaSEVB4BLY1aYIUhETbnUkT5BExaa6+VpIg1DIBYCg9nx44OiRIogSzaO6+VqJ4hFzYpUVb3NEq3TfuRKkJmYNt0dx9rUTRqM8egtZi0VoHsxYj3t3XDZXO7ggV8VweChjaoklyENISzaJ9KV83JDlSCh+pLa2kJAWhIBCsJPK6IUkqEUNpt5OSGNSSBkB4LlhJkgRzk573DYnyEfJ2h3ayWryhpnK/b0iUmpA92HbS874hUTbqw4ew+f1k+2jWYsRhGzhULofoPzK40Z/ihhs4cOWuJ4svbAMHbgAyLAA338CBC6hIgAhcxw0cZg9vrIVDWex9oZo4PF795s2rXG/u8MjadOKxUdWb/Tc9wL/Y+30Xik67UNjSxD43Taz7J7EOFFyB4DVjwiTK2YGCK3Hdp23ZgSIuleN9rFyBN92Agq0b9IDdNqBgqwU9YFcNKNg6QfNHmiVuCM+qLC4GSWmTfsiWDto2ev+JJCn0nMQR6iO2XkXUu82t8xFbJVgE2BNoT/sJtmawLnTXfoKtNGD7CbZGSgnjfAK86aDmypbpPuFNBRO2VrCWbd98gqVwZzfzqoGr+USV0ThRwOCbeYIchEVhdK3ny7yZJzhSCh8pfM3GRrEvSUFYjidMKaHNPEGqkJt5ghjU/QQEwj1XFQTZib08ST5C2ibN0lr28hbX8ir3LUtRakLyYE9FfHt5kmzUZw9ha9nLax3NWox4dy9ZVs7+GJX/LoMlGBhgcDspyEHISzQ72e0lS8kQKDwE2/o0QQpCqiX4NP/5fUkeEYfmvGQpSUItFABHrKpBHjtsmiBKMJvmvmMpikfIhl26tMW1vMp9x1KUmpA62C7NfcdSFI367CFoLSatdTBrMeLdvWNZOTthVP7bDJZgYIDBTZogByEt8UxaJ3csJSOg8Ahs69EEKQiJtjuPJsgj4tFcdywlQahlAsBIy2pQOByaIEkwh+a+YimKR0iFXTq0xa28yn3FUpSakDjYDs19xVIUjfroIWgtDq11MGsx4t1tM1s5u2DEkf+CgCUaGGFoiyYKQkhMsEcL2GhWNDYKj82W7k0Ug5CFCfbN0WpWlETEuLl7zYqyUAsIQFINcmU1oUNRkmDezddrVpaQkCU7tG9a27zkL35gAz+UBSfkDraD8/WblaWjPoMInd/EIUNay0Hv7qudKmerjDgiHiNECcP7OEEQQoZCfZz4y51EA6LwgGxt3gQxCAmYYt6shueuKImIeXO930mUhFo2AI4sKgepFWUoihLMu3le8CQLSEiMnVq3ZFnn3e94kgUnZA62dfO85EkWjvoIInBtzq19RGs56LBNKeLIacYyO2AZFypNqo2uGzfcloKtdz1tfGH7UrAjkGERuPnGFGxCRSJE6LrtTJEH6kuxt9lNoL+8fkJpTLHWsOHdZon37au/6s/+Wf/axw3qbw1oS5cJwSYNKnqmSYOKbqxJw/Ug/uPsH/Qg/0r/825PT5w+vfpRo+Jh0z7jY/NZgRo6/M8PxTo6sJ+vdQci1tKBrRC8u4vPR9w9Hdga163Otk0dknKgbAqHbIVBujoUSTHIrLd2D/jCQRfVbVsHvlzQRHXV14EvFHRPpAnXxm5HmpXaqdr7OvClg7aH3tghVkUWJwNlb+zAF6yIgre50j3iywSLAXsqmpZZ4rpQxVcNFojumjvwpQbs7sAXSSlmnE9BVqVFnLvaO7B1y/R38GaECV8sWNW2b/DAk7ize1BxNHC1eIgjx+F3FymKGH4TShCEsNaKLpwE2IQSDIjCA4KvMghMyGcf2WKzLxobwvp0FzNEQZLAO1uCJNRldYSjTBxN1kVJdmNjSxKQkGxJ86y2ja18uQ3ivvYnC05IHOzZRKySaJCmNrqxLB31EUTo2na22oe0loPe3bPl2g+6ejTEkeOovTscGGJ4PygIQkhRqB8Me7hcMDYKjw1uDW0Y+6IYhGRMcXHWzHtXlETExfkOlwuyUIsIQJIP8tJ1QEmQJJiP8x8ulyQkZMlOjVy5rPru24Gy4ITcwTZy/sPlknTUZxChazNy7UNay0E3Ru7k5Pzy9CI/6Z+cxuZCYXLaP9HWr59n6jQ/vayquMhevQEj5+rjEMeOs/bucGCIwY2cJAghRcFGbqPd1nofB/NrKlo0cfC22RJlVzj7tkZNEoOQbAlGzd/EQRRIxK+5ujiIklArBcKRV4NS2VCGoijB7FqeDVRu4zuQ5SNkwi7NWry8NhZ7bgKKghPyB9usOQd1LMtGfQARtharBgxoLQfdWLXLs7P8sjg965fF2Zm2dWdx/zQ7Oetf5idJcnJ6WpbF4kxBWKvmbOgQOw7Xu8OBIYa3aoIghATFt2q+zqjarwGdUUVjoPAYbG3ZBDEIKbdDyyYIJGLZooH1sM89URJqxQA44iixkwxFSYI5NhUPcuuy7oEsHyEhdurYltfFYs8FQFFwQvpgOzbnoI5l2ajPH8LW5tjaB7SWg97d9yJpx+Zs3WBOU9PCgSGGd2yCIIQERXNsX8pXI4kOlcKHamtjKYhBqAwEY4m8HEkUS8ReutYDBTmoxQ2hcN/6kiQJZi4970eSBSQk707dZbY0I+5XJMmCE3II21163pEkC0d9AhG4NnvZPqK1HHTg9hLOaxax45RhkZdVnmXxOuBNt5fg6l1PG1/c9hLcCGRYBHagvQSXUJEIAbqtG0qUN9dQIo5WrQ+2v76i/6S5vrKclSyusNxcV4lCPdNVolChu0pct+rouqtE2kVTiYHtsdpnP1brxkOuqwRXIXhpmDAHcXeV4GpcdzhbdpWolHPtmikwSFOJ2JyTSFyr0lzloHnquKsEWy7onTrrKsEWCpom0jxrU3msqsTxmTjkawftDqOtRFykyhXsI75gRRS8zUXyEV8mWA34U1B3hhjzVYMVosO2EmypJUHqdiKP+SIp1Yz3KfBkhZqtW6ithC8jTPhiwbLWQVsJlsTd3SAzX1zrHY7D+C5SFDH8BpkgCGGNFV0w+VJvkAkOlcKHCl/3sGHsi2IQFrcJ80xsg0wQK+gGmSAHdXkeoPBMYAVBdmN/TBKQkLtJ87a2/bHlTbjYc7lRFJyQQviTE9/+mCQc9QFE4Nr2x9pHtJaDbtwl9jrr8O7S2aQicdwfcIcDQwzuLiVBCBmK5i7RA/OFgg7MS8ZA4THY1rZJYhByLsG2tRyYlwQSMWzRoMxtKPdEUaglAwApk0FaOlybJEow15ang8KxOSHKR0iJXZq2ZHknLvFcchQFJyQQtmlzDupYlo36ACJsLZ4NGNBaDrrxbNgLrsN7Nmc/isRxg8AdDgwxvGcTBCEkKJ5nmy+xrXek6M1/WRu2eVOKxfpcZp+D3RENgcJDsLVlE8QgZNwOLZsgkIhlc7alkCShFgyEI4odb2wYiqIEc2yVGkSOZrCifISE2KljW96JSzyXHEXBCfmD7dicgzqWZaM+gAhbm2NrH9BaDnqHW8HG7rYUSUYNB4YY3rEJghASFOzYQraClYyNwmOztZUTxCCkYoKVc7WClSQR8XCeVrCSLNQiApBkg8rVClaSJJiJ87aCFSUkZMlObdzy7lniuU0oCk7IHWwb520FK0pHfQYRujYj1z6ktRx0Y+SS5FRdXGYn/SjPVT+OL8p+GZ1X/ShSkcrLMq7Uwt6ENXLObhUJ8dghihjeyAmCEFIUauQs73j6oLkfZd719GT+m83y2+xvZz+b/bx5oZNxavrn1mWRO6IBUHgAtnZrghiEjEtxa1ZfcFeURMStOV+/JElCrRMIRxwNCut271AUJZhZS2M1UMoGeCALSEiEnXq15ct6Es/7l0TBCZmD7dXcozqWhaM+gghcm1VrH9FaDjpw5wdrVtXWq7DipZGK4yLSBX8N76b7PnD1rieNL27fB24EMiwCO9D3gUuoSIQI3XtN34IPzOWUvd7WXSCyQF0gfI0K4B4QHzQdCz6c9yhovvMT00XB0Gy+EfbJbPlO2OYb1vpHzF8P+4fJl7ZPhFq24AjX++HVV1+3PVz77Idr3XzIdX/gKgTv9uJTEU/3B67GdZezZfcHq7ohW51I64cNEza8u398PDpe2LB6eviC9s3lnv5S6S9pZL7E5ou2ZPqBMDjGnu1FVod2wKcFHVfH7SLYckHL5WsXsTEWJnq35wPx9UWcbarv81WDxquLmZqBuTX0YBzyMUD31N5GwqHdyL71/EC4KI74FIpIAX+OTGRvr4StCR7xBYNVB57uAsmoNsmoNsmoNsmoNsmoBpPRmE8KVi9iZ4oyLQbK0ZmCLXXLzhQbYzC+TkIPPE/vMV8xpeyyPkarJQV/AqrZCN10rGhPPssBcBFM+ARguSW1sXjJRPT2StSa2ClPrFF7ohNAda7O+if5San9eVH2yzi+6FcnZ/npRZZUSXIy53Eu4HhWsNiLOPbjqC/rlEXjRAHD76AJghAWjtF1IMsO2nJOvJwRf7w4076YBs9+mZhZ6M9nv5m9O/8Ns6vmOwAlGBGFRwRfNbFh7ItiEBbGu5ifCpIE3lITJKGu5wMcrtmuIEWw3bQ4ygbKWsQOZAEJSbGLOdpqprbsKpB4+kSIghOSBjy9wEd1LAtHffoQuLbdtPYRreWgd/gEuyP9atNWUYOBAYY3bYIghPyEmraw59cFY6Pw2Gxt3wQxCJmYYt9c59cFSUTsm+/8uiALtYQgJDaKoShFMAPnP7suSUjIkJ06uGpZ7yuPg5MEJ+QNtoPzn12XpKM+fwhdm4VrH9JaDnqHW30lA2sxeTlO7T00PMHAAINbOEkQQoKCLZxEoy/JGCg8BttaNUkMQsolWLWWrhGSQEKOzdXoSxKFWjAAkLxIB2XlOMUuyRLMtpmmUFZzfSDLR8iJXZq2dNkYKvV0+hIFJ2QQtmnzdPoSZaM+gQhbi2UDBrSWg97hTl+OE+TassXUYGCA4S2bIAghPfEsWzd9viRDoPAQbO3YBDEI+bZDxyYIJOLYnH2+JEmo5QLgiPNMDZTLsAmyBDNspieUtZHZgSwfISN2atjiZX2PPYZNEpyQQNiGzdPoS5SN+gQibG2GrX1AaznoHX5ZUzJQtmBow5ZQg4EBhjdsgiCE9EQzbF/OVzVJDpXCh2prYymIQagLBGMJvapJEkvEXrrMpSAHtbQBFI7tW0mKYLayeaOP1TcfyAISEnenvnLZbzT1NJAVBSfkD7av9L2nSRSO+vQhcG3Gsn1EaznowN0sXNuxqRcvXce76W4WXL3rSeOL282CG4EMi8AOdLPgEioSIULXbTcL9YXsZtF0Tmi0tHe1aO9p8bW75jrP79taBGtrMXD2teA+ZuANY8IUxnVviKsQvBlMmI24+1pwNa77HZm+Flx1N9fXIs1MIwtlvuTmS2G+lIur5Gnq7WvBpgW9V8d9LdhyQfNF7GuRpqu+FvM421Tf56sGLVgXczYDc2vowTjkY4A+aou+Flr78wPh7mvBplBECvhzZCJ7eyVsTfCILxisOvDEF0hGtUlGtUlGtUlGtUlGNZiMxnxSsHp12NeCLbX7vharJPTA8/Qe8xVTyi7rY7RaXPAnoJqNINzXYpV8lgPg7mvBJgDLLbWvhf7srEStiZ3yxO7u3l/q6muRZjROFDD83p8gyLoV8Q0QuCL0pd77ExwqhQ8VvrBjw9gXxSCs3RMmztjenyBW0L0/QQ7q7gNA4ZqRC1Lsxt6fJCAhcXcxj1zNJpevqEk9bx0SBSfkD3gKRNr7k4SjPn0IXNveX/uI1nLQO3xxM3X13kgVNRgYYHhjKQhCyE80Y9n1xU3BGCg8Bls7NkEMQsYlOLa2awCCQCJezXNxUxCFWjAAkCRO00EWWZPfUBQmmGvz3dyU5CMkxU5Nm1qWeOUxbZLghBTCNm2+m5uSbNRHEGFr82ztA1rLQe/wzc3U2WwjpwYDAwzv2QRBCOmJ59k6urkpGAKFh2BryyaIQci3HVo2QSARy+a+uSlIQi0XAIdKomqQWU9JDkVZghk2381NST5CRuzUsC3fLph63hcpCk5IIGzD5ru5KclGfQIRtjbD1j6gtRz0Dje4TZ2tNvxvX7AEAwMMb9gEQQjpCTZsIRvcSsZG4bHZ2skJYhASMcHJuRrcSpKIWDhPg1tJFmoJQUhsFENRimD2zdvgVpSQkCE7NXDFst57XignCk7IG2wD521wK0pHff4QujYL1z6ktRx0Y+FUok5PslL10yw+72enedE/KaKyX2UqSk9VlF9enL16AxZO2YKhLZz/hQ2WYGCA4S2cIAghQaEWjv5iqa/dpb1XSjIgCg/I1r5NEIOQfym+zXU/TJBExLc53yslSUKtGgCHy7UJUgRzbb73SokCEnJip6Zt+Rai1PNeKVFwQtJgmzbfe6VE4ahPHwLX5tnaR7SWgw7c1yKz4WkXVnnxsnW8G+9rwdS7njS+wH0tmBHIsAjsQl8LJqEiESJ0Hfe1mD28sc4WZbH3hept8Xj1mzevcr3nxSNrL47HRlVv9t/0AP9i7/fNOTptzmHLE/vsPLHuowQbczAVgleb8QmVrzEHU+O6YRNqzMFUd3ONObJoT3+JzZfEfEnNl2x5F77yN+bg0oLmsevGHFy5oHukNuaorhtzOF8zdp+vGvSQXUw6DcytoQfjkI8BGsFtGnNUt54fCE9jDi6FIlLAnyMT2dsrYWuCR3zBYNWBZ+5AMqpNMqpNMqpNMqpNMqrBZDTmk4LVq8vGHFypAo05quvGHM6n95ivmFJ2WR+j1eqIPwHVbATpxhzVrecHwNOYg0sAlltyY47q9krUmtgpT+zu7gtmrsYcmf+VUhucKGDwfUFJEMIaOLqkJb8vKBkQhQcEX/+xYeyLYhCW+DuYnkqShN0XlCRZr7geki0nu5IUO7EvKApIyIldTNGWE7Vs+Z7EzPPiS1FwQtKAZxf4qI5l4ahPHwLXsi8IjGgtB73Dx/EzV8+LzP9WKUswMMDwnk0QhJCfUM8W9Di+ZGwUHput7ZsgBiETU+xbaiO5K0oiYt88x/ElWaglBCGxUQxFKYIZOO9xfFFCQobs1MEtX5yYed6EKQpOyBtsB+c9ji9KR33+ELo2C9c+pLUc9A63LctcLTCyhBoMDDC8hRMEISQo2MJJtC2TjIHCY7C1VRPEIKRcglVr6YEhCSTk2FxtyyRRqAUDAIlVNcjtrViHoizBbJuna5koHyEndmrali8lzDyvmRQFJ2QQtmnzdC0TZaM+gQhbm2VrH9BaDnqHu5ZlriYYWUoNBgYY3rIJghDSE8+yddO1TDIECg/B1o5NEIOQbzt0bIJAIo7N2bVMkoRaLgCOtKwGhcuvCaIE82uepmWifISE2KlfS5fl3fOyOVFwQv5g+zVP0zJRNuoDiLC1+bX2Aa3loHf4lVOZq+NFllGDgQGG92uCIIT0RPNrX85XTkkOlcKHamtfKYhBqAsEXwm9ckoSS8RdurylIAe1tAEUrt1bQYpgttL3yilRQELi7tRXLl9QlHleOSUKTsgfbF/pe+WUKBz16UPg2oxl+4jWctCB23JYx1RbReXFU+t4N92Wg6t3PWl8cdtycCOQYRHYgbYcXEJFIkToum3LkQdqyrG32UqhvzTvlK4ca90q3m2Od7599Vf92T/rX/u4Qf2tAW1psSHYoUJFz3SoUNGNdai4HsR/nP2DHuRf6X/e7c1+YyZRjYqHTe+Qj81nBepm8T8/lGtnwX2+wIvFhLmL874QUyF4IZgwDXG3s+BqXDc6Mu0suOpusJ1FbvpXFOZLab5U+ouKFjfIM+VtZ8GmBU1Xx+0s2HJB10VsZ5GpVTuLzPkir/t81aD36mKyZmBuDT0Yh3wM0EBt0c5Ca39+INztLNgUikgBf45MZG+vhK0JHvEFg1UHnvECyag2yag2yag2yag2yagGk9GYTwpWrw7bWbCldt/OYpWEHnie3mO+YkrZZX2MVqsK/gRUsxGE21msks9yANztLNgEYLmltrPQn52VqDWxU57Y3d30U852FjmNEwUMv+knCEJYO0aXgr7Um36CQ6XwocJXdGwY+6IYhEV7wsQZ2/QTxAq66SfIQd12AChcM3JBit3Y9JMEJCTuLuaRq9nk8oWJmecNmKLghPwBT4FIm36ScNSnD4Fr2/RrH9FaDroxlicn55enF/lJ/+Q0NifPktP+SXaa9/NMneanl1UVF9mrN2AsrYux2lj6XyZlCQYGGN5YCoIQ8hPNWD57YXP97L/5NRUtDv63XNQUZFc4+9ZOTRCDkGkJTq3t2L8gkIhHcx/7FySh1gmAw+XSBCmCubQ8GyiXSZPkIyTBTk3a8pWImectl6LghNTBNmnOQR3LslGfPYStzaO1D2gtB914tMuzs/yyOD3rl8XZWT+rtLM7zU7O+pf5SZKcnJ6WZbFYAw/r0VJbMLRH8788yhIMDDC8RxMEIaQnvkfzNdXQRg1qqiEYA4XHYGuvJohBSLgdejVBIBGvFg2s9/7uiZJQ6wXCYaMYilIE82oqHuSZje9Alo+QDDv1astXIWael1uKghNSB9urmUG1VuqxLBv12UPY2rxa+4DWctA73MNWObtpVNRgYIDhvZogCCE9wV4taA9bwdgoPDZbezhBDEIiJng4Zw9bQRIh8+buYSvIQi0hCImNYihKEcy++XvYShISMmSnBq5a1nvPK+NEwQl5g23g/D1sJemozx9C12bh2oe0loPe4VdHKVeDDeV/J4MlGBhgcAsnCUJIUKiFk391lGRAFB4Q3LcJXOebfWSLzb5obAhJnWIGHffLJElEzKDzfVSSJNRSBHA4rKAkRTAr6HsflSggIdF26QTV8u1FyvM+KlFwQtJgO0Hf+6hE4ahPHwLXYgSBEa3loAM3xLDupWtr539XQ76Od9MNMbh615PGF7chBjcCGRaBHWiIwSVUJEKAbusWGOXNtcDQM9HuOmDoP2ks8/KuzsI231wfjEI90wejUKH7YFw3F+m6D0baRRuMge2x2mc/Vuu2Q64PBlcheJMYn394+mBwNa77G5k+GFx1N9cHQyWm8UVqvmTmizJf8sXVcxV7+2CwaUGv1XEfDLZc0GwR+2CoeNUHQznf5nWfrxq0XF3M0QzMraEH45CPAfqmLfpgaO3PD4S7DwabQhEp4M+RieztlbA1wSO+YLDqwBNdIBnVJhnVJhnVJhnVJhnVYDIa80nB6tVhHwy21O77YKyS0APP03vMV0wpu6yP0WoxwZ+AajaCcB+MVfJZDoC7DwabACy31D4Y+rOzErUmdsoT26hNTtXFZXbSj/Jc9eP4ouyX0XnVjyIVqbws40ot6rFz6cazdsVevnH1wVgcmoA5UcDwe3OCIIQlY3QFyLI390EzxzR7dE/mv9m8sGj2t7OfzX7ebMSZSaP+uXUk74gGQOEBwJdHbBj7ohiEFfAupqOCJIG3zQRJqAv3AIdrcitIEWzbLDXHLJQN8EAWkJADu5iSrSZmy9cPKs/7JEXBCUkDnk3gozqWhaM+fQhc27ZZ+4jWctA7fAQ+d7WUUCk1GBhgeI8mCELIT6hHC3oEXjI2Co/N1vZNEIOQiSn2LbWR3BUlEbFvniPwkizUEoKQ2CiGohTBDJz3CLwoISFDdurgli8kVJ43TIqCE/IG28F5j8CL0lGfP4SuzcK1D2ktB91YOOz94eEtnLWYaAuXUYOBAYa3cIIghAQFWzhSx4lCQR0nJGOg8BhsbdUEMQgpl2DVWjpOSAIJObbSeq7ynigKtWAAIGUySEtr94yhKEow15ang8LqrQ9k+QgpsVPPtnzXn/K8vVEUnJBA2J7NDKq1Xo9l2agPIMLW5tjaB7SWg24cG/YG8fCOLbMFQzs2RQ0GBhjesQmCENITz7HNF87WO7n25r+s7dq8meuiXX9m78p8RzQECg/B1oZNEIOQbzs0bIJAIobN2c5VkoRaLhCOSKc+l18TRAnm1yo1iKx8B7J8hITYqV9Ty/LueZWbKDghf7D9mhlU191CSTbqA4iwtfm19gGt5aB3+IVOubPJRE4NBgYY3q8JghDSE82vfTlf6CQ5VAofqq19pSAGoS4QfCX0QidJLBF36fKWghzU0gZQuDZvBSmC2UrfC51EAQmJu1NfuXz9j/K80EkUnJA/2L7S90InUTjq04fAtRnL9hGt5aD1//74PzT/21uZEad7/M7F2Xdf+9brlmCQzKPrUJ3nhQh5lVbrjK7OFW6VFCvo2Dh+hS1z/aPlCSZo9P5JWy5zqfzThel6c3Gv/cfmav7VO9r+NZuq5nL/W1fv7DUX9Z9zYk/nF/+1T/tofl1+fpfexq2tVfHikA2/kS7d9Ntly8Ud5NKVGbn6M7p+/OqWEX3kEn3EF63oovHbWlrzyKV5xNeMPyb8BLy4G2rXXrO1b1zsa9FO+4BMXIInfMF4gide5dN6py69U57e5tPxapgC5byb5+kDn1dZ5Aw0rJNYouxCX2ELxZ8+VpHqNQ1b/qWZ1r9z9b2mmVDTPmbR+mT2sQ1H157S1B4mU+jaU7lqD1d/iNpjF33EF63ooknpZeTSPOJrxj/9W9ceu/aarV289tgFT/iC8dzNqj12vVOe3meW/wLUHmf1qbzSY2eoYaXk6mNf+3+FLRV/Apn15/3Zu7Of2jTrIlOZIsMUHrjI5NHeYRZX+kuR7x0qbZkOc3fh4TIFKDwa5MiAHBmQIwNy5AI54oMoOggp34wMx8hwjAzHyHCMXBwjPgf+eGxboDRPbXhqw1MbntrFU7N5pIuWhpgYiImBmBiIiQtiwofACwGnkGmGqWGYGoapYZi6GKY8hrATK3d5yz2NebX4xDkAsFZGeXNNsLhi8ScYLXDvNWt+79hk3tEydU3jag1d0+K9w7hSe4dJ7trYYJOEqGTx3pGRf+SSf8SXr+jySWlmZNSPjPqRS/2Irx7/zG9dteK92lDULoqaTSFeq+K9iZE+cUmf8KXj2ZxVoeK9qVE+dSmf8pSHr0vOyuRpPablp87Aw2pZlclZm5hy8eeUUps+ajpprw4H9Radm/VP5z/8qNec8zEdtn7Y9Gl4NP/1T67euHqnadbwqGfj1MUtNsWNCRu6uJmuuHluvpT6S2G+lKZJbhW7ah0XLEStS3St0zRHhubI0BwZmiMXzRGfRtFpSPlrZGBGBmZkYEYGZmRgRi6YER8Gf8K2roSm8amGqg1UbaBqA1W7oGo2lHhhTHRh1CQTQzIxJBNDMnGRTPgkeHVh1clE10kNMjUgUwMyNSBTF8iUB2JI8jmISXF/5CufXbySZFU79f+/YePQ9TO1ciRFqUFUCZ/s6OSdJKviOXAe8eDqXS8pW76T5DdNy0nz+oWPm7MdH5j3kJgTHb9brGg+bs7rfnr1o6Zufjh/Tcmz7x6Zv29hfoJ3/hqLefF9bN51sXgBw5NFo8uPV68wiXvLF0vYwnOHHZ71wtTJC0tsEr/GlqhIEgF5zWnsx83JmyfPj1ev/+zQPHQPjellFSdNpyrtif7ABrzPBs4xYMJJYFfzTa5CsJs24VCv+10QXI3rdX3Ld0EkySC3CRyyBYq8DmJdtooHWWbTfcDXDVYs+osdssj5Wge2WLBe+V7rAMu8z5cJlinStGfjIdN2Z6Csn4ZDvnKwgrTPa9blVlHmiPMRX60iqkX9pE3miC8TLAHsw9zOtDDmawaLAu0VC85n7QFf6JYvWIAlHvMlUooXZ/w9qaBmq+7mJQp4GpjwlYIljDSltEmc8iQ2zvw8Tcrz8rx/VlVVPzs9yfsn0Unar87U+flJfn56WS6KhnMq+c2Tbm6WPjuddE8oFQ0UJbRNOj1glImnDeQVUZD1Mu8bIXBG+h44X2n6usUqmk9ZbOh3RNEVjo5P5WwY+6IY65XZg9HFBE2QROZ2pqv3hyTJerX0kMDTvczRdW4oShLsjmaWDwor34EsHyEBkuY6G+u7z1/RzJedInJP6w9RcELeYLt656COZdmozx/C5h3QMTKgtRx0iNeKX5sua23Qhiu30jU7EUUUF+t0N76Cz9QLLo2gfmlnV/CZ4cmw8HSygs+UqEgSAXnBVvCZwODyTRcGkakQXKyhGD/3Cj5TI2URBFDoaLnBVSeyfL9R9Wxvc86LxctS89zzstQDPhlYzrpd4OeKBcuZb4F/I+omdqv3NufOHhD3+arBotaFBzYwt4YejEM+Blh82hf/HdqN7FvPD4SL4ohPoYgU8OfIRPb2Stjm9gBXMFhf4IkEkHZqMO2M+VRgTaJtIOSeDQSu0C03EDaiPb5ONw88z+kxXzGllLI+MKt5mT/V1GyEbjYX2tPMcgBcBBM+AVhWSZsOL5mI3l6J2tx+4Ijd2e0HZxOI3NO9woaJ8oXffBAEIay9oZPpTjcfBNEVjo7PQm0Y+6IY63Xfg9HF3FKQJPDmgyAJdfET4HDNVAUpdmLjQZKPkPy6mHStpl7Fcp268Ey/JMEJOQOeL8CDOpZloz57CJt3QMfIgNZy0E1ryL3rJRrjTQLeJkidhz8qK7DZaSkLld/UXkTs2Dx5hS0YXLdB/ZN1M8L80o9n/zLfWmiaoyw2ER7q7/xMG6w3Vp0h529Vvnpz9kj/4U+a/QZzsa+XxE1DbtNY/Gkv871RmRuIDAtEJ9sOTImKJBGQt7g7aUL/6V4vNkZX54D5v9L5v7L5v5T518C86frx7PMXe3E/TvUfUDa+fTYfuArUhRNkKgRXdCgOz73LwNRIWRoBFBZFWQ4cL43hShTZatg4ElzqnGn1zwd84WA5ou8klHnp3krgqgWrEeWugFvnfb5OsAiRfOyGpVOqSKNsUBQ28Yd88WDhaN8y2FjpLfIoL8pB5rozwFWsiIrRtTubzBFfJlgO2CbfnSDGfNFghaCt+bsfugd8pVsu+uMaj/kaKbWM8xHwJ4WaLbybxX1aQpjw1YJVjbSQb5M45Uk0GsvqPMmjLOmrTF30s8vkrF8VUdSPo6Q6qS5VlKi2Pi6eyTR7+ui8PVDYr9U7QVHC4Av4kiCENSx0AvrPeoLyiZ4/mhdIPb16YznH1D9t3hb1Tm/2D3q+86g5HGdeYPXJ7OFiLd98zfr297zcEQ2DwsOAz+1sGPuiGISFOXwKd/VD14ueJFFEVvOtk6h7ohzU9USAIk/SOLK/PnkoyhJsRT8ZKGuBPZDFIyRD0kSoZUG/iBfrv/Mf2MAPZcEJeYPt9V1jOpZFoz5/CFrLej4wnrUcdOPVTuI4y1VW9fP4TPWzrCz6p+qs6F+eFufReVyqPF8EJqhXS5xeLaVGAyMM79UEQQjpCfVq7zev5Xjz6ke9q+9rS9acfte27cnsaX/2efM7P2g2BeZbAtq/fW919GL2i9j+QN8RDYLCg7C1UxPEIGRc3KlpK/2hDeWuKIqIU4vtC973REmotQLgUHlUVKmrz48kTDCzlg9i69rNgSweIRt2atbSZXFPPWZNEpyQOthmzTWmY1k06gOIoLWZtfbxrOWgG7N2puK8TOOir04vkn52UZ1oY1eqfnwZVao4O0lOThdjHtSsOU9mFIoaDYwwvFkTBCGkJ9yszY9kPOxd/cfZp8aDXb05+2C+dhZFt8w/mQ30jiiowkG3NmSCGISsSjBkrtMPkiRCfsy6TXdPlIRaDgAOnXiLQe44TCHJEsyOxVE8qKx54EAWkJDxOjVky7YNhacPhyg4IXWwDZl7VMeycNRnEIFrs2TtI1rLQc+vKsWXRVScVv0ivij6mY5+v8wvk35xcplU57m6VJcXr4a3ZJnTktlPB3uigRGGt2SCIIQEhVqyny8WzB72zCWkmXnLrdnSnC+YNc0/Ppt9fvVX2ri9Mf/Fxq2Vxqs152f1T5LIdY5WMhYKj8XWrk0Qg5B6Ca7N3Dr7cNCzj8tdUSAZ82bjuCfKQS0bAIWeTlsL4FAUJKBvc5wqOpDlI2TFTm3b8tJL4bnFJApOyB1b2DbHoI5l2aiPH8LW5traB7SWgw7bPs2ah7QL87x0uojicp3uxq8scQWv54wv/JUlbiAyLBBdXFniSlQkiYA8oStLXD7wjDrB/jkX7ZgKwQPpBD/nvrLE1Ug55g0odFw356oTua20Uc9sjdGKyrzBLzJfzHtry2TRsKgovX3S2KBg3er2dhNbLVi4iI3SinLVKG0eZpvq+3zVYPXqwu0amFtDD8YhHwOsPe23nhzajexbzw+Eu1Eam0IRKeDPkYns7ZWwNcEjvmCw3sBTBiAN1SYN1SYN1SYN1WAaGvMhwZJFu0MVp1HivETFlrrlJaqN8I+v888Dz4N7zFdMqbWsT9BqSubPPTUboZvLVe15ZzkA7s5pbAKw0JIuXL1kInp7JWpN7JQndme3IzJX57SiomGifOE3IwRBCMtu6DRadjNCMBYKjwU+TbVh7ItiEBYUCbPRts0IQaCgmxGCHNTVUIDCsxkhCLITmxGSfISs2MX0bDVJq5Zr15VnoiYJTsgd8MwCHtSxLBv18UPY2jYj2ge0loPe3VO9mevNL2VEjQXGF9yzSYIQshPq2fhneiVBFQ66rSGTxCAkVYIhc20PSJLIODHXmV5JEmoxADi8Z3olWQLaMfeZXlFAQsbr0o+V0aJ8z39gAz+UBSekji38mPtMrygc9RlE4FoMGTCitRz07t6Jz+yvttOGzN4fwBMLjC+8IRMEIaQn3JBJ3IiXDILCg7C1WRPEIGRcgllz3oiXRBFya44b8ZIk1EqBcGRRXA1Ka90bisIEs2vuG/GieIRs2KlZW7a7KT3ti0TBCamDbdbcN+JF0agPIILWZtXax7OWg97dVpOZ69hvmVBjgfGFt2qCIITkhFo1qUaTkmFQeBi2NmuCGISMi5s1d6NJSRQRs+ayaoIc1EoBUHgbTUqyBHNq7kaToniEZNipU0uWlT3xODVJcELeYDs1d6NJUTTq84egtTm19vGs5aBXL45aeBTjwAK+OEq57sIvppbrwMs7ZtU6cKhbWI43jb7CFryeRQRuYZmFLvMCTv2TJ1fvXH1v+UbOp7MPnruUZRzY7NOrvx7M71rFvrtWXNwMw+3irhVXoiJJBOSx71pl+lf0H0h7L8x+2Qzfo+Y9qm9oZ/w3V389PxForPKbxj/3+r2yGTBrCtlnh2M928tdzeIqBM+548bPczWLq3G9sGx5NUuV6cC6kjFkKxS5nrUR2aJwL6txhYMlin7dSqnCed2KrRasUJSXSbl13ufrBAsTydpubp6mWZwNYuv22SFfO1hl2m9VrQtOtWtKokFlDfYRX7AiCkYvM9hkjvgywVrAdv3u9DDmiwbLA+0alPuRe8BXuuUtKFzjMV8jpZCxPgK+lFCzdXdz2YmUDiZ8sWBFI91rskmc8iQ2Rh46RWsonFNJz+SaPZ10vkiqzGmgKGH49X1BEMKSFjohFb3PJBkLhccCnwraMPZFMQiLdYQpXMt9JkkgkaV+1xlaQQ7qUiNAUeWDPLORDEVJgi30ey40ifIR0iJpOtS20p8vV4Zzz0q/JDghefA9v/tCkygb9flD2NqW+tsHtJaDbmzb6enZxcllWvVVlp31s6K87J/kkdJ/6rQ8j09PzlO1eJqD2jbnO6VK+217TzQwwvC2TRCEkJ9Q2/a3ZpW5MW6mP1tztUn/dL4IrX/rTbOWffUjs59g+rT9fPaT2fuzX8/+cfYL/c8vv7Fo8vab2S9n787+SX/9tfme/65/8n7v/ljFvdlPbFG6IxolhUdpa0MniEHIyQRD5z5iK4giYuWiQaKUjeWeKAu1nAAkcVYOStcNdUmWYIau1IAuQyfJR0iYnRq6cln/Pa3ERMEJyYNt6JyDOpZloz6BCFuboWsf0FoOujF08VmSlNXFZT8v8rSfnSRZv0zPq/55pvKiiKPzKF8MelBD53zv1GKtlBANjDC4oZMEIeQn1ND98voMyLy3bnMG5NqpaW939Vf6n+8/35R37u8+N6dI3tPW7t1+4/N+ov+6v9NffzX7tS04d0SDo/DgbOvjJDEIqbgLHyeJIuLjYvv7Nu+JklBrCMBRpWllb9gxFEUJZuKqgd1vH8jiEXJklx6uWt6Brjy32kXBCYmD7eFcYzqWRaM+fghai4UDxrOWgw77xgNrQtWWzH8NbIPuxs/acgWDR5pQSxXqrC0XN8Nwuzhry5WoSBIBebtx1pYbjvXULnfWlqsQPExFsXnOs7ZcjZQjSoBCq7ohW53IOduNImd7DUKV7OkvqfmSLVqPV83tYOcbENiMYB3r9kguWy1YyIhvQKji1RsQKucl7Pt81WA168L8GphbQw/GIR8DrFLtZ3Ud2o3sW88PhIviiE+hiBTw58hE9vZK2JrgEV8wWGrgGQSQgWqTgWqTgWowA435fGChop36LVPluJf4gK90y1O/G4EfX2eeB55H9pivmFJgWZ+d1eTMn3VqNkI3x4HbM85yAFwEEz4BWGJJZ4RfMhG9vRK1JnbKE7uzuxS5690HVULDRPnC71EIghDW39AJdeA9CsHgKDw4+NzWhrEvikFYaiTMSd17FIIogfcoBEmoi6QAh3ePQhAl4B5F5Lh1KopHyJFdTNNWk7VlS4nK0yJEFJyQOOAZBjqmY1k06uOHoLXtUbSPZy0HvbvnhnPXixCqlBoLjC+8gRMEISQn1MDd0KlhySgpPEpbOzlBDEJC7sTJCaKIODnPqWFJFmoxQUhsFENRimA2znNeWJSPkCo79XHpsu6nHh8nCU5IG2wf5zkvLMpGffYQtjYj1z6gtRz07t7bz10vUFi8WYMQC4wvvJETBCFkJ9TIid7al4yFwmOxtV0TxCDkXYJda7m1LwkkYtqsy/f3RDmoRQOg8NzalyQJZto8t/ZF+QhpsVPTli1rfOYxbZLghOTBNm2eW/uibNTnD2FrM23tA1rLQTcNep+xK05X9p2Ls+++9q3XLYFgmTLXyppyc+aVitY5XWeF3WopXuv6uLBV7itsuesfM09wQUf1t7PHs48aK/V49rvm7O+Pm33MH++Zs8CPdG3+1Lyd6nezD67enn1i/ba3V9/4qFlUe2Rj1vZKvThkg29kTTf5dklzcSQx3ztMosh8ScyX5qel/hKbn8aZ+WJ+mphvScxPE/PT1Pxuar45M7+Rmd/Imp+a31Xm15T5FmV+Q5nfyO0HjA75gcrogcIPkpjoHJnoHJnoHJnoHJnoHJnoHJnoHJnoHJnoHJnoHJnoHJnoHJnoHJnoHJnoHJnoHJnoHJnoHJnoHJnoHJnoHJnoHLmic8SPjqJHBz+kooMzMsEZmeCMTHBGJjgjE5yRCc7IBGdkgjMywRmZ4IxMcEYmOCMTnJEJzsgEZ2SCMzLBGZngjExwRiY4IxOckSs4I35w8OzCr2GLA3f5Xm2CVJsg1SZItQlSbYJUmyDVJki1CVJtglSbINUmSLUJUm2CVJsg1SZItQlSbYJUmyDVJki1CVLtClLNDtLGCa2WINGerYmJzMREZmIiMzGRmZjITExkJiYyExOZiYnMxERmYiIzMZGZmMhMTGQmJjITE5mJiczERGZiIjMxkZmYyExckZnwI4NXfuLhLx2YqQnM1ARmagIzNYGZmsBMTWCmJjBTE5ipCczU</t>
  </si>
  <si>
    <t>BGZqAjM1gZmawExNYKYmMFMTmKkJzNQEZmoCMzWBmZrATF2BmfIC0zxYr66cUbB3GJh/u666F1aOpMjLKk+LwjnAmFymUTKqbXpfYetdtwwS16qezn5rrt8YT9SsQzXHwz60e6rZ497Vm73Z583vfNLYpceLs2KPzcpV7+qH5i81N7LmL5t67jTZ/K/+dLEA1vxE/+29Rsqj5q972vzpT5u//Mns4WLb8oNerL+p+eWPbfG9w47vutOQvMfFlKhIEgF5z9/jShd3td5vxuDJ1TvP3NvSP3R6697s3WZ58u2rv+rP/nn289l/m/2n2d83BwP/Uf/IejBwnx2E9Xm34O0tpkLwUDxhBc5ze4upkXK4HFGYl66XX3EVitzg2lgVrIpBaR3+A75wsBDSr2XFeeK+lsVVC9ZBypsS3Drv83WC9Y80X7Z8jKM0GZSVTfshXztYW9qnsOuCkyIpI8fG7hFfryLqRc2vTeaILxMsBezlV3d2GPNFg9WBdmXK/cQ94Cvd8soUrvGYr5FSxzgfAW9GqNm6u7kZRckGE75WsJ6RpsE2iVOeRKPxLFeXp3mW90+L07SfXVZp//QsOuuflSen5/HlyfnJSdvK/jdPuj1vMf+3a9Ja0UBRQtvE1gNGmdzaQF4RBSFsLaKzXsccRv/oyfLYxbz9xFvmhcmzh4vTspOXh18fHff2779cT4Z3emkULaajv549uvpeM5t90vwB8zf+yBapO6KRUnik8MmhDWNfFIOwpUqY3rmPzwqiBD2JIchB3QlGKDxzRUGSYCcxvHNKSUBCviTNktqOYlTLnfvKcxRDEpyQN2TmApJw1CcQgWs7i9E+orUcdMhubYnjBEaymKhYd0eKKIFPYATaVWDrBVdVUH/1r3VXgR3fDItvB7sKbImKJBGQd4O7CuwggEtJBNvp2FVgKwTXjQhu0rmrwNZIWY0BFNovWbHViewobJRSS0+4JIrnfZjMjr+nExyfDKyRnW458NWCRZLWCU7LWXaCW4TZpvo+XzVYKruw1gbm1tCDccjHACtS+16EQ7uRfev5gXB2guNTKCIF/Dkykb29Era+V8EXDBYYeH4C5J0azDtjPhVYlGibGUmWujYz+Eq33MzYCPf4Ot888Dyox3zFlGLK+sQspnttuaZmI3Szy9GeZ5YD4Oz/xicACytp7+MlE9HbK1HruyA8sTu7C+LoL66n2N42d5uYKF/oPRBREMKaHjpHv7k9ENFIKTxS+FTWhrEvikFYyyRMRl17IKIoAfdARDmoK7AAhWtmK0gRdv/DOkwHsoCEXNnFJG01VYvnq+WLH9jAD2XBCTkDnl8Q9j9k4ahPHwLn3/9ARrSWgzZ3UffmFibg/QrXqwSTKLVyNm/lKbPSbZ0xuRT79fxOiPXD+ApbL7i8g7qsL+xOSLLYCbn6sS2+d9jxzbD4drITwpSoSBIBeez35OR7vWKvV+o/Ew9sjPtsRnAdiuAtnRsdTIXgmhLBMno2OpgaKWszgEKVVfYex0O2QpHNjnXdWRINCqvwA75wsM7R9zLSJHPvZXDVgmWOcn3CrfM+XydY3kjGeGPhNo0T/UkurNoP+drB0tG+ZbGRGYoyKlw9Vo74ghVRMLpyaJM54ssEawF7zuBOD2O+aLA80LYc3I/cA77SLbcccI3HfI2UQsb5CHhTQs3W3c3OAikdTPhiwYpG2kSwSZzyJDbu/DKKLouzi355Vql+Fp3F/bI4y/pJlOW5uijzs9PzOYVzPuqZmLPnpK4LFEmkaKAoYfjNA0EQwoIYOq39xbM7Az09nX2sZ7lv69nnfOfghetzdF+dzygT5xtXRdEVjo5P52wY+6IYhJU9wozNvRsgiCKyG5DZW9reEyWhrkgCHEmap4OktLEMRVnC7QoUg1LZ+A5k+Qg5kDT3adsUUMslZOXZFJAEJ6QOtsF3DupYlo36BCJsbXsC7QNay0GHvROR2ei058qtdMsdj3id7sZ3Aph6waUS1DL9690JYMY3w+LbyU4AU6IiSQTkSe4EMBnB1R+Cr3TuBDAVgks9uF307QQwNVIWUACFroMhTHUiuwDA0WPtbYrl0ePcf+WBSwaWwI63CbhqwRpIvfKQX195yD1XHriqwUrYhXE2MLeGHoxDPgZYcNr3Dxzajexbzw+E58oDl0IRKeDPkYns7ZWwze0FrmCwwMCzDyDv1GDeGfOpwKJE23/Iyty9/8BVuuX+w0a4x9f55oHnQT3mK6YUU9YnZjWb8+eamo3QzcZEe55ZDoDnygOXACyspN0Kc+Uhv70StblvwRG7s/sWmfPKg72/lRMT5Qu/ayEIQlixQ6fgne5aCKIrHB2fetow9kUx1gu/B4Mwu3TvWgiiBN61ECShrpkCHK7JqiDFTuxXSPIRsl8X067V5KtYLm8XngmYJDghacAzBnhQx7Js1GcPYfMO6BgZ0FoOunmf1t7KlBjLFfAug3KeGqmsvElR5VGVFWqdN9AOhuOK7CtsveC6DWqfHDsY862IR/D+RbMC/uHs6erF9avNiOcc2VPzPfPtjoezj/UvmdefEjo1MWOWYTHrZFeCKVGRJALy2LsSRT9O9R9QvRfMyP5O//kPmr/p6eyzXrOHtNheenL19vzn5rqw8dRfdW1iMEMCrjERbKZzE4OpEFwvwt2jbxODqZGy7oIozNLI0eKTLVFkJ2PjGE6lU7I1tgd84WCto29UqDJyb1Rw1YKljnKfwa3zPl8nWOJIHnljnhbnVR4Pctd9Bq52sNS070esCy6TKk9dDbuO+IIVUTC6LGiTOeLLBIsBe/rgTg9jvmiwPtD2E9yP3AO+0i33E3CNx3yNlErG+Qh4U0LN1t3NtgEpHUz4YsGKRtohsEmc8iQ2GpPTs5Pk4qxfVCdn/axKov5pdRn1i1hFp5dnF1lRLSqdc07qmaSz56XO+wyxvZuAExQlDL4zIAlCWBtDp7bO9rPfWO9udPUf9ayz2UbozX5qDtpd/cjMTHuzn5tp6tVbtnDcEQ2HwsOBTwltGPuiGISFvw6mcZIkIpsFjpbf90RJqAuWCIcq0kGW2ViGoizBtgySXDlq7YEsICEvkuZDLXsG8bJNTuxpfCQKTkgdfNPvHNWxLBz1GUTgWjYNgBGt5aDDXnKwnkTRRiyx0i23RJJ1upveIuDqBddPUB/1hdoi4MYsw2LWxRYBV6IiSQTk7c4WATck4KpQF96SqRBcAqJ4RucWAVcjZWEFUOg4OsJVJ7I7AJw31v4mXZw3jhPvPQc2GVgFu90+YKsFyyDxnkOcrO45zMNsU32frxoshl2YZwNza+jBOORjgPWpfV/Bef5Ya39+INz3HNgUikgBf45MZG+vhG1sO7AFgwUGnoEAeacG886YTwUWJdq+RFm49yXYSrfcl7Dcc1jlmweeB/WYr5hSTFmfmNWEzp9rajZCNxsW7XlmOQDuew5sArCwknYxXjIRvb0StbGfwRK7s/sZueueQ5zSMFG+8LsZgiCEVTt0Fi6+myEYDoWHA5+92jD2RTEIS5JdzDgFSQLvZgiSUFdSEQ7vboYgS7jdDBUPCmUDPJAFJOTFLiZkq2lZulz7Tj1TM0lwQuqA5xL4qI5l4ajPIALXtpvRPqK1HPTNvMahcB4wUVbOxeu6y5tq3uR4AfcrbL3gUg7qqHZqX6OtIRM3ZhkWs072NZgSFUkiII+/r+HanmCSgatHXZhFpkJwJYhiAt3bE0yNlBUVQGGSRANlUzhkKxTZoljXnZfxILMKP+ALBysWfQeizEv3DgRXLViwKBcY3Drv83WChYpkcTdnKVGiqkGR2rQf8rWDBaN9o2FDcBWnlav91hFfsCIKRtf7bDJHfJlgLWC7f3d6GPNFg+WBuFHgfOQe8JVuuVGAazzma6QUMs5HwJsSarbubvYDSOlgwhcLVjTS0r9N4pQnsfHkZyfnhf6G/kVaxf3s/DzpV5dncf/s5CxN8rM4039+TuGcWXqm2OzZpfsCg72VgBMUJQy/5C8IQljaQieov9JTR3PU7cnsydU7s0fzdze/1UwcH5u5zdU7Pffavy0Cd0QjoPAIEOZyvzBtkGe/babN5ijZ6qjZE/0b877JT/Q0+/v6tx81AbJOoPdFyQmre13M9QRJRDYGHAdc74mSUBclAY4sTweLNvCbU0dBlGD7AqY9ruuOvCggIXmSJk1t+wLLRjqxpzOSKDghc7BnBu5RHcvCUR9BBK5tX6B9RGs56LC3HKyvlNFurbTSLXc90nW6G98NYOoFF1lQs/XF2g1gxizDYtbJbgBToiJJBOR1vxvAJANXgLpwiEyF4HIP7vx8uwFMjZRFFECh67ICU53ITgBwaFjblGp5aLj0X1bgkoHFrOOtAq5asJpRLyuU15cVSs9lBa5qsKZ14YENzK2hB+OQjwGWmfY9BPch4vLW8wPhuazApVBECvhzZCJ7eyVsc4uBKxgsMPBEAsg7NZh3xnwqsCjR9iDiNHI1z3nAl7rlJsRGvMfXCeeB50k95iumVFPWR2Y1MfMnm5qN0M3uRHuiWQ6A57YClwCsrKQtC3Nboby9ErW5ecERu7ObF6XztkJFw0T5wm9dCIIQVt/Q2bTE1oVgBBQeAcLEs7OtC0FywgJkFxNTQZLAWxeCJNR1U4DDu3UhiLIbWxeSgITk2cW0bTV5q5YL3ZVnAicJTsgc8IwDH9WxLBz1EUTg2rYu2ke0loNevtVBvbqybAGvNlSuoyeJqyFVqcq8jPN13kCbGcrVsomrF1z4Qe3Xb5r2O5/PXw1t3iQ935lo3gfdm30y323QluN3ZktC/+JnNpo7bJoMo+lim4ErUZEkAvL42wy9F/LC2x2JywiuB1F8nfVo4V22QnBtB/drng0HrkbKEgmiMBsUhU3hkK1QZNNhwwnnUTSorON/wFcOlhX6pkISq8K5q8CWC5YVygUEj9D7fKFgPSE50g1zVmaxGhSZTfohXzpYPNo3Dzb0xvo/PSgrm94jvl5F1Iuu4NlkjvgywWLAtuqe/DDmqwYLBG3x3/PIPeBL3XLxnyDymC+SUsw4nwJfTqjZsrtZ46fkgwlfK1jSSKv5NolTnsR5eYizXF3G/aTIqn6WRCf905P0sn9ancSncVxelsWi0jnnf54JMXsO6LyAkKQ0UJQw+Cq+JAhhIQqdRr77/ERx0Wno6q+u3ujFUT+xJqc7opAKh8SnbjaMfVEMwtpZF7MzQRKRVXc9i7NuINwTRaGu+SEgahDlyoYyFEUJtuyeKOXq+nggS0hId6RZTsu6e7JsPJN4WgmJghNyB9/Mu4d1LEtHfQgRupaFd2BIaznosHcG4sjpsZQbsFRZtQ544yvtTL3gyghqkbpaaWfSZBhNJyvtTImKJBGQx15pj/eSvXQv771QVv3K/0ICLiy4ytKFqWMqBFdUSGbNueTO1EhZpQAUqiQaFLlN4pAtMdSae+x2V1zlYIXpes2dKxcsMN2tuXOFgpWF5EY3zy2rLKtyx8f5kC8eLCT0Vfc4TtKkqAapdUZ3xFesiIq3WWsb8WWCFYFv1d05YsxXDVaJLtfduVKDrrtzRVIqGudT4M8LNVu4zMq7PydM+GrB0tbF2jtH4s6uvetpoXvx3XVb3kGKIoZffBcEIaxGoTNL5uK7IKTCIfHZnA1jXxSDsIDWxTxNkCT04rsgCnXdDwBRqU5u9oboQ1GWHVl9lyQk5DvSfKdt9X3Z3iXxNOwRBSckD76l966+S9JRn0KErm31vX1IaznowKvvbpNlP9e/AFTROuCNr74z9YJrJKhH6mr1nUmTYTSdrL4zJSqSREAee/U907/SeyFueRMwlxNcZunC0DEVgksqJKPmXHhnaqQsUwAKVTqorMfrhmyFAdfdranvgK8crC1dr7tz5YKlpbt1d65QsKaQfOjGs5ZFWVIOlDUnHPK1gxWEs+yeZyofZFbBR3zBiih4m1W2EV8mWA74Ft2dIcZ81WCJ6HLVnSs16Ko7VySlnHE+Bd6sULN1Sy26ezLChC8WLGtdrLlzJO7umnvsXnNPPSf7baQoYvA1d0kQwhoUOp/krblLQiocEp/D2TD2RTEIy2YdTNEkSQKvuUuiUFf7ABClBpHjdrMkyW6suIsSErIdaabTsuKexovl2fkPbOCHsuCE1MG3874Vd1E66jOI0LWsuANDWstBB15xT5wWK/UC3tRLc50r7ly94OoI6pA6WnHn0mQYTRcr7lyJiiQRkMdecY+j3gtx4l9v51KCCyxdmDmmQnAxhWTSXOvtXI2UBQpAYTIorNljyBYYark9GpSO5Xa2crCwdLzczpYL1pXOltvZQsGCQjKh68qLKCsH9un2IV85WDzoi+2qzNQgs857jvhyFVHuNotrI75MsBLwvbk7O4z5qsHq0OFSO1tqyKV2tkhKJeN8CjwZoWarlllo92SDCV8qWM46WGZnSdzdZfbEs8yuaKQoYvhldkEQwsITOolkLrMLQiocEp+42TD2RTEIa2VdzMwESUIvswuiUJf4ABA90cszG8lQlGRHltklCQnZjjTDaVtmV8s1WeVZZpcEJ6QOvpX3LrNL0lGfQYSubZm9fUhrOejAy+yp02J5T+6rZB3wxpfZmXrBVRHUIXW1zM6kyTCaTpbZmRIVSSIgj73MXu71Kv0HYv1Pov8xh9zTqh9nLQvvTG5wuaULe8dUCC6tkGybc+GdqZGyXIEoVNVAWa3lkC0x3NK7/Yz+AV85WGy6XnrnygVrTXdL71yhYJEhGdN15VmcVVE1qKyf5kO+drCk0Bff0yyLymxgnw8d8QUrouBtFt1GfJlgPeB7dneGGPNVgzWiy+V3rtSgy+9ckZR6xvkUeLNCzdYtswDvzQgTvliwrHWxBM+RuLtL8KlnCd5/pn+DFEUMvwQvCEJYlEInmMwleEFIhUPikzobxr4oBmEdrYs5miBJ6CV4QRTq8h8CkntOWwmi7MgavCQhId2Rpjpta/DLF3CmnleqioITcgffz3vX4CXpqA8hQte2Bt8+pLUcdOA1+MzlsTL/Wf6Nl8be9Bo8Vy+4PIJapI7W4Lk0GUbTxRo8V6IiSQTksdfg47T3Qqz8K+5cSnCFpQM3x1UIrqaQXJprxZ2rkbJCASjMB8p6wm7IFhhuvb3MbMoP+MrBwtLxejtbLlhXOltvZwsFCwrJhG48akVUFo7No0O+dLB60Jfb4ywu4kFmXRA+4utVRL3brK+N+DLBWsB35+78MOarButDh6vtbKkhV9vZIim1jPMp8OWEmi1bZrHdlw8mfK1gSetgrZ0lcXfX2jP3Wvui9Q9MiiIGX2uXBCEsPqETSd5auySkwiHxyZsNY18Ug7Be1sXsTJAk8Fq7JAp1mQ8AyQeFvdfeUJRkN5baRQkJ2Y40y2lZas+Wr9zMPG9RFQUnpA6+mfcttYvSUZ9BhK5lqR0Y0loOOvBSu7LhaYOVWfHSSMXa0ic79w5Vrl5wXQT1R10ttDNpMoymk4V2pkRFkgjIYy+0F70X8sK/zM5kBJdWujByTIXgMgrJoDmX2ZkaKUsTgEKruiFbncga+0ZhGt7dPz4eHS9KUz09fEGbCfVVM+sy0k152ousFeqATwZWnK7X4LlywZLjW4PfiLuJ3u150L++iLNN9X2+arDwdGFVDcytoQfjkI8BVpz2xXmHdiP71vMD4aI44lMoIgX8OTKRvb0Strl4zxUMVhjY7wOJpwYTz5hPBVYl2uJ+mqRqoFyL+1ypWy7ub8R7fJ1wHnie1GO+Yko5ZX1kVtMnf7Kp2QjdrPq3J5rlALgIJnwCsLSS9gJeMhG9vRK1uSvAEbu7uwKOKaCesioaJwoYfk9AEISwSobOeZl7AoKQCofE55k2jH1RDMLCXhdTSUGS0HsCgijU9UgAxDUzFaTYkf0ASUJCputikrWaai17pWSe9jei4IS0Ac8PCMM6lqWjPn8IXdt+QPuQ1nLQgfcDchueNle5Dy+N1vFufD+AqRdclkG9UVf7AUyaDKPpZD+AKVGRJALy2PsB8V6yl+7lvRfKql+1nL9nwoLLNl24OaZCcAmG5NKcGwNMjZSVDEChy34x1d3gxkCxXJ/L/RsDXDKw9HS9McCVC9Ye6sZAfr0xkHs2BriqwQrUhWc1MLeGHoxDPgZYerbZGMhvPT8Qno0BLoUiUsCfIxPZ2ythmxsDXMFghYGNP5B4ajDxjPlUYFXqcmOAK1VgYyC/3hhwPqnHfMWUcsr6yKzmUf5kU7MRpDcG8lvPD4BnY4BLAJZW8sZAfnslanNjgCN2dzcGcufGgL0FkZMTBQy/MSAIQlguQye/zI0BQUiFQ+ITThvGvijGepH3YHQxlRQkCb0xIIhCXZgEQFwzU0GKHdkYkCQkZLouJlmrqVaxXEUuPNMtSXBC2oDnB4RhHcvSUZ8/hM47pGNkSGs56MAbA9YeFdpclV68nXv5LFcvuCyDeqOuNgaYNBlG08nGAFOiIkkE5LE3BjL9K70X4qhlT4DJCa7YdGHkmArB1ReSQXPuCTA1UhYxAIUu58VUd4N7AtVyaa707wlwycCq0/WeAFcuWHaoewLl9Z5A6dkT4KoGi08XdtXA3Bp6MA75GGDV2WZPoLz1/EB49gS4FIpIAX+OTGRvr4Rt7glwBYMVBvb8QOKpwcQz5lOBVanLPQGuVIE9gfJ6T8D5pB7zFVPKKesjs5pC+ZNNzUaQ3hMobz0/AJ49AS4BWFrJewLl7ZWozT0Bjtjd3RMonHsCFY0TBQy/JyAIQlgpQ+e9zD0BQUiFQ+JzTRvGvigGYXGvi6mkIEnoPQFBFOqaJADimpkKUuzInoAkISHTdTHJWk21lk3dM0+fflFwQtqA5weEYR3L0lGfP4SubU+gfUhrOejAewJWE/lysphAufCSdbyb3hPg6gWXZVBv1NGeAJcmw2i62BPgSlQkiYA89p5AHPVeiBP/jgCXElyv6cDGcRWCay8ke+baEeBqpCxhAAodvour7uZ2BFS8WJhTkXdHgE0G1pyOdwTYcsGiQ9wRUNFqR2AeZ5vq+3zVYOnpwqwamFtDD8YhHwOsOVvsCGjtzw+Ee0eATaGIFPDnyET29krYxo4AWzBYYWDHDySeGkw8Yz4VWJU63BFgS+1+R2CVcB54ntRjvmJKOWV9ZJYTqJZkU7MRhHcEVolmOQDuHQE2AVhaqTsC+rOzErWxI8ASu7s7AqVrR0DZX57g5EQBg+8ISIIQ1snQWS9vR0ASUuGQ+EzThrEvikFY2utiKilIEnhHQBKFuiIJgLhmpoIUu7EjIEpIyHRdTLJWU614sXw8/4EN/FAWnJA24PkBYVjHsnTU5w+ha9kRAIa0loMOvCNQ2fC0uUq8eDv33l6uXnBZBvVGXe0IMGkyjKaTHQGmREWSCMhj7wiUe71K/wH9jMeJ/sfcGEirfpy17BEwucEVnC6MHVMhuBpDMmzOPQKmRsqiBqDQ5cSY6m5wjyBdLtUl/j0CLhlYhbreI+DKBcsQdY8gud4jSDx7BFzVYDHqwr4amFtDD8YhHwOsQtvsESS3nh8Izx4Bl0IRKeDPkYns7ZWwzT0CrmCwwsBzACDx1GDiGfOpwKrU5R4BV6rAHkFyvUfgfFKP+Yop5ZT1kVlNqfzJpmYjSO8RJLeeHwDPHgGXACyt5D2C5PZK1OYeAUfs7u4RVM49gpTGiQKG3yMQBCGsnKHzYOYegSCkwiHxuacNY18Ug7DY18VUUpAk9B6BIAp1jRIAcc1MBSl2ZI9AkpCQ6bqYZK2mWsv30yrPK4dFwQlpA54fEIZ1LEtHff4QurY9gvYhreWgw+4R2Mu1NleZFy9bx7vxPQKmXnBZBvVGXe0RMGkyjKaTPQKmREWSCMhj7xHEae+FWLXsCDApwfWaLmwcUyG49kKyZ84dAaZGyhIGoNDlu5jqbnBHYPnuT+V/6TCbDKw5Xe8IcOWCRYe6I3D90mHleekwWzVYerowqwbm1tCDccjHAGvONjsC1y8dVi0vHWZTKCIF/Dkykb29Era5I8AVDFYY2PEDiacGE8+YTwVWpS53BLhSBXYErl867H5Sj/mKKeWU9ZFZTaD8yaZmI0jvCFy/dNifaCZ8ArC0kncEzEuH7UlmyhO7szsCSeTcEVA0ThQw/I6AIAhhnQyd9TJ3BAQhFQ6JzzRtGPuiGISlvS6mkoIkoXcEBFGoK5IAiGtmKkixIzsCkoSETNfFJGs11Vq+oVZ5XjosCk5IG/D8gDCsY1k66vOH0LXtCLQPaS0Hrf/3x89UA+Ow/shnuTreIYgH37ABa7tlf5lCUpSqzMu4XAcOtEfgePXUK2y94EIN6pbe017JbAk8nn0w+2T2sHf1/dkjbZ0ezZ5cvaX/eWf2mVmSbjYNrn6gv8O9S8DkyTCeTnYJmBIVSSJT3j5bHrj40oUnYyoEF1JIXsu5vM/USFmPABQWqhykVj84ZEsUWePfCG1eFo71qQO+crAq0Nfwq1i5l/C5asGa4FvCx3Xe5+sEawHJT258HpKiynOX+EO+eDDxty/VryvOq7TMk0FpFXzEF6yIgtEFM5vMEV8mWA7YXtuTIMZ81WCJoK21ux+6B3ylWy614xqP+RopxYz1GfAmhZotvJsldVJCmPDFgkWNtHpukzjlSWzc9UlUVXkU96uTc9XPzpKoX17kp/2Ly/RcJSdxnJ+ezymcEzjPjJY/iXNP4yoaKYoYftVcEISwlgTPA/X87g095ft09nD2ZPbRs9PAb5gF9NkvlP1hvyNKqnDSradfghiENTDCNO2T2Yc2lLuiKCJr50mibCT3REmoS3cAR1xEeeKa9QmiBFs/90wNJfEICY802WlbPF92bFeeJvyi4ITEwTb0HjcviUZ9/BC0tpXz9vGs5aADn6W3pqGXkzyy4i03BtQ63k2vk3P1gmsjsD/qap2cy5NhPF2sk3MlKpJEprx9tjxwYYRgwFzr5FyF4CII7qs86+RcjZSlBUCh47ABV53IEjlwGvUwyZc9rHN/83w2GVguul1CZ6sFywXxFHx+3Ts/9/TOZ6sGi0YXHtPA3Bp6MA75GGCtaF9adx5Oza975+ctvfPZFIpIAX+OTGRvr4RtrLyzBYMFBjbqQN6pwbwz5lOBRYm2Mh+nReI8Bc+WuuXSvOUUfH7dO9/9pB7zFVOqKesjs5z6tCSbmo3QzZJ9e6JZDoD7FDybAKyspHX8l0xEb69Ebazos8Tu7op+4joFn/u7125wooDB1/MlQQjLW/B8lb+eL0mqcNKtp4mCGIRlOcJ00rmeL4kSdj1fkoS6oAhwuGanghQ7sJQvikfIdV1Ms1aTrWWr9dzTPV8UnJAz4BkCOqZjWTTqk4egtSzlA+NZy0E3h+CfqdxOq/Wdi7Pvvvat1y2BYDkt63qjNlmJmzOv8o2XBrvW9N1qKf7pelnfKvcVttz1j5knuKBL+s3Vm1dvNSv7H5sfzT6YPZ33yPlEm6d39C88vvrxM01zbDjaLyUvDtlMG/nQDbVdOlysUqZ7h0lhvpSx+ZLrL1VkvjQ/qvYO08h8iTP9JTFfUvMla76Y31DmR8r8KDdfCvOlNL9Wmh+ZvyAzf0EWZ64cyw1URg8UPt000Tky0Tky0Tky0Tky0Tky0Tky0Tky0Tky0Tky0Tky0Tky0Tky0Tky0Tky0Tky0Tky0Tky0Tky0Tky0Tky0Tky0TlyReeIHx1Fjw4+ldXBGZngjExwRiY4IxOckQnOyARnZIIzMsEZmeCMTHBGJjgjE5yRCc7IBGdkgjMywRmZ4IxMcEYmOCMTnJEJzsgVnBE/OHji4JenxWpculebINUmSLUJUm2CVJsg1SZItQlSbYJUmyDVJki1CVJtglSbINUmSLUJUm2CVJsg1SZItQlSbYJUu4JUs4O0sY7TEiTaszUxkZmYyExMZCYmMhMTmYmJzMREZmIiMzGRmZjITExkJiYyExOZiYnMxERmYiIzMZGZmMhMTGQmJjITE5mJKzITfmTwok5cItKBmZrATE1gpiYwUxOYqQnM1ARmagIzNYGZmsBMTWCmJjBTE5ipCczUBGZqAjM1gZmawExNYKYmMFMTmKkJzNQVmCkvMM/4h6B3AFP32dE8s3LouBa5SiPYBnV6tCEdONbGXmHrBXepJEzQw97s8ex3veYgxJPmVx5dvT37bPbQRniHTbhe6zs57DD72eyT2adXf3P1g9lDQ/Q7/a+/Ni0irt7uzf5O/+57NoivsSEUCQIB4DYXVPq704GNbp9NB252EZa/PrOeWLrLVghuXOGrWr7TFEyNlP0fQGGWFIO0sEkcsiWKHKmwXCgZJLlN+AFfOFiG6CcmlMrdJya4asEqRLl06NZ5n68TrD6k2eqG8Cwti0FsrZuHfOlgWWmfP26sd6dFHheDwprBjviCFVEwaj1tMkd8mWAtYC9rqizOB4U1PYz5qsH6QDvY4H7kHvCVbnmuAdd4zNdIqWScz0CiJ0BVHjmesZotvJvzC6SEMOGLBUsaaR5qkzjlSWw+CSfpRZoo1VenJ3k/qy6K/unpWdlPiuoiPo2TsjpZhNw5X/zmSbcHFNKB58ZhntNAUULbzNIDRpld2kBeEQUh7Nqh0853m770H/f0jOZTMx1Dp5SClAqnxGdtd0fHr4x6qqp6+3/+7W995+Tyolf/+Z8tPsOb0zFBPMIOJGHa5j61IIgicmohsm9Y3RMloe6dAhz6rx8kdvM8FGUJdnYhSdxd/EQBCXmQNAFqO72QL3e7c8/pBUlwQu7Ywua7LiKMZeGozyAC13Z+oX1Eaznoxqjl2XlRnF2k/dO4LPtZrpK+/tOn+k+dnMen+cl5qc5eDW/UEqdRK6nRwAjDGzVBEEKCQo3a3169oQ3Zk+YVQfPLj8ueym83rxX6wDRcvnrTrEpf/Uj/SrO4/kGzVK39XF//67H+3c8X3/VY/8aT+XfZonNHNDoKjw5u8GwY+6IYhGTciZETRBEycmblbBPlnigKtYoAIHk2iCPrutdQFCWYkcvLQebycZJ8hDTZqY8rl1W/9Pg4SXBC6mD7OOegjmXZqA8gwtZm49oHtJaDbmxceZKqPMrK/ml5qb+3uLjol+dJ1j8r8hNzgiPKotNXw9u41GXjiogaDYwwuI2TBCHkJ9TGvW8ODphjHlc/aBpWfNy7+qH+wdtXb7iX4HovLH/r6ey3V//P7NHsk7kN7Om/7t3ZT7+6cIKTk2//nxff/e78J8B/qfGD8wtKxj+a/+aH5tTJpgD9N37l6vuNx3yr+a2Pza+s/p4fNq02Pr16Z/6frrJSpeaIiv6Lmp9ktqG7Izp0Ch+6bT2mJAahUBA8pjlF9OGgZ2+OclcUSMRpWhfZ7olyUKscQOE7NiKJEsxmqti5XCjKR0jjXdrMIlq4ksLTXUIUnJA92DbTOahjWTbqA4iwtdhMYEBrOej5TSf9vyLOTvpZnEb9LD3L+1WcF/3TvIhOE3WZXSwHPajNzJw2M6FGAyMMbzMFQQj5CbWZP3/ewqEOMjEvvl78ME/V/Ee9w4s//db5aye951ymLUx3RMOk8DDhlm72t6ZJXON8zevZ50bZ3NZvTlybg9gPmx/9QAfyTW1zH5vfXjPIvfnmcv1nf3Lx7ZPe/p1epqIoLnovJPMXidtCtS8aKkLiJ9hG19FgSRIZv2i/C3BPlIRasACOrIgGceSyjIIswSyje4NZFI+QkTt1jMnSYCQexygJTkgcbMeYFc5zA2NZOuojiNC1ecb2Ia3loEM2u03de8ZF5uNTyTrfTV8J4+pdTxu7eyWMS5hhhGGuhHEhFAkCAHj22tf1fa/McdeLK3s9N8vd9eIqBM/yU4ya864XVyPlhDyiUOmM4jjkx5UY5q5XXLi9FVc4WF+6vevFVguWl67uerF1gmWF5EQ3Pg5lUpaDxDqXOORLB+sF/a5XmVdROUitpzKO+HoVUe82tztGfJlgKWBbdJVFubOJFVs1WB66u+rFVhrwqhdbI6WQcT4DZaaiSk/UrB6hZuuWuenlSwcTvlawnnVw0YslcWd3BBL3Ra/FBVIYFCUMvyMgCEJYf0Inkze2IyAYJoWHCZ/M2XcETNdec4T6+yaM1zsB7+nZ6X9q2xD40wvzn+4pPZdJ2zYFBKNFWNvrYg4pSBJ4U0CQhLoiiXAU8aDKXFNSQZZd2BSQxCMkZdJUrG1TYHlHqfDcOhMFJyQO9ozDvykgSUd9BBG6tk2B9iGt5aB397xy4tlC8J7etkUDIwxvGwVBCBkKtY3tp4i/ROeVBYdO4UOHW1kbxr4oBqFUEDxm23llQSAZq2njuCfKQa1yCIVv60MQJZjP9J1XluQjpPFOjebyFlXhuRYnCk7IHmyj6TuvLMlGfQARtjab2T6gtRz07rahStzX4krv6W1bNDDC4DZTEoSQn1CbyWxDJUmpcErckdHaUEniEXItwak5uxdIooh4NGcbKkkSapEAOLJ8UFZWlKEoSjCX5utCJQpISINd2rRyeQup9FwrEwUnpA6+TfN0oRKFoz6CCFyLTwNGtJaDDntG2JqJtO/yvyOsWKe76RPCXL3gUS7UNgmeEOYSZhhhmBPCXAhFgkAAJF4awaVbz99yB4m5CsGTYrib8xwk5mqknL8CFFrVDdnqRM4Qb9Sx4d394+PR8aKSzV9uVybmlXbNy+0y80V91SyyGxJT3PYia3074IOC9arbM8dstWDB8p053hgFE7zb8yH4+iLMNtX3+arBstWFzTUwt4YejEM+Blib2k8jO7Qb2beeHwgXxRGfQhEp4M+RieztlbA1wSO+YLDewHMFIA3VJg3VJg3VJg3VYBoa8yHBkkU73FymmfNwM1vploebN6I/vk4/DzzP7TFfMaXUsj5Aq5mYP/XUbIRuTj23p53lALgIJnwCsM6SzkK/ZCJ6eyVqTeyUJ3Zn9x1S+2xSz34TGibKF37XQRCEsNyGTp+5uw6ClAqnxGefxF0HQTzC0iFh+unedRBECbzrIEhCXfJEOGwUQ1GK3dhwkAQkZMAuZmKr+diyhUXp6UoiCk7IGvAkAh/VsSwc9elD4No2HNpHtJaD3t3XXqQD6zqmNmgpNRYYX3iDJghCSE+oQQv80gvJ6Cg8Orixs2Hsi2IQUnEnBk4QRcjAuV56IYlCrSEIiI1iKEoRzMF53nchykfIkJ0auHRZ7lOPgZMEJ2QNtoHzvO9ClI367CFsbf6tfUBrOejdvT/mPl6SUWOB8YX3b4IghOyE+rf2O11fnttjkkOn8KHb2lwKYhDKBMFcttwekwQSsZjWTYR7ohzUGgdQ+N52IYkSzGR6bo+J8hHSeKcmM1t6ksxjMiXBCdmDbTI9t8dE2agPIMLWZjLbB7SWg97d3lbpILPFQptMRY0FxhfeZAqCELITajJvqrOVZJgUHibc0N3cuy4kQ0VI+wTT6DzRLEgi4xZdba0kSajlCuDwvutCkiWYYfTsKkviETJyp35RLe2F8vhFSXBC4mD7Rc+esiQa9flD0NrsYvt41nLQYS+xuQxg7qUr1+lu/BIbU+96xtjhS2xMwgwjDHSJjQmhSBAAAO01F1zZ62lZ8HYaUyF41J/i0dy305gaKUfmAYWu3WCmuhu8nVaYO2ml+VItb4Tk/otpXEawBnV8MY2rFixC1Itp+fXFNGevy/t81WAp6sK4GphbQw/GIR8DrDfbXEzLbz0/EJ6LaVwKRaSAP0cmsrdXwtYEj/iCwVIDu38gA9UmA9UmA9VgBhrz+cBC1eGdNK5SgTtp+fWdNOcje8xXTCmwrM/OamLlzzo1G0H6Tlp+6/kB8NxJ4xKAJZZ8Jy2/vRK1JnbKE7uzuxmZ805aQcNE+cLvZgiCENbO0Nnwje1mCIZJ4WHCZ6M3+p4OyWituxJPtLqYBAuSBN7QECShLqgiHL73dEiy7MKGhiQeISl3MS9czQ6L5QJ44ZkhSoITEgc8pUHHdCyLRn3+EDTveI6R8azloHf3kHXmvCRn7yTtiQXGF94xCoIQkhPqGNuPPn+JDlkLDp3Chw53sTaMfVEMQpUg2Mu2Q9aCQDIu08ZxT5SDWuMQCs8rOiRRgllM3yFrST5CGu/UYy7f6FB6XtEhCk7IHmyP6TtkLclGfQARtjaT2T6gtRz07rbKypw3+SpqLDC+8CZTEISQnVCTyW2VJUipcErcjxFbZQniETItwae5Oy0Ioog4NHerLEESaolAOGwUQ1GKYPbM2ypLEpCQATv1Z9WynFcefyYJTsgabH/mbZUlCUd9+hC4NoPWPqK1HLT+3x8/O6zmX3/kc2LdnnNWrtekVfa+rEkZF0Wm4mgdONBJ5zgfWDftX2ELBs+XoS7qN/NbVo1zmvezMu2o5mebmwZWi+Wyz+f+yhwNNt2tFstv8yPQj80e59Ub19/8xPw1nzS/87n57qvv2WJwhx2DDIsB7TC0TeLX2BIVSSIgj/2+jmxv8coOs+f8zCD2mvVM033sUXMG/I3lhrX+j+jf/54euKeLD8d82fTj3p+8FEeR2YN+9dXXbeHaZ4drvUhsf8S6ZfmPKxQ8wIabRs9Ja65GykEwQKHKsoGyKRyyFYqctkY3Bg/4ssHiRj9AnUSuFaav89WCtc13gBrXeZ+vEyxpJFuMfhgO+bLBKtR+RHojJURVZp45q+AjvmBFFIyeT7TJHPFlgrWAPVnICv0ZVjbRY75osC7QDja7n7YHfKVbHmzGNR7zNVIqGOcjkKg8K/NBYV2vqdm6uzm/TEoHE75YsJiRjirbJE55Ehujn59Fp0V50i/P07ifJarql6rM+pfleVSdnZ6lF3n44yZmZueahaY0UJQw+F6AJAhhJQydxa5NbJ6bwTaTmlxdfS9WvfsvJbPPerO/a6Y7T5+fvvZmP21mQotDuw/np0/MT/fMVOnh7LfNb/9o/hPzn/jUfEPfupl9RzSCCo8gPsG0YeyLYhBWBjuc+AkCiewqOE8XS5JQ1zUBDlWVg0rZUIaiKMG2FjzzTUk8QjolzaBaNhaqZcffytPCWRSckD7Yc4W0KB3GaywLR30AEbiWjQVgRGs56MbvRfnFaXKu0n5eJZn+3jTpl5fqon92cnpRKFWpqLwJv5c4/Z6iRgMjDO/3BEEICQr1e+9q+/ao2ZN41Lx149FiP+Ld6z2H+ZbFw2YF+3Gz1P3BvMnJ+wvT91GvuPpeHl19L5svaVvickc0LgqPy9YuThCDkIZxF3f1w6u3bCh3RVFk/JuN454oB7V4ABS+TQBBkl0wb5J4hNzYqXlbtkarPK3uRMEJWYNt3lQ2KFzeTZKN+vghbG3erX1AaznosL3urAcqtBfLrXTLIy/VOt3NnwBhCga3y1AvdbMnQJgxyLAYdHIChClRkSQC8nbrBIglVvvsWIFbfrh/bF0FZAoFt/kI7tBz/IOpkbJ5Bih0nAbmqhM5+rFRHW2N9irTaK8qFx2uKn+PPTYeWPs6PiLCVQsWP2KPveq6x17l6bHHVg1WwC4cs4G5NfRgHPIxwCLWfoDEod3IvvX8QLh77LEpFJEC/hyZyN5eCVsTPOILBosNPO0Akk9tkk8NJp8xHw0sT7RTKKlOPPY18Ad8pVueQtmI+fg66TzwPK3HfMWUssr62Kzmcv6EU7MRujme0p5slgPgbq/HJgCrK+nMyksmordXotbETnlid3Y3I3e116v8jWM2MFG+8HsZgiCE9Tp0/h1uL0MwLgqPCz7htWHsi2KsWwMPBj4X9exlCKIE3csQ5KAupgIUvr0MQZJd2MuQxCPkxi5mZqv52bIrWuXpcicKTsga8KQCHdOxLBr16UPQvOM5RsazloPe3WPHuavLXeVvxmKJBcYX3rgJghCSE2rcdvHQsWAEFR7BrS2eIAYhWeMWr3W7QRBIxug5Dx0LklCLDcDh2rwQpNgFmyeJR8ikndq8ZV+yytNoThSckDkkbJ4kGvXJQ9DabF77eNZy0Ks2Jot1aGPfArYxKRwHitPF6K8DJ0VeVnlaJevAoQ6xlI43NrIFg1t4qBf7J22UPm1esrA8xNK8wvFtXZgfNecbPl60ETZGypxUeTh/UUPzoyfmlYeLAw7zYy76p580PzXG7neLl1C/sfy1H5oXQs4+sAXkDjsgGRaQDk60sCUqkkRAHvdES+x4wyObDNwSJBhCx8st2ArBnT2Kw3MdPGFrpOyQAQr1f2+QWfdkhmyJIqdPNhoMZFkxMD5pU/kBXzlYkRgHS9LYZTu+zpcLViRS8xG30Pt8oWAlInnZjYctSapMpQNl/Tgf8sWDVaP9CMm64jwt8yQZ5NZoH/EFK6JgdBPXJnPElwkWBLbP96SIMV81WCRoxz88T90DvtQtz38QRB7zRVIKGudT4E8LNVt4Nwc9SClhwhcLFjbSmQ6bxClPotFYRqqMT0+i/sllmvSzOIv6VVSV/cuTc1WexZU6jU7mFM4JpGdKzZ5EuvqQpFFCA0UJQ28JiIIQFrLQaej7z8w5H/cWuwJXb+oZ5w+aBfzP9K/qGczvnp2FPta/96h5L+Di7sSzk9L5W2lmP2uOfZj+5h+an3/DnBCp7+WRyqPouDku0vxH3jAbB+an+pNuzoPoL3HsPBAiGlyFB5cwX3wmvlc/6unZ/qPFHZXmNMxaYJ+uRbJZpP/I3G541By50ZP43tcvvn3yzZPe4cm3v33y7/7da3vLYzdPerOf6f/SR70Xmn7ybzbrA48XLxl6NN+qeePqh7PH1oWrfdHQEtYh8Qmr85CKKIrI3kVm47gnykFdPwUo4jhSg9LKMhRlCbZ/oQmjQWbfwpAlJGR+0rTPv4WhmeZL3osf2MAPZcEJqYM9tfEM61iWjvoUInT+XQxkSGs56Mabnlbn6UV8FvfzKIv7WVZe9Ku0rPrVmUqLi0Jlp9niiQ7qTV09U9Ioo0YDIwzvTQVBCBkK9aar9+UsdzhW70w0jnH2m8bg/NX8RdXNQZUPGu+0uBL6uXGm783+cfZuf/b+7Nezn8x+Ofs7/fVXs1/bonNHNDoKjw5uLm0Y+6IYhGyMGznn+3REUUSMXGw/8XZPlIRaRACONI0HhbKyDEVZwlm5fGC/PXMgy0dIk50auWxZ9TOPkZMEJ6QOvpFzDepYlo36BCJsbTaufUBrOejGxiVKXSSnF0r/5qn+3lOV9MvsXJu/Ks3ipIzPymqxZh7UxqVOG2e/FeeJBkYY3sYJghDyE2rj/uGZ0ygPe7P/rD3d75oFLW3perP399O0WR2M0575RrMA1hg66+LOHVF4hcNv7dIEMQipthOXJogi4tKiQaJsKPdEUahFAgDJq0EcW1GGoijBXFpWDLLMxncgy0fIgp26tHxZ1N3NO2TBCamD7dKcgzqWZaM+gAhbm0trH9BaDnq+2HZ6dnFymVZ9lWVn/awoL/sneaT6WXxansenJ+epuonFtszp0uwHqH2eFSIM79IEQQj5CXVpf3v1xtXb5m7Y9Xnkt5vb/R8027RvmhOvq3tis5/PftIsqv3j7Bf6n19+Y9EB4DezX87enf2T/vpr8z3/Xf/k/d79sYp7s5/YonRHNEoKj9LWdk4Qg5CTO7FzgihCds7uge6JolCrCQCSxYMsr2woQ1GUYHauLAela/dUko+QLju1c+Wy+rsvgMmCE1IH2845B3Usy0Z9ABG2NjvXPqC1HHTYnsWljU7bs8pKt7jflkXrdDd/3YspeD1n/Ou57sUMSIYFpJPrXkyJiiQRkNf9dS8mGXi6n+D/nNe9mArBk/y4rfNd92JqpJyOBxRa1Q3Z6kRuem1UNEuf4TSO9vSX2HxJzJd03vRTk3iafh7wQcHK1fXFMK5csHbRWg5rOcuWw4s421Tf56sGC1gXhtfA3Bp6MA75GGDZab8v5tBuZN96fiBcFEd8CkWkgD9HJrK3V8LWBI/4gsGCA88agDxUmzxUmzxUmzxUg3lozIcEaxbt9lma5cp9+4wrdcvbZxvhH1/nnweeB/eYr5hSbFmfoNWszJ97ajZCN5fS2vPOcgBcBBM+AVhpSTfVXjIRvb0StSZ2yhO7s1sVjonly2kc0TBRvuAbFZIghJU3dCZ9QxsVklFSeJTwuasNY18Ug7DaSJioOjcqJFECb1RIoqzXYQ/KlhNfSYpd2KMQ5SNkyi6mbMuJm7bc8yXt+Q9s4Iey4ISsAc824EEdy7JRnz2ErWWPAhjQWg56dw8Gl45mxGkcU2OB8YX3cYIghOyE+rhujwVLwiscfmt7JohBSLSd2DNBFCF75joWLIlCLREIiI1iKEoRzJ55TgSL8hESYKf2LF5W89hjzyTBCVmDbc88J4JF2ajPHsLWZs/aB7SWg97d6/flILXFQtuzhBoLjC+8PRMEIWQn1J4FvnwvGR2FR2dr/yaIQcjEnfg3QRQR/+a8fC9JQi0hAIf38r0kSzATF+eD2Mp3IMtHSJOdmrhly53Y00VJFJyQOtgmzgyqdatsLMtGfQIRtjYT1z6gtRz07vb3LAeZLRbaxKXUWGB84U2cIAghO6Em7ovV3VMyuAoPLu4BvzjdPSVDSyguuC91d/eURBHxpdaceE+Ug1oTAQrXoqIgRTg/6uvrKUpIyPmdOtJ0aWBSjyOVBCckDb4j9fX1FKWjPn8IXZsnbR/SWg569XayBbnxmgHfTla5ugksDtysAy8v42XrwKGuq1Wu62pcweuJZMvrar9pbqeZZb2PG7NhvMl8JXD5+lhjYLwGZ+O62uPFDTcb+B02eIaBd3EtjStRkSQC8rjX0nrxXi/XfyBx3E7jAoKXBXD31/J2WrZQ8MA/7u08l9S4Ginn5gGFaZo4jjAP2RJFbqptnNnKskGpbMIP+MLBMkS/eZYVqfPiGVstWIUobyRz67zP1wkWH5KD3bjaV2qLkqlBYr11cMgXDxaQ9gtmG7lBFVlc6XJvDfcRX7EiKkYvdthkjvgywarAtvfuBDHmiwYrBO1KmPuhe8BXuuWNMFzjMV8jpZZxPgL+pFCzhXdz84uWECZ8tWBVI93yskmc8iQajacXRX5aXEb98zKJ+1kSp/2T6FT1z7Pz6jQqy7i8XFA4p4yeSTR72uh8H5lJBBRQlDD8joUgCGH1Cp14vrd+2sRMMJuTKNdXtzo+eSIYIIUHCJ/92TD2RTEIi3WEOZ775IkgisgKfzQobCT3REmoa4wAR5Im1SC3sgxFWcKt9Ltf+yDKR8iUpFlS2zp/sVwULjzr/JLghNTBngh4XvsgykZ9AhG2tlX+9gGt5aAbJ5dFyfnJ5elFP85V0s9UdN4/vcjO+3lcRtnFZXqeVjfh5Jxv74rt7Qg80cAIwzs5QRBCfiI5ueVuAfWUibZsD83WgzlZsTB++ifmhv9b+q992r8+XjL/zfpeHkdpFB3Pfxpj500EA6rwgOLObz2mzq2XuRX+oGkN2PQC/GgR6s/0QOgfmuX1T5u2g6ZxwuOeuYinf/HhM+dPzPGTjdMnf/KSjqwroPuiASUUEtyDek6ZCKKIeNDY8erVe6Io1BIIgORxkg6KyAozFIUJ5kK1iEGlbIAHsoCENN+pDa2WrsXTIU4UnJA92DbUPapjWTjqQ4jAtfnQ9hGt5aB3t8tA5X79WBJTo4ERBvehkiCEBIX60G77DEjCKxwe94w2jH1RDEKuxZ2ae7VQEkXEqUUDu7m5J4pCLRIASJymgzhxGDVJlnBGzd1tQJSPkAa79GnJ8nJ64uk2IApOyB18n+buNiDKRn0CEbYWmwYMaC0H3di0/LKM8svzqH+ZRJf97Cyv+uV5VfXPLi6yKE8vT6JskWWD2jTn+8eSlBoNjDC8TRMEIeQn1KZ10dbz/rjv6eApGRCFB2Rr6yaIQUi/nVg3QRQp6+Zq4SnJQq0cAElWDaoksaEMRVGCWTdPH09RPkJq7NS6La//JJ4bXaLghNzBtm6ePp6ibNQHEGFrs27tA1rLQYd911gcOd2Y8gBmWboOeOP3t7iC19PGF+7+Fhc8w8C7uL/FlahIEgF57PtbyV6v1H9AOe5vcQHBk/oEy9dyf4srdN3USd7f4mqknHkHFCZpkrnub3El3vj9LbZwsA51e3+LrRasQl3d32LrBIsPya9uPGnakCiduUrH/S22eLCAMO5vRVWVVJXz/hZbsSIq3ubKxogvE6wKfDPvub/FFg1WiO7ub7GVBry/xdZIqWWcj4A/KdRs4UL3t7wJYcJXC1a1Du5vsSTu7DK+njc6L3AlvkPQFlIUMfw6viAIYbEKnXkGWMcXDIjCA4JP92wY+6IYhLU4wqTOvY4viBJ8HV+QhbqMCJCk2kPlrnV8QZSdWMeX5COkRtK8qG0df3nBJ/Hc2BIFJ+QOvvX3rONLslEfQIStbR2/fUBrOejdPSmrvZvzylbiOzhsDQeGGN67CYIQEhTq3To+KisIr3D4rX2aIAYh13bi0wRRpHxaZkO5J4pCrRIASJUMtCwbylAUJZhN852UleQjZMFObdry/kviudEkCk5IHWyb5jspK8lGfQARtjab1j6gtRz07l6s1zbNeaMp9R0ctoYDQwxu0yRBCAkKtWm7f7NeMqAKDyhu/cLfrP8f8yG4+lFv9lP9g39pu1svGVJCLcFtqPtuvSSKiA11362XRKFWQQAk08IGqb2mD0VhwhlRz916UUBCou/SiabLKz6p586WKDghe/CdqOduvSgc9SFE4FqsKDCitRz07nbr1FbUeWsrTanhwBDDW1FBEEKGIlnRoO06JQOk8ADh1tKGsS+KQUjIuJ1zrypKoojYOWe7TkkSaiEBOOI8yQellWUoyhLMzHnadYryETJlp15ueecn9VziEgUnpA62l/O06xRloz6BCFublWsf0FoOOvAlLudRvFTZAcu4KDKVx+uAN36Jiyt4PW184S5xccEzDLyLS1xciYokEZD3/CWutYta+nEv9nrVXi+O9D+x474WlwU8mU8wdy33tbhC1+2b5H0trkbKGXdAYVklrutaXIVBrmulhRoUmU34AV84WHG6va7FVgvWm66ua7F1gmWG5Ew3Pg6piqtikCub9kO+drBS0G9raRdU5anzshZbsCIK3uZ+xogvEywJbNPuTg9jvmiwPHR3WYutNOBlLbZGSiFjfQR8KaFm65a5q+VNBxO+WLCidXBViyVxdxfvY/dVrdRx+tlFiiKGX7wXBCEsSaHzyxtYvBcMkMIDhE/ybBj7ohiEFTjC/M69eC+IEnjxXpCEunQIcORJNshca/eCKDuxdi/JR0iUpBlS29r98p5P6rm4JQpOyBzsaYBv7V6SjfoAImxta/ftA1rLQTdO7jxLClUUcT9Nzsp+HF9c9E/iKOmfx3ken5xFp6fV4tMe1sk5L26ljgPS7nBgiOGdnCAIIUGRnBx8evWZE8C9+l4Sx0kUHRvDl74y6TVneytlDqK6DgbbQnZHNGQKDxnu7YhRY5z53W9i0asn/bjo/clLhe94r2D0CIUBt5Se472CKCKW0nO8VxCFWtIQkDyLB5nrnpkkTDhXWeWOlbMDWUBC1u7UVi7vJaWei2ai4ITswbeVzlEdy8JRH0IErs1Xto9oLQe9ww0BYvdNsyymhgNDDO4rJUEIGQr1ld02BJCEVzg87hBtGPuiGIRki1s19+qfJIqIVXM3BJBEoVYJACRVg9zuOoeiKMGMmqchgCgfIQt26dOy5aWdzHMNSxSckDrYPs3TEECUjfoAImwtNg0Y0FoOeod7bsbuW1hZSg0HhhjepgmCEBIUatPke25KBkThAdnaugliEPJvJ9ZNEEXKurl6bkqyUEsHQBKng7RMbChDUZRg3s3Tc1OUj5AaO/Vuy1s6mefalSg4IXewvZun56YoG/UBRNjavFv7gNZy0IGvXVkT0cvLJh/reGmk4riINm+V3filK67g9aTxhbt0xQXPMPAuLl1xJSqSREAe+81ZehKX6z+QOG5icQHBY/cEw9dyE4srdN3SSd7E4mqkHGAHFFrVDdnqRG5hbRSy4d394+PR8aKU1dPDF7T1UHv6S26+FOZL+VUzYzMkprrtRdYCd8AHBQtWt7e22GrBguW7tbUxCiZ4t+dD8PVFmG2q7/NVg1WrC5trYG4NPRiHfAywBrVf53JoN7JvPT8QLoojPoUiUsCfIxPZ2ytha4JHfMFg2YHnCkAaqk0aqk0aqk0aqsE0NOZDgiWLdjusiKqBctwOYyvd8nbYRvTH1+nngee5PeYrppRa1gdoNRXzp56ajdDNtbH2tLMcABfBhE8A1lnSXbKXTERvr0StiZ3yxO7uZoTjrr2e/ioaJwoYfitCEISw3oZOnwNsRQgGROEBweesNox9UQzCciJhZureihBECb4VIchCXQlFSGwUQ1GKndiFkOQjZMUupmerSZpaLlorz0RNEpyQNuCZBTyoY1k26rOHsLXtQrQPaC0HvcMHfZOBa88ipwYDAwxv2gRBCOkJNW0dH/MVhFc4/NYGTRCDkGk7MWiCKFIGLbOh3BNFodYIBMRGMRSlCObPfCd8JfkICbBTf5Yvy3nu8WeS4ISswfZnvhO+kmzUZw9ha/Nn7QNay0Hv8Cu/kkFqC4b2ZwU1GBhgeH8mCEJIT6g/2/0XfkkGVOEBxT2f/OX/9Rd+vTv/D/ZmP7t6e/ZR2+u+JANKqCO4+3T3A5BEEXGf7n4AkijUCgiA5HGSDgq7lR6KwoQzoZ7XfYkCEtJ8py502ZUo87SZEgUnZA++C/W87ksUjvoQInBtNrR9RGs56B3uGJoMrIlL29CSGgwMMLwNFQQh5CeSDQ3aL1QyQAoPEG4rbRj7ohiEdIybOc9SoiCKiJlz9guVJKGWEYAjSZNqkFtZhqIswaxcnDsusxzI8hEyZadOrlzW/dLj5CTBCamD7eTMoFqPaI1l2ahPIMLWZuTaB7SWgw5868y1Qlh58bJ1vJu/dcYUvJ40vni3zpjgGQbeya0zpkRFkgjIY986S/Z6OhfEynXrjAm4nrjlb50xha47OtFbZ0yNlKPwgELXji9T3c3dOlPRnv4Smy+J+ZIur3tU/ltnXFCwYHV864yrFixY1Ftn1fWtM2d3yPt81WDV6sLmGphbQw/GIR8DrEHb3Dqrbj0/EJ5bZ1wKRaSAP0cmsrdXwtYEj/iCwbIDzxWANFSbNFSbNFSbNFSDaWjMhwRLVoe3zrhKBW6dVde3zpzP7TFfMaXUsj5Aq6mYP/XUbATpW2fVrecHwHPrjEsA1lnyrbPq9krUmtgpT+zu7kykrltni2cc5kQBg+9MSIIQ1tvQ6XP4nQnJACk8QPgc1oaxL4pBWF4kzFSdOxOSKGF3JiRJ1kuwhwSd8cZ5kg9Kx86EJMsu7EyI8hEyZRdTtuXETVvu+UL2/Ac28ENZcELqgGcbhJ0JUTbqE4iwtexMAANay0Hv8Enn1HUTTcXUYGCA4Y2cIAghPZGM3E6fdJYMqMIDihu/8Ced/8d8CK5+1Jv9VP/gX9rOOkuGlFBJcBPqPussiSJiQt1nnSVRqDUQAMmSIh842t4MRWGC2VDfWWdRQEKi79SHLl/BoDzv1BAFJ2QPtg/1nXUWhaM+hAhcmxFtH9FaDnqHWyKkrit3KqEGAwMMb0QFQQj5CTWi3bZEkIRXODxuGm0Y+6IYhFSLGzXPaqEgiohRc7dEkESh1ggExEYxFKUI59DcLRFE+QgJsFODlizLeeIxaJLghKzBN2julgiibNRnD2Fr82ftA1rLQe9wn9HUdRdNpdRgYIDh/ZkgCCE9of5Mvs+oZEAUHpCtPZsgBiH7duLZBFGkPJurz6gkC7VwICQ2iqEoRTDT5ukzKspHyIqdmrbly7GU521nouCEtME2bZ4+o6Js1GcPYWszbe0DWstBB7535rJhmRdPrePd+L0zruD1pPGFu3fGBc8w8C7unXElKpJEQN7z987W7pbph73Y61V7vTjS/8SOK2ZcFvCsP8HWtVwx4woFz+vjps1zxYyrkXLuHVDoMmNMdTd4xcy82EyZF5sp82IztXyjkPK/2IwNCtambq+YsdWCtYl4xUxdv9hMeV5sxlYNFqguHK2BuTX0YBzyMcBys8UVM3X9YjPV8mIzNoUiUsCfIxPZ2ytha4JHfMFg2YGnBUAaqk0aqk0aqk0aqsE0NOZDgiWruytmbKXdXzFT1y82cz+3x3zFlFLL+gCtZl3+1FOzEYSvmKnrF5v5086ETwDWWeoVM2VebGZPOVOe2N3dcMicV8wUjRMFDL/hIAhCWFpDZ8oBNhwEA6LwgODTUxvGvigGYeWQMDN1bzgIogTfcBBkoS56IiQ2iqEoxU5sOEjyEbJiF9Oz1SRt+R4s5XmxmSg4IW3AMwt4UMeybNRnD2Fr23BoH9BaDnqHT/FmzutkOTUYGGB40yYIQkhPqGnr+BSvILzC4bc2aIIYhEzbiUETRJEyaJkN5Z4oCrVGICA2iqEoRTB/5jvFK8lHSICd+rPle7CU58VmouCErMH2Z75TvJJs1GcPYWvzZ+0DWstB7/B1/8x5y6qgBgMDDO/PBEEI6Qn1Z1+A6/6CAVV4QHHPJ3/df7+JRa+e9OOi9ycvFb6b/YLRIxQN3Gp6bvYLoohYTc/NfkEUarlDQPIsHmS5FWYoChPOcfpu9ksCEnJ6p5Zz+c4r5XmLmSg4IXvwLafvZr8kHPUhRODaPGf7iNZy0DvcKzRz3hwrqcHAAMN7TkEQQn4iec6wvUIFA6TwAOEe0oaxL4pBSMe4mfOsGwqiiJg5d69QQRJqGQE48kTnQyvKUBQlmJPztQqV5CMkyk6N3PKdV8rzEjNRcELmYBs5X6tQSTbqA4iwtfm49gGt5aD1//648S+Lx9X4sz/yGbaOb5epwTdsxC+nub05alLkZZWnVb5OHOh+WRK57pdxBa/nEZn7ZU9nn5iVuWZv9se9xVLTw8W9sZ5ZtvrdMzu3zf2yx+a83epPabv2mVkA/NnsvYVpI99R+0hLifaS2WeJ+QtcCz932JHMsEh2cWGNK1GRJALy2C9Ki/d6uf4DieMWGxdwvThsf4vtM2txv8tWuO4WJa+vcTVSztQDCtNSm8DUmreGbI0il9jWlSdpVgyi0qb8gK8crGn0W2lxrpTzWhpbLljSfNfSCELv84WCpYxkhzdO/VWFqnJdjq0f50O+eLB6tN8/25iBpUmVpOkgUjbFR3zFiqgYvfhhkzniywRLAnuu4MkRY75qsEzQrox5HrsHfKlb3hkjiDzmi6SUNM6nwJ8Xarbwbi6H0XLChK8WLG2ki2A2iVOexMbcZFV2kquoXxYXRT9Lk6R/kpwU/fz8JNX/Py3i8gZOEpvpnWsqmtBIUcTg+waSIITlMHQq+95q8vjQN9F8ePXjxT5CnEZX3yvnB0x67hMmkmFQeBhIk7xnIuGddz+cz+0/MrNt8x2PmgWA6/dFNC+M2OvpWX9zZqU3+5me5H/UeyGJ5qFrwmZdhNoXjRthUbGLuaMgichuhJ5jOrYjJFGoq6EASBZVySCyL9gPRWGCbUgkkaochf1AlpCQg0lzsJYtiXzZwzb3NCUWBSdkD/40wz2sY1k66mOI0LVsSgBDWstBzy+cVSenVRSlfXWapf2s0t9Wnp6YE9B5npSRys6Li1dvwCYmTpuYUcOBIYa3iYIghBSF2sR352dJrjcbVudMZA6XSIZH4eHB7aMNY18Ug5CPCW7OebhEEkXEzrm8nCAHtYgAFEleFNEgdhwukYQJ5uXifFDlNr4DWT5CmuzUyWXLsu/p8CYKTsgcbCfnHNSxLBv1EUTY2nxc+4DWctA73DhA6S8uH2e/p+cLB4QY3scJghASFOrjum0dIAmvcPitXZogBiHXduLSBFFEXFo0SJQN5Z4oCrVKACCVygdRYd0hHYqyBPNpngYConyENNipT1veN889DQREwQm5g+3TPA0ERNmoTyDC1ubT2ge0loPe4a6capA5fVpJDQeGGN6nCYIQEhTq0+T7ckoGROEB2dq7CWIQ8m8n3k0QRci7udpySqJQKwcAoop0kLsucEmyBPNunuaconyE1Nipd1ve98k9F7hEwQm5g+3dPM05RdmoTyDC1ubd2ge0loMO/Daw3OXGCt9xwGzzhtqN39fiCl5PG7+/r8WNZIZFsov7WlyJiiQRkEe/ryV/9s/snzefvSdNAzBj3B/NPwpPr/5a/+0fmY/DV1999XVbbPfZsQXvBRDsq+u4H1cheAcAd6Weq2JcjZRz9YDCsrB3VB6yBd78PTG2crCWdnxPjC0XLKWd3RNjCwVLKMl1bx7Xy/JcDVLrZ+KQrx0sWvRrYnGWpdpe2YN9xBesiIK3uRUy4ssEqwF7QuK9JcZWDVaIDm+JsaWWBKnbiTzmi6RUM9anwJcVarZumUti3oww4YsFy1oHd8RYEnd3MyJ33xErfGehLaQoYvDNCEkQwoobOn2W34yQDIjCA4JPMW0Y+6IYhAVFwmzOuRkhiRJ4M0IShboUCoDEqcNCDUVJdmErQpSPkBhJk6KWrYhiecun8FzcEgUnZA628/dsRYiyUZ8/hK1lKwIY0FoOeoeP++bua1tFRg0HhhjeuQmCEBIU6ty6Pe4rCa9w+K1dmiAGIdd24tIEUYRcmuu4ryQKtUoAIEk8cJk0QZBgJs1z1leUj5ADOzVpyys8hedOlig4IXGwTZrnrK8oG/XxQ9jaTFr7gNZy0Dt8tz5338kqfEef7eGAEMObNEEQQoJCTVrou/WS4VF4eLa2cYIYhGzciY0TRBGxcdajsvdEOahFBKDI48j+GpuhKEkwE+e5WC/KR8iRnZq45f2ewnNhSxSckDbYJs5zsV6Ujfr8IWxtJq59QGs56B3uo5m7L2wVvjPQ1nBgiOFNnCAIIUGhJk6qj6ZkGBQehq3NmiAGIesSzJrznKsgiYhXc7e1lEShlgsApEoHaeTya4Iowfyat6mlKCEhIXbq2Ja3egrPNS1RcELuYDs2b1NLUTrqQ4jQtXm29iGt5aADX9Sy5lXtwSor3vJFYsU63s1f02IKXk8bv7+mxY1khkWyk2taTImKJBGQR7+mhb1WiwsIno7vwkMyFYIn4Une0HlXiqmRcrocUGhVN2SrE7kotVESh3f3j49Hx4uiWE8PXzhMy2hPf4nNl8R8Sb9qMokhMXVyL7KWygM+KFj6ur5XxZUL1j7fvaqNYTDRuz0fg68v4mxTfZ+vGiyAXXhmA3Nr6ME45GOA1af9vpVDu5F96/mBcFEc8SkUkQL+HJnI3l4JWxM84gsGCw488QDyUG3yUG3yUG3yUA3moTEfEqxZtNtbSVYmA+W6vcWVWhKkIuEfX+efB54H95ivmFJsWZ+g1bTOn3tqNkI3t7ra885yAFwEEz4BWGlJV71eMhG9vRK1JnbKE7u7GxqFfWb6clraL7c5OVHA4NsZkiCE1Tt0Ki61nSEZBoWHgTRJlW4NgrwWTDJuhDXQDua+kiSB908kUdYruwcFnUr7XwsmCRN4B8Vx5kWUkJCDu5gNLueE2s3Pl9vnP7CBH8qCE7IHPJEh7aCI0lEfQ4SuZQcFGNJaDnqHjy47uiZpkxhTg4EBhjeJgiCEBIWaxNAHlyXDo/Dw4ObRhrEvikHIxgQv5zy4LIkiYuZcTk6Qg1pCAArHpogkRTALZxrAWPP8gSwfIT92auDiZbWPPQZOEpyQMtgGzgyqdYVnLMtGffYQtjb71j6gtRz0DrcHKAapLRjaviXkYECA4e2bIAghPaH2rdvmAJLwCoff2pwJYhAybSfmTBBFxJy5mwNIolBrBADifReYJEswl+bpDyDKR0iDnbq0Zc+f0tPESRSckDvYLs3TH0CUjfoEImxtLq19QGs56B1uv1nYb8Rql5ZSg4EBhndpgiCE9IS6NPnmm5IBUXhAtnZughiE7NuJcxNEEXJuruabkijUuoGA2CiGohTBPJun8aYoHyEpdurZ0mWJTz2eTRKckDXYns3TeFOUjfrsIWxtnq19QGs56MBXy6yTR+3CMi9euY5341fLuILXk8bvr5ZxI5lhkeziahlXoiJJBOTRr5bJH/MD3wBmCew+O7DgDQOCZ3Ue62MqBK8H4FbUc6WNq5Fyyh5Q6PKYTHU3eKVNmYtsuflSmC/l4ipJmXmvtLFBwZLb8ZU2tlyw5hKvtJXZ6kpb6exteZ+vGiy8XTh1A3Nr6ME45GOAVW+LK21a+/MD4b7SxqZQRAr4c2Qie3slbE3wiC8YLDjwdAfIQ7XJQ7XJQ7XJQzWYh8Z8SLBmdXiljS21+yttq/zzwPPgHvMVU4ot6xO0mk76c0/NRhC+0rbKO8sBcF9pYxOAlZZ6pU1/dlai1sROeWJ3dyOldF5pUzROFDD8RoogCGHNEF0CCLCRIhgQhQcEnybbMPZFMQhLooRJqXsjRRAl9EaKIAp1MRcBsVEMRSl2YiNFko+QFLuYnq0maWq57q48EzVJcELWgGcW8KCOZdmozx7C1raR0j6gtRz0Dh9RLp03zHJqMDDA8J5NEISQnlDP1vERZUF4hcNv7c8EMQiZthN/Jogi5M+cR5QFUag1AgBxv79MEiSYRfOdT5bkI+TATi3a8k0JpefVF6LghMTBtmi+88mSbNTHD2Frs2jtA1rLQe9wE4DSeYusIAcDAgxv0QRBCOkJtWjBmwAIhkfh4dnaxAliEHJxJyZOEEXExBU2jnuiHNQSAlC4VtgEKYLZN18TAEk+Qn7s1L4Vy2pfeOybJDghZbDtm68JgCQb9dlD2NrsW/uA1nLQO9zos3ReLyupwcAAw9s3QRBCekLtm1ijT8EwKDwMW9s0QQxCziXYNOcBXUESEZfm6bspiEItFgCI771lkijB3Jq/66YkISEhdurXli+5Kj3vLRMFJ+QOtl/zd92UpKM+hAhdm2NrH9JaDlr/74/35kblj3yOrONLZpXrLbKVvb1oUlRVmVVVvA4a7pqZtbq9wha8nkD+9V4ze3r1FnTNjBvJDItkF9fMuBIVSSIgj37NbPEGs2Svp9NMrAY2wH024HpVkLvuxVW47hQlr3txNVJOoAMKkyQpB7nVHQ3ZGkUufW0oVypxbqOylYM1jX6LKylK9y0utlywpPlucRGE3ucLBUsZyQevK1d5WSpdhSvrJtwhXzxYPdqva60rzpMoL81hfGu4j/iKFVExek3CJnPElwmWBP4kwZ0jxnzVYJkg3rByP3YP+FJLgtTtRB7zRVJKGudT4M8LNVt4N1epaDlhwlcLljbStSmbxClPotF4Wp2rkywt+8lJXPWzvLzsnyqzhZBn5fl5fH6eqBvYFqj0v1xT0YRGiiIG3xiQBCGsg6FT2ffWj3OY6WZz1GOxEdD90Q7JCCk8Qvj8z4axL4pBWPcjzPKcRzskUYQ2DawT1nuiJNTlSoQjTYt4ULlmjYIwwXYN4tzBdyDLR8iVpLlSy55Btew4W3laCIuCE3IHezrgHNSxLBv1EUTYWnYMgAGt5aAbM6fyKj2/rC77UXKuv/dEnfXLLE36l0mZ6+9LL0/zi1dvwMwlTjOXUcOBIYY3c4IghASFmrl3VxsFpvXYo6s3zZ6A8WjP7Br09huY3r8ZTY97d0b3R8cLo/dv7iTp/Ed5FN0y/8SR++CHZGQUHhncxHXd+q03+x86vo+0C/5Rb/ZT/YN/WbziNU7873iVjBwh9xN8o3N3QJAksG0UJKHWLIAjyYtssCw6m7ZRECaYbUyiJHZcwjuQJSTk5U6NY7b0GZ4+aaLghOTBNo6eYR3L0lEfQ4SuzTq2D2ktB73DF/Ar/cVlHe2X3TzhwBDDW0dBEEKKQq1jt1fwJeEVDo+7QxvGvigGIdsSrJp7iU8QRcSrua/gS6JQqwQAolQxiHMry1CUJZhX89zCF+UjpMFOndry0nbluYUvCk7IHWyn5rmFL8pGfQIRtjaf1j6gtRz0Dje3rAaZ06fZz0h7woEhhvdpgiCEBIX6NPn2lpIBUXhAtvZughiE/NuJdxNEEfJurvaWkijUygGApGk2SKrKxjIUZQnm3TxNLkX5CKmxU++2vP9Tea50iYITcgfbu3maXIqyUZ9AhK3Nu7UPaC0HHfZtYUnkcGNZ5DknqKK0Wge86YtcbMHraeNLf5GLHckMi2QHF7nYEhVJIiDv+Ytca5e10r1esder9npx</t>
  </si>
  <si>
    <t>pP+J7Xe22CzgAX2CXXTsyrIVgofxcRfovrPF1kg54I4ojFUySFKbxiFb443f2eIrB8tXt3e2+HLB6tXVnS2+ULBqkYzuhvIqi6qqGFTWD8UhXzxYKOh3ttIkKqs8GihlU3zEV6yIire5ozHiywRLAnsW4LuzxVcNlonu7mzxpZYEqduJPOaLpJQ01qfAmxdqtnCZO1v+nDDhqwVL2/Z3tngSd3YPwLzy2Tnr9Jx6tpGiiKH3AERBCAtd6KxVfA9ANCAKDwg+s7Nh7ItiENbxCJM61x6AKErYPQBRFOoKJAASF8mgTK0sQ1GWHdgDkOUjpEbS1Mi/B6CZ5kvGix/YwA9lwQm5g+3+3XsAsmzUJxBh8+8BIANay0Hv7jlbs/zu9G4ZNRwYYnjvJghCSFCod+v0nK0ovMLht/ZpghiEXNuJTxNEEfJpjnO2oijUKgGAJLriRaq0sQxFWYL5NPc5W1k+Qhrs1Kdly7LuvhElC07IHWyf5j5nK8tGfQIRtjaf1j6gtRz07l6l1z7NdR8qizzHju3hwBDD+zRBEEKCQn1auKv0opFReGRwE0e7Sv9EW9z5CZrnmkeZd02Ya/IPF8uY5qfz0zjNQZq3rt5uTPH6n1iEvJ7046L3gg7tX+be6/ai0SXUB4K3dB7sECQRsZau6/aiJNS6hnCkZTLIi9wGMxSFCWYtfdftZQkJubtTc5kvvYj7EpcsOCF5sM2l77q9LB31MUTo2uxl+5DWctC723ZT20vXNa4s8pyMtocDQwxvLwVBCCkKtZfh226KRkjhEcJtpg1jXxSDkJIJfs69ViiIEtjQCZJQKwnAkVdxOkhdS4WCLMH8nLvrpiwfIVV26ubKZel3X+uSBSekDrabc3fdlGWjPoEIW5uXax/QWg468LUu69tytTerrHiL15CpaB3v5i91MQWvJ43fX+riRjLDItnJpS6mREWSCMgTejsXGxA81k8wkM4FQaZC8Ag/xRe6b3oxNVKOxQMKreqGbHUid7w2SuLw7v7x8eh4URTr6eELh1kc7ekvsfmSmC/pV00mMSSmTu5F1lJ5wAcFS1/XV8K4csHa57sStjEMJnq352Pw9UWcbarv81WDBbALx2xgbg09GId8DLD6tN8Uc2g3sm89PxAuiiM+hSJSwJ8jE9nbK2Frgkd8wWDBgacdQB6qTR6qTR6qTR6qwTw05kOCNYt27SyLi2KgXNfOuFJLglQk/OPr/PPA8+Ae8xVTii3rE7Sa1vlzT81G6OY2WnveWQ6Ai2DCJwArLemG2ksmordXotbETnlid3ejQ//LxvlyFtvv5Dk5UcDg2xySIIS1O3QqfgPbHJIRUniE8PmrDWNfFIOwVkmYpTq3OSRRwm5zSJKs12APCTrp9b4mQhQm5D5HbOU7kOUj5MouZm3LuZtpTdQsi89/YAM/lAUn5A54wmEbVGshH8uyUR9BhK1lnwMY0FoOeoePRDtysLZyMTUYGGB4KycIQkhPqJULeCBaMjIKjwxu4WgHouXeLSYaOULmJ7hG196GJElg0yhIQq1YAEeLaRSECWYa56diHcdjRAkJeblT2xgvXUbssY2S4ITkwbaN3sPOonTUxxChazOO7UNay0HvcM8D/cUWDG0cE2owMMDwxlEQhJCgUOPYbccDSXiFw+Pe0IaxL4pByLUEo+Ze3hNEEXFq7o4HkijUGgGA+N4sJsoSzKl5Oh6I8hHSYKc+bdnIKPZ0phIFJ+QOtk/zdDwQZaM+gQhbm0trH9BaDnqHu4rGA+snQLu0lBoMDDC8SxMEIaQn1KXJ9xSVDIjCA7K1cxPEIGTfTpybIIqQc3P1FJVEodYNBMRGMRSlCObZPN1ERfkISbFTz5YuS3zq8WyS4ISswfZsnm6iomzUZw9ha/Ns7QNay0EHvnrm2mTNvHgbL0y78atnXMHrSeP3V8+4kcywSHZx9YwrUZEkAvI6eJ8YlwU89E+wic6dWKZC8MQ+7v48t8y4GikH3wGFLlvHVHeDt8yUuVuWmy+F+VIubnfEmfeWGRsUrHId3zJjywXLHPGWWZytbpnFzgaZ9/mqwVrXhTk2MLeGHoxDPgZYaLa4Zaa1Pz8Q7ltmbApFpIA/Ryayt1fC1gSP+ILBggPPMIA8VJs8VJs8VJs8VIN5aMyHBGtWh7fM2FK7v2W2yj8PPA/uMV8xpdiyPkGrGZw/99RsBOFbZqu8sxwA9y0zNgFYaam3zPRnZyVqTeyUJ3Z39y4S5y0zReNEAcPvXQiCEJbp0Fl3gL0LwYAoPCD4zNSGsS+KQViFJExK3XsXgiih9y4EUajrpwiIjWIoSrETexeSfISk2MX0bDVJU8ulbuWZqEmCE7IGPLOAB3Usy0Z99hC2tr2L9gGt5aB3+FRw4rxOllODgQGG92yCIIT0hHq2jk8FC8IrHH5rfyaIQci0nfgzQRQhf+Y8FSyIQq0RAIj3PWiSLMFcmu9UsCQfIQ126tKW7zWIPa+qEAUn5A62S/OdCpZkoz6BCFubS2sf0FoOeocv/SfOu1sFNRgYYHiXJghCSE+oSwt56V8wMgqPDG7haJf+b/gtaJLRJVQHgrN0HkcRJBExlu7GAIIk1KqGcHjfgiYJE8xY+hsDSBIScnen1rJYOpHCYy0lwQnJg20t/Y0BJOmojyFC12Yu24e0loPe4eagifPKWUkNBgYY3lwKghASFGoub6I5qGCEFB4h3GTaMPZFMQgJmeDm3OuEgiiB7ZwgCbWOIBx+OycIE8zO+ZqDSvIRcmWnZm75zqzY8xI0UXBC7mCbOV9zUEk26iOIsLVZufYBreWg9f/+eLGl+6rfrH3n4uy7r33rdUskGF7NtU9buTHzqkjXMV030txaKf5reSnNKvYVttj1z5gnsKDHel/7K9NH8h2bUO2HqheHbLUbec4td7s0N7+Tkpg3H6W5K69xITI6BH6y1yg/MsqPXMqP+MoVXTl+olcLHxnhI5fwEV84/jHnZ9L5/YHEvKXGAVCzATaOgbcA0D4vE6N64lI94avG0zbx9LcWPTWipy7RU57o5sPyasja4zrZnXg6cGv5mTPmsFpW9bHLfYUtF38w0frzX5odEXMf+QM9ZX/UazZFfmsuI1+9s5i/f97M6s1B7e+Zb2zuTT9uNkFM5bIB3tGAum5xKUPXLfOyvjR21C02RIi6FZu6ZVd+xFeu6MpJuWhkhI9cwkd84fjjsXXdMi9WcwDUbADxuhWbumVXPeGrxlM+q27Fpm7ZRU95op9d5DCP6R/5Clh3DT3mX79hA9EVLLGCJEVeVnkWbUwTXRWsw44ejd7Ivir/ClvwenLfsqPHfzV78GaLf7EX39wuWtSm3tX3TWOOZoL1VrMm/dne2q/NnvZ1gXuk/8QPzMK1+ZamBi67gzRr2p81LUA+b94G0HSTmB+D1T9rri3Nm3k0Jwqeu+ZkfrlZJ29+5dOrvx6Ylwo87SXzkwCLRiG67l69aQru4q+5equX7UXx/FtL852PFi1LPrANxB32QKwXqE4agsx+3pxCeTgP1+NFoH989Tea4U1zlMKAfvRc5BbhNsPyZB61gQ30a2xQRQJFIH82H7NGrfnoNUdvmg/Mo9UREO/nbP4dP7R8dhvPZV4u0RxcedR7ofkPfWj60egfPTGG7CezX6W9Zm/mzcamJWk/Kb+6eG8F/p5tW5D32UFeX1qU63fCVbi+2yDZ74Srcd3BbNnvpMhVNahsEodsiSJNTzZOBJS6XJY24Qd84WBlpzcxqVTm7GHCVgsWdl8PE1znfb5OsJ6TZmobH4dYZarIB3lhE3/IFw/WwPYZ2saTl0aFyrJBbg33EV+xIipG3bZN5ogvEywH7F0md4IY80WDFYLWXcT90D3gKy0JSrfSeMzXSKllrI+ANynUbOHdNBGhJYQJXy1Y1UhTb5vEKU9i4w3TLLqsqrRfRtl5P1P5Sf8kOr3op6dJVGWn52lxufiwOGfh3zxxH2fizsTdc/GMBooS2ubrHjDKnN0G8oooCOEQxVZz+eenUXreZEO9I4qqcFR8EmnD2BfFIJz+IEzTnCfHJFGETo6lNpJ7oiTrVdJDgs764qqKVWFftxuKwgQ7OVY66uiBLB4h55HmOy0Hx5Jscc4o8fRrFAUnpA62pXeN6VgWjfoAImgt58aA8azloBtLVl3GZXyZZv2qLLJ+dnGS9E+j6KJ/rrLzs4uivIwuF89yUEuWOC2Z/batJxoYYXhLJghCSE+oJXt/sRD9cHO1ujFjTROQppH5fMvkcbMm3tyTNL+jbilbGO6IhkHhYdjargliEHIuwa45V9UFSYTcmvVwzT1REmqxADjKLFGD0rVIL8gSzKwluWNx6UCWj5AOO3Vry+4RiacdiCg4IXOw3ZpzUMeybNQnEGFrs2vtA1rLQc9vbKanJ/q7o34a5xf9LI7LfhVdnPbPLpLqXJ2VaVQsBj2oXUudds1+6cETDYwwvF0TBCHkJ9SuvWcOipj7mOZ8xbxvxY+vfjD3ZOZK5tyuvTf7RW7DvSOKq3DcrW2ZIAYhuRJsmTm78eGgZ2++clcUSMad2TjuiXJQKwNA4T0/IYgSzJrFamC/YXogy0dIfZ1as+WFvcRzA1MUnJA92NbMOahjWTbqA4iwtVmz9gGt5aB38x0I86+Zy5ql9hPTvnVFiDC4NZMEIeQn1JrJvwRBMiAKD8i25k0Sg5B+CebNuQUqiSJi29wvQZBEoRYOACSOs3JQlVaYoShMMO/meReCKB8hN3bp3dJoUernP7CBH8qCE5IH27t53oUgykZ9BBG2Fu8GDGgtBx3uPc7mq3XTRXux2Eq37A2SrNPd+KUvruD1nPH7S19bXvriDkSGDcTuXPrigioSKAL5r/jSFzfI6xVR7tIXVyF4pB93yJ5LX1yNlIPygEKruiFbnch9rw1rYHvJdZqYxgyp+ZKZL2rxctk0Nn7B+ZJrNihoAbq9H8ZWC3oA3/2wjVEwwVu943oeZpvq+3zVoBHoYuJgYG4NPRiHfAywjLbfG3NoN7JvPT8QLoojPoUiUsCfIxPZ2ytha4JHfMFgvYFnX0Aaqk0aqk0aqk0aqsE0NOZDgiWLdgst1nqc19DYUre8hrYR/vF1/nngeXCP+YoptZb1CVrNbv25p2YjdHM9rT3vLAfARTDhE4CFlnRl7SUT0dsrUWtipzyxO7u/42yEltrv6DkxUb7wuzuCIIQVTHRFIsDujmBAFB4QfMJsw9gXxSAs0BKmpO7dHUGU0Ls7gijUpWUExEYxFKXYiW0dST5CUuxidraaoyXLXYDEM0+TBCdkDXhiAQ/qWJaN+uwhbG3bOu0DWstB7+5paecbrtOUGguML7xlEwQhZCfUsm17VloSV+G4WxsyQQxCaiUYspaz0pJAIrbMcVZakoNaFwAK31lpSZRgxsxzVlqUj5D6OjVm6bKOpx5jJglOyB5sY+Y5Ky3KRn0AEbY2Y9Y+oLUc9O52HXC+1DrNqLHA+MIbM0EQQnZCjZlUzwHJMCg8DFsbNkEMQsolGDbnoQ5BEhmn5uo5IElCLRUAh2v9TJAimE3zdBsQ5SMkwk5t2rKXUOrpDSUKTsgZbJvm6TYgykZ99hC2NpvWPqC1HPTu9ut0vh46VdRYYHzhbZogCCE7oTZtm26dkqgKR93aigliENIqwYq5NzMFUYS8mHXadk+UhFoPEA5vt05JmGCWzN2tUxSPkPM6dWRqWcCVx5FJghNSB9uRubt1iqJRH0AErc2QtY9nLQc9f8vzXuiXPDs3K3M3Z14VxTqn68Za1y/atMp9hS13/WPWxYs2m5s7s45ftJnmLw7ZlIFftJkWe4dZZt62mZlLHVmlvyhlvpT6S25+o3C9hpONmNER8UOz89dwaq4jw3VkuI4M15HhOjJcR4bryMV1xOdSdC78KG3zkk6NNTJYI4M1MlgjgzUyWCODNXJhjfhY+IPHT++LY/3FXm3waoNXG7za4NUGrzZ4tQuvZuNJv+BTM00M08QwTQzTxDBNDNPEME1cTBM+E16IiAe6m9d/aqSpQZoapKlBmhqkqUGaGqSpC2nKQ3pmCmmKVrB3g5p/u1r2+BsYwW+37vSaeGK+2vS+wta7Xo62vCX+C11PzTrEw9m/rKrovP5efc9UW3Ml99HsU/3P4sr27L3Zz2b/ycZ0h820Xn86uXBtk/g1tkRFkgjIc19DHvRmv549nn3+Ys/cLRn0/nB8v//MSDzu3f3z188vvv3Nk7/sRVGpenf/sPe/X7z2ne80N/iNN3rr2YF7/GLv+OX7vSqKrVORfXZE1idQgveamQrBS2KU5RT3vWamxvVavuW95iQtUvuaz5AtUeRy87rwLC7dW1Jc4WApol9WjvXT5L6tzJULliLK2yw9Qu/zhYI1iDQf2rgPXiVRWg0yq/ZDvnaw1rRPdDYfvaqI0tQR7SO+YkVUjJpHm8wRXyZYD9iLae4MMeaLBksE8R6x+6F7wJe65T1igshjvkhKOeN8CLxZoWbr7ua+MC0jTPhqwbpGmkraJE55Eo3Gkzg7y9RZ2k9PzlQ/q+KoX+bnZT/Nz7Pz+PK0PE0v5xTOieM3T7rdHp//2zF9XHyiYFCU0DbF9IBRppk2kFdEQQibRej8873lRMVcL2mmlvNpZlJE0V+mhfpL1bNx3hHlVDgnPuGzYeyLYhC2uPBZmjluakO5K4oisztu47gnykHdmgMofFM+SZRgO+O+qaEoICHdkaY6LXvj2bLnZ+Zp4ioKTkgcInZeFI76CCJw3hEdIyNay0GH7OLq3BPP/K1l0nW6m16e5+oFl0ZQe9Tp8jyXKcOYulie50pUJImAvJ1ZnudGBFyOwY2fc3meqxBceyH4OffyPFcjZT0DUGhVN2SrE1mZ36hltrajWbJo8Jf5+4yyycAi1fHSPVsuWKaIjUaz60ajmafRKFs1WKy6MLcG5tbQg3HIxwDrU/uSvkO7kX3r+YFwURzxKRSRAv4cmcjeXgnbWPBnCwYrDDxDABJPDSaeMZ8KrErEHQEVK+eOAFvqljsCG/EeXyecB54n9ZivmFJOWR+Z1YzLn2xqNkI3OwXtiWY5AC6CCZ8ALK2k3YOXTERvr0Rt7COwxO7sPoKzs2iW0DBRvvC7CIIghGU1dJrM30UQ5FQ4Jz4vtWHsi2IQFgPxyaRnF0EQJegugiAHdQkToHDNTAUpdmMDQRKQkOm6mGOtZlrL7pKZp12oKDghZ8DTA3xUx7Jw1KcPgWvbQGgf0VoOurlep//0Yr5h/FXAE/+p88hGZuVNyrjIVRpX67yBthRKuzl8ha0XXKVBvdLPtVdqXs81f73Y7OnVD5qW6+vX7d6fvTv76WJT4fq7n3uL3OI9bb3EvJfrU/0HHZ0MuOQZRt7JxgNToiJJBORp+0p6WdlqN0JnhnzQe/aPvxSXRbWXR38w/2sGL8VJFO2V+ufJ/OeJKrK99Haa7JV/MP/L9a/FSbmX6u9Z7Ha8lCRRcjvO9C+oxd9SxuVe/uqrr9siuc+OJLichHtM94YFUyG4NESwjp4NC6ZGygoLojAuleNFl0O2RpFtiw17UFWDyvoBOOALBysdfVciS1xm5ut8tWCho9wncOu8z9cJFjiSRV4XrqokS1Q8qAqb+EO+eLBGtW8+bCiOirgqtAeyhvuIr1gRFaNrgDaZI75MsB6w5w9KGzWrUxvzNYMVgrZ54H7mHvCVbrl3gGs85muk1DLOJyAvyzzJB0Vm012zdXezRUBLBxO+WrCmkbYDbBKnPImNNYTea2EonHNSzySdPS91XybIaaAoYfhtAEEQwuIYOrWVf8GYZEAUHhB8OmnD2BfFIKz9EeZyzp58kigi+wXuF4xJolAXLQGQuCiKgcptLENRlmAbB57XjInyEVIjaVLUtm+QL1eZc8++gSQ4IXewfb/nNWOibNQnEGFr2zZoH9BaDnp+fkMlZXJRRP2Lk9OTfnYel/3yorzsn5/qP3GmTpOT5PTV8NYtcVo3x4VXdzQwwvDWTRCEkJ9Q6/aTZofhcfO+ikVX5N5zmw6NOcujxDplvyOKq3Bc3JjNfnb1jtl9me/FaMwfaI9qNlY+aO54LCLw0BaWz5qfLN7mYX769Opvrv66eTXbm2thu750cH3PoPeC/p35e0HenDdU/Bf9kzf0v5+aiwn6D143Vuz3Zu/OfhH/QU//JZ+aWyjN9ZNHvUWjxsfNlpFx2I/Mt17/tfZuY/uiw0QoHp0YT0EUIeOZ2kjuiZJQqx7AkSqlBrF1aX8oyhLMd8Z5krhPrEgSEjJ7p86zXBqV0uM8JcEJyYPtPOOsGqSuJWdJOOpDiMC1Wc/2Ea3loMNeec1cZlI5rvTO+RTcCDrUCRWuXnADD/WCN3BChUueYeRdnFDhSlQkiYA89gmVdO14SqqyveT6cEq6l9yO0zzdK1YHVNI02ctXR1PSJN1T1wdTMp0giutjKUlS7Fk/1/vs0IFbkAQ36TqSwlUIbjjiJtFzJIWrkbKNByhMo8WLnTa8H1fgjZ9HYQsH61q351HYasGy1tV5FLZOsJyRDLDlRmBeqGKQlDbxh3zxYEWin0eJk6pUyjUvOeIrVkTF22xCj/gywWLAnh14zqOwNYPlobvzKGylAc+jsDVSChnnE6D/+2mknOdRuLplzqP408GErxasaR2cR2FJ3NlNjcx9HkUlNFCUMPimhiQIYekLnchuu6khiatwXMLUENnU0N9gQvJ4/lrMG9vUiDrb1JAcJsK6JGEa6tzUkEQJu6khSUJdTwU4qjiyt6IbipLsxpaGKCEhr5NmdC1bGmp5ZVN5LuGKghNSB3vS4tvSEIWjPoIIXMuWBjCitRz07h6EztynaVRGjQZGGN54CoIQEhRqPOUPQksGROEBwa2pDWNfFIOQfzuxboIoQtbNdRBaEoVaOACQzJxHsZEMRUmCeTfPMWhRPkJi7NS5Zcs6n3mcmyQ4IXOwnZvnGLQoG/X5Q9jajFv7gNZy0GHPolgzqjZiykq37A2j1ulu/CQKUy+4dYf6qJs4icIkzzDyTk6iMCUqkkRAHvskyq70SuFGEtyLJNhK58EUpkJw5xF3i76DKUyNlP08QKFV3ZCtTuRUykaltDV3V/me/lIsGi1rhb4O72w8sA52fHaFqxYshMQG70qtGrzPw2xTfZ+vGiyHXbhnA3Nr6ME45GOAta39TItDu5F96/mBcFEc8SkUkQL+HJnI3l4JWxM84gsGqww8BQGST22STw0mnzEfDSxPtIMxeeba4njAV7rlwZiNmI+vk84Dz9N6zFdMKausj81qXudPODUboZsTM+3JZjkALoIJnwCsrqRTNC+ZiN5eiVoTO+WJ3dltDceanp5L2y9MOzFRvvCbGoIghLU7dDIeYFNDMCAKDwg+AbZh7ItiEJYmCbNP96aGIEroTQ1BFOqiKgJioxiKUuzEhoYkHyEpdjElW03Mlm1AlKeviyg4IWvAswl4UMeybNRnD2Fr29BoH9BaDnp3j0A73uaqLVtBjQXGF96yCYIQshNq2bY+AC2Iq3Bc3JBBB6D/1XV1kRwmQunoxHAKoggZztRGck+UhFrzEA4bxVCUIpjf9B9+liQk5PROHWexNCiFx3FKghPSBttxeoZ1LEtHff4QujbP2T6ktRx02EM0uY1Ou0h7u5olXb5Od+OHaJh6wV1D1ATexCEaJnmGkXdyiIYpUZEkAvLYh2hurp0LM3TgfibBRjpPzTAVgtuSuDv0nZphaqRs7wEKXb6Pqe4GT81Ue4dZHi03rkv/qRkuHlj4Oj41w1ULVj7qqZny+tSMs7vcfb5qsP51YZgNzK2hB+OQjwEWs21OzZS3nh8Iz6kZLoUiUsCfIxPZ2ytha4JHfMFglYFnHUDyqU3yqcHkM+ajgeWpw1MzXKUCp2bK61Mzzqf1mK+YUlZZH5vVRM6fcGo2gvSpmfLW8wPgOTXDJQCrK/nUTHl7JWpN7JQndme3YHLnqZmKhonyhd+CEQQhLNehs++tt2AEcRWOS5jPIlsw//p60AgOE2EtlTB3dm/BCKIE3oIRJKEuASMcNoqhKMWObMFIEhJyehczytW8slqu11eeuaUkOCFtwJMhwrCOZemozx9C17YF0z6ktRz07p7Uzl3HfnJ7g0dPLDC+4J5TEoSQn1DPKX9SWzIgCg8I7kptGPuiGIT024Vrk0QRcm2uk9qSKNSygYDYKIaiFMFsm+ektigfISl2adryaFHh5z+wgR/KghOyBtu0eU5qi7JRnz2ErcWyAQNay0Hr//3xM0nHOLE/8lmzbk/RFK6ugHli5U2KqqqiLHFfasTkUuzWs+doKtc5Gq5ecB8RdVX/NPutWbK6+v7KVTVrTHNP9b1n1pZWx2UWR2rMatTvmqUts6xklsU+7l39UP9B/YcXR2o+MX+JtmWf6W9p1svm37b37O88nX24XJVqlszMX6MVfNr8dP63zj6aPe1Fe4k5GKH/3qsfXr1lC+kddkgzLKRdHNDhSlQkiYA89gGdTP/KwAa3z4YDNzcJhtJ1hIarENyjxH2i5wgNVyNlrw9QmEVRNbDuLg3ZEkXO0Wyu3kTpoLIqP+ArB6sa/YhMkuaZ84wMWy5Y1ShvRfIIvc8XCpYzkh/ePAyQxnlaOcQf8sWDhaP9MMy64iorqjgvBolV8RFfsSIqRvejbTJHfJlgRWBPFjw5YsxXDVYJ2kkWz2P3gC91y6MsBJHHfJGUisb5FPjzQs0W3s2ZFVpOmPDVgqWNdD7FJnHKk2g0niVVmiTxaf+8Ss/6WZZk/TKJov5FfFpVp4UOy8WikDinoZ55OXsq6nw3Up7RQFHC8HsEgiCE5TB0NvsPz0xI9Uz2P+sJ6++aqaaeTeqJ636afsNMIaPMnNUwv/5o9tvmd83k9ml//otmA8EWjTui0VB4NPBZng1jXxSDsNRHmM+5NwgEUYQ2CBJlQ7knikJdpARA4ihKBpmVZSjKEmybINNjVdj4DmT5CHmRNC1q2yZYNjTPPR3qRcEJuYPt/J2DOpZloz6BCFvbNkH7gNZy0POTHdl5UZxdpP3TuCz7Wa6S/kl6cdrPqpPz+DQ/OS/V2avhfZvz1UJ5To0GRhjetwmCEPIT6ts2z3YsDmzYj3jMT9J+0KxgP9G+Tf9LW7jZ54vveqx/Y3Em1xadO6LRUXh0tvZxghiEXNyJjxNEEfJxzoMegijUKgKA5FE8yKwVcSiKEszG5eUgc532kOQjpMlObdyyjVvu6csnCk5IHWwb5xzUsSwb9QFE2NpsXPuA1nLQjY07rc7VSZaW/eQkrvT3lpf9U3WS9Ms8K8/P4/PzRC0WlIPauNRp4+y33zzRwAjD2zhBEEJ+Qm3ce4tzG8tmLB/PLxk9mn28sHO92W+akx5/1Zw4edxcY/qgOf2x+PbPZ09N/49/nL3bb47v/mT2y9nf6a+/mv3aFqE7ohFSeIS2tnKCGIR83ImVE0QRsXKx/aT/PVESaiEBOJIsUqXzyIYgSzArF+eDKrfxHcjyEVJlp1auXFZ+TycPUXBC6mBbOeegjmXZqE8gwtZm5doHtJaDnt/vz5PoJEov+8XliTnkG8f9k8vLi36mzpPLk4voTF2evhreymUuK1fYjzF7ooERBrdykiCE/IRauXctZ3cfG4f2zHHd3tcvvn3yzZPeN0++ffLv/t1rC4+nfdvjZtHu44Xnq+/FKiuOFj9Loujqe/qLuQn/mS1Ud0RDpfBQ4Z7OGq1mjfL6JPPDZbQO59Ha6xVREc9+3Zv9rfbLxgh/tAjyo1UXgKt3/uCZjgCz32on/anxyXvPdBUwP/+DedPD3+lf1TpenMdY2Y+17IuGl1AwCF7TdZxXkkTIakbWpbZ7oijUSgeAZEkVDbLSWreHojDhzGZaZoNK2QgPZAkJ6bxLu1ksrxUVnntiouCE7MG3m+5hHcvSUR9DhK7FcAJDWstBh+2vbJ34agMZW+mW9+A2XsF+0/fCuHrXk8bv74Vd+0lmSDMspF3cC+NKVCSJgDyJe2FcOPAWQBdGkqkQPPFPMoiue2FcjZRT9IBCq7ohW53IlbCNqmhrrVwke/pLar5k5ota9Dkt4j13n9MDPihY/Tq+QcaWC9Y/YpflIl51WZ7H2ab6Pl81WAW7sM0G5tbQg3HIxwArT/vFMod2I/vW8wPhojjiUygiBfw5MpG9vRK2JnjEFwwWHHjuAeSh2uSh2uSh2uShGsxDYz4kWLNot9RSleXOW2psqVveUtsI//g6/zzwPLjHfMWUYsv6BK1mdv7cU7MRurm81p53lgPgIpjwCcBKS7rQ9pKJ6O2VqDWxU57Ynd2Qcbz9R8+mExomyhd+O0YQhLB+h07Hb3Q7RjBUCg8VYQ77xdqOEQwvYUG1i1m0IEno7RhBFOo6MADSsh0jCBN4O8Zx+keUkJDOu5hXrmaXyXLtPvHMMCXBCdkDnhLRtmMk6aiPIULXth3TPqS1HPTuHuUuXb2Wi5QaC4wvvN0UBCHkJ9Ru3sBBbskIKTxCuMu0YeyLYhDyMcHNOQ9yS6II2TlrGrknSkItIwCH9yC3JEs4M5cPYutYHcjyEVJlp1YuXdb91GPlJMEJqYNv5fSgWpeNxrJs1CcQYWszcu0DWstB725rhdL+0iJt5DJqLDC+8EZOEISQnVAjF7ixgmR0FB6drU2cIAYhE3di4gRRREycu7GCJAq1hiAgNoqhKEUw/+bpqSDKR8iQnfq3ZSelwtMaSxSckDXY/s3TU0GUjfrsIWxt/q19QGs56N1taao/AbZYaP+mqLHA+ML7N0EQQnZC/ZtwQ1PJaCg8Glv7NUEMQubtxK8Jogj5NVdDU0kUas0AQLwNTSVZgrk2T0NTUT5CXuzUtallkVce1yYJTsgdbNfmaWgqykZ9AhG2NtfWPqC1HHTz3rP/8Eydd/qy71ycffe1b71uiQTDlqU2TG3IcjdmXpXZOqbrWptbK8VrLW+2WcW+wha7/hnzBBb0U+/NnjZrYZ+ao102sdoT5S8O2Yo3cp1b8napbnGHpdg7VJEzt3EhMjoEfhLYKD8yyo9cyo/4yhVdOX4CWAsfGeEjl/ARXzj+Uedn08V9g2KvdgHUbICNY+MtALTPy8SonrhUT/iq8dRNPC2uRU+N6KlL9JQnuvmwvBqy/jiPghde+RvXxgNVIOe9aqZc/MFEa9B/aSbqTxanhR/NDwv/1hSmq3cWB2fsV63NL6+ql/4GG6iuX4WpX0za0PWr3DvMSvOlMhcxq8pVybg4ISpZuXdkGI4Mw5GL4YjPoOgMpDw1MggjgzAyCCMXwoiPgD9EW1e3cq82KLVBqV0oNRtFvM6VexOjf2L0T1z6J3z9eLFgVbxyb2rkT438qUv+lCf/mephKAK9dTptvrra01VWjqTIyyrPYrgIdthdJJ0rt+l9ha13vSxs2V3kv+pa93ZzKUf/e7m4/Wx1e2j6irytq99jc4nHLG6buzRvXv148dOe/k1TFB/O6+iyI4i5hvPjeXFsGpF83qyIN+0s5mvmzZWdHy37iTRNRp47H7FoM2KrvvNjE43Aq78e9IzYXr6nmotT814ksfcWFTPy6xVMsgkJU6IiSQTkMZuQrH2EXuypvV4+sLHus1nXl/QEe5IwFYL3u/EVfl9PEqbGdT+wZU+SWEXRwLoIOmRLFGlMsiG88CzJc4WDpZDeaKRUqbvPCFctWAl9fUZwnff5OsEKSJoVrQtPlFJJNogrm/ZDvnawhrRPgTY+v0kZRVUxiK3RPuIrVkTFqE21yRzxZYLVgL25484PY75osEDQGoC4n7kHfKVb9v/ANR7zNVJKGecj4M0JNVt3N20+aPlgwlcL1jTSlNUmccqT2DjDNIsuqyrtl1F23s9UftI/iU4v+ulpElXZ6XlaXC4+K85J6zdPujzQNZ+4Oqeupb1jiRMUJbRNbz1glCmuDeQVURDC0YVt5r5X39cT089MG82m2aXzfL0kqsJR8ZmcDWNfFINw5oIwSXOe15JEETmv5ThRcE+UZL1IekjgOV+lIkcT3aEoS7DjWuUgd5yxF8UjpDzSZKfltFYZLw73lJ6GiqLghMzBNvSuMR3LolGfPwSt5bAWMJ61HHTjyKrLuIwv06xflUXWzy5Okv5pFF30z1V2fnZRlJfR5eJZDurInG+fLlNqNDDC8I5MEISQnlBH9r5p6DX3YT9cM2eNF2uO2De9wx7O9wLmOwyNTdO/o24pWxjuiIZB4WHY2q0JYhByLsGtuZbUJUmEzJrV4NwTJaEWC4QjV9GgcKzQS7IEM2uJq/3tgSwfIR126taWDRBKT0cLUXBC5mC7NeegjmXZqE8gwtZm19oHtJaDnrcmS09P9HdH/TTOL/pZHJf9Kro47Z9dJNW5OivTqFgMelC75nzLdKmo0cAIw9s1QRBCfkLt2num25jpPGaOcizOfFz9YO7JzFXHuV17b/aL3IZ7RxRX4bhb2zJBDEJyJdgyc67mw0HPfkLmriiQkDuLlA3lnigKtTggIKpQgyK1wgxFYYL5s1gDWvPBgSwfIf916s+WV+VKz91HUXBCCmH7M+egjmXZqI8gwtbmz9oHtJaDnvuz07OLk8u06qssO+tn2rz1T/JI6T91Wp7HpyfnqbqJ5TTnq6NL+xljXzQgwvD+TBCEkJ9Qf7bZc8zebGzeKPbns580DWL/cfYL/c8vl28t+M3sl7N3Z/+kv/7afM9/1z95v3d/rOLe7Ce2KN0RjZLCo7S1rRPEIORkgq1z740KoogYOnfvMUkUajUBQJJEDWK7OR2KsgTzc2U5KF3rbZJ8hHzZqZ8rluW/8Pg5SXBC7mD7OeegjmXZqE8gwtbm59oHtJaDDvdm5uY2ko1O+7PSSrfs1FGu09303Smu3vWU8fu7U9S7U9zIZ1jku7g7xZWoSBIBeQHuTnFZ10uI3N0prkLwaDzuKD13p7ga14vVlnenrOqGbHUi16Y2aqntfc5lZToIROZLbL4ki/eolqUpsM73ObNBwZrZ7TUrtlqwaPquWW2Mggne6nXO8zDbVN/nqwZLZxdO28DcGnowDvkYYB1qv3/l0G5k33p+IFwUR3wKRaSAP0cmsrdXwtYEj/iCwXoDT1eANFSbNFSbNFSbNFSDaWjMhwRLFu02V5wU1UBZc9ADvtQtr3NthH98nX8eeB7cY75iSq1lfYJW00F/7qnZCN3c82rPO8sBcBFM+ARgoSXd/XrJRPT2StSa2ClP7M5ukjimtHoKXtEwUb7wWySCIIQlP3QOf1NbJIJRUniU8MmsDWNfFIOwzEmYp7q3SARRQm+RCKJQF2gREBvFUJRiJzZHJPkImbKLKdtq4lYt19Irz+RNEpyQNeDZBjyoY1k26rOHsLVtjrQPaC0HvbuHkRPXVkoVkWMB8QX3cZIghOyE+rhtjyJL4iocd1tDJolBSK0EQ9ZyFFkSSMSWuY8iS6JQSwMC4j2KLAkTzJ15jiKL8hHyX5furIoWxXz+Axv4oSw4IYWw3ZnnKLIoG/URRNha3BkwoLUc9O7e7E9c72qp7F0OPLHA+MK7M0EQQnZC3ZnUvX7JMCg8DFu7NkEMQsoluDbXcQ9JEiG75rjXL0lCLRUIh+9evyRLMLPmudcvykdIh52atWXXnsrThUkUnJA52GbNc69flI36BCJsbWatfUBrOejdbYyZuN50XCXUWGB84c2aIAghO6FmbZu2mJKoCkfd2pAJYhDSKsGQOfc1JVGEHJl18nZPlIRaDxAOX1tMSZZgjszdFlMUj5DyOjVkybJ+Jx5DJglOyBxsQ+ZuiymKRn3+ELQ2P9Y+nrUcdPMO471VNTD/CvgWLWcnpSqz8i7vuW3wBroJlg+sK7qvsPWu55Atb4LNb/p8uLi388HqJpjt1ZHvz96d/XRxcOz5y2KrX9tcJftk9mj+24n7bhY3FhkWiy7uZnElKpJEQF6Au1lc1vUsL3c3i6sQPOhOsXzOu1lcjesFZcu7Wb73WnElilzQWhee5oPYerL6gK8brE30+1Yqcy0HfZ2vFixNlNdauXXe5+sESxLJ0m4KTypdUa0TrEO+dLCCtN+q2nCjcZWWySCxxvqIL1gRBaOXGWwyR3yZYClgm31nchjzNYPFgXYLyv3APeAr3fISFK7xmK+RUsY4nwBfQqjZsru56kRKBhO+WLCckW412SROeRKb6UqistNMzyJPzlTaz06Sqn9ynqT9qkhOLwp1epZkp3MK5wTSM6NmTyKdb7SqchooShh+6V4QhLCOhc5D/6uen+gpo56dPFrOQj8085arN5fHKZZXln5reoiYX1hdYXoye2zOz159X//zxvzb9a81a/3zSameM/3j7N1+cwHqJ7Nfzv5Of/3V7Nd6whSZ5efeC68MD63LKHdEw6jwMOLzQxvGvigGYXGPMPVzbwsIoghtC1idyj1REuqyJMCRFJFOotblrKEoS7BtgTgZFK59AUk+Qj4lTaLa9gXy5Tpy7tkXkAQnpA72VME5qGNZNuoTiLC1bQy0D2gtB727d9dT9/uyKvslfU80MMLwfk8QhJCfUL93Q7fXJaOk8ChtbecEMQg5uRM7J4giYufct9clUajVBADxNviVZAnm5zx32EX5CPmyUz9XLsu/pwGZKDghd7D9nOcOuygb9QlE2Nr8XPuA1nLQYRv8ZjY67c8qK93yGEu1TnfjxzqYesE9NNRe7caxDmYsMiwWnRzrYEpUJImAvBDHOpis4F4ewQw6j3UwFYI7d7jH8x3rYGqk7IcBCq3qhmx1Iic6NqqbpeWuiqI9/SVedLisKk+HywM+Hli7Oj74wVULFi9io92qWjXarZw9ce7zVYMlrAvHa2BuDT0Yh3wMsPq0HwlxaDeybz0/EC6KIz6FIlLAnyMT2dsrYWuCR3zBYJWBpw1A8qlN8qnB5DPmo4HliXawpIwr98ESrtItD5ZsxHx8nXQeeJ7WY75iSlllfWxWczF/wqnZCN0cOWlPNssBcBFM+ARgdSWdQ3nJRPT2StSa2ClP7M7uUGSO7rpq8YjDmChf6P0JURDCehs6gb6Z/QnRKCk8Svi81YaxL4pBWGMkTEld+xOiKGH3J0RR1uuwB2W7Ka4oxQ7sTMjyETJlF/O0xWzN+OxmIXvxAxv4oSw4IWvAUwx4UMeybNRnD2Hz70wgA1rLQe/uyeLM0V1XTzKpscD4wvs4QRBCdkJ93I6eKxYNo8LDuLXRE8QgpOxOjJ4giojRc50rFiWh1hqAw+XzBCmC+bw4GUTWneIDWT5CJu3U58VLW+Bu/SYLTkgabJ9nBtV6o3osy0Z99hC2Np/XPqC1HHTTauQZh+M0ct+5OPvua9963RIIlo9zebjEzZlXVbTO6TqL4lZLsWfXx1Gscl9hy13/mHmCC5qw/6IN1JvzpbSrd2aPetpNPdR+6+nVW1fvLJyU42zKs6cb9DfYQLWXSl4csmk3UqUbd7tMudjuTs12d6W/xEp/SWLzpdBfUrMPnprfTXNX4uQiZnREfKPBcB0ZriPDdWS4jgzXkeE6MlxHhuvIxXXE51J0Lnz7QWONDNbIYI0M1shgjQzWyGCNDNbIhTXiY+EPID/NL/Y/U7P/WekvGq82eLXBqw1ebfBqF17NxtvY72rBo30SJ4ZpYpgmhmlimCaGaWKYJoZp4mKa8JnwgkTcBNNIU4M0NUhTgzQ1SFODNDVIU4M0dSFNeUjPTMZN8QrW3ytxXsxWUWblSMq4yHUI4OLb6UHQxFN9mXrBUzRo6f25rrSmdH5iaq5Z9Lj6QbNptV6Enz0Eev3dy2Ojz9bgxTd90Et6+js+1b9p76jKjsB6tZI7/smWqEgSAXldHf+M7Wc/2aDgqRzC+ovj7CdbIXi4hrKs4jr7+f9n792f4zqOfM9/peP+JAM4fc+j6jw84R9EDIRtmgCaOMAPG8MJRz9nHHdsTcia2Ls3YiMk0fJjpR35tTEOyrZG9ty788vepSjSIiWSirg/b2x0/0dbefoBolFVJzP75AE8HjncEgGQzE/VOZnfqsyqZNtIKVJBWBgncWq/arbHNlGkAPTK0CbdxDr9t/l2I8MRvbJTpcpV2cm3FhmNKFd6ue28w7cTGYVIK6JNw5OwyFPHA3HENx0ZPupXOlee3jArVJi47vTiW6yJFmPVo83ME76ZyFjA3lbLku7StqvbalybkdGBVnrpfuPu8i3dsvQSb+Mp30ZKHOM8AbAgieJuoW12l2y7m6mwpLmDM761yIhGWkjaTDznmVjp30E2GCfFMMjGKeTp4ywYhlEURKNJNhxlURoOhgsK57Lxe4Nmc++Lf7sWjykNFEtoW2B6wCiLTBvILVEQQs4Iu/p88Oo68mG1rHwKS8ZF5r2zXEp+Onlr8oPvvt3ZP+7oeHmqcL22XP5QuKc6VU4d8u8dxypiX3R8NH58CAu/311ebD+af1CVJlRrdvPlH8+eVHvhj6CDCeyMQ7npxUg+rJqaVF98Xv0Chrb65cWfan65B21QYHv9vW92Tl+/0ynCKOy8Zr63aFv37mL//Y/mF1Dn8LKqmXj3lX34oDN7MPtN9BfGPvgt5ifhL33SWe7rP632EqA69gn86MUfG33DzG5l1VNjX/WnzT/svH58dnD4evWd6u97an7iyaL78W9nv3ylEsMsgfVi1qudC/irHoIF848ApaN0Hu6FYbcTLX9m8TctvwOPTay/FeXJXhx2qnLez1yrY8GnhpCQJKyi3VUMgigiVQyh/eT3oSgJNZOK4CiSsKutXqknitJaKUPoamIni0eISqTVaF0lQ7pKfLvvRpMFJzgO9pIrUkU3sZ486cvCUV9ADFxdKUP9jJZy0IsudtM8TKfjMJjG4TRQo7QI8nFRBKPJRIVpMh2EauljW5XNrsvRdOi4WsQ9GjjC9mWzIAjBQWFlcxOHj+70A985I8EB0fgBwetkG8aBKAbB/zYi3ARRhISb85yRIAo1cCBAEpV3C2Vl6YmytCbdfKeNJPkIrrFR7ZavIr37HjRZcILvYGs332kjSTbqG4hhq5Nu9RNaykG3eQ9a7BZjkf001ZLvakO/6y6A4dqLTD1itdQ1FsBwR0DhRqCJAhiuiZpkIsK8pgpgYscWHxcUmfQkKEBXAQzXQmSKEy/sPAUwXBspiUOEhVoXXeu1ID22hddd/8K2GxmNmq1/YVuLDEZN1b+w7UQGIZJqvVLvoHTWza0HiY74liODB738JdZFViSOJsvHfIM10eBtUt4nfDORgYAt5z3VL2ybkaGhueoXtqUtVr+wbaQEMc4ToMK8gBvZbWaXbLNlil+8zuCMbywymjVQ+8Iy8cZu4nsOTkQxDRRL2PomviQIYacKu/CU38SXHBCNHxD8Is+GcSCKQdiIIyzhnJv4kigtb+JLolC3EBEgedItcitKTxTlJuzhi/IRPCNpNVSzhx/Fyy3fxX/YwI9kwQmugy36PXv4omzUFxDDVrOHj5jQUg765lYt+3b8FXU0cITtKzdBEIJ/wiq31quWJcdH48cHL+Q4VcvmB2AUn1Y/sK5aFihTDhllyrZ5ORCdF0J4aUSZCqIIKVNlIzkUJaHGRQRHHBtlmtpQeqIorQlTd12wKB7B7zeqS9VKxiiPLpUEJzgOti711QWLwlFfQAxcnTCtn9FSDrrd4pLEKTW9dc+e1g84cykSEldcwrQXmdfDKsXrLC5hjoDCjUAjxSVMEzXJRIR5TRWXaFdxCRMUmVMk6D9ncQnTQmQGES/rfMUlTBspeTmEhTrNu9pmYY9t4bUXl3DtRkajhotLuNYig1FjxSVcO5FBiCRbr5QT6CzuKuvzcMS3HBk8GMUlaZLlrqE+5husiQZvk1M+4ZuJDARsPe8rLuHajAwNDRaXcC1ts7iEayMliHGeABXp2Khp60NQss0WKi7xOYMzvrHIaNZEcQnHxBubokg8xSXeQxe2q79xhO2nKARBCFtV2IVn+ykKwfHR+PEhrPl+UZOTgHHayElUjV1eWZ3fuHyE4CQQthUJ61F3PkIQpeV8hCAJdTsUwRHHmZ2kJ0pyE9IRkngEH09a19WlI1YnIyPPUVdRcILfYC9fvOkISTjq+4eBq0tH1M9oKQd9cyucE3edTOwv5baMBo6wdREqCUJwUFgRKl/hLDkgGj8geNVpwzgQxSD43yZ0mySKkG5zVThLolADBwIk1904s6L0RFFaU26eCmdRPoJnbFK6xasWurGnJ7IoOMF1sKWbp8JZlI36AmLYapQbYkJLOeh2C0mUU4vFPr403OS77kISrr3IHB5WSl1jIQl3BBRuBJooJOGaqEkmIsxrqpAkdRSScEGR+UOCAHQVknAtRGYL8brOU0jCtZGSg0NYWCSx3ev02BZedyEJ225kNGq2kIRtLTIYNVVIwrYTGYRIqvXK0xCrKO0WVtOP+KYjowe9kkRBb+HQITqP+QZrosHbJJBP+GYiIwFbz3sqSdg2I2NDc5UkbEtbrCRh20iJYpwnIM3DPOvm1vu3SrbZMpUkXmdwxjcWGc4aqCRhmXhjN/GVu5JkWZqEBsUStr+JLwhC2KrCrjxb2MQXHBCNHxD8Ks+GcSCKQdiJI6zh3Jv4gihtb+ILolD3EBEgUVJ088SG0hNFuRGb+JJ8BM9IWg7VbeKvDg/GnuOgouAE18EW/b5NfEk26guIYavbxK+f0FIO+ubWACtP+YW32Nk2GjjC9pWbIAjBP2GVW+s1wJLjo/HjgxdyqBrgK90U66qAszBK6VXAnOaJtmk4EJ0GQjRpRIgKoggJUWUjORQloYZBBEeSxd08t6H0RFFa06HuMmBRPIKbb1SGrnrbxZ5uhaLgBMfBlqG+MmBROOoLiIGr06H1M1rKQbdbTKJtdEZXZla6JNRRlBnRvEl37aUkTHuRWTysLLzOUhLmCCjcCDRSSsI0UZNMRJjXVClJ5ColYYIiE4gE9ecsJWFaiEwX4kWdr5SEaSMlCYew0Gpdj22dSBnJlYDWe+Pg9PTkdBnSyvOj14wGyffMR/EN8ChgP8S2vdAa3m7z8ZDhquFqE661yHjlqza5MvYweLuLgf/2cphtVt/hW42MWk2oXIDZ6XkwjvgYyNBTX4fisB3M3rk8ES6KYz6FJlKgnyMY2d21YRsGn/ANRkYZ9FIB4XxKcD4l0vn0+WjI8ESrZkmL1F3NwrV0y2qWK2Pev3A6dz1v6ynfYkpYZT026+WX3+GUbIRm6lzqnc1qAlwEZ3wCZHQlFb98C0Z0d23UhrHnPGNvbDJFd627GGbJaz/X68TE8rWfShEEIeyxYdfM7adSBMdH48eHsFxl3Ph+JbNSffF59QsYWqkL4DmpFjO7lVVPjX3Vnzb/sPP68dnB4evVd6q/76n5iSdQDdWZ/Xb2y87sM/gVPCDGyerFrFf7LfBXPQQL5h8BSkfpPNwLw24nWv7M4m9afgcem1h/K8qTvTjsVNVYn7nW9IJPDWEDl7D2d2d+BFFazvwIklA3njEcNoqeKMVNSPpI4hECUhPL4fWieHVTSOy5+0UUnOAz0Cs57Jz2ZdGobx4GrS7lUz+fpRz0zS0a1/aEi1HLBXUscHztq2VBEIJzwqrlFkrGBQdE4wcEL49tGAeiGATf24heE0QR0mvOknFBFGrYwIDYKHqiFK0JNl+1uCQfwSk2qtiKVYQvPIpNEpzgNdiKzVctLslGffcwbHWSrX5CSznodqt0Uhvd6zqxX2izolObdNddpcO1F5nvxGqoa6zS4Y6Awo1AE1U6XBM1yUSEeU1V6cSOHT0uKDJ/SlB+riodroXINChe0HmqdLg2UtKJCAsdSo1r3fVV6STRnvmIl4nyJPRW6bDxkOGq2SodtrXIeEWs0knCdZVO4rw17g7famTUakLkAsxOz4NxxMdAhp4tqnSM7Zcnwl2lw6bQRAr0cwQju7s2bMPgE77ByCiDXikgnE8JzqdEOp8+Hw0Znpqr0mFb2nyVztrp3PW8rad8iylhlfXYrJZfNQ6nZCMIV+msnc1qAtxVOmwCZHSlVumYZ2dt1Iax5zxjb2zeIXVV6SzPIKExsXyt5x0kQQhbbNg1s3zeQXJANH5A8OtTG8aBKAZhB5Gw+nTmHSRRWs47SKJQ9z4xIDaKnijFTcg7iPIRnGITS7L1wixablMv/sMGfiQLTvAa6NUEelL7smzUdw/DVpN3QExoKQd9cwurU1epyPJCY8JY4Pjal2yCIATvhJVsrRdWS46Pxo8PXsFxCqs32la+EKukbq51peS8EIJLI5JUEEVIkiobyaEoCTUqYjhsFD1RitYUqbt0WRSP4PIbFaTxSr/EHkEqCU7wGWxB6i5dFkWjvnkYtDo9Wj+fpRx0u3UwmY3OKMzES6c36a69DoZpLzKjiBWI11kHwxwBhRuBRupgmCZqkokI85qqg9GuOhgmKDJDSZB9zjoYpoXIRCNezfnqYJg2UhJ2CAtdOo1p3TXWwSiog9GrVHTir4Ph4iHDVcN1MFxrkfGKWgeTXNTBJJ46GK7VyKjVhMYFmJ2eB+OIj4EMPdvUwSQ7lyfCUwfDpdBECvRzBCO7uzZsw+ATvsHIKINeKCCcTwnOp0Q6nz4fDRmeGqyD4VoqUAeTXNTBON/WU77FlLDKemzWyy+/wynZCNJ1MMnO5Qnw1MFwCZDRlVwHk+yujdow9pxn7I1NqmTOOhhFw8TytZ9UEQTZVB6++UGumdtPqgiOj8aPD2G5irn4fyOLUnft/7VnUAQngbAbSlhKuzMogigtZ1AESaj7uBgOG0VPlOImZFAk8Qj+vYnV5XqNuepTlHgaT4mCE3wGemGEndO+LBr1zcOg1WVQ6uezlIO+uUXYmbOiR1PHAsfXvvgUBCE4J6z4bKEIW3BANH5A8GrThnEgikHwvY3oNUEUIb3mLMIWRKGGDQyIjaInStGaYPMVYUvyEZxio4pNryK89ig2SXCC12ArNl8RtiQb9d3DsNVJtvoJLeWg2y16sbaKMyIs9dKlm3TXXvTCtBeZPsRqqOssemGOgMKNQCNFL0wTNclEhHlNFb2krqIXJigyHUlQfs6iF6aFyKwiXtD5il6YNlKycwgLXUqNad01Fr1kUPSSr/LOqb/ohYuHDFcNF71wrUXGK2rRS3pR9OLs8niHbzUyajUhcgFmp+fBOOJjIEPPNkUv6c7lifAUvXApNJEC/RzByO6uDdsw+IRvMDLKoFcKCOdTgvMpkc6nz0dDhqcGi164lgoUvaQXRS/Ot/WUbzElrLIem/Xyy+9wSjaCdNFLunN5AjxFL1wCZHQlF72ku2ujNow95xl7Y/MOubPoJaNhYvnazzsIghC22LBr5hbyDoIDovEDgl+f2jAORDE2NYEHg7D6dOcdBFHazjsIolD3PjEgNoqeKMWNyDtI8hGcYhNLsvXCLFttU3v654qCE7wGejWBntS+LBv13cOweSe0j5nQUg765tYp585SEX/PJMtY4Pjal2yCIATvhJVs7dcpC46Pxo8PXsGh6pSvtNGsq1TOwiilVypzumbapuFAdBoIsaQRBSqIIqRAlY3kUJSEGgQxHDaKnihFawLUU6ksiUfw8I3qz1Vbw8TTplIUnOAz2PrTU6ksiUZ98zBodfKzfj5LOWjzz18vNKi65xeYP5iM3v7um9+3jARDX1qdqlGWhRszLQp7W/q9q6rRbStFNK5KYKzG3mIbu/mMeQYWKQx/Y+TFi6pJ9h9fLZZYlsHM3+9UeuhF1YYbdv2+NPrm6eyZDcuIvuKbPTbbFafohtvOJy5y6yrcMx9wq4TKzYeGX+oYPuBrWpuPDNLvRbF3lMaR+UjMd1OVmA9dfWQuB8odAEUfAHzOA6iPgfoYqI+B+hioj4H6GKiPgfoYqI+B+hioj4H6GKiPgfrYRX3Mp9Z0anyexECfAPQJQJ8A9AlAnwD0CUCfAPQJQJ8A9AlAnwD0CUCfAPSJC/qED41/kfmxYpHGNfAlwJcAXwJ8CfAlwJcAXwJ8CfAlwJcAXwJ8CfClC75kw19J6tXA057xMyA+A+IzID4D4jMgPgPiMyA+A+IzID4D4jMgPgPiMyA+cxGf8YnxAZGYBzTA5wB8DsDnAHwOwOcAfA7A5wB8DsDnAHwOwOcAfA7A5wB87gI+5wFXD/gCGILrX/mUQXOlscr8/zs2ite1st++HGdpXqQqdl9YgDOWpQvAbpu1t9jWIkuMuMKgqr58stismH0+e7lRWrnYHIItCtjT6Mx+Nn9n9nyhGuAPmn2+14G8IWydzD+cfwS/0Ya/z8bfDJ6CVbFcEzXJRIR5TVXFJuY7v4FNK/iD4Bz+YvPLfBM2mq7KwsUXYSPqCfx0dXy/2p96Yub8g87+333374Pe8cXT8Ppb3/vB22+9+f2/qb5lvnPru2/+zT8M3hrvLaqsv5g9h8xxp9p3e9f8adX+WRqG8/ejOAw75tvPbXcA3Lv3fdsMHbBnCFloRdjOcpXzci1E1kvhd6k85bxcGyl1RxgLw0R1tc3EHttEkZreTcOzKE67hWN/iW05MoTSy3XzJHOW67KtRcZQX7ku3s47fDuR0ZO08rzyPCRZnGV5N7Q+zEd845Gxr37VeGWoU51naVdbR/uYb7AmGowVxDYzT/hmIsMBe6fS4yD6fKuRIYJWUut+6e7yLd2ypBZv4ynfRkowYz0DXqdQsg1vpnSW5BDO+MYigxppdWwz8ZxnItiYj6IkSVQUpHmaBWoyTILBZDIOxkk6VlM1GMXT5ZA7V7vfGzRZaKGqT9eaN6FhYvls62IPFmVtbAO5JQpCSMNhl82fvLpSXqyUoGbg/jJ9v7GuulhCLQowfg6/Mr/r6f/7o84bb735g7cXXz8Yvfn3f/vm9zvlm3/3ZufWYDr9u8myGgOWR/P3q5WSWqyTbKO4LzqKGj+K+KWtDeNAFIOQmmxi/SdIIlLNENmr8A9FSag5VQxHZFRCoW0sPVGW1moaUpUVzrIGUUKCPyUtpGrKGlSyTIMrz0XfouAE38FeLHimtS9LR30LMXQ1lQ2IKS3loNu70EOZf7sUnHbQ5TrPIbWzQXfNWQumtch9F6z8urasBRNf4fAbyVowTdQkExHmXc5aMNIVhfnOJ5V2fgEz+nT2BdTg3ofLWsz/PlumFJblK7aaFvMTT8z/vlz+3pdVTcuLxfUtqz+36u24zIg8vXhEzt78T4P/tbP/D8NJ53Qy+tu3J6P/1Dl982/f6sw+TUJ4mnT4aqbC/K7nRvbDlcbm74CbjiFJ8mX1iN2fvwM3yzyG1If54iOoHjZ/wn+AZIj56kvoPzl7Bl955Ql9UF2T/KIz+4UBfmyb6QP2TCO3u5pQv0wLkVtbFFXrzn4wbaRsGGEszEO7z+2xLWwl+RHFxnDlUqFcy5GRuOHkB9daZChuLPnBtRMZhEmafdPwOAmzOO+G1uvLjvi2IyMoPfcR6TCPM8cjfMw3WBMN3ma784RvJjIYsJczHv/Q51uNDBAN5j64lraZ++DaSAllnGfA6xNKtt0yqQ+vPzjjG4sMaU2kPjgmLgTDUI3yYRxMlBoFapwlQT6Ip8ForNNpOEpH02T54jmXzJ49A+ay2Z36sJ+3dWJi+dpPfQiCELbqsGvvf4ZF1bJA7Nmlhdfsy+WtH84qM8eBAskR0PgRwK9tbRgHohiErccmFm6CJC2nLQRJqBumGI4i78audaAgSmtZiyhy3hZ5W5aQ4ApJK6C6rMXq7gjluQxEFJzgOvgy3z2tfVk66kuIoavLWtRPaSkH3WbWIrGxGenlP2uab7Jdc86CaS1yuwSrm64tZ8HEVzj8RnIWTBM1yUSEef9+0uL7thk6YM8QcnupCcnKtBC5lUSRou5cA9NGygYNwkKrdT22dSJ5hish2HZxuiqW1xar3HtnOpsMGVsbzkNwrUWGV+Kd6Spf35munPdP3OFbjQyzTWhygNnpeTCO+BjIcFmfoHDYDmbvXJ4I953pbApNpEA/RzCyu2vDruYvuAYjAwx6YYPwOyXS7/T5VMigRMtvRLHWjpL+u3xTt0xwXBnv/oXDuet5U0/5FlOiKeuRWa8T/c6mZCM0k/modzSrCXDfl84mQEZWUjrkWzCiu2ujriZGOMaCtbh6QuBxrso92xK8lbnrtnTlucvBBomlaz8tIghC2AvELu9v6okQwVHU+FHEL8FtGAeiGIT90SbWqYIkLadWBEmou7oYDu+JEEGW1nIr/hMhkoQEf9rEOm69mitWG/GFZ0UnCU7wHeglCGFa+7J01LcQQ1eXW6mf0lIOus3cirKxva6XCzQXW7HJdr25Fa61yE0frPi6rtwKF1/h8JvIrXBN1CQTEeb9+3kQ4fMg3JlGbqE1oH25FiK3wyia1pmj4dpI2VVCWOjI0XCtu74cjY6We6XwhnhyNGwyZIxuNkfDthYZpok5Gh2uczSLYbZZfYdvNTJcN6HtAWan58E44mMgw+4WORpj++WJcOdo2BSaSIF+jmBkd9eGXcnRsA1GBhj0Agnhd0qk3+nzqZBBqcEcDdvU5nM0a4dz1/OmnvItpkRT1iOzWm/WOJuSjSCco1k7mtUEuHM0bAJkZKXmaMyzszbqSo6GZexC4WCqJ4HHubr3bG/wVviuHI22X07mhMTStZ6jkQQh7ClitwkEjq5IjoDGjwB+GW7DOBDFIOyRNrHGFCRpN78iSULd2cVweI6uSKK0ll7xHl0RJSS4wiaWYOuFWLTci1/8hw38SBac4DrQqwfCtPZl6agvIYauJr2CmNJSDrpqJba31iigv1prG6Jd54h1YqVdXS92PYdZYntQuMW2FrmDg1VSvzUK6fHsM/P5aNFs9ouqSywxDTP7GpIsHdjxhp6ssEneqbbzvwKh1kn24g6cU6j+jq/m/2jUWNWI9an5YfjTv5p/aP7e1eZ9VVnzVfXXmS914M9dmPB82Xb1iVPDMcdU4ca0kSwO00RNMhFhXlMnZKJAdW2oB2xU5C5TExKTaSFyx4giHd1pDKaNlI0XhIUqziJXUw+uiSK5jCv5F7fS45qNjG70REUUR+5EBddaZHijXGrltvMO305kYCPpYuzDcMQ3Gxk76lMRm7bqKM115OzlwTZYEw3GbgjazDzhm4mMAuzVgrvrMNtkZFigJhJc79pdvqVb5hHwNp7ybaQEsCYfgJJtcjOZApIfOOMbi4xipKSAzcRznoktFvClNrPNelJZzV6unrPQObI4U5teTzKtRYbdP8/1JHNMkZqgkfUk00RNMhFhXgvrSSYqUkk0sZ5kWogUDs2sJ5k2UsIxwkKrdT22dde9lOSajQxrDS8ludYiIxu15k1d1LwpT80b12pkhJNaWHLNRgaR+oWlu/RE7VweeE+NG5dCEynQzw2M7O7asKvrTq7ByGghse7kmowMH8R1Z+5ac9zlW7rlutNWv6Yu6teczuOUbzEl7DX5OJRsk5tZhdY7jdWAe+rVuATIqEhamkK9mtpdG3V1kcoxdpkGXbpqCI+tpUEzZxo0tYLEeZRlSqvr6UOknOfOmNYigzp22Uo9dzb7dPZg9vNlpVl1COmX5gsfmxVpJ4JL375aHkBarmSrI0Evqv8/havgFl9+Of9hdTLtIzgO9YltfPbZ46Nw49PIEpRpoiaZiDCvsSVodT7t8jOwWWW4nvAH5tsP5/fnPwyqOsN35+8FrzwCe53Fb5n/tDqh9rATxXu6uuWhU/2yut7vapXiS/g+XPn3zuLiv9kT15qYOfZIldPEmphpIVLUNLMmZtpIEQcIC+MkTu03tfbYJrayMNa56mptM/w233Bk8GQsjRPnMfxv881Fhk9SmtVt6B2+ocjIudVyOEp0kSd5N81sxh/xjUeGtfpF8abFSRxmRZp1M1e6lWuxJlqM1bM2M0/4ZiIDAnvZ63YRfb7RyBhBXPi637q7fFO3XPkSjDzlG0mJZ5yHwO8WSrbhzSx5aS7hjG8tMrKRlrc2E895JlbLhySfhskwD8JY6UBlKg0G02QYFGpcqCRLw2EyXFA4F7vfGzR7CCtzdxDS9vsAnZhYPtuy2INFWRrbQG6JgmzGfd/8IFfN/1rdgXHfLKEgtwofj6rLMGDp8/w7sDhO9vROZM1Y74vCajwsfn1pwzgQxdiMyh4M/FJt/pP5ezaUN0RRZI5caRvIoSgI9bAHAiNReaGc1bWCLK0duQodF/bdlsUj+DzSesexO74+b5WvDud4LigXBSc4Drakd81pXxaN+v5h0Lzz2cfMZykHXQmybFikOkwmgc7zIlDDPA+G2TQ1vwxHg8EgTePB5F7bgix2CbI0pI4Fjq91QSYJQnBOaEFW3Uj8ZVUmt6y/ewwyDKrw4KKyaof7aWf+E/Pdl7NHex3zO343+8Xs09mvZx/PHlSSbfb7xLoHuS86GBo/GNsKNkkMgt/FCzYzZ5/bUN4QRRERbGE30TaUQ1EUashAgOSR6sahlaUnytKaZNPaWe4mykdwi01qtjRcxvjUc2GZKDjBd7A1m3NS+7Js1DcQw1Yj2hATWspBL3bR0tFIDYZFoJMwDZQahsEwjMdBlowGsRqPlE7b30VLnKItpo4Fjq990SYIQvBOWNH2B6PMqkthq4tmoX3Eh5fqQ+B8wkKZXW03CNfL/sc03ImtO+r7okOh8UOxtWQTxCC4Xbxkc++xSaJISTYbyaEoCTVeIDjSIuvmhQ2lJ4rSnmDrpi69JolH8IiN6rV4Fd5jj16TBCc4Dr5ec8xpXxaN+vph0OrkWv18lnLQlVwbJ0U6SlQSqHAyClQSToJhqqNgNM0n+SAKp3Gm7rUt15RTrinqWOD42pdrgiAE54SVa58aAQb3+/sFW6eqH31hvnS/6kXxqCr/rToCsLWc4Dhp/DhtreUEMQguuREtJ4giouUS+1n3Q1ESajBBcORJprqptTtkT5SlNTEX6W7hUnOSfASH2aiaU6vo7zzEdSQLTnAdbDXnnNS+LBv1DcSw1cm5+gkt5aArOZeooZqMR5NAhyD90igNhpN4GhRjlWWg/cJicK9tOee8vTIlluph+dqXc4IgBO+ElXOfvHIQ68OFNHsxe1jJObjD5Kv5R/N/rE7vVPIszo082wn3VNUrKnE1a5UcA40fg62lmiAGwd/ipVp1dO/zbsc+L2+IAokINke/vkNREmq4QHDEWRF1tVV89kRZWhNscdzNrXN1W5aP4BIbFWzpKr6nHsEmCU5wIGzB5pzUviwb9Q3EsNUJtvoJLeWgF/tvE6XyKAyDQZhMAxVPh8GwCJNgOojGYa70JFHtC7bUKdjI9X44vvYFmyAIwTttIdh8e2kIsSbIr/H8W4s1QQyCr21QrAkCiYg14y5sJIeiJNRQgeCIwiJJuqn12E5PFKY1tZam3cK6fXhblo/gDxtVa6sC9tRzIEEUnOBB2GrNOal9WTbqK4hhq1Nr9RNaykEv1Nowy9IizINBNhkHajKdBINoEgaRGoXjZDgYT6PpvbbVmvNWpIxc6Ifja12tSYIQvBNWrX0Mlx7BDTed2a9mT+fvQ9/02YvZ5/N3q0uCX8wef2fRdR3uxLER74sSazzxtvpMEoPgXZvTZ5JAIvos6toL9g9FUajRAQESKxUbfWaF6YnCtCbQlLOYTRSP4AGb1GfZqlY98xw+EAUneBC2PnPNaV8WjfoCYtBq5BliPks56EqeTaZJmo7TYRBFUR6oKB0Fg9FIVznTifnaJI+XD3uL8ix3yjNyYR+Or315JghCcE4MeQaXDT43Eu2d+f0q4wkdFV6DOz3gRo+v5x8Zrfbl7OE36uWa4Aho/AhsLdcEMQjOtkG5JggkItfCbqxtKIeiKNRogQDRcJV2ZmXpibK0ptbibu5Sa5J4BIfYqFpblapnnqMHouAEB8JWa6457cuiUd8/DFqdWqufz1IOeqnWBuM4GUyD6XBolF0Sx0bZDbMgHCVFPorVJEmWc96iWiucak3RxwLD175aEwQhOCesWvslXFe9aGM1/2D2pAO3TVenC9bnEKrk5xO4qxquk35v/sF3lneUPzJfeAg3mVcdr17OnsFFILNni+/CpdQ7URyGO7G2Hw/fFx0qjR+qrWWdIAbBKxNknetibUkSET3n2X4TRKHGEwRIzfabIExrgi5KdHfZtvGqpJMEJHjNRiXdqlw985w/EAUnOA+2pHPPal8WjvoSYuDqRF39jJZy0IsMaTSOorEugqGewlUhozDICzUN1CiM0jCMh1O1dLQtiroodKq6lDoYOMD2VZ0gCME/YVXdz6qdtSfzd4Lq5ransxfVHlu6o1xSTJBP4/m2lmKCGARvipdi7oOgkigiWizs2vejDkVRqGEAARJlyng1+0ZhTxSmNS3m2VyTxCN4ukaV2KoOPfMcLBAFJ/gOthLzbK5JolFfQAxanQ6rn89SDrrNNvLu5Ka3Di8tNumutyMf19pNf/FvtSMfd3wUbnya6MjHNVGTTESYF3n77MX4Pnuz39k67XXabLXHHdTNcCLXao9r4abClGy1x7VxM3Jt2WrPBJWuslnYY1t47Z322IYjg2LDnfbY5iLDYmOd9tiGIiMiST1fEZKpTqOiq60u4YhvOzJa0RvtpXGaRpmjEvCYb7AmGrxNY60TvpnIaMBeWPj67LGNRgaIBvvssU3NCaZuZ+Qp30hKMOM8BF6nULLtlmmz53UIZ3xjkVHt7W2dwTnPxBuaIMi7zi57ubde+Somlq/1/IAkCGHXDLsSJucHJPk0ng+/TLRhHIhiEPb48Aszd35AEqXl/IAkCnV7EgGSqLBrPRPcEyW5AckBUTyCmyMtb2qSA/nqXE3uOSclCk5wHGwN704OiKJR3z4MWk1yADGfpRz0ovI2DceDJEoCHatRoFSogmEaFlClqyPzTzYslgPTogZzNtbLvVXItrHA8bWvwQRBCM4Jq8EEKm9nTztVJuMFbETzanIlB1HjB3FroSeIQfDXeKHn3IGXJBHRee6aXEkUaqRBgKgs60bWWemJorQm9HwVuaKABG/aqNRbHcrJPYesRMEJroMt9XwVuaJw1FcQA1cn9upntJSDvqmH4nN3Q75ckccCxde+2BMEIbgnrNgTOBQvOQIaPwJbKzVBDIK7JSi1mkPxkkAigs19KF4ShRotECBR5GhG0xMlaU2veTbmJPEI7rBRtbY6bZN7zk+JghPcB1uteTbmJNGobx8GrU6r1c9nKQd9U++XzN3d+HJvBbN1kxLF175WEwQhOCeGVuPeLylJrPHEW2szQQyCc21QmwkCiWgzz2aaIAo1OiBAvJtpgiitiTP37ZKieAT/16g4Wx3ByT1HqkTBCf6DLc7ct0uKolFfPwxanTirn89SDvqm9tbL3b31cmKBHpavfXEmCEJwTlhxJtJbT3IMNH4MtpZrghgEd9ugXBMEEpJrVolzKEpCDRcIDq10N3bVuAmitKbWPK31RPkIHrFRubbq7ZF7mrWIghP8B1uueVrribJRX0AMW51eq5/QUg76prbWy92t9Qp6xR+Kr3W9JglC8E5b6LXtWutJ8ms8/7ZaTRKD4Gub02qSQCJazdlaT5KEGioQHDEU/KQOsSbJ0ppY83TWE+UjuMMmxVqxqmAvPCcSRMEJDoQt1jyd9UTZqG8ghq1GrCEmtJSDXoi1pEhHiUoCFU5GVW40GKY6CkbTfJIPonAaw72VLYs1Z2e9glyxh+NrX6wJghC8E1asfWpC/JPZ4+qym/UphEvXGJkvPetU9+u8MF+6X51XeFRdegSHGJ7VCzzbOO2LjpPGj9PWok4Qg+CT8aLOfbxUEkVEzjlKvw5FSajBBMERpUbOLctgrso5QZbW5Fyku4UjVSrKR3CYjcq5VY164Tl1IApOcB1sOeec1L4sG/UNxLDVybn6CS3loCs5p9LRSA2GRaAT2KdTwzAYhvE4yJLRALbpzN8wvNe2nHNeVlko6ljg+NqXc4IgBO+ElXN/MDLtqxoxx1ZsgkOh8UOxtWITxCC43UYUmyCKiGILu4mN5FCUhBovEBxRknaT2IbSE0VpTbBpZ2mbKB7BIzaq11Z16oXn3IEoOMFxsPWaa077smjU1w+DVifX6uezlIOu5Fo2LFIdJpNA5zlcHpLnwTCbpuaX4WgwGKRpPJjca1uuOVvxFeQyPxxf+3JN</t>
  </si>
  <si>
    <t>EITgnLBy7V+NDHtY3cf2ZPZocQH540qdfWG+/Bj0G1zm0Zn/xHz35ezRXsf8jt/NfjH7dPbr2cezBwsl9/vEGlT3RQdD4wdja8EmiEHwu3jBZubscxvKG6IoUoJN21AORVGoIQMBEumiGyobSk8UpT3Fph03zN6W5SN4xUYl26p6vfCcRhAFJ7gOvmRzTWpflo36AmLY6jRb/YSWctCLLbYkn4bJMA/CWOlAZSoNBtNkGBRqXKgkS8Nh0v4Wm7vTXkGu9cMBti/aBEEI7gkt2iAJOr8/+xpu8HgJH4+qizygf8jzSpIlcOlaZIPdF4XVeNitRZkgBsGz4kWZZxdNEEVElNl7Bh+KglAjAgIjzSNr/rYnCtKaIAu7hXWebsviERxeo3psVZ1eeI4biIITvAZbj7nmtC+LRn35MGh1cqx+Pks56DYb7rk2xdLQW56XhZt019pwj23tpr/4N9pwjz0+Cjc+DTTcY5uoSSYizFv303s4+8q8/dB+b6+TLP6lFv/SDfTkezD77exnsz/M/qUz+xfzVz2rVPRn5mfemT3u2obogD1Em8FBrH0e28JNpSjYPo9t42Yc2rJ9XhTqrrZZ2GNb2Er7PKXibqxsht/mG44Mcc22z+ObiwxyTbXP4xuKjG8kLXzlgUhT7SoIOOKbjgw99O55kdIKOrxZx/qYb7AmGrxNw6wTvpnIYMBeJcRhknd1YbO6z7caGSCaa5/HNzUnmLqdkad8IynBjPUURDrMIsdFqyXbbpn2eV6PcMY3FhnV3t7WG5zzTLyhu/5F19U+Lw1jGiaWr+1Nf1EQwh4Ydl271aa/KKzGw+JXgDaMA1EMwvYdfpXm3PQXRWlz018UhLrviMLIY+eiTxDl+rf9ZfEILo+01PFv+xumxTbx8j9s4Eey4AS/wRb0zm1/WTTq64dB82/7Y+azlIO+qZWzhbOVXrqsKSOMBY6vfT0mCEJwTmg9Jlk5KzoYGj8YW+s1QQyC38XrNWflrCiKiF5zVs6KolBDBgIkSbuFfROjJ4rSmmJzV87K8hG8YqOSTa1CvPuwkyw4wXWwJZu7claWjfoCYtjqNFv9hJZy0Df1cHrh7IiXht4qYqt+RfG1r9kEQQjeCavZBA+niw6Fxg/F1opNEIPgdvGKzbPDJogipdhsJIeiJNR4geBIom6qbSQ9UZL29JrrbLosHsEhNirX0lV0dx90kgUn+A2+XHOdTZdFo759GLQ6tVY/n6Uc9E29GbJw9sRLQ2+RsW0scHztqzVBEIJzwqq167oZUnScNH6ctpZyghgEl9yIlBNEEZFyrpshRUmowQTDkRVd+zXfoiStSTn3vZCyfAR32aiWy1ex331IShac4DjYWs59L6QsG/X9w7DVibn6CS3loG9qD73C2UMvjYhVeli+1sWcJAjBO2HFnEQPPdEx0Pgx2FaoSWIQ/C1eqNX0ZREFEpFrrh56oiTUcIHhiFO78OyJkrQm19wt9GT5CA6xSbkWLZt4LP/DBn4kC05wH2y55m6hJ8tGff8wbDVyDTGhpRz0TW2hVzhb6KXL9u2EscDxtS/XBEEI3mkLubZVCz1Rfo3n31qqCWIQfG2DUk0QSESquVroiZJQQwWGo9DdXNtQeqIorWk1dwc9WT6CN2xUq60K1yPPQQRRcIL/YGs1dwc9WTbqC4hhq9Nq9RNaykFXWi0aFON4lEZBHlc/m+hgGBV5MCmyMBoPx5lWk3ttazVXB70UrgugjQWOr32tJghC8E5orQY1bXDjEVxo82L2cH5//kPLhTbfWdxxFJs1wvz9KF58drVDGeyLjoLGj8LWik0Qg+BxCYrNdbGPJImIVIu6obahHIqiUEMFBiQKu1lmZemJsrQm1kLnCQRRPII3bFSrrQrWI88JBFFwgudga7VIx2HXfsCsL0tHfQUxdHVqrX5KSznoxc7aMMvSIsyDQTYZB2oynQSDaBIGkRqF42Q4GE+j6b221ZqrQV4akSv8cHztqzVBEIJ/wqq1j+HuyIVa+5WRbe/P35vfN6rt8/m7Rqg9NP/1uNpu0+HsuVOZCRJrPPHWykwQg+BfCcqsbi9NEKhtgSaIQo0OGBCvQBNkaU2gKeeZA1E8ggNsVKCtatQjz5kDUXCCA2ELNNec9mXRqO8fBq1OndXPZykHXamzyTRJ03E6DKIoygMVpaNgMBrpqrhtYr42MQrvXtvqzHn1d0Qu2cPxta/OBEEIzomhzh7O3zES7ClculaVpj2cf9R5De5dgz21r+cfGan25ezhN+rVmuAIaPwIbK3WBDEIzrZBtSYIJKLWQsdVnoeiKNRogQCJ027iFGuCKK2Jtbibu8SaJB7BHzYq1lY16JHnUIEoOMF/sMWaa077smjU1w+DVifW6uezlINebKVF4yga6yIY6ilc/TEKg7xQ08DouigNw3g4VUsX26JYczbCS2NyxR4OsHW1JglC8E5YtfazSoMZPRZUF7E9nb2o1Fi6o6yv6r4on8bzbavFJDEIvhSvxdwnOyVRhFSYXbociqJQwwACJDMezXWtmiTKDVBhongEP9ekCotXpeWx56yAKDjBcwioMFE06uuHQatRYYj5LOWg2+x/F1ln1KiqyAqXhDqKsjBLNuGut/0d19pNd/Fvtf0dd3wUbnyaaH/HNVGTTESYd7n9XbRoeMfoghehuuAtJ3xdOxhU9YTvzt8LXnkE9jqL31Kd0TU/2IniPagdhEcAfgkPRvXYfVX97h9Xf9+X0JuiA7aYhwQ+35096drG/oA99ptBR66vHtfCTRUq2VePa+NmfNuyr57Vuh7bOpGeelfCb++Ng9PTk9NlAC7Pj14zeineMx8JfCj40PCRwkcGHzl8FOYjCeEj+ga4UeCEiL0XWoP2bf4wIINwwx362OYi47CvQ9+VSYLR213M0LeX42yz+g7famQ8bkK6A8xOz4NxxMdAhs361n0O28HsncsT4aI45lNoIgX6OYKR3V0btmHwCd9gZDhCr38QXqoEL1WClyrBS5XgpUrwUiV4qRK8VAleqgQvVSK9VJ8/BMh4R2sTGIdp7mgOd5dvak4wFTM5/QvvdNfzWp/yLaYEatbztV5++j1TyUZopn1gvVdaTYCL4IxPgIzDb5M8Eozo7tqoDWPPecbe0FRKFHatlGbJbz9O56TE4rWfSBEEIWwwYncN6IkUQT6N58MvqW0YB6IYhO1Q/OrUk0gRRGk7kSKIQt3JxYDYKHqiFDchhyKJR3BxTSzE1sux1ZHv2HOGXxSc4DTQawjsnPZl0ahvHgatLodSP5+lHPSy7HgwjpPBNJgOh+NAJXEcDKJhFoSjpMhHsZokyXLO25Rf1i1OI78S6lDg8NqXX4IgBN+ElV+/hN17aOtc3Vv+pAOb79Vl5utrz6v7lp7A1n111n/+wfI0P1ydOXsIiR34PbBRD10HZ88W34U9+h046r8Dp/5tQ7UvOlQaP1RbKzlBDIJTxis5d55BkEREyLlPkUmiUMMJAsQl5AQpWhNyUaK7OrEB3pYFJLjLRqVcsgr9iUfKSYITvAZbyrlntS8LR337MHB1Yq5+Rks56Jt6hixyNA0zYk7RhwKD176YEwQheCesmBM4QiY5Aho/AltrNEEMgrclaLSaI2SSQCJSzX2ETBKFGiwwIDaKnihFa1LNs+cmiUdwhY0KtdXFPbHnLiZRcILrYAs1z56bJBr1zcOg1cm0+vks5aBv6kVMRqYp21AYmaapQ4HDa1+mCYIQfBNDpnHvYZIk1njirWWZIAbBtzYoywSBRGSZZwdNEIUaHBAgLlkmSNGaLHPfwCSKR3B9jcoyvQrj2iPLJMEJroMty9w3MImiUd88DFqdLKufz1IO+qY2CjSyTNuGwsiylDoUOLz2ZZkgCME3YWWZSJ9AyTHQ+DHYWqgJYhC8bYNCTRBISKhZk7aHoiTUaIHgcOk0QYrWdJqnR6AoH8EZNirUVlcrxp6rMkXBCa6DLdQ8PQJF2ajvHoatTqnVT2gpB31TewQapZbahsIotYw6FDi89pWaIAjBOW2h1LZrESjJr/H8W6s0QQyCq21QpQkCiag0Z4tASRJqpEBwuFSaIEVrKs3THVCUj+AIG1Vp2SqoZx6VJglOcB1slebpDijKRn33MGx1Kq1+Qks56IVKS4p0lKgkUOFkVCVCg2Gqo2A0zSf5IAqncabuta7SrK7XqDT7faG+oUDhta/SBEEIzgmr0j41sf3J7HF1ac/6NMGlW5vMl551qkuCXpgv3a/OHTyq7niCwwjP6pWdbZz2RcdJ48dpazUniEFwyXg15zkhKogiouMS+5LvUJSEGksQHC4dJ0jRmo6LdLdwpUUl+QiuslEdt7obO/bcdS4KTnAabB3nnNS+LBv13cOw1em4+gkt5aArHafS0UgNhkWgE9iZU8MwGIbxOMiS0QA25pROh/da13FWHW90XEEdChxe+zpOEITgnLA67g9Gn31Vo+LYUk1wKDR+KLaWaoIYBK/biFQTRBGRao5TSIeiJNRwgeGwUfREKVqTatpdwCaJR3CGjSq1YhXYC49SkwQn+Ay2UnPNaV8WjfrmYdDqhFr9fJZy0JVQy4ZFqsNkEug8h3s/8jwYZtPU/DIcDQaDNI0Hk3utC7XCNhSvp0lIHQocXutCTRKE4JuwQu1fjQB7WN2i9mT2aHHF+uNKl31hvvwYlBvc0NGZ/8R89+Xs0V7H/I7fzX4x+3T269nHswcLDff7xBpO90UHQ+MHY1upJolBcLt4qWbm7HMbyhuiKFJSTdtQDkVRqBEDA2Kj6IlStKfVtOM+7tuyfASH2KRYS1bNThJP8xpRcILX4Is116T2Zdmo7x6GrUatISa0lINebKsl+TRMhnkQxkoHKlNpMJgmw6BQ40IlWRoOk2vYVnM1u0ki6ljg+NqXa4IgBO+ElmuQ8Zzfn30N13K8hI9H1e0c0PTkeSXGErhDLbLB7ovCajzs1nJMEIPgWPFyzL1zJokiIsegx8FVkENREGpAQGC4xJggRWtizKyxrZN0WxaP4O0a1WLRKnR7+pKIghNcBluLuea0L4tGffMwaHVSrH4+SznoVhsJWqO00VaxF05twl1vI0GutZvu4t9qI0Hu+Cjc+DTRSJBroiaZiDAv8rYHjPHtAWe/szUI7LTZIZA7qJvRRK5DINfCTV0p2SGQa+Nm4JLpEMi17vo6BCbQHDCB5oAJNAdMoDlgAs0BE2gOmEBzQAXNAVUEH/Gy91ZS3Ufv7BDIHgZkdG24QyDbXGSAJXYITOJ1h8DEee//Hb7VyEDbhCYHmJ2eB+OIj4GMh1t0CDS2X54IF8Uxn0ITKdDPEYzs7tqwDYNP+AYjwxF6YYPwUiV4qRK8VAleqgQvVYKXKsFLleClSvBSJXipEuml+vwhQMa7BjsEsk1tvkPg2jvd9bzWp3yLKYGa9Xyt15V+z1SyEYQ7BK690moCXARnfAJkHH6b5JFgRHfXRm0Ye84z9qYmSiJXh8BlYQSaEovXfp5EEISwc4jdDtgyTyIIq/Gw+IWzDeNAFIOw6YlfqnryJIIo7eZJBEGou7UIDNfCV5DiJuRJJPEI3q6JNdl6ZbbqR5J4OsyIghNcBno5gZ3Tviwa9c3DoNXlSerns5SDvrEFxo4r74wSU9ShwOG1r8QEQQi+Ca3EZAuMBQdD4wdja6UmiEFwu3il5ikwFkQRUWqeAmNBFGrEwIDYKHqiFK1pNV+BsSQfwSE2KtZWXUkST5cZUXCC12CLNV+BsSQb9d3DsNWptfoJLeWgb+y5/cjVDXDpkglDgcNrX60JghCcE1atSZ7blxwKjR+KrbWaIAbB6+K1mmdXTRBFSqvZSA5FSajhAsNho+iJUrQn1Zzn9kXxCM6wUaW2alSSeBrPiIITfAZfqTnP7YuiUd88DFqdUKufz1IO+sZelBm5+gFCt2naUODw2hdqgiAE34QVatd2UabkOGn8OG2t4gQxCB65ERUniCKi4pwXZUqSUGMJgsOl4gQpWlNxnosyRfkIrrJRGbfqYpJ42tKIghOcBlvGeS7KFGWjvnsYtjodVz+hpRz0jW0gGLkaCCb+u98tQ4HDa1/HCYIQnBNWx4k0EJQcA40fg601miAGwd3iNVpdaxpJIBGl5mwgKElCjRYIDpdSE6RoTal5GgiK8hGcYaNKbdXJJPG0phEFJ7gOtlLzNBAUZaO+exi2OqVWP6GlHPSNbSAYuRoIJv7b3W2iFYXXvlITBCE4py2U2nYNBCX5NZ5/a5UmiEFwtQ2qNEEgEZXmbCAoSUKNFAgOl0oTpGhNpXkaCIryERxhoypt1ack8TSeEQUnuA62SvM0EBRlo757GLY6lVY/oaUc9EKlDbMsLcI8GGSTcaAm00kwiCZhEKlROE6Gg/E0mt5rXaVZXa9RaQV5KFB47as0QRCCc8KqtI/hjia4t6cz+9Xs6fz9+Xvz+7MXs8/n784+mz00//W4km46hJt+bMT7osQaT7y1LhPEIDjXBnWZIJCILou6obahHIqiUIMDAsQlzAQpWhNmyl2uJolHcH2N6rJVW5LE02ZGFJzgOti6zDWnfVk06puHQauTZfXzWcpBV7JsMk3SdJwOgyiK8kBF6SgYjEa6So5OzNcmebx82NuUZY5+gMp/h7tlKHB4rcsySRCCb2LIMrg68bmRZu/M71epzYfzjzqvwQ0dcD/H1/OPjEb7cvbwG7UyTXIENH4EtpVpkhgEX9ucTJMEEpFpYTfWNpRDURRqsMCA2Ch6ohStybS4mztkmigewRU2KdPUqh+J8jSYEQUnuA62THPNaV8WjfrmYdBqZBpiPks56IVMS8PxIImSQMdqFCgVqmCYhgX8rPnzzd8wLJYD06ZMK2xDYWRaRB4KFF77Mk0QhOCbsDLtl3DxNtyYVp0ReNKBW7OrgwPrIwZVlvMJ3LoNt2K/N//gO8s71B+ZLzyEm9bh98AF23CtB5xAeNqpbmB/ARdoX/pO9fvg1u2dKA7DnVjbD4Pviw6ixg/i1kpPEIPgrglKz3VzuCSJiMRz78RJolADDQLEJfEEKVqTeFGiuzqxAd6WBSQ40kZF3qrTifJ0rhEFJ3gNtshzz2pfFo769mHg6mRe/YyWctCLJGk0jqKxLoKhnsKNIKMwyAs1DdQojNIwjIdTtfSwbco8VxtBFVPHAsfXvs4TBCG4J6zO+1m1yfZk/k5Q3cz2dPai2m5Ld5RLggnyaTzf1hJMEIPgTPESzH3qUxJFRIOF3UzbUA5FUahRAANio+iJUrSmwTzbbJJ4BBfXqAKLV/Ha07FEFJzgNNgKzLPNJolGffMwaHX6q34+SznoVnsHWlfmRlAlXji9CXe9vQO51m66i3+rvQO546Nw49NE70CuiZpkIsK8dWvAh7OvzMsPnQT3OsniX2rxL91Ae8EHs98a9fyH2b90Zv9i/qpnVdb6M/Mz78wed21DdMAeos3YINcJkGvhpk6U7ATItXEzDMl0AuRad32dABU0AVTQBFBBE0AFTQAVNAFU0ARQQxNADU0A9aq9lqrumXc2AWSPADJMNtwEkG0uMlISmwCqZN0EUDnv87/DtxoZMZsQ1wCz0/NgHPExkIFtiyaAxvbLE+GiOOZTaCIF+jmCkd1dG7Zh8AnfYGQkQq9QEA6qBAdVgoMqwUGV4KBKcFAlOKgSHFQJDqpEOqg+nx4Z5Rrs/8c2tfn+f2vHdNfzRp/yLaaEZ9ajtV4b+p1SyUYQ7v+3dkirCXARnPEJkCH4bZIzghHdXRu1Yew5z9ibmuGIXf3/lKJRYvHaT3AIgmyKE9/0IJf09ASHIJ/G8+HXuzaMA1EMwl4lfk3qSXAIorSd4BBEoW6zYkBsFD1RipuQ4JDEI7i4JtZg65XYqu2I8vSREQUnOA308gE7p31ZNOqbh0GrS3DUz2cpB31jj3vFrqZ/SlOHAofXvvwSBCH4Jqz8kjjuJTgCGj8CWws0QQyCr8ULtNrjXoJAQjLNedxLEIUaLDAgNoqeKMVNkGmSeARX2KhMWzUdUZ4mMqLgBNchIdMk0ahvHgatTqbVz2cpB31jL0uKXd3+VEodChxe+zJNEITgmxgyjXtZkiSxxhNvLcsEMQi+tUFZJggkIss8R7QEUajBAQHikmWCFK3JMvdlSaJ4BNfXqCxb9RBRnqYwouAE18GWZe7LkkTRqG8eBq1OltXPZykHXcmyaFCM41EaBUaqwX2XiQ6GUZEHkyILo/FwnGk1ude6LFO2oTCyLKMOBQ6vfVkmCELwTVhZ9snibD3IsgfQDWZ+f/5DS7np8uQ9nJufvw9H6OGzqx2SYF90FDR+FLaWaoIYBH9LkGrOsltBkrY1miAKNVIgQFwaTZCiNY0WOmpeb8viEfxgoxpt1T1EedrBiIITfAZbo7nmtC+LRn3zMGh1Gq1+Pks56Bvbty929e1T/ivXLUOBw2tfowmCEHwTWqNJ9O2THAONH4OtFZogBsHbEhRa3WaaIJCQULNKzkNREmq0QHC4dJogRWs6zdO3T5SP4AwbFWqrBiLK0xFGFJzgOthCzdO3T5SN+u5h2OqUWv2ElnLQN7ZvX+zq26cK6lDg8NpXaoIgBOe0hVLbrm+fJL/G82+t0gQxCK62QZUmCCSi0px9+yRJqJECweFSaYIUrak0T98+UT6CI2xUpa36iShPfxhRcILrYKs0T98+UTbqu4dhq1Np9RNaykEvVFpSpKNEJYEKJ6OqWC0YpjoKRtN8kg+icBpn6l7rKs3qel9Pl0eyKUOBwmtdpUmCEJwTVqV9amL7k9ljOKl5cdn4pZuSzJeedar7eV6YL92vriV/VN2rBHeVP6tXdrZx2hcdJ40fp23VnCQGwSXj1Zz74KckioiOS+xLvkNREmosQXA4dJwkRWs6LtLdwpEWFeUjuMomdZxeNRzRngYyouAEp8HWcc5J7cuyUd89DFuNjkNMaCkHXem4bFiYvyGZBDrP4ZRongfDbJqaX4ajwWCQpvFgcq91Hedo9Kcj6lDg8NrXcYIgBOeE1XH/aiTYw+rODaPLFrdlPq6U2Rfmy49B1kH3l878J+a7Rr/tdczv+N3sF0b//Xr28ezBQsX9Pklsg7EvOhgaPxhbizVBDILfxYs1M2ef21DeEEUREWthN9E2lENRFGrEwIDYKHqiFK2pNa2dRWyifASH2KhaW/UN0Z5OMKLgBK/BVmvOSe3LslHfPQxbnVqrn9BSDrpSayrJp2EyzIMwVjpQmUqDwTQZBoUaFyrJ0nCYDO+1rtYK21AYtRZThwKH175aEwQhOCe0WoN9tPn92ddwIcdL+HhUnTCAy66fV1osgfZ8kQ12XxRW42G3VmOCGAS/ildjnq0zQRQRNQZ34V4FORQFocYDBIZLiwlStKbFwm5hnaTbsngEb9eoFFu1ENGeljCi4ASXwZZirjnty6JR3zwMWp0Sq5/PUg7a/PPXe4t+HH/lU1qNtoZJut+xYRqVpayYcZbmRaqSaBOzpeYwymbtLba1m47jGpvDmC8/hf2wzuxncAvaupvyi9nne53ZL6vmMF/NP5x/BL/fNgr77FFQuFFoogUM10RNMhFh3uUWMNGi6QujE4wy3/mNmWOY9K+qs7g/rmYc2lY/6VhyzNUXH1a56K9gc/Nd81verZLYz+cfdPb/7rt/H/SOL56G19/63g/efuvN7/9N9S3znVvfffNv/mHw1nivUx0f+QI6Bs3f6YA15s+Bq/Le+2YnhQO+5qMDl7GYn/xR9Ryab5y+fqdThPYWmwfs2dkMQ3LdZ7gWbgpSye4zXBs3I96W3WdMNLLnmntsC0U60GzanWvdza1r/9t8w5FBlN44pkgTZ98YtrXIIOrrG4O38w7fTmT4JGnuK4+xSsNIdXNrlueIbzsy6NW3h7licKriPHPcX3fMN1gTDcY2X7CZecI3ExkL2MsRt3vo841Ghgda2xb3K3eXb+mWXVvwNp7ybaQEMs4j4HUJJdvuZpqzkNzBGd9YZER7e1tXcM4zcREfskGUF6NgMBqHgRpCCXBkflnkYZyneZYMi6UXdi52Pat+7oI3ci55UxonFrD9xIIgCGGrDbtqrm+keWVFvOyn+vOq9Bfqdi3jsC86Dho/DvhFqQ3jQBSDsIHYxOpNkEQm5WDv1XQoSkLd+cRwmAiUuhaDgiitJR6yLO+GjrNXooAEf0haBtWlHlbXE2rPdZOi4ATPwdb67lnty8JRX0EMXF3yoX5GSznoVvvRKxuc0V/+m5rSTbhrTjkwrUXumWDF03WnHJijoHCj0EjKgWmiJpmIMO/fUw42ccucHeQ2UxOilWkhck+JIkbdKQemjZSdGoSFrtIWpnUi6YYrYdjW8F7nyz7RurpZ0NnInk2GjK8N5yO41iIjrC8fcWXYYfDWfey18wLHO3yrkZG2CVkOMDs9D8YRHwMZKusTFQ7bweydyxPhojjmU2giBfo5gpHdXRt2NY/BNRgZYNBrG4TfKZF+p8+nQgYlWqIjUko5+9OzTd0y03FlvPsXDueu50095VtMiaasR2a9VvQ7m5KN0EwKpN7RrCbARXDGJ0BGVlJe5Fswortro65mSDjG3tQMiXL1p9f++/muUGLx2s+PCIIQ9gOxS3y5/IjgOGj8OOBX0DaMA1EMwi5nE0tNQZKW8yOCJNTNWQyHLz8iiHIz8iOSgAR/2MRCbL0cW104qz03CIuCEzwHeg2Bn9W+LBz1FcTA1eVH6me0lIOGwxmVYiuW6E499oPJ6O3vvvl9y0gw5Ji2YRolVvgwQ/ThDLetFJG1SpYU1qq8W2xrNx8yz8hilVR1Q9yPq33yaisbumO9N//AZreRR8U3e2zjrzg+t/Xb+b3FhmUa7pkPp6PjQig6BH5VCJYfg+XHLsuP+ZZruuX41aAx/AQMP3EZfsI3HP/U8z3rYrPJAJQugJINcGULoQaA9rycgdVnLqvP+Fbj3Thx58AYfQ5Gn7uMPucZ/Yo/h3+1dGRQu8snU/sVFXEeZZmJpoVz6HHG8iKSMdu61rrFNheZVcCGpE+rxT3co/DHKkVbpXC/rJo2fj2/b1b8DzuzR7Dgf1Kl480PLy86hQ2B6pIsuAP1o061IXBxZ9ai2yOkep/Mvpz/yPzOp7Zh2GcPw2ZkaCSBP3sAexoBXPfVqZLM784/MsY/MSMAd07MPjd0Dxe7IJ3Z5xDBq+teq7qGxaA8nX1RXRb2uEpwP4JvXAzMMh8+f/+V4N+1DctfsodFk4YFMSQ28w7Y5iGTGpStDJglm5FvsI1E5igouxTOxDnXRspWP8JCq3Lusa0TSZxfSfY7r91im42MW/SseJQWZpHnTIyzDUbGLspBPa+pd/imIuMWaTGCfSSO+GYj40z98uPKOOs4zsLIYfEx32JNtBgrJW1mnvDNRIYC9t6Uuw0p22RkYCAmr33v212+sVumr0lmnvLNpASyJh+Dkm1yMzlqmjs441uLjGmkVaXNxHOeia3VfWv7QsysG2Or2as928w5sjhTG183Ms1Fxt8/mXUjcxiQ8fxPdt3IHBZNGhbEkNjMO2CbhxQLDa0bmUYi5UEz60amjZRwi7DQUXDNte66141cs5FRq/l1I9dgZOwiFlSn8bqgOnXeYHeHbzUyhEktIblmI0NO/RLSWdeYxjuXB95dQM2m0EQK9HMDI7u7NuzqApNrMDJmSCwwuSYjIwhtgRnrJMsTZ30029gtF5iW+ui1/7jr8R+nfIspwa/JJ6Jkm9zMWrPeb6wG3F0PzSZAxkbS+vNbMKK7a6OurkQ5xlYVNtU/YPZwOh4OJnkwnObTQI2m46CIxuMgHJjfr4ssScPl1KyXrptP1+TvJuvn5jIrco0Vdzuz380+m//v1Vrovc7s17NfzT7pGP3/ZPZFtRQwSwpYPjxZrhPWa6oXZv1Qt4QyC9/km+YRSKxDBSOyOUrYUbHGavdokMK1q/xEOSpPpPA2YzoCD/96LgtT7EzHYkyazoR/YRclK3akEzEk/DuJdvquYhY7WimFdiUy1KDRnr4zF8+ZGM9mnKjhIT155y6ccxGcV3YsnBubDZRpxq6DMqmyMsWFznVRhPEmmGtHs6HyTJuRt9hG4uvTkGF29k8mkL5XhdP35h+sgufyLMu6ve9yX+6lDWbfwEAoZRK1Xaqp946yKHcFTC7EZkREQNB80jFYfuyy/JhvuaZbTvI+J2D4icvwE77h+Fdh6+im90oXQMkGEC/V1HtnLqvP+FbjXTkrUum9c5fR5zyjX/HtwvHIGZG01+zEOdZoK0kRyZlbY5qJfxGxMenT2W9m/3wlobZY+V1OmdlITEDSEJCYOG0HpNQVi7j2txGL7EYf843WdKNJruXEZfMJ32b8g791BLLbXrJtFw8+doPP+AbjXTYr7tjtPefZ22bIcQad1Gu4cg402k5i0HGGHaah+LePGHZeVP2vv4AL2pYn/uc/ru5ae2/2dDMovWaNStZnyYSlFMISE7ftsJS5whLX/jbCkt3oY77Rmm40yfOcuGw+4duMfzG2Dkt220u27eJhyW7wGd9gvFtnhSW7vec8e8Hg5VvYQlhyBib7dT0r06+08GshMLlumeWain8DsaHpF7MXJuK8V6W7XiwLDpe3iL6Abbunq2LDJ3DtbLV599izPsogEDHh2g5Ezr06rv1tBCLnNh3XaE03muRrTlw2n/Btxr8GWwci5+Yc03bxQOTcl+MajHfkrEDk3JLj2Nvu+sgTiuwXlqyMR9953mgocq6TmMbi30JsMPrDOkH0bJUYsoWfl7MvbSQm/OQQfpg4bYefwhV+uPa3EX7sRh/zjdZ0o0ke5sRl8wnfZvyDv3X4sdtesm0XDz92g8/4BuPdNyv82O0959nb9jrIE4AKr/no01cNByDneohpLv5NbD4EVWujL2YP5z8xi6ZHi1NHX5pvPJ89n9+vVlLQSAEKBZ91Zr+cPZh9bGM3QQvuo+IOQMtBK4P7qLLUfOQxfOTmo1B7R1kYwkcKJRCu26rYiC3EtQxuqzJcx8B1DFzHwHUMXMfAdeziOuZzaToXybudANYJYJ0A1glgnQDWCWCdANaJC+uEj4V/J7eNjhncdGXwSsArAa8EvBLwSsArXXglG086gGZwD5ZhOgOmM2A6A6YzYDoDpjMX0xmfCR+jODE2g1uyDNI5IJ0D0jkgnQPSOSCdu5DOeUjVY7hAgngmeofWpVjsisZZ6KVo9w6tdSiGM9w2e2+x7d0MRlsehqbEYigvrE6fXm2fZELyoqnRO4vWRstuSpcaJpmvffv7g3+YLm/Y/jSIonj53z+Lgyjeq/6tF/+KtW3Y9tnDthngmjk8/Yv5B3Ao2mgROEpuBgaOT3fgSDTcIP67xRiYwVmfhDA/9bxzq3cUGK3y32yEf8km1CRCBB2mzdYntn3rZfetIHb/wKcw94t72Oc/NT+8SNVGsV71wHq3Axe3V4lauKn92er6dhjLlRisvvAIDqjDH18dVn9RnWB/r/od0NTrOfxlXy2fwYeLX/5y9unsk+Av3/if4lf+mvcXO/ILI18sn3UwF2yDx/rF4hnHP/7VQ1Adka9OzMMZl2cwHr/N9H9WYaVsP5l9mun5+zpcAD+6kid4XqnfqjndV1UTsip5sLDjaQX7TmULXE3w0Ni1vuP+q6r8t0p/bw6yXvUZq37s5eJ3VV7gw/k/dhIdKA0sn8ObOXueLEyD3/y4eoTfXcB+AaNWkX89W90S8NP1MZ5wLw87AfxLd/6/z/4X24N+wH7QU9yDTjlRb/XRb7AtRB6GbOQ4PdfGTQm55XH6NI1C+53LPbaJImfqrwgoWxOzLII1GCy/sgQ+FHzoZYMho7V8jc3YtEjZxDiKXxSu23m+zTcXKZyIB/GzcH0QfzHONqvv8K1GyqftFvKrq/SzcKfnwTjiYyDlDGOxvjpga2y/PBHug/lsCk2kQD9HMLK7a8OurLvZBiNDD/pgPsIZleCMSnBGJTijEpxRiXRGfT4pMoQRz/PnWea8Lo5tavOn+ddO6K7n7T3lW0yJvazHaNX5ocYBlWwE4dP9a+ezmgD36X42ATLcEndj4NlZG3Vlq4VlLFib56pIc6WCQT4JA1Ukk2AwLabBYDKNIj0ZhOFktOBx7sJ8b+BsNMLdiXHuxTiu03NhYvls+zUeLMqejQ3klijIphLxzQ9yM+fVJh1mjQcrwsUddg+hlxksdb+C7QlXqgUWrFUSpfPa4koGWOma9d9PoLe1+W/4WpWE2essdz1eVKvL5dfmPzGrV/jq1+b7j+f/WFVXfzX/cFHgNn+n+43lbs+lZTX0WLu0dn7lIj1Ynn5UrfmrBe2Pln+XozBOcrI0frLwGyw2jANRjE394sEgLJ8XGbmvq+fjy/l7Nqw3RLFkGrTZOA5FOTZ1gYejkXW5IEpr7dnyvJtY+W7L8hHcdxOLyfWSMlr28lr8hw38SBac4EPQ6yD0pPZl2agvIIbNO6F9zISWctCVuBwPwmQyHk2DoRoXgQp1HhRFlgT5QE+n4SDMwvFyYFoVl9ZNWSMuY+pY4PjaF5eCIATvRBOXVSpj/uF3quwAHLb7ukpBPAJlOf/HKs3wDL6X6R0V7oR7aQi/SmbPbWOwLzoGGj8GW2s2QQyCvyVotipr0+3Y5+UNUSARtRZ2cxvJoSgJNVwgOHRsYp+yofREUVrTa2nSzRIb321ZPoJHbFSvxavw7rwW9EgWnOA/2HrNOal9WTbqC4hhq9Nr9RNaykFXem2iCz3IxxPzzdD8bDQqjKwLo6CYZNkgziZqEo3vta/XrA+A0WsJdSxwfO3rNUEQgnfi6bXFrtqyNubJoivD7Fln8WUj1nQl1pZ7bwoyc1eHYF90CDR+CLaWa4IYBHfboFwTBBKRa44LIA9FSajRAsERJXked0Pr69IThWlNsBW6G2Y2vtuyfASX2KhgS1bxPfEINklwggdhCzbnpPZl2aivIIatTrDVT2gpB10JtmSUTnQUhkEew88WqgiG+WQSRHo4GRVDVehM32tfsCnbWBjBpqhjgeNrX7AJghC8E1qwLat2H75aXQvdtV5Wm2s/qnqRvajyph8tM6m/N1Lu/aqu9+HsSyiWhmuuZl8uvrss9LWNzb7o2Gj82Gyt5AQxCH6YoOSeW5dJb4iSiEi40Mge6xb9oSgLNYIgSBKVdDOV2lh6oiytaTgVxmk3txYl3ZYlJPjJRlWcWgV95VFxkuAE78FWcZ5p7cvSUd9CDF2djquf0lIOerHxlobjQRIlgY7VKFAqVMEwhd9VteeJomxYXEeiVNvGwug4TR0LHF/7Ok4QhOCfsDrul3D4rTon9Wj+wfKqt/mljgzV5tuT9Tmt+QfL7bmLw2yXDrE9qyrobMfbni1+XxTv6Z0oDsOdWNvLq/dFB1HjB3FrwSeIQXDZFMFnFUlviJKICD7H5VaHoiTUQIPgiLMsVfb9x54oS2tyL0p0V1vXGbdlAQnetFG1p1fSQHvUniQ4wXWw1Z57VvuycNR3EANXJ/bqZ7SUg4aGigAOKqfFmy1cBW+pDzMKNzFbu9kishp8i23wpvf4t3K1RbK40kLZRmufPVoKN1o34UYLJqEmESLo+FdZJI4feNipdly/hsenutOC9iTtXb2eIWDdgrFxxcWDapf4/vyHwexfzNeeVZZ/BnZfz5UXOnzlygsdXtuVFxeT9evZP81+N/tn8/8HndkfqjZ57y3/ZDNe8Fygrsf4H58L3o/BfG02tYjg/RhMC5GHi/FLE9/9GEwbN0XPlvdjRKnjYsYe28JrvB4jg/sw4GLCrIArCuHGwjxanUhP/ddjcGmR2qvp6zG45iLVF/V6jPTieozUcz0G12qkBGti8QYwOz0PxhEfA6mNtrkeI925PBGe6zG4FJpIgX6OYGR314ZtGHzCNxgZedArYIQzKsEZleCMSnBGJTijEumM+nxSZARr8noMrqkC12OkF9djON/eU77FlNDLeozWuwx+B1SyEaSvx0h3Lk+A53oMLgEy3JKvx0h310ZtGHvOMxasxZ12BB7nVo5nU4u7neO8HsPbduMqJpav/cScIAhhKxm7IfRnfj2G4GRp/GThd2tsGAeiGJv6xYNBWD3jrscQxBLJBrrq9wU5qHkIDIVnWS5I0lom0Hc7hiQfwXs3sZZcryizVdoo86wqJcEJLgS9DEJPal+Wjfr+Ydi8E9rHTGgpB11py8FgPB1O0kEwGEZQ6B8Pg4EapkGq9DAdTs1fAEVnrWtLV7LQ21PHNhY4vva1pSAIwTvRtOWrt2NsnrWEr+lwedCy5lYMQXaNZ99aqgliEPwsQarVHbMUBBIRaXE3tKqbQ1EUapxAgCSJ8XmFddugJ8rSmlJLVVdb+W7L8hF8YaNKLV8F9tyj1CTBCR6ErdSck9qXZaO+gRi2OqVWP6GlHHSl1KajUTrNhqMgz0Yjo+pGUTBUg1EwTQdxPBgO8zxbboa3qtQS21gYpVZQxwLH175SEwQheCe+UvPdY2bkGuoeM8Ex0Pgx2FqxCWIQ/G2Dik0QSESxue8xEyShhgsERxQX3cK6Ru2JorSm13TUTa2e/bYsH8EjNqrXilV4Lzx6TRKc4D/Yes05qX1ZNuoLiGGr02v1E1rKQd/cazEc+YDX09zbu8E2Fji+1vWaJAjBO6H1WpvXYkiOjcaPzbY6ThKD4IcJOs51LYYkiZCAc16LIclCjSAIkryrlLaR9ERJWlNw3ksxRAkJXrJJDZeHy5Cfe1rSiYITfAdbw3kvxRClo76DGLoaFYeY0lIO+uZeihG7LsXIvZ0UbGOB42tfxQmCEPwTVsXdzEsxJAdR4wcRL/c4J/ts6Aei6AQ3T5GIjlNokiQiEtF5kYYkCTU4IThSuPrWul3ZE0VpTSH67tEQBSQ44EYF4qoXUe5pLiUKTvAcbIHou0dDFI76CmLg6vRh/YyWctAgEH26r9nrMxx51jz20eVX6K79+gyuwZtO48/j+gzuaCncaN2A6zO4hJpEiKCLCBdmZLgLM9KrlzUYxb64rYF9+0V1SGf2Cxju6sF8DM/u8rc/71R5/i8Wq4blrRPVlxd/QLUQsT60lMstOtdyuwXqxoqkugXjyeJnFzzV8Dy+9LvCvRCYfjF/D37Xa7PnO//j4ezTb3RtT+gB+wndjPZyN1VwLUSe88Vrf89NFVwbN2XFljdV6MJegtBjG3h9F1XkCdxMoeBDw0cKH9nybHgeey+qYNMiVU7DF1WwzUXqHOJFFXm8vqgidzbKusO3Gil2mlgdAcxOz4NxxMdAqpAtLqowtl+eCPdFFWwKTaRAP0cwsrtrwzYMPuEbjAw86CUmwhmV4IxKcEYlOKMSnFGJdEZ9PikygDV4UQXb1JxgKmYO+hdO6K7n7T3lW0yJvKzHaL2M9zugko0gfFHF2vmsJsB9UQWbABluqRdVmGdnbdSGsec8Y29ssixxXVSRJzRMLF/7yTJBEMJeLXbr5YYmywQHUeMHEb9fYcM4EMUgbF83sagVJGk58SVIQt11R3DE2rhNx2FESZSbkfiSBCQ40yaWdusF3qpHYO5p+igKTvAc6FUJflb7snDUVxADV5f4qp/RUg765pa3J66LI3JFHQscX/taTxCE4J6wWq/d8nbBsdH4sdlawgliEBwxRcJZ3e4boiQiEs5X3i7IQo0gCBKz6nX0AJIEaU3C+avbJQkJTrJRDbfqD5h7Wj6KghNcB1vD+avbJemoryCGrk7E1U9pKQd9c2//Spy1Tpo6Fji+9kWcIAjBP6FFXJO3f0myazz71iJNEIPgaQkireYuCUkgEa3mvv1LEoUaJxAgURx1C9dtEpIsrak1z+1fonwEX9ioVlu198s9DRtFwQkehK3VPLd/ibJR30AMW51Sq5/QUg765t7+lThvk0ipY4Hja1+pCYIQvBNfqTVw+5fkGGj8GGyt2AQxCP62QcUmCCSi2Jy3f0mSUMMFgkNl3dzq+HqiJK3JNc/lX6J8BIfYqFxLV9Hd06xNFJzgPthyzXP5lygb9f3DsNXJtfoJLeWgb27LpsR5bYS3xYBtLHB87cs1QRCCd6LJtT/Xlk2Sk6Xxk7W1rhTEIAQGgq5EtWySxBJRl46WTZIc1NiGoPCcTxMEaU1aejo2ifIRnHej0nLV4Cf3dGwSBSd4ELa09HRsEmWjvn4YtjppWT+hpRy0+eevX9FUyvzrr3wSstkbKJSN1ojH3EcbxZu0Ld1A4bjp9hbb3k0XsuUFFL/bEEkPO8v7Il4gbpBI43R1IuJV5bW8VCKIQrhUIogz2wjss0dA4UbgJlwqwSTUJEIM3SeVen4Ein6vs7xiIl78K1n8SxHunVDmBywPzsWdE/BgLK6FWNyUcPkWCPwlJleuYcj08hoG/L0V9sM61R0Wn6+PAFV/7fIqiBfV6qL6gSt3Xnw6+yT4n+Lqb1/e5gCXRbxyDxyslxbgr65WiNjuazAy/co1GJmGazBu9i0Y73aq3/y4emfeXcBelOBWW8swP+bvqAw0r1y4l4edAP6lO//fZ/+L7c06YL9ZmzpE8DIMpoXIs8SEBYnnMgymjZuKZ8vLMLI86VpTuD22hdd4G0axd5QWIXxE8BHDR7I6gJ77b8Pg0iIVF+M2jDjW7tswuOYiNRf1Noz84jYMZ3usO3yrkcqriYUbwOz0PBhHfAykfNrmNox85/JEeG7D4FJoIgX6OYKR3V0btmHwCd9gZORBr34RzqgEZ1SCMyrBGZXgjEqkM+rzSZERjHYbRpQlRVe7bsPgmpoTTMXMQf/CCd31vL2nfIspoZf1GK23GPwOqGQjSN+Gke9cngDPbRhcAmS4Jd+Gke+ujdow9pxnLFgbJrFKJ6MoiMdZHKi4iIJhkobBIElTnYa6SIbLh8q5gePZ0eJu4jhvwyhomFi+9nOAgiCEbWTsPhAyB3glp/bKdpF8IvA7V5N8i79vseP0yoIZfpdZLlfrULNSXu0b2KZqX3SqNH6q8Ns5NowDUQzC/j1h7YzLAApitZoBFOSgpiAQFL5FuSBJaynAKDJxSNsAb8sCEpx3E0vJ9YJy1Yow9/SWFAUn+BD0Kgg/q31ZOOobiIGrSwLWz2gpB11py/EgTCbj0TQYqnERqFDnQVFkSZAP9HQaDsIsHF+HtrRuyb5uFsLUscDxta4tJUEI7ommLbHHATKNOg4gOQYaPwbbijZJDILDJYi2muMAkkAici3s5ladcyiKQo0XCJA0S7p54dBskiytabY06WaJje+2LB/BJzYp2YpV38HC00pSFJzgQdiSzTmpfVk26huIYatRbIgJLeWgF3fj6kIP8vHEfBOu5YhGRTCYhFFQTLJsEGcTNYnG99pXbNYHwCg2f9Mky1jg+NpXbIIgBO/EU2yL7bXNyzY6iy8buba4b2O5N6fsy6990SHQ+CHYWrAJYhDcbYOCTRBIRLDF9tzBoSgJNVogOKJUacfdBT1Rltb0WqG7obX487YsH8EjNqrXVn0AC09nR1FwggNh6zXnpPZl2ahvIIatTq/VT2gpB31z77dVriL85fVBhLHA8bWv1wRBCN4JrdfavN9Wcmw0fmy2FnKCGAQ/TBByrvttJUlEFJznfltJFmoEQZCosJspazTsiaK0JuG8N9yKEhLcZKMiLl7FfE8rOlFwgvNgizjvDbeidNSXEENXJ+Pqp7SUg17ccBvFRTHWo2CQDvJA6SwP8iiaBMVglA4nKi7ieHCvfRmnbWNhZFxCHQscX/syThCE4J+wMu7jxXEz28G01bG0Z6seVIuzaLPfxlDo9vHsD7MHF02mfOJNcEQ0fkS2Fm+CGAT/SxFvVsHzhiiJiHiLXf2lJEmoUQPBEWVx0nXddyvJ0pp2i0Lj4V37b5KABNfYqHRbtSMqPA2mRMEJroMt3dyz2peFo76DGLg65VY/o6UcNEg3nyJr9l4LbaMzWkz56PJok+6677Xg2rvpM/5077XgjoDCjcANuNeCS6hJhAi6rW+yyFu6yWLv6l0KZuVIvsti4z6KB9WO7v35DwPzOx+a37c6dfNZxfr4z/aeiotrQtYz+evZP5mZ/mfz/wcds1r6av5hZcXD6naQZ/DAtHenRdf2Wh2wXyvk0eImFitMC5FHgvGLEM+lFlwbN+XNlpdaFNp1gx7XwOu706LQcIlFCh8ZfOTwUSyPkRfKe6cFmxapthq+04JtLlJvEe+0KNT6TovC2Z7rDt9qpOpqYpUGMDs9D8YRHwMpnba408LYfnki3HdasCk0kQL9HMHI7q4N2zD4hG8wMvCgl7oIZ1SCMyrBGZXgjEpwRiXSGfX5pMgA1uCdFmxTm7/TYu2E7nre3lO+xZTIy3qM1tsJfgdUshGE77RYO5/VBLjvtGATIMMt9U4L8+ysjdow9pxnbGVtPNSTqRoEYZrqIIomeZCH4yIIQx3qNM+jQi/jsXPzxrN7xd3Acd1pUWgaJpav/XSaIAhhzxi7B2RJpz2qVpmQVnux+ObiHvlfzn4x+7hKncGy0fzaOpP7ogOg8QOA3yCxYRyIYhC2wJtYkAqStJw9EySh7txjOKKwm7lq1wVRWkueJZHuam0DvC0LSHCETSzL1ouzVXPBwtMtUhSc4DnQKwr8rPZl4aivIAauLnlWP6OlHPTNrV7XzvshUupY4Pja12mCIAT3hNVp7VavC46Nxo/N1hJOEIPgiCkSLrGRvCFKIiLhfNXrgizUCIIgUd0it5L0REla03D+4nVJQoKXbFTErVoOFp4ekqLgBN/BFnH+4nVJOuo7iKGrU3H1U1rKQd/cW760884If9sjy1jg+NpXcYIgBP+EVnEit3wJjoHGj8HWak0Qg+BxCWqt7tIIQSAh0ea85UsQhRovECB53E3sd4T3RFFaE22+S74k+QgusVHJtmrlV3h6M4qCExwIW7L5LvmSZKO+gBi2OsFWP6GlHPTNveRLOy+N8HY2sI0Fjq99wSYIQvBOPMHW0CVfgkOg8UOwtV4TxCC42wb1miCQiF5zX/IlSEKNFhiO0Pg+l1wTRGlNrvnu+JLkIzjERuVavorunt5souAE/8GWa747viTZqC8ghq1OrtVPaCkHfXM7NGnngcSCOhY4vvblmiAIwTvR5NqfZ4cmyanS+KnaWlYKYhDCAkFWojo0SWKJiEuXtBTkoEY2BIXnhJkgSGvC0tegSRSQ4LsbVZardj6Fp0GTKDjBhbCVpa9Bkygc9QXEwNVJy/oZLeWg2729wppceT0Lvc0M8niT7ppvr2Dbu+kz/mRvr2CPgMKNwPXfXsEm1CRCDN0n1e0Lj0DB73W2vssivb67LIJXblzY/jKL2b9Ul1kAanWRxfVdY6HDV66x0GHb11jo9Q0hTV9j8T8+b+IeC9v7dcB+vzblh9g1FmwLkaeACQsR5zUWbBs3dc6W11hEcW7fCOqxLby2eyyyMNozHzF8JPCh4EMvjo4bHN89FnxapO5q9h4LvrlI5UW7x8KYs7rHYjnONqvv8K1G6q8m1msAs9PzYBzxMZAiin+PBdh+eSKc91jwKTSRAv0cwcjurg3bMPiEbzAy8qAXvQhnVIIzKsEZleCMSnBGJdIZ9fmkyAjW3D0WfFMbv8fiwgnd9by9p3yLKaGX9RgtNxbqHFDJRpC9x+LC+awmwHmPBZ8AGW6J91jAs7M2asPYc56xNzbzlzrusTAei4aJ5Ws78ycKQtg9xu4G/Rln/kSnSuOnCr+pY8M4EMUgbNsT1s6YzJ8oVouZP1EOauIBQ+FZlAuS3ITUnywgwXk3sZRcLyiXfQaX/2EDP5IFJ/gQ9CoIP6t9WTjqG4iB86f+MDNaykEvWg4NxtPhJB0Eg2EEFWjxMBioYRqkSg/T4bQookzda19bWrdkjbaMqWOB42tfWwqCENwTTVu+empz8wgAfE2Hy/p/72lNUXaNZ99arAliEBwtQaz5q/9FgURkmqv6X5SEGiYwHGnRzbUNpSeK0ppSS5Wjg/ltWT6CJ2xUqMWrsO5uDikLTvAfbKHmnNS+LBv1BcSw1em0+gkt5aArnTYdjdJpNhwFeTYaBaow6m6oBqNgmg7ieDAc5nm23ApvVacltrEwOi2hjgWOr32dJghC8E58nea7XcOINcTtGqJjoPFjsLVeE8Qg+NsG9ZogkIheC+2V6IeiJNRwgeCIwthRUy9K0ppc08azWx37bVk+gkNsVK4lq+jubggpC05wH2y55pzUviwb9f3DsNXJtfoJLeWgb+6Vtqnjbo0sVNSxwPG1L9cEQQjeCS3XWrzSVnRsNH5stpZxghgEP0yQcY4rbUVJhPSb60pbURZqBEGQpN3UcaWtKElrCs53pa0sIcFLNqrh1CrkuxvHyYITfAdbw/mutJWlo76DGLo6FVc/paUcdKXidKyHA5XrIFHROFDDNAsGWZgHhdJhMtRhOp2M7rWv4rRtLIyK09SxwPG1r+IEQQj+CaviLA2kqpNjVYL0xSI9uqx7m/1y9unsk+Av34Dato9nf5g9WHwdekr5pJvggGj8gOClm8Dxvtlj29gciI4NwadT9KBVebwhSiKiB11dqkRJqJEIw5HHXes5554oSWtqMApVV9tvX5MFJDjbRsWgXikHd5MqWXCC42CLQfes9mXhqG8gBq5OC9bPaCkH3e4dGdYpNeou9dIlm3TXfkcG095Nn/EnfEcGcwQUbgRuwh0ZTEJNIsTQNXtHhp49bOmWjKu3OeTZHv2SjEfVxQ6GpbqNobJmcVsEUC2UtXtxUn17Q4ev1imz38Y192o8XX/z+q3cvG/jifUekKdgVWf2f5sJ/s2e6MUgmX7lYpBMX9vFIKjLPhLBuz6YfmJTRgne9cG0EHlSGr+m8t31wbRxU69te9dHru33ePXYFl7jXR8ZXO6Rw0dhPkxENx/R6nh96r/rg0uL1I9N3/XBNRepIKl3faQXd304e5bd4VuN1JFNrDsBZqfnwTjiYyDF4DZ3faQ7lyfCc9cHl0ITKdDPEYzs7tqwDYNP+AYjIw968Y5wRiU4oxKcUQnOqARnVCKdUZ9PioxgTd71wTVV4K6P9OKuD+fbe8q3mBJ6WY/ReoPE74BKNoL0XR/pzuUJ8Nz1wSVAhlvyXR/p7tqoDWPPecbe2JRj5rzrw9+g6gomlq/9lKMgCGEXHLur1ULKUXBANH5A8FtANowDUYxNjeDBaGKFKkjScnZQkISam0BwqDDvJq5iMUGUm5EelAQkOMYmlmnrxVq2Sia5e2nKghM8B3qFgZ/Vviwc9RXEwHlntI+Z0VIO+uYW/GfOezT8naosY4Hja1+3CYIQ3BNWt7Vb8C84Nho/NltLOEEMgiOmSLjERvKGKImIhPMV/AuyUCMIgqToptq6hu2JkrSm4fwF/5KEBC/ZqIjLVyHf3WFTFpzgO9gizl/wL0lHfQcxdHUqrn5KSznoSsXh2qe3ruKs8cSouII6Fji+9lWcIAjBP6FVHOmWjUzjbtkQHAONH4Ot1ZogBsHjEtRa3S0bgkBCoi23JiUORVGo8QIBEmmj2iIrS0+UpTXVlibdzOrbb8vyEXxio5qtWAV4d+9KWXCCB2FrNuek9mXZqG8ghq1OsdVPaCkHXSk2XAf11hWbso3F61nkbwFhGQscX+uKTRKE4J14im2xd7Z5g21n8WUj1xaX2C47FSj7ZdT7okOg8UOwrWCTxCC42+YEmySQiGBzXmMrSUKNFgiOJC+6mUOuSaK0JtcK3Q0deVJRPoJDbFKuReEyukeeJnai4AT/wZZrzknty7JRX0AMW41cQ0xoKQd9c1tZZa4bNSJ/6wXLWOD42pdrgiAE70STa3+erawkp0rjp2prWSmIQQgLBFmJamUliSUiLl3SUpCDGtkwFO4zZ5IkrSlLXysrUUCC825UWq4aH0WeVlai4AQfwpaWvlZWonDUNxADV6ct62e0lINu94YO693fRi3GXjq1SXfdN3Rw7d30GX+6N3RwR0DhRuAG3NDBJdQkQgxdwzd0XNv9HNmf1O0c/365RYOXW3Tv3fu+7TU7YL9mmypE7oILroXI48GEBYn7gguujZtyZ8sLLmKVh677ALkmXt8NF1ECV1oo+NDwkcJHtjxUHsXeGy7YtEj91fANF2xzkQqMeMNFFK9vuIicfcPu8K1G6rAm1m0As9PzYBzxMZBiaosbLoztlyfCfcMFm0ITKdDPEYzs7tqwDYNP+AYjQw968YtwRiU4oxKcUQnOqARnVCKdUZ9PigxhDd5wwTa1+Rsu1k7oruftPeVbTIm9rMdovcHgd0AlG0H4hou181lNgPuGCzYBMtxSb7gwz87aqA1jz3nG3tgUYO664SJKaJhYvvZTgIIghF1k7K7Qn3UKUHCqNH6q8Js7NowDUQzC9j1h8YxLAQpitZoCFOSgJiAQFN5VuSDKzcgBSgISvHcTa8n1inLVpTHytN0UBSc4EfQyCD+rfVk46iuIgavLAdbPaCkHfXMPcOauazhg74M2Fji+9sWlIAjBPdHEZcMHOCXHQOPHYGvVJohBcLgE1VZ3HkAQSESvuQ9wSqJQ4wUCJI6SpKtCq/PricK0Jto8JzhF+QhOsVHNturJGHnabIqCE1wIW7N5TnCKslFfQQxbnWSrn9BSDvrmnuDMXXduLLU8YSxwfO1LNkEQgnfiSbaGTnAKDoHGD8HWik0Qg+BuG1RsgkAiis19glOQhBotEBw6Douucm2yCbK0ptd8Rzgl+QgesVG9tuqbGHk6YYqCExwIW6/5jnBKslHfQAxbnV6rn9BSDvrm3nSbO2/cSKljgeNrX68JghC8E1qvtXnTreTYaPzYbC3kBDEIfpgg5Fw33UqSiCg4z023kizUCIIgieK8WxTWDcSeKEtrGs57160oIcFPNqri0lXQ93SYEwUneA+2ivPedStKR30LMXR1Oq5+Sks56JvbaSp3XsXh795gGQscX/s6ThCE4J+wOk6+05TkgGj8gGwt3gQxCO6XIt6sgucNURIR8ebsNCVJQg0aCA6tdNbVysbSE2VpTbr5Wk2JAhI8Y6PKbdWYKPK0mhIFJ7gOtnLztZoShaO+gxi4OuFWP6OlHLT556//t+qfvXW0d6qzH0xGb3/3ze9bBoMkzly1a95GDNGVuzxct124raRordSer73FNnPz0fIMJlJJ/c5IJjh7/tXydMG7yyPtH8GpfCOjnnSq8rPP4Cz7/IO96oz+pSMHL6vvwYGEx4uT8otj9DZuo6ryb/bY8FfcpZt+O2+5PKJcuDwj135Ftx9/sguMPnYZfcw3WtONxh/mMjafuGw+4duMf034Dnh5dNRue8m2/cq5vxrbaQ/ImcvgM77BeAdPPOln7D132XvOs7d6Ou61E6CcZ/cKr+FXwrB4iLIbeottKP7tYwWpTnVXyx+rmpsP5u9XFxBVN8csb0iZPbPhmNhTQOxhMrUce2L7cfMjvv0txB6H0cd8ozXdaJJ7OXHZfMK3Gf/0bxt7HLaXbNulY4/D4DO+wXjfzYk9DnvPefa+svPXQuxxRZ/Ye5F2pJ1DjbaUHH3sm+u32Kbi30Bm/Pl09mD2c5vN+8ZmE2S4hrcdZKK9ozwszEcSmg+dmI8icQQeNlMbgSfaOwaQYwA5BpBjF8gxH0TTQUj+5gQ4ToDjBDhOgOPExXHC58C/HlsHqGivBJ4SeErgKV08JZtHPGhFe2cAcQYQZwBx5oI440PgAwErkEV758BwDgznwHDuYjjnMbS7sPKEN+9dvlHqnAC0rYzw5lpgcY3Fv8HYAPdJtef3gc1ME9MiiGlMW9uOafHeUZbAvYI6c0UyLkkbkSzeOwbzj13mH/PN13TzSW7mBKw/AetPXNaf8K3HP/NbR614rwSK0kVRsinEY1W8dwamn7lMP+ObjvfmrAgV752D5ecuy895lrcfl5yRKfaanzkHHm0tKzI5YxPTXPx7SolNj6v7tte3YHWWlzabXy7+83GnOoQH9yP/pKrVfrL4+pfzd+YfVAXbTzo2ThPcYghuTNi2gxtcmhvDfbmJa3+QTdJGcDPrMjD/2GX+Md98TTef5KFOwPoTsP7EZf0J33r8S7N1cIOrTmO45dRBUbIpxIObWXmB6Wcu08/4puNDAiu4mfUWWH7usvycZzmYvqykAUf0V74g10SvkVeKYm0UJsYlXorCOf44Y5kBrussw+Dau+n2t+w18oeqQQB0R3hW1V88gv4iUHXxxXLX8Wl1eeRX8w+r2Pb5ov3Iqz1FFu0QFtdJLhpSLALkU+haseyP8KKKntCkYNWaJOqsmkTYhmefPTybsaSRRiQ2E/+SbaImmYgwr7oK4GlVHfPi8nx1glen5qF7auDMWRRXJ8qMbvkLG/ABGzjFATdQqMu1cLMIV7KnA9fGzUC9bU+H2NU/jmvg9XV0iNXywvQ48XZvYJMhIxq9e4MKnb0b2MYiIxqxd0OcrHs3xM7LDO/wrUbGte3WMqsq5DjZ6XkwjvgYyPjDWMisrk83tl+eCHfvBjaFJlKgnyMY2d21YVdXMVyDkSEGXdCNcDsl0u30+VTIsETr06BdZwrv8g1tvkvD2t3c9bynp3yLKdGU9cCsyuNrXE3JRhDu0rB2M6sJcHdpYBMgwypx3QvPztqoq6tdjrHVymKcxPk4HwejoigCNRykwSAcJEEx0uPxIB0Pp/kyhjkXwt8bNHM69NIJURumWQ4rGiaWz7Zk9mBRls02kFuiIJuawzc/yPX0J8jVVnXHbqTDxYLLhr4viq7x6PiFqA3jQBRjM+57MJpYXgqSiJwDdbiHQ1GSzdDqIUEvVpXjBuCeKElrp0BV2s2sfLdl+QgOsImF13r5tbpjNfZcmisKTvAb6DUDelL7smzU9w/D5p3QPmZCSzno6gzo3sU2DeiTFhMS1mBhFJj24cbRJm5LCYnIYfAttsGbTkQiIwFf+mj2x0V+oaqBXmYSoDPzcyOx3lkfAF1coAatms1vXvabfjl/rxNH1ZUb0CjrZUf5Lk/jDoTCDUQjuQemiZpkIsI8ehfzql35NztRAD1R7BcRH7D5kPtATWhBpoXIPR2KxnOnGpg2UjZHEBZmWZ53c5uJPbaJ15hsgH7RcQYfOXwUq01A7c89cEGRwYuee8jT3J184FqLjF7U5IO+SD44r3m9w7caGcKa0MAAs9PzYBzxMZABaJvkg965PBGe5AOXQhMp0M8RjOzu2rCryQeuwcigg15IINxQCW6oBDdUghsqkW6oz4dExi1aLiKKk7irrYuku3xTBbIR+iIb4XxxT/kWUwIu6wlaL9T8vqdkI0hnI/TO5QnwZCO4BMhAS85G6N21UVezERxjwdq8GMdpqOJAKz0J1DQeBUUWhkEUxsWgmOow1nW15559Ae5K2JmNSGmYWL72sxGCIITNOOxa+l/gunCzFIbezi/n76yWy+aXVSPnDzqzfzJLtydVsR/0lv5y9nCZmIBPFURW17wvOgwaPwz4ZaoN40AUg7DDiF+Nzn/i6sEsiSKSmrCuBw9FOagbowiKNE6i0N5poSfK0lpqwugzx8XiongEZ9jEqmy9NlvdQh17LhYXBSf4DfSCAjunfVk06vuHQatLTNTPZykHvagbiaZZmA2LIIsmWaCiMArydBoH2WAaF+NUT/V0cq99pebKWngv6rSNBY6vfaUmCEJwTlil9jEUhyy6w3xZJTOeV4JskcyojmI8n309/+HsCdyNuS4gyXeiMKwSGeYXcehMaAiOhcaPxdZyTRCD4Hbxcq2urZ8kkIhoc1WTCHJQgwaCItXKpdgEQVpTbCBIXZJNko/gFRuVbKv7p2PPjeKi4ATfwZZszknty7JRXz8MW51mq5/QUg660myDKFLGSxRBGo10oFSeBUM9yoLpMBuH4yjXabocmFY1W2IbC6PZvNfR2sYCx9e+ZhMEIXgnrGb7tLr69d35h535jyqBtpBwL2YvAxP54Ts/ripSFvUo8/vz99fCbfabyL4E2xcdBI0fhK3FmiAGweESxNqXs89tKG+IosjINHu1xaEoCTVSYDhUGBXd3CXWBGFaE2tpd9ka46pWk8QjeMNGtVq+Cu25R6tJghNcB1uruea0L4tGfQExaHVSrX4+SznoSqqNdJTmSZQFejiJAzUpBkGR5TqIpmGhs9EgHgyXc96qVLP6LCPVCupY4Pjal2qCIATnhJdqi2rgh535/zH7ChTY/N3Zo0WuMwxhF23HOmP7oqAaD7q1HBPEIPhUghxzFt4KkgipMde2mSAJNRggOIzbzbqpq45XkKU1MRaFUbew+oHbsoAEj9eoHCtW4bvwyDFJcILrYMsx96z2ZeGo7yAGrk6Q1c9oKQe9Poi1lCIgtFo8iOXYHku8l4rH6L58TR/EclTL3WIbvOlFBA5iwW4WHGk3v3hx0QFpeRvqK+eylp38ftpdHLeKfMetuLgKh9vEcSuuiZpkIsI89nErZb5ifkPSeW3222r6Fnf7vTO/P//H+U8XWWYoDHwXqgU7QSevJszqQA7Yw7Hp7eVOZ3EtRFa5U8Sf83QW18bNsLLl6SydJ13rdkWPbeH1Hc5KIrihuLqIP1keiEhC77ksNiMyltHPZWmdOc9lsa1FBjPiuawkXJ/LWgyzzeo7fKuREa0JTQwwOz0PxhEfAxmptjiXZWy/PBHuc1lsCk2kQD9HMLK7a8M2DD7hG4wMN+iFBcIDleCBSvBAJdID9fl8yGBFO5KVFaFjtXSXb2nzJ7LWnueu55U95VtMCbKsZ2e1YqvxOiUbQfhE1trjrCbAfSKLTYAMsdQTWebZWRu1Yew5z9hqOYKqLwEe53LYs0HAXRK7TmQlEQ0Ty9d6IkIShLAth11Ui9b5So6Fxo8FfjlrwzgQxSBsOBKWoTV1vpJAMikLG8ehKAd1sxRBUaTd1KpkeqIkLaYrnIW+onwEt9jEymy9PouWe9uL/7CBH8mCE5wHelGBntS+LBv1/cOw1SQrEBNaykFXom04HE0G06QItFKjQGX5NBikoTa/a5iPo+FgnOjl29yqaHMczkpi6ljg+NoXbYIgBO+EFW2/hH3ySratmsDBLxfb6OZb78JuPDRcmX8Al819PPvZ7NPZ72e/nv3G/P+331neVPeH2W9nD2a/M5+/h5/57+YXn3bu9HXUmf3MNkr7oqOk8aO0tZwTxCB4ZIKcc1YCS6KICLmwG2ttYzkUZaEGEwRJpPJu7jq3JcnSmpyDS/Jcck6Sj+AwG5Vz8Sr6xx45JwlOcB5sOeec1L4sG/UNxLDVybn6CS3loBftdkdxnBeTaZBmaRKoQayCPBkXwVjpNMuicBymy0lvVc65ClMS6ljg+NqXc4IgBO+ElXO/vahhWVwPXNWwXOg0aKL3Q/P/H12+V3ih7r6GKphPjLB7EFQq72fmj/uV+fzn2e9tg7MvOjgaPzhbqzhBDIIjbkTFCaKIqLjI3qrvUJSEGkEQHEWSFPa1bU8UpTUJV3RDx2kuUTyCj2xUwSWrgO/ppCcKTnAcbAXnmtO+LBr19cOg1Qm4+vks5aCr4uFXpItTobkbZLMEmmuvTXk51Sanq2rYbS1Fd10UDlvNvcU2d/Mx8wwuUl390iirx5Vuejr7oqoC/qhSUh/tdarWxNCP+GVgvvVofr/qz3D1x+6vf7DqaDx7YmM2ykp9s8cGv+I03eTb+cxlYaKGmkS4NT4pzIeCOkWVwAd8Q8E3FHxDwzc0fENrl0flEis6Mb4uBDCPAfMYMI8B8xgwjwHzGDCPAfMYMI8B8xgwj12Yx3xMTcfEF48YyhOgPAHKE6A8AcoToDwByhOgPAHKE6A8AcoTF+UJnxL/4vLDw7KiTUMxG9w0bmhLoC2BtgTaEmhLoC2BtgTa0kVbsmmv1DLV0NIe2zNAPAPEM0A8A8QzQDwDxDNAPAPEM0A8A8QzF+IZHxEf5oj1TobwHAjPgfAcCM+B8BwIz4HwHAjPgfAcCM+B8NxFeM4jrJ7Ze+t43tqpIOeV1In2UqTOecIZywzuXcdh0VtsezfDnMShoJezz+DwCMTxqpap2lT53K4DZk8783c7s6+r73xZhfinyx2Wp1D91Jn/BP5QOE9k6+1U/dFfLYuoql+YP73qD2W+9uXiJNLyRNKXUEC13NR51ImgJRR8+ZltfPfZ47sZVCVPITFN1CQTEeZdPoWULE8afVrNwYv5B6+cOjL/6dSDndmDqsTt/vyHwexfZh/P/u/Zf539n9V22q/Nf1m30w7Yg7C5VBQ8e8S0EFnOTdk2cp89YtpIKYvGWJjmrsuzuRZe49mjdFXv7+8ExSZDxkn6iaMojd0njrjWIgMl9cTRRSeoxNMJim01MlxutyRcb6BBNxY3xhEfAxmVGOu8df3/RSeopKYTFJtCEynQzxGM7O7asKuLMq7ByCCD3otE+J0S6Xf6fCpkYKKdM4qTsBtaff9dvqUC54wuOj+5X9RTvsWUgMp6Ytabu35fU7IRpM8ZXXR+8vuZMz4BMrAS193w7KyNurqK5hgL1o5SPR2mKg2G2TAJ1LRIguEoHAWjfDAcR9PBeDCo20H/3qDZGgfnstUss1MaJpbPthT3YFGW4zaQW6IghPwddp3uWHWZ/1p1SF5e9/AetIiaPVxWP5y93vv2yWnn4M7r5Vlvv5OE4XIB/fvZk/n71fr7RfUb4E/80DZS+6IjpfEjhV/O2jAORDEIeUvCgtRd8CCIIlPwYOM4FOWg5lsxFJ7VrSBJe9UORdbNrZsgt2UBCf6yiYXaerm2aiaUeJpDiYIT/AZ6jYGf1b4sHPUNxMB5Z7SPmdFSDhoqHvYWMqbFfIh1ao1Q8zdUyDYpW8uHWO29xbYXucGD1Vl/svmQeJkPmX9kG9999vgq3Pg2kg9hmqhJJmLMu/d99sVsxvFke53c/J6oa8M8YGMiN6MIAtOZ8WBaiNxYIuhGT8aDaSNlgwZhoVaFvZi3x7bwGjMe+WrnMfNnPLhkyEhIz3gksXJnPLjWIkMhNeORXWQ8nA2R7vCtRgbEJoQ0wOz0PBhHfAxk3Nkm45HtXJ4IT8aDS6GJFOjnCEZ2d23Y1YwH12BkkEGvRhB+p0T6nT6fChmYaBkPlYbd0Hp9+l2+pQIZj+wi4+F8UU/5FlMCKuuJWS/u/L6mZCNIZzyyncsT4Ml4cAmQgZWc8ch210ZdzXhwjK2WFNMwnGajSZCPCh2ocBQFeTZSQRyqNNWTPB0Nxwse5xLas5fAXUY7Mx7+djdXMLF87Wc8BEEIO3jYlfhvXk1ndMwK/KlZmN83C+ZFuuO1iwLAbywWwbHnSnJBdI1HJ6xALRgHohiErUjCCtOdwhBEEUlhKPup70NREuoWKoIjTtKkGzu6vkiytJfGyLq5tvHdluUj+MAmFl/rJdiqZ1vi6cEnCk5wHeh1A3pS+7Js1DcQw1aXxKif0FIOetXzZSlNWj7cYfWxRoMVXtpik7alZIa74wvTXuTeDVZCOZIZi6zEE3Qqo9oJ/3z2cn1f2jovcUmVvYSfWWQ+Hs6eVb2U36Ec2GCOmcKNWSMJCqaJmmQiwjx2diILosT8Bt15DWb2C/P7H1V/0svZ86oX0CrT9GJ+f/FrqBiqOse4khnMIUHuMxGkpjOZwbQQuWeEV5C+ZAbTRsreC8ZClYTOChemideXzVDhalex8GczuGTIUEjPZug8dGczuNYiYyE1m1FcZDOcLeru8K1GRsQmBDXA7PQ8GEd8DGSQ2iabUexcnghPNoNLoYkU6OcIRnZ3bdjVbAbXYGSUQa9KEH6nRPqdPp8KGZlo2Yw8Trqp1efc5VsqkM0oLrIZzhf1lG8xJaKynpj1Ks/va0o2gnQ2o9i5PAGebAaXABlYydmMYndt1NVsBsfYytp4OBrEk1GQFYNRoIo4DIbFNAyySIfD6WiismIZep1raM+mAncd7cpmLO+iR2Ni+VrPZkiCEHbysEtx56n572weyICG9ovUR2f2c6gRnH8IK2m4Y9wsq+fv2YZjX3Q4NH448EtYG8aBKAZhm7KBZackiUiCw9nWXpJkM9x6SNCLWJ0lXdfF4pIsrSU4Yh11M20DvC0LSPCLTSzIVssyFS43xJWnmacoOMF1oNcS+Fnty8JR30EMXE2KAzGjpRz09ZzTsHokI8i8/XCScJOytdSGNa7d</t>
  </si>
  <si>
    <t>YtuL3MjB6qkbldqoO3vBHTOFG7MmUhtcEzXJRIR5/NSGI0PBJUPuHTUhFZkWIveBKBLQmaHg2kjZT0FYGMdhV9ss7LEtvMYERbzcKFSRN0HBJkMGNHqCIk9zZ4KCbS0yohETFCpaJyiUsy3dHb7VyLjWhB4GmJ2eB+OIj4EMNVskKIztlyfCnaBgU2giBfo5gpHdXRt2JUHBNhgZZNCLCoTfKZF+p8+nQgYmWoIiipO4q1ObqXf5pjafoVg7nLueN/WUbzElorIemfUize9sSjaCcIZi7WhWE+DOULAJkJGVmqEwz87aqCsZCpax1TJiNBhnSR4Fk6SIAjUex0ExHUXBaDBK4nQUqbxY+iHnUtizJ8BdDjszFDENE8vXfoZCEISwE4ddUf+zWetCed6iM9aTxX1S71Ur3adVQ9QPOu5UhW0E9kVHQONHAL/4tGEciGIQdhabWGkKkogkJRwVtoeiJNQNUQSHSpNuqG0oPVGU1nIScABfW1eEt2UBCZ6wiTXYeiW2ao6pPN1ORcEJngO9fMDPal8WjvoKYuDqchL1M1rKQa+OXeh7a/3VYm7C6pmMFEu8tPEmbUu5Ce06dsG1F7mHg1VSf9hsd7XsSDqrbn36cpE8MPLqC8gwQOm9jWafTaNwNI1kDZgmapKJCPP4WYPOa2nmPeHAZURu7VBUXWKz8A22hchtGrxa8+UPmDZSdjswFqpuZr3OoMe28BrzB2q1j5f48wdcMmTQoecP4khn7gQC11xk2KEmEJKLBIKzj+YdvtXI4NOEeAWYnZ4H44iPgYw62yQQkp3LE+FJIHApNJEC/RzByO6uDbuaQOAajIwy6BUAwvGUSMfT51MhIxMtgZCEadwtlM3Uu3xTBRIIyUUCwfmmnvItpoRU1iOzXlH5nU3JRpBOICQ7lyfAk0DgEiBDKzmBkOyujbqaQOAYu4hRkUr1NAriTBWBisNBMBwk02BYDKJhFOXTPFvGXud61bOA565ZnQkERcPE8rWfQBAE2VQdvvlBLnsfXF7YLg82zH84f6cThUFsVXv7opAaD4lfatowDkQxCDt9TawmBUlEcgRm1WlNdxyKolB3KDEguhum2obSE0VpLUkQa+062H5blpDg7ppYaK2XW2q1p6w8Sy5JcILvQK8RCNPal6WjvoQYuro0Qf2UlnLQ5p89n8xqNi2Q2uiMwNI+ulxv0l17WoBpL3JnBquPmkoLMGkUjqaRtADTRE0yEWEeOy0QJZ3XIu2/+ohLidyyaULKMS1Ebr+QJJozMcC0kbKLgbAw7WpXXoBp4DXmBVYNZJW/cTWbDBl1ms4LcM1Fxh1qXuCic7XydK5mW42MPk3IVYDZ6XkwjvgYyLCzTV7gonO1qulczabQRAr0cwQju7s27GpegGswMsigNT/C8ZRIx9PnUyEDU5N5Aa6pAnmBi9bV7jf1lG8xJaKyHpn1EsrvbEo2gnRe4KJ1td/RnPEJkKGVnBeA1tV2J3POM/bG5gVSZ14gpWFi+drPCwiCEDbKsOteZl5AEFLjIfFrTRvGgSgGYW+vicWkIEnbeQFBFOqWJAIk7Wah1af1REluSFpAkpDg7ZpYZ61XW6s2xcrTeFoUnOA60EsEwrT2Zemo7yCGri4tUD+lpRx0u2kB60aZ0VfefmD5lb7a154WYNqL3JjByqOm0gJMGoWjaSQtwDRRk0xEmMdOC+R7nQI6O5v/x4s2ClFSBJGqSRQwuZF7OE1oO6aFyP0YkmZzJgqYNlK2NTAW6qKrrbqyxzbxGlMFq86ryt/xmU2GjERNpwq45iJjETVVcNHyWXlaPrOtRkakJiQswOz0PBhHfAxkKNomVXDR8lnVtHxmU2giBfo5gpHdXRt2NVXANRgZZtDrAITjKZGOp8+nQoamJlMFXFMFUgUXPZ/db+op32JKTGU9Mutlld/ZlGwE6VTBRc9nv6M54xMgQys5VQA9n+1O5pxn7I1NFWTOVIG3u+JVTCxf+6kCQRDC5hl2LcxMFQhCajwkfv1pwzgQxSDs9zWxnBQkaTtVIIhC3abEgBh9krlyBYIoNyRXIElIcHdNLLTWy61VN2Dlae8sCk7wHeg1AmFa+7J01JcQQ1eXK6if0lIOut1cgbXRvBFYhZfuSvvqa88VMO1F7sxg9VFTuQImjcLRNJIrYJqoSSYizGPnCqKw81oU12QGmJTILZsmpBzTQuT2C0miOTMDTBspuxgICz3Ki2ng9eUF9KqHqfL3TmaTIaNO03kBrrnIuEPNC1w0T1ae5slsq5HRpwm5CjA7PQ/GER8DGXa2yQtcNE9WNc2T2RSaSIF+jmBkd9eGXc0LcA1GBhm05kc4nhLpePp8KmRgajIvwDVVIC9w0T3Z/aae8i2mRFTWI7NeQvmdTclGkM4LXHRP9juaMz4BMrSS8wLQPdnuZM55xt7YvEDuygss70JGY2L5Ws8LSIIQNsqw615eXkASUuMh8WtNG8aBKAZhb6+BxaQkSct5AUmUzSjqQSGsTVOrPOmJktyMtIAoIcHbNbHOWq229KqDrvb0RBYFJ7gO9BKBMK19WTrqO4ihq0kLIKa0lINuNy1glZFGX0VeunyT7rrTAlx7kRszWHnUUFqAS6NwNE2kBbgmapKJCPPYaQFlvtJ5LQr9iQEuJ3LPpgktx7QQuf9C0miuxADXRso2BsJCnXQLq8PrsS28xsxAvNyg0/6mxWwyZOBpODPANhcZeoiZAX3RtVh7uhazrUYGoCYUK8Ds9DwYR3wMZOTZIjOgL7oW65quxWwKTaRAP0cwsrtrw65kBtgGI6MMWvYjHE+JdDx9PhUyMjWYGWCb2nxmQF90LXa/qad8iykhlfXIrFdRfmdTshGEMwP6omux39Gc8QmQoZWaGdDQtdjuZM55xt7YzEDhzAzENEwsX/uZAUEQwl4ZdunLzAwIQmo8JH65acM4EMUgbO81sZoUJGk7MyCIQt2VRIBo3Q2th716oiQ3JDMgSUjwdk2ss9arrVUfW+3pTCwKTnAd6CUCYVr7snTUdxBDV5cZqJ/SUg663cxAZJ1TI7ASL16xiXftqQGmvcidGaw+aio1wKRROJpGUgNMEzXJRIR57NRAtBfvJXtp57W8CIqa/AATFrlz04SiY1qI3IUhKTVnfoBpI2UzA2GhjsNultpM7LFNvMYEwao5qPZ3JWaTIeNP0wkCrrnIAERNEFx0JdaersRsq5FhqAnhCjA7PQ/GER8DGX+2SRBcdCXWNV2J2RSaSIF+jmBkd9eGXU0QcA1Ghhm0+kc4nhLpePp8KmRoajJBwDVVIEFw0ZXY/aae8i2mxFTWI7NeTPmdTclGkE4QXHQl9juaMz4BMrSSEwTQldjuZM55xt7YBEEUOjMEisaJBWw/QyAIsik7fBOEXAEzMwSCkBoPiV912jAORDEI23xNrCcFSdrOEAiiUHcnESA6Ma4t0zaWnijLDckRSBIS/F0TS631gmvVxFZ7+hKLghOcB3qVQJjWviwd9S3E0NXlCOqntJSDNv/89SsxAXTWX/mEV8M5A5fk0j7cRG3itpQzcHSousW2F7lZg1VMnxi9BCmCp7NHsy9nDzvzH82eGPn0ZPZi/p75/wez57A3XSUR5j82P+HOGjB5FI6nkawB00RNMpFp3gHbPOQGTBO6jGkhcjOFpLec+/xMGyl7EggLM513E6sm7LFNvMZ9/lWzT+3vMswmQ8YM+j5/EWn3Nj/XWmTMoG7zXzQZ1p4mw2yrkZGjCe0JMDs9D8YRHwMZMLbZ5r9oMqxrmgyzKTSRAv0cwcjurg27us3PNRgZZdACHuF3SqTf6fOpkJGJts0fxUXRTaxO5y7fVIFt/osmw+439ZRvMSWksh6Z9XrI72xKNoL0Nv9Fk2G/oznjEyAjK3mbH5oM253MOc/YajEwCIsiDaOgGIx1oEZxGOSTdBhMpslYx4MoSofjBY9ztelZfrNXnM5t/pTGiQVsf5tfEISw7YVetJrF6DtmffrV7OHsxezxq2vW70C8mP1G2zXfviipxpNuvVYUxCBs1xHWlF/OPrehvCGKIrLZH8faRnIoSkLdZURwRFmYxq4lqiBKa1v9WVe79vkl8QgOr4m11nrFtepKqz2NhkXBCY4DvUzAzmlfFo36+mHQ6jb56+ezlIOuNvlfCd9OvfWDyejt7775fctAsOSWdefRKC1vL6rkSjdl1+6+21qKiLrY4Leae4tt7uZj5hlcpFT6w/zd+XvVHv8z+K/Zo9nLxamAL42C+sB84en8o1eOCdhwjGjKvtljM13xh26o7dzhcqsy3zvK0hg+UvgozEem4AP+K4f/yuG/CvivwvxXHiqXs+QSKzoxfvEImMeAeQyYx4B5DJjHgHkMmMeAeQyYx4B5DJjHLsxjPqamY+JXmIbyBChPgPIEKE+A8gQoT4DyBChPgPIEKE+A8sRFecKnxL+TfM+/3O3K90qgLYG2BNoSaEugLYG2BNoSaEugLV20JZv2yoZHDS3tsT0DxDNAPAPEM0A8A8QzQDwDxDNAPAPEM0A8cyGe8RHxEYy4KWIIz4HwHAjPgfAcCM+B8BwIz4HwHAjPgfAcCM9dhOc8wleiXquZ+cS5SeJtbpRcT/ufBOy22XuLbS8yvSIRuB92Zk9nX3SqNP6L6itP5vdnz2cPbYT7bMLNsNZIqn72i9mXs6/m/zj/8ewhEH1h/vVTKN6c3+/MfmW++4kN4i/ZEJoEgQHgHgHU5qcT15k/Jh0yS0PYt3lu3SF4g20hMuOC347x1QIwbaQkLhAWqjjrJq57F5gmXmMtAKjnNISPaJWdy/1VAVxGZLyiVwVonbqrArjWIgMWtSogv6gKcLYQvMO3Ghm2tluarfeo8p2eB+OIj4GMTYz11jpZl+9cnghPVQCXQhMp0M8RjOzu2rCriyOuwch4g97uQ3igEjxQCR6oRHqgPp8PGa1o9QFmAdDV1rB6l2+pQHlAflEe4HxlT/kWU6Is69lZ76T6vU7JRpAuD8h3Lk+ApzyAS4AMscSVMDw7a6Ourms5xlaPzCCZJLHWgR4O0kAVkywYDkd5EGfFJBpGcV4MljPiXPJ+b9BseQAsKF0L34KGieWzLY49WJQFsg3kligIIVmGXTk/qC7AedYxi7KvYEWJXRULUmo8JX7hacM4EMUgJPgIK0x3ZYAgikhlQGjPBx2KklBTkwgO88d3Y/tBm54oS2ulAXHsOQQoCUjwd00sudYLr2KVTPY0bRUFJ/gO9GoBP6t9WTjqO4iBqysPqJ/RUg66kmOpGmfZaJIEwyjPA5XqODC/e2h+12AcDdPBONeje+3LMevK6nWzYKSOBY6vdTkmCUJwT1g59sv5O0Z2vahuHFycMVxdy3C/uqXwEdzZMH8Xts/nH5qvVFmAR9WeulFtgfnXU/Pdr5c/9dR848Xip2yjsy86Oho/OtvKOEkMgituQsZJogjJONiIu4pyKIpCjSEIkFR1ozC1ofREUVqTcWneVQ4VJ8pHcJNNqrh01TUw9TSCFAUnuA62inNOal+WjfoCYthqRBxiQks56ErE5YNEp6HKg2E+NT+bTSZBPo5VMMrSQaijKFTh8F77Is66kDYiztthxDYWOL72RZwgCME7YUXcp1DfANUo8x9Xt0I868x/Yv7j/vwd9zZb57XVt17OPpv/77Mnsy8XIrBj/rgHs59/Y6kDzwZv/afJ228vfoH4myo1uDgABOoR/s7PoTjmqgHmT/wP8x9VCvO96lvP4CvrP+cn1X0WX80/WPzVhcp1ApU05g+qfqFsU7cvOnUaP3VbK0xBDEKYIChMKHb6vNux30DyhiiQiM60brAdinJQYxyCwlfdIonSmsjUkXOrUJSP4MYbFZnRSpN4ujiKghO8B1tkOie1L8tGfQExbHUis35CSznoNjuKJM69v9hHV4SbdNddg8y1d9Nl3NwaZC6hwhG2U4PMhdAkCATAq3XGr7QfdxQXc81GFnsRFJ2ruJhrIbJciyDR3MXFXBspZU8YC7XxKI5ULdfE6ysuThOoK4ajealelvalsbe4mM2IDETNFhezrUVGImJxcRqvi4tTZ7uxO3yrkfGoCfkKMDs9D8YRHwMZdLYoLja2X54Id3Exm0ITKdDPEYzs7tqwDYNP+AYj4w16DYDwQCV4oBI8UIn0QH0+HzJaNVdczLa0+eLitee563llT/kWU6Is69lZr678XqdkIwgXF689zmoC3MXFbAJkiKUWF5tnZ23UhrHnPGOrtZP5J4vUIFBREgYqGaVBEaVZMEyzcBjrqZqsHJJzLetZzHPXs67i4jShYWL52k+ECIIQdtCwS+KPLy9vsTmOGBo8Lv8zTfTivzpHk797c/zdQedSHsQ2TPuiw6Txw4Rfks5+CXeFV7kZ6Ea6SOVUt7RBQc+PYBjn75pl91P48idmjf1fr+wddN44Ob110in//m8nbw06B383gb+6o82KLOm8Fi96ZtpG60B0tAi7k02shAVJZJIado91KEpC3VXFcGRRt1CuhbUgS2t5DXcFtCgewSk3sS5crw6T1S64p/ekKDjBcaCXNNg57cuiUd8/DFpdVqN+Pks56JtbOhM7cyCKOhY4vvYVoyAIwTlhFWN9QcufUemM4NRp/NThVawN40AUgxAlCPKyrnRGEEhGZdo4DkU5qDEOQ+HL3QiitCYxfaUzknwEN96oxlz1ZUs9rfZEwQneg60xfaUzkmzUFxDDVicy6ye0lIO+uXcexM76bE0dCxxf+yJTEITgnbAik3nngSSlxlNurccEMQgelaDH3IflBFFElJjzzgNJEmooQHCotJsXVpSeKEprWsx35YEoIMHdNSrG9Cp2e7rQiYITXAdbjPmuPBCFo76CGLg6NVY/o6Uc9Krt8Wpa4V8t3q7sElypDze50uW5pcrmKO2mNoNvsQ3e9CJNlDZX7aNWtxLApQKLWubqGoLlztjXCykFpcBwR8Fyp21R8vwU0pnzdy5++AX8MV9W3/kafnr+vm0M9tljoHBjQCt+tpn4l2wTNclEhHns65XNim1xwzKkl1+ZxE61dQl3SDypar7fWeWmzV9ivv++mbiXy4djsUP6rPO334rCENLNtrE6YI/VZnzYvp66bpuPaSiyUA0vGn1l1UwbKQVfCAu1Ul1ts7DHtvAaq6ozKKjOV+WMqb+gmouHjH/0guo4dO04fZtvLTIAUguq04uCamfbpjt8q5FRsAkdDTA7PQ/GER8DGci2KahOdy5PhKegmkuhiRTo5whGdndt2IbBJ3yDkQEHvRhBOJ8SnE+JdD59PhoyRNFqqeNcd5U1nX6Xb6lALXV6UUvtfFtP+RZTQivrsVkv8PwOp2QjSNdSpzuXJ8BTS80lQEZXci11urs2asPYc56x1UIlHYXDLB8E+TiJAhXrIsh1roJpPg6L0XCUTNL2K2OcHYpSf5+lK5hYvvaTFoIghF087Bp8Y1l2af1dLclSPX8/0p0734pnzzuzX1WLtZeXF9+d2c+rddyyuvjhokwGfrkHC72Hs8+qb3+4+AX8FVWfw8D6KOyLjqDGjyB+eWzDOBDF2BQRHowGV66CQCJpEXcZtCAJdU8WwaGLvFtoG0pPFKW1tIgnKSKJR3CnTSzm1ku6bLWFnnmWdZLgBPeBXodg57Qvi0Z9/TBo3vnsY+azlIOutF6YTobxWCdBWsTK/GwSB/lUT4LRYDjJtC50mF+H1rMu24zW8/cesYwFjq99rScIQnBOWK33wEi3J1U25Ul16/OTZSblwUW2ZJFseVjtvT+tNukfLa5j+XQp+B53svn7aTh/Xzk34/dFx0Xjx2VrBSeIQXDBeAU3/8n8PRvKG6IoMtrNxnEoykENHQgKXwZDkOQmCDdJPIJvbFS45atA7+meKApO8BoSwk0Sjfr2YdDqhFv9fJZy0OtaluVmNAiyFmtZlA3XaLPCh6uiTdy2ally5zV9TIORWTystvrd7DPQR/MfrWtZqnv77kPTjKrM4dny2BhsgkHBysPFwfzqv17APXfLOodFtYv55ZfVL2FT7otqS+2p+dHl135S9eZ4ZBuQffaAKNyANFLYwjRRk0xEmMctbImc1/oxyZBZQbwUdF9mwLQQmdwjKDxP/QnTRkqSDGFhnKVdZU3L9NgmXl8BSgbtwrMIPmL4SFbZ4MJfisIFRYYvRilKErk0yrf55iIDGLUWpbioRXH2CLvDtxoZxZpQwQCz0/NgHPExkLFnm1qUYufyRHhqUbgUmkiBfo5gZHfXhm0YfMI3GBl10EsJhB8qwQ+V4IdK8EMl0g/1+ZDIwEWrSkniPOzGVh90l2+qQFlKcVGW4nxxT/kWUyIu6wlar9X8vqdkI0iXpRQ7lyfAU5bCJUBGWnJZSrG7NmrD2HOesWBtHuo8Gg7CYDA1C2MVqTAowiIPpoOxzkdRoYfhYMHjXAh7tga4i2FXWUoW0jCxfK2nKiRBCNtx2OX0p6+snZ92lpUp83fNyvnHVRHJc/PVxV33F6vpp+Z7T6r77JZHQV5dXC9uU5n9ospqwLncz+HX34HQUx6moU7D8HTREfPdqsvlB9VlK/8xCUNId5iPKHLnOyQHV+MHl7DufWV85x925j9aFOjMlp0/Nwb25cZIVoUij+GwxpMqowQtCb49eWvwvUHnaPDWW4P/8l++u7fKKr3ozH5h/qbHndeqc9DvVvscT5eX4zxZlAu9M//J7KnVKR6IDi1hNxW/8HbnYCRRRHIwysZxKMqxqSc8HNhVfBSFuptbWXqiLK1lYQxh6OzBKUpI8PxNLEFXC9Fs1bIx8/TgFAUnuA706okwrX1ZOupbiKGrycUgprSUg66U6bAYJ5NoFAVpqKJAqXwSFEleBMVIJ9kk02qolm90q8rUUUSTRdSxwPG1r0wFQQj+CatM17e8rPI065v+QC/O/lDJmx8urleuSqUfVcppeb71a9Cln8x+PXsQzD6d/X72s9lvZ78yn/88+71tdPZFR0fjRwcvLW0YB6IYBF+Ml3Hu22EkUURkXGR3IYeiJNQQguBIkqib2dtq9ERZ2hNyaTeybkTcluUjuMlGZdyqKWLm6XIpCk5wHXwZ55rUviwb9Q3EsNWJuPoJLeWgKxEXaz2JhxNtvjk0PzvUcZCrsZF+RaKiOI9GebHcZW9VxCW2sTAiLqaOBY6vfREnCELwTlgR90+vVNQ87Mz+m1F0X1SbWUbQdWafHiRJtTMYJR34Qdj8quScdWNnXxRe4+G31miCGARH24hGE0QR0WhhN9Y2lENRFGqIQICkhYl2VpSeKEprGk1lXaVsfLdl+QhesFGNFq9Cuqepoyg4wXWwNZpzUvuybNQXEMNWp9HqJ7SUg15stA1Hk8E0KQKt1ChQWT4NBmmoAxUN83E0HIwTfR0bbdYHwGi0hDoWOL72NZogCME7YTXaL+fvzO/DzQQXFdX3q2Nrj6oE7btQs7u+pWD28exn1Ybar2e/Mf//7bI3x+wPs9/OHsx+Zz5/Dz/z380vPu3c6euoM/uZbZT2RUdJ40dpazEniEHwyI2IOUEUITFnV0CHoijUWIIAUVFX2QuAeqIorYm5PO/mrrypJB/BXTYq5lb9ujJP/zVRcILrYIs556T2ZdmoLyCGrU7M1U9oKQe9PsG2JAeR1uIJNquPNXpNeXGTTdy2TrAVrhNsXIM3nciWJ9iq25irjOWzqkzrke3qZX9p2JUTbE+Xh95s4PtscIUDb+KkGtdETTIRYR73pFon2uuk5jfEjgNrXEDk0QGC/qu5fYprKLL8H6/uPOfWuDZSqugRFiZJ7Dgu22ObeI3n1jScVkvhA65Qzla3mGbKe26NDYoMWvRzaypLnMfW2NYioxbx2Fqm1sfWMmfXrTt8q5GhqwntCzA7PQ/GER8DGYi2OLZmbL88Ee5ja2wKTaRAP0cwsrtrwzYMPuEbjIw96AUEwg2V4IZKcEMluKES6Yb6fEhk3KIdW0uzqGu/aPYu39LmT62t3c9dz3t7yreYEm9ZD9B6feZ3PSUbQfjU2trtrCbAfWqNTYCMs9RTa+bZWRu1Yew5z9hqyRHG48F0OAmiVMeB0uE4GE7UOEijPFSTaTJOiiWPc/Hr2Q7gLoCdp9Y0DRPL137KQhCEsAeHXUJvXKZMO582+5X5xTM4fjZ7sUxfmF8smn9/NXsZXBxMW3yzPEyjMAnD08UvI9xJNcEB1fgBJa17N/oGObYeFmmgR9VtOdX1OI+XQ/3cTMSi57r5k14srz582qkuOPzajPvFyTU4uHbl3FpN3yHJASVsluLX2Z7zaYIoInmWyHGs61AUhbrNiwBJozjpZqEVpicK01qmxRjhuMP6tiwgwc03sdxcLzpXfRIzT+dLUXCC90CvlPCz2peFo76EGLi6XEv9jJZy0IvCmUmWDrNpGIzzGK6EjpJgEA51MFbjYhjmeZRPr0OFxraxMCo0pY4Fjq99FSoIQnBPJBX66sG0RT/MJ7NnF1UxDR9SExwgjR8gvKq0YRyIYhC8MV7LeWpmBFFEtFzYzWwkh6Ik1CiC4IiTuOimVpaeKEtrSs53SE2Sj+ApGxVy6Srse5owioITXAdbyPkOqUmyUd9ADFudjquf0FIO+uYeUtPOQ2re1iW2scDxta/jBEEI3gmr4xo+pCYIr/HwW2s0QQyCo21EowmiCGk0+xbVoSgKNUQgQKIk6UaxlaUnytKaSPOdUpPkI7jBRkXaqgVX5mmpJgpO8B1skeY7pSbJRn0DMWx1Iq1+Qks56EqkpdM8TKfjMJjG4TRQo7QI8nFRBKPJRIVpMh2EaullWxVp1gfAiLScOhY4vvZFmiAIwTthRVoTp9Tu9APfgTTBAdH4AdlauAliEJxvI8JNEEVKuDlPpAmyUOMGgkQV3SK25ht6oiitCTffiTRJPoJrbFS4rVpwZZ6WaqLgBN/BFm6+E2mSbNQXEMNWJ9zqJ7SUgwbl5hNkzR5AsxbSGilW+OiKK+ftrv8AGtPgTZ/xp3cAjQmucOCNHEBjmqhJJiLMu3wAbeOQWbLXMeu0Yq8Theb/keusGZNl00XLnzVjGrop3kTPmjFtpNS+IyzMi9h51Ixp4fUdNcuhRVoOLdJyaJGWr1oTZf4WaWxQZHhq+KgZ11pkfKIeNbvokJZ5OqSxrUYGqSZELcDs9DwYR3wMZMjZ5qjZRYe0rKZDGptCEynQzxGM7O7asA2DT/gGI0MPemWAcEMluKES3FAJbqhEuqE+HxIZtho8asa1VOCo2UWDNPd7e8q3mBJuWQ/QeuHldz0lG0H6qNlFgzS/2znjEyDjLPmoGTRIs7ucc56xNzbvkLqOmi33NdCYWL7W8w6SIITNNexiWT7vIDkgGj8g+BWqDeNAFIOwd0hYnDrzDpIobecdJFk2Y66HBbvMjZJukjvyDpIoNyHvIMpHcI1NLNFWC7V81W4q93QQEwUn+A706gI9qX1ZNuoLiGGryTsgJrSUg765Vb2p63RWHlHHAsfXvnATBCF4J6xwa7aqVxJe4+G3FmmCGARH24hIE0SREmnKhnIoikINEQiQRHdTV59XSZTWNJqnqFeUj+AFG9Voq25Suac9mCg4wXWwNZqnqFeUjfoCYtjqNFr9hJZy0Df3BH3qOnm1XHESxgLH175GEwQheCesRmv/BL3kAGn8AG2t4wQxCM64ER0niCKk4zIbyaEoCTWKIDjSWHWVFaUnitKajPMcoBflIzjKRmXcquFU7ukgJgpO8BxsGec5QC/KRn0BMWx1Mq5+Qks56Jt7HWfqOpuVJ9SxwPG1L+MEQQjeiSTjbvR1nJIDqvEDipd98tdxHlRj0SnPgijr/O23Ms/dm5KjR4gZeLXpvntTEkVEbbrv3pREoUY7DEhadTmzwvREYVoTnL67N0UBCT69UcW56oqVe9qciYITvAdbcfru3hSFo76EGLg6yVk/o6UcdLunyqxLXyMilZcu3qS79lNlXIM3ncaf3KkyLrjCgTdxqoxroiaZiDCP3dbMLD1z8xu046gZFxBZ74+XfHVHzbiGImv2KYLOedSMayOl9h1hYZzEynXWjGviNZ41g7ZmObQ1y6GtWb7qJ5T725qxQZFBq9mzZmxrkVGLeNYsv2hrlnvamrGtRoauJrQuwOz0PBhHfAxkINrirFl+0dYsr2lrxqbQRAr0cwQju7s2bMPgE77ByNiDXjAg3FAJbqgEN1SCGyqRbqjPh0TGrebOmrEtbf6sWX7R1sz93p7yLabEW9YDtF6O+V1PyUYQPmuWX7Q187udMz4BMs5Sz5rl0NbM7nLOecbe2DxK5jxrpmmYWL728yiCIIQ9N+wS+k8gjyI4oBo/oKR1r3AeZbOt2f+zmIL5h53Zz81//LGusZnkkBK2R/ErbU9yRRCl7eSKIAp1XxcBouIs7Sb2+taeKMzNSK5IAhIcfRMLzvWyc9UGK/c0NhMFJ3gP9FoJP6t9WTjqS4iBq0uu1M9oKQd9c8uyM+fRuZQ6Fji+9nWoIAjBPZF0aLtl2YIDpPEDhNeVNowDUQyCN8ZrOU9ZtiCKiJZzl2ULklCjCIIjSuO0m7vqsgVZWlNyvrpsST6Cp2xUyK36YOWexmai4ATXwRZyvrpsSTbqG4hhq9Nx9RNaykHf3CsQMufxuow6Fji+9nWcIAjBO2F1XMNXIAjCazz81hpNEIPgaBvRaIIoQhrNeQWCIAo1RCBAirhbOEuZBVFa02i+KxAk+QhesFGNtmqDlXv6momCE1wHW6P5rkCQZKO+gBi2Oo1WP6GlHPTNvV80c56dy6ljgeNrX6MJghC8E1ajtXC/qOCAaPyAbK3bBDEIzrcR3SaIIqXbnPeLCrJQ4waCJFHdPLWmG3qiKK0JN9/9opJ8BNfYqHBbtcHKPX3NRMEJvoMt3Hz3i0qyUV9ADFudcKuf0FIO2vzz15ViWb6uIMj+yqfQmj2SlttwjTYrfLhKb+K2dCQtDp1H0pgGbzoRmSNpL2dfQiFctTX2UWdZ2fVwedSsA1ViX7yycVYdSXsKqmz9u2ZPoCrsV7NfzD5Z5kPJx9oeG1PCvXj2PIY/wFVStc8eSYUbyUbOuDFN1CQTEeaxz7hFe53U/IbYdcaNCbgZGbY/4/bcqlzeYFu4KRZFD7cxbaQU2yMsTPJYdROr3+qxbby+020FdFIroJNaAZ3UilULo9zfSY0Niox/9NNtUaq1+3gb11xkBKQeb7topZZ7WqmxrUaGwSZ0NMDs9DwYR3wMZAza5njbRSu1vKaVGptCEynQzxGM7O7asA2DT/gGI8MOejGC8EMl+KES/FAJfqhE+qE+HxIZuWjH2+JEG0lr9UF3+aYKnG+76KXmfnFP+RZTQi7rCVov9vy+p2QjSJ9vu+il5vc7Z3wCZKQln2+DXmp2n3POM7ayFpUXAR7nStqzt8BdTbvOtxXe9iRXMbF8rec6JEEIG3rY9Xiz9SiS8BoPj1+f2jAORDEIe5OEVagzryGJIpTXiLUN5VAUZTO8elCwq9pCp90ws24f9kRZWstreApSRPkIbrCJ9dhqVVas2mwVnr5pouAE34FeSqAntS/LRn0DMWw1eQ3EhJZy0JVIK1ShBqkOgzybZIFK4jgYxIMsSMeDxPxvmEX5dYg0x+GvIqKOBY6vfZEmCELwTliR9sk6TfHQl9J4OP9oWX0SJeH8/Xxxc0DHfXWA5DBo/DDg5drlkfBmeB4uskiPIa8DP/GkSjVd3AxQXQ2w15k9WFxG0Jn9Yn7f/PRrcbgYumrYrD7hQHTcCD6eoA9dWQpJEhF5GBlNZUM5FEWhBicEiAqLuBtGjroXSZjW9GEc6qIbahvhbVlCgg9uVCGumnwVnq5touAE78FWiJ5p7cvSUV9DDF2dRqyf0lIOerGRVwyGRRgmgR6qxKhI82P5cACiMk3jPNRqnE3uta8RE9tYGI0YU8cCx9e+RhQEIfgnrEZ8sLgN4KKmZX1TgMz1AJLDo/HDg9eONowDUQyCMyZIOfdWnyCKiJZzCTlBDmoEQVDEaZaF3cgK0xOFaU3IeW4HEOUjuMlGZdyqyVfh6domCk7wHGwZ57kdQJSN+gpi2OpEXP2ElnLQN/fkWe46eVYk1LHA8bUv4gRBCN4JK+LkT55JDojGD8jWsk0Qg+B8G5Ftgigiss2IHW1DORRFoYYNBIjOkm7qarcrydKacPOcPBPlI7jGRoXbqlVW4Wl+JgpO8B1s4eY5eSbKRn0DMWx1wq1+Qks56HZ7n1nr/4wUUz46My4bdNd+0Ixr8KbP+PeDZtyRVLiRbOKgGddETTIRYR79oJl8Khl2ZKtn70XVKABU+5PFo/By/lPzpz+Gx8GVYmYOLPKkAUG4OlPHTAuRxwTwetRzwI1rI6XaHmFh7rhOucc28BpPt0HvtgJ6txXQu61YNU0q/L3b2KDIoNvw6Ta2uciwSzzdVlw0bys8zdvYViNjbxNaHWB2eh6MIz4GMvBtcbqtuGjeVtQ0b2NTaCIF+jmCkd1dG7Zh8AnfYGTMQS94EH6oBD9Ugh8qwQ+VSD/U50Miw1aDp9vYpjZ/uq246N7mfnFP+RZT4i3rCVovKP2+p2QjCJ9uKy66t/n9zhmfABlpqafbCujeZvc55zxjb2w+xdEP3CziNQ0Ty9d+PkUQhLBpiN0EaCGfIjggGj8g+IWyDeNAFIOwJ0pYlrrzKYIobedTBFGou7kIkCjphq7zboIkNyKbIslHcIxNrNDW67RVb6zC0+1MFJzgOdCLC/Sk9mXZqO8fhq0um1I/oaUc9M2tZS6c591S6ljg+NqXbYIgBO+ElW2t1zILDo/GD8/WIk4Qg+CKGxFxgigiIs5aRXIoykGNIAiKNArtJYE9UZLWFJyvkFmSj+AjG1Vwq65YhafNmSg4wW2wFZyvkFmSjfr+YdjqFFz9hJZy0Df3xoLCeRoto44Fjq99BScIQvBOWAUndmOB4DBo/DBsrdQEMQgul6DUnFUggiQiQs1zgYAgCjVWIECKpJvYW7f1RFFaE2v+6wMkCQkOsVG5tmqQVXg6nomCE3wHW675rw+QpKO+hBi6OsFWP6WlHPTNvQe0cJ48y6ljgeNrX7AJghD8E1awNXwPqCC8xsNvLdMEMQiuliDT3BtqgigiOs1zD6ggCjVEIEDiyN5DqCcK0ppK810CKslH8IGNarRVL6zC09xMFJzgONgazXcJqCQb9fXDsNUptPoJLeWgobnZ3kKZtNjTzF5xasRX4cNU6SZme2fNrLsPt9gGbzqPf7tnzV4a+YY6a8YcSYUbyUbOmjFN1CQTEebRz5otm5rFex3jZCLdtQEesAE3I4LgmS+mhZsKUfTMF9NGSg06wsI4jvNumtps7LFtvLZjX3kY7pmPCD5i+Fg1Eyr8Tc3YoMgASD/2FWe559gX11xkBKQe+7poalZ4mpqxrUaGwSb0M8Ds9DwYR3wMZAza5tjXRVOzoqapGZtCEynQzxGM7O7asA2DT/gGI8MOehGC8EMl+KES/FAJfqhE+qE+HxIZuWjHvpJCq27mOvbFNTUnmIoZ/v6F/7nreXFP+RZTQi7rCVov8vy+p2QjSB/7umhq5vc7Z3wCZKQlH/uCpmZ2n3POMxasHRZjPVBJHsSDqAhUmk+DoYZKlVTl43E0Hse6/WRG5LgL5fU89DcPucKJBWw7myEKQtjJwy7IP9msG4ZFc1VTvCw3abyGWHSENH6E8KtYG8aBKAZh55KwVnWlPERRRFIekX2b61CUZDMGe0jQS980U92ksML0RGFay3q4C4ll+Qi+solV23LtBqq72iRf/ocN/EgWnOA70AsO9KT2ZdmoryCGzZ/1wExoKQe9OMEfDqd5lo4DNY6iQOXpJBiqQgVRnIdFocNBNF4+7e1KOavbMlLO3+PDMhg4wPalnCAIwT1hpdyDdbID7lB7Mn8X8hqg0F7JfHQOKpjO/3xyftrZP7lzctr5n/c70aJkJYWi4uojCp2FxaKjovGjgpdvTd9f15n9P2Zsnxj9+2Fn9nPzH39c9kKLYm8zNNGRI3h9gmJ0ZDdESVoWjIIk1GiF4KgRjIIw7QlGVaSOiqbbsoQEn9yoZIxWCsPdC00WnOA8+JLRPa19WTrqa4ihqxON9VNaykHf3GufjGhMbINhRGNMHgwUYPuiURCE4KCwolH83ifRAdH4AcHrRRvGgSgGwf8SxJt7u08QRUS9Oe99EkWhxg0ESJKobmxP9fREWVpTb+6bn2T5CK6xUe0WrwK9uwGaLDjBd7C1m/vmJ1k26huIYatTbvUTWspB39xjaK7rToxyS6iDgQNsX7kJghDcE1a5NXoOTRRe4+G3VmmCGARP24hKE0QRUmmOc2iiKNQYgQDROutGqZWlJ8rSmkpzH0WT5SO4wUZVWrIK6u5uZ7LgBN/BVmnuo2iybNQ3EMNWp9LqJ7SUg26325k90W50l/LhFWoT77qPoLEN3nQaf/ZH0NgjqXAj2cARNLaJmmQiwrzLR9A2jpkZ75HtdYq9ThSa/0f202ZsFmTZP0EsOvOxTAuRNft4Deg+bca2kVL6jrEw0nE3Tmw29tg2XuNpMw1nzFL4yOBj2dzHkPhOm/FBkbGu2dNmfHORwY522syYszptthxnm9V3+FYjI14TEhlgdnoejCM+BjLc8E+bge2XJ8J52oxPoYkU6OcIRnZ3bdiGwSd8g5FhB73OQPihEvxQCX6oBD9UIv1Qnw+JjFzNnTbjm9r4abML/3PX8+Ke8i2mhFzWE7Rex/l9T8lGkD1tduF3VhPgPG3GJ0BGWuJpM3h21kZtGHvOM/bm5iwi52kzTePEArafsxAEIWzWYdfeDecsBOE1Hh6/FrVhHIhiEPYdCctQd85CEKXtnIUgCnXHFAES53k3hCMjV1l6oiw3ImchyUdwg00syNbLMr3a4nb3FJMFJ/gO9FoCPal9WTbqG4hhq8tZ1E9oKQd9g2uCHWczjEpLqYOBA2xfpQmCENwTVqW1UBMsOCAaPyBbKzdBDIL3bUS5CaIIKTdnTbAgCjVuIECiLO7miZWlJ8rSmnLz1QRL8hFcY6PKLV0FencvMVlwgu9gKzdfTbAkG/UNxLDVKbf6CS3loG/wFQCR8zRXRh4MFGD7yk0QhOCesMqtrSsABEdF40cFL99oVwC8mD1Z1v9cuu4KerDB8f6HS2EMv1zUElVlQO/N71cbmZu/Yznc5VkQZZ3XzNj+57TmmgDB0SVEBoKqdJalCJKIiEr3NQGCJNSIhuFI8ribZqkNpicK05qo9F8TIElI8NuNyspspULcPc9kwQnOgy0r/dcESNJRX0MMXZ2wrJ/SUg76Bl8TGjkPm+XUwcABti8sBUEIDgorLK/jmlDBEdL4EcKLTBvGgSgGwSET1Jx7j1AQpWU5J0hCjSMYDr+cE4RpT855rgmV5CP4ykbFXL6K/O7maLLgBN/BF3Oea0Il2aivIIatTsrVT2gpBw3N0ZaXB9zzi7UfTEZvf/fN71tGgqHVXHnbwoepsk1M18k0t60U/bU6nGY19hbb2M1nzDOwSI31qdFXcKvkBzZDjR4qvtljW3vFz7nN3c7NLU6lRNADKUpdfo0LoegQ+NpesPwYLD92WX7Mt1zTLcfX9BrDT8DwE5fhJ3zD8Y8535MuThBE0K/GAVCyAa4UgtcA0J6XM7D6zGX1Gd9qvNsm1n8bo8/B6HOX0ec8o6uH5V6bscdV2x357+LOnWOOtpYVfezm3mKbi38xsfHn/6oyInAu+ZFZsj/pVEmRz+BQ8vyD5fr962pVD0VA78MPVuenn1ZJEIhcNsB9A2jiFpey7bgVOUIW2/42Qpbd6GO+0ZpuNMkDnbhsPuHbjH8ftg5UdttLtu3iMcpu8BnfYLxnZ4Unu73nPHtf3caAt7Gl7tHVpw3DRCjvxb86dA47zlhmeHJe8XaLbfCm897y5o5/hRw7pPCXufaqMnUZezrzH8EFHNUC6r1qz/n53sbXZi8DE8CemN/xY9iYhh+pYtzqFpBqz/p5ddXH19Xd/9WtEYvDSeZXVcnr4tKOqmLgUoksfLnaB6++8tX8p11oIfCyEy8y/csLQUxcnb8LAXX5x8zf66i9MFr8aA4/+WR5Nckj20TssydiMwo1cvHH7OOqwuThYrieLgf6o/k/GoZ3oVQCQB9fGrnlcMO0vFiMWtcG+pdsUE0CxUD+YjFnlbXw6FVlNdUD82Rd4uF9zhY/8RPLs1tpKmglURWmPOm8Vv1Fn8O9M+a/XoDg+tnsn5NOlXt5t5JhcRLE+TeWXSrwfbVtg3zAHuTNrUO5e024Fm5mEyTvNeHauClYtrzXJEt10S1sJvbYJl7ftSYRtM6OEvhQ8KGX1wlEkfdaEzYoUgfQrzWBGwVct5qwrUUKAeKtJlG0vtUkcrYtuMO3GqkGtlvHrRIsUbTT82Ac8TGQsZSxnFvdLmBsvzwR7ltN2BSaSIF+jmBkd9eGXV3fcQ1GBh10rgrhhkpwQyW4oRLcUIl0Q30+JDJu0W41iRLjg9LcZupdvqk5wVTM8Pcv/M9dz4t7yreYEnBZT9AqF1jje0o2gvCtJmu/s5oA960mbAJkoCVuG8Czszbq6rYBx9hK6CYqnBZFEuShGgdKp4NgEA4nQTKMw0INx0k2XT5Uzg2F7w3ctVfMTQXntkJMw8Ty2bYePFiU7QcbyC1REEK9x1bbEpdXhGYJaEPdF0XVeFT8etiGcSCKQShUIaw4nUVukihCRW6JjeRQlGQzlnpIsAvYqCgindm3IHuiMK0VueXd1HEOVhSP4POaWHytl2CrViqRpzeOKDjBdaDXDdg57cuiUV9ADFpNiRtiPks56EqQFdMoj6aJCoo8U4GaDOJgGIaTYKzVeDTJ8mk4Xb7LrQoy6+6lEWQJdSxwfO0LMkEQgnPCCrJPlzvqD69uu1dSrDrpWt28vsj9PK0296sDnfAdvaNtw7AvOgwaPwxbizVBDILHJYg1Z3pAkERIq1nXboeiJNRQgeDIVay7uSvbIMjSmlSLU8e2/W1ZPoI7bFSrrRqqRJ4OOaLgBM/B1mrOSe3LslHfQAxbnVirn9BSDnpxtDQZDsxPh0ESpZNARVEeFOFkGIwmcTHWozwJs+WktyrWrKtlI9YUdSxwfO2LNUEQgnfCirVPoN4Fjo1Cmcjieo2P5j9eKDI4OboQa5/MfpPacPdFcTUed2tRJohBcK0EUQYlKJ93O/Y7Yt4QBZLRZjaOQ1EOalxAUHjLQARRWhNmke7aD8LeluUjuL5GhZlaxXFPhxZRcIL3YAsz56T2ZdmoLyCGrU6Y1U9oKQd9M68BXnwq21gYYaapY4Hja1+YCYIQvBNWmMnfAiw5IBo/IFtLN0EMgvMlSDd38lMQRUS0uW8BlkShhg0ESBSpvFvkVpieKExrys1zDbAoH8E3NqrcVvf9R54GDqLgBOfBVm6ea4BF2aivIIatTrnVT2gpB7244mOv7Rs+nLnN1MsZbXK2dcraau4ttrmbj1kTp6yrszyNn7JO4ZQ1k7LtU9bQqTYqzEcMxzxi7XKOXBxFx8FXyy4PXWdwT0hhPgzDsYvhmM+g6Qz4etnFGewMbgwpzIdBOHEhnPAR8C8P30Uv6/Sh56hBKQGldKGUbBTxE9oZ3CJSmA9j/5nL/jO+/fggQay8XhzYzuA+kcJ8GPPPXeaf88x/ZTUHwaO149vuC0a8F7LqxDkJOGOZcc99wxXX3s2gsOXp7d+YqAa7CQ9nf1zHskUUnL8PMe9hde96dafo8rj0J7NfzP6rjWmfzbQZGRo5CG0z8S/ZJmqSiUzzDtjmbS4qBA//Mi1EHqLCbzL4Dv8ybdwMjVse/o2TLLEntntsE6/x8O+qeXiU+U/7csmQYYN+2jcKo9B93JdrLjJwUI/7ZhfHfZ3Xj9/hW40MH9stKNabLdlOz4NxxMdARgzGQmJ97C7buTwRnuO+XApNpEA/RzCyu2vDrq4duAYjwwx63wrheEqk4+nzqZChiXi+VyWqG1udzl2+qQLne7OL873ON/WUbzElprIemfVGoN/ZlGwE6fO92c7lCfCc7+USIEMrcZUJz87aqKvLSo6xYO0gUiOlR0mQDEY6UEUUBnk6zoMkHatxNB3mw2S64HGuOL83aDYR7rs2zHt79FVMLJ9tberBoqxPbSC3REEIyR7swvWT1dIU6hOrNelifRpnYfifk0z/Z92xce6Lcmo859YrRUGMzTDvwcCvKOHUjw3lDVGUzdjuQSEsPW0ch6Ic1MwagsK7PBVEaS21raLcfVxEEpDg7ppYaK2XW6tuB5GnfYUoOMFxoNcI+Fnty8JRX0EMnHdG+5gZLeWgq+S2+d3LRQeIrBb3+V0p7sJLqzdpW9rnz503iTPtRW7UYOXSx0YuVZdlLi77XLcM20x1fzp7MPv5cqf/4qcv3em6vDW1E8MtmV+Z3+i6RYVJrnDkjWQDmCZqkokI84yCJV0d2pn9fvZ09vU3O/FeJ+12Xv3t34ryrNhLw79Y/DHdb0VxGO7l5tfx4texztRespvEe/lfLP5w87UozvcS8zOLv8Z8IQ7j3UiZL+jlnwI+KLUN4wF7GJHbSXiN6c5aMC1Ebg0RpKMna8G0kbLDgrEwyrXjzuke28brS1vE0PQmjlZbiIU/d8HFQ4ZCeu5CxS61822+tchYSE1dFBepi8KTuuBajYyITShqgNnpeTCO+BjI8LZN6qLYuTwRntQFl0ITKdDPEYzs7tqwq6kLrsHIWINeliCcTwnOp0Q6nz4fDRmkaPmLNMwcp7/u8i0VSF8UF+kL59t6yreYElxZj816qed3OCUbQTp9UexcngBP+oJLgIyu5PRFsbs26mr6gmNsJWpRlePA41xIe3YWuItpV/pimaFEY2L5Wk9fSIIQ9vOw63H5c3ySA6LxA4JfA9swDkQxCNuVhDWo8xyfJIpInsN9jk8SZTPkelDQa9osy7raqmZ6oiyt5To8x/hE+QiusYmF2Wp5ZoT1YmN88R828CNZcILvQK8p0JPal2WjvoEYtppMB2JCSznoRd2JjvN4koXBZDAcBGoc5UE+yafBeGh+x0gP40E8vNe+cHPkQWL/9fmWscDxtS/cBEEI3gkr3H5WJUWeVteULi+R71zKk1TSLA1jq+DeF8XVeFy8LEP1WoPs0tVheV79YnmJK/zy5fwf5z+t7hJ7d2PYqraAoH3f+2bn9PU7nSKMws5r5juL62DfXZy//GPV+e+l+d/Xq25sy3OYQWf2YPab6C865g/5Ck6zVMdYnnSW5zqfVlku0NdP4Ecv/lh7U8sD0WkihI5GZKcgipDstFalHIqSUGMegiPRWncjq//uibK0pjqjNI6dJTaihATP3qjujFYyxdPETBSc4DzYutMzrX1ZOupbiKGrU571U1rKQYP09CnKZmtqrH7VaMnYR1e4N2ZxxlI0IqqmhmsvMoOIlYLXUFPDJVc48iZqargmapKJCPPYNTXJRkFNotVefFFOk+zFu1GSJnvZuqQmSeK9dF1Mk8TJnr4opVFRAT+6KqSJ42zP+lwfsIcOmdskiElXHQ3XQmSKEq8RPXU0XBspqT6EhUmYKJuBPbaB11hEAz1/Y7XMY8ext4iGjYeMfc0W0bCtRQY/YhFNHK+LaGJnQ587fKuRIbAJzQwwOz0PxhEfAxnPtiiiMbZfngh3EQ2bQhMp0M8RjOzu2rANg0/4BiMDDXrhgXA+JTifEul8+nw0ZIRqroiGbWnzRTRrp3PX87ae8i2mRFbWY7Ney/kdTslGEC6iWTub1QS4i2jYBMjoSi2iMc/O2qgNY895xt7YXEziLKJJaJhYvvZzMYIghB077AJ861yMIK7G4xKWtJhcjPkBGJKniwZ715aLCZvLxQhOE2E7lbB8dudiBFFazsUIklB3gREcRRTaM+k9UZIbkomRJCT49SZWleu15aqVWuzpjScKTnAd6AURYVr7snTUdxBDV5eJqZ/SUg765hZvJ84aIEUdCxxf+7pTEITgn7C6s4XibcEB0fgBwStTG8aBKAbB/Tai3ARRhJSbs3hbEIUaNhAgCqpobCQ9UZLWpJuvdFuSj+AYGxVuq1Zrsad3nig4wXOwhZuvdFuSjfr+YdjqZFv9hJZy0KtLapbgLV9So2y0RphpH63ONmlbKqgpnAU1THuR2USsrvrd7DPYuJr/aK2rarqurGprYE/qi2qDCzaXYHPsWWf+E/MbzW9e1tZ8CX+IEWbPzY9Uu2aLH9t79TsvZ5+v9qaqjTP4Y4wFX1W/XPyps8ezl51wL4YKCfPnui6122cPqcINaSOVOkwTNclEhHnsSh3jcHTXBnfAhkOmOAmS0llLw7QQmanEK0VfLQ3TRkrGD2GhCsOim9tM7LFNvMZqmhSqaaDdUpzDR7FKbWt/XQ0XFBkC6XU1cZIqd2EN11xkEKQW1uiLwhpnp7g7fKuRobAJJQ0wOz0PxhEfAxl+tims0TuXJ8JTWMOl0EQK9HMEI7u7NmzD4BO+wciog16OIPxQCX6oBD9Ugh8qkX6oz4dEBi5aiU2S6LSbW2PDXb6pAjU2+qLGxvninvItpkRc1hO0Xu75fU/JRpCusdE7lyfAU2PDJUBGWnKNjd5dG7Vh7DnPWLB2FBdJHEfDYFwko0CpWAV5HIbBJBoWxTCL0myyDGrOxbRnd4G7oHbW2KQ0TCxf+7kOQRDClh52Tf5PryyrzXr8v5ll9xfVgtmsic3y+yBJvgNRI1RQdwJffzL7rPpu1U41WHwREiG20dgXHQ2NHw38WtWGcSCKQdiuJKxK3YkOQRShRIfdNR6KolA3WhEgURgaB2hl6YmytJbqUGauMhvfbVk+gl9sYoG2Xqalq53x1LNUkwQn+A702gI9qX1ZNuobiGGrS3XUT2gpB72oUFHjLBtNkmAY5XmgUh0Hg2QyDFQxGEfDdDDO9ehe+6rNVaGSUccCx9e+ahMEIXgnrGq7WqGyLDuxF6osaoIfVbvwL4xqM/8yAm729fKnnppvLKuLbaOzLzo6Gj86W6s4QQyCJ25ExQmiCKk4Z7mKIAo1hiBA0jDqKms87ImitCbi0ryrXPUqknwEN9moiMtWMd/TyFYUnOA62CLOOal9WTbqC4hhqxNx9RNaykFXIm5YjPVAJXkQD6LC/Gw+DYZ6EAd5qvLxOBqPY73cgW5VxCW2sTAizt9gyjIWOL72RZwgCME7YUXcJ8vKk9W9Ms8Wh6WezJ4txVxn9oeqVuWHVc3M0+o41qOqfmX541/PXsJVJr+ePQiqEuSfzX47+5X5/OfZ720jtC86Qho/QlsLOUEMgjduRMgJoogIuci+FjwUJaGGEQRHrEKdO4tOBFlaE3JR2o2s2ZbbsnwEV9mokFs1U4w97TFFwQmugy3knJPal2WjvoEYtjohVz+hpRz04p6CNA4HYTINsukAipSjKBhMp5NA6XE8HUzCkZ4O77Uv5JRtLIyQK6hjgeNrX8gJghC8E1bIPbDUHj8FffZKuXHn25O3Bt8bdL43eGvwX/7Ld5cKz6i2p9WG3bOl4isPI62y4+Wv4jCcv28+4Dz/c9tQ7YsOlcYPFV7RWUer2p+8qMR+uBqto8Vo7XWyMItmv+/MfmnUMsjgx8tBfrK+y2D+wV+8cq/B7LOqd/wHVQX4+m4E+PVfLG5v/MJ81djxzcUYa3uV44Ho8BLCBUFpOsuRBUmEhGZo3WY7FEWhxjkEiIqLsKvy1AbTE4VpT2omueoW2kZ4W5aQ4M4bFZvFSpt4ekiKghO8B19suqe1L0tHfQ0xdHVys35KSzno6pzb//aKQHEKyh9MRm9/983vW0aCoScdW4KJvxNLvonpOuDmtpUiEldn3KzG3mIbu/mMeQYWKQQ/gSuhjdD4CrSJzdh9Y+w3e2yLr3g7t8nbObvFQZYk2jvKlb1O/IgPoegQ+HJgsPwYLD92WX7Mt1zTLceXARvDT8DwE5fhJ3zD8Y8635suDh0YgNIFULIBrtSO1wDQnpczsPrMZfUZ32q86yaWjBujz8Hoc5fR5zyjq4flXpvxx1UPnvg7MhTOMUdby4pArhPWXHPxLyY2Bv1f1fL6xXK5u9mroMoY2Q9dw5fX0cv8gA3UxK8I4heTtu34FZv4lWSu+MWFaCN+xSZ+OSw/5luu6ZaTfNIJGH7iMvyEbzj+Ndk6fsUmfjkASjaAePyKTfxyWH3Gtxrv+lnxKzbxy2H0Oc/oVyJAizeFQGxwhbHYR5FGzqHHGcuMYV1Hv/BbbHs3HfuWN4X8q4lW9xcX3M7vr84mvRqfqt469038egr7yHA26Xl1Ve5Hy192zDchrD1cRMLV7R6wE/zRIrxVl4p8XR1oqq6mWBx5qnaNP1zdDVJdGHKp0HZ5ZYgtfi7qbysD5z/tdsDYTrqnq737xb0ikW8jnzvym9FI8EIRromaZCLCPOaFIhuP0Dc7eq+Tdm2sB2zWzW05uftFuBYij2mTNupd94twbdyM91veLxLpMOw6ana5Jl7f/SIJdOtJFHxo+EiX5/oTf98eNigycNLvF8l14rxehG0tMnISrxdJLvr2JJ6+PWyrkfFzu1XRKnmRQBsNN8YRHwMZjBjrotUx/+Sib09S07eHTaGJFOjnCEZ2d23Y1eUR12Bk0EHngRBuqAQ3VIIbKsENlUg31OdDIuMW7XqRKI6MGramZu/yTc0JpmKGv3/hf+56XtxTvsWUgMt6glZZthrfU7IRhK8XSS5a+Pj9zhmfABloiWtteHbWRl1dZnOMrYRuosJpUSRBHqpxoHQ6CAbhcBIkwzgs1HCcZNPlQ+VcgX9v0GRpXLUKd67DExomls+2VvdgUdbrNpBboiCEWoptFvLzH5lV9nO433PVvsaGui+KqvGo+GWpDeNAFINQBEJYcToPK0iiCNWQWWsGDkVJNmOphwS9gC106LjdtyfK0loFWd5NHYdORfEILq+Jtdd6BbZqhZJ4utuIghM8B3rZgJ3Tviwa9f3DoNXUjiHms5SDrvRYMY3yaJqooMgzFajJIA6GYTgJxlqNR5Msn4bT5bvcqh6zyk6jxxR1LHB87esxQRCCc8LqsU+hPH6hwn6yIc0qJVZd9lZV4j9cpDUWyZJKpJnv6B1tG4Z90WHQ+GHYWqsJYhA8LkGrObMDgiRCUs0qbw5FSaihAsOR6rCbuZINgiytSbU4dXYiFOUjuMNGtdqq/0niaWgjCk7wHGyt5pzUviwb9Q3EsNWJtfoJLeWgFxeEJMOB+ekwSKJ0EqgoyoMinAyD0SQuxnqUJ2G2nPRWxZp1sWzEmqaOBY6vfbEmCELwTlix9gkcdYTbP6AmZVm8Mv/xQpHBUcaFWPtk9htr/mJfFFfjcbcWZYIYBNdKEGVQIPR5t2Mv9XlDFEhIm4XahnIoikINDRgQnelullhheqIwramzyABa/cFtWT6C/2tUnelVMPe0SxEFJ7gQtjpzTmpflo36CmLY6tRZ/YSWctALdTYcTQbTpAi0UqNAGekWDNJQm981zMfRcDBO9HVspSnbWBh1lpLHAsXXvjoTBCF4J6w6a6JL9OwPs9/OHsx+Zz5/Dz/z380vPu3c6XtaR0uOksaP0taiThCD4JEJos6dFRVEEZFz7rt4JVGosQQBEse6G9mlaU+UpTU152keLcpH8JeNqrnVBfyJp6OCKDjBd7DVnKd5tCgb9Q3EsNWpufoJLeWgV82jl5MK/2rxSJgr9em9ejhNNmlbOhKWdq0LjFtsezddyJZHwhZHfj5fHuDxto9edo1eKKzLp8bWX7ua//xy9mTx7dhzSIs5Fgo3Fo0c0mKaqEkmIsxr45AWk3XTyQse0mJaiCx2x2s+3yEtpo2UmnGMhb5DWkwTr/GQFrR+TlYtV5PMfzSLi4cMYPSjWVq58oHf5luLjGDUo1nZxdEs543/d/hWI+NYEzIYYHZ6HowjPgYyBG1zNCvbuTwRnqNZXApNpEA/RzCyu2vDNgw+4RuMDDXotQTC+ZTgfEqk8+nz0ZAxinYgK8uMHLUG07t8SwXOY2UX57Gcb+sp32JKbGU9NusFmt/hlGwE6fNY2c7lCfCcx+ISIKMr+TxWtrs2asPYc56x1XIr1mqohpNgMNJJoAZxEQzGcRIUWTycZHo4itVwweNc/nr2A7hLYOd5LO+17VcxsXztJy0EQQibcNhV9L+a1RVchg1tZpZr6M9h1TV/d1Xmu8pMVBdoVxdzrzIVjlY0q8u7na1ozHIvhN3zzmu3ekfWd3RfdBg1fhjxq1sbxoEoBmFnkrBwdWc1BFFEshqRvZnLoSgJdUsVwRFnoetIek+UpbWkRhQ7rna/LctH8KdNrObWa7pVH5PE05hGFJzgOtALEfSk9mXZqG8ghq0uqVE/oaUc9M0tUYmdKY+COhY4vvbVniAIwTth1d51lagIjpLGj9LWYk4Qg+CRGxFzgigiYs5ToiKIQo0lCBB/iYogS2tqzleiIslH8JeNqrlVm5DE0/lFFJzgO9hqzleiIslGfQMxbHVqrn5CSznoRd+XvbWOccq1hq/ddyi1ZZNwF6fa5HQVpzR97b7V3Ftsczcfsyau3X9aVZ8IXbuvoG0Ml7bla/dV1TYG7idVmfnQrgYybBxFx8EnGBYX8KuqgYyCj8x8OBiO+QyazoBPMVRX8auqlYyCj8x8OBBO+Aj4l4jvqhf5TFU1lYGrJg1K6UIp2SjS1/Orqr2Mgo/MfDjsP+Pbjw8WxGRVdVG/qhrNKPjIzIfD/HOe+a8sfSGItFaf6UxNKW/jgTR1TgLOWGb888RApr3IuhZsAPzYxDsIYF9C5IN00vzH1cbCZih8tTbz4qevXPAPN/QvfuhRJ4b7/b8y33RcFMgdgc04IliVyTVRk0xEmNdUVWbkKMnkgiLrZAibIa6STK6FyHIX/B6HpySTayOlbARhYZzEqf1SiB7bxOsryVTQDkoly6ooE9R8JZlsPGTMopdkqlQ5SzLZ1iKDFrEkU0XrkszFMNusvsO3Ghm6tlvMrDZ8VLTT82Ac8TGQ8YexiFlVSRnbL0+EuySTTaGJFOjnCEZ2d23Y1XUL12BkqEHvnSGcTwnOp0Q6nz4fDRmjaCWZqc67ubW24i7f0uZLMtdO567nbT3lW0yJrazHZrUhWeNwSjaCcEnm2tmsJsBdkskmQEZX4ioXnp21UVeXtRxjK/E+yAbjpBgG2TiFLeA4C4ZhFAXRaJINR1mUhoPhgse54v3eoNkkffVvG6ZZ98Y0TCyfbW3swaKsj20gt0RBCEkn7ML5watL4IfVivgprHYX5Zid5Sr408lbkx989+3O/nFHx8tziutl8fKHwj3VqQotoSiz41gA7YuOj8aPD2HN+rvL+wSP5h9U9arVdoP58o+r1n/vweZ6VZBaNem7GMmHVZuBdf+/RTFE9cuLP9X8cg8aE8D+/Hvf7Jy+fqdThFHYec18b3EX7ruLDfw/Vp0CX5r/fV391ouN/KAzezD7TfQXxj74LeYn4S990lkmBp5W2yBQfPEEfvTij42+YWa3sgp6GVZ/2vzDzuvHZweHr1ffqf6+dW/Czuy3s1++Up5rnKxezHq16bJoemgsmH8EKB2l83AvDLudaPkzi79p+R14bGL9rShP9uKwU1WLfOZa2As+NYSMJmEDwFkNIYkiVA2hbCSHoiTUVCyCo0jCrrZ6pZ4oSmu1EKHzZlxRPEJUamJNvF4Zx8vMufL0khMFJzgO9HIOO6d9WTTq64dBq6mEQMxnKQe96Co1zcN0Og6DaRxOAzVKiyAfF0UwmkxUmCbTQaiWHrZVyWz1WUYyJ9SxwPG1L5kFQQjOCSuZm6hrvdMPPCWskgOi8QOC18g2jANRDILvbUS0CaIIiTZXCaskCjVsIEASlXcLZWXpibK0Jts8JayifATX2KhuW3UrUp7uU6LgBN/B1m2eElZRNuobiGGrE271E1rKQYNy8wmyZqt2XFJM+egK944yzliKxMJV7TDtRaY+sUrqOqt2mCOgcCPQSNUO00RNMhFhXlNVO66L1LigyFQqQf85q3aYFiIzonhZ56vaYdpIySwiLCwSh5fssS28xqIdDUU7q97ySvmLdrh4yJDVcNEO11pkzKIW7aiLoh1nY6Q7fKuRkasJoQswOz0PxhEfAxl+tinaUTuXJ8JTtMOl0EQK9HMEI7u7NmzD4BO+wchIg14tIJxPCc6nRDqfPh8NGaIaLNrhWipQtKMuinacb+sp32JKaGU9NuslmN/hlGwE6aIdtXN5AjxFO1wCZHQlF+2o3bVRG8ae84y9sRkI92EVTcPE8rWfgRAEIWyzYdfNLWQgBAdE4wcEv0a1YRyIYhB2EQkrUHcGQhCl7QyEIAp1/xMBEiVFN09sKD1RlBuRgJDkI3jGJtZl69XZqseb8jTtEwUnuA70kgI9qX1ZNuoLiGGrS0DUT2gpB31zi63d6YqUOhY4vvZ1myAIwTthdVv7xdaC46Px44OXcbNf1FRXV9f9blZXV198JS20WUydhVHaTjG1bRoORKeBEEsakaGCKEIyVNlIDkVJqEEQwZFksWNLrSeK0poK9VQvS+IR3HyjInTVmk55eg2KghMcB1uEeqqXJdGorx8GrU6D1s9nKQfdbhGMdS1sVGXmpcs26a69CIZpLzKViBWF11kEwxwBhRuBRopgmCZqkokI85oqgtGuIhgmKDI1SdB+ziIYpoXIDCNe0vmKYJg2UjJ1CAt1mne1zcIe28JrLIKBZoJq1c9L+ZsJsvGQIavhIhiutciYRS2CuWgmqDzNBNlWIyNXEzoXYHZ6HowjPgYy/GxTBHPRTFDVNBNkU2giBfo5gpHdXRu2YfAJ32BkpEEvFhDOpwTnUyKdT5+PhgxRDRbBcC0VKIK5aCbofltP+RZTQivrsVkvwfwOp2QjSBfBXDQT9DubMz4BMrqSi2CgmaDd0ZzzjL2xyZTEWQTjbbVzFRPL134yRRCEsMuGXTe3n0wRHB+NHx/CkhWTTDE/AMP2tPqB92pTKbx7acLmUimCk0DYESUsp92pFEGUllMpgiTUvVwERxxndpKeKMlNyKRI4hF8fBMrzPU6c9UPT3kaHIqCE/wGenGEndO+LBr17cOg1WVS6uezlIO+uVXY7q45BXUscHztC1BBEIJzwgrQFqqwBQdE4wcErzhtGAeiGATf24hmE0QR0mzOKmxBFGrYQIDkuhtnVpSeKEprqs1XhS3JR/CMjcq2VeM75elkKApOcB1s2earwpZko76AGLY63VY/oaUcdLsVMMpG93quQy9dvkl33RUwXHuReUSskLrGChjuCCjcCDRRAcM1UZNMRJjXVAVM7KiA4YIi85IE+eeqgOFaiEwv4lWdpwKGayMlTYewUOuiW9gs7LEtvL4KGA09RXW8TELr0FsBw8ZDhqxmK2DY1iJjFrECRofrCpjFMNusvsO3Ghm5mhC6ALPT82Ac8TGQ4WeLChhj++WJcFfAsCk0kQL9HMHI7q4N2zD4hG8wMtKgVwsI51OC8ymRzqfPR0OGqOYqYNiWNl8Bs3Y6dz1v6ynfYkpoZT02qyVYjcMp2QjCFTBrZ7OaAHcFDJsAGV2pFTDm2VkbtWHsOc/YG5uAUK4KGO1tUXUVE8vXegJCEoSwzYZdN8snICQHROMHBL9GtWEciGIQdhEJK1BnAkISpeUEhCQKdf8TAZIn3SK3ovREUW5CAkKUj+AZm1iXrVdn0XK/Wnu664qCE1wHekmBntS+LBv1BcSw1SQgEBNaykHf3Mpl5SocWTZDI4wFjq993SYIQvBOWN3WeuWy5Pho/PjgZRyn5+ZGIfOy56ZAk83mipkl54UQXBrRpYIoQrpU2UgORUmoURHBEcdGl6Y2lJ4oSmuy1F3NLIpH8PuNqtJVF0Tt6WopCk5wHGxV6q5mFkWjvn4YtDpRWj+fpRy0+eevF8pU3fPLzh9MRm9/983vW0aCoTqtntXozcSHmbpPL6JtpUjJVYWM1dhbbGM3nzHPwCLl4m+MxnhRNdb+46u1FMsqmfn7nUrcvKhad8OG4JdG5DydPbNhGSmYfLPHZrviFN1w2/nEZdpdQdo9hQ+4gkIX5iMLzUcOH4VdVR3x6RSdDp/rAKRjQDoGpGNAOgakY0A6BqRjF9IxH0nTkfDJD0N0AkQnQHQCRCdAdAJEJ0B04iI64RPh3y++C18mXhUkXlP4gEsIDFkJZCWQlS6ykk12JcdWQ0Z79M4A5wxwzgDnDHDOAOcMcM5cOGd8HHyEIebcDM050JwDzTnQnAPNOdCcA825i+acR1M9dwsaCEV/5YujzdWZutNtystQOGcEZyorhnYdXapvsa1FVupwg2hVyPhksbqffT57uVGluNhegTU9bAJ0Zj8zS/vniwgLf9Ds870OpN9gx2H+4fwj+I02/H02/mYskiwwZZqoSSYizGuqwDQx3/kN7PLAHwRbQov9IvNN2Jm5KqEWX4Sdmyfw09VOUrWh88TM+Qed/b/77t8HveOLp+H1t773g7ffevP7f1N9y3zn1nff/Jt/GLw13lsULH8xew4J2E61E/Wu+dOqDac0DOfvR3EYdsy3n9u2omzTc8CeHmSxEmHzx1kWy7QQWXOE39PxlcUybaTU7mAsDBPluhmOa+I11sXqVVWavzMimwwZXeklsXmSuUtiudYiAyy1JPaiM6L2dEZkW40MtNst6NbbW9CozI1xxMdABkzGym1dpXbRGVHXdEZkU2giBfo5gpHdXRt2dTnGNRgZZdA7hQi/UyL9Tp9PhYxMtGrYKMrzrn0C7vJNFSiHveiK6H5TT/kWU0Iq65FZ7736nU3JRpAuh73oiuh3NGd8AmRkJS7N4dlZG3V18c0xFqzNR1GSJCoK0jzNAjUZJsFgMhkH4yQdq6kajOLpckac6/LvDZosq4D1rmt1rmmQWDrbCt4DRVnF20BuiYIQkmvYBf4nr67pF2s6KK24v8zMb6wALxZ7i2KLn8OvzO96+v/+qPPGW2/+4O3F1w9Gb/793775/U755t+92bk1mE7/brKsvICF3Pz9ak2nFis62yjui46ixo8ifhFuwzgQxSAkHJtYrAqSiBQqODzNoSgJNVOK4YjMmqvQNpaeKEtrlQqpygp3sYIkIcGfNrGOW6/mVo33tKeToig4wXeglyCEae3L0lHfQgxdXb1C/ZSWctDt3eLhLopNfWzFTcuuMK1Fbvpgxde1ZVeY+AqH30h2hWmiJpmIMO9ydoWRVinMdz6plPMLmNGnsy+gvPY+3M9i/vfZMvWxLEmx1amYn3hi/vfl8ve+rOpUXixubFn9uVUh7zJz8/TiETl78z8N/tfO/j8MJ53Tyehv356M/lPn9M2/fasz+zQJ4WmCc6MXGRXzu54b0Q/XGZu/A245hmTOl9Ujdn/+Dlwm8xhSNOaLj+COY/Mn/AdI2pivvoRi49kz+MorT+iDqrL4RWf2CwP82DbTB+yZRm6hNaF9mRYit8MomtadqGHaSNlVwliYh3af22NbeI15mmy1X5r68zRcMmScbjhPw7UWGaqpeZr0Ik/j7AF4h281MmQ3oe8BZqfnwTjiYyBD7zZ5mnTn8kR48jRcCk2kQD9HMLK7a8Ou5mm4BiODDHqRhPA7JdLv9PlUyMDUZJ6Ga6pAnia9yNM439RTvsWUiMp6ZNZrTr+zKdkI0nmadOfyBHjyNFwCZGQl52nS3bVRV/M0HGMXCmeoRvkwDiZKjQI1zpIgH8TTYDTW6TQcpaNp0u61JQr+bYM06/yMBomlaz9PIwhC2FfEbhX8M6wBl3V3zy6tE2dfLu8kcRbvuc40CI6Axo8AfiluwzgQxdgM/x6MJtaZgiQt51gESai7uxiOIu/GrmWrIEprKZYoct5leVuWkOAKm1iCrRdi2Wo/3tNJVRSc4DrQqwfCtPZl6agvIYbOO6V9zJSWctDVkdC9tUYB/dXagZbExmqkmLeZTxZtsraScnEIx1tsa5H7N1gd9Vujjx7PPjOfi6vfZl9UN4AQEzGzryHNsr5gA7bJO9WG/lcg0zrJXtyBswrV3/HV/B+NFqsaBD41Pwx/Olwv98V6+76qrfmq+uvgDnb4cxcmPF/eoPHEqeCYY6pwY9pIHodpoiaZyDTv</t>
  </si>
  <si>
    <t>gG0ecl+oCVHItBC5x0MRe+7kA9NGylYJwkIVZ5HzlAjTRJHsA/Zeh9t8s5HxiJ5aiOLInVrgWosMSdTUQn6RWnA2xbvDtxoZmki6FvtoHPHNRnr/bVIJ+c7lgfekErgUmkiBfm5gZHfXhl1NJXANRoYM9mLAczkM12RkDCHmCYyTzq3B7i7fUoE0QX6RJnA6j1O+xZTY1+TjULJNlk4L5DuXB9yTFuASIKMiOS2Q766NupoW4Bi7XG0uXTWEx9ZWm8qGYVabhRcjcY45zlTeatNRjniLbS0ypGNXm9QCv0u9uqpqr1+aL3wMLbmi5SWWVaXXcgFa1V69qP7/FE7dL778cv7DqgTwI6g7+8Q2Pvvs8UFqh0ZWjkwTNclEhHlN3a8QVYWAl5+BzVTOesIfwNWk8/vzHwZVMufd+XvBK4/AXmfxW+Y/rUoBH3aieE9Xx2lWV5paU0Ev4ftfVvd0VncszJ50bWN/wB57pMZpYlnMtBApaZpZFjNtpEgDhIVxEqf2PcQe20SRZTGiOOYoT+ESsxQ6i6UxfCTwATeepRo+4NqzNIMPuPssLVaVNIW/go87DMhAzFhmJ87TE9/mm4sMxtR1dnGxznY2Mb3DtxoZlEnrbIcMBZidngfjiI+BjJ3brLuLncsT4Vl3cyk0kQL9HMHI7q4Nu7ru5hqMjEnodTfCS5XgpUrwUiV4qRK8VAleqgQvVYKXKsFLleClSqSX6vOHABn0iOt489d2I+ui5y7fVIGFfHGxkHe+1qd8iynRmvV8rROgfs9UshGkF/bFzuUJ8CzsuQTIOExe2Be7a6OuLuw5xlaLqHQ0UoNhEegkTAOlhmEwDONxkCWjQazGI6XT4YLHueD/3qDZej/nrYlpSIPE0tm2BjxQlO0BG8gtURBCkQt25+APZplYnZ2qzmPBLQsfXlrdQ1L4OxA1LPfywSms/5iGO3FmG4p90aHQ+KHAr8BtGAeiGITqHfxidv6T+Xs2lDdEUUQq/0L7gvJQlGQz0npIsGvjtMi6udW/90RRWqv8093UkVoWxSN4xCaWbavFWxoua8RST/toUXCC40CvOLBz2pdFo75+GLSamj/EfJZy0JVYGydFOkpUEqhwMgpUEk6CYaqjYDTNJ/kgCqdxpu61Ldasm6JGrHm7tNlGAkfXvlgTBCG4JqxY+9TILzgE75drnWrvH9pi3a8ubHhUpW6qY/NsJSc4Tho/TlsrOUEMgkNuRMkJoogouaRrPc52KEpCDSUIjjzJVDe1bkf1RFlak3KR7hYuLSfJR3CYjWq5VV/S1NNoVhSc4DrYWs45qX1ZNuobiGGrE3P1E1rKQS923pJ8GibDPAhjpQOVqTQYTJNhUKhxoZIsDYdJ+ztv1pW0EXMxdSRwdO2LOUEQgm/Cirl/ra46uj/7GqotXsLHo+rOIyi8eF4JtWRP70TW/dJ9UViNh91akQliENxqI4pMEEVEkUGK9SrIoSgINRwgMBKVF86mHZIsrQmy0HEv621ZPILPa1SPrVpypp4Wq6LgBMfB1mOuOe3LolHfPwxanRyrn89SDrqSY9mwSHWYTAKd50WghnkeDLNpan4ZjgaDQZrGg8m9tuWYso2EkWMJdSRwdO3LMUEQgmtCy7Hq2vkvqy205ZHdx9Vu2RfVSd4nVXXt0878J+a7L2eP9jrmd/xu9ovZp7Nfzz6ePVjsrP0+sYrsfdHB0PjB2FquCWIQvC5erpk5+9yG8oYoiohcC7uJtqEciqJQAwYCJI9UNw6tLD1RltYEm9bOg7aifAS32KhiS1YRPvEoNklwgu9gKzbnpPZl2ahvIIatTrLVT2gpB11Jtsk0SdPx/9/d2/ZKkqTXYX9lQMAAvbezkS8RkREC+sNwtVwMzV0Ob81OVaZaEDIrs8iBd2eI2aFlC1iAL6Zkg4IpW/pg0LJkWfrgj6vlrrkktfJf6P5HjsiqW7ObNzPjxFP3yajUEMzp7ps9e87JJ+J5ixfVJlmW6URk6pg0x6Mc6m69/bNe5xdrXzFkm5yzbMgmQpXA2K0fsjESCZib0JDt/3A70tz2ow+GrUbuSPE/ev+n7/+X9//zcAzKr38w3O36R+/+v/d/MZxj/uP/+h+dzyKfvw+IUwGJK3BznMZII2CuDYjT3KbFv3r9wfR3+U1WQkzRWj45W3yblUqorwCISJ29luUkl49YuawWreWv9VywxkkvYEJ80WBNPPn2hWteWYkHTCDkYG3um37MSy10/CHUfLGa/3vu+EgPsVohWtF3RxvXpW6Zm8pU0vb5KTGdKEu3zi01zdu1Y7XJ1SY2VpOhSmDs1o/VGIkETE1orPZvf+nAgH9+Lpb94t2Ph6Vr7oi8v3v/F0Pc9vPzUrRcfyMvv5G+EsPlMcVstMaogcQ1uDlaY6QRMNm+YLTGSIglWpu5wOvbrExCnQXAIy+NjdYmp76PWLmsF6zlM4c6/RYvv4Ap8UWjtaf7/tTCFY6sxAMmEHq0NvdRP+blFjoCEW6+cM3/QXd8pM87DXohdJamSZMWp0TkpzZpTVokpybrUi1kX4j1w7XJhec2XFOhSmDs1g/XGIkEzE03hGtLuwaAUI2Rv8T53xyqMdIImGlfMFRjJMQSqs1MFd9mZRLqKAAeWWqK4rWaXN75ESuZ1WI1pV6byY0Sv8XLL2A+fNFYTT259oWL+ViJB8wg5Fht9qN+zMstdAgi3Hyxmv+D7vhIn2O1tiyVSXXSlH2XiP7UJ03Wp0kmjmlXtE13yk5v147VJj+/jdUW78SYVAJit36sxkgkYG5CY7VfaoP+q3c/f/9n7hJld0v3+z8e7p/4xbuf+tuejIwlzvjm6IyRRsDc+oLRGSMhlugsez29sOvbrFRCfQNAJBcit9HZJJmPWMmsFp6J+SM7OOkFzIAvGp09XeukFm7qYiUeMIOQo7O5b/oxL7XQAYhQ8wVn/u+54yN9WaPWdHnRnJJT29p3izy377Zlkh4Lo4+56Ivi8s1XDM4mDxmywdny6fATSmDs1g/OGIkETE1ocPYv3RHd5xu33v/5u5994E7YHk7luJ7fMZTSfubO53ZHaP/J+z9/umb1J/YPfuxObx8u5/rP7/7mfMnq+afuIO5vZHmafiOX08tSv8kqlcSlujmqY6QRMCcHRHVzh4lzMlk7nGOkEupNACKecI6RzGrhXFbI17KYIvhbvAQDZs0XDej0UwAwe23Od3iJB0we5IBu/qt+zEsudBAi5Hwhnf+L7vhIn+ttWZdlnTRJK09ui8IxTbQRp8RGf5lK07w9ictEu2JIl036dxvTmVApMHrrx3SMRAJmJzSm+xfDboKfvf+jZNgv+vN3vxgKbOobYi4QY+QncX43B2KMNALmUjwQWzisg5EKSySWvp5eg/9tViqhTgAgkpVCvC6nN0d8xEpmtUhsYUMBJ72Ame5F4zDz5LUXLjNhJR4wd5DjsIUNBZzUQgcgQs0Xhfm/546PtAvDlqKrl7yBcHIO+lCX8+f8WqBpOuYW9wZCKtrxbPFf6g2EVH0Eps9L3EBIhSiDIALwfvUGQsLVgzl09eBfvvs/bQz979/9hw/e/Qf7P/U3wybd/2jf+aN3P309JdG3yBKNXQPfRYFUhONokfOiQCrGsRe68aLALJVz57VREca7J7B0VwSW7orA0l0RWLorAkt3RWDprggs3RWBpbsisHy6fKscjpifvSKQrADoKV/4ikAyXNBbBl4RWKbXKwLL2aP8f5uOGvSaLxFfOzLf+GiBxnfoNEDndsMVgRb7r36IORbfpbOQgSxgO3LKPlyBjQD/Dh0w6I3gJAWYoHZugtq5CWrnJqidm6B2boLauQlq5yaonZugduAE9TGdPejpXvB2QDLUl78d8Dox/e7CiH6kIw5x0STTekoPPZPSjkyB+XbA64T09AHmGHxCZwC64K+CJiOn6MMV1Ajs92hg77TVIeduByyzMJIou9U7HZxEAup/aFYf3Ong5CdxfnjKO0XjW6w0AqqVeFo63+ngpLJyp4OTSmihFSBis6Zsrs/BSeUO+hys9ALmuZfIw67Z2NO1IuXCPTGsxANmDjiFQL/px7zUQocfQs3T5wC+546P9L3u7pJzd/6VebASELv1QzBGIgFTExqCvcDuLk7GEmd8c1DGSCNgasWDMt/uLk5CLKHZ/HJgTiqhvgEhktkoc+5QS04uq8Vm85u7WOkFTIAvGps93TFSLtwZw0o8YAIhx2bzm7tYqYWOP4SaLzbzf88dH+khNssa0+VHlSU6H3bpFzJpM6OT3pRp1rVdKUX/du3YbHIhuI3NilAlMHbrx2aMRAKmJjQ2+7fnLVsuNvtLd5zl+z99/z9OrGm4bOhyG7Xe/5nbs+Wer+VMXPBNVhUkrsLN8RojjYDpNiBem13bwchk7UCNkUqoo0CILAZqjFxWC9TS2atiWOkFzIYvGqg93SxSLlwVw0o8YOYgB2pz3/RjXmqh4w+h5gvU/N9zx0f6Xk8fl3OX+5UiVAmM3fqBGiORgKkJDtQ4Th/n1EDiGtwcpjHSCJhsA8I0X1mNkRBTtDYZd36blUmos0B45Gr62oWPWJmsFqotnD3Oyi9gQnzRWO3pZpFy4aYYVuIB0wc5Vls4e5yVW+j4Q7j5gjX/B93xkb7Xs8dn9iLYYE2GKoGxWz9YYyQSMDfdEKzddvY4J3+J8785UGOkETDTvmCgxkiIJVCbPXuck0moo0B4GPlayykqH7FSWS1SWzh5nJVfwGz4opHa06Ui5cItMazEA+YPcqS2cPI4K7fQAYhw80Vq/g+64yN9rxcwy7lL/UoVqgTGbv1IjZFIwNyERmoMFzBzKiBxBW6O1RhpBMy1LxirMRJiidXmL2DmpBLqKwAiuXpdzHZAGamsFqwtbCPgpBcwH75orPZ0qUi5cEsMK/GA+YMcqy1sI+CkFjr8EGq+UM3/PXd8pIdQrWyNkmnRJ1Jrt+VA66QtT8r+Nj02TaNU3vRv1w7VJjNlG6qVoUpg7NYP1RiJBExNaKj2/1gH/+NhE+fP3v3kfALTT4fS2l/bP/6pO4ncnS7+wfv/yf70P7/7yasP7N/4N+/+t3f/7t3/bsO8vzyX4f7vopgS45usYkhcjJujNkYaAbNuQNT2t+/+aorKb7JSYYrXCjlF5dusVEIdBkCkUK/N7LZPRiqrxWtSzi9Z4+QXMCu+aMD2dNFIuXBxDCvxgKmDHLDNftSPebmFDkCEmy9i83/QHR/pIWIThT6lRauTNBc2piuFSppT0SZGdEYUpUrbon27dsQ2c61fOX/g+owSGLv1IzZGIgFzExyxvf9TV0179/+5Ktp/do+fDMU0d4jifxriscJdAZNNkf0mK1mJk705ImOkETCt4hHZwkEcjFRYIrLp21K+zUok1B1ANHQ+e9wkI5XV4rH0tZmk91u89AKmvBcNx54uCSkXrn1hJR4wb5DDsblv+jEvtdDhh1DzRWP+77njI31elFYYdSxEkYi0Pw4VtqRVMkuOJ93rJktPuVsUt3I0ZqaUsNGYCVUCY7d+NMZIJGBqQqOxf2ejrp+9+6k7Au3rq/t+5RRy+0d/88Fw9vUv7B/96XDJ30+GM8vdzX9/41/INqXTN1l1krhONwdyjDQCJuQXCeQYqbAEcsX0uolvszIJdSUIj9JMJ6kfsTJZLZDL7Kw/V1jj5BcwXb5oJPd00Ui5cHEMK/GAiYMcyc1+1I95uYWOP4SbL5Tzf9AdH+k1b46ZWYeml8/izcbc4t4cQ0U7ni7+S705hqqPwPR5iZtjqBBlEEQAXvYC18IMn/Hdv/mls1SS4XyVP37/Jx8kv/RtX31w/lvDhl375nAX9gduSeEHw2/dFx/s6e+Gv/7Phv/Jv3VV0w8cHPv13fOP3/3s9ZSo3yKLOvYmfHfNUBGOo0vOu2aoGMd+68a7ZoQU05vxPyIjjHfXjHZ3zWh314x2d81od9eMdnfNaHfXjHZ3zWh314w29mHSy30OevnCGbIMoIN94QtnyHBBJxt44Yz++sIZvXDhDBk16GxfIi53ZL7x0QKN79BpgD7xhgtn9NcXzmjPhTNkFjKQBWxHTtmHK7AR4N+hAwZdEpzcALPUzs1SOzdL7dwstXOz1M7NUjs3S+3cLLVzs9TOzVI7cJb6mC4B6PNe8NYZMtSXv3VGf33rzPywfqQjDnHWJPt6Si09M9OOTIH51hn99a0zy7PSJ3QGoB/+KmhGcoo+XEGNwH6PBnZIjtTxKJrWJLJwhwWINk3aNO+Ssjg27qwAIVV75jObyC9UMmjJ/NytMzoLI4myW73XwkkkoHiIVgT+vU0U/87TaaG2UzilkLgUeGY9ReNbrDQCqqJ4LjvfTuGkwtJOSaeP4f02K5PQci7AIyvU62KywvARK5XV+ily9gx0VnoBM+JLpG3X5O3pPhO9cD8NK/GAiQPOONBv+jEvtdDhh1DzdFOA77njI32vC2PU3P00l0O8ApTA2K0frDESCZia0GAt2sIYTp0krtPNkRwjjYAJ+UUiOUYqLJHc7MIYTiahrgTgkalCvtZiistHrFxWC+UWlsaw8guYMF80lnu6/0Qv3GfDSjxg6iDHcgtLY1i5hY5AhJsvmPN/0B0f6Xvdc6bmLrTRRagSGLv1gzlGIgFzExrM3bbnjJOsxMneHJEx0giYVl8kImOkwhKRze054yQS6g4AGkpnk5HlR6xEVovG5necsdILmPBeNBh7uuNEL9xZw0o8YNYgB2PzO85YqYUOPoSaLxbzf88dH+l7PbFJzd1Zc8krA5TA2K0fizESCZia4FiM9cQmTjEkLsbNsRojjYBZF4/V5k9s4qTCEqvNn9jESSXUYQBEMmlep5Oz30esVFaL1xZObGLlFzArvmjA9nTPiV64uIaVeMDUQQ7YFk5sYuUWOgARbr6Izf9Bd3yk7/U4dDV3cc3laocAJTB260dsjEQC5iY0YmM4Dp1TAYkrcHOYxkgjYK4NCNM8x6FzEmIK1uaOQ+ekEuorACJZNtO1/YiVyWqx2vxp6Kz0AqbDFw3Vni460Qs317ASD5g+yKHa/GnorNRCRx9CzRep+b/njo/0vd4HPXMtqo3UVKgSGLv1IzVGIgFTExqpsdwHzamBxDW4OVZjpBEw2b5grMZIiCVWm70PmpNJqLMAeEghX+czBzZxUlkvVpu/EJqVX8CM+KLB2tNVJ3rh6hpW4gHzBz1Ym78QmpVb6ABEuPmiNf8H3fGRvtcLodXc3TV6+Uz4CSUwdutHa4xEAuamG6K12y6E5uQvcf43R2qMNAJm2heM1BgJsURqsxdCczIJdRQAjzwr5Gs1F6oxclktVFu4EZqVX8B0+KKh2tMdJ3rh0hpW4gETCDlUW7gRmpVb6AhEuPlCNf8H3fGRPodqbVkqk+qkKfsuEf2pT5qsT5NMHNOuaJvulJ3erh2qzVxao5cPjJ9SAmK3fqjGSCRgbkJDtV9qgf6rdz9//2fv/+T9n777xbu/ev/H7/7jux/bX/3U3/JkZCxxxjcHZ4w0AubWFwzOGAmxBGfZ61ROUfk2K5VQ3wAQsVnz62yyJPERK5XVgjMxf1AHJ72A+e9FY7OnG0/0wg02rMQD5g9ybDb3TT/mpRY6/BBqvtDM/z13fKTPq9NU2jVFViQyF8dEiFQkrUqN64/KzP5TtuYizIqhmZlSwoZmJlQJjN36oRkjkYCpCQ3N/qU7mttt6xyO3fjZB+5c7eEsjuupHUMd7WfuXG53bvafvP/zf3Q5Zf0n9g9+7M5id3/HHcHtdh64Qz1+/sFwRvsv3BHbv/KT4e+5c7m/keVp+o1cTi9V/SariBIX8eZoj5FGwGwdEO3Nni3OyGTtMI+RSqifAYgshnmMVFYL81yRURZTBH+Ll2DAbPqigd7TfSh64YIbVuIBUwc50Jv/qh/zkgsdggg5X6jn/6I7PtLnKlzWZVknTdLKk9u0cEwTbcQpsVFhZv/zeXsSl2l2xVAvm/TuH2oTeEwwSm/1WI+TSMDshMZ6/2LYX/Cz93+UDBtIf/7uF0PZTX1DzIRhnPwkzu/WMIyTRsBciodh80d3cFJhicPS16WcovJtViqhTgAgUoh07ppBTiarhWHzOwxY6QVMcy8ZhJn04rLNwr0mrMQDJg5yEDa/w4CVWujoQ6h5QjDge+74SNt//uGr8xVv/2ApxHrJywYnl5jY2Cqb5SiNKcWY40qXDYoptL9BRjueNSJeNmj/+OfuTI4P3v0Lt7vzWj/7xbu/evXBu385XDb4d+//+fu/cH9/SoVvklUQmAovcaUgFaIMggjAu94Y+ON3f/fqg+GCQTvgz/8qzv8S53/JxcsHhf3Jv568EfDn52LneCXh8Ic/Hg4o/jt3wMofn+8gdJdHvv/zD775/c/+IPnou19bw4df/uCHX335xee/N/zI/uQ3Pvvi9/6w+bJ79cGwneSvh/sI/+h89+AfD1uA/+TvfWDnlPd/Zh/DvYX2zX862KH9weOHv/2BSacTqm+Rv87YB/HdTUhFOI5JOe8mpGIcu7sb7ybMynRuKysVYby7CU1+ucjLDMfVz143SGYGutjw6waNKmZvGySjBb1s4G2DJrveNmhmbwX4bTpq0Nu+RHzuyHzjowUa36HTAN3lDbcNWuy/+iHmWHyXzkIGsoDtyCn7cAU2Avw7dMCgk4GTHGDe2YHzzsd0VqBjCrxAsFDlazE5+f8uHerLXyB4nXB+d2GkPtIRh3hUkslc08blyWZHpsB8geB1onn6AHMMPqEzAD3rV0GTjFP04QpqBPZ7NLBnH1U2mTbHpDl2qU3U3drlzP7W6DTXSpdFay7T/2xyvlCloCXocxcImjyMJMpu/fYHI5GAuiCa5fvvmn+WwV9Wuvyvw0oYt5tsQodvsuogcR3wJHqKxrdYaQRUO18i22RkwtIlyabnim+zMgkt0yI8dPlazSWvjFRW65KUpX6dzuwYYyUYMB++RB52zcaebigxC1fOsBIPmDngFAL/qh/zkgsdggg5X6fE/0V3fKRdp2QI2Lwrj3/YH7/67IvPJ5QgRGNyiqaNxIpFmnJMc65ZMo81JMh66pcYM4X2N8hox0a2oCwaSQ1b7//ZUCofqtn/0cVR7/98CrcNj4q/9xEZ/LOJbx79bfPepV4pXtmHnJvoqCREOAk8KXTIv+uQf3cO+XfpyGU4cjwZtMB/xwH/nTngv0MHjls9fWa91JrEq90cgR2ZwLMKgodAmL184lB/Mof6EzpqfBoPLBxY0N9zoL83B/p7NNC/NJ+7f63Uv5ezxQGxyKGcFR6DSvNHFvRkpvUbZLhgSwF1SP9uSO3dKcr/79CjHXq4f2udkjtW+U9tvv/jD979xKX7Pxv68fbly120rhwwXJvhrqn9iw+GcsDXt2gM2X8+HND87m/f/1P7N38+JcM3yTKM/cKLdPDf/aWraCTuApAPhi7zH7//Cwv+Z1aBYaPPX7l9O+cayAfv/sr57+EUnWFhw1mUn7/76+H6kJ8OHe6fuB98LcylIf7+z37J9b+ekuXvk2WRQbIAkkzB+xYZHtjRCClkuK80BfI3ySDBBkVIjWK+c07EGFLnBxBOxs0fkdGxdM2fr4+du4ODDBv0WuEt8UwZm+LNd8WpgEHfFdoVF193xWcviPhtOmrQhQVlJah1fIcOG3Q5hDzk2pwS3/hV4Re64FQWMpAFbDdO2YcrsOfpCBUw6DPIJaw5S/mYDhn0IGEt7lykudCvi8lq2+/SwTI0ucXXTe7Z+eORjjjE+b2kRezIkLmb2uIbvyr4QlObygD0jYG5qbOVK6jnaSkFrKuTvrqGmg72apnpZKpnM1O5SMPMao5BJWamajqR/g0yXNCto5mpy8X+k0s8bc5k01CXRLo886/tL/9kSL3+5LLi3OVmP7W//2fv//SyvnyK1zfJvATGKyzVlP/VkBk6wP/63f/1gTsufyJVHFWJB8JPq6CHFx3lf/NLmfePFxT4+2QFZJACAPspeN8iwwMjhICs8m8vtvd3Q/liLr8kwgWjg5fJL4kYQ1wsgnAK3UdkdLHzSyps0PeE55dzWP8bOlbQ+YSmlvLr1HL2RpvfpqMGfRBXakmFDbqYW1JL+Y1fFX4htaSykIEsYLtxyj5cgT1PLamAQcfBkVpSIYPOIyy1VFmaFUX62tnhc7S/S0fLkFvKr3PL2QnkkY44xPG9pEnsyJC5c0v5jV8VfCG3pDIA/WJwbikfrqCe55YUsMManPM/9ue//1nX9Z9/06ZfHw/Zl+Og2mPetk2a9OIkE6HTU6J1eUoaUaRNIUXWdc35zWtG6i6S/BX6/ff7qzX9qgLn/0XYc032gisz+fmq6QMVHe2xFCjL4duO51iIHG6mjlE9zahmYjSegiFGuNlaQh9+OM3oww8ZKP1SBjVvkvOLEV7EJLP0VZXJctowzSTn4SgnZXI9OVCnLA/iEGh5Fng9B7ymAh8bGAQ80MAscPuYQW7tjwD9l0pW8Qwpm7ahbPoAiydC865pFSOaBl2TQa9iQNOgnWURUN+F7UzHNVU2vbXqQqhI49rONOiaDHoV25kG7YyKgPqXarTxbKeYsZ18kdCzg3PWtZ1p0DUZ9Cq2Mw3aGRUB9V3MO2LGdqYXZT4RyuPazjTomgx6FduZBu2MioD6LuYd+arKy1dVUbyqhP21tP+vMvv/9s9sDlsZ++sstT/M3JuZezVz72aF/WHm/kYm50ImsahJEdf85KvakqktjNqyqC3v2vKuLe/a8q4t79rxrh3v2vGuHe/a8a4d73qOd03mvYoFSxu2WzYffmiBfPihcL+V7mHJ24f7gaVv43f3WyeA86nu59nwl7LhbzkR3GAY/nxGBvdzgg5DDe0yFN6OOu852FI4qwP3bcZKTbH51JV6J8jkpdJGFWo+HAIbCr+EGbfkS10tU5fj/V/P7ivbk/GLYPw48kcA+YGMXIYgJ0+j01MfFfN46vNjDrWWTwDNazJ+sLtAmL9m5hgKUIdUa2GUFiJpdJ8mwhR90pzMKWn6k53v+iZN++PbkWseTz8/aGa3jN44Bf3qxtHsfI2N/WgL3+zTbOZCmzkpUA0mx5KXOnk8XajvMu0104qN8vlg9yYt+u54SlrRmUSkUifGlEWiG3k6pU1app25FxPJU8RE8plTWOf1wjSIZCJ56jcRNsrna56kkY3uevtDdztAdjTWktIsMX1ZNnnZiz7r7sZEcshEppPgBb0wDWKZSA6YCBflwUSKo+qlu9BV5+5dI0zS6r5PMtn2R9MKI0t5NyYiIBMRoXphGsQyEQGYCBdl6mVx8UxEQSYSGJahGsQyEX/IXLFRdjay+On9GdkN3D/OSy/3T13YP8F94FGm6fxBdyskxwD+PRm/CMaPI38EkB/IyMeDyJ+o3WBEO4BKRaayQs4M4K/J+Ply5jdW1IcnYM9yZxLgzfkrKHfOpxPJWSlQDWL5KyB3ZqO8vajXQCZiQvXCNIhlIgYwES7KmyuvFFB5pVhYuDKtF6ZBJBMpgPIKG+XNlVeKDDKRhfUpM7MupEEsE8kAE+GivLk6fgFV4IqFZSjTemEaxDIRoALHRvlyO1h2V63kQkyyzXVWylzp+ebaCtly4S+G7cn4RTB+HPkjgPxARj4eNv4U7aWspSJjXiEtBjSvyfj50uIpnB9+SAK6ORcElW+LmVrmnBSoBrFcEFC+ZaM8mEjTdKe2V03StJmLaPI2aUSrEiVkq9qTMVkp7sZEoIpJMdN6n9cL0yCWiQAVEzbKg4mcjkd1Kttjosvj0ZrTMbMZUnNMTqrJ86ZttS71vZiIgNJhMdN6n9cL0yCSiQggHWajvLmimoByHTHTep/XC9MglokAuQ4b5c2V5gW02kAEhmWoBrFMxB8yV2yUI7WSp7/rTMBVaqm1XFglv0IWLPwB456MXwTjx5E/AsgPZOTj0eLPyF7KWioy5hWyYEDzmox/7SyYBHRzngdKccTc6uIZKVANYnkeIMVho7y5+FVCKY6cW108qxemQSQTkUCKw0Z5c4USCaU4ciben9cL0yCWiQApDhvlzRVKJJTiSBGqF6ZBLBMBUhw2ypFSnDdPH1x6uX8q5ST3p26nGnNfM/MB8O/J+EUwfhz5I4D8QEY+HkT+KPwGI9oBVCoylRUSIgB/TcbPlxC9saI+PAF7lhiRAG+tPSih9qCczhFnpUA1iOWv/Pl7xUZ5e1FvCZnI8tryCb0wDWKZiH/9f8VGeXtRL1RekcsL0Cf0wjSIZSJAeYWN8vbKK9Cae2lC9cI0iGUiwJp7NsqbK9IqqAKnlhegT+iFaRDJRBRQgWOjHDl3Vv7F5J+q5cXk87dPrZA7A/j3ZPwiGD+O/BFAfiAjHw8if8J2gxHtACoVmcoKuTOAvybj58ydVfbwBOxZ7kwCvDl/BbUD1HRtfFYKVINY/gpoB7BR3lzUqwrIRBbOEp3WC9MglokUgIlwUd5ceUVBHSMlQvXCNIhlIkDHiI3y5sorSkImIkP1wjSIZSL+nkLFRnlzdXwF1fHVclF7Qi9Mg1gmAtTx2Sj/6HJr8OWLO39yNxtO1dyqLqPSTJqoDWflL5vuyfhFMH4c+SOA/EBGPh49/kztpaylImNeIzv2a16T8fNlx1M4bVZMAeqQpkUuVG99Vd6VeSJyY71WodKkKZSSKpWmaO8mKy6hKm45t6hwRgpUg0ieqASquGyUN3e4TgkVTsq5RYWzemEaxDIRoHDCRnlzh+uUUFbs0rkwvTANYpkIkBWzUd5cba2EUp5yOv5f0AvTIJaJACkPG+VzbS3LjenkMWlUoxMhS53oLOsT0xxV21snZfPouzERaF1KGRiWoRrEMhF/yFyxUY7UUZ78rnop4LIR1Jjkmlmw9geMezJ+EYwfR/4IID+QkY9Hiz8jeylrqciYV8iCAc1rMv61s2ASUIdU5rJthJZJIbIuEa0qk6ZMbcArZFq0MlWn+6nHaijF0Uvx/oQUqAaRPI8GUhw2ypuLXzWU4mgRqhemQSwTAVIcNsqbK5RoKMXRS/H+pF6YBrFMBEhx2ChvrlCioRRHL8X7k3phGsQyESDFYaO8uYq8gSryJjAsQzWIZCLGHzJXbJTvKQs2ywFX1F6w8QeMezJ+EYwfR/4IID+QkY9Hiz8jeylrqciYV8iCAc1rMv61s2AS0M15HijFMSJMClSDWJ4HSHHYKG8uxTFQimOW4316YzSSiQApDhvlzaU4BkpxzHK8T2+MRjIRIMVho7y5WpqFidiIfS1UMUyFSEZicfmthI/05qryWQqV5e1roYphKkQzE3/kXPGRvqdsOEtnIi931HKRm6hNYQvO+532dAYimAGO/RHBfqBjHw8af3r2UiZT0UGvkBMjstd0BmtnxTSk23NDUNJjXwsTA1UhmhsC0h4+0hsMaqHEx74WqhimQjQzAVIfPtKb20CcZVjuky1cVTOtGKZCLDPJkNyHjfTmNhFnGZb7ZDNpwLximArRzATJfdhIb65kn2VQzd6+FqoYpkI0M/HH0RUf6btKkbO5yrPSRgmRjVmumiJn/hhyT2cgghng2B8R7Ac69vGg8edqL2UyFR30GikyIHtNZ7B6ikxCuj03hOU+2VwLZEYMVIVobgjJfdhIb657nOVY7pPPtUBmFcNUiGUmOZL7sJHeXAc5y7HcJ59rgcwqhqkQzUyQ3IeN9PYKbjmW+7gwMUwxTIVoZoLkPmykBzPJ81b2J9EkqXVISZb1OtF2sknSVKZSaZ0Zmd+PmWDl+zwwUENViGYm/ji64iMdKUV+c/3o/hsh7CcvJ9lfThvL8jH7VVNngMGezkAEM8CxPyLYD3Ts48Hkz+FuMKUdQqaik1kjpQYY1HQGfCn1G6frwxXa8+SahHnoGEHnI9yLA8OS63zx9pLnYqAqRHNgSHLNRnqD4TB0Z4t9LVQxTIVoZgLc2sJHens1mAKrwRSLt5hMKYapEMtMCqQGw0Z6ezWYIsPMZPHqiCnFMBWimYn/fo+Kj/T2Cv8FVqorpqtWC4phKkQzE6RUx0Y6dnJd+K+MsJ988c6I7NkV0qsm1wCDPZ2BCGaAY39EsB/o2MeDyZ/N3WBKO4RMRSezRnINMKjpDFiT66J4uEJ7nlyTMG/PgWFNhEKEiYGqEM2BIU0ENtIbzJqgS13sa6GKYSpEMxPgWhc+0hvMmrBeUzHddllQDFMhmpkgvSY20tsr1RXQJe32tVDFMBWimYm/D1Hxkd7exrMCK/wXyzXwCcUwFaKZCVL4ZyMdPbn217PtJzeL7MWY/brJtZ/Bns5ABDPAsT8i2A907OPB5M/mbjClHUKmopNZJbn2M6jpDHiTa/NwhTaRXFMwb86BCazXJJbbLs/EQFWI5cAE0mtiI729cFhgvSax3HaZUAxTIZqZIL0mNtLbq8EIrNckltsuE4phKkQzE6TXxEZ6ezUYAd3ibl8LVQxTIZqZ+PsQFR/p7RX+BVb4FyJUMUyFaGaCFP7ZSMdOroW/nm0/uVxkH/fQMYDBns5ABDPAsT8i2A907OPB5M/mbjClHUKmopNZI7kGGNR0BqzJtZAPV2jPk2sS5u05MKzXJJbbLvRTMKbGnJf8C4w7pNfERnp7500JrNckltsu9KOXYpkJ0mtiI72986YE1msSy20X+tFLscwE6TWxkd5gqQ7bZCKWy9v08/5imYm/D1Hxkd5e4V9ihX+5XAOnnx4ayUwkUvhnIx07uZb+erb95Mv17KgXXCEM9nQGIpgBjv0RwX6gYx8PJn82d4Mp7RAyFZ3MGsk1wKCmM2BNrmX2cIX2PLkmYR5AQydH3IsDw3pNcrntMnELA6ZCNAeG9JrYSG8vHJZYr0kut13od7rEMhOk18RGenuda4n1mqQIVQxTIZqZIL0mNtLb61xLbJOJlKGKYSpEMxN/H6LiI729wr/ECv9yuQZOv7UylpkghX820vaff/ij4R/7nyjGtjCW44f98avPvvicQY3d977z65amnuO/UNFWpjBj/rM5EcQAT4sc7HoOdk2HPU6EINhwLuRQu5RnGrb7CQW3A55FtyAzZ0ELxW5lRBrZgqZh13TY61jQNOzBtgi4h3pwbAtS6atKZMY+SvWqktbYKzVvVQu1cUsTP3IeYhVqVZZK7ajUjkrtqNRzVGo6lVUszVL58EPHxT4tmQ8/dGw+/HCOzmCbBD53MYep7FWVGfmqytVcPKAWiu2WXB7Z7rJXtSNQzxGo6QTWsbbM2pZj8OGHcxQGmyRwuA8Ly62FKeUe2j5K99CFs7pszuAWyqOWK35WCUQt2OBya3CWT+341I5P7fjUc3xqOp917C939qfU8NTuWQ5Py8nZ5TSpwW4JrByty1dyCcA/WMwG/c0dillO0fk0U9OVtrzUlo7U89HzGj015a8V7ukMRDADHPsjgv1Axy5DsJNnsplpigp6PE35QYeazCeI7DWdAV/vbG6yoSB1UEVX5LrTXXI0xiSibVTSpE2RmKPsukZ17Uk/q0REq0oprHipZJgYqAqxqlIKKV6ykY695EP5a3L2ky/X5MrZkbqKe/Iz2NMZMLsnP/YDHft4MPnnyRtMaYeQqehkVnFbfgY1nQGf23rjdH24QptwYBTM23Ng2EJ5tbxm/JkYqArRHBiyUJ6N9NBWsX87u6T67uvfUWI1XRpzfluXUkX2XP41yXs6A2bP5cd+oGMfjyL/VPlSJlPRQa/iofyy13QGfB5qCqjzSxSkDqo2Xa5SkSdSyD4Rp/yYmDJNkyzNTWNOMs3ls9JjNL9UYqejlNMlrVkxUBVi+aXSv4C24iN93ueXZUJJYRKVHWUihC6TVh7L5NSWXdplWipngfdiJthSxHK+GDGjGKZCNDPx14oqPtKDmRxlpnSRlYls+zwRvWmsSWmZZKfUyPLY5E2r7sdMsDKNW2gZphimQjQzQco0bKTPyVB2KtOyNUmZ9WUisjRLtDrlSdmcctMpeZKn/n7MBEuGyum8YEExTIVoZoIkQ2ykY1fzSv9mWPvJlzfD6jH7VXMigMGezkAEM8CxPyLYD3Ts48HkD85vMKUdQqaik1kjVwIY1HQGfLnSG6frwxXa86yJhHl7DgzbqF5Op5CzYqAqRHNg/gy/4iO9vXBYYxvV9fKe7QnFMBVimYlGNqqzkd5ecq2xGoxe3hs7oRimQjQzQWowbKS3V6rTOWYmeahimArRzATZNcxG+tpCunx2Zw7300LSYpL2U7IYd22e9m/Q3NMZiGAGOPZHBPuBjn08ivzx+UuZTEUHvUZaBMhe0xnwpUVTQN1CYQrSzSVDGtsxqlWYGKgK0fySf0FOxUd6MJO2PfbNqTDWh4ljIkp9ShqV2qAna3WXtU1XuOOg7sVMsDMA9XQBYUExTIVoZuKv9FR8pM8bXY55rk1/SlSpikQ0uUh00ZmkE1KVZZZ2qbqfnNlgObOZTh8XFMNUiGUmBsmZ2UjH7g0YfypoP/lyKhg32AUY7OkMRDADHPsjgv1Axz4eTP6o6wZT2iFkKjqZNYJggEFNZ8AXBL9xuj5coT0Ph0mYt+fAsDKNWa5Y0OfyqTHnJf8C4w4p07CR3l44bLAVVWb5nDN6ZBjLTJAVVWykt5dcG+xwNyNCFcNUiGYm/kJQxUf6fByToz62g7EU0L5zkhLnIwKMelXlaeoeuXsMv9X2kbnfZsI93G9z90rufpu73xbup4V7WbgfCPcDMfzW/VS6P5PuFel+IN0PVDonspwXWRn7n0JDJUgqPFo6Hzlg9amdPrXTp3b61E6f2ulTO31qp0/t9KmdPrXTp3b61E6f2ulTO31qp0/t9KmdPrXTp3b61E6fek6fmq7POBCD9IFjscsRBsYdXuAEcs98eJ7/xB1k4ERyTzE8hz/Jhzfz4U/y4U+K4Z1i+Fti+KkYfirOfzK8I4c/l8ObcvipHH46I9pwqAdBtSEUPKt2X20YM7dmT2mjijLuTh7jX3W4pzMQwQxw7I8I9gMduwzBTp7JZ6ZVKuhVMlC/7DWdAV8GOjfZUJA6qEcbEbRKqKQtW5t8nEyRtMf0mBx103bZqema5lmEEC9SxNakGRMmBqpCtEgRWZPGRjpy4dR6di/7T+1Lk+wvcXI+H6Ks4J4QBns6A1b3hGA/0LGPB5N/nrzBlHYImYpOZgW3hTCo6Qz43NYbp+vDFdozB0bDvDUHlqfQMkj7WpgYqAqRHJjl47Xaio+0K3W8entfJyPk6cKOSi10ZIflr2Du6QyYHZYf+4GOfTx4/DPkS5lMRQe9imPyy17TGfA5pimgzh1RkA6V91Oanspjn+ijkYlIj5m7wlIkeSqUkr1Wx7Z7ezfuCNrLbF8LEwNVIZo7AvYy85GOnk/5F/XZT64m2T854/kzuldxT34GezoDZvfkx36gYx8PJv88eYMp7RAyFZ3MKm7Lz6CmM+BzWy6fUg9XaBMOjIJ5ew4MOmXBvhYmBqpCNAfmL15XfKSf9gtdvvpd9anydK4MalRqRPnscuB1HZe/kLunM2B2XH7sBzr28SDyz5QvZTIVHfQqDsove01nwOegpoA6t0RBOkDN22OT98ekNM0xESZPk9ac0qTMZNqejr0ozf2U+TKszJfNHb42IwaqQiy3lCFlPjbSsfOqzL861H7yfJL9k1POZ0fqGu4JYLCnM+B1TwD2Ax37eDD558kbTGmHkKnoZNZwWwCDms6Az229cbo+XKE9d2AkzNtzYNDKbftamBioCtEcmL+IXfGRvss+VSYn2V6Wlei4hcDMX8jd0xkwOyw/9gMd+3jw+GfIlzKZig56Fcfkl72mM+BzTFNAnTuiIB3KfMemK+0LSV+YLBFdlyfmdMySY3MscnXMhP37b+/GHWFlvmxxEeRzMVAVorkjpMzHRjp6PuU/VcB+8sWzGPP52xVXcU9+Bns6A2b35Md+oGMfDyb/PHmDKe0QMhWdzCpuy8+gpjPgc1sun9IPV2gTDoyCeXsODFq4bl8LEwNVIZoD8xevKz7ST32qC/H76lPlCxdvKJ2p2bG6huPK/YXcPZ0Br+MCsB/o2MeDyD9TvpTJVHTQazgoQPaazoDPQU0BdRtDKUgd1KxwR7OesiQvhUlEnjZJ2xSnpDVN1maZPunyfsp8OVbmyxcWQ06JgaoQyy3lSJmPjXSkvGrm08p5llqKqAdOWXDe77SnM2B2Q37sBzr28aDxz4cvZTIVHfQqbsgve01nsL4boiDdnhvCynv5XKVrRgxUhWhuCCnvsZG+Lzc0nQNeWC6cMLKKG/JnsXs6A2Y35Md+oGMfDxr/fPhSJlPRQa/ihvyy13QG67shCtLNuaECW7VXLKSGU2KgKsRyQ4U/c6/4SN+VGyqWdv1JGXexQ+HPWvd0BrxuCMB+oGMfDxr/fPhSJlPRQa/hhgDZazqD1d0QCen23BC2KbeQYWKgKkRzQ/7MveIjfV9uaDHnk/nsiFzFDfmz1j2dAbMb8mM/0LGPB41/Pnwpk6nooFdxQ37ZazqD9d0QBen23BC2ZKFYTg2fiYGqEM0N+TP3io/0XbkhsZzzxV1bJ/xZ657OgNcNAdgPdOzjQeOfD1/KZCo66DXcECB7TWewuhsiId2cGxLYEgWxnBpOLCLDVIjlhoQ/c6/4SEdyQ2+uH91/NYL95GKS/dO6wbhLFwAGezoDZvfkx36gYx8PJv88eYMp7RAyFZ3MKm7Lz6CmM+BzW2+crg9XaBMOjIJ5ew4MK+cJGSYGqkI0B4aU89hIR3dg/mPF7CdXS+yLuIseAAZ7OgNmB+bHfqBjHw8m/4x5gyntEDIVncwqDszPoKYz4HVg7oy9C7QJB0bBvD0Hhq3OE9NV0VkxUBWiOTB/0briIx3dgfn3G9pPvrh3r4i7XAJgsKczYHZgfuwHOvbxYPLPmDeY0g4hU9HJrOLA/AxqOgNeB+Y234q5zbckzNtzYFgnS0w3dWbFQFWI5sCQThYb6dgOTPovyvk0l4uXzhT57Jhdw4EBDPZ0BrwODMB+oGMfDyb/jHmDKe0QMhWdzBoODGBQ0xmwOjDpbo2Sc7dGkTBvzoFJbGG6XLxA6bkYqAqxHJj092srPtLRHZj/BE37yfNF9nGXaAAM9nQGzA7Mj/1Axz4eTP4Z8wZT2iFkKjqZVRyYn0FNZ8DrwNxxshdoEw6Mgnl7DgxbxCEXT1Z9LgaqQjQHhiziYCMd3YH5+9b2k4tF9mJ2zK7iwPwM9nQGzA7Mj/1Axz4eTP4Z8wZT2iFkKjqZVRyYn0FNZ8DrwNwijgu0CQdGwbw9B4Yt4pAyTAxUhWgODFnEwUb66fy+y/i8r/P75MImEKUzPTtWV3Fc/t7lns6A2XH5sR/o2MeDyD9TvpTJVHTQqzgov+w1nQGfg5oC6twSBamDKprUGJVmiWk6mYhjnia6V23Sn4pO5k2WqTu6/lBinS053eSZFQNVIZpbQjpbbKRj51XKX8z/1L40yf7JKce9BhFgsKcz4HVPAPYDHft4MPnnyRtMaYeQqehk1nBbAIOazoDPbb1xuj5coT13YCTMm3NgCutsqeUmz8SdgZgKsRyYQjpbbKSHvMpRL8Z2MJbih/3xq8+++JxBid33vvPrlmLxqspL99CZeyj7MKl7DL8yr6oidY9M2EfuHoV7iOHhfiDdr6T7lXKP0j20+zPtfuX+A8L9B0Qm5kReqL8ro/B1Z5BU+Pzm9KmdPrXTp3b61E6f2ulTO31qp0/t9KmdPrXTp3b61E6f2ulTO31qp0/t9KmdPrXTp3b61E6f2ulTz+lT0/UZT52QPvDs6eRxk2Txyj7L4WkVck/lnlYj9zz/2tink8k+rU72mQ/PYniK83P4qRx+LYdfq+FZDk89/Lkefj3818TwX5sTzeGiqDbI9vYOSx1KTLKxipdKFmncZb7KX1jd0xmIYAY49kcE+4GOXYZgJ8/kM9MqFfQqMaNf9prOgC9mnJtsKEiHCnxT9EUuZSLbRiXC9GXStked5KXpszbLtWnSt3cTKSosUlRhYqAqRIsU/XunKj7Sg5ko0ZXlsS+SNtM6EUrmif3brf1bTZe1qum0PN6PmWjMTKYXvi8ohqkQzUz8OxQqPtKDmeimkCoVOmn1yb5b9n2iu1wkx1I1Lu5JRdrejZmUKWQm5XQSvqAYpkIsMyn91ZKKj/Q557T/lJloEpEVaSKKo0pMpuz0o8q0zeVJ9Jm6HzPJMTOZDvcXFMNUiGYm/tV2FR/pSPX1mU+7GFxFPoqz9AeyezoDEcwAx/6IYD/QsY8HjT8IfymTqeig18h9ANlrOoPVcx8S0u25ISz3KRfTgKlTKTEVorkhJPdhI73BoBbLfcrFNGBKMUyFaGaC5D5spLdXSdFY7qMX04DJM24hFWKZiUZyHzbSkYLa66IR7e842k++3HEsx+xXDXYBBns6AxHMAMf+iGA/0LGPB5M/6rrBlHYImYpOZo0gGGBQ0xnwBcFvnK4PV2jPw2ES5u05MKwqo6cLFLNioCpEc2BIVYaN9PZaARrbdKiX999NKIapEM1MkE2HbKS3lzVpgZmJCFUMUyGamfgLQRUf6e3VYDS2A0zLUMUwFaKZCbIDjI109KzJX4Gyn3y6AvXEPu5OMIDBns5ABDPAsT8i2A907OPB5A/TbzClHUKmopNZJWvyM6jpDHizJneM7wXaRNZEwbw9B4Yd46unN87NioGqEM2B+fc1VnykNxgOY00EvXxy6IRimArRzARpIrCR3mANBtt5qk2oYpgK0cwE2XnKRvrpQIQnr+L+dT/bBMzMfWQ6K0shs3RMe9U42PhLvns6AxHMAMf+iGA/0LGPR5E/8Hopk6nooNeIdwHZazoDvnh3CqjbB0VB6qAKdUzbUjfWcxVZInJpEi21SE66S82xPRa9up/wxWBFXzNzc96cGKgKsfySQYq+bKQHM0lV3+adLBJlbIAj8iJP9En2ybFp+1JKI1N9R2aCVfOMDFUMUyGamSDVPDbSsat5xl/AsJ98uRgQ91ZJgMGezoA5ivFjP9CxjweT353eYEo7hExFJ7NKdONnUNMZ8EU3b5yuD1doE3EOBfP2HBhWzTPLha2JCxYxFaI5MKSax0Z6g+EwVs0zy4WtCcUwFaKZCVLNYyN9LdPoM/O7Os2hSGeWuJZKG1WYfEx7zQDHgvN+uD2dAWuAg2A/0LGPR5Hfo76UyVR00CsEMojsNZ0BXyAzBdQdVENBOnSZUqmztkmT5mTdl8hEmpjU6OTUdFIfMyPbtHl7J36pSHPEL9nXwsRAVYjklywfr61WfKQHM2lNV/TZMUtUKqwPE7pPTKFNYo6yKG2wI1pxN12mIoXW5tnXQhXDVIhmJsDaPD7S54OopOzztpf2h619t5U2IhadNS5TiCzX2VEbfT9mAu2PtK+FKoapEM1M/Cl8xUf6PJu0x95OOiaRQhwTUepT0qhU2jmo1Z2dkrpC3tFsAiVD9rVQxTAVopkJkAzxkY5c9C1Sf8fefvLFjr2I2rpGGOzpDEQwAxz7I4L9QMc+Hkz+4PwGU9ohZCo6mVVyJT+Dms6AL1d643R9uEKbyJoomDfnwDJo57Z9LUwMVIVYDizzZ/gVH+nthcMZdKi2fS1UMUyFaGbiX69T8ZHeXnKdYTWYbLocsTSwIBWimQlSg2Ejvb1SXQatqLKvhSqGqRDNTIAVVXykry0kc2Z+Xy2kTE7SfkoWo17aacF5P9yezkAEM8CxPyLYD3Ts41Hkj89fymQqOug10iJA9prOgC8tmgLqbjmgIB3Cl75UbXlKk07nrr+dFUmTtjLpRGfaVOtMn7K3d+OXoBUw9rUwMVAVovklYAUMH+nzCpg075pT2yeZOwVCyLRL2l50icp0KtxdM4W5IzOBNioV2XQBYUExTIVoZuKv9FR8pLeXM+dYzpzPbKKYVwxTIZaZ5EjOzEb6fKbQSafq1KXJKU9PiTgqk+jOmOTY9yJVxalJRXk/ZoIlQ/nMTot5xTAVopkJkgyxkY7UQpr5tHKBpRDFmOWquU/uD2T3dAYimAGO/RHBfqBjHw8afxD+UiZT0UGvkfsAstd0BqvnPiSk23NDWO6TL6UBE2KgKkRzQ0juw0Z6g0EtlvvkS2nApGKYCtHMBMl92EhvL0UusNynWEoDJhXDVIhlJgWS+7CR3l7BrcByn2IpDZhUDFMhmpkguQ8b6bvKfQo5zfK8M3zhMuA1cp/CH8ju6QxEMAMc+yOC/UDHPh40/iD8pUymooNeI/cBZK/pDFbPfUhIt+eGsNynmEkD5sRAVYjmhpDch430YCadyEtZlllS5EedZFnfJ02W5kmXKZU1x7RtTXE/ZoLlPsVMGjCvGKZCNDNBch820ttLkQWW+4jFw7OmFMNUiGUmAsl92Ehvr+AmsNxHLJ6wNaUYpkI0M0FyHzbSkXKfN9eP7t+GaT+5mGT/tAQwbj8IYLCnMxDBDHDsjwj2Ax37eDD5g/MbTGmHkKnoZNbIlQAGNZ0BX670xun6cIX2PGsiYd6eA4MOPLSvhYmBqhDNgfkz/IqP9AbDYWwnvVChimEqRDMTZCc9G+ntdYwEVoMR0+WIBcUwFaKZCVKDYSO9vVKdwA5cEIsHsd3QPIllJsiBC2yko2dN/gqU/eTTFagn9nF3EAEM9nQGIpgBjv0RwX6gYx8PJn+YfoMp7RAyFZ3MKlmTn0FNZ8CbNbkDFy7QJrImCubNOTCJHbggl88eoG+3mRpzXvK3jzuJHLjARnp74bDEmghyup6+oBimQjQzQZoIbKS3l1zLHDOTPFQxTIVoZoIcuMBGenulOon1muTy2QP07TaxzATpNbGRjp01SX953X5yschejtmvmjUBDPZ0BiKYAY79EcF+oGMfDyZ/mH6DKe0QMhWdzBpZE8CgpjNgzZqk6zVdoD3PmkiYt+fAsF6TlGFioCpEc2BIr4mN9AbDYazXJJfbLhOKYSpEMxOk18RGeoPJNdZrksttlwnFMBWimQnSa2IjvcFSHdZrksttlwnFMBWimQnSa2Ij/XRMXX451dKZw/0cU6eWr1JRY9qrpkvKX2Pd0xmIYAY49kcE+4GOfTyK/PH5S5lMRQe9RloEyF7TGfClRVNAbTJEQuqgGmFEo2Sa6LIvE1HkedLkTZmorins/7Vlpu8nylVY0VdN1z9nxUBViOWXFFL0ZSN9ToZM05o0LRLZisLGwfY13TYuLFYq16kUXdnfj5lgNx0pEaoYpkI0M/FXeio+0tvLmRWWM6vp9HFJMUiFaGaC5MxspLdXgVNYMqSWL/2ZUAxTIZqZIMkQG+lILaTpT1suBVcicquo9AeyezoDEcwAx/6IYD/QsY8HjT8IfymTqeig18h9ANlrOoPVcx8S0s25oRLLfcqlNGBCDFSFWG6oRHIfNtLbC2pLLPcpRahimArRzATJfdhIby9FLrHcp1xKA6YVg1SIZiZI7sNGensFtxLLfcqlNGBSMUyFaGaC5D5spCPlPm+uH92/z8J+cjPJ/qkNVo7Zr5sT+Rns6QxEMAMc+yOC/UDHPh5M/uD8BlPaIWQqOplVciU/g5rOgC9XeuN0fbhCm8iaKJg358A0tulIL++/eSYGqkIsB6b9GX7FR3p74bDGNh3p5f03E4phKkQzE2TTERvp7SXXGqvB6OlyxJJikArRzASpwbCR3l6pTmObjvTy/psJxTAVopkJsumIjXTsrEn7K1D2k4tF9nrMftWsCWCwpzMQwQxw7I8I9gMd+3gw+cP0G0xph5Cp6GTWyJoABjWdAWvWpN2mowu051kTCfP2HBi26UjLMDFQFaI5MGTTERvpDYbDWBNBT9fTFxTDVIhmJkgTgY30BpNrbNORLoMVg1SIZibIpiM20hss1WG9Jr28/2ZCMUyFaGaC9JrYSLtNR47423vaa2TmFvQYo4Uxca9GMv7S6p7OQAQzwLE/ItgPdOzjweMPy1/KZCo66DWyIUD2ms6ALxuaAmpzIBJSB7U1nWxEoZO8yUwilD4lrXSuSwnddVnX5fJ+3JHBar1mbunZjBioCrHckUFqvWykBzORyhTdyZySNO/su4082uCmyG36pJV9rzi1qr8fM8HW2xkRqhimQjQz8Rd4Kj7S20uVDZYqm+mscUExTIVoZoKkymykt1d4M1gOZOaWns0qhqkQzUyQHIiNdKTO0eSnFelCcCXTwoxZrpn7WHDe77SnMxDBDHDsjwj2Ax37eND4g/CXMpmKDnqF3AeRvaYzWDv3oSHdmhsSKZT72NfCxEBViOSGLB+vrVZ8pDcX1IoUyn3sa6GKYSpEMxMg9+EjvbkU2do4ZiYLacC0YpgK0cwEyH34SG+u4CZSKPexr4UqhqkQzUyA3IePdKTc5831o/u3V9hPbibZX7pfMh2zXzcn8jPY0xmIYAY49kcE+4GOfTyY/MH5Daa0Q8hUdDKr5Ep+BjWdAV+u9Mbp+nCFNpE1UTBvzoFl0F4j+1qYGKgKsRxY5s/wKz7S2wuHM2ivkX0tVDFMhWhmAuw14iO9veQ6w2ow2XQ5YkExTIVoZoLUYNhIb69Ul0F7jexroYphKkQzE2CvER/p2FlT5q9A2U8uFtlHXUWHMNjTGYhgBjj2RwT7gY59PJj8YfoNprRDyFR0MmtkTQCDms6ANWvKxMMV2vOsiYR5ew4M2mtkXwsTA1UhmgMD9hrxkd5gOIw1EbLpevqCYpgK0cwEaSKwkd5gcg3tNbKvhSqGqRDNTIC9RnykN1iqw3pN2eK2mynFMBWimQnSa2Ij7fYaXTzP2BDGWvywP3712RefM0ix+953fr0SefqqEoWaU2ChXK1MWYwVmA13IRp4xOuw1w57PYe9pmMfB7oQdjjWddBtSGux2+cMeBfyUtA7+M/uTlvdojJnUdmMReUL5W/L69lVyytbVOYsahp7Tce+jkVlg0VNgx8sjoB+sKjLNWzi7R1tjRT53Oqz4dDRNG5RJ/fXbvd0BiKYAY79EcF+oGOXIdjJU9HM3EMFvUbxBpC9pjPgK97MzTYUpEPJphDpyZgi0anoEiFV4+6I7JOizVMj2q4oT+btvUTPObbu043YEDFQFWJFz7m/0FjxkT4f6HDKdHYqRGJ0KRLR2yC7TdM+6aTojn2pT+kpvR8zwUo2+XT1YkExTIVoZoKUbNhIn3Pxom3s22lSZKpPRJbpxKR9mxz73KZqR12kpbofM8Fy8XxuCeSsYpgK0cwEycXZSG+vT1Bgq6uKxcuAJudfSIVYZlIgq6vYSMdudBf+RUP2ky8vGsrH7FfNiQAGezoDEcwAx/6IYD/QsY8Hkz84v8GUdgiZik5mjVwJYFDTGfDlSm+crg9XaM+zJhLm7TmwHHNgy2vbnomBqhDNgfkz/IqP9PbC4QJb0Fcsr22bUAxTIZqZIAv62EhvL7kusBpMIUIVw1SIZiZIDYaN9PZKdQW2uqqQoYphKkQzE2R1FRvpc6PbUR/bwVgKqCVGUuLclSzKV5UQrjUpCvcw9iGle2j7UO4H5VzPspguUT11zvBruSCSeDh87llaZrVjVjtmtWNWO2a1Y1Y7ZvUcs5rObJWOpmVmn2Loa1pu7mnc07JzT+2eavjpDMGhw05g6CheDNQZ7v00PYvlKth8B3qVBN9fx9vTGYhgBjj2RwT7gY5dhmAnz3QzkxcV9CqJvF/2ms6AL5Gfm2woSB3UJhNHIY9FUjRHmQhjw3StOp0UqhNddmp1W5ze3kskJbD6s1guxT4TA1UhViQlkPozG+nY9WfhL7nZT75cvppfcreGewIY7OkMeN0TgP1Axz4eTP558gZT2iFkKjqZNdwWwKCmM+BzW2+crg9XaM8dGAnz9hwYVn8Wy6XYZ2KgKkRzYEj9mY30UAqwf/uy9cEtU76fvEqISda5zkoliyzuWbPCX+nb0xkwOy4/9gMd+3gQ+WfKlzKZig56FQfll72mM+BzUFNAnVuiIN1cW1RgqwSFChMDVSGaW0JWCbKRPkcvMtd5X6ZJ37RNYr2WTnSvT0nX2r9xlG3e5O39mAm2SlDM1CLmFcNUiGYm/lJRxUc6Uvo9/WnlTJHhzFLOV+3XiFakv0yypzPgjVYA7Ac69vGg8bvNlzKZig56jWgFkL2mM1g9WiEh3ZwbklgSLafzyVkxUBViuSGJJNFspLcX1EpsdY4UoYphKkQzE38CVvGRjhStXJsF0r/oxH5yOcn+qdIkx+zXjWL8DPZ0BsxRjB/7gY59PJj87vQGU9ohZCo6mVWiGz+Dms6AL7p543R9uEKbiHMomLfnwLCqjJwuUMyKgaoQzYEhVRk20hsMh7HjtmQZqhimQjQzQY7bYiMdPc7x16TsJ18+RUqN2a8b5/gZ7OkMmOMcP/YDHft4MPkd6w2mtEPIVHQyq8Q5fgY1nQFvnKMfrtAm4hwK5u05MIM5MBMmBqpCNAfmv2mm4iO9vXBYYYs/1fItJxOKYSrEMhPlL1FXfKSf1s6YM/H7WjujZoqdpTEmFXncOo7yl2v3dAa88Q2A/UDHPh5Efof6UiZT0UGvEccAstd0BnxxzBRQt0GKgtRBPeamyPOsTTpTHBMhcpHoPLUeLWuNactMlf1lBN+DW8LaDEqEiYGqEM0tIW0GNtLn6EV0ZXnsi6TNtE6EknnSFH2bCNN0WauaTsvj/ZgJVsxT03WtBcUwFaKZCVLMYyN9PnkCOhn7XswEW2Kl5rZ7zSqGqRDNTPwZfMVH+pwyqzxt0uKUlKfGBcRZljSnU58I2eWnpk+P8nQ/KXOJ5ULl3J6wWcUwFWKZSYnkQmykY9d8S//eH/vJl/fRxF2hBzDY0xmIYAY49kcE+4GOfTyY/MH5Daa0Q8hUdDJr5EoAg5rOgC9XeuN0fbhCe541kTBvz4HlmAObTiFnxUBViObA/Bl+xUd6e+FwiR3EVi6fSTahGKZCNDNBDmJjI7295LrEajClCFUMUyGamSA1GDbS2yvVldhBbKUMVQxTIZqZ+JcBVnykf3S9ceyZIYy1gI7yIklxPomtLF9VMp1VYLoKNSigjMaPK4Jo4BHv+aw1i72ew17TsY8DXQg7HOteTlMr3Wlqc+DdzynoHfzoN46V7gg/7R7Gne1nzJxtLaxDswzxthNEKNi23HF92j2MO8dvhkVNZ7GOlQ2n8unhaYYz+2aIDBZJYDJQOTO5rz54aSbZXI5+yuL2wUv/Mpc9nYEIZoBjf0SwH+jYZQh28kw1MyFRQa9S2/HLXtMZ8NV25iYbCtIhB4OOur2T4FpnUHCtp8tbs2KgKsQKrrW/DlnxkR7MBDs4+17MBKvo6OnixoJimArRzASp6LCRPhf+oGP478VMsFRdy1DFMBWimQmSqrORPptJe+ybU2ESKYRN660NJY1Kpf1bre6ytukKeUezCbb3SU+H+0uKQSpEMxNk7xMb6dh9cO1fLGI/+fLWCT1mv2pOBDDY0xmIYAY49kcE+4GOfTyY/MH5Daa0Q8hUdDJr5EoAg5rOgC9XeuN0fbhCe541kTBvz4Fhe5/0dAo5KwaqQjQH5s/wKz7S2wuHDbbezyxvA5pSDFIhlpkYZL0fG+ntJdcGq8GY5SVGE4phKkQzE6QGw0Z6e6U6gy2+MsvrkCYUw1SIZibI4is20k87KS9Oxf3rfjpIRkyyfsoV42ZLxr/MZU9nIIIZ4NgfEewHOvbxIPKH5y9lMhUd9BpZESB7TWfAlxVNAXWNbApSB7XIpWiFnYyaoywS0eQmabq8SEyZt30p22Mu2rd345awLXJGhYmBqhDNLSFb5NhIby9lNtgWObN4I9qUYpgK0czEX+ip+EjHrvkaf8HAfvLlgkHcu1QABns6A+Yoxo/9QMc+Hkx+d3qDKe0QMhWdzCrRjZ9BTWfAF928cbo+XKFNxDkUzFtzYDKFinn2tTAxUBUiOTDLx2u1FR/pzYXDMoWKefa1UMUwFaKZCVDM4yP9o3u5Nl6mhdusYOwjk/aRZ+7hNjAUqXu4nxZqTp6FIpYyJh3Ls+pyc8esdsxqx6x2zGrHrHbMasesnmNW05mtsQTdMXNPd1W842afeTY8hw0Qlp57Du/MEBy2SRAYDpPbxVDf3lFhUaZiks3looFi/nutEJJbcN6pZk9nIIIZ4NgfEewHOnYZgp08081MXlTQK4TeiOw1nQFf6D032VCQOqiyKW1kZdqk7JSLuvIyadMsS7JjX7bHMlNpc0eRFFRYtK+FiYGqEC2SAgqLfKQ3d8CsTKHCon0tVDFMhWhmAhQW+UhHKixOf9ps+f60qG1QC877nfZ0BrzRCoD9QMc+HjR+t/lSJlPRQa8RrQCy13QGq0crJKSbc0MZtDrHvhYmBqpCLDeUAatz+EhvL6jNoDNv7GuhimEqRDMTfwJW8ZG+r2hlMXSP2+604LzfaU9nwByt+LEf6NjHg8bvNl/KZCo66FWiFb/sNZ3B+tEKBen23BCWNGeL+eNUwwZTIZobQpJmNtLbC2pzrOedL0f4E4phKsQyk9yfgFV8pO8qWskXQ3cVtxOU+5OPPZ0Bb7QCYD/QsY8Hjd9tvpTJVHTQa0QrgOw1ncHq0QoJ6fbcEJY0uxEbIgaqQjQ3hCTNbKS3F9TmWMMwX4zwpxTDVIhmJv4ErOIjHSlaeXP96P5DVewnLyfZXxaeqWLMft0oxs9gT2fAHMX4sR/o2MeDye9ObzClHUKmopNZJbrxM6jpDPiimzdO14crtIk4h4J5ew4Mq8rki2esPBcDVSGaA0OqMmykNxgOQ6fP2NdCFcNUiGYm/v0zFR/p2HFO4a9JfWpfWmQ/f6D8GnEOwGBPZ8Ab5wDYD3Ts48Hkd6w3mNIOIVPRyawR5wAMajoD1jinSB+u0J7HOSTMm3NgBbZHqljcLvRcDFSFWA6sQPZIsZHeXjhc5JiZTNdAFxTDVIhmJv4SdcVHOnqc4z9y237yxUvUVNSrMxAGezoD5jjHj/1Axz4eTH7HeoMp7RAyFZ3MKnGOn0FNZ8Ab5xQPV2gTcQ4F8/YcGNa3KkSYGKgK0RwY0rdiI73BcBi6NcG+FqoYpkI0MwFuTeAjHT3O8Xft7CdXi+zVmP26cY6fwZ7OgDnO8WM/0LGPB5Pfsd5gSjuETEUns0qc42dQ0xnwxjnq4QptIs6hYN6eA4Puc7GvhYmBqhDNgfm7rRUf6Q2Gw1h7s1ju9E0ohqkQzUyQ9iYb6R9dL3IWY0MYawEdrkOS4nw2knBHIAnhHto+pPutzN3D/Zl05yUNdz0b86pS7uQkVdifKlHYhxwe5Zx6C10/ZQy+KAOSAPdv55OThDsgyfKuHe/a8a4d79rxrh3vWg73RFveteNdO96141073vUc75rOe+wSId6wV7ycqySGk5Mscfd0F/w66u6ZD8/hz+Vw3tL5qmnjTmBSw9lLTgH7FO7UJaeBe06L4JwsRQUnw+Uiajch3s/ZS2Lx1sk8bm1T+FsYezoDEcwAx/6IYD/QscsQ7OSZdHr6I4NeI7YHZK/pDPhi+5nJhoTUQdXHrCgKkSVKqzIRfVskTd93SVeoTpxEc8zv50oaKaD7Xu1rYWKgKsQK1YS/3l7xkY5Ukpr5tHKGpZZaO+cd1Q35S4d7OgNmN+THfqBjHw8a/3z4UiZT0UGv4ob8std0Buu7IQrSIeZNW3HUbZ70w8HLXVkkuslPybGT6pQe1fFU3E9hSWCFJTFdY5kVA1UhmhtCCktspCO5oWtnRPjrJfaTL9dL4p75BjDY0xkwuyc/9gMd+3gw+efJG0xph5Cp6GRWcVt+BjWdAZ/beuN0fbhCm3BgFMzby6OwrRpioYI1JQaqQjQHhmzVYCMd24FJ/+r0T6VcXukd9xgwgMGezoDXgQHYD3Ts48HknzFvMKUdQqaik1nDgQEMajoDVgcm3VYNObdVg4R5cxmYxLZqyOVdCxOHIWEqxHJg0l+0rvhI/+hy6fDlq7s21f30p+Ry+TNu5iX9Bdw9nQGz4/JjP9CxjweRf6Z8KZOp6KBXcVB+2Ws6Az4HNQXUuSUK0jgB88z8IiYJXGbV8tlJNevOL/6l7Xs6A+b5xY/9QMcuQ7C/9PxCBb3K/OKXvaYz4JtfXAAsHq7QJmYaCuZLZHOxdDfP3FFkoyYJuTOySuHWMUWdefxLpPd0Bswzjx/7gY5dhmB/6ZmHCnqVmccve01nwDfzzM03FKTDZFPoU1q0OklzIRNRCpU0p6JNjOiMKEqVtkX79m4SbmyRtJw/pHpSDFSFaAm3v89R8ZEezKRsjZJp0SdSa5OIVuukLU/K/jY9Nk2jVN70d2MmCjuZW80fUj2jGKZCLDNR/mpixUf6PJuo41E0rUlkkapEiDZN2jTvkrI4NrnojkKq+5lNVI6ZSR6qGKZCNDNBjtBgIz2YSVcYdSxEkYi0PyaiSPukVTJLjifd6yZLT3kp7sdMsI3qSoQqhqkQzUz8qVnFR3owk0K0ou+OduZJnUmpTCVtn58S04mydDaVmuZ+zAQ7YFkFBmqoCtHMxB9HV3ykz7NJL4TO0jRp0uKUiPzUJq1Ji+TUZF2qhewLcUdmgoWwKjiaw1SIZiZICMtG+mwmbVkqk+qkKfsuEf2pT5qsT5NMHNOuaJvulJ3uxkxKLIQtg6M5TIVYZlIiISwb6cFM+lOhVKfaJMsynYhMHZPmeJSDq+rtn/X6qaR1D2aChbBlcDSHqRDNTJAQlo30xUyaLi+aU3JqW2tSRZ5bk2rLJD0WRh9z0ReFuh8zwULYMjiaw1SIZiZICMtG+ux0si7LOmmSVp5c8nxME22EO7kgzVSa5u3pjo6qKLEQtgyO5jAVopkJEsKykb6r/nK5GIFFXnhZ+mPIPZ2BCGaAY39EsB/o2MeDxt9ueCmTqeigVTDoUJP5BJG9pjNYvctDQro5N6Sx3EcvpgFTKwwxFWK5IY3kPmykz0GtSrumyIpE5m4JpkhF0qrUuABY2vg3K1tj7sdMsNxHL6YBU4phKkQzEyT3YSO9vRRZY7mPFsGKQSpEMxMk92Ejvb2Cm8ZyH72YBkzOv5AK0cwEyX3YSG+vy6Ox8r0ODNRQFaKZiT+OrvhIb6/LY7AQ1oRHc5AKsczEICEsG+ntLS0wWAhrgqM5TIVoZoKEsGykt7dQyWAhrAmO5jAVopkJEsKykd7eskeDhbAmOJrDVIhmJkgIy0Z6e4uoDRbCmuBoDlMhmpkgISwb6Xvq8qh0MQKLu4vQgvN+pz2dgQhmgGN/RLAf6NjHg8bfbngpk6nooFUw6FCT+QSRvaYzWLvLQ0O6NTekUij3sa+FiYGqEMkNWT5eW634SG8uqFUplPvY10IVw1SIZiZA7sNHenMpskqh3Me+FqoYpkI0MwFyHz7Smyu4qRTKfexroYphKkQzEyD34SO9uS6PyqDyvX0tVDFMhVhmkvnj6IqP9Oa6PCrDQtgsOJrDVIhmJkgIy0b6fExgY7r8qLJE58O7hUzazOikN2WadW1XStHfj5lgIWwWHM1hKkQzEySEZSO9uRUodlrEzCQ4msNUiGYmSAjLRnpz69lUhoWwWXA0h6kQzUyQEJaN9OYWUascC2Hz4GgOUyGWmeRICMtGOlKX5831o/tP5rWffPFk3nL+Xsw1uj8Agz2dgQhmgGN/RLAf6NjHg8nfhrjBlHYImYpORgWTCTWlTxAGNZ0BX1fojdP14QrteX+IhHl7DgxLrvPpPHNWDFSFaA4MSa7ZSG9ua7vKocs4VT598vOCYpgK0czEfzB3xUd6e1lTjtVgXIQQqhiiQjQzQWowbKS3V4PJJWYmMlQxTIVoZuK//7PiI729/lCOlery6arVgmKYCtHMBCnVsZHeXn8oh25oVS6XCFMMUyGamQA3tPKR3t6ihByr6OaLl0JOKgapEM1MkIouG+ntLXHKoesy7WuhimEqRDMT4LpMPtLbWzBZYIX/YvGGvinFMBVimUmBFP7ZSG9v+XUB3V1oXwtVDFMhmpn4i8IVH+nY/aHCX1y0n3y5uBj1ph+EwZ7OQAQzwLE/ItgPdOzjweRvSNxgSjuETEUno4LJhJrSJwiDms6AtT9U5A9XaM/7QyTM23NgWOG/WK6B06/FmRpzXvIvMO6Qwj8b6Q2Gw1jhvxChimEqRDMTpPDPRnp7yXWBFf4LGaoYpkI0M0EK/2ykt1eq</t>
  </si>
  <si>
    <t>K7DCf7FcA6dfixPLTJDCPxvp7fWHCqzwXyzXwOnX4sQyE6Twz0Z6e/2hAiv8F8s1cPq1OLHMBCn8s5He3qKEAiv8F8s1cPq1OLHMBCn8s5He3hIngRX+xXINnH4tTiQzEUjhn4302Uygs7PvxUywwr9YroFPKQapEM1MkMI/G+ntLb8WOWYmgbVGVIVoZuIvCld8pGP3h4S/uGg/+XJxUY7Zr9ofAhjs6QxEMAMc+yOC/UDHPh5M/obEDaa0Q8hUdDJr9IcABjWdAWt/SBQPV2jP+0MkzNtzYFjhX4gwMVAVojkwpPDPRnqDWRNW+BcyVDFMhWhmghT+2UhvrwYjsMK/WK6BTw0sSIVoZoIU/tlIb++oH4EV/sVyDXxCMUyFaGaCFP7ZSG+vPySwwr9YroFPKIapEM1MkMI/G+nt9YcEVvgXyzXwqfkXUiGamSCFfzbS21uUILHCv1yugU8pBqkQy0wkUvhnI729lXASK/zL5Rr4hGKYCtHMBCn8s5He3rpaiRX+5XINfEIxTIVoZoIU/tlI23/+oTMU+3f+waIZ+CvOFBVmPrGYZJuXShslimzMdtVCv/TXufZ0BiKYAY79EcF+oGMfDx5/ZfmlTKaig16joA/IXtMZ8BX0p4B++CEN6VBRKcom08aV5rrUui4XEmf2t0anuVa6LFpzsf97cEdY4U1O16BmxUBViOaOkMIbG+nYfWjpryfZT75cT1KzI3UV9+RnsKczYHZPfuwHOvbxYPLPkzeY0g4hU9HJrOK2/AxqOgM+t/XG6fpwhTbhwCiYt+fAsFqvXC57PhMDVSGaA0NqvWykXT41mMrzhZdjLX7YH7/67IvPGaTYfe87v14plb6yj1kFFsuYKR4wQzTwycdhrx32eg57Tcc+nnMg7PC046Db2cVid89p8G72oaAf4F8M6e095epquoA1HGlux8azi2tXDYaUvwS3pzPgDYYA7Ac6dhmCnTwTTU89ZNBrBD2A7DWdAV/QMzPZkJDGScJm5pflymc5K/Uq84u/drunM2CeX/zYD3TsMgT7S88vVNCrzC9+2Ws6A7755Y3T9eEKbWKmoWAeouXhH4e+PXVt0+ukPWm3wPPUJSbruiRtXIvDlMVwQfVyUN1/v7/azoua2lNQLWbiaTW9ttmxHDNHmU7aJEQQN8tLuD3NqmZjNbZTiBVsqk+B+DQr9xMGWo6X8pknlHDcYp7yVVVmes5GxSTt3EgtjUnzySE6ZYQQjWAjlK/qOew1Hfs6OZ+0Od8c+MEUCeh/KeeLaFFqzpjkIiX8Ch6IQbAxTcOu6bDXsaNp2IOFEXDfhwWVcxakFinhh/RBDIItaBp2TYe9jgVNwx5si4DbARfRLWjWoU0X8p8o4dv4IAbBFjTry6iw17GgeS9GwX0fc5CZs6CZizsvlPAGHMQg2IKmYdd02OtY0DTswbYIuO9iDipdN6VU9qFz99D2YYSNttPUPZSLu+d6LWq64v/EGi9IQCRDjax0vRbLrHbMasesdsxqx6x2zOo5ZjWd2Sp2WA6dGEvNPi0399TuadnZaD1Nh6caIvfZbg2JoaOYXQz1bZxuzXVJS+lfrf6pfWmRZdwuDsBgT2cgghng2B8R7Ac6dhmCnT4DPrXWATIVncx4svOTCTWlTxAGNZ0Ba/W1TB+u0J5PUyTMDrTWwigtRNLoPk2EKfqkOZlT0vSnLJN9k6b98e3I945nsB80Ky1pKbGdJOVM02tODFSFyTHnJf8C487fk6z4SJ/3pTVp0XfHU9KKziQilToxpiwS3cjTKW3SMu3M/ZgJtpOknO5YLCiGqRDNTPytpYqP9PkEDmlko7ve/tCdRZYdjbWmNEtMX5ZNXvaiz7r7MRPsIP9yulmwoBimQjQz8R8vVPGRPu+ZP6peuh2xOnfvGmGSVvd9ksm2P5pWGFnK+zET7DwftzkzTDFMhWhm4t+0UvGR3t7xliV2no9jF6YYpkI0M0HO82Ejfdm+mMXPsv3bZuy3X6zAZ+lYhnWzbD+DPZ2BCGaAY39EsB/o2Mejyp/W3WBKO4RMRSezSpbtZ1DTGfBm2erhCm0iy6Zg3l6WjZ0lVS52g56LgaoQzZP5tztVfKQHM2ma7tT2qkmaNnMxdN4mjWhVooRsVXuy/wN3dPpLie0vKhdbPlOKYSpEMxNkfxEb6cFMTsejOpXtMdHl0QZH5pjZ3Lw5JifV5HnTtlq7//17MRPsLKlysc8ypRimQjQzQc6SYiO9vSxbY2dJ6cU695RimAqxzET7GxIVH+ntZdka6wDoxWL4lGKYCtHMBOkAsJGOtCHomlxrf2HbfvLFwraOm1wDDPZ0BiKYAY79EcF+oGMfDyZ/NneDKe0QMhWdzBrJNcCgpjNgTa6120B0gfY8uSZh3p4Dw5pOerH/8lwMVIVoDgxpOrGR3mA4jDWdtAhVDFMhmpkgTSc20turwWis6aRlqGKYCtHMBGk6sZHeXg1GY2fZ6cXy9pRimArRzMTfh6j4SG+v8K+xwr9erIFPKYapEM1MkMI/G+lhD7xjfibufEvUTrb217etCSzXt/OxGusm234GezoDEcwAx/6IYD/QsY8Hlz+7u8GUdgiZik5mlWTbz6CmM+BNtvXDFdpEsk3B7ECnRS5Ub11e3pV5InJjnV+h0qQplJIqlaZo7yjZxnpP2oSJgaoQzaEhvSc20ttbL26w3pNZbsNMKIapEMtMDNJ7YiO9vfXiBus9meU2zIRimArRzATpPbGR3l7pzuSYmSyWu6cUw1SIZib+vkTFR/pcustyYzp5TBrV6ETIUic6y/rENEfV9tZh2fT8fswEawSYxZr4lGKYCtHMBGkEsJGO3ck2/vq2/eRiib2Oe/0NwGBPZyCCGeDYHxHsBzr28WDyZ3M3mNIOIVPRyayRXAMMajoD1uTaiIcrtOfJNQnzADpvZX8STZLajCpxt1Yn2kbLSZrKVNqcPTPyMmHdgwPDek9GhomBqhDNgSG9JzbSGwyHsd6TWW7DTCiGqRDNTJDeExvpDdZgsN6TWW7DTCiGqRDNTJDeExvpDdZgsE0nZrG8PaUYpkI0M/H3ISo+0tsr/Bus8G8Wa+BTimEqRDMTpPDPRjpycl2m/nr2p2W6WM/W+Zj9msk1wmBPZyCCGeDYHxHsBzr28WDyZ3M3mNIOIVPRyayQXCMMajoDzuTaonq4QnuWXNMwb82BlSnUa7KvhYmBqhDJgVk+Xqut+Ehvbv1vmUK9JvtaqGKYCtHMBOg18ZHe3PrfMoV6Tfa1UMUwFaKZCdBr4iO9uVJdmUKbTuxroYphKkQzE38fouIjPZiJzGXbCC2TQmRdYuecMmnKVCdGyLRoZapO97NMvEyhwr99LVQxTIVoZgIU/vlIR0+u/fVs+8mX69nzl+usklz7GezpDEQwAxz7I4L9QMc+Hkz+bO4GU9ohZCo6mVWSaz+Dms6AN7lWD1doE8k1BfP2HBjUa7KvhYmBqhDNgQG9Jj7SGwyHoV6TfS1UMUyFaGYC9Jr4SG+uc12mUK/JvhaqGKZCNDMBek18pDfXuS4zaJOJfS1UMUyFWGaS+fsQFR/p7RX+M6zwny3XwCcUw1SIZiZI4Z+NdOzkOvPXs+0nX65nz987ukZyDTDY0xmIYAY49kcE+4GOfTyY/NncDaa0Q8hUdDJrJNcAg5rOgDW5zvKHK7TnyTUJ8/YcGNZrypbbLs/EQFWI5sCQXhMb6e1lTRnWa8pEqGKYCtHMBOk1sZHeYNaE9ZoyGaoYpkI0M0F6TWykt1eqy6BNJva1UMUwFaKZib8PUfGR3l7hP8MK/9lyDXxCMUyFaGaCFP7ZSA8HnA3/uFllbAtjOaCLwElqDPe4l9n03fT2B8snIuENR4gBnhYNl7TPwa7psMeJEAQbzoXON7DPwXY/oeB2wLPYFpSncxZkFinhWTXEINSCZmDXdNirWNAM7MG2CLgHlxXdgrJXlU6NfRSpfcjCPkwxY1X58gFMMrJVZa9qR6V2VGpHpZ6jUtOprGNp2asPP3Rc7NOSsU/Lxj5n6Ay2SeBzH3NY/qoqC2Efspyzu+UTnVRku8tf1Y5APUegphNYx9pya1uOgX3OUBhsksDhPizMTmplLp2ZzfnLfLEeamP1uBZmpzJHoJ4jUNMJrGNhbvZyDJydzXpREgdH4vIRXEAf87xiS9Ob3Hxa5ssHSj27gHjV3hnAYE9nIIIZ4NgfEewHOnYZgp0+Yz3lyQCZik5mPGv5yYSa0icIg5rOgLV3lhcPV2gT0xQFswMtuiLXne6SozEmEW2jkiZtisQcZdc1qmtP+llNIlp9KseaIm5Mh4iBqhCrPpUjTRE20j+6HMCfXWIm9/XjejR/8d/agFySI496SCDCYE9nwOzR/NgPdOzj0eWfQm8wpR1CpqKTWcWj+RnUdAa8Hk0+XKFNeDQKZgdamy5XqcgTKWSfiFN+TEyZpkmW5qYxJ5nm8ln2F8+jYY05Z0ohYqAqRPNoSGOOjfQ58MlOZVq2JimzvkxElmaJVqc8KZtTbjolT/LU34+ZYI25fLFHNaUYpkI0M0Eac2ykz8ddZJlQUphEZUeZCKHLpJXHMjm1ZZd2mZZKmfsxE2xHTr7YW5pSDFMhmpkgO3LYSA9mcpSZ0kVWJrLt80T0prEzj5ZJdkqNLI9N3rTqfswE25GTLzaQphTDVIhmJsiOHDbS1zTq8tldDBI1jSr8O08+tS8tyhF3xzrAYE9nIIIZ4NgfEewHOvbx6PLH7TeY0g4hU9HJrJFGAQxqOgPWNKpwx8EVc8fBkTBvLj4usF1hxWK78LkYqAqxPFqB7ApjIz2YSdse++ZUGJtyuRvGS31KGpXacClrdZe1TVfI9H7MJMfMZLHnN6UYpkI0M/HvGKr4SJ/77cc816Y/JapURSKaXCS66EzSCanKMku7VN1PfFxgW3SKxZ7LlGKYCtHMxN8cq/hIn5fBvjr3F37FDsZSQKsBSEqcl2YUw6qM0j2MfYjMPdxyDeF+INwPhPuBdD9wi9NKKefUEotqRV7yWAyrN0r3MPZhidaOaO2I1o5o7YjWjmjtiNZzRGs60VWWehTnRR7l8HQL2BxX9xyWgIjhp2L4qRh+KoefDsvb5igPi5MInIfJ8O2dZID+3oGd5eQiy/llYqtkgH4GezoDEcwAx/6IYD/QscsQ7PQZ8+o7/GQqOplVMkA/g5rOgDcDdI20C7SJaYqCeahp2ki/VUIlbdlax30yRdIe02Ny1E3bZaema5pnvjpezIY10goVJgaqQrSYDWmksZF2Mdurt/FXhBT+PpH99Mt9ovnVqKs4Mj+DPZ0BsyPzYz/QsY8HlX/mvMGUdgiZik5mFUfmZ1DTGfA6svLhCm3CkVEwD6XMU5qeymOf6KORiUiPmTuaXCR5KpSSvVbHtnt7N44M6+EWy+3MZ2KgKkRzZEgPl430U3Pubnpz/lalNYHlVmXcRfsAgz2dAbND82M/0LGPB5d/Br3BlHYImYpOZhWH5mdQ0xnwOjTzcIU24dAomAfQeXts8v6YlKZxN2zkadKaU5qUmUzb07EXpbmfzExgB3uK5UblxPp1TIVYDk34O8oVH+l7ycyEv0NpP/1ih7JIZ8fuGo4MYLCnM+B1ZAD2Ax37eFD5Z84bTGmHkKnoZNZwZACDms6A1ZGJ7OEK7bkjI2EeMrNj09moPkv6wmSJ6Lo8MScbox+bY5GrYya0uXyYe3Bk2OoBsdhIfy4GqkI0R4asHmAj/ZSZXYhHz8yEv0luTWCxSV7ks2N4FYfmZ7CnM2B2aH7sBzr28eDyz6A3mNIOIVPRyazi0PwMajoDXofmtlOLue3UJMwOdFa4PQOnLMlLYRKRp03SNsXJxuhN1maZPunyjjIzbDu1EGFioCpEc2jIdmo20j+KfJa+8Pe57SeXS+z1/ElUqzgwP4M9nQGzA/NjP9CxjweTf8a8wZR2CJmKTmYVB+ZnUNMZ8Dowt+jjAm3CgVEwb8+BYYs+hAoTA1UhmgNDFn2wkY7uwPz9bfvJF3vFOu6qRYDBns6A2YH5sR/o2MeDyT9j3mBKO4RMRSezigPzM6jpDHgdmFvsIeYWe5Awb8+BYYs9xPJtkhML+DAVojkwZLEHG+noDszfz7affLE3rOOuVgQY7OkMmB2YH/uBjn08mPwz5g2mtEPIVHQyqzgwP4OazoDXgbnFHRdoEw6MgnlzDkxiizvk8gWmEwv3MBViOTCJLO5gIx3bgUl/H9t+8uXLSPXsmF3DgQEM9nQGvA4MwH6gYx8PJv+MeYMp7RAyFZ3MGg4MYFDTGbA6MOkWdci5RR0kzNtzYDnmwPIwMVAVojkwZFEHG+noDszft7affLEHrOMurwcY7OkMmB2YH/uBjn08mPwz5g2mtEPIVHQyqzgwP4OazoDXgblFHHJuEQcJ8/YcGLaIQ4owMVAVojkwZBEHG+mnVYmX8Rl9VaL097GtCcglNYr5M1pWcWh+Bns6A2aH5sd+oGMfDy7/DHqDKe0QMhWdzCoOzc+gpjPgdWhuUccF2oRDo2B2oEWTGqPcRdZNJxNxzNNE96pN+lPRybzJMnVHG6AltqhDqjAxUBWiOTRkUQcb6evpa88u+xlLAR3QRVLifPqa1K+qUrn7F5VyD3fSWuluYizdr7T7lXa/Mu5Xxl0Smoo5tRZ7yAW+9AzijE9U59PXLNHaEa0d0doRrR3R2hGtHdHaEa0d0doRreeI1nSi48kMIgrPZ5fT1yxR+1TDhY6WqnsOp6yVw+WO5fBrPfxaD782w6/NcNHoDGX3X6VwHki/vZOYzd8Et7PcYhO8iNsGBhjs6QyYYzY/9gMduwzBTp8xr77DT6aik1klZvMzqOkMeGM2/XCFNjFNUTAPRYim6ItcykS6i9mE6cukbY/aJqamt6lork1zPwcrS+xGCWnCxEBViBaz+RcvVHykBzNRoivLY18kbaZ1IpTME/u3W/u3mi5rVdNpebwbM1HYagG12DifUgxTIZaZKGS1ABvpwUx0U0iVCp20+mTfLfs+0V0ukmOpmlRmWSrS9n7MBDvNXy3vOp9QDFMhmpn4O8kVH+nYPTnl70jaT77YkTRxTwoBGOzpDEQwAxz7I4L9QMc+Hkz++OsGU9ohZCo6mTXCYYBBTWfAGg6r/OEK7Xk4TMI81KXsP2UmmkRkRZqI4qgSkykbGKkybXN5En12+TD34MCwCyTUYoPyuRioCtEcmL+TXPGR3mCcg7VulQhVDFMhmpkgrVs20ttLrpXEzESGKoapEM1M/G28io/0U4f/yau4f0UtFyt/f8jagFqSo4i7Zg1gsKczEMEMcOyPCPYDHft4dPkDshtMaYeQqehkVomP/QxqOgPe+Fg9XKFNxMcUzA60UMe0LXVjfV6RJSKXJtFSi+Sku9Qc22PRqzsKfLDrzNVyi29i+RamQjSP5t+sXfGRHswkVX2bd7JIlLGhkciLPNEn2SfHpu1LKY1M9R2ZCbY7Wi23WCYUw1SIZib+XljFR/oa+Ogz8+h9cuVvslgbWGyyiGfXdq8b+PgZ7OkMmAMfP/YDHft4dPk97Q2mtEPIVHQyqwQ+fgY1nQFv4OO2S1+gTQQ+FMxDxSeVOmubNGlOdkYTmUgTkxqdnJpO6mNmZJs2b+/Fo5VYA7Rc7AU+FwNVIZZHK5EGKBvpwUxa0xV9dswSlQobJAndJ6bQJjFHWZTW/4lW3E/Fp8QaoOViL3BKMUyFaGaCNEDZSJ8XB0rZ520v7Q9b+24rbZAkOmtcphBZrrOjNvp+zCTHzGSx5zKlGKZCNDPxN8cqPtLn2QS6+vxezATrRpWLjZnJgQWpEM1MkG4UG+lrGmXe3kcaVfq7LtYGxKIcz253XzWNAhjs6QxEMAMc+yOC/UDHPh5d/rj9BlPaIWQqOpk10iiAQU1nwJpGleLhCu15GkXCPNSP07xrTm2fZG4doZBpl7S96BKV6VS4zUKFuVxbfw8eDeuIljJMDFSFaB4N6YiykT4HPn2p2vKUJp3OXa05K5ImbWXSic60qdaZPt2RmWA7CcvFnsuUYpgK0czE3xyr+EhvMI3CulHlYmNmSjFMhWhmgnSj2EifNy+cdKpOXZqc8vSUiKMyie6MSY59L1JVnJpUlPdjJlg3qlxszEwphqkQzUyQbhQb6dir0kt/vd1+8sXatYnbfAIY7OkMRDADHPsjgv1Axz4eTP4w/QZT2iFkKjqZVbImP4OazoA3a3LNpwu0iayJgnlzDkxjzSe92Id5LgaqQiwHppHmExvp7YXDGms+6cU+zJRimArRzARpPrGR3l5yrbHmk17sw0wphqkQzUyQ5hMb6e2V6jTWfNLLu4ImFMNUiGYmSPOJjXTsrEn7y+v2k4tF9vmY/apZE8BgT2cgghng2B8R7Ac69vFg8ofpN5jSDiFT0cmskTUBDGo6A9asSbte0wXa86yJhHl7DgzrNWkZJgaqQjQHhvSa2EhvMBzGek16se0ypRimQjQzQXpNbKQ3mFxjvSa92HaZUgxTIZqZIL0mNtIbLNVhvSa92HaZUgxTIZqZIL0mNtJPS/byy9LN6Ev2tL/ebm1gsXYt5s9+XSWN8jPY0xmIYAY49kcE+4GOfTy6/HH7Daa0Q8hUdDKrpFF+BjWdAW8a5ZpPF2gTaRQF8+YCH4M1n8zyJqCJW+sxFWJ5NIM0n9hID2ZihBGNkmmiy75MRJHnSZM3ZaK6prD/15aZviMzwZpPZnkT0IRimArRzARpPrGRPs8mpmlNmhaJbEXhzhAtE902zq6UynUqRVf292MmWPPJLG8CmhpYkArRzARpPrGR3l4aZbDmk1neBDShGKZCNDNBmk9spGM3n4y/3m4/uVhib+JudAIY7OkMRDADHPsjgv1Axz4eTP4w/QZT2iFkKjqZNbImgEFNZ8CaNRnXfLpAe541kTBvz4FhzScjw8RAVYjmwJDmExvpDYbDWPPJLPdhpjZzQCpEMxOk+cRGeoPJNdZ8Mst9mAnFMBWimQnSfGIjvcFSHdZ8Mst9GPrWsFhmgjSf2Ei75pMj/jZyz8n4y+z20y+XrNVYhXWzJz+DPZ2BCGaAY39EsB/o2MeDyh+u32BKO4RMRSezSvbkZ1DTGfBmT67ndIE2kT1RMDvQrelkIwqd5E1mEqH0KWmli42U0F2XdV0u78aR6RTqOdnXwsRAVYjkyCwfr9VWfKTPSXbannSpukR0mXV6WvVJa8OlxDq81BiZNln37KLheGYC9Zzsa6GKYSpEMxOg58RHenO1GJ1CPSf7WrBikArRzAToOfGR3lz2pFOo52RfC1UMUyGamQA9Jz7SkXtOOvWX2e0nF0vsjRizXzNrQhjs6QxEMAMc+yOC/UDHPh5M/jD9BlPaIWQqOpkVsiaEQU1nwJk1WVQPV2jPsiYa5u05MKjnZF8LEwNVIZoDA3pOfKQ3GA5DPSf7WqhimArRzAToOfGR3mByDfWc7GvBikEqRDMToOfER3qDpTqo52RfC1UMUyGamQA9Jz7Sw4anc4AyNoSxFj/sj1999sXnDFLsvvedX690lr6yDzWnwHK5+tml97PhLkQDj3gd9tphr+ew13Ts40AXwg7Hug66DWktdvecBu9CXgp6B//ZzuzVLSqbMaZsufKtIxvTNOyaDnsdO5qGPVgYAfdgQZdtmOJt3Ja45eadpD+1Ly3RlOns51mjuAMw2NMZiGAGOPZHBPuBjl2GYKdPSU/+HiBT0cmsUdwBGNR0BqzFnSx7uEKbmKcomId0rBDpyZgi0amwgblUjTurok+KNk+NaLuiPJm39xJnZ1gTK1vs5zwXA1UhVpydIU0sNtLnlaKnTGenQiRGlyIRvQ3H2zTtk06K7tiX+pSe7ubKKJ1hTaxssZ8zpRimQjQzQZpYbKTPWXvRNvbtNCkym9yLLNOJSfs2Ofa5TeqOukhLdT9mIjAzEaGKYSpEMxN/g6PiI729UnGGdRQyGaoYpkI0M0E6Cmykz8WdV/dQ2yldbcfYR567h5yTYrFqLvGz7yFCeOh7ScxLV+Ux9mFZ1HMsajqLdfL0cqj3GPe0PNxzmshQFSIwcVQuBhZ7Lbsl6x2AdtZZLMLLqDuBEQZ7OgMRzADH/ohgP9CxyxDs9BnsOpf7yVR0Mqsk7n4GNZ0Bb+JePlyhTUxTFMwOdJOJo5DHIimao0yEsZGXVp1OCtWJLju1ui1Ob+8mhsIaZNlir+i5GKgK0WIopEHGRvrpRMBLnzT2gYDWb3vVsCaw2LKRUQ8ERBjs6QyYHZof+4GOfTy4/DPoDaa0Q8hUdDKrODQ/g5rOgNehmYcrtAmHRsG8uaJAjm3Oyhfbh8/FQFWI5dByZHMWG+lz3CNznfdlmvRN27iVRDrRvT4lXWv/xlG2eZO392Mm2OasfLl7M6EYpkI0M/G32So+0rG3U+T+do395IvtGhM3zgEY7OkMeOMcAPuBjn08mPyO9QZT2iFkKjqZNeIcgEFNZ8Aa5+T5wxXa8ziHhHl7DgxrpebLd4HR5/KpMecl/wLjDmmlspHeYDiMtVLd1B+mGKZCNDNBWqlspJ/qO+btfdR3cn/H0JqAXFJDzi8oXiXu8TPY0xkwxz1+7Ac69vHg8jvaG0xph5Cp6GRWiXv8DGo6A964Rz5coU3EPRTMDvQxN0WeZ23SmeKYCJGLROep9YVZa0xbZqrs72fjV47tD3SmFCIGqkI0h4bsD2QjfY57RFeWx75I2kzrRLiL9pqib91Jll3WqqbT8ng/ZoLtD8yXm3wTimEqRDMTfze24iO9vf2BOdb+zJc7gROKYSpEMxOk/clG+pxsqzxt0uKUlKfGhdJZljSnU58I2eWnpk+P8nRHybbBzGS5wzKhGKZCNDPxt8IqPtJfbyN9Fn2MtYDWtJGkOC81LLJXlRbpjALFclsl8s4/i72ew17TsY8DXQg7HOtelhVa7PY5A979nILewY++jbRwS1aLcs6iljswJrJFuYWqM9hrOvZ1LGpYnDoDfrA4AvoB/hl99FpP4S/rf2pfWmKp5hcTr1HrARjs6QxEMAMc+yOC/UDHLkOw02eoJ/cPkKnoZNao9QAMajoD1lpP4XpcxVyPi4R5SOKhrYV3EnYXWI+rWGz3PBcDVSFW2F0gPS420tvbVVpgPa5ChCqGqRDNTJAeFxvp7e0qLbDtgoUMVQxTIZqZ+PsdFR/ps5m0x745FSaRQhwTYW0oaVQq7d9qdZe1TVfIO5pNsAZDsVhrn1QMUiGamSANBjbSTx3zy2zh/hU3i/LX0a0JLNbRVdwtfgCDPZ2BCGaAY39EsB/o2MeDyx+232BKO4RMRSezShblZ1DTGfBmUW6L3wXaRBZFwTwUpHMpWmFj5+Yoi0Q0uUmaLi8SU+ZtX8r2mIv7aV4UWI+rWGz3PBcDVSGaQ0N6XGykNxj3YD2uYrHdM6UYpkI0M0F6XGyk7+c0DTG0uIR7uHM15FyzSyy2XBR+RQBECHdW59aEGJpdwj3cuRozLGo6i1WaFOLc9hLDczhZY4bI0BwjMBl82MXQ3kYOtYV/S9Kn9qVFllFvhkQY7OkMRDADHPsjgv1Axy5DsNNnsKe5HCBT0cmsEWoDDGo6A9ZQW7hjMMXcMZgkzA60bErrLE2blJ1yjjQvkzbNsiQ79mV7LDOVNvcTaosciqHEcvdm4r4qTIVYMZTwt9kqPtLb25QjsL6WWG7x0G+/i2UmSF+LjXTszcfC366xn1wssTeR4xw/gz2dAXOc48d+oGMfDya/Y73BlHYImYpOZpU4x8+gpjPgjXPcXW4XaBNxDgXz9hwY1koVMkwMVIVoDgxppbKR3mA4jLVShQpVDFMhmpkgrVQ20tHjHH+3yH7yxc6LibvZGGCwpzNgjnP82A907OPB5HesN5jSDiFT0cmsEuf4GdR0BrxxjmudirnWKQnz9hwY1joVyzfpTWyBwlSI5sCQ1ikb6Q2Gw1jrVCx2EacUw1SIZiZI65SNdOw4R/pPXPxUy8XunJnfXrdGnAMw2NMZ8MY5APYDHft4MPkd6w2mtEPIVHQya8Q5AIOazoA1zpHpwxXa8ziHhHlzDkxip6HKxSbeczFQFWI5MOnvtlZ8pLcXDkusvSkXO31TimEqRDMTpL3JRvrrYxDE2BDGWkCLkUhSnNeISbc8TCr30O7h7l4q3Q3b2j3M3M3Icrmlh2foED/ceZ2XjEm3WsySqh2p2pGqHanakarnSNV0UmNnBpGC/dllBZkc1o5ZVu6ph+dwN1M53Muth+cMNfcuhZsjdzlWwU1QUdeUSX97yU5TYpHl/EEFq8TmfgZ7OgMRzADH/ohgP9CxyxDs9BnvOvn7yVR0MqvE5n4GNZ0Bb2zueq0XaBPTFAWzA62PWVEUIkuUVmUi+rZImr7vks7d03MSzTG/o93NEuu1ShkmBqpCtKAL6bWykY5eXPK3EO0nV0vsTWQH5mewpzNgdmB+7Ac69vFg8s+YN5jSDiFT0cms4sD8DGo6A14Hph6u0CYcGAXzEGenrTjqNk/6YXdRVxaJbvJTcuykOqVHdTwVd1Rcwo5ilcsdxYm5HFMhmgPzt34rPtJPG+ovXz3WsWQzn3qxdVjGPX5M+pufezoDZsflx36gYx8PIv9M+VImU9FBr+Kg/LLXdAa8Dko/XKFNOCgK5svMc7H0+LUgf5fazkiLXeoy7lEeAIM9nQHzjOTHfqBjlyHYyTPS1y7dT6aik1llpvIzqOkMeGcqd7npBdrETEXBPExT6ngUTWsSWaQqEaJNkzbNu6Qsjk0uuqOQ6n4acAq73FQtNq2fi4GqECuUVv7VBRUf6cFMusKoYyGKRKS9DbuLtE9aJbPkeNK9brL0lJfifswEa+erxc72lGKYCtHMBGnns5E+zyaFPqVFq5M0FzIRpVBJcyraxIjOiKJUaVvc0WyCtfPVYmd7cmBBKkQzE6Sdz0Z6MJOyNUqmRZ9IrU0iWq2Ttjwp+9v02DSNUnnT34+ZYLuV1WLTeEoxTIVoZoLsVmYjPZhJfyqU6lSbZO54TZGpY9Icj3KYg3r7Z71+yj/uwUywU3iVCFUMUyGamfi7qxUf6fNJPqIVfXe0JpW6OEZlKmn7/JSYTpSlC2RS09yPmWDtTCVDFcNUiGYmSDuTjfQ5hO2F0FmaJsPdOyI/tUlr0iI5NVmXaiH7QtyRmWBbR9ViB2UymoNUiGYm/lZXxUf6bCZtWSqT6qQp+y4R/alPmqxPk0wc065om+6Une7HTLDeklpss0wqBqkQzUyQ3hIb6Uts4o69bE7JqW3tu0We23fbMkmPhdHHXPRFoe7HTLB9fGq53D3pphEVopmJvy9R8ZE+zyZZl2WdNEkrTy7cPaaJNsKtik8zlaZ5e7qjbRAK28enAmuNqArRzMRfFK74SMdealX6i4uf2pdm2VsqaTpmv2p/CGCwpzMQwQxw7I8I9gMd+3gw+RsSN5jSDiFT0cmoYDKhpvQJwqCmM2DtD5VuH185t4+PhHlzDqzECv/lfA18UgxUhVgOrEQK/2ykt5c1lVjhv5yvgc8pBqkQzUyQwj8b6fPCzcZ0+VFlic6HRLyQSZsZnfSmTLOu7Uop+vsxE6zwX87XwGcUw1SIZiZI4Z+N9PYquiVW+HdN0jDFMBWimQlS+Gcjvb2KbokV/ksZqhimQjQzQQr/bKS310YsscK/u1wwTDFMhWhmghT+2Uhvb1FCiRX+y/ka+IximArRzAQp/LOR3t4SpxIr/JfzNfAZxTAVopkJUvhnI729BZMlVvgv52vgc24aUiGamSCFfzbSsQv/2l/r/NS+tMg+7lY1gMGezkAEM8CxPyLYD3Ts48HkrzTfYEo7hExFJ7NG4R9gUNMZsBb+tSv867nCPwnzEOdAuwPuxIFprPCvl2vgE/d3YyrEcmAaKfyzkd5enKOxwr9eroFPKIapEM1MkMI/G+ntZU0aK/zr5Rr41MCCVIhmJkjhn4309mowGiv8axGqGKZCNDNBCv9spLdX0dVY4V/LUMUwFaKZCVL4ZyO9vTaixgr/erkGPqEYpkI0M0EK/2ykt9dG1FjhXy/XwKeiOUiFaGaCFP7ZSG9viZPGCv96uQY+pRikQjQzQQr/bKTPsYlKu6bIikTm7oAykQqbFaXGOShp/VNm4xxzP2aCFf71cg18yk1DKkQzE6Twz0Z6e+tqDXbuigmsNaIqxDIT4y8KV3yk3UFir87niEU9QMz4i4z20y8fKyLGKqzaJwIY7OkMRDADHPsjgv1Axz4eVP7GxA2mtEPIVHQya/SJAAY1nQFrn8hkD1doz/tEJMwOdFaUTaaNS8O71M5mLpjO7G+NTnOtdFm05jJC7sGRYQ0AM18LnxQDVSGaI0MaAGykfzTc4GP/+vPAd6wFdBkMSYrzDT7G3eBj5JwCy6fZyNlxO555IBr45HO+qMe4i3pmsNd07OM5B8IOTzuX+3jMcB/PDHj3Ewr6Af7FkN7GCZJmpg+xyCbu7d7GX77f0xmIYAY49kcE+4GOXYZgJ89EM1MPFfQqQY9f9prOgDfocTfoXKBNTDsUzJfznS/C39fJ8kYuEop7JYrxd4T2dAbMM48f+4GOXYZgf+mZhwp6lZnHL3tNZ8A788iHK7SJmYeC+XwT5vmfX3v1S//VX/t7v/abmf2TX/nPnf/Sq1/67zz9yQ+/+h++3//Qcv+10xeff+X+ffzi+1986X7RfPl7rfuv/Wb+m1Lo0mYsv/Z58wP3P/DJZz/of/jBd/t//MHjFz9oPrf/az/87J/YH2T5q1/7w8+7/svvf/a5e+/zL+y/7F9rvv/Z733uLNP9Z3//iy8/+yf2f6v5vn3j+/3pK/vX/7v+y68+Ow5/crSv9V/aP/vHXzZ/8En/39u/89WXf9jb/0prKfZfDljbL7766osfnH/l/nDnWDz9D76aoJAO/9j849WvdZ81v/fF5+5/i/K3B8Ckv/nlZ7/3+8S/+tUXf0D5i/Zvnj77/kDU/dtZqH3hh198335+ZwvdN2f/rjOM5suvnr/wZAvOGP7wB23/5W9+8aU1s7MBuV9984vO/a98u/+8/9KKbN/7gy+/+OqcSLi3vv/F8b/trfk9/XHvsJyHlf3Dzz7/fTuXfeXA//9+sg4i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</si>
  <si>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</si>
  <si>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</si>
  <si>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</si>
  <si>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</si>
  <si>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</si>
  <si>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</si>
  <si>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</si>
  <si>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</si>
  <si>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</si>
  <si>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</si>
  <si>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</si>
  <si>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</si>
  <si>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</si>
  <si>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</si>
  <si>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</si>
  <si>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</si>
  <si>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20%</t>
  </si>
  <si>
    <t>Материалы/
оборудование</t>
  </si>
  <si>
    <t>СМР, ПНР</t>
  </si>
  <si>
    <t>Стоимость, руб.с НДС 20%</t>
  </si>
  <si>
    <t>Общая стоимость,
руб.с НДС 20%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</si>
  <si>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</si>
  <si>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</si>
  <si>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</si>
  <si>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</si>
  <si>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</si>
  <si>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</si>
  <si>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6.2</t>
  </si>
  <si>
    <t>СМР корпуса без отделки</t>
  </si>
  <si>
    <t>1.1.1.1</t>
  </si>
  <si>
    <t>6.2.2</t>
  </si>
  <si>
    <t>СМР надземной части корпуса (без отделки)</t>
  </si>
  <si>
    <t>1.1.1.1.1</t>
  </si>
  <si>
    <t>6.2.2.4</t>
  </si>
  <si>
    <t>Внутренние стены и перегородки</t>
  </si>
  <si>
    <t>1.1.1.1.1.1</t>
  </si>
  <si>
    <t>6.2.2.4.2</t>
  </si>
  <si>
    <t>Устройство перегородок</t>
  </si>
  <si>
    <t>1.1.1.1.1.1.1</t>
  </si>
  <si>
    <t>6.2.2.4.2.4</t>
  </si>
  <si>
    <t>Устройство перегородок и зашивка коммуникаций ГКЛ</t>
  </si>
  <si>
    <t>1.1.1.1.1.1.1.1</t>
  </si>
  <si>
    <t>6.2.2.4.2.4.1.2</t>
  </si>
  <si>
    <t>Устройство перегородок на металлическом каркасе по системе Knauf / С-112 / А2-12, А2-5, А2-25</t>
  </si>
  <si>
    <t>Выгружается из БО по объектам BIM-КЦ</t>
  </si>
  <si>
    <t>1эт, 2эт, 3эт, 4эт, 5эт. Перегородки Тип-2. Перегородки С112 толщиной 125 мм, с двуслойной обшивкой влагоогнестойкими листами ГСП-DFH2 с двух сторон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</t>
  </si>
  <si>
    <t>м2</t>
  </si>
  <si>
    <t>427deeed-3690-473f-b3f7-a7ed159357bd</t>
  </si>
  <si>
    <t>8f42627a-0af6-49ae-b8d1-a33d282c6df7</t>
  </si>
  <si>
    <t>0ed13e26-7903-4b3b-80e2-92ed86dbdc43</t>
  </si>
  <si>
    <t>1.1.1.1.1.1.1.1._</t>
  </si>
  <si>
    <t>1.1.1.1.1.1.1.1.1</t>
  </si>
  <si>
    <t>Прочие материалы для перегородок из ГКЛ (лента, шпатлевка, грунтовка, шуруп, дюбель и пр.) / одинарный каркас / 2 слоя облицовки</t>
  </si>
  <si>
    <t>комплект</t>
  </si>
  <si>
    <t>305116935.1521774</t>
  </si>
  <si>
    <t>20927486.1521774</t>
  </si>
  <si>
    <t>88496844-a8e0-493e-af9f-aef115ea00ec</t>
  </si>
  <si>
    <t>1.1.1.1.1.1.1.1.1._</t>
  </si>
  <si>
    <t>276896360.1521774</t>
  </si>
  <si>
    <t>1.1.1.1.1.1.1.1.2</t>
  </si>
  <si>
    <t>Профиль_/направляющий/75*40*0,60/3м</t>
  </si>
  <si>
    <t>пог. м</t>
  </si>
  <si>
    <t>305116935.54563</t>
  </si>
  <si>
    <t>20927486.54563</t>
  </si>
  <si>
    <t>da03edcf-b4d9-4058-9973-8a5ff0a070d9</t>
  </si>
  <si>
    <t>1.1.1.1.1.1.1.1.2._</t>
  </si>
  <si>
    <t>276896360.54563</t>
  </si>
  <si>
    <t>1.1.1.1.1.1.1.1.3</t>
  </si>
  <si>
    <t>Профиль_ / стоечный  / 75*50*0,6 / 2415</t>
  </si>
  <si>
    <t>305116935.720773</t>
  </si>
  <si>
    <t>20927486.720773</t>
  </si>
  <si>
    <t>e595a8de-8a09-41c9-ae01-9e77a27e4e1d</t>
  </si>
  <si>
    <t>1.1.1.1.1.1.1.1.3._</t>
  </si>
  <si>
    <t>276896360.720773</t>
  </si>
  <si>
    <t>1.1.1.1.1.1.1.1.4</t>
  </si>
  <si>
    <t>Плита звукоизоляционная / Техноакустик / 50 мм</t>
  </si>
  <si>
    <t>м3</t>
  </si>
  <si>
    <t>305116935.1721598</t>
  </si>
  <si>
    <t>20927486.1721598</t>
  </si>
  <si>
    <t>3c6e5100-8209-4949-b8ee-15bec9b49575</t>
  </si>
  <si>
    <t>1.1.1.1.1.1.1.1.4._</t>
  </si>
  <si>
    <t>276896360.1721598</t>
  </si>
  <si>
    <t>1.1.1.1.1.1.1.1.5</t>
  </si>
  <si>
    <t>Гипсовые строительные плиты_ / влагостойкий и огнестойкий / 12,5*1200*2500</t>
  </si>
  <si>
    <t>305116935.54552</t>
  </si>
  <si>
    <t>20927486.54552</t>
  </si>
  <si>
    <t>e60da313-524c-4404-b609-430511117b99</t>
  </si>
  <si>
    <t>1.1.1.1.1.1.1.1.5._</t>
  </si>
  <si>
    <t>276896360.54552</t>
  </si>
  <si>
    <t>1.1.1.1.1.1.1.2</t>
  </si>
  <si>
    <t>1.1.1.1.1.1.1.2.1</t>
  </si>
  <si>
    <t>305117004.54552</t>
  </si>
  <si>
    <t>22071402.54552</t>
  </si>
  <si>
    <t>1.1.1.1.1.1.1.2.2</t>
  </si>
  <si>
    <t>305117004.1721598</t>
  </si>
  <si>
    <t>22071402.1721598</t>
  </si>
  <si>
    <t>1.1.1.1.1.1.1.2.3</t>
  </si>
  <si>
    <t>305117004.54563</t>
  </si>
  <si>
    <t>22071402.54563</t>
  </si>
  <si>
    <t>1.1.1.1.1.1.1.2.4</t>
  </si>
  <si>
    <t>305117004.720773</t>
  </si>
  <si>
    <t>22071402.720773</t>
  </si>
  <si>
    <t>1.1.1.1.1.1.1.2.5</t>
  </si>
  <si>
    <t>305117004.1521774</t>
  </si>
  <si>
    <t>22071402.1521774</t>
  </si>
  <si>
    <t>1.1.1.1.1.1.1.3</t>
  </si>
  <si>
    <t>6.2.2.4.2.4.1.12</t>
  </si>
  <si>
    <t>Устройство перегородок на металлическом каркасе по системе Knauf / С-112 / А2-3, А2-4</t>
  </si>
  <si>
    <t>49b979a4-a1b9-479a-8e71-6740e0386ea0</t>
  </si>
  <si>
    <t>26fb2242-302d-422c-a57b-be27d21da012</t>
  </si>
  <si>
    <t>1.1.1.1.1.1.1.3._</t>
  </si>
  <si>
    <t>2эт, 3эт, 4эт, 5эт. Перегородки Тип-3. Перегородка типа С112 на металлическом каркасе, толщиной - 125 мм, с двуслойной обшивкой листами Кнауф-Файербор с двух сторон на одинарном металлическом каркасе из профилей ПН50x40 и ПС50х50, с внутренним заполнением минераловатной плитой толщиной 50 мм, типа ИЗОРОК Ультралайт, плотностью 35-45 кг/м³, с индексом звукопоглащения 0,80 - 0,85 αw</t>
  </si>
  <si>
    <t>1.1.1.1.1.1.1.3.1</t>
  </si>
  <si>
    <t>305116936.1521774</t>
  </si>
  <si>
    <t>20927487.1521774</t>
  </si>
  <si>
    <t>1.1.1.1.1.1.1.3.1._</t>
  </si>
  <si>
    <t>281752680.1521774</t>
  </si>
  <si>
    <t>1.1.1.1.1.1.1.3.2</t>
  </si>
  <si>
    <t>Профиль_/стоечный/50*50*0,60/3м</t>
  </si>
  <si>
    <t>305116936.54565</t>
  </si>
  <si>
    <t>20927487.54565</t>
  </si>
  <si>
    <t>aadfbe6a-ab19-412b-a4b6-645b6bf99174</t>
  </si>
  <si>
    <t>1.1.1.1.1.1.1.3.2._</t>
  </si>
  <si>
    <t>281752680.54565</t>
  </si>
  <si>
    <t>1.1.1.1.1.1.1.3.3</t>
  </si>
  <si>
    <t>Профиль_/направляющий/50*40*0,60/3м</t>
  </si>
  <si>
    <t>305116936.54570</t>
  </si>
  <si>
    <t>20927487.54570</t>
  </si>
  <si>
    <t>fcc6f7bc-87cc-49c1-b4ac-f6a22abb8878</t>
  </si>
  <si>
    <t>1.1.1.1.1.1.1.3.3._</t>
  </si>
  <si>
    <t>281752680.54570</t>
  </si>
  <si>
    <t>1.1.1.1.1.1.1.3.4</t>
  </si>
  <si>
    <t>305116936.1721598</t>
  </si>
  <si>
    <t>20927487.1721598</t>
  </si>
  <si>
    <t>1.1.1.1.1.1.1.3.4._</t>
  </si>
  <si>
    <t>281752680.1721598</t>
  </si>
  <si>
    <t>1.1.1.1.1.1.1.3.5</t>
  </si>
  <si>
    <t>305116936.54552</t>
  </si>
  <si>
    <t>20927487.54552</t>
  </si>
  <si>
    <t>1.1.1.1.1.1.1.3.5._</t>
  </si>
  <si>
    <t>Кнауф-Файербор с двух сторон</t>
  </si>
  <si>
    <t>281752680.54552</t>
  </si>
  <si>
    <t>1.1.1.1.1.1.1.4</t>
  </si>
  <si>
    <t>1.1.1.1.1.1.1.4._</t>
  </si>
  <si>
    <t>1эт, 5эт. Перегородки Тип-7. Перегородка типа С116 толщиной 200 мм,с двуслойной обшивкой листами ГКЛВО на двойном разнесенном стальном каркасе из профилей ПН50x40 и ПС50х50 , с внутренним заполнением минераловатной плитой толщиной 50 мм, плотностью 35-45 кг/м3, теплопроводностью 0,040 Вт/(м*°С).</t>
  </si>
  <si>
    <t>1.1.1.1.1.1.1.4.1</t>
  </si>
  <si>
    <t>305117005.54552</t>
  </si>
  <si>
    <t>20927894.54552</t>
  </si>
  <si>
    <t>1.1.1.1.1.1.1.4.1._</t>
  </si>
  <si>
    <t>278588533.54552</t>
  </si>
  <si>
    <t>1.1.1.1.1.1.1.4.2</t>
  </si>
  <si>
    <t>305117005.1721598</t>
  </si>
  <si>
    <t>20927894.1721598</t>
  </si>
  <si>
    <t>1.1.1.1.1.1.1.4.2._</t>
  </si>
  <si>
    <t>278588533.1721598</t>
  </si>
  <si>
    <t>1.1.1.1.1.1.1.4.3</t>
  </si>
  <si>
    <t>305117005.54565</t>
  </si>
  <si>
    <t>20927894.54565</t>
  </si>
  <si>
    <t>1.1.1.1.1.1.1.4.3._</t>
  </si>
  <si>
    <t>278588533.54565</t>
  </si>
  <si>
    <t>1.1.1.1.1.1.1.4.4</t>
  </si>
  <si>
    <t>305117005.54570</t>
  </si>
  <si>
    <t>20927894.54570</t>
  </si>
  <si>
    <t>1.1.1.1.1.1.1.4.4._</t>
  </si>
  <si>
    <t>278588533.54570</t>
  </si>
  <si>
    <t>1.1.1.1.1.1.1.5</t>
  </si>
  <si>
    <t>1.1.1.1.1.1.1.5.1</t>
  </si>
  <si>
    <t>305117006.1521774</t>
  </si>
  <si>
    <t>22135685.1521774</t>
  </si>
  <si>
    <t>1.1.1.1.1.1.1.5.2</t>
  </si>
  <si>
    <t>305117006.54565</t>
  </si>
  <si>
    <t>22135685.54565</t>
  </si>
  <si>
    <t>1.1.1.1.1.1.1.5.3</t>
  </si>
  <si>
    <t>305117006.54570</t>
  </si>
  <si>
    <t>22135685.54570</t>
  </si>
  <si>
    <t>1.1.1.1.1.1.1.5.4</t>
  </si>
  <si>
    <t>305117006.1721598</t>
  </si>
  <si>
    <t>22135685.1721598</t>
  </si>
  <si>
    <t>1.1.1.1.1.1.1.5.5</t>
  </si>
  <si>
    <t>305117006.54552</t>
  </si>
  <si>
    <t>22135685.54552</t>
  </si>
  <si>
    <t>1.1.1.1.1.1.1.6</t>
  </si>
  <si>
    <t>1.1.1.1.1.1.1.6.1</t>
  </si>
  <si>
    <t>305117007.54552</t>
  </si>
  <si>
    <t>22135683.54552</t>
  </si>
  <si>
    <t>1.1.1.1.1.1.1.6.2</t>
  </si>
  <si>
    <t>305117007.1721598</t>
  </si>
  <si>
    <t>22135683.1721598</t>
  </si>
  <si>
    <t>1.1.1.1.1.1.1.6.3</t>
  </si>
  <si>
    <t>305117007.54565</t>
  </si>
  <si>
    <t>22135683.54565</t>
  </si>
  <si>
    <t>1.1.1.1.1.1.1.6.4</t>
  </si>
  <si>
    <t>305117007.54570</t>
  </si>
  <si>
    <t>22135683.54570</t>
  </si>
  <si>
    <t>1.1.1.1.1.1.1.6.5</t>
  </si>
  <si>
    <t>305117007.1521774</t>
  </si>
  <si>
    <t>22135683.1521774</t>
  </si>
  <si>
    <t>1.1.1.1.1.1.1.7</t>
  </si>
  <si>
    <t>6.2.2.4.2.4.2.4</t>
  </si>
  <si>
    <t>Облицовка стен по системе Knauf / С-626 / в 2 слоя / А-10, А-27</t>
  </si>
  <si>
    <t>b14f4e38-3585-4dc2-957c-30490faf4592</t>
  </si>
  <si>
    <t>efdd910f-d4d5-47d8-bf4c-279f25591fc4</t>
  </si>
  <si>
    <t>1.1.1.1.1.1.1.7._</t>
  </si>
  <si>
    <t xml:space="preserve">Подвал, 1эт, 2эт, 3эт, 4эт, 5эт. Перегородки Тип-4. Облицовка типа С626 на отнесенном металлическом каркасе толщиной 75 мм, с двуслойной обшивкой влагостойкими гипсокартнонными листами ГСП-H2 с одной стороны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
</t>
  </si>
  <si>
    <t>1.1.1.1.1.1.1.7.1</t>
  </si>
  <si>
    <t>Прочие материалы для облицовки стен из ГКЛ (лента, шпатлевка, грунтовка, шуруп, дюбель и пр.)_ / 2 слоя ГКЛ / профиль ПН/ПС 75 мм</t>
  </si>
  <si>
    <t>305116938.1571304</t>
  </si>
  <si>
    <t>20927640.1571304</t>
  </si>
  <si>
    <t>03246ec1-2d72-4291-b360-a366560593b9</t>
  </si>
  <si>
    <t>1.1.1.1.1.1.1.7.1._</t>
  </si>
  <si>
    <t>279601596.1571304</t>
  </si>
  <si>
    <t>1.1.1.1.1.1.1.7.2</t>
  </si>
  <si>
    <t>305116938.54563</t>
  </si>
  <si>
    <t>20927640.54563</t>
  </si>
  <si>
    <t>1.1.1.1.1.1.1.7.2._</t>
  </si>
  <si>
    <t>279601596.54563</t>
  </si>
  <si>
    <t>1.1.1.1.1.1.1.7.3</t>
  </si>
  <si>
    <t>305116938.720773</t>
  </si>
  <si>
    <t>20927640.720773</t>
  </si>
  <si>
    <t>1.1.1.1.1.1.1.7.3._</t>
  </si>
  <si>
    <t>279601596.720773</t>
  </si>
  <si>
    <t>1.1.1.1.1.1.1.7.4</t>
  </si>
  <si>
    <t>305116938.1721598</t>
  </si>
  <si>
    <t>20927640.1721598</t>
  </si>
  <si>
    <t>1.1.1.1.1.1.1.7.4._</t>
  </si>
  <si>
    <t>279601596.1721598</t>
  </si>
  <si>
    <t>1.1.1.1.1.1.1.7.5</t>
  </si>
  <si>
    <t>Лист гипсокартонный_ / ГСП-Н2 ПЛУК / 12,5 мм</t>
  </si>
  <si>
    <t>305116938.1521731</t>
  </si>
  <si>
    <t>20927640.1521731</t>
  </si>
  <si>
    <t>a1299d5c-a6a8-4578-811e-9ac6be42922a</t>
  </si>
  <si>
    <t>1.1.1.1.1.1.1.7.5._</t>
  </si>
  <si>
    <t>279601596.1521731</t>
  </si>
  <si>
    <t>1.1.1.1.1.1.1.8</t>
  </si>
  <si>
    <t>1.1.1.1.1.1.1.8._</t>
  </si>
  <si>
    <t xml:space="preserve">Подвал, 1эт, 2эт, 3эт, 4эт, 5эт. Перегородки Тип-5. Облицовка типа С626 на отнесенном металлическом каркасе толщиной 75 мм, с двуслойной обшивкой влагоогнестойкими гипсокартонными листами ГСП-DFН2 с одной стороны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αw.
</t>
  </si>
  <si>
    <t>1.1.1.1.1.1.1.8.1</t>
  </si>
  <si>
    <t>Лист гипсокартонный_ / ГСП-DF ПЛУК / 12,5 мм</t>
  </si>
  <si>
    <t>305117008.1521733</t>
  </si>
  <si>
    <t>20927641.1521733</t>
  </si>
  <si>
    <t>525ba485-341d-4b67-a708-94503b506fec</t>
  </si>
  <si>
    <t>1.1.1.1.1.1.1.8.1._</t>
  </si>
  <si>
    <t>279601665.1521733</t>
  </si>
  <si>
    <t>1.1.1.1.1.1.1.8.2</t>
  </si>
  <si>
    <t>305117008.1721598</t>
  </si>
  <si>
    <t>20927641.1721598</t>
  </si>
  <si>
    <t>1.1.1.1.1.1.1.8.2._</t>
  </si>
  <si>
    <t>279601665.1721598</t>
  </si>
  <si>
    <t>1.1.1.1.1.1.1.8.3</t>
  </si>
  <si>
    <t>305117008.54563</t>
  </si>
  <si>
    <t>20927641.54563</t>
  </si>
  <si>
    <t>1.1.1.1.1.1.1.8.3._</t>
  </si>
  <si>
    <t>279601665.54563</t>
  </si>
  <si>
    <t>1.1.1.1.1.1.1.8.4</t>
  </si>
  <si>
    <t>305117008.720773</t>
  </si>
  <si>
    <t>20927641.720773</t>
  </si>
  <si>
    <t>1.1.1.1.1.1.1.8.4._</t>
  </si>
  <si>
    <t>279601665.720773</t>
  </si>
  <si>
    <t>1.1.1.1.1.1.1.8.5</t>
  </si>
  <si>
    <t>305117008.1571304</t>
  </si>
  <si>
    <t>20927641.1571304</t>
  </si>
  <si>
    <t>1.1.1.1.1.1.1.8.5._</t>
  </si>
  <si>
    <t>279601665.1571304</t>
  </si>
  <si>
    <t>1.1.1.1.1.1.1.9</t>
  </si>
  <si>
    <t>1.1.1.1.1.1.1.9._</t>
  </si>
  <si>
    <t>Подвал, 1эт, 2эт, 3эт, 4эт, 5эт. Перегородки Тип-5а. Облицовка типа С626 на отнесенном металлическом каркасе толщиной 87,5 мм, с двуслойной обшивкой влагоогнестойкими гипсокартонными листами ГСП-DFН2 с одной стороны и однослойной обшивкой влагоогнестойкими гипсокартонными листами ГСП-DFН2 с внутренней стороны ниши ЭОМ,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</t>
  </si>
  <si>
    <t>1.1.1.1.1.1.1.9.1</t>
  </si>
  <si>
    <t>305117009.1571304</t>
  </si>
  <si>
    <t>20927756.1571304</t>
  </si>
  <si>
    <t>1.1.1.1.1.1.1.9.1._</t>
  </si>
  <si>
    <t>279601666.1571304</t>
  </si>
  <si>
    <t>1.1.1.1.1.1.1.9.2</t>
  </si>
  <si>
    <t>305117009.54563</t>
  </si>
  <si>
    <t>20927756.54563</t>
  </si>
  <si>
    <t>1.1.1.1.1.1.1.9.2._</t>
  </si>
  <si>
    <t>279601666.54563</t>
  </si>
  <si>
    <t>1.1.1.1.1.1.1.9.3</t>
  </si>
  <si>
    <t>305117009.720773</t>
  </si>
  <si>
    <t>20927756.720773</t>
  </si>
  <si>
    <t>1.1.1.1.1.1.1.9.3._</t>
  </si>
  <si>
    <t>279601666.720773</t>
  </si>
  <si>
    <t>1.1.1.1.1.1.1.9.4</t>
  </si>
  <si>
    <t>305117009.1721598</t>
  </si>
  <si>
    <t>20927756.1721598</t>
  </si>
  <si>
    <t>1.1.1.1.1.1.1.9.4._</t>
  </si>
  <si>
    <t>279601666.1721598</t>
  </si>
  <si>
    <t>1.1.1.1.1.1.1.9.5</t>
  </si>
  <si>
    <t>305117009.1521733</t>
  </si>
  <si>
    <t>20927756.1521733</t>
  </si>
  <si>
    <t>1.1.1.1.1.1.1.9.5._</t>
  </si>
  <si>
    <t>279601666.1521733</t>
  </si>
  <si>
    <t>1.1.1.1.1.1.1.10</t>
  </si>
  <si>
    <t>1.1.1.1.1.1.1.10._</t>
  </si>
  <si>
    <t>Подвал, 1эт, 2эт, 3эт, 4эт, 5эт. Перегородки Тип-6. Облицовка типа С626 на отнесенном металлическом каркасе, толщиной - 75 мм, с двуслойной обшивкой листами Кнауф-Файербор с одной стороны на одинарном металлическом каркасе из профилей ПН50x40 и ПС50х50, с внутренним заполнением минераловатной плитой толщиной 50 мм, типа ИЗОРОК Ультралайт, плотностью 35-45 кг/м³, с индексом звукопоглащения 0,80 - 0,85 αw</t>
  </si>
  <si>
    <t>1.1.1.1.1.1.1.10.1</t>
  </si>
  <si>
    <t>305117010.1521733</t>
  </si>
  <si>
    <t>20927757.1521733</t>
  </si>
  <si>
    <t>1.1.1.1.1.1.1.10.1._</t>
  </si>
  <si>
    <t>с двуслойной обшивкой листами Кнауф-Файерборд</t>
  </si>
  <si>
    <t>281753295.1521733</t>
  </si>
  <si>
    <t>1.1.1.1.1.1.1.10.2</t>
  </si>
  <si>
    <t>305117010.1721598</t>
  </si>
  <si>
    <t>20927757.1721598</t>
  </si>
  <si>
    <t>1.1.1.1.1.1.1.10.2._</t>
  </si>
  <si>
    <t>281753295.1721598</t>
  </si>
  <si>
    <t>1.1.1.1.1.1.1.10.3</t>
  </si>
  <si>
    <t>305117010.54565</t>
  </si>
  <si>
    <t>20927757.54565</t>
  </si>
  <si>
    <t>1.1.1.1.1.1.1.10.3._</t>
  </si>
  <si>
    <t>281753295.54565</t>
  </si>
  <si>
    <t>1.1.1.1.1.1.1.10.4</t>
  </si>
  <si>
    <t>305117010.54570</t>
  </si>
  <si>
    <t>20927757.54570</t>
  </si>
  <si>
    <t>1.1.1.1.1.1.1.10.4._</t>
  </si>
  <si>
    <t>281753295.54570</t>
  </si>
  <si>
    <t>1.1.1.1.1.1.1.10.5</t>
  </si>
  <si>
    <t>305117010.1571304</t>
  </si>
  <si>
    <t>20927757.1571304</t>
  </si>
  <si>
    <t>1.1.1.1.1.1.1.10.5._</t>
  </si>
  <si>
    <t>281753295.1571304</t>
  </si>
  <si>
    <t>1.1.1.1.1.1.1.11</t>
  </si>
  <si>
    <t>1.1.1.1.1.1.1.11._</t>
  </si>
  <si>
    <t>1эт, 2эт, 3эт, 4эт, 5эт. Перегородки Тип-8. Облицовка типа С626 на отнесенном металлическом каркасе, толщиной 100 мм, с двуслойной обшивкой листами Кнауф-сайлентборд с одной стороны на одинарном металлическом каркасе из профилей ПН75x40 и ПС75х50, с внутренним заполнением минераловатной плитой толщиной 75 мм, типа ИЗОРОК Ультралайт, плотностью 35-45 кг/м3, с индексом звукопоглащения 0,80 - 0,85 αw.</t>
  </si>
  <si>
    <t>1.1.1.1.1.1.1.11.1</t>
  </si>
  <si>
    <t>305117011.1571304</t>
  </si>
  <si>
    <t>20927983.1571304</t>
  </si>
  <si>
    <t>1.1.1.1.1.1.1.11.1._</t>
  </si>
  <si>
    <t>276896441.1571304</t>
  </si>
  <si>
    <t>1.1.1.1.1.1.1.11.2</t>
  </si>
  <si>
    <t>305117011.54563</t>
  </si>
  <si>
    <t>20927983.54563</t>
  </si>
  <si>
    <t>1.1.1.1.1.1.1.11.2._</t>
  </si>
  <si>
    <t>276896441.54563</t>
  </si>
  <si>
    <t>1.1.1.1.1.1.1.11.3</t>
  </si>
  <si>
    <t>305117011.720773</t>
  </si>
  <si>
    <t>20927983.720773</t>
  </si>
  <si>
    <t>1.1.1.1.1.1.1.11.3._</t>
  </si>
  <si>
    <t>276896441.720773</t>
  </si>
  <si>
    <t>1.1.1.1.1.1.1.11.4</t>
  </si>
  <si>
    <t>305117011.1721598</t>
  </si>
  <si>
    <t>20927983.1721598</t>
  </si>
  <si>
    <t>1.1.1.1.1.1.1.11.4._</t>
  </si>
  <si>
    <t>276896441.1721598</t>
  </si>
  <si>
    <t>1.1.1.1.1.1.1.11.5</t>
  </si>
  <si>
    <t>Лист гипсоволокнистый ГВЛ 12,5мм Г1</t>
  </si>
  <si>
    <t>305117011.7351</t>
  </si>
  <si>
    <t>20927983.7351</t>
  </si>
  <si>
    <t>22b5ef4a-0665-11e8-80d9-005056881952</t>
  </si>
  <si>
    <t>1.1.1.1.1.1.1.11.5._</t>
  </si>
  <si>
    <t>276896441.7351</t>
  </si>
  <si>
    <t>1.1.1.1.1.1.1.12</t>
  </si>
  <si>
    <t>1.1.1.1.1.1.1.12.1</t>
  </si>
  <si>
    <t>305117012.1521731</t>
  </si>
  <si>
    <t>22135688.1521731</t>
  </si>
  <si>
    <t>1.1.1.1.1.1.1.12.2</t>
  </si>
  <si>
    <t>305117012.1721598</t>
  </si>
  <si>
    <t>22135688.1721598</t>
  </si>
  <si>
    <t>1.1.1.1.1.1.1.12.3</t>
  </si>
  <si>
    <t>305117012.54563</t>
  </si>
  <si>
    <t>22135688.54563</t>
  </si>
  <si>
    <t>1.1.1.1.1.1.1.12.4</t>
  </si>
  <si>
    <t>305117012.720773</t>
  </si>
  <si>
    <t>22135688.720773</t>
  </si>
  <si>
    <t>1.1.1.1.1.1.1.12.5</t>
  </si>
  <si>
    <t>305117012.1571304</t>
  </si>
  <si>
    <t>22135688.1571304</t>
  </si>
  <si>
    <t>1.1.1.1.1.1.1.13</t>
  </si>
  <si>
    <t>1.1.1.1.1.1.1.13.1</t>
  </si>
  <si>
    <t>305117013.1571304</t>
  </si>
  <si>
    <t>22135689.1571304</t>
  </si>
  <si>
    <t>1.1.1.1.1.1.1.13.2</t>
  </si>
  <si>
    <t>305117013.54563</t>
  </si>
  <si>
    <t>22135689.54563</t>
  </si>
  <si>
    <t>1.1.1.1.1.1.1.13.3</t>
  </si>
  <si>
    <t>305117013.720773</t>
  </si>
  <si>
    <t>22135689.720773</t>
  </si>
  <si>
    <t>1.1.1.1.1.1.1.13.4</t>
  </si>
  <si>
    <t>305117013.1721598</t>
  </si>
  <si>
    <t>22135689.1721598</t>
  </si>
  <si>
    <t>1.1.1.1.1.1.1.13.5</t>
  </si>
  <si>
    <t>305117013.1521733</t>
  </si>
  <si>
    <t>22135689.1521733</t>
  </si>
  <si>
    <t>1.1.1.1.1.1.1.14</t>
  </si>
  <si>
    <t>1.1.1.1.1.1.1.14.1</t>
  </si>
  <si>
    <t>305117014.1521733</t>
  </si>
  <si>
    <t>22135690.1521733</t>
  </si>
  <si>
    <t>1.1.1.1.1.1.1.14.2</t>
  </si>
  <si>
    <t>305117014.1721598</t>
  </si>
  <si>
    <t>22135690.1721598</t>
  </si>
  <si>
    <t>1.1.1.1.1.1.1.14.3</t>
  </si>
  <si>
    <t>305117014.54563</t>
  </si>
  <si>
    <t>22135690.54563</t>
  </si>
  <si>
    <t>1.1.1.1.1.1.1.14.4</t>
  </si>
  <si>
    <t>305117014.720773</t>
  </si>
  <si>
    <t>22135690.720773</t>
  </si>
  <si>
    <t>1.1.1.1.1.1.1.14.5</t>
  </si>
  <si>
    <t>305117014.1571304</t>
  </si>
  <si>
    <t>22135690.1571304</t>
  </si>
  <si>
    <t>1.1.1.1.1.1.1.15</t>
  </si>
  <si>
    <t>1.1.1.1.1.1.1.15.1</t>
  </si>
  <si>
    <t>305117015.1571304</t>
  </si>
  <si>
    <t>22135691.1571304</t>
  </si>
  <si>
    <t>1.1.1.1.1.1.1.15.2</t>
  </si>
  <si>
    <t>305117015.54565</t>
  </si>
  <si>
    <t>22135691.54565</t>
  </si>
  <si>
    <t>1.1.1.1.1.1.1.15.3</t>
  </si>
  <si>
    <t>305117015.54570</t>
  </si>
  <si>
    <t>22135691.54570</t>
  </si>
  <si>
    <t>1.1.1.1.1.1.1.15.4</t>
  </si>
  <si>
    <t>305117015.1721598</t>
  </si>
  <si>
    <t>22135691.1721598</t>
  </si>
  <si>
    <t>1.1.1.1.1.1.1.15.5</t>
  </si>
  <si>
    <t>305117015.1521733</t>
  </si>
  <si>
    <t>22135691.1521733</t>
  </si>
  <si>
    <t>1.1.1.1.1.1.1.16</t>
  </si>
  <si>
    <t>1.1.1.1.1.1.1.16.1</t>
  </si>
  <si>
    <t>305117016.7351</t>
  </si>
  <si>
    <t>22135681.7351</t>
  </si>
  <si>
    <t>1.1.1.1.1.1.1.16.2</t>
  </si>
  <si>
    <t>305117016.1721598</t>
  </si>
  <si>
    <t>22135681.1721598</t>
  </si>
  <si>
    <t>1.1.1.1.1.1.1.16.3</t>
  </si>
  <si>
    <t>305117016.54563</t>
  </si>
  <si>
    <t>22135681.54563</t>
  </si>
  <si>
    <t>1.1.1.1.1.1.1.16.4</t>
  </si>
  <si>
    <t>305117016.720773</t>
  </si>
  <si>
    <t>22135681.720773</t>
  </si>
  <si>
    <t>1.1.1.1.1.1.1.16.5</t>
  </si>
  <si>
    <t>305117016.1571304</t>
  </si>
  <si>
    <t>22135681.1571304</t>
  </si>
  <si>
    <t>1.1.2</t>
  </si>
  <si>
    <t>6.3</t>
  </si>
  <si>
    <t>Отделка, столярные работы, мебель и оборудование</t>
  </si>
  <si>
    <t>1.1.2.1</t>
  </si>
  <si>
    <t>6.3.1</t>
  </si>
  <si>
    <t>Отделка нежилых помещений</t>
  </si>
  <si>
    <t>1.1.2.1.1</t>
  </si>
  <si>
    <t>6.3.1.5</t>
  </si>
  <si>
    <t>Отделка СКБ</t>
  </si>
  <si>
    <t>1.1.2.1.1.1</t>
  </si>
  <si>
    <t>6.3.1.5.1</t>
  </si>
  <si>
    <t>Полы</t>
  </si>
  <si>
    <t>1.1.2.1.1.1.1</t>
  </si>
  <si>
    <t>6.3.1.5.1.1</t>
  </si>
  <si>
    <t xml:space="preserve">Подготовка полов под финишное покрытие </t>
  </si>
  <si>
    <t>1.1.2.1.1.1.1.1</t>
  </si>
  <si>
    <t>6.3.1.5.1.1.6.3</t>
  </si>
  <si>
    <t>Устройство разделительного слоя / из пленки полиэтиленовой / в 1 слой</t>
  </si>
  <si>
    <t>672f52f6-b26d-4fee-8a2b-3f641d01bb01</t>
  </si>
  <si>
    <t>91058521-be9a-4628-9277-514b8aa56189</t>
  </si>
  <si>
    <t>8a7cac49-151b-40fd-a08b-5e72f8ff4034</t>
  </si>
  <si>
    <t>1.1.2.1.1.1.1.1._</t>
  </si>
  <si>
    <t>Применительно - пленка полиэтиленовая 120 мкр;</t>
  </si>
  <si>
    <t>1.1.2.1.1.1.1.1.1</t>
  </si>
  <si>
    <t>Пленка полиэтиленовая_/150мкр</t>
  </si>
  <si>
    <t>305116945.55068</t>
  </si>
  <si>
    <t>20926494.55068</t>
  </si>
  <si>
    <t>4d328d8d-c999-4ba6-a0a3-9c5dda6dbf83</t>
  </si>
  <si>
    <t>1.1.2.1.1.1.1.1.1._</t>
  </si>
  <si>
    <t>278511589.55068</t>
  </si>
  <si>
    <t>1.1.2.1.1.1.1.2</t>
  </si>
  <si>
    <t>1.1.2.1.1.1.1.2.1</t>
  </si>
  <si>
    <t>305117017.55068</t>
  </si>
  <si>
    <t>22135731.55068</t>
  </si>
  <si>
    <t>1.1.2.1.1.1.1.3</t>
  </si>
  <si>
    <t>6.3.1.5.1.1.11.2</t>
  </si>
  <si>
    <t>Устройство стяжки СКБ / армированная сеткой от 21 мм до 40 мм</t>
  </si>
  <si>
    <t>bc0e5f03-2992-4502-aa0b-a36daa7dc9b3</t>
  </si>
  <si>
    <t>21d23a99-5bd4-4d65-bcd9-e1e922edb18b</t>
  </si>
  <si>
    <t>1.1.2.1.1.1.1.3._</t>
  </si>
  <si>
    <t>Подвал, 1эт, 2эт, 3эт, 4эт, 5эт. Тип: 1-13, 15</t>
  </si>
  <si>
    <t>1.1.2.1.1.1.1.3.1</t>
  </si>
  <si>
    <t>Фиксатор арматуры Звездочка_/15/4-16</t>
  </si>
  <si>
    <t>шт</t>
  </si>
  <si>
    <t>305116947.55160</t>
  </si>
  <si>
    <t>20926431.55160</t>
  </si>
  <si>
    <t>89d26042-545e-4f2c-9700-1029a9f50251</t>
  </si>
  <si>
    <t>1.1.2.1.1.1.1.3.1._</t>
  </si>
  <si>
    <t>278587567.55160</t>
  </si>
  <si>
    <t>1.1.2.1.1.1.1.3.2</t>
  </si>
  <si>
    <t>Смесь цементно-песчаная сухая_/М150</t>
  </si>
  <si>
    <t>кг</t>
  </si>
  <si>
    <t>305116947.54611</t>
  </si>
  <si>
    <t>20926431.54611</t>
  </si>
  <si>
    <t>a1146549-61c5-4487-b5c7-fb7d0d185669</t>
  </si>
  <si>
    <t>1.1.2.1.1.1.1.3.2._</t>
  </si>
  <si>
    <t>278587567.54611</t>
  </si>
  <si>
    <t>1.1.2.1.1.1.1.3.3</t>
  </si>
  <si>
    <t>Сетка эл/св_/100*100*4</t>
  </si>
  <si>
    <t>305116947.55155</t>
  </si>
  <si>
    <t>20926431.55155</t>
  </si>
  <si>
    <t>c5168317-5be2-4e9a-9785-1f0957ca2ab6</t>
  </si>
  <si>
    <t>1.1.2.1.1.1.1.3.3._</t>
  </si>
  <si>
    <t>278587567.55155</t>
  </si>
  <si>
    <t>1.1.2.1.1.1.1.3.4</t>
  </si>
  <si>
    <t>Лента кромочная демпферная_/8*100мм/20м</t>
  </si>
  <si>
    <t>305116947.55045</t>
  </si>
  <si>
    <t>20926431.55045</t>
  </si>
  <si>
    <t>41f707b9-71e7-4101-86f2-7af29d65f5fe</t>
  </si>
  <si>
    <t>1.1.2.1.1.1.1.3.4._</t>
  </si>
  <si>
    <t>278587567.55045</t>
  </si>
  <si>
    <t>1.1.2.1.1.1.1.4</t>
  </si>
  <si>
    <t>1.1.2.1.1.1.1.4.1</t>
  </si>
  <si>
    <t>305117018.55045</t>
  </si>
  <si>
    <t>22135706.55045</t>
  </si>
  <si>
    <t>1.1.2.1.1.1.1.4.2</t>
  </si>
  <si>
    <t>305117018.55155</t>
  </si>
  <si>
    <t>22135706.55155</t>
  </si>
  <si>
    <t>1.1.2.1.1.1.1.4.3</t>
  </si>
  <si>
    <t>305117018.54611</t>
  </si>
  <si>
    <t>22135706.54611</t>
  </si>
  <si>
    <t>1.1.2.1.1.1.1.4.4</t>
  </si>
  <si>
    <t>305117018.55160</t>
  </si>
  <si>
    <t>22135706.55160</t>
  </si>
  <si>
    <t>1.1.2.1.1.1.1.5</t>
  </si>
  <si>
    <t>6.3.1.5.1.1.12.1</t>
  </si>
  <si>
    <t>Устройство наливных полов СКБ / толщ. до 10 мм</t>
  </si>
  <si>
    <t>b65fecf4-86b0-47e5-a873-50746e1e06fc</t>
  </si>
  <si>
    <t>1c1d8a34-6071-4900-a8e0-abeca2f16e8f</t>
  </si>
  <si>
    <t>1.1.2.1.1.1.1.5._</t>
  </si>
  <si>
    <t>Подвал, 1эт, 2эт, 3эт, 4эт, 5эт. Тип: 4, 5, 13 (Нивелирующая масса - 8 мм)</t>
  </si>
  <si>
    <t>1.1.2.1.1.1.1.5.1</t>
  </si>
  <si>
    <t>305116949.55045</t>
  </si>
  <si>
    <t>20926453.55045</t>
  </si>
  <si>
    <t>1.1.2.1.1.1.1.5.1._</t>
  </si>
  <si>
    <t>278587569.55045</t>
  </si>
  <si>
    <t>1.1.2.1.1.1.1.5.2</t>
  </si>
  <si>
    <t>Грунтовка универсальный ЛАСТИМИН_ / УНКОНТ ЛЮКС LP51 А</t>
  </si>
  <si>
    <t>305116949.1139608</t>
  </si>
  <si>
    <t>20926453.1139608</t>
  </si>
  <si>
    <t>bbceaf39-544c-478f-a605-41b8d1bad350</t>
  </si>
  <si>
    <t>1.1.2.1.1.1.1.5.2._</t>
  </si>
  <si>
    <t>278587569.1139608</t>
  </si>
  <si>
    <t>1.1.2.1.1.1.1.5.3</t>
  </si>
  <si>
    <t>Наливной пол_ / Унифицированный по ПИК-СТАНДАРТ</t>
  </si>
  <si>
    <t>305116949.1352734</t>
  </si>
  <si>
    <t>20926453.1352734</t>
  </si>
  <si>
    <t>1c2289ef-6763-4a24-83d9-d4567710d066</t>
  </si>
  <si>
    <t>1.1.2.1.1.1.1.5.3._</t>
  </si>
  <si>
    <t>278587569.1352734</t>
  </si>
  <si>
    <t>1.1.2.1.1.1.1.6</t>
  </si>
  <si>
    <t>1.1.2.1.1.1.1.6.1</t>
  </si>
  <si>
    <t>305117019.1352734</t>
  </si>
  <si>
    <t>22135716.1352734</t>
  </si>
  <si>
    <t>1.1.2.1.1.1.1.6.2</t>
  </si>
  <si>
    <t>305117019.1139608</t>
  </si>
  <si>
    <t>22135716.1139608</t>
  </si>
  <si>
    <t>1.1.2.1.1.1.1.6.3</t>
  </si>
  <si>
    <t>305117019.55045</t>
  </si>
  <si>
    <t>22135716.55045</t>
  </si>
  <si>
    <t>1.1.2.1.1.1.2</t>
  </si>
  <si>
    <t>6.3.1.5.1.2</t>
  </si>
  <si>
    <t>Гидроизоляция, тепло-звукоизоляция, утепление</t>
  </si>
  <si>
    <t>1.1.2.1.1.1.2.1</t>
  </si>
  <si>
    <t>6.3.1.5.1.2.1.1</t>
  </si>
  <si>
    <t>Устройство обмазочной гидроизоляции с проклеиванием швов армированной лентой из стекловолокна / в 1 слой</t>
  </si>
  <si>
    <t>c717a10b-7cb3-483c-8b4c-058f45a992bb</t>
  </si>
  <si>
    <t>b42a7e56-3640-4cb0-8542-f6514658a80d</t>
  </si>
  <si>
    <t>1.1.2.1.1.1.2.1._</t>
  </si>
  <si>
    <t>Подвал, 3эт. Стены. Тип: 4. Гидроизоляция Кнауф-ФЛЭХЕНДИХТ</t>
  </si>
  <si>
    <t>1.1.2.1.1.1.2.1.1</t>
  </si>
  <si>
    <t>Гидроизоляционная мастика_ / TAIKOR ELASTIC 300 / Технониколь</t>
  </si>
  <si>
    <t>305116952.644404</t>
  </si>
  <si>
    <t>20927265.644404</t>
  </si>
  <si>
    <t>c65fb646-b7b3-4f93-bc0c-c8abd1fadaa2</t>
  </si>
  <si>
    <t>1.1.2.1.1.1.2.1.1._</t>
  </si>
  <si>
    <t>276896377.644404</t>
  </si>
  <si>
    <t>1.1.2.1.1.1.2.2</t>
  </si>
  <si>
    <t>1.1.2.1.1.1.2.2.1</t>
  </si>
  <si>
    <t>305117020.644404</t>
  </si>
  <si>
    <t>22135728.644404</t>
  </si>
  <si>
    <t>1.1.2.1.1.1.2.3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</si>
  <si>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</si>
  <si>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</si>
  <si>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405b7847-8cb0-4821-ac01-f56e7770b070</t>
  </si>
  <si>
    <t>8a135a98-3599-429e-b287-6354f720abc7</t>
  </si>
  <si>
    <t>1.1.2.1.1.1.2.3._</t>
  </si>
  <si>
    <t>Подвал, 1эт, 2эт, 3эт, 4эт, 5эт. Тип: 6, 7, 8, 11.</t>
  </si>
  <si>
    <t>1.1.2.1.1.1.2.3.1</t>
  </si>
  <si>
    <t>Мастика битумная (1 слой) / 2мм</t>
  </si>
  <si>
    <t>305116953.741656</t>
  </si>
  <si>
    <t>20926475.741656</t>
  </si>
  <si>
    <t>4f00f7ce-8c95-40c1-87c4-204665e86cbd</t>
  </si>
  <si>
    <t>1.1.2.1.1.1.2.3.1._</t>
  </si>
  <si>
    <t>278588480.741656</t>
  </si>
  <si>
    <t>1.1.2.1.1.1.2.4</t>
  </si>
  <si>
    <t>1.1.2.1.1.1.2.4.1</t>
  </si>
  <si>
    <t>305117021.741656</t>
  </si>
  <si>
    <t>22135720.741656</t>
  </si>
  <si>
    <t>1.1.2.1.1.1.2.5</t>
  </si>
  <si>
    <t>6.3.1.5.1.2.2.1</t>
  </si>
  <si>
    <t>Устройство оклеечной гидроизоляции с подготовкой из битумного праймера / в 1 слой</t>
  </si>
  <si>
    <t>b0e4a360-f0f4-4b32-848c-1316cdd739d6</t>
  </si>
  <si>
    <t>52b98750-a8fa-47b1-96e4-d689159ebbac</t>
  </si>
  <si>
    <t>1.1.2.1.1.1.2.5._</t>
  </si>
  <si>
    <t>Подвал, 1эт, 2эт, 3эт, 4эт, 5эт. Тип: 7-13, 15 (с заводом на стену на 300 мм).</t>
  </si>
  <si>
    <t>1.1.2.1.1.1.2.5.1</t>
  </si>
  <si>
    <t>Гидроизоляция_ / Техноэласт Барьер Лайт</t>
  </si>
  <si>
    <t>305116955.49418</t>
  </si>
  <si>
    <t>20926502.49418</t>
  </si>
  <si>
    <t>22bca2ec-79ac-4920-b9f0-7150bfce4792</t>
  </si>
  <si>
    <t>1.1.2.1.1.1.2.5.1._</t>
  </si>
  <si>
    <t>279609475.49418</t>
  </si>
  <si>
    <t>1.1.2.1.1.1.2.6</t>
  </si>
  <si>
    <t>1.1.2.1.1.1.2.6.1</t>
  </si>
  <si>
    <t>305117022.49418</t>
  </si>
  <si>
    <t>22135722.49418</t>
  </si>
  <si>
    <t>1.1.2.1.1.1.2.7</t>
  </si>
  <si>
    <t>6.3.1.5.1.2.2.2</t>
  </si>
  <si>
    <t>Устройство оклеечной гидроизоляции с подготовкой из битумного праймера / в 2 слоя</t>
  </si>
  <si>
    <t>ab19d7de-9095-4fac-ae75-1c25105ee675</t>
  </si>
  <si>
    <t>ad4405d8-675e-43c0-b835-1584bad7cf15</t>
  </si>
  <si>
    <t>1.1.2.1.1.1.2.7._</t>
  </si>
  <si>
    <t>Подвал, 1эт, 2эт, 3эт, 4эт, 5эт. Тип: 7.</t>
  </si>
  <si>
    <t>1.1.2.1.1.1.2.7.1</t>
  </si>
  <si>
    <t>Рулонные материалы  / Техноэласт</t>
  </si>
  <si>
    <t>305116956.643995</t>
  </si>
  <si>
    <t>20926476.643995</t>
  </si>
  <si>
    <t>4cad7381-e391-4dd2-9fc1-cac326c14896</t>
  </si>
  <si>
    <t>1.1.2.1.1.1.2.7.1._</t>
  </si>
  <si>
    <t>Мембрана водонепроницаемая</t>
  </si>
  <si>
    <t>276896381.643995</t>
  </si>
  <si>
    <t>1.1.2.1.1.1.2.8</t>
  </si>
  <si>
    <t>1.1.2.1.1.1.2.8.1</t>
  </si>
  <si>
    <t>305117023.643995</t>
  </si>
  <si>
    <t>22135723.643995</t>
  </si>
  <si>
    <t>1.1.2.1.1.1.2.9</t>
  </si>
  <si>
    <t>6.3.1.5.1.2.5.1</t>
  </si>
  <si>
    <t>Утепление полов керамзитом</t>
  </si>
  <si>
    <t>d1874649-5209-4eb5-a757-57b5fb147650</t>
  </si>
  <si>
    <t>62097f98-2dd6-4f79-887b-f40e5ac30e13</t>
  </si>
  <si>
    <t>1.1.2.1.1.1.2.9._</t>
  </si>
  <si>
    <t>Подвал, 1эт, 2эт, 3эт, 4эт, 5эт. Тип: 7 (67 мм).</t>
  </si>
  <si>
    <t>1.1.2.1.1.1.2.9.1</t>
  </si>
  <si>
    <t>Керамзит_ / фр 10-20</t>
  </si>
  <si>
    <t>305116958.54646</t>
  </si>
  <si>
    <t>20926501.54646</t>
  </si>
  <si>
    <t>131465f1-2749-420a-ba3f-b9a1b118f872</t>
  </si>
  <si>
    <t>1.1.2.1.1.1.2.9.1._</t>
  </si>
  <si>
    <t>278586816.54646</t>
  </si>
  <si>
    <t>1.1.2.1.1.1.2.10</t>
  </si>
  <si>
    <t>1.1.2.1.1.1.2.10._</t>
  </si>
  <si>
    <t>Подвал, 1эт, 2эт, 3эт, 4эт, 5эт. Тип: 1,2,3,6 (89-90 мм).</t>
  </si>
  <si>
    <t>1.1.2.1.1.1.2.10.1</t>
  </si>
  <si>
    <t>305117024.54646</t>
  </si>
  <si>
    <t>21125774.54646</t>
  </si>
  <si>
    <t>1.1.2.1.1.1.2.10.1._</t>
  </si>
  <si>
    <t>278588549.54646</t>
  </si>
  <si>
    <t>1.1.2.1.1.1.2.11</t>
  </si>
  <si>
    <t>Подвал, 1эт, 2эт, 3эт, 4эт, 5эт. Тип: 4, 5 (100 мм).</t>
  </si>
  <si>
    <t>1.1.2.1.1.1.2.11._</t>
  </si>
  <si>
    <t>1.1.2.1.1.1.2.11.1</t>
  </si>
  <si>
    <t>305117025.54646</t>
  </si>
  <si>
    <t>21125777.54646</t>
  </si>
  <si>
    <t>1.1.2.1.1.1.2.11.1._</t>
  </si>
  <si>
    <t>278588550.54646</t>
  </si>
  <si>
    <t>1.1.2.1.1.1.2.12</t>
  </si>
  <si>
    <t>Подвал, 1эт, 2эт, 3эт, 4эт, 5эт. Тип: 10 (120 мм).</t>
  </si>
  <si>
    <t>1.1.2.1.1.1.2.12._</t>
  </si>
  <si>
    <t>1.1.2.1.1.1.2.12.1</t>
  </si>
  <si>
    <t>305117026.54646</t>
  </si>
  <si>
    <t>21125775.54646</t>
  </si>
  <si>
    <t>1.1.2.1.1.1.2.12.1._</t>
  </si>
  <si>
    <t>278588551.54646</t>
  </si>
  <si>
    <t>1.1.2.1.1.1.2.13</t>
  </si>
  <si>
    <t>1.1.2.1.1.1.2.13._</t>
  </si>
  <si>
    <t>Подвал, 1эт, 2эт, 3эт, 4эт, 5эт. Тип: 8, 9, 11, 12, 15 (139-140 мм).</t>
  </si>
  <si>
    <t>1.1.2.1.1.1.2.13.1</t>
  </si>
  <si>
    <t>305117027.54646</t>
  </si>
  <si>
    <t>21125779.54646</t>
  </si>
  <si>
    <t>1.1.2.1.1.1.2.13.1._</t>
  </si>
  <si>
    <t>278588552.54646</t>
  </si>
  <si>
    <t>1.1.2.1.1.1.2.14</t>
  </si>
  <si>
    <t>1.1.2.1.1.1.2.14._</t>
  </si>
  <si>
    <t>Подвал, 1эт, 2эт, 3эт, 4эт, 5эт. Тип: 13 (150 мм).</t>
  </si>
  <si>
    <t>1.1.2.1.1.1.2.14.1</t>
  </si>
  <si>
    <t>305117028.54646</t>
  </si>
  <si>
    <t>21125776.54646</t>
  </si>
  <si>
    <t>1.1.2.1.1.1.2.14.1._</t>
  </si>
  <si>
    <t>278588553.54646</t>
  </si>
  <si>
    <t>1.1.2.1.1.1.2.15</t>
  </si>
  <si>
    <t>1.1.2.1.1.1.2.15.1</t>
  </si>
  <si>
    <t>305117029.54646</t>
  </si>
  <si>
    <t>22135721.54646</t>
  </si>
  <si>
    <t>1.1.2.1.1.1.2.16</t>
  </si>
  <si>
    <t>1.1.2.1.1.1.2.16.1</t>
  </si>
  <si>
    <t>305117030.54646</t>
  </si>
  <si>
    <t>22135705.54646</t>
  </si>
  <si>
    <t>1.1.2.1.1.1.2.17</t>
  </si>
  <si>
    <t>1.1.2.1.1.1.2.17.1</t>
  </si>
  <si>
    <t>305117031.54646</t>
  </si>
  <si>
    <t>22135715.54646</t>
  </si>
  <si>
    <t>1.1.2.1.1.1.2.18</t>
  </si>
  <si>
    <t>1.1.2.1.1.1.2.18.1</t>
  </si>
  <si>
    <t>305117032.54646</t>
  </si>
  <si>
    <t>22135708.54646</t>
  </si>
  <si>
    <t>1.1.2.1.1.1.2.19</t>
  </si>
  <si>
    <t>1.1.2.1.1.1.2.19.1</t>
  </si>
  <si>
    <t>305117033.54646</t>
  </si>
  <si>
    <t>22135724.54646</t>
  </si>
  <si>
    <t>1.1.2.1.1.1.2.20</t>
  </si>
  <si>
    <t>1.1.2.1.1.1.2.20.1</t>
  </si>
  <si>
    <t>305117034.54646</t>
  </si>
  <si>
    <t>22135709.54646</t>
  </si>
  <si>
    <t>1.1.2.1.1.1.2.21</t>
  </si>
  <si>
    <t>6.3.1.5.1.2.6.1</t>
  </si>
  <si>
    <t>Проливка цементным молочком</t>
  </si>
  <si>
    <t>a1ccc2a2-0506-4d10-ba67-be520d007753</t>
  </si>
  <si>
    <t>ce6a2a40-0a2e-4d3e-b43f-ce57e8bb8ffe</t>
  </si>
  <si>
    <t>1.1.2.1.1.1.2.21._</t>
  </si>
  <si>
    <t>1.1.2.1.1.1.2.21.1</t>
  </si>
  <si>
    <t>Портландцемент_/М500</t>
  </si>
  <si>
    <t>305116960.54610</t>
  </si>
  <si>
    <t>20926508.54610</t>
  </si>
  <si>
    <t>4a099601-9ad5-4c20-8e6b-ef3d52a116bd</t>
  </si>
  <si>
    <t>1.1.2.1.1.1.2.21.1._</t>
  </si>
  <si>
    <t>278586818.54610</t>
  </si>
  <si>
    <t>1.1.2.1.1.1.2.22</t>
  </si>
  <si>
    <t>1.1.2.1.1.1.2.22.1</t>
  </si>
  <si>
    <t>305117035.54610</t>
  </si>
  <si>
    <t>22135659.54610</t>
  </si>
  <si>
    <t>1.1.2.1.1.1.3</t>
  </si>
  <si>
    <t>6.3.1.5.1.3</t>
  </si>
  <si>
    <t>Устройство покрытия полов</t>
  </si>
  <si>
    <t>1.1.2.1.1.1.3.1</t>
  </si>
  <si>
    <t>6.3.1.5.1.3.2.1</t>
  </si>
  <si>
    <t>Устройство покрытия пола из линолеума</t>
  </si>
  <si>
    <t>Включая защиту ДВП</t>
  </si>
  <si>
    <t>51b31787-2db2-4031-aade-329f900ef9b7</t>
  </si>
  <si>
    <t>b58ad002-5dea-4a06-b953-f640911ed5b2</t>
  </si>
  <si>
    <t>1.1.2.1.1.1.3.1._</t>
  </si>
  <si>
    <t>Подвал, 1эт, 2эт, 3эт, 4эт, 5эт. Тип: 5, 13.</t>
  </si>
  <si>
    <t>1.1.2.1.1.1.3.1.1</t>
  </si>
  <si>
    <t>Клей для линолеума</t>
  </si>
  <si>
    <t>305116963.702694</t>
  </si>
  <si>
    <t>20926764.702694</t>
  </si>
  <si>
    <t>1a3e3255-5ba6-49e7-bbc8-279e1b1289a0</t>
  </si>
  <si>
    <t>1.1.2.1.1.1.3.1.1._</t>
  </si>
  <si>
    <t>FORBO 599 Eurosafe Super</t>
  </si>
  <si>
    <t>281765301.702694</t>
  </si>
  <si>
    <t>1.1.2.1.1.1.3.1.2</t>
  </si>
  <si>
    <t>Грунтовка _ / универсальная водно-дисперсионная</t>
  </si>
  <si>
    <t>305116963.737422</t>
  </si>
  <si>
    <t>20926764.737422</t>
  </si>
  <si>
    <t>64d77ce3-b188-4652-a3eb-49ad1b6ad85c</t>
  </si>
  <si>
    <t>1.1.2.1.1.1.3.1.2._</t>
  </si>
  <si>
    <t>281765301.737422</t>
  </si>
  <si>
    <t>1.1.2.1.1.1.3.1.3</t>
  </si>
  <si>
    <t>Сварочный шнур для линолеума (для объектов СКБ)_ / Tarkett / Сварочный шнур для спортивного линолеума "цветной" для школы / 94853 или 94854</t>
  </si>
  <si>
    <t>305116963.765921</t>
  </si>
  <si>
    <t>20926764.765921</t>
  </si>
  <si>
    <t>8a356048-b8f8-47ee-8d24-c76a0511040b</t>
  </si>
  <si>
    <t>1.1.2.1.1.1.3.1.3._</t>
  </si>
  <si>
    <t>281765301.765921</t>
  </si>
  <si>
    <t>1.1.2.1.1.1.3.1.4</t>
  </si>
  <si>
    <t>Линолеум (для объектов СКБ)_ / 2мм / 2635 /  Melodia  / Tarkett</t>
  </si>
  <si>
    <t>305116963.1516981</t>
  </si>
  <si>
    <t>20926764.1516981</t>
  </si>
  <si>
    <t>3333714a-4130-43c6-9167-b670b25f4e16</t>
  </si>
  <si>
    <t>1.1.2.1.1.1.3.1.4._</t>
  </si>
  <si>
    <t>Гомогенный антистатический линолеум FORBO Sphera EC 450017 (2 мм)</t>
  </si>
  <si>
    <t>281765301.1516981</t>
  </si>
  <si>
    <t>1.1.2.1.1.1.3.2</t>
  </si>
  <si>
    <t>1.1.2.1.1.1.3.2._</t>
  </si>
  <si>
    <t>3эт, 4эт. Тип: 4.</t>
  </si>
  <si>
    <t>1.1.2.1.1.1.3.2.1</t>
  </si>
  <si>
    <t>305117036.1516981</t>
  </si>
  <si>
    <t>20926763.1516981</t>
  </si>
  <si>
    <t>1.1.2.1.1.1.3.2.1._</t>
  </si>
  <si>
    <t>Гомогенный медицинский ПВХ линолеум FORBO Sphera Element 50003 (2 мм)</t>
  </si>
  <si>
    <t>281765352.1516981</t>
  </si>
  <si>
    <t>1.1.2.1.1.1.3.2.2</t>
  </si>
  <si>
    <t>305117036.765921</t>
  </si>
  <si>
    <t>20926763.765921</t>
  </si>
  <si>
    <t>1.1.2.1.1.1.3.2.2._</t>
  </si>
  <si>
    <t>281765352.765921</t>
  </si>
  <si>
    <t>1.1.2.1.1.1.3.2.3</t>
  </si>
  <si>
    <t>305117036.702694</t>
  </si>
  <si>
    <t>20926763.702694</t>
  </si>
  <si>
    <t>1.1.2.1.1.1.3.2.3._</t>
  </si>
  <si>
    <t>281765352.702694</t>
  </si>
  <si>
    <t>1.1.2.1.1.1.3.3</t>
  </si>
  <si>
    <t>1.1.2.1.1.1.3.3.1</t>
  </si>
  <si>
    <t>305117037.702694</t>
  </si>
  <si>
    <t>22135719.702694</t>
  </si>
  <si>
    <t>1.1.2.1.1.1.3.3.2</t>
  </si>
  <si>
    <t>305117037.737422</t>
  </si>
  <si>
    <t>22135719.737422</t>
  </si>
  <si>
    <t>1.1.2.1.1.1.3.3.3</t>
  </si>
  <si>
    <t>305117037.765921</t>
  </si>
  <si>
    <t>22135719.765921</t>
  </si>
  <si>
    <t>1.1.2.1.1.1.3.3.4</t>
  </si>
  <si>
    <t>305117037.1516981</t>
  </si>
  <si>
    <t>22135719.1516981</t>
  </si>
  <si>
    <t>1.1.2.1.1.1.3.4</t>
  </si>
  <si>
    <t>1.1.2.1.1.1.3.4.1</t>
  </si>
  <si>
    <t>305117038.1516981</t>
  </si>
  <si>
    <t>22135686.1516981</t>
  </si>
  <si>
    <t>1.1.2.1.1.1.3.4.2</t>
  </si>
  <si>
    <t>305117038.765921</t>
  </si>
  <si>
    <t>22135686.765921</t>
  </si>
  <si>
    <t>1.1.2.1.1.1.3.4.3</t>
  </si>
  <si>
    <t>305117038.702694</t>
  </si>
  <si>
    <t>22135686.702694</t>
  </si>
  <si>
    <t>1.1.2.1.1.1.3.5</t>
  </si>
  <si>
    <t>6.3.1.5.1.3.16.6</t>
  </si>
  <si>
    <t>Установка напольного плинтуса / полимерного на клипсах</t>
  </si>
  <si>
    <t>698e74b3-9eaf-4cba-a5bf-f774649b1f9b</t>
  </si>
  <si>
    <t>21c16fa3-637d-446a-9841-324ac9fdd7b7</t>
  </si>
  <si>
    <t>1.1.2.1.1.1.3.5._</t>
  </si>
  <si>
    <t xml:space="preserve">Подвал, 1эт, 2эт, 3эт, 4эт, 5эт. Тип: 4, 5, 13. Плинтус коннелюрный двухсоставной h=100мм
</t>
  </si>
  <si>
    <t>1.1.2.1.1.1.3.5.1</t>
  </si>
  <si>
    <t>Плинтус напольный 65х15 L=2м Дюрополимер Белый матовый, кабель каналов-1</t>
  </si>
  <si>
    <t>305116965.3283955</t>
  </si>
  <si>
    <t>20926736.3283955</t>
  </si>
  <si>
    <t>46c0b78a-8d31-4259-8584-f8d09cbc3e6b</t>
  </si>
  <si>
    <t>1.1.2.1.1.1.3.5.1._</t>
  </si>
  <si>
    <t>281774510.3283955</t>
  </si>
  <si>
    <t>1.1.2.1.1.1.3.5.2</t>
  </si>
  <si>
    <t>Крепление / Клипса пластиковая Солид 7х60х40мм</t>
  </si>
  <si>
    <t>305116965.3285919</t>
  </si>
  <si>
    <t>20926736.3285919</t>
  </si>
  <si>
    <t>06eb2d53-6924-4232-8f5e-cabe7559508b</t>
  </si>
  <si>
    <t>1.1.2.1.1.1.3.5.2._</t>
  </si>
  <si>
    <t>281774510.3285919</t>
  </si>
  <si>
    <t>1.1.2.1.1.1.3.6</t>
  </si>
  <si>
    <t>Подвал, 1эт, 2эт, 3эт, 4эт, 5эт. Тип: 4, 5, 13. Плинтус коннелюрный двухсоставной h=100мм</t>
  </si>
  <si>
    <t>1.1.2.1.1.1.3.6.1</t>
  </si>
  <si>
    <t>305117039.3285919</t>
  </si>
  <si>
    <t>22135717.3285919</t>
  </si>
  <si>
    <t>1.1.2.1.1.1.3.6.2</t>
  </si>
  <si>
    <t>305117039.3283955</t>
  </si>
  <si>
    <t>22135717.3283955</t>
  </si>
  <si>
    <t>1.1.2.1.1.1.3.7</t>
  </si>
  <si>
    <t>6.3.1.5.1.3.18.1</t>
  </si>
  <si>
    <t>Облицовка ступеней СКБ керамогранитной плиткой с затиркой швов</t>
  </si>
  <si>
    <t>ee9b7492-3859-48da-970d-b4cb943f92b7</t>
  </si>
  <si>
    <t>fb6337dc-060b-41bd-b9cb-28c1f9d164ee</t>
  </si>
  <si>
    <t>1.1.2.1.1.1.3.7._</t>
  </si>
  <si>
    <t>Подвал, 1эт, 2эт, 3эт, 4эт, 5эт. Тип:14.</t>
  </si>
  <si>
    <t>1.1.2.1.1.1.3.7.1</t>
  </si>
  <si>
    <t>Ступени с насечками из керамического гранита "Викинг"_/SG605600R/ серый/300х600х11мм</t>
  </si>
  <si>
    <t>305116967.54659</t>
  </si>
  <si>
    <t>20926553.54659</t>
  </si>
  <si>
    <t>80581ba0-af32-4140-9098-fad58c195b0a</t>
  </si>
  <si>
    <t>1.1.2.1.1.1.3.7.1._</t>
  </si>
  <si>
    <t>Ступень цельная из керамогранита под дерево Kerama Marrazzi, Клин Вуд (лестничные марши)</t>
  </si>
  <si>
    <t>276896392.54659</t>
  </si>
  <si>
    <t>1.1.2.1.1.1.3.7.2</t>
  </si>
  <si>
    <t>Клей плиточный/Унифицированный по ПИК-СТАНДАРТ</t>
  </si>
  <si>
    <t>305116967.54630</t>
  </si>
  <si>
    <t>20926553.54630</t>
  </si>
  <si>
    <t>b9d3e1c1-6041-448e-9389-9c537e754b40</t>
  </si>
  <si>
    <t>1.1.2.1.1.1.3.7.2._</t>
  </si>
  <si>
    <t>276896392.54630</t>
  </si>
  <si>
    <t>1.1.2.1.1.1.3.7.3</t>
  </si>
  <si>
    <t>Затирка Цезерит СE33_/13 атрацит</t>
  </si>
  <si>
    <t>305116967.54635</t>
  </si>
  <si>
    <t>20926553.54635</t>
  </si>
  <si>
    <t>255e2be5-9cb1-4b52-84d2-49341281c898</t>
  </si>
  <si>
    <t>1.1.2.1.1.1.3.7.3._</t>
  </si>
  <si>
    <t>276896392.54635</t>
  </si>
  <si>
    <t>1.1.2.1.1.1.3.7.4</t>
  </si>
  <si>
    <t>305116967.1139608</t>
  </si>
  <si>
    <t>20926553.1139608</t>
  </si>
  <si>
    <t>1.1.2.1.1.1.3.7.4._</t>
  </si>
  <si>
    <t>276896392.1139608</t>
  </si>
  <si>
    <t>1.1.2.1.1.1.3.8</t>
  </si>
  <si>
    <t>1.1.2.1.1.1.3.8.1</t>
  </si>
  <si>
    <t>305117040.1139608</t>
  </si>
  <si>
    <t>22135725.1139608</t>
  </si>
  <si>
    <t>1.1.2.1.1.1.3.8.2</t>
  </si>
  <si>
    <t>305117040.54635</t>
  </si>
  <si>
    <t>22135725.54635</t>
  </si>
  <si>
    <t>1.1.2.1.1.1.3.8.3</t>
  </si>
  <si>
    <t>305117040.54630</t>
  </si>
  <si>
    <t>22135725.54630</t>
  </si>
  <si>
    <t>1.1.2.1.1.1.3.8.4</t>
  </si>
  <si>
    <t>305117040.54659</t>
  </si>
  <si>
    <t>22135725.54659</t>
  </si>
  <si>
    <t>1.1.2.1.1.1.3.9</t>
  </si>
  <si>
    <t>6.3.1.5.1.3.19.1</t>
  </si>
  <si>
    <t>Устройство плинтуса из керамогранитной плитки СКБ</t>
  </si>
  <si>
    <t>6c81bc23-a5ef-49af-8f1d-c7658256e887</t>
  </si>
  <si>
    <t>934f3c07-302a-412c-a8b5-2116f1199093</t>
  </si>
  <si>
    <t>1.1.2.1.1.1.3.9._</t>
  </si>
  <si>
    <t>Подвал, 1эт, 2эт, 3эт, 4эт, 5эт. Тип: 1, 6, 12.</t>
  </si>
  <si>
    <t>1.1.2.1.1.1.3.9.1</t>
  </si>
  <si>
    <t>Плиточный клей_ / Унифицированный по ПИК-СТАНДАРТ</t>
  </si>
  <si>
    <t>305116969.1570753</t>
  </si>
  <si>
    <t>20926570.1570753</t>
  </si>
  <si>
    <t>be76b7f0-d821-4213-a0b5-d4d9b08818f1</t>
  </si>
  <si>
    <t>1.1.2.1.1.1.3.9.1._</t>
  </si>
  <si>
    <t>276896394.1570753</t>
  </si>
  <si>
    <t>1.1.2.1.1.1.3.9.2</t>
  </si>
  <si>
    <t>Плинтус из керамического гранита Дайсен_ / светло-серый / SG610300R / 100х600х11мм</t>
  </si>
  <si>
    <t>305116969.54668</t>
  </si>
  <si>
    <t>20926570.54668</t>
  </si>
  <si>
    <t>402dafbe-1652-450d-be4d-61804ef3d391</t>
  </si>
  <si>
    <t>1.1.2.1.1.1.3.9.2._</t>
  </si>
  <si>
    <t>Плинтус керамогранитный в заводском исполнении типа Kerama Marazzi Клин Вуд h=100мм</t>
  </si>
  <si>
    <t>276896394.54668</t>
  </si>
  <si>
    <t>1.1.2.1.1.1.3.9.3</t>
  </si>
  <si>
    <t>305116969.54635</t>
  </si>
  <si>
    <t>20926570.54635</t>
  </si>
  <si>
    <t>1.1.2.1.1.1.3.9.3._</t>
  </si>
  <si>
    <t>276896394.54635</t>
  </si>
  <si>
    <t>1.1.2.1.1.1.3.9.4</t>
  </si>
  <si>
    <t>Грунтовка универсальный ЛАСТИМИН_ / LP-51 А</t>
  </si>
  <si>
    <t>305116969.54634</t>
  </si>
  <si>
    <t>20926570.54634</t>
  </si>
  <si>
    <t>6f806fd0-f20f-4c69-8d99-cee4063fa047</t>
  </si>
  <si>
    <t>1.1.2.1.1.1.3.9.4._</t>
  </si>
  <si>
    <t>276896394.54634</t>
  </si>
  <si>
    <t>1.1.2.1.1.1.3.10</t>
  </si>
  <si>
    <t>1.1.2.1.1.1.3.10._</t>
  </si>
  <si>
    <t>Подвал, 1эт, 2эт, 3эт, 4эт, 5эт. Тип: 2, 8, 15.</t>
  </si>
  <si>
    <t>1.1.2.1.1.1.3.10.1</t>
  </si>
  <si>
    <t>305117041.54634</t>
  </si>
  <si>
    <t>20926571.54634</t>
  </si>
  <si>
    <t>1.1.2.1.1.1.3.10.1._</t>
  </si>
  <si>
    <t>276896443.54634</t>
  </si>
  <si>
    <t>1.1.2.1.1.1.3.10.2</t>
  </si>
  <si>
    <t>305117041.54635</t>
  </si>
  <si>
    <t>20926571.54635</t>
  </si>
  <si>
    <t>1.1.2.1.1.1.3.10.2._</t>
  </si>
  <si>
    <t>276896443.54635</t>
  </si>
  <si>
    <t>1.1.2.1.1.1.3.10.3</t>
  </si>
  <si>
    <t>305117041.54668</t>
  </si>
  <si>
    <t>20926571.54668</t>
  </si>
  <si>
    <t>1.1.2.1.1.1.3.10.3._</t>
  </si>
  <si>
    <t>Плинтус керамогранитный в заводском исполнении типа Kerama Marazzi Ясень Беж h=100мм</t>
  </si>
  <si>
    <t>276896443.54668</t>
  </si>
  <si>
    <t>1.1.2.1.1.1.3.10.4</t>
  </si>
  <si>
    <t>305117041.1570753</t>
  </si>
  <si>
    <t>20926571.1570753</t>
  </si>
  <si>
    <t>1.1.2.1.1.1.3.10.4._</t>
  </si>
  <si>
    <t>276896443.1570753</t>
  </si>
  <si>
    <t>1.1.2.1.1.1.3.11</t>
  </si>
  <si>
    <t>1.1.2.1.1.1.3.11._</t>
  </si>
  <si>
    <t>Подвал, 5эт. Тип: 3, 7, 9, 10, 11.</t>
  </si>
  <si>
    <t>1.1.2.1.1.1.3.11.1</t>
  </si>
  <si>
    <t>305117042.1570753</t>
  </si>
  <si>
    <t>20926623.1570753</t>
  </si>
  <si>
    <t>1.1.2.1.1.1.3.11.1._</t>
  </si>
  <si>
    <t>281774561.1570753</t>
  </si>
  <si>
    <t>1.1.2.1.1.1.3.11.2</t>
  </si>
  <si>
    <t>Плинтус керамогранитный Дайсен SG211200R/3BT 600х95мм светло-серый</t>
  </si>
  <si>
    <t>305117042.1747282</t>
  </si>
  <si>
    <t>20926623.1747282</t>
  </si>
  <si>
    <t>d4275771-32c8-11ee-a102-d1661ac0bb93</t>
  </si>
  <si>
    <t>1.1.2.1.1.1.3.11.2._</t>
  </si>
  <si>
    <t>Плинтус керамогранитный в заводском исполнении типа Estima ST-17 h=70мм</t>
  </si>
  <si>
    <t>281774561.1747282</t>
  </si>
  <si>
    <t>1.1.2.1.1.1.3.11.3</t>
  </si>
  <si>
    <t>305117042.54635</t>
  </si>
  <si>
    <t>20926623.54635</t>
  </si>
  <si>
    <t>1.1.2.1.1.1.3.11.3._</t>
  </si>
  <si>
    <t>281774561.54635</t>
  </si>
  <si>
    <t>1.1.2.1.1.1.3.11.4</t>
  </si>
  <si>
    <t>305117042.54634</t>
  </si>
  <si>
    <t>20926623.54634</t>
  </si>
  <si>
    <t>1.1.2.1.1.1.3.11.4._</t>
  </si>
  <si>
    <t>281774561.54634</t>
  </si>
  <si>
    <t>1.1.2.1.1.1.3.12</t>
  </si>
  <si>
    <t>1.1.2.1.1.1.3.12.1</t>
  </si>
  <si>
    <t>305117043.54634</t>
  </si>
  <si>
    <t>22135704.54634</t>
  </si>
  <si>
    <t>1.1.2.1.1.1.3.12.2</t>
  </si>
  <si>
    <t>305117043.54635</t>
  </si>
  <si>
    <t>22135704.54635</t>
  </si>
  <si>
    <t>1.1.2.1.1.1.3.12.3</t>
  </si>
  <si>
    <t>305117043.54668</t>
  </si>
  <si>
    <t>22135704.54668</t>
  </si>
  <si>
    <t>1.1.2.1.1.1.3.12.4</t>
  </si>
  <si>
    <t>305117043.1570753</t>
  </si>
  <si>
    <t>22135704.1570753</t>
  </si>
  <si>
    <t>1.1.2.1.1.1.3.13</t>
  </si>
  <si>
    <t>1.1.2.1.1.1.3.13.1</t>
  </si>
  <si>
    <t>305117044.1570753</t>
  </si>
  <si>
    <t>22135711.1570753</t>
  </si>
  <si>
    <t>1.1.2.1.1.1.3.13.2</t>
  </si>
  <si>
    <t>305117044.54668</t>
  </si>
  <si>
    <t>22135711.54668</t>
  </si>
  <si>
    <t>1.1.2.1.1.1.3.13.3</t>
  </si>
  <si>
    <t>305117044.54635</t>
  </si>
  <si>
    <t>22135711.54635</t>
  </si>
  <si>
    <t>1.1.2.1.1.1.3.13.4</t>
  </si>
  <si>
    <t>305117044.54634</t>
  </si>
  <si>
    <t>22135711.54634</t>
  </si>
  <si>
    <t>1.1.2.1.1.1.3.14</t>
  </si>
  <si>
    <t>1.1.2.1.1.1.3.14.1</t>
  </si>
  <si>
    <t>305117045.54634</t>
  </si>
  <si>
    <t>22135729.54634</t>
  </si>
  <si>
    <t>1.1.2.1.1.1.3.14.2</t>
  </si>
  <si>
    <t>305117045.54635</t>
  </si>
  <si>
    <t>22135729.54635</t>
  </si>
  <si>
    <t>1.1.2.1.1.1.3.14.3</t>
  </si>
  <si>
    <t>305117045.54668</t>
  </si>
  <si>
    <t>22135729.54668</t>
  </si>
  <si>
    <t>1.1.2.1.1.1.3.14.4</t>
  </si>
  <si>
    <t>305117045.1570753</t>
  </si>
  <si>
    <t>22135729.1570753</t>
  </si>
  <si>
    <t>1.1.2.1.1.1.3.15</t>
  </si>
  <si>
    <t>6.3.1.5.1.3.20.1</t>
  </si>
  <si>
    <t>Устройство покрытия пола СКБ с затиркой и укрытием ДВП / из керамогранитной плитки до 0,2м2/шт</t>
  </si>
  <si>
    <t>081b575c-aa66-4b70-9cd0-d5d89da79337</t>
  </si>
  <si>
    <t>65901f49-c07c-422e-a40b-cfafb585dc26</t>
  </si>
  <si>
    <t>1.1.2.1.1.1.3.15._</t>
  </si>
  <si>
    <t>1.1.2.1.1.1.3.15.1</t>
  </si>
  <si>
    <t>Плитка керамогранитная_ / 130х800х11 мм</t>
  </si>
  <si>
    <t>305116971.1137906</t>
  </si>
  <si>
    <t>20926518.1137906</t>
  </si>
  <si>
    <t>9494a650-87e7-4322-a2a7-6da3a3ab7188</t>
  </si>
  <si>
    <t>1.1.2.1.1.1.3.15.1._</t>
  </si>
  <si>
    <t>Плитка из керамогранита под дерево Kerama Marrazzi, Клин Вуд (200х800 мм)</t>
  </si>
  <si>
    <t>276896396.1137906</t>
  </si>
  <si>
    <t>1.1.2.1.1.1.3.15.2</t>
  </si>
  <si>
    <t>Клей плиточный/ Унифицированный по ПИК-СТАНДАРТ</t>
  </si>
  <si>
    <t>305116971.54632</t>
  </si>
  <si>
    <t>20926518.54632</t>
  </si>
  <si>
    <t>29ab9003-5b43-49a7-8ba2-846628054d7e</t>
  </si>
  <si>
    <t>1.1.2.1.1.1.3.15.2._</t>
  </si>
  <si>
    <t>276896396.54632</t>
  </si>
  <si>
    <t>1.1.2.1.1.1.3.15.3</t>
  </si>
  <si>
    <t>305116971.54635</t>
  </si>
  <si>
    <t>20926518.54635</t>
  </si>
  <si>
    <t>1.1.2.1.1.1.3.15.3._</t>
  </si>
  <si>
    <t>276896396.54635</t>
  </si>
  <si>
    <t>1.1.2.1.1.1.3.15.4</t>
  </si>
  <si>
    <t>305116971.54634</t>
  </si>
  <si>
    <t>20926518.54634</t>
  </si>
  <si>
    <t>1.1.2.1.1.1.3.15.4._</t>
  </si>
  <si>
    <t>276896396.54634</t>
  </si>
  <si>
    <t>1.1.2.1.1.1.3.16</t>
  </si>
  <si>
    <t>1.1.2.1.1.1.3.16._</t>
  </si>
  <si>
    <t xml:space="preserve">Подвал, 1эт, 2эт, 3эт, 4эт, 5эт. Плитка из керамогранита под дерево Kerama Marrazzi, Клин Вуд (лестничные площадки)
</t>
  </si>
  <si>
    <t>1.1.2.1.1.1.3.16.1</t>
  </si>
  <si>
    <t>305117046.54634</t>
  </si>
  <si>
    <t>20926526.54634</t>
  </si>
  <si>
    <t>1.1.2.1.1.1.3.16.1._</t>
  </si>
  <si>
    <t>276896445.54634</t>
  </si>
  <si>
    <t>1.1.2.1.1.1.3.16.2</t>
  </si>
  <si>
    <t>305117046.54635</t>
  </si>
  <si>
    <t>20926526.54635</t>
  </si>
  <si>
    <t>1.1.2.1.1.1.3.16.2._</t>
  </si>
  <si>
    <t>276896445.54635</t>
  </si>
  <si>
    <t>1.1.2.1.1.1.3.16.3</t>
  </si>
  <si>
    <t>305117046.54632</t>
  </si>
  <si>
    <t>20926526.54632</t>
  </si>
  <si>
    <t>1.1.2.1.1.1.3.16.3._</t>
  </si>
  <si>
    <t>276896445.54632</t>
  </si>
  <si>
    <t>1.1.2.1.1.1.3.16.4</t>
  </si>
  <si>
    <t>305117046.1137906</t>
  </si>
  <si>
    <t>20926526.1137906</t>
  </si>
  <si>
    <t>1.1.2.1.1.1.3.16.4._</t>
  </si>
  <si>
    <t>276896445.1137906</t>
  </si>
  <si>
    <t>1.1.2.1.1.1.3.17</t>
  </si>
  <si>
    <t>1.1.2.1.1.1.3.17.1</t>
  </si>
  <si>
    <t>305117047.1137906</t>
  </si>
  <si>
    <t>22135703.1137906</t>
  </si>
  <si>
    <t>1.1.2.1.1.1.3.17.2</t>
  </si>
  <si>
    <t>305117047.54632</t>
  </si>
  <si>
    <t>22135703.54632</t>
  </si>
  <si>
    <t>1.1.2.1.1.1.3.17.3</t>
  </si>
  <si>
    <t>305117047.54635</t>
  </si>
  <si>
    <t>22135703.54635</t>
  </si>
  <si>
    <t>1.1.2.1.1.1.3.17.4</t>
  </si>
  <si>
    <t>305117047.54634</t>
  </si>
  <si>
    <t>22135703.54634</t>
  </si>
  <si>
    <t>1.1.2.1.1.1.3.18</t>
  </si>
  <si>
    <t>Подвал, 1эт, 2эт, 3эт, 4эт, 5эт. Плитка из керамогранита под дерево Kerama Marrazzi, Клин Вуд (лестничные площадки)</t>
  </si>
  <si>
    <t>1.1.2.1.1.1.3.18.1</t>
  </si>
  <si>
    <t>305117048.54634</t>
  </si>
  <si>
    <t>22135692.54634</t>
  </si>
  <si>
    <t>1.1.2.1.1.1.3.18.2</t>
  </si>
  <si>
    <t>305117048.54635</t>
  </si>
  <si>
    <t>22135692.54635</t>
  </si>
  <si>
    <t>1.1.2.1.1.1.3.18.3</t>
  </si>
  <si>
    <t>305117048.54632</t>
  </si>
  <si>
    <t>22135692.54632</t>
  </si>
  <si>
    <t>1.1.2.1.1.1.3.18.4</t>
  </si>
  <si>
    <t>305117048.1137906</t>
  </si>
  <si>
    <t>22135692.1137906</t>
  </si>
  <si>
    <t>1.1.2.1.1.1.3.19</t>
  </si>
  <si>
    <t>6.3.1.5.1.3.20.2</t>
  </si>
  <si>
    <t>Устройство покрытия пола СКБ с затиркой и укрытием ДВП / из керамогранитной плитки от 0,2м2/шт</t>
  </si>
  <si>
    <t>69ce9bf3-5e4c-42a6-9cb7-1bf6547475ea</t>
  </si>
  <si>
    <t>abd27be4-9992-44fb-b098-3b2370fa29b6</t>
  </si>
  <si>
    <t>1.1.2.1.1.1.3.19._</t>
  </si>
  <si>
    <t>1.1.2.1.1.1.3.19.1</t>
  </si>
  <si>
    <t>Плиточный клей_ /  Унифицированный по ПИК-СТАНДАРТ</t>
  </si>
  <si>
    <t>305116972.739258</t>
  </si>
  <si>
    <t>20926527.739258</t>
  </si>
  <si>
    <t>b9d5a438-2a19-468f-b5a2-8648dd1dd258</t>
  </si>
  <si>
    <t>1.1.2.1.1.1.3.19.1._</t>
  </si>
  <si>
    <t>279984991.739258</t>
  </si>
  <si>
    <t>1.1.2.1.1.1.3.19.2</t>
  </si>
  <si>
    <t>Керамический гранит Estima YOUR COLOR_ / YC23 / 600*600*10мм</t>
  </si>
  <si>
    <t>305116972.720734</t>
  </si>
  <si>
    <t>20926527.720734</t>
  </si>
  <si>
    <t>5693df9f-02d9-4a5c-8432-f286d253fb6e</t>
  </si>
  <si>
    <t>1.1.2.1.1.1.3.19.2._</t>
  </si>
  <si>
    <t>Плитка из керамогранита под дерево Kerama Marrazzi Ясень Беж (200х1200 мм)</t>
  </si>
  <si>
    <t>279984991.720734</t>
  </si>
  <si>
    <t>1.1.2.1.1.1.3.19.3</t>
  </si>
  <si>
    <t>305116972.54635</t>
  </si>
  <si>
    <t>20926527.54635</t>
  </si>
  <si>
    <t>1.1.2.1.1.1.3.19.3._</t>
  </si>
  <si>
    <t>279984991.54635</t>
  </si>
  <si>
    <t>1.1.2.1.1.1.3.19.4</t>
  </si>
  <si>
    <t>305116972.54634</t>
  </si>
  <si>
    <t>20926527.54634</t>
  </si>
  <si>
    <t>1.1.2.1.1.1.3.19.4._</t>
  </si>
  <si>
    <t>279984991.54634</t>
  </si>
  <si>
    <t>1.1.2.1.1.1.3.20</t>
  </si>
  <si>
    <t>1.1.2.1.1.1.3.20._</t>
  </si>
  <si>
    <t>1.1.2.1.1.1.3.20.1</t>
  </si>
  <si>
    <t>305117049.54634</t>
  </si>
  <si>
    <t>20926528.54634</t>
  </si>
  <si>
    <t>1.1.2.1.1.1.3.20.1._</t>
  </si>
  <si>
    <t>279985039.54634</t>
  </si>
  <si>
    <t>1.1.2.1.1.1.3.20.2</t>
  </si>
  <si>
    <t>305117049.54635</t>
  </si>
  <si>
    <t>20926528.54635</t>
  </si>
  <si>
    <t>1.1.2.1.1.1.3.20.2._</t>
  </si>
  <si>
    <t>279985039.54635</t>
  </si>
  <si>
    <t>1.1.2.1.1.1.3.20.3</t>
  </si>
  <si>
    <t>305117049.720734</t>
  </si>
  <si>
    <t>20926528.720734</t>
  </si>
  <si>
    <t>1.1.2.1.1.1.3.20.3._</t>
  </si>
  <si>
    <t>Плитка из керамогранита неполированная матовая структурированная Estima ST-17 (600x600 мм)</t>
  </si>
  <si>
    <t>279985039.720734</t>
  </si>
  <si>
    <t>1.1.2.1.1.1.3.20.4</t>
  </si>
  <si>
    <t>305117049.739258</t>
  </si>
  <si>
    <t>20926528.739258</t>
  </si>
  <si>
    <t>1.1.2.1.1.1.3.20.4._</t>
  </si>
  <si>
    <t>279985039.739258</t>
  </si>
  <si>
    <t>1.1.2.1.1.1.3.21</t>
  </si>
  <si>
    <t>1.1.2.1.1.1.3.21.1</t>
  </si>
  <si>
    <t>305117050.739258</t>
  </si>
  <si>
    <t>22135712.739258</t>
  </si>
  <si>
    <t>1.1.2.1.1.1.3.21.2</t>
  </si>
  <si>
    <t>305117050.720734</t>
  </si>
  <si>
    <t>22135712.720734</t>
  </si>
  <si>
    <t>1.1.2.1.1.1.3.21.3</t>
  </si>
  <si>
    <t>305117050.54635</t>
  </si>
  <si>
    <t>22135712.54635</t>
  </si>
  <si>
    <t>1.1.2.1.1.1.3.21.4</t>
  </si>
  <si>
    <t>305117050.54634</t>
  </si>
  <si>
    <t>22135712.54634</t>
  </si>
  <si>
    <t>1.1.2.1.1.1.3.22</t>
  </si>
  <si>
    <t>1.1.2.1.1.1.3.22.1</t>
  </si>
  <si>
    <t>305117051.54634</t>
  </si>
  <si>
    <t>22135730.54634</t>
  </si>
  <si>
    <t>1.1.2.1.1.1.3.22.2</t>
  </si>
  <si>
    <t>305117051.54635</t>
  </si>
  <si>
    <t>22135730.54635</t>
  </si>
  <si>
    <t>1.1.2.1.1.1.3.22.3</t>
  </si>
  <si>
    <t>305117051.720734</t>
  </si>
  <si>
    <t>22135730.720734</t>
  </si>
  <si>
    <t>1.1.2.1.1.1.3.22.4</t>
  </si>
  <si>
    <t>305117051.739258</t>
  </si>
  <si>
    <t>22135730.739258</t>
  </si>
  <si>
    <t>1.1.2.1.1.2</t>
  </si>
  <si>
    <t>6.3.1.5.2</t>
  </si>
  <si>
    <t>Стены</t>
  </si>
  <si>
    <t>1.1.2.1.1.2.1</t>
  </si>
  <si>
    <t>6.3.1.5.2.1</t>
  </si>
  <si>
    <t>Черновые работы по поверхности стен</t>
  </si>
  <si>
    <t>1.1.2.1.1.2.1.1</t>
  </si>
  <si>
    <t>6.3.1.5.2.1.10.4</t>
  </si>
  <si>
    <t>Штукатурка стен цементным, цементно-песчаным раствором с предварительной огрунтовкой / толщ. до 20 мм / высотой от 4,01 до 8 метров</t>
  </si>
  <si>
    <t>Леса применяются отдельной расценкой.</t>
  </si>
  <si>
    <t>56324057-bf2c-4551-8cad-64eee6a69934</t>
  </si>
  <si>
    <t>a8ad6d3b-7d53-43f4-a18f-4f0812fe8c74</t>
  </si>
  <si>
    <t>1.1.2.1.1.2.1.1._</t>
  </si>
  <si>
    <t>Высококачественная цементно-песчаная штукатурка по сетке (согласно АР3 листы 23-28) подвал, 1эт, 2эт, 3эт, 4эт, 5эт.</t>
  </si>
  <si>
    <t>1.1.2.1.1.2.1.1.1</t>
  </si>
  <si>
    <t>Штукатурка цементная</t>
  </si>
  <si>
    <t>305116976.726518</t>
  </si>
  <si>
    <t>20940565.726518</t>
  </si>
  <si>
    <t>6340f993-804d-456a-a0be-3b2094bd37f9</t>
  </si>
  <si>
    <t>1.1.2.1.1.2.1.1.1._</t>
  </si>
  <si>
    <t>276896401.726518</t>
  </si>
  <si>
    <t>1.1.2.1.1.2.1.1.2</t>
  </si>
  <si>
    <t>Сетка штукатурная_/пластиковая/5*5</t>
  </si>
  <si>
    <t>305116976.55050</t>
  </si>
  <si>
    <t>20940565.55050</t>
  </si>
  <si>
    <t>9f181f34-9874-4ea2-b00e-d54dce78f0f0</t>
  </si>
  <si>
    <t>1.1.2.1.1.2.1.1.2._</t>
  </si>
  <si>
    <t>276896401.55050</t>
  </si>
  <si>
    <t>1.1.2.1.1.2.1.1.3</t>
  </si>
  <si>
    <t>Профиль маячковый_/ПМ6</t>
  </si>
  <si>
    <t>305116976.55029</t>
  </si>
  <si>
    <t>20940565.55029</t>
  </si>
  <si>
    <t>b3ba1810-316e-4118-90eb-ce29d5c83076</t>
  </si>
  <si>
    <t>1.1.2.1.1.2.1.1.3._</t>
  </si>
  <si>
    <t>276896401.55029</t>
  </si>
  <si>
    <t>1.1.2.1.1.2.1.1.4</t>
  </si>
  <si>
    <t>305116976.54634</t>
  </si>
  <si>
    <t>20940565.54634</t>
  </si>
  <si>
    <t>1.1.2.1.1.2.1.1.4._</t>
  </si>
  <si>
    <t>276896401.54634</t>
  </si>
  <si>
    <t>1.1.2.1.1.2.1.2</t>
  </si>
  <si>
    <t>1.1.2.1.1.2.1.2.1</t>
  </si>
  <si>
    <t>305117052.54634</t>
  </si>
  <si>
    <t>22135687.54634</t>
  </si>
  <si>
    <t>1.1.2.1.1.2.1.2.2</t>
  </si>
  <si>
    <t>305117052.55029</t>
  </si>
  <si>
    <t>22135687.55029</t>
  </si>
  <si>
    <t>1.1.2.1.1.2.1.2.3</t>
  </si>
  <si>
    <t>305117052.55050</t>
  </si>
  <si>
    <t>22135687.55050</t>
  </si>
  <si>
    <t>1.1.2.1.1.2.1.2.4</t>
  </si>
  <si>
    <t>305117052.726518</t>
  </si>
  <si>
    <t>22135687.726518</t>
  </si>
  <si>
    <t>1.1.2.1.1.2.2</t>
  </si>
  <si>
    <t>6.3.1.5.2.2</t>
  </si>
  <si>
    <t>Чистовые работы по поверхности стен</t>
  </si>
  <si>
    <t>1.1.2.1.1.2.2.1</t>
  </si>
  <si>
    <t>6.3.1.5.2.2.5.2</t>
  </si>
  <si>
    <t>Монтаж стеновых панелей / ПВХ</t>
  </si>
  <si>
    <t>ceaf9f3c-cc6f-438d-b04a-fee052df879a</t>
  </si>
  <si>
    <t>cc38b2b0-78ba-4425-95a0-d4c1d50bec1c</t>
  </si>
  <si>
    <t>1.1.2.1.1.2.2.1._</t>
  </si>
  <si>
    <t>1эт, 2эт, 3эт, 4эт. Тип: 1, 2. HPL-панели Fundermax 0085 FH Weiss, цвет панели: RAL 9010</t>
  </si>
  <si>
    <t>1.1.2.1.1.2.2.1.1</t>
  </si>
  <si>
    <t xml:space="preserve">Панель ПВХ / 2700x375x5 </t>
  </si>
  <si>
    <t>305116979.1504881</t>
  </si>
  <si>
    <t>20927367.1504881</t>
  </si>
  <si>
    <t>a14c45c3-3ac5-4910-86d8-36d4d1fb8b3f</t>
  </si>
  <si>
    <t>1.1.2.1.1.2.2.1.1._</t>
  </si>
  <si>
    <t>276896404.1504881</t>
  </si>
  <si>
    <t>1.1.2.1.1.2.2.2</t>
  </si>
  <si>
    <t>1.1.2.1.1.2.2.2.1</t>
  </si>
  <si>
    <t>305117053.1504881</t>
  </si>
  <si>
    <t>22135682.1504881</t>
  </si>
  <si>
    <t>1.1.2.1.1.2.2.3</t>
  </si>
  <si>
    <t>6.3.1.5.2.2.8.1</t>
  </si>
  <si>
    <t>Лакокрасочные работы СКБ / окраска стен / в 2 слоя</t>
  </si>
  <si>
    <t>4c24ca93-b856-4913-a3fe-bc768660074c</t>
  </si>
  <si>
    <t>923030ab-0b8a-4717-9906-e76b6d6d03d6</t>
  </si>
  <si>
    <t>1.1.2.1.1.2.2.3._</t>
  </si>
  <si>
    <t xml:space="preserve">Подвал, 1эт, 2эт, 3эт, 4эт, 5эт. Тип: 2, 6. Подвал=1879,60; 1эт.=1200,80; 2эт.=2574,3+32,8; 3эт.=2128,30;  4эт.=2202+14;  5эт.=1818,6
</t>
  </si>
  <si>
    <t>1.1.2.1.1.2.2.3.1</t>
  </si>
  <si>
    <t>305116981.54634</t>
  </si>
  <si>
    <t>20927097.54634</t>
  </si>
  <si>
    <t>1.1.2.1.1.2.2.3.1._</t>
  </si>
  <si>
    <t>281765319.54634</t>
  </si>
  <si>
    <t>1.1.2.1.1.2.2.3.2</t>
  </si>
  <si>
    <t>Акрилатная краска / 6021</t>
  </si>
  <si>
    <t>305116981.1506605</t>
  </si>
  <si>
    <t>20927097.1506605</t>
  </si>
  <si>
    <t>a5282e70-eaba-4d18-8e8f-dbd99c5b2a2b</t>
  </si>
  <si>
    <t>1.1.2.1.1.2.2.3.2._</t>
  </si>
  <si>
    <t>Высококачественная акрилатная матовая моющаяся краска, цвет: RAL 9010 (класс пожароопасности - КМ1; влажное истирание - класс 1)</t>
  </si>
  <si>
    <t>281765319.1506605</t>
  </si>
  <si>
    <t>1.1.2.1.1.2.2.4</t>
  </si>
  <si>
    <t>1.1.2.1.1.2.2.4._</t>
  </si>
  <si>
    <t>Подвал, 1эт, 2эт, 3эт, 4эт, 5эт. Тип: 3. Подвал=354,2; 1эт.=13,2+1363,7; 2эт.=332,6; 3эт.=323,5;  4эт.=419,7;  5эт.=227,1</t>
  </si>
  <si>
    <t>1.1.2.1.1.2.2.4.1</t>
  </si>
  <si>
    <t>305117054.1506605</t>
  </si>
  <si>
    <t>20927144.1506605</t>
  </si>
  <si>
    <t>1.1.2.1.1.2.2.4.1._</t>
  </si>
  <si>
    <t>Высококачественная силикатная матовая моющаяся краска, цвет: RAL 9010 (класс пожароопасности - КМ0; влажное истирание - класс 1)</t>
  </si>
  <si>
    <t>281765357.1506605</t>
  </si>
  <si>
    <t>1.1.2.1.1.2.2.4.2</t>
  </si>
  <si>
    <t>305117054.54634</t>
  </si>
  <si>
    <t>20927144.54634</t>
  </si>
  <si>
    <t>1.1.2.1.1.2.2.4.2._</t>
  </si>
  <si>
    <t>281765357.54634</t>
  </si>
  <si>
    <t>1.1.2.1.1.2.2.5</t>
  </si>
  <si>
    <t>1.1.2.1.1.2.2.5.1</t>
  </si>
  <si>
    <t>305117055.54634</t>
  </si>
  <si>
    <t>22135710.54634</t>
  </si>
  <si>
    <t>1.1.2.1.1.2.2.5.2</t>
  </si>
  <si>
    <t>305117055.1506605</t>
  </si>
  <si>
    <t>22135710.1506605</t>
  </si>
  <si>
    <t>1.1.2.1.1.2.2.6</t>
  </si>
  <si>
    <t>1.1.2.1.1.2.2.6.1</t>
  </si>
  <si>
    <t>305117056.1506605</t>
  </si>
  <si>
    <t>22135713.1506605</t>
  </si>
  <si>
    <t>1.1.2.1.1.2.2.6.2</t>
  </si>
  <si>
    <t>305117056.54634</t>
  </si>
  <si>
    <t>22135713.54634</t>
  </si>
  <si>
    <t>1.1.2.1.1.2.2.7</t>
  </si>
  <si>
    <t>6.3.1.5.2.2.9.1</t>
  </si>
  <si>
    <t>Облицовка поверхности стен СКБ с затиркой швов / керамической, керамогранитной плиткой до 0,2м2/шт</t>
  </si>
  <si>
    <t>8d513ad3-1fbc-4730-be59-389995ce51d8</t>
  </si>
  <si>
    <t>a0ecae9b-7c0c-412d-a794-953bf76fc42d</t>
  </si>
  <si>
    <t>1.1.2.1.1.2.2.7._</t>
  </si>
  <si>
    <t>Подвал, 1эт, 2эт, 3эт, 4эт, 5эт. Тип: 4, 5.</t>
  </si>
  <si>
    <t>1.1.2.1.1.2.2.7.1</t>
  </si>
  <si>
    <t>Затирка Цезерит СE33_/04 серебристо-серый</t>
  </si>
  <si>
    <t>305116983.54637</t>
  </si>
  <si>
    <t>20927264.54637</t>
  </si>
  <si>
    <t>c293221b-d93c-4424-8200-e1b99b7167e3</t>
  </si>
  <si>
    <t>1.1.2.1.1.2.2.7.1._</t>
  </si>
  <si>
    <t>279990425.54637</t>
  </si>
  <si>
    <t>1.1.2.1.1.2.2.7.2</t>
  </si>
  <si>
    <t>305116983.737422</t>
  </si>
  <si>
    <t>20927264.737422</t>
  </si>
  <si>
    <t>1.1.2.1.1.2.2.7.2._</t>
  </si>
  <si>
    <t>279990425.737422</t>
  </si>
  <si>
    <t>1.1.2.1.1.2.2.7.3</t>
  </si>
  <si>
    <t>305116983.739258</t>
  </si>
  <si>
    <t>20927264.739258</t>
  </si>
  <si>
    <t>1.1.2.1.1.2.2.7.3._</t>
  </si>
  <si>
    <t>279990425.739258</t>
  </si>
  <si>
    <t>1.1.2.1.1.2.2.7.4</t>
  </si>
  <si>
    <t>Керамический гранит Kerama marazzi_ / Синий /  SG1547N /  200х200 мм</t>
  </si>
  <si>
    <t>305116983.1570533</t>
  </si>
  <si>
    <t>20927264.1570533</t>
  </si>
  <si>
    <t>a620a03f-7faf-4c11-affe-45d2fae0c5fb</t>
  </si>
  <si>
    <t>1.1.2.1.1.2.2.7.4._</t>
  </si>
  <si>
    <t>Керамическая плитка Kerama Marazzi, 7071Т Городские цветы; цвет: белый, матовый; размер: 200х500</t>
  </si>
  <si>
    <t>279990425.1570533</t>
  </si>
  <si>
    <t>1.1.2.1.1.2.2.8</t>
  </si>
  <si>
    <t>1.1.2.1.1.2.2.8.1</t>
  </si>
  <si>
    <t>305117057.1570533</t>
  </si>
  <si>
    <t>22135718.1570533</t>
  </si>
  <si>
    <t>1.1.2.1.1.2.2.8.2</t>
  </si>
  <si>
    <t>305117057.739258</t>
  </si>
  <si>
    <t>22135718.739258</t>
  </si>
  <si>
    <t>1.1.2.1.1.2.2.8.3</t>
  </si>
  <si>
    <t>305117057.737422</t>
  </si>
  <si>
    <t>22135718.737422</t>
  </si>
  <si>
    <t>1.1.2.1.1.2.2.8.4</t>
  </si>
  <si>
    <t>305117057.54637</t>
  </si>
  <si>
    <t>22135718.54637</t>
  </si>
  <si>
    <t>1.1.2.1.1.3</t>
  </si>
  <si>
    <t>6.3.1.5.3</t>
  </si>
  <si>
    <t>Потолки</t>
  </si>
  <si>
    <t>1.1.2.1.1.3.1</t>
  </si>
  <si>
    <t>6.3.1.5.3.1</t>
  </si>
  <si>
    <t>Черновые работы по поверхности потолков</t>
  </si>
  <si>
    <t>1.1.2.1.1.3.1.1</t>
  </si>
  <si>
    <t>6.3.1.5.3.1.2.1</t>
  </si>
  <si>
    <t>Штукатурка потолка сухими смесями с установкой маяков с предварительной огрунтовкой поверхности / толщ. от 6,5 мм до 10 мм</t>
  </si>
  <si>
    <t>e7dc8530-ab98-468a-abcd-e3dc1d41bff6</t>
  </si>
  <si>
    <t>bcd78b81-9422-406f-99c8-9674dfc13ff0</t>
  </si>
  <si>
    <t>1.1.2.1.1.3.1.1._</t>
  </si>
  <si>
    <t>Подвал, 1эт, 2эт, 3эт, 4эт, 5эт. Тип потолка: 5, 6.</t>
  </si>
  <si>
    <t>1.1.2.1.1.3.1.1.1</t>
  </si>
  <si>
    <t>305116987.726518</t>
  </si>
  <si>
    <t>20944432.726518</t>
  </si>
  <si>
    <t>1.1.2.1.1.3.1.1.1._</t>
  </si>
  <si>
    <t>276896415.726518</t>
  </si>
  <si>
    <t>1.1.2.1.1.3.1.1.2</t>
  </si>
  <si>
    <t>305116987.55050</t>
  </si>
  <si>
    <t>20944432.55050</t>
  </si>
  <si>
    <t>1.1.2.1.1.3.1.1.2._</t>
  </si>
  <si>
    <t>276896415.55050</t>
  </si>
  <si>
    <t>1.1.2.1.1.3.1.1.3</t>
  </si>
  <si>
    <t>305116987.55029</t>
  </si>
  <si>
    <t>20944432.55029</t>
  </si>
  <si>
    <t>1.1.2.1.1.3.1.1.3._</t>
  </si>
  <si>
    <t>276896415.55029</t>
  </si>
  <si>
    <t>1.1.2.1.1.3.1.1.4</t>
  </si>
  <si>
    <t>305116987.1139608</t>
  </si>
  <si>
    <t>20944432.1139608</t>
  </si>
  <si>
    <t>1.1.2.1.1.3.1.1.4._</t>
  </si>
  <si>
    <t>276896415.1139608</t>
  </si>
  <si>
    <t>1.1.2.1.1.3.1.2</t>
  </si>
  <si>
    <t>1.1.2.1.1.3.1.2.1</t>
  </si>
  <si>
    <t>305117058.1139608</t>
  </si>
  <si>
    <t>22135700.1139608</t>
  </si>
  <si>
    <t>1.1.2.1.1.3.1.2.2</t>
  </si>
  <si>
    <t>305117058.55029</t>
  </si>
  <si>
    <t>22135700.55029</t>
  </si>
  <si>
    <t>1.1.2.1.1.3.1.2.3</t>
  </si>
  <si>
    <t>305117058.55050</t>
  </si>
  <si>
    <t>22135700.55050</t>
  </si>
  <si>
    <t>1.1.2.1.1.3.1.2.4</t>
  </si>
  <si>
    <t>305117058.726518</t>
  </si>
  <si>
    <t>22135700.726518</t>
  </si>
  <si>
    <t>1.1.2.1.1.3.1.3</t>
  </si>
  <si>
    <t>6.3.1.5.3.1.6.6</t>
  </si>
  <si>
    <t>Подготовка поверхности СКБ / потолка / по штукатурке / 2мм</t>
  </si>
  <si>
    <t>42d08cea-07ba-4dbe-a8b0-b5e7c8673109</t>
  </si>
  <si>
    <t>7a2a024b-7aa6-4bee-9d60-f94b39f3d674</t>
  </si>
  <si>
    <t>1.1.2.1.1.3.1.3._</t>
  </si>
  <si>
    <t>1.1.2.1.1.3.1.3.1</t>
  </si>
  <si>
    <t>Шпатлевка гипсовая_ / белая / Унифицированная по ПИК-СТАНДАРТ, 30кг (BIM)</t>
  </si>
  <si>
    <t>305116989.1570750</t>
  </si>
  <si>
    <t>20944431.1570750</t>
  </si>
  <si>
    <t>3254b4be-ac53-4a29-ad23-972be75bc24b</t>
  </si>
  <si>
    <t>1.1.2.1.1.3.1.3.1._</t>
  </si>
  <si>
    <t>276896418.1570750</t>
  </si>
  <si>
    <t>1.1.2.1.1.3.1.3.2</t>
  </si>
  <si>
    <t>305116989.1139608</t>
  </si>
  <si>
    <t>20944431.1139608</t>
  </si>
  <si>
    <t>1.1.2.1.1.3.1.3.2._</t>
  </si>
  <si>
    <t>276896418.1139608</t>
  </si>
  <si>
    <t>1.1.2.1.1.3.1.4</t>
  </si>
  <si>
    <t>1.1.2.1.1.3.1.4.1</t>
  </si>
  <si>
    <t>305117059.1139608</t>
  </si>
  <si>
    <t>22135699.1139608</t>
  </si>
  <si>
    <t>1.1.2.1.1.3.1.4.2</t>
  </si>
  <si>
    <t>305117059.1570750</t>
  </si>
  <si>
    <t>22135699.1570750</t>
  </si>
  <si>
    <t>1.1.2.1.1.3.2</t>
  </si>
  <si>
    <t>6.3.1.5.3.2</t>
  </si>
  <si>
    <t>Чистовые работы по поверхности потолков</t>
  </si>
  <si>
    <t>1.1.2.1.1.3.2.1</t>
  </si>
  <si>
    <t>6.3.1.5.3.2.3.2</t>
  </si>
  <si>
    <t>Лакокрасочные работы СКБ / окраска потолков / в 2 слоя</t>
  </si>
  <si>
    <t>55dcd11a-c570-4894-be4e-3c3874402761</t>
  </si>
  <si>
    <t>3997b616-bcf5-4c13-ae76-75afa96c846f</t>
  </si>
  <si>
    <t>1.1.2.1.1.3.2.1._</t>
  </si>
  <si>
    <t>Подвал, 1эт, 2эт, 3эт, 4эт, 5эт. Тип потолка: 1.</t>
  </si>
  <si>
    <t>1.1.2.1.1.3.2.1.1</t>
  </si>
  <si>
    <t>Краска акриловая  / Сeresit CN 52 / 2 слоя  / 0,4 кг на м2</t>
  </si>
  <si>
    <t>305116992.1277544</t>
  </si>
  <si>
    <t>20944429.1277544</t>
  </si>
  <si>
    <t>5a7ad39b-7d6c-4727-b011-1ce7bc7160ab</t>
  </si>
  <si>
    <t>1.1.2.1.1.3.2.1.1._</t>
  </si>
  <si>
    <t>Окраска высококачественной акрилатной матовой краской, цвет: RAL 9010 (класс пожароопасности - КМ1; влажное истирание - класс 1) Стоимость ANTEGA Строитель НГ белая, 25 кг составляет 4580,00. 1кг стоит 4580/25=183,20 руб.</t>
  </si>
  <si>
    <t>281765330.1277544</t>
  </si>
  <si>
    <t>1.1.2.1.1.3.2.1.2</t>
  </si>
  <si>
    <t>305116992.54634</t>
  </si>
  <si>
    <t>20944429.54634</t>
  </si>
  <si>
    <t>1.1.2.1.1.3.2.1.2._</t>
  </si>
  <si>
    <t>281765330.54634</t>
  </si>
  <si>
    <t>1.1.2.1.1.3.2.2</t>
  </si>
  <si>
    <t>1.1.2.1.1.3.2.2._</t>
  </si>
  <si>
    <t>Подвал, 1эт, 2эт, 3эт, 4эт, 5эт. Тип потолка: 2.</t>
  </si>
  <si>
    <t>1.1.2.1.1.3.2.2.1</t>
  </si>
  <si>
    <t>305117060.54634</t>
  </si>
  <si>
    <t>20944430.54634</t>
  </si>
  <si>
    <t>1.1.2.1.1.3.2.2.1._</t>
  </si>
  <si>
    <t>281765358.54634</t>
  </si>
  <si>
    <t>1.1.2.1.1.3.2.2.2</t>
  </si>
  <si>
    <t>305117060.1277544</t>
  </si>
  <si>
    <t>20944430.1277544</t>
  </si>
  <si>
    <t>1.1.2.1.1.3.2.2.2._</t>
  </si>
  <si>
    <t>Окраска высококачественной силикатной краской, цвет: RAL 9010 (класс пожароопасности - КМ0; влажное истирание - класс 1)</t>
  </si>
  <si>
    <t>281765358.1277544</t>
  </si>
  <si>
    <t>1.1.2.1.1.3.2.3</t>
  </si>
  <si>
    <t>1.1.2.1.1.3.2.3._</t>
  </si>
  <si>
    <t>Подвал, 1эт, 2эт, 3эт, 4эт, 5эт. Тип потолка: 5.</t>
  </si>
  <si>
    <t>1.1.2.1.1.3.2.3.1</t>
  </si>
  <si>
    <t>305117061.1277544</t>
  </si>
  <si>
    <t>20944433.1277544</t>
  </si>
  <si>
    <t>1.1.2.1.1.3.2.3.1._</t>
  </si>
  <si>
    <t>Высококачественная силикатая краска, цвет: RAL 9010 (класс пожароопасности - КМ0; влажное истирание - класс 1)</t>
  </si>
  <si>
    <t>281765359.1277544</t>
  </si>
  <si>
    <t>1.1.2.1.1.3.2.3.2</t>
  </si>
  <si>
    <t>305117061.54634</t>
  </si>
  <si>
    <t>20944433.54634</t>
  </si>
  <si>
    <t>1.1.2.1.1.3.2.3.2._</t>
  </si>
  <si>
    <t>281765359.54634</t>
  </si>
  <si>
    <t>1.1.2.1.1.3.2.4</t>
  </si>
  <si>
    <t>1.1.2.1.1.3.2.4._</t>
  </si>
  <si>
    <t>Подвал, 1эт, 2эт, 3эт, 4эт, 5эт. Тип потолка: 6.</t>
  </si>
  <si>
    <t>1.1.2.1.1.3.2.4.1</t>
  </si>
  <si>
    <t>305117062.54634</t>
  </si>
  <si>
    <t>20944434.54634</t>
  </si>
  <si>
    <t>1.1.2.1.1.3.2.4.1._</t>
  </si>
  <si>
    <t>281765360.54634</t>
  </si>
  <si>
    <t>1.1.2.1.1.3.2.4.2</t>
  </si>
  <si>
    <t>305117062.1277544</t>
  </si>
  <si>
    <t>20944434.1277544</t>
  </si>
  <si>
    <t>1.1.2.1.1.3.2.4.2._</t>
  </si>
  <si>
    <t>Высококачественная акрилатная краска, цвет: RAL 7016 (класс пожароопасности - КМ1; влажное истирание - класс 1)</t>
  </si>
  <si>
    <t>281765360.1277544</t>
  </si>
  <si>
    <t>1.1.2.1.1.3.2.5</t>
  </si>
  <si>
    <t>1.1.2.1.1.3.2.5.1</t>
  </si>
  <si>
    <t>305117063.1277544</t>
  </si>
  <si>
    <t>22135694.1277544</t>
  </si>
  <si>
    <t>1.1.2.1.1.3.2.5.2</t>
  </si>
  <si>
    <t>305117063.54634</t>
  </si>
  <si>
    <t>22135694.54634</t>
  </si>
  <si>
    <t>1.1.2.1.1.3.2.6</t>
  </si>
  <si>
    <t>1.1.2.1.1.3.2.6.1</t>
  </si>
  <si>
    <t>305117064.54634</t>
  </si>
  <si>
    <t>22135696.54634</t>
  </si>
  <si>
    <t>1.1.2.1.1.3.2.6.2</t>
  </si>
  <si>
    <t>305117064.1277544</t>
  </si>
  <si>
    <t>22135696.1277544</t>
  </si>
  <si>
    <t>1.1.2.1.1.3.2.7</t>
  </si>
  <si>
    <t>1.1.2.1.1.3.2.7.1</t>
  </si>
  <si>
    <t>305117065.1277544</t>
  </si>
  <si>
    <t>22135701.1277544</t>
  </si>
  <si>
    <t>1.1.2.1.1.3.2.7.2</t>
  </si>
  <si>
    <t>305117065.54634</t>
  </si>
  <si>
    <t>22135701.54634</t>
  </si>
  <si>
    <t>1.1.2.1.1.3.2.8</t>
  </si>
  <si>
    <t>1.1.2.1.1.3.2.8.1</t>
  </si>
  <si>
    <t>305117066.54634</t>
  </si>
  <si>
    <t>22135702.54634</t>
  </si>
  <si>
    <t>1.1.2.1.1.3.2.8.2</t>
  </si>
  <si>
    <t>305117066.1277544</t>
  </si>
  <si>
    <t>22135702.1277544</t>
  </si>
  <si>
    <t>1.1.2.1.1.4</t>
  </si>
  <si>
    <t>6.3.1.5.4</t>
  </si>
  <si>
    <t>Монтаж потолочных конструкций</t>
  </si>
  <si>
    <t>1.1.2.1.1.4.1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</si>
  <si>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</si>
  <si>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</si>
  <si>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</si>
  <si>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</si>
  <si>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1.1.2.1.1.4.1._</t>
  </si>
  <si>
    <t xml:space="preserve">Подвал, 1эт, 2эт, 3эт, 4эт, 5эт. Тип потолка: 3. Металлические потолочные панели системы Clip-IN типа Armstrong ClipIN Bioguard, размер кассет: 600х1200 мм, цвет: RAL 9010
</t>
  </si>
  <si>
    <t>1.1.2.1.1.4.1.1</t>
  </si>
  <si>
    <t>Подвесные акустические панели / Белый Frost / Ecophon Solo Baffle  / 1200х600х40 мм</t>
  </si>
  <si>
    <t>305116995.771980</t>
  </si>
  <si>
    <t>20953806.771980</t>
  </si>
  <si>
    <t>8c133341-6867-4eb3-aeed-d36d4f4ac2f0</t>
  </si>
  <si>
    <t>1.1.2.1.1.4.1.1._</t>
  </si>
  <si>
    <t>276896425.771980</t>
  </si>
  <si>
    <t>1.1.2.1.1.4.2</t>
  </si>
  <si>
    <t>1.1.2.1.1.4.2._</t>
  </si>
  <si>
    <t>Подвал, 2эт, 3эт, 4эт, 5эт. Тип потолка: 9. Панно из кубообразных потолочных реек из оцинкованной стали типа Tokay Cube Rechteck Rohr С30/50, цвет: имитация текстуры дерева, "медовый" типа Клин Вуд</t>
  </si>
  <si>
    <t>1.1.2.1.1.4.2.1</t>
  </si>
  <si>
    <t>Реечный потолок_ / Металлический</t>
  </si>
  <si>
    <t>305117067.715461</t>
  </si>
  <si>
    <t>20953807.715461</t>
  </si>
  <si>
    <t>10b4c8b2-e44c-4d73-8a2f-cd56f0c6cf37</t>
  </si>
  <si>
    <t>1.1.2.1.1.4.2.1._</t>
  </si>
  <si>
    <t>278588554.715461</t>
  </si>
  <si>
    <t>1.1.2.1.1.4.3</t>
  </si>
  <si>
    <t>1.1.2.1.1.4.3.1</t>
  </si>
  <si>
    <t>305117068.771980</t>
  </si>
  <si>
    <t>22135697.771980</t>
  </si>
  <si>
    <t>1.1.2.1.1.4.4</t>
  </si>
  <si>
    <t>1.1.2.1.1.4.4.1</t>
  </si>
  <si>
    <t>305117069.715461</t>
  </si>
  <si>
    <t>22135727.715461</t>
  </si>
  <si>
    <t>1.1.2.1.1.4.5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</si>
  <si>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</si>
  <si>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</si>
  <si>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</si>
  <si>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</si>
  <si>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1.1.2.1.1.4.5._</t>
  </si>
  <si>
    <t>Подвал, 1эт, 2эт, 3эт, 4эт, 5эт. Тип потолка: 1-4.</t>
  </si>
  <si>
    <t>1.1.2.1.1.4.6</t>
  </si>
  <si>
    <t>1.1.2.1.1.4.7</t>
  </si>
  <si>
    <t>6.3.1.5.4.4.2</t>
  </si>
  <si>
    <t>Монтаж подвесного потолка СКБ / из ГКЛ в 1 слой с применением профиля ПП</t>
  </si>
  <si>
    <t>2958f052-386d-4488-b826-0762b112545c</t>
  </si>
  <si>
    <t>3f978f2b-872c-42ab-be18-f6c72259b319</t>
  </si>
  <si>
    <t>1.1.2.1.1.4.7._</t>
  </si>
  <si>
    <t>Подвал, 1эт, 2эт, 3эт, 4эт, 5эт. Тип потолка: 1. Подвесной потолок ГКЛ Кнауф-лист- 1 слой, толщина 12,5 мм на металлическом каркасе.</t>
  </si>
  <si>
    <t>1.1.2.1.1.4.7.1</t>
  </si>
  <si>
    <t>Шуруп со сверлом_/3,5*11</t>
  </si>
  <si>
    <t>305116999.54821</t>
  </si>
  <si>
    <t>20958867.54821</t>
  </si>
  <si>
    <t>438f03b8-0245-4746-af3b-94d943760b3b</t>
  </si>
  <si>
    <t>1.1.2.1.1.4.7.1._</t>
  </si>
  <si>
    <t>281774544.54821</t>
  </si>
  <si>
    <t>1.1.2.1.1.4.7.2</t>
  </si>
  <si>
    <t>Шпаклевка д/заделки швов, ШОВСИЛК_/Т33</t>
  </si>
  <si>
    <t>305116999.54624</t>
  </si>
  <si>
    <t>20958867.54624</t>
  </si>
  <si>
    <t>7b96503e-5889-4b88-b7f6-580caaa662ae</t>
  </si>
  <si>
    <t>1.1.2.1.1.4.7.2._</t>
  </si>
  <si>
    <t>281774544.54624</t>
  </si>
  <si>
    <t>1.1.2.1.1.4.7.3</t>
  </si>
  <si>
    <t>Удлинитель профилей_/потолочный/60*27</t>
  </si>
  <si>
    <t>305116999.54575</t>
  </si>
  <si>
    <t>20958867.54575</t>
  </si>
  <si>
    <t>46cc4ab9-5306-44b0-b02d-73ca24dc456b</t>
  </si>
  <si>
    <t>1.1.2.1.1.4.7.3._</t>
  </si>
  <si>
    <t>281774544.54575</t>
  </si>
  <si>
    <t>1.1.2.1.1.4.7.4</t>
  </si>
  <si>
    <t>Соединитель профилей одноуровневый_/потолочный/60*27</t>
  </si>
  <si>
    <t>305116999.54576</t>
  </si>
  <si>
    <t>20958867.54576</t>
  </si>
  <si>
    <t>d396c343-40ec-430e-b651-cf8e8a10f274</t>
  </si>
  <si>
    <t>1.1.2.1.1.4.7.4._</t>
  </si>
  <si>
    <t>281774544.54576</t>
  </si>
  <si>
    <t>1.1.2.1.1.4.7.5</t>
  </si>
  <si>
    <t>Профиль_/направляющий/28*27*0,40/3м</t>
  </si>
  <si>
    <t>305116999.54569</t>
  </si>
  <si>
    <t>20958867.54569</t>
  </si>
  <si>
    <t>34b4edce-5006-4616-be2f-9d47724dc09a</t>
  </si>
  <si>
    <t>1.1.2.1.1.4.7.5._</t>
  </si>
  <si>
    <t>281774544.54569</t>
  </si>
  <si>
    <t>1.1.2.1.1.4.7.6</t>
  </si>
  <si>
    <t>Профиль_/потолочный/60*27*0,40/3м</t>
  </si>
  <si>
    <t>305116999.54568</t>
  </si>
  <si>
    <t>20958867.54568</t>
  </si>
  <si>
    <t>de448100-a03f-42fb-b903-fa1d0845e34a</t>
  </si>
  <si>
    <t>1.1.2.1.1.4.7.6._</t>
  </si>
  <si>
    <t>281774544.54568</t>
  </si>
  <si>
    <t>1.1.2.1.1.4.7.7</t>
  </si>
  <si>
    <t>Лента Дихтунгсбанд_/50мм</t>
  </si>
  <si>
    <t>305116999.55042</t>
  </si>
  <si>
    <t>20958867.55042</t>
  </si>
  <si>
    <t>db776908-a7ed-4efe-a1e0-14c0d3badf1f</t>
  </si>
  <si>
    <t>1.1.2.1.1.4.7.7._</t>
  </si>
  <si>
    <t>281774544.55042</t>
  </si>
  <si>
    <t>1.1.2.1.1.4.7.8</t>
  </si>
  <si>
    <t>Лента армирующая ( серпянка)_/50мм</t>
  </si>
  <si>
    <t>305116999.55038</t>
  </si>
  <si>
    <t>20958867.55038</t>
  </si>
  <si>
    <t>ef366d6b-1118-416c-acc5-430ee111e823</t>
  </si>
  <si>
    <t>1.1.2.1.1.4.7.8._</t>
  </si>
  <si>
    <t>281774544.55038</t>
  </si>
  <si>
    <t>1.1.2.1.1.4.7.9</t>
  </si>
  <si>
    <t>Гипсовые строительные плиты_ / влагостойкий / 12,5*1200*2500</t>
  </si>
  <si>
    <t>305116999.54553</t>
  </si>
  <si>
    <t>20958867.54553</t>
  </si>
  <si>
    <t>efad23af-fbbd-4322-a1b7-0c398c24e336</t>
  </si>
  <si>
    <t>1.1.2.1.1.4.7.9._</t>
  </si>
  <si>
    <t>281774544.54553</t>
  </si>
  <si>
    <t>1.1.2.1.1.4.7.10</t>
  </si>
  <si>
    <t>Анкер-клин_/6*40</t>
  </si>
  <si>
    <t>305116999.54828</t>
  </si>
  <si>
    <t>20958867.54828</t>
  </si>
  <si>
    <t>d1d11d59-b5f9-4bc0-894f-4c016002bf47</t>
  </si>
  <si>
    <t>1.1.2.1.1.4.7.10._</t>
  </si>
  <si>
    <t>281774544.54828</t>
  </si>
  <si>
    <t>1.1.2.1.1.4.8</t>
  </si>
  <si>
    <t>1.1.2.1.1.4.8._</t>
  </si>
  <si>
    <t>1эт. Тип потолка: 2. Подвесной потолок ГКЛО Кнауф-лист - 1 слой, толщина 12,5 мм на металлическом каркасе.</t>
  </si>
  <si>
    <t>1.1.2.1.1.4.8.1</t>
  </si>
  <si>
    <t>305117071.54828</t>
  </si>
  <si>
    <t>20958866.54828</t>
  </si>
  <si>
    <t>1.1.2.1.1.4.8.1._</t>
  </si>
  <si>
    <t>281774569.54828</t>
  </si>
  <si>
    <t>1.1.2.1.1.4.8.2</t>
  </si>
  <si>
    <t>305117071.54552</t>
  </si>
  <si>
    <t>20958866.54552</t>
  </si>
  <si>
    <t>1.1.2.1.1.4.8.2._</t>
  </si>
  <si>
    <t>281774569.54552</t>
  </si>
  <si>
    <t>1.1.2.1.1.4.8.3</t>
  </si>
  <si>
    <t>305117071.55038</t>
  </si>
  <si>
    <t>20958866.55038</t>
  </si>
  <si>
    <t>1.1.2.1.1.4.8.3._</t>
  </si>
  <si>
    <t>281774569.55038</t>
  </si>
  <si>
    <t>1.1.2.1.1.4.8.4</t>
  </si>
  <si>
    <t>305117071.55042</t>
  </si>
  <si>
    <t>20958866.55042</t>
  </si>
  <si>
    <t>1.1.2.1.1.4.8.4._</t>
  </si>
  <si>
    <t>281774569.55042</t>
  </si>
  <si>
    <t>1.1.2.1.1.4.8.5</t>
  </si>
  <si>
    <t>305117071.54569</t>
  </si>
  <si>
    <t>20958866.54569</t>
  </si>
  <si>
    <t>1.1.2.1.1.4.8.5._</t>
  </si>
  <si>
    <t>281774569.54569</t>
  </si>
  <si>
    <t>1.1.2.1.1.4.8.6</t>
  </si>
  <si>
    <t>305117071.54568</t>
  </si>
  <si>
    <t>20958866.54568</t>
  </si>
  <si>
    <t>1.1.2.1.1.4.8.6._</t>
  </si>
  <si>
    <t>281774569.54568</t>
  </si>
  <si>
    <t>1.1.2.1.1.4.8.7</t>
  </si>
  <si>
    <t>305117071.54576</t>
  </si>
  <si>
    <t>20958866.54576</t>
  </si>
  <si>
    <t>1.1.2.1.1.4.8.7._</t>
  </si>
  <si>
    <t>281774569.54576</t>
  </si>
  <si>
    <t>1.1.2.1.1.4.8.8</t>
  </si>
  <si>
    <t>305117071.54575</t>
  </si>
  <si>
    <t>20958866.54575</t>
  </si>
  <si>
    <t>1.1.2.1.1.4.8.8._</t>
  </si>
  <si>
    <t>281774569.54575</t>
  </si>
  <si>
    <t>1.1.2.1.1.4.8.9</t>
  </si>
  <si>
    <t>305117071.54624</t>
  </si>
  <si>
    <t>20958866.54624</t>
  </si>
  <si>
    <t>1.1.2.1.1.4.8.9._</t>
  </si>
  <si>
    <t>281774569.54624</t>
  </si>
  <si>
    <t>1.1.2.1.1.4.8.10</t>
  </si>
  <si>
    <t>305117071.54821</t>
  </si>
  <si>
    <t>20958866.54821</t>
  </si>
  <si>
    <t>1.1.2.1.1.4.8.10._</t>
  </si>
  <si>
    <t>281774569.54821</t>
  </si>
  <si>
    <t>1.1.2.1.1.4.9</t>
  </si>
  <si>
    <t>1.1.2.1.1.4.9._</t>
  </si>
  <si>
    <t>Подвал, 2эт, 3эт, 4эт, 5эт. Тип потолка: 2. Подвесной потолок КНАУФ Файерборд.</t>
  </si>
  <si>
    <t>1.1.2.1.1.4.9.1</t>
  </si>
  <si>
    <t>305117072.54821</t>
  </si>
  <si>
    <t>20958869.54821</t>
  </si>
  <si>
    <t>1.1.2.1.1.4.9.1._</t>
  </si>
  <si>
    <t>281774570.54821</t>
  </si>
  <si>
    <t>1.1.2.1.1.4.9.2</t>
  </si>
  <si>
    <t>305117072.54624</t>
  </si>
  <si>
    <t>20958869.54624</t>
  </si>
  <si>
    <t>1.1.2.1.1.4.9.2._</t>
  </si>
  <si>
    <t>281774570.54624</t>
  </si>
  <si>
    <t>1.1.2.1.1.4.9.3</t>
  </si>
  <si>
    <t>305117072.54575</t>
  </si>
  <si>
    <t>20958869.54575</t>
  </si>
  <si>
    <t>1.1.2.1.1.4.9.3._</t>
  </si>
  <si>
    <t>281774570.54575</t>
  </si>
  <si>
    <t>1.1.2.1.1.4.9.4</t>
  </si>
  <si>
    <t>305117072.54576</t>
  </si>
  <si>
    <t>20958869.54576</t>
  </si>
  <si>
    <t>1.1.2.1.1.4.9.4._</t>
  </si>
  <si>
    <t>281774570.54576</t>
  </si>
  <si>
    <t>1.1.2.1.1.4.9.5</t>
  </si>
  <si>
    <t>305117072.54569</t>
  </si>
  <si>
    <t>20958869.54569</t>
  </si>
  <si>
    <t>1.1.2.1.1.4.9.5._</t>
  </si>
  <si>
    <t>281774570.54569</t>
  </si>
  <si>
    <t>1.1.2.1.1.4.9.6</t>
  </si>
  <si>
    <t>305117072.54568</t>
  </si>
  <si>
    <t>20958869.54568</t>
  </si>
  <si>
    <t>1.1.2.1.1.4.9.6._</t>
  </si>
  <si>
    <t>281774570.54568</t>
  </si>
  <si>
    <t>1.1.2.1.1.4.9.7</t>
  </si>
  <si>
    <t>Плита Кнауф Файерборд_ / 2500х1200х12.5 м</t>
  </si>
  <si>
    <t>305117072.1523192</t>
  </si>
  <si>
    <t>20958869.1523192</t>
  </si>
  <si>
    <t>1a9d2c61-823f-4235-b198-e9701dbd754e</t>
  </si>
  <si>
    <t>1.1.2.1.1.4.9.7._</t>
  </si>
  <si>
    <t>281774570.1523192</t>
  </si>
  <si>
    <t>1.1.2.1.1.4.9.8</t>
  </si>
  <si>
    <t>305117072.55042</t>
  </si>
  <si>
    <t>20958869.55042</t>
  </si>
  <si>
    <t>1.1.2.1.1.4.9.8._</t>
  </si>
  <si>
    <t>281774570.55042</t>
  </si>
  <si>
    <t>1.1.2.1.1.4.9.9</t>
  </si>
  <si>
    <t>305117072.55038</t>
  </si>
  <si>
    <t>20958869.55038</t>
  </si>
  <si>
    <t>1.1.2.1.1.4.9.9._</t>
  </si>
  <si>
    <t>281774570.55038</t>
  </si>
  <si>
    <t>1.1.2.1.1.4.9.10</t>
  </si>
  <si>
    <t>305117072.54828</t>
  </si>
  <si>
    <t>20958869.54828</t>
  </si>
  <si>
    <t>1.1.2.1.1.4.9.10._</t>
  </si>
  <si>
    <t>281774570.54828</t>
  </si>
  <si>
    <t>1.1.2.1.1.4.10</t>
  </si>
  <si>
    <t>1.1.2.1.1.4.10.1</t>
  </si>
  <si>
    <t>305117073.54828</t>
  </si>
  <si>
    <t>22135695.54828</t>
  </si>
  <si>
    <t>1.1.2.1.1.4.10.2</t>
  </si>
  <si>
    <t>305117073.54553</t>
  </si>
  <si>
    <t>22135695.54553</t>
  </si>
  <si>
    <t>1.1.2.1.1.4.10.3</t>
  </si>
  <si>
    <t>305117073.55038</t>
  </si>
  <si>
    <t>22135695.55038</t>
  </si>
  <si>
    <t>1.1.2.1.1.4.10.4</t>
  </si>
  <si>
    <t>305117073.55042</t>
  </si>
  <si>
    <t>22135695.55042</t>
  </si>
  <si>
    <t>1.1.2.1.1.4.10.5</t>
  </si>
  <si>
    <t>305117073.54569</t>
  </si>
  <si>
    <t>22135695.54569</t>
  </si>
  <si>
    <t>1.1.2.1.1.4.10.6</t>
  </si>
  <si>
    <t>305117073.54568</t>
  </si>
  <si>
    <t>22135695.54568</t>
  </si>
  <si>
    <t>1.1.2.1.1.4.10.7</t>
  </si>
  <si>
    <t>305117073.54576</t>
  </si>
  <si>
    <t>22135695.54576</t>
  </si>
  <si>
    <t>1.1.2.1.1.4.10.8</t>
  </si>
  <si>
    <t>305117073.54575</t>
  </si>
  <si>
    <t>22135695.54575</t>
  </si>
  <si>
    <t>1.1.2.1.1.4.10.9</t>
  </si>
  <si>
    <t>305117073.54624</t>
  </si>
  <si>
    <t>22135695.54624</t>
  </si>
  <si>
    <t>1.1.2.1.1.4.10.10</t>
  </si>
  <si>
    <t>305117073.54821</t>
  </si>
  <si>
    <t>22135695.54821</t>
  </si>
  <si>
    <t>1.1.2.1.1.4.11</t>
  </si>
  <si>
    <t>1.1.2.1.1.4.11.1</t>
  </si>
  <si>
    <t>305117074.54821</t>
  </si>
  <si>
    <t>22135684.54821</t>
  </si>
  <si>
    <t>1.1.2.1.1.4.11.2</t>
  </si>
  <si>
    <t>305117074.54624</t>
  </si>
  <si>
    <t>22135684.54624</t>
  </si>
  <si>
    <t>1.1.2.1.1.4.11.3</t>
  </si>
  <si>
    <t>305117074.54575</t>
  </si>
  <si>
    <t>22135684.54575</t>
  </si>
  <si>
    <t>1.1.2.1.1.4.11.4</t>
  </si>
  <si>
    <t>305117074.54576</t>
  </si>
  <si>
    <t>22135684.54576</t>
  </si>
  <si>
    <t>1.1.2.1.1.4.11.5</t>
  </si>
  <si>
    <t>305117074.54569</t>
  </si>
  <si>
    <t>22135684.54569</t>
  </si>
  <si>
    <t>1.1.2.1.1.4.11.6</t>
  </si>
  <si>
    <t>305117074.54568</t>
  </si>
  <si>
    <t>22135684.54568</t>
  </si>
  <si>
    <t>1.1.2.1.1.4.11.7</t>
  </si>
  <si>
    <t>305117074.55042</t>
  </si>
  <si>
    <t>22135684.55042</t>
  </si>
  <si>
    <t>1.1.2.1.1.4.11.8</t>
  </si>
  <si>
    <t>305117074.55038</t>
  </si>
  <si>
    <t>22135684.55038</t>
  </si>
  <si>
    <t>1.1.2.1.1.4.11.9</t>
  </si>
  <si>
    <t>305117074.54552</t>
  </si>
  <si>
    <t>22135684.54552</t>
  </si>
  <si>
    <t>1.1.2.1.1.4.11.10</t>
  </si>
  <si>
    <t>305117074.54828</t>
  </si>
  <si>
    <t>22135684.54828</t>
  </si>
  <si>
    <t>1.1.2.1.1.4.12</t>
  </si>
  <si>
    <t>1.1.2.1.1.4.12.1</t>
  </si>
  <si>
    <t>305117075.54828</t>
  </si>
  <si>
    <t>22135726.54828</t>
  </si>
  <si>
    <t>1.1.2.1.1.4.12.2</t>
  </si>
  <si>
    <t>305117075.55038</t>
  </si>
  <si>
    <t>22135726.55038</t>
  </si>
  <si>
    <t>1.1.2.1.1.4.12.3</t>
  </si>
  <si>
    <t>305117075.55042</t>
  </si>
  <si>
    <t>22135726.55042</t>
  </si>
  <si>
    <t>1.1.2.1.1.4.12.4</t>
  </si>
  <si>
    <t>305117075.1523192</t>
  </si>
  <si>
    <t>22135726.1523192</t>
  </si>
  <si>
    <t>1.1.2.1.1.4.12.5</t>
  </si>
  <si>
    <t>305117075.54569</t>
  </si>
  <si>
    <t>22135726.54569</t>
  </si>
  <si>
    <t>1.1.2.1.1.4.12.6</t>
  </si>
  <si>
    <t>305117075.54568</t>
  </si>
  <si>
    <t>22135726.54568</t>
  </si>
  <si>
    <t>1.1.2.1.1.4.12.7</t>
  </si>
  <si>
    <t>305117075.54576</t>
  </si>
  <si>
    <t>22135726.54576</t>
  </si>
  <si>
    <t>1.1.2.1.1.4.12.8</t>
  </si>
  <si>
    <t>305117075.54624</t>
  </si>
  <si>
    <t>22135726.54624</t>
  </si>
  <si>
    <t>1.1.2.1.1.4.12.9</t>
  </si>
  <si>
    <t>305117075.54821</t>
  </si>
  <si>
    <t>22135726.54821</t>
  </si>
  <si>
    <t>1.1.2.1.1.4.13</t>
  </si>
  <si>
    <t>6.3.1.5.4.4.4</t>
  </si>
  <si>
    <t>Монтаж подвесного потолка СКБ / типа Армстронг, Грильято</t>
  </si>
  <si>
    <t>86b87f1a-32b5-4855-8388-b5bf81a42325</t>
  </si>
  <si>
    <t>42e8bac0-98f1-4b1f-8603-9612c710de3f</t>
  </si>
  <si>
    <t>1.1.2.1.1.4.13._</t>
  </si>
  <si>
    <t>Подвал, 1эт, 2эт, 3эт, 4эт, 5эт. Тип потолка: 4. Металлические потолочные панели системы Clip-IN типа Armstrong ClipIN Bioguard, размер кассет: 600х600 мм, цвет: RAL 9010</t>
  </si>
  <si>
    <t>1.1.2.1.1.4.13.1</t>
  </si>
  <si>
    <t>Подвесной потолок Армстронг / Белый</t>
  </si>
  <si>
    <t>305117000.1353009</t>
  </si>
  <si>
    <t>20958868.1353009</t>
  </si>
  <si>
    <t>137a189c-acd0-4b00-a19c-980286873b94</t>
  </si>
  <si>
    <t>1.1.2.1.1.4.13.1._</t>
  </si>
  <si>
    <t>276896431.1353009</t>
  </si>
  <si>
    <t>1.1.2.1.1.4.14</t>
  </si>
  <si>
    <t>1.1.2.1.1.4.14.1</t>
  </si>
  <si>
    <t>305117076.1353009</t>
  </si>
  <si>
    <t>22135698.1353009</t>
  </si>
  <si>
    <t>1.1.2.1.1.5</t>
  </si>
  <si>
    <t>6.3.1.5.99</t>
  </si>
  <si>
    <t>Прочие работы</t>
  </si>
  <si>
    <t>1.1.2.1.1.5.1</t>
  </si>
  <si>
    <t>6.3.1.5.99.2.2</t>
  </si>
  <si>
    <t>Содержание корпуса в период проведения отделки / 2 секции</t>
  </si>
  <si>
    <t>Кол-во месяцев согласно графика производства отделочных работ.</t>
  </si>
  <si>
    <t>мес</t>
  </si>
  <si>
    <t>dafdbed0-d8c9-4e31-9d18-28c002826b48</t>
  </si>
  <si>
    <t>41184805-ba59-4e97-b2d9-b62b4c18a3d9</t>
  </si>
  <si>
    <t>1.1.2.1.1.5.1._</t>
  </si>
  <si>
    <t>1.1.2.1.1.5.2</t>
  </si>
  <si>
    <t>2. Объект ИДП без распределения на секции</t>
  </si>
  <si>
    <t>2bfdbae8-bf8f-4cfd-91dd-0a7075973600</t>
  </si>
  <si>
    <t>2.1</t>
  </si>
  <si>
    <t>2.1.1</t>
  </si>
  <si>
    <t>2.1.1.1</t>
  </si>
  <si>
    <t>2.1.1.1.1</t>
  </si>
  <si>
    <t>2.1.1.1.1.1</t>
  </si>
  <si>
    <t>2.1.1.1.1.1.1</t>
  </si>
  <si>
    <t>2.1.1.1.1.1.1.1</t>
  </si>
  <si>
    <t>2.1.1.1.1.1.1.1.1</t>
  </si>
  <si>
    <t>295859909.1521774</t>
  </si>
  <si>
    <t>22502056.1521774</t>
  </si>
  <si>
    <t>2.1.1.1.1.1.1.1.2</t>
  </si>
  <si>
    <t>295859909.54563</t>
  </si>
  <si>
    <t>22502056.54563</t>
  </si>
  <si>
    <t>2.1.1.1.1.1.1.1.3</t>
  </si>
  <si>
    <t>295859909.720773</t>
  </si>
  <si>
    <t>22502056.720773</t>
  </si>
  <si>
    <t>2.1.1.1.1.1.1.1.4</t>
  </si>
  <si>
    <t>295859909.1721598</t>
  </si>
  <si>
    <t>22502056.1721598</t>
  </si>
  <si>
    <t>2.1.1.1.1.1.1.1.5</t>
  </si>
  <si>
    <t>295859909.54552</t>
  </si>
  <si>
    <t>22502056.54552</t>
  </si>
  <si>
    <t>2.1.1.1.1.1.1.2</t>
  </si>
  <si>
    <t>2.1.1.1.1.1.1.2.1</t>
  </si>
  <si>
    <t>295859910.1521774</t>
  </si>
  <si>
    <t>22502060.1521774</t>
  </si>
  <si>
    <t>2.1.1.1.1.1.1.2.2</t>
  </si>
  <si>
    <t>295859910.54565</t>
  </si>
  <si>
    <t>22502060.54565</t>
  </si>
  <si>
    <t>2.1.1.1.1.1.1.2.3</t>
  </si>
  <si>
    <t>295859910.54570</t>
  </si>
  <si>
    <t>22502060.54570</t>
  </si>
  <si>
    <t>2.1.1.1.1.1.1.2.4</t>
  </si>
  <si>
    <t>295859910.1721598</t>
  </si>
  <si>
    <t>22502060.1721598</t>
  </si>
  <si>
    <t>2.1.1.1.1.1.1.2.5</t>
  </si>
  <si>
    <t>295859910.54552</t>
  </si>
  <si>
    <t>22502060.54552</t>
  </si>
  <si>
    <t>2.1.1.1.1.1.1.3</t>
  </si>
  <si>
    <t>2.1.1.1.1.1.1.3.1</t>
  </si>
  <si>
    <t>295859980.54552</t>
  </si>
  <si>
    <t>22502058.54552</t>
  </si>
  <si>
    <t>2.1.1.1.1.1.1.3.2</t>
  </si>
  <si>
    <t>295859980.1721598</t>
  </si>
  <si>
    <t>22502058.1721598</t>
  </si>
  <si>
    <t>2.1.1.1.1.1.1.3.3</t>
  </si>
  <si>
    <t>295859980.54565</t>
  </si>
  <si>
    <t>22502058.54565</t>
  </si>
  <si>
    <t>2.1.1.1.1.1.1.3.4</t>
  </si>
  <si>
    <t>295859980.54570</t>
  </si>
  <si>
    <t>22502058.54570</t>
  </si>
  <si>
    <t>2.1.1.1.1.1.1.3.5</t>
  </si>
  <si>
    <t>295859980.1521774</t>
  </si>
  <si>
    <t>22502058.1521774</t>
  </si>
  <si>
    <t>2.1.1.1.1.1.1.4</t>
  </si>
  <si>
    <t>Подвал, 1эт, 2эт, 3эт, 4эт, 5эт. Перегородки Тип-4. Облицовка типа С626 на отнесенном металлическом каркасе толщиной 75 мм, с двуслойной обшивкой влагостойкими гипсокартнонными листами ГСП-H2 с одной стороны на одинарном металлическом каркасе из профилей ПН75x40 и ПС75х50, с внутренним заполнением минераловатной плитой толщиной 50 мм, плотностью 35-45 кг/м3, с индексом звукопоглащения 0,80 - 0,85 αw</t>
  </si>
  <si>
    <t>2.1.1.1.1.1.1.4.1</t>
  </si>
  <si>
    <t>295859912.1571304</t>
  </si>
  <si>
    <t>22502063.1571304</t>
  </si>
  <si>
    <t>2.1.1.1.1.1.1.4.2</t>
  </si>
  <si>
    <t>295859912.54563</t>
  </si>
  <si>
    <t>22502063.54563</t>
  </si>
  <si>
    <t>2.1.1.1.1.1.1.4.3</t>
  </si>
  <si>
    <t>295859912.720773</t>
  </si>
  <si>
    <t>22502063.720773</t>
  </si>
  <si>
    <t>2.1.1.1.1.1.1.4.4</t>
  </si>
  <si>
    <t>295859912.1721598</t>
  </si>
  <si>
    <t>22502063.1721598</t>
  </si>
  <si>
    <t>2.1.1.1.1.1.1.4.5</t>
  </si>
  <si>
    <t>295859912.1521731</t>
  </si>
  <si>
    <t>22502063.1521731</t>
  </si>
  <si>
    <t>2.1.1.1.1.1.1.5</t>
  </si>
  <si>
    <t>2.1.1.1.1.1.1.5.1</t>
  </si>
  <si>
    <t>295859981.7351</t>
  </si>
  <si>
    <t>22502057.7351</t>
  </si>
  <si>
    <t>2.1.1.1.1.1.1.5.2</t>
  </si>
  <si>
    <t>295859981.1721598</t>
  </si>
  <si>
    <t>22502057.1721598</t>
  </si>
  <si>
    <t>2.1.1.1.1.1.1.5.3</t>
  </si>
  <si>
    <t>295859981.54563</t>
  </si>
  <si>
    <t>22502057.54563</t>
  </si>
  <si>
    <t>2.1.1.1.1.1.1.5.4</t>
  </si>
  <si>
    <t>295859981.720773</t>
  </si>
  <si>
    <t>22502057.720773</t>
  </si>
  <si>
    <t>2.1.1.1.1.1.1.5.5</t>
  </si>
  <si>
    <t>295859981.1571304</t>
  </si>
  <si>
    <t>22502057.1571304</t>
  </si>
  <si>
    <t>2.1.1.1.1.1.1.6</t>
  </si>
  <si>
    <t>2.1.1.1.1.1.1.6.1</t>
  </si>
  <si>
    <t>295859982.1571304</t>
  </si>
  <si>
    <t>22502066.1571304</t>
  </si>
  <si>
    <t>2.1.1.1.1.1.1.6.2</t>
  </si>
  <si>
    <t>295859982.54565</t>
  </si>
  <si>
    <t>22502066.54565</t>
  </si>
  <si>
    <t>2.1.1.1.1.1.1.6.3</t>
  </si>
  <si>
    <t>295859982.54570</t>
  </si>
  <si>
    <t>22502066.54570</t>
  </si>
  <si>
    <t>2.1.1.1.1.1.1.6.4</t>
  </si>
  <si>
    <t>295859982.1721598</t>
  </si>
  <si>
    <t>22502066.1721598</t>
  </si>
  <si>
    <t>2.1.1.1.1.1.1.6.5</t>
  </si>
  <si>
    <t>295859982.1521733</t>
  </si>
  <si>
    <t>22502066.1521733</t>
  </si>
  <si>
    <t>2.1.1.1.1.1.1.7</t>
  </si>
  <si>
    <t>2.1.1.1.1.1.1.7.1</t>
  </si>
  <si>
    <t>295859983.1521733</t>
  </si>
  <si>
    <t>22502065.1521733</t>
  </si>
  <si>
    <t>2.1.1.1.1.1.1.7.2</t>
  </si>
  <si>
    <t>295859983.1721598</t>
  </si>
  <si>
    <t>22502065.1721598</t>
  </si>
  <si>
    <t>2.1.1.1.1.1.1.7.3</t>
  </si>
  <si>
    <t>295859983.54563</t>
  </si>
  <si>
    <t>22502065.54563</t>
  </si>
  <si>
    <t>2.1.1.1.1.1.1.7.4</t>
  </si>
  <si>
    <t>295859983.720773</t>
  </si>
  <si>
    <t>22502065.720773</t>
  </si>
  <si>
    <t>2.1.1.1.1.1.1.7.5</t>
  </si>
  <si>
    <t>295859983.1571304</t>
  </si>
  <si>
    <t>22502065.1571304</t>
  </si>
  <si>
    <t>2.1.1.1.1.1.1.8</t>
  </si>
  <si>
    <t>2.1.1.1.1.1.1.8.1</t>
  </si>
  <si>
    <t>295859984.1571304</t>
  </si>
  <si>
    <t>22502064.1571304</t>
  </si>
  <si>
    <t>2.1.1.1.1.1.1.8.2</t>
  </si>
  <si>
    <t>295859984.54563</t>
  </si>
  <si>
    <t>22502064.54563</t>
  </si>
  <si>
    <t>2.1.1.1.1.1.1.8.3</t>
  </si>
  <si>
    <t>295859984.720773</t>
  </si>
  <si>
    <t>22502064.720773</t>
  </si>
  <si>
    <t>2.1.1.1.1.1.1.8.4</t>
  </si>
  <si>
    <t>295859984.1721598</t>
  </si>
  <si>
    <t>22502064.1721598</t>
  </si>
  <si>
    <t>2.1.1.1.1.1.1.8.5</t>
  </si>
  <si>
    <t>295859984.1521733</t>
  </si>
  <si>
    <t>22502064.1521733</t>
  </si>
  <si>
    <t>2.1.2</t>
  </si>
  <si>
    <t>2.1.2.1</t>
  </si>
  <si>
    <t>2.1.2.1.1</t>
  </si>
  <si>
    <t>2.1.2.1.1.1</t>
  </si>
  <si>
    <t>2.1.2.1.1.1.1</t>
  </si>
  <si>
    <t>2.1.2.1.1.1.1.1</t>
  </si>
  <si>
    <t>2.1.2.1.1.1.1.1.1</t>
  </si>
  <si>
    <t>295859919.55068</t>
  </si>
  <si>
    <t>22502098.55068</t>
  </si>
  <si>
    <t>2.1.2.1.1.1.1.2</t>
  </si>
  <si>
    <t>2.1.2.1.1.1.1.2.1</t>
  </si>
  <si>
    <t>295859921.55160</t>
  </si>
  <si>
    <t>22502078.55160</t>
  </si>
  <si>
    <t>2.1.2.1.1.1.1.2.2</t>
  </si>
  <si>
    <t>295859921.55045</t>
  </si>
  <si>
    <t>22502078.55045</t>
  </si>
  <si>
    <t>2.1.2.1.1.1.1.2.3</t>
  </si>
  <si>
    <t>295859921.54611</t>
  </si>
  <si>
    <t>22502078.54611</t>
  </si>
  <si>
    <t>2.1.2.1.1.1.1.2.4</t>
  </si>
  <si>
    <t>295859921.55155</t>
  </si>
  <si>
    <t>22502078.55155</t>
  </si>
  <si>
    <t>2.1.2.1.1.1.1.3</t>
  </si>
  <si>
    <t>2.1.2.1.1.1.1.3.1</t>
  </si>
  <si>
    <t>295859923.55045</t>
  </si>
  <si>
    <t>22502085.55045</t>
  </si>
  <si>
    <t>2.1.2.1.1.1.1.3.2</t>
  </si>
  <si>
    <t>295859923.1139608</t>
  </si>
  <si>
    <t>22502085.1139608</t>
  </si>
  <si>
    <t>2.1.2.1.1.1.1.3.3</t>
  </si>
  <si>
    <t>295859923.1352734</t>
  </si>
  <si>
    <t>22502085.1352734</t>
  </si>
  <si>
    <t>2.1.2.1.1.1.2</t>
  </si>
  <si>
    <t>2.1.2.1.1.1.2.1</t>
  </si>
  <si>
    <t>2.1.2.1.1.1.2.1.1</t>
  </si>
  <si>
    <t>295859926.644404</t>
  </si>
  <si>
    <t>22502096.644404</t>
  </si>
  <si>
    <t>2.1.2.1.1.1.2.2</t>
  </si>
  <si>
    <t xml:space="preserve">
Подвал, 1эт, 2эт, 3эт, 4эт, 5эт. Тип: 6, 7, 8, 11.</t>
  </si>
  <si>
    <t>2.1.2.1.1.1.2.2.1</t>
  </si>
  <si>
    <t>295859927.741656</t>
  </si>
  <si>
    <t>22502055.741656</t>
  </si>
  <si>
    <t>2.1.2.1.1.1.2.3</t>
  </si>
  <si>
    <t>2.1.2.1.1.1.2.3.1</t>
  </si>
  <si>
    <t>295859929.49418</t>
  </si>
  <si>
    <t>22502090.49418</t>
  </si>
  <si>
    <t>2.1.2.1.1.1.2.4</t>
  </si>
  <si>
    <t>2.1.2.1.1.1.2.4.1</t>
  </si>
  <si>
    <t>295859930.643995</t>
  </si>
  <si>
    <t>22502091.643995</t>
  </si>
  <si>
    <t>2.1.2.1.1.1.2.5</t>
  </si>
  <si>
    <t>2.1.2.1.1.1.2.5.1</t>
  </si>
  <si>
    <t>295859932.54646</t>
  </si>
  <si>
    <t>22502089.54646</t>
  </si>
  <si>
    <t>2.1.2.1.1.1.2.6</t>
  </si>
  <si>
    <t>2.1.2.1.1.1.2.6.1</t>
  </si>
  <si>
    <t>295859985.54646</t>
  </si>
  <si>
    <t>22502080.54646</t>
  </si>
  <si>
    <t>2.1.2.1.1.1.2.7</t>
  </si>
  <si>
    <t>2.1.2.1.1.1.2.7.1</t>
  </si>
  <si>
    <t>295859986.54646</t>
  </si>
  <si>
    <t>22502092.54646</t>
  </si>
  <si>
    <t>2.1.2.1.1.1.2.8</t>
  </si>
  <si>
    <t>2.1.2.1.1.1.2.8.1</t>
  </si>
  <si>
    <t>295859987.54646</t>
  </si>
  <si>
    <t>22502079.54646</t>
  </si>
  <si>
    <t>2.1.2.1.1.1.2.9</t>
  </si>
  <si>
    <t>2.1.2.1.1.1.2.9.1</t>
  </si>
  <si>
    <t>295859988.54646</t>
  </si>
  <si>
    <t>22502084.54646</t>
  </si>
  <si>
    <t>2.1.2.1.1.1.2.10</t>
  </si>
  <si>
    <t>2.1.2.1.1.1.2.10.1</t>
  </si>
  <si>
    <t>295859989.54646</t>
  </si>
  <si>
    <t>22502077.54646</t>
  </si>
  <si>
    <t>2.1.2.1.1.1.2.11</t>
  </si>
  <si>
    <t>2.1.2.1.1.1.2.11.1</t>
  </si>
  <si>
    <t>295859934.54610</t>
  </si>
  <si>
    <t>22502041.54610</t>
  </si>
  <si>
    <t>2.1.2.1.1.1.3</t>
  </si>
  <si>
    <t>2.1.2.1.1.1.3.1</t>
  </si>
  <si>
    <t>2.1.2.1.1.1.3.1.1</t>
  </si>
  <si>
    <t>295859937.702694</t>
  </si>
  <si>
    <t>22502088.702694</t>
  </si>
  <si>
    <t>2.1.2.1.1.1.3.1.2</t>
  </si>
  <si>
    <t>295859937.737422</t>
  </si>
  <si>
    <t>22502088.737422</t>
  </si>
  <si>
    <t>2.1.2.1.1.1.3.1.3</t>
  </si>
  <si>
    <t>295859937.765921</t>
  </si>
  <si>
    <t>22502088.765921</t>
  </si>
  <si>
    <t>2.1.2.1.1.1.3.2</t>
  </si>
  <si>
    <t>2.1.2.1.1.1.3.2.1</t>
  </si>
  <si>
    <t>295859990.1516981</t>
  </si>
  <si>
    <t>22502061.1516981</t>
  </si>
  <si>
    <t>2.1.2.1.1.1.3.2.2</t>
  </si>
  <si>
    <t>295859990.765921</t>
  </si>
  <si>
    <t>22502061.765921</t>
  </si>
  <si>
    <t>2.1.2.1.1.1.3.2.3</t>
  </si>
  <si>
    <t>295859990.702694</t>
  </si>
  <si>
    <t>22502061.702694</t>
  </si>
  <si>
    <t>2.1.2.1.1.1.3.3</t>
  </si>
  <si>
    <t>2.1.2.1.1.1.3.3.1</t>
  </si>
  <si>
    <t>295859939.3283955</t>
  </si>
  <si>
    <t>22502086.3283955</t>
  </si>
  <si>
    <t>2.1.2.1.1.1.3.3.2</t>
  </si>
  <si>
    <t>295859939.3285919</t>
  </si>
  <si>
    <t>22502086.3285919</t>
  </si>
  <si>
    <t>2.1.2.1.1.1.3.4</t>
  </si>
  <si>
    <t>2.1.2.1.1.1.3.4.1</t>
  </si>
  <si>
    <t>295859941.54659</t>
  </si>
  <si>
    <t>22502093.54659</t>
  </si>
  <si>
    <t>2.1.2.1.1.1.3.4.2</t>
  </si>
  <si>
    <t>295859941.54630</t>
  </si>
  <si>
    <t>22502093.54630</t>
  </si>
  <si>
    <t>2.1.2.1.1.1.3.4.3</t>
  </si>
  <si>
    <t>295859941.54635</t>
  </si>
  <si>
    <t>22502093.54635</t>
  </si>
  <si>
    <t>2.1.2.1.1.1.3.4.4</t>
  </si>
  <si>
    <t>295859941.1139608</t>
  </si>
  <si>
    <t>22502093.1139608</t>
  </si>
  <si>
    <t>2.1.2.1.1.1.3.5</t>
  </si>
  <si>
    <t>2.1.2.1.1.1.3.5.1</t>
  </si>
  <si>
    <t>295859943.54668</t>
  </si>
  <si>
    <t>22502076.54668</t>
  </si>
  <si>
    <t>2.1.2.1.1.1.3.5.2</t>
  </si>
  <si>
    <t>295859943.1570753</t>
  </si>
  <si>
    <t>22502076.1570753</t>
  </si>
  <si>
    <t>2.1.2.1.1.1.3.5.3</t>
  </si>
  <si>
    <t>295859943.54635</t>
  </si>
  <si>
    <t>22502076.54635</t>
  </si>
  <si>
    <t>2.1.2.1.1.1.3.5.4</t>
  </si>
  <si>
    <t>295859943.54634</t>
  </si>
  <si>
    <t>22502076.54634</t>
  </si>
  <si>
    <t>2.1.2.1.1.1.3.6</t>
  </si>
  <si>
    <t>2.1.2.1.1.1.3.6.1</t>
  </si>
  <si>
    <t>295859991.54634</t>
  </si>
  <si>
    <t>22502097.54634</t>
  </si>
  <si>
    <t>2.1.2.1.1.1.3.6.2</t>
  </si>
  <si>
    <t>295859991.54635</t>
  </si>
  <si>
    <t>22502097.54635</t>
  </si>
  <si>
    <t>2.1.2.1.1.1.3.6.3</t>
  </si>
  <si>
    <t>295859991.1570753</t>
  </si>
  <si>
    <t>22502097.1570753</t>
  </si>
  <si>
    <t>2.1.2.1.1.1.3.6.4</t>
  </si>
  <si>
    <t>295859991.54668</t>
  </si>
  <si>
    <t>22502097.54668</t>
  </si>
  <si>
    <t>2.1.2.1.1.1.3.7</t>
  </si>
  <si>
    <t>2.1.2.1.1.1.3.7.1</t>
  </si>
  <si>
    <t>295859992.54668</t>
  </si>
  <si>
    <t>22502082.54668</t>
  </si>
  <si>
    <t>2.1.2.1.1.1.3.7.2</t>
  </si>
  <si>
    <t>295859992.1570753</t>
  </si>
  <si>
    <t>22502082.1570753</t>
  </si>
  <si>
    <t>2.1.2.1.1.1.3.7.3</t>
  </si>
  <si>
    <t>295859992.54635</t>
  </si>
  <si>
    <t>22502082.54635</t>
  </si>
  <si>
    <t>2.1.2.1.1.1.3.7.4</t>
  </si>
  <si>
    <t>295859992.54634</t>
  </si>
  <si>
    <t>22502082.54634</t>
  </si>
  <si>
    <t>2.1.2.1.1.1.3.8</t>
  </si>
  <si>
    <t>2.1.2.1.1.1.3.8.1</t>
  </si>
  <si>
    <t>295859945.54635</t>
  </si>
  <si>
    <t>22502616.54635</t>
  </si>
  <si>
    <t>2.1.2.1.1.1.3.8.2</t>
  </si>
  <si>
    <t>295859945.1137906</t>
  </si>
  <si>
    <t>22502616.1137906</t>
  </si>
  <si>
    <t>2.1.2.1.1.1.3.8.3</t>
  </si>
  <si>
    <t>295859945.54632</t>
  </si>
  <si>
    <t>22502616.54632</t>
  </si>
  <si>
    <t>2.1.2.1.1.1.3.8.4</t>
  </si>
  <si>
    <t>295859945.54634</t>
  </si>
  <si>
    <t>22502616.54634</t>
  </si>
  <si>
    <t>2.1.2.1.1.1.3.9</t>
  </si>
  <si>
    <t>2.1.2.1.1.1.3.9.1</t>
  </si>
  <si>
    <t>295859993.54634</t>
  </si>
  <si>
    <t>22502614.54634</t>
  </si>
  <si>
    <t>2.1.2.1.1.1.3.9.2</t>
  </si>
  <si>
    <t>295859993.54632</t>
  </si>
  <si>
    <t>22502614.54632</t>
  </si>
  <si>
    <t>2.1.2.1.1.1.3.9.3</t>
  </si>
  <si>
    <t>295859993.1137906</t>
  </si>
  <si>
    <t>22502614.1137906</t>
  </si>
  <si>
    <t>2.1.2.1.1.1.3.9.4</t>
  </si>
  <si>
    <t>295859993.54635</t>
  </si>
  <si>
    <t>22502614.54635</t>
  </si>
  <si>
    <t>2.1.2.1.1.1.3.10</t>
  </si>
  <si>
    <t>2.1.2.1.1.1.3.10.1</t>
  </si>
  <si>
    <t>295859946.739258</t>
  </si>
  <si>
    <t>22502620.739258</t>
  </si>
  <si>
    <t>2.1.2.1.1.1.3.10.2</t>
  </si>
  <si>
    <t>Керамический гранит Estima YOUR COLOR YC 13_/600х600х10мм</t>
  </si>
  <si>
    <t>295859946.54687</t>
  </si>
  <si>
    <t>22502620.54687</t>
  </si>
  <si>
    <t>60bf876d-4d11-486e-b494-12809950a1d3</t>
  </si>
  <si>
    <t>2.1.2.1.1.1.3.10.3</t>
  </si>
  <si>
    <t>295859946.54634</t>
  </si>
  <si>
    <t>22502620.54634</t>
  </si>
  <si>
    <t>2.1.2.1.1.1.3.10.4</t>
  </si>
  <si>
    <t>295859946.54635</t>
  </si>
  <si>
    <t>22502620.54635</t>
  </si>
  <si>
    <t>2.1.2.1.1.1.3.11</t>
  </si>
  <si>
    <t>2.1.2.1.1.1.3.11.1</t>
  </si>
  <si>
    <t>295859994.54635</t>
  </si>
  <si>
    <t>22502623.54635</t>
  </si>
  <si>
    <t>2.1.2.1.1.1.3.11.2</t>
  </si>
  <si>
    <t>295859994.54634</t>
  </si>
  <si>
    <t>22502623.54634</t>
  </si>
  <si>
    <t>2.1.2.1.1.1.3.11.3</t>
  </si>
  <si>
    <t>295859994.54687</t>
  </si>
  <si>
    <t>22502623.54687</t>
  </si>
  <si>
    <t>2.1.2.1.1.1.3.11.4</t>
  </si>
  <si>
    <t>295859994.739258</t>
  </si>
  <si>
    <t>22502623.739258</t>
  </si>
  <si>
    <t>2.1.2.1.1.2</t>
  </si>
  <si>
    <t>2.1.2.1.1.2.1</t>
  </si>
  <si>
    <t>2.1.2.1.1.2.1.1</t>
  </si>
  <si>
    <t>2.1.2.1.1.2.1.1.1</t>
  </si>
  <si>
    <t>295859950.726518</t>
  </si>
  <si>
    <t>22502062.726518</t>
  </si>
  <si>
    <t>2.1.2.1.1.2.1.1.2</t>
  </si>
  <si>
    <t>295859950.55050</t>
  </si>
  <si>
    <t>22502062.55050</t>
  </si>
  <si>
    <t>2.1.2.1.1.2.1.1.3</t>
  </si>
  <si>
    <t>295859950.55029</t>
  </si>
  <si>
    <t>22502062.55029</t>
  </si>
  <si>
    <t>2.1.2.1.1.2.1.1.4</t>
  </si>
  <si>
    <t>295859950.54634</t>
  </si>
  <si>
    <t>22502062.54634</t>
  </si>
  <si>
    <t>2.1.2.1.1.2.2</t>
  </si>
  <si>
    <t>2.1.2.1.1.2.2.1</t>
  </si>
  <si>
    <t>2.1.2.1.1.2.2.1.1</t>
  </si>
  <si>
    <t>295859953.1504881</t>
  </si>
  <si>
    <t>22502040.1504881</t>
  </si>
  <si>
    <t>2.1.2.1.1.2.2.2</t>
  </si>
  <si>
    <t>Подвал, 1эт, 2эт, 3эт, 4эт, 5эт. Тип: 2, 6. Подвал=1879,60; 1эт.=1200,80; 2эт.=2574,3+32,8; 3эт.=2128,30;  4эт.=2202+14;  5эт.=1818,6</t>
  </si>
  <si>
    <t>2.1.2.1.1.2.2.2.1</t>
  </si>
  <si>
    <t>295859955.54634</t>
  </si>
  <si>
    <t>22502081.54634</t>
  </si>
  <si>
    <t>2.1.2.1.1.2.2.2.2</t>
  </si>
  <si>
    <t>295859955.1506605</t>
  </si>
  <si>
    <t>22502081.1506605</t>
  </si>
  <si>
    <t>2.1.2.1.1.2.2.3</t>
  </si>
  <si>
    <t>2.1.2.1.1.2.2.3.1</t>
  </si>
  <si>
    <t>295859995.1506605</t>
  </si>
  <si>
    <t>22502083.1506605</t>
  </si>
  <si>
    <t>2.1.2.1.1.2.2.3.2</t>
  </si>
  <si>
    <t>295859995.54634</t>
  </si>
  <si>
    <t>22502083.54634</t>
  </si>
  <si>
    <t>2.1.2.1.1.2.2.4</t>
  </si>
  <si>
    <t>2.1.2.1.1.2.2.4.1</t>
  </si>
  <si>
    <t>295859957.54637</t>
  </si>
  <si>
    <t>22502087.54637</t>
  </si>
  <si>
    <t>2.1.2.1.1.2.2.4.2</t>
  </si>
  <si>
    <t>295859957.737422</t>
  </si>
  <si>
    <t>22502087.737422</t>
  </si>
  <si>
    <t>2.1.2.1.1.2.2.4.3</t>
  </si>
  <si>
    <t>295859957.739258</t>
  </si>
  <si>
    <t>22502087.739258</t>
  </si>
  <si>
    <t>2.1.2.1.1.2.2.4.4</t>
  </si>
  <si>
    <t>295859957.1570533</t>
  </si>
  <si>
    <t>22502087.1570533</t>
  </si>
  <si>
    <t>2.1.2.1.1.3</t>
  </si>
  <si>
    <t>2.1.2.1.1.3.1</t>
  </si>
  <si>
    <t>2.1.2.1.1.3.1.1</t>
  </si>
  <si>
    <t>2.1.2.1.1.3.1.1.1</t>
  </si>
  <si>
    <t>295859961.726518</t>
  </si>
  <si>
    <t>22502073.726518</t>
  </si>
  <si>
    <t>2.1.2.1.1.3.1.1.2</t>
  </si>
  <si>
    <t>295859961.55050</t>
  </si>
  <si>
    <t>22502073.55050</t>
  </si>
  <si>
    <t>2.1.2.1.1.3.1.1.3</t>
  </si>
  <si>
    <t>295859961.55029</t>
  </si>
  <si>
    <t>22502073.55029</t>
  </si>
  <si>
    <t>2.1.2.1.1.3.1.1.4</t>
  </si>
  <si>
    <t>295859961.1139608</t>
  </si>
  <si>
    <t>22502073.1139608</t>
  </si>
  <si>
    <t>2.1.2.1.1.3.1.2</t>
  </si>
  <si>
    <t>2.1.2.1.1.3.1.2.1</t>
  </si>
  <si>
    <t>295859963.1570750</t>
  </si>
  <si>
    <t>22502072.1570750</t>
  </si>
  <si>
    <t>2.1.2.1.1.3.1.2.2</t>
  </si>
  <si>
    <t>295859963.1139608</t>
  </si>
  <si>
    <t>22502072.1139608</t>
  </si>
  <si>
    <t>2.1.2.1.1.3.2</t>
  </si>
  <si>
    <t>2.1.2.1.1.3.2.1</t>
  </si>
  <si>
    <t>2.1.2.1.1.3.2.1.1</t>
  </si>
  <si>
    <t>295859966.1277544</t>
  </si>
  <si>
    <t>22502067.1277544</t>
  </si>
  <si>
    <t>2.1.2.1.1.3.2.1.2</t>
  </si>
  <si>
    <t>295859966.54634</t>
  </si>
  <si>
    <t>22502067.54634</t>
  </si>
  <si>
    <t>2.1.2.1.1.3.2.2</t>
  </si>
  <si>
    <t>2.1.2.1.1.3.2.2.1</t>
  </si>
  <si>
    <t>295859996.54634</t>
  </si>
  <si>
    <t>22502075.54634</t>
  </si>
  <si>
    <t>2.1.2.1.1.3.2.2.2</t>
  </si>
  <si>
    <t>295859996.1277544</t>
  </si>
  <si>
    <t>22502075.1277544</t>
  </si>
  <si>
    <t>2.1.2.1.1.3.2.3</t>
  </si>
  <si>
    <t>2.1.2.1.1.3.2.3.1</t>
  </si>
  <si>
    <t>295859997.1277544</t>
  </si>
  <si>
    <t>22502074.1277544</t>
  </si>
  <si>
    <t>2.1.2.1.1.3.2.3.2</t>
  </si>
  <si>
    <t>295859997.54634</t>
  </si>
  <si>
    <t>22502074.54634</t>
  </si>
  <si>
    <t>2.1.2.1.1.3.2.4</t>
  </si>
  <si>
    <t>2.1.2.1.1.3.2.4.1</t>
  </si>
  <si>
    <t>295859998.54634</t>
  </si>
  <si>
    <t>22502069.54634</t>
  </si>
  <si>
    <t>2.1.2.1.1.3.2.4.2</t>
  </si>
  <si>
    <t>295859998.1277544</t>
  </si>
  <si>
    <t>22502069.1277544</t>
  </si>
  <si>
    <t>2.1.2.1.1.4</t>
  </si>
  <si>
    <t>2.1.2.1.1.4.1</t>
  </si>
  <si>
    <t>Подвал, 1эт, 2эт, 3эт, 4эт, 5эт. Тип потолка: 3. Металлические потолочные панели системы Clip-IN типа Armstrong ClipIN Bioguard, размер кассет: 600х1200 мм, цвет: RAL 9010</t>
  </si>
  <si>
    <t>2.1.2.1.1.4.1.1</t>
  </si>
  <si>
    <t>295859969.771980</t>
  </si>
  <si>
    <t>22502070.771980</t>
  </si>
  <si>
    <t>2.1.2.1.1.4.2</t>
  </si>
  <si>
    <t>2.1.2.1.1.4.2.1</t>
  </si>
  <si>
    <t>295859999.715461</t>
  </si>
  <si>
    <t>22502095.715461</t>
  </si>
  <si>
    <t>2.1.2.1.1.4.3</t>
  </si>
  <si>
    <t>2.1.2.1.1.4.4</t>
  </si>
  <si>
    <t>2.1.2.1.1.4.4.1</t>
  </si>
  <si>
    <t>295859973.54575</t>
  </si>
  <si>
    <t>22502068.54575</t>
  </si>
  <si>
    <t>2.1.2.1.1.4.4.2</t>
  </si>
  <si>
    <t>295859973.54576</t>
  </si>
  <si>
    <t>22502068.54576</t>
  </si>
  <si>
    <t>2.1.2.1.1.4.4.3</t>
  </si>
  <si>
    <t>295859973.54821</t>
  </si>
  <si>
    <t>22502068.54821</t>
  </si>
  <si>
    <t>2.1.2.1.1.4.4.4</t>
  </si>
  <si>
    <t>295859973.54624</t>
  </si>
  <si>
    <t>22502068.54624</t>
  </si>
  <si>
    <t>2.1.2.1.1.4.4.5</t>
  </si>
  <si>
    <t>295859973.55038</t>
  </si>
  <si>
    <t>22502068.55038</t>
  </si>
  <si>
    <t>2.1.2.1.1.4.4.6</t>
  </si>
  <si>
    <t>295859973.54569</t>
  </si>
  <si>
    <t>22502068.54569</t>
  </si>
  <si>
    <t>2.1.2.1.1.4.4.7</t>
  </si>
  <si>
    <t>295859973.54568</t>
  </si>
  <si>
    <t>22502068.54568</t>
  </si>
  <si>
    <t>2.1.2.1.1.4.4.8</t>
  </si>
  <si>
    <t>295859973.55042</t>
  </si>
  <si>
    <t>22502068.55042</t>
  </si>
  <si>
    <t>2.1.2.1.1.4.4.9</t>
  </si>
  <si>
    <t>295859973.54553</t>
  </si>
  <si>
    <t>22502068.54553</t>
  </si>
  <si>
    <t>2.1.2.1.1.4.4.10</t>
  </si>
  <si>
    <t>295859973.54828</t>
  </si>
  <si>
    <t>22502068.54828</t>
  </si>
  <si>
    <t>2.1.2.1.1.4.5</t>
  </si>
  <si>
    <t>2.1.2.1.1.4.5.1</t>
  </si>
  <si>
    <t>295860000.54828</t>
  </si>
  <si>
    <t>22502094.54828</t>
  </si>
  <si>
    <t>2.1.2.1.1.4.5.2</t>
  </si>
  <si>
    <t>295860000.55042</t>
  </si>
  <si>
    <t>22502094.55042</t>
  </si>
  <si>
    <t>2.1.2.1.1.4.5.3</t>
  </si>
  <si>
    <t>295860000.1523192</t>
  </si>
  <si>
    <t>22502094.1523192</t>
  </si>
  <si>
    <t>2.1.2.1.1.4.5.4</t>
  </si>
  <si>
    <t>295860000.54569</t>
  </si>
  <si>
    <t>22502094.54569</t>
  </si>
  <si>
    <t>2.1.2.1.1.4.5.5</t>
  </si>
  <si>
    <t>295860000.54568</t>
  </si>
  <si>
    <t>22502094.54568</t>
  </si>
  <si>
    <t>2.1.2.1.1.4.5.6</t>
  </si>
  <si>
    <t>295860000.55038</t>
  </si>
  <si>
    <t>22502094.55038</t>
  </si>
  <si>
    <t>2.1.2.1.1.4.5.7</t>
  </si>
  <si>
    <t>295860000.54624</t>
  </si>
  <si>
    <t>22502094.54624</t>
  </si>
  <si>
    <t>2.1.2.1.1.4.5.8</t>
  </si>
  <si>
    <t>295860000.54821</t>
  </si>
  <si>
    <t>22502094.54821</t>
  </si>
  <si>
    <t>2.1.2.1.1.4.5.9</t>
  </si>
  <si>
    <t>295860000.54576</t>
  </si>
  <si>
    <t>22502094.54576</t>
  </si>
  <si>
    <t>2.1.2.1.1.4.6</t>
  </si>
  <si>
    <t>2.1.2.1.1.4.6.1</t>
  </si>
  <si>
    <t>295860001.54575</t>
  </si>
  <si>
    <t>22502059.54575</t>
  </si>
  <si>
    <t>2.1.2.1.1.4.6.2</t>
  </si>
  <si>
    <t>295860001.54576</t>
  </si>
  <si>
    <t>22502059.54576</t>
  </si>
  <si>
    <t>2.1.2.1.1.4.6.3</t>
  </si>
  <si>
    <t>295860001.54821</t>
  </si>
  <si>
    <t>22502059.54821</t>
  </si>
  <si>
    <t>2.1.2.1.1.4.6.4</t>
  </si>
  <si>
    <t>295860001.54624</t>
  </si>
  <si>
    <t>22502059.54624</t>
  </si>
  <si>
    <t>2.1.2.1.1.4.6.5</t>
  </si>
  <si>
    <t>295860001.55038</t>
  </si>
  <si>
    <t>22502059.55038</t>
  </si>
  <si>
    <t>2.1.2.1.1.4.6.6</t>
  </si>
  <si>
    <t>295860001.54569</t>
  </si>
  <si>
    <t>22502059.54569</t>
  </si>
  <si>
    <t>2.1.2.1.1.4.6.7</t>
  </si>
  <si>
    <t>295860001.54568</t>
  </si>
  <si>
    <t>22502059.54568</t>
  </si>
  <si>
    <t>2.1.2.1.1.4.6.8</t>
  </si>
  <si>
    <t>295860001.55042</t>
  </si>
  <si>
    <t>22502059.55042</t>
  </si>
  <si>
    <t>2.1.2.1.1.4.6.9</t>
  </si>
  <si>
    <t>295860001.54552</t>
  </si>
  <si>
    <t>22502059.54552</t>
  </si>
  <si>
    <t>2.1.2.1.1.4.6.10</t>
  </si>
  <si>
    <t>295860001.54828</t>
  </si>
  <si>
    <t>22502059.54828</t>
  </si>
  <si>
    <t>2.1.2.1.1.4.7</t>
  </si>
  <si>
    <t>2.1.2.1.1.4.7.1</t>
  </si>
  <si>
    <t>295859974.1353009</t>
  </si>
  <si>
    <t>22502071.1353009</t>
  </si>
  <si>
    <t>2.1.2.1.1.5</t>
  </si>
  <si>
    <t>2.1.2.1.1.5.1</t>
  </si>
  <si>
    <t>2.1.2.1.1.5.2</t>
  </si>
  <si>
    <t>6.3.1.5.99.6.1</t>
  </si>
  <si>
    <t>Компенсация затрат под сдачу СКБ</t>
  </si>
  <si>
    <t>5% от СМР на отделочные работы по разделу Отделка СКБ</t>
  </si>
  <si>
    <t>комплекс</t>
  </si>
  <si>
    <t>39042dce-c227-4fa3-8291-0a0e3e2255fb</t>
  </si>
  <si>
    <t>92c3eaa6-7426-4429-a59a-5dd844bf021c</t>
  </si>
  <si>
    <t>Общая стоимость работ, руб.с НДС 20%</t>
  </si>
  <si>
    <t>eF7s/fuTXMd154v+KxWOmAgK3VV3v3LX3nD4BwBqwNVCdxV6d90bM6LCUf06ZhxR0qXkYx9POIIPU5IP9bJkH+tSD5qUZ+b8cuZAJGGCBAFGzB8wUf0f3cxdjwaqM3OvtWp/s4qWpWA30N0A1mfl3mt9M1fmyv/8R9/7379z/kc3/+jVyXf+aPeP/rfJN//i/Lj+yrf+4pvf3P2j8786Pf/m7At/9N3FD+hf/+eX/+j026+++u1vvfxHN7+uf2P+Fv3Lq6/uvnz1l708/9tevvrr6p/97tWP1b+f/m762fTh9JPpw8s3L3/UmT6tf/Oh/vh0+nj6qDN9dvn69KP5b81PfV9/ftx5yfxgZ/r76ZP6W585f/Ir9b93+u1vv3b2yrcm35v9o7fi+qvn3/3eK6/qrx19+y8HZ88Z/K3vvfK9//3eX7yy+Nrf7L5I+62LV/4XGe1/fvnlq39W/5v6dzdVrKKkX+w+/63/9/lr333l29+a/0Q/ivI07f+NDeWr66DoB0DGYbPk7jqWfPeV/0X4ANlM2VvHlLWe5g+m/zj9L9PfTH85fXf62675MP21/v8/Tv95+t/0x/frr/xjZ/qe/sI/Tv9h+iv92/9T/8r8iX/UT/UH+gfesz+zyc1xsimsj3odTfHs8g39pul3c7dz+db0if7ary5/Ur+Dj6dP6+89vPzpbkf/hP5eP9G/+mL6rP7uZ7OfqX/1sH7JOyqP6u9fvqGf8f+X/tOfW6nTm+N0U9TvX76p7X88/dxYacJTzT0PVxriqeHVuJpDh55H04815bPpv+pfGdLHtSc0+eVPLn+gf/7R5ZvmZzXpo+nv6z9nfmmc8Uj/qd9fvq0/fmz+tct3zJdnEfH1+uM7M5fpP/HO3KVP5//Io87yC8908HvW0f/gM23wF/pLj6af6X/hYcf8JXqUnum/6I2OftL+Yfp+J4n+g9Xd2c1xtil3vzd34iPtsh/NnWv8/uIYzJz9rI7xHxqX1T/y4Quc+kV6T79r+iWzvkr76uZQbYry19N/6WrbPtAB4LfT/19Hf9D/t1k5UjePNmVl2Y/iJE6KvG+zrFI3x5uyTD+/5vl+dPm6fhBM5NAfbQ+yunmrvykT3zWPpQkVnxh50tGh/f3pP9usvK1u3t6Ylb/Rb4t5rx7VseM5xfVc5LEZfUfdvLMxo9+tR782Wr/1D7WVj6ef1jHQ4+avqptf3UKLdeh6/fKn+uMPZnnRZvqeurm3MdP/cfqxzvEm0H7esxl3V928uzHjtF8vf3z5t736QX1jnj2tPrynbt7bpJnTJ12TqTrTv7cH+j9VN/90Y/b9ViuPv9MP56OZcpiZarNyoG4ONmblf62jlNGdr+uw+vteo5DZz29+Ld+Utb82odOkKP3uPNRi5h2Tp15++VtG5plZqkb4+PmQawXYmK/f1/b/866ZovzGHk6/tjHT2I/B/fzm/Y1Za5s+EO0+yG8efqkf34PNeb3p8T3cmGmzWGuf1uxqB1OfjmF+c7gxCPY7OMpvPvhSP8ujjfm68Vl+sDHT2I/BUX7zaGPWrhGKq/zm8Zf68a025/Wmx/d4Y6a1FYrH+c3xOhDf+/b3Jt+8xvDyH31r8ur57K+Vczy3IEZ/3L+aFwrA853vfue1Y/O9A/1XvvbK5Jt7/9+/eOU7r+q/zUJ5sUL5J9X44KWDYvcgU4l1Qe8AbHT16mujb71GtfSw2D10WXoItnT02iuntgfnmqHGZTtLa64JDIiV31vrAaiK3crl1gpoMG/wj4vdY5eVx0AryQNvXLVz7Bj4McbCP3/l7Oz8W+u9//+x2P2PLsf+R7jZvIfgPxW7/8ll63+C20p+FIzbdv6T41G4dWs9Q9dKz+/WkubJ9PHl387WRuti/rOrmtvj2XJVvaQ6/Ux/XHxdf+lv650An8/+0OVPrXB5oRO3/rApwJ/ZrLqdF+toibUM+s3c3z+Y1QAezjTl5Rv6S69fKUy7N+9s0O6Ppw87L/2Hr3TqUtBTU2S1WfjVzVloM+dPtTnm8duUTdO/dzx+xaYM+oVRqfVz9vTFQu/j+jdvTb/Qv6q/+NlzsnZe/jaltg/r0rEptTyZlcYvf+J4VDfGaB7Vxsd0U9Y5HtPCPKabsmn6c8djWm7KIOdjWj989RTMRM75o/r7+d60Z/VWj88u37r8ScfsUKsfYJO69EPaeWn2mM92vi0i8OPnI/BDq464s0E36Cf5pQUdIfRuyk7HM12aZ3pTNk1/YX+my2hTBr1fJ/jPOibUvri7yAiqxcNttly8aTbZvFl/7+N6Ucpabr2zQRZj5Rs9+2O4Mavsj2EZ6cdwYzZN/8HxGG5s5+Qvno+L00/153emn5pVrdnTqTomsTt2pGzQbEpS35h1jicvNk/epmzaczx4G9vb+svrU8aO2a1R703Vg/p3i/2cHbPqfvl/1PsqTSjUKVA/ozplL8a/s/jCV+qtn89mOxX1I/zOXKaaUPqJ2Tp7+aN6L5BRC59f+5dck6zNucjFaSoRZtNN0/O/KcMdz39inv9N2TT9Px0vQLopg36uH+6P9TP6fLmg3kA8m/KbwsGjxa7kzyybkLWI1c/4W/qPPreprY7fn9cvzfVjGfoH9LccT/nG/PCh8cNzXujWktyyRdLxlG/KcMdTnpqnfFM2Tf/J8ZRnmzLIPnWrdw1+UUvf+QEks4jwUf1zz8we4w87cwFslhlnZ4+m/2R+o//7xLdz884GWSkxeVPGOZ7WzDytm7Jp+kvH06o2ZdDKcuz75rSA4ynbmI310msd+c3+5ofNCwEbM9XxzCnzzG3Kpum7jmduYzWJ32q9+s7lm8+fF9Ki4I2ODp3vmk0cv9SfHKtV9aqAWeD6O/2ltxdHdGZCWYfS7nPnpuoo+x9mUbX+KxrOat7ZoEee0/vm2e5ckwjmq//BJomsEv6rm0NxvAGmCLYxm6a/crwBGyuLPPcGXHs4F2LB7LzS2tY85fXTYJ7v54+emT+xmNI9qZXD7FhN0k07tbCYhc0X34f5rKp+hMxefNVZHhx8ZJ4u8689P/k0/6YxqX7ZPlmRI/qbrjdpY55deZNWba6/VjvH8d5synDHe2Oqdxuzafprx3uzsTrNf6sF9KzwdqWun6vTPdSP8jw11Kde66OqdUg143/9z9omoLMC/8f6tfipNeIK16o35rTnjtuYp99/+uarmzPU8QqYyuDGbJr+xvEKbKys8w+z5bxZ6vhoXrZ+/Sp5LI5lz5YQXGsfGzP/Yx15zVOolfw8Fn/keAw3ZaLjMTTFvI3ZZJ+T3e5HGyvr/Ha2L9yrRHw65Nlzf/6lWnno6KtjtNb2X5kfs/24fobr5T2zEPzW5dv18t6T2Ub1ug3EM3PC1cwfflBH4nlYN6+BMSmJ4sw8ZPqzmn/O5ybZdcsG/Vlb1b2a5F4JlaYvat/Otlxrjz6afjLfdm0F/OrmAM0YdF9++VtmDOaf+13rq6ZtvDnenKHT9xyv2qbqWNP39UP/qXnNKKF9c3bqJ/KNulrjWKf86uZMczxnsXnONmWTo1FDP9pYvegXtYitJeysMUpdGNdh+HGtNerp4OXrnZud6b/0pr/sTX/be64nzExOX/5kdyaGn/R2O+fdVyevfNPxlG6K0vEoJOZR2JRN0/cdj0K6KYNMM4Hntzw/M6sGZhXu+9Nn7Yz/ptAc45+a8d+UTdMPHOOfbcog0yGprkfWDaXm7Vo+68y6hs3nv1eT3tmj4hjoTTE4BjozA8206Rv133R2Ppp878/117SF+clpcnIyibrn2YXqZkV00S2K/kV3kqXRJFVZfHY2mf3ka9/+y9kvytmnJdv5N8+Xp1KehyMfyYv16/fz+ezv2WJVw4zTY8vXu8/tcV75cdMqzrpN+1Zxc0Cfd1Od8jf6D8Yp2RktnOcr7Uf5QGgZH4135ufQznMI4lF8HvK5IIMztOMMQTj013DNQ4R2rAqDlUQ8LN4Td2xnOQaxxDwW1tM2tqOMASiGJX/5xSSwivbd89PvvWLJcDoJ/MWrJ+e2EbqeBmIb0S37UlUaqTjOy6RYxZolX+19soUmI/7Zd+qU2GhkbjPxttDE1VfY40RaJjX7bFZbYC4z5eOZntXadtb+0bpqfqe8ORDSXMuFbpwWcmEc7R7EcWTPiFKC1ZRHIOAFoENt9qHL7EOp2YpvNivWDLXVQ5fVQ6nV9Kd/zQSmra9c1ldC66/lqQbreY/JsTb52GXysdRkeswWpCNt8dhl8Vhi8XMxHJx1HHknti/cLqwunX4mG8lKPL3EZuVtqZX0t4+ae+reNfXark43X1y+VXdSXizlm5J23adYf9++3htHNwdSmMCpJ7ZnHbH1AdKO3eRDscmKbzIrngwdFg/FFtMf+HXTjd3ySmo5OtXYzT0Wm0sP0pI0Y7d2LLI2ZIpxJRl71WZudxo5vUw2k5lkXGlGaCf9rWOmGbOb9uPpJ/U2p6d1+dys8C6K5i8moZesWcj6IN2JY52GhLCB05Cjs5fY+gBpyNHiS2yy4pvMijdDh8VDscX0F2LdNOTo+yW1HJ2GHA3AxObSA7kkDdmtHYusNebO370AaciViOw144XlsdPPZEPZiaiX2Sy9LbWU/uZRU9HPp091hnmz3lTwdF5crDOQKSS+05ntgH80399Y7xHT2cc5/0l04hGiBU48qSPxSK0PkHjsJh+KTVZ8k1kRZuiweCi2mP74r5t47JZXUsvRicdu7rHYXHroliQeu7VjkbVh5z/u1GPfrrKwPXF6mmyqIPW45kFCW+lvHzX5/G5Z2Pl0UdCxpZtn089sIHfiVKcbIUzgdJM50o3U+gDpxm7yodhkxTeZFVeGDouHYovpD/y66cZueSW1HJ1u7OYei82lB2xJurFbOxZZG3qe4044mdf61OlrsrGihOOa7witpb+B7aeczvzkyuUP9aTow9kVprNN/59fvjWd32paH/T6tD4sbz/YfCfOdJIS4gdOUmr3IIn1f/3dA23TQWp672e7ByrS/+W7B3mi/9Nf6+uvFfprhf5aqb9W6q/FkSvDSdEDZDi1e6h5DzXvoTbkMDUd/LPdQ817qHkPNe+h5j3UvIea91DzHmreQ8176OI9FPMqPi8rDg417lDjDjXuUNsx1LhDjTvUuEONO9S4Q4071LhDjTvUuEONO9S4QxfuUIxLf7PXza1qt9LYlcautD1Vai4UyHYrjV1p7EpjVxq70tiVxq40dqWxK41dubArKTY6MavdY816rFmPtRHHqbmWINs91qzHmvVYsx5r1mPNeqxZjzXrsWY91qzHLtZjMSs9L0qyutoda9SxRh1rG8YadaxRxxp1rFHHGnWsUccadaxRxxp1rFHHGnXsQh2LUOvHeYZqkuvXfdLgL7/92v9q4ZfpApcyUF4I5Rwvmq1CWaDNdcxGheaupkaXawG6oL6Ve95uYPpk3hDn0fwM7OedWhe8Xn98Y9mr/I3Zfv+61veo87VvTf7iYtYKYfp+N46T+a9/lnRjc4O6/qxmnxJl89odqddWs6pzkF81QfbPXvku5amc/vzynelH9cHXf53WV55r1Ppahk/q60/nR4hf6KOp/XR7cNDVsum/2gC/KgVULEACXHz5Y9MaMZl9SmefstknZT71TJckywq5OaDzePpFN3H/wPtm5OvGLk9Mo4x5EThOlHm8Pt+t2zB9PP2wLgGbS+Y/nf9E7cqFLK2/8GHdN8OcRjZ97MzBwdnFUJ+af2jWkfHJ/Al8OPvtL8xV6d2v3v3T5Ll/5u35hVK1kU/nT/rsgvqn9UP9dPaE0x/++hmYdUQ1l3qYE+mf1neD9dVfZVGtsd+bvt9Xl2/ryF1b8uG1isTns243L3T+MC+SsePx1SnJad2scX5E7tNZL5HHMy9cd7KK5j6uf+zZ1Xl1c26uk6puVnfj+WjWHyGdmfZ4fsTqM832bGbWh/VZ+me1cR+ZQbjq59qJdouo0zWfVOd//v4vbc/5nvQ5z2nP+avnk+/+xWukCPi5NT7flRrYpxl4/lffOf/Wd20GfmvFwLgXzc+hr5h4T2piQTPxf/v2N/+ClERsxv2p1LhVgewwrpZOBO9ZPTeQGhev6liHdWaqUus6in6/NuBx3O/lVsP3xYYTFdnScKcCv2ZtWZon1Gbt18TWEjXZ0lqLndfks/bdztFwfPjVl7RdOrFZpfB9sclEXcZar7j2MDscfSC2mqiLmpcaqKYeik1VTFPJD4b23s7CrGvzfKm1xDz1HUCQGImNJuau77QVIB6ILSWmsO9Qn4HRMjg8cAeHI7G5nKQmeRpcb1sltfjago3PYvKj4DLzWGwmMa0xF1r0w3BsDwhjkaW16CqyMi+yrDspzqNuVqbn3clFedGdnF/EsTqfRNH56QzGuYry6vzJsABKV1Jcayk5j5KKZ1tv8VBx1lxsHLeRHKsJ3zc6xMWY9+r54rwL9ufTlduwl+0gXWUbM+WsCzKdl2YtJs1cVc/gfmjaNelfm6/VBR09+5stWzy9nDWJ/2z2c3r+ab76hf7+x5c/qXdePzF90h7XU9neV+arNS9MjGf9eZ6b/c5+yMyu6wnmT2dt1uZ9W+p/y7GJDjhWij5W9BUSG8UekmJVU3goGPPfRUOvJ7MlKhvVXSTVqujwUDEmzTaMe0iMVUXiwVhzYg2EWNUpHog1J+BAiGuTdA/FWhP1ouilyoa3D8VjJB7WbPOaDpoJ4tlHjWRk8Y3B7LON+gBKzQh+4kmVc0BHUDTuW0dB8w7mqHkwKxhxrYbPJlF6fnZ60T3JzspuFqmiW5b9tFtM1MVFNIn60dncK0HVsHUp+FZs733ucQUNL7gaBnIwghJPDdfVk8sf/dn8upWHdVHFXBerpfCsz/r0U/O9vrqRRTei3Twyv0unn9tccAfpAkV3wboiE0jBiLMMkVmXiXod+6jcRfJA5GXUK2wg95Ag4QQmEIKb6ihjYYMYICGCCcw87fVTG94+FI8Ry9sUmP25Jum7BSaSmhH4xALTOaAjKBr3raOgNQjMxsGsYMS1wDxXpZoUZ+f6m5H+2fi01Do0irvleb8/Sfrn2Xl89nJ4gWkd/FuxvfOfxxU0vOACE8jBCEoygTm/oWe2f8j0HJ4tbc6+rNWlqtXlfHUzs5cH7iA9oOgeWFdfAikYYbY9fQnkgejLxF6XuYcECacvgRDcTEcYC4e+BEIE05el6kV9G94+FI8RytvUl8VckhRufYmkZgQ+sb50DugIisZ96yhoDfqycTArGHGtL9PT/FzFUdQtEvOzZVZ2T4rz826sTs5Py5OsVH31cnh9mdlcccsMEM8VNLzg+hLIwQhKZH0534j98PkN0+aS1Wf14qU5Qvms3upt7nqcldY/0Mrz7Xqr9sP6huG6J9r0s9l353u3ba65g3SNortmXeEJpGDEX4bw/Nw6o7uLBIEozqgXKWv14x4SJZzmBEJwsx9lNGwQAyREMM2ZRUneKxy725GAjADfpuos50KldKtOJDUj6olVp2dIR1A47ptHgWvQnY3DWcGIZ+uaeXQ2SeO0q5LstJtlUdY9yc2fqv/+OO6flHOvBNWdyuaKW4m3s69VgpPwQutOJAcjLFF15y/M+cv6qJ65OPyR5RqRem3z0fKo4OU789XPq/OUL5yj/LTeAmo7Yfnp7M/Fya66ESdRdCNR9i3ed5A+VHQfrilQkRSMUM0RqFZVdxcJAhGojq5u95AgweQpEoKbJAljYZenSIhg8jROVU/Za+5QPkYaaFGdJtFMzsw+26gPoNSMkCdWp+4RHUHZuO8dhc0vTptHs4IRG3XqE53tdoCx79NMPB28+1GUrcJtuAOM1NzVUPGH1QFG6rWM5rXNd4CRAioWIAHOZt2e1LrVSA/r2yE1kHj2mS5Y3X07pCYSDz2vKUWFxq2mO0jfDqlxkL4d15Lx4O7e0dHwaJ6O696SSbJ7kKT6v0z/Z/pM5l8x8U6DmBS9a79zb1+MScy67Xb5EFtLzLu8Lh9JvOjyMfOxzeT7YpOJubcNia5JbgzcDAdiBmImbO754TBcG33jhSFwIRyKERQTgfz4aK/uLMxasXYotpaY+8gzHELgqXTgqXTgqXTgqRLTCpQSeEZiRGL25HUOScoi7ylr0HkgtpSYROmdQ5YB54H7ZT0Sm8tJq6JnZzF39AabSmp/O31EGgPNA3+gORabT0yozP4i+pE5tgeZscjSrS0MOfax3koSHiUVL3hhCMjBWBGkTvW3szAE9KGi+3DdeTGQgrFK2sL8GQgStjAEBAlXGAJCcBeoCWPhmLUDIbaiMITkY6SBNmadi7lnMi8lJO75J5KaEfLI0yb6iI6gbNz3jsLWUBhqHM0KRry9u+Ud92XfSlKuK2h4wcUpkIMRlajiNORueaRrFN0162pOIAUjAHM0pzXc3kWCQDSne7c8EiWc6gRCcLMfZTRsEAMkRDDV6dstDwVkBPg2ZWc6FyqpW3YiqRlRTyw7fbvloXDcN48C16A7G4ezghFvb5u5xNEFJMm4rqDhBdedQA5GWCLrTkCbOaQLFN0F6+pLIAUj0jL0pb8NCJIHJDPtbeaQIOFEJhCCm+oIY6GSorAfrx8gSYIpTdOazDql2YfiMQJ6mzozmwuTzK0zkdSM6CfWme5ec1A07qtHQWtQmY2DWcGIt7fXnONK8lvzbdUMV9DwgqtMIAcjKMlUZiu95pAeUHQPrCsygRSMMNueyATyQESmq9ccEiScyARCcDMdYSzitCiSXqRsLAMkSzCZaTqUWSc1+1A8RkRvU2aquTJxXil3AKVmxD+xzHS3nIOicV8+ClqDzGwczApGvL03yCWu1h851xU0vOAyE8jBCEo8mfkHeoMccqwUfazWFcRACkZCYAhiyg1ySCqILHaIYiBGOFEMhODmZcJIOMr7QIhgathcOJbb8PaheIzE06Yanl86lrhvkINSM4KfWA27b5CDonHfOgpagxpuHMwKRqz/9w1DbXTg131yt92mI9bF9FuJ/xqTfJUyWNOR2FrNuS21dzVm/FvpOpLOuo1kNmfdkTorozlrC5qNCAEVC5AAZ7NuT2rdaqTHNRsRGkg8Ls1Qq+5mI0ITieek11SiQuNW8x2m2YjQOEizkWsDHqVlr3SspEoNJ+bPltuHSK0lZlBm+5D+sn2I8+qy+2KTiUmUJbote9Otjj4QW03MZs0NQ6imHopNVUxTyQ+G9t7OwqwVa4dia4l5SjwbyQuV98zwXTd6JDaamLt4rT48AeKB2FJiCmO0+ugvW304g8OR2FxOUpM8Da63rZJa3E5zD6qZx2IziWmN28Sjv3NsDwhjkaW16CJNgA2Mc87rmfpL572uJh7+C5auUVLxbLNjDxVnhmzjuI3kYKy0UWfOf9glHuBYKfpYrTuvBVIwVjkZ819SiQdIFbLEA8QIV+IBQnAXmwkj4ZiAAyGClniUDW8fisdIPKzZZkOJZ34tY+K+YxNKzQh+4kmVp8SDROO+dRS0hhJP42BWMOJaDU8mZxcn5/mkOzmJzeao5KQ7yU7ybp6pk/zkQk8Z+9nL4dWwdSn4VlJyXUHDC66GgRyMoMRTw8+f3lzdVW++pqL5lnr/qU0guqKjrysugRSM+MoQlw0b6oE8EFmZ9KLMRnIPSRJOWQIhuDmOMBgOZQmECKYs86ynHJuHkHiMIN6mspxfvJi479GEUjMin1hZOgd0BEXjvnUUtAZl2TiYFYy4VpYXp6f5Rf/ktFv0T0+1Cj2NuyfZ5LR7kU+SZHJyUhT9eUANqixTmytupf47myyuoOGFVpZIDkZQkitLX18QLS8JfUGQLlB0F6ypMJEUjDjbmsJE8kAUpqsvCBIkmMBEQnBTHWUsbBADJEQwganiXm5NSftQPEYsb1FgpvPLE1P3VZhQakbgEwtM54COoGjct46C5heYzYNZwYi3t+Fx6mgJknruHLG7goYXXGACORhBiSwwAzY8RrpG0V2zrvAEUjDiL0N4OhoeI0FAitPV8BiJEk5zAiG42Y8yGjaIARIimOb0NTyGAjICfJuqM54LFfc9j1BqRtQTq05fw2MoHPfNo8A16M7G4axgxNt7C1zq6BGSJlxX0PCC604gByMsUXXnVt4Ch/ShovtwXYEKpGCEao5Ataq6u0gQiEB13QKHBAknT4EQ3CRJGAuHPAVCBJOnnlvgoHyMNNCmOp3fG5a6b4GDUjNCnlidxiqJeqljVRQJx33xKHAN6rRxOCsYsZGnPtXZbquOzAZ3az7KVrh+FKlVuE236pDauxos/iBadUidldGctflWHVJAxQIkwNms25NaRzwC3YKiFRpIPO5MV6ruVh1SE1d1KKRVh9S41TQHadUhNS5Iq47SlF2Vze59sd3E9Nlupw6xtcQEyuvUkaaLTh2p83qx+2KTiTmUJbapJ90PxFYTk1mLnTrEpiqmqeQHQ3tvZ2HWirVDsbXENCWehbhjxEhsMzFztdeoQ2wpMYHRG3UsY8MDd2w4EpvLSWmSh8HZqENqceBGHWIziVmN2ahDPwzH9ngwFlm6tXWWzNGoI814lFS84HUWIMdqvveNDnHevJ11FqAPFd2H6842gRSMRccWZqVAkLB1FiBIuDoLEIK73EsYC8dcGAixFXUWJB8jDbCmfg11lvkNhqn7OkooNSPkiWc47hEdQdm47x2FraHM0jiaFYx4ezefOxLHrXkvFYYraHjBxSmQgxGVqOI06OZzoGsU3TXrak4gBSMAczSnNdzeRYJANKdn8zkQJZzqBEJwsx9lNGwQAyREMNXp3XyOBGQE+DZl5/xGw9R9PSWUmhH1xLLTu/kcCcd98yhwDbqzcTgrGPH29mvLXF01cq4raHjBdSeQgxGWyLqzxX5tSHRFR19XVwIpGBGWoSsbumkAeSDy0tmvDUkSTl0CIbg5jjAYDnUJhAimLt392qB4jCDeprac3w+Yui97hFIzIp9YW7r7tUHRuG8dBa1BWTYOZgUj3t5+bZlrm7nn9g+7K2h4wZUlkIMRlOTKsoV+bUAXKLoL1lWYQApGnG1PYQJ5IArT2a8NCBJOYAIhuKmOMhY2iAESIpjA9PRrQ+IxYnmbArM/1yTOm9gOoNSMwCcWmJ5+bUg07ltHQWsQmI2DWcGIw55MVDa4W2nhhbt27HLjJxOF9q6Gij+Mk4lCZ2U0Z23ByUQhoGIBEuCSyx9fvrnbSWefstknZT5pLfnetefiM7Od9gOzS7ebOn7gYafe5PCFeXjeN0POe452O/Xa9pN63mF2Tnza6XbiRNV7JfQ33zDX9X1o9lKYa/Cmn85/pnb/D/Uf+bD+W/UXnsyfRD0Wxuh3640Zb13+bXf6L/prn9aW/97Y/dzf+XZntrRewzydW/7CtXwzi6kw84fki6t5lnbWp8Zvv1HRX2VRvTv5ven7Krp8W0Uzug+nT7Ulb9Z+NbtJHpu/9RMzLTNuMfuY6y8+mtnxuN7Y/Hpti7kF0NxHOPfIfIt0/ZtrPp1vPtl9brB+Of2n6W+n/6z/e7cz/Z2ZEtZWPKw3Vn9qnov6r3w2+xfqOPKjy590UtXNlOH+qJ5Afv4/PppxmH/p4/p9eGPmmatNM/Vcxfy12qCaRr9O0W4R6ZHWn1Tnf/7+L21vzZ70rVkVHrgTs0IDieeO6NMnz4lZoYnEA0drToyExnGOFxG855jwCI2DnJi9Jg4Hd/eOjoZHc3lYjQ9eOkjL3YMs0v/F+r9E/5d+xbyiGsRIxt3Iqhr3xZhEFdjyAVuptUQdyDxgWywP2DpvgLsvNpkoBduYMWqSGwM3w4GYgajQmo/bOgzXRt94YQhcCIdiBMVEID8+2qs7C7NWrB2KrSXmPvKEmxB4Kh14Kh14Kh14Kh14KlLgGYkRidmTd2o3KYu8pxyndqWWEpMo49RusTy163xZj8TmctKq6NlZrGV4g00ltb+dM7yNgeaBP9Aci80nJlTu2d5i59geZMYiS2txSLqi1MA414w8K2bSdSPX2d6SR0nFC15sBHIwFqipK0+zYuMPzNTVTD3NRNVMXB+bCeblO2YG/sSsqjjWoup59C/0LP5XnZfqWfRTMwHXM80fmsmr/rX5mpn766/NF2ue1pPe+dcuf6gn1earX+jvf3z5Ez31r88T1zNwPT/vfWW+NPXCbN9srnthSj/7oaQzW30w9j7Tf5OZZ39//m89to3VHeRYKfpY0deFbBR7SApGcYAxT68XZepli3phzkZ1F0kFqY1aw9o9JMaqbvFgrLkAAITg1mgII+FYKABCBKuMmjvbHVvvkHiMxNPGPHcx253frpm6r0qFUjOCH3miZhtQZUMbQdG4bx0FraEy2jiYFYx4ew91KMdh4iziuoKGF1oNIzkYQYmnhts51IFEV3T0NcUlkoIRXxni0r/lDskDkZXOQx1IkmDKEgnBzXGEwUjTuJeUVgE2QKIE05fuox1QPEYob1FfZvPLNTP3TalQakb8E+tL99EOKBr33aOg+fVl82BWMOLtPdqhHIeGM8/lXXZX0PCC60sgByMoyfXl+kc7kC5QdBesqzOBFIw4257OBPJAdKbraAcSJJzMBEJwUx1hLOKk7JXWhYEBkiSYyjTHATIb3j4UjxHQ21SZ86s0M/fNqFBqRvQTq0z3+Q4oGvfVo6A1qMzGwaxgxNvbElE5DhBnCdcVNLzgKhPIwQhKZJUZsCUi0jWK7pp11SeQghF/GerT0RIRCQKSna6WiEiUcMITCMHNfpTRsEEMkBDBNKevJSIUkBHg21Sd8ysyM/eNp1BqRtQTq05fS0QoHPfNo8A16M7G4axgxNt7T4xynELOUq4raHjBdSeQgxGWqLpzK++JQfpQ0X1IF6iSM7E28j0kOSO8c0StVQneRYJARK3rbhkkSDhJC4TgJlbCWDgkLRAimKT13C0D5WOkjjYVbTqXQM6LEA+g1IyQJ1a0nrtloGzc947C1iBoG0ezghGHbZRj3X1xK8u8cP1VuE03ypHauxor/iAa5UidldGctflGOVJAxQIkwMWM1jh9Wmuc/HpbFj3BmPVlEfe5qc/ITX9uvF0/lh+bJ3f+xz/v1Ns/PplNcub9Zeovz/6Cet5kfWQ5bWw6G+ljQ+pNk9b9bh7NfnbGU7vn4xf+VLQbGaafX75p/tRL089v/I+H0/e/0rM9oHvSB5R4Lr+FOY3QQOKpevpcxd2TRmoi8Tj9mrMQoXGrSgfSk0Zq3MZ60mRq9yDL9X99/V+h/ytnrSGyzNeTRoxJFFzt9qQRW0uUXLyeNFm26EmTOW9XvC82mai62pidaZIbAzfDgZghYzKwW0Vow18YAmdPGjGCYiKQHx/t1Z2FWSvWDsXWEnMfeXJLCDyVDjyVDjyVDjyVDjwVKfCMxIjE7NleTxqxpcQkSu9Jsww4D9wv65HYXE5aFT07i2UDb7CppPZje9IsA80Df6A5FptPTKjMnjT6kTm2B5mxyNKtrSPmjp40meJRUvGC1xGBHIzFYOoiz3bWEYE+VHQf0pdGbBR7SArGAnkL82cgSNiaIBAkXE0QCMGtTRDGwjFrB0JsRU0QycdIA23MOhdzz/lNsZn74l8oNSPkkadN9BEdQdm47x2FraEm2DiaFYx4ew9X5K4WMTnXFTS84OIUyMGISlRxGvRwBdA1iu6adTUnkIIRgDma0xpu7yJBIJrTc7gCiBJOdQIhuNmPMho2iAESIpjq9B6uQAIyAnybsnN+jWzmvhMYSs2IemLZ6T1cgYTjvnkUuAbd2TicFYx4e1sT5q7WMf776yyuoOEF151ADkZYIuvONlsTAtEVHX1dXQmkYERYhq5saBkD5IHIS3drQiBJOHUJhODmOMJgxEncK11NY4AowTSmpzUhEo8RyttUmPN7ZDP3pcBQakb8EytMT2tCJBr33aOgNejLxsGsYMTb25owdzWNKbiuoOEF15dADkZQkuvLFloTAl2g6C5YV2cCKRhxtj2dCeSB6Exna0IgSDiZCYTgpjrCWGT9XmGN2wMkSDCR6elMiMRjxPM2RWYx1yXuG0Wh1IzgJxaZns6ESDTum0dBaxCZjYNZwYi397bB3NUhpuS6goYXXGQCORhBiScy/0BvG0SOlaKP1bpqGEjBSAgMNUy5bRBJBdHE9tsGkRjhFDEQgpuXCSPhKOsDIYKpYfdtg1A8RuJpUw3PL6jL3LcNQqkZwU+sht23DULRuG8dBa1BDTcOZgUj1v/7xnM6MNOfvu5Tve22m+nbYG8pz9U3eZkWq7CB2s0k9jXg21JzVyPHmt1mfrui6x525s1hnhLaxeRJvjiU9LxYnHeQ6caR6SDTTazjdUfqgIzmgM13kJECKhYgAc5m3Z7UutUYDmsfIjWQeACaoUOd7UOkJq7qTEj7EKlxq5kM0j5Eahykfcg1CRGpXqRsdu+L7SZmREE/kCRRrn4gYmuJOZHXD0RFi34gynmB3X2xycS8yFLTls3mVkcfiK0mJrPmDiBUUw/FpiqmqeQHQ3tvZ2HWirVDsbXENCWfZjhjxEhsMzFz8Vp3eOLDA7GlxARGb92xjA0P3LHhSGwuJ6VJHgbXy1ZJLW6nWQfVzGOxmcSsxmzKoR+GY3s8GIssNaZGaZLl56dxNznrJ90sKePuSZpH3Uma5yqPVJmezJ8S5yTWM6WXTmQdTTmU534tGyUVzzbd9VBxprw2jttIDsYKGnUuTCzdXCuFPDdlxtdv/ux6bWb2781m3c+1yjR/6r3pb+p9Tu9N3+/0lfsYJnKkFH2k1p3TAikYa5eMuS+lcIOkCli4QWIEK9wgIbhLyISRcEy+gRDBCjdxrDOosvHtQ/kYeYc11/RXbtT8Uk7lvmEVSs2IfuIplXtER1A27ntHYfOXbppHs4IR12r4bBKl52enF92T7KzsZpEqumXZT7vFRF1cRJOoH51tQg1bF4Jvzc/3M1xBwwuuhoEcjKjEU8PU3fJ9Rdktj3SBortgXZkJpGAEWobM9O+WR/JABGbUK6x7Nu4hScJpTCAEN9dRBsMGMUBCBNOYedrrpza8fSgeI5i3KTHn928q93WqUGpG5BNLTOeAjqBo3LeOgtagMBsHs4IRz5ogq1JNirNz/U3TGyQ+LbuT8yjuluf9/iTpn2fn8dnL4RWmdfBvzXsPMlxBwwuuMIEcjKAkU5izBczVjh+d2Ze1vJw1/Zivfmb2ieIdpAcU3QPrCkwgBSPMticwgTwQgZnYCzP3kCDh9CUQgpvpCGPh0JdAiGD6slS9yLo5ch+KxwjlberL+XWYyn25KZSaEfjE+tI5oCMoGveto6A16MvGwaxgxNvbx7jv6PehMq4raHjB9SWQgxGUyPoyYB9jpGsU3TXrCk8gBSP+MoSno48xEgSiON19jJEo4TQnEIKb/SijYYMYICGCaU5fH2MoICPAt6k6s7lQcV/fCKVmRD2x6vT1MYbCcd88ClyD7mwczgpGPOtjHCdleaZOu5N8UnQz1S+6RRyfd8vJaX5yniVlkkxeDq87lc0Vt5TiuoKGF1x3AjkYYYmqO381OzLZmX60vOWt7q1Rr2w+na1rLm5z+8X0/el73elvErNX81fT303fvbquzaM2gQ5RdIesqzaBFIy4y1GbVol2FwkCUZuJ46Y2JEg4rQmE4GY8wlg4tCYQIpjWjKOspxwLnEg+RkxvU2rO7/ZS7pvaoNSMkCeWmu4RHUHZuO8dha1BaTaOZgUjNlLTpyDbbadh7Tx6a9632grXj6JrcJtupyE0dzVUfHnbaQgdkNEcsAXtNISAigVIgLNZtye1jnhOuQWNKjSQeCiZrj097TSEJhJPI6+pKoXGrWYuTDsNoXEbb6chtZuYEVtupyG1lpgTme008mU7DeelXvfFJhPzIks+U8+jH4itJiazNttpSE1VTFPJD4b23s7CrBVrh2JriWlKPK/wtdOQ2kzMXC2205BaSkxgjHYa+bKdhjM2HInN5aQ0ycPgbqchtDh0Ow2pmcSsxm2nke8c2+PBWGRpLaoTdTLJCtVNs/ism53k/e6kHxXdMlNReqKi/GIDndALVzsN/81Dlnk6DS94GQTIwVgyo86F+WWQr97lVUGA/lB0f6w7cwRSMJYEW5hhAkHCVkGAIOGqIEAI7mosYSwc81ogxFZUQZB8jJDOmsZ518010nzd3H2tI5SaEfLEsxVfFQTJxn3vKGze0Rw1j2YFI97efd6Fq1OF//YhiytoeMGFJpCDEZWoQjPoPm+gaxTdNetqTiAFIwBzNGdqA7mLBIFoTs8+byBKONUJhOBmP8po2CAGSIhgqtO7zxsJyAjwbcrO+d2Ayn3RI5SaEfXEstO7zxsJx33zKHANurNxOCsY8fZ2SCtc/StKritoeMF1J5CDEZbIuhPRIQ3oAkV3wbr6EkjBiLQMfdnQwALIA5KZrg5pQJJwKhMIwc11lMGwQQyQEMFUpqdDGhKPEczb1JjzG/eU+/pEKDUj8ok1pqdDGhKN+9ZR0BoUZuNgVjDi7e2QVjg6WOSeezfsrqDhhVaYSA5GUJIpzFY6pCE9oOgeWFNgIikYYbY1gYnkgQhMV4c0JEgwfYmE4GY6wljY9SUSIpi+dHdIg+IxQnmL+jKPZpIkd16BdgClZgQ+sb50d0iDonHfOgqaX182D2YFI97eG88KR6eK3HPdhd0VNLzg+hLIwQhKPH35B3njGXKkFH2k1tXBQApGOmDoYMqNZ0gqiBp2aGEgRjgtDITgZmXCSDi0MBAimBb23HgG5WPknTbF8PyOrNx94xmUmhH9xGLYc+MZlI373lHYGtRw42hWMOKw3TRKG9ytPPHClatwG+6mITV3NVR8abtpSB2Q0Ryw+W4aUkDFAiTA2azbk1pHPKbMkKuOs05SA4lnkhnK09lNQ2oi8TDymqpSaNxq5oJ005Aat+luGmK7iRmx3W4aYmuJOZHXTSNPFt00cueVWffFJhPzIks+U4+jH4itJiazFrtpiE1VTFPJD4b23s7CrBVrh2JriWlKPK/wdNMQ20zMXO110xBbSkxg9G4ay9jwwB0bjsTmclKa5GFwdtOQWhy4m4bYTGJWY3bT0A/DsT0ejEWWbm2ppnR008hTHiUVL3ipBsjBWDKjzoX/kEs1wJFS9JFad04LpGAsVjLmvqRSDZAqZKkGiBGuVAOE4C4ZE0bCMfkGQmxFqQbJx8g7rLlmQ6lmfhlg7r7ZEUrNiH7iKZWvVINk4753FLaGUk3jaFYw4u09elk6Wn7kGdcVNLzgahjIwYhKPDXc7tFLpAsU3QXrykwgBSPQMmRmw854IA9EYDqPXiJJwmlMIAQ311EGwwYxQEIE05juo5dQPEYwb1Nizu/9y93XOEKpGZFPLDHdRy+haNy3joLWoDAbB7OCEW/v0cvS0dwjV1xX0PCCK0wgByMoyRRmO0cvgR5QdA+sKzCBFIww257ABPJABKbz6CUQJJy+BEJwMx1hLBz6EggRTF96jl4i8RihvE19Ob/tL3ff3QilZgQ+sb70HL1EonHfOgpag75sHMwKRry9TYtLV2uPnOsKGl5wfQnkYAQlsr4M2LQY6RpFd826whNIwYi/DOHpaFqMBIEoTnfTYiRKOM0JhOBmP8po2CAGSIhgmtPXtBgKyAjwbarOfC5UnJe0HUCpGVFPrDp9TYuhcNw3jwLXoDsbh7OCEW/vrWylq+WH/94QiytoeMF1J5CDEZaouhN+KxvSH4ruj3XFJpCCEXY5YtOq0O4iQSBi03UrGxIknNQEQnATHmEsHFITCBFManpuZYPyMUJ6m0pzfo9X7r6VDUrNCHlipem5lQ3Kxn3vKGwNQrNxNCsYcdhuGrE1At3KvXd/xNEq3abbaQjNXY0VX952GkIHZDQHbEE7DSGgYgES4GzW7UmtW43auHYaQgOJh5Lp4tPTTkNoIvE08pqyUmjcaurCtNMQGheknUY/6feywmb3vthuYkpsuZ2G1FpiTmS20yiW7TScN3jdF5tMzIss/Uw9j34gtpqYzNpspyE1VTFNJT8Y2ns7C7NWrB2KrSWmKfHEIi2yxHn4S2o0MXW12E9DaikxgzH6aRTLfhrO4HAkNpeT0yRPg7ufhtDi0P00pGYS0xq3n0axc2wPCGORpVtbB4kjV0ONkodJ5QteCAFyMFbNqLNhfCEE6A9F98e6c0cgBWNVsIU5JhAkbCEECBKuEAKE4C7IEsbCMbMFQmxFIQTJxwjprIlcQyFkfu1f7r7DEUrNCHni+UqskqiXpja4ERSO++JR4BoqIY3DWcGIt3ert5aa1tRxqx9xfUHjCy01kRyMuESVmiH3eiNdo+iuWVN1IikYIZijOq3x9i4SBKI63Xu9kSjBdCcSgpv+KKNhgxggIYLpTt9ebyggI8C3KDz78/sA++7LHaHUjKgnFp6+vd5QOO6bR4HzC8/m4axgxLXwnEzOLk7O80l3chKb84jJSXeipWo3z9RJfnJRlnE/e3kDwtOaBm/1vZf72HxB4wsuPIEcjLhEFp7X2qSttrAwX1PRvH+Ftz0aEl3R0dcVlkAKRohlCEt/9wokD0RfurpXIEHCqUsgBDfHEcbCoS6BEMHUZZ71VG7D24fiMWJ4m9pyfrte331XIpSaEfjE2tI5oCMoGveto6A1KMvGwaxgxLWyvDg9zS/6J6fdon96qlXoadw9ySan3Yt8kiSTk5Oi6M8Dalhlmdl8caufcH1B4wuuLIEcjKgkV5a+BrxaXhIa8CJdoOguWFdhAikYgbY9hQnkgSjMqGfdTnQPCRJOYQIhuLmOMhY2iAESIpjCVHEvty527EPxGLG8TYWZzEWJ8wK0Ayg1I/CJFaZzQEdQNO5bR0FrUJiNg1nBiLf3vjOtMJXNF7fmTZkZvqDxBVeYQA5GVOIpzD/IC8+QI6XoI7WuEAZSMPIBQwhTLjxDUkHksGO5FYgRTgwDIbhpmTASDjEMhAgmhj0XnkH5GHmnTTU8vyKr777wDErNiH5iNey58AzKxn3vKGwNcrhxNCsYceBuGvYDSGbp10MXr9JtuJuG1NzVWPGl7aYhdUBGc8Dmu2lIARULkABns25Pah3xmDJDrzpOOkkNJB5JZkhPZzcNqYnEs8hrykqhcaupC9JNQ2pckG4acZKXvcSxKio1nJgT222nIbaWmBR57TT62aKdRt95Z9Z9scnExMgS0NTj6AdiqzOm1eTHwtlOQ2yqYppKfjC093YWZq1YOxRbS8xT8pmFO0iMxEYTc1d77TTElhJTGL2dxjI4PHAHhyOxuZykJnkanO00pBYHbqchNpOY1pjtNPTDcGwPCGORpdtbrokd7TTMFnkOJpUveLkGyMFYNqNOh/+QyzXAkVL0kVp3WgukYCxYMqa/pHINkCpkuQaIEa5cA4TgLhsTRsIx/wZCbEW5BsnHyDus2WZDuWZ+H2DffbkjlJoR/eSTKk+5BsnGfe8obA3lmsbRrGDEtRym3TQeXg5bF4Nv9XOuL2h8weUwkIMRlnhymLo/vq9I++OBLlB0F6yrM4EUjEjL0JkN++OBPBCFGfUK60Gqe0iScCITCMFNdpTBsEEMkBDBRGae9vqOUhASjxHM29SY87v/+u6rHKHUjMgn1pjOAR1B0bhvHQWtQWI2DmYFI64lJu2y8fAS0zr6t/reu4ZsvqDxBZeYQA5GVJJJzNkS5mp7j87sy1pfzjp8zNc/M/tU8Q7SA4rugXUVJpCCEWfbU5hAHojCdPb4AIKEE5hACG6qI4yFQ2ACIYIJzFL1InvjYigeI5S3KTDnd/713Tc4QqkZgU8sMJ0DOoKicd86ClqDwGwczApGvMVti2NXj4+C6wsaX3CBCeRgRCWywAzZthjoGkV3zbrKE0jBCMAM5elqWwwEgUhOT9tiIEo40QmE4KY/ymjYIAZIiGCi09u2GAnICPBtys5irlScN7UdQKkZUU8sO71ti5Fw3DePAtcgPBuHs4IR18IzSU7U+UU26UZ5rrpxfF50i+is7EaRilReFHGp5oosrPBUNl/c6pdcX9D4ggtPIAcjLlGFp+Vqtg+N6KyvaHs6+2a9ujn9xfTn01/V97AZZal/b114uoPkV3T+ddUlkIIRZznq0irJ7iJBIOrSdRUbEiSctgRCcDMcYSwc2hIIEUxbprHqKWXj24fyMUJ4m9JyfndX330VG5SaEfLE0tI9oiMoG/e9o7A1KMvG0axgxIG7aFhzwa3Cf91Hskq34S4aUnNXY8WXtouG1AEZzQGb76IhBVQsQArce9rwj/XwPpw+2e3Elz++fFPHiNmndPYpm31S5lPPnLwyZ8ceaf3/zGxy0H/YnBSbfmCmA91M/4DlsTELzV+Yter3zWNhVqW1v/RXn+q/6w3zQNXL0p+bJehHtfue1H/DD+pvfzb7Vn0BdP1R/4lOvZXiSb1L1/zRTxeHwHb1o2YOtH1oFrjrWcmn8x+oB+iH+uc/rP9G/YUP9fcf1hyznRmfGhL9lzy23Tv9dLq4ebr+gSfzR//h7LezS6j/NKn/deOT2b85+4trNz01B+1m4Prbj+uV+dfZ2LOH7rmzcNp5n9an4frqr7KoPk333vT9vrp8W0UzX3yo/+m39DP7+tzPj83f+onZ71xP257WX35s3mFjx+N6TF6vbTHD93CO/mmnPsz1eOao6+6f1w92Zz82G9var5c/uvxJJ1XdTBmWj+rd1p+nM9PMH/64fmXemMFelTLqXRdmfPS/URuo37hot4g6XfNJdf7n7//y5Ze/ZXu39qTv1qrmgPWAkRpIPEdPnzq5e8BITSQeoF9vUiQ1blV4QXrASI2D9IC5JgsHd/eOjoZHc2FYjQ9eOiji3YMi0f+l+r9M/6e+Yl5SDWLE4m5k1Yv7Ykyi/mu3Y4zYWqIA5HWMKaJFx5jCeUPdfbHJRBHYxmRRk9wYuBkOxAxEHdfcP8ZhuDb6xgtD4EI4FCMoJgL58dFe3VmYtWLtUGwtMfeR59qEwFPpwFPpwFPpwFPpwFORAs9IjEjMnswuNEXa7ynrYDwQW0pMovQuNMuA88D9sh6JzeWkVdGzM1/F8AebSmp/Oz1pGgPNA3+gORabT0yozF41+pE5tgeZschSY+okTsryTJ12J/mk0BOCftEt4vi8W05O85PzLCmTZDKDca4WedbKxCtGjl41hf8ir2uYVL7Q9UUkB2NxmrroZKkvLqbgiwn4p/MDFfNZ9/Q3iZn0/mr6u+m7s2+YmqN7OxvSIYruEPoajY1iD0nBWH1vYTYMBAlacESCBCs4IiG4hQ/CWDjm4ECIYAXHOMp6yn6EAsrHiOltzCEXM8n5zZqF+5pUKDUj5JEnQfQRHUHZuO8dhc1fcGwezQpGvMVnKByZ41aRcH1B4wsuNYEcjLBElZohz1AgXaPorllXdAIpGBGYIzpTG8hdJAhEdLrPUCBRwslOIAQ3/VFGwwYxQEIEk52+MxRQQEaAb1N3zu/bLNyXp0KpGVFPrDt9ZyigcNw3jwLXIDwbh7OCEW9xA8LE0R2mSLm+oPEFF55ADkZcIgtPQANCpAsU3QXrCkwgBSPUMgSmvz0MkgekMx0NCJEk4WQmEIKb7AiDkffTXlFax2OARAkmNk3XOuusZh+KxwjpbUrN+V2WhftmUig1I/6Jpaa7DSEUjfvuUdAahGbjYFYw4i1uQ+g40XCryLi+oPEFF5pADkZUkgnNVtoQIj2g6B5YV2cCKRhxtj2dCeSB6ExXG0IkSDiZCYTgpjrCWMR5pnrKITOBKMFkpuldV9jw9qF4jIDepszM5srEeeHgAZSaEf7EMtPdjBCKxn33KGgNMrNxMCsY8RbfL5g4esIUiusLGl9wmQnkYEQlnsz8g7xfEDlSij5S68phIAUjHzDkMOV+QSQVRBQ7JDEQI5wkBkJw0zJhJBwFfiBEMDFc30ZnFfv7UD5G3mlTDc9vpCvc9wtCqRnRT6yGPfcLQtm47x2FrUEON45mBSMO3MjGuop+a16cc9Glq3SbbmQjNHc1Vnx5G9kIHZDRHLAFjWyEgIoFSIFrt5GN+lI2sqmbptS2NDe0aW5n89W75mjdv3e0CdbRpudsaSN8y1bVB66ljdBA4qF8xhTK3dJGaCLxNP6a0yOhcasSDNPSRmjc5lra9HcPikL/V+4elJH+L553lsi9LW2kmEQl2HJLG6m1RCnIbGmTL1vaOO9lvC82mSgH25g2apIbAzfDgZiBqOjWaGmT33hhCNwtbaQIiolAfny0V3cWZq1YOxRbS8x95Fk3IfBUOvBUOvBUOvBUOvBUpMAzEiMSs2eLLW2klhKTKKOlTb5saeN8WY/E5nLSqujZWaxneINNJbUf3NImv/GC690tbaTmExMqt6VNvnNsDzJjkaXbWx5NXS1t/PfWXcOk8gUvjwI5GMvU1OWnP+TyKHCkFH2k6MtINoo9JMWqTPFQMKbppPIokCpkeRSIEa48CoTglmkII+FYJwBCbEV5FMnHyDttzHMXs935ZbeF++ZiKDUj+pEnapzyKJKN+95R2LyjOWoezQpGvMWnn1NX2x3/bXoWX9D4gsthIAcjLPHkcMunn4EuUHQXrKszgRSMSMvQmQ2nUoA8EIXpPv0MJAknMoEQ3GRHGIwkTtNeFllj9wDJEkxreo4/I/EYMb1NqTm/3rZw31YMpWYEQLHU9Bx/RqJxXz4KWoPSbBzMCka8xcefU1efnZLrCxpfcKUJ5GBEJZnSbOf4M9ADiu6BdYUmkIIRZ9sTmkAeiNB0Hn8GgoTTmUAIbqojjIVKorKXWffvDpAowWSm5/gzEo8R0NuUmfO7bgv3zcVQakb4E8tMz/FnJBr33aOgNcjMxsGsYMRb3Ec8dXTZKf0381h8QeMLLTORHIyoRJaZAfuII12j6K5ZU38iKRgBmKE/HX3EkSAQ4enuI45ECSY9kRDc9EcZDRvEAAkRTHT6+ohDARkBvkXZWUYzpVK6b0OFUjOinlh2+vqIQ+G4bx4Fzi88m4ezghHXwlMl6mSSFaqbZvFZNzvJ+91JPyq6Zaai9ERF+cX56csbEJ7K5otbpf8yH4svaHzBhSeQgxGXqMKTf1fiV++yrkpE+kPR/bGu2gRSMOIuR21aJdpdJAhEbbquSkSChNOaQAhuxiOMhUNrAiGCaU3PVYlQPkZIb1Nqzi/XK91XJUKpGSFPLDU9VyVC2bjvHYWtQWk2jmYFIw7c0iaz0d0qEy9dtkq34ZY2UnNXY8WXtqWN1AEZzQGbb2kjBVQsQApcyy1tpg831tSm6O9+qdraPF5+c/NWrra7eWRtw/PYWNWZ/t96gH+9++99eVrty2MLE3vSMLEqn2A9eaQGErsK0GeB7p48UhOJ7QTWnN8JjVvVkJCePFLjNtaTp0x3D8pM/6f0f7n+rz9rjVEmvp48YkyilG23J4/YWqKW5fXkKZNFT57SeRvmfbHJRD3bxrxXk9wYuBkOxAxESSrvyaMNf2EInD15xAiKiUB+fLRXdxZmrVg7FFtLzH3kZQNC4Kl04Kl04Kl04Kl04KlIgWckRiRmz/Z68ogtJSZRek+eZcB54H5Zj8TmctKq6NlZLMh4g00ltR/bk2cZaB74A82x2HxiQmX25NGPzLE9yIxFlm5v6TRz9OQpUx4mlS946RTIwVhnp66f4UunQH8ouj/oq002ij0kBaOO0MJkGAgStnQKBAlXOgVCcEs4hLFwTMGBEFtROkXyMUJ6G1PIxURyfmtv6b6CGUrNCHnkORB9REdQNu57R2FrKJ02jmYFI97i0yGZo91NmXF9QeMLrjSBHIywRFWaQU+HAF2j6K5ZV3QCKRgRmCM6UxvIXSQIRHR6TocAUcLJTiAEN/1RRsMGMUBCBJOd3tMhSEBGgG9Td86v8S3ddzJDqRlRT6w7vadDkHDcN48C1yA8G4ezghFvcZ/FzNH9plRcX9D4ggtPIAcjLpGFJ6DPItIFiu6CdQUmkIIRahkC09/+BskD0pmOPotIknAyEwjBTXaEwYhV2cvtLa8HSJRgYtPdZhGKxwjpbUrN+RW5pfvCYyg1I/6Jpaa7zSIUjfvuUdAahGbjYFYw4i1us5i5+t/kXF/Q+IILTSAHIyrJhGYrbRaRHlB0D6yrM4EUjDjbns4E8kB0pqvNIhIknMwEQnBTHWEs0qLs9R0qE0gSTGW6uyxC8RjxvE2Vmc+FifumVCg1I/qJVaa7yyIUjfvqUdAaVGbjYFYw4i2+RTFzNbvxX6Fj8QWNL7jKBHIwohJPZf5B3qKIHClFH6l11TCQgpEPGGqYcosikgqiiR2KGIgRThEDIbhpmTASjvo+ECKYGPbcogjlY+SdNtXw/N690n2LIpSaEf3EathziyKUjfveUdga5HDjaFYw4sAdeazjeav039yjVuk23ZFHaO5qrPjyduQROiCjOWALOvIIARULkALXbkeePFA/nt3rXVS6iwkHpyHPSqOad+tNy29d/m13+i/6a5/WqL83oA3ddYDNaVT0XHMaFW2sOc3VIP5y+k96kP9Z//duZ/o7M/GrrXhYtw361DwrpEY2/+MjXCcb4eu1KjtwnWyEBhLP4jPmTu5ONkITiYfw15wXCY1b1V6YTjZC4zbXyabcPYijyHyIzYfEfEjnTSUKbzcbKSpRBrbczUZqLVEHMrvZFMtuNs47J++LTSZqwTbmjJrkxsDNcCBmIMq5NbrZFDdeGAJ3NxspgmIikB8f7dWdhVkr1g7F1hLzH3nKTQg+lQ4+lQk+lQk+lQk+FS34jMSYxCzaYkcbqaXEZMroaFMsO9o4X9gjsbmc9Cp6fhYLGt6AU0ntB3e0KW684Hp3Rxup+cSkyu1oU+wc2wPNWGTp9tZHlaujTcnDpPIFr48CORjr1NT1pz/k+ihwpBR9pOjrSDaKPSQFo0LAmK6T6qNAqpD1USBGuPooEIJbpyGMhGO9AAixFfVRJB8j77Qx113MeOfX+JbuO5mh1IzoR56sceqjSDbue0dha6iPNo5mBSOu5fBkcnZxcp5PupOT2GwtTE66k+wk7+aZOslPLsoy7mcvb0AOWxevb8WR/6JAizNogKH1MBSEEZh4gvj588+rh1LM11Q0P5HiPfcMZVd09jUlJhSDEWUZGtN/IgUKBJGXriMpUJJgChNKwU11hNGwS0woRTCNmWc9ZZeYWD5GKG9RY5pF8VqWzH9hAz/AgjMCoFhmOgd1hGXjvnsUNr/MpAxohYOulebF6Wl+0T857Rb909NuVmp9epJNTrsX+SRJJicnRdGfh9awSjO1OUMrTf9FgRZn0ADDK00gCCM8yZWmr9OOlpuETjtQHyi6D9ZWnEAMRsBtUXECgSCKM+pZy1H3oCQBFSeQgpv1KKNhoxhAKYIpThX38szGt4/lY4T0VhVnvBAo7puYseCMAChWnGZQrXpjhGXjvnsUtibF2TygFQ56i1uKK0fDnThKuM6gAYZXnEAQRngiK86ATcWhvlF036ytRIEYjEDMUKKOtuJQEpAEdfUVh7IEFKFACm4ipIyHjWIApQgmQn2txbGEjDjfqgxNFqrFfUUqFpwR/cQy1NdeHEvHff8odE1CtHlIKxz0Ft+iqBw9eeIo5TqDBhheiAJBGAGKKkTh9yhCHaLoDqGrT8B52unHNt/sQX3DCOocSWuVgXehJBBJ67qfEUoSUNACKbgJlTAaLkELpAgmaD1XNGIBGemiVT2bLsSP+5ZGLDgj9In1rOeaRiwc9+2jwDXJ2eYRrXDQgXvqWHdnaIGaefHyVbwNN9UR27saNL60XXXEHshoHth8Wx0xoWIREujW7qRTbK6Tjp5Pt9dIR/9JI/wXZ+/m4n9z7XT66rl2On0Vup3OVY+ittvppG100+nZXqs98WtF7CfQxmxLaCGxFQB9FuVuqCO2kdgEYN35kdC6VfUFaakjtm5jPXXiSJkuOrn50DcfCvOhnPW10Di+rjpyWqISbLetjtxcohTk9dXR5iwa68z9bLP6vtxqoiBsYwZpYG4MPBgHcoyMicFueGFsf3EgnP115BSKSUF+joxnd5aGrRg8lBtMzInkaTghGFUmGFUmGFUmGFUmGFXEYDSSkxJza3ttduSmElMsvc/OVRB64Hl7j+QWc9Ku6DFaLnX4A1AlRsB227kKPosBcPbbkRMQ0y2z4Y55dpZGrRg7lhlbW5ucqPOLbNKN8lx14/i86BbRWdmNIhWpvCjiUs3zsXNhybOyJl5ccvTc0SGLx0kFDF//BIIwFrSp61OW+ueH9QzY1EGfzr5Z3383/cX059Nf1cVOM6XVv7eO5B2oAxTdAfTFGxvGHhSDsT7fxmQZSBK4NAkkCViaBFJwiyOE0XBN0YEUwUqTqdmQo2yA+1hARiRvY2K5nF6qRSHLfbsyFpwR+shzIvqojrBw3LePAtdUmmwe0QoHvcVHPnJnO5uc6wwaYHilCQRhxCeq0gx75APoG0X3zdoiFIjBiMQcEZraSO5CSSAi1HfkA8gSUIYCKbiJkDIeNooBlCKYDPUf+UASMuJ8qzo0X6gW9/3LWHBG9BPrUP+RDyQd9/2j0DUJ0eYhrXDQtRA9m0Tp+dnpRfck01I1i1TRLct+2i0m6uIimkR9rWBf3oAQtaZELUT9l/BZnEEDDC9EgSCMAEUWoqxuN31F63YD9IGi+2BtwQnEYIRchuBs6nYDBALpziK3odyDogSUnUAKbtojDEeR9NLC2n9oAEUJpj3ztNe3znP2sXyMwN6q8uwvZIr7rmMsOCMMipWnGVSr6hhh2bgvIIWtSXc2D2iFg65157kq1aQ4O9ffNBo1Pi27k/Mo7pbn/f4k6Z9n5/HZyxvQnZnNGVp3Flxn0ADD604gCCM8yXTnbBFztaN3Z/ZlLTpnTb3n181k9s78d6AuUHQXrC07gRiMeNui7AQCQWSnu603kCSg6gRScJMeZTQiHcBdqhOIEkx1lqoXWfn2sXyMsN6q6iwWIsV9byoWnBEFxarTDKrrRDCSjfsCUtiaVGfzgFY46C2+VDF3Nrgpuc6gAYZXnUAQRnjiqc4/yGsVoUOl6EO1tjoGYjDyAkMdUy5WhGJBNLJLIQM5AipkIAU3QRPGwrUdAEgRTBx7LlfEAjLST6vquFyIKff9ilhwRhQUq2PPBYtYOO7bR4FrksfNI1rhoPX/vvE39f92l5LKqYG/e376vVe+/S2LM1gS2LHZNPZc75OXabnK6Oqa47aSI2gdWxFui81cfbQ8ziTK1d9q4WgaWjyZS8c35j01fmragly+o0VsXaY3jUXevHxnt24S8oKefDZrOqLV5sezVh2zPh427jua++ZADH8tXLrp14uWsw4DceyIjGL7M7799IOZxuhDl9GHcqMV32j6WUxt89Bl81BuM/01kQfg2clvh+2V2PZrx3YbbOc9IMcug4/lBtMDPPOgrrZ37LJ3LLO3fjpeDpOgXCdvY899IHmZRU5Hk+1kpii7obfFhtLfPlGS6tTNov61Xpx45/LtupFZ3bpq3nZp+qkNR+ee2OQeIVPo3ONS5WL7Q+QeV/cRsdGKbzQrvAxdNg/lNtOf/rVzj0voS22H5x5XhwixwfTYLco9dnvHMnufW8QMkHuc2Sfxmh47XU22lJ197BWM22JT6W+gMP+8P313+vc2m3WSSUySERoeOsmkuwdJ0d89SJNcf8jL3YMsK12JR8oUIvGku4cG5NCAHBqQQxfIoRxE8UFY8WZoOIaGY2g4hoZj6OIYyjnor8faCSrdrQxPZXgqw1O5eCoxDzxppbvHBuLYQBwbiGMXxLEcgp4IRIks3R0bhrFhGBuGsYthLGMIO7HypLfUa3ziHACyrYL05pxgCY2lv8HUBPdeveb3js1MndNSk9OEtobOadnuQZyajqCFcwolJQmRybLdQ2P+ocv8Q7n5im8+K8wMjfVDY/3QZf1Qbj39mV87a2W7laGoXBSVmAKeq7LdY2P6scv0Y7np9GguylDZ7thYPnZZPpZZHj4vOTNT5jU/dTqebK0oMzlzk9Bc+nvKyU0f1138l1ucOvOu8fq3s19+3Kl3K5n+eT+s+5c8mn39s8vXL9+pm5g86tg4dXLLTHITwoZObqbndWySW6znanFicl1ifpWmrlwnBQuR65ROc7HJdZrm0NAcGppDF82hnEbxaVjxa2hghgZmaGCGBmZoYIYumKEchv6GrZ0JTVvj2GRCDVUZqMpAVS6oSgwFT4xK58TYJEZNcmxIjg3JsYvkWE5Czy6iPKl0ioxNntQgYwMyNiBjF8hYBmJI5nt0TIj7ui99tnEd0jJ3OrOn8lJcu+zJlT1buQ1pmTp77g0eQntXE8qatyH9rm4nay5++bTe2fGhuQHJ7Of4ZL6e+bjec/zk8kd11vxodkHS87cezW56me1Cnl2gM0u9j80tO/OrX57Om9h+urw8Ke4srrSxueeO2D2raamVq5JsJn5VbKJimSg0b09sXk4zj7H32NUGV2ohsa89Yxux+84YqY3EhvZrbhGWWreqEDB3xkitg9wZs2qzintZZrN7X243MfHxb3/JIufdL2JjiYmPefdLrJZ3v8TO/qf35VYT0x9rMnXtcXY4+0BuNjEtNU+VqLYeym1VTFvJT4fx387SsOvzHanBxIwl3ifuDBUjuc3EHMa7m8UZJh7IDSUmMsbNLMsQ8cATIo7kFnOSm+RxcDm5Epvczk0sVDuP5XYSExxz3mqeiKVR16enEmPrqcBZmhRnxVn3tCzLbnYyybuTaJJ2y1N1djbJz04uink2cc5cX520cxz3udmrc/6a8zCpfLY5rgeLM8+1gdyGgqxmf9/4ECfA7y1nrg/dM9eHlz+t2xLGKpp+btaMbeh3oOiKjr72zBGIsZqrPRhtzDCBJJgDra6mL0iScEdakRSrad9Dse68FkgR7Ehrlvf6uY1vH8vHCOGsSdw1WfHiidZ40Qw59vS3hoIzIp94puIc1BGWjfvuUdi8AzqiDGiFgzYnWX3Csd2ShzW7acno76HYX6XbeMlDaC9xzYeq+La25CF0T0ZzTyslD6GJimUiwby6ic7j+qjx0xfHq9N9fmj8mr4TJ/WVNVrQ/7ENeE8MTFySakPiCi0kLkBxpKu7iCK0kbj2tK4oFVrHWWci+M8lNoXWQYoo13Ly9buutYoq5vdax33Pvdb7cjJism23zCI1lphsuWWW/lWZxdll+b7camLKbUOhG5gbAw/GgRyDmBqbyy4O243ZN14cCBfFoZxCMSnIz5Hx7M7SsBWDh3KDidmPPM0hhJ2KGHZGcipixuSVbHJPyUZqKDFtcko2/auSjfM9PZJbzEmlogdmOWv0h5pKjNBOCac5zCwGwEVwLCcgplV2cae/szRqxdixzNitLe64O3r4+85ew6TyhS/uAEEYK4PUqX6rxR0guqKj0+fINow9KAZjibONmS+QJHBxB0gSsLgDpOAuMBNGwzXfBlJsRXEHyccI4W1MHZcTyEXv99jTzB8Kzoh85FkPeVBHWDbuu0dhayruNA9ohYOuu5XuXi00GYUV8ICLtXqiNWTpxs3LzK3racZytOHz1Z7YUZ66LTaYuPZE1YDWco/50k+n/zor3tTdeuZlmof6Jz/XIvH1ZavSp3Wl4PKN6SP9hz+rKzrmpGknies+96Zf/7NOFnma3ksdkdEc0UphR2iiYpkoNG9PbB5xIaoNMSq0kLioxBGZ7jKM0EbietK68lFoHWftiOA/lywUWgcpw1zboF7oWGydW+zLDScmOX6VpcgLd5lFai0xy3HLLOVVmcXZN/2+3GpiqmNpZeo28AO52cTE1FxWodp6KLdVMW0lPx3GfztLw1YMHsoNJuYs8TTCHSxGcqOJaYxXG3EHigdyS4nJjFMcKa+KI84gcSS3mJPgJA+E5zyL0OR2iiFUO4/ldhJzHLvkUe4sjVoxdiwztpZh5VmSR1nSVZk672YXyWm37EdRN46SclJeqChRTY2MPFN36WTVVfJIIh4mlc82pfVgcaa1NpDbUBDGehl1uvsv08fTz/Rs1dwC9+zy9cWMVv+2vvLtnc70n/TE9lG92dHcQvfZ9OG8+mE+Zl37NUd3oG5QdDesO5NEYjAWAekzzssfum5rQ6JA6h+FjeMelCNc9QNJwV2BJYyFY5qLpAhW/Uh6yoq3j8VjBHPWhK6h+JFE87Xy2S9s4AdYcEbcE89aXGM6wqJx3zwKWkPtgzCeFQ66VpqTOM5ylZXdPD5V3Swr+t0TddrvXpz0z6KzuFB5PndMUKVpXXrVSjPm+oLGF15pAkEYwYmqNN+v79R54/JHncvva0H5+fwa4qfTZ93pF/V3flAXUGblE60+315utZn+Ora/znegTlB0J6ytM4EYjHhL15l6IvCRDeUuFAWiM+OeS2kCSQIqTSAFN98RRsOlNIEUwZRm3rNvbN3H4jGCeatKM14ok9ijNJHgjMgnVpquMR1h0bhvHgWtSWk2j2eFg66V5qmK8yKN+111cp50s/NyolVpobrxRVSq/ukkmZzMxzyo0nRswUkSri9ofOGVJhCEEZzoSnO29+Zh5/LH0ydGQF6+Mf1wtmwZRTfMf5kN9A4UVNFB11aTQAxGTGWoSdc+GSQJSExaCxz3oCQBxSSQgpvSCKPhEpNAimBiMo7iXmmNY/tYQEbEblVOJgv5kXjkJBKcEfrEctI9qiMsHPfto8A1CcrmEa1w0LNzgfFFP+qflN1+fN7vZtr73SK/SLr9yUVSnuXqQl2cvxxeUFofAC0oU64vaHzhBSUQhBGeqILyV/O1yocdc96vvh3c1MJna5V1F6DPp19c/q2Wna/PvlhrzcIozXqbt/5NErm2eyN9oei+WFtzAjEYgZehOc0Bz496Hfu43IUCYaSnjeMelCOg8ARScFMfYSxcwhNIEVB49jJXwRzJxwjsrerOdKFSUo/uRIIzwt8autMxqCMsG/fdo7A1yc7mAa1w0GFbQbqEZOam60dxsUq38cOBUoNXY8aX/nCg1BEZzRFtHA6UmqhYJhLMm9/0aVz/ZLcTm04e+oWffUpnn7LZJ2U+aSn4wfTx9Iubnbgb69Bgv2FgT8y3GsZxpwulFhKPZTAkqft0odRG4oGMdeWm0LrVdIY5XSi1DnK68Fq2tTV5TMxNs0luPpjrZpNF87Uk8zRf25eDErNqu6cRxdYS0yrzNGKSLU8jztxss/q+3Gpibm1DixuYGwMPxoEcI2Ni8LuxadtfHAgXxaGcQjEpyM+R8ezO0rAVg4dyg4nZkDyhIYShyoShyoShyoShihiGRnJIYkLlnXOM0yhxHnQUm0rMq4yDjsv488Dz4h7JLebkWtETtJww+mNPJUZo5+Bjc9xZDICL4FhOQEy03COR+tlZGrVi7Fhm7NZWezLnkUjFw6Tyha/2AEEYi4LUST622gP0haL7gj6JtmHsQTEYy52MuXJTtQcIFLTaA+QIWO0BUnBXnAljkSv7ha8DKMhWFHyQfIzY3sYkcznVVIv6gPO62QMsOCMCkudH5EEdYdm4rx+Frang0zygFQ56ezeuZ84jkjnXFzS+8MoTCMKITlTlucbGdSCoooOuLSuBGIygypCVzhIMkASjJ50b14EkARUlkIKb0gijUai838ut51IHUJaAotKzfR0JyIjbrarKxQWkiedGWSg4IwCuoSo929eRcNx3kALXJCubR7TCQW9v543MeR7Sf3uPxRc0vvCyEgjCCE90WQnpvAF0gqI7YW3JCcRgRFyG5HR33gCigDSnq/MGkCSg5gRScPMdZTSyKC57hTV7D6AwwUSnpwEHEo8R01uVnP2FQPFclgoFZwRAseT0NOBAonFfQApak+BsHs8KB729TYUz5zZ3/5U/Fl/Q+MILTiAIIzhRBSesqTDQDYruhrUlJxCDEXHpktPTVBiIApGcLsEJ5AgoOIEU3HxHGIs8SU0V0sYygLIE05ue1sJIPEZIb1VvLq7hSzz3KkLBGdFPrDc9rYWRaNz3j4LWpDebx7PCQS+vVZwrLaMjA16rqGy4WlKWbty8zMpV3FAnJx13id8WG7waQwAnJ82So7liW//m6eU7l28v7tx+Nv3whYOURkVOn1z+XW92PjL2no8U4mY03FbORwpNVCwThebtic1bjb3A441CC4mnMehi</t>
  </si>
  <si>
    <t>0ne8UWgj8RjGukJRaN1qEgIdbxRaBzneeG3M+333IqLUcGIq4x9XVKrvPq4otZaYy7jHFa8uT0w8lyeKrSYmNJYgvvZAOy9PFJtNTEzNxxOpth7KbVVMW8lPh/HfztKwFYOHcoOJOUs8V3AHi5HcaGIa4x0qdAeKB3JLicmMc6bw6vJEd5A4klvMSXCSB8J9eaLU5HbOEFLtPJbbScxx7JOC5vJEe2AYy4ytpwOkvd2Gxzkd9UzQpVNS10nBNOJhUvlsE1cPFmfyagO5DQVhLIpRJ7XQk4JIXyi6L9adTiIxGMt9jGlnw0lBJBCk5OHY143kCFfyQFJwl1wJY+GY8SIpghU7PMcEoXyMwM6a3DVUO9LFxXup5yJFKDgj/MlnMO5jglA27rtHYWsodxAGtMJB17Lz5OT0fHKRll2VZafdrF9cdCd5pPSfOinO4pPJWarmb3NQ2Wldh9WyM+b6gsYXXnYCQRjRiSo7f3H5+uVbtfA0fSXr44L6t3UdRStNs+9m+uTyR6amYvpL/mr6s+n70w+mv5z+Wv/3mz+bN6f83fQ303env9UfPzA/89/1b97v3B+puDP9mc1Ld6BeUnQvrS1IgRiMiMwQpM4N30gUiBSNeolSNpZ7UJaAchRIwU2JlPGwUQygFMHkaFH0CpccRfIxAn6rcnRxO1/quW0RCs4IfmI56hzUEZaN++5R2JrkaPOAVjjoWo7Gp0lSlOcX3byfp91skmTdIj0ru2eZyvv9ODqL8vmgB5Wjqc0XWo4mXF/Q+MLLUSAIIzpR5ehvrnbxzDqa17t4rnSmVqaXf6v/+/6LrdBn6vQLsw/oPS1M3+3WKvVn+q/7B/3xn6cf2JxzB+ocRXfO2ioUiMEIxK2oUCAKRIXGPev5gntQkoAaFEjBzYOE0XBpUCBFMA1a9uzTnX0sHiPItypBF/f5pZ4bGqHgjMgnlqCuMR1h0bhvHgWtSYE2j2eFgw57UY41I2hNmbrp+lF8jW7j272lBhN3x1E1Yajt3lLcjIbbxnZvqYmKZSLBPPF1OJn+iv4DaeclLc7rVWYzjGYR+vInl3832+xgTne+YZaeO91OUQ+YNV7sid1B3KrHELSu7eVSC4n78jg61bm9XGojcUfeugpUaB1n9x3Bfy5lKbQOsr38Wgq23Z6TZrv6g7lCJ83nN1ak9d11zotzxIzELNvuTnSxtcQ0y9yJnqbLneip84rA+3Kribm2DWluYG4MPBgHcgxiDm3eme6w3Zh948WBcFEcyikUk4L8HBnP7iwNWzF4KDeYmAjJ8xtCBKpMBKpMBKqIEWgk5yOmUd729iJVjmO7D+SWEpMpY3v7MvI88LyyR3KLOQlW9Owsp47+qFOJEdrZ7t4ccRYD4CI4lhMQUyx3I7x+dpZGrRg7lhm7tSWg3LkRPuNhUvnCl4CAIKvywzc+xOl+4BIQ0DmK7hz6zNuGsQfFYCyEMmbM7hIQECVwCQhIErAEBKTgLkQTRqNM09K+yXQARQlYB4ocR8aheIxI38ZkcznlzBZ1A899rVBwRvgjz5OoYzrConFfPwpaUx2oeTwrHPT2bozPnRvjFdcXNL7wMhQIwghOVBm6qY3xQC8pupfW1qNADEZAbkWPAlEgetS3MR7IElCRAim4KZEyHjaKAZQimBj1bYxH8jECfqtqdHH7X+q5zhEKzgh+YjXq2xiPZOO+exS2JjnaPKAVDnp724Pkzo3xOdcXNL7wchQIwohOVDmKbQ8C9IWi+2Jt0QnEYMRdhuhsag8CBIJIT1d7ECBHQNkJpOCmPsJYlHkvz2wkAyhJMOnpaxGC5GME91al5+KGwNRz5yMUnBECxdLT1yIEycZ9/yhsTdKzeUArHHTdEf050eXUlt89P/3eK9/+lsURImnpWuX03DSUlypa5XTtjXdby1GMV9vjrebeFpu7+ph5nEvUhb+YPp5+XAvCx9NP6r3uP60r4z/dNXvfH2mF8cRczfjJ9MPLt6afWX/sreUPPqoXOB/ZmLVI7N8ciMGvRU03+XpBc77Jtdg9iLPIfEjMB7PnNcvNB/MNZb6hzDeU+YYy31DmG7n5Rm6+kZtv5OYbuflG33yjb77RN9/om2/0zTcK+5a1A7mjMr6j6FuTjHcOjXcOjXcOjXcOjXcOjXcOjXcOjXcOjXcOjXcOjXcOjXcOjXcOjXcOjXcOjXcOjXcOjXcOjXcOjXcOjXcOjXcOXd45lHtH8b1D3/aknTM0zhka5wyNc4bGOUPjnKFxztA4Z2icMzTOGRrnDI1zhsY5Q+OcoXHO0DhnaJwzNM4ZGucMjXOGxjlD45yhyzlDuXPo0UWew+ZbOIvdyjipMk6qjJMq46TKOKkyTqqMkyrjpMo4qTJOqoyTKuOkyjipMk6qjJMq46TKOKkyTqqMkyrjpMrlpErspGt7/hqcxHu3jo1njo1njo1njo1njo1njo1njo1njo1njo1njo1njo1njo1njo1njo1njo1njo1njo1njo1njo1njo1njo1njl2eOZZ7hp75mdsJtWPGxjFj45ixcczYOGZsHDM2jhkbx4yNY8bGMWPjmLFxzNg4ZmwcMzaOGRvHjI1jxsYxY+OYsXHM2DhmbBwzdjlmLHNM/WK9vFRGwS6NcRzK00rJc0eOpkicw0szViiTjM02e2+L7V0VDIhDhM+mvzeHzYwiqtfS6u2GH9kV1fRx5/KNzvSL+juf1WLp8Xzv4WOz+ta5/KH5S835w9kNhS/sTpz91U/mi3j1b/Tf3qlNeVT/dc/qP/2k/sufTh/OC8gfdmL9Q/WXP7X5947Yv6s6A3lqUWiiYpkoNG9PbN7qfBh4ilBoIfH4A2N9z3OKUGgj8eDDumt3Qus4hxwI/nOVgoXWQU4RXltHLPu9wvpg7ssNJ6ZO/tFArRXcRwOl1hJzJ/doYHF1NNB5Kd59udXEDMqab1/fa+K6pEZsNjExNc9+qbYeym1VTFvJT4fx387SsOtTRKnBxJwlXr91B4uR3GhiGuOd4nMHigdyS4nJjHOKr7g6xecMEkdyizkJTvJAuC+pkZrczqk9qp3HcjuJOY45mTZPxNKo63NcibHG2tNcXZzkWd496Z+k3eyiTLsnp9Fp97SYnJzFF5OzyaSpUvDqpN1dKM5JpZ4ElzxMKp9touzB4kyWbSC3oSCMQiV1Fu2oNuhfPV1sRZk1b3lTf/Gz6cP5PujjW4OvDY86e/dvVceDO500iubT2w+mjy7frmfHT+s/YP7GH9k8dQfqKUX31NqTTSAGo0DLmJS6N0YDUYLuTgFyBNydAqTgVscJY+GaCQMpgu1M8c6YkYCMiM+a9TVtTSkXOxmc1ygeYMEZkQ8ztUHCcd8+ClzT3pTmEa1w0CG7NSauHSnzbUhWun6UkHekhKqzSO0lrhJRFeK/2TqL1L8Zzb9t1FmkJiqWiQTzXuwOmc47QL5fj8HTy3ee6wapf+ncwdSZvltPKt66/Nvu9F+mv5r+39P/Mv3HuqHHL/WvPrA5YU/sBOLKGEM4u6o5UguJy2AMPeyu5khtJC6Aral1pdZxFrsI/nNoWKl1kGrOtURv6wmZxfM+bFnk7QQpJiNm8HbLPWJriSmcWe7JomW5J3NeCnhfbjUxkbch/A3MjYEH40COQcyXzeUfh+3G7BsvDoS7E6SYQjEpyM+R8ezO0rAVg4dyg4npjzx7IsSdihh3RnIqYsrkVY6SLHVWjsSWEhMno3K0jDcPPC/qkdxiTjIVPTGLyWhDrKnECO1UkprjzGIA3P0fxQTExMqtMelnZ2nUirFjmbFbW2NybrTMPNeh2TCpfMFrTEgQxoojdQVhgzUmpKcU3VP0ibYNYw+KwVhpZUyVnTUmJErIGhOSI1yNCUnBXeUmjIVrfg6kCFtjsj5s+1hARsRvY6q5nHAubjDNPFfSQsEZkY88S+LUmKBw3LePAtdQYyKMaIWDNuefd2dCLOCZntRGqaVm4qbMS5WuUgarNVkfxdtie4lLVFSl+KWtNSXzWtPlT23+vSP2b0bzbyu1JqGJimWi0Lw9sXnEZTCGtHVWgYQWEpe0GIrVUwUS2khczFpXjQqt4yxcEfznUplC6yBVoFWbsyTq9XOb4ftyw4mpk1/kSZPMXeSRWkvMndwiT3JV5HFedHpfbjUxg7KUN3Ur/IHcbGJiai7qUG09lNuqmLaSnw7jv52lYSsGD+UGE3OWeFLiDhYjudHENMarzLgDxQO5pcRkxqnMJFeVGWeQOJJbzElwkgfCfaZHanI7lRiqncdyO4k5jl1vSXaWRq0YO5YZW08HLqLoon963i1OS9XNotO4W/RPs24SZXmuzov89ORsxuOc/nrWAaRTYGe9JeVhUvlsE2UPFmeybAO5DQVhrL5RZ9G/fr6Y0tGz58d6Uv2WnuzOii0vXW2M/MpsApu4r9BGois6+tqzRyAGYxmRMct0F1CAKJACSmZfJLsHJQlYQgFScBdxCaPhmtwCKcKVUPq9Qtn49rF8jBjOmsc1VVDSxXq75wJnKDgj9IknK85BHWHZuO8eha2pgNI8oBUOOuwhncxGpzVj5qbrR0m8SrfxwonQXuKyD1Xy/dstnAj9m9H820rhRGiiYplIMO/FQzqxOaSjw8jsUzr7lM0+qfkBnvmhnXy309/tFPrPxD0b456YkbiSxdDFzuqL0ELishVd7vqqL0IbiQtW6wpZoXWcxSmC/1wCVWgdpPpC2AuvlZda7IXP/GdwpGTEBN1yeUZqLTFDc8sz2VV5xnn/6H251cQ83YasNzA3Bh6MAzlGxsQQ7I3Pbrw4EJ4zOFIKxaQgP0fGsztLw1YMHsoNJqY/8tyIEHcqYtwZyamIKZNX6cmK3F3pkVpKTJycSk92VelxvqhHcos5yVT0xCznmv5YU4kR2qn8NMeZxQB4zuBICYiJlV0TynaWRq0YO5YZu7U1ocxZE1I8TCpf+JoQEISxnkhdIGi1JgREV3R0+sTYhrEHxWAsjDLmvu6aEBAlcE0ISBKwJgSk4K5LE0bDNeUGUmxFTQjJx4jhbUwel1PIxfXHmec+ayg4I/SR5z3kQR1h2bjvHoWtqSbUPKAVDrq+VHB3Ka2McAx4uMY6xFpD5m7avFRqlTZQjchx7vy22F7i2hNVAjpqRLNizyNyhaiuMXw0fVYXej6sj1/Pyz0vqMpn5mdmBaWH00/1l8w91ozmbEKfZTSftVL3EZqoWCYKzdsTm0dcs2LIVmfJRmghcf2JrkZ9JRuhjcSVp3V1ptA6zioTwX8u/Si0DlKyudbzp9Rx22r4vtxwYjrkV2RU4dr6/DW5tcR8yK3I5FcVGec9yPflVhOzIktUU/eZH8jNJiam5goM1dZDua2KaSv56TD+21katmLwUG4wMWeJ5xvuYDGSG01MY7wyijtQPJBbSkxmnDJKflVGcQaJI7nFnAQneSA8B2aEJrdTNqHaeSy3k5jj2MWRfGdp1IqxY5mxtbXJyekkOT/t9svJaTcrk6h7Ul5E3X6sopOL0/OsX86zoHNK65njS6e1zuKI/z7ba5hUPtvk14PFmQDbQG5DQRgLa9SZsbNh9Z+tdhy7/LGetNaVlM70781OyMsfmYltZ/orM8u9fNPmjjtQdyi6O9aeUQIxGKuGbcw8gSSQeonjkoB7UJKA9RIgBXfNljAarvkukCJYvSTJlUMz7GMBGXGdNbfzrq8bpsX6et9TMEGCM0KffALjHNURFo779lHgvCM6ooxohYMOe4rGqpe1kPRcGtmPkmSVbuMVEqG9xLUgqg78clVIhD7LaD5rpUIiNFGxTCSYJz4Z0+/Gqf4DqvOSGdlP9J//sP6bnk0/79TnmOZHnJ5evjX7velSbHZOfcV1kEboEuIKVxvaWGghcTmLo3ndVRmhjcSFrHXVrNA6zqIVwX8ulSq0DlKVuZbKrQdpysWG9sJ/kEZKRszRLZdtpNYSkzS3bFNclW2c15Lfl1tNTNVtSHsDc2PgwTiQYxCzZ3MZx2G7MfvGiwPhOUgjpVBMCvJzZDy7szRsxeCh3GBi+iPPjwhxpyLGnZGcipgyeRWgou+pAEktJSZOTgWouKoAOV/UI7nFnGQqemKW001/rKnECO1UhJrjzGIAPAdppATExMquFRU7S6NWjB3LjN3aWlHurBWVPEwqX/haERCEsaZIXSOA14qA7lB0d9Dn1jaMPSgGY8G0jfkwkCRwrQhIErBWBKTgrlZTRkP105790OcAyhKuYqTiXl/ZAPexgIzo3sa0cjm5LBf1hdIzwUSCMwIgeUZEH9URFo77DlLgmipGzSNa4aA3c3FN30Z5K57vcrRS5qXKVymDVY6s2fm22F7ichRVFW5V5aipp5rUZxnNZ21UjqQmKpaJQvP2xOYRl7FaUK1SC4lLUhw16qziSG0kLkatqTOl1nEWngj+c1RxpNZBqjirNudF3JsfSb2mCMWGE9Mhv0hT5IWzSCO2lpgPmUUaFS2LNMp5ffZ9udXErMhS09Qt6Qdys4mJqbkoQ7X1UG6rYtpKfjqM/3aWhq0YPJQbTMxZ4omGO1iM5EYT0xizsuIMFA/klhKTGaOysgwSDzxB4khuMSfBSR4I99kaqcntVFKodh7L7STmOG69RD8RS6NWjB3LjK2nA6eTs35axN3ztIy72dlZ0i0vTuPu6eQ0TfLTOCvKeexwTmk9c3vptNZVL1Gee2dtmFQ+2+TXg8WZANtAbkNBGCtq1JnxP+s5q9nF+HT69PKd6SOzOe6h2TKnZ6yPzXa8y3c67sKJzQN3oB5QdA+sPYkEYjBWCNuYbAJJICUSx0bke1CScCUSJAV3eZYwGq4pLpAiWHHEtNJ2tZmAAjJCOWs611AcUYs74JXzDvgDLDgj9InnLO5RHWHhuG8fBa6hOEIY0QoHHfY4jXVLkdaOiZuuHyXuyyVpxnI0Ia0oIrSXuPxDlX5frqKI0GcZzWetFEWEJiqWiQTz5MdpHKdipGTEtak2JK7QQuJCFF26+uopQhuJS1DrilKhdZzlJoL/XGJTaB2knnItI9tOxah0vjtdJd5TMWIyYqptueAitZaYa7kFl+Sq4OK82Pu+3Gpixm1DoRuYGwMPxoEcg5gEmwswDtuN2TdeHAj3qRgxhWJSkJ8j49mdpWErBg/lBhPTH3maQ4g7FTHujORUxJTJq93EaZS4izdSU4mZk1O8Sa6KN8439UhuMSebih6Z5bTRH2wqMUI7xZzmQLMYAPexGDEBMbOyyzzJztKoFWPHMmO3tsxTOMs8KQ+Tyhe+zAMEYawNUuf6iDIP0AOK7gHGtPjX5qbc6e/rFQjTDGLZLOKp/sbsat2n08eX39ffflQ7yLoWsQclZyyPtjFtBpIErgwBSQJWhoAU3LVpwmhkedqLlA1lAEXZjvIQEpCRAtqYfC6noIsb7pXzhvsDLDgj/pHnTfRRHWHhuK8gBa6pPNQ8ohUOenE/jXp5KTwDnqEpbbRag2Zu2rxUxSptoHKRo+3wbbG9xMUrqoT8Xd1J64u6OqRlkhGRpvZjVOWHnelns3qOlk2fmKKP6cBlo7kjpsloNK0UcoQmKpaJQvP2xOYRl6M4sjK1WXhXbCFxaYkuF33VGKGNxDWldYWg0DrO+hHBf65qjNA6SDXm2hQhj6JeaX0y9+WWEzMVv9qSxKrvLrdIzSXmKm65Jbsqtzivpr4vt5qYsViKl7ot/EBudsY0m/xseM63SG1VTFvJT4fx387SsBWDh3KDiVlLPBnwhIuR3GpiJuMVSTyh4oHcVGJC4xRJsqsiiTNMHMkt5iQ5ySPhOeEiNLmdogjVzmO5ncQ0xy59ZDtLo1aMHcuMneWLOMvVRdxN+lnZzZJo0j2ZpBfdk3ISn8RxcVH053nQOeH0zMClk05n6UPxMKl8tqmpB4szPbWB3IaCMNa9qPPWd1+cmc77gF3+7eXrnTjqJtY36A4UUtEh154rAjEYS3VtzCmBJJBShZ57Wqsu96AoAWsVQAruQilhOFxTWSBFsDJFopRLC+xjCRnxmjVra6pTLG5dV85b1w+w4IzgJ5+auId1hKXjvn8UuqZCRfOQVjjosOdYYuuYaomYu/H6UZKt4m28MiG0l7jOQ1V4bVUmhDQZjaaVyoTQRMUyUWjentg84hpPGypSaCFxPYelDp2VCaGNxIWcdWWf0DrOog3Bfy45J7QuVGUidss0qeXEVNV2ZUJqLjFXcSsTV7faK8+t9mKriRmLpXGpy3kHcrOJqanVyoTUVsW0lfx0GP/tLA1bMXgoN5iYteTy3x0uRnKriZmszcqE1FRiQuNUJq7utXeHiSO5xZwkJ3kkPJUJocnBKxNSO4lpjl2ZMPfa20PDWGbs1lYm4shZmvDctmrjpAKGL00AQRhLXdSJq7A0AYRUdMi1J4tADMbqXBuTSiBJ6NIEECVgaQJIwV0aJQyHay4LpNiS0gSSkBGvWdM27zq2YVqsY3surIeCM4KffG7iLU0g6bjvH4XOO6QjypBWOOjApQmXRPRf26dW8TZemhDaS1zooSq8tkoTQpqMRtNKaUJoomKZSDBP3P0q01/pvBQ33BAv5SSuFrUhR4UWEleGWDLTWeMQ2khcElpXPwqt4yz/EPzn0oVC6wLWOKxBeV9uOTHntV3jkJpLTHrcGsfVFfDKcwW82Gpi6mOJZerC4IHcbGKOa7XGIbVVMW0lPx3GfztLw1YMHsoNJmYt+TzCHS5GcquJmazNGofUVGJC49Q4rm5ud4eJI7nFnCQneSQ8NQ6hycFrHFI7iWmOXeMw97HbQ8NYZuz21jgctyvrCWzJ46QChq9xAEEYa2bUGbCwxgGEVHRI+qzThrEHxWAs87UxqQSShK5xAFEC1jiAFNw1VsJwuOayQIotqXEgCRnxmjVta6pxLC7kVp4r1qHgjOAnn5t4axxIOu77R6FrqnE0D2mFgw5c47AmhltxHnnx3PcC0qzlSD9SjUNqL3Ghh6rwWqpxSGkyGk0bNQ6piYplIsE8cY0jjjovxYm/wiGlJK4VtSBGpRYS14VYItNV4ZDaSFwQWlM9Sq3jLP4Q/OdQhVLrQlU4ol7hqHCILSdmvJYrHGJziSmPWeHIr+5Pzz33p4utJiY+llSmLgseyM0mZrg2KxxiWxXTVvLTYfy3szRsxeCh3GBi1pLPItzhYiS3mpjJWqxwiE0lJjRGhSO/ukHdHSaO5BZzkpzkkXBXOKQmh65wiO0kpjluhSM3N6jbQ8NYZuz2VjgcLfD19DXmcVIBg1c4kCCMFTPq/FdW4UBCKjokfc5pw9iDYjAW+dqYVAJJAlc4kCjhKhxICu4KK2E4XHNZIMV2VDighIx4zZq2NVQ48sWt2rnnnnQoOCP4yecmvgoHlI77/lHoGiochCGtcNCBKxzWHKclYuLF66/ibbzCIbSXuNBDVXhtVTiENBmNppUKh9BExTJRaN6e2DziIk8bKlJoIXFBh6UOnaUJoY3ElZx1ZZ/QOs6qDcF/LjkntC5caaIsbZbvyy0npqq2SxNSc4m5iluauLppPPfcNC62mpixWBqXup53IDebmJpaLU1IbVVMW8lPh/HfztKwFYOHcoOJWUsu/93hYiS3mpjJ2ixNSE0lJjROaeLqfnB3mDiSW8xJcpJHwlOaEJocvDQhtZOY5tilCXPrtz00jGXGbm9pInWWJlIeJxUwfGkCCMJY6qJOXIWlCSCkokOuPVkEYjBW59qYVAJJQpcmgCgBSxNACu7SKGE4XHNZIMWWlCaQhIx4zZq2NZUmFjc65547uqHgjOAnn5t4SxNIOu77R6FrKk00D2mFgw5cmshseFoiZl4895V1NGs50o9WmhDaS1zooSq8tkoTQpqMRtNKaUJoomKZKDRvT2wecZGnDRUptJC4oMNSh87ShNBG4krOurJPaB1n1YbgP5ecE1oXrjRRWGP/vtxyYqpquzQhNZeYq7iliatbuXPPrdxiq4kZi6Vxqet5B3KzM6bZ5GfDU5qQ2qqYtpKfDuO/naVhKwYP5QYTs5Zc/rvDxUhuNTGTtVmakJpKTGic0sTVrdzuMHEkt5iT5CSPhKc0ITQ5eGlCaicxzbFLE+ZWbntoGMuM3d7SROYsTSgeJxUwfGkCCMJY6qJOXIWlCSCkokOuPVkEYjBW59qYVAJJQpcmgCgBSxNACu7SKGE4XHNZIMWWlCaQhIx4zZq2NZUmFnc4555ruaHgjOAnn5t4SxNIOu77R6FrKk00D2mFgw5cmlA2PC0Rcy9euYq38dKE0F7iQg9V4bVVmhDSZDSaVkoTQhMVy0SCeeK+UP3OS3nf3xVKyEhcKWpDigotJK4KsSSms74htJG4HLSudhRax1n6IfjPpQmF1kHqG9fS5uDu3tHR8GieOKvxwUta6vS/Yma1xnSTPHcja/7cl5MR82Hb9Q+pucSEyK1/XN39nXvu/hZbTUyLbQhpA3Nj4ME4kGMQ82FzPcRhuzH7xosD4aI4lFMoJgX5OTKe3VkatmLwUG4wMf+RZyOEwFMRA89ITkXMmbxKSpqkqqdclRSpqcTUyamkXN0i7n5Tj+QWc9Kp6JFZTu78waYSI7RTWWkONIsBcBEcywmIqZVdczH3jduDzFhm7PbWXBwTVD2h9t+VeY2TChi+5gIEYazhUWfkwpoLEFLRIemzYBvGHhRjNcl7MNqY6AJJQtdcgCgBay5ACu6aL2E4XPNrIMWW1FyQhIx43cZUcTlhXFxOnXvuG4eCM4IfeZbDGNYRlo77/lHovEM6ogxphYMOXHOxSmEtEb3X0qXRKt7Gay5Ce4mLS1SF11bNRUiT0WhaqbkITVQsEwnmiWsu8W6ym+7mnZeKsls2XMkhhCUuPrWhSYUWEheSWFrTWXwR2khcQVpXRAqt46wWEfznEodC6zZYfCkXa6CFv/giJSMmxraLL1JziZmRW3y5upQ891xKLraamB/bUNQG5sbAg3EgxyAmxnWKL8WNFwfCU3yRUigmBfk5Mp7dWRq2YvBQbjAx/5GnJYTAUxEDz0hORcyZbRZfpKYSUyen+HJ1vbn7TT2SW8xJp6JHZjnL8webSoyALr4UN14cAE/xRUpATK3s4ou5CN0eZMYyY7e3+JI7iy8lj5MKGL74AgRhLOZRp+bC4gsQUtEh6dNhG8YeFIOx/tjGRBdIErr4AkQJWHwBUnAXfwnD4ZpfAym2pPiCJGTE6zamissJ4+LW7NxzEToUnBH8yLMcxrCOsHTc949C11R8aR7SCgcduPjSt+Hd0ghevHgVb9PFF6m9xMUlqsJrqfgipcloNG0UX6QmKpaJBPPExZdMf6XzUhz56y5STuK6UwtyVGohcQ2JJTNddRepjcTFozX1o9Q6zkIRwX8OXSi1bnN1l348X/7sR966i5iMmBNbrruIzSUmRWbdpX91VXrfc1W62GpiamxDTBuYGwMPxoEcg5gT16i7aNtfHAh33UVMoZgU5OfIeHZnadiKwUO5wcT8R56REAJPRQw8IzkVMWe2WHcRm0pMnYy6S//q0nX3m3okt5iTTkWPzGKC1xBsKjECuO6yDDSLAXDXXcQExNTKrbv0zfXs9iAzlhm7vXWXvqvu0vdeLXqdkwoYvO6CBGGs41Fn5bK6CxJS0SHpM2Ebxh4Ug7H02MZEF0gSuO6CRAlXd0FScNd9CcPhml8DKbaj7gIlZMTrNqaKywnj4i7vvud6dig4I/iRZzmMYR1h6bjvH4Wuoe5CGNIKBx247mLdgqQlYuLFS1bxNl53EdpLXFyiKry26i5CmoxG00rdRWiiYplIME9cd4mjzktx0lB1EVISV53aEKNCC4krSCyR6ay6CG0kLh2tqx6F1nGWiQj+c6lCoXUbrLqki8XPxF91kZIRM2LbVRepucSUyK26XN0C3/fcAi+2mpgY25DSBubGwINxIMcgZsR1qi7JjRcHwlN1kVIoJgX5OTKe3VkatmLwUG4wMf+R5yOEwFMRA89ITkXMmW1WXaSmElMnp+pydZ+8+009klvMSaeiR2Y5vfMHm0qMgK66JDdeHABP1UVKQEyt7KqLuXneHmTGMmO3t+pSOKsuKY+TChi+6gIEYaziUefkwqoLEFLRIenzYBvGHhSDsfDYxkQXSBK66gJECVh1AVJwV30Jw+GaXwMptqTqgiRkxOs2porLCePimvK+5+Z5KDgj+JFnOYxhHWHpuO8fha6p6tI8pBUOOnDVpbThaYmYefHSVbyNV12E9hIXl6gKr62qi5Amo9G0UnURmqhYJhLME1ddit1Oqf9ArP/Tk9jYnHxJy26cNdRhhNzEdag25KnQQuKaEkt2OuswQhuJi0nr6kmhdZyFI4L/XDpRaN0G6zBqsRya+eswUjJijmy7DiM1l5gkuXWYqyvv+54r78VWE1NlG+LawNwYeDAO5BgZE0OwPJrdeHEgPHUYKYViUpCfI+PZnaVhKwYP5QYT8x95hkIIPBUx8IzkVMSc2WYdRmoqMXVy6jDZVR3G+aYeyS3mpFPRI7Oc8PmDTSVGQNdhshsvDoCnDiMlIKZWdh0m21katWLsWGbs9tZhSmcdRvE4qYDh6zBAEMa6HnWWLqzDACEVHZI+M7Zh7EExGEuRbUx0gSSh6zBAlIB1GCAFdx2YMByu+TWQYkvqMEhCRrxuY6q4nDAu7mTvO+9kP8CCM4IfeZbDGNYRlo77/lHomuowzUNa4aDD1mHsokNLxNyLl63ibbwOI7SXuLhEVXht1WGENBmNppU6jNBExTKRYJ64DhOnnZdi1VB1EVISV53aEKNCC4krSCyR6ay6CG0kLh2tqx6F1nGWiQj+c6lCoXUbrLos7rvu++673peTETNi21UXqbnElMituuRXVRfnpdH35VYTE2MbUtrA3Bh4MA7kGMSMuE7VJb/x4kB4qi5SCsWkID9HxrM7S8NWDB7KDSbmP/J8hBB4KmLgGcmpiDmzzaqL1FRi6uRUXfKrqovzTT2SW8xJp6JHZjm98webSoyArrrkN14cAE/VRUpATK3sqku+szRqxdixzNitrbokkbPq4r0k9jonFTB81QUIwljFo87JhVUXIKSiQ9LnwTaMPSjGapL3YLQx0QWShK66AFECVl2AFNxVX8JwuObXQIotqbogCRnxuo2p4nLCuLiVve+8lf0AC84IfuRZDmNYR1g67vtHofMO6YgypBUOWv/vG8/lNKMTv+4Tji1XYVyS0XMNYl7m0SpuoCqM4zrD22J7iYtNVMX3ntZ7pujyePrh9LPpw87l96ePtPx7NH16+ab+753p52bRvy7LXP5A/4S7DiPkyWg8rdRhhCYqlolC8/bE5hEXkNrQlUILiYtBLL3oLKAIbSSuAq0rBIXWcVZ8CP5zCTyhdZACyrUxz4u+Y/FvX245MVnxCyRlrNz1Eam1xGTFrY8UV/UR573O9+VWE1MWS/Ree6Idzj6Qm03MTM31EKqth3JbFdNW8tNh/LezNGzF4KHcYGLSEs8HPNFiJLeamMh4VQ13pHggt5SYzjhFjasL7N1R4khuMSfFSZ4I11tXiU1up4hBtfNYbicxybFLFeZaentkGMuMrScEk6jU34+75eRMdbPTJOoW5/lJ9/wiPVPJRP/pk7MZj3PG6ZmCi2edzlJFyeOkAtrmph4uzvzUBnIbCsJY+iJPXPWE9HU9R30yfTh9Ov34+Xnrn5mqxfTXyv4e3YGSKjrp2vNFIAZjyY4xr/xs+pEN5S4UBVKwSBJlI7kHJQlYrwBScNdLCaPhms4CKYLVKzxzXiQeI2Kz5m1NxYrFLeZ9z8X0UHBG5BNPTjwzEyQa982joDVVKprHs8JBBz4fYi1h34qLyI3Xj1K1irfpyoTUXuIyD1ngtVWZkPJkNJ42KhNSExXLRKF5e2LziIs8DAXpqkxILSQu6NCFoacyIbWRuJSzpuSTWsdZtiH4zyHlpNZBKhOEHdYHcbG41bnwXycvJiMms3YrF2JricmMWbkorm6TLzy3yYutJqa0NhSwgbkx8GAcyDGImay5kuHccF1c3SZfNNwmL6ZQTAryc2Q8u7M0bMXgodxgYvojTyMIcacixp2RnIqYMnk1kDjtJ86THWJTiZmTUQQprm6Td7+pR3KLOdlU9MgsJmYNwaYSI7RTFGkONIsBcJ/sEBMQMyu3XFKY2+TtQWYsM3Z7yyWJq1xSxDxOKmDwcgkShLH4Rp5Ny8slSFJFJ117EgvEYCwaMia7znIJEiVsuQRJEq5cgqTgLtoSRsM1xwZSbEG5BIrHiNhtTBaXU8bF5eOF5z55KDgj8pHnOdQxHWHRuG8eBa2hXEIYzwoHXR/seE5/OAXjd89Pv/fKt79lcYRIL1rXdLVUTNyceZnHq5yuuonbWo4KvCqdWM29LTZ39THzOJeo9X53+cblm3X15FPzq+mH02ez3lqfaQn4jv7C48ufPtdsy4ajVV9ycyBmuhYP3VDrhcP5Wmu6qz8U+kOZmA/93YMkis2HzHwwv40T88H8KjG/SsyvUvOr1PwqM7/KzK+U+ZUyv8rNr3Lzq775Vd/8qnDGWKmjMr6j6JNm451D451D451D451D451D451D451D451D451D451D451D451D451D451D451D451D451D451D451D451D451D451Dl3cO5d5RfO/QJ+TaOUPjnKFxztA4Z2icMzTOGRrnDI1zhsY5Q+OcoXHO0DhnaJwzNM4ZGucMjXOGxjlD45yhcc7QOGdonDM0zhm6nDOUO4ceOOTpab6mmO5WxkmVcVJlnFQZJ1XGSZVxUmWcVBknVcZJlXFSZZxUGSdVxkmVcVJlnFQZJ1XGSZVxUmWcVBknVS4nVWInXVuNanAS7906Np45Np45Np45Np45Np45Np45Np45Np45Np45Np45Np45Np45Np45Np45Np45Np45Np45Np45Np45Np45Np45dnnmWO4ZelJnLnRpx4yNY8bGMWPjmLFxzNg4ZmwcMzaOGRvHjI1jxsYxY+OYsXHM2DhmbBwzNo4ZG8eMjWPGxjFj45ixcczYOGbscsxY5pjn9EPQc62pc70s9VK4LwWgGStUQD3H+t5tsb3EShtCAj3sTB9PP+nUW02e1l95dPnW9PPpQxvhHTHhaqZvZTvJ9OfTz6ZPLn9y+YPpQ0P0if70d6Z1y+Vbnek/6O++Z4P4qhhCsSAIADbz9sTmEStujDW4zxObhXfFFhKrZ/SlNd+GE6GNxLLZuotmQus4JTKC/1yLYULrIBtOro150u8luc3wfbnhxPTG30+iVO7eTyK1lpjfuPtJ0qv9JM6LZe/LrSZmOdacmHp+7EBuNjF1Nc9QqbYeym1VTFvJT4fx387SsOvTOKnBxJwlXj1VWZz37A0FR3KriXmMtwvEHSkeyC0lZjPOJpD0ahOIM0ocyS3mZDjJE+E+CSs1uZ1NH1Q7j+V2EpMcc8ZrnoilUdcnohJj6wdhkp6niVJddTLJu1l53u+enJwW3aRfnscncVKUk7nfnXPUVyftbu0wM0DXTDXjYVL5bLNZDxZnRmsDuQ0FWRUAvvEhTnXfrW/Q+LQz/VhPBH9Kn8YCKRWdcu2ZIhCDUdtkzCjduzqAKJBdHZG9FHYPShJwVweQgltbpoyGjWIApQi2qyNJ3D07oYCMeM2atDXt68gW+wA812tDwRmxb42ZieugyQgLx337KHBNOzuaR7TCQddyMs/O+v3T87R7EhdFN8tV0tV/+kT/qclZfJJPzgp1+nJ4OWldYNVyUnF9QeMLLyeBIIzwRJWTv7h8XcvGp/WVa7ODt4su8G/V17R9aFrEX75hrhC7/JH+Sl12+LC+V0yrzq7+9Fh/94v5Tz3W33g6+ymbd+5AvaPo3llbhgIxGKG4FRkKRAHJ0FjZUO5BUQLqUCAFNxNShsNGMYBSBNOhedHLXDIUyceI863K0MXtroXnwl4oOCP2iWWoc1BHWDbuu0dha1KhzQNa4aBrFVpMUpVHWdE9KS70z/bPz7vFWZJ1T/v5xPwLURadvBxehVpXMrQKzbm+oPGFV6FAEEZ0oqrQ980ltWb/zuUP6l4vn3Yuf6h/8dbl6+51zs5Li289m/7+8v+YPpp+NlOxHf3XvTv9+6/Mhezx5LX/9fx735v9hvAv1XJ2dnrOyF/zb35kthNdN0D/jX90+f1aIr9Zf+tT85Xl3/PDukvNk8t3Zv90mRUqNXuP9F9U/yazDd0d6NAp+tCtLZGBGIw0wZDIZnvYR72Ova/QXSgQRChbCzf3oBwBVTKQgpupCWPhUslAimAqWcXuxVokHyMPtaqS84Wo8tzKCwVnhD+xSnYO6gjLxn33KGxNKrl5QCsc9OwEnv5fP84m3SxOo26WnubdMs773ZO8H50k6iI7Xwx6UJVsVShaJXuumrL7gsYXXiUDQRjRiaqSf/WiAqUK4ESL1c/nv8xTNftV5+D8m98+e2XSeUEk29x0B+omRXfT2ooUiMEIyQxF6tyNDiTBSFH7LqJ7UJKAYhRIwU2IhNFwiVEgRTAx6tk4gMRjRPtWtejiZsjCc9knFJwR+MRaNOs794OMsHTcl49C16RGm4e0wkGHbKGdOvcCeO6S6Udpvkq38UOQQntXg8YWH4IUEmY0wkCHIIUQigVBALCZtyc2bzUCAw9BCi0kHh7hyEn3IUihjcRjI+sKRaF1nCMiBP+5BKDQujCHIOO+W9pJDSemt5YPQUqtJeY37iHIq+tAC891oGKriVmOJYupqv9AbjYxdbV6CFJqq2LaSn46jP92loatGDyUG0zMWeIZg8qi3N1FTmo1MY+1eAhSaikxm3EOQV5dB+qOEkdyizkZTvJEeA5BCk0OfghSaicxybEPQZrrQO2RYSwzdmsrIe721iUPk8oXvhICBGGsjVGnuhurhADdpOhuWnuqCcRgLAi2MSUFkgSuhABJAlZCgBTcxVjCaLgmwkCKbaiEIPEY0Z415WuqhCxuniw8N4lCwRmBTzyv8VdCkHTcl49C11QJaR7SCge9vbvXE1fdpIy4vqDxBVejSBBGfKKq0eY95X84u9eRQ6foQ7euQkZiMBIFQyE37F5HAmGEso3jHpQjnExGUnAzNWEsHDIZSRFMJnt2r0P5GHmoTZ1cRnNRVXpuHoWCM8KfWCd7dq9D2bjvHoWtQSUTBrTCQW9v47rEdcaz9N+nY/EFjS+8SgaCMKITVSULG9chKRWdcm1BCcRgRFSGoHR2DEGiQKSks3EdkiSgmARScBMaZTRsFAMoRTAx6WtcBwVkxOtW1eTiArvScyEhFJwR++Rq0tO4DgrHffsocE1ysnlEKxx02O3nLoGYeOn6q3Sb3n4utZe4MY+q74Dbz6WEGY0wzPZzKYRiQVAA3pua9n0fmp5+u5348seXb+pXffYpnX3KZp+U+dTrTD/Qw/TFzY7SP532bHR7YjriTkCGbnVtFZBaSNz1R5ejnt3rUhuJ+/3WFZpC6zh7+wj+cwlIoXWQ3evXsuzg7t7R0fBonmdn95iW5h7TMjMflPmQf8WUWgyJSb27kTX77stBidm03d3uYmuJ6ZS5271MlrvdZ262WX1fbjUxqbYhwg3MjYEH40COQcyczbvfHbYbs2+8OBAuikM5hWJSkJ8j49mdpWErBg/lBhOzIXkmQwhDlQlDlQlDlQlDFTEMjeSQxITK20ZfpJlzG73YUmJaZWyjX4afB5739khuMSfVih6g5TzRH3oqMUI72+qbw85iAFwEx3ICYp7lbrjXz87SqBVjxzJjt7Z447wft0x5mFS+8MUbIAhjMZA6uZcWb4CUik5JnxvfHR7dHnZUWXb2/uK1b393cnHeqf7iO/Mn+PqkF4jHWNhkTI7dRR0gSuCiDpAkYFEHSMFdVqaMho1iAKXYjqIOEpARx9uYTy5nlemiBOC87fIAC86IfeSpEH1UR1g47ttHgWsq6jSPaIWD3t7biJwdiMqM6wsaX3iZCQRhhCeqzAx8GxHSO4ruHbo8tWHsQTEYobgVGQpEAclQ121ESJSAOhRIwc2ElOGwUQygFMF0qOc2IigfI863KkMXVyiWnksxoeCM2CeWoZ7biKBs3HePwtakQpsHtMJBb+95TvdGJMX1BY0vvAoFgjCiE1WFNp+y/AM6zwkcOkUfurUlMhCDkSYYErnpPCcQCCKUXec5gRwBVTKQgpupCWORJf1e2rehDKAowaSy71Anko+RjFqVyot7HkvPxZ1QcEYMFEtl36FOJBv3BaSwNUnl5gGtcNDb24gvdV1JVOZcX9D4wktlIAgjOlGl8qYa8SHdpOhuosvS6S+0Gz6v1fsjsyhdi/3pw3qt+3F9XuJh/asfaEe+oaX6Y/PtFZHfme1OqL7z5+evTTp7dzqZiqK433kp6Rh/WsPEHtRVjLDPkL7OHfxAEozmdTX7Q5IEVL1ACm7SJYxG1o96ceSSvUCWYLLXs08BicfIK62q3sW9jaXnIk4oOCP8iVWvZ5cCEo37/lHQmkRv83hWOOiwR09dMtZzr5OmK1bpNn70VGjvasTY4qOnQsKMRhjo6KkQQrEgCADPHy+9Oleauc6UCs1eDcvAM6VCC4lHYDhK032mVGgj8fDLuhpSaB3noAvBf659A0LrNnimtDAnScvdgySKFue4+v7jpFJGYoZs+Tip1FpiiuQeJ+1fHSd13td4X241MVG2IasNzI2BB+NAjkHMhuscJ+3feHEgPMdJpRSKSUF+joxnd5aGrRg8lBtMTITkuQkhAlUmAlUmAlXECDSS8xHTaIsnSaWWEpMp5yRp/+okqfOVPZJbzEmwomdnOe3zR51KjIA+Sdq/8eIAeE6SSgmIKZZ9krS/szRqxdixzNitrRhlzpOk/huqrmFS+cJXjIAgjJU96lx9YxUjoJsU3U30ubK9YvS5/o055fB948arStF7evL/X5oKRt88N/90R+mpYtpUNAJ6i7Fq2sYUHUgSuGgEJAlYNAJScBetKaPRj3tlZh2RAZRlG4pGSDxGamljdruc4xaLIoPzFtMDLDgj/JEnZtQxHWHRuO8fBa2paNQ8nhUOensPFWTOo60l1xc0vvC6FwjCCE5U3du81f8P6FABcOgUfejoWtyGsQfFYGQJhkhuOlQABMJoZRvHPShHQKUMpOBmaspYqLyXuoQyECWYUPYdKkDyMZJRq0p5cf1m6blRFQrOiIFipew7VIBk476AFLYmqdw8oBUOenubDWaO87fJ/MFg+ILGF1oqQ0EY0YkqlWXNBqGUik5JV5WsZoNQPEakZahNV5cXKApEZ7qaDUJJgilNKAU30VFGw0YxgFIEE5meZoNYQEYcb1FlaqaZKJn/wgZ+gAVnxD6xyvQ0G8TCcd8+CpxfZlJGtMJB6/994/lhNZ++7tOT7e7rVzZcrSQ9F2blZa5WcQPt64/zXm4z+LbYYOJ+RaoS/N3sZGSt/mb9AE07v9lO/roB4Hzh8ouZRjQb4U13wPlC6GzD/2NTM798/eqHn5q/5rP6O1+Yn7582+aDO2IfZDQf8Lb+20z8qthExTJRaN6e2LzVkLz+Bn7/wqfYUOIGRLrQdO/jF9tI3Hq4roQUWsfZZkjwn0saCq2D7OOnFmv35WYTkxx/a742ybU1X24tMcvxtuZrcxZb8/UvnVvz5VYTUx1LLFMfjQO52cTs1LwVn2rrodxWxbSV/HQY/+0sDVsxeCg3mJi4xPOIrK9fP2UzeiQ3mpjEeLvo3YHigdxSYiqj76K/ChIPPEHiSG4xJ71JHgjXS1eJTW5n1zzVzmO5ncQcx9wbb56IpVErxo5lxtZzgvw0OukXk25xlsbdLFFlt1BF1r0ozqLy9OQ0Pc9PZjzOiapn6i6drDr2xidRwsOk8tmmtB4szrTWBnIbCsJYMKNOd997fhq7MtWtN/Lk6vLtWHXu/0ky/bwz/YfLn9SH3l+Y53amfz99ZLbkzHaLP5xtGDK/3TWz3ofT39ff/tHsN+afeGJ+oGt9FO5APajoHlx7JgrEYCwgtjhjBQJBSiiube1QkoAlFCAFdxGXMBqueTKQIlgJxTOfRuIx8gFrTthUQEkWy+3ue4Cx4Iz4J574pP2ip1wFFCQc992jwDUVUJpHtMJB13I1ys9PkjOVdvMyyfTPpkm3uFDn3dPJyXlfqVJFxSbkamLzhZarKdcXNL7wchUIwghPVLn6rlafj+ray6P6dqZH87rLu1e1lVlp5mFdxnlcbxb/cNa66P25Zv240798O48u384icxzR5pc7UL8oul/WFqFADEYQpovQyx9evmlDuQtFwchPG8c9KEdA8Qmk4CZAwli4xCeQYhvEJxKPEd1bFZ/pQqq4rwrFgjPinlh8qqzXd2lPJBv31aOwNWnP5gGtcNBhe3Bat75oNZm56fpRWq7SbX6vjtBgYgGTqgY3u1dH6IOM5oNW9uoITVQsEwnmTd+bmgtTPzRLv7udeNaSM5l9er5B525HrfTp1F/RfyDtdVZXqo2wNzetPqq7k76+aFai/xH9/bf1wD2bPxyzw6afdv78T+LIKfj3xL4i1l/pCrhxGVZoKLHmytC3no1DQhuJ1dZ1tavQOk5lleA/lyYVWgfZOHQtd1sagCaRMr0/81nnPW2/p/PevhyPmJlb3mAktZaYmrkbjLKrDUbOGy3vy60m5uc29LyBuTHwYBzIMTImBrsTn7H9xYFwURzKKRSTgvwcGc/uLA1bMXgoN5iYCsmTIkLwqUzwqYjBZyRHIyZP3oalVAcee4XhgdxSYgrlbFjKrjYsOd/WI7nFnLQqemyWM01/wKnECO1sYGoONosBcBEcywmI2ZW9tSnbWRq1YuxYZuzW1opy59YmxcOk8oWvFQFBGKuJ1NWBcLUioF8U3S/06bgNYw+KwVgzpc+UPbUiIErQWhGQI2CtCEjBXbAmjIXKMvuhygGUZBvqRUg8RoRvY365nGWqRXnBfVExFpwR+8hTI+qYjrBo3LePgtZULmoezwoHvb0763PnVqWc6wsaX3j5CQRhBCeq/NzGnfVADyq6B9cWqkAMRrCmC9XGkg4QCCNXnTvrgSQBBSuQgpsyCaPhKiQBKbZBrCLxGPmgVbGaL8SN+35hLDgj/iHEKhKN++ZR0JrEavN4VjjoZWOieeQ0IjRgYyLrZU9aj3oue8rL/Np1yqE2OxWOG4fFBhOLqVQ9+Vst9p7U1/AsNjvVVxC/pcXFo3ofzKfzFu1GDJodTQ9nV/nUv3pqruydb4SZbYfSv/2s/q0Rp5/U0vKx/tH5135oLjSefmhzyB2xQzKaQ1rZ+SQ0UbFMFJq3JzaPWGFlKFPHHUZiC4mFUo7UdO8yEtpILJGuKyKF1nHKoQT/ucSh0DrILqNrPUeyrN8zGuy65ftyy4nZTrCBKI1dkuZrcnOJ+Y67g6h/tYPIfXuw3Gpi0mOJZqp+PJCbTUxNzTuGqLYeym1VTFvJT4fx387SsBWDh3KDiVlLPJ/whIuR3GpiJuNt+fGEigdyU4kJjbPnp3+158d91a/cYk6SkzwSniZFQpPb2eNDtfNYbicxzbF38vR3lkatGDuWGVtLsUgV8ckk6k4u0qSbxVnULaOy6F5MzlRxGpfqJJrMeJyTVs80Xjpxde7k8VzqZsOk8tmmtx4szhTXBnIbCsJYOqNOfd9/bp77uDOvply+oWe5P6gLH5/rr04fTz95fub7WH/vUX1b7fxcz/MT4dktY9Of15t+zE0PH5nf/5nZH1TdyyOVR9FRvVmo/kdeNwUX89s0isxuIP0hjj3bgYDOVXTnrj1HBWIwVhnpc1nPdiAgCqS+ktk47kE5AlZXgBTcNV7CWLgm0ECKYNWVOI6iXuYqsCAJGVmCNVdsKrAUiwV59128WHBG6BNPiDzDOsLScd8/Cl1TjaV5SCscdK1iT8qz9Dw+jbt5lMXdLCvOu2ValN3yVKX9877KTrL5Gx1UxVqXdrWKLbm+oPGFV7FAEEZ8oqrY5R1ji/rL8rZcoy2nv6u16d/WFZ7H9VagD2u9Oj/Y/IXRsO9Nfzl9tzt9f/rB9GfT30z/QX/85+kHNu/cgXpH0b2ztgwFYjBiMV2Geu4gA6JAZGhsDyH3oCQBhSiQgpsICaPhEqJAinBCNO+VuY1vH8vHCPOtytByoVncF91iwRmhTy5DXYM6wrJx3z0KW5MIbR7QCgddi9BEqfPk5Fzpb57onz1RSbfIzrR0LdMsTor4tCjnoTWoCLWWZW4lccT1BY0vuAhFgjCiE1WE/tNzO30edqb/VSvST+o1Uy1IO9P399K0XgWN0475QbNkWstR68LaHSi8osOvqzGRGIxA24bGRKJANGbUS5QN5R4UJZzIRFJwEx1lOGwUAyhFMJGZ9XtZZuPbx/IxwnibIjNe3Ioae+65hYIzYp9YZDoHdYRl4757FLYGkUkY0AoHPVvpPDk9n1ykZVdl2Wk36xcX3UkeqW4WnxRn8cnkLFWbWOm0PgBaZMZcX9D4wotMIAgjOlFF5i8uX798yxx9vNqq/lbdguPDupr+hjmnuDwGOf3V9Gf1iuYvp7/W//3mz+ZtOn43/c303elv9ccPzM/8d/2b9zv3RyruTH9m89IdqJcU3Utrq1EgBiMit6JGgSggNWq2V15HuQdFCahGgRTcjEgZDhvFAEoRTI0WRa+w8u1j+RjxvlU1Gi/Ei/PSywMsOCP2idWoc1BHWDbuu0dha1KjzQNa4aDD9m0vbHRaXyZuun6URat0Gz/KKDV4NWb8mznKKHVIRnNIG0cZpSYqlokE86RN3OOsZyPbE5MRz5MwBKzrFKTUQuLZEbou9ZyClNq4KjoxpyCl1nEOiBD85xKSQusgpyCv5Vtbr/U43dUfMvPBdF2PF42P48TT+HhfDkrMqy0fmhSbS8yszEOTcbI8NBk7L0i8L7eamF7bkOMG5sbAg3EgxyAmxeZDlA7bjdk3XhwIF8WhnEIxKcjPkfHsztKwFYOHcoOJ6ZA8pyHEocrEocrEocrEoYoYh0ZySGJG5Z3GTLNcOU9jik0lJlbGacxl/HngeXGP5BZzkq3oCVrOGf2xpxIjtHM6sznuLAbARXAsJyBmWu65Tf3sLI1aMXYsM3Zr60COaa+ep6c8TCpf+DoQEISxLkid52+qDgT0kqJ7iT6ztmHsQTEYa6GMabS7DgRECV0HAqIErAMBKbhr0ZThsFEMoBRbUQdC8jHifRsTz+X0c3Hda+y5vxcKzoh95DkTeVBHWDbuu0dha6oDNQ9ohYPe3q3vhev8pVkn4fmCxhdejQJBGNGJqkZb3voOhFd0+LVFJhCDEWhbEZlAFJDIdG59B6IEFJlACm6iowyHjWIApQgmMn1b35F8jDDeqsjMFprEc70sFJwR+8Qi07f1HcnGffcobE0is3lAKxz09jb5KJznKxXXFzS+8CITCMKITlSRGbjJB9I7iu6dtVUoEIMRiVtRoUAUiAp1NvlAkgQUoUAKbiIkjEaaxr2+so7IAMoSTIrGec9ejtzH8jGCfatSdHFfYey5fxIKzgiAYilqBtVafB1h2bhvIIWtSYo2D2iFg97ersmF8xRmzvUFjS+8FAWCMKITVYp+ubomI52r6M6lK9nn/Xv5o44W9I9muxlmN8ivOPbZiifrKyE/7kw/rn/ikTmj0Pna+WuTVyedg8lrr03++q9f2V1cVf+0M/25/pc+7rxkJhf1ZfVP65Eys4ZHs4tBX7/84fSxNRjtQV3LSC50de3u5IxEgahra0y8B+UIqK2BFNzMThgL1wIvkCKcqvZ1coYSMjJXq7p6cbVi7LkqEwrOCH1yXe3r5Ayl475/FLomZd08pBUOenlb5pzcKOaAt2WWNlwtnv03q1y7HDTUEdPSecRUaPBqGFnziOnv6hOlZoH101owGX01W5NdXMluRJhXpF07Yvp4firVBn5HDJ7RwFs5Sio0UbFMFJq3JzZvNRCvfx604b52qaHEQyx0dek7Fiq0kXh6ZV3lKLSOc1KF4D+XIhRaBzkWem1rYZb1CmUzfF9uODG38Y95Zv3UfcpTai0xuXFPeV5djRl7rsYUW03McCyRfH1LketqTLHZxPzUfKqTauuh3FbFtJX8dBj/7SwNWzF4KDeYmLrE8wd3sBjJjSamMd5ZTHegeCC3lJjMOEcxry7GdAeJI7nFnAQneSDcF2NKTW7n6CXVzmO5ncQcxz5gaS7GtAeGscxYY+3JeT8/6V9E3bMiibtZEqfdSXSiumfZWXkSFUVcXMx5nPNTz4xdOkd1HrAseJhUPttM1oPFmc3aQG5DQRgLZdRZ7nurm4zMbLbegHR1erLlDUdABym6g9aeagIxGOuCjCmpe8MREAVSEol61mB5D0oSsCgCpOAuylJGw0YxgFKEK4q4bxWC8jEiPWu211QSWdyEGHsut4SCM0KfeErjuVUIysZ99yhsTQWR5gGtcNC1Ds2i5GxycXLejXOVdDMVnXVPzrOzbh4XUXZ+kZ6l5SZ0qHUDodahJdcXNL7wOhQIwohOLB26KKxwNxVpwfnQVGnMRpq5bNW/MS1C3tR/7bPu1W6i2Tere3kcpVF0NPttTNteBHSoojt0bd0KxGAEb7pu9WzlAaJAdGvcKzIbyj0oSkDhCqTgJk/CcLiEK5AimHDVRvRKZQPcxwIyckOrynVxfWLsuQ8TCs4IfmLl6h7VERaO+/ZR4Jqka/OIVjjo7e0KUroObCYR1xc0vuDSFQnCCE9U6dpuVxAkvKLDryszkRiMSEuXme7lUSQKRGZGvcghM5Eo4WQmkoKb6CjDYaMYQCnCyUx3VxAoHyOMt6kyk8X9iYnnQkwoOCP2yVWmuysIlI377lHYGkQmYUArHHQtMvOLIsovzqLuRRJddLPTvOwWZ2XZPT0/z6I8vZhE2TxLBBWZ1gdAi8yY6wsaX3iRCQRhRCeqyGyjEfL9UdfT8xjpEEV3yNrCE4jBCL6tCE8gCkp4upoeI1kCKk8gBTf7UcbDRjGAUgRTnp6mx1A+RmxvVXku7kpMPJdfQsEZwU+sPD1Nj6Fs3HePwtakPJsHtMJBh738MraOqRaTiRuvH2XxKt7GjyZKDV4NGl+6o4lS8IwG3sbRRKmJimWi0Lw9sXnE8x0MvdlwNFFqKPFMB11Neo4mSm1cVYqYo4lS6zgnNwj+c6k/oXUbP5ooNpyY3No9mii2lpjcmEcTk6sLKBPPBZRiq4kZjiWJqSd6DuRmE/NTm0cTxbYqpq3kp8P4b2dp2IrBQ7nBxNQlny14jiaKjSamsfaOJootJSYzxtHE5OqWSHeQOJJbzElwkgfCfTRRanLoo4liO4k5jns0MTF3P9oDw1hm7NaWPOLIdTYxSXmcVMDwNQ8gCGNdjDrNDVDzADpE0R2y9twSiMFY9mPMQd01DyBK8JoHkCVgzQNIwV13pYyHjWIApdiKmgeSjxHbWRO8pprH4l7AxHPRIxScEfzksxhPzQPJxn33KGxNNY/mAa1w0Nu7pVtLT6vE1tIz4zqDBhheegJBGOGJKj1b3tMNhFd0+LVlJhCDEWlbkZlAFJTMzGwo96AoAVUmkIKb6SjDYaMYQCmCqUzfnm4kHyOMt6oyFxcDJp6bHqHgjNgnVpm+Pd1INu67R2FrUpnNA1rhoLe354VWmanNGVplKq4zaIDhVSYQhBGeqCpz+5teIB2q6A5dW7kCMRjRm65c3U0vkCgQ5epueoFECahcgRTc7EkYDpdyBVKEU66ephdQQEZuaFW6Li4STDw3Q0LBGcFPLl09TS+gcNy3jwLXpF2bR7TCQW9v32CtXa1JRGvXnOsMGmB47QoEYcQnlnYN2jgY6SBFd9DaWhSIwQjHdC3qWUUFokC0qLNxMJIkoBQFUnCTIWU0bBQDKEUwKeppHAzlY0T6VpXo4uK9xHOXIhScEfrEStTTOBjKxn33KGxNQrR5QCscdODjia59n30vXrKKt/njiUKDV4PGl+94ohA8o4G3cjxRaKJimSg0b09s3mrYxR9PFBpKPNdB15K+44lCG4knOtZViULrOKc3CP5zqT+hdUGOJ6Z91etnNsP35YYTk1vLxxOl1hKTG/d44tXNiYnn5kSx1cQMx5LE1FM9B3Kzifmp1eOJUlsV01by02H8t7M0bMXgodxgYuoSzxbcwWIkN5qYxlo8nii1lJjMOMcTr25OdAeJI7nFnAQneSA8xxOFJgc/nii1k5jj2McTzc2J9sAwlhm7vRWQ2Hk8seBxUgHDV0CAIIx1Meo0dwMVEKCDFN1Ba881gRiMZUDGnNRdAQGiBK6AAEkCVkCAFNxVWMpo2CgGUIqtqIAg+RiRnjXda6qALG7aSzxXJ0LBGaFPPKfxVUCQbNx3j8LWVAFpHtAKB10L0bMs6at+P+6myWnRjePz8+4kjpLuWZzn8eQ0Ojkp5097WCGa2JyhhWjJdQYNMLwQBYIwwhNLiF5tI3fWVGaq87lt453qXhLHSRQdGb2a3j7u1BvCS2U2hLt2k9tcdgfqMkV32drSFIjBiM90aerZKA5EgUhTz0ZxIEpAbQqk4OZHwnC4tCmQIpw2LXPHGtc+FpAR/VsVp4u79BLP7YhQcEbwk4tT56iOsHDct48C16ROm0e0wkFvcSuN2HXIMY24zqABBlenSBBGfKKq03ZbaSDhFR1+XZ2JxGCEWrrOdC+BIlEgOtPdSgOJEk5nIim4mY4yHDaKAZQimM70tNKA8jHCeJsyM13cppd6rkeEgjNin1hmelppQNm47x6FrUFlEga0wkFvca/g2HUcMY25zqABhleZQBBGeKKqTHyvYKRDFN0haytPIAYj+raiPIEoKOXp6hWMZAkoPYEU3PRHGQ8bxQBKEUx6enoFQ/kYsb1V6bm4Ti/13I8IBWcEP7H09PQKhrJx3z0KW5P0bB7QCgcd+ACio6CeJl68dBVv4wcQpQavBo0v3QFEKXhGA2/jAKLURMUykWDe9D3t24/rrbBPdjvx5Y8v39Rv+OxTOvuUzT4p86nX0UL98fSLmx0dCHL9B5KeDXBPDEg8B8JQrA1HGKWGEs9+0PWo5wij1MZVrYk5wii1jnPCg+A/l34UWgc5wngtzQ7u7h0dDY/mibYaH7ykhVG6qz9k5oMyH/KvmAmxITG5dzeypt99OSgxnbZ75FFsLTGdMo88plc3MqaeGxnFVhNzahsi3MDcGHgwDuQYxAzZfATSYbsx+8aLA+GiOJRTKCYF+Tkynt1ZGrZi8FBuMDEpkmcyhDBUmTBUmTBUmTBUEcPQSA5JTKi8w5T9qOwpawh6ILeUmFYZhynTq7se3e/tkdxiTqoVPUDLiaI/9FRihHYOVzaHncUAuAiO5QTEPMs9dpmaWyHtIWcsM3Z7Kz2J69hlmvI4qYDhKz1AEMZqIHVyH6DSA3SIojuEPqO2YexBMRiLnYx5s7vSA0QJXukBsgSs9AApuKvNlPGwUQygFFtR6UHyMWJ7G5PM5VRzcYlg6rkVEgrOCH7k+RF5UEdYNu67R2FrqvQ0D2iFg97ireyJ66BlmnGdQQMMLz2BIIzwRJWeLW9lB8IrOvzaMhOIwYi0rchMIApKZmY2lHtQlIAqE0jBzXSU4bBRDKAUwVSmbys7ko8RxltVmYtLBFPPrZBQcEbsE6tM31Z2JBv33aOwNanM5gGtcNBbfCtk4jwwqbjOoAGGV5lAEEZ4oqrM7b8VEulQRXcoXbkyW6R82NG6/qHZNjb9eO7qz/VA6F+anT1P9A8/qlecH3fMdEB/8WHna+evTV6ddA4mr03++q9f6Uzfnf2DnenPL9+aftz58z/RnnU5dA/qUEYeoWtod9sRJApEQ7vbjiBRAmpoIAU3jxOGI4+TtNe3T2sGUJhwUtpzTSUUkJGsWtXSi0sNU881lVBwRgyUa2nPNZVQOO5LSIFrEtPNI1rhoLe4SXPiPBeac51BAwwvpoEgjPjEEtNBmzQjHaToDqKLYxvGHhSDEY7pktSzrAtEgUhSZ5NmJElARQqk4CZDwmgkaVL2cuuIDKAswQRpnDuOoO1j+RjxvlU9urjbMPVcVgkFZwRAsR41g2rdujjCsnHfQApbkxxtHtAKBx34rKhrtbbvxctW8TZ/VlRo8GrQ+PKdFRWCZzTwVs6KCk1ULBMJ5onPiia7nUL/AeU6KyoEXA3c+LOiQkOJR1vomtR3VlRoI/FQy7pqU2gd5wALwX+uvQFC6zZ4VrQwJ0RL/SGLzId4cUir7z8rKgUlptOWz4pKrSWmU+5Z0avrMVPP9Zhiq4k5tQ0RbmBuDDwYB3IMYoZc56xo/8aLA+E5KyqlUEwK8nNkPLuzNGzF4KHcYGJSJM9kCGGoMmGoMmGoMmGoIoahkRySmFBbPCsqtZSYVjlnRa8u3nS/t0dyizmpVvQALSeK/tBTiRHQZ0X7N14cAM9ZUSkBMc+yz4qaKzrtIWcsM3Z7qz+p86xoweOkAoav/gBBGKuB1Mn9Bqo/QAcpuoPoM2wbxh4Ug7H4yZhHu6s/QJTA1R8gScDqD5CCu/ZMGI04T/Je4ar+AFm2ovqD5GPE+zYmnsvp5+Jex9RzUScUnBEAyXMmTvUHycZ9AylsTdWf5gGtcNBbvLM/dZ4fLbnOoAGGl6NAEEZ4YsnR7d7ZD3SoojuULl/D7+z/f2ZDcPmjzvTv9S/+tXFvP9CljExCl9Kevf1AFIiU9uztB6IE1NJACm4mJwxHlvTzXmo/cTiAwgQT0969/UhARrpqVU0v7qFMPTeLQsEZMVCspr17+5Fw3JeQAtckp5tHtMJBb3E7ltR1UDbzX4BlcQYNMLicRoIw4hNVTrfbjgUJr+jwdOlrw9iDYjBCLV1uuldukSgQuelux4JECSc3kRTcTEcZDhvFAEoRTme627FA+RhhvE2ZmS0uosw8N4tCwRmxTy4z3e1YoGzcd4/C1qAyCQNa4aC3uN906jpBmsVcZ9AAw6tMIAgjPFFVJr7fNNIhiu6QtZUnEIMRfVtRnkAUlPJ09ZtGsgSUnkAKbvqjjIeNYgClCCY9Pf2moXyM2N6q9FxcRJl5bhaFgjOCn1h6evpNQ9m47x6FrUl6Ng9ohYMOfFrUJSYTL55axdv4aVGpwatB40t3WlQKntHA2zgtKjVRsUwkmPfiadGVE6Hpbqe/2yl3O7Geccax42ColIV4BoYhThsOhkoNJZ5joUtPz8FQqY2rshJzMFRqHee0CsF/LqkotG5zB0Mzc4loZi4Rzcwlotni9r7Mf4moGJSYOds9GCq2lpg5mQdDs6tLRDPPJaJiq4npsw29bWBuDDwYB3IMYjJc42BodnWJaNZwiaiYQjEpyM+R8ezO0rAVg4dyg4lJkTxpIYShyoShyoShyoShihiGRnJIYkJt72Co2FJiWmUcDM2uLhF1v7dHcos5qVb0AC3nhP7QU4kRwAdDs6tLRP1h51hOQMyz3IOhmblE1B5yxjJjt7eok7kOhmYpj5MKGL6oAwRhLPxR5/EBijpAhyi6Q+iTZxvGHhSDsa7JmDe7izpAlOBFHSBLwKIOkIK7sEwZDxvFAEqxFUUdJB8jtrcxyVxONRd3TmaeS0Sh4IzgR54fkQd1hGXjvnsUtqaiTvOAVjjoLd61nrkOgc53mjGcQQMMLz2BIIzwRJWeLe9aB8IrOvzaMhOIwYi0rchMIApKZmY2lHtQlIAqE0jBzXSU4bBRDKAUwVSmb9c6ko8RxltVmYs7JzPPJaJQcEbsE6tM3651JBv33aOwNanM5gGtcNBb3Gokc56NVFxn0ADDq0wgCCM8UVXm9rcaQTpU0R1KV674ViN7tS861XE37nf+/E/6nq4iSO8xkgZdMLu7iiBRIILZ3VUEiRJQMAMpuEmbMhx5Fvey3DokAyhMON3s6SoCBWRkplaF8+J+ycxzYygUnBED5cLZ01UECsd9CSlwTcq5eUQrHPQW94zOnOc9c64zaIDhlTMQhBGfWMo5aM9opIMU3UF0JWzD2INiMMIxXZJ61nCBKBBJ6uwZjSQJqEiBFNxkSBiNPNFR3TogAyhKMD3qaRkN5WOE+1bl6OJ+ycxzYSgUnBH/xHLU0zIaysZ9ASlsTWq0eUArHLT+3zdqFTZ/XY3K/LpPdrZ8JlTZeLXg7Lt587Ifr/IGOhOaRM4zoUKDV6MI5kzos+lnZo20rvX/tDNf9Hs4P+vZMQuInzy3E6A+E/rY7EJd/iktOT83S7E/n743F57sc6Ufa1Oi3WT6eWL+AtcS3B2xJzOaJ1s5ZCo0UbFMFJq3JzZvNbCvf270c2tiviu2kHi+ha5VfQdGhTYST7asq0KF1nFOsRD859ogILQOcmB01eYkzfq9qLBZvi+3nJgn+SdA41wp9xFQqbnERMk9Anp1N2jmuRtUbDUxW7L0tmULktXZB3Kziamp+cgn1dZDua2KaSv56TD+21katmLwUG4wMWuJpyKecDGSW03MZLyTmp5Q8UBuKjGhcY5qXt3h6Q4TR3KLOUlO8ki4XrtKbHI7RzOpdh7L7SSmOfYBTHMzpz00jGXG1mInK7NJrqJu0T/vd7M0SbqTZNLv5meTVP//pB8XG9gFr5wHMAseJxXQNjH2cHEmxzaQ21AQxrIbddL83nKa+tA3pX14+dN51SVOo8u3i9mmoo5nVxHQDYruhrWnk0AMxlpiG9NOIAmklKKnp65aChAlYC0FSMFdyiUMh2u2C6QIVkZJIlX2ImUj3McSMiI6a2LXVEhZXNWYee7ehIIzgp989uIe1hGWjvv+UeiaSinNQ1rhoGcHL8vJSRlFaVedZGk3K/WPFScTs4c+z5MiUtlZ//zlDUhOa0bUkrPkOoMGGF5yAkEYAYoqOd+d7eK5KpEsd/iAtvUA3aPo7llbigIxGNGYIUXd23qAKBAt6hKiQI6AQhRIwU2EhLFwCVEgRTAhGue9Mrfx7WP5GFG+VRm6uOIw81xaCQVnBD6xDHUO6gjLxn33KGxNIrR5QCsc9BZ3/1Cuc5nz5pIcZ5AAg4tQJAgjPFFFaLvdP5Dwig6/rsREYjAibRsSE4kCkZhRL1E2lHtQlHAqE0nBzXSU4bBRDKAUwVSmp/sHlI8RxttUmWpxxaHy3FkJBWfEPrHK9HT/gLJx3z0KW4PKJAxohYPe4vbGynWGUcVcZ9AAw6tMIAgjPFFVJr69MdIhiu6QtZUnEIMRfVtRnkAUkPJ0dTdGogRUnkAKbvajDIeNYgClCKY8Pd2NoXyM0N6q8lzccKg8V1ZCwRmxT6w8Pd2NoWzcd4/C1qQ8mwe0wkEHvrLSumattWTixutHWb6Kt/HjiVKDV4PGvx9PlHoyo3myjeOJUhMVy0SheXti84gHPRj61bVPVGoh8VAHXZZ6jidKbVzVnJjjiVLrOCc3CP5z6UihdZs/nii2nJgnWz6eKDaXmCiZxxPV1Q2VynNDpdhqYrZkyWvqmZ4DudnE1NTm8USxrYppK/npMP7bWRq2YvBQbjAxa4lnHt7jiWKriZmsxeOJYlOJCY1xPFFd3STpDhNHcos5SU7ySLiPJ0pNDn08UWwnMc1xjycqcz+kPTSMZcZubwEldx1PVCmPkwoYvoACBGGsslEnzQEKKECHKLpD1p5YAjEYi4iMCai7gAJECV1AAaIELKAAKbiLuJThsFEMoBRbUUBB8jFCO2uG11RAWdwmqDzXQ0LBGbFPPI3xFVCQbNx3j8LWVEBpHtAKB73FG8Rz1ylFlXGdQQMMrzyBIIzwRFWeLW8QB8IrOvzaKhOIwYi0rahMIApIZTo3iANRAqpMIAU301GGw0YxgFIEU5m+DeJIPkYYb1VlLm4TVJ7rIaHgjNgnVpm+DeJINu67R2FrUpnNA1rhoLe4F0buPIao2M4gAYZXmUAQRniiqszQvTCQ7lF096ytQ4EYjFjcig4FokB0aN/GcQ/KEVCEAim4iZAwFi4RCqQIJkI9vTCgfIwo36oIXVzMpzxXLULBGYFPLEI9vTCgbNx3j8LWJEKbB7TCQW9xD+DceUox5zqDBhhehAJBGOGJKkJRPYCRblB0N6wtNoEYjJjLEJvOvd1AEojWdPcARqIElJtACm7KIwyHS24CKYLJTW8PYCghI6K3KjgXd+8pz2WKUHBG8BMLTm8PYCgd9/2j</t>
  </si>
  <si>
    <t>0DVJzuYhrXDQgY8nWhODFpF9L15/FW/zxxOFBq+GjX8/nij1ZEbzZCvHE4UmKpaJBPO06H+mHWtWk5/sduLLH1++qUPG7FM6+5TNPinzqdeZfqAH7oubnXi3o4NLnPRsgHtiwNVcADzgKLSQeCyEJW6dBxyFNq4qV9ABR6F1nLMfBP+51KjQOsgBx2sJe3B37+hoeDRP2dX44CUtsopd/aHUH/LIfIi/YuKcITFZfDeyJvJ9OSgxMbd9HlJqLjEzc89DXl3XqDzXNYqtJqbnNhS9gbkx8GAcyDGIubH5fKTDdmP2jRcHwkVxKKdQTAryc2Q8u7M0bMXgodxgYjokT4sIcagycagycagycagixqGRHJKYUXkHLZOsSHrKddBSaioxsXIOWl7dA+l+cY/kFnOSregJWk46/bGnEiO0c/CyOe4sBsBFcCwnIGZa9pFMc2OkPeaMZcZub7Wo7zySWfA4qYDhq0VAEMbaInWhAFYtArpB0d3AmkI/5wnvqsbD2crJx2Ytw/zEo3p55Wvnr01enXQOJq+9Nvnrv35lt1NvB3s8fdqZ/vzyLf3TLyXRzHW126zBaQ/qN8YKbRszcyBJ6PIUECVgeQpIwV0eJwxHFpVJL4qtT9cAChO4SmXdQbOPJWRkkjbmtMuZ7eJaQ+W5qRIKzoiB5OkYr0qFpOO+hhS6pipV85BWOOgt3p3fd54BLbnOoAGGl7pAEEaAokrd4Lvzge5RdPfQJbANYw+KwYjGDEXq3p0PRIFIUpceBXIE1KNACm4iJIyFq0AFpAgmRE2rLGu22sfyMaJ8qzJ0cbGh8txUCQVnBD6xDDWDal1tG2HZuO8eha1JhDYPaIWD3uJGJH3XEdE8YjuDBBhchCJBGOGJKkLbbUSChFd0+HUlJhKDEWnbkJhIFIjEdDciQaKEU5lICm6mIwxHqfJe1C9sLAMoSzCt6WlHAuVjBPM2tWa+uN4w99xXCQVnRECx1vS0I4Gycd9ACluD1iQMaIWD3uJ2y33XSdDcc4WS3Rk0wPBaEwjCCE9UrYlvt4x0iKI7ZG39CcRgRN9W9CcQBaQ/Xe2WkSgB9SeQgpv9KMNhoxhAKYIpT0+7ZSgfI7S3qjwX1xvmnvsqoeCM2CdWnp52y1A27rtHYWtSns0DWuGgAx8ItU6BtZZMvHjFKt7GD4RKDV4NGv9+IFTqyYzmyTYOhEpNVCwTCebxD4Tit7+a7Rf1s2f+mtnOi0ezR+HZ5d/pv/1j8zg4tsVKHUs8ecNQ3q7trlILicdm6ILacxBVauOqWsYcRJVat5qJMQdRpdZt7iBqnprjp5n5oMyHfH4ALE+8B1HFoERB0PJBVLG5REXAPIiaX13MmXsu5hRbTZQFbcwjDMyNgQfjQI5BzMlrHETVtr84EO6DqGIKxaQgP0fGsztLw1YMHsoNJqZD8mSMEIcqE4cqE4cqE4cqYhwaySGJGbXFg6hiU4mJlXEQNb+68dP94h7JLeYkW9ETtJzs+mNPJUYAH0Rdxp3FALgPoooJiJmWexA1N3eD2mPOWGbs9harCtdB1DzlcVIBwxergCCMFU3qAkWAYhXQIYruEPok3oaxB8VgLNgypszuYhUQJXSxCogSsFgFpOAumFOGw0YxgFJsRbEKyccI7W1MMpdTzcVVkrnnblAoOCP2kedH5EEdYdm47x6FralY1TygFQ56i7fkF65zoXnGdQYNMLzyBIIwwhNVeba8JR8Ir+jwa6tMIAYj0raiMoEoIJXp3JIPRAmoMoEU3ExHGI4k7rn24wNBgglN3358JB8jkrcqNBe3Seae60Gh4IzwJxaavv34SDbu60dhaxKazQNa4aC3uAFJ4Tz7qdjOIAGGF5pAEEZ4ogrN0A1IkO5RdPesLUWBGIxY3IoUBaJApGjfxnEPyhFQhwIpuImQMBau1U4gRTAR6mlAAuVjRPlWRejiNsnccz0oFJwR+MQi1NOABMrGffcobE0itHlAKxz0Fjd8LpyHQnOuM2iA4UUoEIQRnqgiFNXwGekGRXfD2mITiMGIuQyx6dyQDiSBaE13/2UkSkC5CaTgpjzCcJRpL42swXsARQmmOb3dl6GEjLDequpcXCiZe+4IhYIzIqBYdXq7L0PpuC8hha5JdzYPaYWD1v/7xu5Mbn3dpytbPhpa2jC1ouy7MfOyn6xihjsaas3Qt8UGr4aPf7tHQ59dvkk7Gir0ZEbzZCtHQ4UmKpaJQvP2xOatRnTgAUuhhcTjICyd6jxgKbRxVYSCDlgKreOc+SD4z7WOKbQOcsDymqhQKnGXyaWWE/Mk/8Rk0i88Jyal5hITJffE5NXVnbnn6k6x1cRsyRLa13fs2J19IDebmJqaT0hSbT2U26qYtpKfDuO/naVhKwYP5QYTs5Z8DuIOFyO51cRMxjzY6A4VD+SmEhMa52Dj1Q2b7jBxJLeYk+Qkj4TrtavEJrdzkJFq57HcTmKaYx9XNPdm2kPDWGassfakPFOTLC26ySQuu1leXHRPlCm55FlxdhafndWXGRke53TXM+8XT3mdxxULHicV0DYx9nBxJsc2kNtQEMZ6G3XS/N7qFh4zsa2398zLJoDtPEAPKbqH1p5pAjEY64uMGal7Ow8QBVRisU6u70FJAlZYgBTcxV3CaLgmwkCKYMWVOO+VrtIKko8R6lkzvqbSyuIWxNxzsSUUnBH6xNMa56COsGzcd4/C1lRYaR7QCgddK1GVl+nZRXnRjZIz/bMTddotsjTpXiRFrn8uvTjJz1/egBK1phCtREuuM2iA4ZUoEIQRnqhK9N1lPcV0VXx0+YYpnRiB+VxxpbNXw3T+43B81LkzvD88mqvU/3gnSWe/yqPohvkvjjx7fICeUXTPrK1AgRiMMMxQoM6aCJAksAAFkgQUoEAKbhIkjIZLgAIpggnQJEpixznafSwhI8a3KkEXdyDmnkstoeCM2CeWoJ5hHWHpuO8fha5JhDYPaYWD3uIeGqXraGM/4jqDBhhchCJBGAGKKkLb7aGBhFd0+HV1JhKDEWsZOtO50olEgQhNdw8NJEo4pYmk4GY6ynDYKAZQimBK09NAA8rHCONt6sz+4v7DvudCSyg4I/aJdaangQaUjfvuUdgaVCZhQCsc9Bb3CC5dZxf7njuW7M6gAYZXmUAQRniiqkx8j2CkQxTdIWsrTyAGI/q2ojyBKCDl6eoRjEQJqDyBFNzsRxkOG8UAShFMeXp6BEP5GKG9VeW5uP+w77nQEgrOiH1i5enpEQxl4757FLYm5dk8oBUOOuyFlol1TLWWTNx4/SgrV/E2fmpRavBq0Pj3U4tST2Y0T7ZxalFqomKZKDRvT2we8fwHQ7+6KvRSC4lnPeiy1HNqUWrjqubEnFqUWsc50EHwn0tHCq3b/KlFseXEPNnyqUWxucREyTy12L+657HvuedRbDUxW7LkNfWoz4HcbGJqavPUothWxbSV/HQY/+0sDVsxeCg3mJi1xDMP76lFsdXETNbiqUWxqcSExji12L+6jtEdJo7kFnOSnOSRcJ9alJoc+tSi2E5imuOeWuybSxbtoWEsM3ZrCyh6Duk4tdhPeZxUwPAFFCAIY5WNOmkOUEABOkTRHbL2xBKIwVhEZExA3QUUIEroAgoQJWABBUjBXcSlDIeNYgCl2IoCCpKPEdpZM7ymAsriTr6+55JFKDgj9omnMb4CCpKN++5R2JoKKM0DWuGgt3eDuKt6oZVnxnUGDTC88gSCMMITVXm2vEEcCK/o8GurTCAGI9K2ojKBKCCV6dwgDkQJqDKBFNxMRxkOG8UAShFMZfo2iCP5GGG8VZW5uJCv77lhEQrOiH1ilenbII5k4757FLYmldk8oBUOent7YWiVmdqcoVWm4jqDBhheZQJBGOGJqjID9sJAekbRPbO2BAViMMIwQ4I6d9oASSAK1NkLA0kSUIACKbhJkDAaLgEKpAgmQL29MKCEjBjfqgRdXMfX99yvCAVnxD6xBPX2woDScd8/Cl2TCG0e0goHvb2tgbUIzWzO0CI05zqDBhhehAJBGAGKKkI30BoY6SFF99DaYhSIwQjIDDHqXg8FogRWo0CSgGoUSMHNhoTRcKlRIEUwNeppDQzlY4T6VrXo4oq+vufWRSg4I/SJtainNTCUjfvuUdialGjzgFY46MCnFl0bOPs+PBWt4m3+1KLQ4NWg8e+nFqWezGiebOXUotBExTKRYJ4W8c+mH9fi/sluJ7788eWbOmTMPqWzT9nskzKfeh0t9h9Pv7jZSXY7hf4DqmcD3BMDrmYC4LlHoYXE0yIcXes+9yi0cVW1gs49Cq3jHAkh+M+lRIXWQc49XkvYg7t7R0fDo3nKrsYHL2mJVezqD6X+UETmQ/wVE+cMicniu5E1ke/LQYmJue1jklJziZmZe0zy6nLHvudyR7HVxPTchp43MDcGHowDOQYxNzYfm3TYbsy+8eJAuCgO5RSKSUF+joxnd5aGrRg8lBtMTIfkSREhDlUmDlUmDlUmDlXEODSSQxIzKu/8ZRb3+z3lOn8pNZWYWDnnL69ujXS/uEdyiznJVvQELSed/thTiRHaOY/ZHHcWA+AiOJYTEDMt+6SmuV/SHnPGMmO3t4gUO09qFjxOKmD4IhIQhLGySF0o2EQRCeghRfcQfXZtw9iDYjBWUhlzaHcRCYgSuIgEJAlYRAJScBeyCaOR5P2sl5bWIRlAYULWkmIr3z6WjxHx25h7Lmegi1sJ+55rJqHgjAhInjbZBtUqR0ZYNu4rSGFrqiU1D2iFg97irfWOTKIFacl1Bg0wvCAFgjDCE1WQhtxaD/SMonuGLkSXar0+2+qtvD2cVfc+7kw/rn/iUV0C/Nr5axPtt4PJa69N/vqvX+lM/x/t30dayf+oM/17/Yt/7byURNHl27H+2DGOs0aKPajnGJGfoX2d9SMgSWDpCyQJKH2BFNy8SxiNBukLhAkmfWe7v10bqZCEjOzSqvhd3IbY91xwCQVnhECx+PVv6kfScV9DCl2T/G0e0goHvcX9S2LXydJ5ZxuGM2iAweUvEoQRoKjyt93+JUh4RYenK1wbxh4UgxFrGXLTudSKRIHoTXf/EiRKOMGJpOBmOsJwKNXvxbl1RAZQlmB609PFBMrHCOZtqs1icSti4bnmEgrOiIBitenpYgJl476BFLYGrUkY0AoHvcVdmmPXAdLCc/OS3Rk0wPBaEwjCCE9UrYnv0ox0iKI7ZG39CcRgRN9W9CcQBaQ/XV2akSgB9SeQgpv9KMNhoxhAKYIpT0+XZigfI7S3qjwXtyIWnmsuoeCM2CdWnp4uzVA27rtHYWtSns0DWuGgAx8YdZTti8SLF6/ibfzAqNTg1aDx7wdGpZ7MaJ5s48Co1ETFMpFg3osHRlcOhaa7nf5up9ztxHoGG8eOs6FSFuJhGIbYddX2pRYST7LQNaznbKjUxlWBijkbKrWOc1yF4D+X6BRat7mzoUVqToRm5oMyH/L5mawi8Z4NFYMSc3DLZ0PF5hKTMPNsaHF1hWbhuUJTbDUxE7ch3Q3MjYEH40COQUyDa5wN1ba/OBDus6FiCsWkID9HxrM7S8NWDB7KDSamQ/L8hxCHKhOHKhOHKhOHKmIcGskhiRm1xbOhYlOJiZVxNrS4upvT/eIeyS3mJFvRE7ScX/pjTyVGAJ8NXcadxQC4z4aKCYiZlns2tDC3eNpjzlhm7PbWhxLX2dAi5XFSAcPXh4AgjEVE6ppAgPoQ0CGK7hD6vNmGsQfFYKyRMqbM7voQECV0fQiIErA+BKTgrlFThsNGMYBSbEV9CMnHCO1tTDKXU83FpY+F5xZPKDgj9pHnR+RBHWHZuO8eha2pPtQ8oBUOeot3wSeuQ6BFxnUGDTC88gSCMMITVXm2vAseCK/o8GurTCAGI9K2ojKBKCCV6dwFD0QJqDKBFNxMRxiORGftyLQWuM4ygLIE05q+XfBIPkYwb1VrLq5+LDx3eULBGRFQrDV9u+CRbNw3kMLWpDWbB7TCQW9xw5HEeeJScZ1BAwyvNYEgjPBE1ZoBG44gPaPonqELUV7Dkadaps92iL3QJlCL85+aZiIP5wvJ5rez3Wb1RrE3L9+qhf3qn5i7vDruxv3OS9q1f5X7m5IgvcvIDgx97Ny4BCSByGNnUxIkSUB1DKTg5mbKaKRF0svnN8Ncl8dAmGDy2NuUBErIyECtCuTFtZSF56ZRKDgjBIoFsrcpCZSO+xpS6JokcvOQVjjoLW4SnTgPiuZcZ9AAw0tkIAgjQFEl8gaaRCM9pOgeoktlG8YeFIMRkBma1L1mC0QJLEqBJAFFKZCCmw0po+EXpUCYYKLU0yQayseI+K1K0sX9lIXnwlEoOCMCiiWpp0k0lI37ClLYmgRp84BWOGj9v2/MNwm87Jec3z0//d4r3/6WxRMCxemq/PfdmHnZT1cxXedI3bZyVOTiKKnV2NtiY1efMY9jiUrxfa0STT/hd2yGalXXvzkQW3stzrnNXS/Mzc9qmXv8ytIV16QQGR+CvuPdWH5oLD90WX4ot1zxLafvdNeGD43hQ5fhQ7nh9MdcHknn52rMnWsOgEoMcO14RAMA73k5NlYfu6w+lltND9vMUxHa6LExeuwyeiwzun5YXg6Ze5wnHgqv+ZnT52RrRdnHbu5tsbn0F5Oaf/5bXZ0yXQQ+vHxn+qhTF6h+b1oIXL4zX4X4ol6bMAcY3jY/WHc7eFwXpEzmsgHqvFWYvCWkDJ23zNWzZebKW1KIEHmrNHnLbvmh3HLFt5wVi4bG8KHL8KHccPrrsXbeMteEOgAqMQA8b5Umb9mtPpZbTQ/5orxVmrxlN3osM/r5RQ7zmn7dl8Daa8NTf7Rh6PxVejFyp+9pxgqTVy+O7JWF22KDV0P7ml14/i+zG8JstpjviqjP3M0zU+fy+6aZTj29erNeV/98d+Vr02ddnd4e6T/xA7P4bn6kzoCLjj71uvznddueL+o7YeoOMLNt1fp39WG+WQOeem/HC4f/zJfrtf76K08u/65nrpZ51klmezLmzX101r18w6Tb+V9z+WYn243i2Y8W5icfzdsMfWgbiDvigVhNT6008Zn+qt4P9HDmrsdzR//08iea4Q2zqcWAfvyC5+buNsPydOa1ng30q2JQxQIlQNrM2xObt7okB+zuI7RwtdYA7e4jtHG1igDq7iO0blWXgLr7CK2DdPe5vgFd57/CZvi+3HBiquZ36ylV5m7WI7WWmKu5zXrKq2Y9zrta7sutJiZs1kTs2gPtcPaB3GxiemueelFtPZTbqpi2kp8O47+dpWHX51lSg4k5S1xCcgeLkdxoYhrjtdRxB4oHckuJyYzTUae86qjjDBJHcos5CU7yQLheukpscjsddKh2HsvtJOY45szaPBFLo65PqiXG1mI2zaKLsky7RZSddTOVT7qT6OS8m54kUZmdnKX9i/mj4pxuvzpx774STrldk+4y4mFS+WwTcw8WZ3JuA7kNBWHslVhr0v7ivPzh5U9tqHegqIqOuu5sEYnB2OTBmFU6t7khUUDb3FIbyT0oSbhtbkiK1TzvoVhzMoukCLa/rejljvY3UDxGyGZN2xq2t5WLe5xKz8VcUHBG5BPPTVxjOsKicd88ClrD7jbCeFY46FpPlhdxEV+kWbcs+lk3O58k3ZMoOu+eqezs9LxfXEQX83c5qJ50bIErPTdF2H1B4wuvJ4EgjOBE1ZPvmxrJTEX+cEVa1kqybn1TX5EwK+w8rusM9bla8x11Q9nccAfqBkV3w9paE4jBiLgMremqYCBJQFLTOvW8ByUJKDWBFNyERxgNl9QEUgSTmknuWHrax/IxwnmrWnNxc1PpuYoLCs6IfGKt6RzUEZaN++5R2JrEZvOAVjjo2dne9GSifzrqpnF+3s3iuOiW0flJ9/Q8Kc/UaZFG/fmgBxWb1sUKLTYTri9ofOHFJhCEEZ2oYvM9sxnHnNs1e1hmXVp+evmDmaI0R3dnYvO96a9zG+4dKK6i464tKoEYjNDKEJVmG/NHvY691dBdKBBGW9o47kE5AipLIAU3uxHGwqUsgRTBlGWsevZDyPtYPkbsblVZJgsh4rkzCgrOCH9iZekc1BGWjfvuUdialGXzgFY46O28Pmb2MbP5QivLlOsLGl94ZQkEYUQnqrLE3x6DdIiiO2Rt7QnEYARfhvZ0F8+BKBDV6b49BokSUHgCKbjJjzIcNooBlCKY8PTcHgPlY4T2VoXn4rKR0nN7DBScEfvEwtNzewyUjfvuUdiahGfzgFY4aKM8fYKy3WONrop45qbrRypZpdv4sUapwasx49+PNa55rFE6EBltILbnWKMUVLFAKZA/n41Zba159Ore7vUD82jZY9z7nM1+YnULRt0J3TSS0H/5bJ/Go85L9T/00WxHhvl7Oqa1Zdqp22a+UfeeSNJuUnxl1n2ifjynT3Y78eWPL9/UwXT2KZ19ymaflPlkdfKe2MmrGRF3OFNqIfFUC13gew5nSm0knmdZV7kLrVtVBpjDmVLrIIczrwmX61eea6mpTFuU3Hzomw/F/Mrzsr6fxHHl+b4clChQ2j3MKbaWqFCYhznLbHmYs3ReA3NfbjVRprQxrTEwNwYejAM5RsbEoPdJmdluzL7x4kC4KA7lFIpJQX6OjGd3loatGDyUG0zMhuS5ISEMVSYMVSYMVSYMVcQwNJJDEhMq75honKWx85yo2FRiXmWcE13GnweeF/dIbjEn14qeoOXc2x97KjFCO+dGm+POYgBcBMdyAmKi5Z4o1c/O0qgVY8cyY7e2dOZsQ1gqHiaVL3zpDAjCWF+lrpcEKJ0BHaLoDqFP520Ye1AMxvIxY8LsLp0BUUKXzoAoAUtnQAru8j1lOGwUAyjFVpTOkHyM0N7GHHM501xcDFV67vqCgjNiH3l6RB7UEZaN++5R2JpKZ80DWuGgt/c0QOIstOVcX9D4wgtPIAgjOlGF59qnAYC4io67tqwEYjBCK0NWNp0GAAJBxKXrNACQI6CyBFJwsxthLPq5KnulDWUARQkmL31HApB8jADeqrxcXPNUeu7tgoIzYqBYXvqOBCDZuC8gha1JXjYPaIWD3t7OJonzsGmf6wsaX3h5CQRhRCeqvIR1NgG6QdHdsLbsBGIwQi5Ddjq3/wBJMHrT2dkESBJQcQIpuAmPMBqutUwgRTCx6etsguRjhPNWxWZ/oU36HrGJBGdEPrHY9HU2QbJx3z0KW5PYbB7QCge9vW2ZE+f5U8+VTo51XRJfeLEJBGFEJ6rYXKstMxBV0VHXFpRADEZYZQhKd3kciAJSlNbJ5z0oSUBFCaTgZjXKaJRlrPr2ED2AwgQTlp7uzEg8RuRuVVcWCxlSeHQlEpwRAMW60tOdGYnGfQEpaE2ysnk8Kxy0/t83/uY5QeXUjS1f/+wqf5duzrzs91c5XedM277+2WrubbG5q49ZG9c/1+ftpi1f/1yWNwdiyrDXP6dRtKs/JOZDZj709YfYfC1OzYdcf0hiV7yUImZ8RPpm8vpyaMN1aLgODdeh4To0XIeG69BwHbq4DuVcis9F32Juro42WEODNTRYQ4M1NFhDgzU0WEMX1lCORX/x5OG9Pu5i8CqDVxm8yuBVBq8yeJXBq1x4lRgPfO20YTo2TMeG6dgwHRumY8N0bJiOXUzHciZ6ImIedDCXUhuksUEaG6SxQRobpLFBGhuksQtpLEN6biJsklawG6tdRx3S+fKdi6J0DgzNWGG+NR9t9t4W27uajNbs7PBrnU3NWsrD6b8uc+gs+16+bXKtOUb/aPpE/zdvszB9b/rz6X+xMd0RM61mn1aaJNhM/KrYRMUyUWjenti81bkMrDGA2MLVNRpgYwCxjcQDjOutvIitW036kMYAYusgjQFWbc7iwlV8kxtOTFf8g/5xFLsu4Pya3FxiwuKd9NfmLE76Gy3hOukvt5qYtlgTqOsHmhzXNsvNJmam5kkR1dZDua2KaSv56TD+21katjqLkRtMTFrixTd3tBjJjSbmMeZ5fHekeCA3lZjO6Ofxr6LEA0+UOJJbzElxkifCeW+z2OR2zt9T7TyW20nMcszJp3kilkatzixlxhprJ3F2mqnTtJtOTlU3K+OoW+RnRTfNz7Kz+OKkOEkvZjzOSeerk3Y3CNSfbZh66um/BuYaJpXPNj31YHGmqDaQ21AQRpmJOnd9bzE7NUed6mnpbIqa9KPor9K++ivVsXHegXIqOufak0UgBqM4Rp9Umk3DNpS7UBTM7gAbxz0oR7C9AVAKbmmSMBaumSyQItimAO+MFwnIiNesSZt/W4BmmpWR57+wgR9gwRmRDzMzQcJx3z4KnH9jAGVEKxx0yLbTru0AaZS46fqRSlfpNl6bENpLXOSh6rt2axNCpozG1EptQmiiYplIMM/d1rjXmX4wfTz94mbHvMy9zp+O7nefG4nHnbt/8a2z89denfxVJ4oK1bn7p53/z/kr3/1u3RHc7Np48/mBe3yzc3TrfqeMYmss3BN7hLiyRFeu7nKI0ELiMhJDkHrKIUIbietH64pNoXWctSKC/1wiUmgdpBxyLdNa+iSnUTrrSGq2A3gaI8vJiCm07XqJ1FxiEuXWS5KreonzHrf7cquJqbQN6W1gbgw8GAdyDGL2bK6fOGw3Zt94cSBcFIdyCsWkID9HxrM7S8NWDB7KDSbmP/L8hRB4KmLgGcmpiDmTWXpRsXKXXqSmElMnp/SSXJVenG/qkdxiTjoVPTLL+aA/2FRihHZKMc2BZjEALoJjOQExtbKLNMnO0qgVY8cyY7e2SOPeH5jyMKl84Ys0QBDGoh91Ei8v0gA5FZ2TPmu2YexBMRhLlfSprqdIA0QJWqQBcgQs0gApuMvEhLFwza+BFNtRpEECMuJ1GzPF5XwxXSzpu68GxYIzIh95kkMf1REWjvv2UeCaijTNI1rhoOvTm7vL4GlUYsADJamNVgvGzE2bl0W8ShuoaFPYBe5tsb3ElSaq3vuV1nv1jY2zGyenzy5/UN9zsXqW8/3pu9O/n5dtrn76hYtF51d3dhJzVeMT/QftzT7E5BmNvJXSjtBExTJRaN6e2DziOhNdfLrrLEILiWtGDE3pqbMIbSQuFq2rF4XWcRaGCP5z6UChdZA6yzUlUJa90vpg7ssNJyY1fhklS1y65Wtya4lZjVtFya6qKO77JeVWE3MbSxtT92ofyM3OmGaTHw3PqROprYppK/npMP7bWRq2YvBQbjAxZ4mnDUorNKtEG8ltJmYxXuXDHSceyC0l5jJO4SO7Kny474CUW8zJb5LnwXPmRGhyO4UOqp3HcjuJKY5dzsh2lkatGDuWGVtrWdJlPIbHOS/1TNSlc1NnOUPxMKl8thmsB4szi7WB3IaCMJbHqNNb+M2OUIcoukPWnlICMRirf4ypp6t1JRQFUvdw3uwIRQlY+gBScBdfKcNhoxhAKYKVPtw3O2L5GKGdNbtrqnyoxTq5+2ZHLDgj9omnMO6bHbFs3HePwtZU+Gge0AoHPdtHo5IiOe9H3fPJyaSbncVFtzgvLrpnJ/pPnKqTZJKcvBxeeFrXu7TwzLm+oPGFF55AEEZ0ogrPn9U1ksf11Trz1uedF8omtbTMo8Q6YbgDxVV03LVlJRCDEVpbkZVAFJCstJZK70FJAqpKIAU3s1FGw0YxgFIEU5VxniTuHTVIQkbkblVX5gsZ4r7SEQvOCH5iXRlnZS91rY0j4bivHwWuSVg2j2iFgw577Dmz0Wmp2HfT9SOVrdJtfAeN0F5ilZGq9Daxg0ZIntHIW9lBIzRRsUwUmrcnNo9YjWToTecOGqGFxNojXUb6dtAIbSRWHdcViELrOBVGgv9cwk9o3eZ30EgNJya1lnfQSK0lZjXuDpr+1Q4a531+9+VWE3MbSwtTK88HcrOJianVHTRSWxXTVvLTYfy3szRsxeCh3GBizhJPE3w7aKQ2E7NYiztopJYScxlnB03/ageNM0YcyS3m5DfJ8+DZQSM0OfgOGqmdxBTH3kHT31katWLsWGbs1hYyMucOGv9dZNcwqXzhCxlAEMZyGHV6u3YhA4ir6LhrTxiBGIy1PMbE0l3IAKIELmQASQIWMoAU3JVUymjYKAZQii0pZCAJGZGbNXlrKmQUi2Vv97WuWHBG8BPPULyFDCQc9/WjwDUVMppHtMJBb+/W7My5Q6bk+oLGF15YAkEY4YkqLANszQY6RNEdsrb0BGIwom8r0hOIApKezq3ZQJSA2hNIwU1+lOGwUQygFMG0p29rNpKPEdpbVZ7lQqeUHuWJBGfEPrHy9G3NRrJx3z0KW5PwbB7QCgcddgeNstHdSud90V10apVu0ztopPYSq4xUJbiBHTRS8oxG3sYOGqmJimUiwbzpe9rbH2tZrgX5bsd92cBuR71450Cy28l7nef/+J/ERb/czaM/nv01vT+JkyjaLfTvk9nvE9XPdtOdNNkt/nj2l+uvxUmxm+qfmd9p8CdJEiU7caa/oOZ/SxEXu/nLL3/L5sk9sSeJhVOGMHZt9pFaSCyT0vWuZ7OP1EZigXRNISu1jlMMJfjPIVCl1kE2+1zL47ZrCeJ4V39I5i3C48jTInxfjkfM0u1uCRJbS0zTzC1B8dVVzrHnKmex1cRk3Ya2NzA3Bh6MAzkGMfM2bxFy2G7MvvHiQLgoDuUUiklBfo6MZ3eWhq0YPJQbTMyB5AkSIfhUJvhUxOAzkqMRkydvj1GeuQpID+SWElMoY49RfHUztPttPZJbzEmrosdmMetsCDiVGKGdPUfNwWYxAC6CYzkBMbtydyPF5g5pe6AZy4zd2qKRcu1Gmm94JGNS+YIXjZAgjJVF6lIBvmiEdIiiO4Q+Pbdh7EExGAunjLmxs2iERAlcNEKihCsaISm4C9eU4bBRDKAU21A0gvIxQnsbE8vl9HJxOXHsuW4aCs6IfeQ5EXlQR1g27rtHYWsoGhEGtMJBb+82eMddz1p4Jlxf0PjCC08gCCM6UYXnutvgkbiKjkuXldOfX75janGzypzG/IFW2KbM9mF9r/fcAw9tbvm8/o0R6PPfPrv8yeXfmd/ov+BFt11dNH11t3TnJf0d8xe+cfmGuX762fRf9W9e15+fmcuo9R98qv9GY8rjTrczfXf66/iPO/oveWJuHq+vHH/UmT6e/UBdQDTzg0fmR6/+2tgaavagw8RIHa3IZiAKSDanNpJ7UJKAqhlIwc3clNGwUQygFMFUs3ebP5SQkZla1c3JQmZ5bo2GgjOCn1g3e4Z1hKXjvn8Uuibl3DykFQ467Har3EantXDqpctX6Ta+3UpoL7GCS5Wym9huJSTPaOStbLcSmqhYJhLME2+3Slf2WqUq202udlqlu8lOnObpbn+52ypNk918uc8qTdJddbXLKotL86OLPVZJ0t+1Ptd7YtcRa8sMMezcXyW0kFgipmtc3/4qoY3E4vC66lVoHacQTPCfS5UKrdvg/qrM7K9Siy0OqX9/lRSPmJZb3l8ltZaYl7n7q9Kr/VXO21Lvy60mZuc25LyBuTHwYBzIMYipdp39VemNFwfCs79KSqGYFOTnyHh2Z2nYisFDucHEHEieExGCT2WCT0UMPiM5GjF5tri/SmopMYVy9lelV/urnG/rkdxiTloVPTbLaaY/4FRiBPT+qvTGiwPg2V8lJSBmV/b+qnRnadSKsWOZsVtb5sqd+6syHiaVL3yZCwiyqjx840NcG1i7zAXEVXRcxmybUubSP2Bc8rj+gc2VuaL2ylzAYWKs9DJm9u4yFxAlcJkLSBKwzAWk4C6zU0bDRjGAUmxJmQtJyMhMbcyLl7PjbFETcd48fIAFZwQ/8pSOMawjLB33/aPQNZW5moe0wkFv78mE3LlBTHF9QeMLr5yBIIz4RFXOAU4mAB2i6A6ha2sbxh4UgxF+W9GeQBSQ9nSeTACiBBSfQApu8qMMh41iAKUIJj59JxOQfIzQ3qr0XFxMG3tuGoaCM2KfWHr6TiYg2bjvHoWtSXg2D2iFg9b/+8ZzQcfoya/7BGa7+636NlotLXM3bV4W6SptoP1WpXO/ldDe1RCy5n6r305/bxYPL7+/VIb1at9MF7793CrfclvVfOuVWRf8pF5kNAt8ZoHy087lD/Uf1H94vvXqM/OXaGn5uf6ReuVy9mO7z3/n2fSjxfpgvXhp/hptwZP6t7O/dfrx9Fkn2k3MBhr9917+8PJNm0vviF2a0VzaykYuoYmKZaLQvD2xecRCMUPWOjdLCS0k1nvpatW3WUpoI7HSu64MFVrHqeoS/OeSl0LrIJulri9uRWmvLGyW78stJ6ZL/j6oJM0z90YoqbnEhMndCJVfbYRyXnJ7X241MW2yVPf1Cazr7jmx2cTU1LzxiWrrodxWxbSV/HQY/+0sDVsxeCg3mJi1xBMST7gYya0mZjLeziVPqHggN5WY0Dhbl/KrrUvOMHEkt5iT5CSPhPv6OanJ7WxVotp5LLeTmObYG5LynaVRK8aOZcYaa0+TMk2S+KR7Vqan3SxLsm6RRFH3PD4py5N+nPfP5xnFOev1LANIZ77ODUl9HiaVzzY/9mBx5sg2kNtQEMbaG3Xy/E/PzX/1xPm/6vnxJ/XMVk9e9Tx5L03/zMxYo8xs0jFffzT9ff1dM5d+1p190dRcbN64A/WGontj7UklEIOxrsiYfLprKkAUUE0lUTaUe1CUgDUVIAV3XZcyHDaKAZQiWE0l08+adW12H8vHiOus2Z13Cd4wLZbgndcgH2DBGbFPPIVxDuoIy8Z99yhs3gEdUQa0wkHPNvNkZ/3+6XnaPYmLopvlKulO0vOTblZOzuKTfHJWqNOXw6tO12Yezz19dl/Q+MKrTiAIIzpRVef1zTzzHTr2PT2zDeAf1mevn2rVqT9pATr9Yv5Tj/U35lvJbd65A/WOontnbRUKxGBE4lZUKBAFpEKdO3uAKAFVKJCCmwkpw2GjGEApgqnQvOhlrp09SD5GnG9VhS4u1I09VyRDwRmxT6xCnYM6wrJx3z0KW5MKbR7QCgddq9CT8kxNsrToJpO41D9bXHRP1CTpFnlWnJ3FZ2eJmofWoCo0tflCq9CS6wsaX3gVCgRhRCeqCn1vvkdn0aDp09nRvkfTT+dqtDP9Xb2r52/r3UWP68ODH9Y7feY//sX0mekJ9Mvpu916u/nPpr+Z/oP++M/TD2weugP1kKJ7aG0lCsRgRONWlCgQBaJEY/tk9h6UJKAQBVJwkyFhNFxCFEgRTIjGea+0ViX3sXyMUN+qEF1csBt7bkyGgjNCn1iIOgd1hGXjvnsUtiYh2jygFQ561hUkT6JJlF50+xcTsx09jruTi4vzbqbOkovJeXSqLk5eDi9EM5svbqVJxPUFjS+4EEWCMKITVYi+a9ll/tjoy+c2lne+dv7a5NVJ59XJa5O//utX5gpVq87H9Yrpp3PFWt2LVdY/nP8uiaLLt/UH0z3jc5ur7kBdpeiuWleRIjEYYZmhSF3bw5EkIEEaWetr96Ao4RQpkoKbFQnD4VCkSIpwijQtsl6pbIT7WEJG1G9TkybRXMIknjt/oeCM4CfXpO5hHWHpuO8fha5BlRKGtMJBh20sX9jotM70XzjVX6Xb9EFHqb2rQePfDzpeyU6hSzOaS9s46Cg1UbFMJJgn7lif6a/0bHB7YjjigZM2dLDQQuLhEpa+dR2TlNq4Kl4xxySl1nFOkBD85xKkQusgxySv5WxbT/kk2T0wlzjoD6a7fLJo8JzUdys6u8uLQYm5ueVTlWJzidmZeaoyiZenKhPnHZb35VYTc3Qbot7A3Bh4MA7kGMS82HzK0mG7MfvGiwPhojiUUygmBfk5Mp7dWRq2YvBQbjAxHZJnRoQ4VJk4VJk4VJk4VBHj0EgOScyovOOaqcpy53FNsanExMo4rrmMPw88L+6R3GJOshU9Qct5pz/2VGKEdo5vNsedxQC4CI7lBMRMyz3YqZ+dpVErxo5lxm5tTclxKZue6yc8TCpf+JoSEISxukhdLNhoTQnoKkV3FWOGbfNWfejgannj4cJbBzNv7Xb6UT+eftCZ/mL6rN4a9vHcyY+W3egv3/nj5zrTT38/fTR9YnaO7T7X3d78/o9nVwN+or+q7bg587GyZ8c9qHsZy71tzPGBJKFrXUCUgLUuIAV3rZ0wHFlSRr2ssO5nGUBhApe8HNuwoISMpNTG7Hg5R15cvJt47lKGgjNiIHlixyt5Iem4ryGFrqnk1TykFQ56e08EFK5zqUnK9QWNL7xoBoIw4hNVNG/gRADSQ4ruIbpWtmHsQTEY8ZihSZ0nApAoIFFqDSP3oCQBNSmQgpsMCaORZJEq7DsfBlCWcJI078XWJ24fy8cI+K0K0nShXjz3AkPBGQFQLkj1oFqX8EZYNu4bSGFrkqPNA1rhoLe3TUrhOqCaZFxf0PjCy1EgCCM6UeVo4DYpSO8ounfWlqJADEYkbkWKAlEgUtTdJgWJElCLAim4mZAyHDaKAZQimAr1tEmB8jHifKsqdHFRY+K5exMKzoh9YhXqaZMCZeO+exS2JhXaPKAVDnp7W0QXztOpiusLGl94FQoEYUQnqgoFt4hGekPRvbG26gRiMCJvK6oTiAJSna4W0UiUgKoTSMHNfIThiKMo6WXWERlAWYJpT0+jaCgfI7q3qj0XdzUmnss3oeCMCCjWnp5G0VA27htIYWvSns0DWuGg68s3/+Y5teJUl989P/3eK9/+lsUTAnGZ2jC1rMzdmHlZZKuYrsOobls5inFxHtVq7G2xsavPmMexRFX43vRZvS75xGx5tBmrlV1+cyC2+Fqsc5u8Xqibn+3q7x6kWeaKbVKIjA9B3yFvLD80lh+6LD+UW674ltN3xmvDh8bwocvwodxw+qMuj6bzczj93coFUIkBrh2naADgPS/Hxupjl9XHcqvpoZt5ikIbPTZGj11Gj2VG1w/LyyHzj/OIhP9GBuX0OdlaUQZydkMQmkt/Mak56L/Vyw1P57voH8020f/eJKbLd+ZbsewNEsyXl9lL/4ANVOevvslfQtrQ+avQ+Ss1Z5NT86ssdmUyKU6ITFboTKYZDg3DoYvhUM6g+AysODU0CEODMDQIQxfCUI5Af4nWzm6Fzm6pOWWaml85UCoxCjzPFTrPafuPjf3HLvuP5fbTk4Uo4xU642nzx8b8scv8scz857KHofi6Lwe21xHI5BVXCiy8FNfmmq4U2GJHoHRmt83e22J7V5PCmh2B/i+d6d6qj6rpz4sF+udz20PTC+gtnfsem6NtZoHenDB74/Kn89929DdNSnw4y6KLLj7mcNpPZ6mxbh70Rb2qX7egma371wfZfrToAVQ3Bnphp8q8NZAt9842sNQGXv5dr2OM7eS7qj5OOOsfFHvPFgo9v5q/kI2DhCYqlolC8/bE5q2uwQFb/wgtJDYqoBcWfK1/hDauVg1ArX+E1q3KC1DrH6F1kNY/18a871nclxpOTKr8Vj6FSt2dfKTWErMqt5NPcdXJx3kzzH251cTcypptXa802p19IDebmJiaZ1VUWw/ltiqmreSnw/hvZ2nY9emS1GBizhLXjNzBYiQ3mpjGeP123IHigdxSYjLjtNsprtrtOIPEkdxiToKTPBCul64Sm9xOex2qncdyO4k5jjkZNk/E0qjrs1+JsbWYTbPooizTbhFlZ91M5ZPuJDo576YnSVRmJ2dp/2L+qDgnxq9O2tz6Vk+OndPjkodJ5bNNoT1YnGm0DeQ2FISxOWKd+fXl9/Xk93PTXrdugus+TQFEVXTUtWeLQAzGrg7GrNK9rw2IAtnX5tizcA9KEnBbG5BiNc97KNadzAIpgm1oK3q56ywFEo8RslnTtqb9bIuLoRLPTV9QcEbkE89NXGM6wqJx3zwKWtN2tubxrHDQtZ4sL+Iivkizrv6bsm52Pkm6J1F03j1T2dnpeb+4iC7m73JQPWldYL2Vpv7rJSy+oPEF15NIEEZwourJ900jwJmK/OGKtKyVZH2Qou45+HBWLZnVYGqRqb+jbiibG+5A3aDoblhXayIxGBGXoTVdFQwkCUhqWqee96Ak4aQmkoKb8Aij4ZCaSIpgUjNxtf3ex/IxwnmbWjNdXPeUem7wgoIzIp9YazoHdYRl4757FLYGsUkY0AoHPWtmmJ5M9E9H3TTOz7tZHBfdMjo/6Z6eJ+WZOi3SqD8f9KBi07pYocWmp9G53Rc0vvBiEwjCiE5Usfme6U5oOhWarTrzPT2XP5gpSnMcdyY235v+Orfh3oHiKjru2qISiMEIrQxRafZNfdTr2HdA3YUCgbRlpGwo96AoAcUlkIKb4AjD4RKXQIpg4jJWvb41nO1j+Rjhu1VxGS+0iOdOKSg4IwKKxaVzUEdYNu67R2FrEpfNA1rhoGfi8uT0fHKRll2VZafdTCvP7iSPlP5TJ8VZfDI5S9UmVjIzmy+0uEzYviDxhReXQBBGdKKKy+utCe09CWddsX81/VndDfuX01/r/36zuGjmd9PfTN+d/lZ//MD8zH/Xv3m/c3+k4s70ZzYv3YF6SdG9tLYmBWIwIjJDkzqL6kgUiBp1tyhEogRUo0AKbkakDIeNYgClCKZGi6JXuJY6kXyMeN+qGl1c85F6bm6BgjNin1iNOgd1hGXjvnsUtiY12jygFQ7ayFGfymz3YKKrUp666fqRKlbpNn0wUWrvasj494OJ3IOJUs9nNM+3cTBRaqJimUgwz3QPmo3a9MluJ7788eWbOsDMPqWzT9nskzKf9GB8oB+UL1YeoZsdtdvJezbWPTHragrBnXKUWkg8HkJXxJ5TjlIbiQdD1pW6QutWUynmlKPUOsgpx2uZ/vrF4lqbZaZ/iDIfcvOhP79YPK3vyXBcLL4vByVm9HZPRYqtJaZ05qnINF2eikyd15Hcl1tNTOxtzAMMzI2BB+NAjkHMks2nJB22G7NvvDgQLopDOYViUpCfI+PZnaVhKwYP5QYTsyF5MkUIQ5UJQ5UJQ5UJQxUxDI3kkMSEyjtvGSf9sqesMeiB3FRiXmUcuFzGnweeF/dIbjEn14qeoOVk1R97KjFCOwcwm+POYgBcBMdyAmKi5R7N1M/O0qgVY8cyY7e2AOWYcN/SwYqHSeULX4ACgqyKEN/4EFcYNlWAAnpJ0b1En2rbMPagGIxFWMYs2l2AAqKELkABUQIWoIAU3EVwynDYKAZQiq0oQCH5GPG+jYnncvq5uFIp9dyRBQVnxD7ynIk8qCMsG/fdo7A1FaCaB7TCQW/vXvvEWa5SbF+Q+MKrUSAIIzpR1ejae+2BuIqOu7asBGIwQitDVjbttQcCQcSlZ689ECWguARScBMcZThUX/X6qXVIBlCYYBrTt+UeyceI4q1qzMXVSannLiwoOCMQijWmb8s9ko37ClLYmjRm84BWOOjtbR6SOM9z5lxf0PjCa0wgCCM6UTUmrHkI0A2K7oa1tScQgxFyGdrTuTEISAISna7mIUCSgJoTSMFNeJTRyFXU61ubEg+gLMEkp6+FCJKPEdRblZz5QqHkHsmJBGfEP7Hk9LUQQbJx30AKW5PkbB7QCge9vf2PE+cpT88lR3Zf0PjCS04gCCM6USXnOv2PkaiKjrq2rARiMMIqQ1a6K+VAFJCutE5B70FJAupKIAU3q1FGo1RRaVf6AyhLMF3p7oIMxWME7lZlZX+hQvoeWYkEZ8Q/sax0d0GGonHfPwpak6psHs8KB63/943ncpr5FPBaSddSpf96kHKVNtDpzbxnXVu/LbZ3NYKseXpzdjrvo/lZuw+XpzdtNym/P313+vfz7ZQvHvBcfu36euVn00ezbyee85RCX2Q0X7RynlJoomKZKDRvT2zealgGHoEUWkg8scFRmu4jkEIbiUc11tWQQus4xzII/nNtohRaBzkCuWpzmvdi67VS+3K7iVmOf6JRZa7lsa/JrSWmOe6Jxqt7HlPPPY9iq4nJjiWVr+/Rdt3zKDabmJeaTzBSbT2U26qYtpKfDuO/naVhKwYP5QYTU5Z4FuGMFSO5zcQkxjt26I4TD+SWElMZ59Th1TWP7hhxJLeYk94kz4P7mkepye2cMqTaeSy3k5ji2GcJzTWP9rgw/v+z92/PkRxHni/+r5SdJwpA1slLRF44Ng9sDIhTPQ1UNRJ4ODY9NlY3zMh2JK5JXDv7W7NjxiZFSXPIHer2s5GRkjiUZnfn5expNhvDbvaFZvv8s2NV/9EvIqsq0UhERLp7pQegmZWM6G5cuv0Tken+jXCPcJqx1cIolmIi1Gp1PJVJIMZxEYxncRIUWTyZZ3IyjcVkxWNdqDpW7tTFqvUsYYHDhPKZlrQOLMyy1gRyhxUEsVsGXe/+s1qlqqWpWrdebFa7X+n7ZpYPNwU0mwODX+r7hfQn6gOELxdPdd338sfqv/dW364+V+VFVotftZr+9eLToDp++LPFbxe/Uh//cfH7vV4S6q363ht3BkdG97fPOowSPoxbr0MZMRBbiIj1qj2FwojClEIxutRDVhKPKRRGCuwWLmA2bMtkRgpvyZMo7me27AknHyIeoJaEbdmTTc/BxNFDkhUc4frI6x7rpI542bDvHoStLX3SPqElH/TtvfkisZ01FCF2LGB83tUqJwjCO0HV6g3dfME5ShI+StuKUU4MhEfuQoxyorCIUfvNF5wo/tQoJwU2IkKmw0QxYKXwpkYdN1+w8iH8fZdqVGyaEgpHl0lWcITvI6tRx80XrGzYdw/C1qJGARNa8kH7vXpdmOiUvnS0OcpCad+hhhmL0Y2g4h2qvcB8JlQe3oriHepYCNhYdFG8QzVRokwEmOfhMnQqKzCtihCztkogqoXAJCpcozoqgag2AtOn24pPonWYVClg/GyikmgdSyXQtdhrugxdxHvqQ7K+e1hEjruH79LxgJG124IhsrXA0IosGBJRXTAkrG0P79GtBgbYLvS4htkZODCO6BjA2NheQGSxXZu9c3UibBTHdAqJpAA/R3pkd2vDGgYP6QYDYyB4UQNwPqV2PiXQ+YzoaMDgiatAyqPCWoFEthQYQhEVSLXTue94W0/oFmPCKumxqVeKbodTkhG6qUhqdzabCbARnNIJgNEVW6uknp3aqIaxZzRjb232R9hqlUSMw4Ty+c/+MIIgdgOhy/ubyv4wjpKEjxJ8VW3COGDFQOyAIhbM9uwPI4rv7A8jisfsDyMFdgcaMh0migErxa3I/nDyIfx9F6vNes256dMqHI13WcERvg+8UAJP6oiXDfvuQdjasj/tE1ryQd/eynlhrUVKsGMB4/OvRhlBEN4JqkZva+U85zBK+DBuLVcZMRAuuxO5yojCIletlfOcJB7VKiMFNmICZsOmVhkpvKnVKO6HxpqCu7x8iHjQqVpNNuLG0SiWFRzh+shqVU+q8Q7WES8b9t2DsLWp1fYJLfmgq4uHXtNpVjn6w/n03e++833DQJDUqE2JCjtnWhRhk9NWtWS3FiMyLwuXjObeIZvbfMwcgwuUkv9NycCHq23N5UeLi57ShI+Uany1fH/50VoPWqqYXq+DUd9gAlWKULw5INNec5V23O085br0QLdgF7n6ICP9Qbdll5n6kIb6Q6I/pDbHSUUUeER40kdzHWuuY811rLmONdex5jrWXMea69jGdUznkngueCpIYQ011lBjDTXWUGMNNdZQYw011tCGNaRjwV9Auptf56J1J26FV2q8UuOVGq/UeKXGK214JRnvWu6xBQ/3JJ5qplPNdKqZTjXTqWY61UynmunUxnRKZ4IHJGRCUiGdaaQzjXSmkc400plGOtNIZxrpzIZ0RkN6bUtBBy9vt/1ZWzEL6aSIrRMDM5YYdx2xl2hvMxhtWTD8mYqzOnB+oyOu3rhZ/qRKHzZD8OvFwpffvSkvfj0Cr7/pcS/uqe94rr5ouSOaOgLNWMVZJkw0UaJMJJp3QDYPWNWE2PmxVvYSLQQWJ2E2dOyVvUQbgWVJ227VEK3DlCABxs+2BUO0jqWy99qcJ/3E+FzepdsNjG34kl2RCnvJLtVaYHDDluzKy5Jda9u0e3SrgSEOtdi6Xo9gu+OPbDYwLrUvoKC2HtNtlUhbwU+HHr/d2rDrKx6qwcCQRd6xy5J+KEw2j+g2A4MYrsLW7ifu0y0FhjJMha28rLC1+ogTusWY8EZ5Hux3/FFN7qaiFmrnKd1OYIhDLlP1E1EbdX0NSjG2UtrjbDxLikmQzVJd1RBnwSSMoiCazrPJNIvScDxZ8ViXp98bd1upUP1qwlSL1BSHCeUzLWQdWJjFrAnkDisIIjMFXeV++vp69VG1fH2ql6arKoXeesn6xfwH8x9+993e/nFPxutTrvUadv1N4Z7oVfUHulahZ1n37LOOj4SPz9YLTEYMRB4OsRC1lyAworCUIITmo/GHrCQeSxAYKbBpUMhsmCgGrBTeShBsGuIuLx7Cz6OWem0VCJv+i8LRUJMVHOH5yOuZSBT9xKhCRrxw2HcPAtdWgtA+oyUf9Kqj5nkepuezMDiPw/NATNMiyGdFEUzncxGmyfk4FOsg4VWGGtWJkqGOPlDmsYDx+ZehjCAI9wSVoV0c37o3ClwntRgHRMIHZGvdyYiB8L6d6E5GFCbdaT2pxYjiUXgyUmCDH2Q6TBQDVgpvwtN1UouTD+HaO1Wemx6NwtFzkxUc4fvIytN1UouTDfvuQdjahGf7hJZ80D7v6YutUtLRnCULU3s9FMxYjESEld0Q7QXmJKFK8CbLbogjIGAj0EnZDdFEiTKRaN4B2TxgDhOhOq1lN0QLgRlLuJh0ld0QbQTmKrdViUTrMHlJwPjZ1B/Ruhsvu6HaDYxtHZfdUK0FBjds2c1la03haK1JthoY4lCKGLrVfEQ3GxiXOi27odoqkbaCnw49fru1YQ2Dh3SDgSGLvFhwld1QbQYGsQ7LbqiWAkMZpuzmsrWm3Uec0C3GhDfK8+AouyGa7L3shmonMMShy250a02zXzijGXtr8x32syEFDhPK5z/fwQiC2BSDrnI95DsYB0TCB2TrFSUjBmLPD7HytOc7GFF85zsYUTzmOxgpsHuukOkwUQxYKW5FvoOTD+HaUau7tnzHpqmicHTJZAVH+D7yEsaV7+Bkw757ELa2fEf7hJZ80Le33tuaHZEhdixgfN6FJycIwjtBhaf3em/O8ZHw8dlWh3JiIHxxFzqUE4VJhwoTySEriT8ZykmBDYWQ2TBRDFgpvMlQe703Kx7Cz3epQuWmmaJ0dMdkBUd4PrIKddV7s8Jh3z0IXIsMBcxoyQftt+wmMdEpYensM5JGTbqbLruh2gvMSUJ14Q2W3VBHQMBGoIuyG6qJEmUi0bwDsnnAHCZCdNrKbqgWAjOWcC3pKLuh2gjMVW6rEonWYfKSgPGzqT+idTdddkO2Gxjbui27IVsLDG7Isht52aBSOhpUkq0GhjiUJIYq/iO62cC41GXZDdlWibQV/HTo8dutDWsYPKQbDAxZ5NWCo+yGbDMwiHVXdkO2FBjKEGU38rKfpN1HnNAtxoQ3yvNgL7uhmuy77IZsJzDEYctupO4SafYLZzRjb232I7GV3cgYhwnl85/9YARB7IpBV7n+sx+M4yPh47P1ApMRA7EHiFiI2rMfjCiesx+MJB6zH4wU2B1YyGyYKAasFLch+8GJh/DzqKVeW/Zj00xQOrpDsoIjPB95PePMfnDCYd89CFxb9qN9Rks+6Ntb/W1tyiMT7FjA+PzLUEYQhHuCylD+6m/OAZHwAdladzJiILxvJ7qTEYVJd9qqvzlRPApPRgps8INMh4liwErhTXg6qr9Z+RCuvVPluWkMKB2dHlnBEb6PrDwd1d+sbNh3D8LWJjzbJ7Tkg/ZbdiNMdEpKCidd3KS78bIbor1Nl/FHXHZDHAEBG4FOym6IJkqUiUTzDsjmAXOYCNVpLbshWgjMWMLFpKvshmgjMFe5rUokWofJSwLGz6b+iNbdeNkN1W5gbOu47IZqLTC4YctuxGXZjXCU3VCtBoY4lCKGbjUf0c0WSLPBj4aj7IZqq0TaCn469Pjt1oY1DB7SDQaGLPJiwVV2Q7UZGMQ6LLuhWgoMZZiyG3FZdmP1ESd0izHhjfI8OMpuiCZ7L7uh2gkMceiyG7FbG9Uw9oxm7K3Ndwhr2Y3EYUL5/Oc7GEEQm2LQVa6HfAfjgEj4gGy9omTEQOz5IVae9nwHI4rvfAcjisd8ByMFds8VMh0migErxa3Id3DyIVw7anXXlu+Qm+1xa7/TI15whO8jL2Fc+Q5ONuy7B2Fry3e0T2jJB317672FtdAmxY4FjM+/8GQEQXgnqPD0X+/NOD4SPj5b61BGDIQv7kSHMqIw6VBhIjlkJfEoQxkpsKEQMhsmigErhTcZ6qj35sRD+PlOVeimF6Z0dDdlBUd4PrIKddZ7c8Jh3z0IXJsMbZ/Rkg/ab9mNNNEpYZk56ZIm3Y2X3RDtBeYkobrwJstuiCMgYCPQSdkN0USJMhFg3uJzNbRPtFhfPN/rRcv/vHxfveirX5LVL2L1i9S/9HuL3yt9/+3VyXn0Zi/qm0APyKDAbChCvloLeIgWAnOfcFXqKuAh2gjMem6rN4nWYTKcgPGz6UiidSwFPNfC7eDtg5OT4ck64JZnR28ohZTvqQ/Fd7S/0/bryLsXGoPvXToeMJh2XOdDtRYYTbF1PtllnY+1i+Y9utXAmNqFBtcwOwMHxhEdAxgY2+t+LLZrs3euToSN4phOIZEU4OdIj+xubVjD4CHdYGAMBC9kAM6n1M6nBDqfER0NGDxxhUNpkdoLh6iWAkMopnAouywcsr6tJ3SLMWGV9NjUi0O3wynJCN0UErU7m80E2AhO6QTA6IouMcp2a6Maxp7RjL21mR5pLTFy9w27hgnl85/pYQRB7ABCV/T+Mz2M4yPh44NYTP/u6gbG4+VHeudjtQ+iPv2TxcXyoVo1P15cKPKX6rPPXh/JR+pL60++qP6gh7b64+Xfqv6411v+uCrrev/N3slb93pFGIW9N9TX9N/wcPmwWpsv/kX94T316yv1J/2j6i+u/u2nvaC3+HTxm+hPlH36R9R36n/0ord4uvqGan9Gl45d6G+9/Guj76jZrax6quyr/rblx723jk8PDt+qvlL9e0/Vd1zoWrPe4reLX/YWX+o/6QdEOVm5mvVqN0j/U4+0BctPNEpPyDzcC8N+L1p/z+pfWn9FPzax/NMoT/bisFfVun1p23FgfGoQ28uInQl7Yo0RxXNijZHEY2KNkQK7uQ+ZDRPFgJXiNiTWOPEQYbWLRX29tM83aRhrX90jXnCE5wOvR6FzOuJFw755ELS2tFr7fJZ80Lf3WIG0VncV2LGA8fnX/IwgCOcE1fwejhUwDoiEDwhc5JswDlgxEL63E9XJiMKkOq3HChhRPMpORgps8INMh4liwErhTXa6jhVw8iFce6e6c9NzVTqa6LKCI3wfWXe6jhVwsmHfPQhbm/Bsn9CSD9pvPVdqonsrSUMnnWjS3XQ9F9VeYO4ZqgRvsJ6LOgICNgJd1HNRTZQoEwHmdVXPFVt2V6mgwFw2Qr/a6rmoFgJT0nBZ6qjnotoITEZvqTep1mESz4Dxs+hIqnU3V8+VRnvqQ7wuqUhDZz0XGQ8YTLut5yJbC4ymyHquNKzruVJre9Z7dKuBMbULCa5hdgYOjCM6BjAwblHPpWy/OhH2ei4yhURSgJ8jPbK7tWENg4d0g4ExELyOATifUjufEuh8RnQ0YPDsrp6LbCkwhCLquWqnc9/xtp7QLcaEVdJjs1kctjickozAXM9VO5vNBNjrucgEwOiKredSz05tVMPYM5qxtza3k9rquVJ3Q7prmFA+77kdThDEBiB0Rc+f2+EcEAkfEPjq2YRxwIqB2N9ErI2tuR1OFM+5HU4Uf7kdTgrs/jJkOkwUA1aK25DbYeVDuPYuFpb18jJapwJSa9PgI15whO8Dr4nAkzriZcO+exC2ltwOYEJLPujbe5AgtRUVpTF2LGB8/oUnIwjCO0GFp/eDBJzjI+HjA9ehlIME6hv0KD6tvqE+SMBwciAknBwwzcsB67wggksnwpoRhUlYCxPJISuJR13NSIGN7ZDZMFEMWCm86Wp7qT4rHiJwdSqrNx1yU0fPY1ZwhOcjy2p7qT4rGvbNg6C1qer2+Sz5oP1WTGUmOqWTEyedbNLdeMUU0V5gdhcqc2+yYoo4AgI2Ap1UTBFNlCgTAeZ1VTElbRVTRFBgthghXq0VU0QLgUlfuCZ1VUwRbQSme7dVm0TrMKldwPjZVCTRuhusmBK6YkpuihYSd8UUFQ8YTDuumKJaC4ym2Iqp5LJiytpZ9x7damBM7UKBa5idgQPjiI4BDIzbVEwlO1cnwlExRaWQSArwc6RHdrc2rGHwkG4wMAaClzEA51Nq51MCnc+IjgYMnh1WTFEtBYZQTMVUclkxZX1bT+gWY8Iq6bGpF4duh1OSEbgrppKdqxPgqJiiEgCjK7piKtmtjWoYe0Yz9tYmrjJrxZTAYUL5/CeuGEGaysM1P8AVvf/EFeP4SPj4IBbTv2jJVOlxamSq9Kde3/a4dVkqxklA7NUiFvr2LBUjiucsFSOJxywVIwV2rxwyGyaKASvFbchSceIholQXa+R6pSw2WQ1r6+ojXnCE5wMv76BzOuJFw755ELS2LFX7fJZ80Lf30EFmrf2S2LGA8fmX0IwgCOcEldAeDh0wDoiEDwhcM5swDlgxEL63E9XJiMKkOq2HDhhRPMpORgps8INMh4liwErhTXa6Dh1w8iFce6e6c9PWOHX0qWYFR/g+su50HTrgZMO+exC2NuHZPqElH7Tf8qjcRKekZOqkS5t0N14eRbQXmMqFKsGbLI8ijoCAjUAn5VFEEyXKRIB5XZVHpbbyKCIoMDWM0K/W8iiihcAML1yWusqjiDYCc7vb6k2idZg8LmD8bDqSaN0Nlkdlujwq31QopO7yKCoeMJh2XB5FtRYYTbHlUelleZS1A/I9utXAmNqFBNcwOwMHxhEdAxgYtymPSneuToSjPIpKIZEU4OdIj+xubVjD4CHdYGAMBK9jAM6n1M6nBDqfER0NGDw7LI+iWgoMoZjyqPSyPMr6tp7QLcaEVdJjUy8O3Q6nJCNwl0elO1cnwFEeRSUARld0eVS6WxvVMPaMZuytze3k1vKoDIcJ5fOf22EEQWwAQlf0HnI7jAMi4QMCXz2bMA5YMZqawIGBWBvbczuMKL5zO4woHnM7jBTY/WXIdJgoBqwUtyK3w8mHcO1dLCzr5WW2SQU4etCzgiN8H3hNBJ7UES8b9t2DsDkndASZ0JIP+vbW5efWoiJ3xz7DWMD4/AtPRhCEd4IKT/91+YzjI+HjA9ehoLr8a62o2yrzszBK8ZX5lM7Tpmk4YJ0GRCzpREczojDpaGEiOWQl8SijGSmwoRwyGyaKASuFNxntqMznxEPEqU5V9KY1cOpo9cwKjvB8ZBXtqMznRMO+eRC0NhHdPp8lH7T631+ulLR44JbJP5xP3/3uO983jARBJRtDg9LHhR0zLYprjQVtlVJ2WzHSd1MsZTT2DtnY5jPmGFigvP2NEkl6V1UJptfLatYFU8sPe5Wqe6k1VLUD+41SaU8Xz0xYSroWbw7IbNecoh1uO5+4qnPIwj31IdYf9IUwWao/5PpDoT7k+qtFtHckQvUtIkrUh1h9n0ik+iCqD5nNgVIHQOAHAJ5/0tTHmvpYUx9r6mNNfaypjzX1saY+1tTHmvpYUx9r6mNNfaypj23Ux3RqiaeG56wU9FBDDzX0UEMPNfRQQw819FBDDzX0UEMPNfRQQw819FBDD23QQzo0/EWmx4pVSl3Blxq+1PClhi81fKnhSw1favhSw5cavtTwpYYvNXxpgy/J8NcSrC3wuGf8VBOfauJTTXyqiU818akmPtXEp5r4VBOfauJTTXyqiU818amN+JRODA+IyJysAj7TwGca+EwDn2ngMw18poHPNPCZBj7TwGca+EwDn2ngMw18ZgM+owFXD/gKWAfXv3Apg+6KqIUtY5uFTgb7JSMwU0mqQFttsvYO2VpgsRdVFlRVuherDZfFV4tXjRLc1QaX3mbR+zK9xc+W7y1erDSD/osWX+31dAZXb/8sP15+on/QhL9Pxm+GTsbqaaqJEmUi0bwDsnnAei/EfpSt5plqIbBsC77N5Kh5ptoILNjacgOJah2mOAswfpaNIap1LDXPTZuzKE77hWXPh2w5MKzhy5nzJLOWM5OtBUY2ZDlzdtkfN3P0xyVbDYxwqLUhdOvoiG42MDK1r+igth7TbZVIW8FPhx6/3dqwa8sossHAoEXeSnR4ixHdamAgw9Uf2z3FfbqlwHCGqD/OLhva2r3ECd1iTIijPBG2t64km9xNvTHUzlO6ncAgh1zB6ieiNuraApRkbCXEplGSJCIK0jzNAjGfJMF4Pp8FsySdiXMxnsbn63G3rk2/N+6yuEOv+WwrVEffNBMklM60inVAYVayJpA7rCCIlBl0kfv56+va6nRwVaXwwbpgoCpjUKtbXTKgl7VqHXuhrxZcl3z8XP9J/dTT/9+Pe2//4J0fvrv6/MH0nX//N+98v1e+87fv9O6Mz8//dr6u/4jiMFx+mOoPIuwtXixemEZxn3UUJXwUt16IMmIg0ohdLFgZSVjqJyye5pCVxF/9BCcFNosLmA1jaBuwUnirn0hFVlhLKFgJEfEAtSRsKaHINo1QM0dnW1ZwhO8jr3sc0zripcO+fxC6lioKwJSWfND+rpkRttLiLLazZWGaNdluOENCtBa4fwQVjzeWISHiCxh+JxkSookSZSLRvAOyecDNpi4EJ9FC4MYSRkjaMyREG4FbSttKRKJ1mO0jwPjZpB/ROi8ZkijOw76wSTqq5cCw1nGGhGotMLJhMyTxZYbE2vDzHt1qYIRDyWHovuIR3WxgZOo0Q0K1VSJtBT8devx2a8MaBg/pBgODFnml4PAWI7rVwEDWYYaEaikwnGEyJPFlhsTqJU7oFmNCHOWJcGRIiCZ7z5BQ7QQGOXSGJN6tjWoYe0YzdiUmJmKaT+JgLsQ0ELMsCfJxfB5MZzI9D6fp9DxZv4bWtaljcU5bn1ozJAkOEkrnP0PCCILYEYMucv9xcaHWtD/ZXKvy2vmAxTfrS1XUQviiWgY/17mR15ImljMCnCMg4SOw9SKSEQOxw9fFYpORxHN2g5HEY3aDkQK7uwqYDdsSl5HCW3Yjiqy3id7lJUT4ctRyri27kWy2wh2NjlnBEb6PvmaxT+uIlw77/kHo2rIb7VNa8kH7zG4kJjalHYWTLW+y3XB2g2gtcO8HKvxuLLtBxBcw/E6yG0QTJcpEgHld3Z6f9O0i/sJwKLhZDqVbrlYlUxdqzj/q7f/td/99MDi+fBre+sH3fvjuD975/l9XX1JfufPdd/76P4x/MNtbdWP4evFC3+HYq+6Oeaj+tuoOmKpOSpdMVZVSpr6tDx583zRDB+QZAu6VdaG5iRYC98UwWtqe4CHaCNwR21YlE63D7H4Bxs+mfonWsSR4rgkE07X/mVxfup0J543/ZDJg5O84AUS1Fhj8sQkgcZkAsvbSvEe3GigCulgxaJidgQPjiI4hkBjwA+KbS7iV7Vcnwn7jP5lCIinAz5Ee2d3asIbBQ7rBwPAHXnYB/E4J9DsjOhUwZOJSSVEsZV/acklUU4GRE5NLEpe5JOubekK3GBNNSY9MvYp1O5uSjNBNbqnd0WwmwH7bP5kAGFnRWSexWxvVMPaMZmylDkFVkZrHumfg2DSh7RtYs04SBwml8591YgRB7FRCNx9u67kcxlGU8FGEbxCYMA5YMRC7t12sohlJPGeuGEk8Zq4YKbA755DZiNTKsZAmlgEri7f8lft0DichIip0sRqt16SbjsGZowU0KzjCA4IXUohpHfHSYd9CCF1b/qp9Sks+aJ/5K2FiUyo0dbIVTbYbzl8RrQVuXUEl5I3lr4j4AobfSf6KaKJEmQgw72r+ipC4KtRXPq/0/0s9o08XX+uOAh/o9t7q/1+uk0vra2xNd9uq77hQ//9m/bOvqrttX64afm/+3sWzXrXueLTKdW0ekdN3/t34/9Pb/w+Tee9kPv2bd+fTf9c7eedvftBbfJGE+mmS4es5K/VTL9TSRf01+t9YftKr0mXfVI/YB8v3dC/yJzoJpj75WPdCUH/D/6LTYuqzyhZdfac/89oT+qk2Z/Gyt/iFAn5imukD8kwDNwK7UPBEC4Gbehhlbs+DEW0E7uZtq7mJ1mF27gDjZ8uDEa27wTxYttmPdne+JpMBFUTHeTCqtUARgc2DXXa+zhydr8lWA8VEFysPDbMzcGAc0TGAomCbPNhl5+uspfM1mUIiKcDPkR7Z3dqwhsFDusHA8AdevgH8Tgn0OyM6FTBkdpkHo5oKjJyYPNhl12v7m3pCtxgTTUmPTL0adjubkozAnQe77HrtdjSndAJgZEXnwXTXa7OTOaMZu1I4kPpZzWPde3BsvtD2H6x5sAwHCaXznwdjBEHseEI3MThOXzGOgISPAHyTwIRxwIrRDP8OjC5WwIwknnNYjCQec1iMFNjdc8hsFHk/Nj5aA1YUbyks9xEsTkKEQ+9iIVkvJzeNkTNHp2tWcIQDBK+BENM64qXDvoQQOueUjiBTWvJBV2369mqlpVWkt5Y80sSqBKWjJWFaFPYLFmCmYoTiZUrLcvnAHbK1wF0oqBr8rVJ5TxZfqo+PV82ov666SCMTXYtvdRqrp3MKumezTkP0qoTJcy02e8le3NOnbap/4/ny75WirBo1P1XfrP/258uP1b+7SY9UFVjPq39Ofaqn/96VCS/WbZkvrDqUOKYCNqad5MmIJkqUiUTzDsjmAXe3upC2RAuBO1UYyWpP7hBtBG5RbStGidZhtqMA42dL7hCtY0nuQG/3uUs3Gxgo8ZmbKI7smRuqtcBYic3c5JeZG2vP4Xt0q4ExEyW4oY/GEd1sYFhqz9RAbT2m2yqRtoKfDj1+u7VhDYOHdIOBEYu8FrH3CyebDAxh2GSLzU3cp1sKDGSYXEt+mWuxuogTusWY4Nbl41CSTe4mtwK185RuJzDCoTMo+W5tVMPYM5qxHqsyjYkftYQt7GZnYRZaxxhmatdLWKK1wHD8b3MJSxxToFboZAlLNFGiTASY19VVJVEg+ibUAzIqUFx0sRwmWgjUEt0sh4k2AlXEtsthonUYxQAYP9tymGjdTS+HqWYDg27Hy2GqtcC4i10OF5fL4cKxHKZaDYy/XMthqtnAENe+HLbXExU7VwfeUbhIpZBICvBzo0d2tzbs+kKZajAwlnEslKkmA4MbcqGcR/aiRKqlwBCHWSgXlwtlq/M4oVuMCXtdPg4l2eRuFsrtTmMz4I4iRCoBMCqil9DFbm3U9SU0xdh1VnjtqnV49JYVzkwYbyV5aMdIi8Je+AkzlbaktjRNu0O2FhjSoUtq7EHHxReLTxc/XxcPVqfefqk+8ZlaLfcifZPj8/WJt/UquzqD9rL676m+33H16VfLH1VHIT/R5+8+N43PPnl8gNqhi+Ux1USJMpFo3gHZPKAM6GBJS7UQGPU7WdJSbQTG+y2XtFTrMLEdMH6WJS3VOi9LWpmLvpQmw+/SDQeGPcKiNrHe2fDndHOBoQ+5qs3DelWbh/ZVLdlqYAhkWtWSzQZGpvZVLdTWY7qtEmkr+OnQ47dbG3Zt7Uo2GBi0yGtXu7cY0Y0GxjHk6tXuKe7TTQWGM8TytfYS9x1e4oRuMSbEUZ4I+/KVanI3y1eonad0O4FRDrtIVU9EbdS1RSrJ2GpBkOTnYTLJgzAWMhCZSIPxeTIJCjErRJKl4SSZrHisi9fvjbs9KZfZTsrlEQ4SSmda5jqgMEtdE8gdVhDEwQroKvifq0tUPlh8q5ewr/SHx9VtKno1++Kv9GI32ZM7kXHW9llhJRx26/UiIwbiTAh8Xbn86fJ9E8rbrCg8p+KkCeSQFaQZ0h0g265SGSmaYd5Bse1qlpHC23m40HJj5V1ePITPRi3bWg7D5dH65NTqNybwI15whOMjr01sczriRcO+eRC0lpNwgPks+aArOZlNilSGyTyQeV4EYpLnwSQ7T9Ufw+l4PE7TeDx/4FtOGvdX</t>
  </si>
  <si>
    <t>lZyMsSMBo/MvJxlBEK4JLCera8W/qQoK15WKT7SI1PWK+p6+KpfytLf8qfrqq8XjvZ76id8tfrH4YvHrxWeLTyvBufh9kpgGY591MCR8MLaWm4wYCK8Ll5tqzr4yobzNisIiN8N+Ik0oh6woHgUnIwU27EGmw0QxYKXwJjiltJYOsvIh3HqnijPeKJTYoTg5wRG+j6w4rZM64mXDvnsQtjbJ2T6hJR/0agcznU7FeFIEMgnTQIhJGEzCeBZkyXQci9lUyHTywLfkNIoTJTkT7EjA6PxLTkYQhG+CSs4/KF1Z3ehc3RKtO9h8fKXWRp9DWenK6/1Y9d3Q/2sa7sTGwqp91qGQ8KHYWnAyYiCcLlxwOvY3GVG4BKeJ5JCVxKPeZKTAxjzIbJgoBqwU/vRmP7XJTU48hEvvVG4mG3WSOOQmJzjC89HlpmVOR7xo2DcPgtamNtvns+SDrtTmLCnSaSKSQITzaSCScB5MUhkF0/N8no+j8DzWzRs9q01hGgmlNgV2JGB0/tUmIwjCNUHV5hdKP+reIm692avKyV+qT31Q9cF5XFWCV91IyFKUcZwkfJy2lqKMGAiH3IkUZURhkaKJ+UqGQ1YSj1KUkQIbEAGzYZOijBTepGgk+4VNi3LyIRx+p1pUbLSLtc/2ES84wvWRtah1Uke8bNh3D8LWJkbbJ7Tkg67EaCImYj6bzgMZauGaRmkwmcfnQTETWaaVa1iMH/gWo9I0EkqMSuxIwOj8i1FGEIRvgorRz187UfjxSli+XDyqxKi+KOj58pPl3y//ruppoL4W50pc7oR7ouqyl9iadXOOgYSPwdZCkxED4W3hQrM6g/pVv2eel7dZgVjkpqXT6SEriUe5yUiBDXmA2bDJTUYKb3Izjvu58Vm7y8uHcOmdys1NY+fc0aubFRzhAMly0zqpI1427LsHYWuTm+0TWvJBr/Y+50LkURgG4zA5D0R8PgkmRZgE5+NoFuZCzhPhX24atyuU3EyxIwGj8y83GUEQvmkLuenaxwRITUZ+CeffWmoyYiA8bYdSkxGIRWpabsY5ZCXxKDUZKbDhDjAbNqnJSOFNaqZpvzDex3yXlw/hzjuVmulGmTjaNLOCIxwgWWpaJ3XEy4Z99yBsbVKzfUJLPuiV1JxkWVqEeTDO5rNAzM/nwTiah0EkpuEsmYxn59H5A99S03azmqO3mGUkQHT+pSYjCMI3QaXmZ/riNH05W2/xq8XT5YfL95cfLF4uvlo+rC5Bf7l4UulPGS5eWMUlI7GEE28tLhkxEL61Q3HJCMQiLqN+KE0oh6woHtUlIwU2wgGmw6YuGSm8qUthL+HkxEM48E7F5aa7Z+5o2MoKjnCAZHFpm9MRLxr2zYOgtWnL9vks+aArbTk/T9J0lk6CKIryQETpNBhPp7LKtc/V5+Z5vH7YPWpL49JCaUt3/x7DSMDo/GtLRhCEayJoy0fL95SAfKpvQKoy5brdzRv6EiR9BdK3y0+U0Pxm8eg77VqTcQQkfAS21pqMGAhX26HWZARi0ZphP5YmlENWFI9ak5ECG/Eg02GiGLBSeNOacd984eBdXjyEQ+9Ua+YbbWLtrHjEC45wgGStaZvTES8a9s2DoLVpzfb5LPmg11pzPIuT8XlwPpkoXZrEsdKlkywIp0mRT2MxT5L1nHvUmoVpJJTWLPAjAaHzrzUZQRCuCao1f6mb8a06JC4/Wlz0dGPE6kRQfXaoSppf6GYTz/Unlx/91brFxGP1iUe6EUXVTPHV4pm+OWnxbPXVKNa3csZhuBNL830U+6xDJeFDtbUoZcRA+GSEKLU2fWAkYVGjjp1PRhSPapSRAhsTAdNhU6OMFN7UaJTIvkxMgHd5ARFOv1M9Wmz0i7WB2REvOML3kfWofVZHvHDYtw8C16ZI22e05INeZdajWRTNZBFM5Lm+WmkaBnkhzgMxDaM0DOPJuVjHCY+KNDK6rbeSAnmtPRTPuyTlBEF4J6gk/Vm1qXmxfC+o7ul8unhZbW+mO8KiIzn5JJxvWx3JiYHwpXAdaT95zonCIiTDfiZNKIesKP6EJCcFNpRBpsNEMWCl8CYk7duarHgIR92ljCzCtegorI2EjnjBEa6PLCPt25qsaNg3D4LWIiIB81nyQWsV6RKHXbaytSTFi8jOloVZ1GS72Va2VGub3uJfaytb6vgI2Ph00cqWaqJEmUg074BsXtMt87WypVrYFJqcrWypNjYVJE8rW6p1zfjE08qWat2Nt7IlGw4Mex23siWbCwx9yFa2RVS3si2sLWfu0a0GhkCUWL6+7LS1siWbDYxMXbayJdsqkbaCnw49fru1YQ2Dh3SDgUGLvI5wtbIlGw2MYx22siWbCgxniFa2tZe47/ASJ3SLMSGO8kTYW9lSTfbdypZsJzDKvYvyDHrcdmujGsae0Yy9pZmN3NbKtohxkFA6/4kNRhDEfhl0FYxPbDDySTjf1ktERgzE7h58KelIbDCi+E5sMKJ4TGwwUmC3VyHTYaIYsFLchsQGJx7CUaPWam2JjU3zqcLRTYwVHOH6yAsSR2KDEw375kHQ2hIb7fNZ8kGv6rXTcDZOoiSQsZgGQoQimKRhoWu71d+v/oVJsR4YjxrSuKmqNGSCHQkYnX8NyQiCcE1QDclQr7142quyMC91RoZWyc05iBI+iFsLVUYMhLeGC1V7zoORhEWn2iu5OVE86lRGCmy0BEyHTacyUnjTqa5KblZARDjoVKluGlcVjkZkrOAI30dWqq5KblY47NsHgWvTqu0zWvJB39Z7LHJb49tCoEcCROdfqzKCIJwTVKsy3GPBOQISPgJbC01GDISzRQjNlnssOIFY9Kb9HgtOFI96k5ECG/Eg02GiGLBSeNObjn1RTjyEQ+9UbW46UxWOVmOs4AgHSFabjn1RTjTsmwdBa9Oa7fNZ8kHf1vt4c1vb20JiRwJG519rMoIgXBNBa1Lv4+UklnDirbUlIwbCtXaoLRmBWLSlYy+TEcWjtmSkwEY4wHTYtCUjhTdtab+PlxUP4cA71ZabNlSFo68YKzjCAZK1pf0+XlY07JsHQWvTlu3zWfJB39Yutrmti22RYkcCRudfWzKCIFwTVFuydLHlHAMJH4Ot1SYjBsLZdqg2GYGY1KaxBuCQlcSj2GSkwIY8wGzYxCYjhTex6ehiy8qHcOmdqs1NJ6rC0VqMFRzhAMlq09HFlpUN++5B2NrkZvuElnzQt7WLbW7rYltk2JGA0fmXm4wgCN+0hdzcrostJ7+E828tNRkxEJ62Q6nJCMQiNa1dbDlJPEpNRgpsuAPMhk1qMlJ4k5qOLrasfAh33qnU3DSmKhyNxljBEQ6QLDUdXWxZ2bDvHoStTWq2T2jJB72SmkrKThORBCKcT6u8ejBJZRRMz/N5Po7C8zgTD3xLTWP8UFLT0QfDMhIgOv9SkxEE4ZugUvMLJVAuFk/0UfTLA0RXbk9Tn3rWqy5se6k+9UF11OhxddeaPn/0rF2emsZpn3WcJHyctpakjBgIjwyXpI6T7YwoLGI0Ma9bD1lJPIpRRgpsQATMhk2MMlJ4E6OR7Be2LDsnH8LhdypGN52rCkcnMlZwhOsji1HrpI542bDvHoStTYy2T2jJB12JUZFOp2I8KQKZ6D1SMQmDSRjPgiyZjvUWqZDp5IFvMWq74bfAjgSMzr8YZQRB+CaoGP2DEpnPW6QoWW8yDoWED8XWepMRA+F0O9GbjCgsejM0Hy88ZCXxqDcZKbAxDzIbJooBK4U3vSntRZ2ceAiX3qnc3LSlKhyNxljBEZ6PLDdtczriRcO+eRC0NrXZPp8lH3SlNrNJkcowmQcyz/WlS3keTLLzVP0xnI7H4zSNx/MHvtVmYRqJt8T6Sh3ESMDofKtNVhCEa4KqzX9WKvJRdQ/nxeLxqunEk0pcfq0+/UTLT30JUm/5U/XVV4vHez31E79b/GLxxeLXi88Wn66E6O8ToybYZx0MCR+MLfUmKwbC68L1ppqzr0wob7OicOlNaUI5ZEXxJjhZKbBhDzIdJooBK4U/wSktt3ff5eVDuPUOFadiWimU9W9M4Ee84AjfR1ectkkd8bJh3z0Im1tyQia05INebXAm+XmYTPIgjIUMRCbSYHyeTIJCzAqRZGk4SfxvcFo624owwg4FDM+/5mQEQTgnsObUCfTlB4tv9c1Hr/SHx9UFSLqd2YtKUSb6rs3IBLvPCivhsFtrSkYMhF+Fa0rrHiYrCoum1B13roMcsoJ4VJSMFNioBpgMm6JkpPCmKMN+YXzU7vLiIXx2p4Iy2ugPa4uhI15whOMjC0rbnI540bBvHgStTU+2z2fJB+2zya1tUzJ2ssVNthttcku2tukt/pU2uSWPj4CNTwdNbskmSpSJRPMOyOY13TJbk1uyhU2ZydjklmxjU0GyNLklW9eMTyxNbsnWeWlyK0Tcj4XJ8Lt0w4Fhr9smt3RzgaEP1+RWmbNpcqt+a9Mi9+hWA0MgSixf142WJrd0s4GRqcMmt3RbJdJW8NOhx2+3Nqxh8JBuMDBokdcRcZjkfWlUniO61cBA1l2XW7qpwHgG73J76SbuO9zECd1iTIyjPBLWLrdkkz13uaXbCQxz76Jcgx633dqohrFnNGNvaZajsHS5FWGCg4TS+U9yMIIgNsygy+AtkxyMsBIOu/WCkREDsdcHX1g6khyMKH6THIwgHpMcjBTYrVbAZNiWs4wUtyHJwYmH8NmodVtbkiPZbIrb24jxgiMcH3lx4khycKJh3zwIWluSo30+Sz7o21qnXVga3opQYEcCRudfTjKCIFwTWE7y1mkzDoaED8bWcpMRA+F14XLTUafNiMIiNx112owoHgUnIwU27EGmw0QxYKXwJjhdddqcfAi33qniFBuFYm8lxguO8H1kxemq0+Zkw757ELY2ydk+oSUf9G29iKKw9K0V6y5CiJGA0fmXnIwgCN8ElZyMF1GwDoWED8XWgpMRA+F04YLTsb/JiMIlOE0kh6wkHvUmIwU25kFmw0QxYKXwpzdtF1Hw4iFceqdyU27Uib27GC84wvPR5abtIgpeNOybB0FrU5vt81nyQd/WO3gLS+daEabYkYDR+VebjCAI1wRVmzd1By/rOEn4OG0tRRkxEA65EynKiMIiRW138LKSeJSijBTYgAiYDZsUZaTwJkXtd/Dy8iEcfqdaNN1oF3vvMV5whOsja1H7Hby8bNh3D8LWJkbbJ7Tkg76trW4LS6tbEbpbYxhGAkbnX4wygiB8E1SMcrS6ZR0DCR+DrYUmIwbC28KFZkv/MVYgFrlpa3XLSuJRbjJSYEMeYDZscpORwpvctLe65eVDuPRO5Wa2USf2/mO84AgHSJab9la3vGzYdw/C1iY32ye05IO+ra1uC0urWxG6m18YRgJG519uMoIgfNMWcnOrVres/BLOv7XUZMRAeNoOpSYjEIvUtLW6ZSXxKDUZKbDhDjAbNqnJSOFNatpb3fLyIdx5p1Iz3ygTe3cxXnCEAyRLTXurW1427LsHYWuTmu0TWvJBV1IzGhezeJpGQR5X35vIYBIVeTAvsjCaTWaZFPMHvqWmMX4oqVlgRwJG519qMoIgfBNYauqSTn07W2/xqd7TXH6w/FFv8U+LR4tn1fH0L5XefG/x5K9W97HFaoGz/DCKVx/70iJs9llHQcJHYWvByYiB8LcIwWm9CI2RhEVpRv11DdJ1qcmI4lFqMlJgwx1gOmxSk5HCm9S0XV9zlxcP4c07VZrFRpjYG4vxgiM8H1lpRjIO+0liohvx0mFfPghdm9Zsn9KSD3q1rTnJsrQI82CczWeBmJ/Pg3E0D4NITMNZMhnPzqPzB761pnGp8ZZY939AjASMzrvW5ARBeCeo1vxM39K70pq/UqLzw+X7yw+U5vxq+VDJzEfqd0+qvU4ZLl7YdCUnsYQTb6srOTEQ3hWhK1s2MjmBPMtLThR/8pKTAhvhANNhkZecFN7kpbAeF2LFQzjwLuVltGk6FTm6iLGCIxwgWV7a5nTEi4Z98yBoLdoSMJ8lH3SlLefnSZrO0kkQRVEeiCidBuPpVFZ1nXP1ubnSpw98a8vCNBJKW0bYkYDR+deWjCAI10TQlo+W7ykB+VTftllVZT5aftJ7Q1+4qfczv11+ooTmN4tH32nXmowjIOEjsLXWZMRAuNoOtSYjEIvWDPuxNKEcsqJ41JqMFNiIB5kOE8WAlcKb1oz7uU1rcuIhHHqnWnPTkCpyNBhjBUc4QLLWtM3piBcN++ZB0Nq0Zvt8lnzQq33MaBZFM1kEE3muL02ahkFeiPNAydIoDcN4ci7WMcKj1rQ1rI1i7FDA8PyLTUYQhG+Cis2fVRJSycmguoHz6eJlJSbTHWGcqH1WPgnn21pKMmIgPClcStrPlHOiMInITJpQDllRPIpIRgpsKINMh4liwEpxG0QkJx7CUXcqIuON6LC2CDriBUe4Pg4RyYmGffMgaG0isn0+Sz5on11qrbIwccIlTbibbVNLtbbpLv61tqmljo+AjU8XbWqpJkqUiQDz1CiuJu7R4vleL1r+5+X7ygesfklWv4jVL1L/0u8tfq/G/9vG3L7Zi/q9+q/aPAPPXv+uV4tv6gmv62aDqpb24fL94LVHYK+3+pHqegD1jT3llnTdrH4E9B/1g1E9ds+rn/5J9e99o5tC9bQt6iHRHx8uLvqmsT8gj30z6PD14KVa2JTRnD14qTY29TFPD16qdc3oy9ODl2odSw/ea+Jg8PbBycnwZC0PyrOjN5SaE3vqg9QfUv0h0x9y/aFQH+JQf4j0h1h/SL6jnbzm1HpiLzRKirv0YQBKhI47+pLNBaoEZEffKKk7+kbWxjv36FYD1UIXCwsNszNwYBzRMYBBvb3Dr8V2bfbO1YmwURzTKSSSAvwc6ZHdrQ1rGDykGwwMluDVGcBLldpLldpLldpLldpLldpLldpLldpLldpLldpLlUAvNaIPATAa4xoJx2Ga96XRQ92nmwoMyohGwrV3uu94rU/oFmMCNen5qhfHbs9UkhG6aSzc7pU2E2AjOKUTAOPwuyiPpEd0tzaqYewZzdhbmqeKQlvPYR22MJRQPP95KkaQpkJxTQ9wTwOfp2Lkk3A++ILfhHHAioHYrIWvnR15KkYU33kqRhSPeSpGCuxuOWQ6TBQDVorbkKfixEM46i6Wk/WictMlLHK0fWMFR7g+8EoIOqcjXjTsmwdBa8tTtc9nyQe9Lqwfz+JkfB6cTyazQCRxHIyjSRaE06TIp7GYJ8l6zn2KSOM2shKREjsUMDz/IpIRBOGboCLylzpDsnyom2ssP1pc9HSCo+q1UXflqK6ju9DpkeoukeVH69tC9M3Ii0c6eaZ/RidDdE/ixbPVV3UeZEdfJbKjbxUxDdU+61BJ+FBtrUcZMRBOGa5H7bkcRhIWOeo458mI4lGOMlJggyJgOmxylJHCmxyNEtmXxn2eu7yACKffqSDdNBKLHI3hWMERvo8sSO2zOuKFw759ELg2Sdo+oyUf9G096xlZOosqSZrihwKC51+SMoIgvBNUknIc9mQcAQkfga2VJiMGwtsilGbbYU9GIBbB6TjsyYjiUXAyUmBDHmQ6TBQDVgpvgtOx/8mJh3DoncrNTauwyNH7jRUc4QDJctOx/8mJhn3zIGhtYrN9Pks+6Nt6aZ0Sm8I0FEpsZtihgOH5F5uMIAjfRBCb5FvrGIklnHhrccmIgfCtHYpLRiAWcenYzWRE8SguGSmwIQ4wHTZxyUjhTVw6bq3jxEM48E7F5aYxWOTo9MYKjnCAZHHpuLWOEw375kHQ2sRl+3yWfNC3ta+wEpfSNBRKXLobkRiGAobnX1wygiB8E1RcsjQW5hwDCR+DreUmIwbC23YoNxmBmOSmsQzgkJXEo9pkpMDGPMBs2NQmI4U3teloLMzKh3DpncrNTXOwyNHtjRUc4QDJctPRWJiVDfvuQdja9Gb7hJZ80Le1sbDSm6lpKJTeLLBDAcPzrzcZQRDOaQu9uV1nYU5+CeffWmsyYiBcbYdakxGIRWtaOwtzknjUmowU2HgHmA2b1mSk8KY1HZ2FWfkQ7rxTrblpDhY5+r2xgiMcIFlrOjoLs7Jh3z0IW5vWbJ/Qkg96pTWTIp0mIglEOJ9WqfVgksoomJ7n83wchedxJh5415rGAPKWiEP0UIDwvGtNThCEc4JqzS+UQrlYPKmuPavPCl2590596lmvumbtpfrUB9WposfVLXn6qNGzdn1qGqd91nGS8HHaVpNyYiBcMlyT2k+xc6KwqNHEvHA9ZCXxp0Y5KbARETAbFjXKSeFNjUayX1gS7ax8CIffpRqNN+3EYkd7OFZwhOsjq1HrpI542bDvHoStRY0CJrTkg67UqEinUzGeFIFM9C6pmITBJIxnQZZMx3qTVMh08sC7GjWuRpQajbBDAcPzr0YZQRDOCapG/6BU5vMWLUoWnIxDIeFDsbXgZMRAeN1OBCcjCovgtJwxPGQl8Sg4GSmwQQ8yGyaKASuFN8EprYWdrHgIl96p3ty0FIsdLeJYwRGej6w3bXM64kXDvnkQtDa52T6fJR90JTezSZHKMJkHMs/1DUt5Hkyy81T9MZyOx+M0jcfzB97lZmEaCiU3Y+xQwPD8y01GEIRvgsrNf1Yy8lF16+bF4vGqYciTSl1+rT79ROtPfRdSb/lT9dVXi8d7PfUTv1v8YvHF4teLzxafrpTo7xOjKNhnHQwJH4ytBScjBsLtwgWnmrOvTChvs6JwCU5pQjlkRfGoOBkpsHEPMh0migErhT/FKS1dKO7y8iHceqeSc9OALHY0lGMFR/g+uuS0TeqIlw377kHY2jRn+4SWfNCrLc4kPw+TSR6EsZCByEQajM+TSVCIWSGSLA0nyeSBd81pa0AXJ9ixgPH5F52MIAjvBBadOoe+/GDxrb4A6ZX+8Li6B0k3IntRScpE37kZmWD3WWElHHZrUcmIgXCscFHp2MVkRGERleu74a5LSkYQj5KSkQIb1gCTYZOUjBTeJGXYL4yP2l1ePITP7lRRJhsB4ugpxgqOcHxkRWmb0xEvGvbNg6C1Ccr2+Sz5oL22KDZqDaUQhRNONOFutkUx1dqmu/jX2qKYOj4CNj5dtCimmihRJgLMi5yNh2N44+HF70yth3s+ew9TB7UZTfh6D1MtbKpjzt7DVBubwpen9zDVumZY5ek9TLXu5noPx7rtcKzbDse67XCs2w7Huu1wotsOJ7rtcKLbDieJ/iDWXT3jqkeMtfcweRiAsb/j3sNkc4HhH9l7OBZ17+HY2ovnHt1qoAzoYsWgYXYGDowjOoZAYuC7fCrbr06EjeKYTiGRFODnSI/sbm1Yw+Ah3WBgsAQvuwBeqtReqtReqtReqtReqtReqtReqtReqtReqtReqgR6qRF9CIDRuMPew2RTgUEZ0Xu49k73Ha/1Cd1iTKAmPV/1qtftmUoyAnPv4dorbSbARnBKJwDG4XdRHkmP6G5tVMPYM5qxtzUZFdl6D69v4wdTQvH856IYQRD7mtDNii1zUYywEg4LX9abMA5YMRBbsvCFtCMXxYjiNxfFCOIxF8VIgd0RB0yGbfnOSHEbclGceAif3cXKsl5fbnqExY6ub6zgCMcHXhRB53TEi4Z98yBobbmo9vks+aBvbUG95epTpSdT7FDA8PzrSUYQhG8C60negnrGwZDwwdhabzJiINwuXG86CuoZUVj0pqOgnhHFo+JkpMDGPch0mCgGrBTeFKeroJ6TD+HWO5Wcm05hsaPzGys4wveRJaeroJ6TDfvuQdjaNGf7hJZ80Lf2zpDI1mc4djcqMclvEJ5/zckIgnBOUM3JemcI41BI+FBsrTgZMRBeF644HTucjChcitNEcshK4lFwMlJggx5kNkwUA1YKf4LTfmcIJx7CpXeqNzfNw2JHMzhWcITno+tN+50hnGjYNw+C1iY32+ez5IO+tRcmR7ZOw7G7T4lhKGB4/uUmIwjCN0Hl5s1dmMw4ThI+TltrUUYMhEfuRIsyorBoUfuFyYwkHrUoIwU2IgJmw6ZFGSm8aVHXhcmcfAiH36kY3XQWix2t4ljBEa6PLEZdFyZzsmHfPQhbmxptn9CSD/rWtiaObK2J4wI7FDA8/2qUEQThnKBqlKU1MecYSPgYbK00GTEQ7hauNNvaxXECsehNa2tiThKPepORAhvzALNh05uMFN70pqM1MSsfwqV3qjc33cViR7s4VnCEAyTrTUdrYlY27LsHYWvTm+0TWvJB39rWxJGtNXESYocChuddb3KCIJzTFnpzu9bEnPwSzr+t1uTEQLja7rQmJxCL1rS2JuYk8ac1OSmw8Q4wGxatyUnhTWs6WhOz8iHceZdaM9n0DksczeBYwREOkKw1Ha2JWdmw7x6ErUVrAia05INeac1JlqVFmAfjbD4LxPx8HoyjeRhEYhrOksl4dh6dP/CuNY0BRGnNCD0UIDz/WpMRBOGcoFrzM33Lnb75rLf41eLp8sPl+8sPFi8XXy0fLr5cPFK/e1IJUBnqu9JMxPusxBJOvLW6ZMRAONcO1SUjEIu6jPqhNKEcsqJ4lJeMFNgQB5gOm7xkpPAmL4W1jJMVD+HAO1WXm1ZhiaP1Gys4wgGS1aVtTke8aNg3D4LWJi7b57Pkg67E5fw8SdNZOgmiKMoDEaXTYDydyirdPlefm+fx+mH3KS6NiwslLmPsUMDw/ItLRhCEbyKIS32F7gslMN9bflAlyx8tP+m9oe9C0jchfbv8RCnNbxaPvtMuNhlHQMJHYGuxyYiB8LUdik1GIBaxGfbXV3lcF5uMKB7FJiMFNuRBpsNEMWCl8CY2435uE5uceAiH3qnY3PQISxxN31jBEQ6QLDZtczriRcO+eRC0NrHZPp8lH/RKbKbhbJxESSBjMQ2ECEUwScNCf6/6+9W/MCnWA+NTbBamoVBiM0EPBQjPv9hkBEH4JqjY/KVuI6Fv2KxOAF30dA+I6lhQfYCoyptf6B4SusfD+8uP/mrdEeSx+sQj3TdE/4xuF6EvUNLni572qn4iL3U7iCtfqX5O95DYieIw3Iml+cKKfdZBlPBB3FqvMmIg3DVCr9r6YHCSsAhVx64oI4pHocpIgQ2XgOmwCVVGCm9CNUpkXyYmwLu8gIhw0KlU3XQfSxzd5FjBEb6PLFXtszrihcO+fRC4NrHaPqMlH/Qq7R7Nomgmi2Aiz/XdS9MwyAtxHohpGKVhGE/OxTpO+BSrtgbFicCOBYzPv1plBEG4J6ha/Vm14XmxfC+obvJ8unhZbX2mO8ImJBn5JJxvayHJiIFwpnAhaT+ZzonCoiTDfiZNKIesKB6VJCMFNpZBpsNEMWCl8KYkHVuenHgIR92pjhQb1eHoNsYKjnB9ZB3p2PLkRMO+eRC0NhXZPp8lH7TXrsTGXRIlC6UTTjbhbrYrMdXaprv419qVmDo+AjY+XXQlppooUSYCzKubDj9aPFcvv+5RvNdLVr+I1S+yg8bFny5+q9YAf1j8U2/xT+qfelbVQXypvue9xZO+aYgOyEPUjA18PYapFjbVLmePYaqNTRnL02OYal0zSPL0GKZad3M9hhPdXjjR7YUT3V440e2FhW4vLHR7YaHbCwvdXlhsGncmVe8Xa3th8ggAg3jH7YXJ5gLjOLK9cCLr9sKJtcfOPbrVwHjehfTXMDsDB8YRHQMYdrdoL6xsvzoRNopjOoVEUoCfIz2yu7VhDYOHdIOBcRK8fgI4qFI7qFI7qFI7qFI7qFI7qFI7qFI7qFI7qBLooEZ0emAM7rCzMNlUYChGdBauHdN9xxt9QrcYE55Jj1a9cnU7pZKMwNxZuHZImwmwEZzSCYAh+F2UM9Ijulsb1TD2jGbsbc0ixbbOwkmKo4Ti+U8iMYIg9iahGw74JBIjn4TzwVfjJowDVgzETip8xexIIjGi+E4iMaJ4TCIxUmC3siHTYaIYsFLchiQSJx7CUXexkqzXk5tWYImjtxsrOML1gRdB0Dkd8aJh3zwIWlsSqX0+Sz7oW3tIM7a1E04y7FDA8PyLSEYQhG+CikiOQ5qMIyDhI7C1zGTEQPhauMxsPaTJCMQkNq2HNBlRPIpNRgpsyINMh4liwEpxG8QmJx7CoXcqNjeNwBJHYzdWcIQD5BCbnGjYNw+C1iY22+ez5IO+tdfNxbY+wom7q4hJd4Pw/ItNRhCEbyKITfJ1c4zEEk68tbhkxED41g7FJSMQi7h0HKxkRPEoLhkpsCEOMB02cclI4U1cOq6b48RDOPBOxeWmr1fiaNTGCo5wgGRx6bhujhMN++ZB0NrEZft8lnzQlbiMxsUsnqZRoASnvvc4kcEkKvJgXmRhNJvMMinmD7yLS2EaCiUuC+xQwPD8i0tGEIRvgorLz1f3emhx+anu0Lb8YPkjQ3n1+tYPfWfH8kN9fYf+2JcWYbPPOgoSPgpbC05GDIS/RQhOa5k5I4lvpcmI4lFpMlJg4x1gOmxKk5HCm9IMLbXgd3nxEN68U6W56eiVOFq0sYIjPB9ZadrmdMSLhn3zIGhtSrN9Pks+6FvbETi2dQRe1/khhgKG511pcoIgfBNYaXJ0BOYcAwkfg211JicGwtsidGbLxiYnEJPcNArnQ1YSf2qTkwIb8wCzYVGbnBTe1KajIzArH8Kldyk3xaapl3B0aWMFRzhAstx0dARmZcO+exC2Fr0JmNCSD/rWdgSObR2BhbuniGmTF4TnX28ygiCc0xZ6c7uOwJz8Es6/tdZkxEC42g61JiMQi9a0dgTmJPGoNRkpsPEOMBs2rclI4U1rOjoCs/Ih3HmnWnPT40s4eraxgiMcIFlrOjoCs7Jh3z0IW5vWbJ/Qkg96pTWTIp0mIglEOJ9WRZzBJJVRMD3P5/k4Cs/jTDzwrjWNAURpzRg9FCA8/1qTEQThnKBa8wulUC4WT/Rp8svWGVfumlOfetarbjh7qT71QdVk43F1M53uvPGsXZ+axmmfdZwkfJy21qSMGAiXDNek9sPpnCgsajQxL1wPWUk8qlFGCmxEBMyGTY0yUnhTo5HsF5ZEOysfwuF3qkY3TcCEo6kbKzjC9ZHVqHVSR7xs2HcPwtamRtsntOSDrtRoNilSGSbzQOa5Psme58EkO0/VH8PpeDxO03g8f+BdjRpXI0qNJtihgOH5V6OMIAjnBFWj/6yE5KPqdiOlLle3Jj+p9OXX6tNPtDjVHdl6y5+qryoVutdTP/G7xS+Uiv314rPFpyst+vskMQ3GPutgSPhgbC05GTEQfhcuOdWcfWVCeZsVhUVyhn3z3W+HrCgeNScjBTbuQabDRDFgpfCmOaW0Fney8iHceqeac9PLSzi6s7GCI3wfWXNaJ3XEy4Z99yBsbZqzfUJLPuhKc4okPw+TSR6EsZCByEQajM+TSVCIWSGSLA0nyeSBd81ZmIZCaU6BHQoYnn/NyQiCcE5gzan3NJcfLL7VVx+90h8eV+eHdOuGF5WiTHTj38gEu88KK+GwW2tKRgyEX4VrSsc2JiMKi6bUd6dfBzlkBfGoKBkpsFENMBk2RclI4U1Rhv3C+Kjd5cVD+OxOBeWmrZdwtGljBUc4PrKgtM3piBcN++ZB0Nr0ZPt8lnzQ6n9/ubfqkfUXLr3Yabs24z6WUorSBRmGTUhP7dqEydo7ZGubbuMG27WpTz/VO5O9xc/0nZnLh8v3qzT4y8VXe73FL6t2bc+XHy8/0T9vGoV98igI2Ch00ZSNaqJEmUg074BsXtML8zVEo1rYVJWcDdGoNjYFI09DNKp1zXDE0xCNah1LQ7SmzbmU/dy4tXCXbjgwuuH7mBVpYm1jRrYWGN+QbczEZRsz4WhjRrYaGOdQ0hh6pvyIbjYwMLW3LYPaeky3VSJtBT8devx2a8MaBg/pBgNjFnnVYHcWI7rRwDCG6ylmdxT36ZYCgxmipZi4bClmdxIndIsxAY7yQNheupJscjctxKB2ntLtBMa4d1GOQY/bbm1Uw9gzmrGraJGNo7yYBuPpLAzERFeCR+qPRR7GeZpnyaRYO2brCtWxVCeuUm2NwkSKo4TimdayDirMetYEcocVBLE7Bl3qtvejvraMXbcl/3lV/62Ltw3jsM86DhI+DluvJBkxEHt+Xaw4GUl4ch1mX3HISuIx2cFIgd1yBcyGbZ3LSOEt2ZFleT+0nSDkBEQ4dNSari3dsWlAJRwNxVjBEa6PvHCxz+qIFw779kHg2hIe7TNa8kHrChqXjOw00SFMcEpAultYpE24G050EK0FbgBB1d9NJzqIoyBgo9BJooNookSZCDCvVuqPFs/3etHyPy/fV2/66pdk9YtY/SL1L/3e4vd6fhoz+GZPqK/8Rs2xnvTn1bXIP6lm/Bv13RdXxP/6cGb1yUfVIc7nup7+ofqRh9XpzxfLj3r7f/vdfx8Mji+fhrd+8L0fvvuDd77/19WX1FfufPedv/4P4x/M9nrVHXhfL17okqmetkb9PbqD3Ptv9lJ917L60NPdPdR3/rh6DtUXTt661yvCyKg+DsizA9wz60J1Ey0EbpBh1LQ9z0O0Ebg1tq1OJlqH2QYDjJ9N/xKtY8nzXBMJg7cPTk6GJ2uZUJ4dvaF0Xf4d7b+16Voq7IVGtXCXTgaM/h0ngqjWAuM/NhGUXSaCrH237tGtBuqALhYNGmZn4MA4omMAA3l7YshiuzZ75+pE2CiO6RQSSQF+jvTI7taGNQwe0g0Ghj/wygvgd0qg3xnRqYAhE5dTioQQfWlLKlFNBUZOTFIpu0wqWd/UE7rFmGhKemTqlazb2ZRkhG6STO2OZjMBNoJTOgEwsqLTT9lubVTD2DOasbc1/SSs6Sd3j6JrlFA8/+knRhDEbiV0A4Iv/cQ4DhI+DvD1vQnjgBUDsQfbxUKYkcRz+omRxGP6iZECuwEOmY0866epCWXAinI7clCcgAiv3sVysl5UbloHCkcrSFZwhP8Dr4TgszrihcO+ghC4thxU+4yWfND60E2lO4s1ulVV/nA+ffe773zfMBIEUSlNmEpPFi7MMGpi2rJRdlsxUnGTkCqMZZx3yNY2HzLHyEL1YHWX5E+qXESVLtCdGd9ffmSyW4m84s0B2fhrjs9u/XZ+b7XtKsM99SGyOToqhMBDwNe22vJjbfmxzfJjuuUSbzl8TasMH2rDhzbDh3TD4U893bOutswUQGkDKMkA1zZCWgBwz8uptvrUZvUp3Wq4G0fufyijz7TRZzajz2hGv+bP9S+ejoJK2xbHehPTxpBYBx5mKi0eKaON68U7ZHOBmRFoQPqi2qDQd3z8S5UEr5Lk31Ttgr9dfrB8qOsfHutNi4uq4EF98/pCZL2pUV1Dp+9K/qRXbWpc3kq36jOsk+kXi2+WP1Y/+dQ0DPvkYWjGhU5KJBaf6n2ZQF+o16vS+A+XnyjjL9QI6PtQFl8pukernZze4isdv6troavKkdWgPF18XV3H96QqIXisv3A5MOuKg+WHr4X+vmlY/ow8LBI1LIAhMZl3QDYPmJjBbMfoWTIZ+TbZSGCeBbPTYi1NoNoITLBsuYdCtQ6TTAGMn6U0gWodS2kC9HDOXbrZwJiKrzuI0kItQK2lB2SDgZEVWXogw7r0QFp7l92jWw0MsKg1E/TpOKKbDQyI7askqK3HdFsl0lbw06HHb7c27NqSiGwwMG6Rt9Hsfa7JJgOjGLJawOUp7tONBYYzRL1A7SXuO7zECd1iTIjr8okoySZ3Ux8AtfOUbicwziFXwfqJqI26tgAmGevtVIA0LyLVmtfdNCmzjjHM1M7XvERzgSH5j2bNSxwGYIj/o13zEodFooYFMCQm8w7I5gG1Q0drXqKRQLXQzZqXaCNQJGy75iVahxEEgPGzrXmJ1t30mpdqNjCmdr/mpRoMjKzYNW90uea19lC8R7caGGC51rxUs4EBsX3Na616ldHO1YG3l9eTKSSSAvzc6JHdrQ27vhqmGgyMaByrYarJwPiGWw3HMsnyxFo9TzYWGOgwq+HocjVs9R8ndIsxwa/LJ6Ikm9zNarjdb2wG3F4tTyYAxkb0OjnarY26vk6mGFtVLlX/02ZPzmeT8TwPJuf5eSCm57OgiGazIByrn5dFlqThemrqhXXz6Zr/7bx+bq6yAleAcb+3+N3iy+X/Va3U3u8tfr341eLznlqdXCy+rhYqasGjFzcX61VMveJ7qVY3bQs8tSyP31SPQGwcKj0izVGCjooxVttHAxWubWU9iaWihwuvGdMBePDXc13wY2Y6ZmOSeCb4C7sqBTIjDdmQ4O8k2OnbioTMaCUX2rXI0IKGe/pObTynbDzNONHCg3ryzmw4Zyw4r+2nWLddOyh/ja01RomRKS5kLosijJtgtv3WjspeTUbeIRsJr/sDhtnFP6hA+n4VTt9ffrQJnuuTTnWD9fWu4SsTzL6C0aGUSOS7BFbsHckwswVMKkQzIgIgcD7pWFt+bLP8mG65xFuO8j5DbfjQZviQbjj8Vdg6uom90gZQkgHYS2DF3qnN6lO61XBXTopUYu/MZvQZzejXfDtzPLJGJOE0G1z12lFEsmb+iGbCX0RoTPpi8ZvFP15L961WflcTeiYSFZCEDkhEHN8BSdpiEdV+H7HIbPQx3WiJNxrlWoY2m4d0m+EP/tYRyGx7SbadPfiYDT6lGwx32aS4Y7b3jGavz5BjDTrSabiwDjTYTmTQsYYdoqHwtw8ZdtQSSAWYr/Xlguv7IJY/qe4JfH/xtBmU3jBGJeOzpMKS1GGJiOs7LKW2sES130dYMht9TDda4o1GeZ6hzeYh3Wb4i7F1WDLbXpJtZw9LZoNP6QbD3TopLJntPaPZqw1ev4UewpI1MKVO06+1vPQQmGw3JFNNhb+B0ND0i8VLFXHer9JdL9flkOsbcF/qbbunm1LIC31lcrV598SxPkp1ICLC+Q5E1r06qv0+ApF1m45qtMQbjfI1Q5vNQ7rN8Ndg60Bk3Zwj2s4eiKz7clSD4Y6cFIisW3IUe/2ujxyhyHyv4MZ4+yWIYFsJoci6TiIaC38LocHoD3WC6NkmMWQKP68W35hIVPjJdPgh4vgOP7kt/FDt9xF+zEYf042WeKNRHmZos3lItxn+4G8dfsy2l2Tb2cOP2eBTusFw900KP2Z7z2j2+l4HOQKQ+Sayjfngs2EdByDreohoLvxN7D4EVWujrxePlj9Vi6bHqzNR36gvvFi8WH5QraR0ExBdKPist/jl4tPFZyZ2FbRyHbSIA+A7aBV7RyKV6kMW6Q+Z+pAn+oP+QiF1CYTtFjAyoo+4Vuwda65jzXWsuY4117HmOtZcxzauYzqXxHOhvNtQYw011lBjDTXWUGMNNdZQYw1tWEM6Fvyd3Do6Fnulxis1XqnxSo1XarxS45U2vJKMxx5Ai71TzXSqmU4106lmOtVMp5rp1MZ0SmeCxyhSjC32zjTSmUY600hnGulMI51ppDMb0hkNqXoMV0g6nrHeTXYlFlujceGkKKwTAzOWGIr1CXOTvXfI9jaD0ZZHtTGxWJcXVmdjr7f+UiF51ZDrvVVbrnUnsCvNvtTn/vz74/9wvr5//YsgiuL1738WB1G8V/0qV7/E0jRs++Rhawa4bo52/2L5kT6yrbSIPuiuBkYf7u7pA9v6fvnfrcZADU59EkJ914vencFRoLTKfzUR/hmZUKIIAXSQFnGfm/at153jgtj+DV/ouV/d0r/8O/XNq1RtFMtN/7aHPX2tf5Wo1ff4P9tc7q/HciMGq0881sfn9V9fHaV/WZ2vf7/6Cd2Q7oX+x56vn8FHqz/+cvHF4vPgz97+3+LX/pkPVzvyKyNfrp91ba62TT/WL1fPOPzxrx6C6gB/dZ5fn3F5psfjt5n8jyKslO3niy8yufxQ35+iLXl8LU/wolK/VWPF51UDvSp5sLLjaQX7XmWLvjjhkbKr7oDwvCr/rdLfzUGWmx551be9Wv1U5QU+Xv59L5GBkJrlK/1mLl4kK9P0Dz+pHuGHK9iv9ahV5N8uNncY/F19jCfcy8NeoH+Rvf/3y//D9KAfkB/0FPagY877G33022QLgYchuznsT7QReAZy28P+ROuaAnfLw/5pGoXmm7YHZBNZTvxfk3emBnypvgk61YvDNNYf9OIwFevmWEoJuprykWmBoo5wUUBRRPZrAqjmAmUd9pqA4vKagMJxTQDVaqC4226bYdNAQRY7AwfGER0DKLYIWwn18d9i5+pEOK4NoFJIJAX4OdIju1sbdn1XgGowMDCCrw0AOKNSO6NSO6NSO6NSO6MS6IxGdFJggEXeNpBnmf3mPaqpwDiLuWuguLxrwPr2ntAtxsRe0mO06ffR4oBKMgL33QPFztUJcNw9QCUAhlvkXpF+dmqjrm8EUYyttGQuijQXIhjn8zAQRTIPxufFeTCen0eRnI/DcD5d8Vj3iL43traXoe4T2XaKUvNVhFZMKJ9pN8mBhdlRMoHcYQVpKhHX/AC3ml5vzaJWoHq9urr/75Huw6cX4s/15oktEaSX01WKp/fG6sIIvQ5Xq9Of6q7x6vf6c1WKaK+33pN5Wa19159b/lStrfVnv1Vff7L8+6r2+/ny41X53fK9/nfWe1FXFv26P+CVlf1rlxDqxfMn1Y5Etdz+8frfspTtcU6WhE8WfPvHhHHAitHULw4MxOJ+lS/8tno+vlm+b8J6mxWLp7mgieOQlaOpZBwcW+4acFI01Y2DoovdBU4Ub60F87yfGPnu8vIhglAXS+LNwjgN133oUuvF1ke84AhPCF7NgSd1xMuGfQEhbM4JHUEmtOSDriTybBwm89n0PJiIWRGIUOZBUWRJkI/l+Xk4DrNwth4YrxLZuPGtJLL5FjLHWMD4/EtkRhCEd8JJ5CpdtPz4r6oMjD7Q+G2V5nms9fHy76tUzjP9tUzuiHAn3FNPrvpTsnhhGoN91jGQ8DHYWnkyYiD8LUJ5Vpmxfs88L2+zArFozrCfm0gOWUk8qk5GCmzQA8yGjFUEFyaUASuKN9WZJv0sMfHd5eVD+PVOVWe0ESnWC2SPeMERXpCsOq2TOuJlw76AELY21dk+oSUfdKU657KQ43w2V18M1fdG00KJ0zAKinmWjeNsLubR7IF/1Wl8AJTqjLFjAePzrzoZQRDeiaY6Vzuc6yqqi1V3kcWz3urTSnLKSnKu90GFzpJeH4J91iGQ8CHYWnQyYiDcbYeikxGIRXRargo9ZCXxKDoZKbAxDzAbUZLncT80vvQDVhhvsrOQ/TAz8d3l5UM49k5lZ7xRKbFDdnKCI/wgWXZaJ3XEy4Z9BSFsbbKzfUJLPuhKdibTdC6jMAzyWH9vIYpgks/nQSQn82kxEYXM5AP/slOYxkLJzgQ7FjA+/7KTEQThncCyc12l/uj1anLd6+5VtdH546oz4MsqE//JOjf/eyVIP6zq2B8tvtGHA/S1botvVl9dF7abxmafdWwkfGy21qOMGAg/jNCjL4yLvbdZSViEaKhkjzFdcsjK4lGKMlJg4yBgPhKR9DORmlgGrCzelKgI47SfGwtS7/ISIrx9p1o02UiXxKFFOcERPpCsRR3TOuKlw76FELo2Ndo+pSUf9GoTNA1n4yRKAhmLaSBEKIJJqn+qaqoVRdmkuInUuzSNhVKjAjsWMD7/apQRBOGfoGr0l/rIanW68fHyo/UFjcsrfVSqjdCL+nTl8qP1VunlEdQrR0+fVZWlpkOpz1Y/F8V7cieKw3AnluZjB/usgyjhg7i1bGXEQLhsjGw1Sr23WUlYZKvlSrpDVhKPopWRAhsuAbMRZ1kqzDvaA1YWb6I1SmRfGtd8d3kBETGhU80qNgJHODQrJzjCAZI1q31WR7xw2HcQAtcmWdtntOSD1s1cNbjWah5v1TEGCaVGpQszCpuY3m7ViYwG3yEb3PQe/1qu1UlW1+kI02jtk0dLwEbrFtymQyWUKEIAHf0ancTyDY961e73t/rxqe7TwT1Je9evhglIN/A0rtf5tNqx/2D5o2DxT+pzzyrLv9R238x1OzJ87bodGd7YdTuXk/XrxT8sfrf4R/Xfp73FH6oWne+v/2Y1Xvq5AF3N8z++4rubh/raAK8g6GIhRrQQeHUAfIHluJuHaiPwzoBtl05E65qSbMu7eaLUcmXtgGzhDV7Nk+q7ePSVrWmuP+grW7NwfRtGKp1X85Bpgcqw46t5yOYCtSHyap5U1lfzrMbZZPU9utVAgdjF0lLD7AwcGEd0DKBy2+JqHmX71YmwX81DppBICvBzpEd2tzasYfCQbjAwLoLX5wBnVGpnVGpnVGpnVGpnVAKd0YhOCoyvHV7NQzYVGGYRV/PUTui+4+09oVuMCb2kx6jeA3E7oJKMwHw1T+18NhNgv5qHTAAMt9iredSzUxvVMPaMZmwlJUFnlDWPdaPJseVG3WyyXs2T4jChfKYtKQcWZlvKBHKHFQSx0Q3drvo3fjUP42RJ+GTB95JMGAesGIgcA2JtD7uahxGLJeNqO6/CyOEx38pIgc31QObCsbnASOIt2+q6mYeTDxGDulgR1+vidJOaSx1rY05whCMEL+bAkzriZcO+fxC2tlxr+4SWfNCVQh6PZ+eTeToOxpNIH2yJJ8FYTNIgFXKSTs7VP5CJB/4Vsi0h6+yZZhoLGJ9/hcwIgvBOOIX8+s08zRPS+nMyXB+PbrmRh5Fdwtm3FpyMGAg/ixCcbYejGYFYpGbcD43q5pAVxaPaZKTARjvAdCSJ8txFamIZsLJ405up6Esj311ePoRH71RvZht5kjn0Jic4wg+S9aZ1Uke8bNg3EMLWpjfbJ7Tkg6705vl0mp5nk2mQZ9Op0qbTKJiI8TQ4T8dxPJ5M8jxbO1ivejMxjYXSm87mgKaxgPH515uMIAjvRNebrpsglegE3QTJOAYSPgZb605GDIS/7VB3MgKx6E77TZCMJB5lJyMFNugBZiOKi35h3C8YsKJ4U50y6qfG+HSXlw/h1ztVnflGpOQO1ckJjvCCZNVpndQRLxv2BYSwtanO9gkt+aBv75U8ltyMUp0FdixgfP5VJyMIwjuBVafXK3kYx0bCx2ZrNcqIgfDDCDVqvZKHkYRJhtqv5GFk8ShEGSmwcRAwH3lfCGkiGbCSeNOh7gt5OAkRvr5TJVpshIujTSwrOMIDkpWo+0IeTjrsOwiha9Oi7VNa8kHf3gt5YtuFPJmzL5BpLGB83rUoJwjCP0G16O28kIdzECV8EOGilXIe14R+wIqOcPMYoWsUh2+zkrAIXeslPpwk/mQuJwU2xAJmI9VXoBs3wAesKN50rusOH1ZARBjpUuZmm/6AmaPhIys4wv+RZa7rDh9WOOwrCIFrUbmAGS35oLXMdanXbq/usWTuM2dnofwa3Y1f3UM1uOk0/m1c3UMdLQEbrVtwdQ+VUKIIAXQR4rKeDHZZT3r9ohi17ljdFEO+eac6grf4hR7u6sF8op/d9Y+/6FWVI1+v1j7rG2+qT6/+gmo5ZXxoMRfr9G7kZh3QbTlJdQPPxep7VzzV8Dy58lPhXqiZfrF8X//UG4sXO//j0eKL7/RNT+gB+QltRnu+W3KoFgJP8cNXMI5bcqg2NtcnPLfkUK1rip4tb8mRhbnkZkA28OYuyclifStOoj8I/UHqD+n6Xooscl6SQ6YFarCOL8khmwtUYchLcrKoviQnszalvEe3GijFuli7aZidgQPjiI4B1EhbXJKjbL86EfZLcsgUEkkBfo70yO7WhjUMHtINBoZF8AIY4IxK7YxK7YxK7YxK7YxKoDMa0UmB4bXDS3LIpgKjLOKSnNoJ3Xe8vSd0izGRl/QY1ZsMbgdUkhGYL8mpnc9mAuyX5JAJgOEWe0mOenZqoxrGntGMvbUJycR2SU4W4zChfP4TkowgiJ1k6MbQLU1IMg6ihA8ifDfFhHHAioHYXO9iyc1I4jm5yEjiMbnISIHNbABmI5bK+VuOEHOi3I7kIicgIiR0sUCtl6mbfryZo8EyKzjC/4HXVvBZHfHCYV9BCFxbcrF9Rks+6Nt7nCOxXVqTJdixgPH5V6yMIAj3BFWsXo9zcI6NhI/N1kKUEQPhiDFC1Oh232YlYRGijuMcnCwepSgjBTYOAuYj6UfGLYgBK4g3Ieo8zcFKiHD1nSrRTS/ezNFemRUc4QDJStR5moOVDvsKQujapGj7lJZ80Lf3/sTEWhUnsGMB4/MvRRlBEP4JLEW7vD+Rk13C2beWmowYCE+LkJot99hwArEoTvv9iZwoHgUnIwU22gGmI4qjfmG7yYaTxZvmdNyfyMqH8OidKs5NK93M0RyZFRzhB8mK03F/Iisb9g2EsLXpzfYJLfmgb+/9iYntJhutk3FjAePzrzcZQRDeia43O7g/kXMMJHwMttadjBgIf9uh7mQEYtGd1vsTOUk8yk5GCmzQA8yGyPq50X0PWEm8iU7H9YmsfAi33qnolBuN4migygqOcIJk0em4PpGVDfv+QdjaRGf7hJZ80Le3jWJivbImxY4FjM+/6GQEQXgnnOj8t9pGkXOyJHyytlbHjBiIwIBQx6A2ipxYLBrZmHo+ZOXwqJAZKbARGjAXjtOnjCDeBLKjiyIrHyIEdSqQN033MkcXRVZwhB8kC2RHF0VWNuzrB2FrE8jtE1ryQav//eVrylCoX/7CJYS7vf1GmGiVBHb38ImbtJ5uv7HceH6HbG/ThWx5+c3vGlLvUW99V81LwO01aZxuzju9rh/XF9oEUagvtAnizDQC++QRELARuA0X2hAJJYoQQvd5tQZ4rNcle7319Tbx6pdk9YtA3Hkj1DcYHpzL+270g7G6kmZ1S8vVG2jgFyhduwImk+srYOB35piP4lX353xVH/Cr/tn1NTQvqzVS9Q3X7tv5YvF58L/F1b++vklGX1Tz2k2aetW3An99zYXEtl/Bk8nXruDJpL6C53bfwPOwV/3wk+qdebiCvSxNr7b59fyof6MyUL1y4V4e9gL9i+z9v1/+H6Y364D8ZjV1CONFPEQLgTcFIJZVjot4iDYCrwjYdslEtK6px7a8iCfLk74x2T8gW3iDN/Hk+uqdQn1Q+k99iPSHeHP5Rea+iYdKC9SDhJt44ljab+KhmgtUhNibeLLLm3isrSjv0a0G6sIulpUaZmfgwDiiYwDF3TY38WQ7VyfCcRMPlUIiKcDPkR7Z3dqwhsFDusHAuAhemwOcUamdUamdUamdUamdUQl0RiM6KTC+4m7iibKk6EvbTTxUU4FhFnMTT3Z5E4/17T2hW4wJvaTHqN4AcTugkozAfRNPtnN1Ahw38VAJgOEWfRNPtlsb1TD2jGastjZMYpHOp1EQz7I4EHERBZMkDYNxkqYyDWWRTNYPlXV7ybHfRt1ist7Ek+MwoXymjSgHFmYzygRyhxUEsckN3aUC5lmv5S1f28ziT7b+1fVE6urfW+2Hvbac1z+lFvPVKlmt4ze7Gqap2medKgmfKvhmkwnjgBUDkV1ArOxhWVZGLK9ZVkYOj1lWRgpsmgcwF66tBUYSb2nWKFLRVJoA7/ICIkJQFwvielm8afubOfo4s4IjPCF4LQef1REvHPYNhMC1JVrbZ7Tkg64U8mwcJvPZ9DyYiFkRiFDmQVFkSZCP5fl5OA6zcHYTCtm47a0UcoEdCxiff4XMCIJwTziFDD3+kknY8RfGMZDwMdhaejJiIBwuQnq2HX9hBGIRnWE/N+qcQ1YUj7qTkQIb9QDTkWZJPy9sypORxZvyTJP++hKU68KTkw/h2TsVnpsev5mjbTMrOMIPkoWndVJHvGzYNxDC1qY72ye05INe3ZEuCznOZ3P1RX0lUDQtgvE8jIJinmXjOJuLeTR74F93Gh+At0Tubu1nGAsYn3fdyQmC8E403bna6mxe9NNbfVqJztVdP+t9UmFeRO6zDoGED8G2spMTA+Fuu5OdnEAssjM253EOWUn8qU5OCmzMA8xGlAppuTdlwMriTXUWsh8aE6R3efkQfr1L1Zlveu7mji7KrOAIN0hWndZJHfGyYd9ACFuL6gRMaMkHfXvvORe2Qye5swGRaSxgfP5VJyMIwjuBVafPe845x0bCx2ZrOcqIgfDDCDlqu+eck4RFhzruOedk8ahEGSmwcRAwHyLsZ8IY0wesKN6EqPOmc1ZChLPvVIpGG+XiaA/LCo5wgWQp6rzpnJUO+xJC6NrEaPuUlnzQq5vOo7goZnIajNNxHgiZ5UEeRfOgGE/TyVzERRyPH/gXo9I0FkqMxtixgPH5F6OMIAj/BBWjn60OiZqOk24Okz7b9IVcnSBd/DbWBaCfLf6w+PSy8aNLgjKOiISPyNYSlBED4X8xEtQo295mJWGRoLGt5yMniUcBykiBjX2A2YiyOOnb7j3nZPGmQKNQxSnbXignIMLBdypANy0Cc0fTR1ZwhAMkC1D7rI544bDvIASuTX+2z2jJB60FqEtXdnunjjTRKUWZuOiULm/Q3fSdOlR7mz7jj/dOHeoICNgI3II7daiEEkUIoNv6Fp3c0y06e9fvcVHrX/Q9Oo27cD6tdtc/WP4oUD/5SP3c5kzdlxXrk3+zd+RcXlFUz+SvF/+gZvof1X+f9tSa7/ny48qKR9XNRM/0A+PvPp2+6bU6IL9WwIsDulhyES0EHviHL6UcF+pQbQSe9N92kUS0rim+trxQp5C2u0WpBt7cfTq50BfoSP0h1R8y/SFfX2GRJ877dMi0QC3Y8X06ZHOBahB5n06e1Pfp5NZWmPfoVgM1YRdrSA2zM3BgHNExgMJui/t0lO1XJ8J+nw6ZQiIpwM+RHtnd2rCGwUO6wcCwCF6IA5xRqZ1RqZ1RqZ1RqZ1RCXRGIzopMLx2eJ8O2VRglEXcp1M7ofuOt/eEbjEm8pIeo3qzw+2ASjIC8306tfPZTID9Ph0yATDcYu/TUc9ObVTD2DOasZW18UTOz8U4CNNUBlE0z4M8nBVBGMpQpnkeFXIdj61bS469Ner2ku0+nXUXJjAmlM9/ypIRpKlEXPMD3KEypCwfV2tgnbp8ufriqk/ILxe/WHxWpSf1olb92TiT+6wDIOEDAN++MWEcsGIgNui7WC4zknjOUDKSeMxQMlJgsyOQ2YjCfmY7q8GI4i1BmUSyL6UJ8C4vIMKdd7G4rJeYm0a+uaMzMys4wv+B10XwWR3xwmFfQQhcW4KyfUZLPujbe1pD2u6mySV2LGB8/tUmIwjCPUHVpt/TGoxjI+Fjs7UQZcRAOGKMEDUuZd9mJWERoq7TGowsHqUoIwU2DgLmQ/SL3DgfA1YSb0rUfViDkxDh6zuVopv2vrmjXzMrOMIDkqWo+7AGJx32HYTQtWnR9ikt+aBv7z2J0npfTYodCxiffy3KCILwT2AtynFPIucYSPgYbK05GTEQHhehOdsurGEEYpKetnsSOVE8Kk9GCmzUA0xHHveT3FarxIjiTXo6rklk5UM49k6F56Ztbu7og8wKjnCDZOHpuCaRlQ37AkLY2mRn+4SWfNC395pEab2wxtmnxzQWMD7/spMRBOGdaLKzo2sSGYdAwodga9XJiIFwtx2qTkYgFtVpvyaRkcSj6GSkwMY8yGyEyoPbRCcjijfR6bolkZMP4dY7FZ3ZRqM4+qWygiO8IFl0um5J5GTDvoAQtjbR2T6hJR/07e2aKK3HiJ39cUxjAePzLzoZQRDeCSc6/212TeScKgmfqq3FMSMGIiwgxDGoayInFotEtglkRg6PApmRAhufAXPhOD/KCOJNHruaJrICIiJQp/p402IvdzRNZAVHOEKyPnY1TWSFw76AELg2gdw+oyUftN+bc4zpOiV5Cydd3KS78ZtziPY2fcYf8c05xBEQsBG4DTfnEAklihBC93l188tjvQ7Z6219j056c/foBK/d9rL9RTqLf6ou0tGo1SU6N3eFjgxfu0JHhr6v0JH17URdX6HzP77q4g4d0/t1QH6/mvKD8QodooXAM/6I5ZTjCh2ijcDD/dsulYjWNVXYllfoRHFu3mwbkC28uTt0inBPfYj0h1h/SPQHsbm2onDfoUOlBarCru/QoZoL1IXYO3SKyzt0rH0m79GtBqrDLlaTGmZn4MA4omMAJd42d+gUO1cnwnGHDpVCIinAz5Ee2d3asIbBQ7rBwLgIXpIDnFGpnVGpnVGpnVGpnVEJdEYjOikwvnZ5hw7VVGCYxdyhU1zeoWN9e0/oFmNCL+kxqrc93A6oJCNw36FT7FydAMcdOlQCYLhF36FT7NZGNYw9oxl7a7Orqe0OncLZj+86JpTPe3aVEwSxtw3dq/q3nF3lnCoJnyr4lpMJ44AVA5FUQKzsQdlVTiyf2VVODn/ZVU6KprZxUHSwtcBJcivSq6yAiBDUxYJ4sywuNj19C0eTZlZwhCcEr+XgszrihcO+gRC4lvQqYEZLPuhVY7zx7HwyT8fBeBLpWsV4EozFJA1SISfp5Lwookw88K+QjdveSiFH2LGA8flXyIwgCPeEU8ivn7VuHnnRn5Ph+ryL+4w1J7uEs28tORkxEI4WITlbTrtwArGITetpF04Sj3KTkQIb7CCzkRb99b0g1/UmI4o3vZmKvjQWCd3l5UP4807l5qZrb+FoxMwKjvCCZLlpndQRLxv2BYSwtanN9gkt+aArtXk+nabn2WQa5Nl0GohCadSJGE+D83Qcx+PJJM+ztX/1qjYT01gotRljxwLG519tMoIgvBNdbbpu9lGSE3KzD+cYSPgYbK06GTEQ/rZD1ckIxKI6Q/OZhUNWEo+qk5ECG/QAsxGFse0MCSeJN9EpVXwyhqe7vHwIt96p6Ny06i0czZdZwRFOkCw6rZM64mXDvn8QtjbR2T6hJR/07b3aPLXd61Mk2LGA8fkXnYwgCO8EFp0+rzbnHBsJH5utxSgjBsIPI8So7WpzThImFWq92pyTxaMOZaTAxkHAfKT91Ha1OSeJNx3qvNqclRDh6ztVoslGuDiaubKCIzwgWYk6rzZnpcO+gxC6Ni3aPqUlH3SlRWUsJ2ORyyAR0SwQkzQLxlmYB4WQYTKRYXo+nz7wr0WlaSyUFhXYsYDx+deijCAI/wTVooamjtV5zyrl/nKVcF/Xgy5+ufhi8XnwZ2/rms/PFn9YfLr6vO7z6BKgjAMi4QMCF6AMh3IXT0xjc8A6NgifjlG1RuXxNisJi6q1do7kJPGoaRkpsPEUMht53DfesTBgJfGmaaNQ9KXl/kpWQETI6FTSbtoMFo7GkazgCPdHlrT2WR3xwmHfQAhcm6Jtn9GSD9rv/TzGKVUaVTrpkibdTd/PQ7W36TP+eO/noY6AgI3ALbifh0ooUYQQum7v55GLR55u6Ll+k0ye7eEv6HlcXSqjWKqbYCprVjfVaKrV+sC+xKq+3FhNbFZbi9/GLXf6PK2/ePNWNu/6uTDeQfRUW9Vb/N9qgn+zx3opUSZfu5Qokzd2KRHooqGE754hqp8A3qfQxQqSaCHwHgT4ytBxzxDVRuAFCNuu+YjWNdXktvcM5dJ8w+GAbOEN3jOU6ouFMv0h1x+KvSMZhuurPQrpvGeITAtUtx3fM0Q2F6hvkfcMFbK+Z6iw9ge9R7caqHK7WBVrmJ2BA+OIjgGUqlvcM6RsvzoR9nuGyBQSSQF+jvTI7taGNQwe0g0GxkXw1gLAGZXaGZXaGZXaGZXaGZVAZzSikwLja4f3DJFNBYZZxD1DtRO673h7T+gWY0Iv6TGqt2/cDqgkIzDfM1Q7n80E2O8ZIhMAwy32niH17NRGNYw9oxl7a9O6mfWeoRSHCeXzn9ZlBEHs0UP33DykdRkHRMIHBL5BZcI4YMVApCC6WD8zknjOwDKSeMzAMlJg8z+A2RBh3k9sZYWMKLcjBcsJiHDvXSw26yXnps1x4ehbzQqO8H/gdRJ8Vke8cNhXEALXloJtn9GSD/r2HnDJrHf4uPspGsYCxudffTKCINwTVH36PeDCODYSPjZbC1FGDIQjxgjRxETyNisJixB1HXBhZPEoRRkpsHEQMB9FP5XG/YQBK4k3Jeo+4MJJiPD1nUrRTfPjwtHNmhUc4QHJUtR9wIWTDvsOQujatGj7lJZ80JUWnY3DZD6bngcTMVPfG0olWYssCfKxPD8Px2EWztYD41WLGqOi0qI5dixgfP61KCMIwj+BtSjqhp9Mwm74YRwDCR+DrTUnIwbC4yI0Z9sNP4xATNIzT00oh6woHpUnIwU26gGmI5JKe0bGGRmwsnjTnmnSz4wR6i4vH8Kzd6o8N12FC0efaFZwhB8kK0/rpI542bBvIIStTXe2T2jJB13pzrks5DifzdUXtUaNpkUwnodRUMyzbBxnczGPZg/8605hGgulOwvsWMD4/OtORhCEd6LpztU+ZvMm897q00p0ri4zX/fdEeamBPusQyDhQ7C17GTEQLjbDmUnIxCL7LRfZ85I4lF1MlJgYx5gNpK86Gc20cmI4k10FrIf2jLvnHwIt96p6Cw2GsXRWJYVHOEFyaLTOqkjXjbsCwhhaxOd7RNa8kHf3vaSmeU2Hxm6GwkZxgLG51t0soIgvBNOdP6bbC/JOlUSPlVbimNWDERYQIhjSHtJViwWiWwWyKwc3gQyKwU2PkPmwnqilJXEmz52tJfkBUSEoA4FsmJa6an1b0zgR7zgCE9IFsiO9pK8cNg3EALnVsiQGS35oP3eDpSb6JTmdbczEk26G74diGxv02f80d4ORB4BARuBm78diEwoUYQQuo5vB7qxu4GyP6qbgf7nxTodXqzTf/Dg+6bX7ID8mjVVCNvlOmQLgYf/Ecsq6+U6ZBuBp/63XTIRrWuKsS0v14lFHlpuSiWbeGO368gw1tfpJPqD0B+k/pCuLrRQOK7bdei0QHXY7e06dHOB+hB3u44yZ3O7znqcTVbfo1sNVIldrCo1zM7AgXFExwBKPfrtOtr2qxNhvV2HTiGRFODnSI/sbm1Yw+Ah3WBgYAQvzQHOqNTOqNTOqNTOqNTOqAQ6oxGdFBhgu7tdh24qMM7Cb9e5dEL3HW/vCd1iTOwlPUb19ofbAZVkBN7bdS6dz2YCrLfr0AmA4RZ5u45+dmqjGsae0Yy9tWnW3HK7jvJYOEwon/80KyMIYo8bumf1bzrNyjhVEj5V8K0nE8YBKwYiuYBY2sPSrIxYXtOsjBwe06yMFNgkD2AunHsLjCi3I8/KCYiIQV2siOt1cbzJytlbXPOCI1wheDEHn9URLxz2FYTAteVZ22e05IO+vceuc8sVQGo9jx0LGJ9/icwIgnBPOInc7bFr1jGQ8DHYWnsyYiAcLkJ7us+/sAKxqE7rsWtWFI/Ck5ECG/UA0xFHSdIXodGFD1hhvElP+7lrXj6Ea+9UeSYbnWJvac0LjnCEZOVpP3fNy4Z9BSFsbcKzfUJLPujbe+46t9z3I0OBHQsYn3/hyQiC8E404dnJuWvWIZDwIdhadzJiINxth7qTEYhFd9rOXbOSeJSdjBTYmAeYDRmHRV/YNjwZWbypTvvBa14+hF/vVHWKjUixd53mBUe4QbLqtB+85mXDvoEQtjbV2T6hJR/07b3xPLfc9iNDiR0LGJ9/1ckIgvBOYNXp8cZz1rGR8LHZWo4yYiD8MEKOWm48ZyVh0aH2G89ZWTwqUUYKbBwEzEcU5/2isB1xZmTxpkRdd57zEiK8fadaVG6ki73rKy84wgeStajrznNeOuxbCKFrU6PtU1ryQd/e7o+59RqgFDsWMD7/apQRBOGfoGqUvfsj64BI+IBsLUEZMRDuFyNBjbLtbVYSFglq6/7ISuJRgDJSYEMfYDakkFlfChPLgJXFmwB1tH/kBUT49071Z7oRK/b2j7zgCAdI1p+O9o+8cNh3EALXJj/bZ7Tkg1b/+8v/s/rfXq1ZrBrzh/Ppu9995/uGwUBJTFtNp7OtUHTtHiHbTTt2KzGKMTVXANwhm9l8tByDCdSDv1PCT9978Xx9dujh+jqNT/SNIEoMXvSqsswv9T0ay4/2qvtBrhwoelV9TR83erK6pWN1hYeJW2nD7M0BGf6au7TTb+ct1xcQ5DbPSLVf4O2Hn9vURh/bjD6mGy3xRsOPaiqbhzabh3Sb4a8J3QGvD4abbS/Jtl871dtiO+4BObUZfEo3GO7gked4lb1nNnvPaPZWT8cDPwHKejLX2YEkuhaG2UOU2dA7ZEPhbx8pSPWqe6L+pari+mj5YXX5WXVr1fp2psUzE46KPbmOPUQm37GnsMUeqv0+Yo/Z6GO60RJvNMq9DG02D+k2w5/+rWOP2faSbDt77DEbfEo3GO67SbHHbO8Zzd7X9i89xB5r9CmcpkvrUIMtRUcfc4rgDtlU+BtIjD9fLD5d/NxkswoyhQ4yRMM9B5ko3DuSRb53lEaF+iBi9SG3bgdRmTwEHgVyrEGONcixBjm2gRzTQSQeBOVvhppjqDmGmmOoOYY2jiGdA/56bBugFE+peUrNU2qe0sZTknm4g5aCONUQpxriVEOc2iBO6RDwQEAJZIrhTDOcaYYzzXBmYzijMfhdWNnDW+S8RzxKrRMAtpUQ3mwLLKqx8DcYGuA+r/b8PjKZua/MVDGNaqvvmBapmBbrW0NFaolkZBIfkSxSkUyZf2wz/5huvsSbj3IzQ239UFs/tFk/pFsPf+a3jlqRilqxvuvRQlGSKdhjVaRilTL91Gb6Kd10uDcnRahIRShl+ZnN8jOa5f7jkjUyOe8djDLrwIOtJUUma2wimgt/TzGx6Ul11399x11vfWG8+uPqt0961bFOfTf7T6u6+YvV579Zvrf8qCqev+iZOFVwi3RwI8L6Dm76SuxI34Yd2fYHySQ+gptal2nzj23mH9PNl3jzUR5qqK0fauuHNuuHdOvhL83WwU1fZBzpO4wtFCWZgj24qZWXNv3UZvop3XR4SCAFN7Xe0paf2Sw/o1muTU9XlmtH9BeuINdFn6PXSntNFCrGxU6Kwjr+MGOJAa5vLcOg2tt0+1v2OfpD1ZxEd2Z5VtVfPNa9jXTVxdfrXcen1dWwz5cfV7Htq1Xro9f7Ga1asawui101w1kFyKe6Y866N8vLKnrqBimbtkhRb9OgxjQ8++ThacaSTpogmUz8M7KJEmUiwLzqcomnVXXMy6vz1Qten5pH9qnR5/+iuDrdp3TLn5iAD8jAKQy4g3JjqoXA6+7hZcSOfjJUG4H33G9ZIEy1rikjtu0nE9s6a1INvLluMlGybtYQxc7OMWQyYLzFd44RobVvDNlYYLxF9o2J4rpvTGS9gvQe3Wpg1N1upbWpkY7inYED44iOAYyOhGXWpnWDsv3qRNj7xpApJJIC/Bzpkd2tDbu+xqIaDAyA4HJzgNspgW5nRKcCBk1cjxhpO7d5n24oMHIiOsTU7ua+4z09oVuMiaakB2ZTvN/iakoyAnOHmNrNbCbA3iGGTAAMq8hVuX52aqOur8UpxlbrnlkS57N8FkyLogjEZJwG43CcBMVUzmbjdDY5z9cxzLpM/964mxO4V07hmjDVYj3BYUL5TAt6BxZmUW8CucMK0tQcrvkBrvY/B64Fq5uxIxmuloMm9H1WdAlHhy+TTRgHrBjNuO/A6GLxy0jCctbW4h4OWUn8nbXlpGgKBAcFeMktLLePD1hJvJ20FWk/M/Ld5eVDuPEulo/1InJzM3LkuOqaFRzh/cArH/CkjnjZsO8fhM05oSPIhJZ80NU5273LzSatsjwmfYwhT+lI4cKNoyaup6RPZDH4DtngphPhyProT32y+JdVDqeqM19nax6p73yhhOJ79SHb1YWBy4eLC/XD31SJHV0j0Yuj6nIW3WrwVU+4LgukDoSADUQn+R2iiRJlIsC8dRmKHvrne71IC3blAVa/JKtfxOoXqX/p60scny6+fbMXBdpXmK8PPyDzAXezulC0RAuBO1MYpWpP5xBtBG5KbatBidZhNqAA45dled7PTSYOyCbeYEJH6jKoVH/I9Id8s9Eq3PkdKigwtOLzO3ma2xM8VGuBsRWb4BGXCR7rpcv36FYDA2wXCl3D7AwcGEd0DIHEIOy8ip2rE+FI8FApJJIC/Bzpkd2tDWsYPKQbDAyJ4GUOwA2V2g2V2g2V2g2VQDc0okMCoyou3xPFSdyXxiXcfbqpwOCKyfiIy4yP9cU9oVuMCbikJ6he</t>
  </si>
  <si>
    <t>Rrp9T0lG4M74iJ2rE+DI+FAJgIEWnfERu7VRDWPPaMZWArKYxWko4kAKOQ/EeTwNiiwMgyiMi3FxLsNYtp0+cOxaUNfp1oyPxGFC+UyreQcWZkVvArnDCoLYKoSu9P9JX96vFuqP9AmG5Xubxbz64/IDfUCht/gHtbC8qMo9Xy1/ojND6+SP/iiCyOia91mHQcKHAb6INmEcsGIg9j/ha+XlT5fvm1DeZkVhSf8Y14OHrBwekz+MFNjNZ8BcpHEShebuLQNWFm/pH6UyLdf8s+IhXHoXa8t6hbm5Ez5yXPPPCo7wfuBlEXROR7xo2PcPgtaW/Gmfz5IPelVhFJ1nYTYpgiyaZ4GIwijI0/M4yMbncTFL5bk8nz/wrzdtmaEUOxYwPv96kxEE4ZygevMzXUa06jj1TZUwelHJylXCqDpS9GLx7fJHiwt9x2tdapTvRGFYJYvUH+LQmjRiHAsJH4utRScjBsLtwkVnW8NTTiAW6WmrO2Lk8Cg9GSmwoQ8wF6kUNt3JCOJNd2pZbROenHwI396p8NzcBh857vdnBUd4QLLwtE7qiJcN+/pB2NqUZ/uElnzQlfIcR5FQXqII0mgqAyHyLJjIaRacT7JZOItymabrgfGqPBPTWCjl6bwc2jQWMD7/ypMRBOGdoMrzi+oi5ofLj3vLH1cycyVEXy5eBUq/6K/8pKpdWlUuLT9YfljLz8VvIvNCcp91ECR8ELaWnIwYCIeLkJzfLL4yobzNisIjNs2VL4esJB7lJiMFNt5BZkOEUdHPbZKTEcab5Ez7a4zripMTD+HTO1Wc2UagZA7FyQmOcIBkxWmb0xEvGvYFhKC1Cc72+Sz5oCvBOVWCNk+iLJCTeRyIeTEOiiyXQXQeFjKbjuPxZD3nXgWn0Wcpwem8Ed40FjA+/4KTEQThnOCCc1X9/qi3/M+L51pHLh8uHq+y52GodzR3jDO2zwoq4aBbi0pGDIRPRYhKa6E5IwmTprRtYTKSeNSUjBTYkAaYDRU8sn5qq29nZPEmKaMw6hdGb3aXFxDhtzsVlflGhOQOUckJjnCAZFFpn9URLxz2HYTAtcnK9hkt+aDr45NrQaXlosfjk7atysKJC+5Y2vXxSUsV6R2ywU0vwnB8Uu8s6us01B9eXvaGW98T/dppynWP07/rrw5JRs5DkkRcAcPt5JAk0USJMhFgHvmQpFCfUT+Q9N5Y/LaavtWtp+8tP1j+/fLvVnULumD2oa6i7QW9vJowowM5IA9H09sznqkkWgg8/YGRsPYzlUQbgcc+thWnROuaQW/LM5UyT/rGLaEB2cKbO1IZ635gcdVAJd4cYyrcpympjMBIiz9NKWVmP01JtRYYarGnKYvL05SF4zQl1WpgvO1CsWuYnYED44iOAYyj25ymLHauToTjNCWVQiIpwM+RHtnd2rCGwUO6wcBgCF72ADxQqT1QqT1QCfRAIzofMJTiDlJmRWhZy92nWwoMqJhzlMXlOUrrK3tCtxgTZEnPTr2edHudkozAfY6y2Lk6AY5zlFQCYIhFn6MsdmujGsae0YytFkugSiTNY12sO7YvqAt22znK2NmJ6jomlM+0rHdgYZb2JpA7rCCITUPokp+1rp1zLCR8LOCLbRPGASsGYjsUsUhuqWvnBOJJC5k4Dlk5/CWFOCmassFBAV2fF2k/NeqxASuJx5SQtbCdlQ/h3LtYX25WmWp9sMofrH5jAj/iBUe4QPDSCDypI1427PsHYWtJCAEmtOSDrqTnZDKdj8+TIpBCTAOR5efBOA2l+qlJPosm41ki12+zV+lp3DlW0jPCjgWMz7/0ZARBeCeo9PylzkVU4nPTglT/cZWqUF96qDMeut3X8iN9Dedni58tvlj8fvHrxW/Uf7/9q/Udnn9Y/Hbx6eJ36uPv9ff8d/WHL3r31DK2t/iZaZT2WUdJwkdpa1HKiIHwyAhRaq1850RhkaNhP5bSxHLIyuJRkjJSYEMiYD4ikfdz22lLThZvolRfM2oTpZx8CLffqSiNNhomcohSTnCECySLUuukjnjZsG8ghK1NlLZPaMkHvWpZP43jvJifB2mWJoEYxyLIk1kRzIRMsywKZ2G6nnSvotRSwhTH2LGA8fkXpYwgCO8EFaW/vax2Wl3/XlU7XapN3Yj2R+q/H1+9N36lUb/V9VKfK3n6aVBp1Z+pv+5X6uM/Ln5vGpx91sGR8MHZWosyYiAccSdalBGFRYtG5oayh6wkHpUoIwU2DgJmo0iSwrzPMGBF8SZEi35oOYPJiofw9J3q0HgjWxxda1nBEe6PrENtczriRcO+fhC0NhnaPp8lH3RVLP+aALPqzB/Op+9+953vGwaCJDNt+56Jk1M0OW1V8nZrMerxslDeaO4dsrnNx8wxuECN+EulD59U6u/p4uuq6v2TSg9+sqer4C+UDHyuL+f4evF4+UHVRej6t31Qf+NFteV5YWJW+jB5c0AGv+Y07eTb+cx1qavQVa66e0icqw+JrnxNYv1BfyHRX0j0F4T+gtBfEMLmUanEAk8MrzTSmMca81hjHmvMY415rDGPNeaxxjzWmMca81hjHtswj+mYEo8JL0dSlENNOdSUQ0051JRDTTnUlENNOdSUQ0051JRDG+WQTgl/cenhYV0jKXR5pO44oWhLTVtq2lLTlpq21LSlpi01bWmjLcm016rjWmhxj+2pRjzViKca8VQjnmrEU414qhFPNeKpRjzViKc2xFM6IjzMISvoFOGZJjzThGea8EwTnmnCM014pgnPNOGZJjzThGc2wjMaYfXMPqjjubdTcNbWBLFwUqTWeYIZSwzufcsR7ztke5thjuMQ3KvFl/qwlI7jVXVctTX0lVkHLJ72lg97i2+rr3xThfin632ip7qerrf8qf5L9fk5UwfC6q9+vi7Lq/6g/vaqi6H63Derk3frE3jf6JK89dbU416kGxfqTz8zje8+eXybQZXx1B3VRIkyEWDe1VN3yfpk3RfVHLxcfvTaKTv1W6se7C0+rYomP1j+KFj80+Kzxf+9+C+L/2+1Kfhr9TvjpuABeRCaS0W+s3ZUC4EHBDCbX9azdlQbgUcDtt3WIlqHOQYAGb80tzVHoFp4g2ft5Pp8S+zuV0gmA0Zx/Am7KI2tJ+zI1gLDOPKEXXzZrzB29CskWw0M5tstWOvtPd0zzI5xRMcQSAy4nN+cd4kv+xXGLf0KyRQSSQF+jvTI7taGXV8yUg0GhkDwTinA75RAvzOiUwHDJu5cXZyE/dA4/vfplgKDJ+JcXXzZn9D+op7QLcYEVNITU289u31NSUZgPlcXX/YndPuZUzoBMLAidwX0s1MbdX2NTzFWWztN5fkkFWkwySZJIM6LJJhMw2kwzceTWXQ+no3Hbfv73xt3W0diXVS/pZwTDhPKZ9oocGBhNgtMIHdYQRDZRegugmVNqH73cnO4bnX5yvu6keHi0brC5PStwZ8PT3oH994qTwf7vSQM18v73y8ulh9WuwMvqx/Qf+PHppHaZx0pCR8p+GLbhHHAioHIqiKWy/aiEkYUnqISE8chK4fHkhJGCmxOGzIXjjU6I4m/ipIi6+fGjaa7vIAIr9/FcrNedG5a3sWOFoas4AjvB14pwWd1xAuHfQMhcG1VJe0zWvJB66qSvZUY85hzMk6tkpupkzJrUnrLORntvUO2F7hNBVWLf7Q5p3idc1p+YhrfffL4Ctj4dpJzIpooUSZCzHvwffJlj+leL9vr5epnor4J84CMCdxSQ8hka1aJaCFwewyhfh1ZJaKNwI2xbZUt0TrMJhhg/KQozEXpA7KFN5hVyja7u6k7q0QlA8ZpfFYpiYU9q0S1FhiosVml9DKrZG3Hd49uNTBcdyHzNczOwIFxRMcARsVtskrpztWJcGSVqBQSSQF+jvTI7taGNQwe0g0GhkDwWgngd0qg3xnRqYBhE5dVEmnYD40NI+7TLQUGT0xWKb3MKllf1BO6xZiASnpi6qWn29eUZATurFK6c3UCHFklKgEwsKKzSulubVTD2DOasdWC5zwMz7PpPMinhQxEOI2CPJuKIA5Fmsp5nk4nsxWPdYHv2OmgLvKtWSV3m7JrmFA+01aAAwuzHWACucMKgthfhO4T/Ob1lFFv8aVaxr+//EAt51cppTcuS0C/s1qix/YmDJzoEo6OWB8bMA5YMZqB34GBWP/a00SMKCxpImG+veCQlcRjooiRArtNDZiNOEmTfmzp1sXJ4i9VlPVzaeK7y8uH8ORdLCHrheSmY2js6ADLCo5wgODVD3hSR7xs2DcQwuac0BFkQks+6E2vrrXA8nxIyRgplJJ0dyYrmrSeEkbWTl1Ue4E7UFAhaEkYrTI/F+B0UZVt+Grxqr6Dsc79XNGWr/T3rLJLjxbP1Kf0beCIg0fEMROwMeskCUQ0UaJMBJhHzgBlQZSoH5C9N/TMfq1+/nH1N71avKh6uG2yeS+XH6z+rGvLqo5ftoQRcUiAu2UIwWxNGBEtBO58wXWwK2FEtBG457WtwiVah9nfgoyfSEJrjRPRxBvMGBWbndvcnTGikgEDNT5jJPPQnjGiWguM1NiMUX6ZMbI2Pr1HtxoYr7uQ+xpmZ+DAOKJjAEPoNhmjfOfqRDgyRlQKiaQAP0d6ZHdrwxoGD+kGA2MgeM0E8Dsl0O+M6FTAuInLGOVx0k+NPuc+3VJg9MRkjPLLjJH1RT2hW4yJqKQnpl6Dun1NSUbgzhjlO1cnwJExohIAAys6Y5Tv1kY1jD2jGVtZG0+m43g+DbJiPA1EEYfBpDgPgyyS4eR8OhdZsQ691hW+Y8uDusq3ZowKHCaUz7QX4MDC7AeYQO6wgiD2GaEbBda7Kf6qebBo+Z/VGr5KL/UWP9dVosuP9Tpfd1VQi/7l+6bh2GcdDgkfDvgC24RxwIqB2ETtYlHMSMKSRLIcXTxkJfGYRGKkwG5hQ2ZDZknf2kqBkcVbEimWUT+TJsC7vIAI797FsrJeXBabpIOjlTQrOMIBgldE8Fkd8cJh30EIXFsaqX1GSz7omzlvZPRIb8kkdFEmYZPSW/rIGJ3vkO0FbkdBVeGtSh+1nSGijpmAjVkX6SOqiRJlIsA8evrIkgWikgF3wDoQvFQLgbtZGCFrzQJRbQTuY20pUanWYfasAOMXx2FfmiwckC28uSRQEq03Y5PQmQQikwHDLT4JlKe5NQlEthYYb5FJoCSsk0CJtdnpPbrVwKjbhVrXMDsDB8YRHQMYCLdIAinbr06EPQlEppBICvBzpEd2tzasYfCQbjAwBIKXPAC/UwL9zohOBQybuCRQFCdxXxrPVNynmwqMnogsUO1w7jve1BO6xZiISnpkNkvIFmdTkhGYs0C1o9lMgD0LRCYARlZsFkg9O7VRDWPPaMZWi5zpeJYleRTMkyIKxGwWB8X5NAqm42kSp9NI5MXaD1kX6o4dC+pi3ZYFSpwdHq9jQvlMS3oHFmZZbwK5wwqC2CeErvf/Ua3EdYHmqlPhxeruuferdfjTqs32Rz17Osg0AvusIyDhIwBfGpswDlgxEPueXayDGUlYEj+WGutDVhJ/iR9OCuymM2A2RJr0Q2lCGbCieMv76OswpDH83uUFRPjzLlaS9Xpy03I5cfTQZgVH+D/wIgg+qyNeOOwrCIFryfsAZrTkg94cH5IPahXpMf9j9ExKUMZO2rhJ6yn/I23Hh6j2AneioHrwD832g+s+14vqhrhvVgkaJRK/1lkcfYTERLNPphEwmk4yM0QTJcpEgHn0zEzvjTRzntShMgI3qDDaNDFZ+DbZQuBmE1xzunI0RBuBu0zbqkmidZgdJcj4iX6WmSwckC28wRxNstkrjd05GioZMCTiczRxJDN7koZqLjAoYpM08WWSxtp1+R7damBo7EJaa5idgQPjiI4BjInbJGninasT4UjSUCkkkgL8HOmR3a0Naxg8pBsMjIHg9QnA8ZRAxzOiUwHjJi5Jk4Rp3C+EydT7dFOB4ROTpIkvkzTWN/WEbjEmpJIemXq953Y2JRmBO0kT71ydAEeShkoADK3oJE28WxvVMPaMZuwqRkUiledREGeiCEQcjoPJODkPJsU4mkRRfp5n69hrXU07theoK2prkibBYUL5TOtuBxZm7W0CucMKgtjUgy7KP7267F4f0Fn+aPleLwqD2Kj29lkhJRwSvhA2YRywYiD2IbtY6zKSsORh1JrY6PAOWVE8JmIYKbC7wJDpkP0wlSaUASuKt0RMLKXtmom7vIQIp93FcrFeNCabffvEsXDkBEd4QPBKBzGtI1467EsIoWtLxbRPackHrf635xKL3aZeUhOdkonCRZfLJt2Np16I9gL3l6Aqr6vUC5FGwGg6Sb0QTZQoEwHmkVMvUdJ7I5Lua9KolMCNpy4EKdFC4CYSSmhaky9EG4G7R9sqSKJ1mJ0iwPilfWnLvRANvMHcy6ZpeuJqmn6XTgaMiV3nXqjmAqMiNvciLnMv1tbj9+hWA2NjF2Jaw+wMHBhHdAyBxCBsiYqdqxPhyL1QKSSSAvwc6ZHdrQ1rGDykGwwMgeAVCcDxlEDHM6JTAcNml7kXqqnA6InJvYjL3Iv1TT2hW4yJqKRHpl7guZ1NSUbgzr2InasT4Mi9UAmAoRWdexG7tVENY89oxt7a3Etqzb1IHCaUz3/uhREEsY0HXZUTcy+MkBIOCV8JmzAOWDEQO49dLHUZSXznXhhRPOZeGCmw276A6Uj7WWj0zANWkluSeuEkRPjsLlaL9ZpRbvbppWPdyAmOcIDghQ5iWke8dNh3EELXlnppn9KSD9pv6sW43adUYuqkS5t0N556IdoL3F6CiryuUi9EGgGj6ST1QjRRokwEmEdOveR7vUL9QKT+i1dtbaKkCCLRkowhcgN3orpQqEQLgbtKKOVpTcYQbQRuJ20rKYnWYbaOIOMni740avcB2cQbTMdsuo0nrm7jd+lkwDjZdTqGai4wUmLTMellOsbas/se3WpgvOxCYGuYnYED44iOAQyU26Rj0p2rE+FIx1ApJJIC/Bzpkd2tDWsYPKQbDAyC4FUKwPGUQMczolMBA2eX6RiqqcD4iUnHpJfpGOubekK3GBNTSY9MvehzO5uSjMCdjkl3rk6AIx1DJQCGVnQ6Jt2tjWoYe0Yz9tamYzJrOsbZi/c6JpTPfzqGEQSxtQddqRPTMYyQEg4JXx2bMA5YMZox3oHRxWKXkcR3OoYRxWM6hpECuxUMmQ6lsjJbPoYR5ZbkYzgJEU67i+VivWjMNpv3mWPhyAmO8IDglQ5iWke8dNiXEELnnNIRZEpLPmi/+RhjD0clE509HPOsSXfj+RiivcD9JajK6yofQ6QRMJpO8jFEEyXKRIB55HxMFPbeiOKW7AuRErjx1IUgJVoI3ERCCU1r9oVoI3D3aFsFSbQOs1MEGD+HLiQaeIO5l03f7sTVt/sunQwYE7vOvVDNBUZFbO4lv8y9WLtf36NbDYyNXYhpDbMzcGAc0TGAQXGb3Eu+c3UiHLkXKoVEUoCfIz2yu7VhDYOHdIOBIRC8IgE4nhLoeEZ0KmDY7DL3QjUVGD0xuZf8MvdifVNP6BZjIirpkakXeG5nU5IRuHMv+c7VCXDkXqgEwNCKzr3ku7VRDWPPaMbe2txLbs29FDhMKJ//3AsjCGIbD7oqJ+ZeGCElHBK+EjZhHLBiIHYeu1jqMpL4zr0wonjMvTBSYLd9AdOhVtipUWQNWEluSeqFkxDhs7tYLdZrxk3X+MTaNf6IFxzhAMELHcS0jnjpsO8ghK4t9dI+pSUftN/US2Gie0uK0EmXN+luOvVCtRe4vQQVeR2lXqg0AkbTReqFaqJEmQgwj5x6EeozvTei0J18oXICd546UKRUC4G7SCilaUu+UG0Ebh9tKSGp1mG2igDjJ5N+YXTHA7KFN5d9EZuG2cLVMPsunQwYFjvOvpDNBQZGZPZFhHX2RVi7Tt+jWw0Mj13oaQ2zM3BgHNExgHFxi+yLCHeuToQ9+0KmkEgK8HOkR3a3Nqxh8JBuMDAGghclAMdTAh3PiE4FjJsdZl/IpgLDJyL7Ujuc+4439YRuMSakkh6ZzRqvxdmUZATm7EvtaDYTYM++kAmAoRWbfVHPTm1Uw9gzmrG3NvtS2LIvIsJhQvm8Z184QRA7edCFOS37wgkp4ZDwxbAJ44AVA7H52MVal5HEc/aFE8Vf9oWTArvzC5gOKfuh5a5vTpLbkX1hJUT47C5Wi/WacdO7XVh7tx/xgiMcIHihg5jWES8d9h2E0LVkXwBTWvJB+82+RMY5VTIxduIVTbwbT78Q7QXuL0FVXlfpFyKNgNF0kn4hmihRJgLMI6dfor14L9lLe2/kRVC05GCIsMD9py50KdFC4F4SSm9aczBEG4GbSNsKSaJ1mA0jwPjJOOxnqcnEAdnEG0zCbBpiC1dD7Lt0MmB07DoJQzUXGB6xSZj4Mglj7Sp9j241MEh2Ias1zM7AgXFExwBGx22SMPHO1YlwJGGoFBJJAX6O9Mju1oY1DB7SDQYGQfDaBOB4SqDjGdGpgIGzyyQM1VRg/MQkYeLLJIz1TT2hW4yJqaRHpl7quZ1NSUbgTsLEO1cnwJGEoRIAQys6CRPv1kY1jD2jGXtrkzBRaM3CJDhOKKD/LAwjCGJHD7o+J2ZhGCElHBK+JjZhHLBiIDYhu1jtMpL4zsIwonjMwjBSYHeAAdMhE+WgM2liGbCy3JI8DCchwmt3sWCsl42bxu3C2rj9iBcc4QLBax3EtI546bBvIYSuLQ/TPqUlH7T631++Ftm0WvwLl3zsOC9jE47ChZuIJq6nvIyl7+Edsr3ALSeo7vtcqT6dhnm6eLz4ZvGot/zx4kKJwIvFy+X76r+PFi/0/n+VqFn+RH2HPTND5BEwnk4yM0QTJcpEonkHZPOA20hdqEuihcAtIZRqtOZSiDYC94K2lYNE6zD7PoDxy2TeT4y6e0A28QZzKZsG18LV4PounQwY0fC5lCKS9lQK1VpgRMOmUsRlKsXaJPoe3WpgXOtCGWuYnYED44iOIZAYhB1OsXN1IhypFCqFRFKAnyM9sru1YQ2Dh3SDgTEQvLwA+J0S6HdGdCpg3MSlUqK4KPqJ0encp5sKDJ+YVIq4TKVY39QTusWYkEp6ZOrVmtvZlGQE7lSK2Lk6AY5UCpUAGFnRqRSxWxvVMPaMZmy1VBmHRZGGUVCMZzIQ0zgM8nk6CebnyUzG4yhKJ7MVj3Ut7NgcIK+HrakUieOEAppWzQ4uzMrZBHKHFQSxKQdeUqul8ntq9fx88WjxcvHk9RX1X+l4sfiNNGu+fVZSCSfdeiXLiIHYTESseL9ZfGVCeZsVhSWhEsfSRHLISuIxn8JIgd3JBcxGlIVpbFtoM6J4S6dkfWnLpXDiIdx2FyvGet246cQurJ3Yj3jBEe4PvNiBzumIFw37+kHQ2hIp7fNZ8kFXiZTXRIhVNf5wPn33u+983zAQJNFo3N1VejF1csompy2DYrcWIwUvkyhGc++QzW0+Zo7BBQq+PywfLt+v8ijP9O8WjxevVqdbvlE68CP1iafLT1477mLCUdIvfXNAZrrmD+1Q27nD9YZrtnckZaQ/SP0hVx/SRH/Qv8v07zL9u1z/Lte/KxKbs6QSCzwxfAmsMY815rHGPNaYxxrzWGMea8xjjXmsMY815rHGPLZhHtMxJR4Tvk5WlENNOdSUQ0051JRDTTnUlENNOdSUQ0051JRDG+WQTgl/J+mef71nl+2VmrbUtKWmLTVtqWlLTVtq2lLTlpq2tNGWZNpr2zYttLjH9lQjnmrEU414qhFPNeKpRjzViKca8VQjnmrEUxviKR0RHsGQWzuK8EwTnmnCM014pgnPNOGZJjzThGea8EwTnmnCMxvhGY3wtajntfohsW71OJvNJfbb/GHGEuO2tttk7x2yvcAkEUfgftRbPF183atKJV5Wn7lYfrB4sXhkItwnEzbDWiflEItfLL5ZPF/+/fIni0ea6Gv1y9/pMt/lB73Fr9RXPzdB/BkZQqIgIADUo6xK1keJ7ewqkQ6Ya0LsPr0w7hC8TbYQmDeCbyq56i2INgITRttuFxGtwySHAOMn4qyf2G43IZp4g/UWWtGLQiv/cJMBzdyVF1RGYDTFV15ImdorL6jWAsMptvIiu6y8sDacvUe3GhhUt1s41jto2c7AgXFExwBGTsJqsE6IZjtXJ8JReUGlkEgK8HOkR3a3Nuz60o1qMDAagjcjAR6o1B6o1B6oBHqgEZ0PGEtxNRhZXvSlMejfp1sKjKiYEozssgTD+sqe0C3GRFnSs1Pv87q9TklG4C7ByHauToCjBINKAAyxyHW6fnZqo66vuinGVo/MOJknsZSBnIzTQBTzLJhMpnkQZ8U8mkRxXozXM2JdkH9v3G0Jhl7u2pblzr511zGhfKaluwMLs3w3gdxhBUGk8qDr+k+ra6ae9dSS8ble70LX7IyUEk4JXxabMA5YMRDpR8T61159wYjCUn0RmrNVh6wkHqsvGCmw6V/AbKi/vh+bD4wNWFm8lV/EseMwKycgwmt3sXCsl4/5JmHvaAXOCo7wgOA1D3xWR7xw2HcQAtdWgtE+oyUfdCUqUzHLsuk8CSZRngcilXGgfnqifmo8iybpeJbL6QP/otK4PlSissCOBYzPv6hkBEG4J6io/OXyPSUeX1a3k67Oym4uSfmgutH0sb5BZflQpyiWH6vPVJmWx1XeQmnPQP3yVH312/V3PVVfeLn6LtPo7LOOjoSPztZilBED4Yo7EaOMKExiVG8nXkc5ZEXxqEYZKbCREDAdqehHYWpCGbCieBOjad4395C5y8uHcPadatFNL1rhaC/MCo5wgGQtap3UES8b9gWEsLVJ0fYJLfmgKymajxOZhiIPJvm5+t5sPg/yWSyCaZaOQxlFoQgnD/xLUeOmxltyXSaOGAsYn3cpygmC8E5QKfqFroTRdUvLn1R3tDzrLX+qfvPB8j37lmfvjc2XXi2+XP5fi4vFNysp21N/3aeLn39nrWZPxz/4d/N33139AfAvVZp2deBNa2D9b36ly6iuG6D+xv9l+eNKJ79ffemZ/kz99/y0ul3m+fKj1T9diFwmuuZK/UXVH4Rp6vZZp07Cp25bncyJgQgTCJ2sy+K+6vfM9wG9zQrEopaN24SHrBz+pDInBTZSA+bCVS/FieJNKsvIum3LyocIRl1KZRmulZV09BBmBUf4QLJUtk7qiJcN+wJC2FqkMmBCSz5on52gEts+rHT2uSrCJt1N19xT7W26jNtbc08lFDBCPzX3VAiJggAAvF5Xf1lQLyzF9FSzgeWDCF1qK6anWggsAEQITXsxPdVGYOnftiKSaB2mzA8yflL5O0tSn2rizRXTy1jX0euDslKsS1ll5CymJzMCw2S3xfRka4FxEllML6O6mF5am1jeo1sNjJZdiGsNszNwYBzRMYAhcYtiemX71YmwF9OTKSSSAvwc6ZHdrQ1rGDykGwyMhuAVCsADldoDldoDlUAPNKLzAWNpd8X0ZEuBERVRTF97nvuOV/aEbjEmypKenXrt5/Y6JRmBuZi+9jibCbAX05MJgCEWW0yvnp3aqIaxZzRjq5Wd+l8WiXEgoiQMRDJNgyJKs2CSZuEkludivnFI1pW2Y6uButq2FdOvX3EwJpTPf7KJEQSxvwddsH92dfENzSPFum3w+rdpIle/6x3N//ad2XfHvSu5JtMw7bMOk4QPE3zBvPil7o5Q5b90j+tVuqy6+VGXfv1YD+Py4eIb9av69OeLXyz+y7Wdjd7bw5M7w1757/9m/oNx7+Bv5/qf7km1Xkx6b8SrTsym0TpgHS3E3mkX63RGEp7EkdljHbKSeEwdMVJgd64hs5FF/ULYtgcYWbzljuwV/6x4iNDSxeq2XuPGm0yDo/MxKzjC/YEXZtA5HfGiYd8/CFpb5qh9Pks+6NtbZBVb80wJdixgfP51LyMIwjlBdW976dO/oSIrxqmT8KmDa3ETxgErBiJKIERyW5EVIxCPVjZxHLJyeFTKjBTYSA2ZC1cejRHFm1B2FVlx8iGCUadKedMVVDoavbKCI3wgWSm7iqw42bAvIIStTSq3T2jJB31771uJrecRBHYsYHz+pTIjCMI7QaUy8b4VTkoJp9xaVTJiIDwqQlVaj7hyorDoSet9K5wkHhUlIwU2oAFmQ6T9vDBOyIAVxZuidF23wgqIcNqdSkqxUSCOXqms4AgHSJaUrutWWOGwryAErk1Tts9oyQdddbx5bVr1Lx5vz7fJRunCTYomrqdK/ijtpyaD75ANbnqRLkr5qyaHmxtR9IUmq9r96gqU9S7ltytBqEvf9f0o613PVYn/U50gX753+c0v9V/zTfWVb/V3Lz80jcE+eQwEbAxwxf4mE/+MbKJEmQgwj3x9vvIRqxv0dcHCa5PYq7aR9f01F9UZh/c21Q7qH1Ff/1BN3Kv1w7HarX7W+5s/jcJQFzCYxuqAPFbN+LD9+YG2LVeiocDSR7j0dR0jINoILHrcVtQSrcMUOALGTwrRlyYLB2QLb/AUQaoPEGSb8l3pPkBAxQNGZ/wBgji07er9Od1aYHjGHiCQlwcIrE0D79GtBsboLlS+htkZODCO6BjAMLvNAQK5c3UiHAcIqBQSSQF+jvTI7taGNQwe0g0GhkPwUgngfErtfEqg8xnR0YABFHd2IM5lXxgLL+7TLQWGUczZAXl5dsD6tp7QLcaEVtJjUy8/3Q6nJCNwnx2QO1cnwHF2gEoAjK7oswNytzaqYewZzdhqGZVOw0mWj4N8lkSBiGUR5DIXwXk+C4vpZJrM08mKx7q2d+x2UNf31rMDKQ4TymfaBXBgYXYCTCB3WEEQe4zQHYLGovHK7kC1YEzl8sNI9u79abx40Vv8qlpKvrq6NdBb/LxaZa6r6R+tCqr0H/f0MvTR4svqyx+v/qD/iarLbmB8FPZZR1DCRxC+eDdhHLBiIPZcO1xXMwKxpJ7sZf+MJB5TT4wU2H1vwGzIIu8X0oQyYEXxlnpyJJ448RBBoYslab0wTTdpitSxOOUERzhB8GoKOqcjXjTs6wdBa0s7tc9nyQddKdYwnU/imUyCtIiF+t4kDvJzOQ+m48k8k7KQYX4TitW4+FSK1d0hyzAWMD7/ipURBOGcoIr1UyVAL6qM1UV1q//FOlv16WVGapXQelTlN55WiZDHqyuevljL1ie9bPlhGi4/FNaExz7ruEj4uGytQxkxEC4YrkOXP12+b0J5mxWFR4GaOA5ZOTzqT0YKbAAEzIUrm8RIchvkJycewsN3Kj+zjVxxdCpmBUf4Pg75yYmGffsgaG3ys30+Sz7ouupp7T21rPRY9SRMuEphOntqiaiJ66vqKbdeYEo0GJhRhSrE3y2+1Cpv+eO66qm60fQD3dqpKoh5tj7sqTckdWnTo9WlINXvXuobQNcVMau6KPXHb6o/6g3Sr6vtzafqW9ef+2nVQeqxaUD2yQMiYAPSSQkU0USJMhFgHrUEKrJeeEokA2Zo4YLWfpEK0UJgohWhUx2VSkQbgSnWbTUo0TpMOhUwfnGW9kVqMnFANvEGS5WKvSOZhvpDpD/Em7qB3F20RAUFBldC0VIS2RTUn9PNBYZXbNVSflm1ZO2zeY9uNTDGdqHRNczOwIFxRMcARsZtqpbynasT4ahaolJIJAX4OdIju1sb1jB4SDcYGBPBCx2AHyq1Hyq1Hyq1HyqBfmhEhwSGVVz9UhLnYT82+qD7dFOB0RVTwJRfFjBZX9wTusWYiEt6guqVpNv3lGQE7gKmfOfqBDgKmKgEwEiLLmDKd2ujGsae0YytFGQo82gyDoPxuVq2i0iEQREWeXA+nsl8GhVyEo5XPNZlumPjgrpUtxYwFThMKJ9pQe/AwizqTSB3WEEQm4XQxf4Xr63sn/bWNUzLh2pd/5Oq3OiF+uyqR8nlWv+p+tpFddPn+kjT60v/1Q1Ni19UmSN9Sv4r/ee/0qGnPExDFZDCk1VX6YdVp+iPqguc/tckDHVKSX2IIkdOiXFwJXxwEavy18Z3+XFv+eNVKddi3T27MbCvGiNZlRQ90YeOLqqsnW4l8+fzH4y/N+4djX/wg/F/+k/f3dtk7l72Fr9Q/9KT3hvVrQQPq12Yp+sLty5WhWXvLX+6eGp0igesQ4vY64VvCzjyXIwoLHkuYeI4ZOXwmOdipMDutAPmIopC2c+NMzJgZfGW6VKEobWPNSshIn51sZCul9ObtsfS0ceaFRzhAMFrQMS0jnjpsG8hhK4t39U+pSUfdKWvJ8UsmUfTKEhDEQVC5POgSPIiKKYyyeaZFBOxfqO96mvjXvlbSnZhxwLG511fc4Ig/BNUX9c3R21yYfUdqFr1Lv5QibQfra7Pr44GPK703/q0+bdaXX+++PXi02DxxeL3i58tfrv4lfr4j4vfm0Znn3V0JHx04ALZhHHAioHwxXAxar9xihOFRYxGZhdyyEriT45yUmADIWA2kiTqZ+bmTwNWFn9yNO1Hxk2hu7x8CGffpRhNN42FU0enaFZwhAOki1HbpI542bBvIIStRYoCJrTkg66kaCzlPJ7MpfriRH3vRMZBLmZKwBaJiOI8mubF2sF6laKJaSyUFI2wYwHj8y9FGUEQ3gkqRf/htdqrR73Ff1W69OtqY1HJ0t7ii4MkqXZpo6Snv1FvRFai1LjJts8KL+HwWytNRgyEo+1EaTKisCjNsB9LE8ohK4pHqclIgQ10gOlICxWzjRMyYEXxpjRF1hfCxHeXlw/hyztVmtFGmDgaKLOCIxwgWWlaJ3XEy4Z9ASFsbUqzfUJLPujVpudkOh+fJ0UghZgGIsvPg3EaykBEk3wWTcazRN7EpqfxAVBKM8aOBYzPv9JkBEF4J6jS/OXyveUH+laUyxMEH1SHTR9XKf+Huka9viFl8dniZ9Xm5q8Xv1H//XbdQWrxh8VvF58ufqc+/l5/z39Xf/iid28ko97iZ6ZR2mcdJQkfpa0lKSMGwiN3IkkZUZgkqVkBHbKieJSkjBTYiAiYDhH1RVqYUAasKN4kaZ7389DEd5eXD+H0O5Wkm96YqaPXKSs4wgGSJal1Uke8bNgXEMLWJknbJ7Tkg67Pna7JtdT0eO5UmnCV6kycuEkT19e508J27pRqcNOJbHnutLptv8qBP6vKFx+brtZ3l0xeO3f6dH1U1QS+TwYXMPAuzpdSTZQoEwHmUc+X9tRaNVU/EFuOmVIBgUdqECq25f4+qqHAYzFwjeo4bUq1EXgeZlvxSbSuGde2PG2aJLHlCP6AbOLNnTZNhT5jKvUHfUV+urmlOk2cp03JoMCQij9tKrLEetiUbC0wpiIPm6ZJfdg0tXauvEe3GhhYu1DmGmZn4MA4omMAw+QWh02V7Vcnwn7YlEwhkRTg50iP7G5tWMPgId1gYGQEL28AbqjUbqjUbqjUbqgEuqERHRIYVXGHTdMs6qepydL7dEuBsRVx1rR2P/cd7+0J3WJMvCU9QPXq0e16SjIC81nT2u1sJsB+1pRMAIyz2LOm6tmpjWoYe0YztloQhfFsfD6ZB1Eq40DIcBZM5mIWpFEeivl5MkuKNY91ae7YrKAuz21nTVOBw4TymRbxDizMQt4EcocVpKlBXPMDXOA3LsvHnSpd/Er94Zk+NLp4uU4RqT/ohNL7+j784PI46eqL5WEahUkYnqz+GIHOl3IOqIQPKGpV3uhaZ9kYWaXaHlc3cFVXbj1ZD/ULNRHqt6uOBC/Xl8I+7VVXv36rxv3yvKk+bnrttGlL1zvOAUVs5cJ3AeynSjlRWHJZkeUY4yErisdcFiMFdisdMB1pFCf9LDROyYAVxls2Sxlh6VFwlxcQEay6WDTXS+dNr+HU0T2aFRzhA8HrPfisjnjhsC8hBK4tn9U+oyUf9KrEap6lk+w8DGZ5rK/8j5JgHE5kMBOzYhLmeZSf34SWjk1jobS0xI4FjM+/lmYEQbgnlJZ+/Tjpqqf0xeLZZf1Ux0dLGQdIwgcIro1NGAesGAhvDFekjuoqRhQWRRr2MxPJISuJR0HKSIGNhYDZiJO46KfGGRmwsnjTo66jpZx8CH/fqRyVG/HiaHjMCo5wgGQ56jpaysmGfQMhbG1qtH1CSz7o23u0VFqPlqbYsYDx+VejjCAI7wRVox0fLWWEl3D4rZUmIwbC0XaiNBlRmJSmeaPtkBXFo9RkpMAGOsB0REnSj2LjjAxYWbxJTdfZUk4+hDPvVGpu2l2mjvalrOAID0iWmq6zpZxs2DcQwtYmNdsntOSDrqRmep6H6fksDM7j8DwQ07QI8llRBNP5XIRpcj4OxTpWeJWaxgdASU1nMy3TWMD4/EtNRhCEd4JKzS7Olt4bBa5jpIwDIuEDsrX8ZMRAON9O5CcjCpf8tJ4jZWTxqD8ZKbDRDzAfougXsTGDNWBF8SY/XedIOfkQDr5T+blpd5k62peygiM8IFl+us6RcrJhX0AIW5v8bJ/Qkg9a60+XrOz22GhqolOCMnfRFddOyd78sVGiwU2f8cd3bJQILmDgnRwbJZooUSYCzLt6bLRxNDTZ66nXvdjrRaH6L7KdECWyNF00/wlRoqFNCcp6QpRoI/AUy7aykmgd5sQKYPzyIrYeECVaeIMHRHU70ky3I810O9Js0wYwdbcjJYMCg2fHB0Sp1gKjJ/aA6GU30tTRjZRsNTCEdiG5NczOwIFxRMcABsRtDohediNNW7qRkikkkgL8HOmR3a0Naxg8pBsMDIzgdQvADZXaDZXaDZXaDZVANzSiQwKDaocHRKmWAkMr5oDoZTNS+3t7QrcYE25JD1C9LHS7npKMwH1A9LIZqdvtnNIJgHEWfUBUNyM1u5wzmrG3NreTWg+IFjhMKJ//3A4jCGLrD7qU95DbYRwQCR8Q+PrZhHHAioHY2UQsne25HUYU77kdRhaPuR1GCuzWMmA+oqSf5LbcDiPKrcjtcPIhHHwXC816ublp7Zg6unWygiM8IHiNBJ7UES8b9gWEsLXldtontOSDvr1V7KntTGUWYscCxuddfnKCILwTVH52W8XOCS/h8NtKTU4MhKPtQmpyonBJTWFCOWRF8ac0OSmwgQ4wHYnsp7bO8Jwo3pSmo4idlQ/hy7tUmtmmc2PmaMXJCo5wgGSl6ShiZ2XDvoAQthalCZjQkg/69t7ekdrOS2YRdixgfP6VJiMIwjtBlab/2zs4B0jCB2hrNcqIgXDGnahRRhQmNZqZSA5ZSTyKUUYKbCwEzEYai74wTsiAFcWbGHVc3sHKh3D3nYrRTXPHzNGtkxUc4f/IYtRxeQcrG/YFhLC1idH2CS35oG/vtcyp7URlFmPHAsbnX4wygiC8E0qM3uprmTkHVMIHFC5e+a9lPqjGoleeBlHW+5s/zRx3MHOOHiJmwDWz/Q5mThQWzWy/g5kTxaNoZqTAxmzIdKRVR1HjlAxYYbzJZtcdzKyAiMjUqW7edKDMHC1FWcERPpCsm113MLPCYV9CCFybcG6f0ZIP2u9ZUOMCXknhxEkXN+lu/Cwo1eCm0/ijOwtKBRcw8C7OglJNlCgTAeaRW4gqP5CrH5CWA6JUQOA5GLhwbTsgSjUUeJYFI0utB0SpNgJPsWyrN4nWYU6sAMYvTmJhOyFKNfHmTohmuoVopluIZrqFaLbp3Ze5W4iSQYEhtdsTomRrgTEVeUI0u2whmjlaiJKtBgbWLpS4htkZODCO6BjAMLnFCdHssoVo1tJClEwhkRTg50iP7G5tWMPgId1gYGQEL2cAbqjUbqjUbqjUbqgEuqERHRIYVbs7IUq2FBhbESdEs8sWovb39oRuMSbekh6gerHodj0lGYH5hGh22ULU7XZO6QTAOIs9IZrpFqJml3NGM/bW5qoy2wnRTOAwoXz+c1WMIE0N4pof4AL/jyBXxTigEj6gqFU5c66q2UL0/1lNwfLj3uLn6jf/0tZElHNIEZu38H0ARwKLEcV3AosRxWMCi5ECu3cOmA4RZ2k/MddzD1hhbkcCixMQEa66WDbXi+dNy8nM0USUFRzhA8ErPvisjnjhsC8hBK4tgdU+oyUf9O09hpBZD7xK7FjA+PyraUYQhHtCqWm/xxAYB0jCBwiujk0YB6wYCG8MV6SOYwiMKCyK1H4MgZHEoyBlpMDGQsBsRGmc9nPbOQRGFm961HUOgZMP4e87laObnpOZo4koKzjCAZLlqOscAicb9g2EsLWp0fYJLfmgb+/1K5n1UGyKHQsYn381ygiC8E5QNdrx9SuM8BIOv7XSZMRAONpOlCYjCpPStF6/wojiUWoyUmADHWA6irhfWEv3GVG8KU3X9SucfAhf3qnS3LSczBw9RFnBEQ6QrDRd169wsmFfQAhbm9Jsn9CSD/r23jOdWU+8ZtixgPH5V5qMIAjvBFWa/PdMcw6IhA/I1uqTEQPhfDtRn4woXOrTds80J4tH+clIgY1+gPlIRD9PjQmsASuKN/npuGealQ/h4DuVn5uWk5mjhygrOMIDkuWn455pVjbsCwhha5Of7RNa8kGr//1lpbvWr6uWlX/h0pndHiTNTbhKYeYuXCGbuJ4Oksah9SAp0eCmE+E5SPpq8Y0uEK22KT/prSseH60PiPZ09eTXr21iVgdJn2ptWf/U4kJXS/5q8YvF5+sMO/ow6hNlSrgXL17E+i+wlRruk0dSwEayk5OpRBMlykSAeeSTqdFeT611o9h2MpUI2IwM259MfWFULm+TLWxKXtYjqUQbgcdmtpWxROswR2QA45fksegnRq86INt4g2dSddfSXHctzXXX0nzTLjBzdy0lgwKjM/5MapRKaT+USjUXGJ+xh1Iv25ZmjralZKuBQboLla9hdgYOjCM6BjBCbnMo9bJtadbStpRMIZEU4OdIj+xubVjD4CHdYGBQBC+VAH6o1H6o1H6o1H6oBPqhER0SGFdxh1LjRCrBbfRB9+mmAsMr5lTqZd9S+4t7QrcYE3JJT1C9FHX7npKMwH0q9bJvqdvvnNIJgJEWfSpV9y01+5wzmrGVtaDck+axrvMdOx/Utb71VGqBw4TymXYEHFiYXQETyB1WEMR2I3S3oOPKJUZ4CYeHr55NGAesGIidU8Qa2Z47YkRhyh3F0oRyyIrSFAQOlG3X3IwU2J1rwHQUMu2H5tg0YGXxljtylS5x8iGceRerynptuWlpmTl6lLKCIzwgeEEEntQRLxv2DYSwteWO2ie05IOupGYhCjFOZRjk2TwLRBLHwTgeZ0E6Gyfq/5Msym9Cahr3jd+SubOLlmksYHzepSYnCMI7QaXm53Uq6JErbfRo+cm6TilKwuWH+erWkp792hLOYZDwYYCLzqsj4cyiPVpl6p7o3Jn+josqnXd5K0l1Lcleb/Hp6iKU3uIXyw/Ud78Rh6uhq4bN6BMOWMcN4eMRKteWCeIkYRG5kdJUJpRDVhR/IpeTAhtiAdMhwiLuh5GlQooTxpvKjUNZ9ENpIrzLS4iIJF3q3HzTUDN3dEhlBUf4QLLOdUzriJcO+xpC6FqULmBKSz7o1aZqMZ4UYZgEciISpYXVt+WTsZbGaRrnoRSzbP7Av9JNTGOhlG6EHQsYn3+lywiC8E9Qpfvp6iaSy+qn+pYSnqtJOIdHwocHroBNGAesGAhnjBCk1m1XThQWRWqTo4wcHuUoIwU2DgLmIk6zLOxHxikZsMJ4k6OOm0lY+RDOvlMxummomTs6pLKCI/wfWYw6biZhZcO+ghC2NinaPqElH/TtPS+a286L5jF2LGB8/qUoIwjCO0GlKP95Uc4BkfAB2Vp8MmIgnG8n4pMRhUV8KrEjTSiHrCge9ScjBTb4AaZDZkk/FTb5ycjiTX46zouy8iEcfKfyc9OWMnc0GmUFR3hAsvx0nBdlZcO+gRC2NvnZPqElH7TfPqOFiU4JysRFVyRNuhs/Hko1uOkz/ufxUOpICthIdnE8lGqiRJkIMA9/PJS/OEHvjlfP3suq7Y1ee1ysHoVXy79Tf/sT/TjYihaIAws8gYOQ39ZiBKKFwOMzcFXtOJZKtbEpmXmOpVKtawbiLY+l5pZL/wdkA2/uTGqu+6Tmuk9qrvuk5psGhbm7TyoZFCgJOj6TSjYXKAqQZ1Lzy0apuaNRKtlqoDLoYiWhYXYGDowjOgYwLG9xJjW/bJSatzRKJVNIJAX4OdIju1sb1jB4SDcYGBHByzGAHyq1Hyq1Hyq1HyqBfmhEhwQG1Q7PpJJNBcZWxJnU/LJTqv3FPaFbjIm3pCeoXu66fU9JRmA+k5pfdkp1+51TOgEw0mLPpOa6U6rZ55zRjL21OavCdiZ13T4QjAnl85+zYgRpihDX/AC3KDzkrBgHRMIHBL6MN2EcsGIgdmwRi2Z7zooRxXfOihHFY86KkQK7Yw6Yjijph5ZTqpwktyJjxcmHcO9drDPr1eamD2Xu6CzKCo7wf+AlEnhSR7xs2PcPwtaWsWqf0JIP+vbW7hfWU6oSOxYwPv/ikxEE4Z2g4tN77T7j8Ej48GwtRRkxEK64EynKiMIiRY2VOoesHB51KCMFNg4C5iKNQnMJ7ICVxJsOdRXuc/IhPH2nOnTTgTJ3tBRlBUc4P7IOdRXuc7Jh3z8IW5sObZ/Qkg/69t6WUljPkKbYsYDx+dehjCAI7wTVoWy3pTAOg4QPw9Z6kxED4XIRetNaL8RIwiI3HZeXMKJ4VJyMFNiIB5iOIukn5mavA1YUb5LTfXUJJyHCrXcqOjfNKHNHd1FWcIQHJItO99UlnHTYlxBC1yY726e05IO+vfdBF9bzohl2LGB8/mUnIwjCP0FlZ7f3QXPCSzj81mKTEQPhahFi0765yYjCojbt90FzonhUm4wU2EAHmI44MvfrG7CCeNOajsugWfkQnrxTpbnpO5k7GomygiPcH1lpOi6DZmXDvn4Qtjad2T6hJR+0biS6t9JXHvuHmiuxlYTMXZgibWL6OyFq3Am6Qza46Tz+9Z4QfaVEKOiEKHEkBWwkOzkhSjRRokwEmIc/IbpuIBrv9XL1A7JvAjwgAzYjAuNJTaKFTZ3LelKTaGNTwDKd1CRahzk5Ahi/OI7zfpqabByQbbzBw5q6gWihG4gWuoFosWncl7sbiJJBgeEZf1gzznLHYU2qucD4jD2sedlANHc0ECVbDQzSXah7DbMzcGAc0TGAEXKbw5qXDUTzlgaiZAqJpAA/R3pkd2vDGgYP6QYDgyJ4iQTwQ6X2Q6X2Q6X2QyXQD43okMC4ijusmRRS9DPbYU2qqcDwijmsedlA1P7intAtxoRc0hNUL0HdvqckI3Af1rxsIOr2O6d0AmCkRR/W1A1EzT7njGastnZSzORYJHkQj6MiEGl+HkykrmlKRT6bRbNZLNevgXWh79jxIC/2rac1CxwnFNC0JeDgwmwLmEDusIIg9hmh2wWfN+vk9ZK+qqFfFyYx1MwzjpCEjxB8jW3COGDFQOyrIlbS9rQSIwpLWikyb8IdspI0VYODZNuFOSMFdlsbMBtxmol+UhinZMAK4y2z5Cqc5+RDePwu1p71CnTTlTJ3tBllBUd4QPCyCTypI1427CsIYWvLLLVPaMkHvbo9JJyc51k6C8QsigKRp/NgIgoRRHEeFoUMx9Fs/bT7FaRGt/WWWjljBwMG6F2QcoIg3BNUkH5aJ5T07ZIXy4c6d6R15mvZpd5BBdP734dnJ7394b3hSe9/3+9Fq+KmVBfRVx+i0F5IzzkqEj4qcBHa9c2evcX/o8b2Qqn4j3uLn6vf/Mu672gUuxuPco4cwusjdK8tg8RJ4lf2cpL4k72cFNiYC5gNt+zlhPEne0WRWir47vISIiJLl8K32DSpLBx9R1nBES6QLnzt0zripcO+hhC6FukLmNKSD/r2XpynpG9iGgwlfd2dr0yDAQL0L30ZQRAOCip9+W/O4xwQCR8QuOo1YRywYiD8L0KCWrdeOVFYNKj95jxOFI8ilJECG/0A05Ekoh8XhYllwMriTYM67s5j5UM4+E4V6KY3ZeFoNsoKjvCAZAXquDuPlQ37BkLY2vRn+4SWfNC39/Co7aolpT9j7GDAAP3rT0YQhHuC6s9uT49ywks4/NZakxED4Wk70ZqMKExa03Z6lBPFo9ZkpMBGOsB0SJn1o9Q4IwNWFm9a03GAlJUP4cw71ZqbRpSFo7MoKzjCA5K1puMAKSsb9g2EsLVpzfYJLfmg/XYWNZduKPWYuPAK0cS78YOjVIObTuN/HhyljqSAjWQXB0epJkqUiQDzrh4cbRwOTfZ62V6v2OtFofovspwRpbIAj8MgJK81w0+0EHiWBa5kHWdEqTY2ZSrPGVGqdc3gt+UZ0SiScT9OTDYOyDbe3BnRQjf0LHRDz0I39Cw2jfQKd0NPMigwEnd8RpRsLjAUI8+IFpcNPQtHQ0+y1cB43IWA1zA7AwfGER0DGAy3OCNaXDb0LFoaepIpJJIC/Bzpkd2tDWsYPKQbDAyK4FUQwA+V2g+V2g+V2g+VQD80okMC42qHZ0TJpgLDK+KMaHHZ0NP+4p7QLcaEXNITVK8y3b6nJCMwnxEtLht6uv3OKZ0AGGmxZ0QL3dDT7HPOaMbe3rxQZDsjWggcJxTQf16IEaSpQlwTBNwZ6DgvxAgv4fDwlbIJ44AVA7Erilgk2/NCjCi+80KMKB7zQowU2F1pwHTEed4P9UGv6ywDVpZbkRfi5EM48y6WlfXictPusXD072QFR3hA8IoIPKkjXjbsGwhha8sLtU9oyQd9i2vgLSeqlNaU2MGAAfrXmowgCPcE1ZoeauAZB0TCB2Rr/cmIgfC+nehPRhQm/WmtgWdE8ag/GSmw0Q8wHVEW9/PEOCMDVhZv+tNVA8/Jh3DwnerPTZvHwtG3kxUc4QHJ+tNVA8/Jhn0DIWxt+rN9Qks+6Ft8/UhkPYOZogcDBOhffzKCINwTVH/6un6EcVQkfFTgIhR3/cjLxcW6UuzKhYG636m+WuTRWt7rP66qzqqCsfeXH1Sbys2fWA93eRpEWe8NNbb/MW25ooRxdBGRAaGNrQVMjCQs0th+RQkjiUdlzEiBjcuQ2UjyuJ9mqQlmwArjTRq7ryjhJEREn07F8aYZZeHoL8oKjnCBZHHsvqKEkw77GkLo2uRx+5SWfNC3+LroyHpENMMOBgzQvzxmBEE4KKg8voHrojlHSMJHCC6VTRgHrBgIh4zQpPb9WkYUz6KUkcSjKGWkwEZDyGy4RSkjjD9Rar8umpUP4fE7laSbvpWFoxEpKzjCA9Ilqf26aFY27CsIYWsTpO0TWvJB60ak64tLHrgl5w/n03e/+873DSNBUJy2SoDchSmyJqbtPKndVoyK3BwpNRp7h2xs8xlzDCxQKX6hVKK+Xfgjk6FK1eVvDsjWXvNzdnO3c3Pr01rF3lEaSptfo0IIPAS85l1bfqwtP7ZZfky3XOIth9e6K8OH2vChzfAh3XD4Y073pOuTNcVeaQMoyQDXDki0AOCel1Nt9anN6lO61XC3jTwXoYw+00af2Yw+oxldPSwPfMYe65mHwml+bh1zsLWk6GM29w7ZXPiLCY0//63KTunbBB4vP1pc9KoE1Zf6KoHlR+tdiG+rvQldVvah/sbq1oOnVUJKRy4ToIpbhY5bREq/cSsNzef3juj284csm9HHdKMl3miUBxrabB7SbYa/D1sGKpvtJdl25hhlM/iUbjDcsxPCk83eM5q9r29j6LfxL1whqrsLd6qPJoy30tB5dboMrcMOM5YYnqzXS94hG9x03lvet/PPut5Bl1Os6x6qWud17Oktf6yvzakWUO9XO+cv9hqfW7wKVAC7UD/xE729rr+linGbu3uqnfcX1QU931Y9YKq7XlaH9tSfqiLq1VU7VfXGlaJr/elqN7/6zPPl3/V1K5lXvXhVdbG+xkfF1eVDHVDXf83y/Z7YC6PVt+b6Oy/WFwo9Nk3EPnkimlGok+t6Fp9V1T6PVsP1dD3Qnyz/XjE81GUrGvTJlZFbD7eelperUeubQP+MDCpRoBDIX6zmrLJWP3pViVP1wFzU5TbO52z1HT81PLuVptIthaoioYveG9U/9JW+LUr97qUWXD9b/GPSqzJIDysZFidBnH9n3a1ocxVRpK8i2uvFq1+S1S9i9cvqmiLTIB+QB7m5dch2GxHZwmZOhPE2IrKNzWwHy21EZOuacmrL24iyVBb9wmTigGzijV1GlIaR3t6K9YdEfxCrS0AUiesyIjooUKXgLyPS94BY7iKiWwuUKbi7iJQ5m7uI1sNssvoe3WqgVtlulblO/ygrdwYOjCM6BjDSExab6ztBtO1XJ8J6FxGdQiIpwM+RHtnd2rDm6pNuMDAkgjNpADdUajdUajdUajdUAt3QiA4JjKq4u4iiRPmgNDeZep9uKjC4wu8iuvQ/9x0v7gndYkzAJT1B60xlm+8pyQi8dxFd+p3NBFjvIqITAAMtclNDPzu1Uc1NDZqxlQxPRHheFEmQh2IWCJmOg3E4mQfJJA4LMZkl2fn6obJud3xvbK9vI255WDc9nP06rmNC+UwbIw4szOaICeQOKwiiGmWrTZOr61W1QDWh7rOiSjgqfLVuwjhgxUCU0SDWw7ZCQlYUpkLCxERyyErirZCQlaKpCBwU0GV4VBSRzMzbvANWGG+FhHk/NQbau7x4CM/dxRKyXkiuW2Wtf2MCP+IFRzhA8OoHOqcjXjTsCwhBc5cRQuaz5IOuZGVxHuXReSKCIs9EIObjOJiE4TyYSTGbzrP8PDxfv8teZaW51lAtf7FjAePzLysZQRDOCSorv1hnLR5dT21UgrI62V31pFjl155WCZTqALP+ityRpmHYZx0GCR+GrSUnIwbC4yIkpzUFw0jCpDiNK9BDVhKPipORAhvwALORi1j2c1vmh5HFm+CMU0sK5S4vH8Kpd6o4441CsXdA4wVH+D+y4rRO6oiXDfsGQtjaJGf7hJZ80Kuj1MlkrL47DJIonQciivKgCOeTYDqPi5mc5kmYrSfdq+Q07lwoyZlgxwLG519yMoIgvBNUcn6uK6P0MWldULS6FOeT5U9WulKflF5Jzs8Xv0lNuPusuBKOu7W0ZMRAuFaEtNTFSl/1e+abnd5mBeJRmCaOQ1YOj/qSkQIb3QBz4SwsYkTxJi8j2Tcf/L7Ly4dw4J3Ky2SjRuydunjBET6QLC+tkzriZcO+gBC2NnnZPqElH/TtvEh99VGYxkLJS4EdCxiff3nJCILwTlB5yX6POuuASPiAbC1AGTEQzhchQO3pdEYUFulpvUedFcWj+mSkwAY/wHREkcj7RW6ckgErjDf9ab9InZcP4eE71Z9iI1fsjXx4wREukKw/7Rep87JhX0EIW5v+bJ/Qkg96dTHPnu97eazZcunkjJqcvu5GMJp7h2xu8zHr4m6E6gRex3cjKMA3B2RK33cjpPqoU64+RPr4UyRszpGKI/A48Cry9VUJqb7dJ1cfFMOxjeGYziDxDPA68tXNCam+5ydXHxTC0IYwpCPAXx66i16fX0n1qZVcfYj0SRYLSklGYb9XIdV3/+Tqg7L/1Gb/Kd1+eJBAnkhYXbOQ6luAcvVBmX9mM/+MZv5ra1IdPLxdumC7FkjROikS6yTAjCXGPeu9dGR7m0FhyzsXfqOimt4TebT4lzqWraLg8kMd8x5VnSuq+4zXlxx8vvjF4r+YmPbJTM3I0Mn1BSYT/4xsokSZSDTvgGxec1HBeGSfaCHwcCF8q8R1ZJ9oI/BU4bZ7IETrmoF7yyP7cZIl5hKIAdnEGzyyn20Ox6buM/pUMmBQw5/Rj8IotB/Sp5oLDGvYQ/rp5SF9a2OGe3SrgcFtu+VOvRWU7gwcGEd0DGA8Iyxz6sOy6c7ViXAc0qdSSCQF+DnSI7tbG3Z9ZUM1GBgEwbtqAMdTAh3PiE4FDJzIU/kiEf3Y6HTu000Fxk/Mqfz08lS+9U09oVuMiamkR6bepnQ7m5KMwH0qP925OgGOU/lUAmBoRa6B9bNTG3V90UsxVls7jsRUyGkSJOOpDEQRhUGezvIgSWdiFp1P8klyvuKxroe/N+622MB1FaHzRvrrmFA+08rZgYVZPZtA7rCCIFJR0GX155uFs65krVbMq9VznIXhf0wy+R9lz8S5z8op4Zxbr2MZMZph3oEBX+/qU24mlLdZUVhqCGzlq4wcHgsIGCmw2UvAXDgX2Ywo3soHRJTbj0dxAiKcdhfLxXrRmG3SzfbGPrzgCPcHXunAZ3XEC4d9BSFwzhkdQWa05IOuCgj2ag+qpaLHXIqtjMDZIULKJq2nXEpu6bFAthe43QQVfZ8p0VddI7y6BrluCdksJ/hi8eni5+tsyuV3X7nten2fdC/W9wc/Vz9ou8GJSC5g5J1kXIgmSpSJAPOUDkddqtxb/H7xdPHtm714r5f2e6//+J9GeVbspeGfrP6a/p9GcRju5erP8erPsczEXrKbxHv5n6z+cvW5KM73EvU9q39GfSIO491IqE/I9d+SR/meccF6QB5G4KYYXCnbM0NEC4EbXAgB7MgMEW0E7mxtK26J1mF2sSDjF+XS0itgQLbxBlNDullZFG62aXN3foiKBwzU+PyQiG1a7M/p1gIjNTY9lF+mh3JHeohqNTBed6H3NczOwIFxRMcABt9t0kP5ztWJcKSHqBQSSQF+jvTI7taGNQwe0g0GRkLwogngfErtfEqg8xnR0YAhFJcjUoseyynG+3RLgYEUkyLKL1NE1rf1hG4xJriSHpt6Iep2OCUZgTtFlO9cnQBHiohKAIyu6BRRvlsb1TD2jGZsJblBZwc0j3WZ79j3oC71rSmiAocJ5TNtCDiwMJsCJpA7rCCI3UboboGH86iMAyLhAwJfoZswDlgxEJupiBWy/TwqIwpLLslxHpURxWM6iZECu5cNmI4oy7K+NGqyASuLt3yS6zgqJx/CwXexvKwXmcUm+VA4Fpqc4AgPCF4ZgSd1xMuGfQMhbG3ZpPYJLfmgVxVKMs7jeRYG8/FkHIhZlAf5PD8PZhP1E1M5icfx5IF/+WnJNUUhdixgfN7lJycIwjtB5efPqsTT0+oC53WTkN6VXFQlMNMwNi4b9llxJRwXLi5BnT51Bu/6sLyo/rC+3lr/8dXy75d/V91P+LAxbFVTWq3g33+zd/LWvV4RRmHvDfWV1UXZD1fniP+l6jv7Sv3/200v0PV54qC3+HTxm+hPeuovea5PZVXHsS566/PJT6tMol4lXOhvvfxrI6OrOWCdJkTo6EI8c6IwiWdj5c8hK4k/7cxJgY3cgNlIpJT9yBiFBqws3rRzlMaxtRiLlRARn7pUz1G4FluRo9UmKzjCBZLVs2NaR7x02LcQQteinwFTWvJBawHt0sXdVl8Zo4NSxM72L4V9kxxmLEbpgqqvqPYCs7lQQXsD1VdUcgEj76L6imqiRJkIMI9cfZU0Sq8SKfbiy8KrZC/ejZI02cvq4qskiffSuuwqiZM9eVl0JaJCf+um5CqOsz3jc31AHjpgnhkhiW0VV1QLgeliuNJ1VFxRbQQmirfVsETrMElhwPglYSJMBg7IBt5cuVUU63KrZF3xEEXOcisyHjAyd1tuRbYWGJqR5VZRVJdbRdZ2cvfoVgMDdBeKXsPsDBwYR3QMYLTdotxK2X51IuzlVmQKiaQAP0d6ZHdrwxoGD+kGA8MgeFkEcD6ldj4l0PmM6GjA+NlduRXZUmAURZRb1U7nvuNtPaFbjImspMemXmm6HU5JRmAut6qdzWYC7OVWZAJgdMWWW6lnpzaqYewZzdhbm+9KbOVW6x1IMCaUz3++ixEEsZ8I3R7YOt/FiCvhuIgFNyTfpb5BD8nTVXvXG8t3hd3luxinCbHZi1jc2/NdjCie812MJB7zXYwU2J12wGwUUWiuuRiwktySbBcnISI6dbE2rlfIm0aekaMzKys4wgGCl3WIaR3x0mHfQQhdW7arfUpLPujbe1ghsVaLJdixgPH5V8+MIAj/BFXP/IcVOAdEwgcErq9NGAesGAj324n+ZERh0p+2wwqcKB4FKCMFNvgBpkPoeisTyYCVxJsAdRxVYOVDuPdO5eem0Wfk6NzKCo7wf2T56TiqwMqGff8gbG3is31CSz7ozcVXa3CtKT1efCVMtEpeChetzJq0nkqvCmvpFdHepgvZsvTqd4sv9Sbi8se1OmzplrWpwtL7g19Xm416o09vVD7rLX+qflD98LoK6xv9lyh5+UJ9S7WDufq2vde/8mrx1WafsNrE1H+NsuB59cfV37p4snjVC/diXUuj/l7bdZ/75CEVsCHtpKaLaKJEmQgwj1zTJdRn+ia4AzIcMN2MEMbWqiuihcCsMVzvuqquiDYC88XbClmidZjcMGD8RBgWfePlDwOyiTdYdyV13ZVu4hdl+kO+KYIQ7gosKigwQOMrsOIkFfYSLKq5wBCNLcESlyVY1v6j9+hWAwN1Fzpfw+wMHBhHdAyBxCBURYidqxPhKMGiUkgkBfg50iO7WxvWMHhINxgYE8GLJYAfKrUfKrUfKrUfKoF+aESHBIZVXDFWksi0nxtjw326qcDoiqnGEpfVWNYX94RuMSbikp6gejHq9j0lGYG7GkvsXJ0ARzUWlQAYadHVWGK3Nqph7BnNWG3tNC6SOI4mwaxIpoEQsQjyOAyDeTQpikkWpdl8HdSsS33H3gd1uW+txpI4TCifaVPAgYXZGDCB3GEFQWw4QncM/uG1Rf+j3uK/Li4WX1fLebVi7y2+OEiSv9JRIxS6Qkl//mLxZfXVqkl3sPqkTjaZRmOfdTQkfDTgK2kTxgErBmIzFbFmtieTGFGYkkmxNKEcsqJ4TCYxUmA3swHTEYWhcuPGGRmwsnhLJwn1xGUmvru8fAjv3sUys15syk32QToWnJzgCA8IXiGBJ3XEy4Z9AyFsbemk9gkt+aBXtUxilmXTeRJMojwPRCrjYJzMJ4EoxrNoko5nuZw+8K89bbVMKXYsYHz+tScjCMI7QbXn9VqmdYGSuaRpVQP/uMp0vFTaU/2iZOji2/V3PVVfWFfTm0Znn3V0JHx0ttaijBgIT9yJFmVEYdKi1sImRhSPWpSRAhsJAdORhlFfGKP6gBXFmxRN876wVTZx8iGcfadSNN0oF0czeFZwhAMkS1HrpI542bAvIIStTYq2T2jJB11J0Ukxk2OR5EE8jgr1vfl5MJHjOMhTkc9m0WwWy7V/9SpFE9NYKCmaYccCxudfijKCILwTVIp+vq5R2txV9Wx1xPFi8WwtSXuLP1RVTT+qqqueVocoH1eVTutv/3bxSl+P9OvFp0FVcv+zxW8Xv1If/3Hxe9MI7bOOkISP0NZylBED4Y07kaOMKCxyNDKvaA9ZSTyqUUYKbDAEzEYsQplby5gYWbzJ0Sjtmy+NuMvLh3D4ncrRTUPiyNFimhUc4QDJctQ6qSNeNuwbCGFrk6PtE1ryQa/uSEnjcBwm50F2PtZF+VEUjM/P54GQs/h8PA+n8nzywL8cFaaxUHI0x44FjM+/HGUEQXgnqBz91FBr/1SrzNfK63t/Pv/B+Hvj3vfGPxj/p//03bVOVdrzabV5+mytW8vDSIrseP2nOAyXH6oP+i6RF6ah2mcdKgkfKrguNY5WtVd8efLg0Wa0jlajtdfLwixa/L63+KXS/FrMP1kP8kV9j8ryoz957U6VxZdqNfBca/291+5l0X/+k9W9tl+rzyo73lyNsTTXzR6wDi8iXCD0srX8npGESS6Hxs3CQ1YUj3qZkQIbrQHTIeIi7Is8NcEMWGH8CeYkF/1Cmgjv8hIiglKnkjnfKCxHv2ZWcIQPpEtm+7SOeOmwryGErk00t09pyQddnU79P1+TWVZZ/MP59N3vvvN9w0gQVLFte7ZwYuZNTNuxVLutGKm7OZlqNPYO2djmM+YYWKCc/Vxf+a/k0nOtsEzGKtVZvDkgW3zN29lN3s7ZrQ54xeGe+lDYvBsVQuAh4GXy2vJjbfmxzfJjuuUSbzm8PF4ZPtSGD22GD+mGwx91ujddHcZRAKUNoCQDXDtT0QKAe15OtdWnNqtP6VbDXTfyKIUy+kwbfWYz+oxmdPWwPPAZf2znJGJ3x53COuZga0kRyHYvAtVc+IsJjUH/rdokeLletDd70VTZO/NVCfrTdfRS32AC3VegKn5RaX3Hr0jHr9QSv8gQPuJXpOOX2fJjuuUSbznKJw214UOb4UO64fDXZOv4Fen4ZQYoyQDs8SvS8cts9SndarjrJ8WvSMcvs9FnNKNfiwAe7/fRscEWxpx3zKeRdehhxhJjmLbbZO8dsr1Nx77l/T7/rKLVB6srwpcfbM7svR6fqt5pH6j49VTvhuszey+qy8Y/Wf+xp76ow9qjVSTc3Mmj97M/WYW36iqgb6uDftWFMqujgNXe98ebG32qa36ulG6vL/oxxc9VRXdl4PLv+j1tbC/dk1UGYnUbUORKR1BHvhmNGK8BopooUSYCzCNeA9R4hN7syb1e2jexHpBZm9tyfLcCUS0EXl+ASjfYbgWi2tjMJfDcCkS1rqlGtrwVKJJh2LdUd1NNvLlbgWLdjS1O9AehP8j1bRyxuy8bGRQY1vG3AuUysV4KRLYWGNeRlwLFl33ZYkdfNrLVwOi+3Zptk1qJdZskO8YRHQMYKgmrts3lHPFlX7a4pS8bmUIiKcDPkR7Z3dqw64s3qsHAkAjOUgHcUKndUKndUKndUAl0QyM6JDCq4i4FiuJIaXVj4vg+3VRgcEVcChRftmizv7gndIsxAZf0BG1ygC2+pyQjMF8KFF+2aHP7nVM6ATDQIncC9LNTG3V9E4BibCXDExGeF0US5KGYBUKm42AcTuZBMonDQkxmSXa+fqis+wPfG3dZfljtEVh3CWIcJpTPtJPgwMLsJphA7rCCICo9ttlmWP54caE3E6pFv+OUNSeqhKPCF80mjANWDESJCmI9bD3WwonCVKdnrGg4ZCXxV6bHSdFUBA4K8DK8kKHl3vMBK4u3Kr28n1oOWbPiIRx3FyvIeh25aXUVO7qXsYIj/B948QOd0xEvGvb9g6C11OcB5rPkg65UZXEe5dF5IoIiz0Qg5uM4mIThPJhJMZvOs/w8PF+/y15VpXGDWKnKBDsWMD7/qpIRBOGcoKryC32QYqUlf9oQmJWerC6arM5sPFqljlYJqUpqqq/IHWkahn3WYZDwYdhacTJiIDwuQnFaMzCMJEyC0yhvDllJPApORgpswIPMRirDfmZL/DCyeBOccWrtl8vKh3DqnSrOTX+r2NGwjBUc4f/IitM6qSNeNuwbCGFrk5ztE1ryQa+u9UkmY/XdYZBE6TwQUZQHRTifBNN5XMzkNE/CbD3pXiWnceNCSU6BHQsYn3/JyQiC8E5Qyfm5Ptqr7+zR1UvrMqflT1a6Uh/dXUnOzxe/MeaS9llxJRx3a2nJiIFwrQhpqUvJvur3zEVhb7MCMSnMUJpQDllRPEpMRgpsgINMh8xkP0uMUzJghfGmMSMFaPRqd3n5EF68U40pNpLE0TaLFRzhCMka0zqpI1427CsIYWvTmO0TWvJBrzTmZDofnydFIIWYBkIJ0GCchlL91CSfRZPxLJE3sa0pTGOhNKZEjwWIz7/GZARBeCeoxrx+i7n5+vLVNZGfLX5WXQ/568Vv1H+/3dza84fFbxefLn6nPv5ef89/V3/4ondvJKPe4memUdpnHSUJH6WtpSkjBsIjI6SpPc/OiMIiSu23mXOieBSljBTYiAiYjjiW/ci8TBiwsnjTpHnez237npx8CK/fqSbdNGKJHZ11WMERHpCsSa2TOuJlw76BELY2Tdo+oSUfdHUVzl4d1vQvHg9y2pLpqZM2adJ6OsiZ9o3LpDtke5suZMuDnKuDel+tj909rg9ymu4f+EKJwZ+vdeLVs571565n1L9ZXKy+HDuOVhLHQsDGopOjlUQTJcpEgHk+jlYSWZtOnvFoJdFC4CEQuHJ1Ha0k2gg8/bGtJCVahznpARk/19FKook3eLQy0wcqN+3N49R9oJKKBwyv+AOVUtgyx39OtxYYX7EHKtPLA5XWji736FYDo2wXIl3D7AwcGEd0DGCA3OZAZbpzdSIcByqpFBJJAX6O9Mju1oY1DB7SDQYGQvBK</t>
  </si>
  <si>
    <t>B+B8Su18SqDzGdHRgBEUd4wyy5RYNob6+3RLgXEUc4oyvTxFaX1bT+gWY2Ir6bGpl49uh1OSEbhPUaY7VyfAcYqSSgCMruhTlOlubVTD2DOasdViMJZiIibzYDyVSSDGcRGMZ3ESFFk8mWdyMo3FZMVjXZw7diuoC3TrKUpnQ4vrmFA+0zLegYVZyptA7rCCILYIoWv8f1ZrP90mQLcRW6/wv9JrwuXDTVn7JvtTtRaoWhZsskGWVmObtgbWVmNqMRrqDEXvjTuDI+M7us86jBI+jPC1twnjgBWjqSQcGIhltT1zxIjCkjmKzG2uDllJPCaOGCmw29aA2Yiz0HYdxoCVxVviKIotrTvu8vIhokIXa9J6ZbrpUxU7Go+xgiMcIHg5BZ7UES8b9g2EsDkndASZ0JIP+vYWM8XWtJKzn4RpLGB8/jUrIwjCO0E1600VMzGOkoSP0taSlBED4ZE7kaSMKCyS1FHMxIjiUZMyUmAjImA63MVMjCzeNKmrmImTD+H1O9WkmzZQsaOzFys4wgOSNamrmImTDfsGQtjaNGn7hJZ80Ku+Xnu1GrOKzo7bqtj0ZuHkFE1OWxlT121VjObeIZvbfMy6aKvytKpT4mqrotuCUWk9t1VJdFuwRN/wnKT6g61BGBlH4HHgyZ5Vg5VENwhTDMea4djGcExnkHgGeLqnarWS6FZhCmGoEYY2hCEdAf4S0V31Krec6KZhib6sV6GUNpSSjMLdfiXR7cOU/afa/lOb/ad0++HBApk4rBqxJLqRmDL/TJt/ZjP/jGb+awt4HUS8VfJa04RJ6KRIrZMAM5YY/+wxkGovsMYIGgA/U/FOB7BvdOTTqb3lT6rtkWYofL2K9/K7rzVw0R1YVt/0uBfr/i3P1RctV61SR6AZRxjrd6kmSpSJAPO6qt+NLMW7VFBgzRJiS8dWvEu1EFh6BN+pcRTvUm0EFh1tuQVDtQ5TYAQYvziJU/NFMwOyiTdXvJvoZoRJvK6fUyHXVbxLxgNGVHzxrkiFtXiXbC0wpCKLd5OwLt5dDbPJ6nt0q4GBdbul1mY7Kgl3Bg6MIzoGMDoSllibejpl+9WJsBfvkikkkgL8HOmR3a0Nu7aqIhsMDITgnT2A8ym18ymBzmdERwNGUFzxbirzfm6swrlPtxQYRxHFu7XTue94W0/oFmNiK+mx2WyXtjickozAXLxbO5vNBNiLd8kEwOiKXIPrZ6c26tqim2RstbQYZ+NZUkyCbJbqDeo4CyZhFAXRdJ5NplmUhuPJise6Hv/euNtCiOpXE6Zalbs7vVzDhPKZVu4OLMzq3QRyhxUEkRKDLus/fX2B/qharz/Va/FV4W5vvUb/Yv6D+Q+/+25v/7gn4/V523rRvv6mcE/0qpJcXb7bsyzP9lnHR8LHB7Gi/t3VXYzHy4+qyuZqM0R9+idV49n39dZ/VbpctYi9HMlHVRuZuvvsquCk+uPl36r+uKcbz+jswftv9k7eutcrwijsvaG+trol/OEqvfAvVZ/aV+r/31Y/eplmCHqLTxe/if5E2ad/RH2n/kcveuu0xdNqk0YXuFzob738a6PvqNmtrNKddKu/bflx763j04PDt6qvVP9e3Rm3t/jt4pevFXIrJytXs15tCa1a7ioLlp9olJ6QebgXhv1etP6e1b+0/op+bGL5p1Ge7MVhr6rI+dK27cD41CDyrYjtCWvFCScKU8WJMJEcspL4KzjhpMCmuwGzUSRhXxp964AVxVu9SWi9M5wVDxFbu1jZ1+v7aF2dkDg6nrKCI9wfeFEKndMRLxr29YOgtVSbAOaz5INe9T48z8P0fBYG53F4HohpWgT5rCiC6XwuwjQ5H4diHSe8Cn+jz1LCP8aOBYzPv/BnBEE4J6jw76IC+t4ocBQ7cw6IhA8IXOmbMA5YMRC+txPpyYjCJD1txc6cKB61JyMFNvgBpiMReb8QxhkZsLJ4E5+OYmdWPoSD71R9bnrqJY4eiazgCA9IVp+OYmdWNuwbCGFrk5/tE1ryQWv96ZKV3dZ32QRl4qIr7Lv7MGMxQhFW30W0F5iGhurBm6zvIo6AgI1AJ/VdRBMlykSAeV3Vd9kuZ6SCAtPaCBVrre8iWgjMTsPFqau+i2gjMC+9reokWofJQQPGr0gsPnxAtvAGy7uELu+SmwqLxF3eRcUDBtSOy7uo1gIjKra8K7ks77K25btHtxoYV7uQ4RpmZ+DAOKJjAIPjNuVdyc7ViXCUd1EpJJIC/Bzpkd2tDWsYPKQbDIyD4LUMwPmU2vmUQOczoqMBA2iH5V1US4FhFFPelVyWd1nf1hO6xZjQSnps6gWi2+GUZATu8q5k5+oEOMq7qATA6Iou70p2a6Maxp7RjL21WR77oSuBw4Ty+c/yMII0lYdrfoCreg9ZHsYBkfABga+gTRgHrBiIPU7E+tie5WFE8Z3lYUTxmOVhpMDuMQOmI0qKfm4MVwNWlFuR5OHkQ/j3LlaX9Rpz02E0cbSMZQVHOEDwwgg8qSNeNuwLCGFrS/K0T2jJB317DxfYU0ISOxYwPv/qkxEE4Z2g6tP/4QLG8ZHw8YGL0cUvWk4TVBehN08TVJ98LfXWPDyQhVHq5/CAaRoOWKcBEUs6EdOMKExiWphIDllJPGppRgpsKAfMRpLFlu3NASuKNy3tqNbnxEMEq06l9KYxauLodMsKjnB/ZCntqNbnRMO+fhC0NiXdPp8lH7Tfcinjil5p49RJlzXpbrxcimhv02P8EZdLEUdAwEagk3IpookSZSLAvK7KpaStXIoICkwTIxSstVyKaCEw2wsXpq5yKaKNwDzvtpKTaB0mpwsYP5nmfWmycEC28AbLpXQr22TTTTJxt7Il4wEDasflUlRrgREVWy512co2cbSyJVsNjKtdqHANszNwYBzRMYDBcZtyqctWtklLK1syhURSgJ8jPbK7tWENg4d0g4FxELyUATifUjufEuh8RnQ0YADtsFyKaikwjGLKpS5b2drf1hO6xZjQSnps6gWi2+GUZATucqnLVrZuZ3NKJwBGV3S5lG5la3Y0ZzRjb23CKrGWS2U4TCif/4QVIwhiDxC6qvefsGIcHwkfH8SCGpKwUt+gh+1p9Q3vt6araHddhd2lqxgnoSlwHJOAWOzb01WMKJ7TVYwkHtNVjBTY/XLAbMRxZp6PASvJbchWceIhIlUX6+R6tbzpxpo42uuygiO8H3iJB53TES8a9u2DoDnncwSZz5IP+vaeOrB2O0ucXd1MYwHj8y+jGUEQzgkqoz2cOmAcEAkfELhuNmEcsGIgfG8nypMRhUl5Wk8dMKJ4lJ6MFNjgB5iOXPbjzDghA1YUb9rTdeqAkw/h3zsVn5u2q4mjjy4rOMIBksWn69QBJxv2BYSwtanP9gkt+aD91koJE53Sk4WTLm/S3XitFNFeYE4XKgdvslaKOAICNgKd1EoRTZQoEwHmdVUrFdtqpYigwBwxQsRaa6WIFgJTvXBt6qqVItoITPJuKzqJ1mESuoDxk7LoFyYLB2QLb65WSuh+2yLalCsU7lopKh4woHZcK0W1FhhRsbVSxWWtVOGolaJaDYyrXchwDbMzcGAc0TGAwXGbWqli5+pEOGqlqBQSSQF+jvTI7taGNQwe0g0GxkHwWgbgfErtfEqg8xnR0YABtMNaKaqlwDCKqZUqLmulrG/rCd1iTGglPTb1AtHtcEoyAnetVLFzdQIctVJUAmB0RddKFbu1UQ1jz2jG3tokj7DVSokQhwnl857k4QRBbAJCV/X8SR7OAZHwAYGvoE0YB6wYiD1OxPrYmuThRPGc5OFE8Zfk4aRoCgcHBXRdnif9IjdOyIAV5TYkeVj5EP69i9XlZo0pwnVOQDg61LOCIxwgeGEEntQRLxv2BYSwtSR5ABNa8kHf3kp9YSsxEs5WfqaxgPH5V5+MIAjvBFWf3iv1OcdHwscHLkYpfasbhfvrvtUMjaq7K97nnBdEcOlEXTOiMKlrYSI5ZCXxKK4ZKbCxHTAbcazUtfHc3IAVxZu4tlfvs+Iholen2nrTSVg4OkOzgiPcH1lb26v3WdGwrx8ErU1at89nyQet/veXK30tHrjF8w/n03e/+873DSNB0M7G+KBUc+zCTO1njsG2YgTxppbKaOwdsrHNZ8wxsEDR+xullPSGq1JNr1fdrOuplh/2Kon2UgupanP2GyXVni6embCUoI3fHJDZrjlFO9x2PnFdApHoEgipP+iLY0SuPshCfUj1h9ycjzyi0wk8HTzvpJGONdKxRjrWSMca6VgjHWukYxvSMR1J4pHgiShFNNREQ0001ERDTTTURENNNLQRDelE8PeL7sLXSfBEJ8Gl/qCvDlFkpSYrNVlpIyvJZNfynS1kuEfvVOOcapxTjXOqcU41zqnGObXhnNJx4BEGmf9UNGea5kzTnGmaM01zpmnONM2ZjeaMRlM9dysaHYr+whVHu6tItqc+EydDYZ0RmKmkGKqtNll7h2wtsGqKGkSrkteL1R7F4qvFq0Y962qTSO9M6K2M3uJny/cWL1YRVv9Fi6/2ejoVqvdNlh8vP9E/aMLfJ+M3YxFjKTLVRIkyEWBeV6XIifrKb/Relf6L9MbWatdLfVHvL12XUKtP6v2nC/3d1X5YtS11oeb8o97+33733weD48un4a0ffO+H7/7gne//dfUl9ZU7333nr//D+AezvVVp+9eLFzoZ3qv20x6qv63aNkvDcPlhFIdhT335hWlDzTQ9B+TpARaOIbawbAXUVAuB9V/wnSlHATXVRmDl17Z7TkTrMFVekPELE2G7bZJq4g1WUIt1/aJw9+UlkwFjP754Ok8ya/E02Vpg+EcWT4vLvrzC0ZeXbDVQBmy33Kw333SbTDvGER0DGM4J68pNPaO47MsrWvrykikkkgL8HOmR3a0Nu75YpBoMjIHgfUyA3ymBfmdEpwLGTVzddBTleV8Kk6n36aYCwyeicFpc9uS1v6kndIsxIZX0yNQ7w25nU5IRmAunxWVPXrejOaUTACMrcuNAPzu1Ude3BijGVhJxGiVJIqIgzdMsEPNJEozn81kwS9KZOBfjaXy+nhHrrsH3xl2WrujVuG3v4P/f3ds2y25c971f5ZSqbpXDfXAuHrobQN5RDMWiIlnHe6gzA+SkUgAGY7MikS6KvrlJlaokMc5DORUlcV6knMSOk7zIS1oSr2jJkr/AfXHON0o3ZvaQxADd/16zF3oQuTzaOnsOuX5/LPRavVY/CD9IlG6qvmCB8qkxTIF8nRVknHPYng5YfviLL1ccjjNOs3zlk9Pqh9H89Iup6HFBy783/0v/rc///3/x5BsfffiDj49//nb34R/+wYcfPNl8+L0Pn3y9ORy+159Wt5hp5us/Hmac4jjfnFLxLVYVJa4iXiKYwnibFcOjHfoYU2lGEpbFIDMjzTusJAsuBmGk8O1GI08j0TPHUk6xvMvKsthqECXycn5BCCehR1R4jNnoeU76cO2rsNzjywruMQLCEymPx/qcl873LUToXGtC3I90wwe93Jk688unpY2tnJ8XYKb6ZJdIB4toLVi6QlPIYB0sIr7A8B+lg0U0UXqZCJj31Q4WoXVV6t/8xZD//8Y80c9f/dIsxP7EnJak/++vTu2l07KfqbVA+huf6f/71env/nZYC/Sb4/lJD//cYcn3qTv2+Rcu8t6H/7j5p0/e+qO2f3Lfd3/wcd/94yf3H/7BR09e/WUWG2+S8Ze7Vvpv/Y2eupiD3vW/w5z/bhpmvxpc7JPXPzJHO/3CtMH0H/7MnP6u/wlfM40x/ae/NcvSX/21+ZMveeifDWvQf/Pk1X/QwL+YetJvk580WAh8jAyeaCFY1PPJzOebYUQbwWretTk30Tqfyh2iXxFPR4R3yRYG7IWph5q0tPfCqGRgFvHIvTCqtWAi4dsLk1/0wmZvlv0W3WowoXiM2YeBeeNdC8a36RhgYnBNL0y+8dUHYemFUSmkJwXsR0bZu7NhI4O/QzcYDIHwFA4YdzbguPOcTgWGzcfshVFNBaOnTy9MftELm31T7+kW+0RUksucZ8T2wWZDRuDuhck3vvoALL0wKgEYWb17YfLubNTI2O/SjD1mOK3oijaNeiG6SOzzLCqa9BB1e6kOcae6Q7bsIULC/PcU5Jt6bPKDROmW74UxgnhUPdFCxn8zM9TTysu//sos9tWvTicEzS7fnNvVwqiAxBXACwVTGG+zYnhUcR9jFsxIsnAfi5FkwT4WI4VvBR15GmXxLJ2bfDOiLNbGSpLZ83G/yUvoMaA/xkTyPJ1UDz0Pyz3erOAeAyA8B/J4rM956XxfQoTO1cZyP9INH/SwtfnpOdMyWeRiG7MmV5DphDK3sebJmHWRttZM+vt1srVgFQrNBv+rzvJ+8eqv9OfxOMlXvxzO4/Fsdr36W9PKOh93Y1oRT4amya9Nsvkke5o+MXtuhn/Hr1//W51RDtfTfq6/bP7p5sjKX55bJMMqrF8P/zpz64T55x5N+JvTeTafzeahRE0Fpumj9MqIJkovE4nmvU02D6xuPUZqS7QQrFT5pKzzDR6ijWCJ6tpklGidTzkK0E+keTK724loIkuHBz095Zt0s8Fo6d++SdJkvn1DtRYMmL7tm/yL9s3sVavfolsNBk6vrBt1jW/TzQZj0zXtmvyNrwpvaddQKaQnBew3Rtm7s2Ejg79DNxgMaOSpiuUIJqrJYITz7MXoQbqYDMW/R7cUjHM+rZj8i1bM7OBxT7fYJ/Y9pjtsyCZzt17yN74quKX1QiUAo6J36yW/Oxs1Mva7NGNPc+HTUG3C42JzYTGFoefC1ish82xWc8xU2lx4ZkHq18nWgiEdnQv7LvH8yt2Jw3q/P9V/8J/NFYnJ6cDbYa3faXo8rL77zfD/n5uzLY5//NvX/3xYBPpTs/LwL6b0eYusD5g7PMq8lmii9DIRMO+xTjFJhqWgX/WBcbvs/MD/zBxj/PqT1/88GhpmP379k+hLLvD0yfGvvP7Xw2LQT58k6VM5bAt7OP54st32W/P7Xw1n+g4nmbz67NmU9m+TtQdznMeYtBMtBFOax5m0E20Ek5lrJ+1E63wSF0C/NEvVdP31XbKJLJN2YHmUnjqYgwyluelRJuYjNR/m1EMpzIc5+lAq82HOP5TFw1qqwr6GkyoDmCYQigDZ7O6ev083F0wVfKsAxRdVgNkrr79FtxpMGbyqADNJsoF5410LxrfpGGBkv6YqULzx1QdhqQpQKaQnBexHRtm7s2GXVQGqwWDEhKsCwCi1MaPUxoxSGzNKbcwotTGj1MaMUhszSm3MKLUxo9QGHKWe0yUAQ7JnlUH/a58lk0/r9+imgpHZp8xQfFFmmH2t7+kW+0Rrkn+dm8f2kWlDRuAuOxRvfPUBWMoOVAIwDnuXHYq7s1GXZQeKscMUT3WdaNoyklmsIiHaOGrjdB/lWdekYt8Jqdojz2w54vvN4674nD85tfSDROmmChcWKJ/ixRTI11lBPBYIoXWN/6EnscPevmG/oDnL5N98pfZgGur/yESNibM5zS7B/1vFb6ST9bK3WKWQuBR4fWAK421WDI+VT/hU+/W/ev2TKZRvsKKMg78FBZ+Tx9MTyndYSRZc+8lI4bvsDHgaqsyfFeUUyrusKIut/ZTP1Fz7nhPPY1x/jMnneQpaPqwSnL0j/Nu84B7DHzxvQp/pc14039cPQXOt+nQ/zw0f9JBy7rNSdZnIIhH3XSSyuI9aPTWNukPRF00SH9JcvFw65ZwsPL+pp82+SmB0i6ecnCAeQxOacv6lTiLNURP2pPPJ0F8x1xR+MhyL8rOhPTYcTkHNRzl1krhO1+ajnBgeA/Jj5KOcKCz5aPZMTZG8w0qyXD7KSeEbEIGnUWS5eKYmyybvsrIslpAm8lk5k5Gy8nkM+4+ZkcqH266l5fpyVnCPAZCckc4+1Oe8bL5vIMLmSEmBB7rhgz5WQbPiEGdtEcWpkJHIhYqaQ9ZGpdiXIstV3GbLV0Enqxo6JbXeNjmZnEN0y6ekjCAeYxOakv6v4Vi0T179rVmX81vz8bPhfDSzROdvhnQzeyrfSCZr12+xwkoc9uq8khHDY1h9lLySEYUlrzTt7kuQd1hBFkwrGSl8gxrwMDJRlLOXLXGyLJZWxjMnUX+TF89j5H7UrPLhomdpubibFdxj+CNnlXPP9Dkvmu/7h6C5kkr389zwQQ9JZd6WOm3N+kgWRRmJtiiiNj8o/T/jrmkapdKmf7l0UimmlNBJZeqrBEa3fFLJCOIxNMFJ5XBdyK+GcuZpA/0vhsrlL4d99Z8Nq8k/f/L6X+nf/vbVz54+0X/jz1/9h1d/+eo/vfrPr/7sWOX879nkVOEtVjEkLsbVSScjhseoiyed+pn9fArlG6woLEln/CyTUyjvsKIsmHYyUviGPeBxFIl4lsaTT+RdVpbF0k4pZ7fHs/J5DO6PmnemD3lKask7OcE9RkBy3jn7UJ/zsvm+gQibK/F0P9ANH/SQePaHTKm9aqMkSYpIJKqLmq6TQw2013/WF+nJ2xdMPCfHLJ14Zr5KYHTLJ56MIB5jE5p4/mezj9RsGnwybBA0V0H86PUnr//t6389HK30O0+Ge89/9OpvX/90uH/i07/zj453SMzfRsepgMQVuDrbZMTwGGs9sk2z1fjnz55MP5dvsAIx5Zzp5GjxDivKgjknI4VvxAMehyySZzKffCLvsrIslnOmz4q5lJMTz2NYf9SUM3vIUCxXpbOCewyD5JRz7pk+50Xzff8QNFfG6X6eGz7oIePMRCv6faez09gs/1SJito+PUTlXuS5Wf8Zl83LpTPOyVVYOuMUvkpgdMtnnIwgHkMTmnH+xZcOK/k3x8Llb159OizpNIeH/vr1T4fs8/PjEs20eCPN34ifiuHqsmw252TUQOIaXJ1zMmJ4DLaPmHMyArHknDPXR77DSrJgyslI4RvygKeR5qXOOScH8HdZWZZLOdOZY/G+ycvnMbA/as75cGeutFyDzAruMQzSc865h/qcl833DUTYXEmn+4Fu+KCP+4h6IYokjqMmzg6RSA9t1JZxFh2aZB8XQvaZWD7pnNxWopNO6asERrd80skI4jE2XZF02vYEAQknI7/E+a9OOBkxPEbaR0w4GYFYEs6ZoeIdVpIFE05GCt9wBzyNJC6z7JlKpmDeZYVZLONU6lk5uQ3qm7x8HqP6o2ac8iFBsVyCywruMQ6SM87Zh/qcl833FUTYXBmn+4Fu+KCPGWeb56qMi6jJ+30k+kMfNUkfR4no4n3WNvtDcni5dMY5+fh1xqm8lYDols84GUE8xiY04/xSY/0/vvr89R+//snrT1795tXPX/94uCXpN69+4W6kMxJLnPjqHJMRw2NsfcQckxGIJcdMnk0vFXyHFWXBJJORwjfCAY8jFSLVOebkI3mXFWaxJFPMHo7Eiucxjj9qjvlwhaK03IrJCu4xDpJzzLln+pwXzfcFRNBcKab7eW74oE9rN5t9mjWH6NC2+rtZmurvtnkUd1lZdKnos+z0zBdMMcspJXSKab/rZEIJjG75FJMRxGNoQlPMPzUXThxvt3z9J68+e2LuixjOPzqflDSUNT8zt02YCyF+8vpPHi5m/5n+g0/NXSTDRZi/ffXXx2vZj78110q8kaRx/EYqp5drv8UqlcSlujo3ZcTwGJM9ctO5qzE4SZZOShlRFkxKGSl8YyLwOBxJKSPMYklpkslnp/Vvl2kpJ6DH2P+oaWn+kMbMXmX3bV5wjyGQnJbOP9XnvHC+LyEC50pM3U90wwd9rH0m+yTZyzJq5cFsQOriqCjFIdI5bKLiOG0P4hQuFkxMk8ksRWemnsfho3jLZ6aMIB6jE5qZ/rthr9Bnr38UDXvaP3/1m6HYqd4Qc+kkI5/E+a5OJxkxPMZSPJ20HIvEiMKST8bPpvemvMOKsmA+yUjhG8qAx5HkQjzLpzdwvcsKs1g+adkuxInnMV4/ajZZPOQelovIWME9RkByNmnZLsSJ5vsCImiuXNL9PDd80CaZtOWIj3m38eQYpJPDcpZNGxrHY7awdxtTrR2PFv+n3m1M1Udg+jzG3cZUE6WXiYB5X73bmHCpcQpdavxnr/6rngn8j1f/88mr/6n/VX89HCTwV/o7P3r1i2dTEr1NlmgcGviuIKZaOM55Oa8gpto4TmZ5riCmWjeOkVdeQZzEcvbcTqKF4W4gVubyYWUuH1bm8mFlLh9W5vJhZS4fVubyYWUuH1YP13rK4dqX2cuHyQqAcfyRLx8mmwvGcs/Lh2V5vnxYzl6v8y261WBMf4zs38C88a4F49t0DDD0XnH5sLb9qw9ijuJ36RTSkwL2I6Ps3dmwkcHfoRsMxkp4CgUMUBszQG3MALUxA9TGDFAbM0BtzAC1MQPUxgxQG3CAek6nB+PwI947TDYVDMce9w6fB6bfs7zR93SLfUI0ybXOk1f7oLQhIzDfO3wekB4ewBzBe3QCMAR/7DUYGUXvzkaNjP0uzdgbbSfJuXuH1fzdI5OQKN3i3SROEI/qJFpz8O4mcfJJnA+fkE9hvM2K4VFLxSfN890kTpSFu0mcKMt1kzgpxlmAhQKdrOu5XzLXS+JEuYFeEiuex2j9GLPJhzmlerjqS1nubmMF9xj/4IkQ+kyf86L5vn4ImqOXBDzPDR/0re7JlHO3CZ/2l/soAdEtn0gygngMTWgi+Qh7MjmJJU58dWrJiOExtOKppWtPJicQS4I5v/ydE2XBBJORwjfCIY8j0Rn/3OHGnCyLZZjzWzJZ8TyG8UfNMB/u/VKWe9xYwT2GQXKGOb8lkxXN9/1D0FwZpvt5bvighwwzacp92qkkKtLhhJBMRm1SFlFf5nGyb/e5FP3LpTPMbEoJnWGmvkpgdMtnmIwgHkMTmmH+xXGjpckw/8wca/z6k9f/fGL1y2kbptle+fqPzU5L8/lMzmQ3b7GqIHEVrs46GTE8hluPrHNuFRAnydLpJiPKgukmI4VvuEMehzXdZGRZLN2MZ69vY8XzGNMfNd18uO1LWa5vYwX3GP/I6ebcM33Oi+b7/iFornTT/Tw3fNC3epeGnLs2WGW+SmB0y6ebjCAeQxOcbnLcpcGpgcQ1uDrZZMTwGGw9kk1XiZMRiCnnnMye32ElWTDlZKTwDXnI00jV9FVI77KSLJZwWm7SYOXzGNYfNeN8uO1LWW5vYwX3GATJGaflJg1WNt/3D2FzpZzuB7rhg77VmzRm9ujolFP4KoHRLZ9yMoJ4jE1XpJzX3aTByS9x/qvTTUYMj5H2EdNNRiCWdHP2Jg1OkgXTTUYK33CHPI1SPivkFMq7rCiL5ZuWezRY+TzG9EfNNx8u+lKWm9tYwT1GQXK+ablHg5XN9wVE2Fz5pvuBbvigT4ccI1cLL5xvTs6Rdb4pfZXA6JbPNxlBPMYmNN/80prNT3Xq+TevPn/9o9efDGXNT1//9MnvmENETGf9b1//dNgm9Onfca/hZFRA4gpcnXEyYniMtY+YcTICsWSc8bPpPSnvsKIsmHIyUvhGPOBxpOpZNttTZ0RZLOW0bBLixPMY1R8143y46EtZbm5jBfcYBckZp2WTECea7+uHoLkSTvfz3PBBDwln3pZKxlkfyaIwG4qKImrzg9L/M+6aplEqbfqXSyeck1ULnXAqXyUwuuUTTkYQj6EJTTj/l05TPh02mn/26mfHM+x+MZQ5f6n/+BfmXg1zV8aT1/9K//a3r3729In+G3/+6j+8+stX/0knq392LIn+9yybEuMtVjEkLsbVuScjhseo65F7/urVz6dQvsGKwpR1ZnIK5R1WlAWzTkYK37AHPI5MPStnt6YzoiyWdUo5v5STk89jbH/UtPPh8i9lucyNFdxjACSnnbMP9Tkvm+8LiLC58k73A93wQQ95p8iKQ5y1RRSnQmemuVBRc8jaqBT7UmS5itusfbl03jlZ59Z5Z+6rBEa3fN7JCOIxNsF55+tPTGXz1d+aiuZvzcfPhsKmOUz3b4asMjPXsiVTsG+xwkoc9uq8khHDY1jF80rLkUeMKCx55fTdX++wgiyYVTJS+AY16GEU6dzxxJwoi2WV8bNyEu+bvHgeA/ejJpUPF3cpy1VsrOAeox85qZx7ps950XxfPwTNlVO6n+eGD/q4WDMrVZeJLBJx3w3VzqhVMom6Q9EXTRIf0ly8XDqnLKeU0Dnl/DUiM0pgdMvnlIwgHkMTmlP+pc4dP3v1C3Nk5heXAn/lTg39R3/9ZLjJ4Tf6jz4Zrg/+2XADh7lT+K/dCzyndHqLVSeJ63R1OsqI4TEgP0o6yojCko5m0ytx3mElWTAfZaTwDYjI08jL6YLBu6wki6WjiY5dc0VOTj6PQf9R89GHy7+U5TI3VnCP4Y+cj84+1Oe8bL7vH8LmSkjdD3TDB73kbW5z6zNLK1syZgt7mxvV2vFw8X/qbW5UfQSmz2Pc5kY1UXqZCJiXPMJVbcNjfPXnXzq1KhpOsvrx6588ib70bJ8+Of6t4VAB/c0nSfrUHFtlnq35n+aJD/706+Gv/8vhX/krU8F+YszRT998/vjVZ8+mRH2bLOo4mvDd/0a1cJwjc97/RrVxnP3y3P9GtW4cVa+8/01IMX2cybtkC8Pd/5ab+99yc/9bbu5/y839b7m5/y0397/l5v633Nz/lhfmozzdsaTsl8CRZQDD/yNfAkc2F0wBPC+BU19cAqcsl8CRrQZTgceYNRiYN961YHybjgFG7CsugVNfXAKnHJfAkSmkJwXsR0bZu7NhI4O/QzcYDJjw1AsYpTZmlNqYUWpjRqmNGaU2ZpTamFFqY0apjRmlNmaU2oCj1HO6BGBEfsSb4MimgoHZ4yY49cVNcPOv9T3dYp9gTfKv88TXPjJtyAjMN8GpL26Cs49K79EJwDj8sdeIZBS9Oxs1Mva7NGOHqZvqOtG0ZSQzc1CJaOOojdN9lGddY84pEVK1R57ZMoOlzkIrNczdBJfbrzK5gETpFu9ncYJ4lDbResX/0NPYXzu6WdSWFacUEpcCn/dPYbzNiuFRs8Vn2vMtK04UlpZVPH0c+zusJMu1rDgpxvmChQKd4CeZepZNVnHeZUVZrGclZ2/0YMXzGNcfY/L5MAXNH+4Yyy13xrGCewx/8LwJfabPedF8Xz8EzdGxAp7nhg/6VpdQqbk74/LEVwmMbvmUkxHEY2hCU85gS6g4dZK4Tlfno4wYHgPyo+SjjCgs+ejsEipOkgXzUUYK34AIPI1EZfJZIaZY3mVlWSwhtSyiYuXzGPYfNSN9uJMst9wxxwruMQCSM1LLIipWNt83EGFzpaTuB7rhg77VnaJq7pK5PPVVAqNbPiVlBPEYm9CU9LqdopywEoe9Oq9kxPAYVh8lr2REYckr53aKcoIsmFYyUvgGNeBhqCKZzPLfZQVZLKec3yfKiucxbD9qSvlw71huuUeOFdxj7COnlPP7RFnRfF8+BM2VUbqf54YP+lbPvFNz98jlma8SGN3yGSUjiMfQBGeUrGfecYohcTGuzjgZMTxGXTzjnD/zjhOFJeOcP/OOE2XBnJORwjfsAY8jkeWzeHIMf5cVZbGs03LmHSufx9j+qGnnw91jueUyOVZwjwGQnHZazrxjZfN9ARE2V97pfqAbPuhbvdxDzV0mlwtfJTC65fNORhCPsQnNOxku9+BUQOIKXJ1sMmJ4jLUeyabjcg9OIKaUc+5yD06UBVNORgrfiAc8jiSZWc3wLivJYhnn/N0erHgeg/qjJpwPl4/lltvkWME9BkFywjl/twcrmu/bh6C58k3389zwQQ/5JnbR8cL55uSIpfNN6asERrd8vskI4jE0ofnmxOXFv3n16bCY89NXPzNnkgy55+fHxZlpAV1gzKmBxDW4OuNkxPAYbB8x42QEYsk4k+m13++wkiyYcDJS+IY84GlIIZ+lM0fecaIsl3Hq9GTS4b7Jy+cxrj9qyvlw/VhuuU6OFdxjFKSnnHMP9Tkvm+8LiLC5ck73A93wQR83EEGXHS+cc07uJ9E5p/JVAqNbPudkBPEYm67IOW2bgYB8k5Ff4vxX55uMGB4j7SPmm4xALPmmmB4q3mElWTDfZKTwDXfA00iTTD5TcwknI8tiCadSz8pJvm/y8nkM6o+acD7cO5ZbLpJjBfcYBskJ5+xDfc7L5vsGImyuhNP9QDd80MeEs81zVcZF1OT9PhL9oY+apI+jRHTxPmub/SE5vFw64Zx8/DrhtF9/MqUERLd8wskI4jE2oQnnl5rq//HV56//+PVPXn/y6jevfv76x6/+6tWn+qdfuJvojMQSJ746xWTE8BhbHzHFZARiSTGTZ7GcQnmHFWXBHJORwjfCAY9D5PmzZLI89C4rymIpppg/EokTz2MUf9QM8+EWstxyqxwruMcoSM4w557pc14039cPQXMlmO7nueGDPq7aVPG+yZIskqnoIiFiEbUqLk3HXSb6P3lbnoRZMMEsp5TQCab9OpMJJTC65RNMRhCPoQlNMP/UXDRhtp4PBxx99sTcEjGcenQ+H2moaX5mbpkwt0D85PWf/KPTnSE/03/wqblZxPwdc6GE2Vdkjk/6/Mlw48hvzIURX/nN8PfMLRNvJGkcv5HK6SXcb7GKKHERr85ZGTE8RmuPnHXupgxOkqWTVUaUBZNVRgrfaAk8DmuyyoiyWLJqCr4ymwL8Ji+gR0x41HT14Y6y3HLpHCu4xwBITlfnn+pzXjjfVxCBcyWs7ie64YM+VkSTfZLsZRm18mC2JHVxVJTiEOncNtH/+LQ9iFOwWDBhTSZzFJ2xlr5SYHjLZ6yMIB6jE5qx/rth99Bnr38UDZvcP3/1m6EEqt4Qc8kkI5/E+a5OJhkxPMZSPJm0HJLEiMKSTcbPTmuPLrNJRpQFs0lGCt9QBjyOTMRzFxhzkiyWTFr2D3HieQzWj5pKlg+Jh+VOMlZwj+GPnEpa9g9xovm+fQiaK5F0P88NH7T+zz/Uf1nov/MPbIniY15jnE8xvqmK+QPvZVnmYsy40DXGYsrar5OtHY8aAa8x1n/8uTn96Mmrf2d2oJ9rmb959fOnT1796XCN8a9f/5vXPzV/f0qFt8gqCEyFx7ismGqi9DIRMO98F/Gnr3799MlwdbF+4Y//lR3/Sxz/S1qvNRb6N/9l8q7hz4+F5/EK2+EPPx2O5f+1Ocrqx8fbjc211K//5Mlb33v/D6N3f/cLb3jzo+//4OOPPvzg94df6d98/f0Pf/+Pmo/2T58Mm8V+Odx0/KPjrcY/Ho4p+MnffaLHlNd/rD+GG5H1N//F4If6F/dvfutJGU9PC98mP51xDOK79Zhq4Tiz5rz1mGrjOGXmufWYat04GF9563GSx3Pb6KkWhrv1uEhOV4QWwxUysxcZk8nABMD/IuNSZbP3GJOtBXMAz3uMi/h8j3Exe1PPt+hWg7nAY8weDMwb71owvk3HAIP5FfcYa9u/+iDmKH6XTiE9KWA/MsrenQ0bGfwdusFgCISnYMC4swHHned0KjBsel5NnKn8mZgc/H+PbioYPT2uJj4POL9neVPv6Rb7RFSSyzxMah2DzYaMwHw18XmgeXgAcwTv0QnAyPqx1yBjFL07GzUy9rs0Y48xKm+SouyiptvHkWjNWv1E/8+yiNNCFXnWlqfhf7Z0YKmh0MoHc1cTF4kfJEo3VWSwQPkUGqZAvs4K4lG1RGsQfzEqO/z1Vyahr341UV84rYn698OaKbMHdEKHt1h1kLgO+BR/CuNtVgyPWuxjzIUZSVg6Ucn0WPEOK8lyjShOCt9SOPI0ivyZmpuCM6Is1onK8+JZPLPPkxXQY1R/jNnkeU75cGtYYbkGjhXcY/yDJ0L4U33OC+f7CiJwjm4U8EQ3fNCmGzWknc6V9j/ou4/f//CDCSUIOaWcwtT5ZGrFlGPMuYbUvK0+qeJDT6osp6z9OtnasZNZlEXzweHYj385tCOGjsFfmWzw9Z9M2a2TvPTvvks2/mLgm7f+unHvVHXNnuoPMTfQUSGEPwQ+tTWW/66x/HfnLP9duuXS33J8SqsN/44x/Dtzhn+Hbjju9fSR9VQxy55u5gA2ZICLOogDwM9f3jNWvzdn9Xt0q/Fh3LP8oY3+rjH6u3NGf5dm9JfGc/NfC62RkLMljszKkM8Kj5lKi0fa6Mn54tfJ5oKNETQg/eVQoDCn6f9/Qx986JP/Sgclc7z+J69/bJZA/MwULT4b1jzoL59uuTdFjeESKP13Xv/0yVDU+OJOqKGGkQ4H9b/61et/of/m51MyvEWWYRwXHmWVxKs/M3WZyFxn9WTo5P/49U+18Z9pBYaNbT83+9SOlZwnr35u4vdwgteweOQoyuevfjlchvWLYRXBz8wvvhDmtOjg9R9/KfQ/m5Ll75FlkV6yAJJMmfc22TywL+NTjjFPacrIb5CNBNssPpWW+dUJRBvB/sq1NRSidT69FEC/yaz+XbJ1LCsTLtd5z90URTYbjKn+yw4SVeoJ6PzKA6rBYGT1XXmQfbHyYPYao2/RrQYDrNecCfWOb9PNBgMiYZZ0bgBmb3xVeMtKAyqF9KSA/cYoe3c27HKyRDUYjGjkAtucpzynmwzGN79lBKmIU1E8yyZrgb9HNxYMdD4LCbIvFhLMjh/3dIt9gt9jesSGbDL3woHsja8Kblk4QCUAY6PnzNn4ytmoy0kzxVhTxX16ToSN2YvNmycnonreLKwY5azmmKnEebOanuZ/nWwuGNbRebOZKf6NmRbrGZ2eJJsprpkF/1L/+JNhYviT054DM3P8hf7f//L1J6cdBlNcb5G5wLjvNxGW/9cwbzUG/5dX/+2JuQ5lYiI7qmEPwA/r4IcvGuQ//1Jd4FOLAn+PrID0UgCgnzLvbbJ5YIbgMef91cn3fj0UV+Zmv0RzwezgcWa/RBvBpODa2S/ROp8EANFvyrp3ydaFnv1SzQYjo//sd87Wv0+3FQyNvhNf8cXEd/Y+tW/RrQYjJNfEl2q28DSbkMCKN74qvGXiS6WQnhSw3xhl786GXU58qQaDYY1j4ks1GQxtfhNflcRJlsXPkkmBf49uLRjkfGa+4ouZ7+wAck+32CfwPaZLbMgmc898xRtfFdwy86USgHHRe+Yr7s5GXc58KcYO65eO/9G//4P39/v+g7f05PD5MDc0DKrt0rZt4qgXBxmJIj5ERZEfokZkcZNJkez3zfGb5/myuYz5K/j99/qzN31VgeO/EY5ck330qpx8fNX0WVYGeywFSjk82/EYC8HhbmqI6mmimoloPARDRLjbaqA335wmevNNBqQvze/mXXJ+IcejuGQSP62SZHqzWVVOMg8HpqkyLSZf1CnPgxg8PU8bXs8ZXlMNHzsYZLing2nD9ceM5dr/CKZ/qaAWzpGSaR9KpjdIPQDNh6ZFnGja6Jps9CIONG208SyC1TfhO9N5TZVML4c+AWVxWN+ZNromG72I70wbbZyKYPWXKsjhfCeb8Z3pRYkPQBcHOy3rO9NG12SjF/GdaaONUxGsvolxZ3pFa5VM9+YegNKwvjNtdE02ehHfmTbaOBXB6psYd+TTKk30/+dPqyzT/188rYR4WkmdUEv1tFKp/n/9Z7n+s0L/WaH/rNR/Vuo/S+I5xxNWNbKwjief1pq41sS1NqXWxLUmrjVxrYlrTVxr4loT15q41sS1Jq41cT1HXJOJF/FaqVN1jaw/cv2hrdEfhf7Q2G++KU0ir8HffFOT6w/zi9z8ojC/KMwvSvOL0vxiTgDzahAUGCpmJ8d/OVoFkIINhKMucJdmpk71PJGn+zSepXMFqhemQG1hnN/WAHYVvoSCO/WpuAbYvyXbL7ztxy2/ByzfkS2XPpbTx9LTETgASkVGGQ+ObhRfJ3oPsL8m2w92HijjnBb17sGwy5GJYrCxuChEqQohoqbo40iUWR81h/IQNf0hSWTfxHHfvRyF7/Gg9f1mdkvu4wxcD8PX8d5V/fCsA5jykwLVYPJVc6Jf/7opp7tWbMjHKxaaOOv33SFqxb6MRCyLqCzzLCoaeTjETZzH+/JmXCSHXCT31QvTIJSL5ICLcCEfr42TpWyKfa9/ae7pSLpSe1KcRGWf502a96JP9jfjIgXkItNNBItemAahXKQAXIQLeXCRrFO9NNdcF6n5binKqC36Pkpk23dlK0qZy5txkRJyEWv9f0ovTINQLlICLsKFTL18MpiLpDHiIqm1zD/5SkEaBHKRNHa7CBuy8RHro3dP2K5gf54mTvYXqaUyn8fx/HGIC8ydAfu3ZPuFt/245feA5Tuy5eOXyD1hu8KJNgBKRUZZYO4M2F+T7eecO6fJ3YNhF3NnksGri1cpFK8s7aEpKVANQsWr1OmuFRvy6rLeNINcxNIFmtYL0yCUi2SAi3Ahr668kgrIRYSvXpgGoVxEAC7Chby68koqIReRvnphGoRyEXdPoWJDXl0dP4Xq+KmlqD2tF6ZBKBcB6vhsyKcb7pLQDejUXal+kdor1WoswqKTaLf9W7L9wtt+3PJ7wPId2fLx2+SeuV3hRBsApSKjLDGJdttfk+1nnUTndw+GXU6iKQavLnBBraPU3ke5kALVIFTgAlpHbMiDizTN/tD2qomaNjF5UNpGjWhVpIRsVXsoyyQXN+MiUOsoLX31wjQI5SJA64gNeXCRQ9epQ952UZF3nXanLtHzqqaLDqpJ06ZtiyIvbsVFMqh1lNn7KBN6YRoEcpEMaB2xIa+uFJclkIvYN4JM6IVpEMpF3M2Fig15dQX9DCroZ/b9HhN6YRqEchGgoM+GHLgBnbkr1S8ye6U66OJtwP4t2X7hbT9u+T1g+Y5s+fglck/YrnCiDYBSkVEWmDsD9tdk+znnzll292DYxdyZZPDq4hXUOsqEnxSoBqHiFdA6YkNeX9YLtY4y6asXpkEoFwFaR2zIqyuvZFDrKLP3USb0wjQI5SJA64gNeX3lFWgLSGapV0/rhWkQykXcPYWKDTn0xMhdoH6RWQrUmj1oUxGwf0u2X3jbj1t+D1i+I1s+fonc2fgVTrQBUCoyyhITI7f9Ndl+1olRcVdPXyZhNvATDF5bUzGDOkaZpX0yJQWqQah4BXSM2JBXl/UKqGMkLO2Tab0wDQK5iAA6RmzIq8t6BdQxEvatDvQOWyAXATpGbMirK68IqGMk7Psh6B22QC4CdIzYkFdXpBXQFhBhr1fTO2yBXMTdU6jYkAPPnYW7QP1CCCv7/F1dC8ydAfu3ZPuFt/245feA5Tuy5eOXyD1hu8KJNgBKRUZZYO4M2F+T7eecOwtx92DYxdyZZPDq4hXUMRLSTwpUg1DxCugYsSGvL+uFOkbC3j6Z0AvTIJSLAB0jNuT1lVegjpGwt08m9MI0COUiQMeIDXl95RVo54ew16sn9MI0COUi7p5CxYa8ujq+gOr4wl7UntAL0yCUiwB1fDbkH57uWD49cRNPQm5ule6C9Qtp3+Iwf93NAnNpwP4t2X7hbT9u+T1g+Y5s+filck/grnCiDYBSkVEWmEsD9tdk+znn0jK+ezDsYi5NMthYHGepUL2OcOk+TyORljrWZSqOmkwpqWJZZu3NzKUl1EGS9g04F1KgGgSKXxLoILEhr+74Hwl1kKR9A86EXpgGoVwE6CCxIa/u+B8JdZCkpZ0yrRemQSgXATpIbMirq8hJaCeIFL56YRqEchF3j6FiQz5W5JK0LPeyixrVFJGQeREVSdJHZdOpttdBSs++b8ZFoLq+lL56YRqEchGgrs+GHLgPLd0F6xfSXrAOO3d2278l2y+87cctvwcs35EtH79E7gnbFU60AVAqMsoSc2e3/TXZfta5s7p7MOxy7kwx2FgsU9k2opBRJpJ9JFqVR00e6zRZyDhrZawOt1P7lVAHSdrbKRODN6ZBqHgFdJDYkNeX9UIdJGlvp9BTwEAuAnSQ2JDXV16BOkiy9NUL0yCUiwAdJDbk1ZVXFLQTRNm3RdBrDWFcRLl7ChUb8urq+Aqq4yv7tgh6UTuQiwB1fDbkwHNn5S5Qv1D2LQ7lmH3JuTNg/5Zsv/C2H7f8HrB8R7Z8/BK5J2xXONEGQKnIKAvMnQH7a7L9nHNnld49GHYxdyYZvLp4BXWMlH0DzoUUqAah4hXQMWJDXt3ESEEdIyV89cI0COUiQMeIDXl9EyOoY6Skr16YBqFcBOgYsSGvrgKnoJ0gyl6vntAL0yCUi7h7ChUb8urq+Aqq4yt7UXtCL0yDUC4C1PHZkEPPnd0F6hfKWqBO4jH7onNnt/1bsv3C237c8nvA8h3Z8vFL5J6wXeFEGwClIqMsMXd221+T7WedOxd3D4Zdzp0pBq8uXkEdI1X6SYFqECpeAR0jNuTVZb051DHKre2TKb0wDQK5SA50jNiQV7f/OYc6Rrm1fTKlF6ZBKBcBOkZsyKvb/5ynkItY69VTemEahHIRd0+hYkNeXR0/h+r4ubWoPaUXpkEoFwHq+GzIgefOubtA/cKMdhb2ZMy+5NwZsH9Ltl94249bfg9YviNbPn6J3BO2K5xoA6BUZJQF5s6A/TXZfs65cy7uHgy7mDuTDF5dvII6Riaj95EC1SBUvAI6RmzIq+s751DHKLe2T6b0wjQI5SJAx4gNeXV95xzqGOXW9smUXpgGoVwE6BixIa+vAgft/Mjt9eoJvTANQrmIu6dQsSEPLpKmrewPooliHYSiJOmLqNCDTBTHMpaqKJJSpjfjIlAdP7cXtSf0wjQI5SJAHZ8NOfDcuXAXqF8U9gJ1OmZfcu4M2L8l2y+87cctvwcs35EtH79E7gnbFU60AVAqMsoCc2fA/ppsP+fcuYjvHgy7mDuTDB46RtBBDbcRrwqoY1TY2ycXUqAaBIpXBdAxYkNeXdZbQB2jwt4+mdAL0yCUiwAdIzbk1ZVXCqhjVNjbJxN6YRqEchGgY8SGvLrySgHt/CiEr16YBqFcxN1TqNiQV1fHL6A6fiF99cI0COUiQB2fDTn03NldoH5R2AvU2Zh90bmz2/4t2X7hbT9u+T1g+Y5s+fglck/YrnCiDYBSkVGWmDu77a/J9rPOndXdg2GXc2eKwauLV1DHqLC3Ty6kQDUIFa+AjhEb8vomRlDHqLC3Tyb0wjQI5SJAx4gNeX0TI6hjVJS+emEahHIRoGPEhry6ClwJ7fwo7fXqCb0wDQK5SOnuKVRsyKvbP1ZCdfzSXtSe0AvTIJSLAHV8NuTAc+fSXaB+UdoL1GLMvuTcGbB/S7ZfeNuPW34PWL4jWz5+idwTtiucaAOgVGSUBebOgP012X7OuXOZ3j0YdjF3Jhm8ungFdYxKe/vkQgpUg1DxCugYsSGvL+uFOkal8NUL0yCUiwAdIzbk1ZVXSqhjVEpfvTANQrkI0DFiQ15deaWEdn6U9nr1hF6YBqFcxN1TqNiQV1fHL6E6fmkvak/ohWkQykWAOj4bcui5s7tA/aK0F6jlmH3RubPb/i3ZfuFtP275PWD5jmz5+CVyT9iucKINgFKRUZaYO7vtr8n2s86di7sHwy7nzhSDVxevoI5RWfpJgWoQKl4BHSM25NUdBKXneoiP6K/5KoapEMhJNI/bS/igV3cYVBJDbSP9NV/FMBWCuQnQOOKDXl0lLolTzE3slesJxTAVgrmJu71Q8UGvrqafxFBRX3/NVzFMhWBuApT1+aADz6WT2F2x1o9cWOnVmH7J2TRCsKUTCG8C3PZ7xPYd3fbxy+Sexl3hShsEpqLDLDCnRghqOgHnrFpbdXc27WJeTbN5MBo6xeFWAhjUT9Jf8xMDVSFYAAM6SnzQK0yHoZ6S/pqvYpgKwdwE6CrxQa+uOZ3EUF9Jf81XMUyFYG4CdJb4oFfXoE5iaI+I/pqvYpgKwdzE3X+o+KBXV/RPYqjqr7/mqximQjA3Aer+fND6P//wh8N/9D8iG/vCWI4f9N3H73/4AYMam+9++3eqJElm+BNLRVuVGX6fL0SAT4uM2fWc2TXd7PFECDIbngsZq/WUZ8Zs8xuK3cbwJLgHzb1BiaXYrUoRB/aguak02exlPGja7MG3CHYP9eDgHpQ9rdIif1plqdIfqnxaCVHOeZWlNq4x8fPeISpvr8qe1galNii1QannUGo6yjKelj19803D8uabBkZ/apo335zDGXyTwHMbY5h4WiWZ9sCkmB3NLMV2DZcG9jvxtDYA9RxATQdYxtuE9i1DoD9nEAafJDDchodJ7VyJ8bBED29JahwuNT9l2ZzDCSsrfsAIhObtcFL7WmIcTvPUhqc2PPUcT03nWcb/pPG8ZPC/xIxzBsl8Dj/PQA1+S6AyWKenZCYA/8A6G3Q3d0hu+TAHTNyF2hf6S1bKoCtXEYItnUB4E+C23yO27+i2Sx/b6SPcw7wagKnoMONhzQ3j60rvIQQ1nYC115bIu7NpE8MUxWZjtNhnabEv9lFXlmUk2kZFTdxkUdnJ/b5R+/ZQXNQwgtWzEqyJkig/MVAVQtWzEqSJwgYderFI4u4N6Edu7w3ks+/sIgHMTbClEzAHMLftO7rt45fJPWJe4UobBKaiwywSwNwENZ2AN4Dld2fTJgIYxeb1BTCsb5fYW1gXYqAqBAtgSN+ODXpoyOi/nZyKBObph52SuftT2gcs/SkdzwNHNDfBlk7AHNHctu/oto/fLvcQeoUrbRCYig6zSERzE9R0At6IVt6dTZuIaBSbjdFFuU9VLNJICtlH4pB2UZnHcZTEadmUBxmn8qLcGSyipdimsdTa/rwUA1UhVERLkU1jbNDHvYVJIpQUZaSSTkZCFHnUyi6PDm2+j/dJIZUqb8dNsE1jqb3HOaEYpkIwN0E2jbFBD27SyUQVWZJHsu3TSPRlo12qkFFyiEuZd03atOp23CTF3MTeiJxQDFMhmJsgm8bYoI/TqOSQx3lbRnnS55FI4iQq1CGN8uaQlnslD/LQ346bYJvGUns3cWpGAakQzE2QTWNs0KHrgKl7n4x+5GKeXk8iizH9orMmgGBLJxDeBLjt94jtO7rt45fJnaZf4UobBKaiwywxawIIajoB66wpNZvGTqZdzppINq8vgGGbxsx74SMGqkKwAOZuv1Z80CtMh7F+pxlx/BTDVAjmJki/kw16hZNrbNNYam+xTCiGqRDMTdy9sIoPeoWlOqz5lNr7MBOKYSoEcxOk+cQGfW4+nR67cYegzafUXW/XPmCvXc/vsllkGuUm2NIJhDcBbvs9YvuObvv47XLn7Ve40gaBqegwi0yj3AQ1nYB3GmWaTyfTJqZRFJtXN43KsOZTZu/DXIiBqhAqomVI84kNenCTtu365pCVOvqJLhJ5cYgaFet0KWmLfdI2+0zGt+MmWPMps/dhJhTDVAjmJkjziQ36uC2nS9Oi7A+RylUWiSYVUZHty2gvpMrzJN7H6nZm2xnWfMrsfZgJxTAVgrkJ0nxigw7dVcjcPRX9yO0H8YVNhwGCLZ1AeBPgtt8jtu/oto9fJnf+dYUrbRCYig6zRDoMENR0AtZ0OMvuzqZdpsMkm9cXwKDbr/TX/MRAVQgWwNy9sIoPeoXpMNZ8yqSvYpgKwdwEaT6xQa9wco01nzLlqximQjA3QZpPbNDHw6MM+tgPxlJAu+RJShwPNMiKp1UiYvORmg9zoIFQ5sP8QppfSPMLaX4hzS+k+YUyv1DmF8r8QplfKPOL3PwiN7/IzS9y84vc/KKI50S2tG5UqS1AUyVIKjxbOh6QoPWpjT610ac2+tRGn9roUxt9aqNPbfSpjT610ac2+tRGn9roUxt9aqNPbfSpjT610ac2+tRGn3pOn5quzzgRg/SBc7HTgQtaH/2pBTKf6fA5HLgg1PA5/FYOv5XDb+XwWzn8Vg6/VcNv1fBbNfxWDb9Vw2/z4bf58Nt8+G0+/DYffjsjmrGLotqQCh5VC97Aydz9LD0qW/pZmjKd9Y1FZqxugi2dQHgT4LbfI7bv6LZLH9vpI/w51rlhKjrMIjNWN0FNJ+CdsRZ3Z9MmhimKzcboTucSrRIqavNWT1sOZRa1XdxFXdG0++TQ7JvmIrcIl2NiB5Rm1m7WpRioCsFyTHfbseKDDl1yFe721Qv9pXn6PE7nk5slAhhAsKUT8AYwwPYd3fbxy+QeMa9wpQ0CU9FhlghgAEFNJ2ANYCK+O5t2GcBINq8ugAmstSys98JdioGqECqACaS1zAZtiiRPX4Y/x0G4O6f60Vs7p3L+WMRFApmbYEsnYA5kbtt3dNvHL5V75LzClTYITEWHWSSQuQlqOgFvIEvvzqZNBDKKzUO1/xDHh7zro6IrZSTiLjGXfIoojYVSsi9U1+5f3kwgw7bUCuvu0ksxUBWCBTJ3x7vigw4+E3N3TvUjF/P0OozPn2K+SABzE2zpBMwBzG37jm77+GVyj5hXuNIGganoMIsEMDdBTSfgDWBmS+3JtIkARrF5fQEMW9UgpJ8YqArBAhiyqoEN+mF30+mpB++NCXfzXruAmldDh/Owh50DBFs6AXNAc9u+o9s+frncI+gVrrRBYCo6zCIBzU1Q0wl4A5q6O5s2EdAoNg9Gp23XpH0X5WXTRaJM46gtD3GUJzJuD10v8vKGSovYrm5hX88wce43pkKwgIbs6maDDj4jc/ez9SO3blZO09l3dpEA5ibY0gmYA5jb9h3d9vHL5B4xr3ClDQJT0WEWCWBugppOwBvAzOIOMbe4g2Tz+gIYtrhDlH5ioCoEC2DI4g426FvpjUl3X/tFIq17lOXFHbyLBjKAYEsn4A1kgO07uu3jl8o9cl7hShsEpqLDLBHIAIKaTsAayKRZ5CHnFnmQbB5Ki12zz7MiifqsTCKx36dReeiSqGu6LFWdjpDl6cHcQCCT2CIPad1KfykGqkKoQCaRRR5s0KFnYtLdz9aP3NIb1mE87OIOgGBLJ2AOYG7bd3Tbxy+Te8S8wpU2CExFh1kkgLkJajoBbwAziztOpk0EMIrN6wtg2OIOad0lfykGqkKwAIYs7mCDfuiNncCD98aku7+tXUDMq6HDedjz0wGCLZ2AOaC5bd/RbR+/XO4R9ApX2iAwFR1mkYDmJqjpBLwBzSz2OJk2EdAoNhujk8wce3tIojQXZSTSuInaJjtEbdkkbZIUhyK/ndKixBZ7SOknBqpCsICGLPZggw4+I3P3s/UjV/P0OpyL2Xd2kQDmJtjSCZgDmNv2Hd328cvkHjGvcKUNAlPRYRYJYG6Cmk7AG8DM4o6TaRMBjGLz+gIYtrhDWtY5TImBqhAsgCGLO9iggwcwdz9bP3J7bzjs6kSAYEsnYA5gbtt3dNvHL5N7xLzClTYITEWHWSSAuQlqOgFvADOLO+Tc4g6SzesLYNjiDln6iYGqECyAIYs72KBDBzDl7mO/0F+y0odd1AEQbOkEvAEMsH1Ht338MrlHzCtcaYPAVHSYJQIYQFDTCVgDmDKLOtTcog6SzasLYApb1KHsh1hMrG/AVAgVwBSyqIMNOngAc/ex9SO394QvblBeNoC5CbZ0AuYA5rZ9R7d9/DK5R8wrXGmDwFR0mEUCmJugphPwBjCzqONk2kQAo9i8vgCGLepQ9vUNE/fBYyoEC2DIog426OABzN231o9cWOnDLuIACLZ0AuYA5rZ9R7d9/DK5R8wrXGmDwFR0mEUCmJugphPwBjCziONk2kQAo9i8vgCGLeJQ0k8MVIVgAQxZxMEGHTyAufvW+pErK33Y+9YAgi2dgDmAuW3f0W0fv0zuEfMKV9ogMBUdZpEA5iao6QS8Acws4jiZNhHAKDavL4BhiziUfT3D1NVjkArBAhiyiIMNOngAc/et9SO39oCz+QO7FwlgboItnYA5gLlt39FtH79M7hHzClfaIDAVHWaRAOYmqOkEvAHMLOJQc4s4SDavL4BhizhU6ScGqkKwAIYs4mCDDh3Acnff+oX+kpU+7KG/AMGWTsAbwADbd3Tbxy+Te8S8wpU2CExFh1kigAEENZ2ANYDlZhFHPreIg2Tz6gJYji3iyK3rGS7FQFUIFcByZBEHG3TwAObuW+tHnlrp09l3dpEA5ibY0gmYA5jb9h3d9vHL5B4xr3ClDQJT0WEWCWBugppOwBvAzCKOk2kTAYxi8/oCGLaII7euZ7gUA1UhWABDFnGwQQcPYO6+tX7kwkof9mgpgGBLJ2AOYG7bd3Tbxy+Te8S8wpU2CExFh1kkgLkJajoBbwAzizhOpk0EMIrN6wtg2CKOXPqJgaoQLIAhizjYoIMHMHffWj9yZaUPexIHQLClEzAHMLftO7rt45fJPWJe4UobBKaiwywSwNwENZ2AN4CZRRwn0yYCGMXm9QUwbBFHbl3PcCkGqkKwAIYs4mCDfjgb8fR+Bj8bMXf3sbULWHrCqlRhF3UABFs6AXNAc9u+o9s+frncI+gVrrRBYCo6zCIBzU1Q0wl4A5pZ1JHPLeog2WyMFk1c6t8nUdnsZSS6NI6KXrVRf8j2Mm30376hizBzbFFHXvqJgaoQLKAhizrYoEPPyAp3H/uF/tI8vQ7nYY+WAgi2dALeAAbYvqPbPn6Z3CPmFa60QWAqOswSAQwgqOkErAGsMIs6irlFHSSbVxfACmxRR2Ff3zBxyhKmQqgAViCLOtighxmZQc/GfjCW4gd99/H7H37AoMTmu9/+HY2YPdUfhf4oU/ORP63SODEfwnyY/5mk5sP8lJqfUvNTZn7KzE/C/CTMT9L8JM1PyvykzE+5+Sk3PxWzIltazzpLwFesQVLh45vRpzb61Eaf2uhTG31qo09t9KmNPrXRpzb61Eaf2uhTG31qo09t9KmNPrXRpzb61Eaf2uhTG31qo089p09N12c8dEL6wKOnkccMktlT81mYT62Q+cz1p9HIfIrhc/iTJB0+h5/T4ed0+Dkbfs6Gn8Xwsxh+lsPPcvhZDT+r4ed8+Dkffp4RzVhEUW2Q7eVtFEkKd9Nej8qWpr2mDNu2Bgi2dALmHNNt+45uu/SxnT7Cn2OdG6aiwyySY7oJajoBb46Z3Z1NmximKDYPVf8m67NUyki2jYpE2edR23ZFlOZln7RJWpRN/PJmckyB5ZjCTwxUhWA5pnuxRcUHPbiJEvs87/osanWMjoSSaaT/dqv/VrNPWtXsC9ndjptgqxsK6asYpkIwN0FWN7BBD25SNJlUsSiitjjo7+Z9HxX7VERdrhrzb4hF3N6OmyjMTZSvYpgKwdzE3fmu+KCPs1X9nzwRTSSSLI5E1qmoTJQeflQet6k8iD5Rt+MmWKu5sHRdpxXDVAjmJkirmQ06eGXe3U3Tj9y+3TjsmdkAwZZOILwJcNvvEdt3dNvHL5M7Tb/ClTYITEWHWWTW5Cao6QS8sybTWi7mWsskm9cXwLDWcmHpsk6JgaoQLIAhrWU26PWlw2UMuUlp72ZNKIapEMpNSnfbseKDXl8NpsT6fKW95TV1GD2kQjA3Qfp8bNCh0+HSvV9VP3JLq0TThz2BHyDY0gmENwFu+z1i+45u+/hlcudfV7jSBoGp6DBLpMMAQU0nYE2HS7N5+2TaZTpMsnl9AQzbvF3a9zFPHUYPqRAsgLlbXxUf9PqaCCXWayqFr2KYCsHcBOk1sUGvcNaE9ZpK6asYpkIwN0F6TWzQ66vBlFivqVS+imEqBHMTpNfEBh181uRuoehHbt+tF/baF4BgSycQ3gS47feI7Tu67eOXyZ2mX+FKGwSmosMsMmtyE9R0At5ZU353Nm1i1kSxeX0BrMACmL2jMnEDCqZCsADmbn1VfNArTIexXlNpb7tMKIapEMxNkF4TG/TqajBpDPWa9Nd8FcNUCOQmmsftJnzQD8c3PEQV818htyaksbunon3A0lNRpQq6/RUh2NIJhDcBbvs9YvuObvv47XInZFe40gaBqegwC+THCEFNJ+DMj7VVd2fTLvJjms3GaKG6uM2LRse8LIlEKsuokIWIDsU+Lru2y3p1M4lPGqdYRLO0WKbEQFUIFtHcvbCKD3pwk1j1bbqXWaRKnRqJNEuj4iD7qGvaPpeylHFxQ24CNZ/013wVw1QI5iZA84kPOnAdMI3dPRX9yMU8vU77gt6eiRBs6QTMeY7b9h3d9vHL5A6sV7jSBoGp6DCL5DlugppOwJvniLuzaRN5DsXm9QUwqN+pv+YnBqpCsAAG9Dv5oFeYDkP9Tv01X8UwFYK5CdDv5IM+F3iKI3nosyfS2N3z0T5g6Z/otC/oslGEYEsnYE583Lbv6LaP3y53pL3ClTYITEWHWSTxcRPUdALexCe/O5s2kfhQbB46W7EskraJo+agA59IRByVcVlEh2Yviy4pZRs3L28mokENUP01PzFQFYJFNKABygc9uElb7rM+6ZJIxUJHP1H0UZkVZVR2Mst1miRacUOdLagBqr/mqximQjA3ARqgfNDHA7ek7NO2l/qXrf5uK3UuLfbaucpMJGmRdEVZ3IybJFgDNLH0AqcVw1QI5SYJ0gBlgz6OJm3X60GnjKQQXSTy4hA1KpZ6DGqLvR6S9pm8ndEkgTbb6a/5KoapEMxN3L2wig86dLk4cfdU9CO39FTyWMRj+kVnTQDBlk4gvAlw2+8R23d028cvkztNv8KVNghMRYdZYtYEENR0AtZZU5LenU27nDWRbF5fAMP6nYl139mlGKgKwQIY0u9kg15hOgxtttNf81UMUyGYm7h7YRUf9Pom1wnWfEqkr2KYCsHcBGk+sUGvr1SXYM2nxNqHmVIMUyGYmyDNJzboc/OpPJIHbz4l7nq79gF77TrsqhuAYEsnEN4EuO33iO07uu3jt8udt1/hShsEpqLDLDKNchPUdALeaZRpPiVzzSeSzUPi0+eqzQ9xtC9S01NPsqiJWxntxb5s46JIikPy8mYiGtZ8Sux9mImVBZgKwSIa0nxigz6uuonTfXNo+ygxZ1YIGe+jthf7SCVFLMxtPFl5Q26CNZ8Sex9magEKpEIwN0GaT2zQ65ttp1jzKbX3YSYUw1QI5SYp0nxigz6egHQoYnXYx9EhjQ+R6FQZFfuyjLq+F7HKDk0s8ttxE6z5lNr7MBOKYSoEcxOk+cQGHbr5lLrr7fqR22vX81eJLTFrAgi2dALhTYDbfo/YvqPbPn6Z3Gn6Fa60QWAqOswSsyaAoKYTsM6aUtN8SueaTySb1xfAsOZTau/DXIiBqhAsgCHNJzboFabDWPPJDP1+imEqBHMTpPnEBr2+yXWKNZ/Mo/RTDFMhmJsgzSc26PWV6lKs+ZTa+zATimEqBHMTpPnEBh181uQur+tHbilVa/p0TL/srMlNsKUTCG8C3PZ7xPYd3fbxy+RO069wpQ0CU9FhFpk1uQlqOgHvrMn0mtK5XhPJ5vUFMKzXlFoPPbwUA1UhWABDek1s0IOb7EWayzxPoiztiihJ+j5qkjiN9olSSdPFbVtmt+MmWK8ptbRdphXDVAjmJkiviQ16fZPrDOs1ZdZDD6cUw1QI5SYZ0mtig15fqS7Dek2Zpe0yrRimQjA3QXpNbNChZ02Zu7yuH7m9VH1xxfCisyaAYEsnEN4EuO33iO07uu3jl8mdpl/hShsEpqLDLDFrAghqOgHrrCkzvaZsrtdEsnl9AQzrNWX2tsvEhemYCsECGNJrYoNeYTqM9Zoy4asYpkIwN0F6TWzQ6+s1ZVivKZO+imEqBHMTpNfEBr2+Ul2G9Zoye9tlQjFMhWBugvSa2KCDz5rc5XX9yO2lajGmX3bW5CbY0gmENwFu+z1i+45u+/hlcqfpV7jSBoGp6DCLzJrcBDWdgHfWZHpN2VyviWTz+gIY1mvK7G2XCzFQFYIFMKTXxAa9wnQY6zVl9rbLhGKYCsHcBOk1sUGvb3ItsF6TsLddJhTDVAjlJgLpNbFBr69UJ7Bek7C3XSYUw1QI5iZIr4kNOvSsSbjL6/qR20vVYe+aAwi2dALhTYDbfo/YvqPbPn6Z3Gn6Fa60QWAqOswSsyaAoKYTsM6ahOk1ibleE8nm9QUwrNck7G2Xifu0MBWCBTCk18QGvcJ0GOs1CeGrGKZCMDdBek1s0OubXAus1ySkr2KYCsHcBOk1sUGvr1QnsF6TsLddJhTDVAjmJkiviQ364VC99HQGp3GHoIfqCXe9XfuApXatyjzs8RAAwZZOILwJcNvvEdt3dNvHb5c7b7/ClTYITEWHWWQa5Sao6QS80yjTfBJzzSeSzcboUpSiUTKOirzPI5GladSkTR6pfZPp/2vzpLih/BhrPgnr+XKXYqAqBItoSPOJDfo4jSqbtozjLJKtyHQGrb9WtI1JqJVKi1iKfd7fjptgzSdh6cNMK4apEMxNkOYTG/T6ZtsSaz5J6/lyk4pBKoRyE4k0n9ig11e7k1jzSVr6MNOKYSoEcxOk+cQGHbr5JN31dv3I7bVrNaZfdNYEEGzpBMKbALf9HrF9R7d9/DK50/QrXGmDwFR0mCVmTQBBTSdgnTVJ03ySc80nks3rC2BY80na+zAXYqAqBAtgSPOJDXqF6TDWfJLCVzFMhWBugjSf2KDXN7mWWPNJSm/FIBWCuQnSfGKDXl+pTmLNJ2nvw0wohqkQzE2Q5hMbdPBZk7u8rh+5pVSt6S9uAV521uQm2NIJhDcBbvs9YvuObvv4ZXKn6Ve40gaBqegwi8ya3AQ1nYB31mR6TXKu10SyeX0BDOs1Sfuen4k7zTEVggUwpNfEBr3CdBjrNUlL22VaMUyFYG6C9JrYoNc3uVZYr0nZ9/xMKQapEMpNFNJrYoNeX6lOYb0mZd/zM6EYpkIwN0F6TWzQoWdNyl1e14/cXqouxvSLzpoAgi2dQHgT4LbfI7bv6LaPXyZ3mn6FK20QmIoOs8SsCSCo6QSssyZlek1qrtdEsnl9AQzrNSl72+VCDFSFYAEM6TWxQa8wHcZ6TUr4KoapEMxNkF4TG/T6JtcK6zUp6a0YpEIwN0F6TWzQ6yvVKazXpOxtlwnFMBWCuQnSa2KDNhudDPjLwPublLvMrh+9pWStyjwdq7Ds7MlNsKUTCG8C3PZ7xPYd3fbxS+VO169wpQ0CU9FhFpk9uQlqOgHv7Mn0nNRcz4lkszG6LfeyEVkRpU1SRkIVh6iVJugpUez3yX4/NDNuJZBhPSdl3+pzIQaqQrBAhvSc2KAHN5GqzPaH8hDF6V5/t5GdTouyVE+8CqW/lx1a1d+Om2A9J2Vpv0wrhqkQzE2QnhMb9Pom2TnWc8rtW30mFMNUCOUmOdJzYoNeX8kux3pOuX2rz4RimArB3ATpObFBh+455e4yu37k9pJ1OaZfdNYEEGzpBMKbALf9HrF9R7d9/DK50/QrXGmDwFR0mCVmTQBBTSdgnTXlpueUz/WcSDavL4BhPafc3n65EANVIVgAQ3pObNArTIexnlMufBXDVAjmJkjPiQ16fZPrHOs55dJXMUyFYG6C9JzYoNdXqsuxnlNub79MKIapEMxNkJ4TG3TwWZO7vK4fuaVUnccyHtMvO2tyE2zpBMKbALf9HrF9R7d9/DK50/QrXGmDwFR0mEVmTW6Cmk7AO2syvaZ8rtdEsnl9AQzrNeXWrT6XYqAqBAtgSK+JDXqF6TDWa8otbZdpxTAVgrkJ0mtig17f5LrAek2FdavPlGKYCqHcpEB6TWzQ6yvVFVivqbBu9ZlSDFMhmJsgvSY26NCzpsJdXteP3FqqlmFPIAcItnQC4U2A236P2L6j2z5+mdxp+hWutEFgKjrMErMmgKCmE7DOmgrTayrmek0km9cXwLBeU2Ftu1yKgaoQLIAhvSY26BWmw1ivqRC+imEqBHMTpNfEBr2+yXWB9ZoK6asYpkIwN0F6TWzQ6yvVFVivqbC2XaYUw1QI5iZIr4kN2uxvOkWesSOMtfhB3338/ocfMEix+e63f0czFk+rtCznFLCUq1WZZ2MFZtNdCAPPeI3ttbG9nrO9pts+TnQh2+Fc15huUtriqf6cMd78nmK9Mf/ijrjFPao0HiXmPMq+1eLiSumFPao0HjVte023fRmPKgePmjZ+8DiC9YNHna6b07lV2O2YhbtwriOVpXCuMcNenAAQbOkEwpsAt/0esX1Ht1362E4fos7x3w1T0WEWKfa4CWo6AW+xp7w7mzYxTlFsHoo9mYgPZZlFRSz2kZCqMbdo9lHWpnEp2n2WH8qXt5J3l1hT</t>
  </si>
  <si>
    <t>q7TvJZq6QwBSIVTeXSJNLTbo4/ETh6RIDpmIyiIXkeh1et7GcR/tpdh3fV4c4kN8O26CNbVK+16iqVO/IRWCuQnS1GKDPs7is7bR346jLFF9JJKkiMq4b6OuT/UkryuyOFe34yYp5iaWOvq0YpgKwdzE3fCo+KDX12EosQ5DaSm2z4y/kArB3ATpMLBBh26Rl+7CuX7kYp4+j2U6pl901gQQbOkEwpsAt/0esX1Ht338MrnT9CtcaYPAVHSYJWZNAEFNJ2CdNZXi7mza5ayJZPP6AhjW1CqlnxioCsECGNLUYoNeYTqMNbVK5asYpkIwN0GaWmzQK5xc55ibWFox04phKgRzE/fmmooPeoWlOmw3S2nf2DE1/kIqBHMTZDcLG/SxRW7Qx34wlgJqppGUGPqZWRw/1R+p+RDmI9cfifmzJDMfSn+kyZw89lo2fokYBImnw0O305DVhqw2ZLUhqw1ZbchqQ1bPkdV0siV6oYbMfKbDpxg+c/OZDH+u8cynMp8zgENvnkBoEE8Oahw3ZLtUi+B8gV/oL1kpg57DhBBs6QTCmwC3/R6xfUe3XfrYTh8BT7EAganoMAtM/BGCmk7AOfHXVt2dTbsYpmg2G6ObRHRCdlmUNZ2MRKkT/ELtiyhTe7FPDm3RZoeXN5KDZTHUB9Nf8xMDVSFQDqZ5nF5b8UEHrlzr+O2k14/cvjdkfpnfIgHMTbClEzAHMLftO7rt45fJPWJe4UobBKaiwywSwNwENZ2AN4Cld2fTJgIYxeb1BTCo9aq/5icGqkKwAAa0XvmghyKC/tun7RZmaXTYGZm7+6RdQMyrocoi6G5lhGBLJ2AOaG7bd3Tbxy+XewS9wpU2CExFh1kkoLkJajoBb0ATd2fTJgIaxea1tWI1DRbQpJ8YqArBAhrQiuWDPuY9Mi3SPo+jvmmbSMe7Iir64hDtW/03OtmmTdrejptArVj9NV/FMBWCuQnQiuWDDj5xd3cY9SO3dxjnd1Mtkue4CbZ0AuY8x237jm77+GVyB9YrXGmDwFR0mEXyHDdBTSfgzXPyu7NpE3kOxeb1BTCo+6+/5icGqkKwAAZ0//mgV5gOQ2dZ6q/5KoapEMxN3LsQKz7o0HlO4m4qvsgS+xGNcky/aJ4DEGzpBLx5DmD7jm77+GVyB9YrXGmDwFR0mCXyHICgphOw5jmJ6bAncx12ks2rC2AJ1mFP7CeJXoiBqhAqgCVIh50Nen3pcJJibmJv6k0ohqkQzE3c3deKDzp4nuPu4ulHbu/iBT14BSHY0gmY8xy37Tu67eOXyR1Yr3ClDQJT0WEWyXPcBDWdgDfPye7Opk3kORSb1xfAoONT9df8xEBVCBbA3N3Wig96hekw1t5MpK9imArB3ARpb7JBP6zXKY/gwdfrJO4unnYBNa+GKouwC1ABgi2dgDnvcdu+o9s+frncgfYKV9ogMBUdZpG8x01Q0wl48x51dzZtIu+h2GyM7tIyS9OkjfZl1kVCpCIq0ljHwqQtyzZPVN6f3vFbCGjQZmf9NT8xUBWCBTR397Xigz7mPWKf512fRW1SFJFQMo2arG8jUTb7pFXNvpDd7bgJ1u5MrIfJTimGqRDMTZB2Jxv08YQN6OzwW3ETrN2ZWDp/04phKgRzE6TdyQZ9nGyrNG7i7BDlh8ak0kkSNYdDHwm5Tw9NH3fycDuT7RQ65VR/zVcxTIVQbpK6W2EVH3ToanHqbqnoR25vqcyfH7DErAkg2NIJhDcBbvs9YvuObvv4ZXKn6Ve40gaBqegwS8yaAIKaTsA6a0qTu7Npl7Mmks3rC2BYuzO1d/4uxEBVCBbAkHYnG/T60uEU292Z2jssE4phKgRzE3crrOKDXt/kOsV6TyZD8FMMUyGYmyC9Jzbo9ZXqUqz3ZB6ln2KYCsHcBOk9sUH/8Hwn24UjjLWAjiwjSXE8cS41R8yJmRu0stRersY3u0AYeMZ7PFMuNYfIzdhe020fJ7qQ7XCuezo1Lh3OiJsx3vyeYr0xP/SdbFlaaI/KzHmFmflJzJxXmKX2Qji+wBgC8vatQvtWZs4mzMxPMxQ1nWIZLzM3/xkM8zn8PAMyeCSBZEA5kgTvoKfuuroOZPa6euBakJtgSycQ3gS47feI7Tu67dLHdvoIdk4P3DAVHWaRWpCboKYT8NaCiruzaRPDFMXmYfYGHQZ8K2k51vNK7e2fqYkMpEKwtBzpebFBD26CHS1+I26SYT2vzN7+mVAMUyGUm2RIz4sN+lgyhC4quBU3wfZbZdbDPacUw1QI5ibufkjFB310k7brm0NWRlKILhLah6JGxVL/rbbYJ22zz+QNjSZYAyKz1OJnFINUCOYmSAOCDTp0Bz1z19X1I7fX1Ysx/aKzJoBgSycQ3gS47feI7Tu67eOXyZ2mX+FKGwSmosMsMWsCCGo6AeusKTP7rbK5/VYkm9cXwLCeVyb8xEBVCBbAkJ4XG/QK02Gs55VJb8UgFYK5CdLzYoNe4eQaO04yU76KYSoEcxP33puKD3p9pboM2+ySWdor04phKgRzE2SzCxv0w+7NU1Ax/xW095S5y+3aBeyl67D3XwEEWzqB8CbAbb9HbN/RbR+/XO60/QpX2iAwFR1mkVmUm6CmE/DOokzvKZvrPZFsNkZnqRSt0MNY08ksEk1aRs0+zaIyT9s+l22XittZh5xhvafM3oaZuAoKUyFYQEN6T2zQ65tsC6z3JOxtmAnFMBVCuYlAek9s0KGrxcLdUtGP3L5dI2yeAxBs6QS8eQ5g+45u+/hlcgfWK1xpg8BUdJgl8hyAoKYTsOY5wuy3EnP7rUg2ry+AYe1OYen8TYmBqhAsgCHtTjbo9aXDAttvJewdFnpmGMpN3K2wig/6uEPCoI/9YCwFtG6apMRxObuQZhG7WckuE/MhzIfZNKFi82HWuSs1J4+Yl0eVZTyWZ9kl7pqsNmS1IasNWW3IakNWG7J6jqymky2y7F2Tmc9hwbtmM59i+Bw2XWg88zksip8BHLZmEAiHwe3kqC8DlySFu92jRy1ppUxnn+MiqbqbYEsnEN4EuO33iO07uu3Sx3b6CHiOBW6Yig6zSKruJqjpBLypurw7mzYxTFFsNkbLJtc5WdlG+V6ZfC3NozZOkijp+rzt8kTFzQ3lYFgrVig/MVAVguVgSCuWDXp9B+kKrBUrrDvdphTDVAjmJkgrlg06eEnS3W3Sj9x6e5iaz1cXyXPcBFs6AXOe47Z9R7d9/DK5A+sVrrRBYCo6zCJ5jpugphPw5jmm9SrmWq8km9cXwLDWq7B0IafEQFUIFsCQ1isb9PrSYYm1XqX1MrEpxTAVQrmJRFqvbNCh8xzp7jbpR27t3KiLa74XzXMAgi2dgDfPAWzf0W0fv0zuwHqFK20QmIoOs0SeAxDUdALWPEea1quca72SbF5fAMNar9LahbwUA1UhWABDWq9s0OtLhyXWepXWLuSUYpgKwdwEab2yQQfPc9y72fQjF1b6dEy/bJ7jJtjSCZjzHLftO7rt45fJHVivcKUNAlPRYRbJc9wENZ2AN88Rd2fTJvIcis3rC2DYTlMp/cRAVQgWwNzd1ooPeoXpMNbelMpXMUyFYG6CtDfZoIPnOe6unX7klq6dpg974SNAsKUTMOc5btt3dNvHL5M7sF7hShsEpqLDLJLnuAlqOgFvnpPfnU2byHMoNq8vgGE3+Ul7E2/iGipMhWABzN1trfigV5gOY+1Nae/0Td19CKkQzE2Q9iYbdOg8R7m7di/0l6z084f1L5HnAARbOgFvngPYvqPbPn6Z3IH1ClfaIDAVHWaJPAcgqOkErHmOiu/Opl3mOSSbVxfAFHaQrrI38S7EQFUIFcCUu9ta8UGvLx1WWHtT2Tt9E4phKgRzE6S9yQYdPM9xd+30I7d37eavi1kkz3ETbOkEzHmO2/Yd3fbxy+QOrFe40gaBqegwi+Q5boKaTsCb55iDdNXcQbokm9cXwLCDdJXwEwNVIVgAc3dbKz7oFabDWHtTSV/FMBWCuQnS3mSDDp7nuLt2+pErK70a0y+b57gJtnQC5jzHbfuObvv4ZXIH1itcaYPAVHSYRfIcN0FNJ+DNc9Td2bSJPIdi8/oCGLZhWNmbeBdioCoEC2DubmvFB73CdBhrbyp7p29CMUyFYG6CtDfZoH94viRbjB1hrAV0iBBJiuMZULk56ilPzYc5/ilX5sMcCZWX+qMwvy2Tp5WI9VdEkumPVH9PZFJ/iOEjn1PP0vVTZYkvyoAkwOPb8YSo3BwEpblrw10b7tpw14a7Nty14a4Nd224a8NdG+7acNdz3DWdexwSIW44Kp7Oj8qHE6I0uPkcTo7S6OZzOFFKw+vPYvhOaU6XMvz6MzEnShkF9GdmTqAS4vg5LYIJshQVjAynS77NgBj0jKnc3c56ob9kpQxb8wQItnQC4U2A236P2L6j2y59bKePsA/BBoCp6DBLzAUAgppOwDoXyE1vN5/r7ZJsNkYXXZJlmUgiVag8En2bRU3f76N9pvbiIJouvaHrfnKst5tb7wu9FANVIVSSlyO9XTbo0MWs3N2y1I/c3rKcvyZ9kQDmJtjSCZgDmNv2Hd328cvkHjGvcKUNAlPRYRYJYG6Cmk7AG8DSu7NpEwGMYvOQZ8et6Io2jfrhUOt9nkVFkx6ibi/VIe5Ud8hup5iVY7ulc3sHc+ImY0yFYAHM3Wqu+KCDBzB3y1I/cmGlD3t9M0CwpRMwBzC37Tu67eOXyT1iXuFKGwSmosMsEsDcBDWdgDeAmd3SJ9MmAhjF5vXNwLDlBLn0EwNVIVgAQ5YTsEEHD2DuDqp+5MpKH/ZGKYBgSydgDmBu23d028cvk3vEvMKVNghMRYdZJIC5CWo6AW8AM8sJTqZNBDCKzeubgWHLCXJ7Z33i1hxMhWABDFlOwAb9w9NV0KenblpjIXpiM4/aemNsGbh06O7vb+kEzIHLbfuObvv4JXKPlI/lMhXd6EUClFv2mk7AG6DM+eL53PniJJvDpM4zI41lLUEe5/Gs6IuMNO4d8Fs6AfNI47Z9R7dd+tj+2CMN1ehFRhq37DWdgHekKe/Opk2MNBSbTznOydPNOBMixzlP2gv3UocX+kvzoHpIDTtpBwi2dALeEQmwfUe3XfrYTh6RzpMHAKaiwywxUgEENZ2AdaQqzLqfYm7dD8nmYZjKikOctUUUp0JGIhcqag5ZG5ViX4osV3GbtS9vZdJeYOt+CvsSmIn5K6ZCqEl7gaz7YYMe3CRvSyXjrI9kUZSRaIsiavOD0v8z7pqmUSpt+ttxkxRzE8tSg2nFMBWCuYl7TUjFB30cTVTXiaYtI5nFKhKijaM2TvdRnnVNKvadkOqGRhNsEUZhWY8w82JBKgRzE2QRBhv04Cb7rFRdJrJIxH0XiSzuo1bJJOoORV80SXxIc3E7boJtsC+Er2KYCsHcxN2gr/igBzfJRCv6fadHnti4lEpU1PbpISr3Is+NT8VlcztugnXEC+mrGKZCMDdBOuJs0MfRpBeiSOI4auLsEIn00EZtGWfRoUn2cSFkn4kbchPs/PBC+SqGqRDMTdzd0ooP+ugmbZ6rMi6iJu/3kegPfdQkfRwloov3WdvsD8nhdtwEa08Wlk7djGKQCsHcBGlPskEPbtIfMqX2qo2SJCkikaguarpODqGq13/WFw9Fr1twE2y3c2HvmEwohqkQzE3cra2KD/rkJs0+zZpDdGhb7VJZmmqXavMo7rKy6FLRZ5m6HTfBDnMuLOXuOcUQFYK5ibsvUfFBH4NOsk+SvSyjVh7M5LmLo6IU5sSFOFFxnLaHGzpio8Tuqi09a42oCqHcpHQXhSs+6ECd6XN/qHQXF/Ujtx4Ym4e9qxYg2NIJhDcBbvs9YvuObvv4ZXI3JK5wpQ0CU9FhlDeMryu9hxDUdALW/lBp7qot5+6qJdm8vgCGFf5LSw18SgxUhWABDCn8s0Ef02EV75ssySKZmgWgIhZRq+LSpM76n6//DW1Z3o6bYIX/0roRcUoxTIVgboIU/tmg1ze5LrHCfym8FYNUCOYmSOGfDXp9pboSK/yX0lcxTIVgboIU/tmg19cfKrHCf6l8FcNUCOYmSOGfDXp9/aESK/yXlhr4zIsFqRDMTZDCPxv0+hYllFjhv7Se+DmpGKRCMDdBCv9s0Otb4lRihf/SUgOfVgxTIZibIIV/NujVLZgUMVT411/zVQxTIZCbaB63m/BBr275tYih5df6a76KYSoEcxN3Ubjigw7cHxKxu7ioH7m9uJiO6ZfsDyEEWzqB8CbAbb9HbN/RbR+/TO6GxBWutEFgKjrMAv0hhKCmE3D2h7RVd2fTLvpDNJvXF8Cgwr/+mp8YqArBAhhQ+OeDXmE6DBX+9dd8FcNUCOYmQOGfD3p1k2sRQ4V//TVfxTAVgrkJUPjng15dqU7EUOFff81XMUyFYG4CFP75oFfXHxIxVPjXX/NVDFMhmJsAhX8+6NX1h0QMFf7113wVw1QI5iZA4Z8P+ni8YVPu004lUZEO381k1CZlEfVlHif7dp9L0d+Om0CFf/01X8UwFYK5CVD454Ne3doVkWCF/8ReA596sSAVQrlJghT+2aBXtxJOJFjhP7HXwCcUw1QI5iZI4Z8NenXLr0WSYm7iWWtEVQjmJu6icMUHHbo/lLiLi/qR24uL83eILtEfAgi2dALhTYDbfo/YvqPbPn6Z3A2JK1xpg8BUdJgl+kMAQU0nYO0PJdnd2bTL/hDJ5vUFMKzwnwg/MVAVggUwpPDPBr267fQiwQr/ifRVDFMhmJsghX826BXOmrDCf2KvgU8qhqgQzE2Qwj8b9AprMFjhP7HXwKfGX0iFYG6CFP7ZoNfXH0qwwn9ir4FPKIapEMxNkMI/G/T6+kMJVvhP7DXwqRcLUiGYmyCFfzbo9S1KSLHCf2qvgU8pBqkQyk1SpPDPBr2+JU4pVvhP7TXwCcUwFYK5CVL4Z4Ne34LJFCv8p/Ya+IRimArB3AQp/LNBr2/5dYotv049a42oCsHcxF0UrvigQ/eHUndxUT9yYaUXY/pF+0MAwZZOILwJcNvvEdt3dNvHL5O7IXGFK20QmIoOo7xhfF3pPYSgphOw9odScXc27bI/RLJ5fQEMK/yb98JHDFSFYAEMKfyzQa8wHcYK/6m9Bj6hGKZCMDdBCv9s0CucXGOF/9ReA596sSAVgrkJUvhng15hqQ4r/Kf2GviEYpgKwdwEKfyzQa+vP5Rihf/UXgOfUAxTIZibIIV/Nuj19YcyrPCf2WvgUy8WpEIoN8mQwj8b9PoWJWRY4T+z18CnFINUCOYmSOGfDXp9S5wyrPCf2WvgE4phKgRzE6TwzwZ9dBPo1O1bcROs8J/Za+BTikEqBHMTpPDPBr2+5dcZtvw6E76KYSoEcxN3Ubjigw7dH8rcxUX9yKWVXo7pF+0PAQRbOoHwJsBtv0ds39FtH79M7obEFa60QWAqOswS/SGAoKYTsPaHMnl3Nu2yP0SyeX0BDCv8Z/Ya+IUYqArBAhhS+GeDXuGsCSv8Z/Ya+IRimArB3AQp/LNBr7AGgxX+M3sNfOrFglQI5iZI4Z8Nen1H/WRY4T+z18AnFMNUCOYmSOGfDXp9/SGBFf6FvQY+oRimQig3EUjhnw16ff0hgRX+hb0GPjX+QioEcxOk8M8Gvb5FCQIr/At7DXxKMUiFYG6CFP7ZoNe3Ek5ghX9hr4FPKIapEMxNkMI/G/T61tUKrPAvhK9imArB3AQp/LNB6//8Q+Mo+u/8A6sbuCvOV6igH7675qkfvbSpEMdjFRZtAAAEWzqB8CbAbb9HbN/RbR+/VO6K8xWutEFgKjrMEg0AgKCmE7A2AIRpAJxMu2wAkGweajFZ3iRFaYp6+1gHPZNMJ/p/lkWcFqrIs7Y8vSG3EMiwBoCw1sIvxUBVCBbIkAYAG3ToDrZw17X1I7fXtdXsO7tIAHMTbOkEzAHMbfuObvv4ZXKPmFe40gaBqegwiwQwN0FNJ+ANYPnd2bSJAEaxeX0BDOs5CXv75UIMVIVgAQzpObFBm5nY4CqXSzbHWvyg7z5+/8MPGKTYfPfbv1MJGT/VH8mcAtZ2SnxxyensyANh4IOPsb02ttdzttd028djDmQ7POwY0/Xoom03n9PGm9GHYv1g/smRXoaZ5U8PH9Lab4nDHgcu3R2jLZ2ANxkCbN/RbZc+tpNHoumhh2z0EkkPIHtNJ2BNemR8dzbtctgh2RxmOjYz0thbdvms6IuMNO6m45ZOwDzSuG3f0W2XPrY/9khDNXqRkcYte00n4B1pkruzaRMjDcXmIW8e/mOsbw/7tumLqD0UZpHoYR+VyX4fxY1pk5R5puL4pSO97r/Xn33nUV3tIb3OZjJrOd0zNpRjcpR00ichQNwtT4n3NFXNRjX2U4gKdtWHlHyayvyGActwKZd7QlOPa9xTPK1knM/56HTDOi1lIcsyTidf0SknhDC8nVA8redsr+m2LzP7E3r2N2f84IoE6780+wvoUXLOmYQVCc/nIQJvZ5o2u6abvYwfTZs9eBjB7tvwIDXnQdKKhB/0BxF4e9C02TXd7GU8aNrswbcIdhvDRXAPmg1oyoqEbwWECLw9aDaWUc1exoPmoxjF7tsYg4o5D5puCj0g4a04iMDbg6bNrulmL+NB02YPvkWw+zbGoPJpJZTUH3liPnL9UWTmw/yilCbvnuu6yOm+0wM1XpCAIL2drHxaG7LakNWGrDZktSGrDVk9R1bTyZbxw9L0ZDSa/tRs5jM3n5rOfA6/LeWQuc/2bUiEBjE5OerLMH2b8+IW6d5m9UJ/yUpZzj7HRaqsboItnUB4E+C23yO27+i2Sx/b6SPgQ5MdgKnoMOPBzg3j60rvIQQ1nYC3+lrenU2bGKYoNhuji0KUqhAiaoo+jkSZ9VFzKA9R0x+SRPZNHPfdy1HsDba4RWFbINV002tWDFSFyXfOCX/9e6fc3cmKD/q4t62Js37fHaJW7MtIxLKIyjLPoqKRh0PcxHm8L2/HTbAtkGq6Y2FRDFMhmJu4W0sVH/TxFA9ZyqbY9/qX5jyzpCu1N8VJVPZ53qR5L/pkfztukmJuMt0ssCiGqRDMTZAtkGzQx333neql2VVbpOa7pSijtuj7KJFt35WtTspzeTtugm2BVPYS/4RimArB3ATZAskGvb4jMhW2BVIJX8UwFYK5CbIFkg36tAUyCT7LVu5tX/rZS5sMSdg9kADBlk4gvAlw2+8R23d028dvlXtad4UrbRCYig6zxCwbIKjpBKyzbGX2QJ5Mu5xlk2xe3ywb2wOplJ8YqArBIhmyB5INenCTptkf2l41UdMmJodO26gRrYqUkK1qD/pfcEMnyCjsEERlbflMKYapEMxN3PvjKj7owU0OXacOedtFRd7p5KjsEj03b7rooJo0bdq2KPLidtwE25CmrH2WKcUwFYK5CbIhjQ16hbNs7BBEZa1zTymGqRDMTdwNiYoPen2z7BzrAOTWYviUYpgKodwkRzoAbNCBNgSdJ9e5u7CtH7m1sF2EnVwDBFs6gfAmwG2/R2zf0W0fv0zu2dwVrrRBYCo6zBKTa4CgphOwTq5zs4Eon9tARLJ5fQEMazrl1v7LpRioCsECGNJ0YoNeXzqcY02n3Np/mVIMUyGYmyBNJzbo9dVgcqzpZCz2UwxTIZibIE0nNuj11WByibmJ9FUMUyGYm7j7EBUf9PoK/zlW+M+tNfApxTAVgrkJUvhngx72wBvyI7iJLUE72bm7vq1dwF7fTsdqLDvZdhNs6QTCmwC3/R6xfUe3ffxyuWd3V7jSBoGp6DCLTLbdBDWdgHeybQ5DPJk2Mdmm2GyMjrNUqF6HvHSfp5FISx38MhVHTaaUVLEss/aGJttY7ym3t2EuxEBVCBbQkN4TG/T61ovnWO8pL30Vw1QI5iZI74kNen3rxQus91TY2zATimEqhHKTAuk9sUGvr3RXYLtPCmu5e0oxTIVgbuLuS1R80MfSXZKW5V52UaOaIhIyL6IiSfqobDrV9jpg6en57bgJ1ggorDXxKcUwFYK5CdIIYIMO3cku3PVt/cjt9e35g46XmFwDBFs6gfAmwG2/R2zf0W0fv0zu2dwVrrRBYCo6zBKTa4CgphOwTq6L7O5s2uXkmmTzYHTayv4gmijWM6rI3HwdFTpbjuJYxlIVRVLK04B1CwEM6z0Vwk8MVIVgAQzpPbFBrzAdxnpPhfRVDFMhmJsgvSc26PXVYAqs91TY2zATimEqBHMTpPfEBr3CGgy26aSwlrenFMNUCOYm7j5ExQe9vsJ/gRX+C2sNfEoxTIVgboIU/tmgg0+u3fVs/cit9ewiHdMvO7l2E2zpBMKbALf9HrF9R7d9/DK5Z3NXuNIGganoMItMrt0ENZ2Ad3JtTjo7mTYxuabYvLoAVmK9ptLadrkUA1UhVAArkV4TG/T61v+WWK+ptG+tmFAMUyGYmyC9Jjbo9a3/LbFeU2ltu0wphqkQzE2QXhMb9PpKdSW26aS0l7cnFMNUCOYm7j5ExQc9uIlMZduIQkaZSPaRHnPyqMnjIiqFjLNWxupwQ8vES6zwb27G9VMMUyGYmyCFfzbo0JPr0l3P1o9cWunDXgsLEGzpBMKbALf9HrF9R7d9/DK5Z3NXuNIGganoMEtMrgGCmk7AOrkuzQFnJ9MuJ9ckm9cXwLBeU2lvu1yIgaoQLIAhvSY26BWmw1ivqbS3XSYUw1QI5iZIr4kNen2d6xLrNZX2tsuEYpgKwdwE6TWxQa+vc11im0xKe3l7QjFMhWBu4u5DVHzQqyv8yxgq/MvYXgOfUAxTIZCbaB63m/BBB55cy9hdz9aP3F7Pnr93dIHJNUKwpRMIbwLc9nvE9h3d9vHL5J7NXeFKGwSmosMsMLlGCGo6AefkWlt1dzbtYnJNs3l9AQzqNemv+YmBqhAsgAG9Jj7o1c2aZAz1mvTXfBXDVAjmJkCviQ96dbMmGUO9Jv01X8UwFYK5CdBr4oNeXalOxtAmE/01X8UwFYK5ibsPUfFBr67wr63B3MReA59QDFMhmJsAhX8+6OGAs+E/ZlQZ+8JYDugicJIawz3uMp6+m17/wlrRTvCGI0SAT4uGS9rnzK7pZo8nQpDZ8FzoeAP7nNnmNxS7jeFJcA8q5zzIfqISPquGCLw9aNrsmm72Mh40bfbgWwS7h5AV2oOS+Gkly+JppZJSf4hUfxSz43JpxZRhvUqj1AalNii1QannUGo6yiKeplH0p2Z5800Doz81jf6cwRl8k8BzE2NYkmgPTDP9IdSM3yX2E51UYL9LtN9pgHoOoKYDLONtifE2TaA/ZxAGnyQw3IaH6UFN6kFYf8zFy8R+GFQe2MP0UGYA6jmAmg6wjIeZ0csQmM/ZKEpiMBCnh2AS+pDnFWtM5+TmhUyshdfk4gLiRXtnAMGWTiC8CXDb7xHbd3TbpY/t9BHrYZ4MwFR0mPGo5YbxdaX3EIKaTsDaO0vSu7NpE8MUxWZjtNhnabEv9lFXlmUk2kZFTdxkUdnJ/b5R+/ZQXNQkgtWnEqwpklj7A5dioCqEqk8lSFOEDfqHpwP4k1POZJ5+2IjmLv5rHxA2OdKghwQiBFs6AXNEc9u+o9s+frvcQ+gVrrRBYCo6zCIRzU1Q0wl4I5q4O5s2EdEoNhuji3KfqlikkRSyj8Qh7aIyj+MoidOyKQ8yTuXF7C9cRMMac4n0EwNVIVhEQxpzbNDHxCc55HHellGe9HkkkjiJCnVIo7w5pOVeyYM89LfjJlhjLlG+imEqBHMTpDHHBn087iJJhJKijFTSyUiIIo9a2eXRoc338T4ppDK3T9+Km0A7cvTXfBXDVAjmJsCOHD7owU067YZFluSRbPs0En3Z6JGnkFFyiEuZd03atOp23ATakaO/5qsYpkIwNwF25PBBn6dRp8ducpCw0yj3zhPtA9YWThp0xzpCsKUTCG8C3PZ7xPYd3fbx2+XO269wpQ0CU9FhFplGuQlqOgHvNKq8O5s2MY2i2Ly6/DjFdoWl1nbhpRioCqEiWorsCmODHtykbbu+OWSlnnKZG8bz4hA1KtbpUtIW+6Rt9pmMb8dNoOPg9Nd8FcNUCOYm7h1DFR/0sd/epWlR9odI5SqLRJOKqMj2ZbQXUuV5Eu9jdTv5cZpibmLtuUwphqkQzE3czbGKD/q4DPbpsb/wFT8YSwGtBiApcVyakZpVGakyH4X+yMxqtMws18jMLzLzi8z8QphfmMVp2v/n1LI2ZdLASx5Ts3pDg9YGtDagtQGtDWhtQGsDWhvQ2oDWc6A1HXSRpR7psMhDk5pPs4DNsJrPYQlINvw2G36bDb8Vw2+H5W1zyMPiJALzMBi+vI0ZYOruHehRTlgp55eJLTEDBAi2dALhTYDbfo/YvqPbLn1sp4+Y59jhhqnoMEvMAAGCmk7AOgNMTSPtZNrEMEWxeahp6ky/VUJFbd7qwH0os6jt4i7qiqbdJ4dm3zQXsTpczoY10sx74SMGqkKwnA1ppLFBm5zt6cvwK0JSd59IP3plVWF+NeoigcxNsKUTMAcyt+07uu3jl8o9cl7hShsEpqLDLBLI3AQ1nYA3kKm7s2kTgYxi81DKPMTxIe/6qOhKGYm4S8zR5CJKY6GU7AvVtfuXNxPIsB5uam9nXoiBqhAskCE9XDboh+bcrfTmUnerUruAvVUZdtE+QLClEzAHNLftO7rt45fLPYJe4UobBKaiwywS0NwENZ2AN6AVd2fTJgIaxebB6LTtmrTvorxszA0baRy15SGO8kTG7aHrRV7e0MwMOthTf81PDFSFYAHN3VGu+KBvZWaWuTuUL/SXbCpk8ey7u0QgAwi2dALeQAbYvqPbPn6p3CPnFa60QWAqOswSgQwgqOkErIEsi+/Opl0GMpLNw8ysa/Z5ViRRn5VJJPb7NCoPOkfvmi5LVZeIojw9mBsIZBm2eiCzNtIvxUBVCBXIMmT1ABv0w8zsBB58Zpa5m+TaBaxN8iydfYcXCWhugi2dgDmguW3f0W0fv1zuEfQKV9ogMBUdZpGA5iao6QS8Ac1spz6ZNhHQKDYbo5PM7Bk4JFGaizISadxEbZMddI7eJG2SFIciv52ZWYZtp86s6xwuxUBVCBbQkO3UbNA/DHyWfubuc+tHLmz0xfxJVIsEMDfBlk7AHMDctu/oto9fJveIeYUrbRCYig6zSABzE9R0At4AZhZ9nEybCGAUm9cXwLBFH5n0EwNVIVgAQxZ9sEEHD2Du/rZ+5MpKH3bVIkCwpRMwBzC37Tu67eOXyT1iXuFKGwSmosMsEsDcBDWdgDeAmcUeJ9MmAhjF5vUFMGyxR2Zd93ApBqpCsACGLPZggw4ewNz9bP3I7TdDhl2tCBBs6QTMAcxt+45u+/hlco+YV7jSBoGp6DCLBDA3QU0n4A1gZnFHNre4g2Tz+gIYtrgjK/3EQFUIFsCQxR1s0KEDmHD3sV/oL1npi9l3dokABhBs6QS8AQywfUe3ffwyuUfMK1xpg8BUdJglAhhAUNMJWAOYMIs6xNyiDpLNqwtgAlvUIex3k16IgaoQKoAJZFEHG3TwAObuW+tHnlrpwy6vBwi2dALmAOa2fUe3ffwyuUfMK1xpg8BUdJhFApiboKYT8AYws4jjZNpEAKPYvL4Ahi3iEPY7cydWmmMqBAtgyCIONuiHVYmn9zP4qkTh7mNrFxA2NbL5M1oWCWhugi2dgDmguW3f0W0fv1zuEfQKV9ogMBUdZpGA5iao6QS8Ac0s6jiZNhHQKDYbo0UTl6UyF1k3exmJLo2joldt1B+yvUybJFE3tAFaYIs6hPQTA1UhWEBDFnWwQZ9PXwt+AbHIn1ZSmvsXpTQf5qQ1ZW5iVOan3PyUm58K81NhfiqzObWUVS186RnEjA9Ux9PXNGhtQGsDWhvQ2oDWBrQ2oLUBrQ1obUDrOdCaDjoezCBQeDw7nb6mQfWnHC501KjmczhlTQ2XO6rh53z4OR9+Loafi+HnGWTzT6UwD9AvbyRnczfB9ShnbYJnYdvAAMGWTiC8CXDb7xHbd3TbpY/t9BHzHDvcMBUdZpGczU1Q0wl4c7b87mzaxDBFsXkoQjRZn6VSRtJczCbKPo/ativ0xLTs9VQ0Lcrmdg5WFtiNEsLaE78UA1UhWM7mXrxQ8UEPbqLEPs+7PovapCgioWQa6b/d6r/V7JNWNftCdrfjJthqAVH6KoapEMxNkNUCbNCDmxRNJlUsiqgtDvq7ed9HxT4VUZerJpZJEou4vRk3kdhp/tK+63xCMUyFUG4i3Z3kig86dE9OujuS+pFbO5Jl2JNCAIItnUB4E+C23yO27+i2j18md/51hSttEJiKDrNEOgwQ1HQC1nRYJndn0y7TYZLNQ11K/ydPRBOJJIsjkXUqKhOlEyOVx20qD6JPTg/mFgJYigUwa4PyUgxUhWABzN1JrvigV5jnYK1bae1iTimGqRDMTZDWLRv0+ibXUmBuInwVw1QI5ibuNl7FB/3Q4X+IKua/gpaLpbs/pH1A2uTIwq5ZAwi2dALhTYDbfo/YvqPbPn673AnZFa60QWAqOswi+bGboKYT8ObH8u5s2kR+TLHZGC1UF7d50eiYlyWRSGUZFbIQ0aHYx2XXdlmvbijxwa4zl8pPDFSFYBHNvVm74oMe3CRWfZvuZRapUqdGIs3SqDjIPuqats+lLGVc3JCbYLujpb3FMqEYpkIwN3H3wio+6HPiUxzJg/fJpbvJon3A2mQRF9d2L5v4uAm2dALmxMdt+45u+/jtckfaK1xpg8BUdJhFEh83QU0n4E18zHZpObddmmTzUPGJZZG0TRw1Bz2iiUTEURmXRXRo9rLoklK2cfPyZiIa1gCV1l7gpRioCsEiGtIAZYMe3KQt91mfdEmkYqGTJFH0UZkVZVR2Mst1/BOtuJ2Kj8IaoMraC5xSDFMhlJsopAHKBn1cHChln7a91L9s9XdbqZMksdfOVWYiSYukK8ridtwE27uqrD2XKcUwFYK5ibs5VvFBH0cT6OrzW3ETrBulrI2ZyRcLUiGYmyDdKDbo8zSqfHkb0yjl7rpoH7B2XcTF7e6LTqMAgi2dQHgT4LbfI7bv6LaP3y533n6FK20QmIoOs8Q0CiCo6QSs0yiV3Z1Nu5xGkWwe6sdxum8ObR8lZh2hkPE+anuxj1RSxMJsFsrK07X1txDRsI6oEn5ioCoEi2hIR5QN+pj49Llq80Mc7YvU1JqTLGriVkZ7sS/buCiS4nBDboLtJFTSVzFMhWBu4m6OVXzQK5xGYd0oZW3MTCmGqRDMTZBuFBv0cfPCoYjVYR9HhzQ+RKJTZVTsyzLq+l7EKjs0schvx02wbpSyNmamFMNUCOYmSDeKDTr0qnTlrrfrR26tXZdhm08AwZZOILwJcNvvEdt3dNvHL5M7Tb/ClTYITEWHWWTW5Cao6QS8sybTfFJzzSeSzesLYFjzSVn7MJdioCoEC2BI84kNen3pcI41n3JrH2ZKMUyFUG6SI80nNuj1Ta5zrPmU2zf8TBXYIRWCuQnSfGKDXl+pLseaT7m1DzOlGKZCMDdBmk9s0KFnTbm7vK4fuX2HTzqmX3TWBBBs6QTCmwC3/R6xfUe3ffwyudP0K1xpg8BUdJglZk0AQU0nYJ015abXlM/1mkg2ry+AYb2mXPiJgaoQLIAhvSY26BWmw1ivKZe+imEqBHMTpNfEBr3CyTXWa8qtbZcpxTAVgrkJ0mtig15fqS7Hek25te0ypRimQjA3QXpNbNAPS/bS09LN4Ev2cne9XfuAfePE/Nmvi0yj3ARbOoHwJsBtv0ds39FtH79d7rz9ClfaIDAVHWaRaZSboKYT8E6jTPMpn2s+kWxeX+KDNZ9yax/mUgxUhWARDWk+sUEPblKKUjRKxlGR93kksjSNmrTJI7VvMv1/bZ4Ut+MmBdZ8KuybgCYUw1QI5SYF0nxigz6OJmXTlnGcRbIVmTlDNI+KtjF+pVRaxFLs8/523ARrPhX2TUBTLxakQjA3QZpPbNDrm0YVWPOpsG8CmlAMUyGYmyDNJzbo0M2nwl1v14/cXrsOu9EJINjSCYQ3AW77PWL7jm77+GVyp+lXuNIGganoMEvMmgCCmk7AOmsqTPOpmGs+kWxeXwDDmk+F8BMDVSFYAEOaT2zQK0yHseZTIX0Vw1QI5iZI84kNeoWTa6z5VNj7MBOKYSoEcxOk+cQGvb5SXYE1nwp7H4a+NSyUmyDNJzZo03wy4C8D95wKd5ldP3p7yVqNVVh29uQm2NIJhDcBbvs9YvuObvv4pXKn61e40gaBqegwi8ye3AQ1nYB39mR6TsVcz4lkszG6LfeyEVkRpU1SRkIVh6iVJjdSotjvk/0+lTcUyLCeU2Fvv1yIgaoQLJAhPSc26OMkO24PRa72kdgnOugVqo9anS5FOuDFZSnjJtlnN+MmJdZzKu3tlwnFMBVCuUmJ9JzYoNdXiymxnlNpb79MKQapEMxNkJ4TG/T6Zk8l1nMq7e2XCcUwFYK5CdJzYoMO3XMq3WV2/cjtJWsxpl901gQQbOkEwpsAt/0esX1Ht338MrnT9CtcaYPAVHSYJWZNAEFNJ2CdNZWm51TO9ZxINq8vgGE9p1L4iYGqECyAIT0nNugVpsNYz6mUvophKgRzE6TnxAa9wsk11nMq7e2XKcUgFYK5CdJzYoNeX6muxHpOpb39MqEYpkIwN0F6TmzQw4anY4IydoSxFj/ou4/f//ADBik23/3272jG8mmlYjmngL1cfXHp/Wy6C2HgGa+xvTa213O213Tbx4kuZDuc6xrTTUpbPn3zzTnjze8p1hvzL3ZmL+xRKo7nnMle+S6COtOc2TXd7CX8aM7swcMIdg8edNqGKV6GbYlrNucg/UJ/yYYp49nHs0BxByHY0gmENwFu+z1i+45uu/SxnT4kneI9AlPRYRYo7iAENZ2As7ijrbo7m3YxTtFsHqZjmYgPZZlFRSx0Yi5VY86q6KOsTeNStPssP5QvbyTPVjHUxNJf8xMDVSFQnq15nF5b8UEfV4oekiI5ZCIqi1xEotfpeBvHfbSXYt/1eXGIDzdzZZSKoSaW/pqvYpgKwdwEaGLxQR9n7Vnb6G/HUZboyb1IkiIq476Nuj7Vk7quyOJc3Y6bZJibWOvmU4phKgRzE3eDo+KDXl2pWMVQR0F/zVcxTIVgbgJ0FPigj8Wdp+FrOypWprZT6I8kMR9iTgpplQI/+x4CwlPf08RcmSpPoT80RT1HUdMplpmnq6HeU5hPzWE+p0GGqhCBxKCcHCz0WnYN63wB9aijrJRBdwIjBFs6gfAmwG2/R2zf0W2XPrbTR7DzWO6Gqegwi0zc3QQ1nYB34q7uzqZNDFMUm43RTSI6IbssyppORqLUmVeh9kWUqb3YJ4e2aLPDy5vJoaAGmf6anxioCsFyKKBBxgf9cCLgqU8a+kBAHbedamgXsLZsZNADARGCLZ2AOaC5bd/RbR+/XO4R9ApX2iAwFR1mkYDmJqjpBLwBrbg7mzYR0Cg2r68oAG3O0l/zEwNVIVhAAzZn8UEf8x6ZFmmfx1HftI1ZSVRERV8con2r/0Yn27RJ25txkwTanKUSe/dmQjFMhVBukrjbbBUfdODtFCpxt2v0I7dfshQ2zwEItnQC3jwHsH1Ht338MrkD6xWutEFgKjrMEnkOQFDTCVjznCS5O5t2meeQbF5fAMNaqYm1q3gpBqpCsACGtFLZoNeXDidYKzWxb0GiZ4ah3ARppbJBP9R3ype3Ud9J3B1D7QLCpoacX1C8SN7jJtjSCZjzHrftO7rt45fLHWivcKUNAlPRYRbJe9wENZ2AN+8Rd2fTJvIeis3G6C4tszRN2mhfZl0kRCqiIo11LEzasmzzROX9zWz8Ugm0P1B/zU8MVIVgAQ3YH8gHfcx7xD7Puz6L2qQoImEu2muyvjUnWe6TVjX7Qna34ybQ/kD9NV/FMBWCuYm7G1vxQa9uf6BKsPZnYu8ETiiGqRDMTZD2Jxv0cbKt0riJs0OUHxqTSidJ1BwOfSTkPj00fdzJww1NtgvMTewdlgnFMBWCuYm7FVbxQX+xjfQi+xhrAa1pI0lxXGqYxk/1RzmngL2tEnjnn7a9nrO9ptu+yLJCbbv5nDbepLwU6435wbeRpmbJaqpmPCq1d2DKwB5lFqrO2F7TbV/Go4bFqTPGDx5HsH4w/2h98FpP6i7rv9BfslGq+cXES9R6AIItnUB4E+C23yO27+i2Sx/b6SPUQ/gHYCo6zBK1HoCgphOw1npS0+NK53pcJJuHSTy0tfBG0u4U63Gl1nbPpRioCqHS7hTpcbFBr29XaYr1uFJru2dKMUyFYG6C9LjYoNe3qzTFtguaDMFPMUyFYG7i7ndUfNBHN2m7vjlkZSSF6CKhfShqVCz132qLfdI2+0ze0GiCNRjMo/RUDFIhmJsgDQY26IeO+Wm0MP8VdhblrqNrF1BWNcJu8QMItnQC4U2A236P2L6j2z5+udxp+xWutEFgKjrMIrMoN0FNJ+CdRZktfifTJmZRFJuHgnQqRSt07tx0MotEk5ZRs0+zqMzTts9l26XidpoXKdbjSq3tnksxUBWCBTSkx8UGvcK8B+txpdZ2z5RimArB3ATpcbFB385pGplpcWWZ+TDnamRzza7U2nJR+BUBEBAerI6ticw0uzRFbSjqOYqaTrFIkyIb2l4aw3wOJ2vMgAzNMQLJEMNOjvYycKqdubckvdBfslIGvRkSIdjSCYQ3AW77PWL7jm679LGdPoI9jOUATEWHWSLVBghqOgFrqp2ZYzCzuWMwSTYbo2WT62BZtlG+VyaQpnnUxkkSJV2ft12eqLi5nVQ7w47BzOzdm4n7qjAVQuVQmbvNVvFBr29TTob1tTJ7i4d++10oN0H6WmzQoTcfZ+52jX7k9i1JgfMcN8GWTsCc57ht39FtH79M7sB6hSttEJiKDrNInuMmqOkEvHlOdnc2bSLPodi8vgCGtVIz4ScGqkKwAIa0UtmgV5gOY63UTPoqhqkQzE2QViobdPA8x90t0o/c2nkpw242Bgi2dALmPMdt+45u+/hlcgfWK1xpg8BUdJhF8hw3QU0n4M1zTOv0ZNpEnkOxeX0BDGudZtYu4qUYqArBAhjSOmWDXmE6jLVOM2sXcUoxTIVgboK0Ttmgg+c57hMX9SO3dufK+e11i+Q5boItnYA5z3HbvqPbPn6Z3IH1ClfaIDAVHWaRPMdNUNMJePOc8u5s2kSeQ7F5dQFMYKehCmsT71IMVIVQAUy4u60VH/T60mGBtTeF/QDGCcUwFYK5CdLeZIP+4hgEMXaEsRbQYiSSFMc1YsIsDxPSfOTmw9y9JM0N28p8FDM3Iythb+nhM3SIDw9exyVjwqwW01C1gaoNVG2gagNVz0HVdKhFVpCJYe2YpjKf+fA53M0kh3u51fA5g2a+S2EzcKdjFcwAFXRNmXC3l/QwZd8aN39QwRK5OUCwpRMIbwLc9nvE9h3dduljO33EOw/+bpiKDrNEbg4Q1HQC1txcmF6rmOu1kmw2RhddkmWZSCJVqDwSfZtFTd/vo725p+cgmi69od3NAuu1CuEnBqpCsKQL6bWyQYcuLgl3C1E/cmmjLwMHMDfBlk7AHMDctu/oto9fJveIeYUrbRCYig6zSABzE9R0At4AJu/Opk0EMIrNQ54dt6Ir2jTqh91F+zyLiiY9RN1eqkPcqe6Q3VBxCTuKVSg/MVAVggUwd+u34oN+2FB/euqhjiWbedTW1mEe9vgx4W5+bukEzIHLbfuObvv4JXKPlI/lMhXd6EUClFv2mk7AG6Dyu7NpEwGKYvNp5Dl5evhakLtLrUcka5c6D3uUB0CwpRMwj0hu23d026WP7eQR6YuQ7oap6DCLjFRugppOwDtSmctNxdzlpiSbh2FKdZ1o2jKSWawiIdo4auN0H+VZ16Ri3wmpbqgBh11uKqxN60sxUBWCpdLu1QUVH/TgJvusVF0mskjEvU67s7iPWiWTqDsUfdEk8SHNxc24icTa+dLa2Z5SDFMhlJtIpJ3PBn0cTbLiEGdtEcWpkJHIhYqaQ9ZGpdiXIstV3Ga3M5pIrJ0vrZ3tyRcLUiGYmyDtfDbowU3yttSOmPWRLIoyEm1RRG1+UPp/xl3TNEqlTX87bpJibmJtGk8phqkQzE2Q3cps0IOb9IdMqb1qo8QcrykS1UVN18lhDOr1n/XFw/zjFtwEO4VXWpt2U4phKgRzE3d3teKDPp7kI1rR7zvtUrHJY1SiorZPD1G5F3luEpm4bG7HTbB2phS+imEqBHMTpJ3JBn1MYXshiiSOo+HuHZEe2qgt4yw6NMk+LoTsM3FDboJtHZXSVzFMhWBu4m51VXzQRzdp81yVcRE1eb+PRH/ooybp4ygRXbzP2mZ/SA634yZYb0la2yyTikEqBHMTpLfEBn3KTcyxl80hOrSt/m6Wpvq7bR7FXVYWXSr6LFO34ybYPj5pL3dPhmlEhWBu4u5LVHzQx9Ek2SfJXpZRKw8m3e3iqCiFWRUfJyqO0/ZwQ9sgJLaPT3rWGlEVgrmJuyhc8UGHXmol3cVF/cjni4saJY7H9Iv2hwCCLZ1AeBPgtt8jtu/oto9fJndD4gpX2iAwFR1GecP4utJ7CEFNJ2DtD0mzj+9k2mV/iGTz6gKYwgr/ar4GPikGqkKoAKaQwj8b9PpmTQor/Kv5GvicYpAKwdwEKfyzQR8XbjblPu1UEhXpMBHPZNQmZRH1ZR4n+3afS9HfjptghX81XwOfUQxTIZibIIV/Nuj1VXQVVvhX8zXwGcUwFYK5CVL4Z4NeX0VXYYV/JXwVw1QI5iZI4Z8Nen1tRIUV/pX0VQxTIZibIIV/Nuj1LUpQWOFfzdfAZxTDVAjmJkjhnw16fUucFFb4V/M18BnFMBWCuQlS+GeDXt+CSYUV/tV8DXwuTEMqBHMTpPDPBh268K/ctU79yO11w7Bb1QCCLZ1AeBPgtt8jtu/oto9fJnel+QpX2iAwFR1micI/QFDTCVgL/8oU/tVc4Z9k85DnQLsDbiSA5VjhP7fXwCfu78ZUCBXAcqTwzwa9vjwnxwr/ub0GPqEYpkIwN0EK/2zQ65s15VjhP7fXwKdeLEiFYG6CFP7ZoNdXg8mxwn9ur4FPKIapEMxNkMI/G/T6Kro5Vvg3Y6WfYpgKwdwEKfyzQa+vjZhjhf9c+iqGqRDMTZDCPxv0+tqIOVb4z+018KlsDlIhmJsghX826PUtccqxwn9ur4FPKQapEMxNkMI/G/QxN1HxvsmSLJKpOaBMxELPiuLSBCip41Oi85zydtwEK/zn9hr4VJiGVAjmJkjhnw16fetqc+zcldyz1oiqEMxN3EXhig/aHCT29HiOWNADxAp3kfGF/tKsCmZ7jBirsGifCCDY0gmENwFu+z1i+45u+/ilcjcmrnClDQJT0WGW6BMBBDWdgLVPVMR3Z9Mu+0Qkm43RSZY3SVGaafg+1qOZSaYT/T/LIk4LVeRZW57ekBsIZAXWACjsp99ciIGqECqQFUgDgA36h8MNPvqvXya+Yy2gy2BIUhxv8CnMDT6FmFNgvrZtFJCz7+145IEw8MHneFFPYS7qmbG9pts+HnMg2+Fh53QfTzHcxzNjvPkNxfrB/JMjvQyTJM0MH/bjbsLe7l24y/dbOgFzMuS2fUe3XfrYTh6JZoYeqtGLJD1u2Ws6AW/SY27QKeZu0CHZfDrf+ST8bZ0sXwgrUNgrUQp3R2hLJ2Aeedy27+i2Sx/bH3vkoRq9yMjjlr2mE/COPOLubNrEyEOx+XgT5vE/X3v6pX/q1/7u176R6D/5yj/u+Jeefumf8/AnP/j4n36v/4Fm/9rhww8+Nv/dffi9Dz8yPzQf/X5r/mnfSL8hRZHrGcvXPmi+b/4F773//f4HT363/ydP7j/8fvOB/rf94P1/pn+RpE+/9kcf7PuPvvf+B+Z7H3yo/0v/teZ77//+B8YzzT/2Dz786P1/pv9dzff0N77XHz7Wf/3/6T/6+P1u+JNOf63/SP/ZP/mo+cP3+v9X/52PP/qjXv9TWo3YfzTY2n748ccffv/4k/nDjaF4+Bc+nUCIh//o+cfTr+3fb37/ww/Mv4vytweDSX/zo/d//w+If/XjD/+Q8hf13zy8/70B1Py38VD9hR98+D39+I0v7N+a/bvGMZqPPr78woMvGGf4o++3/Uff+PAj7WZHBzI/vfXh3vxb3uk/6D/SIuvv/eFHH358nEiYb33vw+4f99r9Hv64N7YcXyv9h+9/8Ad6LPvYGP+/AROfQXc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</si>
  <si>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</si>
  <si>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</si>
  <si>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</si>
  <si>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</si>
  <si>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</si>
  <si>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</si>
  <si>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</si>
  <si>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</si>
  <si>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</si>
  <si>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</si>
  <si>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</si>
  <si>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</si>
  <si>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</si>
  <si>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</si>
  <si>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</si>
  <si>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</si>
  <si>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</si>
  <si>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</si>
  <si>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</si>
  <si>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</si>
  <si>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</si>
  <si>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</si>
  <si>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</si>
  <si>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</si>
  <si>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</si>
  <si>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</si>
  <si>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</si>
  <si>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</si>
  <si>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</si>
  <si>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</si>
  <si>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</si>
  <si>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</si>
  <si>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</si>
  <si>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</si>
  <si>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</si>
  <si>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</si>
  <si>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</si>
  <si>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</si>
  <si>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</si>
  <si>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</si>
  <si>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</si>
  <si>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</si>
  <si>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</si>
  <si>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</si>
  <si>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</si>
  <si>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</si>
  <si>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</si>
  <si>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</si>
  <si>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</si>
  <si>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</si>
  <si>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</si>
  <si>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</si>
  <si>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85%- 2.3.4.5.-этажи</t>
  </si>
  <si>
    <t>60%- 2.3.4.5.-этажи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</si>
</sst>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9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b/>
      <sz val="14"/>
      <color rgb="FF000000"/>
      <name val="Times New Roman"/>
    </font>
    <font>
      <i/>
      <sz val="14"/>
      <color rgb="FF000000"/>
      <name val="Times New Roman"/>
    </font>
    <font>
      <b/>
      <sz val="14"/>
      <color rgb="FF800000"/>
      <name val="Times New Roman"/>
    </font>
    <font>
      <sz val="14"/>
      <color rgb="FF800000"/>
      <name val="Times New Roman"/>
    </font>
    <font>
      <b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6"/>
      <color rgb="FFFF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b/>
      <sz val="16"/>
      <color rgb="FFFF0000"/>
      <name val="Calibri"/>
      <family val="2"/>
      <charset val="204"/>
    </font>
    <font>
      <sz val="14"/>
      <color rgb="FF000000"/>
      <name val="Calibri"/>
      <family val="2"/>
      <charset val="204"/>
    </font>
    <font>
      <b/>
      <sz val="14"/>
      <color rgb="FFFF0000"/>
      <name val="Calibri"/>
      <family val="2"/>
      <charset val="204"/>
    </font>
    <font>
      <b/>
      <sz val="20"/>
      <color rgb="FF000000"/>
      <name val="Times New Roman"/>
      <family val="1"/>
      <charset val="204"/>
    </font>
    <font>
      <b/>
      <sz val="20"/>
      <color rgb="FF000000"/>
      <name val="Calibri"/>
      <family val="2"/>
      <charset val="204"/>
    </font>
    <font>
      <b/>
      <sz val="20"/>
      <color rgb="FFFF0000"/>
      <name val="Calibri"/>
      <family val="2"/>
      <charset val="204"/>
    </font>
    <font>
      <sz val="18"/>
      <color rgb="FFFF0000"/>
      <name val="Times New Roman"/>
      <family val="1"/>
      <charset val="204"/>
    </font>
    <font>
      <sz val="18"/>
      <color rgb="FFFF0000"/>
      <name val="Calibri"/>
      <family val="2"/>
      <charset val="204"/>
    </font>
    <font>
      <b/>
      <sz val="18"/>
      <color rgb="FFFF0000"/>
      <name val="Calibri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164" fontId="10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left" vertical="center"/>
    </xf>
    <xf numFmtId="0" fontId="9" fillId="6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4" fontId="9" fillId="6" borderId="7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1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4" fontId="10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0" fillId="5" borderId="3" xfId="0" applyFill="1" applyBorder="1"/>
    <xf numFmtId="0" fontId="11" fillId="6" borderId="7" xfId="0" applyFont="1" applyFill="1" applyBorder="1" applyAlignment="1">
      <alignment horizontal="right" vertical="center" wrapText="1"/>
    </xf>
    <xf numFmtId="0" fontId="9" fillId="6" borderId="7" xfId="0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4" fontId="9" fillId="6" borderId="7" xfId="0" applyNumberFormat="1" applyFont="1" applyFill="1" applyBorder="1" applyAlignment="1">
      <alignment horizontal="center" vertical="center"/>
    </xf>
    <xf numFmtId="0" fontId="0" fillId="6" borderId="2" xfId="0" applyFill="1" applyBorder="1"/>
    <xf numFmtId="0" fontId="0" fillId="6" borderId="3" xfId="0" applyFill="1" applyBorder="1"/>
    <xf numFmtId="0" fontId="11" fillId="7" borderId="7" xfId="0" applyFont="1" applyFill="1" applyBorder="1" applyAlignment="1">
      <alignment horizontal="right" vertical="center" wrapText="1"/>
    </xf>
    <xf numFmtId="164" fontId="12" fillId="5" borderId="7" xfId="0" applyNumberFormat="1" applyFont="1" applyFill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13" fillId="6" borderId="7" xfId="0" applyNumberFormat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164" fontId="13" fillId="8" borderId="7" xfId="0" applyNumberFormat="1" applyFont="1" applyFill="1" applyBorder="1" applyAlignment="1">
      <alignment horizontal="center" vertical="center"/>
    </xf>
    <xf numFmtId="4" fontId="7" fillId="8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0" fillId="3" borderId="7" xfId="0" applyFont="1" applyFill="1" applyBorder="1" applyAlignment="1">
      <alignment horizontal="right" vertical="center"/>
    </xf>
    <xf numFmtId="4" fontId="10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" fontId="7" fillId="4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 wrapText="1"/>
    </xf>
    <xf numFmtId="4" fontId="7" fillId="4" borderId="3" xfId="0" applyNumberFormat="1" applyFont="1" applyFill="1" applyBorder="1" applyAlignment="1">
      <alignment horizontal="center" vertical="center"/>
    </xf>
    <xf numFmtId="4" fontId="7" fillId="0" borderId="3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0" fillId="4" borderId="20" xfId="0" applyFill="1" applyBorder="1"/>
    <xf numFmtId="0" fontId="0" fillId="0" borderId="22" xfId="0" applyBorder="1"/>
    <xf numFmtId="4" fontId="9" fillId="0" borderId="21" xfId="0" applyNumberFormat="1" applyFont="1" applyBorder="1" applyAlignment="1">
      <alignment horizontal="center" vertical="center" wrapText="1"/>
    </xf>
    <xf numFmtId="4" fontId="9" fillId="3" borderId="21" xfId="0" applyNumberFormat="1" applyFont="1" applyFill="1" applyBorder="1" applyAlignment="1">
      <alignment horizontal="center" vertical="center"/>
    </xf>
    <xf numFmtId="4" fontId="9" fillId="3" borderId="21" xfId="0" applyNumberFormat="1" applyFont="1" applyFill="1" applyBorder="1" applyAlignment="1" applyProtection="1">
      <alignment horizontal="center" vertical="center"/>
      <protection locked="0"/>
    </xf>
    <xf numFmtId="4" fontId="9" fillId="3" borderId="1" xfId="0" applyNumberFormat="1" applyFont="1" applyFill="1" applyBorder="1" applyAlignment="1">
      <alignment horizontal="center" vertical="center" wrapText="1"/>
    </xf>
    <xf numFmtId="4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4" fontId="17" fillId="9" borderId="26" xfId="0" applyNumberFormat="1" applyFont="1" applyFill="1" applyBorder="1" applyAlignment="1">
      <alignment horizontal="center" vertical="center" wrapText="1"/>
    </xf>
    <xf numFmtId="0" fontId="20" fillId="10" borderId="26" xfId="0" applyFont="1" applyFill="1" applyBorder="1"/>
    <xf numFmtId="0" fontId="20" fillId="9" borderId="27" xfId="0" applyFont="1" applyFill="1" applyBorder="1"/>
    <xf numFmtId="4" fontId="16" fillId="9" borderId="26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 wrapText="1"/>
    </xf>
    <xf numFmtId="164" fontId="15" fillId="0" borderId="7" xfId="0" applyNumberFormat="1" applyFont="1" applyBorder="1" applyAlignment="1">
      <alignment horizontal="center" vertical="center" wrapText="1"/>
    </xf>
    <xf numFmtId="4" fontId="15" fillId="0" borderId="7" xfId="0" applyNumberFormat="1" applyFont="1" applyBorder="1" applyAlignment="1">
      <alignment horizontal="center" vertical="center" wrapText="1"/>
    </xf>
    <xf numFmtId="4" fontId="15" fillId="0" borderId="1" xfId="0" applyNumberFormat="1" applyFont="1" applyBorder="1" applyAlignment="1">
      <alignment horizontal="center" vertical="center" wrapText="1"/>
    </xf>
    <xf numFmtId="4" fontId="15" fillId="0" borderId="21" xfId="0" applyNumberFormat="1" applyFont="1" applyBorder="1" applyAlignment="1">
      <alignment horizontal="center" vertical="center" wrapText="1"/>
    </xf>
    <xf numFmtId="4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4" fontId="15" fillId="0" borderId="3" xfId="0" applyNumberFormat="1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164" fontId="18" fillId="0" borderId="7" xfId="0" applyNumberFormat="1" applyFont="1" applyBorder="1" applyAlignment="1">
      <alignment horizontal="center" vertical="center" wrapText="1"/>
    </xf>
    <xf numFmtId="4" fontId="18" fillId="0" borderId="7" xfId="0" applyNumberFormat="1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4" fontId="18" fillId="0" borderId="21" xfId="0" applyNumberFormat="1" applyFont="1" applyBorder="1" applyAlignment="1">
      <alignment horizontal="center" vertical="center" wrapText="1"/>
    </xf>
    <xf numFmtId="4" fontId="18" fillId="3" borderId="1" xfId="0" applyNumberFormat="1" applyFont="1" applyFill="1" applyBorder="1" applyAlignment="1" applyProtection="1">
      <alignment horizontal="center" vertical="center" wrapText="1"/>
      <protection locked="0"/>
    </xf>
    <xf numFmtId="4" fontId="18" fillId="0" borderId="3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  <xf numFmtId="164" fontId="15" fillId="0" borderId="4" xfId="0" applyNumberFormat="1" applyFont="1" applyBorder="1" applyAlignment="1">
      <alignment horizontal="center" vertical="center" wrapText="1"/>
    </xf>
    <xf numFmtId="4" fontId="15" fillId="0" borderId="4" xfId="0" applyNumberFormat="1" applyFont="1" applyBorder="1" applyAlignment="1">
      <alignment horizontal="center" vertical="center" wrapText="1"/>
    </xf>
    <xf numFmtId="4" fontId="15" fillId="0" borderId="10" xfId="0" applyNumberFormat="1" applyFont="1" applyBorder="1" applyAlignment="1">
      <alignment horizontal="center" vertical="center" wrapText="1"/>
    </xf>
    <xf numFmtId="4" fontId="15" fillId="0" borderId="28" xfId="0" applyNumberFormat="1" applyFont="1" applyBorder="1" applyAlignment="1">
      <alignment horizontal="center" vertical="center" wrapText="1"/>
    </xf>
    <xf numFmtId="4" fontId="15" fillId="3" borderId="10" xfId="0" applyNumberFormat="1" applyFont="1" applyFill="1" applyBorder="1" applyAlignment="1" applyProtection="1">
      <alignment horizontal="center" vertical="center" wrapText="1"/>
      <protection locked="0"/>
    </xf>
    <xf numFmtId="4" fontId="16" fillId="9" borderId="29" xfId="0" applyNumberFormat="1" applyFont="1" applyFill="1" applyBorder="1" applyAlignment="1">
      <alignment horizontal="center" vertical="center" wrapText="1"/>
    </xf>
    <xf numFmtId="4" fontId="15" fillId="0" borderId="8" xfId="0" applyNumberFormat="1" applyFont="1" applyBorder="1" applyAlignment="1">
      <alignment horizontal="center" vertical="center" wrapText="1"/>
    </xf>
    <xf numFmtId="0" fontId="21" fillId="3" borderId="12" xfId="0" applyFont="1" applyFill="1" applyBorder="1"/>
    <xf numFmtId="0" fontId="21" fillId="3" borderId="13" xfId="0" applyFont="1" applyFill="1" applyBorder="1"/>
    <xf numFmtId="0" fontId="15" fillId="3" borderId="14" xfId="0" applyFont="1" applyFill="1" applyBorder="1" applyAlignment="1">
      <alignment horizontal="right" vertical="center"/>
    </xf>
    <xf numFmtId="4" fontId="15" fillId="3" borderId="14" xfId="0" applyNumberFormat="1" applyFont="1" applyFill="1" applyBorder="1" applyAlignment="1">
      <alignment horizontal="center" vertical="center"/>
    </xf>
    <xf numFmtId="4" fontId="15" fillId="3" borderId="17" xfId="0" applyNumberFormat="1" applyFont="1" applyFill="1" applyBorder="1" applyAlignment="1">
      <alignment horizontal="center" vertical="center"/>
    </xf>
    <xf numFmtId="0" fontId="22" fillId="10" borderId="11" xfId="0" applyFont="1" applyFill="1" applyBorder="1"/>
    <xf numFmtId="4" fontId="15" fillId="3" borderId="30" xfId="0" applyNumberFormat="1" applyFont="1" applyFill="1" applyBorder="1" applyAlignment="1">
      <alignment horizontal="center" vertical="center"/>
    </xf>
    <xf numFmtId="4" fontId="15" fillId="3" borderId="15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0" fillId="0" borderId="13" xfId="0" applyBorder="1"/>
    <xf numFmtId="0" fontId="8" fillId="4" borderId="12" xfId="0" applyFont="1" applyFill="1" applyBorder="1" applyAlignment="1">
      <alignment vertical="center"/>
    </xf>
    <xf numFmtId="0" fontId="8" fillId="4" borderId="13" xfId="0" applyFont="1" applyFill="1" applyBorder="1" applyAlignment="1">
      <alignment vertical="center"/>
    </xf>
    <xf numFmtId="0" fontId="8" fillId="4" borderId="16" xfId="0" applyFont="1" applyFill="1" applyBorder="1" applyAlignment="1">
      <alignment vertical="center"/>
    </xf>
    <xf numFmtId="4" fontId="19" fillId="0" borderId="7" xfId="0" applyNumberFormat="1" applyFont="1" applyBorder="1" applyAlignment="1">
      <alignment horizontal="center" vertical="center" wrapText="1"/>
    </xf>
    <xf numFmtId="4" fontId="16" fillId="0" borderId="7" xfId="0" applyNumberFormat="1" applyFont="1" applyBorder="1" applyAlignment="1">
      <alignment horizontal="center" vertical="center" wrapText="1"/>
    </xf>
    <xf numFmtId="0" fontId="24" fillId="4" borderId="2" xfId="0" applyFont="1" applyFill="1" applyBorder="1"/>
    <xf numFmtId="4" fontId="23" fillId="4" borderId="7" xfId="0" applyNumberFormat="1" applyFont="1" applyFill="1" applyBorder="1" applyAlignment="1">
      <alignment horizontal="center" vertical="center"/>
    </xf>
    <xf numFmtId="4" fontId="23" fillId="4" borderId="1" xfId="0" applyNumberFormat="1" applyFont="1" applyFill="1" applyBorder="1" applyAlignment="1">
      <alignment horizontal="center" vertical="center"/>
    </xf>
    <xf numFmtId="0" fontId="24" fillId="4" borderId="20" xfId="0" applyFont="1" applyFill="1" applyBorder="1"/>
    <xf numFmtId="0" fontId="25" fillId="10" borderId="26" xfId="0" applyFont="1" applyFill="1" applyBorder="1"/>
    <xf numFmtId="4" fontId="23" fillId="4" borderId="3" xfId="0" applyNumberFormat="1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left" vertical="center"/>
    </xf>
    <xf numFmtId="0" fontId="0" fillId="9" borderId="0" xfId="0" applyFill="1"/>
    <xf numFmtId="4" fontId="7" fillId="9" borderId="7" xfId="0" applyNumberFormat="1" applyFont="1" applyFill="1" applyBorder="1" applyAlignment="1">
      <alignment horizontal="center" vertical="center"/>
    </xf>
    <xf numFmtId="4" fontId="7" fillId="9" borderId="1" xfId="0" applyNumberFormat="1" applyFont="1" applyFill="1" applyBorder="1" applyAlignment="1">
      <alignment horizontal="center" vertical="center"/>
    </xf>
    <xf numFmtId="0" fontId="0" fillId="9" borderId="22" xfId="0" applyFill="1" applyBorder="1"/>
    <xf numFmtId="4" fontId="7" fillId="9" borderId="3" xfId="0" applyNumberFormat="1" applyFont="1" applyFill="1" applyBorder="1" applyAlignment="1">
      <alignment horizontal="center" vertical="center"/>
    </xf>
    <xf numFmtId="0" fontId="27" fillId="0" borderId="0" xfId="0" applyFont="1"/>
    <xf numFmtId="4" fontId="19" fillId="0" borderId="7" xfId="0" applyNumberFormat="1" applyFont="1" applyBorder="1" applyAlignment="1">
      <alignment horizontal="center" vertical="center"/>
    </xf>
    <xf numFmtId="4" fontId="19" fillId="0" borderId="1" xfId="0" applyNumberFormat="1" applyFont="1" applyBorder="1" applyAlignment="1">
      <alignment horizontal="center" vertical="center"/>
    </xf>
    <xf numFmtId="0" fontId="27" fillId="0" borderId="22" xfId="0" applyFont="1" applyBorder="1"/>
    <xf numFmtId="0" fontId="28" fillId="9" borderId="27" xfId="0" applyFont="1" applyFill="1" applyBorder="1"/>
    <xf numFmtId="4" fontId="19" fillId="0" borderId="3" xfId="0" applyNumberFormat="1" applyFont="1" applyBorder="1" applyAlignment="1">
      <alignment horizontal="center" vertical="center"/>
    </xf>
    <xf numFmtId="0" fontId="26" fillId="9" borderId="7" xfId="0" applyFont="1" applyFill="1" applyBorder="1" applyAlignment="1">
      <alignment horizontal="left" vertical="center"/>
    </xf>
    <xf numFmtId="0" fontId="19" fillId="9" borderId="7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8" fillId="8" borderId="3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3" fillId="8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/>
    </xf>
    <xf numFmtId="0" fontId="19" fillId="9" borderId="2" xfId="0" applyFont="1" applyFill="1" applyBorder="1" applyAlignment="1">
      <alignment horizontal="left" vertical="center"/>
    </xf>
    <xf numFmtId="0" fontId="19" fillId="9" borderId="3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left" vertical="center"/>
    </xf>
    <xf numFmtId="0" fontId="23" fillId="4" borderId="2" xfId="0" applyFont="1" applyFill="1" applyBorder="1" applyAlignment="1">
      <alignment horizontal="left" vertical="center"/>
    </xf>
    <xf numFmtId="0" fontId="23" fillId="4" borderId="3" xfId="0" applyFont="1" applyFill="1" applyBorder="1" applyAlignment="1">
      <alignment horizontal="left" vertical="center"/>
    </xf>
    <xf numFmtId="0" fontId="5" fillId="3" borderId="18" xfId="0" applyFont="1" applyFill="1" applyBorder="1" applyAlignment="1" applyProtection="1">
      <alignment horizontal="center" vertical="center"/>
      <protection locked="0"/>
    </xf>
    <xf numFmtId="0" fontId="5" fillId="3" borderId="19" xfId="0" applyFont="1" applyFill="1" applyBorder="1" applyAlignment="1" applyProtection="1">
      <alignment horizontal="center" vertical="center"/>
      <protection locked="0"/>
    </xf>
    <xf numFmtId="0" fontId="5" fillId="3" borderId="23" xfId="0" applyFont="1" applyFill="1" applyBorder="1" applyAlignment="1" applyProtection="1">
      <alignment horizontal="center" vertical="center"/>
      <protection locked="0"/>
    </xf>
    <xf numFmtId="0" fontId="16" fillId="9" borderId="24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4" fontId="18" fillId="11" borderId="7" xfId="0" applyNumberFormat="1" applyFont="1" applyFill="1" applyBorder="1" applyAlignment="1">
      <alignment horizontal="center" vertical="center" wrapText="1"/>
    </xf>
    <xf numFmtId="0" fontId="0" fillId="12" borderId="0" xfId="0" applyFill="1"/>
    <xf numFmtId="4" fontId="15" fillId="11" borderId="7" xfId="0" applyNumberFormat="1" applyFont="1" applyFill="1" applyBorder="1" applyAlignment="1">
      <alignment horizontal="center" vertical="center" wrapText="1"/>
    </xf>
    <xf numFmtId="0" fontId="27" fillId="12" borderId="0" xfId="0" applyFont="1" applyFill="1"/>
    <xf numFmtId="4" fontId="9" fillId="11" borderId="7" xfId="0" applyNumberFormat="1" applyFont="1" applyFill="1" applyBorder="1" applyAlignment="1">
      <alignment horizontal="center" vertical="center" wrapText="1"/>
    </xf>
    <xf numFmtId="0" fontId="0" fillId="12" borderId="31" xfId="0" applyFill="1" applyBorder="1"/>
    <xf numFmtId="0" fontId="0" fillId="12" borderId="32" xfId="0" applyFill="1" applyBorder="1"/>
    <xf numFmtId="4" fontId="15" fillId="11" borderId="33" xfId="0" applyNumberFormat="1" applyFont="1" applyFill="1" applyBorder="1" applyAlignment="1">
      <alignment horizontal="center" vertical="center" wrapText="1"/>
    </xf>
    <xf numFmtId="4" fontId="15" fillId="11" borderId="4" xfId="0" applyNumberFormat="1" applyFont="1" applyFill="1" applyBorder="1" applyAlignment="1">
      <alignment horizontal="center" vertical="center" wrapText="1"/>
    </xf>
    <xf numFmtId="0" fontId="21" fillId="11" borderId="13" xfId="0" applyFont="1" applyFill="1" applyBorder="1"/>
  </cellXfs>
  <cellStyles count="1">
    <cellStyle name="Обычный" xfId="0" builtinId="0"/>
  </cellStyles>
  <dxfs count="0"/>
  <tableStyles count="0" defaultTableStyle="TableStyleMedium9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96"/>
  <sheetViews>
    <sheetView zoomScale="50" zoomScaleNormal="50" workbookViewId="0">
      <pane xSplit="9" ySplit="7" topLeftCell="Q8" activePane="bottomRight" state="frozen"/>
      <selection pane="topRight"/>
      <selection pane="bottomLeft"/>
      <selection pane="bottomRight" sqref="A1:XFD1048576"/>
    </sheetView>
  </sheetViews>
  <sheetFormatPr defaultRowHeight="14.5" x14ac:dyDescent="0.35"/>
  <cols>
    <col min="1" max="1" width="20" customWidth="1"/>
    <col min="2" max="2" width="21.7265625" bestFit="1" customWidth="1"/>
    <col min="3" max="3" width="55.6328125" customWidth="1"/>
    <col min="4" max="5" width="38" customWidth="1"/>
    <col min="6" max="7" width="16.453125" customWidth="1"/>
    <col min="8" max="8" width="16" customWidth="1"/>
    <col min="9" max="9" width="16.81640625" customWidth="1"/>
    <col min="10" max="10" width="16" customWidth="1"/>
    <col min="11" max="11" width="17" customWidth="1"/>
    <col min="12" max="12" width="17.6328125" customWidth="1"/>
    <col min="13" max="13" width="18" customWidth="1"/>
    <col min="14" max="14" width="18.81640625" customWidth="1"/>
    <col min="15" max="15" width="23.6328125" customWidth="1"/>
    <col min="16" max="16" width="16" customWidth="1"/>
    <col min="17" max="17" width="17" customWidth="1"/>
    <col min="18" max="18" width="17.6328125" customWidth="1"/>
    <col min="19" max="19" width="18" customWidth="1"/>
    <col min="20" max="20" width="18.81640625" customWidth="1"/>
    <col min="21" max="21" width="23.6328125" customWidth="1"/>
    <col min="22" max="35" width="9.08984375" hidden="1"/>
  </cols>
  <sheetData>
    <row r="1" spans="1:35" ht="15" customHeight="1" x14ac:dyDescent="0.35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3"/>
      <c r="O1" s="3"/>
      <c r="P1" s="3"/>
      <c r="Q1" s="3"/>
      <c r="R1" s="3"/>
      <c r="S1" s="3"/>
      <c r="T1" s="3"/>
      <c r="U1" s="3"/>
      <c r="AC1" s="4" t="s">
        <v>17</v>
      </c>
      <c r="AD1" s="4" t="s">
        <v>18</v>
      </c>
      <c r="AE1" s="4" t="s">
        <v>19</v>
      </c>
      <c r="AF1" s="4" t="s">
        <v>20</v>
      </c>
      <c r="AG1" s="4" t="s">
        <v>21</v>
      </c>
      <c r="AH1" s="4" t="s">
        <v>22</v>
      </c>
      <c r="AI1" s="4" t="s">
        <v>23</v>
      </c>
    </row>
    <row r="2" spans="1:35" ht="30.75" customHeight="1" x14ac:dyDescent="0.35">
      <c r="A2" s="157" t="s">
        <v>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</row>
    <row r="3" spans="1:35" ht="15" customHeight="1" x14ac:dyDescent="0.35">
      <c r="A3" s="158" t="s">
        <v>5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</row>
    <row r="4" spans="1:35" ht="15" customHeight="1" x14ac:dyDescent="0.35">
      <c r="A4" s="159" t="s">
        <v>6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35" ht="40.75" customHeight="1" x14ac:dyDescent="0.35">
      <c r="A5" s="166" t="s">
        <v>24</v>
      </c>
      <c r="B5" s="166" t="s">
        <v>25</v>
      </c>
      <c r="C5" s="166" t="s">
        <v>26</v>
      </c>
      <c r="D5" s="166" t="s">
        <v>27</v>
      </c>
      <c r="E5" s="166" t="s">
        <v>28</v>
      </c>
      <c r="F5" s="166" t="s">
        <v>29</v>
      </c>
      <c r="G5" s="166" t="s">
        <v>30</v>
      </c>
      <c r="H5" s="166" t="s">
        <v>31</v>
      </c>
      <c r="I5" s="166" t="s">
        <v>32</v>
      </c>
      <c r="J5" s="160" t="s">
        <v>7</v>
      </c>
      <c r="K5" s="161"/>
      <c r="L5" s="161"/>
      <c r="M5" s="161"/>
      <c r="N5" s="161"/>
      <c r="O5" s="162"/>
      <c r="P5" s="163" t="s">
        <v>8</v>
      </c>
      <c r="Q5" s="164"/>
      <c r="R5" s="165"/>
      <c r="S5" s="163" t="s">
        <v>9</v>
      </c>
      <c r="T5" s="164"/>
      <c r="U5" s="165"/>
    </row>
    <row r="6" spans="1:35" ht="15.75" customHeight="1" x14ac:dyDescent="0.35">
      <c r="A6" s="167"/>
      <c r="B6" s="167"/>
      <c r="C6" s="167"/>
      <c r="D6" s="167"/>
      <c r="E6" s="167"/>
      <c r="F6" s="167"/>
      <c r="G6" s="167"/>
      <c r="H6" s="167"/>
      <c r="I6" s="167"/>
      <c r="J6" s="169" t="s">
        <v>33</v>
      </c>
      <c r="K6" s="170"/>
      <c r="L6" s="166" t="s">
        <v>33</v>
      </c>
      <c r="M6" s="169" t="s">
        <v>36</v>
      </c>
      <c r="N6" s="170"/>
      <c r="O6" s="166" t="s">
        <v>37</v>
      </c>
      <c r="P6" s="169" t="s">
        <v>33</v>
      </c>
      <c r="Q6" s="170"/>
      <c r="R6" s="166" t="s">
        <v>33</v>
      </c>
      <c r="S6" s="169" t="s">
        <v>36</v>
      </c>
      <c r="T6" s="170"/>
      <c r="U6" s="166" t="s">
        <v>37</v>
      </c>
    </row>
    <row r="7" spans="1:35" ht="31.25" customHeight="1" x14ac:dyDescent="0.35">
      <c r="A7" s="168"/>
      <c r="B7" s="168"/>
      <c r="C7" s="168"/>
      <c r="D7" s="168"/>
      <c r="E7" s="168"/>
      <c r="F7" s="168"/>
      <c r="G7" s="168"/>
      <c r="H7" s="168"/>
      <c r="I7" s="168"/>
      <c r="J7" s="5" t="s">
        <v>34</v>
      </c>
      <c r="K7" s="5" t="s">
        <v>35</v>
      </c>
      <c r="L7" s="168"/>
      <c r="M7" s="5" t="s">
        <v>34</v>
      </c>
      <c r="N7" s="5" t="s">
        <v>35</v>
      </c>
      <c r="O7" s="168"/>
      <c r="P7" s="5" t="s">
        <v>34</v>
      </c>
      <c r="Q7" s="5" t="s">
        <v>35</v>
      </c>
      <c r="R7" s="168"/>
      <c r="S7" s="5" t="s">
        <v>34</v>
      </c>
      <c r="T7" s="5" t="s">
        <v>35</v>
      </c>
      <c r="U7" s="168"/>
    </row>
    <row r="8" spans="1:35" ht="30" customHeight="1" x14ac:dyDescent="0.35">
      <c r="A8" s="171" t="s">
        <v>38</v>
      </c>
      <c r="B8" s="172"/>
      <c r="C8" s="172"/>
      <c r="D8" s="172"/>
      <c r="E8" s="172"/>
      <c r="F8" s="172"/>
      <c r="G8" s="172"/>
      <c r="H8" s="172"/>
      <c r="I8" s="173"/>
      <c r="J8" s="7"/>
      <c r="K8" s="7"/>
      <c r="L8" s="7"/>
      <c r="M8" s="8">
        <f>SUM(M9)</f>
        <v>0</v>
      </c>
      <c r="N8" s="8">
        <f>SUM(N9)</f>
        <v>0</v>
      </c>
      <c r="O8" s="8">
        <f>SUM(O9)</f>
        <v>0</v>
      </c>
      <c r="P8" s="7"/>
      <c r="Q8" s="7"/>
      <c r="R8" s="7"/>
      <c r="S8" s="8">
        <f>SUM(S9)</f>
        <v>0</v>
      </c>
      <c r="T8" s="8">
        <f>SUM(T9)</f>
        <v>0</v>
      </c>
      <c r="U8" s="8">
        <f>SUM(U9)</f>
        <v>0</v>
      </c>
      <c r="Y8" s="9">
        <f>SUM(Y9)</f>
        <v>0</v>
      </c>
      <c r="Z8" s="9">
        <f>SUM(Z9)</f>
        <v>0</v>
      </c>
      <c r="AA8" s="9">
        <f>SUM(AA9)</f>
        <v>0</v>
      </c>
      <c r="AC8" s="4" t="s">
        <v>39</v>
      </c>
    </row>
    <row r="9" spans="1:35" ht="17" customHeight="1" x14ac:dyDescent="0.35">
      <c r="A9" s="10" t="s">
        <v>40</v>
      </c>
      <c r="B9" s="10" t="s">
        <v>41</v>
      </c>
      <c r="C9" s="174" t="s">
        <v>42</v>
      </c>
      <c r="D9" s="175"/>
      <c r="E9" s="175"/>
      <c r="F9" s="175"/>
      <c r="G9" s="175"/>
      <c r="H9" s="175"/>
      <c r="I9" s="176"/>
      <c r="M9" s="6">
        <f>SUM(M10,M157)</f>
        <v>0</v>
      </c>
      <c r="N9" s="6">
        <f>SUM(N10,N157)</f>
        <v>0</v>
      </c>
      <c r="O9" s="6">
        <f>SUM(O10,O157)</f>
        <v>0</v>
      </c>
      <c r="S9" s="6">
        <f>SUM(S10,S157)</f>
        <v>0</v>
      </c>
      <c r="T9" s="6">
        <f>SUM(T10,T157)</f>
        <v>0</v>
      </c>
      <c r="U9" s="6">
        <f>SUM(U10,U157)</f>
        <v>0</v>
      </c>
      <c r="Y9" s="9">
        <f>SUM(Y10,Y157)</f>
        <v>0</v>
      </c>
      <c r="Z9" s="9">
        <f>SUM(Z10,Z157)</f>
        <v>0</v>
      </c>
      <c r="AA9" s="9">
        <f>SUM(AA10,AA157)</f>
        <v>0</v>
      </c>
      <c r="AD9" s="4">
        <v>305116928</v>
      </c>
      <c r="AE9" s="4">
        <v>20926424</v>
      </c>
    </row>
    <row r="10" spans="1:35" ht="17" customHeight="1" x14ac:dyDescent="0.35">
      <c r="A10" s="10" t="s">
        <v>43</v>
      </c>
      <c r="B10" s="10" t="s">
        <v>44</v>
      </c>
      <c r="C10" s="174" t="s">
        <v>45</v>
      </c>
      <c r="D10" s="175"/>
      <c r="E10" s="175"/>
      <c r="F10" s="175"/>
      <c r="G10" s="175"/>
      <c r="H10" s="175"/>
      <c r="I10" s="176"/>
      <c r="M10" s="6">
        <f t="shared" ref="M10:O13" si="0">SUM(M11)</f>
        <v>0</v>
      </c>
      <c r="N10" s="6">
        <f t="shared" si="0"/>
        <v>0</v>
      </c>
      <c r="O10" s="6">
        <f t="shared" si="0"/>
        <v>0</v>
      </c>
      <c r="S10" s="6">
        <f t="shared" ref="S10:U13" si="1">SUM(S11)</f>
        <v>0</v>
      </c>
      <c r="T10" s="6">
        <f t="shared" si="1"/>
        <v>0</v>
      </c>
      <c r="U10" s="6">
        <f t="shared" si="1"/>
        <v>0</v>
      </c>
      <c r="Y10" s="9">
        <f t="shared" ref="Y10:AA13" si="2">SUM(Y11)</f>
        <v>0</v>
      </c>
      <c r="Z10" s="9">
        <f t="shared" si="2"/>
        <v>0</v>
      </c>
      <c r="AA10" s="9">
        <f t="shared" si="2"/>
        <v>0</v>
      </c>
      <c r="AD10" s="4">
        <v>305116929</v>
      </c>
      <c r="AE10" s="4">
        <v>20927485</v>
      </c>
    </row>
    <row r="11" spans="1:35" ht="17" customHeight="1" x14ac:dyDescent="0.35">
      <c r="A11" s="10" t="s">
        <v>46</v>
      </c>
      <c r="B11" s="10" t="s">
        <v>47</v>
      </c>
      <c r="C11" s="174" t="s">
        <v>48</v>
      </c>
      <c r="D11" s="175"/>
      <c r="E11" s="175"/>
      <c r="F11" s="175"/>
      <c r="G11" s="175"/>
      <c r="H11" s="175"/>
      <c r="I11" s="176"/>
      <c r="M11" s="6">
        <f t="shared" si="0"/>
        <v>0</v>
      </c>
      <c r="N11" s="6">
        <f t="shared" si="0"/>
        <v>0</v>
      </c>
      <c r="O11" s="6">
        <f t="shared" si="0"/>
        <v>0</v>
      </c>
      <c r="S11" s="6">
        <f t="shared" si="1"/>
        <v>0</v>
      </c>
      <c r="T11" s="6">
        <f t="shared" si="1"/>
        <v>0</v>
      </c>
      <c r="U11" s="6">
        <f t="shared" si="1"/>
        <v>0</v>
      </c>
      <c r="Y11" s="9">
        <f t="shared" si="2"/>
        <v>0</v>
      </c>
      <c r="Z11" s="9">
        <f t="shared" si="2"/>
        <v>0</v>
      </c>
      <c r="AA11" s="9">
        <f t="shared" si="2"/>
        <v>0</v>
      </c>
      <c r="AD11" s="4">
        <v>305116930</v>
      </c>
      <c r="AE11" s="4">
        <v>20927483</v>
      </c>
    </row>
    <row r="12" spans="1:35" ht="17" customHeight="1" x14ac:dyDescent="0.35">
      <c r="A12" s="10" t="s">
        <v>49</v>
      </c>
      <c r="B12" s="10" t="s">
        <v>50</v>
      </c>
      <c r="C12" s="174" t="s">
        <v>51</v>
      </c>
      <c r="D12" s="175"/>
      <c r="E12" s="175"/>
      <c r="F12" s="175"/>
      <c r="G12" s="175"/>
      <c r="H12" s="175"/>
      <c r="I12" s="176"/>
      <c r="M12" s="6">
        <f t="shared" si="0"/>
        <v>0</v>
      </c>
      <c r="N12" s="6">
        <f t="shared" si="0"/>
        <v>0</v>
      </c>
      <c r="O12" s="6">
        <f t="shared" si="0"/>
        <v>0</v>
      </c>
      <c r="S12" s="6">
        <f t="shared" si="1"/>
        <v>0</v>
      </c>
      <c r="T12" s="6">
        <f t="shared" si="1"/>
        <v>0</v>
      </c>
      <c r="U12" s="6">
        <f t="shared" si="1"/>
        <v>0</v>
      </c>
      <c r="Y12" s="9">
        <f t="shared" si="2"/>
        <v>0</v>
      </c>
      <c r="Z12" s="9">
        <f t="shared" si="2"/>
        <v>0</v>
      </c>
      <c r="AA12" s="9">
        <f t="shared" si="2"/>
        <v>0</v>
      </c>
      <c r="AD12" s="4">
        <v>305116931</v>
      </c>
      <c r="AE12" s="4">
        <v>20927480</v>
      </c>
    </row>
    <row r="13" spans="1:35" ht="17" customHeight="1" x14ac:dyDescent="0.35">
      <c r="A13" s="10" t="s">
        <v>52</v>
      </c>
      <c r="B13" s="10" t="s">
        <v>53</v>
      </c>
      <c r="C13" s="174" t="s">
        <v>54</v>
      </c>
      <c r="D13" s="175"/>
      <c r="E13" s="175"/>
      <c r="F13" s="175"/>
      <c r="G13" s="175"/>
      <c r="H13" s="175"/>
      <c r="I13" s="176"/>
      <c r="M13" s="6">
        <f t="shared" si="0"/>
        <v>0</v>
      </c>
      <c r="N13" s="6">
        <f t="shared" si="0"/>
        <v>0</v>
      </c>
      <c r="O13" s="6">
        <f t="shared" si="0"/>
        <v>0</v>
      </c>
      <c r="S13" s="6">
        <f t="shared" si="1"/>
        <v>0</v>
      </c>
      <c r="T13" s="6">
        <f t="shared" si="1"/>
        <v>0</v>
      </c>
      <c r="U13" s="6">
        <f t="shared" si="1"/>
        <v>0</v>
      </c>
      <c r="Y13" s="9">
        <f t="shared" si="2"/>
        <v>0</v>
      </c>
      <c r="Z13" s="9">
        <f t="shared" si="2"/>
        <v>0</v>
      </c>
      <c r="AA13" s="9">
        <f t="shared" si="2"/>
        <v>0</v>
      </c>
      <c r="AD13" s="4">
        <v>305116932</v>
      </c>
      <c r="AE13" s="4">
        <v>20927484</v>
      </c>
    </row>
    <row r="14" spans="1:35" ht="17" customHeight="1" x14ac:dyDescent="0.35">
      <c r="A14" s="10" t="s">
        <v>55</v>
      </c>
      <c r="B14" s="10" t="s">
        <v>56</v>
      </c>
      <c r="C14" s="174" t="s">
        <v>57</v>
      </c>
      <c r="D14" s="175"/>
      <c r="E14" s="175"/>
      <c r="F14" s="175"/>
      <c r="G14" s="175"/>
      <c r="H14" s="175"/>
      <c r="I14" s="176"/>
      <c r="M14" s="6">
        <f>SUM(M15,M27,M33,M45,M55,M61,M67,M79,M91,M103,M115,M127,M133,M139,M145,M151)</f>
        <v>0</v>
      </c>
      <c r="N14" s="6">
        <f>SUM(N15,N27,N33,N45,N55,N61,N67,N79,N91,N103,N115,N127,N133,N139,N145,N151)</f>
        <v>0</v>
      </c>
      <c r="O14" s="6">
        <f>SUM(O15,O27,O33,O45,O55,O61,O67,O79,O91,O103,O115,O127,O133,O139,O145,O151)</f>
        <v>0</v>
      </c>
      <c r="S14" s="6">
        <f>SUM(S15,S27,S33,S45,S55,S61,S67,S79,S91,S103,S115,S127,S133,S139,S145,S151)</f>
        <v>0</v>
      </c>
      <c r="T14" s="6">
        <f>SUM(T15,T27,T33,T45,T55,T61,T67,T79,T91,T103,T115,T127,T133,T139,T145,T151)</f>
        <v>0</v>
      </c>
      <c r="U14" s="6">
        <f>SUM(U15,U27,U33,U45,U55,U61,U67,U79,U91,U103,U115,U127,U133,U139,U145,U151)</f>
        <v>0</v>
      </c>
      <c r="Y14" s="9">
        <f>SUM(Y15,Y27,Y33,Y45,Y55,Y61,Y67,Y79,Y91,Y103,Y115,Y127,Y133,Y139,Y145,Y151)</f>
        <v>0</v>
      </c>
      <c r="Z14" s="9">
        <f>SUM(Z15,Z27,Z33,Z45,Z55,Z61,Z67,Z79,Z91,Z103,Z115,Z127,Z133,Z139,Z145,Z151)</f>
        <v>0</v>
      </c>
      <c r="AA14" s="9">
        <f>SUM(AA15,AA27,AA33,AA45,AA55,AA61,AA67,AA79,AA91,AA103,AA115,AA127,AA133,AA139,AA145,AA151)</f>
        <v>0</v>
      </c>
      <c r="AD14" s="4">
        <v>305116933</v>
      </c>
      <c r="AE14" s="4">
        <v>20927481</v>
      </c>
    </row>
    <row r="15" spans="1:35" ht="252" x14ac:dyDescent="0.35">
      <c r="A15" s="17" t="s">
        <v>58</v>
      </c>
      <c r="B15" s="17" t="s">
        <v>59</v>
      </c>
      <c r="C15" s="18" t="s">
        <v>60</v>
      </c>
      <c r="D15" s="19" t="s">
        <v>61</v>
      </c>
      <c r="E15" s="19" t="s">
        <v>62</v>
      </c>
      <c r="F15" s="19" t="s">
        <v>63</v>
      </c>
      <c r="G15" s="20">
        <v>1</v>
      </c>
      <c r="H15" s="19"/>
      <c r="I15" s="21">
        <v>0</v>
      </c>
      <c r="J15" s="22">
        <v>1117.5999999999999</v>
      </c>
      <c r="K15" s="22">
        <v>1991</v>
      </c>
      <c r="L15" s="22">
        <f>J15+ROUND(K15, 2)</f>
        <v>3108.6</v>
      </c>
      <c r="M15" s="22">
        <v>0</v>
      </c>
      <c r="N15" s="22">
        <v>0</v>
      </c>
      <c r="O15" s="22">
        <f>M15+N15</f>
        <v>0</v>
      </c>
      <c r="P15" s="22">
        <v>1117.5999999999999</v>
      </c>
      <c r="Q15" s="22">
        <v>1991</v>
      </c>
      <c r="R15" s="22">
        <f>P15+ROUND(Q15, 2)</f>
        <v>3108.6</v>
      </c>
      <c r="S15" s="22">
        <v>0</v>
      </c>
      <c r="T15" s="22">
        <v>0</v>
      </c>
      <c r="U15" s="22">
        <f>S15+T15</f>
        <v>0</v>
      </c>
      <c r="V15" s="9">
        <f>ROUND(P15 / 1.2, 2)</f>
        <v>931.33</v>
      </c>
      <c r="W15" s="9">
        <f>ROUND(Q15 / 1.2, 2)</f>
        <v>1659.17</v>
      </c>
      <c r="X15" s="9">
        <f>ROUND(R15 / 1.2, 2)</f>
        <v>2590.5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305116935</v>
      </c>
      <c r="AE15" s="4">
        <v>20927486</v>
      </c>
      <c r="AG15" s="4" t="s">
        <v>64</v>
      </c>
      <c r="AH15" s="4" t="s">
        <v>65</v>
      </c>
      <c r="AI15" s="4" t="s">
        <v>66</v>
      </c>
    </row>
    <row r="16" spans="1:35" ht="252" x14ac:dyDescent="0.35">
      <c r="A16" s="23" t="s">
        <v>67</v>
      </c>
      <c r="B16" s="23" t="s">
        <v>59</v>
      </c>
      <c r="C16" s="24" t="s">
        <v>60</v>
      </c>
      <c r="D16" s="25" t="s">
        <v>61</v>
      </c>
      <c r="E16" s="25" t="s">
        <v>62</v>
      </c>
      <c r="F16" s="25" t="s">
        <v>63</v>
      </c>
      <c r="G16" s="26">
        <v>1</v>
      </c>
      <c r="H16" s="25"/>
      <c r="I16" s="26">
        <v>6610.5</v>
      </c>
      <c r="J16" s="27">
        <v>1117.5999999999999</v>
      </c>
      <c r="K16" s="27">
        <v>1991</v>
      </c>
      <c r="L16" s="27">
        <v>1991</v>
      </c>
      <c r="M16" s="27">
        <v>7387894.7999999998</v>
      </c>
      <c r="N16" s="27">
        <v>13161505.5</v>
      </c>
      <c r="O16" s="27"/>
      <c r="P16" s="27">
        <v>1117.5999999999999</v>
      </c>
      <c r="Q16" s="27">
        <v>1991</v>
      </c>
      <c r="R16" s="27">
        <v>1991</v>
      </c>
      <c r="S16" s="27">
        <v>7387894.7999999998</v>
      </c>
      <c r="T16" s="27">
        <v>13161505.5</v>
      </c>
      <c r="U16" s="27"/>
      <c r="V16" s="9"/>
      <c r="W16" s="9">
        <f>ROUND(Q16 / 1.2, 2)</f>
        <v>1659.17</v>
      </c>
      <c r="X16" s="9">
        <f>ROUND(R16 / 1.2, 2)</f>
        <v>1659.17</v>
      </c>
      <c r="Y16" s="9"/>
      <c r="Z16" s="9">
        <f>ROUND(T16 / 1.2, 2)</f>
        <v>10967921.25</v>
      </c>
      <c r="AA16" s="9"/>
      <c r="AD16" s="4">
        <v>276896360</v>
      </c>
      <c r="AE16" s="4">
        <v>20927486</v>
      </c>
      <c r="AG16" s="4" t="s">
        <v>64</v>
      </c>
      <c r="AH16" s="4" t="s">
        <v>65</v>
      </c>
      <c r="AI16" s="4"/>
    </row>
    <row r="17" spans="1:35" ht="54" x14ac:dyDescent="0.35">
      <c r="A17" s="17" t="s">
        <v>68</v>
      </c>
      <c r="B17" s="17"/>
      <c r="C17" s="34" t="s">
        <v>69</v>
      </c>
      <c r="D17" s="19"/>
      <c r="E17" s="19"/>
      <c r="F17" s="35" t="s">
        <v>70</v>
      </c>
      <c r="G17" s="36">
        <v>1</v>
      </c>
      <c r="H17" s="19"/>
      <c r="I17" s="37">
        <v>0</v>
      </c>
      <c r="J17" s="38">
        <v>88.35</v>
      </c>
      <c r="K17" s="39"/>
      <c r="L17" s="39"/>
      <c r="M17" s="38">
        <f t="shared" ref="M17:M26" si="3">ROUND(ROUND(J17, 2)*I17, 2)</f>
        <v>0</v>
      </c>
      <c r="N17" s="39"/>
      <c r="O17" s="39"/>
      <c r="P17" s="38">
        <v>88.35</v>
      </c>
      <c r="Q17" s="39"/>
      <c r="R17" s="39"/>
      <c r="S17" s="38">
        <f t="shared" ref="S17:S26" si="4">ROUND(ROUND(P17, 2)*I17, 2)</f>
        <v>0</v>
      </c>
      <c r="T17" s="39"/>
      <c r="U17" s="40"/>
      <c r="V17" s="9">
        <f t="shared" ref="V17:V26" si="5">ROUND(ROUND(P17, 2)/1.2, 2)</f>
        <v>73.63</v>
      </c>
      <c r="Y17" s="9">
        <f t="shared" ref="Y17:Y33" si="6">ROUND(S17 / 1.2, 2)</f>
        <v>0</v>
      </c>
      <c r="AD17" s="4" t="s">
        <v>71</v>
      </c>
      <c r="AE17" s="4" t="s">
        <v>72</v>
      </c>
      <c r="AF17" s="4" t="s">
        <v>73</v>
      </c>
    </row>
    <row r="18" spans="1:35" ht="54" x14ac:dyDescent="0.35">
      <c r="A18" s="23" t="s">
        <v>74</v>
      </c>
      <c r="B18" s="23"/>
      <c r="C18" s="41" t="s">
        <v>69</v>
      </c>
      <c r="D18" s="25"/>
      <c r="E18" s="25"/>
      <c r="F18" s="42" t="s">
        <v>70</v>
      </c>
      <c r="G18" s="43">
        <v>1</v>
      </c>
      <c r="H18" s="25"/>
      <c r="I18" s="43">
        <v>6610.5</v>
      </c>
      <c r="J18" s="44">
        <v>88.35</v>
      </c>
      <c r="K18" s="45"/>
      <c r="L18" s="45"/>
      <c r="M18" s="44">
        <f t="shared" si="3"/>
        <v>584037.68000000005</v>
      </c>
      <c r="N18" s="45"/>
      <c r="O18" s="45"/>
      <c r="P18" s="44">
        <v>88.35</v>
      </c>
      <c r="Q18" s="45"/>
      <c r="R18" s="45"/>
      <c r="S18" s="44">
        <f t="shared" si="4"/>
        <v>584037.68000000005</v>
      </c>
      <c r="T18" s="45"/>
      <c r="U18" s="46"/>
      <c r="V18" s="9">
        <f t="shared" si="5"/>
        <v>73.63</v>
      </c>
      <c r="Y18" s="9">
        <f t="shared" si="6"/>
        <v>486698.07</v>
      </c>
      <c r="AD18" s="4" t="s">
        <v>75</v>
      </c>
      <c r="AE18" s="4" t="s">
        <v>72</v>
      </c>
      <c r="AF18" s="4" t="s">
        <v>73</v>
      </c>
    </row>
    <row r="19" spans="1:35" ht="18" x14ac:dyDescent="0.35">
      <c r="A19" s="17" t="s">
        <v>76</v>
      </c>
      <c r="B19" s="17"/>
      <c r="C19" s="34" t="s">
        <v>77</v>
      </c>
      <c r="D19" s="19"/>
      <c r="E19" s="19"/>
      <c r="F19" s="35" t="s">
        <v>78</v>
      </c>
      <c r="G19" s="36">
        <v>0.8</v>
      </c>
      <c r="H19" s="19"/>
      <c r="I19" s="48">
        <v>0</v>
      </c>
      <c r="J19" s="38">
        <v>63.73</v>
      </c>
      <c r="K19" s="39"/>
      <c r="L19" s="39"/>
      <c r="M19" s="38">
        <f t="shared" si="3"/>
        <v>0</v>
      </c>
      <c r="N19" s="39"/>
      <c r="O19" s="39"/>
      <c r="P19" s="38">
        <v>63.73</v>
      </c>
      <c r="Q19" s="39"/>
      <c r="R19" s="39"/>
      <c r="S19" s="38">
        <f t="shared" si="4"/>
        <v>0</v>
      </c>
      <c r="T19" s="39"/>
      <c r="U19" s="40"/>
      <c r="V19" s="9">
        <f t="shared" si="5"/>
        <v>53.11</v>
      </c>
      <c r="Y19" s="9">
        <f t="shared" si="6"/>
        <v>0</v>
      </c>
      <c r="AD19" s="4" t="s">
        <v>79</v>
      </c>
      <c r="AE19" s="4" t="s">
        <v>80</v>
      </c>
      <c r="AF19" s="4" t="s">
        <v>81</v>
      </c>
    </row>
    <row r="20" spans="1:35" ht="18" x14ac:dyDescent="0.35">
      <c r="A20" s="23" t="s">
        <v>82</v>
      </c>
      <c r="B20" s="23"/>
      <c r="C20" s="41" t="s">
        <v>77</v>
      </c>
      <c r="D20" s="25"/>
      <c r="E20" s="25"/>
      <c r="F20" s="42" t="s">
        <v>78</v>
      </c>
      <c r="G20" s="43">
        <v>0.8</v>
      </c>
      <c r="H20" s="25"/>
      <c r="I20" s="50">
        <v>5288.4</v>
      </c>
      <c r="J20" s="44">
        <v>63.73</v>
      </c>
      <c r="K20" s="45"/>
      <c r="L20" s="45"/>
      <c r="M20" s="44">
        <f t="shared" si="3"/>
        <v>337029.73</v>
      </c>
      <c r="N20" s="45"/>
      <c r="O20" s="45"/>
      <c r="P20" s="44">
        <v>63.73</v>
      </c>
      <c r="Q20" s="45"/>
      <c r="R20" s="45"/>
      <c r="S20" s="44">
        <f t="shared" si="4"/>
        <v>337029.73</v>
      </c>
      <c r="T20" s="45"/>
      <c r="U20" s="46"/>
      <c r="V20" s="9">
        <f t="shared" si="5"/>
        <v>53.11</v>
      </c>
      <c r="Y20" s="9">
        <f t="shared" si="6"/>
        <v>280858.11</v>
      </c>
      <c r="AD20" s="4" t="s">
        <v>83</v>
      </c>
      <c r="AE20" s="4" t="s">
        <v>80</v>
      </c>
      <c r="AF20" s="4" t="s">
        <v>81</v>
      </c>
    </row>
    <row r="21" spans="1:35" ht="18" x14ac:dyDescent="0.35">
      <c r="A21" s="17" t="s">
        <v>84</v>
      </c>
      <c r="B21" s="17"/>
      <c r="C21" s="34" t="s">
        <v>85</v>
      </c>
      <c r="D21" s="19"/>
      <c r="E21" s="19"/>
      <c r="F21" s="35" t="s">
        <v>78</v>
      </c>
      <c r="G21" s="36">
        <v>2.1</v>
      </c>
      <c r="H21" s="19"/>
      <c r="I21" s="48">
        <v>0</v>
      </c>
      <c r="J21" s="38">
        <v>95.07</v>
      </c>
      <c r="K21" s="39"/>
      <c r="L21" s="39"/>
      <c r="M21" s="38">
        <f t="shared" si="3"/>
        <v>0</v>
      </c>
      <c r="N21" s="39"/>
      <c r="O21" s="39"/>
      <c r="P21" s="38">
        <v>95.07</v>
      </c>
      <c r="Q21" s="39"/>
      <c r="R21" s="39"/>
      <c r="S21" s="38">
        <f t="shared" si="4"/>
        <v>0</v>
      </c>
      <c r="T21" s="39"/>
      <c r="U21" s="40"/>
      <c r="V21" s="9">
        <f t="shared" si="5"/>
        <v>79.23</v>
      </c>
      <c r="Y21" s="9">
        <f t="shared" si="6"/>
        <v>0</v>
      </c>
      <c r="AD21" s="4" t="s">
        <v>86</v>
      </c>
      <c r="AE21" s="4" t="s">
        <v>87</v>
      </c>
      <c r="AF21" s="4" t="s">
        <v>88</v>
      </c>
    </row>
    <row r="22" spans="1:35" ht="18" x14ac:dyDescent="0.35">
      <c r="A22" s="23" t="s">
        <v>89</v>
      </c>
      <c r="B22" s="23"/>
      <c r="C22" s="41" t="s">
        <v>85</v>
      </c>
      <c r="D22" s="25"/>
      <c r="E22" s="25"/>
      <c r="F22" s="42" t="s">
        <v>78</v>
      </c>
      <c r="G22" s="43">
        <v>2.1</v>
      </c>
      <c r="H22" s="25"/>
      <c r="I22" s="50">
        <v>13882.05</v>
      </c>
      <c r="J22" s="44">
        <v>95.07</v>
      </c>
      <c r="K22" s="45"/>
      <c r="L22" s="45"/>
      <c r="M22" s="44">
        <f t="shared" si="3"/>
        <v>1319766.49</v>
      </c>
      <c r="N22" s="45"/>
      <c r="O22" s="45"/>
      <c r="P22" s="44">
        <v>95.07</v>
      </c>
      <c r="Q22" s="45"/>
      <c r="R22" s="45"/>
      <c r="S22" s="44">
        <f t="shared" si="4"/>
        <v>1319766.49</v>
      </c>
      <c r="T22" s="45"/>
      <c r="U22" s="46"/>
      <c r="V22" s="9">
        <f t="shared" si="5"/>
        <v>79.23</v>
      </c>
      <c r="Y22" s="9">
        <f t="shared" si="6"/>
        <v>1099805.4099999999</v>
      </c>
      <c r="AD22" s="4" t="s">
        <v>90</v>
      </c>
      <c r="AE22" s="4" t="s">
        <v>87</v>
      </c>
      <c r="AF22" s="4" t="s">
        <v>88</v>
      </c>
    </row>
    <row r="23" spans="1:35" ht="36" x14ac:dyDescent="0.35">
      <c r="A23" s="17" t="s">
        <v>91</v>
      </c>
      <c r="B23" s="17"/>
      <c r="C23" s="34" t="s">
        <v>92</v>
      </c>
      <c r="D23" s="19"/>
      <c r="E23" s="19"/>
      <c r="F23" s="35" t="s">
        <v>93</v>
      </c>
      <c r="G23" s="36">
        <v>5.1999999999999998E-2</v>
      </c>
      <c r="H23" s="19"/>
      <c r="I23" s="37">
        <v>0</v>
      </c>
      <c r="J23" s="38">
        <v>4026.8</v>
      </c>
      <c r="K23" s="39"/>
      <c r="L23" s="39"/>
      <c r="M23" s="38">
        <f t="shared" si="3"/>
        <v>0</v>
      </c>
      <c r="N23" s="39"/>
      <c r="O23" s="39"/>
      <c r="P23" s="38">
        <v>4026.8</v>
      </c>
      <c r="Q23" s="39"/>
      <c r="R23" s="39"/>
      <c r="S23" s="38">
        <f t="shared" si="4"/>
        <v>0</v>
      </c>
      <c r="T23" s="39"/>
      <c r="U23" s="40"/>
      <c r="V23" s="9">
        <f t="shared" si="5"/>
        <v>3355.67</v>
      </c>
      <c r="Y23" s="9">
        <f t="shared" si="6"/>
        <v>0</v>
      </c>
      <c r="AD23" s="4" t="s">
        <v>94</v>
      </c>
      <c r="AE23" s="4" t="s">
        <v>95</v>
      </c>
      <c r="AF23" s="4" t="s">
        <v>96</v>
      </c>
    </row>
    <row r="24" spans="1:35" ht="36" x14ac:dyDescent="0.35">
      <c r="A24" s="23" t="s">
        <v>97</v>
      </c>
      <c r="B24" s="23"/>
      <c r="C24" s="41" t="s">
        <v>92</v>
      </c>
      <c r="D24" s="25"/>
      <c r="E24" s="25"/>
      <c r="F24" s="42" t="s">
        <v>93</v>
      </c>
      <c r="G24" s="43">
        <v>5.1999999999999998E-2</v>
      </c>
      <c r="H24" s="25"/>
      <c r="I24" s="43">
        <v>343.74599999999998</v>
      </c>
      <c r="J24" s="44">
        <v>4026.8</v>
      </c>
      <c r="K24" s="45"/>
      <c r="L24" s="45"/>
      <c r="M24" s="44">
        <f t="shared" si="3"/>
        <v>1384196.39</v>
      </c>
      <c r="N24" s="45"/>
      <c r="O24" s="45"/>
      <c r="P24" s="44">
        <v>4026.8</v>
      </c>
      <c r="Q24" s="45"/>
      <c r="R24" s="45"/>
      <c r="S24" s="44">
        <f t="shared" si="4"/>
        <v>1384196.39</v>
      </c>
      <c r="T24" s="45"/>
      <c r="U24" s="46"/>
      <c r="V24" s="9">
        <f t="shared" si="5"/>
        <v>3355.67</v>
      </c>
      <c r="Y24" s="9">
        <f t="shared" si="6"/>
        <v>1153496.99</v>
      </c>
      <c r="AD24" s="4" t="s">
        <v>98</v>
      </c>
      <c r="AE24" s="4" t="s">
        <v>95</v>
      </c>
      <c r="AF24" s="4" t="s">
        <v>96</v>
      </c>
    </row>
    <row r="25" spans="1:35" ht="36" x14ac:dyDescent="0.35">
      <c r="A25" s="17" t="s">
        <v>99</v>
      </c>
      <c r="B25" s="17"/>
      <c r="C25" s="34" t="s">
        <v>100</v>
      </c>
      <c r="D25" s="19"/>
      <c r="E25" s="19"/>
      <c r="F25" s="35" t="s">
        <v>63</v>
      </c>
      <c r="G25" s="36">
        <v>4.2</v>
      </c>
      <c r="H25" s="19"/>
      <c r="I25" s="37">
        <v>0</v>
      </c>
      <c r="J25" s="38">
        <v>135.53</v>
      </c>
      <c r="K25" s="39"/>
      <c r="L25" s="39"/>
      <c r="M25" s="38">
        <f t="shared" si="3"/>
        <v>0</v>
      </c>
      <c r="N25" s="39"/>
      <c r="O25" s="39"/>
      <c r="P25" s="38">
        <v>135.53</v>
      </c>
      <c r="Q25" s="39"/>
      <c r="R25" s="39"/>
      <c r="S25" s="38">
        <f t="shared" si="4"/>
        <v>0</v>
      </c>
      <c r="T25" s="39"/>
      <c r="U25" s="40"/>
      <c r="V25" s="9">
        <f t="shared" si="5"/>
        <v>112.94</v>
      </c>
      <c r="Y25" s="9">
        <f t="shared" si="6"/>
        <v>0</v>
      </c>
      <c r="AD25" s="4" t="s">
        <v>101</v>
      </c>
      <c r="AE25" s="4" t="s">
        <v>102</v>
      </c>
      <c r="AF25" s="4" t="s">
        <v>103</v>
      </c>
    </row>
    <row r="26" spans="1:35" ht="36" x14ac:dyDescent="0.35">
      <c r="A26" s="23" t="s">
        <v>104</v>
      </c>
      <c r="B26" s="23"/>
      <c r="C26" s="41" t="s">
        <v>100</v>
      </c>
      <c r="D26" s="25"/>
      <c r="E26" s="25"/>
      <c r="F26" s="42" t="s">
        <v>63</v>
      </c>
      <c r="G26" s="43">
        <v>4.2</v>
      </c>
      <c r="H26" s="25"/>
      <c r="I26" s="43">
        <v>27764.1</v>
      </c>
      <c r="J26" s="44">
        <v>135.53</v>
      </c>
      <c r="K26" s="45"/>
      <c r="L26" s="45"/>
      <c r="M26" s="44">
        <f t="shared" si="3"/>
        <v>3762868.47</v>
      </c>
      <c r="N26" s="45"/>
      <c r="O26" s="45"/>
      <c r="P26" s="44">
        <v>135.53</v>
      </c>
      <c r="Q26" s="45"/>
      <c r="R26" s="45"/>
      <c r="S26" s="44">
        <f t="shared" si="4"/>
        <v>3762868.47</v>
      </c>
      <c r="T26" s="45"/>
      <c r="U26" s="46"/>
      <c r="V26" s="9">
        <f t="shared" si="5"/>
        <v>112.94</v>
      </c>
      <c r="Y26" s="9">
        <f t="shared" si="6"/>
        <v>3135723.73</v>
      </c>
      <c r="AD26" s="4" t="s">
        <v>105</v>
      </c>
      <c r="AE26" s="4" t="s">
        <v>102</v>
      </c>
      <c r="AF26" s="4" t="s">
        <v>103</v>
      </c>
    </row>
    <row r="27" spans="1:35" ht="54" x14ac:dyDescent="0.35">
      <c r="A27" s="51" t="s">
        <v>106</v>
      </c>
      <c r="B27" s="51" t="s">
        <v>59</v>
      </c>
      <c r="C27" s="52" t="s">
        <v>60</v>
      </c>
      <c r="D27" s="53" t="s">
        <v>61</v>
      </c>
      <c r="E27" s="53"/>
      <c r="F27" s="53" t="s">
        <v>63</v>
      </c>
      <c r="G27" s="54">
        <v>1</v>
      </c>
      <c r="H27" s="53"/>
      <c r="I27" s="54">
        <v>0</v>
      </c>
      <c r="J27" s="55">
        <f>IFERROR(ROUND(SUM(M28,M29,M30,M31,M32)/I27, 2),0)</f>
        <v>0</v>
      </c>
      <c r="K27" s="55">
        <v>1991</v>
      </c>
      <c r="L27" s="55">
        <f>J27+ROUND(K27, 2)</f>
        <v>1991</v>
      </c>
      <c r="M27" s="55">
        <f>ROUND(J27*I27, 2)</f>
        <v>0</v>
      </c>
      <c r="N27" s="55">
        <f>ROUND(I27*ROUND(K27, 2), 2)</f>
        <v>0</v>
      </c>
      <c r="O27" s="55">
        <f>M27+N27</f>
        <v>0</v>
      </c>
      <c r="P27" s="55">
        <f>IFERROR(ROUND(SUM(S28,S29,S30,S31,S32)/I27, 2),0)</f>
        <v>0</v>
      </c>
      <c r="Q27" s="55">
        <v>2986.5</v>
      </c>
      <c r="R27" s="55">
        <f>P27+ROUND(Q27, 2)</f>
        <v>2986.5</v>
      </c>
      <c r="S27" s="55">
        <f>ROUND(P27*I27, 2)</f>
        <v>0</v>
      </c>
      <c r="T27" s="55">
        <f>ROUND(I27*ROUND(Q27, 2), 2)</f>
        <v>0</v>
      </c>
      <c r="U27" s="55">
        <f>S27+T27</f>
        <v>0</v>
      </c>
      <c r="V27" s="9">
        <f>ROUND(P27 / 1.2, 2)</f>
        <v>0</v>
      </c>
      <c r="W27" s="9">
        <f>ROUND(Q27 / 1.2, 2)</f>
        <v>2488.75</v>
      </c>
      <c r="X27" s="9">
        <f>ROUND(R27 / 1.2, 2)</f>
        <v>2488.75</v>
      </c>
      <c r="Y27" s="9">
        <f t="shared" si="6"/>
        <v>0</v>
      </c>
      <c r="Z27" s="9">
        <f>ROUND(T27 / 1.2, 2)</f>
        <v>0</v>
      </c>
      <c r="AA27" s="9">
        <f>Y27+Z27</f>
        <v>0</v>
      </c>
      <c r="AD27" s="4">
        <v>305117004</v>
      </c>
      <c r="AE27" s="4">
        <v>22071402</v>
      </c>
      <c r="AG27" s="4" t="s">
        <v>64</v>
      </c>
      <c r="AH27" s="4" t="s">
        <v>65</v>
      </c>
      <c r="AI27" s="4" t="s">
        <v>66</v>
      </c>
    </row>
    <row r="28" spans="1:35" ht="36" x14ac:dyDescent="0.35">
      <c r="A28" s="51" t="s">
        <v>107</v>
      </c>
      <c r="B28" s="51"/>
      <c r="C28" s="56" t="s">
        <v>100</v>
      </c>
      <c r="D28" s="53"/>
      <c r="E28" s="53"/>
      <c r="F28" s="57" t="s">
        <v>63</v>
      </c>
      <c r="G28" s="58">
        <v>4.2</v>
      </c>
      <c r="H28" s="53"/>
      <c r="I28" s="58">
        <v>0</v>
      </c>
      <c r="J28" s="59">
        <v>135.53</v>
      </c>
      <c r="K28" s="60"/>
      <c r="L28" s="60"/>
      <c r="M28" s="59">
        <f>ROUND(ROUND(J28, 2)*I28, 2)</f>
        <v>0</v>
      </c>
      <c r="N28" s="60"/>
      <c r="O28" s="60"/>
      <c r="P28" s="59">
        <v>135.53</v>
      </c>
      <c r="Q28" s="60"/>
      <c r="R28" s="60"/>
      <c r="S28" s="59">
        <f>ROUND(ROUND(P28, 2)*I28, 2)</f>
        <v>0</v>
      </c>
      <c r="T28" s="60"/>
      <c r="U28" s="61"/>
      <c r="V28" s="9">
        <f>ROUND(ROUND(P28, 2)/1.2, 2)</f>
        <v>112.94</v>
      </c>
      <c r="Y28" s="9">
        <f t="shared" si="6"/>
        <v>0</v>
      </c>
      <c r="AD28" s="4" t="s">
        <v>108</v>
      </c>
      <c r="AE28" s="4" t="s">
        <v>109</v>
      </c>
      <c r="AF28" s="4" t="s">
        <v>103</v>
      </c>
    </row>
    <row r="29" spans="1:35" ht="36" x14ac:dyDescent="0.35">
      <c r="A29" s="51" t="s">
        <v>110</v>
      </c>
      <c r="B29" s="51"/>
      <c r="C29" s="47" t="s">
        <v>92</v>
      </c>
      <c r="D29" s="53"/>
      <c r="E29" s="53"/>
      <c r="F29" s="57" t="s">
        <v>93</v>
      </c>
      <c r="G29" s="58">
        <v>5.1999999999999998E-2</v>
      </c>
      <c r="H29" s="53"/>
      <c r="I29" s="58">
        <v>0</v>
      </c>
      <c r="J29" s="59">
        <v>4026.8</v>
      </c>
      <c r="K29" s="60"/>
      <c r="L29" s="60"/>
      <c r="M29" s="59">
        <f>ROUND(ROUND(J29, 2)*I29, 2)</f>
        <v>0</v>
      </c>
      <c r="N29" s="60"/>
      <c r="O29" s="60"/>
      <c r="P29" s="59">
        <v>4026.8</v>
      </c>
      <c r="Q29" s="60"/>
      <c r="R29" s="60"/>
      <c r="S29" s="59">
        <f>ROUND(ROUND(P29, 2)*I29, 2)</f>
        <v>0</v>
      </c>
      <c r="T29" s="60"/>
      <c r="U29" s="61"/>
      <c r="V29" s="9">
        <f>ROUND(ROUND(P29, 2)/1.2, 2)</f>
        <v>3355.67</v>
      </c>
      <c r="Y29" s="9">
        <f t="shared" si="6"/>
        <v>0</v>
      </c>
      <c r="AD29" s="4" t="s">
        <v>111</v>
      </c>
      <c r="AE29" s="4" t="s">
        <v>112</v>
      </c>
      <c r="AF29" s="4" t="s">
        <v>96</v>
      </c>
    </row>
    <row r="30" spans="1:35" ht="18" x14ac:dyDescent="0.35">
      <c r="A30" s="51" t="s">
        <v>113</v>
      </c>
      <c r="B30" s="51"/>
      <c r="C30" s="47" t="s">
        <v>77</v>
      </c>
      <c r="D30" s="53"/>
      <c r="E30" s="53"/>
      <c r="F30" s="57" t="s">
        <v>78</v>
      </c>
      <c r="G30" s="58">
        <v>0.8</v>
      </c>
      <c r="H30" s="53"/>
      <c r="I30" s="62">
        <v>5288.4</v>
      </c>
      <c r="J30" s="59">
        <v>63.72</v>
      </c>
      <c r="K30" s="60"/>
      <c r="L30" s="60"/>
      <c r="M30" s="59">
        <f>ROUND(ROUND(J30, 2)*I30, 2)</f>
        <v>336976.85</v>
      </c>
      <c r="N30" s="60"/>
      <c r="O30" s="60"/>
      <c r="P30" s="59">
        <v>63.73</v>
      </c>
      <c r="Q30" s="60"/>
      <c r="R30" s="60"/>
      <c r="S30" s="59">
        <f>ROUND(ROUND(P30, 2)*I30, 2)</f>
        <v>337029.73</v>
      </c>
      <c r="T30" s="60"/>
      <c r="U30" s="61"/>
      <c r="V30" s="9">
        <f>ROUND(ROUND(P30, 2)/1.2, 2)</f>
        <v>53.11</v>
      </c>
      <c r="Y30" s="9">
        <f t="shared" si="6"/>
        <v>280858.11</v>
      </c>
      <c r="AD30" s="4" t="s">
        <v>114</v>
      </c>
      <c r="AE30" s="4" t="s">
        <v>115</v>
      </c>
      <c r="AF30" s="4" t="s">
        <v>81</v>
      </c>
    </row>
    <row r="31" spans="1:35" ht="18" x14ac:dyDescent="0.35">
      <c r="A31" s="51" t="s">
        <v>116</v>
      </c>
      <c r="B31" s="51"/>
      <c r="C31" s="47" t="s">
        <v>85</v>
      </c>
      <c r="D31" s="53"/>
      <c r="E31" s="53"/>
      <c r="F31" s="57" t="s">
        <v>78</v>
      </c>
      <c r="G31" s="58">
        <v>2.1</v>
      </c>
      <c r="H31" s="53"/>
      <c r="I31" s="62">
        <v>13882.05</v>
      </c>
      <c r="J31" s="59">
        <v>95.08</v>
      </c>
      <c r="K31" s="60"/>
      <c r="L31" s="60"/>
      <c r="M31" s="59">
        <f>ROUND(ROUND(J31, 2)*I31, 2)</f>
        <v>1319905.31</v>
      </c>
      <c r="N31" s="60"/>
      <c r="O31" s="60"/>
      <c r="P31" s="59">
        <v>95.07</v>
      </c>
      <c r="Q31" s="60"/>
      <c r="R31" s="60"/>
      <c r="S31" s="59">
        <f>ROUND(ROUND(P31, 2)*I31, 2)</f>
        <v>1319766.49</v>
      </c>
      <c r="T31" s="60"/>
      <c r="U31" s="61"/>
      <c r="V31" s="9">
        <f>ROUND(ROUND(P31, 2)/1.2, 2)</f>
        <v>79.23</v>
      </c>
      <c r="Y31" s="9">
        <f t="shared" si="6"/>
        <v>1099805.4099999999</v>
      </c>
      <c r="AD31" s="4" t="s">
        <v>117</v>
      </c>
      <c r="AE31" s="4" t="s">
        <v>118</v>
      </c>
      <c r="AF31" s="4" t="s">
        <v>88</v>
      </c>
    </row>
    <row r="32" spans="1:35" ht="54" x14ac:dyDescent="0.35">
      <c r="A32" s="51" t="s">
        <v>119</v>
      </c>
      <c r="B32" s="51"/>
      <c r="C32" s="56" t="s">
        <v>69</v>
      </c>
      <c r="D32" s="53"/>
      <c r="E32" s="53"/>
      <c r="F32" s="57" t="s">
        <v>70</v>
      </c>
      <c r="G32" s="58">
        <v>1</v>
      </c>
      <c r="H32" s="53"/>
      <c r="I32" s="58">
        <v>0</v>
      </c>
      <c r="J32" s="59">
        <v>88.36</v>
      </c>
      <c r="K32" s="60"/>
      <c r="L32" s="60"/>
      <c r="M32" s="59">
        <f>ROUND(ROUND(J32, 2)*I32, 2)</f>
        <v>0</v>
      </c>
      <c r="N32" s="60"/>
      <c r="O32" s="60"/>
      <c r="P32" s="59">
        <v>88.35</v>
      </c>
      <c r="Q32" s="60"/>
      <c r="R32" s="60"/>
      <c r="S32" s="59">
        <f>ROUND(ROUND(P32, 2)*I32, 2)</f>
        <v>0</v>
      </c>
      <c r="T32" s="60"/>
      <c r="U32" s="61"/>
      <c r="V32" s="9">
        <f>ROUND(ROUND(P32, 2)/1.2, 2)</f>
        <v>73.63</v>
      </c>
      <c r="Y32" s="9">
        <f t="shared" si="6"/>
        <v>0</v>
      </c>
      <c r="AD32" s="4" t="s">
        <v>120</v>
      </c>
      <c r="AE32" s="4" t="s">
        <v>121</v>
      </c>
      <c r="AF32" s="4" t="s">
        <v>73</v>
      </c>
    </row>
    <row r="33" spans="1:35" ht="36" x14ac:dyDescent="0.35">
      <c r="A33" s="17" t="s">
        <v>122</v>
      </c>
      <c r="B33" s="17" t="s">
        <v>123</v>
      </c>
      <c r="C33" s="18" t="s">
        <v>124</v>
      </c>
      <c r="D33" s="19" t="s">
        <v>61</v>
      </c>
      <c r="E33" s="19"/>
      <c r="F33" s="19" t="s">
        <v>63</v>
      </c>
      <c r="G33" s="20">
        <v>1</v>
      </c>
      <c r="H33" s="19"/>
      <c r="I33" s="21">
        <v>0</v>
      </c>
      <c r="J33" s="22">
        <v>1039.98</v>
      </c>
      <c r="K33" s="22">
        <v>1991</v>
      </c>
      <c r="L33" s="22">
        <f>J33+ROUND(K33, 2)</f>
        <v>3030.98</v>
      </c>
      <c r="M33" s="22">
        <v>0</v>
      </c>
      <c r="N33" s="22">
        <v>0</v>
      </c>
      <c r="O33" s="22">
        <f>M33+N33</f>
        <v>0</v>
      </c>
      <c r="P33" s="22">
        <v>6856.14</v>
      </c>
      <c r="Q33" s="22">
        <v>1991</v>
      </c>
      <c r="R33" s="22">
        <f>P33+ROUND(Q33, 2)</f>
        <v>8847.14</v>
      </c>
      <c r="S33" s="22">
        <v>0</v>
      </c>
      <c r="T33" s="22">
        <v>0</v>
      </c>
      <c r="U33" s="22">
        <f>S33+T33</f>
        <v>0</v>
      </c>
      <c r="V33" s="9">
        <f>ROUND(P33 / 1.2, 2)</f>
        <v>5713.45</v>
      </c>
      <c r="W33" s="9">
        <f>ROUND(Q33 / 1.2, 2)</f>
        <v>1659.17</v>
      </c>
      <c r="X33" s="9">
        <f>ROUND(R33 / 1.2, 2)</f>
        <v>7372.62</v>
      </c>
      <c r="Y33" s="9">
        <f t="shared" si="6"/>
        <v>0</v>
      </c>
      <c r="Z33" s="9">
        <f>ROUND(T33 / 1.2, 2)</f>
        <v>0</v>
      </c>
      <c r="AA33" s="9">
        <f>Y33+Z33</f>
        <v>0</v>
      </c>
      <c r="AD33" s="4">
        <v>305116936</v>
      </c>
      <c r="AE33" s="4">
        <v>20927487</v>
      </c>
      <c r="AG33" s="4" t="s">
        <v>125</v>
      </c>
      <c r="AH33" s="4" t="s">
        <v>126</v>
      </c>
      <c r="AI33" s="4" t="s">
        <v>66</v>
      </c>
    </row>
    <row r="34" spans="1:35" ht="270" x14ac:dyDescent="0.35">
      <c r="A34" s="23" t="s">
        <v>127</v>
      </c>
      <c r="B34" s="23" t="s">
        <v>123</v>
      </c>
      <c r="C34" s="24" t="s">
        <v>124</v>
      </c>
      <c r="D34" s="25" t="s">
        <v>61</v>
      </c>
      <c r="E34" s="25" t="s">
        <v>128</v>
      </c>
      <c r="F34" s="25" t="s">
        <v>63</v>
      </c>
      <c r="G34" s="26">
        <v>1</v>
      </c>
      <c r="H34" s="25"/>
      <c r="I34" s="26">
        <v>162.4</v>
      </c>
      <c r="J34" s="27">
        <v>1039.98</v>
      </c>
      <c r="K34" s="27">
        <v>1991</v>
      </c>
      <c r="L34" s="27">
        <v>1991</v>
      </c>
      <c r="M34" s="27">
        <v>168892.75</v>
      </c>
      <c r="N34" s="27">
        <v>323338.40000000002</v>
      </c>
      <c r="O34" s="27"/>
      <c r="P34" s="27">
        <v>6856.14</v>
      </c>
      <c r="Q34" s="27">
        <v>1991</v>
      </c>
      <c r="R34" s="27">
        <v>1991</v>
      </c>
      <c r="S34" s="27">
        <v>1113437.1399999999</v>
      </c>
      <c r="T34" s="27">
        <v>323338.40000000002</v>
      </c>
      <c r="U34" s="27"/>
      <c r="V34" s="9"/>
      <c r="W34" s="9">
        <f>ROUND(Q34 / 1.2, 2)</f>
        <v>1659.17</v>
      </c>
      <c r="X34" s="9">
        <f>ROUND(R34 / 1.2, 2)</f>
        <v>1659.17</v>
      </c>
      <c r="Y34" s="9"/>
      <c r="Z34" s="9">
        <f>ROUND(T34 / 1.2, 2)</f>
        <v>269448.67</v>
      </c>
      <c r="AA34" s="9"/>
      <c r="AD34" s="4">
        <v>281752680</v>
      </c>
      <c r="AE34" s="4">
        <v>20927487</v>
      </c>
      <c r="AG34" s="4" t="s">
        <v>125</v>
      </c>
      <c r="AH34" s="4" t="s">
        <v>126</v>
      </c>
      <c r="AI34" s="4"/>
    </row>
    <row r="35" spans="1:35" ht="54" x14ac:dyDescent="0.35">
      <c r="A35" s="17" t="s">
        <v>129</v>
      </c>
      <c r="B35" s="17"/>
      <c r="C35" s="34" t="s">
        <v>69</v>
      </c>
      <c r="D35" s="19"/>
      <c r="E35" s="19"/>
      <c r="F35" s="35" t="s">
        <v>70</v>
      </c>
      <c r="G35" s="36">
        <v>1</v>
      </c>
      <c r="H35" s="19"/>
      <c r="I35" s="37">
        <v>0</v>
      </c>
      <c r="J35" s="38">
        <v>88.35</v>
      </c>
      <c r="K35" s="39"/>
      <c r="L35" s="39"/>
      <c r="M35" s="38">
        <f t="shared" ref="M35:M44" si="7">ROUND(ROUND(J35, 2)*I35, 2)</f>
        <v>0</v>
      </c>
      <c r="N35" s="39"/>
      <c r="O35" s="39"/>
      <c r="P35" s="38">
        <v>88.35</v>
      </c>
      <c r="Q35" s="39"/>
      <c r="R35" s="39"/>
      <c r="S35" s="38">
        <f t="shared" ref="S35:S44" si="8">ROUND(ROUND(P35, 2)*I35, 2)</f>
        <v>0</v>
      </c>
      <c r="T35" s="39"/>
      <c r="U35" s="40"/>
      <c r="V35" s="9">
        <f t="shared" ref="V35:V44" si="9">ROUND(ROUND(P35, 2)/1.2, 2)</f>
        <v>73.63</v>
      </c>
      <c r="Y35" s="9">
        <f t="shared" ref="Y35:Y45" si="10">ROUND(S35 / 1.2, 2)</f>
        <v>0</v>
      </c>
      <c r="AD35" s="4" t="s">
        <v>130</v>
      </c>
      <c r="AE35" s="4" t="s">
        <v>131</v>
      </c>
      <c r="AF35" s="4" t="s">
        <v>73</v>
      </c>
    </row>
    <row r="36" spans="1:35" ht="54" x14ac:dyDescent="0.35">
      <c r="A36" s="23" t="s">
        <v>132</v>
      </c>
      <c r="B36" s="23"/>
      <c r="C36" s="41" t="s">
        <v>69</v>
      </c>
      <c r="D36" s="25"/>
      <c r="E36" s="25"/>
      <c r="F36" s="42" t="s">
        <v>70</v>
      </c>
      <c r="G36" s="43">
        <v>1</v>
      </c>
      <c r="H36" s="25"/>
      <c r="I36" s="43">
        <v>162.4</v>
      </c>
      <c r="J36" s="44">
        <v>88.35</v>
      </c>
      <c r="K36" s="45"/>
      <c r="L36" s="45"/>
      <c r="M36" s="44">
        <f t="shared" si="7"/>
        <v>14348.04</v>
      </c>
      <c r="N36" s="45"/>
      <c r="O36" s="45"/>
      <c r="P36" s="44">
        <v>88.35</v>
      </c>
      <c r="Q36" s="45"/>
      <c r="R36" s="45"/>
      <c r="S36" s="44">
        <f t="shared" si="8"/>
        <v>14348.04</v>
      </c>
      <c r="T36" s="45"/>
      <c r="U36" s="46"/>
      <c r="V36" s="9">
        <f t="shared" si="9"/>
        <v>73.63</v>
      </c>
      <c r="Y36" s="9">
        <f t="shared" si="10"/>
        <v>11956.7</v>
      </c>
      <c r="AD36" s="4" t="s">
        <v>133</v>
      </c>
      <c r="AE36" s="4" t="s">
        <v>131</v>
      </c>
      <c r="AF36" s="4" t="s">
        <v>73</v>
      </c>
    </row>
    <row r="37" spans="1:35" ht="18" x14ac:dyDescent="0.35">
      <c r="A37" s="17" t="s">
        <v>134</v>
      </c>
      <c r="B37" s="17"/>
      <c r="C37" s="34" t="s">
        <v>135</v>
      </c>
      <c r="D37" s="19"/>
      <c r="E37" s="19"/>
      <c r="F37" s="35" t="s">
        <v>78</v>
      </c>
      <c r="G37" s="36">
        <v>2.04</v>
      </c>
      <c r="H37" s="19"/>
      <c r="I37" s="48">
        <v>0</v>
      </c>
      <c r="J37" s="38">
        <v>64.56</v>
      </c>
      <c r="K37" s="39"/>
      <c r="L37" s="39"/>
      <c r="M37" s="38">
        <f t="shared" si="7"/>
        <v>0</v>
      </c>
      <c r="N37" s="39"/>
      <c r="O37" s="39"/>
      <c r="P37" s="38">
        <v>64.56</v>
      </c>
      <c r="Q37" s="39"/>
      <c r="R37" s="39"/>
      <c r="S37" s="38">
        <f t="shared" si="8"/>
        <v>0</v>
      </c>
      <c r="T37" s="39"/>
      <c r="U37" s="40"/>
      <c r="V37" s="9">
        <f t="shared" si="9"/>
        <v>53.8</v>
      </c>
      <c r="Y37" s="9">
        <f t="shared" si="10"/>
        <v>0</v>
      </c>
      <c r="AD37" s="4" t="s">
        <v>136</v>
      </c>
      <c r="AE37" s="4" t="s">
        <v>137</v>
      </c>
      <c r="AF37" s="4" t="s">
        <v>138</v>
      </c>
    </row>
    <row r="38" spans="1:35" ht="18" x14ac:dyDescent="0.35">
      <c r="A38" s="23" t="s">
        <v>139</v>
      </c>
      <c r="B38" s="23"/>
      <c r="C38" s="41" t="s">
        <v>135</v>
      </c>
      <c r="D38" s="25"/>
      <c r="E38" s="25"/>
      <c r="F38" s="42" t="s">
        <v>78</v>
      </c>
      <c r="G38" s="43">
        <v>2.04</v>
      </c>
      <c r="H38" s="25"/>
      <c r="I38" s="50">
        <v>331.29599999999999</v>
      </c>
      <c r="J38" s="44">
        <v>64.56</v>
      </c>
      <c r="K38" s="45"/>
      <c r="L38" s="45"/>
      <c r="M38" s="44">
        <f t="shared" si="7"/>
        <v>21388.47</v>
      </c>
      <c r="N38" s="45"/>
      <c r="O38" s="45"/>
      <c r="P38" s="44">
        <v>64.56</v>
      </c>
      <c r="Q38" s="45"/>
      <c r="R38" s="45"/>
      <c r="S38" s="44">
        <f t="shared" si="8"/>
        <v>21388.47</v>
      </c>
      <c r="T38" s="45"/>
      <c r="U38" s="46"/>
      <c r="V38" s="9">
        <f t="shared" si="9"/>
        <v>53.8</v>
      </c>
      <c r="Y38" s="9">
        <f t="shared" si="10"/>
        <v>17823.73</v>
      </c>
      <c r="AD38" s="4" t="s">
        <v>140</v>
      </c>
      <c r="AE38" s="4" t="s">
        <v>137</v>
      </c>
      <c r="AF38" s="4" t="s">
        <v>138</v>
      </c>
    </row>
    <row r="39" spans="1:35" ht="18" x14ac:dyDescent="0.35">
      <c r="A39" s="17" t="s">
        <v>141</v>
      </c>
      <c r="B39" s="17"/>
      <c r="C39" s="34" t="s">
        <v>142</v>
      </c>
      <c r="D39" s="19"/>
      <c r="E39" s="19"/>
      <c r="F39" s="35" t="s">
        <v>78</v>
      </c>
      <c r="G39" s="36">
        <v>0.8</v>
      </c>
      <c r="H39" s="19"/>
      <c r="I39" s="48">
        <v>0</v>
      </c>
      <c r="J39" s="38">
        <v>51.63</v>
      </c>
      <c r="K39" s="39"/>
      <c r="L39" s="39"/>
      <c r="M39" s="38">
        <f t="shared" si="7"/>
        <v>0</v>
      </c>
      <c r="N39" s="39"/>
      <c r="O39" s="39"/>
      <c r="P39" s="38">
        <v>51.63</v>
      </c>
      <c r="Q39" s="39"/>
      <c r="R39" s="39"/>
      <c r="S39" s="38">
        <f t="shared" si="8"/>
        <v>0</v>
      </c>
      <c r="T39" s="39"/>
      <c r="U39" s="40"/>
      <c r="V39" s="9">
        <f t="shared" si="9"/>
        <v>43.03</v>
      </c>
      <c r="Y39" s="9">
        <f t="shared" si="10"/>
        <v>0</v>
      </c>
      <c r="AD39" s="4" t="s">
        <v>143</v>
      </c>
      <c r="AE39" s="4" t="s">
        <v>144</v>
      </c>
      <c r="AF39" s="4" t="s">
        <v>145</v>
      </c>
    </row>
    <row r="40" spans="1:35" ht="18" x14ac:dyDescent="0.35">
      <c r="A40" s="23" t="s">
        <v>146</v>
      </c>
      <c r="B40" s="23"/>
      <c r="C40" s="41" t="s">
        <v>142</v>
      </c>
      <c r="D40" s="25"/>
      <c r="E40" s="25"/>
      <c r="F40" s="42" t="s">
        <v>78</v>
      </c>
      <c r="G40" s="43">
        <v>0.8</v>
      </c>
      <c r="H40" s="25"/>
      <c r="I40" s="50">
        <v>129.91999999999999</v>
      </c>
      <c r="J40" s="44">
        <v>51.63</v>
      </c>
      <c r="K40" s="45"/>
      <c r="L40" s="45"/>
      <c r="M40" s="44">
        <f t="shared" si="7"/>
        <v>6707.77</v>
      </c>
      <c r="N40" s="45"/>
      <c r="O40" s="45"/>
      <c r="P40" s="44">
        <v>51.63</v>
      </c>
      <c r="Q40" s="45"/>
      <c r="R40" s="45"/>
      <c r="S40" s="44">
        <f t="shared" si="8"/>
        <v>6707.77</v>
      </c>
      <c r="T40" s="45"/>
      <c r="U40" s="46"/>
      <c r="V40" s="9">
        <f t="shared" si="9"/>
        <v>43.03</v>
      </c>
      <c r="Y40" s="9">
        <f t="shared" si="10"/>
        <v>5589.81</v>
      </c>
      <c r="AD40" s="4" t="s">
        <v>147</v>
      </c>
      <c r="AE40" s="4" t="s">
        <v>144</v>
      </c>
      <c r="AF40" s="4" t="s">
        <v>145</v>
      </c>
    </row>
    <row r="41" spans="1:35" ht="36" x14ac:dyDescent="0.35">
      <c r="A41" s="17" t="s">
        <v>148</v>
      </c>
      <c r="B41" s="17"/>
      <c r="C41" s="34" t="s">
        <v>92</v>
      </c>
      <c r="D41" s="19"/>
      <c r="E41" s="19"/>
      <c r="F41" s="35" t="s">
        <v>93</v>
      </c>
      <c r="G41" s="36">
        <v>5.1999999999999998E-2</v>
      </c>
      <c r="H41" s="19"/>
      <c r="I41" s="37">
        <v>0</v>
      </c>
      <c r="J41" s="38">
        <v>4026.8</v>
      </c>
      <c r="K41" s="39"/>
      <c r="L41" s="39"/>
      <c r="M41" s="38">
        <f t="shared" si="7"/>
        <v>0</v>
      </c>
      <c r="N41" s="39"/>
      <c r="O41" s="39"/>
      <c r="P41" s="38">
        <v>4026.8</v>
      </c>
      <c r="Q41" s="39"/>
      <c r="R41" s="39"/>
      <c r="S41" s="38">
        <f t="shared" si="8"/>
        <v>0</v>
      </c>
      <c r="T41" s="39"/>
      <c r="U41" s="40"/>
      <c r="V41" s="9">
        <f t="shared" si="9"/>
        <v>3355.67</v>
      </c>
      <c r="Y41" s="9">
        <f t="shared" si="10"/>
        <v>0</v>
      </c>
      <c r="AD41" s="4" t="s">
        <v>149</v>
      </c>
      <c r="AE41" s="4" t="s">
        <v>150</v>
      </c>
      <c r="AF41" s="4" t="s">
        <v>96</v>
      </c>
    </row>
    <row r="42" spans="1:35" ht="36" x14ac:dyDescent="0.35">
      <c r="A42" s="23" t="s">
        <v>151</v>
      </c>
      <c r="B42" s="23"/>
      <c r="C42" s="41" t="s">
        <v>92</v>
      </c>
      <c r="D42" s="25"/>
      <c r="E42" s="25"/>
      <c r="F42" s="42" t="s">
        <v>93</v>
      </c>
      <c r="G42" s="43">
        <v>5.1999999999999998E-2</v>
      </c>
      <c r="H42" s="25"/>
      <c r="I42" s="43">
        <v>8.4450000000000003</v>
      </c>
      <c r="J42" s="44">
        <v>4026.8</v>
      </c>
      <c r="K42" s="45"/>
      <c r="L42" s="45"/>
      <c r="M42" s="44">
        <f t="shared" si="7"/>
        <v>34006.33</v>
      </c>
      <c r="N42" s="45"/>
      <c r="O42" s="45"/>
      <c r="P42" s="44">
        <v>4026.8</v>
      </c>
      <c r="Q42" s="45"/>
      <c r="R42" s="45"/>
      <c r="S42" s="44">
        <f t="shared" si="8"/>
        <v>34006.33</v>
      </c>
      <c r="T42" s="45"/>
      <c r="U42" s="46"/>
      <c r="V42" s="9">
        <f t="shared" si="9"/>
        <v>3355.67</v>
      </c>
      <c r="Y42" s="9">
        <f t="shared" si="10"/>
        <v>28338.61</v>
      </c>
      <c r="AD42" s="4" t="s">
        <v>152</v>
      </c>
      <c r="AE42" s="4" t="s">
        <v>150</v>
      </c>
      <c r="AF42" s="4" t="s">
        <v>96</v>
      </c>
    </row>
    <row r="43" spans="1:35" ht="36" x14ac:dyDescent="0.35">
      <c r="A43" s="17" t="s">
        <v>153</v>
      </c>
      <c r="B43" s="17"/>
      <c r="C43" s="34" t="s">
        <v>100</v>
      </c>
      <c r="D43" s="19"/>
      <c r="E43" s="19"/>
      <c r="F43" s="35" t="s">
        <v>63</v>
      </c>
      <c r="G43" s="36">
        <v>4.2</v>
      </c>
      <c r="H43" s="19"/>
      <c r="I43" s="37">
        <v>0</v>
      </c>
      <c r="J43" s="38">
        <v>135.53</v>
      </c>
      <c r="K43" s="39"/>
      <c r="L43" s="39"/>
      <c r="M43" s="38">
        <f t="shared" si="7"/>
        <v>0</v>
      </c>
      <c r="N43" s="39"/>
      <c r="O43" s="39"/>
      <c r="P43" s="38">
        <v>1520.33</v>
      </c>
      <c r="Q43" s="39"/>
      <c r="R43" s="39"/>
      <c r="S43" s="38">
        <f t="shared" si="8"/>
        <v>0</v>
      </c>
      <c r="T43" s="39"/>
      <c r="U43" s="40"/>
      <c r="V43" s="9">
        <f t="shared" si="9"/>
        <v>1266.94</v>
      </c>
      <c r="Y43" s="9">
        <f t="shared" si="10"/>
        <v>0</v>
      </c>
      <c r="AD43" s="4" t="s">
        <v>154</v>
      </c>
      <c r="AE43" s="4" t="s">
        <v>155</v>
      </c>
      <c r="AF43" s="4" t="s">
        <v>103</v>
      </c>
    </row>
    <row r="44" spans="1:35" ht="36" x14ac:dyDescent="0.35">
      <c r="A44" s="23" t="s">
        <v>156</v>
      </c>
      <c r="B44" s="23"/>
      <c r="C44" s="41" t="s">
        <v>100</v>
      </c>
      <c r="D44" s="25"/>
      <c r="E44" s="25" t="s">
        <v>157</v>
      </c>
      <c r="F44" s="42" t="s">
        <v>63</v>
      </c>
      <c r="G44" s="43">
        <v>4.2</v>
      </c>
      <c r="H44" s="25"/>
      <c r="I44" s="43">
        <v>682.08</v>
      </c>
      <c r="J44" s="44">
        <v>135.53</v>
      </c>
      <c r="K44" s="45"/>
      <c r="L44" s="45"/>
      <c r="M44" s="44">
        <f t="shared" si="7"/>
        <v>92442.3</v>
      </c>
      <c r="N44" s="45"/>
      <c r="O44" s="45"/>
      <c r="P44" s="44">
        <v>1520.33</v>
      </c>
      <c r="Q44" s="45"/>
      <c r="R44" s="45"/>
      <c r="S44" s="44">
        <f t="shared" si="8"/>
        <v>1036986.69</v>
      </c>
      <c r="T44" s="45"/>
      <c r="U44" s="46"/>
      <c r="V44" s="9">
        <f t="shared" si="9"/>
        <v>1266.94</v>
      </c>
      <c r="Y44" s="9">
        <f t="shared" si="10"/>
        <v>864155.58</v>
      </c>
      <c r="AD44" s="4" t="s">
        <v>158</v>
      </c>
      <c r="AE44" s="4" t="s">
        <v>155</v>
      </c>
      <c r="AF44" s="4" t="s">
        <v>103</v>
      </c>
    </row>
    <row r="45" spans="1:35" ht="36" x14ac:dyDescent="0.35">
      <c r="A45" s="17" t="s">
        <v>159</v>
      </c>
      <c r="B45" s="17" t="s">
        <v>123</v>
      </c>
      <c r="C45" s="18" t="s">
        <v>124</v>
      </c>
      <c r="D45" s="19" t="s">
        <v>61</v>
      </c>
      <c r="E45" s="19"/>
      <c r="F45" s="19" t="s">
        <v>63</v>
      </c>
      <c r="G45" s="20">
        <v>1</v>
      </c>
      <c r="H45" s="19"/>
      <c r="I45" s="21">
        <v>0</v>
      </c>
      <c r="J45" s="22">
        <v>951.65</v>
      </c>
      <c r="K45" s="22">
        <v>1991</v>
      </c>
      <c r="L45" s="22">
        <f>J45+ROUND(K45, 2)</f>
        <v>2942.65</v>
      </c>
      <c r="M45" s="22">
        <v>0</v>
      </c>
      <c r="N45" s="22">
        <v>0</v>
      </c>
      <c r="O45" s="22">
        <f>M45+N45</f>
        <v>0</v>
      </c>
      <c r="P45" s="22">
        <v>951.65</v>
      </c>
      <c r="Q45" s="22">
        <v>1991</v>
      </c>
      <c r="R45" s="22">
        <f>P45+ROUND(Q45, 2)</f>
        <v>2942.65</v>
      </c>
      <c r="S45" s="22">
        <v>0</v>
      </c>
      <c r="T45" s="22">
        <v>0</v>
      </c>
      <c r="U45" s="22">
        <f>S45+T45</f>
        <v>0</v>
      </c>
      <c r="V45" s="9">
        <f>ROUND(P45 / 1.2, 2)</f>
        <v>793.04</v>
      </c>
      <c r="W45" s="9">
        <f>ROUND(Q45 / 1.2, 2)</f>
        <v>1659.17</v>
      </c>
      <c r="X45" s="9">
        <f>ROUND(R45 / 1.2, 2)</f>
        <v>2452.21</v>
      </c>
      <c r="Y45" s="9">
        <f t="shared" si="10"/>
        <v>0</v>
      </c>
      <c r="Z45" s="9">
        <f>ROUND(T45 / 1.2, 2)</f>
        <v>0</v>
      </c>
      <c r="AA45" s="9">
        <f>Y45+Z45</f>
        <v>0</v>
      </c>
      <c r="AD45" s="4">
        <v>305117005</v>
      </c>
      <c r="AE45" s="4">
        <v>20927894</v>
      </c>
      <c r="AG45" s="4" t="s">
        <v>125</v>
      </c>
      <c r="AH45" s="4" t="s">
        <v>126</v>
      </c>
      <c r="AI45" s="4" t="s">
        <v>66</v>
      </c>
    </row>
    <row r="46" spans="1:35" ht="216" x14ac:dyDescent="0.35">
      <c r="A46" s="23" t="s">
        <v>160</v>
      </c>
      <c r="B46" s="23" t="s">
        <v>123</v>
      </c>
      <c r="C46" s="24" t="s">
        <v>124</v>
      </c>
      <c r="D46" s="25" t="s">
        <v>61</v>
      </c>
      <c r="E46" s="25" t="s">
        <v>161</v>
      </c>
      <c r="F46" s="25" t="s">
        <v>63</v>
      </c>
      <c r="G46" s="26">
        <v>1</v>
      </c>
      <c r="H46" s="25"/>
      <c r="I46" s="26">
        <v>59.8</v>
      </c>
      <c r="J46" s="27">
        <v>951.65</v>
      </c>
      <c r="K46" s="27">
        <v>1991</v>
      </c>
      <c r="L46" s="27">
        <v>1991</v>
      </c>
      <c r="M46" s="27">
        <v>56908.67</v>
      </c>
      <c r="N46" s="27">
        <v>119061.8</v>
      </c>
      <c r="O46" s="27"/>
      <c r="P46" s="27">
        <v>951.65</v>
      </c>
      <c r="Q46" s="27">
        <v>1991</v>
      </c>
      <c r="R46" s="27">
        <v>1991</v>
      </c>
      <c r="S46" s="27">
        <v>56908.67</v>
      </c>
      <c r="T46" s="27">
        <v>119061.8</v>
      </c>
      <c r="U46" s="27"/>
      <c r="V46" s="9"/>
      <c r="W46" s="9">
        <f>ROUND(Q46 / 1.2, 2)</f>
        <v>1659.17</v>
      </c>
      <c r="X46" s="9">
        <f>ROUND(R46 / 1.2, 2)</f>
        <v>1659.17</v>
      </c>
      <c r="Y46" s="9"/>
      <c r="Z46" s="9">
        <f>ROUND(T46 / 1.2, 2)</f>
        <v>99218.17</v>
      </c>
      <c r="AA46" s="9"/>
      <c r="AD46" s="4">
        <v>278588533</v>
      </c>
      <c r="AE46" s="4">
        <v>20927894</v>
      </c>
      <c r="AG46" s="4" t="s">
        <v>125</v>
      </c>
      <c r="AH46" s="4" t="s">
        <v>126</v>
      </c>
      <c r="AI46" s="4"/>
    </row>
    <row r="47" spans="1:35" ht="36" x14ac:dyDescent="0.35">
      <c r="A47" s="17" t="s">
        <v>162</v>
      </c>
      <c r="B47" s="17"/>
      <c r="C47" s="34" t="s">
        <v>100</v>
      </c>
      <c r="D47" s="19"/>
      <c r="E47" s="19"/>
      <c r="F47" s="35" t="s">
        <v>63</v>
      </c>
      <c r="G47" s="36">
        <v>4.2</v>
      </c>
      <c r="H47" s="19"/>
      <c r="I47" s="37">
        <v>0</v>
      </c>
      <c r="J47" s="38">
        <v>135.53</v>
      </c>
      <c r="K47" s="39"/>
      <c r="L47" s="39"/>
      <c r="M47" s="38">
        <f t="shared" ref="M47:M54" si="11">ROUND(ROUND(J47, 2)*I47, 2)</f>
        <v>0</v>
      </c>
      <c r="N47" s="39"/>
      <c r="O47" s="39"/>
      <c r="P47" s="38">
        <v>135.53</v>
      </c>
      <c r="Q47" s="39"/>
      <c r="R47" s="39"/>
      <c r="S47" s="38">
        <f t="shared" ref="S47:S54" si="12">ROUND(ROUND(P47, 2)*I47, 2)</f>
        <v>0</v>
      </c>
      <c r="T47" s="39"/>
      <c r="U47" s="40"/>
      <c r="V47" s="9">
        <f t="shared" ref="V47:V54" si="13">ROUND(ROUND(P47, 2)/1.2, 2)</f>
        <v>112.94</v>
      </c>
      <c r="Y47" s="9">
        <f t="shared" ref="Y47:Y67" si="14">ROUND(S47 / 1.2, 2)</f>
        <v>0</v>
      </c>
      <c r="AD47" s="4" t="s">
        <v>163</v>
      </c>
      <c r="AE47" s="4" t="s">
        <v>164</v>
      </c>
      <c r="AF47" s="4" t="s">
        <v>103</v>
      </c>
    </row>
    <row r="48" spans="1:35" ht="36" x14ac:dyDescent="0.35">
      <c r="A48" s="23" t="s">
        <v>165</v>
      </c>
      <c r="B48" s="23"/>
      <c r="C48" s="41" t="s">
        <v>100</v>
      </c>
      <c r="D48" s="25"/>
      <c r="E48" s="25"/>
      <c r="F48" s="42" t="s">
        <v>63</v>
      </c>
      <c r="G48" s="43">
        <v>4.2</v>
      </c>
      <c r="H48" s="25"/>
      <c r="I48" s="43">
        <v>251.16</v>
      </c>
      <c r="J48" s="44">
        <v>135.53</v>
      </c>
      <c r="K48" s="45"/>
      <c r="L48" s="45"/>
      <c r="M48" s="44">
        <f t="shared" si="11"/>
        <v>34039.71</v>
      </c>
      <c r="N48" s="45"/>
      <c r="O48" s="45"/>
      <c r="P48" s="44">
        <v>135.53</v>
      </c>
      <c r="Q48" s="45"/>
      <c r="R48" s="45"/>
      <c r="S48" s="44">
        <f t="shared" si="12"/>
        <v>34039.71</v>
      </c>
      <c r="T48" s="45"/>
      <c r="U48" s="46"/>
      <c r="V48" s="9">
        <f t="shared" si="13"/>
        <v>112.94</v>
      </c>
      <c r="Y48" s="9">
        <f t="shared" si="14"/>
        <v>28366.43</v>
      </c>
      <c r="AD48" s="4" t="s">
        <v>166</v>
      </c>
      <c r="AE48" s="4" t="s">
        <v>164</v>
      </c>
      <c r="AF48" s="4" t="s">
        <v>103</v>
      </c>
    </row>
    <row r="49" spans="1:35" ht="36" x14ac:dyDescent="0.35">
      <c r="A49" s="17" t="s">
        <v>167</v>
      </c>
      <c r="B49" s="17"/>
      <c r="C49" s="34" t="s">
        <v>92</v>
      </c>
      <c r="D49" s="19"/>
      <c r="E49" s="19"/>
      <c r="F49" s="35" t="s">
        <v>93</v>
      </c>
      <c r="G49" s="36">
        <v>5.1999999999999998E-2</v>
      </c>
      <c r="H49" s="19"/>
      <c r="I49" s="37">
        <v>0</v>
      </c>
      <c r="J49" s="38">
        <v>4026.8</v>
      </c>
      <c r="K49" s="39"/>
      <c r="L49" s="39"/>
      <c r="M49" s="38">
        <f t="shared" si="11"/>
        <v>0</v>
      </c>
      <c r="N49" s="39"/>
      <c r="O49" s="39"/>
      <c r="P49" s="38">
        <v>4026.8</v>
      </c>
      <c r="Q49" s="39"/>
      <c r="R49" s="39"/>
      <c r="S49" s="38">
        <f t="shared" si="12"/>
        <v>0</v>
      </c>
      <c r="T49" s="39"/>
      <c r="U49" s="40"/>
      <c r="V49" s="9">
        <f t="shared" si="13"/>
        <v>3355.67</v>
      </c>
      <c r="Y49" s="9">
        <f t="shared" si="14"/>
        <v>0</v>
      </c>
      <c r="AD49" s="4" t="s">
        <v>168</v>
      </c>
      <c r="AE49" s="4" t="s">
        <v>169</v>
      </c>
      <c r="AF49" s="4" t="s">
        <v>96</v>
      </c>
    </row>
    <row r="50" spans="1:35" ht="36" x14ac:dyDescent="0.35">
      <c r="A50" s="23" t="s">
        <v>170</v>
      </c>
      <c r="B50" s="23"/>
      <c r="C50" s="41" t="s">
        <v>92</v>
      </c>
      <c r="D50" s="25"/>
      <c r="E50" s="25"/>
      <c r="F50" s="42" t="s">
        <v>93</v>
      </c>
      <c r="G50" s="43">
        <v>5.1999999999999998E-2</v>
      </c>
      <c r="H50" s="25"/>
      <c r="I50" s="43">
        <v>3.11</v>
      </c>
      <c r="J50" s="44">
        <v>4026.8</v>
      </c>
      <c r="K50" s="45"/>
      <c r="L50" s="45"/>
      <c r="M50" s="44">
        <f t="shared" si="11"/>
        <v>12523.35</v>
      </c>
      <c r="N50" s="45"/>
      <c r="O50" s="45"/>
      <c r="P50" s="44">
        <v>4026.8</v>
      </c>
      <c r="Q50" s="45"/>
      <c r="R50" s="45"/>
      <c r="S50" s="44">
        <f t="shared" si="12"/>
        <v>12523.35</v>
      </c>
      <c r="T50" s="45"/>
      <c r="U50" s="46"/>
      <c r="V50" s="9">
        <f t="shared" si="13"/>
        <v>3355.67</v>
      </c>
      <c r="Y50" s="9">
        <f t="shared" si="14"/>
        <v>10436.129999999999</v>
      </c>
      <c r="AD50" s="4" t="s">
        <v>171</v>
      </c>
      <c r="AE50" s="4" t="s">
        <v>169</v>
      </c>
      <c r="AF50" s="4" t="s">
        <v>96</v>
      </c>
    </row>
    <row r="51" spans="1:35" ht="18" x14ac:dyDescent="0.35">
      <c r="A51" s="17" t="s">
        <v>172</v>
      </c>
      <c r="B51" s="17"/>
      <c r="C51" s="34" t="s">
        <v>135</v>
      </c>
      <c r="D51" s="19"/>
      <c r="E51" s="19"/>
      <c r="F51" s="35" t="s">
        <v>78</v>
      </c>
      <c r="G51" s="36">
        <v>2.04</v>
      </c>
      <c r="H51" s="19"/>
      <c r="I51" s="48">
        <v>0</v>
      </c>
      <c r="J51" s="38">
        <v>64.56</v>
      </c>
      <c r="K51" s="39"/>
      <c r="L51" s="39"/>
      <c r="M51" s="38">
        <f t="shared" si="11"/>
        <v>0</v>
      </c>
      <c r="N51" s="39"/>
      <c r="O51" s="39"/>
      <c r="P51" s="38">
        <v>64.56</v>
      </c>
      <c r="Q51" s="39"/>
      <c r="R51" s="39"/>
      <c r="S51" s="38">
        <f t="shared" si="12"/>
        <v>0</v>
      </c>
      <c r="T51" s="39"/>
      <c r="U51" s="40"/>
      <c r="V51" s="9">
        <f t="shared" si="13"/>
        <v>53.8</v>
      </c>
      <c r="Y51" s="9">
        <f t="shared" si="14"/>
        <v>0</v>
      </c>
      <c r="AD51" s="4" t="s">
        <v>173</v>
      </c>
      <c r="AE51" s="4" t="s">
        <v>174</v>
      </c>
      <c r="AF51" s="4" t="s">
        <v>138</v>
      </c>
    </row>
    <row r="52" spans="1:35" ht="18" x14ac:dyDescent="0.35">
      <c r="A52" s="23" t="s">
        <v>175</v>
      </c>
      <c r="B52" s="23"/>
      <c r="C52" s="41" t="s">
        <v>135</v>
      </c>
      <c r="D52" s="25"/>
      <c r="E52" s="25"/>
      <c r="F52" s="42" t="s">
        <v>78</v>
      </c>
      <c r="G52" s="43">
        <v>2.04</v>
      </c>
      <c r="H52" s="25"/>
      <c r="I52" s="50">
        <v>121.992</v>
      </c>
      <c r="J52" s="44">
        <v>64.56</v>
      </c>
      <c r="K52" s="45"/>
      <c r="L52" s="45"/>
      <c r="M52" s="44">
        <f t="shared" si="11"/>
        <v>7875.8</v>
      </c>
      <c r="N52" s="45"/>
      <c r="O52" s="45"/>
      <c r="P52" s="44">
        <v>64.56</v>
      </c>
      <c r="Q52" s="45"/>
      <c r="R52" s="45"/>
      <c r="S52" s="44">
        <f t="shared" si="12"/>
        <v>7875.8</v>
      </c>
      <c r="T52" s="45"/>
      <c r="U52" s="46"/>
      <c r="V52" s="9">
        <f t="shared" si="13"/>
        <v>53.8</v>
      </c>
      <c r="Y52" s="9">
        <f t="shared" si="14"/>
        <v>6563.17</v>
      </c>
      <c r="AD52" s="4" t="s">
        <v>176</v>
      </c>
      <c r="AE52" s="4" t="s">
        <v>174</v>
      </c>
      <c r="AF52" s="4" t="s">
        <v>138</v>
      </c>
    </row>
    <row r="53" spans="1:35" ht="18" x14ac:dyDescent="0.35">
      <c r="A53" s="17" t="s">
        <v>177</v>
      </c>
      <c r="B53" s="17"/>
      <c r="C53" s="34" t="s">
        <v>142</v>
      </c>
      <c r="D53" s="19"/>
      <c r="E53" s="19"/>
      <c r="F53" s="35" t="s">
        <v>78</v>
      </c>
      <c r="G53" s="36">
        <v>0.8</v>
      </c>
      <c r="H53" s="19"/>
      <c r="I53" s="48">
        <v>0</v>
      </c>
      <c r="J53" s="38">
        <v>51.63</v>
      </c>
      <c r="K53" s="39"/>
      <c r="L53" s="39"/>
      <c r="M53" s="38">
        <f t="shared" si="11"/>
        <v>0</v>
      </c>
      <c r="N53" s="39"/>
      <c r="O53" s="39"/>
      <c r="P53" s="38">
        <v>51.63</v>
      </c>
      <c r="Q53" s="39"/>
      <c r="R53" s="39"/>
      <c r="S53" s="38">
        <f t="shared" si="12"/>
        <v>0</v>
      </c>
      <c r="T53" s="39"/>
      <c r="U53" s="40"/>
      <c r="V53" s="9">
        <f t="shared" si="13"/>
        <v>43.03</v>
      </c>
      <c r="Y53" s="9">
        <f t="shared" si="14"/>
        <v>0</v>
      </c>
      <c r="AD53" s="4" t="s">
        <v>178</v>
      </c>
      <c r="AE53" s="4" t="s">
        <v>179</v>
      </c>
      <c r="AF53" s="4" t="s">
        <v>145</v>
      </c>
    </row>
    <row r="54" spans="1:35" ht="18" x14ac:dyDescent="0.35">
      <c r="A54" s="23" t="s">
        <v>180</v>
      </c>
      <c r="B54" s="23"/>
      <c r="C54" s="41" t="s">
        <v>142</v>
      </c>
      <c r="D54" s="25"/>
      <c r="E54" s="25"/>
      <c r="F54" s="42" t="s">
        <v>78</v>
      </c>
      <c r="G54" s="43">
        <v>0.8</v>
      </c>
      <c r="H54" s="25"/>
      <c r="I54" s="50">
        <v>47.84</v>
      </c>
      <c r="J54" s="44">
        <v>51.63</v>
      </c>
      <c r="K54" s="45"/>
      <c r="L54" s="45"/>
      <c r="M54" s="44">
        <f t="shared" si="11"/>
        <v>2469.98</v>
      </c>
      <c r="N54" s="45"/>
      <c r="O54" s="45"/>
      <c r="P54" s="44">
        <v>51.63</v>
      </c>
      <c r="Q54" s="45"/>
      <c r="R54" s="45"/>
      <c r="S54" s="44">
        <f t="shared" si="12"/>
        <v>2469.98</v>
      </c>
      <c r="T54" s="45"/>
      <c r="U54" s="46"/>
      <c r="V54" s="9">
        <f t="shared" si="13"/>
        <v>43.03</v>
      </c>
      <c r="Y54" s="9">
        <f t="shared" si="14"/>
        <v>2058.3200000000002</v>
      </c>
      <c r="AD54" s="4" t="s">
        <v>181</v>
      </c>
      <c r="AE54" s="4" t="s">
        <v>179</v>
      </c>
      <c r="AF54" s="4" t="s">
        <v>145</v>
      </c>
    </row>
    <row r="55" spans="1:35" ht="270" x14ac:dyDescent="0.35">
      <c r="A55" s="51" t="s">
        <v>182</v>
      </c>
      <c r="B55" s="51" t="s">
        <v>123</v>
      </c>
      <c r="C55" s="52" t="s">
        <v>124</v>
      </c>
      <c r="D55" s="53" t="s">
        <v>61</v>
      </c>
      <c r="E55" s="53" t="s">
        <v>128</v>
      </c>
      <c r="F55" s="53" t="s">
        <v>63</v>
      </c>
      <c r="G55" s="54">
        <v>1</v>
      </c>
      <c r="H55" s="53"/>
      <c r="I55" s="54">
        <v>0</v>
      </c>
      <c r="J55" s="55">
        <f>IFERROR(ROUND(SUM(M56,M57,M58,M59,M60)/I55, 2),0)</f>
        <v>0</v>
      </c>
      <c r="K55" s="55">
        <v>1991</v>
      </c>
      <c r="L55" s="55">
        <f>J55+ROUND(K55, 2)</f>
        <v>1991</v>
      </c>
      <c r="M55" s="55">
        <f>ROUND(J55*I55, 2)</f>
        <v>0</v>
      </c>
      <c r="N55" s="55">
        <f>ROUND(I55*ROUND(K55, 2), 2)</f>
        <v>0</v>
      </c>
      <c r="O55" s="55">
        <f>M55+N55</f>
        <v>0</v>
      </c>
      <c r="P55" s="55">
        <f>IFERROR(ROUND(SUM(S56,S57,S58,S59,S60)/I55, 2),0)</f>
        <v>0</v>
      </c>
      <c r="Q55" s="55">
        <v>2986.5</v>
      </c>
      <c r="R55" s="55">
        <f>P55+ROUND(Q55, 2)</f>
        <v>2986.5</v>
      </c>
      <c r="S55" s="55">
        <f>ROUND(P55*I55, 2)</f>
        <v>0</v>
      </c>
      <c r="T55" s="55">
        <f>ROUND(I55*ROUND(Q55, 2), 2)</f>
        <v>0</v>
      </c>
      <c r="U55" s="55">
        <f>S55+T55</f>
        <v>0</v>
      </c>
      <c r="V55" s="9">
        <f>ROUND(P55 / 1.2, 2)</f>
        <v>0</v>
      </c>
      <c r="W55" s="9">
        <f>ROUND(Q55 / 1.2, 2)</f>
        <v>2488.75</v>
      </c>
      <c r="X55" s="9">
        <f>ROUND(R55 / 1.2, 2)</f>
        <v>2488.75</v>
      </c>
      <c r="Y55" s="9">
        <f t="shared" si="14"/>
        <v>0</v>
      </c>
      <c r="Z55" s="9">
        <f>ROUND(T55 / 1.2, 2)</f>
        <v>0</v>
      </c>
      <c r="AA55" s="9">
        <f>Y55+Z55</f>
        <v>0</v>
      </c>
      <c r="AD55" s="4">
        <v>305117006</v>
      </c>
      <c r="AE55" s="4">
        <v>22135685</v>
      </c>
      <c r="AG55" s="4" t="s">
        <v>125</v>
      </c>
      <c r="AH55" s="4" t="s">
        <v>126</v>
      </c>
      <c r="AI55" s="4" t="s">
        <v>66</v>
      </c>
    </row>
    <row r="56" spans="1:35" ht="54" x14ac:dyDescent="0.35">
      <c r="A56" s="51" t="s">
        <v>183</v>
      </c>
      <c r="B56" s="51"/>
      <c r="C56" s="56" t="s">
        <v>69</v>
      </c>
      <c r="D56" s="53"/>
      <c r="E56" s="53"/>
      <c r="F56" s="57" t="s">
        <v>70</v>
      </c>
      <c r="G56" s="58">
        <v>1</v>
      </c>
      <c r="H56" s="53"/>
      <c r="I56" s="58">
        <v>0</v>
      </c>
      <c r="J56" s="59">
        <v>88.36</v>
      </c>
      <c r="K56" s="60"/>
      <c r="L56" s="60"/>
      <c r="M56" s="59">
        <f>ROUND(ROUND(J56, 2)*I56, 2)</f>
        <v>0</v>
      </c>
      <c r="N56" s="60"/>
      <c r="O56" s="60"/>
      <c r="P56" s="59">
        <v>88.35</v>
      </c>
      <c r="Q56" s="60"/>
      <c r="R56" s="60"/>
      <c r="S56" s="59">
        <f>ROUND(ROUND(P56, 2)*I56, 2)</f>
        <v>0</v>
      </c>
      <c r="T56" s="60"/>
      <c r="U56" s="61"/>
      <c r="V56" s="9">
        <f>ROUND(ROUND(P56, 2)/1.2, 2)</f>
        <v>73.63</v>
      </c>
      <c r="Y56" s="9">
        <f t="shared" si="14"/>
        <v>0</v>
      </c>
      <c r="AD56" s="4" t="s">
        <v>184</v>
      </c>
      <c r="AE56" s="4" t="s">
        <v>185</v>
      </c>
      <c r="AF56" s="4" t="s">
        <v>73</v>
      </c>
    </row>
    <row r="57" spans="1:35" ht="18" x14ac:dyDescent="0.35">
      <c r="A57" s="51" t="s">
        <v>186</v>
      </c>
      <c r="B57" s="51"/>
      <c r="C57" s="47" t="s">
        <v>135</v>
      </c>
      <c r="D57" s="53"/>
      <c r="E57" s="53"/>
      <c r="F57" s="57" t="s">
        <v>78</v>
      </c>
      <c r="G57" s="58">
        <v>2.04</v>
      </c>
      <c r="H57" s="53"/>
      <c r="I57" s="62">
        <v>331.29599999999999</v>
      </c>
      <c r="J57" s="59">
        <v>64.56</v>
      </c>
      <c r="K57" s="60"/>
      <c r="L57" s="60"/>
      <c r="M57" s="59">
        <f>ROUND(ROUND(J57, 2)*I57, 2)</f>
        <v>21388.47</v>
      </c>
      <c r="N57" s="60"/>
      <c r="O57" s="60"/>
      <c r="P57" s="59">
        <v>64.56</v>
      </c>
      <c r="Q57" s="60"/>
      <c r="R57" s="60"/>
      <c r="S57" s="59">
        <f>ROUND(ROUND(P57, 2)*I57, 2)</f>
        <v>21388.47</v>
      </c>
      <c r="T57" s="60"/>
      <c r="U57" s="61"/>
      <c r="V57" s="9">
        <f>ROUND(ROUND(P57, 2)/1.2, 2)</f>
        <v>53.8</v>
      </c>
      <c r="Y57" s="9">
        <f t="shared" si="14"/>
        <v>17823.73</v>
      </c>
      <c r="AD57" s="4" t="s">
        <v>187</v>
      </c>
      <c r="AE57" s="4" t="s">
        <v>188</v>
      </c>
      <c r="AF57" s="4" t="s">
        <v>138</v>
      </c>
    </row>
    <row r="58" spans="1:35" ht="18" x14ac:dyDescent="0.35">
      <c r="A58" s="51" t="s">
        <v>189</v>
      </c>
      <c r="B58" s="51"/>
      <c r="C58" s="47" t="s">
        <v>142</v>
      </c>
      <c r="D58" s="53"/>
      <c r="E58" s="53"/>
      <c r="F58" s="57" t="s">
        <v>78</v>
      </c>
      <c r="G58" s="58">
        <v>0.8</v>
      </c>
      <c r="H58" s="53"/>
      <c r="I58" s="62">
        <v>129.91999999999999</v>
      </c>
      <c r="J58" s="59">
        <v>51.64</v>
      </c>
      <c r="K58" s="60"/>
      <c r="L58" s="60"/>
      <c r="M58" s="59">
        <f>ROUND(ROUND(J58, 2)*I58, 2)</f>
        <v>6709.07</v>
      </c>
      <c r="N58" s="60"/>
      <c r="O58" s="60"/>
      <c r="P58" s="59">
        <v>51.63</v>
      </c>
      <c r="Q58" s="60"/>
      <c r="R58" s="60"/>
      <c r="S58" s="59">
        <f>ROUND(ROUND(P58, 2)*I58, 2)</f>
        <v>6707.77</v>
      </c>
      <c r="T58" s="60"/>
      <c r="U58" s="61"/>
      <c r="V58" s="9">
        <f>ROUND(ROUND(P58, 2)/1.2, 2)</f>
        <v>43.03</v>
      </c>
      <c r="Y58" s="9">
        <f t="shared" si="14"/>
        <v>5589.81</v>
      </c>
      <c r="AD58" s="4" t="s">
        <v>190</v>
      </c>
      <c r="AE58" s="4" t="s">
        <v>191</v>
      </c>
      <c r="AF58" s="4" t="s">
        <v>145</v>
      </c>
    </row>
    <row r="59" spans="1:35" ht="36" x14ac:dyDescent="0.35">
      <c r="A59" s="51" t="s">
        <v>192</v>
      </c>
      <c r="B59" s="51"/>
      <c r="C59" s="47" t="s">
        <v>92</v>
      </c>
      <c r="D59" s="53"/>
      <c r="E59" s="53"/>
      <c r="F59" s="57" t="s">
        <v>93</v>
      </c>
      <c r="G59" s="58">
        <v>5.1999999999999998E-2</v>
      </c>
      <c r="H59" s="53"/>
      <c r="I59" s="58">
        <v>0</v>
      </c>
      <c r="J59" s="59">
        <v>4026.8</v>
      </c>
      <c r="K59" s="60"/>
      <c r="L59" s="60"/>
      <c r="M59" s="59">
        <f>ROUND(ROUND(J59, 2)*I59, 2)</f>
        <v>0</v>
      </c>
      <c r="N59" s="60"/>
      <c r="O59" s="60"/>
      <c r="P59" s="59">
        <v>4026.8</v>
      </c>
      <c r="Q59" s="60"/>
      <c r="R59" s="60"/>
      <c r="S59" s="59">
        <f>ROUND(ROUND(P59, 2)*I59, 2)</f>
        <v>0</v>
      </c>
      <c r="T59" s="60"/>
      <c r="U59" s="61"/>
      <c r="V59" s="9">
        <f>ROUND(ROUND(P59, 2)/1.2, 2)</f>
        <v>3355.67</v>
      </c>
      <c r="Y59" s="9">
        <f t="shared" si="14"/>
        <v>0</v>
      </c>
      <c r="AD59" s="4" t="s">
        <v>193</v>
      </c>
      <c r="AE59" s="4" t="s">
        <v>194</v>
      </c>
      <c r="AF59" s="4" t="s">
        <v>96</v>
      </c>
    </row>
    <row r="60" spans="1:35" ht="36" x14ac:dyDescent="0.35">
      <c r="A60" s="51" t="s">
        <v>195</v>
      </c>
      <c r="B60" s="51"/>
      <c r="C60" s="56" t="s">
        <v>100</v>
      </c>
      <c r="D60" s="53"/>
      <c r="E60" s="53" t="s">
        <v>157</v>
      </c>
      <c r="F60" s="57" t="s">
        <v>63</v>
      </c>
      <c r="G60" s="58">
        <v>4.2</v>
      </c>
      <c r="H60" s="53"/>
      <c r="I60" s="58">
        <v>0</v>
      </c>
      <c r="J60" s="59">
        <v>135.53</v>
      </c>
      <c r="K60" s="60"/>
      <c r="L60" s="60"/>
      <c r="M60" s="59">
        <f>ROUND(ROUND(J60, 2)*I60, 2)</f>
        <v>0</v>
      </c>
      <c r="N60" s="60"/>
      <c r="O60" s="60"/>
      <c r="P60" s="59">
        <v>135.53</v>
      </c>
      <c r="Q60" s="60"/>
      <c r="R60" s="60"/>
      <c r="S60" s="59">
        <f>ROUND(ROUND(P60, 2)*I60, 2)</f>
        <v>0</v>
      </c>
      <c r="T60" s="60"/>
      <c r="U60" s="61"/>
      <c r="V60" s="9">
        <f>ROUND(ROUND(P60, 2)/1.2, 2)</f>
        <v>112.94</v>
      </c>
      <c r="Y60" s="9">
        <f t="shared" si="14"/>
        <v>0</v>
      </c>
      <c r="AD60" s="4" t="s">
        <v>196</v>
      </c>
      <c r="AE60" s="4" t="s">
        <v>197</v>
      </c>
      <c r="AF60" s="4" t="s">
        <v>103</v>
      </c>
    </row>
    <row r="61" spans="1:35" ht="216" x14ac:dyDescent="0.35">
      <c r="A61" s="51" t="s">
        <v>198</v>
      </c>
      <c r="B61" s="51" t="s">
        <v>123</v>
      </c>
      <c r="C61" s="52" t="s">
        <v>124</v>
      </c>
      <c r="D61" s="53" t="s">
        <v>61</v>
      </c>
      <c r="E61" s="53" t="s">
        <v>161</v>
      </c>
      <c r="F61" s="53" t="s">
        <v>63</v>
      </c>
      <c r="G61" s="54">
        <v>1</v>
      </c>
      <c r="H61" s="53"/>
      <c r="I61" s="54">
        <v>0</v>
      </c>
      <c r="J61" s="55">
        <f>IFERROR(ROUND(SUM(M62,M63,M64,M65,M66)/I61, 2),0)</f>
        <v>0</v>
      </c>
      <c r="K61" s="55">
        <v>1991</v>
      </c>
      <c r="L61" s="55">
        <f>J61+ROUND(K61, 2)</f>
        <v>1991</v>
      </c>
      <c r="M61" s="55">
        <f>ROUND(J61*I61, 2)</f>
        <v>0</v>
      </c>
      <c r="N61" s="55">
        <f>ROUND(I61*ROUND(K61, 2), 2)</f>
        <v>0</v>
      </c>
      <c r="O61" s="55">
        <f>M61+N61</f>
        <v>0</v>
      </c>
      <c r="P61" s="55">
        <f>IFERROR(ROUND(SUM(S62,S63,S64,S65,S66)/I61, 2),0)</f>
        <v>0</v>
      </c>
      <c r="Q61" s="55">
        <v>2986.5</v>
      </c>
      <c r="R61" s="55">
        <f>P61+ROUND(Q61, 2)</f>
        <v>2986.5</v>
      </c>
      <c r="S61" s="55">
        <f>ROUND(P61*I61, 2)</f>
        <v>0</v>
      </c>
      <c r="T61" s="55">
        <f>ROUND(I61*ROUND(Q61, 2), 2)</f>
        <v>0</v>
      </c>
      <c r="U61" s="55">
        <f>S61+T61</f>
        <v>0</v>
      </c>
      <c r="V61" s="9">
        <f>ROUND(P61 / 1.2, 2)</f>
        <v>0</v>
      </c>
      <c r="W61" s="9">
        <f>ROUND(Q61 / 1.2, 2)</f>
        <v>2488.75</v>
      </c>
      <c r="X61" s="9">
        <f>ROUND(R61 / 1.2, 2)</f>
        <v>2488.75</v>
      </c>
      <c r="Y61" s="9">
        <f t="shared" si="14"/>
        <v>0</v>
      </c>
      <c r="Z61" s="9">
        <f>ROUND(T61 / 1.2, 2)</f>
        <v>0</v>
      </c>
      <c r="AA61" s="9">
        <f>Y61+Z61</f>
        <v>0</v>
      </c>
      <c r="AD61" s="4">
        <v>305117007</v>
      </c>
      <c r="AE61" s="4">
        <v>22135683</v>
      </c>
      <c r="AG61" s="4" t="s">
        <v>125</v>
      </c>
      <c r="AH61" s="4" t="s">
        <v>126</v>
      </c>
      <c r="AI61" s="4" t="s">
        <v>66</v>
      </c>
    </row>
    <row r="62" spans="1:35" ht="36" x14ac:dyDescent="0.35">
      <c r="A62" s="51" t="s">
        <v>199</v>
      </c>
      <c r="B62" s="51"/>
      <c r="C62" s="56" t="s">
        <v>100</v>
      </c>
      <c r="D62" s="53"/>
      <c r="E62" s="53"/>
      <c r="F62" s="57" t="s">
        <v>63</v>
      </c>
      <c r="G62" s="58">
        <v>4.2</v>
      </c>
      <c r="H62" s="53"/>
      <c r="I62" s="58">
        <v>0</v>
      </c>
      <c r="J62" s="59">
        <v>135.53</v>
      </c>
      <c r="K62" s="60"/>
      <c r="L62" s="60"/>
      <c r="M62" s="59">
        <f>ROUND(ROUND(J62, 2)*I62, 2)</f>
        <v>0</v>
      </c>
      <c r="N62" s="60"/>
      <c r="O62" s="60"/>
      <c r="P62" s="59">
        <v>135.53</v>
      </c>
      <c r="Q62" s="60"/>
      <c r="R62" s="60"/>
      <c r="S62" s="59">
        <f>ROUND(ROUND(P62, 2)*I62, 2)</f>
        <v>0</v>
      </c>
      <c r="T62" s="60"/>
      <c r="U62" s="61"/>
      <c r="V62" s="9">
        <f>ROUND(ROUND(P62, 2)/1.2, 2)</f>
        <v>112.94</v>
      </c>
      <c r="Y62" s="9">
        <f t="shared" si="14"/>
        <v>0</v>
      </c>
      <c r="AD62" s="4" t="s">
        <v>200</v>
      </c>
      <c r="AE62" s="4" t="s">
        <v>201</v>
      </c>
      <c r="AF62" s="4" t="s">
        <v>103</v>
      </c>
    </row>
    <row r="63" spans="1:35" ht="36" x14ac:dyDescent="0.35">
      <c r="A63" s="51" t="s">
        <v>202</v>
      </c>
      <c r="B63" s="51"/>
      <c r="C63" s="47" t="s">
        <v>92</v>
      </c>
      <c r="D63" s="53"/>
      <c r="E63" s="53"/>
      <c r="F63" s="57" t="s">
        <v>93</v>
      </c>
      <c r="G63" s="58">
        <v>5.1999999999999998E-2</v>
      </c>
      <c r="H63" s="53"/>
      <c r="I63" s="58">
        <v>0</v>
      </c>
      <c r="J63" s="59">
        <v>4026.8</v>
      </c>
      <c r="K63" s="60"/>
      <c r="L63" s="60"/>
      <c r="M63" s="59">
        <f>ROUND(ROUND(J63, 2)*I63, 2)</f>
        <v>0</v>
      </c>
      <c r="N63" s="60"/>
      <c r="O63" s="60"/>
      <c r="P63" s="59">
        <v>4026.8</v>
      </c>
      <c r="Q63" s="60"/>
      <c r="R63" s="60"/>
      <c r="S63" s="59">
        <f>ROUND(ROUND(P63, 2)*I63, 2)</f>
        <v>0</v>
      </c>
      <c r="T63" s="60"/>
      <c r="U63" s="61"/>
      <c r="V63" s="9">
        <f>ROUND(ROUND(P63, 2)/1.2, 2)</f>
        <v>3355.67</v>
      </c>
      <c r="Y63" s="9">
        <f t="shared" si="14"/>
        <v>0</v>
      </c>
      <c r="AD63" s="4" t="s">
        <v>203</v>
      </c>
      <c r="AE63" s="4" t="s">
        <v>204</v>
      </c>
      <c r="AF63" s="4" t="s">
        <v>96</v>
      </c>
    </row>
    <row r="64" spans="1:35" ht="18" x14ac:dyDescent="0.35">
      <c r="A64" s="51" t="s">
        <v>205</v>
      </c>
      <c r="B64" s="51"/>
      <c r="C64" s="47" t="s">
        <v>135</v>
      </c>
      <c r="D64" s="53"/>
      <c r="E64" s="53"/>
      <c r="F64" s="57" t="s">
        <v>78</v>
      </c>
      <c r="G64" s="58">
        <v>2.04</v>
      </c>
      <c r="H64" s="53"/>
      <c r="I64" s="62">
        <v>121.992</v>
      </c>
      <c r="J64" s="59">
        <v>64.56</v>
      </c>
      <c r="K64" s="60"/>
      <c r="L64" s="60"/>
      <c r="M64" s="59">
        <f>ROUND(ROUND(J64, 2)*I64, 2)</f>
        <v>7875.8</v>
      </c>
      <c r="N64" s="60"/>
      <c r="O64" s="60"/>
      <c r="P64" s="59">
        <v>64.56</v>
      </c>
      <c r="Q64" s="60"/>
      <c r="R64" s="60"/>
      <c r="S64" s="59">
        <f>ROUND(ROUND(P64, 2)*I64, 2)</f>
        <v>7875.8</v>
      </c>
      <c r="T64" s="60"/>
      <c r="U64" s="61"/>
      <c r="V64" s="9">
        <f>ROUND(ROUND(P64, 2)/1.2, 2)</f>
        <v>53.8</v>
      </c>
      <c r="Y64" s="9">
        <f t="shared" si="14"/>
        <v>6563.17</v>
      </c>
      <c r="AD64" s="4" t="s">
        <v>206</v>
      </c>
      <c r="AE64" s="4" t="s">
        <v>207</v>
      </c>
      <c r="AF64" s="4" t="s">
        <v>138</v>
      </c>
    </row>
    <row r="65" spans="1:35" ht="18" x14ac:dyDescent="0.35">
      <c r="A65" s="51" t="s">
        <v>208</v>
      </c>
      <c r="B65" s="51"/>
      <c r="C65" s="47" t="s">
        <v>142</v>
      </c>
      <c r="D65" s="53"/>
      <c r="E65" s="53"/>
      <c r="F65" s="57" t="s">
        <v>78</v>
      </c>
      <c r="G65" s="58">
        <v>0.8</v>
      </c>
      <c r="H65" s="53"/>
      <c r="I65" s="62">
        <v>47.84</v>
      </c>
      <c r="J65" s="59">
        <v>51.64</v>
      </c>
      <c r="K65" s="60"/>
      <c r="L65" s="60"/>
      <c r="M65" s="59">
        <f>ROUND(ROUND(J65, 2)*I65, 2)</f>
        <v>2470.46</v>
      </c>
      <c r="N65" s="60"/>
      <c r="O65" s="60"/>
      <c r="P65" s="59">
        <v>51.63</v>
      </c>
      <c r="Q65" s="60"/>
      <c r="R65" s="60"/>
      <c r="S65" s="59">
        <f>ROUND(ROUND(P65, 2)*I65, 2)</f>
        <v>2469.98</v>
      </c>
      <c r="T65" s="60"/>
      <c r="U65" s="61"/>
      <c r="V65" s="9">
        <f>ROUND(ROUND(P65, 2)/1.2, 2)</f>
        <v>43.03</v>
      </c>
      <c r="Y65" s="9">
        <f t="shared" si="14"/>
        <v>2058.3200000000002</v>
      </c>
      <c r="AD65" s="4" t="s">
        <v>209</v>
      </c>
      <c r="AE65" s="4" t="s">
        <v>210</v>
      </c>
      <c r="AF65" s="4" t="s">
        <v>145</v>
      </c>
    </row>
    <row r="66" spans="1:35" ht="54" x14ac:dyDescent="0.35">
      <c r="A66" s="51" t="s">
        <v>211</v>
      </c>
      <c r="B66" s="51"/>
      <c r="C66" s="56" t="s">
        <v>69</v>
      </c>
      <c r="D66" s="53"/>
      <c r="E66" s="53"/>
      <c r="F66" s="57" t="s">
        <v>70</v>
      </c>
      <c r="G66" s="58">
        <v>1</v>
      </c>
      <c r="H66" s="53"/>
      <c r="I66" s="58">
        <v>0</v>
      </c>
      <c r="J66" s="59">
        <v>88.36</v>
      </c>
      <c r="K66" s="60"/>
      <c r="L66" s="60"/>
      <c r="M66" s="59">
        <f>ROUND(ROUND(J66, 2)*I66, 2)</f>
        <v>0</v>
      </c>
      <c r="N66" s="60"/>
      <c r="O66" s="60"/>
      <c r="P66" s="59">
        <v>88.35</v>
      </c>
      <c r="Q66" s="60"/>
      <c r="R66" s="60"/>
      <c r="S66" s="59">
        <f>ROUND(ROUND(P66, 2)*I66, 2)</f>
        <v>0</v>
      </c>
      <c r="T66" s="60"/>
      <c r="U66" s="61"/>
      <c r="V66" s="9">
        <f>ROUND(ROUND(P66, 2)/1.2, 2)</f>
        <v>73.63</v>
      </c>
      <c r="Y66" s="9">
        <f t="shared" si="14"/>
        <v>0</v>
      </c>
      <c r="AD66" s="4" t="s">
        <v>212</v>
      </c>
      <c r="AE66" s="4" t="s">
        <v>213</v>
      </c>
      <c r="AF66" s="4" t="s">
        <v>73</v>
      </c>
    </row>
    <row r="67" spans="1:35" ht="36" x14ac:dyDescent="0.35">
      <c r="A67" s="17" t="s">
        <v>214</v>
      </c>
      <c r="B67" s="17" t="s">
        <v>215</v>
      </c>
      <c r="C67" s="18" t="s">
        <v>216</v>
      </c>
      <c r="D67" s="19" t="s">
        <v>61</v>
      </c>
      <c r="E67" s="19"/>
      <c r="F67" s="19" t="s">
        <v>63</v>
      </c>
      <c r="G67" s="20">
        <v>1</v>
      </c>
      <c r="H67" s="19"/>
      <c r="I67" s="21">
        <v>0</v>
      </c>
      <c r="J67" s="22">
        <v>805.05</v>
      </c>
      <c r="K67" s="22">
        <v>1225</v>
      </c>
      <c r="L67" s="22">
        <f>J67+ROUND(K67, 2)</f>
        <v>2030.05</v>
      </c>
      <c r="M67" s="22">
        <v>0</v>
      </c>
      <c r="N67" s="22">
        <v>0</v>
      </c>
      <c r="O67" s="22">
        <f>M67+N67</f>
        <v>0</v>
      </c>
      <c r="P67" s="22">
        <v>805.05</v>
      </c>
      <c r="Q67" s="22">
        <v>1225</v>
      </c>
      <c r="R67" s="22">
        <f>P67+ROUND(Q67, 2)</f>
        <v>2030.05</v>
      </c>
      <c r="S67" s="22">
        <v>0</v>
      </c>
      <c r="T67" s="22">
        <v>0</v>
      </c>
      <c r="U67" s="22">
        <f>S67+T67</f>
        <v>0</v>
      </c>
      <c r="V67" s="9">
        <f>ROUND(P67 / 1.2, 2)</f>
        <v>670.88</v>
      </c>
      <c r="W67" s="9">
        <f>ROUND(Q67 / 1.2, 2)</f>
        <v>1020.83</v>
      </c>
      <c r="X67" s="9">
        <f>ROUND(R67 / 1.2, 2)</f>
        <v>1691.71</v>
      </c>
      <c r="Y67" s="9">
        <f t="shared" si="14"/>
        <v>0</v>
      </c>
      <c r="Z67" s="9">
        <f>ROUND(T67 / 1.2, 2)</f>
        <v>0</v>
      </c>
      <c r="AA67" s="9">
        <f>Y67+Z67</f>
        <v>0</v>
      </c>
      <c r="AD67" s="4">
        <v>305116938</v>
      </c>
      <c r="AE67" s="4">
        <v>20927640</v>
      </c>
      <c r="AG67" s="4" t="s">
        <v>217</v>
      </c>
      <c r="AH67" s="4" t="s">
        <v>218</v>
      </c>
      <c r="AI67" s="4" t="s">
        <v>66</v>
      </c>
    </row>
    <row r="68" spans="1:35" ht="306" x14ac:dyDescent="0.35">
      <c r="A68" s="23" t="s">
        <v>219</v>
      </c>
      <c r="B68" s="23" t="s">
        <v>215</v>
      </c>
      <c r="C68" s="24" t="s">
        <v>216</v>
      </c>
      <c r="D68" s="25" t="s">
        <v>61</v>
      </c>
      <c r="E68" s="25" t="s">
        <v>220</v>
      </c>
      <c r="F68" s="25" t="s">
        <v>63</v>
      </c>
      <c r="G68" s="26">
        <v>1</v>
      </c>
      <c r="H68" s="25"/>
      <c r="I68" s="26">
        <v>783.6</v>
      </c>
      <c r="J68" s="27">
        <v>805.05</v>
      </c>
      <c r="K68" s="27">
        <v>1225</v>
      </c>
      <c r="L68" s="27">
        <v>1225</v>
      </c>
      <c r="M68" s="27">
        <v>630837.18000000005</v>
      </c>
      <c r="N68" s="27">
        <v>959910</v>
      </c>
      <c r="O68" s="27"/>
      <c r="P68" s="27">
        <v>805.05</v>
      </c>
      <c r="Q68" s="27">
        <v>1225</v>
      </c>
      <c r="R68" s="27">
        <v>1225</v>
      </c>
      <c r="S68" s="27">
        <v>630837.18000000005</v>
      </c>
      <c r="T68" s="27">
        <v>959910</v>
      </c>
      <c r="U68" s="27"/>
      <c r="V68" s="9"/>
      <c r="W68" s="9">
        <f>ROUND(Q68 / 1.2, 2)</f>
        <v>1020.83</v>
      </c>
      <c r="X68" s="9">
        <f>ROUND(R68 / 1.2, 2)</f>
        <v>1020.83</v>
      </c>
      <c r="Y68" s="9"/>
      <c r="Z68" s="9">
        <f>ROUND(T68 / 1.2, 2)</f>
        <v>799925</v>
      </c>
      <c r="AA68" s="9"/>
      <c r="AD68" s="4">
        <v>279601596</v>
      </c>
      <c r="AE68" s="4">
        <v>20927640</v>
      </c>
      <c r="AG68" s="4" t="s">
        <v>217</v>
      </c>
      <c r="AH68" s="4" t="s">
        <v>218</v>
      </c>
      <c r="AI68" s="4"/>
    </row>
    <row r="69" spans="1:35" ht="72" x14ac:dyDescent="0.35">
      <c r="A69" s="17" t="s">
        <v>221</v>
      </c>
      <c r="B69" s="17"/>
      <c r="C69" s="34" t="s">
        <v>222</v>
      </c>
      <c r="D69" s="19"/>
      <c r="E69" s="19"/>
      <c r="F69" s="35" t="s">
        <v>70</v>
      </c>
      <c r="G69" s="36">
        <v>1</v>
      </c>
      <c r="H69" s="19"/>
      <c r="I69" s="37">
        <v>0</v>
      </c>
      <c r="J69" s="38">
        <v>111.15</v>
      </c>
      <c r="K69" s="39"/>
      <c r="L69" s="39"/>
      <c r="M69" s="38">
        <f t="shared" ref="M69:M78" si="15">ROUND(ROUND(J69, 2)*I69, 2)</f>
        <v>0</v>
      </c>
      <c r="N69" s="39"/>
      <c r="O69" s="39"/>
      <c r="P69" s="38">
        <v>111.15</v>
      </c>
      <c r="Q69" s="39"/>
      <c r="R69" s="39"/>
      <c r="S69" s="38">
        <f t="shared" ref="S69:S78" si="16">ROUND(ROUND(P69, 2)*I69, 2)</f>
        <v>0</v>
      </c>
      <c r="T69" s="39"/>
      <c r="U69" s="40"/>
      <c r="V69" s="9">
        <f t="shared" ref="V69:V78" si="17">ROUND(ROUND(P69, 2)/1.2, 2)</f>
        <v>92.63</v>
      </c>
      <c r="Y69" s="9">
        <f t="shared" ref="Y69:Y79" si="18">ROUND(S69 / 1.2, 2)</f>
        <v>0</v>
      </c>
      <c r="AD69" s="4" t="s">
        <v>223</v>
      </c>
      <c r="AE69" s="4" t="s">
        <v>224</v>
      </c>
      <c r="AF69" s="4" t="s">
        <v>225</v>
      </c>
    </row>
    <row r="70" spans="1:35" ht="72" x14ac:dyDescent="0.35">
      <c r="A70" s="23" t="s">
        <v>226</v>
      </c>
      <c r="B70" s="23"/>
      <c r="C70" s="41" t="s">
        <v>222</v>
      </c>
      <c r="D70" s="25"/>
      <c r="E70" s="25"/>
      <c r="F70" s="42" t="s">
        <v>70</v>
      </c>
      <c r="G70" s="43">
        <v>1</v>
      </c>
      <c r="H70" s="25"/>
      <c r="I70" s="43">
        <v>783.6</v>
      </c>
      <c r="J70" s="44">
        <v>111.15</v>
      </c>
      <c r="K70" s="45"/>
      <c r="L70" s="45"/>
      <c r="M70" s="44">
        <f t="shared" si="15"/>
        <v>87097.14</v>
      </c>
      <c r="N70" s="45"/>
      <c r="O70" s="45"/>
      <c r="P70" s="44">
        <v>111.15</v>
      </c>
      <c r="Q70" s="45"/>
      <c r="R70" s="45"/>
      <c r="S70" s="44">
        <f t="shared" si="16"/>
        <v>87097.14</v>
      </c>
      <c r="T70" s="45"/>
      <c r="U70" s="46"/>
      <c r="V70" s="9">
        <f t="shared" si="17"/>
        <v>92.63</v>
      </c>
      <c r="Y70" s="9">
        <f t="shared" si="18"/>
        <v>72580.95</v>
      </c>
      <c r="AD70" s="4" t="s">
        <v>227</v>
      </c>
      <c r="AE70" s="4" t="s">
        <v>224</v>
      </c>
      <c r="AF70" s="4" t="s">
        <v>225</v>
      </c>
    </row>
    <row r="71" spans="1:35" ht="18" x14ac:dyDescent="0.35">
      <c r="A71" s="17" t="s">
        <v>228</v>
      </c>
      <c r="B71" s="17"/>
      <c r="C71" s="34" t="s">
        <v>77</v>
      </c>
      <c r="D71" s="19"/>
      <c r="E71" s="19"/>
      <c r="F71" s="35" t="s">
        <v>78</v>
      </c>
      <c r="G71" s="36">
        <v>0.86</v>
      </c>
      <c r="H71" s="19"/>
      <c r="I71" s="48">
        <v>0</v>
      </c>
      <c r="J71" s="38">
        <v>63.73</v>
      </c>
      <c r="K71" s="39"/>
      <c r="L71" s="39"/>
      <c r="M71" s="38">
        <f t="shared" si="15"/>
        <v>0</v>
      </c>
      <c r="N71" s="39"/>
      <c r="O71" s="39"/>
      <c r="P71" s="38">
        <v>63.73</v>
      </c>
      <c r="Q71" s="39"/>
      <c r="R71" s="39"/>
      <c r="S71" s="38">
        <f t="shared" si="16"/>
        <v>0</v>
      </c>
      <c r="T71" s="39"/>
      <c r="U71" s="40"/>
      <c r="V71" s="9">
        <f t="shared" si="17"/>
        <v>53.11</v>
      </c>
      <c r="Y71" s="9">
        <f t="shared" si="18"/>
        <v>0</v>
      </c>
      <c r="AD71" s="4" t="s">
        <v>229</v>
      </c>
      <c r="AE71" s="4" t="s">
        <v>230</v>
      </c>
      <c r="AF71" s="4" t="s">
        <v>81</v>
      </c>
    </row>
    <row r="72" spans="1:35" ht="18" x14ac:dyDescent="0.35">
      <c r="A72" s="23" t="s">
        <v>231</v>
      </c>
      <c r="B72" s="23"/>
      <c r="C72" s="41" t="s">
        <v>77</v>
      </c>
      <c r="D72" s="25"/>
      <c r="E72" s="25"/>
      <c r="F72" s="42" t="s">
        <v>78</v>
      </c>
      <c r="G72" s="43">
        <v>0.86</v>
      </c>
      <c r="H72" s="25"/>
      <c r="I72" s="50">
        <v>673.89599999999996</v>
      </c>
      <c r="J72" s="44">
        <v>63.73</v>
      </c>
      <c r="K72" s="45"/>
      <c r="L72" s="45"/>
      <c r="M72" s="44">
        <f t="shared" si="15"/>
        <v>42947.39</v>
      </c>
      <c r="N72" s="45"/>
      <c r="O72" s="45"/>
      <c r="P72" s="44">
        <v>63.73</v>
      </c>
      <c r="Q72" s="45"/>
      <c r="R72" s="45"/>
      <c r="S72" s="44">
        <f t="shared" si="16"/>
        <v>42947.39</v>
      </c>
      <c r="T72" s="45"/>
      <c r="U72" s="46"/>
      <c r="V72" s="9">
        <f t="shared" si="17"/>
        <v>53.11</v>
      </c>
      <c r="Y72" s="9">
        <f t="shared" si="18"/>
        <v>35789.49</v>
      </c>
      <c r="AD72" s="4" t="s">
        <v>232</v>
      </c>
      <c r="AE72" s="4" t="s">
        <v>230</v>
      </c>
      <c r="AF72" s="4" t="s">
        <v>81</v>
      </c>
    </row>
    <row r="73" spans="1:35" ht="18" x14ac:dyDescent="0.35">
      <c r="A73" s="17" t="s">
        <v>233</v>
      </c>
      <c r="B73" s="17"/>
      <c r="C73" s="34" t="s">
        <v>85</v>
      </c>
      <c r="D73" s="19"/>
      <c r="E73" s="19"/>
      <c r="F73" s="35" t="s">
        <v>78</v>
      </c>
      <c r="G73" s="36">
        <v>2.1</v>
      </c>
      <c r="H73" s="19"/>
      <c r="I73" s="48">
        <v>0</v>
      </c>
      <c r="J73" s="38">
        <v>95.07</v>
      </c>
      <c r="K73" s="39"/>
      <c r="L73" s="39"/>
      <c r="M73" s="38">
        <f t="shared" si="15"/>
        <v>0</v>
      </c>
      <c r="N73" s="39"/>
      <c r="O73" s="39"/>
      <c r="P73" s="38">
        <v>95.07</v>
      </c>
      <c r="Q73" s="39"/>
      <c r="R73" s="39"/>
      <c r="S73" s="38">
        <f t="shared" si="16"/>
        <v>0</v>
      </c>
      <c r="T73" s="39"/>
      <c r="U73" s="40"/>
      <c r="V73" s="9">
        <f t="shared" si="17"/>
        <v>79.23</v>
      </c>
      <c r="Y73" s="9">
        <f t="shared" si="18"/>
        <v>0</v>
      </c>
      <c r="AD73" s="4" t="s">
        <v>234</v>
      </c>
      <c r="AE73" s="4" t="s">
        <v>235</v>
      </c>
      <c r="AF73" s="4" t="s">
        <v>88</v>
      </c>
    </row>
    <row r="74" spans="1:35" ht="18" x14ac:dyDescent="0.35">
      <c r="A74" s="23" t="s">
        <v>236</v>
      </c>
      <c r="B74" s="23"/>
      <c r="C74" s="41" t="s">
        <v>85</v>
      </c>
      <c r="D74" s="25"/>
      <c r="E74" s="25"/>
      <c r="F74" s="42" t="s">
        <v>78</v>
      </c>
      <c r="G74" s="43">
        <v>2.1</v>
      </c>
      <c r="H74" s="25"/>
      <c r="I74" s="50">
        <v>1645.56</v>
      </c>
      <c r="J74" s="44">
        <v>95.07</v>
      </c>
      <c r="K74" s="45"/>
      <c r="L74" s="45"/>
      <c r="M74" s="44">
        <f t="shared" si="15"/>
        <v>156443.39000000001</v>
      </c>
      <c r="N74" s="45"/>
      <c r="O74" s="45"/>
      <c r="P74" s="44">
        <v>95.07</v>
      </c>
      <c r="Q74" s="45"/>
      <c r="R74" s="45"/>
      <c r="S74" s="44">
        <f t="shared" si="16"/>
        <v>156443.39000000001</v>
      </c>
      <c r="T74" s="45"/>
      <c r="U74" s="46"/>
      <c r="V74" s="9">
        <f t="shared" si="17"/>
        <v>79.23</v>
      </c>
      <c r="Y74" s="9">
        <f t="shared" si="18"/>
        <v>130369.49</v>
      </c>
      <c r="AD74" s="4" t="s">
        <v>237</v>
      </c>
      <c r="AE74" s="4" t="s">
        <v>235</v>
      </c>
      <c r="AF74" s="4" t="s">
        <v>88</v>
      </c>
    </row>
    <row r="75" spans="1:35" ht="36" x14ac:dyDescent="0.35">
      <c r="A75" s="17" t="s">
        <v>238</v>
      </c>
      <c r="B75" s="17"/>
      <c r="C75" s="34" t="s">
        <v>92</v>
      </c>
      <c r="D75" s="19"/>
      <c r="E75" s="19"/>
      <c r="F75" s="35" t="s">
        <v>93</v>
      </c>
      <c r="G75" s="36">
        <v>5.1999999999999998E-2</v>
      </c>
      <c r="H75" s="19"/>
      <c r="I75" s="37">
        <v>0</v>
      </c>
      <c r="J75" s="38">
        <v>4026.8</v>
      </c>
      <c r="K75" s="39"/>
      <c r="L75" s="39"/>
      <c r="M75" s="38">
        <f t="shared" si="15"/>
        <v>0</v>
      </c>
      <c r="N75" s="39"/>
      <c r="O75" s="39"/>
      <c r="P75" s="38">
        <v>4026.8</v>
      </c>
      <c r="Q75" s="39"/>
      <c r="R75" s="39"/>
      <c r="S75" s="38">
        <f t="shared" si="16"/>
        <v>0</v>
      </c>
      <c r="T75" s="39"/>
      <c r="U75" s="40"/>
      <c r="V75" s="9">
        <f t="shared" si="17"/>
        <v>3355.67</v>
      </c>
      <c r="Y75" s="9">
        <f t="shared" si="18"/>
        <v>0</v>
      </c>
      <c r="AD75" s="4" t="s">
        <v>239</v>
      </c>
      <c r="AE75" s="4" t="s">
        <v>240</v>
      </c>
      <c r="AF75" s="4" t="s">
        <v>96</v>
      </c>
    </row>
    <row r="76" spans="1:35" ht="36" x14ac:dyDescent="0.35">
      <c r="A76" s="23" t="s">
        <v>241</v>
      </c>
      <c r="B76" s="23"/>
      <c r="C76" s="41" t="s">
        <v>92</v>
      </c>
      <c r="D76" s="25"/>
      <c r="E76" s="25"/>
      <c r="F76" s="42" t="s">
        <v>93</v>
      </c>
      <c r="G76" s="43">
        <v>5.1999999999999998E-2</v>
      </c>
      <c r="H76" s="25"/>
      <c r="I76" s="43">
        <v>40.747</v>
      </c>
      <c r="J76" s="44">
        <v>4026.8</v>
      </c>
      <c r="K76" s="45"/>
      <c r="L76" s="45"/>
      <c r="M76" s="44">
        <f t="shared" si="15"/>
        <v>164080.01999999999</v>
      </c>
      <c r="N76" s="45"/>
      <c r="O76" s="45"/>
      <c r="P76" s="44">
        <v>4026.8</v>
      </c>
      <c r="Q76" s="45"/>
      <c r="R76" s="45"/>
      <c r="S76" s="44">
        <f t="shared" si="16"/>
        <v>164080.01999999999</v>
      </c>
      <c r="T76" s="45"/>
      <c r="U76" s="46"/>
      <c r="V76" s="9">
        <f t="shared" si="17"/>
        <v>3355.67</v>
      </c>
      <c r="Y76" s="9">
        <f t="shared" si="18"/>
        <v>136733.35</v>
      </c>
      <c r="AD76" s="4" t="s">
        <v>242</v>
      </c>
      <c r="AE76" s="4" t="s">
        <v>240</v>
      </c>
      <c r="AF76" s="4" t="s">
        <v>96</v>
      </c>
    </row>
    <row r="77" spans="1:35" ht="36" x14ac:dyDescent="0.35">
      <c r="A77" s="17" t="s">
        <v>243</v>
      </c>
      <c r="B77" s="17"/>
      <c r="C77" s="34" t="s">
        <v>244</v>
      </c>
      <c r="D77" s="19"/>
      <c r="E77" s="19"/>
      <c r="F77" s="35" t="s">
        <v>63</v>
      </c>
      <c r="G77" s="36">
        <v>2.2000000000000002</v>
      </c>
      <c r="H77" s="19"/>
      <c r="I77" s="37">
        <v>0</v>
      </c>
      <c r="J77" s="38">
        <v>104.57</v>
      </c>
      <c r="K77" s="39"/>
      <c r="L77" s="39"/>
      <c r="M77" s="38">
        <f t="shared" si="15"/>
        <v>0</v>
      </c>
      <c r="N77" s="39"/>
      <c r="O77" s="39"/>
      <c r="P77" s="38">
        <v>104.57</v>
      </c>
      <c r="Q77" s="39"/>
      <c r="R77" s="39"/>
      <c r="S77" s="38">
        <f t="shared" si="16"/>
        <v>0</v>
      </c>
      <c r="T77" s="39"/>
      <c r="U77" s="40"/>
      <c r="V77" s="9">
        <f t="shared" si="17"/>
        <v>87.14</v>
      </c>
      <c r="Y77" s="9">
        <f t="shared" si="18"/>
        <v>0</v>
      </c>
      <c r="AD77" s="4" t="s">
        <v>245</v>
      </c>
      <c r="AE77" s="4" t="s">
        <v>246</v>
      </c>
      <c r="AF77" s="4" t="s">
        <v>247</v>
      </c>
    </row>
    <row r="78" spans="1:35" ht="36" x14ac:dyDescent="0.35">
      <c r="A78" s="23" t="s">
        <v>248</v>
      </c>
      <c r="B78" s="23"/>
      <c r="C78" s="41" t="s">
        <v>244</v>
      </c>
      <c r="D78" s="25"/>
      <c r="E78" s="25"/>
      <c r="F78" s="42" t="s">
        <v>63</v>
      </c>
      <c r="G78" s="43">
        <v>2.2000000000000002</v>
      </c>
      <c r="H78" s="25"/>
      <c r="I78" s="43">
        <v>1723.92</v>
      </c>
      <c r="J78" s="44">
        <v>104.57</v>
      </c>
      <c r="K78" s="45"/>
      <c r="L78" s="45"/>
      <c r="M78" s="44">
        <f t="shared" si="15"/>
        <v>180270.31</v>
      </c>
      <c r="N78" s="45"/>
      <c r="O78" s="45"/>
      <c r="P78" s="44">
        <v>104.57</v>
      </c>
      <c r="Q78" s="45"/>
      <c r="R78" s="45"/>
      <c r="S78" s="44">
        <f t="shared" si="16"/>
        <v>180270.31</v>
      </c>
      <c r="T78" s="45"/>
      <c r="U78" s="46"/>
      <c r="V78" s="9">
        <f t="shared" si="17"/>
        <v>87.14</v>
      </c>
      <c r="Y78" s="9">
        <f t="shared" si="18"/>
        <v>150225.26</v>
      </c>
      <c r="AD78" s="4" t="s">
        <v>249</v>
      </c>
      <c r="AE78" s="4" t="s">
        <v>246</v>
      </c>
      <c r="AF78" s="4" t="s">
        <v>247</v>
      </c>
    </row>
    <row r="79" spans="1:35" ht="36" x14ac:dyDescent="0.35">
      <c r="A79" s="17" t="s">
        <v>250</v>
      </c>
      <c r="B79" s="17" t="s">
        <v>215</v>
      </c>
      <c r="C79" s="18" t="s">
        <v>216</v>
      </c>
      <c r="D79" s="19" t="s">
        <v>61</v>
      </c>
      <c r="E79" s="19"/>
      <c r="F79" s="19" t="s">
        <v>63</v>
      </c>
      <c r="G79" s="20">
        <v>1</v>
      </c>
      <c r="H79" s="19"/>
      <c r="I79" s="21">
        <v>0</v>
      </c>
      <c r="J79" s="22">
        <v>805.05</v>
      </c>
      <c r="K79" s="22">
        <v>1225</v>
      </c>
      <c r="L79" s="22">
        <f>J79+ROUND(K79, 2)</f>
        <v>2030.05</v>
      </c>
      <c r="M79" s="22">
        <v>0</v>
      </c>
      <c r="N79" s="22">
        <v>0</v>
      </c>
      <c r="O79" s="22">
        <f>M79+N79</f>
        <v>0</v>
      </c>
      <c r="P79" s="22">
        <v>805.05</v>
      </c>
      <c r="Q79" s="22">
        <v>1225</v>
      </c>
      <c r="R79" s="22">
        <f>P79+ROUND(Q79, 2)</f>
        <v>2030.05</v>
      </c>
      <c r="S79" s="22">
        <v>0</v>
      </c>
      <c r="T79" s="22">
        <v>0</v>
      </c>
      <c r="U79" s="22">
        <f>S79+T79</f>
        <v>0</v>
      </c>
      <c r="V79" s="9">
        <f>ROUND(P79 / 1.2, 2)</f>
        <v>670.88</v>
      </c>
      <c r="W79" s="9">
        <f>ROUND(Q79 / 1.2, 2)</f>
        <v>1020.83</v>
      </c>
      <c r="X79" s="9">
        <f>ROUND(R79 / 1.2, 2)</f>
        <v>1691.71</v>
      </c>
      <c r="Y79" s="9">
        <f t="shared" si="18"/>
        <v>0</v>
      </c>
      <c r="Z79" s="9">
        <f>ROUND(T79 / 1.2, 2)</f>
        <v>0</v>
      </c>
      <c r="AA79" s="9">
        <f>Y79+Z79</f>
        <v>0</v>
      </c>
      <c r="AD79" s="4">
        <v>305117008</v>
      </c>
      <c r="AE79" s="4">
        <v>20927641</v>
      </c>
      <c r="AG79" s="4" t="s">
        <v>217</v>
      </c>
      <c r="AH79" s="4" t="s">
        <v>218</v>
      </c>
      <c r="AI79" s="4" t="s">
        <v>66</v>
      </c>
    </row>
    <row r="80" spans="1:35" ht="306" x14ac:dyDescent="0.35">
      <c r="A80" s="23" t="s">
        <v>251</v>
      </c>
      <c r="B80" s="23" t="s">
        <v>215</v>
      </c>
      <c r="C80" s="24" t="s">
        <v>216</v>
      </c>
      <c r="D80" s="25" t="s">
        <v>61</v>
      </c>
      <c r="E80" s="25" t="s">
        <v>252</v>
      </c>
      <c r="F80" s="25" t="s">
        <v>63</v>
      </c>
      <c r="G80" s="26">
        <v>1</v>
      </c>
      <c r="H80" s="25"/>
      <c r="I80" s="26">
        <v>2480.6999999999998</v>
      </c>
      <c r="J80" s="27">
        <v>805.05</v>
      </c>
      <c r="K80" s="27">
        <v>1225</v>
      </c>
      <c r="L80" s="27">
        <v>1225</v>
      </c>
      <c r="M80" s="27">
        <v>1997087.54</v>
      </c>
      <c r="N80" s="27">
        <v>3038857.5</v>
      </c>
      <c r="O80" s="27"/>
      <c r="P80" s="27">
        <v>805.05</v>
      </c>
      <c r="Q80" s="27">
        <v>1225</v>
      </c>
      <c r="R80" s="27">
        <v>1225</v>
      </c>
      <c r="S80" s="27">
        <v>1997087.54</v>
      </c>
      <c r="T80" s="27">
        <v>3038857.5</v>
      </c>
      <c r="U80" s="27"/>
      <c r="V80" s="9"/>
      <c r="W80" s="9">
        <f>ROUND(Q80 / 1.2, 2)</f>
        <v>1020.83</v>
      </c>
      <c r="X80" s="9">
        <f>ROUND(R80 / 1.2, 2)</f>
        <v>1020.83</v>
      </c>
      <c r="Y80" s="9"/>
      <c r="Z80" s="9">
        <f>ROUND(T80 / 1.2, 2)</f>
        <v>2532381.25</v>
      </c>
      <c r="AA80" s="9"/>
      <c r="AD80" s="4">
        <v>279601665</v>
      </c>
      <c r="AE80" s="4">
        <v>20927641</v>
      </c>
      <c r="AG80" s="4" t="s">
        <v>217</v>
      </c>
      <c r="AH80" s="4" t="s">
        <v>218</v>
      </c>
      <c r="AI80" s="4"/>
    </row>
    <row r="81" spans="1:35" ht="36" x14ac:dyDescent="0.35">
      <c r="A81" s="17" t="s">
        <v>253</v>
      </c>
      <c r="B81" s="17"/>
      <c r="C81" s="34" t="s">
        <v>254</v>
      </c>
      <c r="D81" s="19"/>
      <c r="E81" s="19"/>
      <c r="F81" s="35" t="s">
        <v>63</v>
      </c>
      <c r="G81" s="36">
        <v>2.2000000000000002</v>
      </c>
      <c r="H81" s="19"/>
      <c r="I81" s="37">
        <v>0</v>
      </c>
      <c r="J81" s="38">
        <v>104.57</v>
      </c>
      <c r="K81" s="39"/>
      <c r="L81" s="39"/>
      <c r="M81" s="38">
        <f t="shared" ref="M81:M90" si="19">ROUND(ROUND(J81, 2)*I81, 2)</f>
        <v>0</v>
      </c>
      <c r="N81" s="39"/>
      <c r="O81" s="39"/>
      <c r="P81" s="38">
        <v>104.57</v>
      </c>
      <c r="Q81" s="39"/>
      <c r="R81" s="39"/>
      <c r="S81" s="38">
        <f t="shared" ref="S81:S90" si="20">ROUND(ROUND(P81, 2)*I81, 2)</f>
        <v>0</v>
      </c>
      <c r="T81" s="39"/>
      <c r="U81" s="40"/>
      <c r="V81" s="9">
        <f t="shared" ref="V81:V90" si="21">ROUND(ROUND(P81, 2)/1.2, 2)</f>
        <v>87.14</v>
      </c>
      <c r="Y81" s="9">
        <f t="shared" ref="Y81:Y91" si="22">ROUND(S81 / 1.2, 2)</f>
        <v>0</v>
      </c>
      <c r="AD81" s="4" t="s">
        <v>255</v>
      </c>
      <c r="AE81" s="4" t="s">
        <v>256</v>
      </c>
      <c r="AF81" s="4" t="s">
        <v>257</v>
      </c>
    </row>
    <row r="82" spans="1:35" ht="36" x14ac:dyDescent="0.35">
      <c r="A82" s="23" t="s">
        <v>258</v>
      </c>
      <c r="B82" s="23"/>
      <c r="C82" s="41" t="s">
        <v>254</v>
      </c>
      <c r="D82" s="25"/>
      <c r="E82" s="25"/>
      <c r="F82" s="42" t="s">
        <v>63</v>
      </c>
      <c r="G82" s="43">
        <v>2.2000000000000002</v>
      </c>
      <c r="H82" s="25"/>
      <c r="I82" s="43">
        <v>5457.54</v>
      </c>
      <c r="J82" s="44">
        <v>104.57</v>
      </c>
      <c r="K82" s="45"/>
      <c r="L82" s="45"/>
      <c r="M82" s="44">
        <f t="shared" si="19"/>
        <v>570694.96</v>
      </c>
      <c r="N82" s="45"/>
      <c r="O82" s="45"/>
      <c r="P82" s="44">
        <v>104.57</v>
      </c>
      <c r="Q82" s="45"/>
      <c r="R82" s="45"/>
      <c r="S82" s="44">
        <f t="shared" si="20"/>
        <v>570694.96</v>
      </c>
      <c r="T82" s="45"/>
      <c r="U82" s="46"/>
      <c r="V82" s="9">
        <f t="shared" si="21"/>
        <v>87.14</v>
      </c>
      <c r="Y82" s="9">
        <f t="shared" si="22"/>
        <v>475579.13</v>
      </c>
      <c r="AD82" s="4" t="s">
        <v>259</v>
      </c>
      <c r="AE82" s="4" t="s">
        <v>256</v>
      </c>
      <c r="AF82" s="4" t="s">
        <v>257</v>
      </c>
    </row>
    <row r="83" spans="1:35" ht="36" x14ac:dyDescent="0.35">
      <c r="A83" s="17" t="s">
        <v>260</v>
      </c>
      <c r="B83" s="17"/>
      <c r="C83" s="34" t="s">
        <v>92</v>
      </c>
      <c r="D83" s="19"/>
      <c r="E83" s="19"/>
      <c r="F83" s="35" t="s">
        <v>93</v>
      </c>
      <c r="G83" s="36">
        <v>5.1999999999999998E-2</v>
      </c>
      <c r="H83" s="19"/>
      <c r="I83" s="37">
        <v>0</v>
      </c>
      <c r="J83" s="38">
        <v>4026.8</v>
      </c>
      <c r="K83" s="39"/>
      <c r="L83" s="39"/>
      <c r="M83" s="38">
        <f t="shared" si="19"/>
        <v>0</v>
      </c>
      <c r="N83" s="39"/>
      <c r="O83" s="39"/>
      <c r="P83" s="38">
        <v>4026.8</v>
      </c>
      <c r="Q83" s="39"/>
      <c r="R83" s="39"/>
      <c r="S83" s="38">
        <f t="shared" si="20"/>
        <v>0</v>
      </c>
      <c r="T83" s="39"/>
      <c r="U83" s="40"/>
      <c r="V83" s="9">
        <f t="shared" si="21"/>
        <v>3355.67</v>
      </c>
      <c r="Y83" s="9">
        <f t="shared" si="22"/>
        <v>0</v>
      </c>
      <c r="AD83" s="4" t="s">
        <v>261</v>
      </c>
      <c r="AE83" s="4" t="s">
        <v>262</v>
      </c>
      <c r="AF83" s="4" t="s">
        <v>96</v>
      </c>
    </row>
    <row r="84" spans="1:35" ht="36" x14ac:dyDescent="0.35">
      <c r="A84" s="23" t="s">
        <v>263</v>
      </c>
      <c r="B84" s="23"/>
      <c r="C84" s="41" t="s">
        <v>92</v>
      </c>
      <c r="D84" s="25"/>
      <c r="E84" s="25"/>
      <c r="F84" s="42" t="s">
        <v>93</v>
      </c>
      <c r="G84" s="43">
        <v>5.1999999999999998E-2</v>
      </c>
      <c r="H84" s="25"/>
      <c r="I84" s="43">
        <v>128.99600000000001</v>
      </c>
      <c r="J84" s="44">
        <v>4026.8</v>
      </c>
      <c r="K84" s="45"/>
      <c r="L84" s="45"/>
      <c r="M84" s="44">
        <f t="shared" si="19"/>
        <v>519441.09</v>
      </c>
      <c r="N84" s="45"/>
      <c r="O84" s="45"/>
      <c r="P84" s="44">
        <v>4026.8</v>
      </c>
      <c r="Q84" s="45"/>
      <c r="R84" s="45"/>
      <c r="S84" s="44">
        <f t="shared" si="20"/>
        <v>519441.09</v>
      </c>
      <c r="T84" s="45"/>
      <c r="U84" s="46"/>
      <c r="V84" s="9">
        <f t="shared" si="21"/>
        <v>3355.67</v>
      </c>
      <c r="Y84" s="9">
        <f t="shared" si="22"/>
        <v>432867.58</v>
      </c>
      <c r="AD84" s="4" t="s">
        <v>264</v>
      </c>
      <c r="AE84" s="4" t="s">
        <v>262</v>
      </c>
      <c r="AF84" s="4" t="s">
        <v>96</v>
      </c>
    </row>
    <row r="85" spans="1:35" ht="18" x14ac:dyDescent="0.35">
      <c r="A85" s="17" t="s">
        <v>265</v>
      </c>
      <c r="B85" s="17"/>
      <c r="C85" s="34" t="s">
        <v>77</v>
      </c>
      <c r="D85" s="19"/>
      <c r="E85" s="19"/>
      <c r="F85" s="35" t="s">
        <v>78</v>
      </c>
      <c r="G85" s="36">
        <v>0.86</v>
      </c>
      <c r="H85" s="19"/>
      <c r="I85" s="48">
        <v>0</v>
      </c>
      <c r="J85" s="38">
        <v>63.73</v>
      </c>
      <c r="K85" s="39"/>
      <c r="L85" s="39"/>
      <c r="M85" s="38">
        <f t="shared" si="19"/>
        <v>0</v>
      </c>
      <c r="N85" s="39"/>
      <c r="O85" s="39"/>
      <c r="P85" s="38">
        <v>63.73</v>
      </c>
      <c r="Q85" s="39"/>
      <c r="R85" s="39"/>
      <c r="S85" s="38">
        <f t="shared" si="20"/>
        <v>0</v>
      </c>
      <c r="T85" s="39"/>
      <c r="U85" s="40"/>
      <c r="V85" s="9">
        <f t="shared" si="21"/>
        <v>53.11</v>
      </c>
      <c r="Y85" s="9">
        <f t="shared" si="22"/>
        <v>0</v>
      </c>
      <c r="AD85" s="4" t="s">
        <v>266</v>
      </c>
      <c r="AE85" s="4" t="s">
        <v>267</v>
      </c>
      <c r="AF85" s="4" t="s">
        <v>81</v>
      </c>
    </row>
    <row r="86" spans="1:35" ht="18" x14ac:dyDescent="0.35">
      <c r="A86" s="23" t="s">
        <v>268</v>
      </c>
      <c r="B86" s="23"/>
      <c r="C86" s="41" t="s">
        <v>77</v>
      </c>
      <c r="D86" s="25"/>
      <c r="E86" s="25"/>
      <c r="F86" s="42" t="s">
        <v>78</v>
      </c>
      <c r="G86" s="43">
        <v>0.86</v>
      </c>
      <c r="H86" s="25"/>
      <c r="I86" s="50">
        <v>2133.402</v>
      </c>
      <c r="J86" s="44">
        <v>63.73</v>
      </c>
      <c r="K86" s="45"/>
      <c r="L86" s="45"/>
      <c r="M86" s="44">
        <f t="shared" si="19"/>
        <v>135961.71</v>
      </c>
      <c r="N86" s="45"/>
      <c r="O86" s="45"/>
      <c r="P86" s="44">
        <v>63.73</v>
      </c>
      <c r="Q86" s="45"/>
      <c r="R86" s="45"/>
      <c r="S86" s="44">
        <f t="shared" si="20"/>
        <v>135961.71</v>
      </c>
      <c r="T86" s="45"/>
      <c r="U86" s="46"/>
      <c r="V86" s="9">
        <f t="shared" si="21"/>
        <v>53.11</v>
      </c>
      <c r="Y86" s="9">
        <f t="shared" si="22"/>
        <v>113301.43</v>
      </c>
      <c r="AD86" s="4" t="s">
        <v>269</v>
      </c>
      <c r="AE86" s="4" t="s">
        <v>267</v>
      </c>
      <c r="AF86" s="4" t="s">
        <v>81</v>
      </c>
    </row>
    <row r="87" spans="1:35" ht="18" x14ac:dyDescent="0.35">
      <c r="A87" s="17" t="s">
        <v>270</v>
      </c>
      <c r="B87" s="17"/>
      <c r="C87" s="34" t="s">
        <v>85</v>
      </c>
      <c r="D87" s="19"/>
      <c r="E87" s="19"/>
      <c r="F87" s="35" t="s">
        <v>78</v>
      </c>
      <c r="G87" s="36">
        <v>2.1</v>
      </c>
      <c r="H87" s="19"/>
      <c r="I87" s="48">
        <v>0</v>
      </c>
      <c r="J87" s="38">
        <v>95.07</v>
      </c>
      <c r="K87" s="39"/>
      <c r="L87" s="39"/>
      <c r="M87" s="38">
        <f t="shared" si="19"/>
        <v>0</v>
      </c>
      <c r="N87" s="39"/>
      <c r="O87" s="39"/>
      <c r="P87" s="38">
        <v>95.07</v>
      </c>
      <c r="Q87" s="39"/>
      <c r="R87" s="39"/>
      <c r="S87" s="38">
        <f t="shared" si="20"/>
        <v>0</v>
      </c>
      <c r="T87" s="39"/>
      <c r="U87" s="40"/>
      <c r="V87" s="9">
        <f t="shared" si="21"/>
        <v>79.23</v>
      </c>
      <c r="Y87" s="9">
        <f t="shared" si="22"/>
        <v>0</v>
      </c>
      <c r="AD87" s="4" t="s">
        <v>271</v>
      </c>
      <c r="AE87" s="4" t="s">
        <v>272</v>
      </c>
      <c r="AF87" s="4" t="s">
        <v>88</v>
      </c>
    </row>
    <row r="88" spans="1:35" ht="18" x14ac:dyDescent="0.35">
      <c r="A88" s="23" t="s">
        <v>273</v>
      </c>
      <c r="B88" s="23"/>
      <c r="C88" s="41" t="s">
        <v>85</v>
      </c>
      <c r="D88" s="25"/>
      <c r="E88" s="25"/>
      <c r="F88" s="42" t="s">
        <v>78</v>
      </c>
      <c r="G88" s="43">
        <v>2.1</v>
      </c>
      <c r="H88" s="25"/>
      <c r="I88" s="50">
        <v>5209.47</v>
      </c>
      <c r="J88" s="44">
        <v>95.07</v>
      </c>
      <c r="K88" s="45"/>
      <c r="L88" s="45"/>
      <c r="M88" s="44">
        <f t="shared" si="19"/>
        <v>495264.31</v>
      </c>
      <c r="N88" s="45"/>
      <c r="O88" s="45"/>
      <c r="P88" s="44">
        <v>95.07</v>
      </c>
      <c r="Q88" s="45"/>
      <c r="R88" s="45"/>
      <c r="S88" s="44">
        <f t="shared" si="20"/>
        <v>495264.31</v>
      </c>
      <c r="T88" s="45"/>
      <c r="U88" s="46"/>
      <c r="V88" s="9">
        <f t="shared" si="21"/>
        <v>79.23</v>
      </c>
      <c r="Y88" s="9">
        <f t="shared" si="22"/>
        <v>412720.26</v>
      </c>
      <c r="AD88" s="4" t="s">
        <v>274</v>
      </c>
      <c r="AE88" s="4" t="s">
        <v>272</v>
      </c>
      <c r="AF88" s="4" t="s">
        <v>88</v>
      </c>
    </row>
    <row r="89" spans="1:35" ht="72" x14ac:dyDescent="0.35">
      <c r="A89" s="17" t="s">
        <v>275</v>
      </c>
      <c r="B89" s="17"/>
      <c r="C89" s="34" t="s">
        <v>222</v>
      </c>
      <c r="D89" s="19"/>
      <c r="E89" s="19"/>
      <c r="F89" s="35" t="s">
        <v>70</v>
      </c>
      <c r="G89" s="36">
        <v>1</v>
      </c>
      <c r="H89" s="19"/>
      <c r="I89" s="37">
        <v>0</v>
      </c>
      <c r="J89" s="38">
        <v>111.15</v>
      </c>
      <c r="K89" s="39"/>
      <c r="L89" s="39"/>
      <c r="M89" s="38">
        <f t="shared" si="19"/>
        <v>0</v>
      </c>
      <c r="N89" s="39"/>
      <c r="O89" s="39"/>
      <c r="P89" s="38">
        <v>111.15</v>
      </c>
      <c r="Q89" s="39"/>
      <c r="R89" s="39"/>
      <c r="S89" s="38">
        <f t="shared" si="20"/>
        <v>0</v>
      </c>
      <c r="T89" s="39"/>
      <c r="U89" s="40"/>
      <c r="V89" s="9">
        <f t="shared" si="21"/>
        <v>92.63</v>
      </c>
      <c r="Y89" s="9">
        <f t="shared" si="22"/>
        <v>0</v>
      </c>
      <c r="AD89" s="4" t="s">
        <v>276</v>
      </c>
      <c r="AE89" s="4" t="s">
        <v>277</v>
      </c>
      <c r="AF89" s="4" t="s">
        <v>225</v>
      </c>
    </row>
    <row r="90" spans="1:35" ht="72" x14ac:dyDescent="0.35">
      <c r="A90" s="23" t="s">
        <v>278</v>
      </c>
      <c r="B90" s="23"/>
      <c r="C90" s="41" t="s">
        <v>222</v>
      </c>
      <c r="D90" s="25"/>
      <c r="E90" s="25"/>
      <c r="F90" s="42" t="s">
        <v>70</v>
      </c>
      <c r="G90" s="43">
        <v>1</v>
      </c>
      <c r="H90" s="25"/>
      <c r="I90" s="43">
        <v>2480.6999999999998</v>
      </c>
      <c r="J90" s="44">
        <v>111.15</v>
      </c>
      <c r="K90" s="45"/>
      <c r="L90" s="45"/>
      <c r="M90" s="44">
        <f t="shared" si="19"/>
        <v>275729.81</v>
      </c>
      <c r="N90" s="45"/>
      <c r="O90" s="45"/>
      <c r="P90" s="44">
        <v>111.15</v>
      </c>
      <c r="Q90" s="45"/>
      <c r="R90" s="45"/>
      <c r="S90" s="44">
        <f t="shared" si="20"/>
        <v>275729.81</v>
      </c>
      <c r="T90" s="45"/>
      <c r="U90" s="46"/>
      <c r="V90" s="9">
        <f t="shared" si="21"/>
        <v>92.63</v>
      </c>
      <c r="Y90" s="9">
        <f t="shared" si="22"/>
        <v>229774.84</v>
      </c>
      <c r="AD90" s="4" t="s">
        <v>279</v>
      </c>
      <c r="AE90" s="4" t="s">
        <v>277</v>
      </c>
      <c r="AF90" s="4" t="s">
        <v>225</v>
      </c>
    </row>
    <row r="91" spans="1:35" ht="36" x14ac:dyDescent="0.35">
      <c r="A91" s="17" t="s">
        <v>280</v>
      </c>
      <c r="B91" s="17" t="s">
        <v>215</v>
      </c>
      <c r="C91" s="18" t="s">
        <v>216</v>
      </c>
      <c r="D91" s="19" t="s">
        <v>61</v>
      </c>
      <c r="E91" s="19"/>
      <c r="F91" s="19" t="s">
        <v>63</v>
      </c>
      <c r="G91" s="20">
        <v>1</v>
      </c>
      <c r="H91" s="19"/>
      <c r="I91" s="21">
        <v>0</v>
      </c>
      <c r="J91" s="22">
        <v>805.05</v>
      </c>
      <c r="K91" s="22">
        <v>1225</v>
      </c>
      <c r="L91" s="22">
        <f>J91+ROUND(K91, 2)</f>
        <v>2030.05</v>
      </c>
      <c r="M91" s="22">
        <v>0</v>
      </c>
      <c r="N91" s="22">
        <v>0</v>
      </c>
      <c r="O91" s="22">
        <f>M91+N91</f>
        <v>0</v>
      </c>
      <c r="P91" s="22">
        <v>805.05</v>
      </c>
      <c r="Q91" s="22">
        <v>1225</v>
      </c>
      <c r="R91" s="22">
        <f>P91+ROUND(Q91, 2)</f>
        <v>2030.05</v>
      </c>
      <c r="S91" s="22">
        <v>0</v>
      </c>
      <c r="T91" s="22">
        <v>0</v>
      </c>
      <c r="U91" s="22">
        <f>S91+T91</f>
        <v>0</v>
      </c>
      <c r="V91" s="9">
        <f>ROUND(P91 / 1.2, 2)</f>
        <v>670.88</v>
      </c>
      <c r="W91" s="9">
        <f>ROUND(Q91 / 1.2, 2)</f>
        <v>1020.83</v>
      </c>
      <c r="X91" s="9">
        <f>ROUND(R91 / 1.2, 2)</f>
        <v>1691.71</v>
      </c>
      <c r="Y91" s="9">
        <f t="shared" si="22"/>
        <v>0</v>
      </c>
      <c r="Z91" s="9">
        <f>ROUND(T91 / 1.2, 2)</f>
        <v>0</v>
      </c>
      <c r="AA91" s="9">
        <f>Y91+Z91</f>
        <v>0</v>
      </c>
      <c r="AD91" s="4">
        <v>305117009</v>
      </c>
      <c r="AE91" s="4">
        <v>20927756</v>
      </c>
      <c r="AG91" s="4" t="s">
        <v>217</v>
      </c>
      <c r="AH91" s="4" t="s">
        <v>218</v>
      </c>
      <c r="AI91" s="4" t="s">
        <v>66</v>
      </c>
    </row>
    <row r="92" spans="1:35" ht="396" x14ac:dyDescent="0.35">
      <c r="A92" s="23" t="s">
        <v>281</v>
      </c>
      <c r="B92" s="23" t="s">
        <v>215</v>
      </c>
      <c r="C92" s="24" t="s">
        <v>216</v>
      </c>
      <c r="D92" s="25" t="s">
        <v>61</v>
      </c>
      <c r="E92" s="25" t="s">
        <v>282</v>
      </c>
      <c r="F92" s="25" t="s">
        <v>63</v>
      </c>
      <c r="G92" s="26">
        <v>1</v>
      </c>
      <c r="H92" s="25"/>
      <c r="I92" s="26">
        <v>185.6</v>
      </c>
      <c r="J92" s="27">
        <v>805.05</v>
      </c>
      <c r="K92" s="27">
        <v>1225</v>
      </c>
      <c r="L92" s="27">
        <v>1225</v>
      </c>
      <c r="M92" s="27">
        <v>149417.28</v>
      </c>
      <c r="N92" s="27">
        <v>227360</v>
      </c>
      <c r="O92" s="27"/>
      <c r="P92" s="27">
        <v>805.05</v>
      </c>
      <c r="Q92" s="27">
        <v>1225</v>
      </c>
      <c r="R92" s="27">
        <v>1225</v>
      </c>
      <c r="S92" s="27">
        <v>149417.28</v>
      </c>
      <c r="T92" s="27">
        <v>227360</v>
      </c>
      <c r="U92" s="27"/>
      <c r="V92" s="9"/>
      <c r="W92" s="9">
        <f>ROUND(Q92 / 1.2, 2)</f>
        <v>1020.83</v>
      </c>
      <c r="X92" s="9">
        <f>ROUND(R92 / 1.2, 2)</f>
        <v>1020.83</v>
      </c>
      <c r="Y92" s="9"/>
      <c r="Z92" s="9">
        <f>ROUND(T92 / 1.2, 2)</f>
        <v>189466.67</v>
      </c>
      <c r="AA92" s="9"/>
      <c r="AD92" s="4">
        <v>279601666</v>
      </c>
      <c r="AE92" s="4">
        <v>20927756</v>
      </c>
      <c r="AG92" s="4" t="s">
        <v>217</v>
      </c>
      <c r="AH92" s="4" t="s">
        <v>218</v>
      </c>
      <c r="AI92" s="4"/>
    </row>
    <row r="93" spans="1:35" ht="72" x14ac:dyDescent="0.35">
      <c r="A93" s="17" t="s">
        <v>283</v>
      </c>
      <c r="B93" s="17"/>
      <c r="C93" s="34" t="s">
        <v>222</v>
      </c>
      <c r="D93" s="19"/>
      <c r="E93" s="19"/>
      <c r="F93" s="35" t="s">
        <v>70</v>
      </c>
      <c r="G93" s="36">
        <v>1</v>
      </c>
      <c r="H93" s="19"/>
      <c r="I93" s="37">
        <v>0</v>
      </c>
      <c r="J93" s="38">
        <v>111.15</v>
      </c>
      <c r="K93" s="39"/>
      <c r="L93" s="39"/>
      <c r="M93" s="38">
        <f t="shared" ref="M93:M102" si="23">ROUND(ROUND(J93, 2)*I93, 2)</f>
        <v>0</v>
      </c>
      <c r="N93" s="39"/>
      <c r="O93" s="39"/>
      <c r="P93" s="38">
        <v>111.15</v>
      </c>
      <c r="Q93" s="39"/>
      <c r="R93" s="39"/>
      <c r="S93" s="38">
        <f t="shared" ref="S93:S102" si="24">ROUND(ROUND(P93, 2)*I93, 2)</f>
        <v>0</v>
      </c>
      <c r="T93" s="39"/>
      <c r="U93" s="40"/>
      <c r="V93" s="9">
        <f t="shared" ref="V93:V102" si="25">ROUND(ROUND(P93, 2)/1.2, 2)</f>
        <v>92.63</v>
      </c>
      <c r="Y93" s="9">
        <f t="shared" ref="Y93:Y103" si="26">ROUND(S93 / 1.2, 2)</f>
        <v>0</v>
      </c>
      <c r="AD93" s="4" t="s">
        <v>284</v>
      </c>
      <c r="AE93" s="4" t="s">
        <v>285</v>
      </c>
      <c r="AF93" s="4" t="s">
        <v>225</v>
      </c>
    </row>
    <row r="94" spans="1:35" ht="72" x14ac:dyDescent="0.35">
      <c r="A94" s="23" t="s">
        <v>286</v>
      </c>
      <c r="B94" s="23"/>
      <c r="C94" s="41" t="s">
        <v>222</v>
      </c>
      <c r="D94" s="25"/>
      <c r="E94" s="25"/>
      <c r="F94" s="42" t="s">
        <v>70</v>
      </c>
      <c r="G94" s="43">
        <v>1</v>
      </c>
      <c r="H94" s="25"/>
      <c r="I94" s="43">
        <v>185.6</v>
      </c>
      <c r="J94" s="44">
        <v>111.15</v>
      </c>
      <c r="K94" s="45"/>
      <c r="L94" s="45"/>
      <c r="M94" s="44">
        <f t="shared" si="23"/>
        <v>20629.439999999999</v>
      </c>
      <c r="N94" s="45"/>
      <c r="O94" s="45"/>
      <c r="P94" s="44">
        <v>111.15</v>
      </c>
      <c r="Q94" s="45"/>
      <c r="R94" s="45"/>
      <c r="S94" s="44">
        <f t="shared" si="24"/>
        <v>20629.439999999999</v>
      </c>
      <c r="T94" s="45"/>
      <c r="U94" s="46"/>
      <c r="V94" s="9">
        <f t="shared" si="25"/>
        <v>92.63</v>
      </c>
      <c r="Y94" s="9">
        <f t="shared" si="26"/>
        <v>17191.2</v>
      </c>
      <c r="AD94" s="4" t="s">
        <v>287</v>
      </c>
      <c r="AE94" s="4" t="s">
        <v>285</v>
      </c>
      <c r="AF94" s="4" t="s">
        <v>225</v>
      </c>
    </row>
    <row r="95" spans="1:35" ht="18" x14ac:dyDescent="0.35">
      <c r="A95" s="17" t="s">
        <v>288</v>
      </c>
      <c r="B95" s="17"/>
      <c r="C95" s="34" t="s">
        <v>77</v>
      </c>
      <c r="D95" s="19"/>
      <c r="E95" s="19"/>
      <c r="F95" s="35" t="s">
        <v>78</v>
      </c>
      <c r="G95" s="36">
        <v>0.86</v>
      </c>
      <c r="H95" s="19"/>
      <c r="I95" s="48">
        <v>0</v>
      </c>
      <c r="J95" s="38">
        <v>63.73</v>
      </c>
      <c r="K95" s="39"/>
      <c r="L95" s="39"/>
      <c r="M95" s="38">
        <f t="shared" si="23"/>
        <v>0</v>
      </c>
      <c r="N95" s="39"/>
      <c r="O95" s="39"/>
      <c r="P95" s="38">
        <v>63.73</v>
      </c>
      <c r="Q95" s="39"/>
      <c r="R95" s="39"/>
      <c r="S95" s="38">
        <f t="shared" si="24"/>
        <v>0</v>
      </c>
      <c r="T95" s="39"/>
      <c r="U95" s="40"/>
      <c r="V95" s="9">
        <f t="shared" si="25"/>
        <v>53.11</v>
      </c>
      <c r="Y95" s="9">
        <f t="shared" si="26"/>
        <v>0</v>
      </c>
      <c r="AD95" s="4" t="s">
        <v>289</v>
      </c>
      <c r="AE95" s="4" t="s">
        <v>290</v>
      </c>
      <c r="AF95" s="4" t="s">
        <v>81</v>
      </c>
    </row>
    <row r="96" spans="1:35" ht="18" x14ac:dyDescent="0.35">
      <c r="A96" s="23" t="s">
        <v>291</v>
      </c>
      <c r="B96" s="23"/>
      <c r="C96" s="41" t="s">
        <v>77</v>
      </c>
      <c r="D96" s="25"/>
      <c r="E96" s="25"/>
      <c r="F96" s="42" t="s">
        <v>78</v>
      </c>
      <c r="G96" s="43">
        <v>0.86</v>
      </c>
      <c r="H96" s="25"/>
      <c r="I96" s="50">
        <v>159.61600000000001</v>
      </c>
      <c r="J96" s="44">
        <v>63.73</v>
      </c>
      <c r="K96" s="45"/>
      <c r="L96" s="45"/>
      <c r="M96" s="44">
        <f t="shared" si="23"/>
        <v>10172.33</v>
      </c>
      <c r="N96" s="45"/>
      <c r="O96" s="45"/>
      <c r="P96" s="44">
        <v>63.73</v>
      </c>
      <c r="Q96" s="45"/>
      <c r="R96" s="45"/>
      <c r="S96" s="44">
        <f t="shared" si="24"/>
        <v>10172.33</v>
      </c>
      <c r="T96" s="45"/>
      <c r="U96" s="46"/>
      <c r="V96" s="9">
        <f t="shared" si="25"/>
        <v>53.11</v>
      </c>
      <c r="Y96" s="9">
        <f t="shared" si="26"/>
        <v>8476.94</v>
      </c>
      <c r="AD96" s="4" t="s">
        <v>292</v>
      </c>
      <c r="AE96" s="4" t="s">
        <v>290</v>
      </c>
      <c r="AF96" s="4" t="s">
        <v>81</v>
      </c>
    </row>
    <row r="97" spans="1:35" ht="18" x14ac:dyDescent="0.35">
      <c r="A97" s="17" t="s">
        <v>293</v>
      </c>
      <c r="B97" s="17"/>
      <c r="C97" s="34" t="s">
        <v>85</v>
      </c>
      <c r="D97" s="19"/>
      <c r="E97" s="19"/>
      <c r="F97" s="35" t="s">
        <v>78</v>
      </c>
      <c r="G97" s="36">
        <v>2.1</v>
      </c>
      <c r="H97" s="19"/>
      <c r="I97" s="48">
        <v>0</v>
      </c>
      <c r="J97" s="38">
        <v>95.07</v>
      </c>
      <c r="K97" s="39"/>
      <c r="L97" s="39"/>
      <c r="M97" s="38">
        <f t="shared" si="23"/>
        <v>0</v>
      </c>
      <c r="N97" s="39"/>
      <c r="O97" s="39"/>
      <c r="P97" s="38">
        <v>95.07</v>
      </c>
      <c r="Q97" s="39"/>
      <c r="R97" s="39"/>
      <c r="S97" s="38">
        <f t="shared" si="24"/>
        <v>0</v>
      </c>
      <c r="T97" s="39"/>
      <c r="U97" s="40"/>
      <c r="V97" s="9">
        <f t="shared" si="25"/>
        <v>79.23</v>
      </c>
      <c r="Y97" s="9">
        <f t="shared" si="26"/>
        <v>0</v>
      </c>
      <c r="AD97" s="4" t="s">
        <v>294</v>
      </c>
      <c r="AE97" s="4" t="s">
        <v>295</v>
      </c>
      <c r="AF97" s="4" t="s">
        <v>88</v>
      </c>
    </row>
    <row r="98" spans="1:35" ht="18" x14ac:dyDescent="0.35">
      <c r="A98" s="23" t="s">
        <v>296</v>
      </c>
      <c r="B98" s="23"/>
      <c r="C98" s="41" t="s">
        <v>85</v>
      </c>
      <c r="D98" s="25"/>
      <c r="E98" s="25"/>
      <c r="F98" s="42" t="s">
        <v>78</v>
      </c>
      <c r="G98" s="43">
        <v>2.1</v>
      </c>
      <c r="H98" s="25"/>
      <c r="I98" s="50">
        <v>389.76</v>
      </c>
      <c r="J98" s="44">
        <v>95.07</v>
      </c>
      <c r="K98" s="45"/>
      <c r="L98" s="45"/>
      <c r="M98" s="44">
        <f t="shared" si="23"/>
        <v>37054.480000000003</v>
      </c>
      <c r="N98" s="45"/>
      <c r="O98" s="45"/>
      <c r="P98" s="44">
        <v>95.07</v>
      </c>
      <c r="Q98" s="45"/>
      <c r="R98" s="45"/>
      <c r="S98" s="44">
        <f t="shared" si="24"/>
        <v>37054.480000000003</v>
      </c>
      <c r="T98" s="45"/>
      <c r="U98" s="46"/>
      <c r="V98" s="9">
        <f t="shared" si="25"/>
        <v>79.23</v>
      </c>
      <c r="Y98" s="9">
        <f t="shared" si="26"/>
        <v>30878.73</v>
      </c>
      <c r="AD98" s="4" t="s">
        <v>297</v>
      </c>
      <c r="AE98" s="4" t="s">
        <v>295</v>
      </c>
      <c r="AF98" s="4" t="s">
        <v>88</v>
      </c>
    </row>
    <row r="99" spans="1:35" ht="36" x14ac:dyDescent="0.35">
      <c r="A99" s="17" t="s">
        <v>298</v>
      </c>
      <c r="B99" s="17"/>
      <c r="C99" s="34" t="s">
        <v>92</v>
      </c>
      <c r="D99" s="19"/>
      <c r="E99" s="19"/>
      <c r="F99" s="35" t="s">
        <v>93</v>
      </c>
      <c r="G99" s="36">
        <v>5.1999999999999998E-2</v>
      </c>
      <c r="H99" s="19"/>
      <c r="I99" s="37">
        <v>0</v>
      </c>
      <c r="J99" s="38">
        <v>4026.8</v>
      </c>
      <c r="K99" s="39"/>
      <c r="L99" s="39"/>
      <c r="M99" s="38">
        <f t="shared" si="23"/>
        <v>0</v>
      </c>
      <c r="N99" s="39"/>
      <c r="O99" s="39"/>
      <c r="P99" s="38">
        <v>4026.8</v>
      </c>
      <c r="Q99" s="39"/>
      <c r="R99" s="39"/>
      <c r="S99" s="38">
        <f t="shared" si="24"/>
        <v>0</v>
      </c>
      <c r="T99" s="39"/>
      <c r="U99" s="40"/>
      <c r="V99" s="9">
        <f t="shared" si="25"/>
        <v>3355.67</v>
      </c>
      <c r="Y99" s="9">
        <f t="shared" si="26"/>
        <v>0</v>
      </c>
      <c r="AD99" s="4" t="s">
        <v>299</v>
      </c>
      <c r="AE99" s="4" t="s">
        <v>300</v>
      </c>
      <c r="AF99" s="4" t="s">
        <v>96</v>
      </c>
    </row>
    <row r="100" spans="1:35" ht="36" x14ac:dyDescent="0.35">
      <c r="A100" s="23" t="s">
        <v>301</v>
      </c>
      <c r="B100" s="23"/>
      <c r="C100" s="41" t="s">
        <v>92</v>
      </c>
      <c r="D100" s="25"/>
      <c r="E100" s="25"/>
      <c r="F100" s="42" t="s">
        <v>93</v>
      </c>
      <c r="G100" s="43">
        <v>5.1999999999999998E-2</v>
      </c>
      <c r="H100" s="25"/>
      <c r="I100" s="43">
        <v>9.6509999999999998</v>
      </c>
      <c r="J100" s="44">
        <v>4026.8</v>
      </c>
      <c r="K100" s="45"/>
      <c r="L100" s="45"/>
      <c r="M100" s="44">
        <f t="shared" si="23"/>
        <v>38862.65</v>
      </c>
      <c r="N100" s="45"/>
      <c r="O100" s="45"/>
      <c r="P100" s="44">
        <v>4026.8</v>
      </c>
      <c r="Q100" s="45"/>
      <c r="R100" s="45"/>
      <c r="S100" s="44">
        <f t="shared" si="24"/>
        <v>38862.65</v>
      </c>
      <c r="T100" s="45"/>
      <c r="U100" s="46"/>
      <c r="V100" s="9">
        <f t="shared" si="25"/>
        <v>3355.67</v>
      </c>
      <c r="Y100" s="9">
        <f t="shared" si="26"/>
        <v>32385.54</v>
      </c>
      <c r="AD100" s="4" t="s">
        <v>302</v>
      </c>
      <c r="AE100" s="4" t="s">
        <v>300</v>
      </c>
      <c r="AF100" s="4" t="s">
        <v>96</v>
      </c>
    </row>
    <row r="101" spans="1:35" ht="36" x14ac:dyDescent="0.35">
      <c r="A101" s="17" t="s">
        <v>303</v>
      </c>
      <c r="B101" s="17"/>
      <c r="C101" s="34" t="s">
        <v>254</v>
      </c>
      <c r="D101" s="19"/>
      <c r="E101" s="19"/>
      <c r="F101" s="35" t="s">
        <v>63</v>
      </c>
      <c r="G101" s="36">
        <v>2.2000000000000002</v>
      </c>
      <c r="H101" s="19"/>
      <c r="I101" s="37">
        <v>0</v>
      </c>
      <c r="J101" s="38">
        <v>104.57</v>
      </c>
      <c r="K101" s="39"/>
      <c r="L101" s="39"/>
      <c r="M101" s="38">
        <f t="shared" si="23"/>
        <v>0</v>
      </c>
      <c r="N101" s="39"/>
      <c r="O101" s="39"/>
      <c r="P101" s="38">
        <v>104.57</v>
      </c>
      <c r="Q101" s="39"/>
      <c r="R101" s="39"/>
      <c r="S101" s="38">
        <f t="shared" si="24"/>
        <v>0</v>
      </c>
      <c r="T101" s="39"/>
      <c r="U101" s="40"/>
      <c r="V101" s="9">
        <f t="shared" si="25"/>
        <v>87.14</v>
      </c>
      <c r="Y101" s="9">
        <f t="shared" si="26"/>
        <v>0</v>
      </c>
      <c r="AD101" s="4" t="s">
        <v>304</v>
      </c>
      <c r="AE101" s="4" t="s">
        <v>305</v>
      </c>
      <c r="AF101" s="4" t="s">
        <v>257</v>
      </c>
    </row>
    <row r="102" spans="1:35" ht="36" x14ac:dyDescent="0.35">
      <c r="A102" s="23" t="s">
        <v>306</v>
      </c>
      <c r="B102" s="23"/>
      <c r="C102" s="41" t="s">
        <v>254</v>
      </c>
      <c r="D102" s="25"/>
      <c r="E102" s="25"/>
      <c r="F102" s="42" t="s">
        <v>63</v>
      </c>
      <c r="G102" s="43">
        <v>2.2000000000000002</v>
      </c>
      <c r="H102" s="25"/>
      <c r="I102" s="43">
        <v>408.32</v>
      </c>
      <c r="J102" s="44">
        <v>104.57</v>
      </c>
      <c r="K102" s="45"/>
      <c r="L102" s="45"/>
      <c r="M102" s="44">
        <f t="shared" si="23"/>
        <v>42698.02</v>
      </c>
      <c r="N102" s="45"/>
      <c r="O102" s="45"/>
      <c r="P102" s="44">
        <v>104.57</v>
      </c>
      <c r="Q102" s="45"/>
      <c r="R102" s="45"/>
      <c r="S102" s="44">
        <f t="shared" si="24"/>
        <v>42698.02</v>
      </c>
      <c r="T102" s="45"/>
      <c r="U102" s="46"/>
      <c r="V102" s="9">
        <f t="shared" si="25"/>
        <v>87.14</v>
      </c>
      <c r="Y102" s="9">
        <f t="shared" si="26"/>
        <v>35581.68</v>
      </c>
      <c r="AD102" s="4" t="s">
        <v>307</v>
      </c>
      <c r="AE102" s="4" t="s">
        <v>305</v>
      </c>
      <c r="AF102" s="4" t="s">
        <v>257</v>
      </c>
    </row>
    <row r="103" spans="1:35" ht="36" x14ac:dyDescent="0.35">
      <c r="A103" s="17" t="s">
        <v>308</v>
      </c>
      <c r="B103" s="17" t="s">
        <v>215</v>
      </c>
      <c r="C103" s="18" t="s">
        <v>216</v>
      </c>
      <c r="D103" s="19" t="s">
        <v>61</v>
      </c>
      <c r="E103" s="19"/>
      <c r="F103" s="19" t="s">
        <v>63</v>
      </c>
      <c r="G103" s="20">
        <v>1</v>
      </c>
      <c r="H103" s="19"/>
      <c r="I103" s="21">
        <v>0</v>
      </c>
      <c r="J103" s="22">
        <v>727.48</v>
      </c>
      <c r="K103" s="22">
        <v>1225</v>
      </c>
      <c r="L103" s="22">
        <f>J103+ROUND(K103, 2)</f>
        <v>1952.48</v>
      </c>
      <c r="M103" s="22">
        <v>0</v>
      </c>
      <c r="N103" s="22">
        <v>0</v>
      </c>
      <c r="O103" s="22">
        <f>M103+N103</f>
        <v>0</v>
      </c>
      <c r="P103" s="22">
        <v>3842.15</v>
      </c>
      <c r="Q103" s="22">
        <v>1225</v>
      </c>
      <c r="R103" s="22">
        <f>P103+ROUND(Q103, 2)</f>
        <v>5067.1499999999996</v>
      </c>
      <c r="S103" s="22">
        <v>0</v>
      </c>
      <c r="T103" s="22">
        <v>0</v>
      </c>
      <c r="U103" s="22">
        <f>S103+T103</f>
        <v>0</v>
      </c>
      <c r="V103" s="9">
        <f>ROUND(P103 / 1.2, 2)</f>
        <v>3201.79</v>
      </c>
      <c r="W103" s="9">
        <f>ROUND(Q103 / 1.2, 2)</f>
        <v>1020.83</v>
      </c>
      <c r="X103" s="9">
        <f>ROUND(R103 / 1.2, 2)</f>
        <v>4222.63</v>
      </c>
      <c r="Y103" s="9">
        <f t="shared" si="26"/>
        <v>0</v>
      </c>
      <c r="Z103" s="9">
        <f>ROUND(T103 / 1.2, 2)</f>
        <v>0</v>
      </c>
      <c r="AA103" s="9">
        <f>Y103+Z103</f>
        <v>0</v>
      </c>
      <c r="AD103" s="4">
        <v>305117010</v>
      </c>
      <c r="AE103" s="4">
        <v>20927757</v>
      </c>
      <c r="AG103" s="4" t="s">
        <v>217</v>
      </c>
      <c r="AH103" s="4" t="s">
        <v>218</v>
      </c>
      <c r="AI103" s="4" t="s">
        <v>66</v>
      </c>
    </row>
    <row r="104" spans="1:35" ht="306" x14ac:dyDescent="0.35">
      <c r="A104" s="23" t="s">
        <v>309</v>
      </c>
      <c r="B104" s="23" t="s">
        <v>215</v>
      </c>
      <c r="C104" s="24" t="s">
        <v>216</v>
      </c>
      <c r="D104" s="25" t="s">
        <v>61</v>
      </c>
      <c r="E104" s="25" t="s">
        <v>310</v>
      </c>
      <c r="F104" s="25" t="s">
        <v>63</v>
      </c>
      <c r="G104" s="26">
        <v>1</v>
      </c>
      <c r="H104" s="25"/>
      <c r="I104" s="26">
        <v>128.5</v>
      </c>
      <c r="J104" s="27">
        <v>727.48</v>
      </c>
      <c r="K104" s="27">
        <v>1225</v>
      </c>
      <c r="L104" s="27">
        <v>1225</v>
      </c>
      <c r="M104" s="27">
        <v>93481.18</v>
      </c>
      <c r="N104" s="27">
        <v>157412.5</v>
      </c>
      <c r="O104" s="27"/>
      <c r="P104" s="27">
        <v>3842.15</v>
      </c>
      <c r="Q104" s="27">
        <v>1225</v>
      </c>
      <c r="R104" s="27">
        <v>1225</v>
      </c>
      <c r="S104" s="27">
        <v>493716.28</v>
      </c>
      <c r="T104" s="27">
        <v>157412.5</v>
      </c>
      <c r="U104" s="27"/>
      <c r="V104" s="9"/>
      <c r="W104" s="9">
        <f>ROUND(Q104 / 1.2, 2)</f>
        <v>1020.83</v>
      </c>
      <c r="X104" s="9">
        <f>ROUND(R104 / 1.2, 2)</f>
        <v>1020.83</v>
      </c>
      <c r="Y104" s="9"/>
      <c r="Z104" s="9">
        <f>ROUND(T104 / 1.2, 2)</f>
        <v>131177.07999999999</v>
      </c>
      <c r="AA104" s="9"/>
      <c r="AD104" s="4">
        <v>281753295</v>
      </c>
      <c r="AE104" s="4">
        <v>20927757</v>
      </c>
      <c r="AG104" s="4" t="s">
        <v>217</v>
      </c>
      <c r="AH104" s="4" t="s">
        <v>218</v>
      </c>
      <c r="AI104" s="4"/>
    </row>
    <row r="105" spans="1:35" ht="36" x14ac:dyDescent="0.35">
      <c r="A105" s="17" t="s">
        <v>311</v>
      </c>
      <c r="B105" s="17"/>
      <c r="C105" s="34" t="s">
        <v>254</v>
      </c>
      <c r="D105" s="19"/>
      <c r="E105" s="19"/>
      <c r="F105" s="35" t="s">
        <v>63</v>
      </c>
      <c r="G105" s="36">
        <v>2.2000000000000002</v>
      </c>
      <c r="H105" s="19"/>
      <c r="I105" s="37">
        <v>0</v>
      </c>
      <c r="J105" s="38">
        <v>104.57</v>
      </c>
      <c r="K105" s="39"/>
      <c r="L105" s="39"/>
      <c r="M105" s="38">
        <f t="shared" ref="M105:M114" si="27">ROUND(ROUND(J105, 2)*I105, 2)</f>
        <v>0</v>
      </c>
      <c r="N105" s="39"/>
      <c r="O105" s="39"/>
      <c r="P105" s="38">
        <v>1520.33</v>
      </c>
      <c r="Q105" s="39"/>
      <c r="R105" s="39"/>
      <c r="S105" s="38">
        <f t="shared" ref="S105:S114" si="28">ROUND(ROUND(P105, 2)*I105, 2)</f>
        <v>0</v>
      </c>
      <c r="T105" s="39"/>
      <c r="U105" s="40"/>
      <c r="V105" s="9">
        <f t="shared" ref="V105:V114" si="29">ROUND(ROUND(P105, 2)/1.2, 2)</f>
        <v>1266.94</v>
      </c>
      <c r="Y105" s="9">
        <f t="shared" ref="Y105:Y115" si="30">ROUND(S105 / 1.2, 2)</f>
        <v>0</v>
      </c>
      <c r="AD105" s="4" t="s">
        <v>312</v>
      </c>
      <c r="AE105" s="4" t="s">
        <v>313</v>
      </c>
      <c r="AF105" s="4" t="s">
        <v>257</v>
      </c>
    </row>
    <row r="106" spans="1:35" ht="36" x14ac:dyDescent="0.35">
      <c r="A106" s="23" t="s">
        <v>314</v>
      </c>
      <c r="B106" s="23"/>
      <c r="C106" s="41" t="s">
        <v>254</v>
      </c>
      <c r="D106" s="25"/>
      <c r="E106" s="25" t="s">
        <v>315</v>
      </c>
      <c r="F106" s="42" t="s">
        <v>63</v>
      </c>
      <c r="G106" s="43">
        <v>2.2000000000000002</v>
      </c>
      <c r="H106" s="25"/>
      <c r="I106" s="43">
        <v>282.7</v>
      </c>
      <c r="J106" s="44">
        <v>104.57</v>
      </c>
      <c r="K106" s="45"/>
      <c r="L106" s="45"/>
      <c r="M106" s="44">
        <f t="shared" si="27"/>
        <v>29561.94</v>
      </c>
      <c r="N106" s="45"/>
      <c r="O106" s="45"/>
      <c r="P106" s="44">
        <v>1520.33</v>
      </c>
      <c r="Q106" s="45"/>
      <c r="R106" s="45"/>
      <c r="S106" s="44">
        <f t="shared" si="28"/>
        <v>429797.29</v>
      </c>
      <c r="T106" s="45"/>
      <c r="U106" s="46"/>
      <c r="V106" s="9">
        <f t="shared" si="29"/>
        <v>1266.94</v>
      </c>
      <c r="Y106" s="9">
        <f t="shared" si="30"/>
        <v>358164.41</v>
      </c>
      <c r="AD106" s="4" t="s">
        <v>316</v>
      </c>
      <c r="AE106" s="4" t="s">
        <v>313</v>
      </c>
      <c r="AF106" s="4" t="s">
        <v>257</v>
      </c>
    </row>
    <row r="107" spans="1:35" ht="36" x14ac:dyDescent="0.35">
      <c r="A107" s="17" t="s">
        <v>317</v>
      </c>
      <c r="B107" s="17"/>
      <c r="C107" s="34" t="s">
        <v>92</v>
      </c>
      <c r="D107" s="19"/>
      <c r="E107" s="19"/>
      <c r="F107" s="35" t="s">
        <v>93</v>
      </c>
      <c r="G107" s="36">
        <v>5.1999999999999998E-2</v>
      </c>
      <c r="H107" s="19"/>
      <c r="I107" s="37">
        <v>0</v>
      </c>
      <c r="J107" s="38">
        <v>4026.8</v>
      </c>
      <c r="K107" s="39"/>
      <c r="L107" s="39"/>
      <c r="M107" s="38">
        <f t="shared" si="27"/>
        <v>0</v>
      </c>
      <c r="N107" s="39"/>
      <c r="O107" s="39"/>
      <c r="P107" s="38">
        <v>4026.8</v>
      </c>
      <c r="Q107" s="39"/>
      <c r="R107" s="39"/>
      <c r="S107" s="38">
        <f t="shared" si="28"/>
        <v>0</v>
      </c>
      <c r="T107" s="39"/>
      <c r="U107" s="40"/>
      <c r="V107" s="9">
        <f t="shared" si="29"/>
        <v>3355.67</v>
      </c>
      <c r="Y107" s="9">
        <f t="shared" si="30"/>
        <v>0</v>
      </c>
      <c r="AD107" s="4" t="s">
        <v>318</v>
      </c>
      <c r="AE107" s="4" t="s">
        <v>319</v>
      </c>
      <c r="AF107" s="4" t="s">
        <v>96</v>
      </c>
    </row>
    <row r="108" spans="1:35" ht="36" x14ac:dyDescent="0.35">
      <c r="A108" s="23" t="s">
        <v>320</v>
      </c>
      <c r="B108" s="23"/>
      <c r="C108" s="41" t="s">
        <v>92</v>
      </c>
      <c r="D108" s="25"/>
      <c r="E108" s="25"/>
      <c r="F108" s="42" t="s">
        <v>93</v>
      </c>
      <c r="G108" s="43">
        <v>5.1999999999999998E-2</v>
      </c>
      <c r="H108" s="25"/>
      <c r="I108" s="43">
        <v>6.6820000000000004</v>
      </c>
      <c r="J108" s="44">
        <v>4026.8</v>
      </c>
      <c r="K108" s="45"/>
      <c r="L108" s="45"/>
      <c r="M108" s="44">
        <f t="shared" si="27"/>
        <v>26907.08</v>
      </c>
      <c r="N108" s="45"/>
      <c r="O108" s="45"/>
      <c r="P108" s="44">
        <v>4026.8</v>
      </c>
      <c r="Q108" s="45"/>
      <c r="R108" s="45"/>
      <c r="S108" s="44">
        <f t="shared" si="28"/>
        <v>26907.08</v>
      </c>
      <c r="T108" s="45"/>
      <c r="U108" s="46"/>
      <c r="V108" s="9">
        <f t="shared" si="29"/>
        <v>3355.67</v>
      </c>
      <c r="Y108" s="9">
        <f t="shared" si="30"/>
        <v>22422.57</v>
      </c>
      <c r="AD108" s="4" t="s">
        <v>321</v>
      </c>
      <c r="AE108" s="4" t="s">
        <v>319</v>
      </c>
      <c r="AF108" s="4" t="s">
        <v>96</v>
      </c>
    </row>
    <row r="109" spans="1:35" ht="18" x14ac:dyDescent="0.35">
      <c r="A109" s="17" t="s">
        <v>322</v>
      </c>
      <c r="B109" s="17"/>
      <c r="C109" s="34" t="s">
        <v>135</v>
      </c>
      <c r="D109" s="19"/>
      <c r="E109" s="19"/>
      <c r="F109" s="35" t="s">
        <v>78</v>
      </c>
      <c r="G109" s="36">
        <v>2.1</v>
      </c>
      <c r="H109" s="19"/>
      <c r="I109" s="37">
        <v>0</v>
      </c>
      <c r="J109" s="38">
        <v>64.56</v>
      </c>
      <c r="K109" s="39"/>
      <c r="L109" s="39"/>
      <c r="M109" s="38">
        <f t="shared" si="27"/>
        <v>0</v>
      </c>
      <c r="N109" s="39"/>
      <c r="O109" s="39"/>
      <c r="P109" s="38">
        <v>64.56</v>
      </c>
      <c r="Q109" s="39"/>
      <c r="R109" s="39"/>
      <c r="S109" s="38">
        <f t="shared" si="28"/>
        <v>0</v>
      </c>
      <c r="T109" s="39"/>
      <c r="U109" s="40"/>
      <c r="V109" s="9">
        <f t="shared" si="29"/>
        <v>53.8</v>
      </c>
      <c r="Y109" s="9">
        <f t="shared" si="30"/>
        <v>0</v>
      </c>
      <c r="AD109" s="4" t="s">
        <v>323</v>
      </c>
      <c r="AE109" s="4" t="s">
        <v>324</v>
      </c>
      <c r="AF109" s="4" t="s">
        <v>138</v>
      </c>
    </row>
    <row r="110" spans="1:35" ht="18" x14ac:dyDescent="0.35">
      <c r="A110" s="23" t="s">
        <v>325</v>
      </c>
      <c r="B110" s="23"/>
      <c r="C110" s="41" t="s">
        <v>135</v>
      </c>
      <c r="D110" s="25"/>
      <c r="E110" s="25"/>
      <c r="F110" s="42" t="s">
        <v>78</v>
      </c>
      <c r="G110" s="43">
        <v>2.1</v>
      </c>
      <c r="H110" s="25"/>
      <c r="I110" s="43">
        <v>269.85000000000002</v>
      </c>
      <c r="J110" s="44">
        <v>64.56</v>
      </c>
      <c r="K110" s="45"/>
      <c r="L110" s="45"/>
      <c r="M110" s="44">
        <f t="shared" si="27"/>
        <v>17421.52</v>
      </c>
      <c r="N110" s="45"/>
      <c r="O110" s="45"/>
      <c r="P110" s="44">
        <v>64.56</v>
      </c>
      <c r="Q110" s="45"/>
      <c r="R110" s="45"/>
      <c r="S110" s="44">
        <f t="shared" si="28"/>
        <v>17421.52</v>
      </c>
      <c r="T110" s="45"/>
      <c r="U110" s="46"/>
      <c r="V110" s="9">
        <f t="shared" si="29"/>
        <v>53.8</v>
      </c>
      <c r="Y110" s="9">
        <f t="shared" si="30"/>
        <v>14517.93</v>
      </c>
      <c r="AD110" s="4" t="s">
        <v>326</v>
      </c>
      <c r="AE110" s="4" t="s">
        <v>324</v>
      </c>
      <c r="AF110" s="4" t="s">
        <v>138</v>
      </c>
    </row>
    <row r="111" spans="1:35" ht="18" x14ac:dyDescent="0.35">
      <c r="A111" s="17" t="s">
        <v>327</v>
      </c>
      <c r="B111" s="17"/>
      <c r="C111" s="34" t="s">
        <v>142</v>
      </c>
      <c r="D111" s="19"/>
      <c r="E111" s="19"/>
      <c r="F111" s="35" t="s">
        <v>78</v>
      </c>
      <c r="G111" s="36">
        <v>0.8</v>
      </c>
      <c r="H111" s="19"/>
      <c r="I111" s="37">
        <v>0</v>
      </c>
      <c r="J111" s="38">
        <v>51.63</v>
      </c>
      <c r="K111" s="39"/>
      <c r="L111" s="39"/>
      <c r="M111" s="38">
        <f t="shared" si="27"/>
        <v>0</v>
      </c>
      <c r="N111" s="39"/>
      <c r="O111" s="39"/>
      <c r="P111" s="38">
        <v>51.63</v>
      </c>
      <c r="Q111" s="39"/>
      <c r="R111" s="39"/>
      <c r="S111" s="38">
        <f t="shared" si="28"/>
        <v>0</v>
      </c>
      <c r="T111" s="39"/>
      <c r="U111" s="40"/>
      <c r="V111" s="9">
        <f t="shared" si="29"/>
        <v>43.03</v>
      </c>
      <c r="Y111" s="9">
        <f t="shared" si="30"/>
        <v>0</v>
      </c>
      <c r="AD111" s="4" t="s">
        <v>328</v>
      </c>
      <c r="AE111" s="4" t="s">
        <v>329</v>
      </c>
      <c r="AF111" s="4" t="s">
        <v>145</v>
      </c>
    </row>
    <row r="112" spans="1:35" ht="18" x14ac:dyDescent="0.35">
      <c r="A112" s="23" t="s">
        <v>330</v>
      </c>
      <c r="B112" s="23"/>
      <c r="C112" s="41" t="s">
        <v>142</v>
      </c>
      <c r="D112" s="25"/>
      <c r="E112" s="25"/>
      <c r="F112" s="42" t="s">
        <v>78</v>
      </c>
      <c r="G112" s="43">
        <v>0.8</v>
      </c>
      <c r="H112" s="25"/>
      <c r="I112" s="43">
        <v>102.8</v>
      </c>
      <c r="J112" s="44">
        <v>51.63</v>
      </c>
      <c r="K112" s="45"/>
      <c r="L112" s="45"/>
      <c r="M112" s="44">
        <f t="shared" si="27"/>
        <v>5307.56</v>
      </c>
      <c r="N112" s="45"/>
      <c r="O112" s="45"/>
      <c r="P112" s="44">
        <v>51.63</v>
      </c>
      <c r="Q112" s="45"/>
      <c r="R112" s="45"/>
      <c r="S112" s="44">
        <f t="shared" si="28"/>
        <v>5307.56</v>
      </c>
      <c r="T112" s="45"/>
      <c r="U112" s="46"/>
      <c r="V112" s="9">
        <f t="shared" si="29"/>
        <v>43.03</v>
      </c>
      <c r="Y112" s="9">
        <f t="shared" si="30"/>
        <v>4422.97</v>
      </c>
      <c r="AD112" s="4" t="s">
        <v>331</v>
      </c>
      <c r="AE112" s="4" t="s">
        <v>329</v>
      </c>
      <c r="AF112" s="4" t="s">
        <v>145</v>
      </c>
    </row>
    <row r="113" spans="1:35" ht="72" x14ac:dyDescent="0.35">
      <c r="A113" s="17" t="s">
        <v>332</v>
      </c>
      <c r="B113" s="17"/>
      <c r="C113" s="34" t="s">
        <v>222</v>
      </c>
      <c r="D113" s="19"/>
      <c r="E113" s="19"/>
      <c r="F113" s="35" t="s">
        <v>70</v>
      </c>
      <c r="G113" s="36">
        <v>1</v>
      </c>
      <c r="H113" s="19"/>
      <c r="I113" s="37">
        <v>0</v>
      </c>
      <c r="J113" s="38">
        <v>111.15</v>
      </c>
      <c r="K113" s="39"/>
      <c r="L113" s="39"/>
      <c r="M113" s="38">
        <f t="shared" si="27"/>
        <v>0</v>
      </c>
      <c r="N113" s="39"/>
      <c r="O113" s="39"/>
      <c r="P113" s="38">
        <v>111.15</v>
      </c>
      <c r="Q113" s="39"/>
      <c r="R113" s="39"/>
      <c r="S113" s="38">
        <f t="shared" si="28"/>
        <v>0</v>
      </c>
      <c r="T113" s="39"/>
      <c r="U113" s="40"/>
      <c r="V113" s="9">
        <f t="shared" si="29"/>
        <v>92.63</v>
      </c>
      <c r="Y113" s="9">
        <f t="shared" si="30"/>
        <v>0</v>
      </c>
      <c r="AD113" s="4" t="s">
        <v>333</v>
      </c>
      <c r="AE113" s="4" t="s">
        <v>334</v>
      </c>
      <c r="AF113" s="4" t="s">
        <v>225</v>
      </c>
    </row>
    <row r="114" spans="1:35" ht="72" x14ac:dyDescent="0.35">
      <c r="A114" s="23" t="s">
        <v>335</v>
      </c>
      <c r="B114" s="23"/>
      <c r="C114" s="41" t="s">
        <v>222</v>
      </c>
      <c r="D114" s="25"/>
      <c r="E114" s="25"/>
      <c r="F114" s="42" t="s">
        <v>70</v>
      </c>
      <c r="G114" s="43">
        <v>1</v>
      </c>
      <c r="H114" s="25"/>
      <c r="I114" s="43">
        <v>128.5</v>
      </c>
      <c r="J114" s="44">
        <v>111.15</v>
      </c>
      <c r="K114" s="45"/>
      <c r="L114" s="45"/>
      <c r="M114" s="44">
        <f t="shared" si="27"/>
        <v>14282.78</v>
      </c>
      <c r="N114" s="45"/>
      <c r="O114" s="45"/>
      <c r="P114" s="44">
        <v>111.15</v>
      </c>
      <c r="Q114" s="45"/>
      <c r="R114" s="45"/>
      <c r="S114" s="44">
        <f t="shared" si="28"/>
        <v>14282.78</v>
      </c>
      <c r="T114" s="45"/>
      <c r="U114" s="46"/>
      <c r="V114" s="9">
        <f t="shared" si="29"/>
        <v>92.63</v>
      </c>
      <c r="Y114" s="9">
        <f t="shared" si="30"/>
        <v>11902.32</v>
      </c>
      <c r="AD114" s="4" t="s">
        <v>336</v>
      </c>
      <c r="AE114" s="4" t="s">
        <v>334</v>
      </c>
      <c r="AF114" s="4" t="s">
        <v>225</v>
      </c>
    </row>
    <row r="115" spans="1:35" ht="36" x14ac:dyDescent="0.35">
      <c r="A115" s="17" t="s">
        <v>337</v>
      </c>
      <c r="B115" s="17" t="s">
        <v>215</v>
      </c>
      <c r="C115" s="18" t="s">
        <v>216</v>
      </c>
      <c r="D115" s="19" t="s">
        <v>61</v>
      </c>
      <c r="E115" s="19"/>
      <c r="F115" s="19" t="s">
        <v>63</v>
      </c>
      <c r="G115" s="20">
        <v>1</v>
      </c>
      <c r="H115" s="19"/>
      <c r="I115" s="21">
        <v>0</v>
      </c>
      <c r="J115" s="22">
        <v>1269.23</v>
      </c>
      <c r="K115" s="22">
        <v>1225</v>
      </c>
      <c r="L115" s="22">
        <f>J115+ROUND(K115, 2)</f>
        <v>2494.23</v>
      </c>
      <c r="M115" s="22">
        <v>0</v>
      </c>
      <c r="N115" s="22">
        <v>0</v>
      </c>
      <c r="O115" s="22">
        <f>M115+N115</f>
        <v>0</v>
      </c>
      <c r="P115" s="22">
        <v>1269.23</v>
      </c>
      <c r="Q115" s="22">
        <v>1225</v>
      </c>
      <c r="R115" s="22">
        <f>P115+ROUND(Q115, 2)</f>
        <v>2494.23</v>
      </c>
      <c r="S115" s="22">
        <v>0</v>
      </c>
      <c r="T115" s="22">
        <v>0</v>
      </c>
      <c r="U115" s="22">
        <f>S115+T115</f>
        <v>0</v>
      </c>
      <c r="V115" s="9">
        <f>ROUND(P115 / 1.2, 2)</f>
        <v>1057.69</v>
      </c>
      <c r="W115" s="9">
        <f>ROUND(Q115 / 1.2, 2)</f>
        <v>1020.83</v>
      </c>
      <c r="X115" s="9">
        <f>ROUND(R115 / 1.2, 2)</f>
        <v>2078.5300000000002</v>
      </c>
      <c r="Y115" s="9">
        <f t="shared" si="30"/>
        <v>0</v>
      </c>
      <c r="Z115" s="9">
        <f>ROUND(T115 / 1.2, 2)</f>
        <v>0</v>
      </c>
      <c r="AA115" s="9">
        <f>Y115+Z115</f>
        <v>0</v>
      </c>
      <c r="AD115" s="4">
        <v>305117011</v>
      </c>
      <c r="AE115" s="4">
        <v>20927983</v>
      </c>
      <c r="AG115" s="4" t="s">
        <v>217</v>
      </c>
      <c r="AH115" s="4" t="s">
        <v>218</v>
      </c>
      <c r="AI115" s="4" t="s">
        <v>66</v>
      </c>
    </row>
    <row r="116" spans="1:35" ht="306" x14ac:dyDescent="0.35">
      <c r="A116" s="23" t="s">
        <v>338</v>
      </c>
      <c r="B116" s="23" t="s">
        <v>215</v>
      </c>
      <c r="C116" s="24" t="s">
        <v>216</v>
      </c>
      <c r="D116" s="25" t="s">
        <v>61</v>
      </c>
      <c r="E116" s="25" t="s">
        <v>339</v>
      </c>
      <c r="F116" s="25" t="s">
        <v>63</v>
      </c>
      <c r="G116" s="26">
        <v>1</v>
      </c>
      <c r="H116" s="25"/>
      <c r="I116" s="26">
        <v>95.8</v>
      </c>
      <c r="J116" s="27">
        <v>1269.23</v>
      </c>
      <c r="K116" s="27">
        <v>1225</v>
      </c>
      <c r="L116" s="27">
        <v>1225</v>
      </c>
      <c r="M116" s="27">
        <v>121592.23</v>
      </c>
      <c r="N116" s="27">
        <v>117355</v>
      </c>
      <c r="O116" s="27"/>
      <c r="P116" s="27">
        <v>1269.23</v>
      </c>
      <c r="Q116" s="27">
        <v>1225</v>
      </c>
      <c r="R116" s="27">
        <v>1225</v>
      </c>
      <c r="S116" s="27">
        <v>121592.23</v>
      </c>
      <c r="T116" s="27">
        <v>117355</v>
      </c>
      <c r="U116" s="27"/>
      <c r="V116" s="9"/>
      <c r="W116" s="9">
        <f>ROUND(Q116 / 1.2, 2)</f>
        <v>1020.83</v>
      </c>
      <c r="X116" s="9">
        <f>ROUND(R116 / 1.2, 2)</f>
        <v>1020.83</v>
      </c>
      <c r="Y116" s="9"/>
      <c r="Z116" s="9">
        <f>ROUND(T116 / 1.2, 2)</f>
        <v>97795.83</v>
      </c>
      <c r="AA116" s="9"/>
      <c r="AD116" s="4">
        <v>276896441</v>
      </c>
      <c r="AE116" s="4">
        <v>20927983</v>
      </c>
      <c r="AG116" s="4" t="s">
        <v>217</v>
      </c>
      <c r="AH116" s="4" t="s">
        <v>218</v>
      </c>
      <c r="AI116" s="4"/>
    </row>
    <row r="117" spans="1:35" ht="72" x14ac:dyDescent="0.35">
      <c r="A117" s="17" t="s">
        <v>340</v>
      </c>
      <c r="B117" s="17"/>
      <c r="C117" s="34" t="s">
        <v>222</v>
      </c>
      <c r="D117" s="19"/>
      <c r="E117" s="19"/>
      <c r="F117" s="35" t="s">
        <v>70</v>
      </c>
      <c r="G117" s="36">
        <v>1</v>
      </c>
      <c r="H117" s="19"/>
      <c r="I117" s="37">
        <v>0</v>
      </c>
      <c r="J117" s="38">
        <v>111.15</v>
      </c>
      <c r="K117" s="39"/>
      <c r="L117" s="39"/>
      <c r="M117" s="38">
        <f t="shared" ref="M117:M126" si="31">ROUND(ROUND(J117, 2)*I117, 2)</f>
        <v>0</v>
      </c>
      <c r="N117" s="39"/>
      <c r="O117" s="39"/>
      <c r="P117" s="38">
        <v>111.15</v>
      </c>
      <c r="Q117" s="39"/>
      <c r="R117" s="39"/>
      <c r="S117" s="38">
        <f t="shared" ref="S117:S126" si="32">ROUND(ROUND(P117, 2)*I117, 2)</f>
        <v>0</v>
      </c>
      <c r="T117" s="39"/>
      <c r="U117" s="40"/>
      <c r="V117" s="9">
        <f t="shared" ref="V117:V126" si="33">ROUND(ROUND(P117, 2)/1.2, 2)</f>
        <v>92.63</v>
      </c>
      <c r="Y117" s="9">
        <f t="shared" ref="Y117:Y156" si="34">ROUND(S117 / 1.2, 2)</f>
        <v>0</v>
      </c>
      <c r="AD117" s="4" t="s">
        <v>341</v>
      </c>
      <c r="AE117" s="4" t="s">
        <v>342</v>
      </c>
      <c r="AF117" s="4" t="s">
        <v>225</v>
      </c>
    </row>
    <row r="118" spans="1:35" ht="72" x14ac:dyDescent="0.35">
      <c r="A118" s="23" t="s">
        <v>343</v>
      </c>
      <c r="B118" s="23"/>
      <c r="C118" s="41" t="s">
        <v>222</v>
      </c>
      <c r="D118" s="25"/>
      <c r="E118" s="25"/>
      <c r="F118" s="42" t="s">
        <v>70</v>
      </c>
      <c r="G118" s="43">
        <v>1</v>
      </c>
      <c r="H118" s="25"/>
      <c r="I118" s="43">
        <v>95.8</v>
      </c>
      <c r="J118" s="44">
        <v>111.15</v>
      </c>
      <c r="K118" s="45"/>
      <c r="L118" s="45"/>
      <c r="M118" s="44">
        <f t="shared" si="31"/>
        <v>10648.17</v>
      </c>
      <c r="N118" s="45"/>
      <c r="O118" s="45"/>
      <c r="P118" s="44">
        <v>111.15</v>
      </c>
      <c r="Q118" s="45"/>
      <c r="R118" s="45"/>
      <c r="S118" s="44">
        <f t="shared" si="32"/>
        <v>10648.17</v>
      </c>
      <c r="T118" s="45"/>
      <c r="U118" s="46"/>
      <c r="V118" s="9">
        <f t="shared" si="33"/>
        <v>92.63</v>
      </c>
      <c r="Y118" s="9">
        <f t="shared" si="34"/>
        <v>8873.48</v>
      </c>
      <c r="AD118" s="4" t="s">
        <v>344</v>
      </c>
      <c r="AE118" s="4" t="s">
        <v>342</v>
      </c>
      <c r="AF118" s="4" t="s">
        <v>225</v>
      </c>
    </row>
    <row r="119" spans="1:35" ht="18" x14ac:dyDescent="0.35">
      <c r="A119" s="17" t="s">
        <v>345</v>
      </c>
      <c r="B119" s="17"/>
      <c r="C119" s="34" t="s">
        <v>77</v>
      </c>
      <c r="D119" s="19"/>
      <c r="E119" s="19"/>
      <c r="F119" s="35" t="s">
        <v>78</v>
      </c>
      <c r="G119" s="36">
        <v>0.86</v>
      </c>
      <c r="H119" s="19"/>
      <c r="I119" s="48">
        <v>0</v>
      </c>
      <c r="J119" s="38">
        <v>63.73</v>
      </c>
      <c r="K119" s="39"/>
      <c r="L119" s="39"/>
      <c r="M119" s="38">
        <f t="shared" si="31"/>
        <v>0</v>
      </c>
      <c r="N119" s="39"/>
      <c r="O119" s="39"/>
      <c r="P119" s="38">
        <v>63.73</v>
      </c>
      <c r="Q119" s="39"/>
      <c r="R119" s="39"/>
      <c r="S119" s="38">
        <f t="shared" si="32"/>
        <v>0</v>
      </c>
      <c r="T119" s="39"/>
      <c r="U119" s="40"/>
      <c r="V119" s="9">
        <f t="shared" si="33"/>
        <v>53.11</v>
      </c>
      <c r="Y119" s="9">
        <f t="shared" si="34"/>
        <v>0</v>
      </c>
      <c r="AD119" s="4" t="s">
        <v>346</v>
      </c>
      <c r="AE119" s="4" t="s">
        <v>347</v>
      </c>
      <c r="AF119" s="4" t="s">
        <v>81</v>
      </c>
    </row>
    <row r="120" spans="1:35" ht="18" x14ac:dyDescent="0.35">
      <c r="A120" s="23" t="s">
        <v>348</v>
      </c>
      <c r="B120" s="23"/>
      <c r="C120" s="41" t="s">
        <v>77</v>
      </c>
      <c r="D120" s="25"/>
      <c r="E120" s="25"/>
      <c r="F120" s="42" t="s">
        <v>78</v>
      </c>
      <c r="G120" s="43">
        <v>0.86</v>
      </c>
      <c r="H120" s="25"/>
      <c r="I120" s="50">
        <v>82.388000000000005</v>
      </c>
      <c r="J120" s="44">
        <v>63.73</v>
      </c>
      <c r="K120" s="45"/>
      <c r="L120" s="45"/>
      <c r="M120" s="44">
        <f t="shared" si="31"/>
        <v>5250.59</v>
      </c>
      <c r="N120" s="45"/>
      <c r="O120" s="45"/>
      <c r="P120" s="44">
        <v>63.73</v>
      </c>
      <c r="Q120" s="45"/>
      <c r="R120" s="45"/>
      <c r="S120" s="44">
        <f t="shared" si="32"/>
        <v>5250.59</v>
      </c>
      <c r="T120" s="45"/>
      <c r="U120" s="46"/>
      <c r="V120" s="9">
        <f t="shared" si="33"/>
        <v>53.11</v>
      </c>
      <c r="Y120" s="9">
        <f t="shared" si="34"/>
        <v>4375.49</v>
      </c>
      <c r="AD120" s="4" t="s">
        <v>349</v>
      </c>
      <c r="AE120" s="4" t="s">
        <v>347</v>
      </c>
      <c r="AF120" s="4" t="s">
        <v>81</v>
      </c>
    </row>
    <row r="121" spans="1:35" ht="18" x14ac:dyDescent="0.35">
      <c r="A121" s="17" t="s">
        <v>350</v>
      </c>
      <c r="B121" s="17"/>
      <c r="C121" s="34" t="s">
        <v>85</v>
      </c>
      <c r="D121" s="19"/>
      <c r="E121" s="19"/>
      <c r="F121" s="35" t="s">
        <v>78</v>
      </c>
      <c r="G121" s="36">
        <v>2.1</v>
      </c>
      <c r="H121" s="19"/>
      <c r="I121" s="48">
        <v>0</v>
      </c>
      <c r="J121" s="38">
        <v>95.07</v>
      </c>
      <c r="K121" s="39"/>
      <c r="L121" s="39"/>
      <c r="M121" s="38">
        <f t="shared" si="31"/>
        <v>0</v>
      </c>
      <c r="N121" s="39"/>
      <c r="O121" s="39"/>
      <c r="P121" s="38">
        <v>95.07</v>
      </c>
      <c r="Q121" s="39"/>
      <c r="R121" s="39"/>
      <c r="S121" s="38">
        <f t="shared" si="32"/>
        <v>0</v>
      </c>
      <c r="T121" s="39"/>
      <c r="U121" s="40"/>
      <c r="V121" s="9">
        <f t="shared" si="33"/>
        <v>79.23</v>
      </c>
      <c r="Y121" s="9">
        <f t="shared" si="34"/>
        <v>0</v>
      </c>
      <c r="AD121" s="4" t="s">
        <v>351</v>
      </c>
      <c r="AE121" s="4" t="s">
        <v>352</v>
      </c>
      <c r="AF121" s="4" t="s">
        <v>88</v>
      </c>
    </row>
    <row r="122" spans="1:35" ht="18" x14ac:dyDescent="0.35">
      <c r="A122" s="23" t="s">
        <v>353</v>
      </c>
      <c r="B122" s="23"/>
      <c r="C122" s="41" t="s">
        <v>85</v>
      </c>
      <c r="D122" s="25"/>
      <c r="E122" s="25"/>
      <c r="F122" s="42" t="s">
        <v>78</v>
      </c>
      <c r="G122" s="43">
        <v>2.1</v>
      </c>
      <c r="H122" s="25"/>
      <c r="I122" s="50">
        <v>201.18</v>
      </c>
      <c r="J122" s="44">
        <v>95.07</v>
      </c>
      <c r="K122" s="45"/>
      <c r="L122" s="45"/>
      <c r="M122" s="44">
        <f t="shared" si="31"/>
        <v>19126.18</v>
      </c>
      <c r="N122" s="45"/>
      <c r="O122" s="45"/>
      <c r="P122" s="44">
        <v>95.07</v>
      </c>
      <c r="Q122" s="45"/>
      <c r="R122" s="45"/>
      <c r="S122" s="44">
        <f t="shared" si="32"/>
        <v>19126.18</v>
      </c>
      <c r="T122" s="45"/>
      <c r="U122" s="46"/>
      <c r="V122" s="9">
        <f t="shared" si="33"/>
        <v>79.23</v>
      </c>
      <c r="Y122" s="9">
        <f t="shared" si="34"/>
        <v>15938.48</v>
      </c>
      <c r="AD122" s="4" t="s">
        <v>354</v>
      </c>
      <c r="AE122" s="4" t="s">
        <v>352</v>
      </c>
      <c r="AF122" s="4" t="s">
        <v>88</v>
      </c>
    </row>
    <row r="123" spans="1:35" ht="36" x14ac:dyDescent="0.35">
      <c r="A123" s="17" t="s">
        <v>355</v>
      </c>
      <c r="B123" s="17"/>
      <c r="C123" s="34" t="s">
        <v>92</v>
      </c>
      <c r="D123" s="19"/>
      <c r="E123" s="19"/>
      <c r="F123" s="35" t="s">
        <v>93</v>
      </c>
      <c r="G123" s="36">
        <v>5.1999999999999998E-2</v>
      </c>
      <c r="H123" s="19"/>
      <c r="I123" s="37">
        <v>0</v>
      </c>
      <c r="J123" s="38">
        <v>4026.8</v>
      </c>
      <c r="K123" s="39"/>
      <c r="L123" s="39"/>
      <c r="M123" s="38">
        <f t="shared" si="31"/>
        <v>0</v>
      </c>
      <c r="N123" s="39"/>
      <c r="O123" s="39"/>
      <c r="P123" s="38">
        <v>4026.8</v>
      </c>
      <c r="Q123" s="39"/>
      <c r="R123" s="39"/>
      <c r="S123" s="38">
        <f t="shared" si="32"/>
        <v>0</v>
      </c>
      <c r="T123" s="39"/>
      <c r="U123" s="40"/>
      <c r="V123" s="9">
        <f t="shared" si="33"/>
        <v>3355.67</v>
      </c>
      <c r="Y123" s="9">
        <f t="shared" si="34"/>
        <v>0</v>
      </c>
      <c r="AD123" s="4" t="s">
        <v>356</v>
      </c>
      <c r="AE123" s="4" t="s">
        <v>357</v>
      </c>
      <c r="AF123" s="4" t="s">
        <v>96</v>
      </c>
    </row>
    <row r="124" spans="1:35" ht="36" x14ac:dyDescent="0.35">
      <c r="A124" s="23" t="s">
        <v>358</v>
      </c>
      <c r="B124" s="23"/>
      <c r="C124" s="41" t="s">
        <v>92</v>
      </c>
      <c r="D124" s="25"/>
      <c r="E124" s="25"/>
      <c r="F124" s="42" t="s">
        <v>93</v>
      </c>
      <c r="G124" s="43">
        <v>5.1999999999999998E-2</v>
      </c>
      <c r="H124" s="25"/>
      <c r="I124" s="43">
        <v>4.9820000000000002</v>
      </c>
      <c r="J124" s="44">
        <v>4026.8</v>
      </c>
      <c r="K124" s="45"/>
      <c r="L124" s="45"/>
      <c r="M124" s="44">
        <f t="shared" si="31"/>
        <v>20061.52</v>
      </c>
      <c r="N124" s="45"/>
      <c r="O124" s="45"/>
      <c r="P124" s="44">
        <v>4026.8</v>
      </c>
      <c r="Q124" s="45"/>
      <c r="R124" s="45"/>
      <c r="S124" s="44">
        <f t="shared" si="32"/>
        <v>20061.52</v>
      </c>
      <c r="T124" s="45"/>
      <c r="U124" s="46"/>
      <c r="V124" s="9">
        <f t="shared" si="33"/>
        <v>3355.67</v>
      </c>
      <c r="Y124" s="9">
        <f t="shared" si="34"/>
        <v>16717.93</v>
      </c>
      <c r="AD124" s="4" t="s">
        <v>359</v>
      </c>
      <c r="AE124" s="4" t="s">
        <v>357</v>
      </c>
      <c r="AF124" s="4" t="s">
        <v>96</v>
      </c>
    </row>
    <row r="125" spans="1:35" ht="18" x14ac:dyDescent="0.35">
      <c r="A125" s="17" t="s">
        <v>360</v>
      </c>
      <c r="B125" s="17"/>
      <c r="C125" s="34" t="s">
        <v>361</v>
      </c>
      <c r="D125" s="19"/>
      <c r="E125" s="19"/>
      <c r="F125" s="35" t="s">
        <v>63</v>
      </c>
      <c r="G125" s="36">
        <v>2.2000000000000002</v>
      </c>
      <c r="H125" s="19"/>
      <c r="I125" s="37">
        <v>0</v>
      </c>
      <c r="J125" s="38">
        <v>315.55</v>
      </c>
      <c r="K125" s="39"/>
      <c r="L125" s="39"/>
      <c r="M125" s="38">
        <f t="shared" si="31"/>
        <v>0</v>
      </c>
      <c r="N125" s="39"/>
      <c r="O125" s="39"/>
      <c r="P125" s="38">
        <v>315.55</v>
      </c>
      <c r="Q125" s="39"/>
      <c r="R125" s="39"/>
      <c r="S125" s="38">
        <f t="shared" si="32"/>
        <v>0</v>
      </c>
      <c r="T125" s="39"/>
      <c r="U125" s="40"/>
      <c r="V125" s="9">
        <f t="shared" si="33"/>
        <v>262.95999999999998</v>
      </c>
      <c r="Y125" s="9">
        <f t="shared" si="34"/>
        <v>0</v>
      </c>
      <c r="AD125" s="4" t="s">
        <v>362</v>
      </c>
      <c r="AE125" s="4" t="s">
        <v>363</v>
      </c>
      <c r="AF125" s="4" t="s">
        <v>364</v>
      </c>
    </row>
    <row r="126" spans="1:35" ht="18" x14ac:dyDescent="0.35">
      <c r="A126" s="23" t="s">
        <v>365</v>
      </c>
      <c r="B126" s="23"/>
      <c r="C126" s="41" t="s">
        <v>361</v>
      </c>
      <c r="D126" s="25"/>
      <c r="E126" s="25"/>
      <c r="F126" s="42" t="s">
        <v>63</v>
      </c>
      <c r="G126" s="43">
        <v>2.2000000000000002</v>
      </c>
      <c r="H126" s="25"/>
      <c r="I126" s="43">
        <v>210.76</v>
      </c>
      <c r="J126" s="44">
        <v>315.55</v>
      </c>
      <c r="K126" s="45"/>
      <c r="L126" s="45"/>
      <c r="M126" s="44">
        <f t="shared" si="31"/>
        <v>66505.320000000007</v>
      </c>
      <c r="N126" s="45"/>
      <c r="O126" s="45"/>
      <c r="P126" s="44">
        <v>315.55</v>
      </c>
      <c r="Q126" s="45"/>
      <c r="R126" s="45"/>
      <c r="S126" s="44">
        <f t="shared" si="32"/>
        <v>66505.320000000007</v>
      </c>
      <c r="T126" s="45"/>
      <c r="U126" s="46"/>
      <c r="V126" s="9">
        <f t="shared" si="33"/>
        <v>262.95999999999998</v>
      </c>
      <c r="Y126" s="9">
        <f t="shared" si="34"/>
        <v>55421.1</v>
      </c>
      <c r="AD126" s="4" t="s">
        <v>366</v>
      </c>
      <c r="AE126" s="4" t="s">
        <v>363</v>
      </c>
      <c r="AF126" s="4" t="s">
        <v>364</v>
      </c>
    </row>
    <row r="127" spans="1:35" ht="306" x14ac:dyDescent="0.35">
      <c r="A127" s="51" t="s">
        <v>367</v>
      </c>
      <c r="B127" s="51" t="s">
        <v>215</v>
      </c>
      <c r="C127" s="52" t="s">
        <v>216</v>
      </c>
      <c r="D127" s="53" t="s">
        <v>61</v>
      </c>
      <c r="E127" s="53" t="s">
        <v>220</v>
      </c>
      <c r="F127" s="53" t="s">
        <v>63</v>
      </c>
      <c r="G127" s="54">
        <v>1</v>
      </c>
      <c r="H127" s="53"/>
      <c r="I127" s="54">
        <v>0</v>
      </c>
      <c r="J127" s="55">
        <f>IFERROR(ROUND(SUM(M128,M129,M130,M131,M132)/I127, 2),0)</f>
        <v>0</v>
      </c>
      <c r="K127" s="55">
        <v>1225</v>
      </c>
      <c r="L127" s="55">
        <f>J127+ROUND(K127, 2)</f>
        <v>1225</v>
      </c>
      <c r="M127" s="55">
        <f>ROUND(J127*I127, 2)</f>
        <v>0</v>
      </c>
      <c r="N127" s="55">
        <f>ROUND(I127*ROUND(K127, 2), 2)</f>
        <v>0</v>
      </c>
      <c r="O127" s="55">
        <f>M127+N127</f>
        <v>0</v>
      </c>
      <c r="P127" s="55">
        <f>IFERROR(ROUND(SUM(S128,S129,S130,S131,S132)/I127, 2),0)</f>
        <v>0</v>
      </c>
      <c r="Q127" s="55">
        <v>1837.5</v>
      </c>
      <c r="R127" s="55">
        <f>P127+ROUND(Q127, 2)</f>
        <v>1837.5</v>
      </c>
      <c r="S127" s="55">
        <f>ROUND(P127*I127, 2)</f>
        <v>0</v>
      </c>
      <c r="T127" s="55">
        <f>ROUND(I127*ROUND(Q127, 2), 2)</f>
        <v>0</v>
      </c>
      <c r="U127" s="55">
        <f>S127+T127</f>
        <v>0</v>
      </c>
      <c r="V127" s="9">
        <f>ROUND(P127 / 1.2, 2)</f>
        <v>0</v>
      </c>
      <c r="W127" s="9">
        <f>ROUND(Q127 / 1.2, 2)</f>
        <v>1531.25</v>
      </c>
      <c r="X127" s="9">
        <f>ROUND(R127 / 1.2, 2)</f>
        <v>1531.25</v>
      </c>
      <c r="Y127" s="9">
        <f t="shared" si="34"/>
        <v>0</v>
      </c>
      <c r="Z127" s="9">
        <f>ROUND(T127 / 1.2, 2)</f>
        <v>0</v>
      </c>
      <c r="AA127" s="9">
        <f>Y127+Z127</f>
        <v>0</v>
      </c>
      <c r="AD127" s="4">
        <v>305117012</v>
      </c>
      <c r="AE127" s="4">
        <v>22135688</v>
      </c>
      <c r="AG127" s="4" t="s">
        <v>217</v>
      </c>
      <c r="AH127" s="4" t="s">
        <v>218</v>
      </c>
      <c r="AI127" s="4" t="s">
        <v>66</v>
      </c>
    </row>
    <row r="128" spans="1:35" ht="36" x14ac:dyDescent="0.35">
      <c r="A128" s="51" t="s">
        <v>368</v>
      </c>
      <c r="B128" s="51"/>
      <c r="C128" s="47" t="s">
        <v>244</v>
      </c>
      <c r="D128" s="53"/>
      <c r="E128" s="53"/>
      <c r="F128" s="57" t="s">
        <v>63</v>
      </c>
      <c r="G128" s="58">
        <v>2.2000000000000002</v>
      </c>
      <c r="H128" s="53"/>
      <c r="I128" s="58">
        <v>0</v>
      </c>
      <c r="J128" s="59">
        <v>104.57</v>
      </c>
      <c r="K128" s="60"/>
      <c r="L128" s="60"/>
      <c r="M128" s="59">
        <f>ROUND(ROUND(J128, 2)*I128, 2)</f>
        <v>0</v>
      </c>
      <c r="N128" s="60"/>
      <c r="O128" s="60"/>
      <c r="P128" s="59">
        <v>104.57</v>
      </c>
      <c r="Q128" s="60"/>
      <c r="R128" s="60"/>
      <c r="S128" s="59">
        <f>ROUND(ROUND(P128, 2)*I128, 2)</f>
        <v>0</v>
      </c>
      <c r="T128" s="60"/>
      <c r="U128" s="61"/>
      <c r="V128" s="9">
        <f>ROUND(ROUND(P128, 2)/1.2, 2)</f>
        <v>87.14</v>
      </c>
      <c r="Y128" s="9">
        <f t="shared" si="34"/>
        <v>0</v>
      </c>
      <c r="AD128" s="4" t="s">
        <v>369</v>
      </c>
      <c r="AE128" s="4" t="s">
        <v>370</v>
      </c>
      <c r="AF128" s="4" t="s">
        <v>247</v>
      </c>
    </row>
    <row r="129" spans="1:35" ht="36" x14ac:dyDescent="0.35">
      <c r="A129" s="51" t="s">
        <v>371</v>
      </c>
      <c r="B129" s="51"/>
      <c r="C129" s="47" t="s">
        <v>92</v>
      </c>
      <c r="D129" s="53"/>
      <c r="E129" s="53"/>
      <c r="F129" s="57" t="s">
        <v>93</v>
      </c>
      <c r="G129" s="58">
        <v>5.1999999999999998E-2</v>
      </c>
      <c r="H129" s="53"/>
      <c r="I129" s="58">
        <v>0</v>
      </c>
      <c r="J129" s="59">
        <v>4026.8</v>
      </c>
      <c r="K129" s="60"/>
      <c r="L129" s="60"/>
      <c r="M129" s="59">
        <f>ROUND(ROUND(J129, 2)*I129, 2)</f>
        <v>0</v>
      </c>
      <c r="N129" s="60"/>
      <c r="O129" s="60"/>
      <c r="P129" s="59">
        <v>4026.8</v>
      </c>
      <c r="Q129" s="60"/>
      <c r="R129" s="60"/>
      <c r="S129" s="59">
        <f>ROUND(ROUND(P129, 2)*I129, 2)</f>
        <v>0</v>
      </c>
      <c r="T129" s="60"/>
      <c r="U129" s="61"/>
      <c r="V129" s="9">
        <f>ROUND(ROUND(P129, 2)/1.2, 2)</f>
        <v>3355.67</v>
      </c>
      <c r="Y129" s="9">
        <f t="shared" si="34"/>
        <v>0</v>
      </c>
      <c r="AD129" s="4" t="s">
        <v>372</v>
      </c>
      <c r="AE129" s="4" t="s">
        <v>373</v>
      </c>
      <c r="AF129" s="4" t="s">
        <v>96</v>
      </c>
    </row>
    <row r="130" spans="1:35" ht="18" x14ac:dyDescent="0.35">
      <c r="A130" s="51" t="s">
        <v>374</v>
      </c>
      <c r="B130" s="51"/>
      <c r="C130" s="47" t="s">
        <v>77</v>
      </c>
      <c r="D130" s="53"/>
      <c r="E130" s="53"/>
      <c r="F130" s="57" t="s">
        <v>78</v>
      </c>
      <c r="G130" s="58">
        <v>0.86</v>
      </c>
      <c r="H130" s="53"/>
      <c r="I130" s="62">
        <v>673.89599999999996</v>
      </c>
      <c r="J130" s="59">
        <v>63.72</v>
      </c>
      <c r="K130" s="60"/>
      <c r="L130" s="60"/>
      <c r="M130" s="59">
        <f>ROUND(ROUND(J130, 2)*I130, 2)</f>
        <v>42940.65</v>
      </c>
      <c r="N130" s="60"/>
      <c r="O130" s="60"/>
      <c r="P130" s="59">
        <v>63.73</v>
      </c>
      <c r="Q130" s="60"/>
      <c r="R130" s="60"/>
      <c r="S130" s="59">
        <f>ROUND(ROUND(P130, 2)*I130, 2)</f>
        <v>42947.39</v>
      </c>
      <c r="T130" s="60"/>
      <c r="U130" s="61"/>
      <c r="V130" s="9">
        <f>ROUND(ROUND(P130, 2)/1.2, 2)</f>
        <v>53.11</v>
      </c>
      <c r="Y130" s="9">
        <f t="shared" si="34"/>
        <v>35789.49</v>
      </c>
      <c r="AD130" s="4" t="s">
        <v>375</v>
      </c>
      <c r="AE130" s="4" t="s">
        <v>376</v>
      </c>
      <c r="AF130" s="4" t="s">
        <v>81</v>
      </c>
    </row>
    <row r="131" spans="1:35" ht="18" x14ac:dyDescent="0.35">
      <c r="A131" s="51" t="s">
        <v>377</v>
      </c>
      <c r="B131" s="51"/>
      <c r="C131" s="47" t="s">
        <v>85</v>
      </c>
      <c r="D131" s="53"/>
      <c r="E131" s="53"/>
      <c r="F131" s="57" t="s">
        <v>78</v>
      </c>
      <c r="G131" s="58">
        <v>2.1</v>
      </c>
      <c r="H131" s="53"/>
      <c r="I131" s="62">
        <v>1645.56</v>
      </c>
      <c r="J131" s="59">
        <v>95.08</v>
      </c>
      <c r="K131" s="60"/>
      <c r="L131" s="60"/>
      <c r="M131" s="59">
        <f>ROUND(ROUND(J131, 2)*I131, 2)</f>
        <v>156459.84</v>
      </c>
      <c r="N131" s="60"/>
      <c r="O131" s="60"/>
      <c r="P131" s="59">
        <v>95.07</v>
      </c>
      <c r="Q131" s="60"/>
      <c r="R131" s="60"/>
      <c r="S131" s="59">
        <f>ROUND(ROUND(P131, 2)*I131, 2)</f>
        <v>156443.39000000001</v>
      </c>
      <c r="T131" s="60"/>
      <c r="U131" s="61"/>
      <c r="V131" s="9">
        <f>ROUND(ROUND(P131, 2)/1.2, 2)</f>
        <v>79.23</v>
      </c>
      <c r="Y131" s="9">
        <f t="shared" si="34"/>
        <v>130369.49</v>
      </c>
      <c r="AD131" s="4" t="s">
        <v>378</v>
      </c>
      <c r="AE131" s="4" t="s">
        <v>379</v>
      </c>
      <c r="AF131" s="4" t="s">
        <v>88</v>
      </c>
    </row>
    <row r="132" spans="1:35" ht="72" x14ac:dyDescent="0.35">
      <c r="A132" s="51" t="s">
        <v>380</v>
      </c>
      <c r="B132" s="51"/>
      <c r="C132" s="56" t="s">
        <v>222</v>
      </c>
      <c r="D132" s="53"/>
      <c r="E132" s="53"/>
      <c r="F132" s="57" t="s">
        <v>70</v>
      </c>
      <c r="G132" s="58">
        <v>1</v>
      </c>
      <c r="H132" s="53"/>
      <c r="I132" s="58">
        <v>0</v>
      </c>
      <c r="J132" s="59">
        <v>111.16</v>
      </c>
      <c r="K132" s="60"/>
      <c r="L132" s="60"/>
      <c r="M132" s="59">
        <f>ROUND(ROUND(J132, 2)*I132, 2)</f>
        <v>0</v>
      </c>
      <c r="N132" s="60"/>
      <c r="O132" s="60"/>
      <c r="P132" s="59">
        <v>111.15</v>
      </c>
      <c r="Q132" s="60"/>
      <c r="R132" s="60"/>
      <c r="S132" s="59">
        <f>ROUND(ROUND(P132, 2)*I132, 2)</f>
        <v>0</v>
      </c>
      <c r="T132" s="60"/>
      <c r="U132" s="61"/>
      <c r="V132" s="9">
        <f>ROUND(ROUND(P132, 2)/1.2, 2)</f>
        <v>92.63</v>
      </c>
      <c r="Y132" s="9">
        <f t="shared" si="34"/>
        <v>0</v>
      </c>
      <c r="AD132" s="4" t="s">
        <v>381</v>
      </c>
      <c r="AE132" s="4" t="s">
        <v>382</v>
      </c>
      <c r="AF132" s="4" t="s">
        <v>225</v>
      </c>
    </row>
    <row r="133" spans="1:35" ht="306" x14ac:dyDescent="0.35">
      <c r="A133" s="51" t="s">
        <v>383</v>
      </c>
      <c r="B133" s="51" t="s">
        <v>215</v>
      </c>
      <c r="C133" s="52" t="s">
        <v>216</v>
      </c>
      <c r="D133" s="53" t="s">
        <v>61</v>
      </c>
      <c r="E133" s="53" t="s">
        <v>252</v>
      </c>
      <c r="F133" s="53" t="s">
        <v>63</v>
      </c>
      <c r="G133" s="54">
        <v>1</v>
      </c>
      <c r="H133" s="53"/>
      <c r="I133" s="54">
        <v>0</v>
      </c>
      <c r="J133" s="55">
        <f>IFERROR(ROUND(SUM(M134,M135,M136,M137,M138)/I133, 2),0)</f>
        <v>0</v>
      </c>
      <c r="K133" s="55">
        <v>1225</v>
      </c>
      <c r="L133" s="55">
        <f>J133+ROUND(K133, 2)</f>
        <v>1225</v>
      </c>
      <c r="M133" s="55">
        <f>ROUND(J133*I133, 2)</f>
        <v>0</v>
      </c>
      <c r="N133" s="55">
        <f>ROUND(I133*ROUND(K133, 2), 2)</f>
        <v>0</v>
      </c>
      <c r="O133" s="55">
        <f>M133+N133</f>
        <v>0</v>
      </c>
      <c r="P133" s="55">
        <f>IFERROR(ROUND(SUM(S134,S135,S136,S137,S138)/I133, 2),0)</f>
        <v>0</v>
      </c>
      <c r="Q133" s="55">
        <v>1837.5</v>
      </c>
      <c r="R133" s="55">
        <f>P133+ROUND(Q133, 2)</f>
        <v>1837.5</v>
      </c>
      <c r="S133" s="55">
        <f>ROUND(P133*I133, 2)</f>
        <v>0</v>
      </c>
      <c r="T133" s="55">
        <f>ROUND(I133*ROUND(Q133, 2), 2)</f>
        <v>0</v>
      </c>
      <c r="U133" s="55">
        <f>S133+T133</f>
        <v>0</v>
      </c>
      <c r="V133" s="9">
        <f>ROUND(P133 / 1.2, 2)</f>
        <v>0</v>
      </c>
      <c r="W133" s="9">
        <f>ROUND(Q133 / 1.2, 2)</f>
        <v>1531.25</v>
      </c>
      <c r="X133" s="9">
        <f>ROUND(R133 / 1.2, 2)</f>
        <v>1531.25</v>
      </c>
      <c r="Y133" s="9">
        <f t="shared" si="34"/>
        <v>0</v>
      </c>
      <c r="Z133" s="9">
        <f>ROUND(T133 / 1.2, 2)</f>
        <v>0</v>
      </c>
      <c r="AA133" s="9">
        <f>Y133+Z133</f>
        <v>0</v>
      </c>
      <c r="AD133" s="4">
        <v>305117013</v>
      </c>
      <c r="AE133" s="4">
        <v>22135689</v>
      </c>
      <c r="AG133" s="4" t="s">
        <v>217</v>
      </c>
      <c r="AH133" s="4" t="s">
        <v>218</v>
      </c>
      <c r="AI133" s="4" t="s">
        <v>66</v>
      </c>
    </row>
    <row r="134" spans="1:35" ht="72" x14ac:dyDescent="0.35">
      <c r="A134" s="51" t="s">
        <v>384</v>
      </c>
      <c r="B134" s="51"/>
      <c r="C134" s="56" t="s">
        <v>222</v>
      </c>
      <c r="D134" s="53"/>
      <c r="E134" s="53"/>
      <c r="F134" s="57" t="s">
        <v>70</v>
      </c>
      <c r="G134" s="58">
        <v>1</v>
      </c>
      <c r="H134" s="53"/>
      <c r="I134" s="58">
        <v>0</v>
      </c>
      <c r="J134" s="59">
        <v>111.16</v>
      </c>
      <c r="K134" s="60"/>
      <c r="L134" s="60"/>
      <c r="M134" s="59">
        <f>ROUND(ROUND(J134, 2)*I134, 2)</f>
        <v>0</v>
      </c>
      <c r="N134" s="60"/>
      <c r="O134" s="60"/>
      <c r="P134" s="59">
        <v>111.15</v>
      </c>
      <c r="Q134" s="60"/>
      <c r="R134" s="60"/>
      <c r="S134" s="59">
        <f>ROUND(ROUND(P134, 2)*I134, 2)</f>
        <v>0</v>
      </c>
      <c r="T134" s="60"/>
      <c r="U134" s="61"/>
      <c r="V134" s="9">
        <f>ROUND(ROUND(P134, 2)/1.2, 2)</f>
        <v>92.63</v>
      </c>
      <c r="Y134" s="9">
        <f t="shared" si="34"/>
        <v>0</v>
      </c>
      <c r="AD134" s="4" t="s">
        <v>385</v>
      </c>
      <c r="AE134" s="4" t="s">
        <v>386</v>
      </c>
      <c r="AF134" s="4" t="s">
        <v>225</v>
      </c>
    </row>
    <row r="135" spans="1:35" ht="18" x14ac:dyDescent="0.35">
      <c r="A135" s="51" t="s">
        <v>387</v>
      </c>
      <c r="B135" s="51"/>
      <c r="C135" s="47" t="s">
        <v>77</v>
      </c>
      <c r="D135" s="53"/>
      <c r="E135" s="53"/>
      <c r="F135" s="57" t="s">
        <v>78</v>
      </c>
      <c r="G135" s="58">
        <v>0.86</v>
      </c>
      <c r="H135" s="53"/>
      <c r="I135" s="62">
        <v>2133.402</v>
      </c>
      <c r="J135" s="59">
        <v>63.72</v>
      </c>
      <c r="K135" s="60"/>
      <c r="L135" s="60"/>
      <c r="M135" s="59">
        <f>ROUND(ROUND(J135, 2)*I135, 2)</f>
        <v>135940.38</v>
      </c>
      <c r="N135" s="60"/>
      <c r="O135" s="60"/>
      <c r="P135" s="59">
        <v>63.73</v>
      </c>
      <c r="Q135" s="60"/>
      <c r="R135" s="60"/>
      <c r="S135" s="59">
        <f>ROUND(ROUND(P135, 2)*I135, 2)</f>
        <v>135961.71</v>
      </c>
      <c r="T135" s="60"/>
      <c r="U135" s="61"/>
      <c r="V135" s="9">
        <f>ROUND(ROUND(P135, 2)/1.2, 2)</f>
        <v>53.11</v>
      </c>
      <c r="Y135" s="9">
        <f t="shared" si="34"/>
        <v>113301.43</v>
      </c>
      <c r="AD135" s="4" t="s">
        <v>388</v>
      </c>
      <c r="AE135" s="4" t="s">
        <v>389</v>
      </c>
      <c r="AF135" s="4" t="s">
        <v>81</v>
      </c>
    </row>
    <row r="136" spans="1:35" ht="18" x14ac:dyDescent="0.35">
      <c r="A136" s="51" t="s">
        <v>390</v>
      </c>
      <c r="B136" s="51"/>
      <c r="C136" s="47" t="s">
        <v>85</v>
      </c>
      <c r="D136" s="53"/>
      <c r="E136" s="53"/>
      <c r="F136" s="57" t="s">
        <v>78</v>
      </c>
      <c r="G136" s="58">
        <v>2.1</v>
      </c>
      <c r="H136" s="53"/>
      <c r="I136" s="62">
        <v>5209.47</v>
      </c>
      <c r="J136" s="59">
        <v>95.08</v>
      </c>
      <c r="K136" s="60"/>
      <c r="L136" s="60"/>
      <c r="M136" s="59">
        <f>ROUND(ROUND(J136, 2)*I136, 2)</f>
        <v>495316.41</v>
      </c>
      <c r="N136" s="60"/>
      <c r="O136" s="60"/>
      <c r="P136" s="59">
        <v>95.07</v>
      </c>
      <c r="Q136" s="60"/>
      <c r="R136" s="60"/>
      <c r="S136" s="59">
        <f>ROUND(ROUND(P136, 2)*I136, 2)</f>
        <v>495264.31</v>
      </c>
      <c r="T136" s="60"/>
      <c r="U136" s="61"/>
      <c r="V136" s="9">
        <f>ROUND(ROUND(P136, 2)/1.2, 2)</f>
        <v>79.23</v>
      </c>
      <c r="Y136" s="9">
        <f t="shared" si="34"/>
        <v>412720.26</v>
      </c>
      <c r="AD136" s="4" t="s">
        <v>391</v>
      </c>
      <c r="AE136" s="4" t="s">
        <v>392</v>
      </c>
      <c r="AF136" s="4" t="s">
        <v>88</v>
      </c>
    </row>
    <row r="137" spans="1:35" ht="36" x14ac:dyDescent="0.35">
      <c r="A137" s="51" t="s">
        <v>393</v>
      </c>
      <c r="B137" s="51"/>
      <c r="C137" s="47" t="s">
        <v>92</v>
      </c>
      <c r="D137" s="53"/>
      <c r="E137" s="53"/>
      <c r="F137" s="57" t="s">
        <v>93</v>
      </c>
      <c r="G137" s="58">
        <v>5.1999999999999998E-2</v>
      </c>
      <c r="H137" s="53"/>
      <c r="I137" s="58">
        <v>0</v>
      </c>
      <c r="J137" s="59">
        <v>4026.8</v>
      </c>
      <c r="K137" s="60"/>
      <c r="L137" s="60"/>
      <c r="M137" s="59">
        <f>ROUND(ROUND(J137, 2)*I137, 2)</f>
        <v>0</v>
      </c>
      <c r="N137" s="60"/>
      <c r="O137" s="60"/>
      <c r="P137" s="59">
        <v>4026.8</v>
      </c>
      <c r="Q137" s="60"/>
      <c r="R137" s="60"/>
      <c r="S137" s="59">
        <f>ROUND(ROUND(P137, 2)*I137, 2)</f>
        <v>0</v>
      </c>
      <c r="T137" s="60"/>
      <c r="U137" s="61"/>
      <c r="V137" s="9">
        <f>ROUND(ROUND(P137, 2)/1.2, 2)</f>
        <v>3355.67</v>
      </c>
      <c r="Y137" s="9">
        <f t="shared" si="34"/>
        <v>0</v>
      </c>
      <c r="AD137" s="4" t="s">
        <v>394</v>
      </c>
      <c r="AE137" s="4" t="s">
        <v>395</v>
      </c>
      <c r="AF137" s="4" t="s">
        <v>96</v>
      </c>
    </row>
    <row r="138" spans="1:35" ht="36" x14ac:dyDescent="0.35">
      <c r="A138" s="51" t="s">
        <v>396</v>
      </c>
      <c r="B138" s="51"/>
      <c r="C138" s="47" t="s">
        <v>254</v>
      </c>
      <c r="D138" s="53"/>
      <c r="E138" s="53"/>
      <c r="F138" s="57" t="s">
        <v>63</v>
      </c>
      <c r="G138" s="58">
        <v>2.2000000000000002</v>
      </c>
      <c r="H138" s="53"/>
      <c r="I138" s="58">
        <v>0</v>
      </c>
      <c r="J138" s="59">
        <v>104.57</v>
      </c>
      <c r="K138" s="60"/>
      <c r="L138" s="60"/>
      <c r="M138" s="59">
        <f>ROUND(ROUND(J138, 2)*I138, 2)</f>
        <v>0</v>
      </c>
      <c r="N138" s="60"/>
      <c r="O138" s="60"/>
      <c r="P138" s="59">
        <v>104.57</v>
      </c>
      <c r="Q138" s="60"/>
      <c r="R138" s="60"/>
      <c r="S138" s="59">
        <f>ROUND(ROUND(P138, 2)*I138, 2)</f>
        <v>0</v>
      </c>
      <c r="T138" s="60"/>
      <c r="U138" s="61"/>
      <c r="V138" s="9">
        <f>ROUND(ROUND(P138, 2)/1.2, 2)</f>
        <v>87.14</v>
      </c>
      <c r="Y138" s="9">
        <f t="shared" si="34"/>
        <v>0</v>
      </c>
      <c r="AD138" s="4" t="s">
        <v>397</v>
      </c>
      <c r="AE138" s="4" t="s">
        <v>398</v>
      </c>
      <c r="AF138" s="4" t="s">
        <v>257</v>
      </c>
    </row>
    <row r="139" spans="1:35" ht="396" x14ac:dyDescent="0.35">
      <c r="A139" s="51" t="s">
        <v>399</v>
      </c>
      <c r="B139" s="51" t="s">
        <v>215</v>
      </c>
      <c r="C139" s="52" t="s">
        <v>216</v>
      </c>
      <c r="D139" s="53" t="s">
        <v>61</v>
      </c>
      <c r="E139" s="53" t="s">
        <v>282</v>
      </c>
      <c r="F139" s="53" t="s">
        <v>63</v>
      </c>
      <c r="G139" s="54">
        <v>1</v>
      </c>
      <c r="H139" s="53"/>
      <c r="I139" s="54">
        <v>0</v>
      </c>
      <c r="J139" s="55">
        <f>IFERROR(ROUND(SUM(M140,M141,M142,M143,M144)/I139, 2),0)</f>
        <v>0</v>
      </c>
      <c r="K139" s="55">
        <v>1225</v>
      </c>
      <c r="L139" s="55">
        <f>J139+ROUND(K139, 2)</f>
        <v>1225</v>
      </c>
      <c r="M139" s="55">
        <f>ROUND(J139*I139, 2)</f>
        <v>0</v>
      </c>
      <c r="N139" s="55">
        <f>ROUND(I139*ROUND(K139, 2), 2)</f>
        <v>0</v>
      </c>
      <c r="O139" s="55">
        <f>M139+N139</f>
        <v>0</v>
      </c>
      <c r="P139" s="55">
        <f>IFERROR(ROUND(SUM(S140,S141,S142,S143,S144)/I139, 2),0)</f>
        <v>0</v>
      </c>
      <c r="Q139" s="55">
        <v>1837.5</v>
      </c>
      <c r="R139" s="55">
        <f>P139+ROUND(Q139, 2)</f>
        <v>1837.5</v>
      </c>
      <c r="S139" s="55">
        <f>ROUND(P139*I139, 2)</f>
        <v>0</v>
      </c>
      <c r="T139" s="55">
        <f>ROUND(I139*ROUND(Q139, 2), 2)</f>
        <v>0</v>
      </c>
      <c r="U139" s="55">
        <f>S139+T139</f>
        <v>0</v>
      </c>
      <c r="V139" s="9">
        <f>ROUND(P139 / 1.2, 2)</f>
        <v>0</v>
      </c>
      <c r="W139" s="9">
        <f>ROUND(Q139 / 1.2, 2)</f>
        <v>1531.25</v>
      </c>
      <c r="X139" s="9">
        <f>ROUND(R139 / 1.2, 2)</f>
        <v>1531.25</v>
      </c>
      <c r="Y139" s="9">
        <f t="shared" si="34"/>
        <v>0</v>
      </c>
      <c r="Z139" s="9">
        <f>ROUND(T139 / 1.2, 2)</f>
        <v>0</v>
      </c>
      <c r="AA139" s="9">
        <f>Y139+Z139</f>
        <v>0</v>
      </c>
      <c r="AD139" s="4">
        <v>305117014</v>
      </c>
      <c r="AE139" s="4">
        <v>22135690</v>
      </c>
      <c r="AG139" s="4" t="s">
        <v>217</v>
      </c>
      <c r="AH139" s="4" t="s">
        <v>218</v>
      </c>
      <c r="AI139" s="4" t="s">
        <v>66</v>
      </c>
    </row>
    <row r="140" spans="1:35" ht="36" x14ac:dyDescent="0.35">
      <c r="A140" s="51" t="s">
        <v>400</v>
      </c>
      <c r="B140" s="51"/>
      <c r="C140" s="47" t="s">
        <v>254</v>
      </c>
      <c r="D140" s="53"/>
      <c r="E140" s="53"/>
      <c r="F140" s="57" t="s">
        <v>63</v>
      </c>
      <c r="G140" s="58">
        <v>2.2000000000000002</v>
      </c>
      <c r="H140" s="53"/>
      <c r="I140" s="58">
        <v>0</v>
      </c>
      <c r="J140" s="59">
        <v>104.57</v>
      </c>
      <c r="K140" s="60"/>
      <c r="L140" s="60"/>
      <c r="M140" s="59">
        <f>ROUND(ROUND(J140, 2)*I140, 2)</f>
        <v>0</v>
      </c>
      <c r="N140" s="60"/>
      <c r="O140" s="60"/>
      <c r="P140" s="59">
        <v>104.57</v>
      </c>
      <c r="Q140" s="60"/>
      <c r="R140" s="60"/>
      <c r="S140" s="59">
        <f>ROUND(ROUND(P140, 2)*I140, 2)</f>
        <v>0</v>
      </c>
      <c r="T140" s="60"/>
      <c r="U140" s="61"/>
      <c r="V140" s="9">
        <f>ROUND(ROUND(P140, 2)/1.2, 2)</f>
        <v>87.14</v>
      </c>
      <c r="Y140" s="9">
        <f t="shared" si="34"/>
        <v>0</v>
      </c>
      <c r="AD140" s="4" t="s">
        <v>401</v>
      </c>
      <c r="AE140" s="4" t="s">
        <v>402</v>
      </c>
      <c r="AF140" s="4" t="s">
        <v>257</v>
      </c>
    </row>
    <row r="141" spans="1:35" ht="36" x14ac:dyDescent="0.35">
      <c r="A141" s="51" t="s">
        <v>403</v>
      </c>
      <c r="B141" s="51"/>
      <c r="C141" s="47" t="s">
        <v>92</v>
      </c>
      <c r="D141" s="53"/>
      <c r="E141" s="53"/>
      <c r="F141" s="57" t="s">
        <v>93</v>
      </c>
      <c r="G141" s="58">
        <v>5.1999999999999998E-2</v>
      </c>
      <c r="H141" s="53"/>
      <c r="I141" s="58">
        <v>0</v>
      </c>
      <c r="J141" s="59">
        <v>4026.8</v>
      </c>
      <c r="K141" s="60"/>
      <c r="L141" s="60"/>
      <c r="M141" s="59">
        <f>ROUND(ROUND(J141, 2)*I141, 2)</f>
        <v>0</v>
      </c>
      <c r="N141" s="60"/>
      <c r="O141" s="60"/>
      <c r="P141" s="59">
        <v>4026.8</v>
      </c>
      <c r="Q141" s="60"/>
      <c r="R141" s="60"/>
      <c r="S141" s="59">
        <f>ROUND(ROUND(P141, 2)*I141, 2)</f>
        <v>0</v>
      </c>
      <c r="T141" s="60"/>
      <c r="U141" s="61"/>
      <c r="V141" s="9">
        <f>ROUND(ROUND(P141, 2)/1.2, 2)</f>
        <v>3355.67</v>
      </c>
      <c r="Y141" s="9">
        <f t="shared" si="34"/>
        <v>0</v>
      </c>
      <c r="AD141" s="4" t="s">
        <v>404</v>
      </c>
      <c r="AE141" s="4" t="s">
        <v>405</v>
      </c>
      <c r="AF141" s="4" t="s">
        <v>96</v>
      </c>
    </row>
    <row r="142" spans="1:35" ht="18" x14ac:dyDescent="0.35">
      <c r="A142" s="51" t="s">
        <v>406</v>
      </c>
      <c r="B142" s="51"/>
      <c r="C142" s="47" t="s">
        <v>77</v>
      </c>
      <c r="D142" s="53"/>
      <c r="E142" s="53"/>
      <c r="F142" s="57" t="s">
        <v>78</v>
      </c>
      <c r="G142" s="58">
        <v>0.86</v>
      </c>
      <c r="H142" s="53"/>
      <c r="I142" s="62">
        <v>159.61600000000001</v>
      </c>
      <c r="J142" s="59">
        <v>63.72</v>
      </c>
      <c r="K142" s="60"/>
      <c r="L142" s="60"/>
      <c r="M142" s="59">
        <f>ROUND(ROUND(J142, 2)*I142, 2)</f>
        <v>10170.73</v>
      </c>
      <c r="N142" s="60"/>
      <c r="O142" s="60"/>
      <c r="P142" s="59">
        <v>63.73</v>
      </c>
      <c r="Q142" s="60"/>
      <c r="R142" s="60"/>
      <c r="S142" s="59">
        <f>ROUND(ROUND(P142, 2)*I142, 2)</f>
        <v>10172.33</v>
      </c>
      <c r="T142" s="60"/>
      <c r="U142" s="61"/>
      <c r="V142" s="9">
        <f>ROUND(ROUND(P142, 2)/1.2, 2)</f>
        <v>53.11</v>
      </c>
      <c r="Y142" s="9">
        <f t="shared" si="34"/>
        <v>8476.94</v>
      </c>
      <c r="AD142" s="4" t="s">
        <v>407</v>
      </c>
      <c r="AE142" s="4" t="s">
        <v>408</v>
      </c>
      <c r="AF142" s="4" t="s">
        <v>81</v>
      </c>
    </row>
    <row r="143" spans="1:35" ht="18" x14ac:dyDescent="0.35">
      <c r="A143" s="51" t="s">
        <v>409</v>
      </c>
      <c r="B143" s="51"/>
      <c r="C143" s="47" t="s">
        <v>85</v>
      </c>
      <c r="D143" s="53"/>
      <c r="E143" s="53"/>
      <c r="F143" s="57" t="s">
        <v>78</v>
      </c>
      <c r="G143" s="58">
        <v>2.1</v>
      </c>
      <c r="H143" s="53"/>
      <c r="I143" s="62">
        <v>389.76</v>
      </c>
      <c r="J143" s="59">
        <v>95.08</v>
      </c>
      <c r="K143" s="60"/>
      <c r="L143" s="60"/>
      <c r="M143" s="59">
        <f>ROUND(ROUND(J143, 2)*I143, 2)</f>
        <v>37058.379999999997</v>
      </c>
      <c r="N143" s="60"/>
      <c r="O143" s="60"/>
      <c r="P143" s="59">
        <v>95.07</v>
      </c>
      <c r="Q143" s="60"/>
      <c r="R143" s="60"/>
      <c r="S143" s="59">
        <f>ROUND(ROUND(P143, 2)*I143, 2)</f>
        <v>37054.480000000003</v>
      </c>
      <c r="T143" s="60"/>
      <c r="U143" s="61"/>
      <c r="V143" s="9">
        <f>ROUND(ROUND(P143, 2)/1.2, 2)</f>
        <v>79.23</v>
      </c>
      <c r="Y143" s="9">
        <f t="shared" si="34"/>
        <v>30878.73</v>
      </c>
      <c r="AD143" s="4" t="s">
        <v>410</v>
      </c>
      <c r="AE143" s="4" t="s">
        <v>411</v>
      </c>
      <c r="AF143" s="4" t="s">
        <v>88</v>
      </c>
    </row>
    <row r="144" spans="1:35" ht="72" x14ac:dyDescent="0.35">
      <c r="A144" s="51" t="s">
        <v>412</v>
      </c>
      <c r="B144" s="51"/>
      <c r="C144" s="56" t="s">
        <v>222</v>
      </c>
      <c r="D144" s="53"/>
      <c r="E144" s="53"/>
      <c r="F144" s="57" t="s">
        <v>70</v>
      </c>
      <c r="G144" s="58">
        <v>1</v>
      </c>
      <c r="H144" s="53"/>
      <c r="I144" s="58">
        <v>0</v>
      </c>
      <c r="J144" s="59">
        <v>111.16</v>
      </c>
      <c r="K144" s="60"/>
      <c r="L144" s="60"/>
      <c r="M144" s="59">
        <f>ROUND(ROUND(J144, 2)*I144, 2)</f>
        <v>0</v>
      </c>
      <c r="N144" s="60"/>
      <c r="O144" s="60"/>
      <c r="P144" s="59">
        <v>111.15</v>
      </c>
      <c r="Q144" s="60"/>
      <c r="R144" s="60"/>
      <c r="S144" s="59">
        <f>ROUND(ROUND(P144, 2)*I144, 2)</f>
        <v>0</v>
      </c>
      <c r="T144" s="60"/>
      <c r="U144" s="61"/>
      <c r="V144" s="9">
        <f>ROUND(ROUND(P144, 2)/1.2, 2)</f>
        <v>92.63</v>
      </c>
      <c r="Y144" s="9">
        <f t="shared" si="34"/>
        <v>0</v>
      </c>
      <c r="AD144" s="4" t="s">
        <v>413</v>
      </c>
      <c r="AE144" s="4" t="s">
        <v>414</v>
      </c>
      <c r="AF144" s="4" t="s">
        <v>225</v>
      </c>
    </row>
    <row r="145" spans="1:35" ht="306" x14ac:dyDescent="0.35">
      <c r="A145" s="51" t="s">
        <v>415</v>
      </c>
      <c r="B145" s="51" t="s">
        <v>215</v>
      </c>
      <c r="C145" s="52" t="s">
        <v>216</v>
      </c>
      <c r="D145" s="53" t="s">
        <v>61</v>
      </c>
      <c r="E145" s="53" t="s">
        <v>310</v>
      </c>
      <c r="F145" s="53" t="s">
        <v>63</v>
      </c>
      <c r="G145" s="54">
        <v>1</v>
      </c>
      <c r="H145" s="53"/>
      <c r="I145" s="54">
        <v>0</v>
      </c>
      <c r="J145" s="55">
        <f>IFERROR(ROUND(SUM(M146,M147,M148,M149,M150)/I145, 2),0)</f>
        <v>0</v>
      </c>
      <c r="K145" s="55">
        <v>1225</v>
      </c>
      <c r="L145" s="55">
        <f>J145+ROUND(K145, 2)</f>
        <v>1225</v>
      </c>
      <c r="M145" s="55">
        <f>ROUND(J145*I145, 2)</f>
        <v>0</v>
      </c>
      <c r="N145" s="55">
        <f>ROUND(I145*ROUND(K145, 2), 2)</f>
        <v>0</v>
      </c>
      <c r="O145" s="55">
        <f>M145+N145</f>
        <v>0</v>
      </c>
      <c r="P145" s="55">
        <f>IFERROR(ROUND(SUM(S146,S147,S148,S149,S150)/I145, 2),0)</f>
        <v>0</v>
      </c>
      <c r="Q145" s="55">
        <v>1837.5</v>
      </c>
      <c r="R145" s="55">
        <f>P145+ROUND(Q145, 2)</f>
        <v>1837.5</v>
      </c>
      <c r="S145" s="55">
        <f>ROUND(P145*I145, 2)</f>
        <v>0</v>
      </c>
      <c r="T145" s="55">
        <f>ROUND(I145*ROUND(Q145, 2), 2)</f>
        <v>0</v>
      </c>
      <c r="U145" s="55">
        <f>S145+T145</f>
        <v>0</v>
      </c>
      <c r="V145" s="9">
        <f>ROUND(P145 / 1.2, 2)</f>
        <v>0</v>
      </c>
      <c r="W145" s="9">
        <f>ROUND(Q145 / 1.2, 2)</f>
        <v>1531.25</v>
      </c>
      <c r="X145" s="9">
        <f>ROUND(R145 / 1.2, 2)</f>
        <v>1531.25</v>
      </c>
      <c r="Y145" s="9">
        <f t="shared" si="34"/>
        <v>0</v>
      </c>
      <c r="Z145" s="9">
        <f>ROUND(T145 / 1.2, 2)</f>
        <v>0</v>
      </c>
      <c r="AA145" s="9">
        <f>Y145+Z145</f>
        <v>0</v>
      </c>
      <c r="AD145" s="4">
        <v>305117015</v>
      </c>
      <c r="AE145" s="4">
        <v>22135691</v>
      </c>
      <c r="AG145" s="4" t="s">
        <v>217</v>
      </c>
      <c r="AH145" s="4" t="s">
        <v>218</v>
      </c>
      <c r="AI145" s="4" t="s">
        <v>66</v>
      </c>
    </row>
    <row r="146" spans="1:35" ht="72" x14ac:dyDescent="0.35">
      <c r="A146" s="51" t="s">
        <v>416</v>
      </c>
      <c r="B146" s="51"/>
      <c r="C146" s="56" t="s">
        <v>222</v>
      </c>
      <c r="D146" s="53"/>
      <c r="E146" s="53"/>
      <c r="F146" s="57" t="s">
        <v>70</v>
      </c>
      <c r="G146" s="58">
        <v>1</v>
      </c>
      <c r="H146" s="53"/>
      <c r="I146" s="58">
        <v>0</v>
      </c>
      <c r="J146" s="59">
        <v>111.16</v>
      </c>
      <c r="K146" s="60"/>
      <c r="L146" s="60"/>
      <c r="M146" s="59">
        <f>ROUND(ROUND(J146, 2)*I146, 2)</f>
        <v>0</v>
      </c>
      <c r="N146" s="60"/>
      <c r="O146" s="60"/>
      <c r="P146" s="59">
        <v>111.15</v>
      </c>
      <c r="Q146" s="60"/>
      <c r="R146" s="60"/>
      <c r="S146" s="59">
        <f>ROUND(ROUND(P146, 2)*I146, 2)</f>
        <v>0</v>
      </c>
      <c r="T146" s="60"/>
      <c r="U146" s="61"/>
      <c r="V146" s="9">
        <f>ROUND(ROUND(P146, 2)/1.2, 2)</f>
        <v>92.63</v>
      </c>
      <c r="Y146" s="9">
        <f t="shared" si="34"/>
        <v>0</v>
      </c>
      <c r="AD146" s="4" t="s">
        <v>417</v>
      </c>
      <c r="AE146" s="4" t="s">
        <v>418</v>
      </c>
      <c r="AF146" s="4" t="s">
        <v>225</v>
      </c>
    </row>
    <row r="147" spans="1:35" ht="18" x14ac:dyDescent="0.35">
      <c r="A147" s="51" t="s">
        <v>419</v>
      </c>
      <c r="B147" s="51"/>
      <c r="C147" s="47" t="s">
        <v>135</v>
      </c>
      <c r="D147" s="53"/>
      <c r="E147" s="53"/>
      <c r="F147" s="57" t="s">
        <v>78</v>
      </c>
      <c r="G147" s="58">
        <v>2.1</v>
      </c>
      <c r="H147" s="53"/>
      <c r="I147" s="58">
        <v>0</v>
      </c>
      <c r="J147" s="59">
        <v>64.56</v>
      </c>
      <c r="K147" s="60"/>
      <c r="L147" s="60"/>
      <c r="M147" s="59">
        <f>ROUND(ROUND(J147, 2)*I147, 2)</f>
        <v>0</v>
      </c>
      <c r="N147" s="60"/>
      <c r="O147" s="60"/>
      <c r="P147" s="59">
        <v>64.56</v>
      </c>
      <c r="Q147" s="60"/>
      <c r="R147" s="60"/>
      <c r="S147" s="59">
        <f>ROUND(ROUND(P147, 2)*I147, 2)</f>
        <v>0</v>
      </c>
      <c r="T147" s="60"/>
      <c r="U147" s="61"/>
      <c r="V147" s="9">
        <f>ROUND(ROUND(P147, 2)/1.2, 2)</f>
        <v>53.8</v>
      </c>
      <c r="Y147" s="9">
        <f t="shared" si="34"/>
        <v>0</v>
      </c>
      <c r="AD147" s="4" t="s">
        <v>420</v>
      </c>
      <c r="AE147" s="4" t="s">
        <v>421</v>
      </c>
      <c r="AF147" s="4" t="s">
        <v>138</v>
      </c>
    </row>
    <row r="148" spans="1:35" ht="18" x14ac:dyDescent="0.35">
      <c r="A148" s="51" t="s">
        <v>422</v>
      </c>
      <c r="B148" s="51"/>
      <c r="C148" s="47" t="s">
        <v>142</v>
      </c>
      <c r="D148" s="53"/>
      <c r="E148" s="53"/>
      <c r="F148" s="57" t="s">
        <v>78</v>
      </c>
      <c r="G148" s="58">
        <v>0.8</v>
      </c>
      <c r="H148" s="53"/>
      <c r="I148" s="58">
        <v>0</v>
      </c>
      <c r="J148" s="59">
        <v>51.64</v>
      </c>
      <c r="K148" s="60"/>
      <c r="L148" s="60"/>
      <c r="M148" s="59">
        <f>ROUND(ROUND(J148, 2)*I148, 2)</f>
        <v>0</v>
      </c>
      <c r="N148" s="60"/>
      <c r="O148" s="60"/>
      <c r="P148" s="59">
        <v>51.63</v>
      </c>
      <c r="Q148" s="60"/>
      <c r="R148" s="60"/>
      <c r="S148" s="59">
        <f>ROUND(ROUND(P148, 2)*I148, 2)</f>
        <v>0</v>
      </c>
      <c r="T148" s="60"/>
      <c r="U148" s="61"/>
      <c r="V148" s="9">
        <f>ROUND(ROUND(P148, 2)/1.2, 2)</f>
        <v>43.03</v>
      </c>
      <c r="Y148" s="9">
        <f t="shared" si="34"/>
        <v>0</v>
      </c>
      <c r="AD148" s="4" t="s">
        <v>423</v>
      </c>
      <c r="AE148" s="4" t="s">
        <v>424</v>
      </c>
      <c r="AF148" s="4" t="s">
        <v>145</v>
      </c>
    </row>
    <row r="149" spans="1:35" ht="36" x14ac:dyDescent="0.35">
      <c r="A149" s="51" t="s">
        <v>425</v>
      </c>
      <c r="B149" s="51"/>
      <c r="C149" s="47" t="s">
        <v>92</v>
      </c>
      <c r="D149" s="53"/>
      <c r="E149" s="53"/>
      <c r="F149" s="57" t="s">
        <v>93</v>
      </c>
      <c r="G149" s="58">
        <v>5.1999999999999998E-2</v>
      </c>
      <c r="H149" s="53"/>
      <c r="I149" s="58">
        <v>0</v>
      </c>
      <c r="J149" s="59">
        <v>4026.8</v>
      </c>
      <c r="K149" s="60"/>
      <c r="L149" s="60"/>
      <c r="M149" s="59">
        <f>ROUND(ROUND(J149, 2)*I149, 2)</f>
        <v>0</v>
      </c>
      <c r="N149" s="60"/>
      <c r="O149" s="60"/>
      <c r="P149" s="59">
        <v>4026.8</v>
      </c>
      <c r="Q149" s="60"/>
      <c r="R149" s="60"/>
      <c r="S149" s="59">
        <f>ROUND(ROUND(P149, 2)*I149, 2)</f>
        <v>0</v>
      </c>
      <c r="T149" s="60"/>
      <c r="U149" s="61"/>
      <c r="V149" s="9">
        <f>ROUND(ROUND(P149, 2)/1.2, 2)</f>
        <v>3355.67</v>
      </c>
      <c r="Y149" s="9">
        <f t="shared" si="34"/>
        <v>0</v>
      </c>
      <c r="AD149" s="4" t="s">
        <v>426</v>
      </c>
      <c r="AE149" s="4" t="s">
        <v>427</v>
      </c>
      <c r="AF149" s="4" t="s">
        <v>96</v>
      </c>
    </row>
    <row r="150" spans="1:35" ht="36" x14ac:dyDescent="0.35">
      <c r="A150" s="51" t="s">
        <v>428</v>
      </c>
      <c r="B150" s="51"/>
      <c r="C150" s="47" t="s">
        <v>254</v>
      </c>
      <c r="D150" s="53"/>
      <c r="E150" s="53" t="s">
        <v>315</v>
      </c>
      <c r="F150" s="57" t="s">
        <v>63</v>
      </c>
      <c r="G150" s="58">
        <v>2.2000000000000002</v>
      </c>
      <c r="H150" s="53"/>
      <c r="I150" s="58">
        <v>0</v>
      </c>
      <c r="J150" s="59">
        <v>104.57</v>
      </c>
      <c r="K150" s="60"/>
      <c r="L150" s="60"/>
      <c r="M150" s="59">
        <f>ROUND(ROUND(J150, 2)*I150, 2)</f>
        <v>0</v>
      </c>
      <c r="N150" s="60"/>
      <c r="O150" s="60"/>
      <c r="P150" s="59">
        <v>104.57</v>
      </c>
      <c r="Q150" s="60"/>
      <c r="R150" s="60"/>
      <c r="S150" s="59">
        <f>ROUND(ROUND(P150, 2)*I150, 2)</f>
        <v>0</v>
      </c>
      <c r="T150" s="60"/>
      <c r="U150" s="61"/>
      <c r="V150" s="9">
        <f>ROUND(ROUND(P150, 2)/1.2, 2)</f>
        <v>87.14</v>
      </c>
      <c r="Y150" s="9">
        <f t="shared" si="34"/>
        <v>0</v>
      </c>
      <c r="AD150" s="4" t="s">
        <v>429</v>
      </c>
      <c r="AE150" s="4" t="s">
        <v>430</v>
      </c>
      <c r="AF150" s="4" t="s">
        <v>257</v>
      </c>
    </row>
    <row r="151" spans="1:35" ht="306" x14ac:dyDescent="0.35">
      <c r="A151" s="51" t="s">
        <v>431</v>
      </c>
      <c r="B151" s="51" t="s">
        <v>215</v>
      </c>
      <c r="C151" s="52" t="s">
        <v>216</v>
      </c>
      <c r="D151" s="53" t="s">
        <v>61</v>
      </c>
      <c r="E151" s="53" t="s">
        <v>339</v>
      </c>
      <c r="F151" s="53" t="s">
        <v>63</v>
      </c>
      <c r="G151" s="54">
        <v>1</v>
      </c>
      <c r="H151" s="53"/>
      <c r="I151" s="54">
        <v>0</v>
      </c>
      <c r="J151" s="55">
        <f>IFERROR(ROUND(SUM(M152,M153,M154,M155,M156)/I151, 2),0)</f>
        <v>0</v>
      </c>
      <c r="K151" s="55">
        <v>1225</v>
      </c>
      <c r="L151" s="55">
        <f>J151+ROUND(K151, 2)</f>
        <v>1225</v>
      </c>
      <c r="M151" s="55">
        <f>ROUND(J151*I151, 2)</f>
        <v>0</v>
      </c>
      <c r="N151" s="55">
        <f>ROUND(I151*ROUND(K151, 2), 2)</f>
        <v>0</v>
      </c>
      <c r="O151" s="55">
        <f>M151+N151</f>
        <v>0</v>
      </c>
      <c r="P151" s="55">
        <f>IFERROR(ROUND(SUM(S152,S153,S154,S155,S156)/I151, 2),0)</f>
        <v>0</v>
      </c>
      <c r="Q151" s="55">
        <v>1837.5</v>
      </c>
      <c r="R151" s="55">
        <f>P151+ROUND(Q151, 2)</f>
        <v>1837.5</v>
      </c>
      <c r="S151" s="55">
        <f>ROUND(P151*I151, 2)</f>
        <v>0</v>
      </c>
      <c r="T151" s="55">
        <f>ROUND(I151*ROUND(Q151, 2), 2)</f>
        <v>0</v>
      </c>
      <c r="U151" s="55">
        <f>S151+T151</f>
        <v>0</v>
      </c>
      <c r="V151" s="9">
        <f>ROUND(P151 / 1.2, 2)</f>
        <v>0</v>
      </c>
      <c r="W151" s="9">
        <f>ROUND(Q151 / 1.2, 2)</f>
        <v>1531.25</v>
      </c>
      <c r="X151" s="9">
        <f>ROUND(R151 / 1.2, 2)</f>
        <v>1531.25</v>
      </c>
      <c r="Y151" s="9">
        <f t="shared" si="34"/>
        <v>0</v>
      </c>
      <c r="Z151" s="9">
        <f>ROUND(T151 / 1.2, 2)</f>
        <v>0</v>
      </c>
      <c r="AA151" s="9">
        <f>Y151+Z151</f>
        <v>0</v>
      </c>
      <c r="AD151" s="4">
        <v>305117016</v>
      </c>
      <c r="AE151" s="4">
        <v>22135681</v>
      </c>
      <c r="AG151" s="4" t="s">
        <v>217</v>
      </c>
      <c r="AH151" s="4" t="s">
        <v>218</v>
      </c>
      <c r="AI151" s="4" t="s">
        <v>66</v>
      </c>
    </row>
    <row r="152" spans="1:35" ht="18" x14ac:dyDescent="0.35">
      <c r="A152" s="51" t="s">
        <v>432</v>
      </c>
      <c r="B152" s="51"/>
      <c r="C152" s="47" t="s">
        <v>361</v>
      </c>
      <c r="D152" s="53"/>
      <c r="E152" s="53"/>
      <c r="F152" s="57" t="s">
        <v>63</v>
      </c>
      <c r="G152" s="58">
        <v>2.2000000000000002</v>
      </c>
      <c r="H152" s="53"/>
      <c r="I152" s="58">
        <v>0</v>
      </c>
      <c r="J152" s="59">
        <v>315.55</v>
      </c>
      <c r="K152" s="60"/>
      <c r="L152" s="60"/>
      <c r="M152" s="59">
        <f>ROUND(ROUND(J152, 2)*I152, 2)</f>
        <v>0</v>
      </c>
      <c r="N152" s="60"/>
      <c r="O152" s="60"/>
      <c r="P152" s="59">
        <v>315.55</v>
      </c>
      <c r="Q152" s="60"/>
      <c r="R152" s="60"/>
      <c r="S152" s="59">
        <f>ROUND(ROUND(P152, 2)*I152, 2)</f>
        <v>0</v>
      </c>
      <c r="T152" s="60"/>
      <c r="U152" s="61"/>
      <c r="V152" s="9">
        <f>ROUND(ROUND(P152, 2)/1.2, 2)</f>
        <v>262.95999999999998</v>
      </c>
      <c r="Y152" s="9">
        <f t="shared" si="34"/>
        <v>0</v>
      </c>
      <c r="AD152" s="4" t="s">
        <v>433</v>
      </c>
      <c r="AE152" s="4" t="s">
        <v>434</v>
      </c>
      <c r="AF152" s="4" t="s">
        <v>364</v>
      </c>
    </row>
    <row r="153" spans="1:35" ht="36" x14ac:dyDescent="0.35">
      <c r="A153" s="51" t="s">
        <v>435</v>
      </c>
      <c r="B153" s="51"/>
      <c r="C153" s="47" t="s">
        <v>92</v>
      </c>
      <c r="D153" s="53"/>
      <c r="E153" s="53"/>
      <c r="F153" s="57" t="s">
        <v>93</v>
      </c>
      <c r="G153" s="58">
        <v>5.1999999999999998E-2</v>
      </c>
      <c r="H153" s="53"/>
      <c r="I153" s="58">
        <v>0</v>
      </c>
      <c r="J153" s="59">
        <v>4026.8</v>
      </c>
      <c r="K153" s="60"/>
      <c r="L153" s="60"/>
      <c r="M153" s="59">
        <f>ROUND(ROUND(J153, 2)*I153, 2)</f>
        <v>0</v>
      </c>
      <c r="N153" s="60"/>
      <c r="O153" s="60"/>
      <c r="P153" s="59">
        <v>4026.8</v>
      </c>
      <c r="Q153" s="60"/>
      <c r="R153" s="60"/>
      <c r="S153" s="59">
        <f>ROUND(ROUND(P153, 2)*I153, 2)</f>
        <v>0</v>
      </c>
      <c r="T153" s="60"/>
      <c r="U153" s="61"/>
      <c r="V153" s="9">
        <f>ROUND(ROUND(P153, 2)/1.2, 2)</f>
        <v>3355.67</v>
      </c>
      <c r="Y153" s="9">
        <f t="shared" si="34"/>
        <v>0</v>
      </c>
      <c r="AD153" s="4" t="s">
        <v>436</v>
      </c>
      <c r="AE153" s="4" t="s">
        <v>437</v>
      </c>
      <c r="AF153" s="4" t="s">
        <v>96</v>
      </c>
    </row>
    <row r="154" spans="1:35" ht="18" x14ac:dyDescent="0.35">
      <c r="A154" s="51" t="s">
        <v>438</v>
      </c>
      <c r="B154" s="51"/>
      <c r="C154" s="47" t="s">
        <v>77</v>
      </c>
      <c r="D154" s="53"/>
      <c r="E154" s="53"/>
      <c r="F154" s="57" t="s">
        <v>78</v>
      </c>
      <c r="G154" s="58">
        <v>0.86</v>
      </c>
      <c r="H154" s="53"/>
      <c r="I154" s="62">
        <v>82.388000000000005</v>
      </c>
      <c r="J154" s="59">
        <v>63.72</v>
      </c>
      <c r="K154" s="60"/>
      <c r="L154" s="60"/>
      <c r="M154" s="59">
        <f>ROUND(ROUND(J154, 2)*I154, 2)</f>
        <v>5249.76</v>
      </c>
      <c r="N154" s="60"/>
      <c r="O154" s="60"/>
      <c r="P154" s="59">
        <v>63.73</v>
      </c>
      <c r="Q154" s="60"/>
      <c r="R154" s="60"/>
      <c r="S154" s="59">
        <f>ROUND(ROUND(P154, 2)*I154, 2)</f>
        <v>5250.59</v>
      </c>
      <c r="T154" s="60"/>
      <c r="U154" s="61"/>
      <c r="V154" s="9">
        <f>ROUND(ROUND(P154, 2)/1.2, 2)</f>
        <v>53.11</v>
      </c>
      <c r="Y154" s="9">
        <f t="shared" si="34"/>
        <v>4375.49</v>
      </c>
      <c r="AD154" s="4" t="s">
        <v>439</v>
      </c>
      <c r="AE154" s="4" t="s">
        <v>440</v>
      </c>
      <c r="AF154" s="4" t="s">
        <v>81</v>
      </c>
    </row>
    <row r="155" spans="1:35" ht="18" x14ac:dyDescent="0.35">
      <c r="A155" s="51" t="s">
        <v>441</v>
      </c>
      <c r="B155" s="51"/>
      <c r="C155" s="47" t="s">
        <v>85</v>
      </c>
      <c r="D155" s="53"/>
      <c r="E155" s="53"/>
      <c r="F155" s="57" t="s">
        <v>78</v>
      </c>
      <c r="G155" s="58">
        <v>2.1</v>
      </c>
      <c r="H155" s="53"/>
      <c r="I155" s="62">
        <v>201.18</v>
      </c>
      <c r="J155" s="59">
        <v>95.08</v>
      </c>
      <c r="K155" s="60"/>
      <c r="L155" s="60"/>
      <c r="M155" s="59">
        <f>ROUND(ROUND(J155, 2)*I155, 2)</f>
        <v>19128.189999999999</v>
      </c>
      <c r="N155" s="60"/>
      <c r="O155" s="60"/>
      <c r="P155" s="59">
        <v>95.07</v>
      </c>
      <c r="Q155" s="60"/>
      <c r="R155" s="60"/>
      <c r="S155" s="59">
        <f>ROUND(ROUND(P155, 2)*I155, 2)</f>
        <v>19126.18</v>
      </c>
      <c r="T155" s="60"/>
      <c r="U155" s="61"/>
      <c r="V155" s="9">
        <f>ROUND(ROUND(P155, 2)/1.2, 2)</f>
        <v>79.23</v>
      </c>
      <c r="Y155" s="9">
        <f t="shared" si="34"/>
        <v>15938.48</v>
      </c>
      <c r="AD155" s="4" t="s">
        <v>442</v>
      </c>
      <c r="AE155" s="4" t="s">
        <v>443</v>
      </c>
      <c r="AF155" s="4" t="s">
        <v>88</v>
      </c>
    </row>
    <row r="156" spans="1:35" ht="72" x14ac:dyDescent="0.35">
      <c r="A156" s="51" t="s">
        <v>444</v>
      </c>
      <c r="B156" s="51"/>
      <c r="C156" s="56" t="s">
        <v>222</v>
      </c>
      <c r="D156" s="53"/>
      <c r="E156" s="53"/>
      <c r="F156" s="57" t="s">
        <v>70</v>
      </c>
      <c r="G156" s="58">
        <v>1</v>
      </c>
      <c r="H156" s="53"/>
      <c r="I156" s="58">
        <v>0</v>
      </c>
      <c r="J156" s="59">
        <v>111.16</v>
      </c>
      <c r="K156" s="60"/>
      <c r="L156" s="60"/>
      <c r="M156" s="59">
        <f>ROUND(ROUND(J156, 2)*I156, 2)</f>
        <v>0</v>
      </c>
      <c r="N156" s="60"/>
      <c r="O156" s="60"/>
      <c r="P156" s="59">
        <v>111.15</v>
      </c>
      <c r="Q156" s="60"/>
      <c r="R156" s="60"/>
      <c r="S156" s="59">
        <f>ROUND(ROUND(P156, 2)*I156, 2)</f>
        <v>0</v>
      </c>
      <c r="T156" s="60"/>
      <c r="U156" s="61"/>
      <c r="V156" s="9">
        <f>ROUND(ROUND(P156, 2)/1.2, 2)</f>
        <v>92.63</v>
      </c>
      <c r="Y156" s="9">
        <f t="shared" si="34"/>
        <v>0</v>
      </c>
      <c r="AD156" s="4" t="s">
        <v>445</v>
      </c>
      <c r="AE156" s="4" t="s">
        <v>446</v>
      </c>
      <c r="AF156" s="4" t="s">
        <v>225</v>
      </c>
    </row>
    <row r="157" spans="1:35" ht="17" customHeight="1" x14ac:dyDescent="0.35">
      <c r="A157" s="10" t="s">
        <v>447</v>
      </c>
      <c r="B157" s="10" t="s">
        <v>448</v>
      </c>
      <c r="C157" s="174" t="s">
        <v>449</v>
      </c>
      <c r="D157" s="175"/>
      <c r="E157" s="175"/>
      <c r="F157" s="175"/>
      <c r="G157" s="175"/>
      <c r="H157" s="175"/>
      <c r="I157" s="176"/>
      <c r="M157" s="6">
        <f t="shared" ref="M157:O158" si="35">SUM(M158)</f>
        <v>0</v>
      </c>
      <c r="N157" s="6">
        <f t="shared" si="35"/>
        <v>0</v>
      </c>
      <c r="O157" s="6">
        <f t="shared" si="35"/>
        <v>0</v>
      </c>
      <c r="S157" s="6">
        <f t="shared" ref="S157:U158" si="36">SUM(S158)</f>
        <v>0</v>
      </c>
      <c r="T157" s="6">
        <f t="shared" si="36"/>
        <v>0</v>
      </c>
      <c r="U157" s="6">
        <f t="shared" si="36"/>
        <v>0</v>
      </c>
      <c r="Y157" s="9">
        <f t="shared" ref="Y157:AA158" si="37">SUM(Y158)</f>
        <v>0</v>
      </c>
      <c r="Z157" s="9">
        <f t="shared" si="37"/>
        <v>0</v>
      </c>
      <c r="AA157" s="9">
        <f t="shared" si="37"/>
        <v>0</v>
      </c>
      <c r="AD157" s="4">
        <v>305116939</v>
      </c>
      <c r="AE157" s="4">
        <v>20926425</v>
      </c>
    </row>
    <row r="158" spans="1:35" ht="17" customHeight="1" x14ac:dyDescent="0.35">
      <c r="A158" s="10" t="s">
        <v>450</v>
      </c>
      <c r="B158" s="10" t="s">
        <v>451</v>
      </c>
      <c r="C158" s="174" t="s">
        <v>452</v>
      </c>
      <c r="D158" s="175"/>
      <c r="E158" s="175"/>
      <c r="F158" s="175"/>
      <c r="G158" s="175"/>
      <c r="H158" s="175"/>
      <c r="I158" s="176"/>
      <c r="M158" s="6">
        <f t="shared" si="35"/>
        <v>0</v>
      </c>
      <c r="N158" s="6">
        <f t="shared" si="35"/>
        <v>0</v>
      </c>
      <c r="O158" s="6">
        <f t="shared" si="35"/>
        <v>0</v>
      </c>
      <c r="S158" s="6">
        <f t="shared" si="36"/>
        <v>0</v>
      </c>
      <c r="T158" s="6">
        <f t="shared" si="36"/>
        <v>0</v>
      </c>
      <c r="U158" s="6">
        <f t="shared" si="36"/>
        <v>0</v>
      </c>
      <c r="Y158" s="9">
        <f t="shared" si="37"/>
        <v>0</v>
      </c>
      <c r="Z158" s="9">
        <f t="shared" si="37"/>
        <v>0</v>
      </c>
      <c r="AA158" s="9">
        <f t="shared" si="37"/>
        <v>0</v>
      </c>
      <c r="AD158" s="4">
        <v>305116940</v>
      </c>
      <c r="AE158" s="4">
        <v>20926427</v>
      </c>
    </row>
    <row r="159" spans="1:35" ht="17" customHeight="1" x14ac:dyDescent="0.35">
      <c r="A159" s="10" t="s">
        <v>453</v>
      </c>
      <c r="B159" s="10" t="s">
        <v>454</v>
      </c>
      <c r="C159" s="174" t="s">
        <v>455</v>
      </c>
      <c r="D159" s="175"/>
      <c r="E159" s="175"/>
      <c r="F159" s="175"/>
      <c r="G159" s="175"/>
      <c r="H159" s="175"/>
      <c r="I159" s="176"/>
      <c r="M159" s="6">
        <f>SUM(M160,M419,M476,M539,M659)</f>
        <v>0</v>
      </c>
      <c r="N159" s="6">
        <f>SUM(N160,N419,N476,N539,N659)</f>
        <v>0</v>
      </c>
      <c r="O159" s="6">
        <f>SUM(O160,O419,O476,O539,O659)</f>
        <v>0</v>
      </c>
      <c r="S159" s="6">
        <f>SUM(S160,S419,S476,S539,S659)</f>
        <v>0</v>
      </c>
      <c r="T159" s="6">
        <f>SUM(T160,T419,T476,T539,T659)</f>
        <v>0</v>
      </c>
      <c r="U159" s="6">
        <f>SUM(U160,U419,U476,U539,U659)</f>
        <v>0</v>
      </c>
      <c r="Y159" s="9">
        <f>SUM(Y160,Y419,Y476,Y539,Y659)</f>
        <v>0</v>
      </c>
      <c r="Z159" s="9">
        <f>SUM(Z160,Z419,Z476,Z539,Z659)</f>
        <v>0</v>
      </c>
      <c r="AA159" s="9">
        <f>SUM(AA160,AA419,AA476,AA539,AA659)</f>
        <v>0</v>
      </c>
      <c r="AD159" s="4">
        <v>305116941</v>
      </c>
      <c r="AE159" s="4">
        <v>20926429</v>
      </c>
    </row>
    <row r="160" spans="1:35" ht="17" customHeight="1" x14ac:dyDescent="0.35">
      <c r="A160" s="10" t="s">
        <v>456</v>
      </c>
      <c r="B160" s="10" t="s">
        <v>457</v>
      </c>
      <c r="C160" s="174" t="s">
        <v>458</v>
      </c>
      <c r="D160" s="175"/>
      <c r="E160" s="175"/>
      <c r="F160" s="175"/>
      <c r="G160" s="175"/>
      <c r="H160" s="175"/>
      <c r="I160" s="176"/>
      <c r="M160" s="6">
        <f>SUM(M161,M195,M262)</f>
        <v>0</v>
      </c>
      <c r="N160" s="6">
        <f>SUM(N161,N195,N262)</f>
        <v>0</v>
      </c>
      <c r="O160" s="6">
        <f>SUM(O161,O195,O262)</f>
        <v>0</v>
      </c>
      <c r="S160" s="6">
        <f>SUM(S161,S195,S262)</f>
        <v>0</v>
      </c>
      <c r="T160" s="6">
        <f>SUM(T161,T195,T262)</f>
        <v>0</v>
      </c>
      <c r="U160" s="6">
        <f>SUM(U161,U195,U262)</f>
        <v>0</v>
      </c>
      <c r="Y160" s="9">
        <f>SUM(Y161,Y195,Y262)</f>
        <v>0</v>
      </c>
      <c r="Z160" s="9">
        <f>SUM(Z161,Z195,Z262)</f>
        <v>0</v>
      </c>
      <c r="AA160" s="9">
        <f>SUM(AA161,AA195,AA262)</f>
        <v>0</v>
      </c>
      <c r="AD160" s="4">
        <v>305116942</v>
      </c>
      <c r="AE160" s="4">
        <v>20926430</v>
      </c>
    </row>
    <row r="161" spans="1:35" ht="17" customHeight="1" x14ac:dyDescent="0.35">
      <c r="A161" s="10" t="s">
        <v>459</v>
      </c>
      <c r="B161" s="10" t="s">
        <v>460</v>
      </c>
      <c r="C161" s="174" t="s">
        <v>461</v>
      </c>
      <c r="D161" s="175"/>
      <c r="E161" s="175"/>
      <c r="F161" s="175"/>
      <c r="G161" s="175"/>
      <c r="H161" s="175"/>
      <c r="I161" s="176"/>
      <c r="M161" s="6">
        <f>SUM(M162,M166,M168,M178,M183,M191)</f>
        <v>0</v>
      </c>
      <c r="N161" s="6">
        <f>SUM(N162,N166,N168,N178,N183,N191)</f>
        <v>0</v>
      </c>
      <c r="O161" s="6">
        <f>SUM(O162,O166,O168,O178,O183,O191)</f>
        <v>0</v>
      </c>
      <c r="S161" s="6">
        <f>SUM(S162,S166,S168,S178,S183,S191)</f>
        <v>0</v>
      </c>
      <c r="T161" s="6">
        <f>SUM(T162,T166,T168,T178,T183,T191)</f>
        <v>0</v>
      </c>
      <c r="U161" s="6">
        <f>SUM(U162,U166,U168,U178,U183,U191)</f>
        <v>0</v>
      </c>
      <c r="Y161" s="9">
        <f>SUM(Y162,Y166,Y168,Y178,Y183,Y191)</f>
        <v>0</v>
      </c>
      <c r="Z161" s="9">
        <f>SUM(Z162,Z166,Z168,Z178,Z183,Z191)</f>
        <v>0</v>
      </c>
      <c r="AA161" s="9">
        <f>SUM(AA162,AA166,AA168,AA178,AA183,AA191)</f>
        <v>0</v>
      </c>
      <c r="AD161" s="4">
        <v>305116943</v>
      </c>
      <c r="AE161" s="4">
        <v>20926428</v>
      </c>
    </row>
    <row r="162" spans="1:35" ht="36" x14ac:dyDescent="0.35">
      <c r="A162" s="17" t="s">
        <v>462</v>
      </c>
      <c r="B162" s="17" t="s">
        <v>463</v>
      </c>
      <c r="C162" s="18" t="s">
        <v>464</v>
      </c>
      <c r="D162" s="19"/>
      <c r="E162" s="19"/>
      <c r="F162" s="19" t="s">
        <v>63</v>
      </c>
      <c r="G162" s="20">
        <v>1</v>
      </c>
      <c r="H162" s="19"/>
      <c r="I162" s="21">
        <v>0</v>
      </c>
      <c r="J162" s="22">
        <v>51.44</v>
      </c>
      <c r="K162" s="22">
        <v>40</v>
      </c>
      <c r="L162" s="22">
        <f>J162+ROUND(K162, 2)</f>
        <v>91.44</v>
      </c>
      <c r="M162" s="22">
        <v>0</v>
      </c>
      <c r="N162" s="22">
        <v>0</v>
      </c>
      <c r="O162" s="22">
        <f>M162+N162</f>
        <v>0</v>
      </c>
      <c r="P162" s="22">
        <v>51.44</v>
      </c>
      <c r="Q162" s="22">
        <v>40</v>
      </c>
      <c r="R162" s="22">
        <f>P162+ROUND(Q162, 2)</f>
        <v>91.44</v>
      </c>
      <c r="S162" s="22">
        <v>0</v>
      </c>
      <c r="T162" s="22">
        <v>0</v>
      </c>
      <c r="U162" s="22">
        <f>S162+T162</f>
        <v>0</v>
      </c>
      <c r="V162" s="9">
        <f>ROUND(P162 / 1.2, 2)</f>
        <v>42.87</v>
      </c>
      <c r="W162" s="9">
        <f>ROUND(Q162 / 1.2, 2)</f>
        <v>33.33</v>
      </c>
      <c r="X162" s="9">
        <f>ROUND(R162 / 1.2, 2)</f>
        <v>76.2</v>
      </c>
      <c r="Y162" s="9">
        <f>ROUND(S162 / 1.2, 2)</f>
        <v>0</v>
      </c>
      <c r="Z162" s="9">
        <f>ROUND(T162 / 1.2, 2)</f>
        <v>0</v>
      </c>
      <c r="AA162" s="9">
        <f>Y162+Z162</f>
        <v>0</v>
      </c>
      <c r="AD162" s="4">
        <v>305116945</v>
      </c>
      <c r="AE162" s="4">
        <v>20926494</v>
      </c>
      <c r="AG162" s="4" t="s">
        <v>465</v>
      </c>
      <c r="AH162" s="4" t="s">
        <v>466</v>
      </c>
      <c r="AI162" s="4" t="s">
        <v>467</v>
      </c>
    </row>
    <row r="163" spans="1:35" ht="36" x14ac:dyDescent="0.35">
      <c r="A163" s="23" t="s">
        <v>468</v>
      </c>
      <c r="B163" s="23" t="s">
        <v>463</v>
      </c>
      <c r="C163" s="24" t="s">
        <v>464</v>
      </c>
      <c r="D163" s="25"/>
      <c r="E163" s="25" t="s">
        <v>469</v>
      </c>
      <c r="F163" s="25" t="s">
        <v>63</v>
      </c>
      <c r="G163" s="26">
        <v>1</v>
      </c>
      <c r="H163" s="25"/>
      <c r="I163" s="26">
        <v>22.6</v>
      </c>
      <c r="J163" s="27">
        <v>51.44</v>
      </c>
      <c r="K163" s="27">
        <v>40</v>
      </c>
      <c r="L163" s="27">
        <v>40</v>
      </c>
      <c r="M163" s="27">
        <v>1162.54</v>
      </c>
      <c r="N163" s="27">
        <v>904</v>
      </c>
      <c r="O163" s="27"/>
      <c r="P163" s="27">
        <v>51.44</v>
      </c>
      <c r="Q163" s="27">
        <v>40</v>
      </c>
      <c r="R163" s="27">
        <v>40</v>
      </c>
      <c r="S163" s="27">
        <v>1162.54</v>
      </c>
      <c r="T163" s="27">
        <v>904</v>
      </c>
      <c r="U163" s="27"/>
      <c r="V163" s="9"/>
      <c r="W163" s="9">
        <f>ROUND(Q163 / 1.2, 2)</f>
        <v>33.33</v>
      </c>
      <c r="X163" s="9">
        <f>ROUND(R163 / 1.2, 2)</f>
        <v>33.33</v>
      </c>
      <c r="Y163" s="9"/>
      <c r="Z163" s="9">
        <f>ROUND(T163 / 1.2, 2)</f>
        <v>753.33</v>
      </c>
      <c r="AA163" s="9"/>
      <c r="AD163" s="4">
        <v>278511589</v>
      </c>
      <c r="AE163" s="4">
        <v>20926494</v>
      </c>
      <c r="AG163" s="4" t="s">
        <v>465</v>
      </c>
      <c r="AH163" s="4" t="s">
        <v>466</v>
      </c>
      <c r="AI163" s="4"/>
    </row>
    <row r="164" spans="1:35" ht="18" x14ac:dyDescent="0.35">
      <c r="A164" s="17" t="s">
        <v>470</v>
      </c>
      <c r="B164" s="17"/>
      <c r="C164" s="34" t="s">
        <v>471</v>
      </c>
      <c r="D164" s="19"/>
      <c r="E164" s="19"/>
      <c r="F164" s="35" t="s">
        <v>63</v>
      </c>
      <c r="G164" s="36">
        <v>1.1000000000000001</v>
      </c>
      <c r="H164" s="19"/>
      <c r="I164" s="37">
        <v>0</v>
      </c>
      <c r="J164" s="38">
        <v>46.76</v>
      </c>
      <c r="K164" s="39"/>
      <c r="L164" s="39"/>
      <c r="M164" s="38">
        <f>ROUND(ROUND(J164, 2)*I164, 2)</f>
        <v>0</v>
      </c>
      <c r="N164" s="39"/>
      <c r="O164" s="39"/>
      <c r="P164" s="38">
        <v>46.76</v>
      </c>
      <c r="Q164" s="39"/>
      <c r="R164" s="39"/>
      <c r="S164" s="38">
        <f>ROUND(ROUND(P164, 2)*I164, 2)</f>
        <v>0</v>
      </c>
      <c r="T164" s="39"/>
      <c r="U164" s="40"/>
      <c r="V164" s="9">
        <f>ROUND(ROUND(P164, 2)/1.2, 2)</f>
        <v>38.97</v>
      </c>
      <c r="Y164" s="9">
        <f>ROUND(S164 / 1.2, 2)</f>
        <v>0</v>
      </c>
      <c r="AD164" s="4" t="s">
        <v>472</v>
      </c>
      <c r="AE164" s="4" t="s">
        <v>473</v>
      </c>
      <c r="AF164" s="4" t="s">
        <v>474</v>
      </c>
    </row>
    <row r="165" spans="1:35" ht="18" x14ac:dyDescent="0.35">
      <c r="A165" s="23" t="s">
        <v>475</v>
      </c>
      <c r="B165" s="23"/>
      <c r="C165" s="41" t="s">
        <v>471</v>
      </c>
      <c r="D165" s="25"/>
      <c r="E165" s="25"/>
      <c r="F165" s="42" t="s">
        <v>63</v>
      </c>
      <c r="G165" s="43">
        <v>1.1000000000000001</v>
      </c>
      <c r="H165" s="25"/>
      <c r="I165" s="43">
        <v>24.86</v>
      </c>
      <c r="J165" s="44">
        <v>46.76</v>
      </c>
      <c r="K165" s="45"/>
      <c r="L165" s="45"/>
      <c r="M165" s="44">
        <f>ROUND(ROUND(J165, 2)*I165, 2)</f>
        <v>1162.45</v>
      </c>
      <c r="N165" s="45"/>
      <c r="O165" s="45"/>
      <c r="P165" s="44">
        <v>46.76</v>
      </c>
      <c r="Q165" s="45"/>
      <c r="R165" s="45"/>
      <c r="S165" s="44">
        <f>ROUND(ROUND(P165, 2)*I165, 2)</f>
        <v>1162.45</v>
      </c>
      <c r="T165" s="45"/>
      <c r="U165" s="46"/>
      <c r="V165" s="9">
        <f>ROUND(ROUND(P165, 2)/1.2, 2)</f>
        <v>38.97</v>
      </c>
      <c r="Y165" s="9">
        <f>ROUND(S165 / 1.2, 2)</f>
        <v>968.71</v>
      </c>
      <c r="AD165" s="4" t="s">
        <v>476</v>
      </c>
      <c r="AE165" s="4" t="s">
        <v>473</v>
      </c>
      <c r="AF165" s="4" t="s">
        <v>474</v>
      </c>
    </row>
    <row r="166" spans="1:35" ht="36" x14ac:dyDescent="0.35">
      <c r="A166" s="51" t="s">
        <v>477</v>
      </c>
      <c r="B166" s="51" t="s">
        <v>463</v>
      </c>
      <c r="C166" s="52" t="s">
        <v>464</v>
      </c>
      <c r="D166" s="53"/>
      <c r="E166" s="53" t="s">
        <v>469</v>
      </c>
      <c r="F166" s="53" t="s">
        <v>63</v>
      </c>
      <c r="G166" s="54">
        <v>1</v>
      </c>
      <c r="H166" s="53"/>
      <c r="I166" s="54">
        <v>0</v>
      </c>
      <c r="J166" s="55">
        <f>IFERROR(ROUND(SUM(M167)/I166, 2),0)</f>
        <v>0</v>
      </c>
      <c r="K166" s="55">
        <v>40</v>
      </c>
      <c r="L166" s="55">
        <f>J166+ROUND(K166, 2)</f>
        <v>40</v>
      </c>
      <c r="M166" s="55">
        <f>ROUND(J166*I166, 2)</f>
        <v>0</v>
      </c>
      <c r="N166" s="55">
        <f>ROUND(I166*ROUND(K166, 2), 2)</f>
        <v>0</v>
      </c>
      <c r="O166" s="55">
        <f>M166+N166</f>
        <v>0</v>
      </c>
      <c r="P166" s="55">
        <f>IFERROR(ROUND(SUM(S167)/I166, 2),0)</f>
        <v>0</v>
      </c>
      <c r="Q166" s="55">
        <v>60</v>
      </c>
      <c r="R166" s="55">
        <f>P166+ROUND(Q166, 2)</f>
        <v>60</v>
      </c>
      <c r="S166" s="55">
        <f>ROUND(P166*I166, 2)</f>
        <v>0</v>
      </c>
      <c r="T166" s="55">
        <f>ROUND(I166*ROUND(Q166, 2), 2)</f>
        <v>0</v>
      </c>
      <c r="U166" s="55">
        <f>S166+T166</f>
        <v>0</v>
      </c>
      <c r="V166" s="9">
        <f>ROUND(P166 / 1.2, 2)</f>
        <v>0</v>
      </c>
      <c r="W166" s="9">
        <f>ROUND(Q166 / 1.2, 2)</f>
        <v>50</v>
      </c>
      <c r="X166" s="9">
        <f>ROUND(R166 / 1.2, 2)</f>
        <v>50</v>
      </c>
      <c r="Y166" s="9">
        <f>ROUND(S166 / 1.2, 2)</f>
        <v>0</v>
      </c>
      <c r="Z166" s="9">
        <f>ROUND(T166 / 1.2, 2)</f>
        <v>0</v>
      </c>
      <c r="AA166" s="9">
        <f>Y166+Z166</f>
        <v>0</v>
      </c>
      <c r="AD166" s="4">
        <v>305117017</v>
      </c>
      <c r="AE166" s="4">
        <v>22135731</v>
      </c>
      <c r="AG166" s="4" t="s">
        <v>465</v>
      </c>
      <c r="AH166" s="4" t="s">
        <v>466</v>
      </c>
      <c r="AI166" s="4" t="s">
        <v>467</v>
      </c>
    </row>
    <row r="167" spans="1:35" ht="18" x14ac:dyDescent="0.35">
      <c r="A167" s="51" t="s">
        <v>478</v>
      </c>
      <c r="B167" s="51"/>
      <c r="C167" s="56" t="s">
        <v>471</v>
      </c>
      <c r="D167" s="53"/>
      <c r="E167" s="53"/>
      <c r="F167" s="57" t="s">
        <v>63</v>
      </c>
      <c r="G167" s="58">
        <v>1.1000000000000001</v>
      </c>
      <c r="H167" s="53"/>
      <c r="I167" s="58">
        <v>0</v>
      </c>
      <c r="J167" s="59">
        <v>46.76</v>
      </c>
      <c r="K167" s="60"/>
      <c r="L167" s="60"/>
      <c r="M167" s="59">
        <f>ROUND(ROUND(J167, 2)*I167, 2)</f>
        <v>0</v>
      </c>
      <c r="N167" s="60"/>
      <c r="O167" s="60"/>
      <c r="P167" s="59">
        <v>46.76</v>
      </c>
      <c r="Q167" s="60"/>
      <c r="R167" s="60"/>
      <c r="S167" s="59">
        <f>ROUND(ROUND(P167, 2)*I167, 2)</f>
        <v>0</v>
      </c>
      <c r="T167" s="60"/>
      <c r="U167" s="61"/>
      <c r="V167" s="9">
        <f>ROUND(ROUND(P167, 2)/1.2, 2)</f>
        <v>38.97</v>
      </c>
      <c r="Y167" s="9">
        <f>ROUND(S167 / 1.2, 2)</f>
        <v>0</v>
      </c>
      <c r="AD167" s="4" t="s">
        <v>479</v>
      </c>
      <c r="AE167" s="4" t="s">
        <v>480</v>
      </c>
      <c r="AF167" s="4" t="s">
        <v>474</v>
      </c>
    </row>
    <row r="168" spans="1:35" ht="36" x14ac:dyDescent="0.35">
      <c r="A168" s="17" t="s">
        <v>481</v>
      </c>
      <c r="B168" s="17" t="s">
        <v>482</v>
      </c>
      <c r="C168" s="18" t="s">
        <v>483</v>
      </c>
      <c r="D168" s="19"/>
      <c r="E168" s="19"/>
      <c r="F168" s="19" t="s">
        <v>63</v>
      </c>
      <c r="G168" s="20">
        <v>1</v>
      </c>
      <c r="H168" s="19"/>
      <c r="I168" s="21">
        <v>0</v>
      </c>
      <c r="J168" s="22">
        <v>585.11</v>
      </c>
      <c r="K168" s="22">
        <v>868</v>
      </c>
      <c r="L168" s="22">
        <f>J168+ROUND(K168, 2)</f>
        <v>1453.1100000000001</v>
      </c>
      <c r="M168" s="22">
        <v>0</v>
      </c>
      <c r="N168" s="22">
        <v>0</v>
      </c>
      <c r="O168" s="22">
        <f>M168+N168</f>
        <v>0</v>
      </c>
      <c r="P168" s="22">
        <v>585.11</v>
      </c>
      <c r="Q168" s="22">
        <v>868</v>
      </c>
      <c r="R168" s="22">
        <f>P168+ROUND(Q168, 2)</f>
        <v>1453.1100000000001</v>
      </c>
      <c r="S168" s="22">
        <v>0</v>
      </c>
      <c r="T168" s="22">
        <v>0</v>
      </c>
      <c r="U168" s="22">
        <f>S168+T168</f>
        <v>0</v>
      </c>
      <c r="V168" s="9">
        <f>ROUND(P168 / 1.2, 2)</f>
        <v>487.59</v>
      </c>
      <c r="W168" s="9">
        <f>ROUND(Q168 / 1.2, 2)</f>
        <v>723.33</v>
      </c>
      <c r="X168" s="9">
        <f>ROUND(R168 / 1.2, 2)</f>
        <v>1210.93</v>
      </c>
      <c r="Y168" s="9">
        <f>ROUND(S168 / 1.2, 2)</f>
        <v>0</v>
      </c>
      <c r="Z168" s="9">
        <f>ROUND(T168 / 1.2, 2)</f>
        <v>0</v>
      </c>
      <c r="AA168" s="9">
        <f>Y168+Z168</f>
        <v>0</v>
      </c>
      <c r="AD168" s="4">
        <v>305116947</v>
      </c>
      <c r="AE168" s="4">
        <v>20926431</v>
      </c>
      <c r="AG168" s="4" t="s">
        <v>484</v>
      </c>
      <c r="AH168" s="4" t="s">
        <v>485</v>
      </c>
      <c r="AI168" s="4" t="s">
        <v>467</v>
      </c>
    </row>
    <row r="169" spans="1:35" ht="36" x14ac:dyDescent="0.35">
      <c r="A169" s="23" t="s">
        <v>486</v>
      </c>
      <c r="B169" s="23" t="s">
        <v>482</v>
      </c>
      <c r="C169" s="24" t="s">
        <v>483</v>
      </c>
      <c r="D169" s="25"/>
      <c r="E169" s="25" t="s">
        <v>487</v>
      </c>
      <c r="F169" s="25" t="s">
        <v>63</v>
      </c>
      <c r="G169" s="26">
        <v>1</v>
      </c>
      <c r="H169" s="25"/>
      <c r="I169" s="26">
        <v>7788.8</v>
      </c>
      <c r="J169" s="27">
        <v>585.11</v>
      </c>
      <c r="K169" s="27">
        <v>868</v>
      </c>
      <c r="L169" s="27">
        <v>868</v>
      </c>
      <c r="M169" s="27">
        <v>4557304.7699999996</v>
      </c>
      <c r="N169" s="27">
        <v>6760678.4000000004</v>
      </c>
      <c r="O169" s="27"/>
      <c r="P169" s="27">
        <v>585.11</v>
      </c>
      <c r="Q169" s="27">
        <v>868</v>
      </c>
      <c r="R169" s="27">
        <v>868</v>
      </c>
      <c r="S169" s="27">
        <v>4557304.7699999996</v>
      </c>
      <c r="T169" s="27">
        <v>6760678.4000000004</v>
      </c>
      <c r="U169" s="27"/>
      <c r="V169" s="9"/>
      <c r="W169" s="9">
        <f>ROUND(Q169 / 1.2, 2)</f>
        <v>723.33</v>
      </c>
      <c r="X169" s="9">
        <f>ROUND(R169 / 1.2, 2)</f>
        <v>723.33</v>
      </c>
      <c r="Y169" s="9"/>
      <c r="Z169" s="9">
        <f>ROUND(T169 / 1.2, 2)</f>
        <v>5633898.6699999999</v>
      </c>
      <c r="AA169" s="9"/>
      <c r="AD169" s="4">
        <v>278587567</v>
      </c>
      <c r="AE169" s="4">
        <v>20926431</v>
      </c>
      <c r="AG169" s="4" t="s">
        <v>484</v>
      </c>
      <c r="AH169" s="4" t="s">
        <v>485</v>
      </c>
      <c r="AI169" s="4"/>
    </row>
    <row r="170" spans="1:35" ht="18" x14ac:dyDescent="0.35">
      <c r="A170" s="17" t="s">
        <v>488</v>
      </c>
      <c r="B170" s="17"/>
      <c r="C170" s="34" t="s">
        <v>489</v>
      </c>
      <c r="D170" s="19"/>
      <c r="E170" s="19"/>
      <c r="F170" s="35" t="s">
        <v>490</v>
      </c>
      <c r="G170" s="36">
        <v>8</v>
      </c>
      <c r="H170" s="19"/>
      <c r="I170" s="48">
        <v>0</v>
      </c>
      <c r="J170" s="38">
        <v>2.5</v>
      </c>
      <c r="K170" s="39"/>
      <c r="L170" s="39"/>
      <c r="M170" s="38">
        <f t="shared" ref="M170:M177" si="38">ROUND(ROUND(J170, 2)*I170, 2)</f>
        <v>0</v>
      </c>
      <c r="N170" s="39"/>
      <c r="O170" s="39"/>
      <c r="P170" s="38">
        <v>2.5</v>
      </c>
      <c r="Q170" s="39"/>
      <c r="R170" s="39"/>
      <c r="S170" s="38">
        <f t="shared" ref="S170:S177" si="39">ROUND(ROUND(P170, 2)*I170, 2)</f>
        <v>0</v>
      </c>
      <c r="T170" s="39"/>
      <c r="U170" s="40"/>
      <c r="V170" s="9">
        <f t="shared" ref="V170:V177" si="40">ROUND(ROUND(P170, 2)/1.2, 2)</f>
        <v>2.08</v>
      </c>
      <c r="Y170" s="9">
        <f t="shared" ref="Y170:Y183" si="41">ROUND(S170 / 1.2, 2)</f>
        <v>0</v>
      </c>
      <c r="AD170" s="4" t="s">
        <v>491</v>
      </c>
      <c r="AE170" s="4" t="s">
        <v>492</v>
      </c>
      <c r="AF170" s="4" t="s">
        <v>493</v>
      </c>
    </row>
    <row r="171" spans="1:35" ht="18" x14ac:dyDescent="0.35">
      <c r="A171" s="23" t="s">
        <v>494</v>
      </c>
      <c r="B171" s="23"/>
      <c r="C171" s="41" t="s">
        <v>489</v>
      </c>
      <c r="D171" s="25"/>
      <c r="E171" s="25"/>
      <c r="F171" s="42" t="s">
        <v>490</v>
      </c>
      <c r="G171" s="43">
        <v>8</v>
      </c>
      <c r="H171" s="25"/>
      <c r="I171" s="50">
        <v>62310.400000000001</v>
      </c>
      <c r="J171" s="44">
        <v>2.5</v>
      </c>
      <c r="K171" s="45"/>
      <c r="L171" s="45"/>
      <c r="M171" s="44">
        <f t="shared" si="38"/>
        <v>155776</v>
      </c>
      <c r="N171" s="45"/>
      <c r="O171" s="45"/>
      <c r="P171" s="44">
        <v>2.5</v>
      </c>
      <c r="Q171" s="45"/>
      <c r="R171" s="45"/>
      <c r="S171" s="44">
        <f t="shared" si="39"/>
        <v>155776</v>
      </c>
      <c r="T171" s="45"/>
      <c r="U171" s="46"/>
      <c r="V171" s="9">
        <f t="shared" si="40"/>
        <v>2.08</v>
      </c>
      <c r="Y171" s="9">
        <f t="shared" si="41"/>
        <v>129813.33</v>
      </c>
      <c r="AD171" s="4" t="s">
        <v>495</v>
      </c>
      <c r="AE171" s="4" t="s">
        <v>492</v>
      </c>
      <c r="AF171" s="4" t="s">
        <v>493</v>
      </c>
    </row>
    <row r="172" spans="1:35" ht="18" x14ac:dyDescent="0.35">
      <c r="A172" s="17" t="s">
        <v>496</v>
      </c>
      <c r="B172" s="17"/>
      <c r="C172" s="34" t="s">
        <v>497</v>
      </c>
      <c r="D172" s="19"/>
      <c r="E172" s="19"/>
      <c r="F172" s="35" t="s">
        <v>498</v>
      </c>
      <c r="G172" s="36">
        <v>1.8</v>
      </c>
      <c r="H172" s="19"/>
      <c r="I172" s="48">
        <v>0</v>
      </c>
      <c r="J172" s="38">
        <v>6.17</v>
      </c>
      <c r="K172" s="39"/>
      <c r="L172" s="39"/>
      <c r="M172" s="38">
        <f t="shared" si="38"/>
        <v>0</v>
      </c>
      <c r="N172" s="39"/>
      <c r="O172" s="39"/>
      <c r="P172" s="38">
        <v>6.17</v>
      </c>
      <c r="Q172" s="39"/>
      <c r="R172" s="39"/>
      <c r="S172" s="38">
        <f t="shared" si="39"/>
        <v>0</v>
      </c>
      <c r="T172" s="39"/>
      <c r="U172" s="40"/>
      <c r="V172" s="9">
        <f t="shared" si="40"/>
        <v>5.14</v>
      </c>
      <c r="Y172" s="9">
        <f t="shared" si="41"/>
        <v>0</v>
      </c>
      <c r="AD172" s="4" t="s">
        <v>499</v>
      </c>
      <c r="AE172" s="4" t="s">
        <v>500</v>
      </c>
      <c r="AF172" s="4" t="s">
        <v>501</v>
      </c>
    </row>
    <row r="173" spans="1:35" ht="18" x14ac:dyDescent="0.35">
      <c r="A173" s="23" t="s">
        <v>502</v>
      </c>
      <c r="B173" s="23"/>
      <c r="C173" s="41" t="s">
        <v>497</v>
      </c>
      <c r="D173" s="25"/>
      <c r="E173" s="25"/>
      <c r="F173" s="42" t="s">
        <v>498</v>
      </c>
      <c r="G173" s="43">
        <v>1.8</v>
      </c>
      <c r="H173" s="25"/>
      <c r="I173" s="50">
        <v>560793.59999999998</v>
      </c>
      <c r="J173" s="44">
        <v>6.17</v>
      </c>
      <c r="K173" s="45"/>
      <c r="L173" s="45"/>
      <c r="M173" s="44">
        <f t="shared" si="38"/>
        <v>3460096.51</v>
      </c>
      <c r="N173" s="45"/>
      <c r="O173" s="45"/>
      <c r="P173" s="44">
        <v>6.17</v>
      </c>
      <c r="Q173" s="45"/>
      <c r="R173" s="45"/>
      <c r="S173" s="44">
        <f t="shared" si="39"/>
        <v>3460096.51</v>
      </c>
      <c r="T173" s="45"/>
      <c r="U173" s="46"/>
      <c r="V173" s="9">
        <f t="shared" si="40"/>
        <v>5.14</v>
      </c>
      <c r="Y173" s="9">
        <f t="shared" si="41"/>
        <v>2883413.76</v>
      </c>
      <c r="AD173" s="4" t="s">
        <v>503</v>
      </c>
      <c r="AE173" s="4" t="s">
        <v>500</v>
      </c>
      <c r="AF173" s="4" t="s">
        <v>501</v>
      </c>
    </row>
    <row r="174" spans="1:35" ht="18" x14ac:dyDescent="0.35">
      <c r="A174" s="17" t="s">
        <v>504</v>
      </c>
      <c r="B174" s="17"/>
      <c r="C174" s="34" t="s">
        <v>505</v>
      </c>
      <c r="D174" s="19"/>
      <c r="E174" s="19"/>
      <c r="F174" s="35" t="s">
        <v>63</v>
      </c>
      <c r="G174" s="36">
        <v>1.1000000000000001</v>
      </c>
      <c r="H174" s="19"/>
      <c r="I174" s="48">
        <v>0</v>
      </c>
      <c r="J174" s="38">
        <v>101.94</v>
      </c>
      <c r="K174" s="39"/>
      <c r="L174" s="39"/>
      <c r="M174" s="38">
        <f t="shared" si="38"/>
        <v>0</v>
      </c>
      <c r="N174" s="39"/>
      <c r="O174" s="39"/>
      <c r="P174" s="38">
        <v>101.94</v>
      </c>
      <c r="Q174" s="39"/>
      <c r="R174" s="39"/>
      <c r="S174" s="38">
        <f t="shared" si="39"/>
        <v>0</v>
      </c>
      <c r="T174" s="39"/>
      <c r="U174" s="40"/>
      <c r="V174" s="9">
        <f t="shared" si="40"/>
        <v>84.95</v>
      </c>
      <c r="Y174" s="9">
        <f t="shared" si="41"/>
        <v>0</v>
      </c>
      <c r="AD174" s="4" t="s">
        <v>506</v>
      </c>
      <c r="AE174" s="4" t="s">
        <v>507</v>
      </c>
      <c r="AF174" s="4" t="s">
        <v>508</v>
      </c>
    </row>
    <row r="175" spans="1:35" ht="18" x14ac:dyDescent="0.35">
      <c r="A175" s="23" t="s">
        <v>509</v>
      </c>
      <c r="B175" s="23"/>
      <c r="C175" s="41" t="s">
        <v>505</v>
      </c>
      <c r="D175" s="25"/>
      <c r="E175" s="25"/>
      <c r="F175" s="42" t="s">
        <v>63</v>
      </c>
      <c r="G175" s="43">
        <v>1.1000000000000001</v>
      </c>
      <c r="H175" s="25"/>
      <c r="I175" s="50">
        <v>8567.68</v>
      </c>
      <c r="J175" s="44">
        <v>101.94</v>
      </c>
      <c r="K175" s="45"/>
      <c r="L175" s="45"/>
      <c r="M175" s="44">
        <f t="shared" si="38"/>
        <v>873389.3</v>
      </c>
      <c r="N175" s="45"/>
      <c r="O175" s="45"/>
      <c r="P175" s="44">
        <v>101.94</v>
      </c>
      <c r="Q175" s="45"/>
      <c r="R175" s="45"/>
      <c r="S175" s="44">
        <f t="shared" si="39"/>
        <v>873389.3</v>
      </c>
      <c r="T175" s="45"/>
      <c r="U175" s="46"/>
      <c r="V175" s="9">
        <f t="shared" si="40"/>
        <v>84.95</v>
      </c>
      <c r="Y175" s="9">
        <f t="shared" si="41"/>
        <v>727824.42</v>
      </c>
      <c r="AD175" s="4" t="s">
        <v>510</v>
      </c>
      <c r="AE175" s="4" t="s">
        <v>507</v>
      </c>
      <c r="AF175" s="4" t="s">
        <v>508</v>
      </c>
    </row>
    <row r="176" spans="1:35" ht="18" x14ac:dyDescent="0.35">
      <c r="A176" s="17" t="s">
        <v>511</v>
      </c>
      <c r="B176" s="17"/>
      <c r="C176" s="34" t="s">
        <v>512</v>
      </c>
      <c r="D176" s="19"/>
      <c r="E176" s="19"/>
      <c r="F176" s="35" t="s">
        <v>78</v>
      </c>
      <c r="G176" s="36">
        <v>1</v>
      </c>
      <c r="H176" s="19"/>
      <c r="I176" s="48">
        <v>0</v>
      </c>
      <c r="J176" s="38">
        <v>10.4</v>
      </c>
      <c r="K176" s="39"/>
      <c r="L176" s="39"/>
      <c r="M176" s="38">
        <f t="shared" si="38"/>
        <v>0</v>
      </c>
      <c r="N176" s="39"/>
      <c r="O176" s="39"/>
      <c r="P176" s="38">
        <v>10.4</v>
      </c>
      <c r="Q176" s="39"/>
      <c r="R176" s="39"/>
      <c r="S176" s="38">
        <f t="shared" si="39"/>
        <v>0</v>
      </c>
      <c r="T176" s="39"/>
      <c r="U176" s="40"/>
      <c r="V176" s="9">
        <f t="shared" si="40"/>
        <v>8.67</v>
      </c>
      <c r="Y176" s="9">
        <f t="shared" si="41"/>
        <v>0</v>
      </c>
      <c r="AD176" s="4" t="s">
        <v>513</v>
      </c>
      <c r="AE176" s="4" t="s">
        <v>514</v>
      </c>
      <c r="AF176" s="4" t="s">
        <v>515</v>
      </c>
    </row>
    <row r="177" spans="1:35" ht="18" x14ac:dyDescent="0.35">
      <c r="A177" s="23" t="s">
        <v>516</v>
      </c>
      <c r="B177" s="23"/>
      <c r="C177" s="41" t="s">
        <v>512</v>
      </c>
      <c r="D177" s="25"/>
      <c r="E177" s="25"/>
      <c r="F177" s="42" t="s">
        <v>78</v>
      </c>
      <c r="G177" s="43">
        <v>1</v>
      </c>
      <c r="H177" s="25"/>
      <c r="I177" s="50">
        <v>6544</v>
      </c>
      <c r="J177" s="44">
        <v>10.4</v>
      </c>
      <c r="K177" s="45"/>
      <c r="L177" s="45"/>
      <c r="M177" s="44">
        <f t="shared" si="38"/>
        <v>68057.600000000006</v>
      </c>
      <c r="N177" s="45"/>
      <c r="O177" s="45"/>
      <c r="P177" s="44">
        <v>10.4</v>
      </c>
      <c r="Q177" s="45"/>
      <c r="R177" s="45"/>
      <c r="S177" s="44">
        <f t="shared" si="39"/>
        <v>68057.600000000006</v>
      </c>
      <c r="T177" s="45"/>
      <c r="U177" s="46"/>
      <c r="V177" s="9">
        <f t="shared" si="40"/>
        <v>8.67</v>
      </c>
      <c r="Y177" s="9">
        <f t="shared" si="41"/>
        <v>56714.67</v>
      </c>
      <c r="AD177" s="4" t="s">
        <v>517</v>
      </c>
      <c r="AE177" s="4" t="s">
        <v>514</v>
      </c>
      <c r="AF177" s="4" t="s">
        <v>515</v>
      </c>
    </row>
    <row r="178" spans="1:35" ht="36" x14ac:dyDescent="0.35">
      <c r="A178" s="51" t="s">
        <v>518</v>
      </c>
      <c r="B178" s="51" t="s">
        <v>482</v>
      </c>
      <c r="C178" s="52" t="s">
        <v>483</v>
      </c>
      <c r="D178" s="53"/>
      <c r="E178" s="53" t="s">
        <v>487</v>
      </c>
      <c r="F178" s="53" t="s">
        <v>63</v>
      </c>
      <c r="G178" s="54">
        <v>1</v>
      </c>
      <c r="H178" s="53"/>
      <c r="I178" s="54">
        <v>0</v>
      </c>
      <c r="J178" s="55">
        <f>IFERROR(ROUND(SUM(M179,M180,M181,M182)/I178, 2),0)</f>
        <v>0</v>
      </c>
      <c r="K178" s="55">
        <v>868</v>
      </c>
      <c r="L178" s="55">
        <f>J178+ROUND(K178, 2)</f>
        <v>868</v>
      </c>
      <c r="M178" s="55">
        <f>ROUND(J178*I178, 2)</f>
        <v>0</v>
      </c>
      <c r="N178" s="55">
        <f>ROUND(I178*ROUND(K178, 2), 2)</f>
        <v>0</v>
      </c>
      <c r="O178" s="55">
        <f>M178+N178</f>
        <v>0</v>
      </c>
      <c r="P178" s="55">
        <f>IFERROR(ROUND(SUM(S179,S180,S181,S182)/I178, 2),0)</f>
        <v>0</v>
      </c>
      <c r="Q178" s="55">
        <v>1302</v>
      </c>
      <c r="R178" s="55">
        <f>P178+ROUND(Q178, 2)</f>
        <v>1302</v>
      </c>
      <c r="S178" s="55">
        <f>ROUND(P178*I178, 2)</f>
        <v>0</v>
      </c>
      <c r="T178" s="55">
        <f>ROUND(I178*ROUND(Q178, 2), 2)</f>
        <v>0</v>
      </c>
      <c r="U178" s="55">
        <f>S178+T178</f>
        <v>0</v>
      </c>
      <c r="V178" s="9">
        <f>ROUND(P178 / 1.2, 2)</f>
        <v>0</v>
      </c>
      <c r="W178" s="9">
        <f>ROUND(Q178 / 1.2, 2)</f>
        <v>1085</v>
      </c>
      <c r="X178" s="9">
        <f>ROUND(R178 / 1.2, 2)</f>
        <v>1085</v>
      </c>
      <c r="Y178" s="9">
        <f t="shared" si="41"/>
        <v>0</v>
      </c>
      <c r="Z178" s="9">
        <f>ROUND(T178 / 1.2, 2)</f>
        <v>0</v>
      </c>
      <c r="AA178" s="9">
        <f>Y178+Z178</f>
        <v>0</v>
      </c>
      <c r="AD178" s="4">
        <v>305117018</v>
      </c>
      <c r="AE178" s="4">
        <v>22135706</v>
      </c>
      <c r="AG178" s="4" t="s">
        <v>484</v>
      </c>
      <c r="AH178" s="4" t="s">
        <v>485</v>
      </c>
      <c r="AI178" s="4" t="s">
        <v>467</v>
      </c>
    </row>
    <row r="179" spans="1:35" ht="18" x14ac:dyDescent="0.35">
      <c r="A179" s="51" t="s">
        <v>519</v>
      </c>
      <c r="B179" s="51"/>
      <c r="C179" s="56" t="s">
        <v>512</v>
      </c>
      <c r="D179" s="53"/>
      <c r="E179" s="53"/>
      <c r="F179" s="57" t="s">
        <v>78</v>
      </c>
      <c r="G179" s="58">
        <v>1</v>
      </c>
      <c r="H179" s="53"/>
      <c r="I179" s="62">
        <v>6544</v>
      </c>
      <c r="J179" s="59">
        <v>10.4</v>
      </c>
      <c r="K179" s="60"/>
      <c r="L179" s="60"/>
      <c r="M179" s="59">
        <f>ROUND(ROUND(J179, 2)*I179, 2)</f>
        <v>68057.600000000006</v>
      </c>
      <c r="N179" s="60"/>
      <c r="O179" s="60"/>
      <c r="P179" s="59">
        <v>10.4</v>
      </c>
      <c r="Q179" s="60"/>
      <c r="R179" s="60"/>
      <c r="S179" s="59">
        <f>ROUND(ROUND(P179, 2)*I179, 2)</f>
        <v>68057.600000000006</v>
      </c>
      <c r="T179" s="60"/>
      <c r="U179" s="61"/>
      <c r="V179" s="9">
        <f>ROUND(ROUND(P179, 2)/1.2, 2)</f>
        <v>8.67</v>
      </c>
      <c r="Y179" s="9">
        <f t="shared" si="41"/>
        <v>56714.67</v>
      </c>
      <c r="AD179" s="4" t="s">
        <v>520</v>
      </c>
      <c r="AE179" s="4" t="s">
        <v>521</v>
      </c>
      <c r="AF179" s="4" t="s">
        <v>515</v>
      </c>
    </row>
    <row r="180" spans="1:35" ht="18" x14ac:dyDescent="0.35">
      <c r="A180" s="51" t="s">
        <v>522</v>
      </c>
      <c r="B180" s="51"/>
      <c r="C180" s="56" t="s">
        <v>505</v>
      </c>
      <c r="D180" s="53"/>
      <c r="E180" s="53"/>
      <c r="F180" s="57" t="s">
        <v>63</v>
      </c>
      <c r="G180" s="58">
        <v>1.1000000000000001</v>
      </c>
      <c r="H180" s="53"/>
      <c r="I180" s="62">
        <v>8567.68</v>
      </c>
      <c r="J180" s="59">
        <v>101.94</v>
      </c>
      <c r="K180" s="60"/>
      <c r="L180" s="60"/>
      <c r="M180" s="59">
        <f>ROUND(ROUND(J180, 2)*I180, 2)</f>
        <v>873389.3</v>
      </c>
      <c r="N180" s="60"/>
      <c r="O180" s="60"/>
      <c r="P180" s="59">
        <v>101.94</v>
      </c>
      <c r="Q180" s="60"/>
      <c r="R180" s="60"/>
      <c r="S180" s="59">
        <f>ROUND(ROUND(P180, 2)*I180, 2)</f>
        <v>873389.3</v>
      </c>
      <c r="T180" s="60"/>
      <c r="U180" s="61"/>
      <c r="V180" s="9">
        <f>ROUND(ROUND(P180, 2)/1.2, 2)</f>
        <v>84.95</v>
      </c>
      <c r="Y180" s="9">
        <f t="shared" si="41"/>
        <v>727824.42</v>
      </c>
      <c r="AD180" s="4" t="s">
        <v>523</v>
      </c>
      <c r="AE180" s="4" t="s">
        <v>524</v>
      </c>
      <c r="AF180" s="4" t="s">
        <v>508</v>
      </c>
    </row>
    <row r="181" spans="1:35" ht="18" x14ac:dyDescent="0.35">
      <c r="A181" s="51" t="s">
        <v>525</v>
      </c>
      <c r="B181" s="51"/>
      <c r="C181" s="56" t="s">
        <v>497</v>
      </c>
      <c r="D181" s="53"/>
      <c r="E181" s="53"/>
      <c r="F181" s="57" t="s">
        <v>498</v>
      </c>
      <c r="G181" s="58">
        <v>1.8</v>
      </c>
      <c r="H181" s="53"/>
      <c r="I181" s="62">
        <v>14019.84</v>
      </c>
      <c r="J181" s="59">
        <v>6.17</v>
      </c>
      <c r="K181" s="60"/>
      <c r="L181" s="60"/>
      <c r="M181" s="59">
        <f>ROUND(ROUND(J181, 2)*I181, 2)</f>
        <v>86502.41</v>
      </c>
      <c r="N181" s="60"/>
      <c r="O181" s="60"/>
      <c r="P181" s="59">
        <v>6.17</v>
      </c>
      <c r="Q181" s="60"/>
      <c r="R181" s="60"/>
      <c r="S181" s="59">
        <f>ROUND(ROUND(P181, 2)*I181, 2)</f>
        <v>86502.41</v>
      </c>
      <c r="T181" s="60"/>
      <c r="U181" s="61"/>
      <c r="V181" s="9">
        <f>ROUND(ROUND(P181, 2)/1.2, 2)</f>
        <v>5.14</v>
      </c>
      <c r="Y181" s="9">
        <f t="shared" si="41"/>
        <v>72085.34</v>
      </c>
      <c r="AD181" s="4" t="s">
        <v>526</v>
      </c>
      <c r="AE181" s="4" t="s">
        <v>527</v>
      </c>
      <c r="AF181" s="4" t="s">
        <v>501</v>
      </c>
    </row>
    <row r="182" spans="1:35" ht="18" x14ac:dyDescent="0.35">
      <c r="A182" s="51" t="s">
        <v>528</v>
      </c>
      <c r="B182" s="51"/>
      <c r="C182" s="56" t="s">
        <v>489</v>
      </c>
      <c r="D182" s="53"/>
      <c r="E182" s="53"/>
      <c r="F182" s="57" t="s">
        <v>490</v>
      </c>
      <c r="G182" s="58">
        <v>8</v>
      </c>
      <c r="H182" s="53"/>
      <c r="I182" s="62">
        <v>62310.400000000001</v>
      </c>
      <c r="J182" s="59">
        <v>2.5</v>
      </c>
      <c r="K182" s="60"/>
      <c r="L182" s="60"/>
      <c r="M182" s="59">
        <f>ROUND(ROUND(J182, 2)*I182, 2)</f>
        <v>155776</v>
      </c>
      <c r="N182" s="60"/>
      <c r="O182" s="60"/>
      <c r="P182" s="59">
        <v>2.5</v>
      </c>
      <c r="Q182" s="60"/>
      <c r="R182" s="60"/>
      <c r="S182" s="59">
        <f>ROUND(ROUND(P182, 2)*I182, 2)</f>
        <v>155776</v>
      </c>
      <c r="T182" s="60"/>
      <c r="U182" s="61"/>
      <c r="V182" s="9">
        <f>ROUND(ROUND(P182, 2)/1.2, 2)</f>
        <v>2.08</v>
      </c>
      <c r="Y182" s="9">
        <f t="shared" si="41"/>
        <v>129813.33</v>
      </c>
      <c r="AD182" s="4" t="s">
        <v>529</v>
      </c>
      <c r="AE182" s="4" t="s">
        <v>530</v>
      </c>
      <c r="AF182" s="4" t="s">
        <v>493</v>
      </c>
    </row>
    <row r="183" spans="1:35" ht="36" x14ac:dyDescent="0.35">
      <c r="A183" s="17" t="s">
        <v>531</v>
      </c>
      <c r="B183" s="17" t="s">
        <v>532</v>
      </c>
      <c r="C183" s="18" t="s">
        <v>533</v>
      </c>
      <c r="D183" s="19"/>
      <c r="E183" s="19"/>
      <c r="F183" s="19" t="s">
        <v>63</v>
      </c>
      <c r="G183" s="20">
        <v>1</v>
      </c>
      <c r="H183" s="19"/>
      <c r="I183" s="21">
        <v>0</v>
      </c>
      <c r="J183" s="22">
        <v>177.17</v>
      </c>
      <c r="K183" s="22">
        <v>557</v>
      </c>
      <c r="L183" s="22">
        <f>J183+ROUND(K183, 2)</f>
        <v>734.17</v>
      </c>
      <c r="M183" s="22">
        <v>0</v>
      </c>
      <c r="N183" s="22">
        <v>0</v>
      </c>
      <c r="O183" s="22">
        <f>M183+N183</f>
        <v>0</v>
      </c>
      <c r="P183" s="22">
        <v>177.17</v>
      </c>
      <c r="Q183" s="22">
        <v>557</v>
      </c>
      <c r="R183" s="22">
        <f>P183+ROUND(Q183, 2)</f>
        <v>734.17</v>
      </c>
      <c r="S183" s="22">
        <v>0</v>
      </c>
      <c r="T183" s="22">
        <v>0</v>
      </c>
      <c r="U183" s="22">
        <f>S183+T183</f>
        <v>0</v>
      </c>
      <c r="V183" s="9">
        <f>ROUND(P183 / 1.2, 2)</f>
        <v>147.63999999999999</v>
      </c>
      <c r="W183" s="9">
        <f>ROUND(Q183 / 1.2, 2)</f>
        <v>464.17</v>
      </c>
      <c r="X183" s="9">
        <f>ROUND(R183 / 1.2, 2)</f>
        <v>611.80999999999995</v>
      </c>
      <c r="Y183" s="9">
        <f t="shared" si="41"/>
        <v>0</v>
      </c>
      <c r="Z183" s="9">
        <f>ROUND(T183 / 1.2, 2)</f>
        <v>0</v>
      </c>
      <c r="AA183" s="9">
        <f>Y183+Z183</f>
        <v>0</v>
      </c>
      <c r="AD183" s="4">
        <v>305116949</v>
      </c>
      <c r="AE183" s="4">
        <v>20926453</v>
      </c>
      <c r="AG183" s="4" t="s">
        <v>534</v>
      </c>
      <c r="AH183" s="4" t="s">
        <v>535</v>
      </c>
      <c r="AI183" s="4" t="s">
        <v>467</v>
      </c>
    </row>
    <row r="184" spans="1:35" ht="54" x14ac:dyDescent="0.35">
      <c r="A184" s="23" t="s">
        <v>536</v>
      </c>
      <c r="B184" s="23" t="s">
        <v>532</v>
      </c>
      <c r="C184" s="24" t="s">
        <v>533</v>
      </c>
      <c r="D184" s="25"/>
      <c r="E184" s="25" t="s">
        <v>537</v>
      </c>
      <c r="F184" s="25" t="s">
        <v>63</v>
      </c>
      <c r="G184" s="26">
        <v>1</v>
      </c>
      <c r="H184" s="25"/>
      <c r="I184" s="26">
        <v>583.70000000000005</v>
      </c>
      <c r="J184" s="27">
        <v>177.17</v>
      </c>
      <c r="K184" s="27">
        <v>557</v>
      </c>
      <c r="L184" s="27">
        <v>557</v>
      </c>
      <c r="M184" s="27">
        <v>103414.13</v>
      </c>
      <c r="N184" s="27">
        <v>325120.90000000002</v>
      </c>
      <c r="O184" s="27"/>
      <c r="P184" s="27">
        <v>177.17</v>
      </c>
      <c r="Q184" s="27">
        <v>557</v>
      </c>
      <c r="R184" s="27">
        <v>557</v>
      </c>
      <c r="S184" s="27">
        <v>103414.13</v>
      </c>
      <c r="T184" s="27">
        <v>325120.90000000002</v>
      </c>
      <c r="U184" s="27"/>
      <c r="V184" s="9"/>
      <c r="W184" s="9">
        <f>ROUND(Q184 / 1.2, 2)</f>
        <v>464.17</v>
      </c>
      <c r="X184" s="9">
        <f>ROUND(R184 / 1.2, 2)</f>
        <v>464.17</v>
      </c>
      <c r="Y184" s="9"/>
      <c r="Z184" s="9">
        <f>ROUND(T184 / 1.2, 2)</f>
        <v>270934.08</v>
      </c>
      <c r="AA184" s="9"/>
      <c r="AD184" s="4">
        <v>278587569</v>
      </c>
      <c r="AE184" s="4">
        <v>20926453</v>
      </c>
      <c r="AG184" s="4" t="s">
        <v>534</v>
      </c>
      <c r="AH184" s="4" t="s">
        <v>535</v>
      </c>
      <c r="AI184" s="4"/>
    </row>
    <row r="185" spans="1:35" ht="18" x14ac:dyDescent="0.35">
      <c r="A185" s="17" t="s">
        <v>538</v>
      </c>
      <c r="B185" s="17"/>
      <c r="C185" s="34" t="s">
        <v>512</v>
      </c>
      <c r="D185" s="19"/>
      <c r="E185" s="19"/>
      <c r="F185" s="35" t="s">
        <v>78</v>
      </c>
      <c r="G185" s="36">
        <v>1</v>
      </c>
      <c r="H185" s="19"/>
      <c r="I185" s="48">
        <v>0</v>
      </c>
      <c r="J185" s="38">
        <v>10.4</v>
      </c>
      <c r="K185" s="39"/>
      <c r="L185" s="39"/>
      <c r="M185" s="38">
        <f t="shared" ref="M185:M190" si="42">ROUND(ROUND(J185, 2)*I185, 2)</f>
        <v>0</v>
      </c>
      <c r="N185" s="39"/>
      <c r="O185" s="39"/>
      <c r="P185" s="38">
        <v>10.4</v>
      </c>
      <c r="Q185" s="39"/>
      <c r="R185" s="39"/>
      <c r="S185" s="38">
        <f t="shared" ref="S185:S190" si="43">ROUND(ROUND(P185, 2)*I185, 2)</f>
        <v>0</v>
      </c>
      <c r="T185" s="39"/>
      <c r="U185" s="40"/>
      <c r="V185" s="9">
        <f t="shared" ref="V185:V190" si="44">ROUND(ROUND(P185, 2)/1.2, 2)</f>
        <v>8.67</v>
      </c>
      <c r="Y185" s="9">
        <f t="shared" ref="Y185:Y194" si="45">ROUND(S185 / 1.2, 2)</f>
        <v>0</v>
      </c>
      <c r="AD185" s="4" t="s">
        <v>539</v>
      </c>
      <c r="AE185" s="4" t="s">
        <v>540</v>
      </c>
      <c r="AF185" s="4" t="s">
        <v>515</v>
      </c>
    </row>
    <row r="186" spans="1:35" ht="18" x14ac:dyDescent="0.35">
      <c r="A186" s="23" t="s">
        <v>541</v>
      </c>
      <c r="B186" s="23"/>
      <c r="C186" s="41" t="s">
        <v>512</v>
      </c>
      <c r="D186" s="25"/>
      <c r="E186" s="25"/>
      <c r="F186" s="42" t="s">
        <v>78</v>
      </c>
      <c r="G186" s="43">
        <v>1</v>
      </c>
      <c r="H186" s="25"/>
      <c r="I186" s="50">
        <v>96.64</v>
      </c>
      <c r="J186" s="44">
        <v>10.4</v>
      </c>
      <c r="K186" s="45"/>
      <c r="L186" s="45"/>
      <c r="M186" s="44">
        <f t="shared" si="42"/>
        <v>1005.06</v>
      </c>
      <c r="N186" s="45"/>
      <c r="O186" s="45"/>
      <c r="P186" s="44">
        <v>10.4</v>
      </c>
      <c r="Q186" s="45"/>
      <c r="R186" s="45"/>
      <c r="S186" s="44">
        <f t="shared" si="43"/>
        <v>1005.06</v>
      </c>
      <c r="T186" s="45"/>
      <c r="U186" s="46"/>
      <c r="V186" s="9">
        <f t="shared" si="44"/>
        <v>8.67</v>
      </c>
      <c r="Y186" s="9">
        <f t="shared" si="45"/>
        <v>837.55</v>
      </c>
      <c r="AD186" s="4" t="s">
        <v>542</v>
      </c>
      <c r="AE186" s="4" t="s">
        <v>540</v>
      </c>
      <c r="AF186" s="4" t="s">
        <v>515</v>
      </c>
    </row>
    <row r="187" spans="1:35" ht="36" x14ac:dyDescent="0.35">
      <c r="A187" s="17" t="s">
        <v>543</v>
      </c>
      <c r="B187" s="17"/>
      <c r="C187" s="34" t="s">
        <v>544</v>
      </c>
      <c r="D187" s="19"/>
      <c r="E187" s="19"/>
      <c r="F187" s="35" t="s">
        <v>498</v>
      </c>
      <c r="G187" s="36">
        <v>0.255</v>
      </c>
      <c r="H187" s="19"/>
      <c r="I187" s="37">
        <v>0</v>
      </c>
      <c r="J187" s="38">
        <v>88.8</v>
      </c>
      <c r="K187" s="39"/>
      <c r="L187" s="39"/>
      <c r="M187" s="38">
        <f t="shared" si="42"/>
        <v>0</v>
      </c>
      <c r="N187" s="39"/>
      <c r="O187" s="39"/>
      <c r="P187" s="38">
        <v>88.8</v>
      </c>
      <c r="Q187" s="39"/>
      <c r="R187" s="39"/>
      <c r="S187" s="38">
        <f t="shared" si="43"/>
        <v>0</v>
      </c>
      <c r="T187" s="39"/>
      <c r="U187" s="40"/>
      <c r="V187" s="9">
        <f t="shared" si="44"/>
        <v>74</v>
      </c>
      <c r="Y187" s="9">
        <f t="shared" si="45"/>
        <v>0</v>
      </c>
      <c r="AD187" s="4" t="s">
        <v>545</v>
      </c>
      <c r="AE187" s="4" t="s">
        <v>546</v>
      </c>
      <c r="AF187" s="4" t="s">
        <v>547</v>
      </c>
    </row>
    <row r="188" spans="1:35" ht="36" x14ac:dyDescent="0.35">
      <c r="A188" s="23" t="s">
        <v>548</v>
      </c>
      <c r="B188" s="23"/>
      <c r="C188" s="41" t="s">
        <v>544</v>
      </c>
      <c r="D188" s="25"/>
      <c r="E188" s="25"/>
      <c r="F188" s="42" t="s">
        <v>498</v>
      </c>
      <c r="G188" s="43">
        <v>0.255</v>
      </c>
      <c r="H188" s="25"/>
      <c r="I188" s="43">
        <v>148.84399999999999</v>
      </c>
      <c r="J188" s="44">
        <v>88.8</v>
      </c>
      <c r="K188" s="45"/>
      <c r="L188" s="45"/>
      <c r="M188" s="44">
        <f t="shared" si="42"/>
        <v>13217.35</v>
      </c>
      <c r="N188" s="45"/>
      <c r="O188" s="45"/>
      <c r="P188" s="44">
        <v>88.8</v>
      </c>
      <c r="Q188" s="45"/>
      <c r="R188" s="45"/>
      <c r="S188" s="44">
        <f t="shared" si="43"/>
        <v>13217.35</v>
      </c>
      <c r="T188" s="45"/>
      <c r="U188" s="46"/>
      <c r="V188" s="9">
        <f t="shared" si="44"/>
        <v>74</v>
      </c>
      <c r="Y188" s="9">
        <f t="shared" si="45"/>
        <v>11014.46</v>
      </c>
      <c r="AD188" s="4" t="s">
        <v>549</v>
      </c>
      <c r="AE188" s="4" t="s">
        <v>546</v>
      </c>
      <c r="AF188" s="4" t="s">
        <v>547</v>
      </c>
    </row>
    <row r="189" spans="1:35" ht="36" x14ac:dyDescent="0.35">
      <c r="A189" s="17" t="s">
        <v>550</v>
      </c>
      <c r="B189" s="17"/>
      <c r="C189" s="34" t="s">
        <v>551</v>
      </c>
      <c r="D189" s="19"/>
      <c r="E189" s="19"/>
      <c r="F189" s="35" t="s">
        <v>498</v>
      </c>
      <c r="G189" s="36">
        <v>1.6</v>
      </c>
      <c r="H189" s="19"/>
      <c r="I189" s="48">
        <v>0</v>
      </c>
      <c r="J189" s="38">
        <v>9.5500000000000007</v>
      </c>
      <c r="K189" s="39"/>
      <c r="L189" s="39"/>
      <c r="M189" s="38">
        <f t="shared" si="42"/>
        <v>0</v>
      </c>
      <c r="N189" s="39"/>
      <c r="O189" s="39"/>
      <c r="P189" s="38">
        <v>9.5500000000000007</v>
      </c>
      <c r="Q189" s="39"/>
      <c r="R189" s="39"/>
      <c r="S189" s="38">
        <f t="shared" si="43"/>
        <v>0</v>
      </c>
      <c r="T189" s="39"/>
      <c r="U189" s="40"/>
      <c r="V189" s="9">
        <f t="shared" si="44"/>
        <v>7.96</v>
      </c>
      <c r="Y189" s="9">
        <f t="shared" si="45"/>
        <v>0</v>
      </c>
      <c r="AD189" s="4" t="s">
        <v>552</v>
      </c>
      <c r="AE189" s="4" t="s">
        <v>553</v>
      </c>
      <c r="AF189" s="4" t="s">
        <v>554</v>
      </c>
    </row>
    <row r="190" spans="1:35" ht="36" x14ac:dyDescent="0.35">
      <c r="A190" s="23" t="s">
        <v>555</v>
      </c>
      <c r="B190" s="23"/>
      <c r="C190" s="41" t="s">
        <v>551</v>
      </c>
      <c r="D190" s="25"/>
      <c r="E190" s="25"/>
      <c r="F190" s="42" t="s">
        <v>498</v>
      </c>
      <c r="G190" s="43">
        <v>1.6</v>
      </c>
      <c r="H190" s="25"/>
      <c r="I190" s="50">
        <v>9339.2000000000007</v>
      </c>
      <c r="J190" s="44">
        <v>9.5500000000000007</v>
      </c>
      <c r="K190" s="45"/>
      <c r="L190" s="45"/>
      <c r="M190" s="44">
        <f t="shared" si="42"/>
        <v>89189.36</v>
      </c>
      <c r="N190" s="45"/>
      <c r="O190" s="45"/>
      <c r="P190" s="44">
        <v>9.5500000000000007</v>
      </c>
      <c r="Q190" s="45"/>
      <c r="R190" s="45"/>
      <c r="S190" s="44">
        <f t="shared" si="43"/>
        <v>89189.36</v>
      </c>
      <c r="T190" s="45"/>
      <c r="U190" s="46"/>
      <c r="V190" s="9">
        <f t="shared" si="44"/>
        <v>7.96</v>
      </c>
      <c r="Y190" s="9">
        <f t="shared" si="45"/>
        <v>74324.47</v>
      </c>
      <c r="AD190" s="4" t="s">
        <v>556</v>
      </c>
      <c r="AE190" s="4" t="s">
        <v>553</v>
      </c>
      <c r="AF190" s="4" t="s">
        <v>554</v>
      </c>
    </row>
    <row r="191" spans="1:35" ht="54" x14ac:dyDescent="0.35">
      <c r="A191" s="51" t="s">
        <v>557</v>
      </c>
      <c r="B191" s="51" t="s">
        <v>532</v>
      </c>
      <c r="C191" s="52" t="s">
        <v>533</v>
      </c>
      <c r="D191" s="53"/>
      <c r="E191" s="53" t="s">
        <v>537</v>
      </c>
      <c r="F191" s="53" t="s">
        <v>63</v>
      </c>
      <c r="G191" s="54">
        <v>1</v>
      </c>
      <c r="H191" s="53"/>
      <c r="I191" s="54">
        <v>0</v>
      </c>
      <c r="J191" s="55">
        <f>IFERROR(ROUND(SUM(M192,M193,M194)/I191, 2),0)</f>
        <v>0</v>
      </c>
      <c r="K191" s="55">
        <v>557</v>
      </c>
      <c r="L191" s="55">
        <f>J191+ROUND(K191, 2)</f>
        <v>557</v>
      </c>
      <c r="M191" s="55">
        <f>ROUND(J191*I191, 2)</f>
        <v>0</v>
      </c>
      <c r="N191" s="55">
        <f>ROUND(I191*ROUND(K191, 2), 2)</f>
        <v>0</v>
      </c>
      <c r="O191" s="55">
        <f>M191+N191</f>
        <v>0</v>
      </c>
      <c r="P191" s="55">
        <f>IFERROR(ROUND(SUM(S192,S193,S194)/I191, 2),0)</f>
        <v>0</v>
      </c>
      <c r="Q191" s="55">
        <v>835.5</v>
      </c>
      <c r="R191" s="55">
        <f>P191+ROUND(Q191, 2)</f>
        <v>835.5</v>
      </c>
      <c r="S191" s="55">
        <f>ROUND(P191*I191, 2)</f>
        <v>0</v>
      </c>
      <c r="T191" s="55">
        <f>ROUND(I191*ROUND(Q191, 2), 2)</f>
        <v>0</v>
      </c>
      <c r="U191" s="55">
        <f>S191+T191</f>
        <v>0</v>
      </c>
      <c r="V191" s="9">
        <f>ROUND(P191 / 1.2, 2)</f>
        <v>0</v>
      </c>
      <c r="W191" s="9">
        <f>ROUND(Q191 / 1.2, 2)</f>
        <v>696.25</v>
      </c>
      <c r="X191" s="9">
        <f>ROUND(R191 / 1.2, 2)</f>
        <v>696.25</v>
      </c>
      <c r="Y191" s="9">
        <f t="shared" si="45"/>
        <v>0</v>
      </c>
      <c r="Z191" s="9">
        <f>ROUND(T191 / 1.2, 2)</f>
        <v>0</v>
      </c>
      <c r="AA191" s="9">
        <f>Y191+Z191</f>
        <v>0</v>
      </c>
      <c r="AD191" s="4">
        <v>305117019</v>
      </c>
      <c r="AE191" s="4">
        <v>22135716</v>
      </c>
      <c r="AG191" s="4" t="s">
        <v>534</v>
      </c>
      <c r="AH191" s="4" t="s">
        <v>535</v>
      </c>
      <c r="AI191" s="4" t="s">
        <v>467</v>
      </c>
    </row>
    <row r="192" spans="1:35" ht="36" x14ac:dyDescent="0.35">
      <c r="A192" s="51" t="s">
        <v>558</v>
      </c>
      <c r="B192" s="51"/>
      <c r="C192" s="47" t="s">
        <v>551</v>
      </c>
      <c r="D192" s="53"/>
      <c r="E192" s="53"/>
      <c r="F192" s="57" t="s">
        <v>498</v>
      </c>
      <c r="G192" s="58">
        <v>1.6</v>
      </c>
      <c r="H192" s="53"/>
      <c r="I192" s="62">
        <v>9339.2000000000007</v>
      </c>
      <c r="J192" s="59">
        <v>9.07</v>
      </c>
      <c r="K192" s="60"/>
      <c r="L192" s="60"/>
      <c r="M192" s="59">
        <f>ROUND(ROUND(J192, 2)*I192, 2)</f>
        <v>84706.54</v>
      </c>
      <c r="N192" s="60"/>
      <c r="O192" s="60"/>
      <c r="P192" s="59">
        <v>9.07</v>
      </c>
      <c r="Q192" s="60"/>
      <c r="R192" s="60"/>
      <c r="S192" s="59">
        <f>ROUND(ROUND(P192, 2)*I192, 2)</f>
        <v>84706.54</v>
      </c>
      <c r="T192" s="60"/>
      <c r="U192" s="61"/>
      <c r="V192" s="9">
        <f>ROUND(ROUND(P192, 2)/1.2, 2)</f>
        <v>7.56</v>
      </c>
      <c r="Y192" s="9">
        <f t="shared" si="45"/>
        <v>70588.78</v>
      </c>
      <c r="AD192" s="4" t="s">
        <v>559</v>
      </c>
      <c r="AE192" s="4" t="s">
        <v>560</v>
      </c>
      <c r="AF192" s="4" t="s">
        <v>554</v>
      </c>
    </row>
    <row r="193" spans="1:35" ht="36" x14ac:dyDescent="0.35">
      <c r="A193" s="51" t="s">
        <v>561</v>
      </c>
      <c r="B193" s="51"/>
      <c r="C193" s="56" t="s">
        <v>544</v>
      </c>
      <c r="D193" s="53"/>
      <c r="E193" s="53"/>
      <c r="F193" s="57" t="s">
        <v>498</v>
      </c>
      <c r="G193" s="58">
        <v>0.255</v>
      </c>
      <c r="H193" s="53"/>
      <c r="I193" s="58">
        <v>0</v>
      </c>
      <c r="J193" s="59">
        <v>88.8</v>
      </c>
      <c r="K193" s="60"/>
      <c r="L193" s="60"/>
      <c r="M193" s="59">
        <f>ROUND(ROUND(J193, 2)*I193, 2)</f>
        <v>0</v>
      </c>
      <c r="N193" s="60"/>
      <c r="O193" s="60"/>
      <c r="P193" s="59">
        <v>88.8</v>
      </c>
      <c r="Q193" s="60"/>
      <c r="R193" s="60"/>
      <c r="S193" s="59">
        <f>ROUND(ROUND(P193, 2)*I193, 2)</f>
        <v>0</v>
      </c>
      <c r="T193" s="60"/>
      <c r="U193" s="61"/>
      <c r="V193" s="9">
        <f>ROUND(ROUND(P193, 2)/1.2, 2)</f>
        <v>74</v>
      </c>
      <c r="Y193" s="9">
        <f t="shared" si="45"/>
        <v>0</v>
      </c>
      <c r="AD193" s="4" t="s">
        <v>562</v>
      </c>
      <c r="AE193" s="4" t="s">
        <v>563</v>
      </c>
      <c r="AF193" s="4" t="s">
        <v>547</v>
      </c>
    </row>
    <row r="194" spans="1:35" ht="18" x14ac:dyDescent="0.35">
      <c r="A194" s="51" t="s">
        <v>564</v>
      </c>
      <c r="B194" s="51"/>
      <c r="C194" s="56" t="s">
        <v>512</v>
      </c>
      <c r="D194" s="53"/>
      <c r="E194" s="53"/>
      <c r="F194" s="57" t="s">
        <v>78</v>
      </c>
      <c r="G194" s="58">
        <v>1</v>
      </c>
      <c r="H194" s="53"/>
      <c r="I194" s="62">
        <v>96.64</v>
      </c>
      <c r="J194" s="59">
        <v>10.4</v>
      </c>
      <c r="K194" s="60"/>
      <c r="L194" s="60"/>
      <c r="M194" s="59">
        <f>ROUND(ROUND(J194, 2)*I194, 2)</f>
        <v>1005.06</v>
      </c>
      <c r="N194" s="60"/>
      <c r="O194" s="60"/>
      <c r="P194" s="59">
        <v>10.4</v>
      </c>
      <c r="Q194" s="60"/>
      <c r="R194" s="60"/>
      <c r="S194" s="59">
        <f>ROUND(ROUND(P194, 2)*I194, 2)</f>
        <v>1005.06</v>
      </c>
      <c r="T194" s="60"/>
      <c r="U194" s="61"/>
      <c r="V194" s="9">
        <f>ROUND(ROUND(P194, 2)/1.2, 2)</f>
        <v>8.67</v>
      </c>
      <c r="Y194" s="9">
        <f t="shared" si="45"/>
        <v>837.55</v>
      </c>
      <c r="AD194" s="4" t="s">
        <v>565</v>
      </c>
      <c r="AE194" s="4" t="s">
        <v>566</v>
      </c>
      <c r="AF194" s="4" t="s">
        <v>515</v>
      </c>
    </row>
    <row r="195" spans="1:35" ht="17" customHeight="1" x14ac:dyDescent="0.35">
      <c r="A195" s="10" t="s">
        <v>567</v>
      </c>
      <c r="B195" s="10" t="s">
        <v>568</v>
      </c>
      <c r="C195" s="174" t="s">
        <v>569</v>
      </c>
      <c r="D195" s="175"/>
      <c r="E195" s="175"/>
      <c r="F195" s="175"/>
      <c r="G195" s="175"/>
      <c r="H195" s="175"/>
      <c r="I195" s="176"/>
      <c r="M195" s="6">
        <f>SUM(M196,M200,M202,M206,M208,M212,M214,M218,M220,M224,M228,M232,M236,M240,M244,M246,M248,M250,M252,M254,M256,M260)</f>
        <v>0</v>
      </c>
      <c r="N195" s="6">
        <f>SUM(N196,N200,N202,N206,N208,N212,N214,N218,N220,N224,N228,N232,N236,N240,N244,N246,N248,N250,N252,N254,N256,N260)</f>
        <v>0</v>
      </c>
      <c r="O195" s="6">
        <f>SUM(O196,O200,O202,O206,O208,O212,O214,O218,O220,O224,O228,O232,O236,O240,O244,O246,O248,O250,O252,O254,O256,O260)</f>
        <v>0</v>
      </c>
      <c r="S195" s="6">
        <f>SUM(S196,S200,S202,S206,S208,S212,S214,S218,S220,S224,S228,S232,S236,S240,S244,S246,S248,S250,S252,S254,S256,S260)</f>
        <v>0</v>
      </c>
      <c r="T195" s="6">
        <f>SUM(T196,T200,T202,T206,T208,T212,T214,T218,T220,T224,T228,T232,T236,T240,T244,T246,T248,T250,T252,T254,T256,T260)</f>
        <v>0</v>
      </c>
      <c r="U195" s="6">
        <f>SUM(U196,U200,U202,U206,U208,U212,U214,U218,U220,U224,U228,U232,U236,U240,U244,U246,U248,U250,U252,U254,U256,U260)</f>
        <v>0</v>
      </c>
      <c r="Y195" s="9">
        <f>SUM(Y196,Y200,Y202,Y206,Y208,Y212,Y214,Y218,Y220,Y224,Y228,Y232,Y236,Y240,Y244,Y246,Y248,Y250,Y252,Y254,Y256,Y260)</f>
        <v>0</v>
      </c>
      <c r="Z195" s="9">
        <f>SUM(Z196,Z200,Z202,Z206,Z208,Z212,Z214,Z218,Z220,Z224,Z228,Z232,Z236,Z240,Z244,Z246,Z248,Z250,Z252,Z254,Z256,Z260)</f>
        <v>0</v>
      </c>
      <c r="AA195" s="9">
        <f>SUM(AA196,AA200,AA202,AA206,AA208,AA212,AA214,AA218,AA220,AA224,AA228,AA232,AA236,AA240,AA244,AA246,AA248,AA250,AA252,AA254,AA256,AA260)</f>
        <v>0</v>
      </c>
      <c r="AD195" s="4">
        <v>305116950</v>
      </c>
      <c r="AE195" s="4">
        <v>20926471</v>
      </c>
    </row>
    <row r="196" spans="1:35" ht="54" x14ac:dyDescent="0.35">
      <c r="A196" s="17" t="s">
        <v>570</v>
      </c>
      <c r="B196" s="17" t="s">
        <v>571</v>
      </c>
      <c r="C196" s="18" t="s">
        <v>572</v>
      </c>
      <c r="D196" s="19"/>
      <c r="E196" s="19"/>
      <c r="F196" s="19" t="s">
        <v>63</v>
      </c>
      <c r="G196" s="20">
        <v>1</v>
      </c>
      <c r="H196" s="19"/>
      <c r="I196" s="21">
        <v>0</v>
      </c>
      <c r="J196" s="22">
        <v>997.82</v>
      </c>
      <c r="K196" s="22">
        <v>162</v>
      </c>
      <c r="L196" s="22">
        <f>J196+ROUND(K196, 2)</f>
        <v>1159.8200000000002</v>
      </c>
      <c r="M196" s="22">
        <v>0</v>
      </c>
      <c r="N196" s="22">
        <v>0</v>
      </c>
      <c r="O196" s="22">
        <f>M196+N196</f>
        <v>0</v>
      </c>
      <c r="P196" s="22">
        <v>997.82</v>
      </c>
      <c r="Q196" s="22">
        <v>162</v>
      </c>
      <c r="R196" s="22">
        <f>P196+ROUND(Q196, 2)</f>
        <v>1159.8200000000002</v>
      </c>
      <c r="S196" s="22">
        <v>0</v>
      </c>
      <c r="T196" s="22">
        <v>0</v>
      </c>
      <c r="U196" s="22">
        <f>S196+T196</f>
        <v>0</v>
      </c>
      <c r="V196" s="9">
        <f>ROUND(P196 / 1.2, 2)</f>
        <v>831.52</v>
      </c>
      <c r="W196" s="9">
        <f>ROUND(Q196 / 1.2, 2)</f>
        <v>135</v>
      </c>
      <c r="X196" s="9">
        <f>ROUND(R196 / 1.2, 2)</f>
        <v>966.52</v>
      </c>
      <c r="Y196" s="9">
        <f>ROUND(S196 / 1.2, 2)</f>
        <v>0</v>
      </c>
      <c r="Z196" s="9">
        <f>ROUND(T196 / 1.2, 2)</f>
        <v>0</v>
      </c>
      <c r="AA196" s="9">
        <f>Y196+Z196</f>
        <v>0</v>
      </c>
      <c r="AD196" s="4">
        <v>305116952</v>
      </c>
      <c r="AE196" s="4">
        <v>20927265</v>
      </c>
      <c r="AG196" s="4" t="s">
        <v>573</v>
      </c>
      <c r="AH196" s="4" t="s">
        <v>574</v>
      </c>
      <c r="AI196" s="4" t="s">
        <v>467</v>
      </c>
    </row>
    <row r="197" spans="1:35" ht="54" x14ac:dyDescent="0.35">
      <c r="A197" s="23" t="s">
        <v>575</v>
      </c>
      <c r="B197" s="23" t="s">
        <v>571</v>
      </c>
      <c r="C197" s="24" t="s">
        <v>572</v>
      </c>
      <c r="D197" s="25"/>
      <c r="E197" s="25" t="s">
        <v>576</v>
      </c>
      <c r="F197" s="25" t="s">
        <v>63</v>
      </c>
      <c r="G197" s="26">
        <v>1</v>
      </c>
      <c r="H197" s="25"/>
      <c r="I197" s="26">
        <v>168.4</v>
      </c>
      <c r="J197" s="27">
        <v>997.82</v>
      </c>
      <c r="K197" s="27">
        <v>162</v>
      </c>
      <c r="L197" s="27">
        <v>162</v>
      </c>
      <c r="M197" s="27">
        <v>168032.89</v>
      </c>
      <c r="N197" s="27">
        <v>27280.799999999999</v>
      </c>
      <c r="O197" s="27"/>
      <c r="P197" s="27">
        <v>997.82</v>
      </c>
      <c r="Q197" s="27">
        <v>162</v>
      </c>
      <c r="R197" s="27">
        <v>162</v>
      </c>
      <c r="S197" s="27">
        <v>168032.89</v>
      </c>
      <c r="T197" s="27">
        <v>27280.799999999999</v>
      </c>
      <c r="U197" s="27"/>
      <c r="V197" s="9"/>
      <c r="W197" s="9">
        <f>ROUND(Q197 / 1.2, 2)</f>
        <v>135</v>
      </c>
      <c r="X197" s="9">
        <f>ROUND(R197 / 1.2, 2)</f>
        <v>135</v>
      </c>
      <c r="Y197" s="9"/>
      <c r="Z197" s="9">
        <f>ROUND(T197 / 1.2, 2)</f>
        <v>22734</v>
      </c>
      <c r="AA197" s="9"/>
      <c r="AD197" s="4">
        <v>276896377</v>
      </c>
      <c r="AE197" s="4">
        <v>20927265</v>
      </c>
      <c r="AG197" s="4" t="s">
        <v>573</v>
      </c>
      <c r="AH197" s="4" t="s">
        <v>574</v>
      </c>
      <c r="AI197" s="4"/>
    </row>
    <row r="198" spans="1:35" ht="36" x14ac:dyDescent="0.35">
      <c r="A198" s="17" t="s">
        <v>577</v>
      </c>
      <c r="B198" s="17"/>
      <c r="C198" s="34" t="s">
        <v>578</v>
      </c>
      <c r="D198" s="19"/>
      <c r="E198" s="19"/>
      <c r="F198" s="35" t="s">
        <v>498</v>
      </c>
      <c r="G198" s="36">
        <v>1</v>
      </c>
      <c r="H198" s="19"/>
      <c r="I198" s="37">
        <v>0</v>
      </c>
      <c r="J198" s="38">
        <v>997.82</v>
      </c>
      <c r="K198" s="39"/>
      <c r="L198" s="39"/>
      <c r="M198" s="38">
        <f>ROUND(ROUND(J198, 2)*I198, 2)</f>
        <v>0</v>
      </c>
      <c r="N198" s="39"/>
      <c r="O198" s="39"/>
      <c r="P198" s="38">
        <v>997.82</v>
      </c>
      <c r="Q198" s="39"/>
      <c r="R198" s="39"/>
      <c r="S198" s="38">
        <f>ROUND(ROUND(P198, 2)*I198, 2)</f>
        <v>0</v>
      </c>
      <c r="T198" s="39"/>
      <c r="U198" s="40"/>
      <c r="V198" s="9">
        <f>ROUND(ROUND(P198, 2)/1.2, 2)</f>
        <v>831.52</v>
      </c>
      <c r="Y198" s="9">
        <f>ROUND(S198 / 1.2, 2)</f>
        <v>0</v>
      </c>
      <c r="AD198" s="4" t="s">
        <v>579</v>
      </c>
      <c r="AE198" s="4" t="s">
        <v>580</v>
      </c>
      <c r="AF198" s="4" t="s">
        <v>581</v>
      </c>
    </row>
    <row r="199" spans="1:35" ht="36" x14ac:dyDescent="0.35">
      <c r="A199" s="23" t="s">
        <v>582</v>
      </c>
      <c r="B199" s="23"/>
      <c r="C199" s="41" t="s">
        <v>578</v>
      </c>
      <c r="D199" s="25"/>
      <c r="E199" s="25"/>
      <c r="F199" s="42" t="s">
        <v>498</v>
      </c>
      <c r="G199" s="43">
        <v>1</v>
      </c>
      <c r="H199" s="25"/>
      <c r="I199" s="43">
        <v>168.4</v>
      </c>
      <c r="J199" s="44">
        <v>997.82</v>
      </c>
      <c r="K199" s="45"/>
      <c r="L199" s="45"/>
      <c r="M199" s="44">
        <f>ROUND(ROUND(J199, 2)*I199, 2)</f>
        <v>168032.89</v>
      </c>
      <c r="N199" s="45"/>
      <c r="O199" s="45"/>
      <c r="P199" s="44">
        <v>997.82</v>
      </c>
      <c r="Q199" s="45"/>
      <c r="R199" s="45"/>
      <c r="S199" s="44">
        <f>ROUND(ROUND(P199, 2)*I199, 2)</f>
        <v>168032.89</v>
      </c>
      <c r="T199" s="45"/>
      <c r="U199" s="46"/>
      <c r="V199" s="9">
        <f>ROUND(ROUND(P199, 2)/1.2, 2)</f>
        <v>831.52</v>
      </c>
      <c r="Y199" s="9">
        <f>ROUND(S199 / 1.2, 2)</f>
        <v>140027.41</v>
      </c>
      <c r="AD199" s="4" t="s">
        <v>583</v>
      </c>
      <c r="AE199" s="4" t="s">
        <v>580</v>
      </c>
      <c r="AF199" s="4" t="s">
        <v>581</v>
      </c>
    </row>
    <row r="200" spans="1:35" ht="54" x14ac:dyDescent="0.35">
      <c r="A200" s="51" t="s">
        <v>584</v>
      </c>
      <c r="B200" s="51" t="s">
        <v>571</v>
      </c>
      <c r="C200" s="52" t="s">
        <v>572</v>
      </c>
      <c r="D200" s="53"/>
      <c r="E200" s="53" t="s">
        <v>576</v>
      </c>
      <c r="F200" s="53" t="s">
        <v>63</v>
      </c>
      <c r="G200" s="54">
        <v>1</v>
      </c>
      <c r="H200" s="53"/>
      <c r="I200" s="54">
        <v>0</v>
      </c>
      <c r="J200" s="55">
        <f>IFERROR(ROUND(SUM(M201)/I200, 2),0)</f>
        <v>0</v>
      </c>
      <c r="K200" s="55">
        <v>162</v>
      </c>
      <c r="L200" s="55">
        <f>J200+ROUND(K200, 2)</f>
        <v>162</v>
      </c>
      <c r="M200" s="55">
        <f>ROUND(J200*I200, 2)</f>
        <v>0</v>
      </c>
      <c r="N200" s="55">
        <f>ROUND(I200*ROUND(K200, 2), 2)</f>
        <v>0</v>
      </c>
      <c r="O200" s="55">
        <f>M200+N200</f>
        <v>0</v>
      </c>
      <c r="P200" s="55">
        <f>IFERROR(ROUND(SUM(S201)/I200, 2),0)</f>
        <v>0</v>
      </c>
      <c r="Q200" s="55">
        <v>243</v>
      </c>
      <c r="R200" s="55">
        <f>P200+ROUND(Q200, 2)</f>
        <v>243</v>
      </c>
      <c r="S200" s="55">
        <f>ROUND(P200*I200, 2)</f>
        <v>0</v>
      </c>
      <c r="T200" s="55">
        <f>ROUND(I200*ROUND(Q200, 2), 2)</f>
        <v>0</v>
      </c>
      <c r="U200" s="55">
        <f>S200+T200</f>
        <v>0</v>
      </c>
      <c r="V200" s="9">
        <f>ROUND(P200 / 1.2, 2)</f>
        <v>0</v>
      </c>
      <c r="W200" s="9">
        <f>ROUND(Q200 / 1.2, 2)</f>
        <v>202.5</v>
      </c>
      <c r="X200" s="9">
        <f>ROUND(R200 / 1.2, 2)</f>
        <v>202.5</v>
      </c>
      <c r="Y200" s="9">
        <f>ROUND(S200 / 1.2, 2)</f>
        <v>0</v>
      </c>
      <c r="Z200" s="9">
        <f>ROUND(T200 / 1.2, 2)</f>
        <v>0</v>
      </c>
      <c r="AA200" s="9">
        <f>Y200+Z200</f>
        <v>0</v>
      </c>
      <c r="AD200" s="4">
        <v>305117020</v>
      </c>
      <c r="AE200" s="4">
        <v>22135728</v>
      </c>
      <c r="AG200" s="4" t="s">
        <v>573</v>
      </c>
      <c r="AH200" s="4" t="s">
        <v>574</v>
      </c>
      <c r="AI200" s="4" t="s">
        <v>467</v>
      </c>
    </row>
    <row r="201" spans="1:35" ht="36" x14ac:dyDescent="0.35">
      <c r="A201" s="51" t="s">
        <v>585</v>
      </c>
      <c r="B201" s="51"/>
      <c r="C201" s="56" t="s">
        <v>578</v>
      </c>
      <c r="D201" s="53"/>
      <c r="E201" s="53"/>
      <c r="F201" s="57" t="s">
        <v>498</v>
      </c>
      <c r="G201" s="58">
        <v>1</v>
      </c>
      <c r="H201" s="53"/>
      <c r="I201" s="58">
        <v>0</v>
      </c>
      <c r="J201" s="59">
        <v>997.81</v>
      </c>
      <c r="K201" s="60"/>
      <c r="L201" s="60"/>
      <c r="M201" s="59">
        <f>ROUND(ROUND(J201, 2)*I201, 2)</f>
        <v>0</v>
      </c>
      <c r="N201" s="60"/>
      <c r="O201" s="60"/>
      <c r="P201" s="59">
        <v>997.82</v>
      </c>
      <c r="Q201" s="60"/>
      <c r="R201" s="60"/>
      <c r="S201" s="59">
        <f>ROUND(ROUND(P201, 2)*I201, 2)</f>
        <v>0</v>
      </c>
      <c r="T201" s="60"/>
      <c r="U201" s="61"/>
      <c r="V201" s="9">
        <f>ROUND(ROUND(P201, 2)/1.2, 2)</f>
        <v>831.52</v>
      </c>
      <c r="Y201" s="9">
        <f>ROUND(S201 / 1.2, 2)</f>
        <v>0</v>
      </c>
      <c r="AD201" s="4" t="s">
        <v>586</v>
      </c>
      <c r="AE201" s="4" t="s">
        <v>587</v>
      </c>
      <c r="AF201" s="4" t="s">
        <v>581</v>
      </c>
    </row>
    <row r="202" spans="1:35" ht="54" x14ac:dyDescent="0.35">
      <c r="A202" s="17" t="s">
        <v>588</v>
      </c>
      <c r="B202" s="17" t="s">
        <v>589</v>
      </c>
      <c r="C202" s="18" t="s">
        <v>590</v>
      </c>
      <c r="D202" s="19"/>
      <c r="E202" s="19"/>
      <c r="F202" s="19" t="s">
        <v>63</v>
      </c>
      <c r="G202" s="20">
        <v>1</v>
      </c>
      <c r="H202" s="19"/>
      <c r="I202" s="21">
        <v>0</v>
      </c>
      <c r="J202" s="22">
        <v>420.76</v>
      </c>
      <c r="K202" s="22">
        <v>324</v>
      </c>
      <c r="L202" s="22">
        <f>J202+ROUND(K202, 2)</f>
        <v>744.76</v>
      </c>
      <c r="M202" s="22">
        <v>0</v>
      </c>
      <c r="N202" s="22">
        <v>0</v>
      </c>
      <c r="O202" s="22">
        <f>M202+N202</f>
        <v>0</v>
      </c>
      <c r="P202" s="22">
        <v>420.76</v>
      </c>
      <c r="Q202" s="22">
        <v>324</v>
      </c>
      <c r="R202" s="22">
        <f>P202+ROUND(Q202, 2)</f>
        <v>744.76</v>
      </c>
      <c r="S202" s="22">
        <v>0</v>
      </c>
      <c r="T202" s="22">
        <v>0</v>
      </c>
      <c r="U202" s="22">
        <f>S202+T202</f>
        <v>0</v>
      </c>
      <c r="V202" s="9">
        <f>ROUND(P202 / 1.2, 2)</f>
        <v>350.63</v>
      </c>
      <c r="W202" s="9">
        <f>ROUND(Q202 / 1.2, 2)</f>
        <v>270</v>
      </c>
      <c r="X202" s="9">
        <f>ROUND(R202 / 1.2, 2)</f>
        <v>620.63</v>
      </c>
      <c r="Y202" s="9">
        <f>ROUND(S202 / 1.2, 2)</f>
        <v>0</v>
      </c>
      <c r="Z202" s="9">
        <f>ROUND(T202 / 1.2, 2)</f>
        <v>0</v>
      </c>
      <c r="AA202" s="9">
        <f>Y202+Z202</f>
        <v>0</v>
      </c>
      <c r="AD202" s="4">
        <v>305116953</v>
      </c>
      <c r="AE202" s="4">
        <v>20926475</v>
      </c>
      <c r="AG202" s="4" t="s">
        <v>591</v>
      </c>
      <c r="AH202" s="4" t="s">
        <v>592</v>
      </c>
      <c r="AI202" s="4" t="s">
        <v>467</v>
      </c>
    </row>
    <row r="203" spans="1:35" ht="54" x14ac:dyDescent="0.35">
      <c r="A203" s="23" t="s">
        <v>593</v>
      </c>
      <c r="B203" s="23" t="s">
        <v>589</v>
      </c>
      <c r="C203" s="24" t="s">
        <v>590</v>
      </c>
      <c r="D203" s="25"/>
      <c r="E203" s="25" t="s">
        <v>594</v>
      </c>
      <c r="F203" s="25" t="s">
        <v>63</v>
      </c>
      <c r="G203" s="26">
        <v>1</v>
      </c>
      <c r="H203" s="25"/>
      <c r="I203" s="26">
        <v>549.6</v>
      </c>
      <c r="J203" s="27">
        <v>420.76</v>
      </c>
      <c r="K203" s="27">
        <v>324</v>
      </c>
      <c r="L203" s="27">
        <v>324</v>
      </c>
      <c r="M203" s="27">
        <v>231249.7</v>
      </c>
      <c r="N203" s="27">
        <v>178070.39999999999</v>
      </c>
      <c r="O203" s="27"/>
      <c r="P203" s="27">
        <v>420.76</v>
      </c>
      <c r="Q203" s="27">
        <v>324</v>
      </c>
      <c r="R203" s="27">
        <v>324</v>
      </c>
      <c r="S203" s="27">
        <v>231249.7</v>
      </c>
      <c r="T203" s="27">
        <v>178070.39999999999</v>
      </c>
      <c r="U203" s="27"/>
      <c r="V203" s="9"/>
      <c r="W203" s="9">
        <f>ROUND(Q203 / 1.2, 2)</f>
        <v>270</v>
      </c>
      <c r="X203" s="9">
        <f>ROUND(R203 / 1.2, 2)</f>
        <v>270</v>
      </c>
      <c r="Y203" s="9"/>
      <c r="Z203" s="9">
        <f>ROUND(T203 / 1.2, 2)</f>
        <v>148392</v>
      </c>
      <c r="AA203" s="9"/>
      <c r="AD203" s="4">
        <v>278588480</v>
      </c>
      <c r="AE203" s="4">
        <v>20926475</v>
      </c>
      <c r="AG203" s="4" t="s">
        <v>591</v>
      </c>
      <c r="AH203" s="4" t="s">
        <v>592</v>
      </c>
      <c r="AI203" s="4"/>
    </row>
    <row r="204" spans="1:35" ht="18" x14ac:dyDescent="0.35">
      <c r="A204" s="17" t="s">
        <v>595</v>
      </c>
      <c r="B204" s="17"/>
      <c r="C204" s="34" t="s">
        <v>596</v>
      </c>
      <c r="D204" s="19"/>
      <c r="E204" s="19"/>
      <c r="F204" s="35" t="s">
        <v>498</v>
      </c>
      <c r="G204" s="36">
        <v>4.3</v>
      </c>
      <c r="H204" s="19"/>
      <c r="I204" s="37">
        <v>0</v>
      </c>
      <c r="J204" s="38">
        <v>97.85</v>
      </c>
      <c r="K204" s="39"/>
      <c r="L204" s="39"/>
      <c r="M204" s="38">
        <f>ROUND(ROUND(J204, 2)*I204, 2)</f>
        <v>0</v>
      </c>
      <c r="N204" s="39"/>
      <c r="O204" s="39"/>
      <c r="P204" s="38">
        <v>97.85</v>
      </c>
      <c r="Q204" s="39"/>
      <c r="R204" s="39"/>
      <c r="S204" s="38">
        <f>ROUND(ROUND(P204, 2)*I204, 2)</f>
        <v>0</v>
      </c>
      <c r="T204" s="39"/>
      <c r="U204" s="40"/>
      <c r="V204" s="9">
        <f>ROUND(ROUND(P204, 2)/1.2, 2)</f>
        <v>81.540000000000006</v>
      </c>
      <c r="Y204" s="9">
        <f>ROUND(S204 / 1.2, 2)</f>
        <v>0</v>
      </c>
      <c r="AD204" s="4" t="s">
        <v>597</v>
      </c>
      <c r="AE204" s="4" t="s">
        <v>598</v>
      </c>
      <c r="AF204" s="4" t="s">
        <v>599</v>
      </c>
    </row>
    <row r="205" spans="1:35" ht="18" x14ac:dyDescent="0.35">
      <c r="A205" s="23" t="s">
        <v>600</v>
      </c>
      <c r="B205" s="23"/>
      <c r="C205" s="41" t="s">
        <v>596</v>
      </c>
      <c r="D205" s="25"/>
      <c r="E205" s="25"/>
      <c r="F205" s="42" t="s">
        <v>498</v>
      </c>
      <c r="G205" s="43">
        <v>4.3</v>
      </c>
      <c r="H205" s="25"/>
      <c r="I205" s="43">
        <v>2363.2800000000002</v>
      </c>
      <c r="J205" s="44">
        <v>97.85</v>
      </c>
      <c r="K205" s="45"/>
      <c r="L205" s="45"/>
      <c r="M205" s="44">
        <f>ROUND(ROUND(J205, 2)*I205, 2)</f>
        <v>231246.95</v>
      </c>
      <c r="N205" s="45"/>
      <c r="O205" s="45"/>
      <c r="P205" s="44">
        <v>97.85</v>
      </c>
      <c r="Q205" s="45"/>
      <c r="R205" s="45"/>
      <c r="S205" s="44">
        <f>ROUND(ROUND(P205, 2)*I205, 2)</f>
        <v>231246.95</v>
      </c>
      <c r="T205" s="45"/>
      <c r="U205" s="46"/>
      <c r="V205" s="9">
        <f>ROUND(ROUND(P205, 2)/1.2, 2)</f>
        <v>81.540000000000006</v>
      </c>
      <c r="Y205" s="9">
        <f>ROUND(S205 / 1.2, 2)</f>
        <v>192705.79</v>
      </c>
      <c r="AD205" s="4" t="s">
        <v>601</v>
      </c>
      <c r="AE205" s="4" t="s">
        <v>598</v>
      </c>
      <c r="AF205" s="4" t="s">
        <v>599</v>
      </c>
    </row>
    <row r="206" spans="1:35" ht="54" x14ac:dyDescent="0.35">
      <c r="A206" s="51" t="s">
        <v>602</v>
      </c>
      <c r="B206" s="51" t="s">
        <v>589</v>
      </c>
      <c r="C206" s="52" t="s">
        <v>590</v>
      </c>
      <c r="D206" s="53"/>
      <c r="E206" s="53" t="s">
        <v>594</v>
      </c>
      <c r="F206" s="53" t="s">
        <v>63</v>
      </c>
      <c r="G206" s="54">
        <v>1</v>
      </c>
      <c r="H206" s="53"/>
      <c r="I206" s="54">
        <v>0</v>
      </c>
      <c r="J206" s="55">
        <f>IFERROR(ROUND(SUM(M207)/I206, 2),0)</f>
        <v>0</v>
      </c>
      <c r="K206" s="55">
        <v>324</v>
      </c>
      <c r="L206" s="55">
        <f>J206+ROUND(K206, 2)</f>
        <v>324</v>
      </c>
      <c r="M206" s="55">
        <f>ROUND(J206*I206, 2)</f>
        <v>0</v>
      </c>
      <c r="N206" s="55">
        <f>ROUND(I206*ROUND(K206, 2), 2)</f>
        <v>0</v>
      </c>
      <c r="O206" s="55">
        <f>M206+N206</f>
        <v>0</v>
      </c>
      <c r="P206" s="55">
        <f>IFERROR(ROUND(SUM(S207)/I206, 2),0)</f>
        <v>0</v>
      </c>
      <c r="Q206" s="55">
        <v>486</v>
      </c>
      <c r="R206" s="55">
        <f>P206+ROUND(Q206, 2)</f>
        <v>486</v>
      </c>
      <c r="S206" s="55">
        <f>ROUND(P206*I206, 2)</f>
        <v>0</v>
      </c>
      <c r="T206" s="55">
        <f>ROUND(I206*ROUND(Q206, 2), 2)</f>
        <v>0</v>
      </c>
      <c r="U206" s="55">
        <f>S206+T206</f>
        <v>0</v>
      </c>
      <c r="V206" s="9">
        <f>ROUND(P206 / 1.2, 2)</f>
        <v>0</v>
      </c>
      <c r="W206" s="9">
        <f>ROUND(Q206 / 1.2, 2)</f>
        <v>405</v>
      </c>
      <c r="X206" s="9">
        <f>ROUND(R206 / 1.2, 2)</f>
        <v>405</v>
      </c>
      <c r="Y206" s="9">
        <f>ROUND(S206 / 1.2, 2)</f>
        <v>0</v>
      </c>
      <c r="Z206" s="9">
        <f>ROUND(T206 / 1.2, 2)</f>
        <v>0</v>
      </c>
      <c r="AA206" s="9">
        <f>Y206+Z206</f>
        <v>0</v>
      </c>
      <c r="AD206" s="4">
        <v>305117021</v>
      </c>
      <c r="AE206" s="4">
        <v>22135720</v>
      </c>
      <c r="AG206" s="4" t="s">
        <v>591</v>
      </c>
      <c r="AH206" s="4" t="s">
        <v>592</v>
      </c>
      <c r="AI206" s="4" t="s">
        <v>467</v>
      </c>
    </row>
    <row r="207" spans="1:35" ht="18" x14ac:dyDescent="0.35">
      <c r="A207" s="51" t="s">
        <v>603</v>
      </c>
      <c r="B207" s="51"/>
      <c r="C207" s="56" t="s">
        <v>596</v>
      </c>
      <c r="D207" s="53"/>
      <c r="E207" s="53"/>
      <c r="F207" s="57" t="s">
        <v>498</v>
      </c>
      <c r="G207" s="58">
        <v>4.3</v>
      </c>
      <c r="H207" s="53"/>
      <c r="I207" s="58">
        <v>0</v>
      </c>
      <c r="J207" s="59">
        <v>97.85</v>
      </c>
      <c r="K207" s="60"/>
      <c r="L207" s="60"/>
      <c r="M207" s="59">
        <f>ROUND(ROUND(J207, 2)*I207, 2)</f>
        <v>0</v>
      </c>
      <c r="N207" s="60"/>
      <c r="O207" s="60"/>
      <c r="P207" s="59">
        <v>97.85</v>
      </c>
      <c r="Q207" s="60"/>
      <c r="R207" s="60"/>
      <c r="S207" s="59">
        <f>ROUND(ROUND(P207, 2)*I207, 2)</f>
        <v>0</v>
      </c>
      <c r="T207" s="60"/>
      <c r="U207" s="61"/>
      <c r="V207" s="9">
        <f>ROUND(ROUND(P207, 2)/1.2, 2)</f>
        <v>81.540000000000006</v>
      </c>
      <c r="Y207" s="9">
        <f>ROUND(S207 / 1.2, 2)</f>
        <v>0</v>
      </c>
      <c r="AD207" s="4" t="s">
        <v>604</v>
      </c>
      <c r="AE207" s="4" t="s">
        <v>605</v>
      </c>
      <c r="AF207" s="4" t="s">
        <v>599</v>
      </c>
    </row>
    <row r="208" spans="1:35" ht="36" x14ac:dyDescent="0.35">
      <c r="A208" s="17" t="s">
        <v>606</v>
      </c>
      <c r="B208" s="17" t="s">
        <v>607</v>
      </c>
      <c r="C208" s="18" t="s">
        <v>608</v>
      </c>
      <c r="D208" s="19"/>
      <c r="E208" s="19"/>
      <c r="F208" s="19" t="s">
        <v>63</v>
      </c>
      <c r="G208" s="20">
        <v>1</v>
      </c>
      <c r="H208" s="19"/>
      <c r="I208" s="21">
        <v>0</v>
      </c>
      <c r="J208" s="22">
        <v>291.5</v>
      </c>
      <c r="K208" s="22">
        <v>580</v>
      </c>
      <c r="L208" s="22">
        <f>J208+ROUND(K208, 2)</f>
        <v>871.5</v>
      </c>
      <c r="M208" s="22">
        <v>0</v>
      </c>
      <c r="N208" s="22">
        <v>0</v>
      </c>
      <c r="O208" s="22">
        <f>M208+N208</f>
        <v>0</v>
      </c>
      <c r="P208" s="22">
        <v>291.5</v>
      </c>
      <c r="Q208" s="22">
        <v>580</v>
      </c>
      <c r="R208" s="22">
        <f>P208+ROUND(Q208, 2)</f>
        <v>871.5</v>
      </c>
      <c r="S208" s="22">
        <v>0</v>
      </c>
      <c r="T208" s="22">
        <v>0</v>
      </c>
      <c r="U208" s="22">
        <f>S208+T208</f>
        <v>0</v>
      </c>
      <c r="V208" s="9">
        <f>ROUND(P208 / 1.2, 2)</f>
        <v>242.92</v>
      </c>
      <c r="W208" s="9">
        <f>ROUND(Q208 / 1.2, 2)</f>
        <v>483.33</v>
      </c>
      <c r="X208" s="9">
        <f>ROUND(R208 / 1.2, 2)</f>
        <v>726.25</v>
      </c>
      <c r="Y208" s="9">
        <f>ROUND(S208 / 1.2, 2)</f>
        <v>0</v>
      </c>
      <c r="Z208" s="9">
        <f>ROUND(T208 / 1.2, 2)</f>
        <v>0</v>
      </c>
      <c r="AA208" s="9">
        <f>Y208+Z208</f>
        <v>0</v>
      </c>
      <c r="AD208" s="4">
        <v>305116955</v>
      </c>
      <c r="AE208" s="4">
        <v>20926502</v>
      </c>
      <c r="AG208" s="4" t="s">
        <v>609</v>
      </c>
      <c r="AH208" s="4" t="s">
        <v>610</v>
      </c>
      <c r="AI208" s="4" t="s">
        <v>467</v>
      </c>
    </row>
    <row r="209" spans="1:35" ht="54" x14ac:dyDescent="0.35">
      <c r="A209" s="23" t="s">
        <v>611</v>
      </c>
      <c r="B209" s="23" t="s">
        <v>607</v>
      </c>
      <c r="C209" s="24" t="s">
        <v>608</v>
      </c>
      <c r="D209" s="25"/>
      <c r="E209" s="25" t="s">
        <v>612</v>
      </c>
      <c r="F209" s="25" t="s">
        <v>63</v>
      </c>
      <c r="G209" s="26">
        <v>1</v>
      </c>
      <c r="H209" s="25"/>
      <c r="I209" s="26">
        <v>1430.4</v>
      </c>
      <c r="J209" s="27">
        <v>291.5</v>
      </c>
      <c r="K209" s="27">
        <v>580</v>
      </c>
      <c r="L209" s="27">
        <v>580</v>
      </c>
      <c r="M209" s="27">
        <v>416961.6</v>
      </c>
      <c r="N209" s="27">
        <v>829632</v>
      </c>
      <c r="O209" s="27"/>
      <c r="P209" s="27">
        <v>291.5</v>
      </c>
      <c r="Q209" s="27">
        <v>580</v>
      </c>
      <c r="R209" s="27">
        <v>580</v>
      </c>
      <c r="S209" s="27">
        <v>416961.6</v>
      </c>
      <c r="T209" s="27">
        <v>829632</v>
      </c>
      <c r="U209" s="27"/>
      <c r="V209" s="9"/>
      <c r="W209" s="9">
        <f>ROUND(Q209 / 1.2, 2)</f>
        <v>483.33</v>
      </c>
      <c r="X209" s="9">
        <f>ROUND(R209 / 1.2, 2)</f>
        <v>483.33</v>
      </c>
      <c r="Y209" s="9"/>
      <c r="Z209" s="9">
        <f>ROUND(T209 / 1.2, 2)</f>
        <v>691360</v>
      </c>
      <c r="AA209" s="9"/>
      <c r="AD209" s="4">
        <v>279609475</v>
      </c>
      <c r="AE209" s="4">
        <v>20926502</v>
      </c>
      <c r="AG209" s="4" t="s">
        <v>609</v>
      </c>
      <c r="AH209" s="4" t="s">
        <v>610</v>
      </c>
      <c r="AI209" s="4"/>
    </row>
    <row r="210" spans="1:35" ht="18" x14ac:dyDescent="0.35">
      <c r="A210" s="17" t="s">
        <v>613</v>
      </c>
      <c r="B210" s="17"/>
      <c r="C210" s="34" t="s">
        <v>614</v>
      </c>
      <c r="D210" s="19"/>
      <c r="E210" s="19"/>
      <c r="F210" s="35" t="s">
        <v>63</v>
      </c>
      <c r="G210" s="36">
        <v>1.1000000000000001</v>
      </c>
      <c r="H210" s="19"/>
      <c r="I210" s="48">
        <v>0</v>
      </c>
      <c r="J210" s="38">
        <v>265</v>
      </c>
      <c r="K210" s="39"/>
      <c r="L210" s="39"/>
      <c r="M210" s="38">
        <f>ROUND(ROUND(J210, 2)*I210, 2)</f>
        <v>0</v>
      </c>
      <c r="N210" s="39"/>
      <c r="O210" s="39"/>
      <c r="P210" s="38">
        <v>265</v>
      </c>
      <c r="Q210" s="39"/>
      <c r="R210" s="39"/>
      <c r="S210" s="38">
        <f>ROUND(ROUND(P210, 2)*I210, 2)</f>
        <v>0</v>
      </c>
      <c r="T210" s="39"/>
      <c r="U210" s="40"/>
      <c r="V210" s="9">
        <f>ROUND(ROUND(P210, 2)/1.2, 2)</f>
        <v>220.83</v>
      </c>
      <c r="Y210" s="9">
        <f>ROUND(S210 / 1.2, 2)</f>
        <v>0</v>
      </c>
      <c r="AD210" s="4" t="s">
        <v>615</v>
      </c>
      <c r="AE210" s="4" t="s">
        <v>616</v>
      </c>
      <c r="AF210" s="4" t="s">
        <v>617</v>
      </c>
    </row>
    <row r="211" spans="1:35" ht="18" x14ac:dyDescent="0.35">
      <c r="A211" s="23" t="s">
        <v>618</v>
      </c>
      <c r="B211" s="23"/>
      <c r="C211" s="41" t="s">
        <v>614</v>
      </c>
      <c r="D211" s="25"/>
      <c r="E211" s="25"/>
      <c r="F211" s="42" t="s">
        <v>63</v>
      </c>
      <c r="G211" s="43">
        <v>1.1000000000000001</v>
      </c>
      <c r="H211" s="25"/>
      <c r="I211" s="50">
        <v>1573.44</v>
      </c>
      <c r="J211" s="44">
        <v>265</v>
      </c>
      <c r="K211" s="45"/>
      <c r="L211" s="45"/>
      <c r="M211" s="44">
        <f>ROUND(ROUND(J211, 2)*I211, 2)</f>
        <v>416961.6</v>
      </c>
      <c r="N211" s="45"/>
      <c r="O211" s="45"/>
      <c r="P211" s="44">
        <v>265</v>
      </c>
      <c r="Q211" s="45"/>
      <c r="R211" s="45"/>
      <c r="S211" s="44">
        <f>ROUND(ROUND(P211, 2)*I211, 2)</f>
        <v>416961.6</v>
      </c>
      <c r="T211" s="45"/>
      <c r="U211" s="46"/>
      <c r="V211" s="9">
        <f>ROUND(ROUND(P211, 2)/1.2, 2)</f>
        <v>220.83</v>
      </c>
      <c r="Y211" s="9">
        <f>ROUND(S211 / 1.2, 2)</f>
        <v>347468</v>
      </c>
      <c r="AD211" s="4" t="s">
        <v>619</v>
      </c>
      <c r="AE211" s="4" t="s">
        <v>616</v>
      </c>
      <c r="AF211" s="4" t="s">
        <v>617</v>
      </c>
    </row>
    <row r="212" spans="1:35" ht="54" x14ac:dyDescent="0.35">
      <c r="A212" s="51" t="s">
        <v>620</v>
      </c>
      <c r="B212" s="51" t="s">
        <v>607</v>
      </c>
      <c r="C212" s="52" t="s">
        <v>608</v>
      </c>
      <c r="D212" s="53"/>
      <c r="E212" s="53" t="s">
        <v>612</v>
      </c>
      <c r="F212" s="53" t="s">
        <v>63</v>
      </c>
      <c r="G212" s="54">
        <v>1</v>
      </c>
      <c r="H212" s="53"/>
      <c r="I212" s="54">
        <v>0</v>
      </c>
      <c r="J212" s="55">
        <f>IFERROR(ROUND(SUM(M213)/I212, 2),0)</f>
        <v>0</v>
      </c>
      <c r="K212" s="55">
        <v>580</v>
      </c>
      <c r="L212" s="55">
        <f>J212+ROUND(K212, 2)</f>
        <v>580</v>
      </c>
      <c r="M212" s="55">
        <f>ROUND(J212*I212, 2)</f>
        <v>0</v>
      </c>
      <c r="N212" s="55">
        <f>ROUND(I212*ROUND(K212, 2), 2)</f>
        <v>0</v>
      </c>
      <c r="O212" s="55">
        <f>M212+N212</f>
        <v>0</v>
      </c>
      <c r="P212" s="55">
        <f>IFERROR(ROUND(SUM(S213)/I212, 2),0)</f>
        <v>0</v>
      </c>
      <c r="Q212" s="55">
        <v>870</v>
      </c>
      <c r="R212" s="55">
        <f>P212+ROUND(Q212, 2)</f>
        <v>870</v>
      </c>
      <c r="S212" s="55">
        <f>ROUND(P212*I212, 2)</f>
        <v>0</v>
      </c>
      <c r="T212" s="55">
        <f>ROUND(I212*ROUND(Q212, 2), 2)</f>
        <v>0</v>
      </c>
      <c r="U212" s="55">
        <f>S212+T212</f>
        <v>0</v>
      </c>
      <c r="V212" s="9">
        <f>ROUND(P212 / 1.2, 2)</f>
        <v>0</v>
      </c>
      <c r="W212" s="9">
        <f>ROUND(Q212 / 1.2, 2)</f>
        <v>725</v>
      </c>
      <c r="X212" s="9">
        <f>ROUND(R212 / 1.2, 2)</f>
        <v>725</v>
      </c>
      <c r="Y212" s="9">
        <f>ROUND(S212 / 1.2, 2)</f>
        <v>0</v>
      </c>
      <c r="Z212" s="9">
        <f>ROUND(T212 / 1.2, 2)</f>
        <v>0</v>
      </c>
      <c r="AA212" s="9">
        <f>Y212+Z212</f>
        <v>0</v>
      </c>
      <c r="AD212" s="4">
        <v>305117022</v>
      </c>
      <c r="AE212" s="4">
        <v>22135722</v>
      </c>
      <c r="AG212" s="4" t="s">
        <v>609</v>
      </c>
      <c r="AH212" s="4" t="s">
        <v>610</v>
      </c>
      <c r="AI212" s="4" t="s">
        <v>467</v>
      </c>
    </row>
    <row r="213" spans="1:35" ht="18" x14ac:dyDescent="0.35">
      <c r="A213" s="51" t="s">
        <v>621</v>
      </c>
      <c r="B213" s="51"/>
      <c r="C213" s="47" t="s">
        <v>614</v>
      </c>
      <c r="D213" s="53"/>
      <c r="E213" s="53"/>
      <c r="F213" s="57" t="s">
        <v>63</v>
      </c>
      <c r="G213" s="58">
        <v>1.1000000000000001</v>
      </c>
      <c r="H213" s="53"/>
      <c r="I213" s="62">
        <v>1573.44</v>
      </c>
      <c r="J213" s="59">
        <v>251.75</v>
      </c>
      <c r="K213" s="60"/>
      <c r="L213" s="60"/>
      <c r="M213" s="59">
        <f>ROUND(ROUND(J213, 2)*I213, 2)</f>
        <v>396113.52</v>
      </c>
      <c r="N213" s="60"/>
      <c r="O213" s="60"/>
      <c r="P213" s="59">
        <v>251.75</v>
      </c>
      <c r="Q213" s="60"/>
      <c r="R213" s="60"/>
      <c r="S213" s="59">
        <f>ROUND(ROUND(P213, 2)*I213, 2)</f>
        <v>396113.52</v>
      </c>
      <c r="T213" s="60"/>
      <c r="U213" s="61"/>
      <c r="V213" s="9">
        <f>ROUND(ROUND(P213, 2)/1.2, 2)</f>
        <v>209.79</v>
      </c>
      <c r="Y213" s="9">
        <f>ROUND(S213 / 1.2, 2)</f>
        <v>330094.59999999998</v>
      </c>
      <c r="AD213" s="4" t="s">
        <v>622</v>
      </c>
      <c r="AE213" s="4" t="s">
        <v>623</v>
      </c>
      <c r="AF213" s="4" t="s">
        <v>617</v>
      </c>
    </row>
    <row r="214" spans="1:35" ht="36" x14ac:dyDescent="0.35">
      <c r="A214" s="17" t="s">
        <v>624</v>
      </c>
      <c r="B214" s="17" t="s">
        <v>625</v>
      </c>
      <c r="C214" s="18" t="s">
        <v>626</v>
      </c>
      <c r="D214" s="19"/>
      <c r="E214" s="19"/>
      <c r="F214" s="19" t="s">
        <v>63</v>
      </c>
      <c r="G214" s="20">
        <v>1</v>
      </c>
      <c r="H214" s="19"/>
      <c r="I214" s="21">
        <v>0</v>
      </c>
      <c r="J214" s="22">
        <v>681.45</v>
      </c>
      <c r="K214" s="22">
        <v>868</v>
      </c>
      <c r="L214" s="22">
        <f>J214+ROUND(K214, 2)</f>
        <v>1549.45</v>
      </c>
      <c r="M214" s="22">
        <v>0</v>
      </c>
      <c r="N214" s="22">
        <v>0</v>
      </c>
      <c r="O214" s="22">
        <f>M214+N214</f>
        <v>0</v>
      </c>
      <c r="P214" s="22">
        <v>681.45</v>
      </c>
      <c r="Q214" s="22">
        <v>868</v>
      </c>
      <c r="R214" s="22">
        <f>P214+ROUND(Q214, 2)</f>
        <v>1549.45</v>
      </c>
      <c r="S214" s="22">
        <v>0</v>
      </c>
      <c r="T214" s="22">
        <v>0</v>
      </c>
      <c r="U214" s="22">
        <f>S214+T214</f>
        <v>0</v>
      </c>
      <c r="V214" s="9">
        <f>ROUND(P214 / 1.2, 2)</f>
        <v>567.88</v>
      </c>
      <c r="W214" s="9">
        <f>ROUND(Q214 / 1.2, 2)</f>
        <v>723.33</v>
      </c>
      <c r="X214" s="9">
        <f>ROUND(R214 / 1.2, 2)</f>
        <v>1291.21</v>
      </c>
      <c r="Y214" s="9">
        <f>ROUND(S214 / 1.2, 2)</f>
        <v>0</v>
      </c>
      <c r="Z214" s="9">
        <f>ROUND(T214 / 1.2, 2)</f>
        <v>0</v>
      </c>
      <c r="AA214" s="9">
        <f>Y214+Z214</f>
        <v>0</v>
      </c>
      <c r="AD214" s="4">
        <v>305116956</v>
      </c>
      <c r="AE214" s="4">
        <v>20926476</v>
      </c>
      <c r="AG214" s="4" t="s">
        <v>627</v>
      </c>
      <c r="AH214" s="4" t="s">
        <v>628</v>
      </c>
      <c r="AI214" s="4" t="s">
        <v>467</v>
      </c>
    </row>
    <row r="215" spans="1:35" ht="36" x14ac:dyDescent="0.35">
      <c r="A215" s="23" t="s">
        <v>629</v>
      </c>
      <c r="B215" s="23" t="s">
        <v>625</v>
      </c>
      <c r="C215" s="24" t="s">
        <v>626</v>
      </c>
      <c r="D215" s="25"/>
      <c r="E215" s="25" t="s">
        <v>630</v>
      </c>
      <c r="F215" s="25" t="s">
        <v>63</v>
      </c>
      <c r="G215" s="26">
        <v>1</v>
      </c>
      <c r="H215" s="25"/>
      <c r="I215" s="26">
        <v>220.5</v>
      </c>
      <c r="J215" s="27">
        <v>681.45</v>
      </c>
      <c r="K215" s="27">
        <v>868</v>
      </c>
      <c r="L215" s="27">
        <v>868</v>
      </c>
      <c r="M215" s="27">
        <v>150259.73000000001</v>
      </c>
      <c r="N215" s="27">
        <v>191394</v>
      </c>
      <c r="O215" s="27"/>
      <c r="P215" s="27">
        <v>681.45</v>
      </c>
      <c r="Q215" s="27">
        <v>868</v>
      </c>
      <c r="R215" s="27">
        <v>868</v>
      </c>
      <c r="S215" s="27">
        <v>150259.73000000001</v>
      </c>
      <c r="T215" s="27">
        <v>191394</v>
      </c>
      <c r="U215" s="27"/>
      <c r="V215" s="9"/>
      <c r="W215" s="9">
        <f>ROUND(Q215 / 1.2, 2)</f>
        <v>723.33</v>
      </c>
      <c r="X215" s="9">
        <f>ROUND(R215 / 1.2, 2)</f>
        <v>723.33</v>
      </c>
      <c r="Y215" s="9"/>
      <c r="Z215" s="9">
        <f>ROUND(T215 / 1.2, 2)</f>
        <v>159495</v>
      </c>
      <c r="AA215" s="9"/>
      <c r="AD215" s="4">
        <v>276896381</v>
      </c>
      <c r="AE215" s="4">
        <v>20926476</v>
      </c>
      <c r="AG215" s="4" t="s">
        <v>627</v>
      </c>
      <c r="AH215" s="4" t="s">
        <v>628</v>
      </c>
      <c r="AI215" s="4"/>
    </row>
    <row r="216" spans="1:35" ht="18" x14ac:dyDescent="0.35">
      <c r="A216" s="17" t="s">
        <v>631</v>
      </c>
      <c r="B216" s="17"/>
      <c r="C216" s="34" t="s">
        <v>632</v>
      </c>
      <c r="D216" s="19"/>
      <c r="E216" s="19"/>
      <c r="F216" s="35" t="s">
        <v>63</v>
      </c>
      <c r="G216" s="36">
        <v>2.1</v>
      </c>
      <c r="H216" s="19"/>
      <c r="I216" s="48">
        <v>0</v>
      </c>
      <c r="J216" s="38">
        <v>324.5</v>
      </c>
      <c r="K216" s="39"/>
      <c r="L216" s="39"/>
      <c r="M216" s="38">
        <f>ROUND(ROUND(J216, 2)*I216, 2)</f>
        <v>0</v>
      </c>
      <c r="N216" s="39"/>
      <c r="O216" s="39"/>
      <c r="P216" s="38">
        <v>324.5</v>
      </c>
      <c r="Q216" s="39"/>
      <c r="R216" s="39"/>
      <c r="S216" s="38">
        <f>ROUND(ROUND(P216, 2)*I216, 2)</f>
        <v>0</v>
      </c>
      <c r="T216" s="39"/>
      <c r="U216" s="40"/>
      <c r="V216" s="9">
        <f>ROUND(ROUND(P216, 2)/1.2, 2)</f>
        <v>270.42</v>
      </c>
      <c r="Y216" s="9">
        <f>ROUND(S216 / 1.2, 2)</f>
        <v>0</v>
      </c>
      <c r="AD216" s="4" t="s">
        <v>633</v>
      </c>
      <c r="AE216" s="4" t="s">
        <v>634</v>
      </c>
      <c r="AF216" s="4" t="s">
        <v>635</v>
      </c>
    </row>
    <row r="217" spans="1:35" ht="18" x14ac:dyDescent="0.35">
      <c r="A217" s="23" t="s">
        <v>636</v>
      </c>
      <c r="B217" s="23"/>
      <c r="C217" s="41" t="s">
        <v>632</v>
      </c>
      <c r="D217" s="25"/>
      <c r="E217" s="25" t="s">
        <v>637</v>
      </c>
      <c r="F217" s="42" t="s">
        <v>63</v>
      </c>
      <c r="G217" s="43">
        <v>2.1</v>
      </c>
      <c r="H217" s="25"/>
      <c r="I217" s="50">
        <v>463.05</v>
      </c>
      <c r="J217" s="44">
        <v>324.5</v>
      </c>
      <c r="K217" s="45"/>
      <c r="L217" s="45"/>
      <c r="M217" s="44">
        <f>ROUND(ROUND(J217, 2)*I217, 2)</f>
        <v>150259.73000000001</v>
      </c>
      <c r="N217" s="45"/>
      <c r="O217" s="45"/>
      <c r="P217" s="44">
        <v>324.5</v>
      </c>
      <c r="Q217" s="45"/>
      <c r="R217" s="45"/>
      <c r="S217" s="44">
        <f>ROUND(ROUND(P217, 2)*I217, 2)</f>
        <v>150259.73000000001</v>
      </c>
      <c r="T217" s="45"/>
      <c r="U217" s="46"/>
      <c r="V217" s="9">
        <f>ROUND(ROUND(P217, 2)/1.2, 2)</f>
        <v>270.42</v>
      </c>
      <c r="Y217" s="9">
        <f>ROUND(S217 / 1.2, 2)</f>
        <v>125216.44</v>
      </c>
      <c r="AD217" s="4" t="s">
        <v>638</v>
      </c>
      <c r="AE217" s="4" t="s">
        <v>634</v>
      </c>
      <c r="AF217" s="4" t="s">
        <v>635</v>
      </c>
    </row>
    <row r="218" spans="1:35" ht="36" x14ac:dyDescent="0.35">
      <c r="A218" s="51" t="s">
        <v>639</v>
      </c>
      <c r="B218" s="51" t="s">
        <v>625</v>
      </c>
      <c r="C218" s="52" t="s">
        <v>626</v>
      </c>
      <c r="D218" s="53"/>
      <c r="E218" s="53" t="s">
        <v>630</v>
      </c>
      <c r="F218" s="53" t="s">
        <v>63</v>
      </c>
      <c r="G218" s="54">
        <v>1</v>
      </c>
      <c r="H218" s="53"/>
      <c r="I218" s="54">
        <v>0</v>
      </c>
      <c r="J218" s="55">
        <f>IFERROR(ROUND(SUM(M219)/I218, 2),0)</f>
        <v>0</v>
      </c>
      <c r="K218" s="55">
        <v>868</v>
      </c>
      <c r="L218" s="55">
        <f>J218+ROUND(K218, 2)</f>
        <v>868</v>
      </c>
      <c r="M218" s="55">
        <f>ROUND(J218*I218, 2)</f>
        <v>0</v>
      </c>
      <c r="N218" s="55">
        <f>ROUND(I218*ROUND(K218, 2), 2)</f>
        <v>0</v>
      </c>
      <c r="O218" s="55">
        <f>M218+N218</f>
        <v>0</v>
      </c>
      <c r="P218" s="55">
        <f>IFERROR(ROUND(SUM(S219)/I218, 2),0)</f>
        <v>0</v>
      </c>
      <c r="Q218" s="55">
        <v>1302</v>
      </c>
      <c r="R218" s="55">
        <f>P218+ROUND(Q218, 2)</f>
        <v>1302</v>
      </c>
      <c r="S218" s="55">
        <f>ROUND(P218*I218, 2)</f>
        <v>0</v>
      </c>
      <c r="T218" s="55">
        <f>ROUND(I218*ROUND(Q218, 2), 2)</f>
        <v>0</v>
      </c>
      <c r="U218" s="55">
        <f>S218+T218</f>
        <v>0</v>
      </c>
      <c r="V218" s="9">
        <f>ROUND(P218 / 1.2, 2)</f>
        <v>0</v>
      </c>
      <c r="W218" s="9">
        <f>ROUND(Q218 / 1.2, 2)</f>
        <v>1085</v>
      </c>
      <c r="X218" s="9">
        <f>ROUND(R218 / 1.2, 2)</f>
        <v>1085</v>
      </c>
      <c r="Y218" s="9">
        <f>ROUND(S218 / 1.2, 2)</f>
        <v>0</v>
      </c>
      <c r="Z218" s="9">
        <f>ROUND(T218 / 1.2, 2)</f>
        <v>0</v>
      </c>
      <c r="AA218" s="9">
        <f>Y218+Z218</f>
        <v>0</v>
      </c>
      <c r="AD218" s="4">
        <v>305117023</v>
      </c>
      <c r="AE218" s="4">
        <v>22135723</v>
      </c>
      <c r="AG218" s="4" t="s">
        <v>627</v>
      </c>
      <c r="AH218" s="4" t="s">
        <v>628</v>
      </c>
      <c r="AI218" s="4" t="s">
        <v>467</v>
      </c>
    </row>
    <row r="219" spans="1:35" ht="18" x14ac:dyDescent="0.35">
      <c r="A219" s="51" t="s">
        <v>640</v>
      </c>
      <c r="B219" s="51"/>
      <c r="C219" s="47" t="s">
        <v>632</v>
      </c>
      <c r="D219" s="53"/>
      <c r="E219" s="53" t="s">
        <v>637</v>
      </c>
      <c r="F219" s="57" t="s">
        <v>63</v>
      </c>
      <c r="G219" s="58">
        <v>2.1</v>
      </c>
      <c r="H219" s="53"/>
      <c r="I219" s="62">
        <v>463.05</v>
      </c>
      <c r="J219" s="59">
        <v>324.5</v>
      </c>
      <c r="K219" s="60"/>
      <c r="L219" s="60"/>
      <c r="M219" s="59">
        <f>ROUND(ROUND(J219, 2)*I219, 2)</f>
        <v>150259.73000000001</v>
      </c>
      <c r="N219" s="60"/>
      <c r="O219" s="60"/>
      <c r="P219" s="59">
        <v>324.5</v>
      </c>
      <c r="Q219" s="60"/>
      <c r="R219" s="60"/>
      <c r="S219" s="59">
        <f>ROUND(ROUND(P219, 2)*I219, 2)</f>
        <v>150259.73000000001</v>
      </c>
      <c r="T219" s="60"/>
      <c r="U219" s="61"/>
      <c r="V219" s="9">
        <f>ROUND(ROUND(P219, 2)/1.2, 2)</f>
        <v>270.42</v>
      </c>
      <c r="Y219" s="9">
        <f>ROUND(S219 / 1.2, 2)</f>
        <v>125216.44</v>
      </c>
      <c r="AD219" s="4" t="s">
        <v>641</v>
      </c>
      <c r="AE219" s="4" t="s">
        <v>642</v>
      </c>
      <c r="AF219" s="4" t="s">
        <v>635</v>
      </c>
    </row>
    <row r="220" spans="1:35" ht="18" x14ac:dyDescent="0.35">
      <c r="A220" s="17" t="s">
        <v>643</v>
      </c>
      <c r="B220" s="17" t="s">
        <v>644</v>
      </c>
      <c r="C220" s="18" t="s">
        <v>645</v>
      </c>
      <c r="D220" s="19"/>
      <c r="E220" s="19"/>
      <c r="F220" s="19" t="s">
        <v>93</v>
      </c>
      <c r="G220" s="20">
        <v>1</v>
      </c>
      <c r="H220" s="19"/>
      <c r="I220" s="21">
        <v>0</v>
      </c>
      <c r="J220" s="22">
        <v>2600.9299999999998</v>
      </c>
      <c r="K220" s="22">
        <v>2157</v>
      </c>
      <c r="L220" s="22">
        <f>J220+ROUND(K220, 2)</f>
        <v>4757.93</v>
      </c>
      <c r="M220" s="22">
        <v>0</v>
      </c>
      <c r="N220" s="22">
        <v>0</v>
      </c>
      <c r="O220" s="22">
        <f>M220+N220</f>
        <v>0</v>
      </c>
      <c r="P220" s="22">
        <v>2600.9299999999998</v>
      </c>
      <c r="Q220" s="22">
        <v>2157</v>
      </c>
      <c r="R220" s="22">
        <f>P220+ROUND(Q220, 2)</f>
        <v>4757.93</v>
      </c>
      <c r="S220" s="22">
        <v>0</v>
      </c>
      <c r="T220" s="22">
        <v>0</v>
      </c>
      <c r="U220" s="22">
        <f>S220+T220</f>
        <v>0</v>
      </c>
      <c r="V220" s="9">
        <f>ROUND(P220 / 1.2, 2)</f>
        <v>2167.44</v>
      </c>
      <c r="W220" s="9">
        <f>ROUND(Q220 / 1.2, 2)</f>
        <v>1797.5</v>
      </c>
      <c r="X220" s="9">
        <f>ROUND(R220 / 1.2, 2)</f>
        <v>3964.94</v>
      </c>
      <c r="Y220" s="9">
        <f>ROUND(S220 / 1.2, 2)</f>
        <v>0</v>
      </c>
      <c r="Z220" s="9">
        <f>ROUND(T220 / 1.2, 2)</f>
        <v>0</v>
      </c>
      <c r="AA220" s="9">
        <f>Y220+Z220</f>
        <v>0</v>
      </c>
      <c r="AD220" s="4">
        <v>305116958</v>
      </c>
      <c r="AE220" s="4">
        <v>20926501</v>
      </c>
      <c r="AG220" s="4" t="s">
        <v>646</v>
      </c>
      <c r="AH220" s="4" t="s">
        <v>647</v>
      </c>
      <c r="AI220" s="4" t="s">
        <v>467</v>
      </c>
    </row>
    <row r="221" spans="1:35" ht="36" x14ac:dyDescent="0.35">
      <c r="A221" s="23" t="s">
        <v>648</v>
      </c>
      <c r="B221" s="23" t="s">
        <v>644</v>
      </c>
      <c r="C221" s="24" t="s">
        <v>645</v>
      </c>
      <c r="D221" s="25"/>
      <c r="E221" s="25" t="s">
        <v>649</v>
      </c>
      <c r="F221" s="25" t="s">
        <v>93</v>
      </c>
      <c r="G221" s="26">
        <v>1</v>
      </c>
      <c r="H221" s="25"/>
      <c r="I221" s="26">
        <v>14.77</v>
      </c>
      <c r="J221" s="27">
        <v>2600.9299999999998</v>
      </c>
      <c r="K221" s="27">
        <v>2157</v>
      </c>
      <c r="L221" s="27">
        <v>2157</v>
      </c>
      <c r="M221" s="27">
        <v>38415.74</v>
      </c>
      <c r="N221" s="27">
        <v>31858.89</v>
      </c>
      <c r="O221" s="27"/>
      <c r="P221" s="27">
        <v>2600.9299999999998</v>
      </c>
      <c r="Q221" s="27">
        <v>2157</v>
      </c>
      <c r="R221" s="27">
        <v>2157</v>
      </c>
      <c r="S221" s="27">
        <v>38415.74</v>
      </c>
      <c r="T221" s="27">
        <v>31858.89</v>
      </c>
      <c r="U221" s="27"/>
      <c r="V221" s="9"/>
      <c r="W221" s="9">
        <f>ROUND(Q221 / 1.2, 2)</f>
        <v>1797.5</v>
      </c>
      <c r="X221" s="9">
        <f>ROUND(R221 / 1.2, 2)</f>
        <v>1797.5</v>
      </c>
      <c r="Y221" s="9"/>
      <c r="Z221" s="9">
        <f>ROUND(T221 / 1.2, 2)</f>
        <v>26549.08</v>
      </c>
      <c r="AA221" s="9"/>
      <c r="AD221" s="4">
        <v>278586816</v>
      </c>
      <c r="AE221" s="4">
        <v>20926501</v>
      </c>
      <c r="AG221" s="4" t="s">
        <v>646</v>
      </c>
      <c r="AH221" s="4" t="s">
        <v>647</v>
      </c>
      <c r="AI221" s="4"/>
    </row>
    <row r="222" spans="1:35" ht="18" x14ac:dyDescent="0.35">
      <c r="A222" s="17" t="s">
        <v>650</v>
      </c>
      <c r="B222" s="17"/>
      <c r="C222" s="34" t="s">
        <v>651</v>
      </c>
      <c r="D222" s="19"/>
      <c r="E222" s="19"/>
      <c r="F222" s="35" t="s">
        <v>93</v>
      </c>
      <c r="G222" s="36">
        <v>1.02</v>
      </c>
      <c r="H222" s="19"/>
      <c r="I222" s="37">
        <v>0</v>
      </c>
      <c r="J222" s="38">
        <v>2550</v>
      </c>
      <c r="K222" s="39"/>
      <c r="L222" s="39"/>
      <c r="M222" s="38">
        <f>ROUND(ROUND(J222, 2)*I222, 2)</f>
        <v>0</v>
      </c>
      <c r="N222" s="39"/>
      <c r="O222" s="39"/>
      <c r="P222" s="38">
        <v>2550</v>
      </c>
      <c r="Q222" s="39"/>
      <c r="R222" s="39"/>
      <c r="S222" s="38">
        <f>ROUND(ROUND(P222, 2)*I222, 2)</f>
        <v>0</v>
      </c>
      <c r="T222" s="39"/>
      <c r="U222" s="40"/>
      <c r="V222" s="9">
        <f>ROUND(ROUND(P222, 2)/1.2, 2)</f>
        <v>2125</v>
      </c>
      <c r="Y222" s="9">
        <f>ROUND(S222 / 1.2, 2)</f>
        <v>0</v>
      </c>
      <c r="AD222" s="4" t="s">
        <v>652</v>
      </c>
      <c r="AE222" s="4" t="s">
        <v>653</v>
      </c>
      <c r="AF222" s="4" t="s">
        <v>654</v>
      </c>
    </row>
    <row r="223" spans="1:35" ht="18" x14ac:dyDescent="0.35">
      <c r="A223" s="23" t="s">
        <v>655</v>
      </c>
      <c r="B223" s="23"/>
      <c r="C223" s="41" t="s">
        <v>651</v>
      </c>
      <c r="D223" s="25"/>
      <c r="E223" s="25"/>
      <c r="F223" s="42" t="s">
        <v>93</v>
      </c>
      <c r="G223" s="43">
        <v>1.02</v>
      </c>
      <c r="H223" s="25"/>
      <c r="I223" s="43">
        <v>15.065</v>
      </c>
      <c r="J223" s="44">
        <v>2550</v>
      </c>
      <c r="K223" s="45"/>
      <c r="L223" s="45"/>
      <c r="M223" s="44">
        <f>ROUND(ROUND(J223, 2)*I223, 2)</f>
        <v>38415.75</v>
      </c>
      <c r="N223" s="45"/>
      <c r="O223" s="45"/>
      <c r="P223" s="44">
        <v>2550</v>
      </c>
      <c r="Q223" s="45"/>
      <c r="R223" s="45"/>
      <c r="S223" s="44">
        <f>ROUND(ROUND(P223, 2)*I223, 2)</f>
        <v>38415.75</v>
      </c>
      <c r="T223" s="45"/>
      <c r="U223" s="46"/>
      <c r="V223" s="9">
        <f>ROUND(ROUND(P223, 2)/1.2, 2)</f>
        <v>2125</v>
      </c>
      <c r="Y223" s="9">
        <f>ROUND(S223 / 1.2, 2)</f>
        <v>32013.13</v>
      </c>
      <c r="AD223" s="4" t="s">
        <v>656</v>
      </c>
      <c r="AE223" s="4" t="s">
        <v>653</v>
      </c>
      <c r="AF223" s="4" t="s">
        <v>654</v>
      </c>
    </row>
    <row r="224" spans="1:35" ht="18" x14ac:dyDescent="0.35">
      <c r="A224" s="17" t="s">
        <v>657</v>
      </c>
      <c r="B224" s="17" t="s">
        <v>644</v>
      </c>
      <c r="C224" s="18" t="s">
        <v>645</v>
      </c>
      <c r="D224" s="19"/>
      <c r="E224" s="19"/>
      <c r="F224" s="19" t="s">
        <v>93</v>
      </c>
      <c r="G224" s="20">
        <v>1</v>
      </c>
      <c r="H224" s="19"/>
      <c r="I224" s="21">
        <v>0</v>
      </c>
      <c r="J224" s="22">
        <v>2601</v>
      </c>
      <c r="K224" s="22">
        <v>2157</v>
      </c>
      <c r="L224" s="22">
        <f>J224+ROUND(K224, 2)</f>
        <v>4758</v>
      </c>
      <c r="M224" s="22">
        <v>0</v>
      </c>
      <c r="N224" s="22">
        <v>0</v>
      </c>
      <c r="O224" s="22">
        <f>M224+N224</f>
        <v>0</v>
      </c>
      <c r="P224" s="22">
        <v>2601</v>
      </c>
      <c r="Q224" s="22">
        <v>2157</v>
      </c>
      <c r="R224" s="22">
        <f>P224+ROUND(Q224, 2)</f>
        <v>4758</v>
      </c>
      <c r="S224" s="22">
        <v>0</v>
      </c>
      <c r="T224" s="22">
        <v>0</v>
      </c>
      <c r="U224" s="22">
        <f>S224+T224</f>
        <v>0</v>
      </c>
      <c r="V224" s="9">
        <f>ROUND(P224 / 1.2, 2)</f>
        <v>2167.5</v>
      </c>
      <c r="W224" s="9">
        <f>ROUND(Q224 / 1.2, 2)</f>
        <v>1797.5</v>
      </c>
      <c r="X224" s="9">
        <f>ROUND(R224 / 1.2, 2)</f>
        <v>3965</v>
      </c>
      <c r="Y224" s="9">
        <f>ROUND(S224 / 1.2, 2)</f>
        <v>0</v>
      </c>
      <c r="Z224" s="9">
        <f>ROUND(T224 / 1.2, 2)</f>
        <v>0</v>
      </c>
      <c r="AA224" s="9">
        <f>Y224+Z224</f>
        <v>0</v>
      </c>
      <c r="AD224" s="4">
        <v>305117024</v>
      </c>
      <c r="AE224" s="4">
        <v>21125774</v>
      </c>
      <c r="AG224" s="4" t="s">
        <v>646</v>
      </c>
      <c r="AH224" s="4" t="s">
        <v>647</v>
      </c>
      <c r="AI224" s="4" t="s">
        <v>467</v>
      </c>
    </row>
    <row r="225" spans="1:35" ht="36" x14ac:dyDescent="0.35">
      <c r="A225" s="23" t="s">
        <v>658</v>
      </c>
      <c r="B225" s="23" t="s">
        <v>644</v>
      </c>
      <c r="C225" s="24" t="s">
        <v>645</v>
      </c>
      <c r="D225" s="25"/>
      <c r="E225" s="25" t="s">
        <v>659</v>
      </c>
      <c r="F225" s="25" t="s">
        <v>93</v>
      </c>
      <c r="G225" s="26">
        <v>1</v>
      </c>
      <c r="H225" s="25"/>
      <c r="I225" s="26">
        <v>520.76</v>
      </c>
      <c r="J225" s="27">
        <v>2601</v>
      </c>
      <c r="K225" s="27">
        <v>2157</v>
      </c>
      <c r="L225" s="27">
        <v>2157</v>
      </c>
      <c r="M225" s="27">
        <v>1354496.76</v>
      </c>
      <c r="N225" s="27">
        <v>1123279.32</v>
      </c>
      <c r="O225" s="27"/>
      <c r="P225" s="27">
        <v>2601</v>
      </c>
      <c r="Q225" s="27">
        <v>2157</v>
      </c>
      <c r="R225" s="27">
        <v>2157</v>
      </c>
      <c r="S225" s="27">
        <v>1354496.76</v>
      </c>
      <c r="T225" s="27">
        <v>1123279.32</v>
      </c>
      <c r="U225" s="27"/>
      <c r="V225" s="9"/>
      <c r="W225" s="9">
        <f>ROUND(Q225 / 1.2, 2)</f>
        <v>1797.5</v>
      </c>
      <c r="X225" s="9">
        <f>ROUND(R225 / 1.2, 2)</f>
        <v>1797.5</v>
      </c>
      <c r="Y225" s="9"/>
      <c r="Z225" s="9">
        <f>ROUND(T225 / 1.2, 2)</f>
        <v>936066.1</v>
      </c>
      <c r="AA225" s="9"/>
      <c r="AD225" s="4">
        <v>278588549</v>
      </c>
      <c r="AE225" s="4">
        <v>21125774</v>
      </c>
      <c r="AG225" s="4" t="s">
        <v>646</v>
      </c>
      <c r="AH225" s="4" t="s">
        <v>647</v>
      </c>
      <c r="AI225" s="4"/>
    </row>
    <row r="226" spans="1:35" ht="18" x14ac:dyDescent="0.35">
      <c r="A226" s="17" t="s">
        <v>660</v>
      </c>
      <c r="B226" s="17"/>
      <c r="C226" s="34" t="s">
        <v>651</v>
      </c>
      <c r="D226" s="19"/>
      <c r="E226" s="19"/>
      <c r="F226" s="35" t="s">
        <v>93</v>
      </c>
      <c r="G226" s="36">
        <v>1.02</v>
      </c>
      <c r="H226" s="19"/>
      <c r="I226" s="37">
        <v>0</v>
      </c>
      <c r="J226" s="38">
        <v>2550</v>
      </c>
      <c r="K226" s="39"/>
      <c r="L226" s="39"/>
      <c r="M226" s="38">
        <f>ROUND(ROUND(J226, 2)*I226, 2)</f>
        <v>0</v>
      </c>
      <c r="N226" s="39"/>
      <c r="O226" s="39"/>
      <c r="P226" s="38">
        <v>2550</v>
      </c>
      <c r="Q226" s="39"/>
      <c r="R226" s="39"/>
      <c r="S226" s="38">
        <f>ROUND(ROUND(P226, 2)*I226, 2)</f>
        <v>0</v>
      </c>
      <c r="T226" s="39"/>
      <c r="U226" s="40"/>
      <c r="V226" s="9">
        <f>ROUND(ROUND(P226, 2)/1.2, 2)</f>
        <v>2125</v>
      </c>
      <c r="Y226" s="9">
        <f>ROUND(S226 / 1.2, 2)</f>
        <v>0</v>
      </c>
      <c r="AD226" s="4" t="s">
        <v>661</v>
      </c>
      <c r="AE226" s="4" t="s">
        <v>662</v>
      </c>
      <c r="AF226" s="4" t="s">
        <v>654</v>
      </c>
    </row>
    <row r="227" spans="1:35" ht="18" x14ac:dyDescent="0.35">
      <c r="A227" s="23" t="s">
        <v>663</v>
      </c>
      <c r="B227" s="23"/>
      <c r="C227" s="41" t="s">
        <v>651</v>
      </c>
      <c r="D227" s="25"/>
      <c r="E227" s="25"/>
      <c r="F227" s="42" t="s">
        <v>93</v>
      </c>
      <c r="G227" s="43">
        <v>1.02</v>
      </c>
      <c r="H227" s="25"/>
      <c r="I227" s="43">
        <v>531.17499999999995</v>
      </c>
      <c r="J227" s="44">
        <v>2550</v>
      </c>
      <c r="K227" s="45"/>
      <c r="L227" s="45"/>
      <c r="M227" s="44">
        <f>ROUND(ROUND(J227, 2)*I227, 2)</f>
        <v>1354496.25</v>
      </c>
      <c r="N227" s="45"/>
      <c r="O227" s="45"/>
      <c r="P227" s="44">
        <v>2550</v>
      </c>
      <c r="Q227" s="45"/>
      <c r="R227" s="45"/>
      <c r="S227" s="44">
        <f>ROUND(ROUND(P227, 2)*I227, 2)</f>
        <v>1354496.25</v>
      </c>
      <c r="T227" s="45"/>
      <c r="U227" s="46"/>
      <c r="V227" s="9">
        <f>ROUND(ROUND(P227, 2)/1.2, 2)</f>
        <v>2125</v>
      </c>
      <c r="Y227" s="9">
        <f>ROUND(S227 / 1.2, 2)</f>
        <v>1128746.8799999999</v>
      </c>
      <c r="AD227" s="4" t="s">
        <v>664</v>
      </c>
      <c r="AE227" s="4" t="s">
        <v>662</v>
      </c>
      <c r="AF227" s="4" t="s">
        <v>654</v>
      </c>
    </row>
    <row r="228" spans="1:35" ht="36" x14ac:dyDescent="0.35">
      <c r="A228" s="17" t="s">
        <v>665</v>
      </c>
      <c r="B228" s="17" t="s">
        <v>644</v>
      </c>
      <c r="C228" s="18" t="s">
        <v>645</v>
      </c>
      <c r="D228" s="19"/>
      <c r="E228" s="19" t="s">
        <v>666</v>
      </c>
      <c r="F228" s="19" t="s">
        <v>93</v>
      </c>
      <c r="G228" s="20">
        <v>1</v>
      </c>
      <c r="H228" s="19"/>
      <c r="I228" s="21">
        <v>0</v>
      </c>
      <c r="J228" s="22">
        <v>2601.0100000000002</v>
      </c>
      <c r="K228" s="22">
        <v>2157</v>
      </c>
      <c r="L228" s="22">
        <f>J228+ROUND(K228, 2)</f>
        <v>4758.01</v>
      </c>
      <c r="M228" s="22">
        <v>0</v>
      </c>
      <c r="N228" s="22">
        <v>0</v>
      </c>
      <c r="O228" s="22">
        <f>M228+N228</f>
        <v>0</v>
      </c>
      <c r="P228" s="22">
        <v>2601.0100000000002</v>
      </c>
      <c r="Q228" s="22">
        <v>2157</v>
      </c>
      <c r="R228" s="22">
        <f>P228+ROUND(Q228, 2)</f>
        <v>4758.01</v>
      </c>
      <c r="S228" s="22">
        <v>0</v>
      </c>
      <c r="T228" s="22">
        <v>0</v>
      </c>
      <c r="U228" s="22">
        <f>S228+T228</f>
        <v>0</v>
      </c>
      <c r="V228" s="9">
        <f>ROUND(P228 / 1.2, 2)</f>
        <v>2167.5100000000002</v>
      </c>
      <c r="W228" s="9">
        <f>ROUND(Q228 / 1.2, 2)</f>
        <v>1797.5</v>
      </c>
      <c r="X228" s="9">
        <f>ROUND(R228 / 1.2, 2)</f>
        <v>3965.01</v>
      </c>
      <c r="Y228" s="9">
        <f>ROUND(S228 / 1.2, 2)</f>
        <v>0</v>
      </c>
      <c r="Z228" s="9">
        <f>ROUND(T228 / 1.2, 2)</f>
        <v>0</v>
      </c>
      <c r="AA228" s="9">
        <f>Y228+Z228</f>
        <v>0</v>
      </c>
      <c r="AD228" s="4">
        <v>305117025</v>
      </c>
      <c r="AE228" s="4">
        <v>21125777</v>
      </c>
      <c r="AG228" s="4" t="s">
        <v>646</v>
      </c>
      <c r="AH228" s="4" t="s">
        <v>647</v>
      </c>
      <c r="AI228" s="4" t="s">
        <v>467</v>
      </c>
    </row>
    <row r="229" spans="1:35" ht="36" x14ac:dyDescent="0.35">
      <c r="A229" s="23" t="s">
        <v>667</v>
      </c>
      <c r="B229" s="23" t="s">
        <v>644</v>
      </c>
      <c r="C229" s="24" t="s">
        <v>645</v>
      </c>
      <c r="D229" s="25"/>
      <c r="E229" s="25" t="s">
        <v>666</v>
      </c>
      <c r="F229" s="25" t="s">
        <v>93</v>
      </c>
      <c r="G229" s="26">
        <v>1</v>
      </c>
      <c r="H229" s="25"/>
      <c r="I229" s="26">
        <v>53.99</v>
      </c>
      <c r="J229" s="27">
        <v>2601.0100000000002</v>
      </c>
      <c r="K229" s="27">
        <v>2157</v>
      </c>
      <c r="L229" s="27">
        <v>2157</v>
      </c>
      <c r="M229" s="27">
        <v>140428.53</v>
      </c>
      <c r="N229" s="27">
        <v>116456.43</v>
      </c>
      <c r="O229" s="27"/>
      <c r="P229" s="27">
        <v>2601.0100000000002</v>
      </c>
      <c r="Q229" s="27">
        <v>2157</v>
      </c>
      <c r="R229" s="27">
        <v>2157</v>
      </c>
      <c r="S229" s="27">
        <v>140428.53</v>
      </c>
      <c r="T229" s="27">
        <v>116456.43</v>
      </c>
      <c r="U229" s="27"/>
      <c r="V229" s="9"/>
      <c r="W229" s="9">
        <f>ROUND(Q229 / 1.2, 2)</f>
        <v>1797.5</v>
      </c>
      <c r="X229" s="9">
        <f>ROUND(R229 / 1.2, 2)</f>
        <v>1797.5</v>
      </c>
      <c r="Y229" s="9"/>
      <c r="Z229" s="9">
        <f>ROUND(T229 / 1.2, 2)</f>
        <v>97047.03</v>
      </c>
      <c r="AA229" s="9"/>
      <c r="AD229" s="4">
        <v>278588550</v>
      </c>
      <c r="AE229" s="4">
        <v>21125777</v>
      </c>
      <c r="AG229" s="4" t="s">
        <v>646</v>
      </c>
      <c r="AH229" s="4" t="s">
        <v>647</v>
      </c>
      <c r="AI229" s="4"/>
    </row>
    <row r="230" spans="1:35" ht="18" x14ac:dyDescent="0.35">
      <c r="A230" s="17" t="s">
        <v>668</v>
      </c>
      <c r="B230" s="17"/>
      <c r="C230" s="34" t="s">
        <v>651</v>
      </c>
      <c r="D230" s="19"/>
      <c r="E230" s="19"/>
      <c r="F230" s="35" t="s">
        <v>93</v>
      </c>
      <c r="G230" s="36">
        <v>1.02</v>
      </c>
      <c r="H230" s="19"/>
      <c r="I230" s="37">
        <v>0</v>
      </c>
      <c r="J230" s="38">
        <v>2550</v>
      </c>
      <c r="K230" s="39"/>
      <c r="L230" s="39"/>
      <c r="M230" s="38">
        <f>ROUND(ROUND(J230, 2)*I230, 2)</f>
        <v>0</v>
      </c>
      <c r="N230" s="39"/>
      <c r="O230" s="39"/>
      <c r="P230" s="38">
        <v>2550</v>
      </c>
      <c r="Q230" s="39"/>
      <c r="R230" s="39"/>
      <c r="S230" s="38">
        <f>ROUND(ROUND(P230, 2)*I230, 2)</f>
        <v>0</v>
      </c>
      <c r="T230" s="39"/>
      <c r="U230" s="40"/>
      <c r="V230" s="9">
        <f>ROUND(ROUND(P230, 2)/1.2, 2)</f>
        <v>2125</v>
      </c>
      <c r="Y230" s="9">
        <f>ROUND(S230 / 1.2, 2)</f>
        <v>0</v>
      </c>
      <c r="AD230" s="4" t="s">
        <v>669</v>
      </c>
      <c r="AE230" s="4" t="s">
        <v>670</v>
      </c>
      <c r="AF230" s="4" t="s">
        <v>654</v>
      </c>
    </row>
    <row r="231" spans="1:35" ht="18" x14ac:dyDescent="0.35">
      <c r="A231" s="23" t="s">
        <v>671</v>
      </c>
      <c r="B231" s="23"/>
      <c r="C231" s="41" t="s">
        <v>651</v>
      </c>
      <c r="D231" s="25"/>
      <c r="E231" s="25"/>
      <c r="F231" s="42" t="s">
        <v>93</v>
      </c>
      <c r="G231" s="43">
        <v>1.02</v>
      </c>
      <c r="H231" s="25"/>
      <c r="I231" s="43">
        <v>55.07</v>
      </c>
      <c r="J231" s="44">
        <v>2550</v>
      </c>
      <c r="K231" s="45"/>
      <c r="L231" s="45"/>
      <c r="M231" s="44">
        <f>ROUND(ROUND(J231, 2)*I231, 2)</f>
        <v>140428.5</v>
      </c>
      <c r="N231" s="45"/>
      <c r="O231" s="45"/>
      <c r="P231" s="44">
        <v>2550</v>
      </c>
      <c r="Q231" s="45"/>
      <c r="R231" s="45"/>
      <c r="S231" s="44">
        <f>ROUND(ROUND(P231, 2)*I231, 2)</f>
        <v>140428.5</v>
      </c>
      <c r="T231" s="45"/>
      <c r="U231" s="46"/>
      <c r="V231" s="9">
        <f>ROUND(ROUND(P231, 2)/1.2, 2)</f>
        <v>2125</v>
      </c>
      <c r="Y231" s="9">
        <f>ROUND(S231 / 1.2, 2)</f>
        <v>117023.75</v>
      </c>
      <c r="AD231" s="4" t="s">
        <v>672</v>
      </c>
      <c r="AE231" s="4" t="s">
        <v>670</v>
      </c>
      <c r="AF231" s="4" t="s">
        <v>654</v>
      </c>
    </row>
    <row r="232" spans="1:35" ht="36" x14ac:dyDescent="0.35">
      <c r="A232" s="17" t="s">
        <v>673</v>
      </c>
      <c r="B232" s="17" t="s">
        <v>644</v>
      </c>
      <c r="C232" s="18" t="s">
        <v>645</v>
      </c>
      <c r="D232" s="19"/>
      <c r="E232" s="19" t="s">
        <v>674</v>
      </c>
      <c r="F232" s="19" t="s">
        <v>93</v>
      </c>
      <c r="G232" s="20">
        <v>1</v>
      </c>
      <c r="H232" s="19"/>
      <c r="I232" s="21">
        <v>0</v>
      </c>
      <c r="J232" s="22">
        <v>2600.81</v>
      </c>
      <c r="K232" s="22">
        <v>2157</v>
      </c>
      <c r="L232" s="22">
        <f>J232+ROUND(K232, 2)</f>
        <v>4757.8099999999995</v>
      </c>
      <c r="M232" s="22">
        <v>0</v>
      </c>
      <c r="N232" s="22">
        <v>0</v>
      </c>
      <c r="O232" s="22">
        <f>M232+N232</f>
        <v>0</v>
      </c>
      <c r="P232" s="22">
        <v>2600.81</v>
      </c>
      <c r="Q232" s="22">
        <v>2157</v>
      </c>
      <c r="R232" s="22">
        <f>P232+ROUND(Q232, 2)</f>
        <v>4757.8099999999995</v>
      </c>
      <c r="S232" s="22">
        <v>0</v>
      </c>
      <c r="T232" s="22">
        <v>0</v>
      </c>
      <c r="U232" s="22">
        <f>S232+T232</f>
        <v>0</v>
      </c>
      <c r="V232" s="9">
        <f>ROUND(P232 / 1.2, 2)</f>
        <v>2167.34</v>
      </c>
      <c r="W232" s="9">
        <f>ROUND(Q232 / 1.2, 2)</f>
        <v>1797.5</v>
      </c>
      <c r="X232" s="9">
        <f>ROUND(R232 / 1.2, 2)</f>
        <v>3964.84</v>
      </c>
      <c r="Y232" s="9">
        <f>ROUND(S232 / 1.2, 2)</f>
        <v>0</v>
      </c>
      <c r="Z232" s="9">
        <f>ROUND(T232 / 1.2, 2)</f>
        <v>0</v>
      </c>
      <c r="AA232" s="9">
        <f>Y232+Z232</f>
        <v>0</v>
      </c>
      <c r="AD232" s="4">
        <v>305117026</v>
      </c>
      <c r="AE232" s="4">
        <v>21125775</v>
      </c>
      <c r="AG232" s="4" t="s">
        <v>646</v>
      </c>
      <c r="AH232" s="4" t="s">
        <v>647</v>
      </c>
      <c r="AI232" s="4" t="s">
        <v>467</v>
      </c>
    </row>
    <row r="233" spans="1:35" ht="36" x14ac:dyDescent="0.35">
      <c r="A233" s="23" t="s">
        <v>675</v>
      </c>
      <c r="B233" s="23" t="s">
        <v>644</v>
      </c>
      <c r="C233" s="24" t="s">
        <v>645</v>
      </c>
      <c r="D233" s="25"/>
      <c r="E233" s="25" t="s">
        <v>674</v>
      </c>
      <c r="F233" s="25" t="s">
        <v>93</v>
      </c>
      <c r="G233" s="26">
        <v>1</v>
      </c>
      <c r="H233" s="25"/>
      <c r="I233" s="26">
        <v>2.71</v>
      </c>
      <c r="J233" s="27">
        <v>2600.81</v>
      </c>
      <c r="K233" s="27">
        <v>2157</v>
      </c>
      <c r="L233" s="27">
        <v>2157</v>
      </c>
      <c r="M233" s="27">
        <v>7048.2</v>
      </c>
      <c r="N233" s="27">
        <v>5845.47</v>
      </c>
      <c r="O233" s="27"/>
      <c r="P233" s="27">
        <v>2600.81</v>
      </c>
      <c r="Q233" s="27">
        <v>2157</v>
      </c>
      <c r="R233" s="27">
        <v>2157</v>
      </c>
      <c r="S233" s="27">
        <v>7048.2</v>
      </c>
      <c r="T233" s="27">
        <v>5845.47</v>
      </c>
      <c r="U233" s="27"/>
      <c r="V233" s="9"/>
      <c r="W233" s="9">
        <f>ROUND(Q233 / 1.2, 2)</f>
        <v>1797.5</v>
      </c>
      <c r="X233" s="9">
        <f>ROUND(R233 / 1.2, 2)</f>
        <v>1797.5</v>
      </c>
      <c r="Y233" s="9"/>
      <c r="Z233" s="9">
        <f>ROUND(T233 / 1.2, 2)</f>
        <v>4871.2299999999996</v>
      </c>
      <c r="AA233" s="9"/>
      <c r="AD233" s="4">
        <v>278588551</v>
      </c>
      <c r="AE233" s="4">
        <v>21125775</v>
      </c>
      <c r="AG233" s="4" t="s">
        <v>646</v>
      </c>
      <c r="AH233" s="4" t="s">
        <v>647</v>
      </c>
      <c r="AI233" s="4"/>
    </row>
    <row r="234" spans="1:35" ht="18" x14ac:dyDescent="0.35">
      <c r="A234" s="17" t="s">
        <v>676</v>
      </c>
      <c r="B234" s="17"/>
      <c r="C234" s="34" t="s">
        <v>651</v>
      </c>
      <c r="D234" s="19"/>
      <c r="E234" s="19"/>
      <c r="F234" s="35" t="s">
        <v>93</v>
      </c>
      <c r="G234" s="36">
        <v>1.02</v>
      </c>
      <c r="H234" s="19"/>
      <c r="I234" s="37">
        <v>0</v>
      </c>
      <c r="J234" s="38">
        <v>2550</v>
      </c>
      <c r="K234" s="39"/>
      <c r="L234" s="39"/>
      <c r="M234" s="38">
        <f>ROUND(ROUND(J234, 2)*I234, 2)</f>
        <v>0</v>
      </c>
      <c r="N234" s="39"/>
      <c r="O234" s="39"/>
      <c r="P234" s="38">
        <v>2550</v>
      </c>
      <c r="Q234" s="39"/>
      <c r="R234" s="39"/>
      <c r="S234" s="38">
        <f>ROUND(ROUND(P234, 2)*I234, 2)</f>
        <v>0</v>
      </c>
      <c r="T234" s="39"/>
      <c r="U234" s="40"/>
      <c r="V234" s="9">
        <f>ROUND(ROUND(P234, 2)/1.2, 2)</f>
        <v>2125</v>
      </c>
      <c r="Y234" s="9">
        <f>ROUND(S234 / 1.2, 2)</f>
        <v>0</v>
      </c>
      <c r="AD234" s="4" t="s">
        <v>677</v>
      </c>
      <c r="AE234" s="4" t="s">
        <v>678</v>
      </c>
      <c r="AF234" s="4" t="s">
        <v>654</v>
      </c>
    </row>
    <row r="235" spans="1:35" ht="18" x14ac:dyDescent="0.35">
      <c r="A235" s="23" t="s">
        <v>679</v>
      </c>
      <c r="B235" s="23"/>
      <c r="C235" s="41" t="s">
        <v>651</v>
      </c>
      <c r="D235" s="25"/>
      <c r="E235" s="25"/>
      <c r="F235" s="42" t="s">
        <v>93</v>
      </c>
      <c r="G235" s="43">
        <v>1.02</v>
      </c>
      <c r="H235" s="25"/>
      <c r="I235" s="43">
        <v>2.7639999999999998</v>
      </c>
      <c r="J235" s="44">
        <v>2550</v>
      </c>
      <c r="K235" s="45"/>
      <c r="L235" s="45"/>
      <c r="M235" s="44">
        <f>ROUND(ROUND(J235, 2)*I235, 2)</f>
        <v>7048.2</v>
      </c>
      <c r="N235" s="45"/>
      <c r="O235" s="45"/>
      <c r="P235" s="44">
        <v>2550</v>
      </c>
      <c r="Q235" s="45"/>
      <c r="R235" s="45"/>
      <c r="S235" s="44">
        <f>ROUND(ROUND(P235, 2)*I235, 2)</f>
        <v>7048.2</v>
      </c>
      <c r="T235" s="45"/>
      <c r="U235" s="46"/>
      <c r="V235" s="9">
        <f>ROUND(ROUND(P235, 2)/1.2, 2)</f>
        <v>2125</v>
      </c>
      <c r="Y235" s="9">
        <f>ROUND(S235 / 1.2, 2)</f>
        <v>5873.5</v>
      </c>
      <c r="AD235" s="4" t="s">
        <v>680</v>
      </c>
      <c r="AE235" s="4" t="s">
        <v>678</v>
      </c>
      <c r="AF235" s="4" t="s">
        <v>654</v>
      </c>
    </row>
    <row r="236" spans="1:35" ht="18" x14ac:dyDescent="0.35">
      <c r="A236" s="17" t="s">
        <v>681</v>
      </c>
      <c r="B236" s="17" t="s">
        <v>644</v>
      </c>
      <c r="C236" s="18" t="s">
        <v>645</v>
      </c>
      <c r="D236" s="19"/>
      <c r="E236" s="19"/>
      <c r="F236" s="19" t="s">
        <v>93</v>
      </c>
      <c r="G236" s="20">
        <v>1</v>
      </c>
      <c r="H236" s="19"/>
      <c r="I236" s="21">
        <v>0</v>
      </c>
      <c r="J236" s="22">
        <v>2600.9899999999998</v>
      </c>
      <c r="K236" s="22">
        <v>2157</v>
      </c>
      <c r="L236" s="22">
        <f>J236+ROUND(K236, 2)</f>
        <v>4757.99</v>
      </c>
      <c r="M236" s="22">
        <v>0</v>
      </c>
      <c r="N236" s="22">
        <v>0</v>
      </c>
      <c r="O236" s="22">
        <f>M236+N236</f>
        <v>0</v>
      </c>
      <c r="P236" s="22">
        <v>2600.9899999999998</v>
      </c>
      <c r="Q236" s="22">
        <v>2157</v>
      </c>
      <c r="R236" s="22">
        <f>P236+ROUND(Q236, 2)</f>
        <v>4757.99</v>
      </c>
      <c r="S236" s="22">
        <v>0</v>
      </c>
      <c r="T236" s="22">
        <v>0</v>
      </c>
      <c r="U236" s="22">
        <f>S236+T236</f>
        <v>0</v>
      </c>
      <c r="V236" s="9">
        <f>ROUND(P236 / 1.2, 2)</f>
        <v>2167.4899999999998</v>
      </c>
      <c r="W236" s="9">
        <f>ROUND(Q236 / 1.2, 2)</f>
        <v>1797.5</v>
      </c>
      <c r="X236" s="9">
        <f>ROUND(R236 / 1.2, 2)</f>
        <v>3964.99</v>
      </c>
      <c r="Y236" s="9">
        <f>ROUND(S236 / 1.2, 2)</f>
        <v>0</v>
      </c>
      <c r="Z236" s="9">
        <f>ROUND(T236 / 1.2, 2)</f>
        <v>0</v>
      </c>
      <c r="AA236" s="9">
        <f>Y236+Z236</f>
        <v>0</v>
      </c>
      <c r="AD236" s="4">
        <v>305117027</v>
      </c>
      <c r="AE236" s="4">
        <v>21125779</v>
      </c>
      <c r="AG236" s="4" t="s">
        <v>646</v>
      </c>
      <c r="AH236" s="4" t="s">
        <v>647</v>
      </c>
      <c r="AI236" s="4" t="s">
        <v>467</v>
      </c>
    </row>
    <row r="237" spans="1:35" ht="54" x14ac:dyDescent="0.35">
      <c r="A237" s="23" t="s">
        <v>682</v>
      </c>
      <c r="B237" s="23" t="s">
        <v>644</v>
      </c>
      <c r="C237" s="24" t="s">
        <v>645</v>
      </c>
      <c r="D237" s="25"/>
      <c r="E237" s="25" t="s">
        <v>683</v>
      </c>
      <c r="F237" s="25" t="s">
        <v>93</v>
      </c>
      <c r="G237" s="26">
        <v>1</v>
      </c>
      <c r="H237" s="25"/>
      <c r="I237" s="26">
        <v>159.52000000000001</v>
      </c>
      <c r="J237" s="27">
        <v>2600.9899999999998</v>
      </c>
      <c r="K237" s="27">
        <v>2157</v>
      </c>
      <c r="L237" s="27">
        <v>2157</v>
      </c>
      <c r="M237" s="27">
        <v>414909.92</v>
      </c>
      <c r="N237" s="27">
        <v>344084.64</v>
      </c>
      <c r="O237" s="27"/>
      <c r="P237" s="27">
        <v>2600.9899999999998</v>
      </c>
      <c r="Q237" s="27">
        <v>2157</v>
      </c>
      <c r="R237" s="27">
        <v>2157</v>
      </c>
      <c r="S237" s="27">
        <v>414909.92</v>
      </c>
      <c r="T237" s="27">
        <v>344084.64</v>
      </c>
      <c r="U237" s="27"/>
      <c r="V237" s="9"/>
      <c r="W237" s="9">
        <f>ROUND(Q237 / 1.2, 2)</f>
        <v>1797.5</v>
      </c>
      <c r="X237" s="9">
        <f>ROUND(R237 / 1.2, 2)</f>
        <v>1797.5</v>
      </c>
      <c r="Y237" s="9"/>
      <c r="Z237" s="9">
        <f>ROUND(T237 / 1.2, 2)</f>
        <v>286737.2</v>
      </c>
      <c r="AA237" s="9"/>
      <c r="AD237" s="4">
        <v>278588552</v>
      </c>
      <c r="AE237" s="4">
        <v>21125779</v>
      </c>
      <c r="AG237" s="4" t="s">
        <v>646</v>
      </c>
      <c r="AH237" s="4" t="s">
        <v>647</v>
      </c>
      <c r="AI237" s="4"/>
    </row>
    <row r="238" spans="1:35" ht="18" x14ac:dyDescent="0.35">
      <c r="A238" s="17" t="s">
        <v>684</v>
      </c>
      <c r="B238" s="17"/>
      <c r="C238" s="34" t="s">
        <v>651</v>
      </c>
      <c r="D238" s="19"/>
      <c r="E238" s="19"/>
      <c r="F238" s="35" t="s">
        <v>93</v>
      </c>
      <c r="G238" s="36">
        <v>1.02</v>
      </c>
      <c r="H238" s="19"/>
      <c r="I238" s="37">
        <v>0</v>
      </c>
      <c r="J238" s="38">
        <v>2550</v>
      </c>
      <c r="K238" s="39"/>
      <c r="L238" s="39"/>
      <c r="M238" s="38">
        <f>ROUND(ROUND(J238, 2)*I238, 2)</f>
        <v>0</v>
      </c>
      <c r="N238" s="39"/>
      <c r="O238" s="39"/>
      <c r="P238" s="38">
        <v>2550</v>
      </c>
      <c r="Q238" s="39"/>
      <c r="R238" s="39"/>
      <c r="S238" s="38">
        <f>ROUND(ROUND(P238, 2)*I238, 2)</f>
        <v>0</v>
      </c>
      <c r="T238" s="39"/>
      <c r="U238" s="40"/>
      <c r="V238" s="9">
        <f>ROUND(ROUND(P238, 2)/1.2, 2)</f>
        <v>2125</v>
      </c>
      <c r="Y238" s="9">
        <f>ROUND(S238 / 1.2, 2)</f>
        <v>0</v>
      </c>
      <c r="AD238" s="4" t="s">
        <v>685</v>
      </c>
      <c r="AE238" s="4" t="s">
        <v>686</v>
      </c>
      <c r="AF238" s="4" t="s">
        <v>654</v>
      </c>
    </row>
    <row r="239" spans="1:35" ht="18" x14ac:dyDescent="0.35">
      <c r="A239" s="23" t="s">
        <v>687</v>
      </c>
      <c r="B239" s="23"/>
      <c r="C239" s="41" t="s">
        <v>651</v>
      </c>
      <c r="D239" s="25"/>
      <c r="E239" s="25"/>
      <c r="F239" s="42" t="s">
        <v>93</v>
      </c>
      <c r="G239" s="43">
        <v>1.02</v>
      </c>
      <c r="H239" s="25"/>
      <c r="I239" s="43">
        <v>162.71</v>
      </c>
      <c r="J239" s="44">
        <v>2550</v>
      </c>
      <c r="K239" s="45"/>
      <c r="L239" s="45"/>
      <c r="M239" s="44">
        <f>ROUND(ROUND(J239, 2)*I239, 2)</f>
        <v>414910.5</v>
      </c>
      <c r="N239" s="45"/>
      <c r="O239" s="45"/>
      <c r="P239" s="44">
        <v>2550</v>
      </c>
      <c r="Q239" s="45"/>
      <c r="R239" s="45"/>
      <c r="S239" s="44">
        <f>ROUND(ROUND(P239, 2)*I239, 2)</f>
        <v>414910.5</v>
      </c>
      <c r="T239" s="45"/>
      <c r="U239" s="46"/>
      <c r="V239" s="9">
        <f>ROUND(ROUND(P239, 2)/1.2, 2)</f>
        <v>2125</v>
      </c>
      <c r="Y239" s="9">
        <f>ROUND(S239 / 1.2, 2)</f>
        <v>345758.75</v>
      </c>
      <c r="AD239" s="4" t="s">
        <v>688</v>
      </c>
      <c r="AE239" s="4" t="s">
        <v>686</v>
      </c>
      <c r="AF239" s="4" t="s">
        <v>654</v>
      </c>
    </row>
    <row r="240" spans="1:35" ht="18" x14ac:dyDescent="0.35">
      <c r="A240" s="17" t="s">
        <v>689</v>
      </c>
      <c r="B240" s="17" t="s">
        <v>644</v>
      </c>
      <c r="C240" s="18" t="s">
        <v>645</v>
      </c>
      <c r="D240" s="19"/>
      <c r="E240" s="19"/>
      <c r="F240" s="19" t="s">
        <v>93</v>
      </c>
      <c r="G240" s="20">
        <v>1</v>
      </c>
      <c r="H240" s="19"/>
      <c r="I240" s="21">
        <v>0</v>
      </c>
      <c r="J240" s="22">
        <v>2600.84</v>
      </c>
      <c r="K240" s="22">
        <v>2157</v>
      </c>
      <c r="L240" s="22">
        <f>J240+ROUND(K240, 2)</f>
        <v>4757.84</v>
      </c>
      <c r="M240" s="22">
        <v>0</v>
      </c>
      <c r="N240" s="22">
        <v>0</v>
      </c>
      <c r="O240" s="22">
        <f>M240+N240</f>
        <v>0</v>
      </c>
      <c r="P240" s="22">
        <v>2600.84</v>
      </c>
      <c r="Q240" s="22">
        <v>2157</v>
      </c>
      <c r="R240" s="22">
        <f>P240+ROUND(Q240, 2)</f>
        <v>4757.84</v>
      </c>
      <c r="S240" s="22">
        <v>0</v>
      </c>
      <c r="T240" s="22">
        <v>0</v>
      </c>
      <c r="U240" s="22">
        <f>S240+T240</f>
        <v>0</v>
      </c>
      <c r="V240" s="9">
        <f>ROUND(P240 / 1.2, 2)</f>
        <v>2167.37</v>
      </c>
      <c r="W240" s="9">
        <f>ROUND(Q240 / 1.2, 2)</f>
        <v>1797.5</v>
      </c>
      <c r="X240" s="9">
        <f>ROUND(R240 / 1.2, 2)</f>
        <v>3964.87</v>
      </c>
      <c r="Y240" s="9">
        <f>ROUND(S240 / 1.2, 2)</f>
        <v>0</v>
      </c>
      <c r="Z240" s="9">
        <f>ROUND(T240 / 1.2, 2)</f>
        <v>0</v>
      </c>
      <c r="AA240" s="9">
        <f>Y240+Z240</f>
        <v>0</v>
      </c>
      <c r="AD240" s="4">
        <v>305117028</v>
      </c>
      <c r="AE240" s="4">
        <v>21125776</v>
      </c>
      <c r="AG240" s="4" t="s">
        <v>646</v>
      </c>
      <c r="AH240" s="4" t="s">
        <v>647</v>
      </c>
      <c r="AI240" s="4" t="s">
        <v>467</v>
      </c>
    </row>
    <row r="241" spans="1:35" ht="36" x14ac:dyDescent="0.35">
      <c r="A241" s="23" t="s">
        <v>690</v>
      </c>
      <c r="B241" s="23" t="s">
        <v>644</v>
      </c>
      <c r="C241" s="24" t="s">
        <v>645</v>
      </c>
      <c r="D241" s="25"/>
      <c r="E241" s="25" t="s">
        <v>691</v>
      </c>
      <c r="F241" s="25" t="s">
        <v>93</v>
      </c>
      <c r="G241" s="26">
        <v>1</v>
      </c>
      <c r="H241" s="25"/>
      <c r="I241" s="26">
        <v>6.57</v>
      </c>
      <c r="J241" s="27">
        <v>2600.84</v>
      </c>
      <c r="K241" s="27">
        <v>2157</v>
      </c>
      <c r="L241" s="27">
        <v>2157</v>
      </c>
      <c r="M241" s="27">
        <v>17087.52</v>
      </c>
      <c r="N241" s="27">
        <v>14171.49</v>
      </c>
      <c r="O241" s="27"/>
      <c r="P241" s="27">
        <v>2600.84</v>
      </c>
      <c r="Q241" s="27">
        <v>2157</v>
      </c>
      <c r="R241" s="27">
        <v>2157</v>
      </c>
      <c r="S241" s="27">
        <v>17087.52</v>
      </c>
      <c r="T241" s="27">
        <v>14171.49</v>
      </c>
      <c r="U241" s="27"/>
      <c r="V241" s="9"/>
      <c r="W241" s="9">
        <f>ROUND(Q241 / 1.2, 2)</f>
        <v>1797.5</v>
      </c>
      <c r="X241" s="9">
        <f>ROUND(R241 / 1.2, 2)</f>
        <v>1797.5</v>
      </c>
      <c r="Y241" s="9"/>
      <c r="Z241" s="9">
        <f>ROUND(T241 / 1.2, 2)</f>
        <v>11809.58</v>
      </c>
      <c r="AA241" s="9"/>
      <c r="AD241" s="4">
        <v>278588553</v>
      </c>
      <c r="AE241" s="4">
        <v>21125776</v>
      </c>
      <c r="AG241" s="4" t="s">
        <v>646</v>
      </c>
      <c r="AH241" s="4" t="s">
        <v>647</v>
      </c>
      <c r="AI241" s="4"/>
    </row>
    <row r="242" spans="1:35" ht="18" x14ac:dyDescent="0.35">
      <c r="A242" s="17" t="s">
        <v>692</v>
      </c>
      <c r="B242" s="17"/>
      <c r="C242" s="34" t="s">
        <v>651</v>
      </c>
      <c r="D242" s="19"/>
      <c r="E242" s="19"/>
      <c r="F242" s="35" t="s">
        <v>93</v>
      </c>
      <c r="G242" s="36">
        <v>1.02</v>
      </c>
      <c r="H242" s="19"/>
      <c r="I242" s="37">
        <v>0</v>
      </c>
      <c r="J242" s="38">
        <v>2550</v>
      </c>
      <c r="K242" s="39"/>
      <c r="L242" s="39"/>
      <c r="M242" s="38">
        <f>ROUND(ROUND(J242, 2)*I242, 2)</f>
        <v>0</v>
      </c>
      <c r="N242" s="39"/>
      <c r="O242" s="39"/>
      <c r="P242" s="38">
        <v>2550</v>
      </c>
      <c r="Q242" s="39"/>
      <c r="R242" s="39"/>
      <c r="S242" s="38">
        <f>ROUND(ROUND(P242, 2)*I242, 2)</f>
        <v>0</v>
      </c>
      <c r="T242" s="39"/>
      <c r="U242" s="40"/>
      <c r="V242" s="9">
        <f>ROUND(ROUND(P242, 2)/1.2, 2)</f>
        <v>2125</v>
      </c>
      <c r="Y242" s="9">
        <f t="shared" ref="Y242:Y256" si="46">ROUND(S242 / 1.2, 2)</f>
        <v>0</v>
      </c>
      <c r="AD242" s="4" t="s">
        <v>693</v>
      </c>
      <c r="AE242" s="4" t="s">
        <v>694</v>
      </c>
      <c r="AF242" s="4" t="s">
        <v>654</v>
      </c>
    </row>
    <row r="243" spans="1:35" ht="18" x14ac:dyDescent="0.35">
      <c r="A243" s="23" t="s">
        <v>695</v>
      </c>
      <c r="B243" s="23"/>
      <c r="C243" s="41" t="s">
        <v>651</v>
      </c>
      <c r="D243" s="25"/>
      <c r="E243" s="25"/>
      <c r="F243" s="42" t="s">
        <v>93</v>
      </c>
      <c r="G243" s="43">
        <v>1.02</v>
      </c>
      <c r="H243" s="25"/>
      <c r="I243" s="43">
        <v>6.7009999999999996</v>
      </c>
      <c r="J243" s="44">
        <v>2550</v>
      </c>
      <c r="K243" s="45"/>
      <c r="L243" s="45"/>
      <c r="M243" s="44">
        <f>ROUND(ROUND(J243, 2)*I243, 2)</f>
        <v>17087.55</v>
      </c>
      <c r="N243" s="45"/>
      <c r="O243" s="45"/>
      <c r="P243" s="44">
        <v>2550</v>
      </c>
      <c r="Q243" s="45"/>
      <c r="R243" s="45"/>
      <c r="S243" s="44">
        <f>ROUND(ROUND(P243, 2)*I243, 2)</f>
        <v>17087.55</v>
      </c>
      <c r="T243" s="45"/>
      <c r="U243" s="46"/>
      <c r="V243" s="9">
        <f>ROUND(ROUND(P243, 2)/1.2, 2)</f>
        <v>2125</v>
      </c>
      <c r="Y243" s="9">
        <f t="shared" si="46"/>
        <v>14239.63</v>
      </c>
      <c r="AD243" s="4" t="s">
        <v>696</v>
      </c>
      <c r="AE243" s="4" t="s">
        <v>694</v>
      </c>
      <c r="AF243" s="4" t="s">
        <v>654</v>
      </c>
    </row>
    <row r="244" spans="1:35" ht="36" x14ac:dyDescent="0.35">
      <c r="A244" s="51" t="s">
        <v>697</v>
      </c>
      <c r="B244" s="51" t="s">
        <v>644</v>
      </c>
      <c r="C244" s="52" t="s">
        <v>645</v>
      </c>
      <c r="D244" s="53"/>
      <c r="E244" s="53" t="s">
        <v>649</v>
      </c>
      <c r="F244" s="53" t="s">
        <v>93</v>
      </c>
      <c r="G244" s="54">
        <v>1</v>
      </c>
      <c r="H244" s="53"/>
      <c r="I244" s="54">
        <v>0</v>
      </c>
      <c r="J244" s="55">
        <f>IFERROR(ROUND(SUM(M245)/I244, 2),0)</f>
        <v>0</v>
      </c>
      <c r="K244" s="55">
        <v>2157</v>
      </c>
      <c r="L244" s="55">
        <f>J244+ROUND(K244, 2)</f>
        <v>2157</v>
      </c>
      <c r="M244" s="55">
        <f>ROUND(J244*I244, 2)</f>
        <v>0</v>
      </c>
      <c r="N244" s="55">
        <f>ROUND(I244*ROUND(K244, 2), 2)</f>
        <v>0</v>
      </c>
      <c r="O244" s="55">
        <f>M244+N244</f>
        <v>0</v>
      </c>
      <c r="P244" s="55">
        <f>IFERROR(ROUND(SUM(S245)/I244, 2),0)</f>
        <v>0</v>
      </c>
      <c r="Q244" s="55">
        <v>3235.5</v>
      </c>
      <c r="R244" s="55">
        <f>P244+ROUND(Q244, 2)</f>
        <v>3235.5</v>
      </c>
      <c r="S244" s="55">
        <f>ROUND(P244*I244, 2)</f>
        <v>0</v>
      </c>
      <c r="T244" s="55">
        <f>ROUND(I244*ROUND(Q244, 2), 2)</f>
        <v>0</v>
      </c>
      <c r="U244" s="55">
        <f>S244+T244</f>
        <v>0</v>
      </c>
      <c r="V244" s="9">
        <f>ROUND(P244 / 1.2, 2)</f>
        <v>0</v>
      </c>
      <c r="W244" s="9">
        <f>ROUND(Q244 / 1.2, 2)</f>
        <v>2696.25</v>
      </c>
      <c r="X244" s="9">
        <f>ROUND(R244 / 1.2, 2)</f>
        <v>2696.25</v>
      </c>
      <c r="Y244" s="9">
        <f t="shared" si="46"/>
        <v>0</v>
      </c>
      <c r="Z244" s="9">
        <f>ROUND(T244 / 1.2, 2)</f>
        <v>0</v>
      </c>
      <c r="AA244" s="9">
        <f>Y244+Z244</f>
        <v>0</v>
      </c>
      <c r="AD244" s="4">
        <v>305117029</v>
      </c>
      <c r="AE244" s="4">
        <v>22135721</v>
      </c>
      <c r="AG244" s="4" t="s">
        <v>646</v>
      </c>
      <c r="AH244" s="4" t="s">
        <v>647</v>
      </c>
      <c r="AI244" s="4" t="s">
        <v>467</v>
      </c>
    </row>
    <row r="245" spans="1:35" ht="18" x14ac:dyDescent="0.35">
      <c r="A245" s="51" t="s">
        <v>698</v>
      </c>
      <c r="B245" s="51"/>
      <c r="C245" s="56" t="s">
        <v>651</v>
      </c>
      <c r="D245" s="53"/>
      <c r="E245" s="53"/>
      <c r="F245" s="57" t="s">
        <v>93</v>
      </c>
      <c r="G245" s="58">
        <v>1.02</v>
      </c>
      <c r="H245" s="53"/>
      <c r="I245" s="58">
        <v>0</v>
      </c>
      <c r="J245" s="59">
        <v>2550</v>
      </c>
      <c r="K245" s="60"/>
      <c r="L245" s="60"/>
      <c r="M245" s="59">
        <f>ROUND(ROUND(J245, 2)*I245, 2)</f>
        <v>0</v>
      </c>
      <c r="N245" s="60"/>
      <c r="O245" s="60"/>
      <c r="P245" s="59">
        <v>2550</v>
      </c>
      <c r="Q245" s="60"/>
      <c r="R245" s="60"/>
      <c r="S245" s="59">
        <f>ROUND(ROUND(P245, 2)*I245, 2)</f>
        <v>0</v>
      </c>
      <c r="T245" s="60"/>
      <c r="U245" s="61"/>
      <c r="V245" s="9">
        <f>ROUND(ROUND(P245, 2)/1.2, 2)</f>
        <v>2125</v>
      </c>
      <c r="Y245" s="9">
        <f t="shared" si="46"/>
        <v>0</v>
      </c>
      <c r="AD245" s="4" t="s">
        <v>699</v>
      </c>
      <c r="AE245" s="4" t="s">
        <v>700</v>
      </c>
      <c r="AF245" s="4" t="s">
        <v>654</v>
      </c>
    </row>
    <row r="246" spans="1:35" ht="36" x14ac:dyDescent="0.35">
      <c r="A246" s="51" t="s">
        <v>701</v>
      </c>
      <c r="B246" s="51" t="s">
        <v>644</v>
      </c>
      <c r="C246" s="52" t="s">
        <v>645</v>
      </c>
      <c r="D246" s="53"/>
      <c r="E246" s="53" t="s">
        <v>659</v>
      </c>
      <c r="F246" s="53" t="s">
        <v>93</v>
      </c>
      <c r="G246" s="54">
        <v>1</v>
      </c>
      <c r="H246" s="53"/>
      <c r="I246" s="54">
        <v>0</v>
      </c>
      <c r="J246" s="55">
        <f>IFERROR(ROUND(SUM(M247)/I246, 2),0)</f>
        <v>0</v>
      </c>
      <c r="K246" s="55">
        <v>2157</v>
      </c>
      <c r="L246" s="55">
        <f>J246+ROUND(K246, 2)</f>
        <v>2157</v>
      </c>
      <c r="M246" s="55">
        <f>ROUND(J246*I246, 2)</f>
        <v>0</v>
      </c>
      <c r="N246" s="55">
        <f>ROUND(I246*ROUND(K246, 2), 2)</f>
        <v>0</v>
      </c>
      <c r="O246" s="55">
        <f>M246+N246</f>
        <v>0</v>
      </c>
      <c r="P246" s="55">
        <f>IFERROR(ROUND(SUM(S247)/I246, 2),0)</f>
        <v>0</v>
      </c>
      <c r="Q246" s="55">
        <v>3235.5</v>
      </c>
      <c r="R246" s="55">
        <f>P246+ROUND(Q246, 2)</f>
        <v>3235.5</v>
      </c>
      <c r="S246" s="55">
        <f>ROUND(P246*I246, 2)</f>
        <v>0</v>
      </c>
      <c r="T246" s="55">
        <f>ROUND(I246*ROUND(Q246, 2), 2)</f>
        <v>0</v>
      </c>
      <c r="U246" s="55">
        <f>S246+T246</f>
        <v>0</v>
      </c>
      <c r="V246" s="9">
        <f>ROUND(P246 / 1.2, 2)</f>
        <v>0</v>
      </c>
      <c r="W246" s="9">
        <f>ROUND(Q246 / 1.2, 2)</f>
        <v>2696.25</v>
      </c>
      <c r="X246" s="9">
        <f>ROUND(R246 / 1.2, 2)</f>
        <v>2696.25</v>
      </c>
      <c r="Y246" s="9">
        <f t="shared" si="46"/>
        <v>0</v>
      </c>
      <c r="Z246" s="9">
        <f>ROUND(T246 / 1.2, 2)</f>
        <v>0</v>
      </c>
      <c r="AA246" s="9">
        <f>Y246+Z246</f>
        <v>0</v>
      </c>
      <c r="AD246" s="4">
        <v>305117030</v>
      </c>
      <c r="AE246" s="4">
        <v>22135705</v>
      </c>
      <c r="AG246" s="4" t="s">
        <v>646</v>
      </c>
      <c r="AH246" s="4" t="s">
        <v>647</v>
      </c>
      <c r="AI246" s="4" t="s">
        <v>467</v>
      </c>
    </row>
    <row r="247" spans="1:35" ht="18" x14ac:dyDescent="0.35">
      <c r="A247" s="51" t="s">
        <v>702</v>
      </c>
      <c r="B247" s="51"/>
      <c r="C247" s="56" t="s">
        <v>651</v>
      </c>
      <c r="D247" s="53"/>
      <c r="E247" s="53"/>
      <c r="F247" s="57" t="s">
        <v>93</v>
      </c>
      <c r="G247" s="58">
        <v>1.02</v>
      </c>
      <c r="H247" s="53"/>
      <c r="I247" s="58">
        <v>0</v>
      </c>
      <c r="J247" s="59">
        <v>2550</v>
      </c>
      <c r="K247" s="60"/>
      <c r="L247" s="60"/>
      <c r="M247" s="59">
        <f>ROUND(ROUND(J247, 2)*I247, 2)</f>
        <v>0</v>
      </c>
      <c r="N247" s="60"/>
      <c r="O247" s="60"/>
      <c r="P247" s="59">
        <v>2550</v>
      </c>
      <c r="Q247" s="60"/>
      <c r="R247" s="60"/>
      <c r="S247" s="59">
        <f>ROUND(ROUND(P247, 2)*I247, 2)</f>
        <v>0</v>
      </c>
      <c r="T247" s="60"/>
      <c r="U247" s="61"/>
      <c r="V247" s="9">
        <f>ROUND(ROUND(P247, 2)/1.2, 2)</f>
        <v>2125</v>
      </c>
      <c r="Y247" s="9">
        <f t="shared" si="46"/>
        <v>0</v>
      </c>
      <c r="AD247" s="4" t="s">
        <v>703</v>
      </c>
      <c r="AE247" s="4" t="s">
        <v>704</v>
      </c>
      <c r="AF247" s="4" t="s">
        <v>654</v>
      </c>
    </row>
    <row r="248" spans="1:35" ht="36" x14ac:dyDescent="0.35">
      <c r="A248" s="51" t="s">
        <v>705</v>
      </c>
      <c r="B248" s="51" t="s">
        <v>644</v>
      </c>
      <c r="C248" s="52" t="s">
        <v>645</v>
      </c>
      <c r="D248" s="53"/>
      <c r="E248" s="53" t="s">
        <v>666</v>
      </c>
      <c r="F248" s="53" t="s">
        <v>93</v>
      </c>
      <c r="G248" s="54">
        <v>1</v>
      </c>
      <c r="H248" s="53"/>
      <c r="I248" s="54">
        <v>0</v>
      </c>
      <c r="J248" s="55">
        <f>IFERROR(ROUND(SUM(M249)/I248, 2),0)</f>
        <v>0</v>
      </c>
      <c r="K248" s="55">
        <v>2157</v>
      </c>
      <c r="L248" s="55">
        <f>J248+ROUND(K248, 2)</f>
        <v>2157</v>
      </c>
      <c r="M248" s="55">
        <f>ROUND(J248*I248, 2)</f>
        <v>0</v>
      </c>
      <c r="N248" s="55">
        <f>ROUND(I248*ROUND(K248, 2), 2)</f>
        <v>0</v>
      </c>
      <c r="O248" s="55">
        <f>M248+N248</f>
        <v>0</v>
      </c>
      <c r="P248" s="55">
        <f>IFERROR(ROUND(SUM(S249)/I248, 2),0)</f>
        <v>0</v>
      </c>
      <c r="Q248" s="55">
        <v>3235.5</v>
      </c>
      <c r="R248" s="55">
        <f>P248+ROUND(Q248, 2)</f>
        <v>3235.5</v>
      </c>
      <c r="S248" s="55">
        <f>ROUND(P248*I248, 2)</f>
        <v>0</v>
      </c>
      <c r="T248" s="55">
        <f>ROUND(I248*ROUND(Q248, 2), 2)</f>
        <v>0</v>
      </c>
      <c r="U248" s="55">
        <f>S248+T248</f>
        <v>0</v>
      </c>
      <c r="V248" s="9">
        <f>ROUND(P248 / 1.2, 2)</f>
        <v>0</v>
      </c>
      <c r="W248" s="9">
        <f>ROUND(Q248 / 1.2, 2)</f>
        <v>2696.25</v>
      </c>
      <c r="X248" s="9">
        <f>ROUND(R248 / 1.2, 2)</f>
        <v>2696.25</v>
      </c>
      <c r="Y248" s="9">
        <f t="shared" si="46"/>
        <v>0</v>
      </c>
      <c r="Z248" s="9">
        <f>ROUND(T248 / 1.2, 2)</f>
        <v>0</v>
      </c>
      <c r="AA248" s="9">
        <f>Y248+Z248</f>
        <v>0</v>
      </c>
      <c r="AD248" s="4">
        <v>305117031</v>
      </c>
      <c r="AE248" s="4">
        <v>22135715</v>
      </c>
      <c r="AG248" s="4" t="s">
        <v>646</v>
      </c>
      <c r="AH248" s="4" t="s">
        <v>647</v>
      </c>
      <c r="AI248" s="4" t="s">
        <v>467</v>
      </c>
    </row>
    <row r="249" spans="1:35" ht="18" x14ac:dyDescent="0.35">
      <c r="A249" s="51" t="s">
        <v>706</v>
      </c>
      <c r="B249" s="51"/>
      <c r="C249" s="56" t="s">
        <v>651</v>
      </c>
      <c r="D249" s="53"/>
      <c r="E249" s="53"/>
      <c r="F249" s="57" t="s">
        <v>93</v>
      </c>
      <c r="G249" s="58">
        <v>1.02</v>
      </c>
      <c r="H249" s="53"/>
      <c r="I249" s="58">
        <v>0</v>
      </c>
      <c r="J249" s="59">
        <v>2550</v>
      </c>
      <c r="K249" s="60"/>
      <c r="L249" s="60"/>
      <c r="M249" s="59">
        <f>ROUND(ROUND(J249, 2)*I249, 2)</f>
        <v>0</v>
      </c>
      <c r="N249" s="60"/>
      <c r="O249" s="60"/>
      <c r="P249" s="59">
        <v>2550</v>
      </c>
      <c r="Q249" s="60"/>
      <c r="R249" s="60"/>
      <c r="S249" s="59">
        <f>ROUND(ROUND(P249, 2)*I249, 2)</f>
        <v>0</v>
      </c>
      <c r="T249" s="60"/>
      <c r="U249" s="61"/>
      <c r="V249" s="9">
        <f>ROUND(ROUND(P249, 2)/1.2, 2)</f>
        <v>2125</v>
      </c>
      <c r="Y249" s="9">
        <f t="shared" si="46"/>
        <v>0</v>
      </c>
      <c r="AD249" s="4" t="s">
        <v>707</v>
      </c>
      <c r="AE249" s="4" t="s">
        <v>708</v>
      </c>
      <c r="AF249" s="4" t="s">
        <v>654</v>
      </c>
    </row>
    <row r="250" spans="1:35" ht="36" x14ac:dyDescent="0.35">
      <c r="A250" s="51" t="s">
        <v>709</v>
      </c>
      <c r="B250" s="51" t="s">
        <v>644</v>
      </c>
      <c r="C250" s="52" t="s">
        <v>645</v>
      </c>
      <c r="D250" s="53"/>
      <c r="E250" s="53" t="s">
        <v>674</v>
      </c>
      <c r="F250" s="53" t="s">
        <v>93</v>
      </c>
      <c r="G250" s="54">
        <v>1</v>
      </c>
      <c r="H250" s="53"/>
      <c r="I250" s="54">
        <v>0</v>
      </c>
      <c r="J250" s="55">
        <f>IFERROR(ROUND(SUM(M251)/I250, 2),0)</f>
        <v>0</v>
      </c>
      <c r="K250" s="55">
        <v>2157</v>
      </c>
      <c r="L250" s="55">
        <f>J250+ROUND(K250, 2)</f>
        <v>2157</v>
      </c>
      <c r="M250" s="55">
        <f>ROUND(J250*I250, 2)</f>
        <v>0</v>
      </c>
      <c r="N250" s="55">
        <f>ROUND(I250*ROUND(K250, 2), 2)</f>
        <v>0</v>
      </c>
      <c r="O250" s="55">
        <f>M250+N250</f>
        <v>0</v>
      </c>
      <c r="P250" s="55">
        <f>IFERROR(ROUND(SUM(S251)/I250, 2),0)</f>
        <v>0</v>
      </c>
      <c r="Q250" s="55">
        <v>3235.5</v>
      </c>
      <c r="R250" s="55">
        <f>P250+ROUND(Q250, 2)</f>
        <v>3235.5</v>
      </c>
      <c r="S250" s="55">
        <f>ROUND(P250*I250, 2)</f>
        <v>0</v>
      </c>
      <c r="T250" s="55">
        <f>ROUND(I250*ROUND(Q250, 2), 2)</f>
        <v>0</v>
      </c>
      <c r="U250" s="55">
        <f>S250+T250</f>
        <v>0</v>
      </c>
      <c r="V250" s="9">
        <f>ROUND(P250 / 1.2, 2)</f>
        <v>0</v>
      </c>
      <c r="W250" s="9">
        <f>ROUND(Q250 / 1.2, 2)</f>
        <v>2696.25</v>
      </c>
      <c r="X250" s="9">
        <f>ROUND(R250 / 1.2, 2)</f>
        <v>2696.25</v>
      </c>
      <c r="Y250" s="9">
        <f t="shared" si="46"/>
        <v>0</v>
      </c>
      <c r="Z250" s="9">
        <f>ROUND(T250 / 1.2, 2)</f>
        <v>0</v>
      </c>
      <c r="AA250" s="9">
        <f>Y250+Z250</f>
        <v>0</v>
      </c>
      <c r="AD250" s="4">
        <v>305117032</v>
      </c>
      <c r="AE250" s="4">
        <v>22135708</v>
      </c>
      <c r="AG250" s="4" t="s">
        <v>646</v>
      </c>
      <c r="AH250" s="4" t="s">
        <v>647</v>
      </c>
      <c r="AI250" s="4" t="s">
        <v>467</v>
      </c>
    </row>
    <row r="251" spans="1:35" ht="18" x14ac:dyDescent="0.35">
      <c r="A251" s="51" t="s">
        <v>710</v>
      </c>
      <c r="B251" s="51"/>
      <c r="C251" s="56" t="s">
        <v>651</v>
      </c>
      <c r="D251" s="53"/>
      <c r="E251" s="53"/>
      <c r="F251" s="57" t="s">
        <v>93</v>
      </c>
      <c r="G251" s="58">
        <v>1.02</v>
      </c>
      <c r="H251" s="53"/>
      <c r="I251" s="58">
        <v>0</v>
      </c>
      <c r="J251" s="59">
        <v>2550</v>
      </c>
      <c r="K251" s="60"/>
      <c r="L251" s="60"/>
      <c r="M251" s="59">
        <f>ROUND(ROUND(J251, 2)*I251, 2)</f>
        <v>0</v>
      </c>
      <c r="N251" s="60"/>
      <c r="O251" s="60"/>
      <c r="P251" s="59">
        <v>2550</v>
      </c>
      <c r="Q251" s="60"/>
      <c r="R251" s="60"/>
      <c r="S251" s="59">
        <f>ROUND(ROUND(P251, 2)*I251, 2)</f>
        <v>0</v>
      </c>
      <c r="T251" s="60"/>
      <c r="U251" s="61"/>
      <c r="V251" s="9">
        <f>ROUND(ROUND(P251, 2)/1.2, 2)</f>
        <v>2125</v>
      </c>
      <c r="Y251" s="9">
        <f t="shared" si="46"/>
        <v>0</v>
      </c>
      <c r="AD251" s="4" t="s">
        <v>711</v>
      </c>
      <c r="AE251" s="4" t="s">
        <v>712</v>
      </c>
      <c r="AF251" s="4" t="s">
        <v>654</v>
      </c>
    </row>
    <row r="252" spans="1:35" ht="54" x14ac:dyDescent="0.35">
      <c r="A252" s="51" t="s">
        <v>713</v>
      </c>
      <c r="B252" s="51" t="s">
        <v>644</v>
      </c>
      <c r="C252" s="52" t="s">
        <v>645</v>
      </c>
      <c r="D252" s="53"/>
      <c r="E252" s="53" t="s">
        <v>683</v>
      </c>
      <c r="F252" s="53" t="s">
        <v>93</v>
      </c>
      <c r="G252" s="54">
        <v>1</v>
      </c>
      <c r="H252" s="53"/>
      <c r="I252" s="54">
        <v>0</v>
      </c>
      <c r="J252" s="55">
        <f>IFERROR(ROUND(SUM(M253)/I252, 2),0)</f>
        <v>0</v>
      </c>
      <c r="K252" s="55">
        <v>2157</v>
      </c>
      <c r="L252" s="55">
        <f>J252+ROUND(K252, 2)</f>
        <v>2157</v>
      </c>
      <c r="M252" s="55">
        <f>ROUND(J252*I252, 2)</f>
        <v>0</v>
      </c>
      <c r="N252" s="55">
        <f>ROUND(I252*ROUND(K252, 2), 2)</f>
        <v>0</v>
      </c>
      <c r="O252" s="55">
        <f>M252+N252</f>
        <v>0</v>
      </c>
      <c r="P252" s="55">
        <f>IFERROR(ROUND(SUM(S253)/I252, 2),0)</f>
        <v>0</v>
      </c>
      <c r="Q252" s="55">
        <v>3235.5</v>
      </c>
      <c r="R252" s="55">
        <f>P252+ROUND(Q252, 2)</f>
        <v>3235.5</v>
      </c>
      <c r="S252" s="55">
        <f>ROUND(P252*I252, 2)</f>
        <v>0</v>
      </c>
      <c r="T252" s="55">
        <f>ROUND(I252*ROUND(Q252, 2), 2)</f>
        <v>0</v>
      </c>
      <c r="U252" s="55">
        <f>S252+T252</f>
        <v>0</v>
      </c>
      <c r="V252" s="9">
        <f>ROUND(P252 / 1.2, 2)</f>
        <v>0</v>
      </c>
      <c r="W252" s="9">
        <f>ROUND(Q252 / 1.2, 2)</f>
        <v>2696.25</v>
      </c>
      <c r="X252" s="9">
        <f>ROUND(R252 / 1.2, 2)</f>
        <v>2696.25</v>
      </c>
      <c r="Y252" s="9">
        <f t="shared" si="46"/>
        <v>0</v>
      </c>
      <c r="Z252" s="9">
        <f>ROUND(T252 / 1.2, 2)</f>
        <v>0</v>
      </c>
      <c r="AA252" s="9">
        <f>Y252+Z252</f>
        <v>0</v>
      </c>
      <c r="AD252" s="4">
        <v>305117033</v>
      </c>
      <c r="AE252" s="4">
        <v>22135724</v>
      </c>
      <c r="AG252" s="4" t="s">
        <v>646</v>
      </c>
      <c r="AH252" s="4" t="s">
        <v>647</v>
      </c>
      <c r="AI252" s="4" t="s">
        <v>467</v>
      </c>
    </row>
    <row r="253" spans="1:35" ht="18" x14ac:dyDescent="0.35">
      <c r="A253" s="51" t="s">
        <v>714</v>
      </c>
      <c r="B253" s="51"/>
      <c r="C253" s="56" t="s">
        <v>651</v>
      </c>
      <c r="D253" s="53"/>
      <c r="E253" s="53"/>
      <c r="F253" s="57" t="s">
        <v>93</v>
      </c>
      <c r="G253" s="58">
        <v>1.02</v>
      </c>
      <c r="H253" s="53"/>
      <c r="I253" s="58">
        <v>0</v>
      </c>
      <c r="J253" s="59">
        <v>2550</v>
      </c>
      <c r="K253" s="60"/>
      <c r="L253" s="60"/>
      <c r="M253" s="59">
        <f>ROUND(ROUND(J253, 2)*I253, 2)</f>
        <v>0</v>
      </c>
      <c r="N253" s="60"/>
      <c r="O253" s="60"/>
      <c r="P253" s="59">
        <v>2550</v>
      </c>
      <c r="Q253" s="60"/>
      <c r="R253" s="60"/>
      <c r="S253" s="59">
        <f>ROUND(ROUND(P253, 2)*I253, 2)</f>
        <v>0</v>
      </c>
      <c r="T253" s="60"/>
      <c r="U253" s="61"/>
      <c r="V253" s="9">
        <f>ROUND(ROUND(P253, 2)/1.2, 2)</f>
        <v>2125</v>
      </c>
      <c r="Y253" s="9">
        <f t="shared" si="46"/>
        <v>0</v>
      </c>
      <c r="AD253" s="4" t="s">
        <v>715</v>
      </c>
      <c r="AE253" s="4" t="s">
        <v>716</v>
      </c>
      <c r="AF253" s="4" t="s">
        <v>654</v>
      </c>
    </row>
    <row r="254" spans="1:35" ht="36" x14ac:dyDescent="0.35">
      <c r="A254" s="51" t="s">
        <v>717</v>
      </c>
      <c r="B254" s="51" t="s">
        <v>644</v>
      </c>
      <c r="C254" s="52" t="s">
        <v>645</v>
      </c>
      <c r="D254" s="53"/>
      <c r="E254" s="53" t="s">
        <v>691</v>
      </c>
      <c r="F254" s="53" t="s">
        <v>93</v>
      </c>
      <c r="G254" s="54">
        <v>1</v>
      </c>
      <c r="H254" s="53"/>
      <c r="I254" s="54">
        <v>0</v>
      </c>
      <c r="J254" s="55">
        <f>IFERROR(ROUND(SUM(M255)/I254, 2),0)</f>
        <v>0</v>
      </c>
      <c r="K254" s="55">
        <v>2157</v>
      </c>
      <c r="L254" s="55">
        <f>J254+ROUND(K254, 2)</f>
        <v>2157</v>
      </c>
      <c r="M254" s="55">
        <f>ROUND(J254*I254, 2)</f>
        <v>0</v>
      </c>
      <c r="N254" s="55">
        <f>ROUND(I254*ROUND(K254, 2), 2)</f>
        <v>0</v>
      </c>
      <c r="O254" s="55">
        <f>M254+N254</f>
        <v>0</v>
      </c>
      <c r="P254" s="55">
        <f>IFERROR(ROUND(SUM(S255)/I254, 2),0)</f>
        <v>0</v>
      </c>
      <c r="Q254" s="55">
        <v>3235.5</v>
      </c>
      <c r="R254" s="55">
        <f>P254+ROUND(Q254, 2)</f>
        <v>3235.5</v>
      </c>
      <c r="S254" s="55">
        <f>ROUND(P254*I254, 2)</f>
        <v>0</v>
      </c>
      <c r="T254" s="55">
        <f>ROUND(I254*ROUND(Q254, 2), 2)</f>
        <v>0</v>
      </c>
      <c r="U254" s="55">
        <f>S254+T254</f>
        <v>0</v>
      </c>
      <c r="V254" s="9">
        <f>ROUND(P254 / 1.2, 2)</f>
        <v>0</v>
      </c>
      <c r="W254" s="9">
        <f>ROUND(Q254 / 1.2, 2)</f>
        <v>2696.25</v>
      </c>
      <c r="X254" s="9">
        <f>ROUND(R254 / 1.2, 2)</f>
        <v>2696.25</v>
      </c>
      <c r="Y254" s="9">
        <f t="shared" si="46"/>
        <v>0</v>
      </c>
      <c r="Z254" s="9">
        <f>ROUND(T254 / 1.2, 2)</f>
        <v>0</v>
      </c>
      <c r="AA254" s="9">
        <f>Y254+Z254</f>
        <v>0</v>
      </c>
      <c r="AD254" s="4">
        <v>305117034</v>
      </c>
      <c r="AE254" s="4">
        <v>22135709</v>
      </c>
      <c r="AG254" s="4" t="s">
        <v>646</v>
      </c>
      <c r="AH254" s="4" t="s">
        <v>647</v>
      </c>
      <c r="AI254" s="4" t="s">
        <v>467</v>
      </c>
    </row>
    <row r="255" spans="1:35" ht="18" x14ac:dyDescent="0.35">
      <c r="A255" s="51" t="s">
        <v>718</v>
      </c>
      <c r="B255" s="51"/>
      <c r="C255" s="56" t="s">
        <v>651</v>
      </c>
      <c r="D255" s="53"/>
      <c r="E255" s="53"/>
      <c r="F255" s="57" t="s">
        <v>93</v>
      </c>
      <c r="G255" s="58">
        <v>1.02</v>
      </c>
      <c r="H255" s="53"/>
      <c r="I255" s="58">
        <v>0</v>
      </c>
      <c r="J255" s="59">
        <v>2550</v>
      </c>
      <c r="K255" s="60"/>
      <c r="L255" s="60"/>
      <c r="M255" s="59">
        <f>ROUND(ROUND(J255, 2)*I255, 2)</f>
        <v>0</v>
      </c>
      <c r="N255" s="60"/>
      <c r="O255" s="60"/>
      <c r="P255" s="59">
        <v>2550</v>
      </c>
      <c r="Q255" s="60"/>
      <c r="R255" s="60"/>
      <c r="S255" s="59">
        <f>ROUND(ROUND(P255, 2)*I255, 2)</f>
        <v>0</v>
      </c>
      <c r="T255" s="60"/>
      <c r="U255" s="61"/>
      <c r="V255" s="9">
        <f>ROUND(ROUND(P255, 2)/1.2, 2)</f>
        <v>2125</v>
      </c>
      <c r="Y255" s="9">
        <f t="shared" si="46"/>
        <v>0</v>
      </c>
      <c r="AD255" s="4" t="s">
        <v>719</v>
      </c>
      <c r="AE255" s="4" t="s">
        <v>720</v>
      </c>
      <c r="AF255" s="4" t="s">
        <v>654</v>
      </c>
    </row>
    <row r="256" spans="1:35" ht="18" x14ac:dyDescent="0.35">
      <c r="A256" s="17" t="s">
        <v>721</v>
      </c>
      <c r="B256" s="17" t="s">
        <v>722</v>
      </c>
      <c r="C256" s="18" t="s">
        <v>723</v>
      </c>
      <c r="D256" s="19"/>
      <c r="E256" s="19"/>
      <c r="F256" s="19" t="s">
        <v>93</v>
      </c>
      <c r="G256" s="20">
        <v>1</v>
      </c>
      <c r="H256" s="19"/>
      <c r="I256" s="21">
        <v>0</v>
      </c>
      <c r="J256" s="22">
        <v>1687.5</v>
      </c>
      <c r="K256" s="22">
        <v>915</v>
      </c>
      <c r="L256" s="22">
        <f>J256+ROUND(K256, 2)</f>
        <v>2602.5</v>
      </c>
      <c r="M256" s="22">
        <v>0</v>
      </c>
      <c r="N256" s="22">
        <v>0</v>
      </c>
      <c r="O256" s="22">
        <f>M256+N256</f>
        <v>0</v>
      </c>
      <c r="P256" s="22">
        <v>1687.5</v>
      </c>
      <c r="Q256" s="22">
        <v>915</v>
      </c>
      <c r="R256" s="22">
        <f>P256+ROUND(Q256, 2)</f>
        <v>2602.5</v>
      </c>
      <c r="S256" s="22">
        <v>0</v>
      </c>
      <c r="T256" s="22">
        <v>0</v>
      </c>
      <c r="U256" s="22">
        <f>S256+T256</f>
        <v>0</v>
      </c>
      <c r="V256" s="9">
        <f>ROUND(P256 / 1.2, 2)</f>
        <v>1406.25</v>
      </c>
      <c r="W256" s="9">
        <f>ROUND(Q256 / 1.2, 2)</f>
        <v>762.5</v>
      </c>
      <c r="X256" s="9">
        <f>ROUND(R256 / 1.2, 2)</f>
        <v>2168.75</v>
      </c>
      <c r="Y256" s="9">
        <f t="shared" si="46"/>
        <v>0</v>
      </c>
      <c r="Z256" s="9">
        <f>ROUND(T256 / 1.2, 2)</f>
        <v>0</v>
      </c>
      <c r="AA256" s="9">
        <f>Y256+Z256</f>
        <v>0</v>
      </c>
      <c r="AD256" s="4">
        <v>305116960</v>
      </c>
      <c r="AE256" s="4">
        <v>20926508</v>
      </c>
      <c r="AG256" s="4" t="s">
        <v>724</v>
      </c>
      <c r="AH256" s="4" t="s">
        <v>725</v>
      </c>
      <c r="AI256" s="4" t="s">
        <v>467</v>
      </c>
    </row>
    <row r="257" spans="1:35" ht="18" x14ac:dyDescent="0.35">
      <c r="A257" s="23" t="s">
        <v>726</v>
      </c>
      <c r="B257" s="23" t="s">
        <v>722</v>
      </c>
      <c r="C257" s="24" t="s">
        <v>723</v>
      </c>
      <c r="D257" s="25"/>
      <c r="E257" s="25"/>
      <c r="F257" s="25" t="s">
        <v>93</v>
      </c>
      <c r="G257" s="26">
        <v>1</v>
      </c>
      <c r="H257" s="25"/>
      <c r="I257" s="26">
        <v>758.32</v>
      </c>
      <c r="J257" s="27">
        <v>1687.5</v>
      </c>
      <c r="K257" s="27">
        <v>915</v>
      </c>
      <c r="L257" s="27">
        <v>915</v>
      </c>
      <c r="M257" s="27">
        <v>1279665</v>
      </c>
      <c r="N257" s="27">
        <v>693862.8</v>
      </c>
      <c r="O257" s="27"/>
      <c r="P257" s="27">
        <v>1687.5</v>
      </c>
      <c r="Q257" s="27">
        <v>915</v>
      </c>
      <c r="R257" s="27">
        <v>915</v>
      </c>
      <c r="S257" s="27">
        <v>1279665</v>
      </c>
      <c r="T257" s="27">
        <v>693862.8</v>
      </c>
      <c r="U257" s="27"/>
      <c r="V257" s="9"/>
      <c r="W257" s="9">
        <f>ROUND(Q257 / 1.2, 2)</f>
        <v>762.5</v>
      </c>
      <c r="X257" s="9">
        <f>ROUND(R257 / 1.2, 2)</f>
        <v>762.5</v>
      </c>
      <c r="Y257" s="9"/>
      <c r="Z257" s="9">
        <f>ROUND(T257 / 1.2, 2)</f>
        <v>578219</v>
      </c>
      <c r="AA257" s="9"/>
      <c r="AD257" s="4">
        <v>278586818</v>
      </c>
      <c r="AE257" s="4">
        <v>20926508</v>
      </c>
      <c r="AG257" s="4" t="s">
        <v>724</v>
      </c>
      <c r="AH257" s="4" t="s">
        <v>725</v>
      </c>
      <c r="AI257" s="4"/>
    </row>
    <row r="258" spans="1:35" ht="18" x14ac:dyDescent="0.35">
      <c r="A258" s="17" t="s">
        <v>727</v>
      </c>
      <c r="B258" s="17"/>
      <c r="C258" s="34" t="s">
        <v>728</v>
      </c>
      <c r="D258" s="19"/>
      <c r="E258" s="19"/>
      <c r="F258" s="35" t="s">
        <v>498</v>
      </c>
      <c r="G258" s="36">
        <v>225</v>
      </c>
      <c r="H258" s="19"/>
      <c r="I258" s="37">
        <v>0</v>
      </c>
      <c r="J258" s="38">
        <v>7.5</v>
      </c>
      <c r="K258" s="39"/>
      <c r="L258" s="39"/>
      <c r="M258" s="38">
        <f>ROUND(ROUND(J258, 2)*I258, 2)</f>
        <v>0</v>
      </c>
      <c r="N258" s="39"/>
      <c r="O258" s="39"/>
      <c r="P258" s="38">
        <v>7.5</v>
      </c>
      <c r="Q258" s="39"/>
      <c r="R258" s="39"/>
      <c r="S258" s="38">
        <f>ROUND(ROUND(P258, 2)*I258, 2)</f>
        <v>0</v>
      </c>
      <c r="T258" s="39"/>
      <c r="U258" s="40"/>
      <c r="V258" s="9">
        <f>ROUND(ROUND(P258, 2)/1.2, 2)</f>
        <v>6.25</v>
      </c>
      <c r="Y258" s="9">
        <f>ROUND(S258 / 1.2, 2)</f>
        <v>0</v>
      </c>
      <c r="AD258" s="4" t="s">
        <v>729</v>
      </c>
      <c r="AE258" s="4" t="s">
        <v>730</v>
      </c>
      <c r="AF258" s="4" t="s">
        <v>731</v>
      </c>
    </row>
    <row r="259" spans="1:35" ht="18" x14ac:dyDescent="0.35">
      <c r="A259" s="23" t="s">
        <v>732</v>
      </c>
      <c r="B259" s="23"/>
      <c r="C259" s="41" t="s">
        <v>728</v>
      </c>
      <c r="D259" s="25"/>
      <c r="E259" s="25"/>
      <c r="F259" s="42" t="s">
        <v>498</v>
      </c>
      <c r="G259" s="43">
        <v>225</v>
      </c>
      <c r="H259" s="25"/>
      <c r="I259" s="43">
        <v>170622</v>
      </c>
      <c r="J259" s="44">
        <v>7.5</v>
      </c>
      <c r="K259" s="45"/>
      <c r="L259" s="45"/>
      <c r="M259" s="44">
        <f>ROUND(ROUND(J259, 2)*I259, 2)</f>
        <v>1279665</v>
      </c>
      <c r="N259" s="45"/>
      <c r="O259" s="45"/>
      <c r="P259" s="44">
        <v>7.5</v>
      </c>
      <c r="Q259" s="45"/>
      <c r="R259" s="45"/>
      <c r="S259" s="44">
        <f>ROUND(ROUND(P259, 2)*I259, 2)</f>
        <v>1279665</v>
      </c>
      <c r="T259" s="45"/>
      <c r="U259" s="46"/>
      <c r="V259" s="9">
        <f>ROUND(ROUND(P259, 2)/1.2, 2)</f>
        <v>6.25</v>
      </c>
      <c r="Y259" s="9">
        <f>ROUND(S259 / 1.2, 2)</f>
        <v>1066387.5</v>
      </c>
      <c r="AD259" s="4" t="s">
        <v>733</v>
      </c>
      <c r="AE259" s="4" t="s">
        <v>730</v>
      </c>
      <c r="AF259" s="4" t="s">
        <v>731</v>
      </c>
    </row>
    <row r="260" spans="1:35" ht="18" x14ac:dyDescent="0.35">
      <c r="A260" s="51" t="s">
        <v>734</v>
      </c>
      <c r="B260" s="51" t="s">
        <v>722</v>
      </c>
      <c r="C260" s="52" t="s">
        <v>723</v>
      </c>
      <c r="D260" s="53"/>
      <c r="E260" s="53"/>
      <c r="F260" s="53" t="s">
        <v>93</v>
      </c>
      <c r="G260" s="54">
        <v>1</v>
      </c>
      <c r="H260" s="53"/>
      <c r="I260" s="54">
        <v>0</v>
      </c>
      <c r="J260" s="55">
        <f>IFERROR(ROUND(SUM(M261)/I260, 2),0)</f>
        <v>0</v>
      </c>
      <c r="K260" s="55">
        <v>915</v>
      </c>
      <c r="L260" s="55">
        <f>J260+ROUND(K260, 2)</f>
        <v>915</v>
      </c>
      <c r="M260" s="55">
        <f>ROUND(J260*I260, 2)</f>
        <v>0</v>
      </c>
      <c r="N260" s="55">
        <f>ROUND(I260*ROUND(K260, 2), 2)</f>
        <v>0</v>
      </c>
      <c r="O260" s="55">
        <f>M260+N260</f>
        <v>0</v>
      </c>
      <c r="P260" s="55">
        <f>IFERROR(ROUND(SUM(S261)/I260, 2),0)</f>
        <v>0</v>
      </c>
      <c r="Q260" s="55">
        <v>1372.5</v>
      </c>
      <c r="R260" s="55">
        <f>P260+ROUND(Q260, 2)</f>
        <v>1372.5</v>
      </c>
      <c r="S260" s="55">
        <f>ROUND(P260*I260, 2)</f>
        <v>0</v>
      </c>
      <c r="T260" s="55">
        <f>ROUND(I260*ROUND(Q260, 2), 2)</f>
        <v>0</v>
      </c>
      <c r="U260" s="55">
        <f>S260+T260</f>
        <v>0</v>
      </c>
      <c r="V260" s="9">
        <f>ROUND(P260 / 1.2, 2)</f>
        <v>0</v>
      </c>
      <c r="W260" s="9">
        <f>ROUND(Q260 / 1.2, 2)</f>
        <v>1143.75</v>
      </c>
      <c r="X260" s="9">
        <f>ROUND(R260 / 1.2, 2)</f>
        <v>1143.75</v>
      </c>
      <c r="Y260" s="9">
        <f>ROUND(S260 / 1.2, 2)</f>
        <v>0</v>
      </c>
      <c r="Z260" s="9">
        <f>ROUND(T260 / 1.2, 2)</f>
        <v>0</v>
      </c>
      <c r="AA260" s="9">
        <f>Y260+Z260</f>
        <v>0</v>
      </c>
      <c r="AD260" s="4">
        <v>305117035</v>
      </c>
      <c r="AE260" s="4">
        <v>22135659</v>
      </c>
      <c r="AG260" s="4" t="s">
        <v>724</v>
      </c>
      <c r="AH260" s="4" t="s">
        <v>725</v>
      </c>
      <c r="AI260" s="4" t="s">
        <v>467</v>
      </c>
    </row>
    <row r="261" spans="1:35" ht="18" x14ac:dyDescent="0.35">
      <c r="A261" s="51" t="s">
        <v>735</v>
      </c>
      <c r="B261" s="51"/>
      <c r="C261" s="56" t="s">
        <v>728</v>
      </c>
      <c r="D261" s="53"/>
      <c r="E261" s="53"/>
      <c r="F261" s="57" t="s">
        <v>498</v>
      </c>
      <c r="G261" s="58">
        <v>225</v>
      </c>
      <c r="H261" s="53"/>
      <c r="I261" s="58">
        <v>0</v>
      </c>
      <c r="J261" s="59">
        <v>7.5</v>
      </c>
      <c r="K261" s="60"/>
      <c r="L261" s="60"/>
      <c r="M261" s="59">
        <f>ROUND(ROUND(J261, 2)*I261, 2)</f>
        <v>0</v>
      </c>
      <c r="N261" s="60"/>
      <c r="O261" s="60"/>
      <c r="P261" s="59">
        <v>7.5</v>
      </c>
      <c r="Q261" s="60"/>
      <c r="R261" s="60"/>
      <c r="S261" s="59">
        <f>ROUND(ROUND(P261, 2)*I261, 2)</f>
        <v>0</v>
      </c>
      <c r="T261" s="60"/>
      <c r="U261" s="61"/>
      <c r="V261" s="9">
        <f>ROUND(ROUND(P261, 2)/1.2, 2)</f>
        <v>6.25</v>
      </c>
      <c r="Y261" s="9">
        <f>ROUND(S261 / 1.2, 2)</f>
        <v>0</v>
      </c>
      <c r="AD261" s="4" t="s">
        <v>736</v>
      </c>
      <c r="AE261" s="4" t="s">
        <v>737</v>
      </c>
      <c r="AF261" s="4" t="s">
        <v>731</v>
      </c>
    </row>
    <row r="262" spans="1:35" ht="17" customHeight="1" x14ac:dyDescent="0.35">
      <c r="A262" s="10" t="s">
        <v>738</v>
      </c>
      <c r="B262" s="10" t="s">
        <v>739</v>
      </c>
      <c r="C262" s="174" t="s">
        <v>740</v>
      </c>
      <c r="D262" s="175"/>
      <c r="E262" s="175"/>
      <c r="F262" s="175"/>
      <c r="G262" s="175"/>
      <c r="H262" s="175"/>
      <c r="I262" s="176"/>
      <c r="M262" s="6">
        <f>SUM(M263,M273,M281,M286,M290,M296,M299,M309,M314,M324,M334,M344,M349,M354,M359,M369,M379,M384,M389,M399,M409,M414)</f>
        <v>0</v>
      </c>
      <c r="N262" s="6">
        <f>SUM(N263,N273,N281,N286,N290,N296,N299,N309,N314,N324,N334,N344,N349,N354,N359,N369,N379,N384,N389,N399,N409,N414)</f>
        <v>0</v>
      </c>
      <c r="O262" s="6">
        <f>SUM(O263,O273,O281,O286,O290,O296,O299,O309,O314,O324,O334,O344,O349,O354,O359,O369,O379,O384,O389,O399,O409,O414)</f>
        <v>0</v>
      </c>
      <c r="S262" s="6">
        <f>SUM(S263,S273,S281,S286,S290,S296,S299,S309,S314,S324,S334,S344,S349,S354,S359,S369,S379,S384,S389,S399,S409,S414)</f>
        <v>0</v>
      </c>
      <c r="T262" s="6">
        <f>SUM(T263,T273,T281,T286,T290,T296,T299,T309,T314,T324,T334,T344,T349,T354,T359,T369,T379,T384,T389,T399,T409,T414)</f>
        <v>0</v>
      </c>
      <c r="U262" s="6">
        <f>SUM(U263,U273,U281,U286,U290,U296,U299,U309,U314,U324,U334,U344,U349,U354,U359,U369,U379,U384,U389,U399,U409,U414)</f>
        <v>0</v>
      </c>
      <c r="Y262" s="9">
        <f>SUM(Y263,Y273,Y281,Y286,Y290,Y296,Y299,Y309,Y314,Y324,Y334,Y344,Y349,Y354,Y359,Y369,Y379,Y384,Y389,Y399,Y409,Y414)</f>
        <v>0</v>
      </c>
      <c r="Z262" s="9">
        <f>SUM(Z263,Z273,Z281,Z286,Z290,Z296,Z299,Z309,Z314,Z324,Z334,Z344,Z349,Z354,Z359,Z369,Z379,Z384,Z389,Z399,Z409,Z414)</f>
        <v>0</v>
      </c>
      <c r="AA262" s="9">
        <f>SUM(AA263,AA273,AA281,AA286,AA290,AA296,AA299,AA309,AA314,AA324,AA334,AA344,AA349,AA354,AA359,AA369,AA379,AA384,AA389,AA399,AA409,AA414)</f>
        <v>0</v>
      </c>
      <c r="AD262" s="4">
        <v>305116961</v>
      </c>
      <c r="AE262" s="4">
        <v>20926512</v>
      </c>
    </row>
    <row r="263" spans="1:35" ht="18" x14ac:dyDescent="0.35">
      <c r="A263" s="17" t="s">
        <v>741</v>
      </c>
      <c r="B263" s="17" t="s">
        <v>742</v>
      </c>
      <c r="C263" s="18" t="s">
        <v>743</v>
      </c>
      <c r="D263" s="19" t="s">
        <v>744</v>
      </c>
      <c r="E263" s="19"/>
      <c r="F263" s="19" t="s">
        <v>63</v>
      </c>
      <c r="G263" s="20">
        <v>1</v>
      </c>
      <c r="H263" s="19"/>
      <c r="I263" s="21">
        <v>0</v>
      </c>
      <c r="J263" s="22">
        <v>127.26</v>
      </c>
      <c r="K263" s="22">
        <v>556</v>
      </c>
      <c r="L263" s="22">
        <f>J263+ROUND(K263, 2)</f>
        <v>683.26</v>
      </c>
      <c r="M263" s="22">
        <v>0</v>
      </c>
      <c r="N263" s="22">
        <v>0</v>
      </c>
      <c r="O263" s="22">
        <f>M263+N263</f>
        <v>0</v>
      </c>
      <c r="P263" s="22">
        <v>5416.76</v>
      </c>
      <c r="Q263" s="22">
        <v>556</v>
      </c>
      <c r="R263" s="22">
        <f>P263+ROUND(Q263, 2)</f>
        <v>5972.76</v>
      </c>
      <c r="S263" s="22">
        <v>0</v>
      </c>
      <c r="T263" s="22">
        <v>0</v>
      </c>
      <c r="U263" s="22">
        <f>S263+T263</f>
        <v>0</v>
      </c>
      <c r="V263" s="9">
        <f>ROUND(P263 / 1.2, 2)</f>
        <v>4513.97</v>
      </c>
      <c r="W263" s="9">
        <f>ROUND(Q263 / 1.2, 2)</f>
        <v>463.33</v>
      </c>
      <c r="X263" s="9">
        <f>ROUND(R263 / 1.2, 2)</f>
        <v>4977.3</v>
      </c>
      <c r="Y263" s="9">
        <f>ROUND(S263 / 1.2, 2)</f>
        <v>0</v>
      </c>
      <c r="Z263" s="9">
        <f>ROUND(T263 / 1.2, 2)</f>
        <v>0</v>
      </c>
      <c r="AA263" s="9">
        <f>Y263+Z263</f>
        <v>0</v>
      </c>
      <c r="AD263" s="4">
        <v>305116963</v>
      </c>
      <c r="AE263" s="4">
        <v>20926764</v>
      </c>
      <c r="AG263" s="4" t="s">
        <v>745</v>
      </c>
      <c r="AH263" s="4" t="s">
        <v>746</v>
      </c>
      <c r="AI263" s="4" t="s">
        <v>467</v>
      </c>
    </row>
    <row r="264" spans="1:35" ht="36" x14ac:dyDescent="0.35">
      <c r="A264" s="23" t="s">
        <v>747</v>
      </c>
      <c r="B264" s="23" t="s">
        <v>742</v>
      </c>
      <c r="C264" s="24" t="s">
        <v>743</v>
      </c>
      <c r="D264" s="25" t="s">
        <v>744</v>
      </c>
      <c r="E264" s="25" t="s">
        <v>748</v>
      </c>
      <c r="F264" s="25" t="s">
        <v>63</v>
      </c>
      <c r="G264" s="26">
        <v>1</v>
      </c>
      <c r="H264" s="25"/>
      <c r="I264" s="26">
        <v>427.37</v>
      </c>
      <c r="J264" s="27">
        <v>127.26</v>
      </c>
      <c r="K264" s="27">
        <v>556</v>
      </c>
      <c r="L264" s="27">
        <v>556</v>
      </c>
      <c r="M264" s="27">
        <v>54387.11</v>
      </c>
      <c r="N264" s="27">
        <v>237617.72</v>
      </c>
      <c r="O264" s="27"/>
      <c r="P264" s="27">
        <v>5416.76</v>
      </c>
      <c r="Q264" s="27">
        <v>556</v>
      </c>
      <c r="R264" s="27">
        <v>556</v>
      </c>
      <c r="S264" s="27">
        <v>2314960.7200000002</v>
      </c>
      <c r="T264" s="27">
        <v>237617.72</v>
      </c>
      <c r="U264" s="27"/>
      <c r="V264" s="9"/>
      <c r="W264" s="9">
        <f>ROUND(Q264 / 1.2, 2)</f>
        <v>463.33</v>
      </c>
      <c r="X264" s="9">
        <f>ROUND(R264 / 1.2, 2)</f>
        <v>463.33</v>
      </c>
      <c r="Y264" s="9"/>
      <c r="Z264" s="9">
        <f>ROUND(T264 / 1.2, 2)</f>
        <v>198014.77</v>
      </c>
      <c r="AA264" s="9"/>
      <c r="AD264" s="4">
        <v>281765301</v>
      </c>
      <c r="AE264" s="4">
        <v>20926764</v>
      </c>
      <c r="AG264" s="4" t="s">
        <v>745</v>
      </c>
      <c r="AH264" s="4" t="s">
        <v>746</v>
      </c>
      <c r="AI264" s="4"/>
    </row>
    <row r="265" spans="1:35" ht="18" x14ac:dyDescent="0.35">
      <c r="A265" s="17" t="s">
        <v>749</v>
      </c>
      <c r="B265" s="17"/>
      <c r="C265" s="34" t="s">
        <v>750</v>
      </c>
      <c r="D265" s="19"/>
      <c r="E265" s="19"/>
      <c r="F265" s="35" t="s">
        <v>498</v>
      </c>
      <c r="G265" s="36">
        <v>0.3</v>
      </c>
      <c r="H265" s="19"/>
      <c r="I265" s="37">
        <v>0</v>
      </c>
      <c r="J265" s="38">
        <v>220</v>
      </c>
      <c r="K265" s="39"/>
      <c r="L265" s="39"/>
      <c r="M265" s="38">
        <f t="shared" ref="M265:M272" si="47">ROUND(ROUND(J265, 2)*I265, 2)</f>
        <v>0</v>
      </c>
      <c r="N265" s="39"/>
      <c r="O265" s="39"/>
      <c r="P265" s="38">
        <v>545</v>
      </c>
      <c r="Q265" s="39"/>
      <c r="R265" s="39"/>
      <c r="S265" s="38">
        <f t="shared" ref="S265:S272" si="48">ROUND(ROUND(P265, 2)*I265, 2)</f>
        <v>0</v>
      </c>
      <c r="T265" s="39"/>
      <c r="U265" s="40"/>
      <c r="V265" s="9">
        <f t="shared" ref="V265:V272" si="49">ROUND(ROUND(P265, 2)/1.2, 2)</f>
        <v>454.17</v>
      </c>
      <c r="Y265" s="9">
        <f t="shared" ref="Y265:Y273" si="50">ROUND(S265 / 1.2, 2)</f>
        <v>0</v>
      </c>
      <c r="AD265" s="4" t="s">
        <v>751</v>
      </c>
      <c r="AE265" s="4" t="s">
        <v>752</v>
      </c>
      <c r="AF265" s="4" t="s">
        <v>753</v>
      </c>
    </row>
    <row r="266" spans="1:35" ht="18" x14ac:dyDescent="0.35">
      <c r="A266" s="23" t="s">
        <v>754</v>
      </c>
      <c r="B266" s="23"/>
      <c r="C266" s="41" t="s">
        <v>750</v>
      </c>
      <c r="D266" s="25"/>
      <c r="E266" s="25" t="s">
        <v>755</v>
      </c>
      <c r="F266" s="42" t="s">
        <v>498</v>
      </c>
      <c r="G266" s="43">
        <v>0.3</v>
      </c>
      <c r="H266" s="25"/>
      <c r="I266" s="43">
        <v>128.21100000000001</v>
      </c>
      <c r="J266" s="44">
        <v>220</v>
      </c>
      <c r="K266" s="45"/>
      <c r="L266" s="45"/>
      <c r="M266" s="44">
        <f t="shared" si="47"/>
        <v>28206.42</v>
      </c>
      <c r="N266" s="45"/>
      <c r="O266" s="45"/>
      <c r="P266" s="44">
        <v>545</v>
      </c>
      <c r="Q266" s="45"/>
      <c r="R266" s="45"/>
      <c r="S266" s="44">
        <f t="shared" si="48"/>
        <v>69875</v>
      </c>
      <c r="T266" s="45"/>
      <c r="U266" s="46"/>
      <c r="V266" s="9">
        <f t="shared" si="49"/>
        <v>454.17</v>
      </c>
      <c r="Y266" s="9">
        <f t="shared" si="50"/>
        <v>58229.17</v>
      </c>
      <c r="AD266" s="4" t="s">
        <v>756</v>
      </c>
      <c r="AE266" s="4" t="s">
        <v>752</v>
      </c>
      <c r="AF266" s="4" t="s">
        <v>753</v>
      </c>
    </row>
    <row r="267" spans="1:35" ht="36" x14ac:dyDescent="0.35">
      <c r="A267" s="17" t="s">
        <v>757</v>
      </c>
      <c r="B267" s="17"/>
      <c r="C267" s="34" t="s">
        <v>758</v>
      </c>
      <c r="D267" s="19"/>
      <c r="E267" s="19"/>
      <c r="F267" s="35" t="s">
        <v>498</v>
      </c>
      <c r="G267" s="36">
        <v>0.15</v>
      </c>
      <c r="H267" s="19"/>
      <c r="I267" s="37">
        <v>0</v>
      </c>
      <c r="J267" s="38">
        <v>68.400000000000006</v>
      </c>
      <c r="K267" s="39"/>
      <c r="L267" s="39"/>
      <c r="M267" s="38">
        <f t="shared" si="47"/>
        <v>0</v>
      </c>
      <c r="N267" s="39"/>
      <c r="O267" s="39"/>
      <c r="P267" s="38">
        <v>68.400000000000006</v>
      </c>
      <c r="Q267" s="39"/>
      <c r="R267" s="39"/>
      <c r="S267" s="38">
        <f t="shared" si="48"/>
        <v>0</v>
      </c>
      <c r="T267" s="39"/>
      <c r="U267" s="40"/>
      <c r="V267" s="9">
        <f t="shared" si="49"/>
        <v>57</v>
      </c>
      <c r="Y267" s="9">
        <f t="shared" si="50"/>
        <v>0</v>
      </c>
      <c r="AD267" s="4" t="s">
        <v>759</v>
      </c>
      <c r="AE267" s="4" t="s">
        <v>760</v>
      </c>
      <c r="AF267" s="4" t="s">
        <v>761</v>
      </c>
    </row>
    <row r="268" spans="1:35" ht="36" x14ac:dyDescent="0.35">
      <c r="A268" s="23" t="s">
        <v>762</v>
      </c>
      <c r="B268" s="23"/>
      <c r="C268" s="41" t="s">
        <v>758</v>
      </c>
      <c r="D268" s="25"/>
      <c r="E268" s="25"/>
      <c r="F268" s="42" t="s">
        <v>498</v>
      </c>
      <c r="G268" s="43">
        <v>0.15</v>
      </c>
      <c r="H268" s="25"/>
      <c r="I268" s="43">
        <v>64.105999999999995</v>
      </c>
      <c r="J268" s="44">
        <v>68.400000000000006</v>
      </c>
      <c r="K268" s="45"/>
      <c r="L268" s="45"/>
      <c r="M268" s="44">
        <f t="shared" si="47"/>
        <v>4384.8500000000004</v>
      </c>
      <c r="N268" s="45"/>
      <c r="O268" s="45"/>
      <c r="P268" s="44">
        <v>68.400000000000006</v>
      </c>
      <c r="Q268" s="45"/>
      <c r="R268" s="45"/>
      <c r="S268" s="44">
        <f t="shared" si="48"/>
        <v>4384.8500000000004</v>
      </c>
      <c r="T268" s="45"/>
      <c r="U268" s="46"/>
      <c r="V268" s="9">
        <f t="shared" si="49"/>
        <v>57</v>
      </c>
      <c r="Y268" s="9">
        <f t="shared" si="50"/>
        <v>3654.04</v>
      </c>
      <c r="AD268" s="4" t="s">
        <v>763</v>
      </c>
      <c r="AE268" s="4" t="s">
        <v>760</v>
      </c>
      <c r="AF268" s="4" t="s">
        <v>761</v>
      </c>
    </row>
    <row r="269" spans="1:35" ht="72" x14ac:dyDescent="0.35">
      <c r="A269" s="17" t="s">
        <v>764</v>
      </c>
      <c r="B269" s="17"/>
      <c r="C269" s="34" t="s">
        <v>765</v>
      </c>
      <c r="D269" s="19"/>
      <c r="E269" s="19"/>
      <c r="F269" s="35" t="s">
        <v>78</v>
      </c>
      <c r="G269" s="36">
        <v>1</v>
      </c>
      <c r="H269" s="19"/>
      <c r="I269" s="48">
        <v>0</v>
      </c>
      <c r="J269" s="38">
        <v>51</v>
      </c>
      <c r="K269" s="39"/>
      <c r="L269" s="39"/>
      <c r="M269" s="38">
        <f t="shared" si="47"/>
        <v>0</v>
      </c>
      <c r="N269" s="39"/>
      <c r="O269" s="39"/>
      <c r="P269" s="38">
        <v>51</v>
      </c>
      <c r="Q269" s="39"/>
      <c r="R269" s="39"/>
      <c r="S269" s="38">
        <f t="shared" si="48"/>
        <v>0</v>
      </c>
      <c r="T269" s="39"/>
      <c r="U269" s="40"/>
      <c r="V269" s="9">
        <f t="shared" si="49"/>
        <v>42.5</v>
      </c>
      <c r="Y269" s="9">
        <f t="shared" si="50"/>
        <v>0</v>
      </c>
      <c r="AD269" s="4" t="s">
        <v>766</v>
      </c>
      <c r="AE269" s="4" t="s">
        <v>767</v>
      </c>
      <c r="AF269" s="4" t="s">
        <v>768</v>
      </c>
    </row>
    <row r="270" spans="1:35" ht="72" x14ac:dyDescent="0.35">
      <c r="A270" s="23" t="s">
        <v>769</v>
      </c>
      <c r="B270" s="23"/>
      <c r="C270" s="41" t="s">
        <v>765</v>
      </c>
      <c r="D270" s="25"/>
      <c r="E270" s="25"/>
      <c r="F270" s="42" t="s">
        <v>78</v>
      </c>
      <c r="G270" s="43">
        <v>1</v>
      </c>
      <c r="H270" s="25"/>
      <c r="I270" s="50">
        <v>427.37</v>
      </c>
      <c r="J270" s="44">
        <v>51</v>
      </c>
      <c r="K270" s="45"/>
      <c r="L270" s="45"/>
      <c r="M270" s="44">
        <f t="shared" si="47"/>
        <v>21795.87</v>
      </c>
      <c r="N270" s="45"/>
      <c r="O270" s="45"/>
      <c r="P270" s="44">
        <v>51</v>
      </c>
      <c r="Q270" s="45"/>
      <c r="R270" s="45"/>
      <c r="S270" s="44">
        <f t="shared" si="48"/>
        <v>21795.87</v>
      </c>
      <c r="T270" s="45"/>
      <c r="U270" s="46"/>
      <c r="V270" s="9">
        <f t="shared" si="49"/>
        <v>42.5</v>
      </c>
      <c r="Y270" s="9">
        <f t="shared" si="50"/>
        <v>18163.23</v>
      </c>
      <c r="AD270" s="4" t="s">
        <v>770</v>
      </c>
      <c r="AE270" s="4" t="s">
        <v>767</v>
      </c>
      <c r="AF270" s="4" t="s">
        <v>768</v>
      </c>
    </row>
    <row r="271" spans="1:35" ht="36" x14ac:dyDescent="0.35">
      <c r="A271" s="17" t="s">
        <v>771</v>
      </c>
      <c r="B271" s="17"/>
      <c r="C271" s="34" t="s">
        <v>772</v>
      </c>
      <c r="D271" s="19"/>
      <c r="E271" s="19"/>
      <c r="F271" s="35" t="s">
        <v>63</v>
      </c>
      <c r="G271" s="36">
        <v>1.1000000000000001</v>
      </c>
      <c r="H271" s="19"/>
      <c r="I271" s="48">
        <v>0</v>
      </c>
      <c r="J271" s="38">
        <v>0</v>
      </c>
      <c r="K271" s="39"/>
      <c r="L271" s="39"/>
      <c r="M271" s="38">
        <f t="shared" si="47"/>
        <v>0</v>
      </c>
      <c r="N271" s="39"/>
      <c r="O271" s="39"/>
      <c r="P271" s="38">
        <v>4720</v>
      </c>
      <c r="Q271" s="39"/>
      <c r="R271" s="39"/>
      <c r="S271" s="38">
        <f t="shared" si="48"/>
        <v>0</v>
      </c>
      <c r="T271" s="39"/>
      <c r="U271" s="40"/>
      <c r="V271" s="9">
        <f t="shared" si="49"/>
        <v>3933.33</v>
      </c>
      <c r="Y271" s="9">
        <f t="shared" si="50"/>
        <v>0</v>
      </c>
      <c r="AD271" s="4" t="s">
        <v>773</v>
      </c>
      <c r="AE271" s="4" t="s">
        <v>774</v>
      </c>
      <c r="AF271" s="4" t="s">
        <v>775</v>
      </c>
    </row>
    <row r="272" spans="1:35" ht="54" x14ac:dyDescent="0.35">
      <c r="A272" s="23" t="s">
        <v>776</v>
      </c>
      <c r="B272" s="23"/>
      <c r="C272" s="41" t="s">
        <v>772</v>
      </c>
      <c r="D272" s="25"/>
      <c r="E272" s="25" t="s">
        <v>777</v>
      </c>
      <c r="F272" s="42" t="s">
        <v>63</v>
      </c>
      <c r="G272" s="43">
        <v>1.1000000000000001</v>
      </c>
      <c r="H272" s="25"/>
      <c r="I272" s="50">
        <v>470.10700000000003</v>
      </c>
      <c r="J272" s="44">
        <v>0</v>
      </c>
      <c r="K272" s="45"/>
      <c r="L272" s="45"/>
      <c r="M272" s="44">
        <f t="shared" si="47"/>
        <v>0</v>
      </c>
      <c r="N272" s="45"/>
      <c r="O272" s="45"/>
      <c r="P272" s="44">
        <v>4720</v>
      </c>
      <c r="Q272" s="45"/>
      <c r="R272" s="45"/>
      <c r="S272" s="44">
        <f t="shared" si="48"/>
        <v>2218905.04</v>
      </c>
      <c r="T272" s="45"/>
      <c r="U272" s="46"/>
      <c r="V272" s="9">
        <f t="shared" si="49"/>
        <v>3933.33</v>
      </c>
      <c r="Y272" s="9">
        <f t="shared" si="50"/>
        <v>1849087.53</v>
      </c>
      <c r="AD272" s="4" t="s">
        <v>778</v>
      </c>
      <c r="AE272" s="4" t="s">
        <v>774</v>
      </c>
      <c r="AF272" s="4" t="s">
        <v>775</v>
      </c>
    </row>
    <row r="273" spans="1:35" ht="18" x14ac:dyDescent="0.35">
      <c r="A273" s="17" t="s">
        <v>779</v>
      </c>
      <c r="B273" s="17" t="s">
        <v>742</v>
      </c>
      <c r="C273" s="18" t="s">
        <v>743</v>
      </c>
      <c r="D273" s="19" t="s">
        <v>744</v>
      </c>
      <c r="E273" s="19"/>
      <c r="F273" s="19" t="s">
        <v>63</v>
      </c>
      <c r="G273" s="20">
        <v>1</v>
      </c>
      <c r="H273" s="19"/>
      <c r="I273" s="21">
        <v>0</v>
      </c>
      <c r="J273" s="22">
        <v>117</v>
      </c>
      <c r="K273" s="22">
        <v>556</v>
      </c>
      <c r="L273" s="22">
        <f>J273+ROUND(K273, 2)</f>
        <v>673</v>
      </c>
      <c r="M273" s="22">
        <v>0</v>
      </c>
      <c r="N273" s="22">
        <v>0</v>
      </c>
      <c r="O273" s="22">
        <f>M273+N273</f>
        <v>0</v>
      </c>
      <c r="P273" s="22">
        <v>5406.5</v>
      </c>
      <c r="Q273" s="22">
        <v>556</v>
      </c>
      <c r="R273" s="22">
        <f>P273+ROUND(Q273, 2)</f>
        <v>5962.5</v>
      </c>
      <c r="S273" s="22">
        <v>0</v>
      </c>
      <c r="T273" s="22">
        <v>0</v>
      </c>
      <c r="U273" s="22">
        <f>S273+T273</f>
        <v>0</v>
      </c>
      <c r="V273" s="9">
        <f>ROUND(P273 / 1.2, 2)</f>
        <v>4505.42</v>
      </c>
      <c r="W273" s="9">
        <f>ROUND(Q273 / 1.2, 2)</f>
        <v>463.33</v>
      </c>
      <c r="X273" s="9">
        <f>ROUND(R273 / 1.2, 2)</f>
        <v>4968.75</v>
      </c>
      <c r="Y273" s="9">
        <f t="shared" si="50"/>
        <v>0</v>
      </c>
      <c r="Z273" s="9">
        <f>ROUND(T273 / 1.2, 2)</f>
        <v>0</v>
      </c>
      <c r="AA273" s="9">
        <f>Y273+Z273</f>
        <v>0</v>
      </c>
      <c r="AD273" s="4">
        <v>305117036</v>
      </c>
      <c r="AE273" s="4">
        <v>20926763</v>
      </c>
      <c r="AG273" s="4" t="s">
        <v>745</v>
      </c>
      <c r="AH273" s="4" t="s">
        <v>746</v>
      </c>
      <c r="AI273" s="4" t="s">
        <v>467</v>
      </c>
    </row>
    <row r="274" spans="1:35" ht="18" x14ac:dyDescent="0.35">
      <c r="A274" s="23" t="s">
        <v>780</v>
      </c>
      <c r="B274" s="23" t="s">
        <v>742</v>
      </c>
      <c r="C274" s="24" t="s">
        <v>743</v>
      </c>
      <c r="D274" s="25" t="s">
        <v>744</v>
      </c>
      <c r="E274" s="25" t="s">
        <v>781</v>
      </c>
      <c r="F274" s="25" t="s">
        <v>63</v>
      </c>
      <c r="G274" s="26">
        <v>1</v>
      </c>
      <c r="H274" s="25"/>
      <c r="I274" s="26">
        <v>156.31</v>
      </c>
      <c r="J274" s="27">
        <v>117</v>
      </c>
      <c r="K274" s="27">
        <v>556</v>
      </c>
      <c r="L274" s="27">
        <v>556</v>
      </c>
      <c r="M274" s="27">
        <v>18288.27</v>
      </c>
      <c r="N274" s="27">
        <v>86908.36</v>
      </c>
      <c r="O274" s="27"/>
      <c r="P274" s="27">
        <v>5406.5</v>
      </c>
      <c r="Q274" s="27">
        <v>556</v>
      </c>
      <c r="R274" s="27">
        <v>556</v>
      </c>
      <c r="S274" s="27">
        <v>845090.02</v>
      </c>
      <c r="T274" s="27">
        <v>86908.36</v>
      </c>
      <c r="U274" s="27"/>
      <c r="V274" s="9"/>
      <c r="W274" s="9">
        <f>ROUND(Q274 / 1.2, 2)</f>
        <v>463.33</v>
      </c>
      <c r="X274" s="9">
        <f>ROUND(R274 / 1.2, 2)</f>
        <v>463.33</v>
      </c>
      <c r="Y274" s="9"/>
      <c r="Z274" s="9">
        <f>ROUND(T274 / 1.2, 2)</f>
        <v>72423.63</v>
      </c>
      <c r="AA274" s="9"/>
      <c r="AD274" s="4">
        <v>281765352</v>
      </c>
      <c r="AE274" s="4">
        <v>20926763</v>
      </c>
      <c r="AG274" s="4" t="s">
        <v>745</v>
      </c>
      <c r="AH274" s="4" t="s">
        <v>746</v>
      </c>
      <c r="AI274" s="4"/>
    </row>
    <row r="275" spans="1:35" ht="36" x14ac:dyDescent="0.35">
      <c r="A275" s="17" t="s">
        <v>782</v>
      </c>
      <c r="B275" s="17"/>
      <c r="C275" s="34" t="s">
        <v>772</v>
      </c>
      <c r="D275" s="19"/>
      <c r="E275" s="19"/>
      <c r="F275" s="35" t="s">
        <v>63</v>
      </c>
      <c r="G275" s="36">
        <v>1.1000000000000001</v>
      </c>
      <c r="H275" s="19"/>
      <c r="I275" s="48">
        <v>0</v>
      </c>
      <c r="J275" s="38">
        <v>0</v>
      </c>
      <c r="K275" s="39"/>
      <c r="L275" s="39"/>
      <c r="M275" s="38">
        <f t="shared" ref="M275:M280" si="51">ROUND(ROUND(J275, 2)*I275, 2)</f>
        <v>0</v>
      </c>
      <c r="N275" s="39"/>
      <c r="O275" s="39"/>
      <c r="P275" s="38">
        <v>4720</v>
      </c>
      <c r="Q275" s="39"/>
      <c r="R275" s="39"/>
      <c r="S275" s="38">
        <f t="shared" ref="S275:S280" si="52">ROUND(ROUND(P275, 2)*I275, 2)</f>
        <v>0</v>
      </c>
      <c r="T275" s="39"/>
      <c r="U275" s="40"/>
      <c r="V275" s="9">
        <f t="shared" ref="V275:V280" si="53">ROUND(ROUND(P275, 2)/1.2, 2)</f>
        <v>3933.33</v>
      </c>
      <c r="Y275" s="9">
        <f t="shared" ref="Y275:Y290" si="54">ROUND(S275 / 1.2, 2)</f>
        <v>0</v>
      </c>
      <c r="AD275" s="4" t="s">
        <v>783</v>
      </c>
      <c r="AE275" s="4" t="s">
        <v>784</v>
      </c>
      <c r="AF275" s="4" t="s">
        <v>775</v>
      </c>
    </row>
    <row r="276" spans="1:35" ht="54" x14ac:dyDescent="0.35">
      <c r="A276" s="23" t="s">
        <v>785</v>
      </c>
      <c r="B276" s="23"/>
      <c r="C276" s="41" t="s">
        <v>772</v>
      </c>
      <c r="D276" s="25"/>
      <c r="E276" s="25" t="s">
        <v>786</v>
      </c>
      <c r="F276" s="42" t="s">
        <v>63</v>
      </c>
      <c r="G276" s="43">
        <v>1.1000000000000001</v>
      </c>
      <c r="H276" s="25"/>
      <c r="I276" s="50">
        <v>171.941</v>
      </c>
      <c r="J276" s="44">
        <v>0</v>
      </c>
      <c r="K276" s="45"/>
      <c r="L276" s="45"/>
      <c r="M276" s="44">
        <f t="shared" si="51"/>
        <v>0</v>
      </c>
      <c r="N276" s="45"/>
      <c r="O276" s="45"/>
      <c r="P276" s="44">
        <v>4720</v>
      </c>
      <c r="Q276" s="45"/>
      <c r="R276" s="45"/>
      <c r="S276" s="44">
        <f t="shared" si="52"/>
        <v>811561.52</v>
      </c>
      <c r="T276" s="45"/>
      <c r="U276" s="46"/>
      <c r="V276" s="9">
        <f t="shared" si="53"/>
        <v>3933.33</v>
      </c>
      <c r="Y276" s="9">
        <f t="shared" si="54"/>
        <v>676301.27</v>
      </c>
      <c r="AD276" s="4" t="s">
        <v>787</v>
      </c>
      <c r="AE276" s="4" t="s">
        <v>784</v>
      </c>
      <c r="AF276" s="4" t="s">
        <v>775</v>
      </c>
    </row>
    <row r="277" spans="1:35" ht="72" x14ac:dyDescent="0.35">
      <c r="A277" s="17" t="s">
        <v>788</v>
      </c>
      <c r="B277" s="17"/>
      <c r="C277" s="34" t="s">
        <v>765</v>
      </c>
      <c r="D277" s="19"/>
      <c r="E277" s="19"/>
      <c r="F277" s="35" t="s">
        <v>78</v>
      </c>
      <c r="G277" s="36">
        <v>1</v>
      </c>
      <c r="H277" s="19"/>
      <c r="I277" s="48">
        <v>0</v>
      </c>
      <c r="J277" s="38">
        <v>51</v>
      </c>
      <c r="K277" s="39"/>
      <c r="L277" s="39"/>
      <c r="M277" s="38">
        <f t="shared" si="51"/>
        <v>0</v>
      </c>
      <c r="N277" s="39"/>
      <c r="O277" s="39"/>
      <c r="P277" s="38">
        <v>51</v>
      </c>
      <c r="Q277" s="39"/>
      <c r="R277" s="39"/>
      <c r="S277" s="38">
        <f t="shared" si="52"/>
        <v>0</v>
      </c>
      <c r="T277" s="39"/>
      <c r="U277" s="40"/>
      <c r="V277" s="9">
        <f t="shared" si="53"/>
        <v>42.5</v>
      </c>
      <c r="Y277" s="9">
        <f t="shared" si="54"/>
        <v>0</v>
      </c>
      <c r="AD277" s="4" t="s">
        <v>789</v>
      </c>
      <c r="AE277" s="4" t="s">
        <v>790</v>
      </c>
      <c r="AF277" s="4" t="s">
        <v>768</v>
      </c>
    </row>
    <row r="278" spans="1:35" ht="72" x14ac:dyDescent="0.35">
      <c r="A278" s="23" t="s">
        <v>791</v>
      </c>
      <c r="B278" s="23"/>
      <c r="C278" s="41" t="s">
        <v>765</v>
      </c>
      <c r="D278" s="25"/>
      <c r="E278" s="25"/>
      <c r="F278" s="42" t="s">
        <v>78</v>
      </c>
      <c r="G278" s="43">
        <v>1</v>
      </c>
      <c r="H278" s="25"/>
      <c r="I278" s="50">
        <v>156.31</v>
      </c>
      <c r="J278" s="44">
        <v>51</v>
      </c>
      <c r="K278" s="45"/>
      <c r="L278" s="45"/>
      <c r="M278" s="44">
        <f t="shared" si="51"/>
        <v>7971.81</v>
      </c>
      <c r="N278" s="45"/>
      <c r="O278" s="45"/>
      <c r="P278" s="44">
        <v>51</v>
      </c>
      <c r="Q278" s="45"/>
      <c r="R278" s="45"/>
      <c r="S278" s="44">
        <f t="shared" si="52"/>
        <v>7971.81</v>
      </c>
      <c r="T278" s="45"/>
      <c r="U278" s="46"/>
      <c r="V278" s="9">
        <f t="shared" si="53"/>
        <v>42.5</v>
      </c>
      <c r="Y278" s="9">
        <f t="shared" si="54"/>
        <v>6643.18</v>
      </c>
      <c r="AD278" s="4" t="s">
        <v>792</v>
      </c>
      <c r="AE278" s="4" t="s">
        <v>790</v>
      </c>
      <c r="AF278" s="4" t="s">
        <v>768</v>
      </c>
    </row>
    <row r="279" spans="1:35" ht="18" x14ac:dyDescent="0.35">
      <c r="A279" s="17" t="s">
        <v>793</v>
      </c>
      <c r="B279" s="17"/>
      <c r="C279" s="34" t="s">
        <v>750</v>
      </c>
      <c r="D279" s="19"/>
      <c r="E279" s="19"/>
      <c r="F279" s="35" t="s">
        <v>498</v>
      </c>
      <c r="G279" s="36">
        <v>0.3</v>
      </c>
      <c r="H279" s="19"/>
      <c r="I279" s="37">
        <v>0</v>
      </c>
      <c r="J279" s="38">
        <v>220</v>
      </c>
      <c r="K279" s="39"/>
      <c r="L279" s="39"/>
      <c r="M279" s="38">
        <f t="shared" si="51"/>
        <v>0</v>
      </c>
      <c r="N279" s="39"/>
      <c r="O279" s="39"/>
      <c r="P279" s="38">
        <v>545</v>
      </c>
      <c r="Q279" s="39"/>
      <c r="R279" s="39"/>
      <c r="S279" s="38">
        <f t="shared" si="52"/>
        <v>0</v>
      </c>
      <c r="T279" s="39"/>
      <c r="U279" s="40"/>
      <c r="V279" s="9">
        <f t="shared" si="53"/>
        <v>454.17</v>
      </c>
      <c r="Y279" s="9">
        <f t="shared" si="54"/>
        <v>0</v>
      </c>
      <c r="AD279" s="4" t="s">
        <v>794</v>
      </c>
      <c r="AE279" s="4" t="s">
        <v>795</v>
      </c>
      <c r="AF279" s="4" t="s">
        <v>753</v>
      </c>
    </row>
    <row r="280" spans="1:35" ht="18" x14ac:dyDescent="0.35">
      <c r="A280" s="23" t="s">
        <v>796</v>
      </c>
      <c r="B280" s="23"/>
      <c r="C280" s="41" t="s">
        <v>750</v>
      </c>
      <c r="D280" s="25"/>
      <c r="E280" s="25" t="s">
        <v>755</v>
      </c>
      <c r="F280" s="42" t="s">
        <v>498</v>
      </c>
      <c r="G280" s="43">
        <v>0.3</v>
      </c>
      <c r="H280" s="25"/>
      <c r="I280" s="43">
        <v>46.893000000000001</v>
      </c>
      <c r="J280" s="44">
        <v>220</v>
      </c>
      <c r="K280" s="45"/>
      <c r="L280" s="45"/>
      <c r="M280" s="44">
        <f t="shared" si="51"/>
        <v>10316.459999999999</v>
      </c>
      <c r="N280" s="45"/>
      <c r="O280" s="45"/>
      <c r="P280" s="44">
        <v>545</v>
      </c>
      <c r="Q280" s="45"/>
      <c r="R280" s="45"/>
      <c r="S280" s="44">
        <f t="shared" si="52"/>
        <v>25556.69</v>
      </c>
      <c r="T280" s="45"/>
      <c r="U280" s="46"/>
      <c r="V280" s="9">
        <f t="shared" si="53"/>
        <v>454.17</v>
      </c>
      <c r="Y280" s="9">
        <f t="shared" si="54"/>
        <v>21297.24</v>
      </c>
      <c r="AD280" s="4" t="s">
        <v>797</v>
      </c>
      <c r="AE280" s="4" t="s">
        <v>795</v>
      </c>
      <c r="AF280" s="4" t="s">
        <v>753</v>
      </c>
    </row>
    <row r="281" spans="1:35" ht="36" x14ac:dyDescent="0.35">
      <c r="A281" s="51" t="s">
        <v>798</v>
      </c>
      <c r="B281" s="51" t="s">
        <v>742</v>
      </c>
      <c r="C281" s="52" t="s">
        <v>743</v>
      </c>
      <c r="D281" s="53" t="s">
        <v>744</v>
      </c>
      <c r="E281" s="53" t="s">
        <v>748</v>
      </c>
      <c r="F281" s="53" t="s">
        <v>63</v>
      </c>
      <c r="G281" s="54">
        <v>1</v>
      </c>
      <c r="H281" s="53"/>
      <c r="I281" s="54">
        <v>0</v>
      </c>
      <c r="J281" s="55">
        <f>IFERROR(ROUND(SUM(M282,M283,M284,M285)/I281, 2),0)</f>
        <v>0</v>
      </c>
      <c r="K281" s="55">
        <v>556</v>
      </c>
      <c r="L281" s="55">
        <f>J281+ROUND(K281, 2)</f>
        <v>556</v>
      </c>
      <c r="M281" s="55">
        <f>ROUND(J281*I281, 2)</f>
        <v>0</v>
      </c>
      <c r="N281" s="55">
        <f>ROUND(I281*ROUND(K281, 2), 2)</f>
        <v>0</v>
      </c>
      <c r="O281" s="55">
        <f>M281+N281</f>
        <v>0</v>
      </c>
      <c r="P281" s="55">
        <f>IFERROR(ROUND(SUM(S282,S283,S284,S285)/I281, 2),0)</f>
        <v>0</v>
      </c>
      <c r="Q281" s="55">
        <v>834</v>
      </c>
      <c r="R281" s="55">
        <f>P281+ROUND(Q281, 2)</f>
        <v>834</v>
      </c>
      <c r="S281" s="55">
        <f>ROUND(P281*I281, 2)</f>
        <v>0</v>
      </c>
      <c r="T281" s="55">
        <f>ROUND(I281*ROUND(Q281, 2), 2)</f>
        <v>0</v>
      </c>
      <c r="U281" s="55">
        <f>S281+T281</f>
        <v>0</v>
      </c>
      <c r="V281" s="9">
        <f>ROUND(P281 / 1.2, 2)</f>
        <v>0</v>
      </c>
      <c r="W281" s="9">
        <f>ROUND(Q281 / 1.2, 2)</f>
        <v>695</v>
      </c>
      <c r="X281" s="9">
        <f>ROUND(R281 / 1.2, 2)</f>
        <v>695</v>
      </c>
      <c r="Y281" s="9">
        <f t="shared" si="54"/>
        <v>0</v>
      </c>
      <c r="Z281" s="9">
        <f>ROUND(T281 / 1.2, 2)</f>
        <v>0</v>
      </c>
      <c r="AA281" s="9">
        <f>Y281+Z281</f>
        <v>0</v>
      </c>
      <c r="AD281" s="4">
        <v>305117037</v>
      </c>
      <c r="AE281" s="4">
        <v>22135719</v>
      </c>
      <c r="AG281" s="4" t="s">
        <v>745</v>
      </c>
      <c r="AH281" s="4" t="s">
        <v>746</v>
      </c>
      <c r="AI281" s="4" t="s">
        <v>467</v>
      </c>
    </row>
    <row r="282" spans="1:35" ht="18" x14ac:dyDescent="0.35">
      <c r="A282" s="51" t="s">
        <v>799</v>
      </c>
      <c r="B282" s="51"/>
      <c r="C282" s="56" t="s">
        <v>750</v>
      </c>
      <c r="D282" s="53"/>
      <c r="E282" s="53" t="s">
        <v>755</v>
      </c>
      <c r="F282" s="57" t="s">
        <v>498</v>
      </c>
      <c r="G282" s="58">
        <v>0.3</v>
      </c>
      <c r="H282" s="53"/>
      <c r="I282" s="58">
        <v>0</v>
      </c>
      <c r="J282" s="59">
        <v>220</v>
      </c>
      <c r="K282" s="60"/>
      <c r="L282" s="60"/>
      <c r="M282" s="59">
        <f>ROUND(ROUND(J282, 2)*I282, 2)</f>
        <v>0</v>
      </c>
      <c r="N282" s="60"/>
      <c r="O282" s="60"/>
      <c r="P282" s="59">
        <v>220</v>
      </c>
      <c r="Q282" s="60"/>
      <c r="R282" s="60"/>
      <c r="S282" s="59">
        <f>ROUND(ROUND(P282, 2)*I282, 2)</f>
        <v>0</v>
      </c>
      <c r="T282" s="60"/>
      <c r="U282" s="61"/>
      <c r="V282" s="9">
        <f>ROUND(ROUND(P282, 2)/1.2, 2)</f>
        <v>183.33</v>
      </c>
      <c r="Y282" s="9">
        <f t="shared" si="54"/>
        <v>0</v>
      </c>
      <c r="AD282" s="4" t="s">
        <v>800</v>
      </c>
      <c r="AE282" s="4" t="s">
        <v>801</v>
      </c>
      <c r="AF282" s="4" t="s">
        <v>753</v>
      </c>
    </row>
    <row r="283" spans="1:35" ht="36" x14ac:dyDescent="0.35">
      <c r="A283" s="51" t="s">
        <v>802</v>
      </c>
      <c r="B283" s="51"/>
      <c r="C283" s="56" t="s">
        <v>758</v>
      </c>
      <c r="D283" s="53"/>
      <c r="E283" s="53"/>
      <c r="F283" s="57" t="s">
        <v>498</v>
      </c>
      <c r="G283" s="58">
        <v>0.15</v>
      </c>
      <c r="H283" s="53"/>
      <c r="I283" s="58">
        <v>0</v>
      </c>
      <c r="J283" s="59">
        <v>68.400000000000006</v>
      </c>
      <c r="K283" s="60"/>
      <c r="L283" s="60"/>
      <c r="M283" s="59">
        <f>ROUND(ROUND(J283, 2)*I283, 2)</f>
        <v>0</v>
      </c>
      <c r="N283" s="60"/>
      <c r="O283" s="60"/>
      <c r="P283" s="59">
        <v>68.400000000000006</v>
      </c>
      <c r="Q283" s="60"/>
      <c r="R283" s="60"/>
      <c r="S283" s="59">
        <f>ROUND(ROUND(P283, 2)*I283, 2)</f>
        <v>0</v>
      </c>
      <c r="T283" s="60"/>
      <c r="U283" s="61"/>
      <c r="V283" s="9">
        <f>ROUND(ROUND(P283, 2)/1.2, 2)</f>
        <v>57</v>
      </c>
      <c r="Y283" s="9">
        <f t="shared" si="54"/>
        <v>0</v>
      </c>
      <c r="AD283" s="4" t="s">
        <v>803</v>
      </c>
      <c r="AE283" s="4" t="s">
        <v>804</v>
      </c>
      <c r="AF283" s="4" t="s">
        <v>761</v>
      </c>
    </row>
    <row r="284" spans="1:35" ht="72" x14ac:dyDescent="0.35">
      <c r="A284" s="51" t="s">
        <v>805</v>
      </c>
      <c r="B284" s="51"/>
      <c r="C284" s="47" t="s">
        <v>765</v>
      </c>
      <c r="D284" s="53"/>
      <c r="E284" s="53"/>
      <c r="F284" s="57" t="s">
        <v>78</v>
      </c>
      <c r="G284" s="58">
        <v>1</v>
      </c>
      <c r="H284" s="53"/>
      <c r="I284" s="62">
        <v>427.37</v>
      </c>
      <c r="J284" s="59">
        <v>51</v>
      </c>
      <c r="K284" s="60"/>
      <c r="L284" s="60"/>
      <c r="M284" s="59">
        <f>ROUND(ROUND(J284, 2)*I284, 2)</f>
        <v>21795.87</v>
      </c>
      <c r="N284" s="60"/>
      <c r="O284" s="60"/>
      <c r="P284" s="59">
        <v>51</v>
      </c>
      <c r="Q284" s="60"/>
      <c r="R284" s="60"/>
      <c r="S284" s="59">
        <f>ROUND(ROUND(P284, 2)*I284, 2)</f>
        <v>21795.87</v>
      </c>
      <c r="T284" s="60"/>
      <c r="U284" s="61"/>
      <c r="V284" s="9">
        <f>ROUND(ROUND(P284, 2)/1.2, 2)</f>
        <v>42.5</v>
      </c>
      <c r="Y284" s="9">
        <f t="shared" si="54"/>
        <v>18163.23</v>
      </c>
      <c r="AD284" s="4" t="s">
        <v>806</v>
      </c>
      <c r="AE284" s="4" t="s">
        <v>807</v>
      </c>
      <c r="AF284" s="4" t="s">
        <v>768</v>
      </c>
    </row>
    <row r="285" spans="1:35" ht="54" x14ac:dyDescent="0.35">
      <c r="A285" s="51" t="s">
        <v>808</v>
      </c>
      <c r="B285" s="51"/>
      <c r="C285" s="56" t="s">
        <v>772</v>
      </c>
      <c r="D285" s="53"/>
      <c r="E285" s="53" t="s">
        <v>777</v>
      </c>
      <c r="F285" s="57" t="s">
        <v>63</v>
      </c>
      <c r="G285" s="58">
        <v>1.1000000000000001</v>
      </c>
      <c r="H285" s="53"/>
      <c r="I285" s="62">
        <v>470.10700000000003</v>
      </c>
      <c r="J285" s="59">
        <v>0</v>
      </c>
      <c r="K285" s="60"/>
      <c r="L285" s="60"/>
      <c r="M285" s="59">
        <f>ROUND(ROUND(J285, 2)*I285, 2)</f>
        <v>0</v>
      </c>
      <c r="N285" s="60"/>
      <c r="O285" s="60"/>
      <c r="P285" s="59">
        <v>0</v>
      </c>
      <c r="Q285" s="60"/>
      <c r="R285" s="60"/>
      <c r="S285" s="59">
        <f>ROUND(ROUND(P285, 2)*I285, 2)</f>
        <v>0</v>
      </c>
      <c r="T285" s="60"/>
      <c r="U285" s="61"/>
      <c r="V285" s="9">
        <f>ROUND(ROUND(P285, 2)/1.2, 2)</f>
        <v>0</v>
      </c>
      <c r="Y285" s="9">
        <f t="shared" si="54"/>
        <v>0</v>
      </c>
      <c r="AD285" s="4" t="s">
        <v>809</v>
      </c>
      <c r="AE285" s="4" t="s">
        <v>810</v>
      </c>
      <c r="AF285" s="4" t="s">
        <v>775</v>
      </c>
    </row>
    <row r="286" spans="1:35" ht="18" x14ac:dyDescent="0.35">
      <c r="A286" s="51" t="s">
        <v>811</v>
      </c>
      <c r="B286" s="51" t="s">
        <v>742</v>
      </c>
      <c r="C286" s="52" t="s">
        <v>743</v>
      </c>
      <c r="D286" s="53" t="s">
        <v>744</v>
      </c>
      <c r="E286" s="53" t="s">
        <v>781</v>
      </c>
      <c r="F286" s="53" t="s">
        <v>63</v>
      </c>
      <c r="G286" s="54">
        <v>1</v>
      </c>
      <c r="H286" s="53"/>
      <c r="I286" s="54">
        <v>0</v>
      </c>
      <c r="J286" s="55">
        <f>IFERROR(ROUND(SUM(M287,M288,M289)/I286, 2),0)</f>
        <v>0</v>
      </c>
      <c r="K286" s="55">
        <v>556</v>
      </c>
      <c r="L286" s="55">
        <f>J286+ROUND(K286, 2)</f>
        <v>556</v>
      </c>
      <c r="M286" s="55">
        <f>ROUND(J286*I286, 2)</f>
        <v>0</v>
      </c>
      <c r="N286" s="55">
        <f>ROUND(I286*ROUND(K286, 2), 2)</f>
        <v>0</v>
      </c>
      <c r="O286" s="55">
        <f>M286+N286</f>
        <v>0</v>
      </c>
      <c r="P286" s="55">
        <f>IFERROR(ROUND(SUM(S287,S288,S289)/I286, 2),0)</f>
        <v>0</v>
      </c>
      <c r="Q286" s="55">
        <v>834</v>
      </c>
      <c r="R286" s="55">
        <f>P286+ROUND(Q286, 2)</f>
        <v>834</v>
      </c>
      <c r="S286" s="55">
        <f>ROUND(P286*I286, 2)</f>
        <v>0</v>
      </c>
      <c r="T286" s="55">
        <f>ROUND(I286*ROUND(Q286, 2), 2)</f>
        <v>0</v>
      </c>
      <c r="U286" s="55">
        <f>S286+T286</f>
        <v>0</v>
      </c>
      <c r="V286" s="9">
        <f>ROUND(P286 / 1.2, 2)</f>
        <v>0</v>
      </c>
      <c r="W286" s="9">
        <f>ROUND(Q286 / 1.2, 2)</f>
        <v>695</v>
      </c>
      <c r="X286" s="9">
        <f>ROUND(R286 / 1.2, 2)</f>
        <v>695</v>
      </c>
      <c r="Y286" s="9">
        <f t="shared" si="54"/>
        <v>0</v>
      </c>
      <c r="Z286" s="9">
        <f>ROUND(T286 / 1.2, 2)</f>
        <v>0</v>
      </c>
      <c r="AA286" s="9">
        <f>Y286+Z286</f>
        <v>0</v>
      </c>
      <c r="AD286" s="4">
        <v>305117038</v>
      </c>
      <c r="AE286" s="4">
        <v>22135686</v>
      </c>
      <c r="AG286" s="4" t="s">
        <v>745</v>
      </c>
      <c r="AH286" s="4" t="s">
        <v>746</v>
      </c>
      <c r="AI286" s="4" t="s">
        <v>467</v>
      </c>
    </row>
    <row r="287" spans="1:35" ht="54" x14ac:dyDescent="0.35">
      <c r="A287" s="51" t="s">
        <v>812</v>
      </c>
      <c r="B287" s="51"/>
      <c r="C287" s="56" t="s">
        <v>772</v>
      </c>
      <c r="D287" s="53"/>
      <c r="E287" s="53" t="s">
        <v>786</v>
      </c>
      <c r="F287" s="57" t="s">
        <v>63</v>
      </c>
      <c r="G287" s="58">
        <v>1.1000000000000001</v>
      </c>
      <c r="H287" s="53"/>
      <c r="I287" s="62">
        <v>171.941</v>
      </c>
      <c r="J287" s="59">
        <v>0</v>
      </c>
      <c r="K287" s="60"/>
      <c r="L287" s="60"/>
      <c r="M287" s="59">
        <f>ROUND(ROUND(J287, 2)*I287, 2)</f>
        <v>0</v>
      </c>
      <c r="N287" s="60"/>
      <c r="O287" s="60"/>
      <c r="P287" s="59">
        <v>0</v>
      </c>
      <c r="Q287" s="60"/>
      <c r="R287" s="60"/>
      <c r="S287" s="59">
        <f>ROUND(ROUND(P287, 2)*I287, 2)</f>
        <v>0</v>
      </c>
      <c r="T287" s="60"/>
      <c r="U287" s="61"/>
      <c r="V287" s="9">
        <f>ROUND(ROUND(P287, 2)/1.2, 2)</f>
        <v>0</v>
      </c>
      <c r="Y287" s="9">
        <f t="shared" si="54"/>
        <v>0</v>
      </c>
      <c r="AD287" s="4" t="s">
        <v>813</v>
      </c>
      <c r="AE287" s="4" t="s">
        <v>814</v>
      </c>
      <c r="AF287" s="4" t="s">
        <v>775</v>
      </c>
    </row>
    <row r="288" spans="1:35" ht="72" x14ac:dyDescent="0.35">
      <c r="A288" s="51" t="s">
        <v>815</v>
      </c>
      <c r="B288" s="51"/>
      <c r="C288" s="47" t="s">
        <v>765</v>
      </c>
      <c r="D288" s="53"/>
      <c r="E288" s="53"/>
      <c r="F288" s="57" t="s">
        <v>78</v>
      </c>
      <c r="G288" s="58">
        <v>1</v>
      </c>
      <c r="H288" s="53"/>
      <c r="I288" s="62">
        <v>156.31</v>
      </c>
      <c r="J288" s="59">
        <v>51</v>
      </c>
      <c r="K288" s="60"/>
      <c r="L288" s="60"/>
      <c r="M288" s="59">
        <f>ROUND(ROUND(J288, 2)*I288, 2)</f>
        <v>7971.81</v>
      </c>
      <c r="N288" s="60"/>
      <c r="O288" s="60"/>
      <c r="P288" s="59">
        <v>51</v>
      </c>
      <c r="Q288" s="60"/>
      <c r="R288" s="60"/>
      <c r="S288" s="59">
        <f>ROUND(ROUND(P288, 2)*I288, 2)</f>
        <v>7971.81</v>
      </c>
      <c r="T288" s="60"/>
      <c r="U288" s="61"/>
      <c r="V288" s="9">
        <f>ROUND(ROUND(P288, 2)/1.2, 2)</f>
        <v>42.5</v>
      </c>
      <c r="Y288" s="9">
        <f t="shared" si="54"/>
        <v>6643.18</v>
      </c>
      <c r="AD288" s="4" t="s">
        <v>816</v>
      </c>
      <c r="AE288" s="4" t="s">
        <v>817</v>
      </c>
      <c r="AF288" s="4" t="s">
        <v>768</v>
      </c>
    </row>
    <row r="289" spans="1:35" ht="18" x14ac:dyDescent="0.35">
      <c r="A289" s="51" t="s">
        <v>818</v>
      </c>
      <c r="B289" s="51"/>
      <c r="C289" s="56" t="s">
        <v>750</v>
      </c>
      <c r="D289" s="53"/>
      <c r="E289" s="53" t="s">
        <v>755</v>
      </c>
      <c r="F289" s="57" t="s">
        <v>498</v>
      </c>
      <c r="G289" s="58">
        <v>0.3</v>
      </c>
      <c r="H289" s="53"/>
      <c r="I289" s="58">
        <v>0</v>
      </c>
      <c r="J289" s="59">
        <v>220</v>
      </c>
      <c r="K289" s="60"/>
      <c r="L289" s="60"/>
      <c r="M289" s="59">
        <f>ROUND(ROUND(J289, 2)*I289, 2)</f>
        <v>0</v>
      </c>
      <c r="N289" s="60"/>
      <c r="O289" s="60"/>
      <c r="P289" s="59">
        <v>220</v>
      </c>
      <c r="Q289" s="60"/>
      <c r="R289" s="60"/>
      <c r="S289" s="59">
        <f>ROUND(ROUND(P289, 2)*I289, 2)</f>
        <v>0</v>
      </c>
      <c r="T289" s="60"/>
      <c r="U289" s="61"/>
      <c r="V289" s="9">
        <f>ROUND(ROUND(P289, 2)/1.2, 2)</f>
        <v>183.33</v>
      </c>
      <c r="Y289" s="9">
        <f t="shared" si="54"/>
        <v>0</v>
      </c>
      <c r="AD289" s="4" t="s">
        <v>819</v>
      </c>
      <c r="AE289" s="4" t="s">
        <v>820</v>
      </c>
      <c r="AF289" s="4" t="s">
        <v>753</v>
      </c>
    </row>
    <row r="290" spans="1:35" ht="36" x14ac:dyDescent="0.35">
      <c r="A290" s="17" t="s">
        <v>821</v>
      </c>
      <c r="B290" s="17" t="s">
        <v>822</v>
      </c>
      <c r="C290" s="18" t="s">
        <v>823</v>
      </c>
      <c r="D290" s="19"/>
      <c r="E290" s="19"/>
      <c r="F290" s="19" t="s">
        <v>78</v>
      </c>
      <c r="G290" s="20">
        <v>1</v>
      </c>
      <c r="H290" s="19"/>
      <c r="I290" s="21">
        <v>0</v>
      </c>
      <c r="J290" s="22">
        <v>0</v>
      </c>
      <c r="K290" s="22">
        <v>201</v>
      </c>
      <c r="L290" s="22">
        <f>J290+ROUND(K290, 2)</f>
        <v>201</v>
      </c>
      <c r="M290" s="22">
        <v>0</v>
      </c>
      <c r="N290" s="22">
        <v>0</v>
      </c>
      <c r="O290" s="22">
        <f>M290+N290</f>
        <v>0</v>
      </c>
      <c r="P290" s="22">
        <v>471.05</v>
      </c>
      <c r="Q290" s="22">
        <v>201</v>
      </c>
      <c r="R290" s="22">
        <f>P290+ROUND(Q290, 2)</f>
        <v>672.05</v>
      </c>
      <c r="S290" s="22">
        <v>0</v>
      </c>
      <c r="T290" s="22">
        <v>0</v>
      </c>
      <c r="U290" s="22">
        <f>S290+T290</f>
        <v>0</v>
      </c>
      <c r="V290" s="9">
        <f>ROUND(P290 / 1.2, 2)</f>
        <v>392.54</v>
      </c>
      <c r="W290" s="9">
        <f>ROUND(Q290 / 1.2, 2)</f>
        <v>167.5</v>
      </c>
      <c r="X290" s="9">
        <f>ROUND(R290 / 1.2, 2)</f>
        <v>560.04</v>
      </c>
      <c r="Y290" s="9">
        <f t="shared" si="54"/>
        <v>0</v>
      </c>
      <c r="Z290" s="9">
        <f>ROUND(T290 / 1.2, 2)</f>
        <v>0</v>
      </c>
      <c r="AA290" s="9">
        <f>Y290+Z290</f>
        <v>0</v>
      </c>
      <c r="AD290" s="4">
        <v>305116965</v>
      </c>
      <c r="AE290" s="4">
        <v>20926736</v>
      </c>
      <c r="AG290" s="4" t="s">
        <v>824</v>
      </c>
      <c r="AH290" s="4" t="s">
        <v>825</v>
      </c>
      <c r="AI290" s="4" t="s">
        <v>467</v>
      </c>
    </row>
    <row r="291" spans="1:35" ht="90" x14ac:dyDescent="0.35">
      <c r="A291" s="23" t="s">
        <v>826</v>
      </c>
      <c r="B291" s="23" t="s">
        <v>822</v>
      </c>
      <c r="C291" s="24" t="s">
        <v>823</v>
      </c>
      <c r="D291" s="25"/>
      <c r="E291" s="25" t="s">
        <v>827</v>
      </c>
      <c r="F291" s="25" t="s">
        <v>78</v>
      </c>
      <c r="G291" s="26">
        <v>1</v>
      </c>
      <c r="H291" s="25"/>
      <c r="I291" s="26">
        <v>544.5</v>
      </c>
      <c r="J291" s="27">
        <v>0</v>
      </c>
      <c r="K291" s="27">
        <v>201</v>
      </c>
      <c r="L291" s="27">
        <v>201</v>
      </c>
      <c r="M291" s="27">
        <v>0</v>
      </c>
      <c r="N291" s="27">
        <v>109444.5</v>
      </c>
      <c r="O291" s="27"/>
      <c r="P291" s="27">
        <v>471.05</v>
      </c>
      <c r="Q291" s="27">
        <v>201</v>
      </c>
      <c r="R291" s="27">
        <v>201</v>
      </c>
      <c r="S291" s="27">
        <v>256486.73</v>
      </c>
      <c r="T291" s="27">
        <v>109444.5</v>
      </c>
      <c r="U291" s="27"/>
      <c r="V291" s="9"/>
      <c r="W291" s="9">
        <f>ROUND(Q291 / 1.2, 2)</f>
        <v>167.5</v>
      </c>
      <c r="X291" s="9">
        <f>ROUND(R291 / 1.2, 2)</f>
        <v>167.5</v>
      </c>
      <c r="Y291" s="9"/>
      <c r="Z291" s="9">
        <f>ROUND(T291 / 1.2, 2)</f>
        <v>91203.75</v>
      </c>
      <c r="AA291" s="9"/>
      <c r="AD291" s="4">
        <v>281774510</v>
      </c>
      <c r="AE291" s="4">
        <v>20926736</v>
      </c>
      <c r="AG291" s="4" t="s">
        <v>824</v>
      </c>
      <c r="AH291" s="4" t="s">
        <v>825</v>
      </c>
      <c r="AI291" s="4"/>
    </row>
    <row r="292" spans="1:35" ht="54" x14ac:dyDescent="0.35">
      <c r="A292" s="17" t="s">
        <v>828</v>
      </c>
      <c r="B292" s="17"/>
      <c r="C292" s="34" t="s">
        <v>829</v>
      </c>
      <c r="D292" s="19"/>
      <c r="E292" s="19"/>
      <c r="F292" s="35" t="s">
        <v>78</v>
      </c>
      <c r="G292" s="36">
        <v>1.1000000000000001</v>
      </c>
      <c r="H292" s="19"/>
      <c r="I292" s="37">
        <v>0</v>
      </c>
      <c r="J292" s="38">
        <v>0</v>
      </c>
      <c r="K292" s="39"/>
      <c r="L292" s="39"/>
      <c r="M292" s="38">
        <f>ROUND(ROUND(J292, 2)*I292, 2)</f>
        <v>0</v>
      </c>
      <c r="N292" s="39"/>
      <c r="O292" s="39"/>
      <c r="P292" s="38">
        <v>378.5</v>
      </c>
      <c r="Q292" s="39"/>
      <c r="R292" s="39"/>
      <c r="S292" s="38">
        <f>ROUND(ROUND(P292, 2)*I292, 2)</f>
        <v>0</v>
      </c>
      <c r="T292" s="39"/>
      <c r="U292" s="40"/>
      <c r="V292" s="9">
        <f>ROUND(ROUND(P292, 2)/1.2, 2)</f>
        <v>315.42</v>
      </c>
      <c r="Y292" s="9">
        <f t="shared" ref="Y292:Y299" si="55">ROUND(S292 / 1.2, 2)</f>
        <v>0</v>
      </c>
      <c r="AD292" s="4" t="s">
        <v>830</v>
      </c>
      <c r="AE292" s="4" t="s">
        <v>831</v>
      </c>
      <c r="AF292" s="4" t="s">
        <v>832</v>
      </c>
    </row>
    <row r="293" spans="1:35" ht="54" x14ac:dyDescent="0.35">
      <c r="A293" s="23" t="s">
        <v>833</v>
      </c>
      <c r="B293" s="23"/>
      <c r="C293" s="41" t="s">
        <v>829</v>
      </c>
      <c r="D293" s="25"/>
      <c r="E293" s="25"/>
      <c r="F293" s="42" t="s">
        <v>78</v>
      </c>
      <c r="G293" s="43">
        <v>1.1000000000000001</v>
      </c>
      <c r="H293" s="25"/>
      <c r="I293" s="43">
        <v>598.95000000000005</v>
      </c>
      <c r="J293" s="44">
        <v>0</v>
      </c>
      <c r="K293" s="45"/>
      <c r="L293" s="45"/>
      <c r="M293" s="44">
        <f>ROUND(ROUND(J293, 2)*I293, 2)</f>
        <v>0</v>
      </c>
      <c r="N293" s="45"/>
      <c r="O293" s="45"/>
      <c r="P293" s="44">
        <v>378.5</v>
      </c>
      <c r="Q293" s="45"/>
      <c r="R293" s="45"/>
      <c r="S293" s="44">
        <f>ROUND(ROUND(P293, 2)*I293, 2)</f>
        <v>226702.58</v>
      </c>
      <c r="T293" s="45"/>
      <c r="U293" s="46"/>
      <c r="V293" s="9">
        <f>ROUND(ROUND(P293, 2)/1.2, 2)</f>
        <v>315.42</v>
      </c>
      <c r="Y293" s="9">
        <f t="shared" si="55"/>
        <v>188918.82</v>
      </c>
      <c r="AD293" s="4" t="s">
        <v>834</v>
      </c>
      <c r="AE293" s="4" t="s">
        <v>831</v>
      </c>
      <c r="AF293" s="4" t="s">
        <v>832</v>
      </c>
    </row>
    <row r="294" spans="1:35" ht="36" x14ac:dyDescent="0.35">
      <c r="A294" s="17" t="s">
        <v>835</v>
      </c>
      <c r="B294" s="17"/>
      <c r="C294" s="34" t="s">
        <v>836</v>
      </c>
      <c r="D294" s="19"/>
      <c r="E294" s="19"/>
      <c r="F294" s="35" t="s">
        <v>490</v>
      </c>
      <c r="G294" s="36">
        <v>1</v>
      </c>
      <c r="H294" s="19"/>
      <c r="I294" s="48">
        <v>0</v>
      </c>
      <c r="J294" s="38">
        <v>0</v>
      </c>
      <c r="K294" s="39"/>
      <c r="L294" s="39"/>
      <c r="M294" s="38">
        <f>ROUND(ROUND(J294, 2)*I294, 2)</f>
        <v>0</v>
      </c>
      <c r="N294" s="39"/>
      <c r="O294" s="39"/>
      <c r="P294" s="38">
        <v>54.7</v>
      </c>
      <c r="Q294" s="39"/>
      <c r="R294" s="39"/>
      <c r="S294" s="38">
        <f>ROUND(ROUND(P294, 2)*I294, 2)</f>
        <v>0</v>
      </c>
      <c r="T294" s="39"/>
      <c r="U294" s="40"/>
      <c r="V294" s="9">
        <f>ROUND(ROUND(P294, 2)/1.2, 2)</f>
        <v>45.58</v>
      </c>
      <c r="Y294" s="9">
        <f t="shared" si="55"/>
        <v>0</v>
      </c>
      <c r="AD294" s="4" t="s">
        <v>837</v>
      </c>
      <c r="AE294" s="4" t="s">
        <v>838</v>
      </c>
      <c r="AF294" s="4" t="s">
        <v>839</v>
      </c>
    </row>
    <row r="295" spans="1:35" ht="36" x14ac:dyDescent="0.35">
      <c r="A295" s="23" t="s">
        <v>840</v>
      </c>
      <c r="B295" s="23"/>
      <c r="C295" s="41" t="s">
        <v>836</v>
      </c>
      <c r="D295" s="25"/>
      <c r="E295" s="25"/>
      <c r="F295" s="42" t="s">
        <v>490</v>
      </c>
      <c r="G295" s="43">
        <v>1</v>
      </c>
      <c r="H295" s="25"/>
      <c r="I295" s="50">
        <v>544.5</v>
      </c>
      <c r="J295" s="44">
        <v>0</v>
      </c>
      <c r="K295" s="45"/>
      <c r="L295" s="45"/>
      <c r="M295" s="44">
        <f>ROUND(ROUND(J295, 2)*I295, 2)</f>
        <v>0</v>
      </c>
      <c r="N295" s="45"/>
      <c r="O295" s="45"/>
      <c r="P295" s="44">
        <v>54.7</v>
      </c>
      <c r="Q295" s="45"/>
      <c r="R295" s="45"/>
      <c r="S295" s="44">
        <f>ROUND(ROUND(P295, 2)*I295, 2)</f>
        <v>29784.15</v>
      </c>
      <c r="T295" s="45"/>
      <c r="U295" s="46"/>
      <c r="V295" s="9">
        <f>ROUND(ROUND(P295, 2)/1.2, 2)</f>
        <v>45.58</v>
      </c>
      <c r="Y295" s="9">
        <f t="shared" si="55"/>
        <v>24820.13</v>
      </c>
      <c r="AD295" s="4" t="s">
        <v>841</v>
      </c>
      <c r="AE295" s="4" t="s">
        <v>838</v>
      </c>
      <c r="AF295" s="4" t="s">
        <v>839</v>
      </c>
    </row>
    <row r="296" spans="1:35" ht="72" x14ac:dyDescent="0.35">
      <c r="A296" s="51" t="s">
        <v>842</v>
      </c>
      <c r="B296" s="51" t="s">
        <v>822</v>
      </c>
      <c r="C296" s="52" t="s">
        <v>823</v>
      </c>
      <c r="D296" s="53"/>
      <c r="E296" s="53" t="s">
        <v>843</v>
      </c>
      <c r="F296" s="53" t="s">
        <v>78</v>
      </c>
      <c r="G296" s="54">
        <v>1</v>
      </c>
      <c r="H296" s="53"/>
      <c r="I296" s="54">
        <v>0</v>
      </c>
      <c r="J296" s="55">
        <f>IFERROR(ROUND(SUM(M297,M298)/I296, 2),0)</f>
        <v>0</v>
      </c>
      <c r="K296" s="55">
        <v>201</v>
      </c>
      <c r="L296" s="55">
        <f>J296+ROUND(K296, 2)</f>
        <v>201</v>
      </c>
      <c r="M296" s="55">
        <f>ROUND(J296*I296, 2)</f>
        <v>0</v>
      </c>
      <c r="N296" s="55">
        <f>ROUND(I296*ROUND(K296, 2), 2)</f>
        <v>0</v>
      </c>
      <c r="O296" s="55">
        <f>M296+N296</f>
        <v>0</v>
      </c>
      <c r="P296" s="55">
        <f>IFERROR(ROUND(SUM(S297,S298)/I296, 2),0)</f>
        <v>0</v>
      </c>
      <c r="Q296" s="55">
        <v>301.5</v>
      </c>
      <c r="R296" s="55">
        <f>P296+ROUND(Q296, 2)</f>
        <v>301.5</v>
      </c>
      <c r="S296" s="55">
        <f>ROUND(P296*I296, 2)</f>
        <v>0</v>
      </c>
      <c r="T296" s="55">
        <f>ROUND(I296*ROUND(Q296, 2), 2)</f>
        <v>0</v>
      </c>
      <c r="U296" s="55">
        <f>S296+T296</f>
        <v>0</v>
      </c>
      <c r="V296" s="9">
        <f>ROUND(P296 / 1.2, 2)</f>
        <v>0</v>
      </c>
      <c r="W296" s="9">
        <f>ROUND(Q296 / 1.2, 2)</f>
        <v>251.25</v>
      </c>
      <c r="X296" s="9">
        <f>ROUND(R296 / 1.2, 2)</f>
        <v>251.25</v>
      </c>
      <c r="Y296" s="9">
        <f t="shared" si="55"/>
        <v>0</v>
      </c>
      <c r="Z296" s="9">
        <f>ROUND(T296 / 1.2, 2)</f>
        <v>0</v>
      </c>
      <c r="AA296" s="9">
        <f>Y296+Z296</f>
        <v>0</v>
      </c>
      <c r="AD296" s="4">
        <v>305117039</v>
      </c>
      <c r="AE296" s="4">
        <v>22135717</v>
      </c>
      <c r="AG296" s="4" t="s">
        <v>824</v>
      </c>
      <c r="AH296" s="4" t="s">
        <v>825</v>
      </c>
      <c r="AI296" s="4" t="s">
        <v>467</v>
      </c>
    </row>
    <row r="297" spans="1:35" ht="36" x14ac:dyDescent="0.35">
      <c r="A297" s="51" t="s">
        <v>844</v>
      </c>
      <c r="B297" s="51"/>
      <c r="C297" s="56" t="s">
        <v>836</v>
      </c>
      <c r="D297" s="53"/>
      <c r="E297" s="53"/>
      <c r="F297" s="57" t="s">
        <v>490</v>
      </c>
      <c r="G297" s="58">
        <v>1</v>
      </c>
      <c r="H297" s="53"/>
      <c r="I297" s="62">
        <v>544.5</v>
      </c>
      <c r="J297" s="59">
        <v>0</v>
      </c>
      <c r="K297" s="60"/>
      <c r="L297" s="60"/>
      <c r="M297" s="59">
        <f>ROUND(ROUND(J297, 2)*I297, 2)</f>
        <v>0</v>
      </c>
      <c r="N297" s="60"/>
      <c r="O297" s="60"/>
      <c r="P297" s="59">
        <v>0</v>
      </c>
      <c r="Q297" s="60"/>
      <c r="R297" s="60"/>
      <c r="S297" s="59">
        <f>ROUND(ROUND(P297, 2)*I297, 2)</f>
        <v>0</v>
      </c>
      <c r="T297" s="60"/>
      <c r="U297" s="61"/>
      <c r="V297" s="9">
        <f>ROUND(ROUND(P297, 2)/1.2, 2)</f>
        <v>0</v>
      </c>
      <c r="Y297" s="9">
        <f t="shared" si="55"/>
        <v>0</v>
      </c>
      <c r="AD297" s="4" t="s">
        <v>845</v>
      </c>
      <c r="AE297" s="4" t="s">
        <v>846</v>
      </c>
      <c r="AF297" s="4" t="s">
        <v>839</v>
      </c>
    </row>
    <row r="298" spans="1:35" ht="54" x14ac:dyDescent="0.35">
      <c r="A298" s="51" t="s">
        <v>847</v>
      </c>
      <c r="B298" s="51"/>
      <c r="C298" s="56" t="s">
        <v>829</v>
      </c>
      <c r="D298" s="53"/>
      <c r="E298" s="53"/>
      <c r="F298" s="57" t="s">
        <v>78</v>
      </c>
      <c r="G298" s="58">
        <v>1.1000000000000001</v>
      </c>
      <c r="H298" s="53"/>
      <c r="I298" s="58">
        <v>0</v>
      </c>
      <c r="J298" s="59">
        <v>0</v>
      </c>
      <c r="K298" s="60"/>
      <c r="L298" s="60"/>
      <c r="M298" s="59">
        <f>ROUND(ROUND(J298, 2)*I298, 2)</f>
        <v>0</v>
      </c>
      <c r="N298" s="60"/>
      <c r="O298" s="60"/>
      <c r="P298" s="59">
        <v>0</v>
      </c>
      <c r="Q298" s="60"/>
      <c r="R298" s="60"/>
      <c r="S298" s="59">
        <f>ROUND(ROUND(P298, 2)*I298, 2)</f>
        <v>0</v>
      </c>
      <c r="T298" s="60"/>
      <c r="U298" s="61"/>
      <c r="V298" s="9">
        <f>ROUND(ROUND(P298, 2)/1.2, 2)</f>
        <v>0</v>
      </c>
      <c r="Y298" s="9">
        <f t="shared" si="55"/>
        <v>0</v>
      </c>
      <c r="AD298" s="4" t="s">
        <v>848</v>
      </c>
      <c r="AE298" s="4" t="s">
        <v>849</v>
      </c>
      <c r="AF298" s="4" t="s">
        <v>832</v>
      </c>
    </row>
    <row r="299" spans="1:35" ht="36" x14ac:dyDescent="0.35">
      <c r="A299" s="17" t="s">
        <v>850</v>
      </c>
      <c r="B299" s="17" t="s">
        <v>851</v>
      </c>
      <c r="C299" s="18" t="s">
        <v>852</v>
      </c>
      <c r="D299" s="19"/>
      <c r="E299" s="19"/>
      <c r="F299" s="19" t="s">
        <v>63</v>
      </c>
      <c r="G299" s="20">
        <v>1</v>
      </c>
      <c r="H299" s="19"/>
      <c r="I299" s="21">
        <v>0</v>
      </c>
      <c r="J299" s="22">
        <v>4447.13</v>
      </c>
      <c r="K299" s="22">
        <v>2310</v>
      </c>
      <c r="L299" s="22">
        <f>J299+ROUND(K299, 2)</f>
        <v>6757.13</v>
      </c>
      <c r="M299" s="22">
        <v>0</v>
      </c>
      <c r="N299" s="22">
        <v>0</v>
      </c>
      <c r="O299" s="22">
        <f>M299+N299</f>
        <v>0</v>
      </c>
      <c r="P299" s="22">
        <v>4447.13</v>
      </c>
      <c r="Q299" s="22">
        <v>2310</v>
      </c>
      <c r="R299" s="22">
        <f>P299+ROUND(Q299, 2)</f>
        <v>6757.13</v>
      </c>
      <c r="S299" s="22">
        <v>0</v>
      </c>
      <c r="T299" s="22">
        <v>0</v>
      </c>
      <c r="U299" s="22">
        <f>S299+T299</f>
        <v>0</v>
      </c>
      <c r="V299" s="9">
        <f>ROUND(P299 / 1.2, 2)</f>
        <v>3705.94</v>
      </c>
      <c r="W299" s="9">
        <f>ROUND(Q299 / 1.2, 2)</f>
        <v>1925</v>
      </c>
      <c r="X299" s="9">
        <f>ROUND(R299 / 1.2, 2)</f>
        <v>5630.94</v>
      </c>
      <c r="Y299" s="9">
        <f t="shared" si="55"/>
        <v>0</v>
      </c>
      <c r="Z299" s="9">
        <f>ROUND(T299 / 1.2, 2)</f>
        <v>0</v>
      </c>
      <c r="AA299" s="9">
        <f>Y299+Z299</f>
        <v>0</v>
      </c>
      <c r="AD299" s="4">
        <v>305116967</v>
      </c>
      <c r="AE299" s="4">
        <v>20926553</v>
      </c>
      <c r="AG299" s="4" t="s">
        <v>853</v>
      </c>
      <c r="AH299" s="4" t="s">
        <v>854</v>
      </c>
      <c r="AI299" s="4" t="s">
        <v>467</v>
      </c>
    </row>
    <row r="300" spans="1:35" ht="36" x14ac:dyDescent="0.35">
      <c r="A300" s="23" t="s">
        <v>855</v>
      </c>
      <c r="B300" s="23" t="s">
        <v>851</v>
      </c>
      <c r="C300" s="24" t="s">
        <v>852</v>
      </c>
      <c r="D300" s="25"/>
      <c r="E300" s="25" t="s">
        <v>856</v>
      </c>
      <c r="F300" s="25" t="s">
        <v>63</v>
      </c>
      <c r="G300" s="26">
        <v>1</v>
      </c>
      <c r="H300" s="25"/>
      <c r="I300" s="26">
        <v>276.45999999999998</v>
      </c>
      <c r="J300" s="27">
        <v>4447.13</v>
      </c>
      <c r="K300" s="27">
        <v>2310</v>
      </c>
      <c r="L300" s="27">
        <v>2310</v>
      </c>
      <c r="M300" s="27">
        <v>1229453.56</v>
      </c>
      <c r="N300" s="27">
        <v>638622.6</v>
      </c>
      <c r="O300" s="27"/>
      <c r="P300" s="27">
        <v>4447.13</v>
      </c>
      <c r="Q300" s="27">
        <v>2310</v>
      </c>
      <c r="R300" s="27">
        <v>2310</v>
      </c>
      <c r="S300" s="27">
        <v>1229453.56</v>
      </c>
      <c r="T300" s="27">
        <v>638622.6</v>
      </c>
      <c r="U300" s="27"/>
      <c r="V300" s="9"/>
      <c r="W300" s="9">
        <f>ROUND(Q300 / 1.2, 2)</f>
        <v>1925</v>
      </c>
      <c r="X300" s="9">
        <f>ROUND(R300 / 1.2, 2)</f>
        <v>1925</v>
      </c>
      <c r="Y300" s="9"/>
      <c r="Z300" s="9">
        <f>ROUND(T300 / 1.2, 2)</f>
        <v>532185.5</v>
      </c>
      <c r="AA300" s="9"/>
      <c r="AD300" s="4">
        <v>276896392</v>
      </c>
      <c r="AE300" s="4">
        <v>20926553</v>
      </c>
      <c r="AG300" s="4" t="s">
        <v>853</v>
      </c>
      <c r="AH300" s="4" t="s">
        <v>854</v>
      </c>
      <c r="AI300" s="4"/>
    </row>
    <row r="301" spans="1:35" ht="54" x14ac:dyDescent="0.35">
      <c r="A301" s="17" t="s">
        <v>857</v>
      </c>
      <c r="B301" s="17"/>
      <c r="C301" s="34" t="s">
        <v>858</v>
      </c>
      <c r="D301" s="19"/>
      <c r="E301" s="19"/>
      <c r="F301" s="35" t="s">
        <v>490</v>
      </c>
      <c r="G301" s="36">
        <v>4</v>
      </c>
      <c r="H301" s="19"/>
      <c r="I301" s="37">
        <v>0</v>
      </c>
      <c r="J301" s="38">
        <v>1100.4000000000001</v>
      </c>
      <c r="K301" s="39"/>
      <c r="L301" s="39"/>
      <c r="M301" s="38">
        <f t="shared" ref="M301:M308" si="56">ROUND(ROUND(J301, 2)*I301, 2)</f>
        <v>0</v>
      </c>
      <c r="N301" s="39"/>
      <c r="O301" s="39"/>
      <c r="P301" s="38">
        <v>1100.4000000000001</v>
      </c>
      <c r="Q301" s="39"/>
      <c r="R301" s="39"/>
      <c r="S301" s="38">
        <f t="shared" ref="S301:S308" si="57">ROUND(ROUND(P301, 2)*I301, 2)</f>
        <v>0</v>
      </c>
      <c r="T301" s="39"/>
      <c r="U301" s="40"/>
      <c r="V301" s="9">
        <f t="shared" ref="V301:V308" si="58">ROUND(ROUND(P301, 2)/1.2, 2)</f>
        <v>917</v>
      </c>
      <c r="Y301" s="9">
        <f t="shared" ref="Y301:Y314" si="59">ROUND(S301 / 1.2, 2)</f>
        <v>0</v>
      </c>
      <c r="AD301" s="4" t="s">
        <v>859</v>
      </c>
      <c r="AE301" s="4" t="s">
        <v>860</v>
      </c>
      <c r="AF301" s="4" t="s">
        <v>861</v>
      </c>
    </row>
    <row r="302" spans="1:35" ht="72" x14ac:dyDescent="0.35">
      <c r="A302" s="23" t="s">
        <v>862</v>
      </c>
      <c r="B302" s="23"/>
      <c r="C302" s="41" t="s">
        <v>858</v>
      </c>
      <c r="D302" s="25"/>
      <c r="E302" s="25" t="s">
        <v>863</v>
      </c>
      <c r="F302" s="42" t="s">
        <v>490</v>
      </c>
      <c r="G302" s="43">
        <v>4</v>
      </c>
      <c r="H302" s="25"/>
      <c r="I302" s="43">
        <v>1105.8399999999999</v>
      </c>
      <c r="J302" s="44">
        <v>1100.4000000000001</v>
      </c>
      <c r="K302" s="45"/>
      <c r="L302" s="45"/>
      <c r="M302" s="44">
        <f t="shared" si="56"/>
        <v>1216866.3400000001</v>
      </c>
      <c r="N302" s="45"/>
      <c r="O302" s="45"/>
      <c r="P302" s="44">
        <v>1100.4000000000001</v>
      </c>
      <c r="Q302" s="45"/>
      <c r="R302" s="45"/>
      <c r="S302" s="44">
        <f t="shared" si="57"/>
        <v>1216866.3400000001</v>
      </c>
      <c r="T302" s="45"/>
      <c r="U302" s="46"/>
      <c r="V302" s="9">
        <f t="shared" si="58"/>
        <v>917</v>
      </c>
      <c r="Y302" s="9">
        <f t="shared" si="59"/>
        <v>1014055.28</v>
      </c>
      <c r="AD302" s="4" t="s">
        <v>864</v>
      </c>
      <c r="AE302" s="4" t="s">
        <v>860</v>
      </c>
      <c r="AF302" s="4" t="s">
        <v>861</v>
      </c>
    </row>
    <row r="303" spans="1:35" ht="36" x14ac:dyDescent="0.35">
      <c r="A303" s="17" t="s">
        <v>865</v>
      </c>
      <c r="B303" s="17"/>
      <c r="C303" s="34" t="s">
        <v>866</v>
      </c>
      <c r="D303" s="19"/>
      <c r="E303" s="19"/>
      <c r="F303" s="35" t="s">
        <v>498</v>
      </c>
      <c r="G303" s="36">
        <v>1.2</v>
      </c>
      <c r="H303" s="19"/>
      <c r="I303" s="48">
        <v>0</v>
      </c>
      <c r="J303" s="38">
        <v>16.96</v>
      </c>
      <c r="K303" s="39"/>
      <c r="L303" s="39"/>
      <c r="M303" s="38">
        <f t="shared" si="56"/>
        <v>0</v>
      </c>
      <c r="N303" s="39"/>
      <c r="O303" s="39"/>
      <c r="P303" s="38">
        <v>16.96</v>
      </c>
      <c r="Q303" s="39"/>
      <c r="R303" s="39"/>
      <c r="S303" s="38">
        <f t="shared" si="57"/>
        <v>0</v>
      </c>
      <c r="T303" s="39"/>
      <c r="U303" s="40"/>
      <c r="V303" s="9">
        <f t="shared" si="58"/>
        <v>14.13</v>
      </c>
      <c r="Y303" s="9">
        <f t="shared" si="59"/>
        <v>0</v>
      </c>
      <c r="AD303" s="4" t="s">
        <v>867</v>
      </c>
      <c r="AE303" s="4" t="s">
        <v>868</v>
      </c>
      <c r="AF303" s="4" t="s">
        <v>869</v>
      </c>
    </row>
    <row r="304" spans="1:35" ht="36" x14ac:dyDescent="0.35">
      <c r="A304" s="23" t="s">
        <v>870</v>
      </c>
      <c r="B304" s="23"/>
      <c r="C304" s="41" t="s">
        <v>866</v>
      </c>
      <c r="D304" s="25"/>
      <c r="E304" s="25"/>
      <c r="F304" s="42" t="s">
        <v>498</v>
      </c>
      <c r="G304" s="43">
        <v>1.2</v>
      </c>
      <c r="H304" s="25"/>
      <c r="I304" s="50">
        <v>331.75200000000001</v>
      </c>
      <c r="J304" s="44">
        <v>16.96</v>
      </c>
      <c r="K304" s="45"/>
      <c r="L304" s="45"/>
      <c r="M304" s="44">
        <f t="shared" si="56"/>
        <v>5626.51</v>
      </c>
      <c r="N304" s="45"/>
      <c r="O304" s="45"/>
      <c r="P304" s="44">
        <v>16.96</v>
      </c>
      <c r="Q304" s="45"/>
      <c r="R304" s="45"/>
      <c r="S304" s="44">
        <f t="shared" si="57"/>
        <v>5626.51</v>
      </c>
      <c r="T304" s="45"/>
      <c r="U304" s="46"/>
      <c r="V304" s="9">
        <f t="shared" si="58"/>
        <v>14.13</v>
      </c>
      <c r="Y304" s="9">
        <f t="shared" si="59"/>
        <v>4688.76</v>
      </c>
      <c r="AD304" s="4" t="s">
        <v>871</v>
      </c>
      <c r="AE304" s="4" t="s">
        <v>868</v>
      </c>
      <c r="AF304" s="4" t="s">
        <v>869</v>
      </c>
    </row>
    <row r="305" spans="1:35" ht="18" x14ac:dyDescent="0.35">
      <c r="A305" s="17" t="s">
        <v>872</v>
      </c>
      <c r="B305" s="17"/>
      <c r="C305" s="34" t="s">
        <v>873</v>
      </c>
      <c r="D305" s="19"/>
      <c r="E305" s="19"/>
      <c r="F305" s="35" t="s">
        <v>498</v>
      </c>
      <c r="G305" s="36">
        <v>0.25</v>
      </c>
      <c r="H305" s="19"/>
      <c r="I305" s="37">
        <v>0</v>
      </c>
      <c r="J305" s="38">
        <v>47.44</v>
      </c>
      <c r="K305" s="39"/>
      <c r="L305" s="39"/>
      <c r="M305" s="38">
        <f t="shared" si="56"/>
        <v>0</v>
      </c>
      <c r="N305" s="39"/>
      <c r="O305" s="39"/>
      <c r="P305" s="38">
        <v>47.44</v>
      </c>
      <c r="Q305" s="39"/>
      <c r="R305" s="39"/>
      <c r="S305" s="38">
        <f t="shared" si="57"/>
        <v>0</v>
      </c>
      <c r="T305" s="39"/>
      <c r="U305" s="40"/>
      <c r="V305" s="9">
        <f t="shared" si="58"/>
        <v>39.53</v>
      </c>
      <c r="Y305" s="9">
        <f t="shared" si="59"/>
        <v>0</v>
      </c>
      <c r="AD305" s="4" t="s">
        <v>874</v>
      </c>
      <c r="AE305" s="4" t="s">
        <v>875</v>
      </c>
      <c r="AF305" s="4" t="s">
        <v>876</v>
      </c>
    </row>
    <row r="306" spans="1:35" ht="18" x14ac:dyDescent="0.35">
      <c r="A306" s="23" t="s">
        <v>877</v>
      </c>
      <c r="B306" s="23"/>
      <c r="C306" s="41" t="s">
        <v>873</v>
      </c>
      <c r="D306" s="25"/>
      <c r="E306" s="25"/>
      <c r="F306" s="42" t="s">
        <v>498</v>
      </c>
      <c r="G306" s="43">
        <v>0.25</v>
      </c>
      <c r="H306" s="25"/>
      <c r="I306" s="43">
        <v>69.114999999999995</v>
      </c>
      <c r="J306" s="44">
        <v>47.44</v>
      </c>
      <c r="K306" s="45"/>
      <c r="L306" s="45"/>
      <c r="M306" s="44">
        <f t="shared" si="56"/>
        <v>3278.82</v>
      </c>
      <c r="N306" s="45"/>
      <c r="O306" s="45"/>
      <c r="P306" s="44">
        <v>47.44</v>
      </c>
      <c r="Q306" s="45"/>
      <c r="R306" s="45"/>
      <c r="S306" s="44">
        <f t="shared" si="57"/>
        <v>3278.82</v>
      </c>
      <c r="T306" s="45"/>
      <c r="U306" s="46"/>
      <c r="V306" s="9">
        <f t="shared" si="58"/>
        <v>39.53</v>
      </c>
      <c r="Y306" s="9">
        <f t="shared" si="59"/>
        <v>2732.35</v>
      </c>
      <c r="AD306" s="4" t="s">
        <v>878</v>
      </c>
      <c r="AE306" s="4" t="s">
        <v>875</v>
      </c>
      <c r="AF306" s="4" t="s">
        <v>876</v>
      </c>
    </row>
    <row r="307" spans="1:35" ht="36" x14ac:dyDescent="0.35">
      <c r="A307" s="17" t="s">
        <v>879</v>
      </c>
      <c r="B307" s="17"/>
      <c r="C307" s="34" t="s">
        <v>544</v>
      </c>
      <c r="D307" s="19"/>
      <c r="E307" s="19"/>
      <c r="F307" s="35" t="s">
        <v>498</v>
      </c>
      <c r="G307" s="36">
        <v>0.15</v>
      </c>
      <c r="H307" s="19"/>
      <c r="I307" s="37">
        <v>0</v>
      </c>
      <c r="J307" s="38">
        <v>88.8</v>
      </c>
      <c r="K307" s="39"/>
      <c r="L307" s="39"/>
      <c r="M307" s="38">
        <f t="shared" si="56"/>
        <v>0</v>
      </c>
      <c r="N307" s="39"/>
      <c r="O307" s="39"/>
      <c r="P307" s="38">
        <v>88.8</v>
      </c>
      <c r="Q307" s="39"/>
      <c r="R307" s="39"/>
      <c r="S307" s="38">
        <f t="shared" si="57"/>
        <v>0</v>
      </c>
      <c r="T307" s="39"/>
      <c r="U307" s="40"/>
      <c r="V307" s="9">
        <f t="shared" si="58"/>
        <v>74</v>
      </c>
      <c r="Y307" s="9">
        <f t="shared" si="59"/>
        <v>0</v>
      </c>
      <c r="AD307" s="4" t="s">
        <v>880</v>
      </c>
      <c r="AE307" s="4" t="s">
        <v>881</v>
      </c>
      <c r="AF307" s="4" t="s">
        <v>547</v>
      </c>
    </row>
    <row r="308" spans="1:35" ht="36" x14ac:dyDescent="0.35">
      <c r="A308" s="23" t="s">
        <v>882</v>
      </c>
      <c r="B308" s="23"/>
      <c r="C308" s="41" t="s">
        <v>544</v>
      </c>
      <c r="D308" s="25"/>
      <c r="E308" s="25"/>
      <c r="F308" s="42" t="s">
        <v>498</v>
      </c>
      <c r="G308" s="43">
        <v>0.15</v>
      </c>
      <c r="H308" s="25"/>
      <c r="I308" s="43">
        <v>41.469000000000001</v>
      </c>
      <c r="J308" s="44">
        <v>88.8</v>
      </c>
      <c r="K308" s="45"/>
      <c r="L308" s="45"/>
      <c r="M308" s="44">
        <f t="shared" si="56"/>
        <v>3682.45</v>
      </c>
      <c r="N308" s="45"/>
      <c r="O308" s="45"/>
      <c r="P308" s="44">
        <v>88.8</v>
      </c>
      <c r="Q308" s="45"/>
      <c r="R308" s="45"/>
      <c r="S308" s="44">
        <f t="shared" si="57"/>
        <v>3682.45</v>
      </c>
      <c r="T308" s="45"/>
      <c r="U308" s="46"/>
      <c r="V308" s="9">
        <f t="shared" si="58"/>
        <v>74</v>
      </c>
      <c r="Y308" s="9">
        <f t="shared" si="59"/>
        <v>3068.71</v>
      </c>
      <c r="AD308" s="4" t="s">
        <v>883</v>
      </c>
      <c r="AE308" s="4" t="s">
        <v>881</v>
      </c>
      <c r="AF308" s="4" t="s">
        <v>547</v>
      </c>
    </row>
    <row r="309" spans="1:35" ht="36" x14ac:dyDescent="0.35">
      <c r="A309" s="51" t="s">
        <v>884</v>
      </c>
      <c r="B309" s="51" t="s">
        <v>851</v>
      </c>
      <c r="C309" s="52" t="s">
        <v>852</v>
      </c>
      <c r="D309" s="53"/>
      <c r="E309" s="53" t="s">
        <v>856</v>
      </c>
      <c r="F309" s="53" t="s">
        <v>63</v>
      </c>
      <c r="G309" s="54">
        <v>1</v>
      </c>
      <c r="H309" s="53"/>
      <c r="I309" s="54">
        <v>0</v>
      </c>
      <c r="J309" s="55">
        <f>IFERROR(ROUND(SUM(M310,M311,M312,M313)/I309, 2),0)</f>
        <v>0</v>
      </c>
      <c r="K309" s="55">
        <v>2310</v>
      </c>
      <c r="L309" s="55">
        <f>J309+ROUND(K309, 2)</f>
        <v>2310</v>
      </c>
      <c r="M309" s="55">
        <f>ROUND(J309*I309, 2)</f>
        <v>0</v>
      </c>
      <c r="N309" s="55">
        <f>ROUND(I309*ROUND(K309, 2), 2)</f>
        <v>0</v>
      </c>
      <c r="O309" s="55">
        <f>M309+N309</f>
        <v>0</v>
      </c>
      <c r="P309" s="55">
        <f>IFERROR(ROUND(SUM(S310,S311,S312,S313)/I309, 2),0)</f>
        <v>0</v>
      </c>
      <c r="Q309" s="55">
        <v>3465</v>
      </c>
      <c r="R309" s="55">
        <f>P309+ROUND(Q309, 2)</f>
        <v>3465</v>
      </c>
      <c r="S309" s="55">
        <f>ROUND(P309*I309, 2)</f>
        <v>0</v>
      </c>
      <c r="T309" s="55">
        <f>ROUND(I309*ROUND(Q309, 2), 2)</f>
        <v>0</v>
      </c>
      <c r="U309" s="55">
        <f>S309+T309</f>
        <v>0</v>
      </c>
      <c r="V309" s="9">
        <f>ROUND(P309 / 1.2, 2)</f>
        <v>0</v>
      </c>
      <c r="W309" s="9">
        <f>ROUND(Q309 / 1.2, 2)</f>
        <v>2887.5</v>
      </c>
      <c r="X309" s="9">
        <f>ROUND(R309 / 1.2, 2)</f>
        <v>2887.5</v>
      </c>
      <c r="Y309" s="9">
        <f t="shared" si="59"/>
        <v>0</v>
      </c>
      <c r="Z309" s="9">
        <f>ROUND(T309 / 1.2, 2)</f>
        <v>0</v>
      </c>
      <c r="AA309" s="9">
        <f>Y309+Z309</f>
        <v>0</v>
      </c>
      <c r="AD309" s="4">
        <v>305117040</v>
      </c>
      <c r="AE309" s="4">
        <v>22135725</v>
      </c>
      <c r="AG309" s="4" t="s">
        <v>853</v>
      </c>
      <c r="AH309" s="4" t="s">
        <v>854</v>
      </c>
      <c r="AI309" s="4" t="s">
        <v>467</v>
      </c>
    </row>
    <row r="310" spans="1:35" ht="36" x14ac:dyDescent="0.35">
      <c r="A310" s="51" t="s">
        <v>885</v>
      </c>
      <c r="B310" s="51"/>
      <c r="C310" s="56" t="s">
        <v>544</v>
      </c>
      <c r="D310" s="53"/>
      <c r="E310" s="53"/>
      <c r="F310" s="57" t="s">
        <v>498</v>
      </c>
      <c r="G310" s="58">
        <v>0.15</v>
      </c>
      <c r="H310" s="53"/>
      <c r="I310" s="58">
        <v>0</v>
      </c>
      <c r="J310" s="59">
        <v>88.8</v>
      </c>
      <c r="K310" s="60"/>
      <c r="L310" s="60"/>
      <c r="M310" s="59">
        <f>ROUND(ROUND(J310, 2)*I310, 2)</f>
        <v>0</v>
      </c>
      <c r="N310" s="60"/>
      <c r="O310" s="60"/>
      <c r="P310" s="59">
        <v>88.8</v>
      </c>
      <c r="Q310" s="60"/>
      <c r="R310" s="60"/>
      <c r="S310" s="59">
        <f>ROUND(ROUND(P310, 2)*I310, 2)</f>
        <v>0</v>
      </c>
      <c r="T310" s="60"/>
      <c r="U310" s="61"/>
      <c r="V310" s="9">
        <f>ROUND(ROUND(P310, 2)/1.2, 2)</f>
        <v>74</v>
      </c>
      <c r="Y310" s="9">
        <f t="shared" si="59"/>
        <v>0</v>
      </c>
      <c r="AD310" s="4" t="s">
        <v>886</v>
      </c>
      <c r="AE310" s="4" t="s">
        <v>887</v>
      </c>
      <c r="AF310" s="4" t="s">
        <v>547</v>
      </c>
    </row>
    <row r="311" spans="1:35" ht="18" x14ac:dyDescent="0.35">
      <c r="A311" s="51" t="s">
        <v>888</v>
      </c>
      <c r="B311" s="51"/>
      <c r="C311" s="56" t="s">
        <v>873</v>
      </c>
      <c r="D311" s="53"/>
      <c r="E311" s="53"/>
      <c r="F311" s="57" t="s">
        <v>498</v>
      </c>
      <c r="G311" s="58">
        <v>0.25</v>
      </c>
      <c r="H311" s="53"/>
      <c r="I311" s="58">
        <v>0</v>
      </c>
      <c r="J311" s="59">
        <v>47.44</v>
      </c>
      <c r="K311" s="60"/>
      <c r="L311" s="60"/>
      <c r="M311" s="59">
        <f>ROUND(ROUND(J311, 2)*I311, 2)</f>
        <v>0</v>
      </c>
      <c r="N311" s="60"/>
      <c r="O311" s="60"/>
      <c r="P311" s="59">
        <v>47.44</v>
      </c>
      <c r="Q311" s="60"/>
      <c r="R311" s="60"/>
      <c r="S311" s="59">
        <f>ROUND(ROUND(P311, 2)*I311, 2)</f>
        <v>0</v>
      </c>
      <c r="T311" s="60"/>
      <c r="U311" s="61"/>
      <c r="V311" s="9">
        <f>ROUND(ROUND(P311, 2)/1.2, 2)</f>
        <v>39.53</v>
      </c>
      <c r="Y311" s="9">
        <f t="shared" si="59"/>
        <v>0</v>
      </c>
      <c r="AD311" s="4" t="s">
        <v>889</v>
      </c>
      <c r="AE311" s="4" t="s">
        <v>890</v>
      </c>
      <c r="AF311" s="4" t="s">
        <v>876</v>
      </c>
    </row>
    <row r="312" spans="1:35" ht="36" x14ac:dyDescent="0.35">
      <c r="A312" s="51" t="s">
        <v>891</v>
      </c>
      <c r="B312" s="51"/>
      <c r="C312" s="47" t="s">
        <v>866</v>
      </c>
      <c r="D312" s="53"/>
      <c r="E312" s="53"/>
      <c r="F312" s="57" t="s">
        <v>498</v>
      </c>
      <c r="G312" s="58">
        <v>1.2</v>
      </c>
      <c r="H312" s="53"/>
      <c r="I312" s="62">
        <v>331.75200000000001</v>
      </c>
      <c r="J312" s="59">
        <v>16.12</v>
      </c>
      <c r="K312" s="60"/>
      <c r="L312" s="60"/>
      <c r="M312" s="59">
        <f>ROUND(ROUND(J312, 2)*I312, 2)</f>
        <v>5347.84</v>
      </c>
      <c r="N312" s="60"/>
      <c r="O312" s="60"/>
      <c r="P312" s="59">
        <v>16.11</v>
      </c>
      <c r="Q312" s="60"/>
      <c r="R312" s="60"/>
      <c r="S312" s="59">
        <f>ROUND(ROUND(P312, 2)*I312, 2)</f>
        <v>5344.52</v>
      </c>
      <c r="T312" s="60"/>
      <c r="U312" s="61"/>
      <c r="V312" s="9">
        <f>ROUND(ROUND(P312, 2)/1.2, 2)</f>
        <v>13.43</v>
      </c>
      <c r="Y312" s="9">
        <f t="shared" si="59"/>
        <v>4453.7700000000004</v>
      </c>
      <c r="AD312" s="4" t="s">
        <v>892</v>
      </c>
      <c r="AE312" s="4" t="s">
        <v>893</v>
      </c>
      <c r="AF312" s="4" t="s">
        <v>869</v>
      </c>
    </row>
    <row r="313" spans="1:35" ht="72" x14ac:dyDescent="0.35">
      <c r="A313" s="51" t="s">
        <v>894</v>
      </c>
      <c r="B313" s="51"/>
      <c r="C313" s="47" t="s">
        <v>858</v>
      </c>
      <c r="D313" s="53"/>
      <c r="E313" s="53" t="s">
        <v>863</v>
      </c>
      <c r="F313" s="57" t="s">
        <v>490</v>
      </c>
      <c r="G313" s="58">
        <v>4</v>
      </c>
      <c r="H313" s="53"/>
      <c r="I313" s="58">
        <v>0</v>
      </c>
      <c r="J313" s="59">
        <v>1100.4000000000001</v>
      </c>
      <c r="K313" s="60"/>
      <c r="L313" s="60"/>
      <c r="M313" s="59">
        <f>ROUND(ROUND(J313, 2)*I313, 2)</f>
        <v>0</v>
      </c>
      <c r="N313" s="60"/>
      <c r="O313" s="60"/>
      <c r="P313" s="59">
        <v>1100.4000000000001</v>
      </c>
      <c r="Q313" s="60"/>
      <c r="R313" s="60"/>
      <c r="S313" s="59">
        <f>ROUND(ROUND(P313, 2)*I313, 2)</f>
        <v>0</v>
      </c>
      <c r="T313" s="60"/>
      <c r="U313" s="61"/>
      <c r="V313" s="9">
        <f>ROUND(ROUND(P313, 2)/1.2, 2)</f>
        <v>917</v>
      </c>
      <c r="Y313" s="9">
        <f t="shared" si="59"/>
        <v>0</v>
      </c>
      <c r="AD313" s="4" t="s">
        <v>895</v>
      </c>
      <c r="AE313" s="4" t="s">
        <v>896</v>
      </c>
      <c r="AF313" s="4" t="s">
        <v>861</v>
      </c>
    </row>
    <row r="314" spans="1:35" ht="36" x14ac:dyDescent="0.35">
      <c r="A314" s="17" t="s">
        <v>897</v>
      </c>
      <c r="B314" s="17" t="s">
        <v>898</v>
      </c>
      <c r="C314" s="18" t="s">
        <v>899</v>
      </c>
      <c r="D314" s="19"/>
      <c r="E314" s="19"/>
      <c r="F314" s="19" t="s">
        <v>78</v>
      </c>
      <c r="G314" s="20">
        <v>1</v>
      </c>
      <c r="H314" s="19"/>
      <c r="I314" s="21">
        <v>0</v>
      </c>
      <c r="J314" s="22">
        <v>844.85</v>
      </c>
      <c r="K314" s="22">
        <v>473</v>
      </c>
      <c r="L314" s="22">
        <f>J314+ROUND(K314, 2)</f>
        <v>1317.85</v>
      </c>
      <c r="M314" s="22">
        <v>0</v>
      </c>
      <c r="N314" s="22">
        <v>0</v>
      </c>
      <c r="O314" s="22">
        <f>M314+N314</f>
        <v>0</v>
      </c>
      <c r="P314" s="22">
        <v>844.85</v>
      </c>
      <c r="Q314" s="22">
        <v>473</v>
      </c>
      <c r="R314" s="22">
        <f>P314+ROUND(Q314, 2)</f>
        <v>1317.85</v>
      </c>
      <c r="S314" s="22">
        <v>0</v>
      </c>
      <c r="T314" s="22">
        <v>0</v>
      </c>
      <c r="U314" s="22">
        <f>S314+T314</f>
        <v>0</v>
      </c>
      <c r="V314" s="9">
        <f>ROUND(P314 / 1.2, 2)</f>
        <v>704.04</v>
      </c>
      <c r="W314" s="9">
        <f>ROUND(Q314 / 1.2, 2)</f>
        <v>394.17</v>
      </c>
      <c r="X314" s="9">
        <f>ROUND(R314 / 1.2, 2)</f>
        <v>1098.21</v>
      </c>
      <c r="Y314" s="9">
        <f t="shared" si="59"/>
        <v>0</v>
      </c>
      <c r="Z314" s="9">
        <f>ROUND(T314 / 1.2, 2)</f>
        <v>0</v>
      </c>
      <c r="AA314" s="9">
        <f>Y314+Z314</f>
        <v>0</v>
      </c>
      <c r="AD314" s="4">
        <v>305116969</v>
      </c>
      <c r="AE314" s="4">
        <v>20926570</v>
      </c>
      <c r="AG314" s="4" t="s">
        <v>900</v>
      </c>
      <c r="AH314" s="4" t="s">
        <v>901</v>
      </c>
      <c r="AI314" s="4" t="s">
        <v>467</v>
      </c>
    </row>
    <row r="315" spans="1:35" ht="36" x14ac:dyDescent="0.35">
      <c r="A315" s="23" t="s">
        <v>902</v>
      </c>
      <c r="B315" s="23" t="s">
        <v>898</v>
      </c>
      <c r="C315" s="24" t="s">
        <v>899</v>
      </c>
      <c r="D315" s="25"/>
      <c r="E315" s="25" t="s">
        <v>903</v>
      </c>
      <c r="F315" s="25" t="s">
        <v>78</v>
      </c>
      <c r="G315" s="26">
        <v>1</v>
      </c>
      <c r="H315" s="25"/>
      <c r="I315" s="26">
        <v>3328.1</v>
      </c>
      <c r="J315" s="27">
        <v>844.85</v>
      </c>
      <c r="K315" s="27">
        <v>473</v>
      </c>
      <c r="L315" s="27">
        <v>473</v>
      </c>
      <c r="M315" s="27">
        <v>2811745.29</v>
      </c>
      <c r="N315" s="27">
        <v>1574191.3</v>
      </c>
      <c r="O315" s="27"/>
      <c r="P315" s="27">
        <v>844.85</v>
      </c>
      <c r="Q315" s="27">
        <v>473</v>
      </c>
      <c r="R315" s="27">
        <v>473</v>
      </c>
      <c r="S315" s="27">
        <v>2811745.29</v>
      </c>
      <c r="T315" s="27">
        <v>1574191.3</v>
      </c>
      <c r="U315" s="27"/>
      <c r="V315" s="9"/>
      <c r="W315" s="9">
        <f>ROUND(Q315 / 1.2, 2)</f>
        <v>394.17</v>
      </c>
      <c r="X315" s="9">
        <f>ROUND(R315 / 1.2, 2)</f>
        <v>394.17</v>
      </c>
      <c r="Y315" s="9"/>
      <c r="Z315" s="9">
        <f>ROUND(T315 / 1.2, 2)</f>
        <v>1311826.08</v>
      </c>
      <c r="AA315" s="9"/>
      <c r="AD315" s="4">
        <v>276896394</v>
      </c>
      <c r="AE315" s="4">
        <v>20926570</v>
      </c>
      <c r="AG315" s="4" t="s">
        <v>900</v>
      </c>
      <c r="AH315" s="4" t="s">
        <v>901</v>
      </c>
      <c r="AI315" s="4"/>
    </row>
    <row r="316" spans="1:35" ht="36" x14ac:dyDescent="0.35">
      <c r="A316" s="17" t="s">
        <v>904</v>
      </c>
      <c r="B316" s="17"/>
      <c r="C316" s="34" t="s">
        <v>905</v>
      </c>
      <c r="D316" s="19"/>
      <c r="E316" s="19"/>
      <c r="F316" s="35" t="s">
        <v>498</v>
      </c>
      <c r="G316" s="36">
        <v>0.7</v>
      </c>
      <c r="H316" s="19"/>
      <c r="I316" s="48">
        <v>0</v>
      </c>
      <c r="J316" s="38">
        <v>16.96</v>
      </c>
      <c r="K316" s="39"/>
      <c r="L316" s="39"/>
      <c r="M316" s="38">
        <f t="shared" ref="M316:M323" si="60">ROUND(ROUND(J316, 2)*I316, 2)</f>
        <v>0</v>
      </c>
      <c r="N316" s="39"/>
      <c r="O316" s="39"/>
      <c r="P316" s="38">
        <v>16.96</v>
      </c>
      <c r="Q316" s="39"/>
      <c r="R316" s="39"/>
      <c r="S316" s="38">
        <f t="shared" ref="S316:S323" si="61">ROUND(ROUND(P316, 2)*I316, 2)</f>
        <v>0</v>
      </c>
      <c r="T316" s="39"/>
      <c r="U316" s="40"/>
      <c r="V316" s="9">
        <f t="shared" ref="V316:V323" si="62">ROUND(ROUND(P316, 2)/1.2, 2)</f>
        <v>14.13</v>
      </c>
      <c r="Y316" s="9">
        <f t="shared" ref="Y316:Y324" si="63">ROUND(S316 / 1.2, 2)</f>
        <v>0</v>
      </c>
      <c r="AD316" s="4" t="s">
        <v>906</v>
      </c>
      <c r="AE316" s="4" t="s">
        <v>907</v>
      </c>
      <c r="AF316" s="4" t="s">
        <v>908</v>
      </c>
    </row>
    <row r="317" spans="1:35" ht="36" x14ac:dyDescent="0.35">
      <c r="A317" s="23" t="s">
        <v>909</v>
      </c>
      <c r="B317" s="23"/>
      <c r="C317" s="41" t="s">
        <v>905</v>
      </c>
      <c r="D317" s="25"/>
      <c r="E317" s="25"/>
      <c r="F317" s="42" t="s">
        <v>498</v>
      </c>
      <c r="G317" s="43">
        <v>0.7</v>
      </c>
      <c r="H317" s="25"/>
      <c r="I317" s="50">
        <v>2329.67</v>
      </c>
      <c r="J317" s="44">
        <v>16.96</v>
      </c>
      <c r="K317" s="45"/>
      <c r="L317" s="45"/>
      <c r="M317" s="44">
        <f t="shared" si="60"/>
        <v>39511.199999999997</v>
      </c>
      <c r="N317" s="45"/>
      <c r="O317" s="45"/>
      <c r="P317" s="44">
        <v>16.96</v>
      </c>
      <c r="Q317" s="45"/>
      <c r="R317" s="45"/>
      <c r="S317" s="44">
        <f t="shared" si="61"/>
        <v>39511.199999999997</v>
      </c>
      <c r="T317" s="45"/>
      <c r="U317" s="46"/>
      <c r="V317" s="9">
        <f t="shared" si="62"/>
        <v>14.13</v>
      </c>
      <c r="Y317" s="9">
        <f t="shared" si="63"/>
        <v>32926</v>
      </c>
      <c r="AD317" s="4" t="s">
        <v>910</v>
      </c>
      <c r="AE317" s="4" t="s">
        <v>907</v>
      </c>
      <c r="AF317" s="4" t="s">
        <v>908</v>
      </c>
    </row>
    <row r="318" spans="1:35" ht="36" x14ac:dyDescent="0.35">
      <c r="A318" s="17" t="s">
        <v>911</v>
      </c>
      <c r="B318" s="17"/>
      <c r="C318" s="34" t="s">
        <v>912</v>
      </c>
      <c r="D318" s="19"/>
      <c r="E318" s="19"/>
      <c r="F318" s="35" t="s">
        <v>490</v>
      </c>
      <c r="G318" s="36">
        <v>1.84</v>
      </c>
      <c r="H318" s="19"/>
      <c r="I318" s="48">
        <v>0</v>
      </c>
      <c r="J318" s="38">
        <v>450.95</v>
      </c>
      <c r="K318" s="39"/>
      <c r="L318" s="39"/>
      <c r="M318" s="38">
        <f t="shared" si="60"/>
        <v>0</v>
      </c>
      <c r="N318" s="39"/>
      <c r="O318" s="39"/>
      <c r="P318" s="38">
        <v>450.95</v>
      </c>
      <c r="Q318" s="39"/>
      <c r="R318" s="39"/>
      <c r="S318" s="38">
        <f t="shared" si="61"/>
        <v>0</v>
      </c>
      <c r="T318" s="39"/>
      <c r="U318" s="40"/>
      <c r="V318" s="9">
        <f t="shared" si="62"/>
        <v>375.79</v>
      </c>
      <c r="Y318" s="9">
        <f t="shared" si="63"/>
        <v>0</v>
      </c>
      <c r="AD318" s="4" t="s">
        <v>913</v>
      </c>
      <c r="AE318" s="4" t="s">
        <v>914</v>
      </c>
      <c r="AF318" s="4" t="s">
        <v>915</v>
      </c>
    </row>
    <row r="319" spans="1:35" ht="72" x14ac:dyDescent="0.35">
      <c r="A319" s="23" t="s">
        <v>916</v>
      </c>
      <c r="B319" s="23"/>
      <c r="C319" s="41" t="s">
        <v>912</v>
      </c>
      <c r="D319" s="25"/>
      <c r="E319" s="25" t="s">
        <v>917</v>
      </c>
      <c r="F319" s="42" t="s">
        <v>490</v>
      </c>
      <c r="G319" s="43">
        <v>1.84</v>
      </c>
      <c r="H319" s="25"/>
      <c r="I319" s="50">
        <v>6123.7039999999997</v>
      </c>
      <c r="J319" s="44">
        <v>450.95</v>
      </c>
      <c r="K319" s="45"/>
      <c r="L319" s="45"/>
      <c r="M319" s="44">
        <f t="shared" si="60"/>
        <v>2761484.32</v>
      </c>
      <c r="N319" s="45"/>
      <c r="O319" s="45"/>
      <c r="P319" s="44">
        <v>450.95</v>
      </c>
      <c r="Q319" s="45"/>
      <c r="R319" s="45"/>
      <c r="S319" s="44">
        <f t="shared" si="61"/>
        <v>2761484.32</v>
      </c>
      <c r="T319" s="45"/>
      <c r="U319" s="46"/>
      <c r="V319" s="9">
        <f t="shared" si="62"/>
        <v>375.79</v>
      </c>
      <c r="Y319" s="9">
        <f t="shared" si="63"/>
        <v>2301236.9300000002</v>
      </c>
      <c r="AD319" s="4" t="s">
        <v>918</v>
      </c>
      <c r="AE319" s="4" t="s">
        <v>914</v>
      </c>
      <c r="AF319" s="4" t="s">
        <v>915</v>
      </c>
    </row>
    <row r="320" spans="1:35" ht="18" x14ac:dyDescent="0.35">
      <c r="A320" s="17" t="s">
        <v>919</v>
      </c>
      <c r="B320" s="17"/>
      <c r="C320" s="34" t="s">
        <v>873</v>
      </c>
      <c r="D320" s="19"/>
      <c r="E320" s="19"/>
      <c r="F320" s="35" t="s">
        <v>498</v>
      </c>
      <c r="G320" s="36">
        <v>0.04</v>
      </c>
      <c r="H320" s="19"/>
      <c r="I320" s="37">
        <v>0</v>
      </c>
      <c r="J320" s="38">
        <v>47.44</v>
      </c>
      <c r="K320" s="39"/>
      <c r="L320" s="39"/>
      <c r="M320" s="38">
        <f t="shared" si="60"/>
        <v>0</v>
      </c>
      <c r="N320" s="39"/>
      <c r="O320" s="39"/>
      <c r="P320" s="38">
        <v>47.44</v>
      </c>
      <c r="Q320" s="39"/>
      <c r="R320" s="39"/>
      <c r="S320" s="38">
        <f t="shared" si="61"/>
        <v>0</v>
      </c>
      <c r="T320" s="39"/>
      <c r="U320" s="40"/>
      <c r="V320" s="9">
        <f t="shared" si="62"/>
        <v>39.53</v>
      </c>
      <c r="Y320" s="9">
        <f t="shared" si="63"/>
        <v>0</v>
      </c>
      <c r="AD320" s="4" t="s">
        <v>920</v>
      </c>
      <c r="AE320" s="4" t="s">
        <v>921</v>
      </c>
      <c r="AF320" s="4" t="s">
        <v>876</v>
      </c>
    </row>
    <row r="321" spans="1:35" ht="18" x14ac:dyDescent="0.35">
      <c r="A321" s="23" t="s">
        <v>922</v>
      </c>
      <c r="B321" s="23"/>
      <c r="C321" s="41" t="s">
        <v>873</v>
      </c>
      <c r="D321" s="25"/>
      <c r="E321" s="25"/>
      <c r="F321" s="42" t="s">
        <v>498</v>
      </c>
      <c r="G321" s="43">
        <v>0.04</v>
      </c>
      <c r="H321" s="25"/>
      <c r="I321" s="43">
        <v>133.124</v>
      </c>
      <c r="J321" s="44">
        <v>47.44</v>
      </c>
      <c r="K321" s="45"/>
      <c r="L321" s="45"/>
      <c r="M321" s="44">
        <f t="shared" si="60"/>
        <v>6315.4</v>
      </c>
      <c r="N321" s="45"/>
      <c r="O321" s="45"/>
      <c r="P321" s="44">
        <v>47.44</v>
      </c>
      <c r="Q321" s="45"/>
      <c r="R321" s="45"/>
      <c r="S321" s="44">
        <f t="shared" si="61"/>
        <v>6315.4</v>
      </c>
      <c r="T321" s="45"/>
      <c r="U321" s="46"/>
      <c r="V321" s="9">
        <f t="shared" si="62"/>
        <v>39.53</v>
      </c>
      <c r="Y321" s="9">
        <f t="shared" si="63"/>
        <v>5262.83</v>
      </c>
      <c r="AD321" s="4" t="s">
        <v>923</v>
      </c>
      <c r="AE321" s="4" t="s">
        <v>921</v>
      </c>
      <c r="AF321" s="4" t="s">
        <v>876</v>
      </c>
    </row>
    <row r="322" spans="1:35" ht="36" x14ac:dyDescent="0.35">
      <c r="A322" s="17" t="s">
        <v>924</v>
      </c>
      <c r="B322" s="17"/>
      <c r="C322" s="34" t="s">
        <v>925</v>
      </c>
      <c r="D322" s="19"/>
      <c r="E322" s="19"/>
      <c r="F322" s="35" t="s">
        <v>498</v>
      </c>
      <c r="G322" s="36">
        <v>1.4999999999999999E-2</v>
      </c>
      <c r="H322" s="19"/>
      <c r="I322" s="37">
        <v>0</v>
      </c>
      <c r="J322" s="38">
        <v>88.8</v>
      </c>
      <c r="K322" s="39"/>
      <c r="L322" s="39"/>
      <c r="M322" s="38">
        <f t="shared" si="60"/>
        <v>0</v>
      </c>
      <c r="N322" s="39"/>
      <c r="O322" s="39"/>
      <c r="P322" s="38">
        <v>88.8</v>
      </c>
      <c r="Q322" s="39"/>
      <c r="R322" s="39"/>
      <c r="S322" s="38">
        <f t="shared" si="61"/>
        <v>0</v>
      </c>
      <c r="T322" s="39"/>
      <c r="U322" s="40"/>
      <c r="V322" s="9">
        <f t="shared" si="62"/>
        <v>74</v>
      </c>
      <c r="Y322" s="9">
        <f t="shared" si="63"/>
        <v>0</v>
      </c>
      <c r="AD322" s="4" t="s">
        <v>926</v>
      </c>
      <c r="AE322" s="4" t="s">
        <v>927</v>
      </c>
      <c r="AF322" s="4" t="s">
        <v>928</v>
      </c>
    </row>
    <row r="323" spans="1:35" ht="36" x14ac:dyDescent="0.35">
      <c r="A323" s="23" t="s">
        <v>929</v>
      </c>
      <c r="B323" s="23"/>
      <c r="C323" s="41" t="s">
        <v>925</v>
      </c>
      <c r="D323" s="25"/>
      <c r="E323" s="25"/>
      <c r="F323" s="42" t="s">
        <v>498</v>
      </c>
      <c r="G323" s="43">
        <v>1.4999999999999999E-2</v>
      </c>
      <c r="H323" s="25"/>
      <c r="I323" s="43">
        <v>49.921999999999997</v>
      </c>
      <c r="J323" s="44">
        <v>88.8</v>
      </c>
      <c r="K323" s="45"/>
      <c r="L323" s="45"/>
      <c r="M323" s="44">
        <f t="shared" si="60"/>
        <v>4433.07</v>
      </c>
      <c r="N323" s="45"/>
      <c r="O323" s="45"/>
      <c r="P323" s="44">
        <v>88.8</v>
      </c>
      <c r="Q323" s="45"/>
      <c r="R323" s="45"/>
      <c r="S323" s="44">
        <f t="shared" si="61"/>
        <v>4433.07</v>
      </c>
      <c r="T323" s="45"/>
      <c r="U323" s="46"/>
      <c r="V323" s="9">
        <f t="shared" si="62"/>
        <v>74</v>
      </c>
      <c r="Y323" s="9">
        <f t="shared" si="63"/>
        <v>3694.23</v>
      </c>
      <c r="AD323" s="4" t="s">
        <v>930</v>
      </c>
      <c r="AE323" s="4" t="s">
        <v>927</v>
      </c>
      <c r="AF323" s="4" t="s">
        <v>928</v>
      </c>
    </row>
    <row r="324" spans="1:35" ht="36" x14ac:dyDescent="0.35">
      <c r="A324" s="17" t="s">
        <v>931</v>
      </c>
      <c r="B324" s="17" t="s">
        <v>898</v>
      </c>
      <c r="C324" s="18" t="s">
        <v>899</v>
      </c>
      <c r="D324" s="19"/>
      <c r="E324" s="19"/>
      <c r="F324" s="19" t="s">
        <v>78</v>
      </c>
      <c r="G324" s="20">
        <v>1</v>
      </c>
      <c r="H324" s="19"/>
      <c r="I324" s="21">
        <v>0</v>
      </c>
      <c r="J324" s="22">
        <v>844.85</v>
      </c>
      <c r="K324" s="22">
        <v>473</v>
      </c>
      <c r="L324" s="22">
        <f>J324+ROUND(K324, 2)</f>
        <v>1317.85</v>
      </c>
      <c r="M324" s="22">
        <v>0</v>
      </c>
      <c r="N324" s="22">
        <v>0</v>
      </c>
      <c r="O324" s="22">
        <f>M324+N324</f>
        <v>0</v>
      </c>
      <c r="P324" s="22">
        <v>844.85</v>
      </c>
      <c r="Q324" s="22">
        <v>473</v>
      </c>
      <c r="R324" s="22">
        <f>P324+ROUND(Q324, 2)</f>
        <v>1317.85</v>
      </c>
      <c r="S324" s="22">
        <v>0</v>
      </c>
      <c r="T324" s="22">
        <v>0</v>
      </c>
      <c r="U324" s="22">
        <f>S324+T324</f>
        <v>0</v>
      </c>
      <c r="V324" s="9">
        <f>ROUND(P324 / 1.2, 2)</f>
        <v>704.04</v>
      </c>
      <c r="W324" s="9">
        <f>ROUND(Q324 / 1.2, 2)</f>
        <v>394.17</v>
      </c>
      <c r="X324" s="9">
        <f>ROUND(R324 / 1.2, 2)</f>
        <v>1098.21</v>
      </c>
      <c r="Y324" s="9">
        <f t="shared" si="63"/>
        <v>0</v>
      </c>
      <c r="Z324" s="9">
        <f>ROUND(T324 / 1.2, 2)</f>
        <v>0</v>
      </c>
      <c r="AA324" s="9">
        <f>Y324+Z324</f>
        <v>0</v>
      </c>
      <c r="AD324" s="4">
        <v>305117041</v>
      </c>
      <c r="AE324" s="4">
        <v>20926571</v>
      </c>
      <c r="AG324" s="4" t="s">
        <v>900</v>
      </c>
      <c r="AH324" s="4" t="s">
        <v>901</v>
      </c>
      <c r="AI324" s="4" t="s">
        <v>467</v>
      </c>
    </row>
    <row r="325" spans="1:35" ht="36" x14ac:dyDescent="0.35">
      <c r="A325" s="23" t="s">
        <v>932</v>
      </c>
      <c r="B325" s="23" t="s">
        <v>898</v>
      </c>
      <c r="C325" s="24" t="s">
        <v>899</v>
      </c>
      <c r="D325" s="25"/>
      <c r="E325" s="25" t="s">
        <v>933</v>
      </c>
      <c r="F325" s="25" t="s">
        <v>78</v>
      </c>
      <c r="G325" s="26">
        <v>1</v>
      </c>
      <c r="H325" s="25"/>
      <c r="I325" s="26">
        <v>2324.1</v>
      </c>
      <c r="J325" s="27">
        <v>844.85</v>
      </c>
      <c r="K325" s="27">
        <v>473</v>
      </c>
      <c r="L325" s="27">
        <v>473</v>
      </c>
      <c r="M325" s="27">
        <v>1963515.89</v>
      </c>
      <c r="N325" s="27">
        <v>1099299.3</v>
      </c>
      <c r="O325" s="27"/>
      <c r="P325" s="27">
        <v>844.85</v>
      </c>
      <c r="Q325" s="27">
        <v>473</v>
      </c>
      <c r="R325" s="27">
        <v>473</v>
      </c>
      <c r="S325" s="27">
        <v>1963515.89</v>
      </c>
      <c r="T325" s="27">
        <v>1099299.3</v>
      </c>
      <c r="U325" s="27"/>
      <c r="V325" s="9"/>
      <c r="W325" s="9">
        <f>ROUND(Q325 / 1.2, 2)</f>
        <v>394.17</v>
      </c>
      <c r="X325" s="9">
        <f>ROUND(R325 / 1.2, 2)</f>
        <v>394.17</v>
      </c>
      <c r="Y325" s="9"/>
      <c r="Z325" s="9">
        <f>ROUND(T325 / 1.2, 2)</f>
        <v>916082.75</v>
      </c>
      <c r="AA325" s="9"/>
      <c r="AD325" s="4">
        <v>276896443</v>
      </c>
      <c r="AE325" s="4">
        <v>20926571</v>
      </c>
      <c r="AG325" s="4" t="s">
        <v>900</v>
      </c>
      <c r="AH325" s="4" t="s">
        <v>901</v>
      </c>
      <c r="AI325" s="4"/>
    </row>
    <row r="326" spans="1:35" ht="36" x14ac:dyDescent="0.35">
      <c r="A326" s="17" t="s">
        <v>934</v>
      </c>
      <c r="B326" s="17"/>
      <c r="C326" s="34" t="s">
        <v>925</v>
      </c>
      <c r="D326" s="19"/>
      <c r="E326" s="19"/>
      <c r="F326" s="35" t="s">
        <v>498</v>
      </c>
      <c r="G326" s="36">
        <v>1.4999999999999999E-2</v>
      </c>
      <c r="H326" s="19"/>
      <c r="I326" s="37">
        <v>0</v>
      </c>
      <c r="J326" s="38">
        <v>88.8</v>
      </c>
      <c r="K326" s="39"/>
      <c r="L326" s="39"/>
      <c r="M326" s="38">
        <f t="shared" ref="M326:M333" si="64">ROUND(ROUND(J326, 2)*I326, 2)</f>
        <v>0</v>
      </c>
      <c r="N326" s="39"/>
      <c r="O326" s="39"/>
      <c r="P326" s="38">
        <v>88.8</v>
      </c>
      <c r="Q326" s="39"/>
      <c r="R326" s="39"/>
      <c r="S326" s="38">
        <f t="shared" ref="S326:S333" si="65">ROUND(ROUND(P326, 2)*I326, 2)</f>
        <v>0</v>
      </c>
      <c r="T326" s="39"/>
      <c r="U326" s="40"/>
      <c r="V326" s="9">
        <f t="shared" ref="V326:V333" si="66">ROUND(ROUND(P326, 2)/1.2, 2)</f>
        <v>74</v>
      </c>
      <c r="Y326" s="9">
        <f t="shared" ref="Y326:Y334" si="67">ROUND(S326 / 1.2, 2)</f>
        <v>0</v>
      </c>
      <c r="AD326" s="4" t="s">
        <v>935</v>
      </c>
      <c r="AE326" s="4" t="s">
        <v>936</v>
      </c>
      <c r="AF326" s="4" t="s">
        <v>928</v>
      </c>
    </row>
    <row r="327" spans="1:35" ht="36" x14ac:dyDescent="0.35">
      <c r="A327" s="23" t="s">
        <v>937</v>
      </c>
      <c r="B327" s="23"/>
      <c r="C327" s="41" t="s">
        <v>925</v>
      </c>
      <c r="D327" s="25"/>
      <c r="E327" s="25"/>
      <c r="F327" s="42" t="s">
        <v>498</v>
      </c>
      <c r="G327" s="43">
        <v>1.4999999999999999E-2</v>
      </c>
      <c r="H327" s="25"/>
      <c r="I327" s="43">
        <v>34.862000000000002</v>
      </c>
      <c r="J327" s="44">
        <v>88.8</v>
      </c>
      <c r="K327" s="45"/>
      <c r="L327" s="45"/>
      <c r="M327" s="44">
        <f t="shared" si="64"/>
        <v>3095.75</v>
      </c>
      <c r="N327" s="45"/>
      <c r="O327" s="45"/>
      <c r="P327" s="44">
        <v>88.8</v>
      </c>
      <c r="Q327" s="45"/>
      <c r="R327" s="45"/>
      <c r="S327" s="44">
        <f t="shared" si="65"/>
        <v>3095.75</v>
      </c>
      <c r="T327" s="45"/>
      <c r="U327" s="46"/>
      <c r="V327" s="9">
        <f t="shared" si="66"/>
        <v>74</v>
      </c>
      <c r="Y327" s="9">
        <f t="shared" si="67"/>
        <v>2579.79</v>
      </c>
      <c r="AD327" s="4" t="s">
        <v>938</v>
      </c>
      <c r="AE327" s="4" t="s">
        <v>936</v>
      </c>
      <c r="AF327" s="4" t="s">
        <v>928</v>
      </c>
    </row>
    <row r="328" spans="1:35" ht="18" x14ac:dyDescent="0.35">
      <c r="A328" s="17" t="s">
        <v>939</v>
      </c>
      <c r="B328" s="17"/>
      <c r="C328" s="34" t="s">
        <v>873</v>
      </c>
      <c r="D328" s="19"/>
      <c r="E328" s="19"/>
      <c r="F328" s="35" t="s">
        <v>498</v>
      </c>
      <c r="G328" s="36">
        <v>0.04</v>
      </c>
      <c r="H328" s="19"/>
      <c r="I328" s="37">
        <v>0</v>
      </c>
      <c r="J328" s="38">
        <v>47.44</v>
      </c>
      <c r="K328" s="39"/>
      <c r="L328" s="39"/>
      <c r="M328" s="38">
        <f t="shared" si="64"/>
        <v>0</v>
      </c>
      <c r="N328" s="39"/>
      <c r="O328" s="39"/>
      <c r="P328" s="38">
        <v>47.44</v>
      </c>
      <c r="Q328" s="39"/>
      <c r="R328" s="39"/>
      <c r="S328" s="38">
        <f t="shared" si="65"/>
        <v>0</v>
      </c>
      <c r="T328" s="39"/>
      <c r="U328" s="40"/>
      <c r="V328" s="9">
        <f t="shared" si="66"/>
        <v>39.53</v>
      </c>
      <c r="Y328" s="9">
        <f t="shared" si="67"/>
        <v>0</v>
      </c>
      <c r="AD328" s="4" t="s">
        <v>940</v>
      </c>
      <c r="AE328" s="4" t="s">
        <v>941</v>
      </c>
      <c r="AF328" s="4" t="s">
        <v>876</v>
      </c>
    </row>
    <row r="329" spans="1:35" ht="18" x14ac:dyDescent="0.35">
      <c r="A329" s="23" t="s">
        <v>942</v>
      </c>
      <c r="B329" s="23"/>
      <c r="C329" s="41" t="s">
        <v>873</v>
      </c>
      <c r="D329" s="25"/>
      <c r="E329" s="25"/>
      <c r="F329" s="42" t="s">
        <v>498</v>
      </c>
      <c r="G329" s="43">
        <v>0.04</v>
      </c>
      <c r="H329" s="25"/>
      <c r="I329" s="43">
        <v>92.963999999999999</v>
      </c>
      <c r="J329" s="44">
        <v>47.44</v>
      </c>
      <c r="K329" s="45"/>
      <c r="L329" s="45"/>
      <c r="M329" s="44">
        <f t="shared" si="64"/>
        <v>4410.21</v>
      </c>
      <c r="N329" s="45"/>
      <c r="O329" s="45"/>
      <c r="P329" s="44">
        <v>47.44</v>
      </c>
      <c r="Q329" s="45"/>
      <c r="R329" s="45"/>
      <c r="S329" s="44">
        <f t="shared" si="65"/>
        <v>4410.21</v>
      </c>
      <c r="T329" s="45"/>
      <c r="U329" s="46"/>
      <c r="V329" s="9">
        <f t="shared" si="66"/>
        <v>39.53</v>
      </c>
      <c r="Y329" s="9">
        <f t="shared" si="67"/>
        <v>3675.18</v>
      </c>
      <c r="AD329" s="4" t="s">
        <v>943</v>
      </c>
      <c r="AE329" s="4" t="s">
        <v>941</v>
      </c>
      <c r="AF329" s="4" t="s">
        <v>876</v>
      </c>
    </row>
    <row r="330" spans="1:35" ht="36" x14ac:dyDescent="0.35">
      <c r="A330" s="17" t="s">
        <v>944</v>
      </c>
      <c r="B330" s="17"/>
      <c r="C330" s="34" t="s">
        <v>912</v>
      </c>
      <c r="D330" s="19"/>
      <c r="E330" s="19"/>
      <c r="F330" s="35" t="s">
        <v>490</v>
      </c>
      <c r="G330" s="36">
        <v>1.84</v>
      </c>
      <c r="H330" s="19"/>
      <c r="I330" s="48">
        <v>0</v>
      </c>
      <c r="J330" s="38">
        <v>450.95</v>
      </c>
      <c r="K330" s="39"/>
      <c r="L330" s="39"/>
      <c r="M330" s="38">
        <f t="shared" si="64"/>
        <v>0</v>
      </c>
      <c r="N330" s="39"/>
      <c r="O330" s="39"/>
      <c r="P330" s="38">
        <v>450.95</v>
      </c>
      <c r="Q330" s="39"/>
      <c r="R330" s="39"/>
      <c r="S330" s="38">
        <f t="shared" si="65"/>
        <v>0</v>
      </c>
      <c r="T330" s="39"/>
      <c r="U330" s="40"/>
      <c r="V330" s="9">
        <f t="shared" si="66"/>
        <v>375.79</v>
      </c>
      <c r="Y330" s="9">
        <f t="shared" si="67"/>
        <v>0</v>
      </c>
      <c r="AD330" s="4" t="s">
        <v>945</v>
      </c>
      <c r="AE330" s="4" t="s">
        <v>946</v>
      </c>
      <c r="AF330" s="4" t="s">
        <v>915</v>
      </c>
    </row>
    <row r="331" spans="1:35" ht="72" x14ac:dyDescent="0.35">
      <c r="A331" s="23" t="s">
        <v>947</v>
      </c>
      <c r="B331" s="23"/>
      <c r="C331" s="41" t="s">
        <v>912</v>
      </c>
      <c r="D331" s="25"/>
      <c r="E331" s="25" t="s">
        <v>948</v>
      </c>
      <c r="F331" s="42" t="s">
        <v>490</v>
      </c>
      <c r="G331" s="43">
        <v>1.84</v>
      </c>
      <c r="H331" s="25"/>
      <c r="I331" s="50">
        <v>4276.3440000000001</v>
      </c>
      <c r="J331" s="44">
        <v>450.95</v>
      </c>
      <c r="K331" s="45"/>
      <c r="L331" s="45"/>
      <c r="M331" s="44">
        <f t="shared" si="64"/>
        <v>1928417.33</v>
      </c>
      <c r="N331" s="45"/>
      <c r="O331" s="45"/>
      <c r="P331" s="44">
        <v>450.95</v>
      </c>
      <c r="Q331" s="45"/>
      <c r="R331" s="45"/>
      <c r="S331" s="44">
        <f t="shared" si="65"/>
        <v>1928417.33</v>
      </c>
      <c r="T331" s="45"/>
      <c r="U331" s="46"/>
      <c r="V331" s="9">
        <f t="shared" si="66"/>
        <v>375.79</v>
      </c>
      <c r="Y331" s="9">
        <f t="shared" si="67"/>
        <v>1607014.44</v>
      </c>
      <c r="AD331" s="4" t="s">
        <v>949</v>
      </c>
      <c r="AE331" s="4" t="s">
        <v>946</v>
      </c>
      <c r="AF331" s="4" t="s">
        <v>915</v>
      </c>
    </row>
    <row r="332" spans="1:35" ht="36" x14ac:dyDescent="0.35">
      <c r="A332" s="17" t="s">
        <v>950</v>
      </c>
      <c r="B332" s="17"/>
      <c r="C332" s="34" t="s">
        <v>905</v>
      </c>
      <c r="D332" s="19"/>
      <c r="E332" s="19"/>
      <c r="F332" s="35" t="s">
        <v>498</v>
      </c>
      <c r="G332" s="36">
        <v>0.7</v>
      </c>
      <c r="H332" s="19"/>
      <c r="I332" s="48">
        <v>0</v>
      </c>
      <c r="J332" s="38">
        <v>16.96</v>
      </c>
      <c r="K332" s="39"/>
      <c r="L332" s="39"/>
      <c r="M332" s="38">
        <f t="shared" si="64"/>
        <v>0</v>
      </c>
      <c r="N332" s="39"/>
      <c r="O332" s="39"/>
      <c r="P332" s="38">
        <v>16.96</v>
      </c>
      <c r="Q332" s="39"/>
      <c r="R332" s="39"/>
      <c r="S332" s="38">
        <f t="shared" si="65"/>
        <v>0</v>
      </c>
      <c r="T332" s="39"/>
      <c r="U332" s="40"/>
      <c r="V332" s="9">
        <f t="shared" si="66"/>
        <v>14.13</v>
      </c>
      <c r="Y332" s="9">
        <f t="shared" si="67"/>
        <v>0</v>
      </c>
      <c r="AD332" s="4" t="s">
        <v>951</v>
      </c>
      <c r="AE332" s="4" t="s">
        <v>952</v>
      </c>
      <c r="AF332" s="4" t="s">
        <v>908</v>
      </c>
    </row>
    <row r="333" spans="1:35" ht="36" x14ac:dyDescent="0.35">
      <c r="A333" s="23" t="s">
        <v>953</v>
      </c>
      <c r="B333" s="23"/>
      <c r="C333" s="41" t="s">
        <v>905</v>
      </c>
      <c r="D333" s="25"/>
      <c r="E333" s="25"/>
      <c r="F333" s="42" t="s">
        <v>498</v>
      </c>
      <c r="G333" s="43">
        <v>0.7</v>
      </c>
      <c r="H333" s="25"/>
      <c r="I333" s="50">
        <v>1626.87</v>
      </c>
      <c r="J333" s="44">
        <v>16.96</v>
      </c>
      <c r="K333" s="45"/>
      <c r="L333" s="45"/>
      <c r="M333" s="44">
        <f t="shared" si="64"/>
        <v>27591.72</v>
      </c>
      <c r="N333" s="45"/>
      <c r="O333" s="45"/>
      <c r="P333" s="44">
        <v>16.96</v>
      </c>
      <c r="Q333" s="45"/>
      <c r="R333" s="45"/>
      <c r="S333" s="44">
        <f t="shared" si="65"/>
        <v>27591.72</v>
      </c>
      <c r="T333" s="45"/>
      <c r="U333" s="46"/>
      <c r="V333" s="9">
        <f t="shared" si="66"/>
        <v>14.13</v>
      </c>
      <c r="Y333" s="9">
        <f t="shared" si="67"/>
        <v>22993.1</v>
      </c>
      <c r="AD333" s="4" t="s">
        <v>954</v>
      </c>
      <c r="AE333" s="4" t="s">
        <v>952</v>
      </c>
      <c r="AF333" s="4" t="s">
        <v>908</v>
      </c>
    </row>
    <row r="334" spans="1:35" ht="36" x14ac:dyDescent="0.35">
      <c r="A334" s="17" t="s">
        <v>955</v>
      </c>
      <c r="B334" s="17" t="s">
        <v>898</v>
      </c>
      <c r="C334" s="18" t="s">
        <v>899</v>
      </c>
      <c r="D334" s="19"/>
      <c r="E334" s="19"/>
      <c r="F334" s="19" t="s">
        <v>78</v>
      </c>
      <c r="G334" s="20">
        <v>1</v>
      </c>
      <c r="H334" s="19"/>
      <c r="I334" s="21">
        <v>0</v>
      </c>
      <c r="J334" s="22">
        <v>375.74</v>
      </c>
      <c r="K334" s="22">
        <v>473</v>
      </c>
      <c r="L334" s="22">
        <f>J334+ROUND(K334, 2)</f>
        <v>848.74</v>
      </c>
      <c r="M334" s="22">
        <v>0</v>
      </c>
      <c r="N334" s="22">
        <v>0</v>
      </c>
      <c r="O334" s="22">
        <f>M334+N334</f>
        <v>0</v>
      </c>
      <c r="P334" s="22">
        <v>375.74</v>
      </c>
      <c r="Q334" s="22">
        <v>473</v>
      </c>
      <c r="R334" s="22">
        <f>P334+ROUND(Q334, 2)</f>
        <v>848.74</v>
      </c>
      <c r="S334" s="22">
        <v>0</v>
      </c>
      <c r="T334" s="22">
        <v>0</v>
      </c>
      <c r="U334" s="22">
        <f>S334+T334</f>
        <v>0</v>
      </c>
      <c r="V334" s="9">
        <f>ROUND(P334 / 1.2, 2)</f>
        <v>313.12</v>
      </c>
      <c r="W334" s="9">
        <f>ROUND(Q334 / 1.2, 2)</f>
        <v>394.17</v>
      </c>
      <c r="X334" s="9">
        <f>ROUND(R334 / 1.2, 2)</f>
        <v>707.28</v>
      </c>
      <c r="Y334" s="9">
        <f t="shared" si="67"/>
        <v>0</v>
      </c>
      <c r="Z334" s="9">
        <f>ROUND(T334 / 1.2, 2)</f>
        <v>0</v>
      </c>
      <c r="AA334" s="9">
        <f>Y334+Z334</f>
        <v>0</v>
      </c>
      <c r="AD334" s="4">
        <v>305117042</v>
      </c>
      <c r="AE334" s="4">
        <v>20926623</v>
      </c>
      <c r="AG334" s="4" t="s">
        <v>900</v>
      </c>
      <c r="AH334" s="4" t="s">
        <v>901</v>
      </c>
      <c r="AI334" s="4" t="s">
        <v>467</v>
      </c>
    </row>
    <row r="335" spans="1:35" ht="36" x14ac:dyDescent="0.35">
      <c r="A335" s="23" t="s">
        <v>956</v>
      </c>
      <c r="B335" s="23" t="s">
        <v>898</v>
      </c>
      <c r="C335" s="24" t="s">
        <v>899</v>
      </c>
      <c r="D335" s="25"/>
      <c r="E335" s="25" t="s">
        <v>957</v>
      </c>
      <c r="F335" s="25" t="s">
        <v>78</v>
      </c>
      <c r="G335" s="26">
        <v>1</v>
      </c>
      <c r="H335" s="25"/>
      <c r="I335" s="26">
        <v>892.1</v>
      </c>
      <c r="J335" s="27">
        <v>375.74</v>
      </c>
      <c r="K335" s="27">
        <v>473</v>
      </c>
      <c r="L335" s="27">
        <v>473</v>
      </c>
      <c r="M335" s="27">
        <v>335197.65000000002</v>
      </c>
      <c r="N335" s="27">
        <v>421963.3</v>
      </c>
      <c r="O335" s="27"/>
      <c r="P335" s="27">
        <v>375.74</v>
      </c>
      <c r="Q335" s="27">
        <v>473</v>
      </c>
      <c r="R335" s="27">
        <v>473</v>
      </c>
      <c r="S335" s="27">
        <v>335197.65000000002</v>
      </c>
      <c r="T335" s="27">
        <v>421963.3</v>
      </c>
      <c r="U335" s="27"/>
      <c r="V335" s="9"/>
      <c r="W335" s="9">
        <f>ROUND(Q335 / 1.2, 2)</f>
        <v>394.17</v>
      </c>
      <c r="X335" s="9">
        <f>ROUND(R335 / 1.2, 2)</f>
        <v>394.17</v>
      </c>
      <c r="Y335" s="9"/>
      <c r="Z335" s="9">
        <f>ROUND(T335 / 1.2, 2)</f>
        <v>351636.08</v>
      </c>
      <c r="AA335" s="9"/>
      <c r="AD335" s="4">
        <v>281774561</v>
      </c>
      <c r="AE335" s="4">
        <v>20926623</v>
      </c>
      <c r="AG335" s="4" t="s">
        <v>900</v>
      </c>
      <c r="AH335" s="4" t="s">
        <v>901</v>
      </c>
      <c r="AI335" s="4"/>
    </row>
    <row r="336" spans="1:35" ht="36" x14ac:dyDescent="0.35">
      <c r="A336" s="17" t="s">
        <v>958</v>
      </c>
      <c r="B336" s="17"/>
      <c r="C336" s="34" t="s">
        <v>905</v>
      </c>
      <c r="D336" s="19"/>
      <c r="E336" s="19"/>
      <c r="F336" s="35" t="s">
        <v>498</v>
      </c>
      <c r="G336" s="36">
        <v>0.7</v>
      </c>
      <c r="H336" s="19"/>
      <c r="I336" s="48">
        <v>0</v>
      </c>
      <c r="J336" s="38">
        <v>16.96</v>
      </c>
      <c r="K336" s="39"/>
      <c r="L336" s="39"/>
      <c r="M336" s="38">
        <f t="shared" ref="M336:M343" si="68">ROUND(ROUND(J336, 2)*I336, 2)</f>
        <v>0</v>
      </c>
      <c r="N336" s="39"/>
      <c r="O336" s="39"/>
      <c r="P336" s="38">
        <v>16.96</v>
      </c>
      <c r="Q336" s="39"/>
      <c r="R336" s="39"/>
      <c r="S336" s="38">
        <f t="shared" ref="S336:S343" si="69">ROUND(ROUND(P336, 2)*I336, 2)</f>
        <v>0</v>
      </c>
      <c r="T336" s="39"/>
      <c r="U336" s="40"/>
      <c r="V336" s="9">
        <f t="shared" ref="V336:V343" si="70">ROUND(ROUND(P336, 2)/1.2, 2)</f>
        <v>14.13</v>
      </c>
      <c r="Y336" s="9">
        <f t="shared" ref="Y336:Y359" si="71">ROUND(S336 / 1.2, 2)</f>
        <v>0</v>
      </c>
      <c r="AD336" s="4" t="s">
        <v>959</v>
      </c>
      <c r="AE336" s="4" t="s">
        <v>960</v>
      </c>
      <c r="AF336" s="4" t="s">
        <v>908</v>
      </c>
    </row>
    <row r="337" spans="1:35" ht="36" x14ac:dyDescent="0.35">
      <c r="A337" s="23" t="s">
        <v>961</v>
      </c>
      <c r="B337" s="23"/>
      <c r="C337" s="41" t="s">
        <v>905</v>
      </c>
      <c r="D337" s="25"/>
      <c r="E337" s="25"/>
      <c r="F337" s="42" t="s">
        <v>498</v>
      </c>
      <c r="G337" s="43">
        <v>0.7</v>
      </c>
      <c r="H337" s="25"/>
      <c r="I337" s="50">
        <v>624.47</v>
      </c>
      <c r="J337" s="44">
        <v>16.96</v>
      </c>
      <c r="K337" s="45"/>
      <c r="L337" s="45"/>
      <c r="M337" s="44">
        <f t="shared" si="68"/>
        <v>10591.01</v>
      </c>
      <c r="N337" s="45"/>
      <c r="O337" s="45"/>
      <c r="P337" s="44">
        <v>16.96</v>
      </c>
      <c r="Q337" s="45"/>
      <c r="R337" s="45"/>
      <c r="S337" s="44">
        <f t="shared" si="69"/>
        <v>10591.01</v>
      </c>
      <c r="T337" s="45"/>
      <c r="U337" s="46"/>
      <c r="V337" s="9">
        <f t="shared" si="70"/>
        <v>14.13</v>
      </c>
      <c r="Y337" s="9">
        <f t="shared" si="71"/>
        <v>8825.84</v>
      </c>
      <c r="AD337" s="4" t="s">
        <v>962</v>
      </c>
      <c r="AE337" s="4" t="s">
        <v>960</v>
      </c>
      <c r="AF337" s="4" t="s">
        <v>908</v>
      </c>
    </row>
    <row r="338" spans="1:35" ht="36" x14ac:dyDescent="0.35">
      <c r="A338" s="17" t="s">
        <v>963</v>
      </c>
      <c r="B338" s="17"/>
      <c r="C338" s="34" t="s">
        <v>964</v>
      </c>
      <c r="D338" s="19"/>
      <c r="E338" s="19"/>
      <c r="F338" s="35" t="s">
        <v>490</v>
      </c>
      <c r="G338" s="36">
        <v>1.84</v>
      </c>
      <c r="H338" s="19"/>
      <c r="I338" s="48">
        <v>0</v>
      </c>
      <c r="J338" s="38">
        <v>196</v>
      </c>
      <c r="K338" s="39"/>
      <c r="L338" s="39"/>
      <c r="M338" s="38">
        <f t="shared" si="68"/>
        <v>0</v>
      </c>
      <c r="N338" s="39"/>
      <c r="O338" s="39"/>
      <c r="P338" s="38">
        <v>196</v>
      </c>
      <c r="Q338" s="39"/>
      <c r="R338" s="39"/>
      <c r="S338" s="38">
        <f t="shared" si="69"/>
        <v>0</v>
      </c>
      <c r="T338" s="39"/>
      <c r="U338" s="40"/>
      <c r="V338" s="9">
        <f t="shared" si="70"/>
        <v>163.33000000000001</v>
      </c>
      <c r="Y338" s="9">
        <f t="shared" si="71"/>
        <v>0</v>
      </c>
      <c r="AD338" s="4" t="s">
        <v>965</v>
      </c>
      <c r="AE338" s="4" t="s">
        <v>966</v>
      </c>
      <c r="AF338" s="4" t="s">
        <v>967</v>
      </c>
    </row>
    <row r="339" spans="1:35" ht="54" x14ac:dyDescent="0.35">
      <c r="A339" s="23" t="s">
        <v>968</v>
      </c>
      <c r="B339" s="23"/>
      <c r="C339" s="41" t="s">
        <v>964</v>
      </c>
      <c r="D339" s="25"/>
      <c r="E339" s="25" t="s">
        <v>969</v>
      </c>
      <c r="F339" s="42" t="s">
        <v>490</v>
      </c>
      <c r="G339" s="43">
        <v>1.84</v>
      </c>
      <c r="H339" s="25"/>
      <c r="I339" s="50">
        <v>1641.4639999999999</v>
      </c>
      <c r="J339" s="44">
        <v>196</v>
      </c>
      <c r="K339" s="45"/>
      <c r="L339" s="45"/>
      <c r="M339" s="44">
        <f t="shared" si="68"/>
        <v>321726.94</v>
      </c>
      <c r="N339" s="45"/>
      <c r="O339" s="45"/>
      <c r="P339" s="44">
        <v>196</v>
      </c>
      <c r="Q339" s="45"/>
      <c r="R339" s="45"/>
      <c r="S339" s="44">
        <f t="shared" si="69"/>
        <v>321726.94</v>
      </c>
      <c r="T339" s="45"/>
      <c r="U339" s="46"/>
      <c r="V339" s="9">
        <f t="shared" si="70"/>
        <v>163.33000000000001</v>
      </c>
      <c r="Y339" s="9">
        <f t="shared" si="71"/>
        <v>268105.78000000003</v>
      </c>
      <c r="AD339" s="4" t="s">
        <v>970</v>
      </c>
      <c r="AE339" s="4" t="s">
        <v>966</v>
      </c>
      <c r="AF339" s="4" t="s">
        <v>967</v>
      </c>
    </row>
    <row r="340" spans="1:35" ht="18" x14ac:dyDescent="0.35">
      <c r="A340" s="17" t="s">
        <v>971</v>
      </c>
      <c r="B340" s="17"/>
      <c r="C340" s="34" t="s">
        <v>873</v>
      </c>
      <c r="D340" s="19"/>
      <c r="E340" s="19"/>
      <c r="F340" s="35" t="s">
        <v>498</v>
      </c>
      <c r="G340" s="36">
        <v>0.04</v>
      </c>
      <c r="H340" s="19"/>
      <c r="I340" s="37">
        <v>0</v>
      </c>
      <c r="J340" s="38">
        <v>47.44</v>
      </c>
      <c r="K340" s="39"/>
      <c r="L340" s="39"/>
      <c r="M340" s="38">
        <f t="shared" si="68"/>
        <v>0</v>
      </c>
      <c r="N340" s="39"/>
      <c r="O340" s="39"/>
      <c r="P340" s="38">
        <v>47.44</v>
      </c>
      <c r="Q340" s="39"/>
      <c r="R340" s="39"/>
      <c r="S340" s="38">
        <f t="shared" si="69"/>
        <v>0</v>
      </c>
      <c r="T340" s="39"/>
      <c r="U340" s="40"/>
      <c r="V340" s="9">
        <f t="shared" si="70"/>
        <v>39.53</v>
      </c>
      <c r="Y340" s="9">
        <f t="shared" si="71"/>
        <v>0</v>
      </c>
      <c r="AD340" s="4" t="s">
        <v>972</v>
      </c>
      <c r="AE340" s="4" t="s">
        <v>973</v>
      </c>
      <c r="AF340" s="4" t="s">
        <v>876</v>
      </c>
    </row>
    <row r="341" spans="1:35" ht="18" x14ac:dyDescent="0.35">
      <c r="A341" s="23" t="s">
        <v>974</v>
      </c>
      <c r="B341" s="23"/>
      <c r="C341" s="41" t="s">
        <v>873</v>
      </c>
      <c r="D341" s="25"/>
      <c r="E341" s="25"/>
      <c r="F341" s="42" t="s">
        <v>498</v>
      </c>
      <c r="G341" s="43">
        <v>0.04</v>
      </c>
      <c r="H341" s="25"/>
      <c r="I341" s="43">
        <v>35.683999999999997</v>
      </c>
      <c r="J341" s="44">
        <v>47.44</v>
      </c>
      <c r="K341" s="45"/>
      <c r="L341" s="45"/>
      <c r="M341" s="44">
        <f t="shared" si="68"/>
        <v>1692.85</v>
      </c>
      <c r="N341" s="45"/>
      <c r="O341" s="45"/>
      <c r="P341" s="44">
        <v>47.44</v>
      </c>
      <c r="Q341" s="45"/>
      <c r="R341" s="45"/>
      <c r="S341" s="44">
        <f t="shared" si="69"/>
        <v>1692.85</v>
      </c>
      <c r="T341" s="45"/>
      <c r="U341" s="46"/>
      <c r="V341" s="9">
        <f t="shared" si="70"/>
        <v>39.53</v>
      </c>
      <c r="Y341" s="9">
        <f t="shared" si="71"/>
        <v>1410.71</v>
      </c>
      <c r="AD341" s="4" t="s">
        <v>975</v>
      </c>
      <c r="AE341" s="4" t="s">
        <v>973</v>
      </c>
      <c r="AF341" s="4" t="s">
        <v>876</v>
      </c>
    </row>
    <row r="342" spans="1:35" ht="36" x14ac:dyDescent="0.35">
      <c r="A342" s="17" t="s">
        <v>976</v>
      </c>
      <c r="B342" s="17"/>
      <c r="C342" s="34" t="s">
        <v>925</v>
      </c>
      <c r="D342" s="19"/>
      <c r="E342" s="19"/>
      <c r="F342" s="35" t="s">
        <v>498</v>
      </c>
      <c r="G342" s="36">
        <v>1.4999999999999999E-2</v>
      </c>
      <c r="H342" s="19"/>
      <c r="I342" s="37">
        <v>0</v>
      </c>
      <c r="J342" s="38">
        <v>88.8</v>
      </c>
      <c r="K342" s="39"/>
      <c r="L342" s="39"/>
      <c r="M342" s="38">
        <f t="shared" si="68"/>
        <v>0</v>
      </c>
      <c r="N342" s="39"/>
      <c r="O342" s="39"/>
      <c r="P342" s="38">
        <v>88.8</v>
      </c>
      <c r="Q342" s="39"/>
      <c r="R342" s="39"/>
      <c r="S342" s="38">
        <f t="shared" si="69"/>
        <v>0</v>
      </c>
      <c r="T342" s="39"/>
      <c r="U342" s="40"/>
      <c r="V342" s="9">
        <f t="shared" si="70"/>
        <v>74</v>
      </c>
      <c r="Y342" s="9">
        <f t="shared" si="71"/>
        <v>0</v>
      </c>
      <c r="AD342" s="4" t="s">
        <v>977</v>
      </c>
      <c r="AE342" s="4" t="s">
        <v>978</v>
      </c>
      <c r="AF342" s="4" t="s">
        <v>928</v>
      </c>
    </row>
    <row r="343" spans="1:35" ht="36" x14ac:dyDescent="0.35">
      <c r="A343" s="23" t="s">
        <v>979</v>
      </c>
      <c r="B343" s="23"/>
      <c r="C343" s="41" t="s">
        <v>925</v>
      </c>
      <c r="D343" s="25"/>
      <c r="E343" s="25"/>
      <c r="F343" s="42" t="s">
        <v>498</v>
      </c>
      <c r="G343" s="43">
        <v>1.4999999999999999E-2</v>
      </c>
      <c r="H343" s="25"/>
      <c r="I343" s="43">
        <v>13.382</v>
      </c>
      <c r="J343" s="44">
        <v>88.8</v>
      </c>
      <c r="K343" s="45"/>
      <c r="L343" s="45"/>
      <c r="M343" s="44">
        <f t="shared" si="68"/>
        <v>1188.32</v>
      </c>
      <c r="N343" s="45"/>
      <c r="O343" s="45"/>
      <c r="P343" s="44">
        <v>88.8</v>
      </c>
      <c r="Q343" s="45"/>
      <c r="R343" s="45"/>
      <c r="S343" s="44">
        <f t="shared" si="69"/>
        <v>1188.32</v>
      </c>
      <c r="T343" s="45"/>
      <c r="U343" s="46"/>
      <c r="V343" s="9">
        <f t="shared" si="70"/>
        <v>74</v>
      </c>
      <c r="Y343" s="9">
        <f t="shared" si="71"/>
        <v>990.27</v>
      </c>
      <c r="AD343" s="4" t="s">
        <v>980</v>
      </c>
      <c r="AE343" s="4" t="s">
        <v>978</v>
      </c>
      <c r="AF343" s="4" t="s">
        <v>928</v>
      </c>
    </row>
    <row r="344" spans="1:35" ht="36" x14ac:dyDescent="0.35">
      <c r="A344" s="51" t="s">
        <v>981</v>
      </c>
      <c r="B344" s="51" t="s">
        <v>898</v>
      </c>
      <c r="C344" s="52" t="s">
        <v>899</v>
      </c>
      <c r="D344" s="53"/>
      <c r="E344" s="53" t="s">
        <v>903</v>
      </c>
      <c r="F344" s="53" t="s">
        <v>78</v>
      </c>
      <c r="G344" s="54">
        <v>1</v>
      </c>
      <c r="H344" s="53"/>
      <c r="I344" s="54">
        <v>0</v>
      </c>
      <c r="J344" s="55">
        <f>IFERROR(ROUND(SUM(M345,M346,M347,M348)/I344, 2),0)</f>
        <v>0</v>
      </c>
      <c r="K344" s="55">
        <v>473</v>
      </c>
      <c r="L344" s="55">
        <f>J344+ROUND(K344, 2)</f>
        <v>473</v>
      </c>
      <c r="M344" s="55">
        <f>ROUND(J344*I344, 2)</f>
        <v>0</v>
      </c>
      <c r="N344" s="55">
        <f>ROUND(I344*ROUND(K344, 2), 2)</f>
        <v>0</v>
      </c>
      <c r="O344" s="55">
        <f>M344+N344</f>
        <v>0</v>
      </c>
      <c r="P344" s="55">
        <f>IFERROR(ROUND(SUM(S345,S346,S347,S348)/I344, 2),0)</f>
        <v>0</v>
      </c>
      <c r="Q344" s="55">
        <v>709.5</v>
      </c>
      <c r="R344" s="55">
        <f>P344+ROUND(Q344, 2)</f>
        <v>709.5</v>
      </c>
      <c r="S344" s="55">
        <f>ROUND(P344*I344, 2)</f>
        <v>0</v>
      </c>
      <c r="T344" s="55">
        <f>ROUND(I344*ROUND(Q344, 2), 2)</f>
        <v>0</v>
      </c>
      <c r="U344" s="55">
        <f>S344+T344</f>
        <v>0</v>
      </c>
      <c r="V344" s="9">
        <f>ROUND(P344 / 1.2, 2)</f>
        <v>0</v>
      </c>
      <c r="W344" s="9">
        <f>ROUND(Q344 / 1.2, 2)</f>
        <v>591.25</v>
      </c>
      <c r="X344" s="9">
        <f>ROUND(R344 / 1.2, 2)</f>
        <v>591.25</v>
      </c>
      <c r="Y344" s="9">
        <f t="shared" si="71"/>
        <v>0</v>
      </c>
      <c r="Z344" s="9">
        <f>ROUND(T344 / 1.2, 2)</f>
        <v>0</v>
      </c>
      <c r="AA344" s="9">
        <f>Y344+Z344</f>
        <v>0</v>
      </c>
      <c r="AD344" s="4">
        <v>305117043</v>
      </c>
      <c r="AE344" s="4">
        <v>22135704</v>
      </c>
      <c r="AG344" s="4" t="s">
        <v>900</v>
      </c>
      <c r="AH344" s="4" t="s">
        <v>901</v>
      </c>
      <c r="AI344" s="4" t="s">
        <v>467</v>
      </c>
    </row>
    <row r="345" spans="1:35" ht="36" x14ac:dyDescent="0.35">
      <c r="A345" s="51" t="s">
        <v>982</v>
      </c>
      <c r="B345" s="51"/>
      <c r="C345" s="56" t="s">
        <v>925</v>
      </c>
      <c r="D345" s="53"/>
      <c r="E345" s="53"/>
      <c r="F345" s="57" t="s">
        <v>498</v>
      </c>
      <c r="G345" s="58">
        <v>1.4999999999999999E-2</v>
      </c>
      <c r="H345" s="53"/>
      <c r="I345" s="58">
        <v>0</v>
      </c>
      <c r="J345" s="59">
        <v>88.8</v>
      </c>
      <c r="K345" s="60"/>
      <c r="L345" s="60"/>
      <c r="M345" s="59">
        <f>ROUND(ROUND(J345, 2)*I345, 2)</f>
        <v>0</v>
      </c>
      <c r="N345" s="60"/>
      <c r="O345" s="60"/>
      <c r="P345" s="59">
        <v>88.8</v>
      </c>
      <c r="Q345" s="60"/>
      <c r="R345" s="60"/>
      <c r="S345" s="59">
        <f>ROUND(ROUND(P345, 2)*I345, 2)</f>
        <v>0</v>
      </c>
      <c r="T345" s="60"/>
      <c r="U345" s="61"/>
      <c r="V345" s="9">
        <f>ROUND(ROUND(P345, 2)/1.2, 2)</f>
        <v>74</v>
      </c>
      <c r="Y345" s="9">
        <f t="shared" si="71"/>
        <v>0</v>
      </c>
      <c r="AD345" s="4" t="s">
        <v>983</v>
      </c>
      <c r="AE345" s="4" t="s">
        <v>984</v>
      </c>
      <c r="AF345" s="4" t="s">
        <v>928</v>
      </c>
    </row>
    <row r="346" spans="1:35" ht="18" x14ac:dyDescent="0.35">
      <c r="A346" s="51" t="s">
        <v>985</v>
      </c>
      <c r="B346" s="51"/>
      <c r="C346" s="56" t="s">
        <v>873</v>
      </c>
      <c r="D346" s="53"/>
      <c r="E346" s="53"/>
      <c r="F346" s="57" t="s">
        <v>498</v>
      </c>
      <c r="G346" s="58">
        <v>0.04</v>
      </c>
      <c r="H346" s="53"/>
      <c r="I346" s="58">
        <v>0</v>
      </c>
      <c r="J346" s="59">
        <v>47.44</v>
      </c>
      <c r="K346" s="60"/>
      <c r="L346" s="60"/>
      <c r="M346" s="59">
        <f>ROUND(ROUND(J346, 2)*I346, 2)</f>
        <v>0</v>
      </c>
      <c r="N346" s="60"/>
      <c r="O346" s="60"/>
      <c r="P346" s="59">
        <v>47.44</v>
      </c>
      <c r="Q346" s="60"/>
      <c r="R346" s="60"/>
      <c r="S346" s="59">
        <f>ROUND(ROUND(P346, 2)*I346, 2)</f>
        <v>0</v>
      </c>
      <c r="T346" s="60"/>
      <c r="U346" s="61"/>
      <c r="V346" s="9">
        <f>ROUND(ROUND(P346, 2)/1.2, 2)</f>
        <v>39.53</v>
      </c>
      <c r="Y346" s="9">
        <f t="shared" si="71"/>
        <v>0</v>
      </c>
      <c r="AD346" s="4" t="s">
        <v>986</v>
      </c>
      <c r="AE346" s="4" t="s">
        <v>987</v>
      </c>
      <c r="AF346" s="4" t="s">
        <v>876</v>
      </c>
    </row>
    <row r="347" spans="1:35" ht="72" x14ac:dyDescent="0.35">
      <c r="A347" s="51" t="s">
        <v>988</v>
      </c>
      <c r="B347" s="51"/>
      <c r="C347" s="56" t="s">
        <v>912</v>
      </c>
      <c r="D347" s="53"/>
      <c r="E347" s="53" t="s">
        <v>917</v>
      </c>
      <c r="F347" s="57" t="s">
        <v>490</v>
      </c>
      <c r="G347" s="58">
        <v>1.84</v>
      </c>
      <c r="H347" s="53"/>
      <c r="I347" s="62">
        <v>6123.7039999999997</v>
      </c>
      <c r="J347" s="59">
        <v>450.95</v>
      </c>
      <c r="K347" s="60"/>
      <c r="L347" s="60"/>
      <c r="M347" s="59">
        <f>ROUND(ROUND(J347, 2)*I347, 2)</f>
        <v>2761484.32</v>
      </c>
      <c r="N347" s="60"/>
      <c r="O347" s="60"/>
      <c r="P347" s="59">
        <v>450.95</v>
      </c>
      <c r="Q347" s="60"/>
      <c r="R347" s="60"/>
      <c r="S347" s="59">
        <f>ROUND(ROUND(P347, 2)*I347, 2)</f>
        <v>2761484.32</v>
      </c>
      <c r="T347" s="60"/>
      <c r="U347" s="61"/>
      <c r="V347" s="9">
        <f>ROUND(ROUND(P347, 2)/1.2, 2)</f>
        <v>375.79</v>
      </c>
      <c r="Y347" s="9">
        <f t="shared" si="71"/>
        <v>2301236.9300000002</v>
      </c>
      <c r="AD347" s="4" t="s">
        <v>989</v>
      </c>
      <c r="AE347" s="4" t="s">
        <v>990</v>
      </c>
      <c r="AF347" s="4" t="s">
        <v>915</v>
      </c>
    </row>
    <row r="348" spans="1:35" ht="36" x14ac:dyDescent="0.35">
      <c r="A348" s="51" t="s">
        <v>991</v>
      </c>
      <c r="B348" s="51"/>
      <c r="C348" s="47" t="s">
        <v>905</v>
      </c>
      <c r="D348" s="53"/>
      <c r="E348" s="53"/>
      <c r="F348" s="57" t="s">
        <v>498</v>
      </c>
      <c r="G348" s="58">
        <v>0.7</v>
      </c>
      <c r="H348" s="53"/>
      <c r="I348" s="62">
        <v>2329.67</v>
      </c>
      <c r="J348" s="59">
        <v>16.12</v>
      </c>
      <c r="K348" s="60"/>
      <c r="L348" s="60"/>
      <c r="M348" s="59">
        <f>ROUND(ROUND(J348, 2)*I348, 2)</f>
        <v>37554.28</v>
      </c>
      <c r="N348" s="60"/>
      <c r="O348" s="60"/>
      <c r="P348" s="59">
        <v>16.11</v>
      </c>
      <c r="Q348" s="60"/>
      <c r="R348" s="60"/>
      <c r="S348" s="59">
        <f>ROUND(ROUND(P348, 2)*I348, 2)</f>
        <v>37530.980000000003</v>
      </c>
      <c r="T348" s="60"/>
      <c r="U348" s="61"/>
      <c r="V348" s="9">
        <f>ROUND(ROUND(P348, 2)/1.2, 2)</f>
        <v>13.43</v>
      </c>
      <c r="Y348" s="9">
        <f t="shared" si="71"/>
        <v>31275.82</v>
      </c>
      <c r="AD348" s="4" t="s">
        <v>992</v>
      </c>
      <c r="AE348" s="4" t="s">
        <v>993</v>
      </c>
      <c r="AF348" s="4" t="s">
        <v>908</v>
      </c>
    </row>
    <row r="349" spans="1:35" ht="36" x14ac:dyDescent="0.35">
      <c r="A349" s="51" t="s">
        <v>994</v>
      </c>
      <c r="B349" s="51" t="s">
        <v>898</v>
      </c>
      <c r="C349" s="52" t="s">
        <v>899</v>
      </c>
      <c r="D349" s="53"/>
      <c r="E349" s="53" t="s">
        <v>933</v>
      </c>
      <c r="F349" s="53" t="s">
        <v>78</v>
      </c>
      <c r="G349" s="54">
        <v>1</v>
      </c>
      <c r="H349" s="53"/>
      <c r="I349" s="54">
        <v>0</v>
      </c>
      <c r="J349" s="55">
        <f>IFERROR(ROUND(SUM(M350,M351,M352,M353)/I349, 2),0)</f>
        <v>0</v>
      </c>
      <c r="K349" s="55">
        <v>473</v>
      </c>
      <c r="L349" s="55">
        <f>J349+ROUND(K349, 2)</f>
        <v>473</v>
      </c>
      <c r="M349" s="55">
        <f>ROUND(J349*I349, 2)</f>
        <v>0</v>
      </c>
      <c r="N349" s="55">
        <f>ROUND(I349*ROUND(K349, 2), 2)</f>
        <v>0</v>
      </c>
      <c r="O349" s="55">
        <f>M349+N349</f>
        <v>0</v>
      </c>
      <c r="P349" s="55">
        <f>IFERROR(ROUND(SUM(S350,S351,S352,S353)/I349, 2),0)</f>
        <v>0</v>
      </c>
      <c r="Q349" s="55">
        <v>709.5</v>
      </c>
      <c r="R349" s="55">
        <f>P349+ROUND(Q349, 2)</f>
        <v>709.5</v>
      </c>
      <c r="S349" s="55">
        <f>ROUND(P349*I349, 2)</f>
        <v>0</v>
      </c>
      <c r="T349" s="55">
        <f>ROUND(I349*ROUND(Q349, 2), 2)</f>
        <v>0</v>
      </c>
      <c r="U349" s="55">
        <f>S349+T349</f>
        <v>0</v>
      </c>
      <c r="V349" s="9">
        <f>ROUND(P349 / 1.2, 2)</f>
        <v>0</v>
      </c>
      <c r="W349" s="9">
        <f>ROUND(Q349 / 1.2, 2)</f>
        <v>591.25</v>
      </c>
      <c r="X349" s="9">
        <f>ROUND(R349 / 1.2, 2)</f>
        <v>591.25</v>
      </c>
      <c r="Y349" s="9">
        <f t="shared" si="71"/>
        <v>0</v>
      </c>
      <c r="Z349" s="9">
        <f>ROUND(T349 / 1.2, 2)</f>
        <v>0</v>
      </c>
      <c r="AA349" s="9">
        <f>Y349+Z349</f>
        <v>0</v>
      </c>
      <c r="AD349" s="4">
        <v>305117044</v>
      </c>
      <c r="AE349" s="4">
        <v>22135711</v>
      </c>
      <c r="AG349" s="4" t="s">
        <v>900</v>
      </c>
      <c r="AH349" s="4" t="s">
        <v>901</v>
      </c>
      <c r="AI349" s="4" t="s">
        <v>467</v>
      </c>
    </row>
    <row r="350" spans="1:35" ht="36" x14ac:dyDescent="0.35">
      <c r="A350" s="51" t="s">
        <v>995</v>
      </c>
      <c r="B350" s="51"/>
      <c r="C350" s="47" t="s">
        <v>905</v>
      </c>
      <c r="D350" s="53"/>
      <c r="E350" s="53"/>
      <c r="F350" s="57" t="s">
        <v>498</v>
      </c>
      <c r="G350" s="58">
        <v>0.7</v>
      </c>
      <c r="H350" s="53"/>
      <c r="I350" s="62">
        <v>1626.87</v>
      </c>
      <c r="J350" s="59">
        <v>16.12</v>
      </c>
      <c r="K350" s="60"/>
      <c r="L350" s="60"/>
      <c r="M350" s="59">
        <f>ROUND(ROUND(J350, 2)*I350, 2)</f>
        <v>26225.14</v>
      </c>
      <c r="N350" s="60"/>
      <c r="O350" s="60"/>
      <c r="P350" s="59">
        <v>16.11</v>
      </c>
      <c r="Q350" s="60"/>
      <c r="R350" s="60"/>
      <c r="S350" s="59">
        <f>ROUND(ROUND(P350, 2)*I350, 2)</f>
        <v>26208.880000000001</v>
      </c>
      <c r="T350" s="60"/>
      <c r="U350" s="61"/>
      <c r="V350" s="9">
        <f>ROUND(ROUND(P350, 2)/1.2, 2)</f>
        <v>13.43</v>
      </c>
      <c r="Y350" s="9">
        <f t="shared" si="71"/>
        <v>21840.73</v>
      </c>
      <c r="AD350" s="4" t="s">
        <v>996</v>
      </c>
      <c r="AE350" s="4" t="s">
        <v>997</v>
      </c>
      <c r="AF350" s="4" t="s">
        <v>908</v>
      </c>
    </row>
    <row r="351" spans="1:35" ht="72" x14ac:dyDescent="0.35">
      <c r="A351" s="51" t="s">
        <v>998</v>
      </c>
      <c r="B351" s="51"/>
      <c r="C351" s="56" t="s">
        <v>912</v>
      </c>
      <c r="D351" s="53"/>
      <c r="E351" s="53" t="s">
        <v>948</v>
      </c>
      <c r="F351" s="57" t="s">
        <v>490</v>
      </c>
      <c r="G351" s="58">
        <v>1.84</v>
      </c>
      <c r="H351" s="53"/>
      <c r="I351" s="62">
        <v>4276.3440000000001</v>
      </c>
      <c r="J351" s="59">
        <v>450.95</v>
      </c>
      <c r="K351" s="60"/>
      <c r="L351" s="60"/>
      <c r="M351" s="59">
        <f>ROUND(ROUND(J351, 2)*I351, 2)</f>
        <v>1928417.33</v>
      </c>
      <c r="N351" s="60"/>
      <c r="O351" s="60"/>
      <c r="P351" s="59">
        <v>450.95</v>
      </c>
      <c r="Q351" s="60"/>
      <c r="R351" s="60"/>
      <c r="S351" s="59">
        <f>ROUND(ROUND(P351, 2)*I351, 2)</f>
        <v>1928417.33</v>
      </c>
      <c r="T351" s="60"/>
      <c r="U351" s="61"/>
      <c r="V351" s="9">
        <f>ROUND(ROUND(P351, 2)/1.2, 2)</f>
        <v>375.79</v>
      </c>
      <c r="Y351" s="9">
        <f t="shared" si="71"/>
        <v>1607014.44</v>
      </c>
      <c r="AD351" s="4" t="s">
        <v>999</v>
      </c>
      <c r="AE351" s="4" t="s">
        <v>1000</v>
      </c>
      <c r="AF351" s="4" t="s">
        <v>915</v>
      </c>
    </row>
    <row r="352" spans="1:35" ht="18" x14ac:dyDescent="0.35">
      <c r="A352" s="51" t="s">
        <v>1001</v>
      </c>
      <c r="B352" s="51"/>
      <c r="C352" s="56" t="s">
        <v>873</v>
      </c>
      <c r="D352" s="53"/>
      <c r="E352" s="53"/>
      <c r="F352" s="57" t="s">
        <v>498</v>
      </c>
      <c r="G352" s="58">
        <v>0.04</v>
      </c>
      <c r="H352" s="53"/>
      <c r="I352" s="58">
        <v>0</v>
      </c>
      <c r="J352" s="59">
        <v>47.44</v>
      </c>
      <c r="K352" s="60"/>
      <c r="L352" s="60"/>
      <c r="M352" s="59">
        <f>ROUND(ROUND(J352, 2)*I352, 2)</f>
        <v>0</v>
      </c>
      <c r="N352" s="60"/>
      <c r="O352" s="60"/>
      <c r="P352" s="59">
        <v>47.44</v>
      </c>
      <c r="Q352" s="60"/>
      <c r="R352" s="60"/>
      <c r="S352" s="59">
        <f>ROUND(ROUND(P352, 2)*I352, 2)</f>
        <v>0</v>
      </c>
      <c r="T352" s="60"/>
      <c r="U352" s="61"/>
      <c r="V352" s="9">
        <f>ROUND(ROUND(P352, 2)/1.2, 2)</f>
        <v>39.53</v>
      </c>
      <c r="Y352" s="9">
        <f t="shared" si="71"/>
        <v>0</v>
      </c>
      <c r="AD352" s="4" t="s">
        <v>1002</v>
      </c>
      <c r="AE352" s="4" t="s">
        <v>1003</v>
      </c>
      <c r="AF352" s="4" t="s">
        <v>876</v>
      </c>
    </row>
    <row r="353" spans="1:35" ht="36" x14ac:dyDescent="0.35">
      <c r="A353" s="51" t="s">
        <v>1004</v>
      </c>
      <c r="B353" s="51"/>
      <c r="C353" s="56" t="s">
        <v>925</v>
      </c>
      <c r="D353" s="53"/>
      <c r="E353" s="53"/>
      <c r="F353" s="57" t="s">
        <v>498</v>
      </c>
      <c r="G353" s="58">
        <v>1.4999999999999999E-2</v>
      </c>
      <c r="H353" s="53"/>
      <c r="I353" s="58">
        <v>0</v>
      </c>
      <c r="J353" s="59">
        <v>88.8</v>
      </c>
      <c r="K353" s="60"/>
      <c r="L353" s="60"/>
      <c r="M353" s="59">
        <f>ROUND(ROUND(J353, 2)*I353, 2)</f>
        <v>0</v>
      </c>
      <c r="N353" s="60"/>
      <c r="O353" s="60"/>
      <c r="P353" s="59">
        <v>88.8</v>
      </c>
      <c r="Q353" s="60"/>
      <c r="R353" s="60"/>
      <c r="S353" s="59">
        <f>ROUND(ROUND(P353, 2)*I353, 2)</f>
        <v>0</v>
      </c>
      <c r="T353" s="60"/>
      <c r="U353" s="61"/>
      <c r="V353" s="9">
        <f>ROUND(ROUND(P353, 2)/1.2, 2)</f>
        <v>74</v>
      </c>
      <c r="Y353" s="9">
        <f t="shared" si="71"/>
        <v>0</v>
      </c>
      <c r="AD353" s="4" t="s">
        <v>1005</v>
      </c>
      <c r="AE353" s="4" t="s">
        <v>1006</v>
      </c>
      <c r="AF353" s="4" t="s">
        <v>928</v>
      </c>
    </row>
    <row r="354" spans="1:35" ht="36" x14ac:dyDescent="0.35">
      <c r="A354" s="51" t="s">
        <v>1007</v>
      </c>
      <c r="B354" s="51" t="s">
        <v>898</v>
      </c>
      <c r="C354" s="52" t="s">
        <v>899</v>
      </c>
      <c r="D354" s="53"/>
      <c r="E354" s="53" t="s">
        <v>957</v>
      </c>
      <c r="F354" s="53" t="s">
        <v>78</v>
      </c>
      <c r="G354" s="54">
        <v>1</v>
      </c>
      <c r="H354" s="53"/>
      <c r="I354" s="54">
        <v>0</v>
      </c>
      <c r="J354" s="55">
        <f>IFERROR(ROUND(SUM(M355,M356,M357,M358)/I354, 2),0)</f>
        <v>0</v>
      </c>
      <c r="K354" s="55">
        <v>473</v>
      </c>
      <c r="L354" s="55">
        <f>J354+ROUND(K354, 2)</f>
        <v>473</v>
      </c>
      <c r="M354" s="55">
        <f>ROUND(J354*I354, 2)</f>
        <v>0</v>
      </c>
      <c r="N354" s="55">
        <f>ROUND(I354*ROUND(K354, 2), 2)</f>
        <v>0</v>
      </c>
      <c r="O354" s="55">
        <f>M354+N354</f>
        <v>0</v>
      </c>
      <c r="P354" s="55">
        <f>IFERROR(ROUND(SUM(S355,S356,S357,S358)/I354, 2),0)</f>
        <v>0</v>
      </c>
      <c r="Q354" s="55">
        <v>709.5</v>
      </c>
      <c r="R354" s="55">
        <f>P354+ROUND(Q354, 2)</f>
        <v>709.5</v>
      </c>
      <c r="S354" s="55">
        <f>ROUND(P354*I354, 2)</f>
        <v>0</v>
      </c>
      <c r="T354" s="55">
        <f>ROUND(I354*ROUND(Q354, 2), 2)</f>
        <v>0</v>
      </c>
      <c r="U354" s="55">
        <f>S354+T354</f>
        <v>0</v>
      </c>
      <c r="V354" s="9">
        <f>ROUND(P354 / 1.2, 2)</f>
        <v>0</v>
      </c>
      <c r="W354" s="9">
        <f>ROUND(Q354 / 1.2, 2)</f>
        <v>591.25</v>
      </c>
      <c r="X354" s="9">
        <f>ROUND(R354 / 1.2, 2)</f>
        <v>591.25</v>
      </c>
      <c r="Y354" s="9">
        <f t="shared" si="71"/>
        <v>0</v>
      </c>
      <c r="Z354" s="9">
        <f>ROUND(T354 / 1.2, 2)</f>
        <v>0</v>
      </c>
      <c r="AA354" s="9">
        <f>Y354+Z354</f>
        <v>0</v>
      </c>
      <c r="AD354" s="4">
        <v>305117045</v>
      </c>
      <c r="AE354" s="4">
        <v>22135729</v>
      </c>
      <c r="AG354" s="4" t="s">
        <v>900</v>
      </c>
      <c r="AH354" s="4" t="s">
        <v>901</v>
      </c>
      <c r="AI354" s="4" t="s">
        <v>467</v>
      </c>
    </row>
    <row r="355" spans="1:35" ht="36" x14ac:dyDescent="0.35">
      <c r="A355" s="51" t="s">
        <v>1008</v>
      </c>
      <c r="B355" s="51"/>
      <c r="C355" s="56" t="s">
        <v>925</v>
      </c>
      <c r="D355" s="53"/>
      <c r="E355" s="53"/>
      <c r="F355" s="57" t="s">
        <v>498</v>
      </c>
      <c r="G355" s="58">
        <v>1.4999999999999999E-2</v>
      </c>
      <c r="H355" s="53"/>
      <c r="I355" s="58">
        <v>0</v>
      </c>
      <c r="J355" s="59">
        <v>88.8</v>
      </c>
      <c r="K355" s="60"/>
      <c r="L355" s="60"/>
      <c r="M355" s="59">
        <f>ROUND(ROUND(J355, 2)*I355, 2)</f>
        <v>0</v>
      </c>
      <c r="N355" s="60"/>
      <c r="O355" s="60"/>
      <c r="P355" s="59">
        <v>88.8</v>
      </c>
      <c r="Q355" s="60"/>
      <c r="R355" s="60"/>
      <c r="S355" s="59">
        <f>ROUND(ROUND(P355, 2)*I355, 2)</f>
        <v>0</v>
      </c>
      <c r="T355" s="60"/>
      <c r="U355" s="61"/>
      <c r="V355" s="9">
        <f>ROUND(ROUND(P355, 2)/1.2, 2)</f>
        <v>74</v>
      </c>
      <c r="Y355" s="9">
        <f t="shared" si="71"/>
        <v>0</v>
      </c>
      <c r="AD355" s="4" t="s">
        <v>1009</v>
      </c>
      <c r="AE355" s="4" t="s">
        <v>1010</v>
      </c>
      <c r="AF355" s="4" t="s">
        <v>928</v>
      </c>
    </row>
    <row r="356" spans="1:35" ht="18" x14ac:dyDescent="0.35">
      <c r="A356" s="51" t="s">
        <v>1011</v>
      </c>
      <c r="B356" s="51"/>
      <c r="C356" s="56" t="s">
        <v>873</v>
      </c>
      <c r="D356" s="53"/>
      <c r="E356" s="53"/>
      <c r="F356" s="57" t="s">
        <v>498</v>
      </c>
      <c r="G356" s="58">
        <v>0.04</v>
      </c>
      <c r="H356" s="53"/>
      <c r="I356" s="58">
        <v>0</v>
      </c>
      <c r="J356" s="59">
        <v>47.44</v>
      </c>
      <c r="K356" s="60"/>
      <c r="L356" s="60"/>
      <c r="M356" s="59">
        <f>ROUND(ROUND(J356, 2)*I356, 2)</f>
        <v>0</v>
      </c>
      <c r="N356" s="60"/>
      <c r="O356" s="60"/>
      <c r="P356" s="59">
        <v>47.44</v>
      </c>
      <c r="Q356" s="60"/>
      <c r="R356" s="60"/>
      <c r="S356" s="59">
        <f>ROUND(ROUND(P356, 2)*I356, 2)</f>
        <v>0</v>
      </c>
      <c r="T356" s="60"/>
      <c r="U356" s="61"/>
      <c r="V356" s="9">
        <f>ROUND(ROUND(P356, 2)/1.2, 2)</f>
        <v>39.53</v>
      </c>
      <c r="Y356" s="9">
        <f t="shared" si="71"/>
        <v>0</v>
      </c>
      <c r="AD356" s="4" t="s">
        <v>1012</v>
      </c>
      <c r="AE356" s="4" t="s">
        <v>1013</v>
      </c>
      <c r="AF356" s="4" t="s">
        <v>876</v>
      </c>
    </row>
    <row r="357" spans="1:35" ht="54" x14ac:dyDescent="0.35">
      <c r="A357" s="51" t="s">
        <v>1014</v>
      </c>
      <c r="B357" s="51"/>
      <c r="C357" s="56" t="s">
        <v>912</v>
      </c>
      <c r="D357" s="53"/>
      <c r="E357" s="53" t="s">
        <v>969</v>
      </c>
      <c r="F357" s="57" t="s">
        <v>490</v>
      </c>
      <c r="G357" s="58">
        <v>1.84</v>
      </c>
      <c r="H357" s="53"/>
      <c r="I357" s="62">
        <v>1641.4639999999999</v>
      </c>
      <c r="J357" s="59">
        <v>450.95</v>
      </c>
      <c r="K357" s="60"/>
      <c r="L357" s="60"/>
      <c r="M357" s="59">
        <f>ROUND(ROUND(J357, 2)*I357, 2)</f>
        <v>740218.19</v>
      </c>
      <c r="N357" s="60"/>
      <c r="O357" s="60"/>
      <c r="P357" s="59">
        <v>450.95</v>
      </c>
      <c r="Q357" s="60"/>
      <c r="R357" s="60"/>
      <c r="S357" s="59">
        <f>ROUND(ROUND(P357, 2)*I357, 2)</f>
        <v>740218.19</v>
      </c>
      <c r="T357" s="60"/>
      <c r="U357" s="61"/>
      <c r="V357" s="9">
        <f>ROUND(ROUND(P357, 2)/1.2, 2)</f>
        <v>375.79</v>
      </c>
      <c r="Y357" s="9">
        <f t="shared" si="71"/>
        <v>616848.49</v>
      </c>
      <c r="AD357" s="4" t="s">
        <v>1015</v>
      </c>
      <c r="AE357" s="4" t="s">
        <v>1016</v>
      </c>
      <c r="AF357" s="4" t="s">
        <v>915</v>
      </c>
    </row>
    <row r="358" spans="1:35" ht="36" x14ac:dyDescent="0.35">
      <c r="A358" s="51" t="s">
        <v>1017</v>
      </c>
      <c r="B358" s="51"/>
      <c r="C358" s="47" t="s">
        <v>905</v>
      </c>
      <c r="D358" s="53"/>
      <c r="E358" s="53"/>
      <c r="F358" s="57" t="s">
        <v>498</v>
      </c>
      <c r="G358" s="58">
        <v>0.7</v>
      </c>
      <c r="H358" s="53"/>
      <c r="I358" s="62">
        <v>624.47</v>
      </c>
      <c r="J358" s="59">
        <v>16.12</v>
      </c>
      <c r="K358" s="60"/>
      <c r="L358" s="60"/>
      <c r="M358" s="59">
        <f>ROUND(ROUND(J358, 2)*I358, 2)</f>
        <v>10066.459999999999</v>
      </c>
      <c r="N358" s="60"/>
      <c r="O358" s="60"/>
      <c r="P358" s="59">
        <v>16.11</v>
      </c>
      <c r="Q358" s="60"/>
      <c r="R358" s="60"/>
      <c r="S358" s="59">
        <f>ROUND(ROUND(P358, 2)*I358, 2)</f>
        <v>10060.209999999999</v>
      </c>
      <c r="T358" s="60"/>
      <c r="U358" s="61"/>
      <c r="V358" s="9">
        <f>ROUND(ROUND(P358, 2)/1.2, 2)</f>
        <v>13.43</v>
      </c>
      <c r="Y358" s="9">
        <f t="shared" si="71"/>
        <v>8383.51</v>
      </c>
      <c r="AD358" s="4" t="s">
        <v>1018</v>
      </c>
      <c r="AE358" s="4" t="s">
        <v>1019</v>
      </c>
      <c r="AF358" s="4" t="s">
        <v>908</v>
      </c>
    </row>
    <row r="359" spans="1:35" ht="54" x14ac:dyDescent="0.35">
      <c r="A359" s="17" t="s">
        <v>1020</v>
      </c>
      <c r="B359" s="17" t="s">
        <v>1021</v>
      </c>
      <c r="C359" s="18" t="s">
        <v>1022</v>
      </c>
      <c r="D359" s="19"/>
      <c r="E359" s="19"/>
      <c r="F359" s="19" t="s">
        <v>63</v>
      </c>
      <c r="G359" s="20">
        <v>1</v>
      </c>
      <c r="H359" s="19"/>
      <c r="I359" s="21">
        <v>0</v>
      </c>
      <c r="J359" s="22">
        <v>2347.08</v>
      </c>
      <c r="K359" s="22">
        <v>1655</v>
      </c>
      <c r="L359" s="22">
        <f>J359+ROUND(K359, 2)</f>
        <v>4002.08</v>
      </c>
      <c r="M359" s="22">
        <v>0</v>
      </c>
      <c r="N359" s="22">
        <v>0</v>
      </c>
      <c r="O359" s="22">
        <f>M359+N359</f>
        <v>0</v>
      </c>
      <c r="P359" s="22">
        <v>2347.08</v>
      </c>
      <c r="Q359" s="22">
        <v>1655</v>
      </c>
      <c r="R359" s="22">
        <f>P359+ROUND(Q359, 2)</f>
        <v>4002.08</v>
      </c>
      <c r="S359" s="22">
        <v>0</v>
      </c>
      <c r="T359" s="22">
        <v>0</v>
      </c>
      <c r="U359" s="22">
        <f>S359+T359</f>
        <v>0</v>
      </c>
      <c r="V359" s="9">
        <f>ROUND(P359 / 1.2, 2)</f>
        <v>1955.9</v>
      </c>
      <c r="W359" s="9">
        <f>ROUND(Q359 / 1.2, 2)</f>
        <v>1379.17</v>
      </c>
      <c r="X359" s="9">
        <f>ROUND(R359 / 1.2, 2)</f>
        <v>3335.07</v>
      </c>
      <c r="Y359" s="9">
        <f t="shared" si="71"/>
        <v>0</v>
      </c>
      <c r="Z359" s="9">
        <f>ROUND(T359 / 1.2, 2)</f>
        <v>0</v>
      </c>
      <c r="AA359" s="9">
        <f>Y359+Z359</f>
        <v>0</v>
      </c>
      <c r="AD359" s="4">
        <v>305116971</v>
      </c>
      <c r="AE359" s="4">
        <v>20926518</v>
      </c>
      <c r="AG359" s="4" t="s">
        <v>1023</v>
      </c>
      <c r="AH359" s="4" t="s">
        <v>1024</v>
      </c>
      <c r="AI359" s="4" t="s">
        <v>467</v>
      </c>
    </row>
    <row r="360" spans="1:35" ht="54" x14ac:dyDescent="0.35">
      <c r="A360" s="23" t="s">
        <v>1025</v>
      </c>
      <c r="B360" s="23" t="s">
        <v>1021</v>
      </c>
      <c r="C360" s="24" t="s">
        <v>1022</v>
      </c>
      <c r="D360" s="25"/>
      <c r="E360" s="25" t="s">
        <v>903</v>
      </c>
      <c r="F360" s="25" t="s">
        <v>63</v>
      </c>
      <c r="G360" s="26">
        <v>1</v>
      </c>
      <c r="H360" s="25"/>
      <c r="I360" s="26">
        <v>3824.31</v>
      </c>
      <c r="J360" s="27">
        <v>2347.08</v>
      </c>
      <c r="K360" s="27">
        <v>1655</v>
      </c>
      <c r="L360" s="27">
        <v>1655</v>
      </c>
      <c r="M360" s="27">
        <v>8975961.5099999998</v>
      </c>
      <c r="N360" s="27">
        <v>6329233.0499999998</v>
      </c>
      <c r="O360" s="27"/>
      <c r="P360" s="27">
        <v>2347.08</v>
      </c>
      <c r="Q360" s="27">
        <v>1655</v>
      </c>
      <c r="R360" s="27">
        <v>1655</v>
      </c>
      <c r="S360" s="27">
        <v>8975961.5099999998</v>
      </c>
      <c r="T360" s="27">
        <v>6329233.0499999998</v>
      </c>
      <c r="U360" s="27"/>
      <c r="V360" s="9"/>
      <c r="W360" s="9">
        <f>ROUND(Q360 / 1.2, 2)</f>
        <v>1379.17</v>
      </c>
      <c r="X360" s="9">
        <f>ROUND(R360 / 1.2, 2)</f>
        <v>1379.17</v>
      </c>
      <c r="Y360" s="9"/>
      <c r="Z360" s="9">
        <f>ROUND(T360 / 1.2, 2)</f>
        <v>5274360.88</v>
      </c>
      <c r="AA360" s="9"/>
      <c r="AD360" s="4">
        <v>276896396</v>
      </c>
      <c r="AE360" s="4">
        <v>20926518</v>
      </c>
      <c r="AG360" s="4" t="s">
        <v>1023</v>
      </c>
      <c r="AH360" s="4" t="s">
        <v>1024</v>
      </c>
      <c r="AI360" s="4"/>
    </row>
    <row r="361" spans="1:35" ht="18" x14ac:dyDescent="0.35">
      <c r="A361" s="17" t="s">
        <v>1026</v>
      </c>
      <c r="B361" s="17"/>
      <c r="C361" s="34" t="s">
        <v>1027</v>
      </c>
      <c r="D361" s="19"/>
      <c r="E361" s="19"/>
      <c r="F361" s="35" t="s">
        <v>63</v>
      </c>
      <c r="G361" s="36">
        <v>1.07</v>
      </c>
      <c r="H361" s="19"/>
      <c r="I361" s="48">
        <v>0</v>
      </c>
      <c r="J361" s="38">
        <v>2059.0500000000002</v>
      </c>
      <c r="K361" s="39"/>
      <c r="L361" s="39"/>
      <c r="M361" s="38">
        <f t="shared" ref="M361:M368" si="72">ROUND(ROUND(J361, 2)*I361, 2)</f>
        <v>0</v>
      </c>
      <c r="N361" s="39"/>
      <c r="O361" s="39"/>
      <c r="P361" s="38">
        <v>2059.0500000000002</v>
      </c>
      <c r="Q361" s="39"/>
      <c r="R361" s="39"/>
      <c r="S361" s="38">
        <f t="shared" ref="S361:S368" si="73">ROUND(ROUND(P361, 2)*I361, 2)</f>
        <v>0</v>
      </c>
      <c r="T361" s="39"/>
      <c r="U361" s="40"/>
      <c r="V361" s="9">
        <f t="shared" ref="V361:V368" si="74">ROUND(ROUND(P361, 2)/1.2, 2)</f>
        <v>1715.88</v>
      </c>
      <c r="Y361" s="9">
        <f t="shared" ref="Y361:Y369" si="75">ROUND(S361 / 1.2, 2)</f>
        <v>0</v>
      </c>
      <c r="AD361" s="4" t="s">
        <v>1028</v>
      </c>
      <c r="AE361" s="4" t="s">
        <v>1029</v>
      </c>
      <c r="AF361" s="4" t="s">
        <v>1030</v>
      </c>
    </row>
    <row r="362" spans="1:35" ht="54" x14ac:dyDescent="0.35">
      <c r="A362" s="23" t="s">
        <v>1031</v>
      </c>
      <c r="B362" s="23"/>
      <c r="C362" s="41" t="s">
        <v>1027</v>
      </c>
      <c r="D362" s="25"/>
      <c r="E362" s="25" t="s">
        <v>1032</v>
      </c>
      <c r="F362" s="42" t="s">
        <v>63</v>
      </c>
      <c r="G362" s="43">
        <v>1.07</v>
      </c>
      <c r="H362" s="25"/>
      <c r="I362" s="50">
        <v>4092.0120000000002</v>
      </c>
      <c r="J362" s="44">
        <v>2059.0500000000002</v>
      </c>
      <c r="K362" s="45"/>
      <c r="L362" s="45"/>
      <c r="M362" s="44">
        <f t="shared" si="72"/>
        <v>8425657.3100000005</v>
      </c>
      <c r="N362" s="45"/>
      <c r="O362" s="45"/>
      <c r="P362" s="44">
        <v>2059.0500000000002</v>
      </c>
      <c r="Q362" s="45"/>
      <c r="R362" s="45"/>
      <c r="S362" s="44">
        <f t="shared" si="73"/>
        <v>8425657.3100000005</v>
      </c>
      <c r="T362" s="45"/>
      <c r="U362" s="46"/>
      <c r="V362" s="9">
        <f t="shared" si="74"/>
        <v>1715.88</v>
      </c>
      <c r="Y362" s="9">
        <f t="shared" si="75"/>
        <v>7021381.0899999999</v>
      </c>
      <c r="AD362" s="4" t="s">
        <v>1033</v>
      </c>
      <c r="AE362" s="4" t="s">
        <v>1029</v>
      </c>
      <c r="AF362" s="4" t="s">
        <v>1030</v>
      </c>
    </row>
    <row r="363" spans="1:35" ht="36" x14ac:dyDescent="0.35">
      <c r="A363" s="17" t="s">
        <v>1034</v>
      </c>
      <c r="B363" s="17"/>
      <c r="C363" s="34" t="s">
        <v>1035</v>
      </c>
      <c r="D363" s="19"/>
      <c r="E363" s="19"/>
      <c r="F363" s="35" t="s">
        <v>498</v>
      </c>
      <c r="G363" s="36">
        <v>7</v>
      </c>
      <c r="H363" s="19"/>
      <c r="I363" s="37">
        <v>0</v>
      </c>
      <c r="J363" s="38">
        <v>16.96</v>
      </c>
      <c r="K363" s="39"/>
      <c r="L363" s="39"/>
      <c r="M363" s="38">
        <f t="shared" si="72"/>
        <v>0</v>
      </c>
      <c r="N363" s="39"/>
      <c r="O363" s="39"/>
      <c r="P363" s="38">
        <v>16.96</v>
      </c>
      <c r="Q363" s="39"/>
      <c r="R363" s="39"/>
      <c r="S363" s="38">
        <f t="shared" si="73"/>
        <v>0</v>
      </c>
      <c r="T363" s="39"/>
      <c r="U363" s="40"/>
      <c r="V363" s="9">
        <f t="shared" si="74"/>
        <v>14.13</v>
      </c>
      <c r="Y363" s="9">
        <f t="shared" si="75"/>
        <v>0</v>
      </c>
      <c r="AD363" s="4" t="s">
        <v>1036</v>
      </c>
      <c r="AE363" s="4" t="s">
        <v>1037</v>
      </c>
      <c r="AF363" s="4" t="s">
        <v>1038</v>
      </c>
    </row>
    <row r="364" spans="1:35" ht="36" x14ac:dyDescent="0.35">
      <c r="A364" s="23" t="s">
        <v>1039</v>
      </c>
      <c r="B364" s="23"/>
      <c r="C364" s="41" t="s">
        <v>1035</v>
      </c>
      <c r="D364" s="25"/>
      <c r="E364" s="25"/>
      <c r="F364" s="42" t="s">
        <v>498</v>
      </c>
      <c r="G364" s="43">
        <v>7</v>
      </c>
      <c r="H364" s="25"/>
      <c r="I364" s="43">
        <v>26770.17</v>
      </c>
      <c r="J364" s="44">
        <v>16.96</v>
      </c>
      <c r="K364" s="45"/>
      <c r="L364" s="45"/>
      <c r="M364" s="44">
        <f t="shared" si="72"/>
        <v>454022.08</v>
      </c>
      <c r="N364" s="45"/>
      <c r="O364" s="45"/>
      <c r="P364" s="44">
        <v>16.96</v>
      </c>
      <c r="Q364" s="45"/>
      <c r="R364" s="45"/>
      <c r="S364" s="44">
        <f t="shared" si="73"/>
        <v>454022.08</v>
      </c>
      <c r="T364" s="45"/>
      <c r="U364" s="46"/>
      <c r="V364" s="9">
        <f t="shared" si="74"/>
        <v>14.13</v>
      </c>
      <c r="Y364" s="9">
        <f t="shared" si="75"/>
        <v>378351.73</v>
      </c>
      <c r="AD364" s="4" t="s">
        <v>1040</v>
      </c>
      <c r="AE364" s="4" t="s">
        <v>1037</v>
      </c>
      <c r="AF364" s="4" t="s">
        <v>1038</v>
      </c>
    </row>
    <row r="365" spans="1:35" ht="18" x14ac:dyDescent="0.35">
      <c r="A365" s="17" t="s">
        <v>1041</v>
      </c>
      <c r="B365" s="17"/>
      <c r="C365" s="34" t="s">
        <v>873</v>
      </c>
      <c r="D365" s="19"/>
      <c r="E365" s="19"/>
      <c r="F365" s="35" t="s">
        <v>498</v>
      </c>
      <c r="G365" s="36">
        <v>0.25</v>
      </c>
      <c r="H365" s="19"/>
      <c r="I365" s="48">
        <v>0</v>
      </c>
      <c r="J365" s="38">
        <v>47.44</v>
      </c>
      <c r="K365" s="39"/>
      <c r="L365" s="39"/>
      <c r="M365" s="38">
        <f t="shared" si="72"/>
        <v>0</v>
      </c>
      <c r="N365" s="39"/>
      <c r="O365" s="39"/>
      <c r="P365" s="38">
        <v>47.44</v>
      </c>
      <c r="Q365" s="39"/>
      <c r="R365" s="39"/>
      <c r="S365" s="38">
        <f t="shared" si="73"/>
        <v>0</v>
      </c>
      <c r="T365" s="39"/>
      <c r="U365" s="40"/>
      <c r="V365" s="9">
        <f t="shared" si="74"/>
        <v>39.53</v>
      </c>
      <c r="Y365" s="9">
        <f t="shared" si="75"/>
        <v>0</v>
      </c>
      <c r="AD365" s="4" t="s">
        <v>1042</v>
      </c>
      <c r="AE365" s="4" t="s">
        <v>1043</v>
      </c>
      <c r="AF365" s="4" t="s">
        <v>876</v>
      </c>
    </row>
    <row r="366" spans="1:35" ht="18" x14ac:dyDescent="0.35">
      <c r="A366" s="23" t="s">
        <v>1044</v>
      </c>
      <c r="B366" s="23"/>
      <c r="C366" s="41" t="s">
        <v>873</v>
      </c>
      <c r="D366" s="25"/>
      <c r="E366" s="25"/>
      <c r="F366" s="42" t="s">
        <v>498</v>
      </c>
      <c r="G366" s="43">
        <v>0.25</v>
      </c>
      <c r="H366" s="25"/>
      <c r="I366" s="50">
        <v>956.07799999999997</v>
      </c>
      <c r="J366" s="44">
        <v>47.44</v>
      </c>
      <c r="K366" s="45"/>
      <c r="L366" s="45"/>
      <c r="M366" s="44">
        <f t="shared" si="72"/>
        <v>45356.34</v>
      </c>
      <c r="N366" s="45"/>
      <c r="O366" s="45"/>
      <c r="P366" s="44">
        <v>47.44</v>
      </c>
      <c r="Q366" s="45"/>
      <c r="R366" s="45"/>
      <c r="S366" s="44">
        <f t="shared" si="73"/>
        <v>45356.34</v>
      </c>
      <c r="T366" s="45"/>
      <c r="U366" s="46"/>
      <c r="V366" s="9">
        <f t="shared" si="74"/>
        <v>39.53</v>
      </c>
      <c r="Y366" s="9">
        <f t="shared" si="75"/>
        <v>37796.949999999997</v>
      </c>
      <c r="AD366" s="4" t="s">
        <v>1045</v>
      </c>
      <c r="AE366" s="4" t="s">
        <v>1043</v>
      </c>
      <c r="AF366" s="4" t="s">
        <v>876</v>
      </c>
    </row>
    <row r="367" spans="1:35" ht="36" x14ac:dyDescent="0.35">
      <c r="A367" s="17" t="s">
        <v>1046</v>
      </c>
      <c r="B367" s="17"/>
      <c r="C367" s="34" t="s">
        <v>925</v>
      </c>
      <c r="D367" s="19"/>
      <c r="E367" s="19"/>
      <c r="F367" s="35" t="s">
        <v>498</v>
      </c>
      <c r="G367" s="36">
        <v>0.15</v>
      </c>
      <c r="H367" s="19"/>
      <c r="I367" s="37">
        <v>0</v>
      </c>
      <c r="J367" s="38">
        <v>88.8</v>
      </c>
      <c r="K367" s="39"/>
      <c r="L367" s="39"/>
      <c r="M367" s="38">
        <f t="shared" si="72"/>
        <v>0</v>
      </c>
      <c r="N367" s="39"/>
      <c r="O367" s="39"/>
      <c r="P367" s="38">
        <v>88.8</v>
      </c>
      <c r="Q367" s="39"/>
      <c r="R367" s="39"/>
      <c r="S367" s="38">
        <f t="shared" si="73"/>
        <v>0</v>
      </c>
      <c r="T367" s="39"/>
      <c r="U367" s="40"/>
      <c r="V367" s="9">
        <f t="shared" si="74"/>
        <v>74</v>
      </c>
      <c r="Y367" s="9">
        <f t="shared" si="75"/>
        <v>0</v>
      </c>
      <c r="AD367" s="4" t="s">
        <v>1047</v>
      </c>
      <c r="AE367" s="4" t="s">
        <v>1048</v>
      </c>
      <c r="AF367" s="4" t="s">
        <v>928</v>
      </c>
    </row>
    <row r="368" spans="1:35" ht="36" x14ac:dyDescent="0.35">
      <c r="A368" s="23" t="s">
        <v>1049</v>
      </c>
      <c r="B368" s="23"/>
      <c r="C368" s="41" t="s">
        <v>925</v>
      </c>
      <c r="D368" s="25"/>
      <c r="E368" s="25"/>
      <c r="F368" s="42" t="s">
        <v>498</v>
      </c>
      <c r="G368" s="43">
        <v>0.15</v>
      </c>
      <c r="H368" s="25"/>
      <c r="I368" s="43">
        <v>573.64700000000005</v>
      </c>
      <c r="J368" s="44">
        <v>88.8</v>
      </c>
      <c r="K368" s="45"/>
      <c r="L368" s="45"/>
      <c r="M368" s="44">
        <f t="shared" si="72"/>
        <v>50939.85</v>
      </c>
      <c r="N368" s="45"/>
      <c r="O368" s="45"/>
      <c r="P368" s="44">
        <v>88.8</v>
      </c>
      <c r="Q368" s="45"/>
      <c r="R368" s="45"/>
      <c r="S368" s="44">
        <f t="shared" si="73"/>
        <v>50939.85</v>
      </c>
      <c r="T368" s="45"/>
      <c r="U368" s="46"/>
      <c r="V368" s="9">
        <f t="shared" si="74"/>
        <v>74</v>
      </c>
      <c r="Y368" s="9">
        <f t="shared" si="75"/>
        <v>42449.88</v>
      </c>
      <c r="AD368" s="4" t="s">
        <v>1050</v>
      </c>
      <c r="AE368" s="4" t="s">
        <v>1048</v>
      </c>
      <c r="AF368" s="4" t="s">
        <v>928</v>
      </c>
    </row>
    <row r="369" spans="1:35" ht="54" x14ac:dyDescent="0.35">
      <c r="A369" s="17" t="s">
        <v>1051</v>
      </c>
      <c r="B369" s="17" t="s">
        <v>1021</v>
      </c>
      <c r="C369" s="18" t="s">
        <v>1022</v>
      </c>
      <c r="D369" s="19"/>
      <c r="E369" s="19"/>
      <c r="F369" s="19" t="s">
        <v>63</v>
      </c>
      <c r="G369" s="20">
        <v>1</v>
      </c>
      <c r="H369" s="19"/>
      <c r="I369" s="21">
        <v>0</v>
      </c>
      <c r="J369" s="22">
        <v>2347.08</v>
      </c>
      <c r="K369" s="22">
        <v>1655</v>
      </c>
      <c r="L369" s="22">
        <f>J369+ROUND(K369, 2)</f>
        <v>4002.08</v>
      </c>
      <c r="M369" s="22">
        <v>0</v>
      </c>
      <c r="N369" s="22">
        <v>0</v>
      </c>
      <c r="O369" s="22">
        <f>M369+N369</f>
        <v>0</v>
      </c>
      <c r="P369" s="22">
        <v>2347.08</v>
      </c>
      <c r="Q369" s="22">
        <v>1655</v>
      </c>
      <c r="R369" s="22">
        <f>P369+ROUND(Q369, 2)</f>
        <v>4002.08</v>
      </c>
      <c r="S369" s="22">
        <v>0</v>
      </c>
      <c r="T369" s="22">
        <v>0</v>
      </c>
      <c r="U369" s="22">
        <f>S369+T369</f>
        <v>0</v>
      </c>
      <c r="V369" s="9">
        <f>ROUND(P369 / 1.2, 2)</f>
        <v>1955.9</v>
      </c>
      <c r="W369" s="9">
        <f>ROUND(Q369 / 1.2, 2)</f>
        <v>1379.17</v>
      </c>
      <c r="X369" s="9">
        <f>ROUND(R369 / 1.2, 2)</f>
        <v>3335.07</v>
      </c>
      <c r="Y369" s="9">
        <f t="shared" si="75"/>
        <v>0</v>
      </c>
      <c r="Z369" s="9">
        <f>ROUND(T369 / 1.2, 2)</f>
        <v>0</v>
      </c>
      <c r="AA369" s="9">
        <f>Y369+Z369</f>
        <v>0</v>
      </c>
      <c r="AD369" s="4">
        <v>305117046</v>
      </c>
      <c r="AE369" s="4">
        <v>20926526</v>
      </c>
      <c r="AG369" s="4" t="s">
        <v>1023</v>
      </c>
      <c r="AH369" s="4" t="s">
        <v>1024</v>
      </c>
      <c r="AI369" s="4" t="s">
        <v>467</v>
      </c>
    </row>
    <row r="370" spans="1:35" ht="90" x14ac:dyDescent="0.35">
      <c r="A370" s="23" t="s">
        <v>1052</v>
      </c>
      <c r="B370" s="23" t="s">
        <v>1021</v>
      </c>
      <c r="C370" s="24" t="s">
        <v>1022</v>
      </c>
      <c r="D370" s="25"/>
      <c r="E370" s="25" t="s">
        <v>1053</v>
      </c>
      <c r="F370" s="25" t="s">
        <v>63</v>
      </c>
      <c r="G370" s="26">
        <v>1</v>
      </c>
      <c r="H370" s="25"/>
      <c r="I370" s="26">
        <v>87.2</v>
      </c>
      <c r="J370" s="27">
        <v>2347.08</v>
      </c>
      <c r="K370" s="27">
        <v>1655</v>
      </c>
      <c r="L370" s="27">
        <v>1655</v>
      </c>
      <c r="M370" s="27">
        <v>204665.38</v>
      </c>
      <c r="N370" s="27">
        <v>144316</v>
      </c>
      <c r="O370" s="27"/>
      <c r="P370" s="27">
        <v>2347.08</v>
      </c>
      <c r="Q370" s="27">
        <v>1655</v>
      </c>
      <c r="R370" s="27">
        <v>1655</v>
      </c>
      <c r="S370" s="27">
        <v>204665.38</v>
      </c>
      <c r="T370" s="27">
        <v>144316</v>
      </c>
      <c r="U370" s="27"/>
      <c r="V370" s="9"/>
      <c r="W370" s="9">
        <f>ROUND(Q370 / 1.2, 2)</f>
        <v>1379.17</v>
      </c>
      <c r="X370" s="9">
        <f>ROUND(R370 / 1.2, 2)</f>
        <v>1379.17</v>
      </c>
      <c r="Y370" s="9"/>
      <c r="Z370" s="9">
        <f>ROUND(T370 / 1.2, 2)</f>
        <v>120263.33</v>
      </c>
      <c r="AA370" s="9"/>
      <c r="AD370" s="4">
        <v>276896445</v>
      </c>
      <c r="AE370" s="4">
        <v>20926526</v>
      </c>
      <c r="AG370" s="4" t="s">
        <v>1023</v>
      </c>
      <c r="AH370" s="4" t="s">
        <v>1024</v>
      </c>
      <c r="AI370" s="4"/>
    </row>
    <row r="371" spans="1:35" ht="36" x14ac:dyDescent="0.35">
      <c r="A371" s="17" t="s">
        <v>1054</v>
      </c>
      <c r="B371" s="17"/>
      <c r="C371" s="34" t="s">
        <v>925</v>
      </c>
      <c r="D371" s="19"/>
      <c r="E371" s="19"/>
      <c r="F371" s="35" t="s">
        <v>498</v>
      </c>
      <c r="G371" s="36">
        <v>0.15</v>
      </c>
      <c r="H371" s="19"/>
      <c r="I371" s="37">
        <v>0</v>
      </c>
      <c r="J371" s="38">
        <v>88.8</v>
      </c>
      <c r="K371" s="39"/>
      <c r="L371" s="39"/>
      <c r="M371" s="38">
        <f t="shared" ref="M371:M378" si="76">ROUND(ROUND(J371, 2)*I371, 2)</f>
        <v>0</v>
      </c>
      <c r="N371" s="39"/>
      <c r="O371" s="39"/>
      <c r="P371" s="38">
        <v>88.8</v>
      </c>
      <c r="Q371" s="39"/>
      <c r="R371" s="39"/>
      <c r="S371" s="38">
        <f t="shared" ref="S371:S378" si="77">ROUND(ROUND(P371, 2)*I371, 2)</f>
        <v>0</v>
      </c>
      <c r="T371" s="39"/>
      <c r="U371" s="40"/>
      <c r="V371" s="9">
        <f t="shared" ref="V371:V378" si="78">ROUND(ROUND(P371, 2)/1.2, 2)</f>
        <v>74</v>
      </c>
      <c r="Y371" s="9">
        <f t="shared" ref="Y371:Y389" si="79">ROUND(S371 / 1.2, 2)</f>
        <v>0</v>
      </c>
      <c r="AD371" s="4" t="s">
        <v>1055</v>
      </c>
      <c r="AE371" s="4" t="s">
        <v>1056</v>
      </c>
      <c r="AF371" s="4" t="s">
        <v>928</v>
      </c>
    </row>
    <row r="372" spans="1:35" ht="36" x14ac:dyDescent="0.35">
      <c r="A372" s="23" t="s">
        <v>1057</v>
      </c>
      <c r="B372" s="23"/>
      <c r="C372" s="41" t="s">
        <v>925</v>
      </c>
      <c r="D372" s="25"/>
      <c r="E372" s="25"/>
      <c r="F372" s="42" t="s">
        <v>498</v>
      </c>
      <c r="G372" s="43">
        <v>0.15</v>
      </c>
      <c r="H372" s="25"/>
      <c r="I372" s="43">
        <v>13.08</v>
      </c>
      <c r="J372" s="44">
        <v>88.8</v>
      </c>
      <c r="K372" s="45"/>
      <c r="L372" s="45"/>
      <c r="M372" s="44">
        <f t="shared" si="76"/>
        <v>1161.5</v>
      </c>
      <c r="N372" s="45"/>
      <c r="O372" s="45"/>
      <c r="P372" s="44">
        <v>88.8</v>
      </c>
      <c r="Q372" s="45"/>
      <c r="R372" s="45"/>
      <c r="S372" s="44">
        <f t="shared" si="77"/>
        <v>1161.5</v>
      </c>
      <c r="T372" s="45"/>
      <c r="U372" s="46"/>
      <c r="V372" s="9">
        <f t="shared" si="78"/>
        <v>74</v>
      </c>
      <c r="Y372" s="9">
        <f t="shared" si="79"/>
        <v>967.92</v>
      </c>
      <c r="AD372" s="4" t="s">
        <v>1058</v>
      </c>
      <c r="AE372" s="4" t="s">
        <v>1056</v>
      </c>
      <c r="AF372" s="4" t="s">
        <v>928</v>
      </c>
    </row>
    <row r="373" spans="1:35" ht="18" x14ac:dyDescent="0.35">
      <c r="A373" s="17" t="s">
        <v>1059</v>
      </c>
      <c r="B373" s="17"/>
      <c r="C373" s="34" t="s">
        <v>873</v>
      </c>
      <c r="D373" s="19"/>
      <c r="E373" s="19"/>
      <c r="F373" s="35" t="s">
        <v>498</v>
      </c>
      <c r="G373" s="36">
        <v>0.25</v>
      </c>
      <c r="H373" s="19"/>
      <c r="I373" s="48">
        <v>0</v>
      </c>
      <c r="J373" s="38">
        <v>47.44</v>
      </c>
      <c r="K373" s="39"/>
      <c r="L373" s="39"/>
      <c r="M373" s="38">
        <f t="shared" si="76"/>
        <v>0</v>
      </c>
      <c r="N373" s="39"/>
      <c r="O373" s="39"/>
      <c r="P373" s="38">
        <v>47.44</v>
      </c>
      <c r="Q373" s="39"/>
      <c r="R373" s="39"/>
      <c r="S373" s="38">
        <f t="shared" si="77"/>
        <v>0</v>
      </c>
      <c r="T373" s="39"/>
      <c r="U373" s="40"/>
      <c r="V373" s="9">
        <f t="shared" si="78"/>
        <v>39.53</v>
      </c>
      <c r="Y373" s="9">
        <f t="shared" si="79"/>
        <v>0</v>
      </c>
      <c r="AD373" s="4" t="s">
        <v>1060</v>
      </c>
      <c r="AE373" s="4" t="s">
        <v>1061</v>
      </c>
      <c r="AF373" s="4" t="s">
        <v>876</v>
      </c>
    </row>
    <row r="374" spans="1:35" ht="18" x14ac:dyDescent="0.35">
      <c r="A374" s="23" t="s">
        <v>1062</v>
      </c>
      <c r="B374" s="23"/>
      <c r="C374" s="41" t="s">
        <v>873</v>
      </c>
      <c r="D374" s="25"/>
      <c r="E374" s="25"/>
      <c r="F374" s="42" t="s">
        <v>498</v>
      </c>
      <c r="G374" s="43">
        <v>0.25</v>
      </c>
      <c r="H374" s="25"/>
      <c r="I374" s="50">
        <v>21.8</v>
      </c>
      <c r="J374" s="44">
        <v>47.44</v>
      </c>
      <c r="K374" s="45"/>
      <c r="L374" s="45"/>
      <c r="M374" s="44">
        <f t="shared" si="76"/>
        <v>1034.19</v>
      </c>
      <c r="N374" s="45"/>
      <c r="O374" s="45"/>
      <c r="P374" s="44">
        <v>47.44</v>
      </c>
      <c r="Q374" s="45"/>
      <c r="R374" s="45"/>
      <c r="S374" s="44">
        <f t="shared" si="77"/>
        <v>1034.19</v>
      </c>
      <c r="T374" s="45"/>
      <c r="U374" s="46"/>
      <c r="V374" s="9">
        <f t="shared" si="78"/>
        <v>39.53</v>
      </c>
      <c r="Y374" s="9">
        <f t="shared" si="79"/>
        <v>861.83</v>
      </c>
      <c r="AD374" s="4" t="s">
        <v>1063</v>
      </c>
      <c r="AE374" s="4" t="s">
        <v>1061</v>
      </c>
      <c r="AF374" s="4" t="s">
        <v>876</v>
      </c>
    </row>
    <row r="375" spans="1:35" ht="36" x14ac:dyDescent="0.35">
      <c r="A375" s="17" t="s">
        <v>1064</v>
      </c>
      <c r="B375" s="17"/>
      <c r="C375" s="34" t="s">
        <v>1035</v>
      </c>
      <c r="D375" s="19"/>
      <c r="E375" s="19"/>
      <c r="F375" s="35" t="s">
        <v>498</v>
      </c>
      <c r="G375" s="36">
        <v>7</v>
      </c>
      <c r="H375" s="19"/>
      <c r="I375" s="37">
        <v>0</v>
      </c>
      <c r="J375" s="38">
        <v>16.96</v>
      </c>
      <c r="K375" s="39"/>
      <c r="L375" s="39"/>
      <c r="M375" s="38">
        <f t="shared" si="76"/>
        <v>0</v>
      </c>
      <c r="N375" s="39"/>
      <c r="O375" s="39"/>
      <c r="P375" s="38">
        <v>16.96</v>
      </c>
      <c r="Q375" s="39"/>
      <c r="R375" s="39"/>
      <c r="S375" s="38">
        <f t="shared" si="77"/>
        <v>0</v>
      </c>
      <c r="T375" s="39"/>
      <c r="U375" s="40"/>
      <c r="V375" s="9">
        <f t="shared" si="78"/>
        <v>14.13</v>
      </c>
      <c r="Y375" s="9">
        <f t="shared" si="79"/>
        <v>0</v>
      </c>
      <c r="AD375" s="4" t="s">
        <v>1065</v>
      </c>
      <c r="AE375" s="4" t="s">
        <v>1066</v>
      </c>
      <c r="AF375" s="4" t="s">
        <v>1038</v>
      </c>
    </row>
    <row r="376" spans="1:35" ht="36" x14ac:dyDescent="0.35">
      <c r="A376" s="23" t="s">
        <v>1067</v>
      </c>
      <c r="B376" s="23"/>
      <c r="C376" s="41" t="s">
        <v>1035</v>
      </c>
      <c r="D376" s="25"/>
      <c r="E376" s="25"/>
      <c r="F376" s="42" t="s">
        <v>498</v>
      </c>
      <c r="G376" s="43">
        <v>7</v>
      </c>
      <c r="H376" s="25"/>
      <c r="I376" s="43">
        <v>610.4</v>
      </c>
      <c r="J376" s="44">
        <v>16.96</v>
      </c>
      <c r="K376" s="45"/>
      <c r="L376" s="45"/>
      <c r="M376" s="44">
        <f t="shared" si="76"/>
        <v>10352.379999999999</v>
      </c>
      <c r="N376" s="45"/>
      <c r="O376" s="45"/>
      <c r="P376" s="44">
        <v>16.96</v>
      </c>
      <c r="Q376" s="45"/>
      <c r="R376" s="45"/>
      <c r="S376" s="44">
        <f t="shared" si="77"/>
        <v>10352.379999999999</v>
      </c>
      <c r="T376" s="45"/>
      <c r="U376" s="46"/>
      <c r="V376" s="9">
        <f t="shared" si="78"/>
        <v>14.13</v>
      </c>
      <c r="Y376" s="9">
        <f t="shared" si="79"/>
        <v>8626.98</v>
      </c>
      <c r="AD376" s="4" t="s">
        <v>1068</v>
      </c>
      <c r="AE376" s="4" t="s">
        <v>1066</v>
      </c>
      <c r="AF376" s="4" t="s">
        <v>1038</v>
      </c>
    </row>
    <row r="377" spans="1:35" ht="18" x14ac:dyDescent="0.35">
      <c r="A377" s="17" t="s">
        <v>1069</v>
      </c>
      <c r="B377" s="17"/>
      <c r="C377" s="34" t="s">
        <v>1027</v>
      </c>
      <c r="D377" s="19"/>
      <c r="E377" s="19"/>
      <c r="F377" s="35" t="s">
        <v>63</v>
      </c>
      <c r="G377" s="36">
        <v>1.07</v>
      </c>
      <c r="H377" s="19"/>
      <c r="I377" s="48">
        <v>0</v>
      </c>
      <c r="J377" s="38">
        <v>2059.0500000000002</v>
      </c>
      <c r="K377" s="39"/>
      <c r="L377" s="39"/>
      <c r="M377" s="38">
        <f t="shared" si="76"/>
        <v>0</v>
      </c>
      <c r="N377" s="39"/>
      <c r="O377" s="39"/>
      <c r="P377" s="38">
        <v>2059.0500000000002</v>
      </c>
      <c r="Q377" s="39"/>
      <c r="R377" s="39"/>
      <c r="S377" s="38">
        <f t="shared" si="77"/>
        <v>0</v>
      </c>
      <c r="T377" s="39"/>
      <c r="U377" s="40"/>
      <c r="V377" s="9">
        <f t="shared" si="78"/>
        <v>1715.88</v>
      </c>
      <c r="Y377" s="9">
        <f t="shared" si="79"/>
        <v>0</v>
      </c>
      <c r="AD377" s="4" t="s">
        <v>1070</v>
      </c>
      <c r="AE377" s="4" t="s">
        <v>1071</v>
      </c>
      <c r="AF377" s="4" t="s">
        <v>1030</v>
      </c>
    </row>
    <row r="378" spans="1:35" ht="18" x14ac:dyDescent="0.35">
      <c r="A378" s="23" t="s">
        <v>1072</v>
      </c>
      <c r="B378" s="23"/>
      <c r="C378" s="41" t="s">
        <v>1027</v>
      </c>
      <c r="D378" s="25"/>
      <c r="E378" s="25"/>
      <c r="F378" s="42" t="s">
        <v>63</v>
      </c>
      <c r="G378" s="43">
        <v>1.07</v>
      </c>
      <c r="H378" s="25"/>
      <c r="I378" s="50">
        <v>93.304000000000002</v>
      </c>
      <c r="J378" s="44">
        <v>2059.0500000000002</v>
      </c>
      <c r="K378" s="45"/>
      <c r="L378" s="45"/>
      <c r="M378" s="44">
        <f t="shared" si="76"/>
        <v>192117.6</v>
      </c>
      <c r="N378" s="45"/>
      <c r="O378" s="45"/>
      <c r="P378" s="44">
        <v>2059.0500000000002</v>
      </c>
      <c r="Q378" s="45"/>
      <c r="R378" s="45"/>
      <c r="S378" s="44">
        <f t="shared" si="77"/>
        <v>192117.6</v>
      </c>
      <c r="T378" s="45"/>
      <c r="U378" s="46"/>
      <c r="V378" s="9">
        <f t="shared" si="78"/>
        <v>1715.88</v>
      </c>
      <c r="Y378" s="9">
        <f t="shared" si="79"/>
        <v>160098</v>
      </c>
      <c r="AD378" s="4" t="s">
        <v>1073</v>
      </c>
      <c r="AE378" s="4" t="s">
        <v>1071</v>
      </c>
      <c r="AF378" s="4" t="s">
        <v>1030</v>
      </c>
    </row>
    <row r="379" spans="1:35" ht="54" x14ac:dyDescent="0.35">
      <c r="A379" s="51" t="s">
        <v>1074</v>
      </c>
      <c r="B379" s="51" t="s">
        <v>1021</v>
      </c>
      <c r="C379" s="52" t="s">
        <v>1022</v>
      </c>
      <c r="D379" s="53"/>
      <c r="E379" s="53" t="s">
        <v>903</v>
      </c>
      <c r="F379" s="53" t="s">
        <v>63</v>
      </c>
      <c r="G379" s="54">
        <v>1</v>
      </c>
      <c r="H379" s="53"/>
      <c r="I379" s="54">
        <v>0</v>
      </c>
      <c r="J379" s="55">
        <f>IFERROR(ROUND(SUM(M380,M381,M382,M383)/I379, 2),0)</f>
        <v>0</v>
      </c>
      <c r="K379" s="55">
        <v>1655</v>
      </c>
      <c r="L379" s="55">
        <f>J379+ROUND(K379, 2)</f>
        <v>1655</v>
      </c>
      <c r="M379" s="55">
        <f>ROUND(J379*I379, 2)</f>
        <v>0</v>
      </c>
      <c r="N379" s="55">
        <f>ROUND(I379*ROUND(K379, 2), 2)</f>
        <v>0</v>
      </c>
      <c r="O379" s="55">
        <f>M379+N379</f>
        <v>0</v>
      </c>
      <c r="P379" s="55">
        <f>IFERROR(ROUND(SUM(S380,S381,S382,S383)/I379, 2),0)</f>
        <v>0</v>
      </c>
      <c r="Q379" s="55">
        <v>2482.5</v>
      </c>
      <c r="R379" s="55">
        <f>P379+ROUND(Q379, 2)</f>
        <v>2482.5</v>
      </c>
      <c r="S379" s="55">
        <f>ROUND(P379*I379, 2)</f>
        <v>0</v>
      </c>
      <c r="T379" s="55">
        <f>ROUND(I379*ROUND(Q379, 2), 2)</f>
        <v>0</v>
      </c>
      <c r="U379" s="55">
        <f>S379+T379</f>
        <v>0</v>
      </c>
      <c r="V379" s="9">
        <f>ROUND(P379 / 1.2, 2)</f>
        <v>0</v>
      </c>
      <c r="W379" s="9">
        <f>ROUND(Q379 / 1.2, 2)</f>
        <v>2068.75</v>
      </c>
      <c r="X379" s="9">
        <f>ROUND(R379 / 1.2, 2)</f>
        <v>2068.75</v>
      </c>
      <c r="Y379" s="9">
        <f t="shared" si="79"/>
        <v>0</v>
      </c>
      <c r="Z379" s="9">
        <f>ROUND(T379 / 1.2, 2)</f>
        <v>0</v>
      </c>
      <c r="AA379" s="9">
        <f>Y379+Z379</f>
        <v>0</v>
      </c>
      <c r="AD379" s="4">
        <v>305117047</v>
      </c>
      <c r="AE379" s="4">
        <v>22135703</v>
      </c>
      <c r="AG379" s="4" t="s">
        <v>1023</v>
      </c>
      <c r="AH379" s="4" t="s">
        <v>1024</v>
      </c>
      <c r="AI379" s="4" t="s">
        <v>467</v>
      </c>
    </row>
    <row r="380" spans="1:35" ht="54" x14ac:dyDescent="0.35">
      <c r="A380" s="51" t="s">
        <v>1075</v>
      </c>
      <c r="B380" s="51"/>
      <c r="C380" s="56" t="s">
        <v>1027</v>
      </c>
      <c r="D380" s="53"/>
      <c r="E380" s="53" t="s">
        <v>1032</v>
      </c>
      <c r="F380" s="57" t="s">
        <v>63</v>
      </c>
      <c r="G380" s="58">
        <v>1.07</v>
      </c>
      <c r="H380" s="53"/>
      <c r="I380" s="62">
        <v>4092.0120000000002</v>
      </c>
      <c r="J380" s="59">
        <v>2059.06</v>
      </c>
      <c r="K380" s="60"/>
      <c r="L380" s="60"/>
      <c r="M380" s="59">
        <f>ROUND(ROUND(J380, 2)*I380, 2)</f>
        <v>8425698.2300000004</v>
      </c>
      <c r="N380" s="60"/>
      <c r="O380" s="60"/>
      <c r="P380" s="59">
        <v>2059.0500000000002</v>
      </c>
      <c r="Q380" s="60"/>
      <c r="R380" s="60"/>
      <c r="S380" s="59">
        <f>ROUND(ROUND(P380, 2)*I380, 2)</f>
        <v>8425657.3100000005</v>
      </c>
      <c r="T380" s="60"/>
      <c r="U380" s="61"/>
      <c r="V380" s="9">
        <f>ROUND(ROUND(P380, 2)/1.2, 2)</f>
        <v>1715.88</v>
      </c>
      <c r="Y380" s="9">
        <f t="shared" si="79"/>
        <v>7021381.0899999999</v>
      </c>
      <c r="AD380" s="4" t="s">
        <v>1076</v>
      </c>
      <c r="AE380" s="4" t="s">
        <v>1077</v>
      </c>
      <c r="AF380" s="4" t="s">
        <v>1030</v>
      </c>
    </row>
    <row r="381" spans="1:35" ht="36" x14ac:dyDescent="0.35">
      <c r="A381" s="51" t="s">
        <v>1078</v>
      </c>
      <c r="B381" s="51"/>
      <c r="C381" s="47" t="s">
        <v>1035</v>
      </c>
      <c r="D381" s="53"/>
      <c r="E381" s="53"/>
      <c r="F381" s="57" t="s">
        <v>498</v>
      </c>
      <c r="G381" s="58">
        <v>7</v>
      </c>
      <c r="H381" s="53"/>
      <c r="I381" s="58">
        <v>0</v>
      </c>
      <c r="J381" s="59">
        <v>16.12</v>
      </c>
      <c r="K381" s="60"/>
      <c r="L381" s="60"/>
      <c r="M381" s="59">
        <f>ROUND(ROUND(J381, 2)*I381, 2)</f>
        <v>0</v>
      </c>
      <c r="N381" s="60"/>
      <c r="O381" s="60"/>
      <c r="P381" s="59">
        <v>16.11</v>
      </c>
      <c r="Q381" s="60"/>
      <c r="R381" s="60"/>
      <c r="S381" s="59">
        <f>ROUND(ROUND(P381, 2)*I381, 2)</f>
        <v>0</v>
      </c>
      <c r="T381" s="60"/>
      <c r="U381" s="61"/>
      <c r="V381" s="9">
        <f>ROUND(ROUND(P381, 2)/1.2, 2)</f>
        <v>13.43</v>
      </c>
      <c r="Y381" s="9">
        <f t="shared" si="79"/>
        <v>0</v>
      </c>
      <c r="AD381" s="4" t="s">
        <v>1079</v>
      </c>
      <c r="AE381" s="4" t="s">
        <v>1080</v>
      </c>
      <c r="AF381" s="4" t="s">
        <v>1038</v>
      </c>
    </row>
    <row r="382" spans="1:35" ht="18" x14ac:dyDescent="0.35">
      <c r="A382" s="51" t="s">
        <v>1081</v>
      </c>
      <c r="B382" s="51"/>
      <c r="C382" s="56" t="s">
        <v>873</v>
      </c>
      <c r="D382" s="53"/>
      <c r="E382" s="53"/>
      <c r="F382" s="57" t="s">
        <v>498</v>
      </c>
      <c r="G382" s="58">
        <v>0.25</v>
      </c>
      <c r="H382" s="53"/>
      <c r="I382" s="62">
        <v>956.07799999999997</v>
      </c>
      <c r="J382" s="59">
        <v>47.44</v>
      </c>
      <c r="K382" s="60"/>
      <c r="L382" s="60"/>
      <c r="M382" s="59">
        <f>ROUND(ROUND(J382, 2)*I382, 2)</f>
        <v>45356.34</v>
      </c>
      <c r="N382" s="60"/>
      <c r="O382" s="60"/>
      <c r="P382" s="59">
        <v>47.44</v>
      </c>
      <c r="Q382" s="60"/>
      <c r="R382" s="60"/>
      <c r="S382" s="59">
        <f>ROUND(ROUND(P382, 2)*I382, 2)</f>
        <v>45356.34</v>
      </c>
      <c r="T382" s="60"/>
      <c r="U382" s="61"/>
      <c r="V382" s="9">
        <f>ROUND(ROUND(P382, 2)/1.2, 2)</f>
        <v>39.53</v>
      </c>
      <c r="Y382" s="9">
        <f t="shared" si="79"/>
        <v>37796.949999999997</v>
      </c>
      <c r="AD382" s="4" t="s">
        <v>1082</v>
      </c>
      <c r="AE382" s="4" t="s">
        <v>1083</v>
      </c>
      <c r="AF382" s="4" t="s">
        <v>876</v>
      </c>
    </row>
    <row r="383" spans="1:35" ht="36" x14ac:dyDescent="0.35">
      <c r="A383" s="51" t="s">
        <v>1084</v>
      </c>
      <c r="B383" s="51"/>
      <c r="C383" s="56" t="s">
        <v>925</v>
      </c>
      <c r="D383" s="53"/>
      <c r="E383" s="53"/>
      <c r="F383" s="57" t="s">
        <v>498</v>
      </c>
      <c r="G383" s="58">
        <v>0.15</v>
      </c>
      <c r="H383" s="53"/>
      <c r="I383" s="58">
        <v>0</v>
      </c>
      <c r="J383" s="59">
        <v>88.8</v>
      </c>
      <c r="K383" s="60"/>
      <c r="L383" s="60"/>
      <c r="M383" s="59">
        <f>ROUND(ROUND(J383, 2)*I383, 2)</f>
        <v>0</v>
      </c>
      <c r="N383" s="60"/>
      <c r="O383" s="60"/>
      <c r="P383" s="59">
        <v>88.8</v>
      </c>
      <c r="Q383" s="60"/>
      <c r="R383" s="60"/>
      <c r="S383" s="59">
        <f>ROUND(ROUND(P383, 2)*I383, 2)</f>
        <v>0</v>
      </c>
      <c r="T383" s="60"/>
      <c r="U383" s="61"/>
      <c r="V383" s="9">
        <f>ROUND(ROUND(P383, 2)/1.2, 2)</f>
        <v>74</v>
      </c>
      <c r="Y383" s="9">
        <f t="shared" si="79"/>
        <v>0</v>
      </c>
      <c r="AD383" s="4" t="s">
        <v>1085</v>
      </c>
      <c r="AE383" s="4" t="s">
        <v>1086</v>
      </c>
      <c r="AF383" s="4" t="s">
        <v>928</v>
      </c>
    </row>
    <row r="384" spans="1:35" ht="72" x14ac:dyDescent="0.35">
      <c r="A384" s="51" t="s">
        <v>1087</v>
      </c>
      <c r="B384" s="51" t="s">
        <v>1021</v>
      </c>
      <c r="C384" s="52" t="s">
        <v>1022</v>
      </c>
      <c r="D384" s="53"/>
      <c r="E384" s="53" t="s">
        <v>1088</v>
      </c>
      <c r="F384" s="53" t="s">
        <v>63</v>
      </c>
      <c r="G384" s="54">
        <v>1</v>
      </c>
      <c r="H384" s="53"/>
      <c r="I384" s="54">
        <v>0</v>
      </c>
      <c r="J384" s="55">
        <f>IFERROR(ROUND(SUM(M385,M386,M387,M388)/I384, 2),0)</f>
        <v>0</v>
      </c>
      <c r="K384" s="55">
        <v>1655</v>
      </c>
      <c r="L384" s="55">
        <f>J384+ROUND(K384, 2)</f>
        <v>1655</v>
      </c>
      <c r="M384" s="55">
        <f>ROUND(J384*I384, 2)</f>
        <v>0</v>
      </c>
      <c r="N384" s="55">
        <f>ROUND(I384*ROUND(K384, 2), 2)</f>
        <v>0</v>
      </c>
      <c r="O384" s="55">
        <f>M384+N384</f>
        <v>0</v>
      </c>
      <c r="P384" s="55">
        <f>IFERROR(ROUND(SUM(S385,S386,S387,S388)/I384, 2),0)</f>
        <v>0</v>
      </c>
      <c r="Q384" s="55">
        <v>2482.5</v>
      </c>
      <c r="R384" s="55">
        <f>P384+ROUND(Q384, 2)</f>
        <v>2482.5</v>
      </c>
      <c r="S384" s="55">
        <f>ROUND(P384*I384, 2)</f>
        <v>0</v>
      </c>
      <c r="T384" s="55">
        <f>ROUND(I384*ROUND(Q384, 2), 2)</f>
        <v>0</v>
      </c>
      <c r="U384" s="55">
        <f>S384+T384</f>
        <v>0</v>
      </c>
      <c r="V384" s="9">
        <f>ROUND(P384 / 1.2, 2)</f>
        <v>0</v>
      </c>
      <c r="W384" s="9">
        <f>ROUND(Q384 / 1.2, 2)</f>
        <v>2068.75</v>
      </c>
      <c r="X384" s="9">
        <f>ROUND(R384 / 1.2, 2)</f>
        <v>2068.75</v>
      </c>
      <c r="Y384" s="9">
        <f t="shared" si="79"/>
        <v>0</v>
      </c>
      <c r="Z384" s="9">
        <f>ROUND(T384 / 1.2, 2)</f>
        <v>0</v>
      </c>
      <c r="AA384" s="9">
        <f>Y384+Z384</f>
        <v>0</v>
      </c>
      <c r="AD384" s="4">
        <v>305117048</v>
      </c>
      <c r="AE384" s="4">
        <v>22135692</v>
      </c>
      <c r="AG384" s="4" t="s">
        <v>1023</v>
      </c>
      <c r="AH384" s="4" t="s">
        <v>1024</v>
      </c>
      <c r="AI384" s="4" t="s">
        <v>467</v>
      </c>
    </row>
    <row r="385" spans="1:35" ht="36" x14ac:dyDescent="0.35">
      <c r="A385" s="51" t="s">
        <v>1089</v>
      </c>
      <c r="B385" s="51"/>
      <c r="C385" s="56" t="s">
        <v>925</v>
      </c>
      <c r="D385" s="53"/>
      <c r="E385" s="53"/>
      <c r="F385" s="57" t="s">
        <v>498</v>
      </c>
      <c r="G385" s="58">
        <v>0.15</v>
      </c>
      <c r="H385" s="53"/>
      <c r="I385" s="58">
        <v>0</v>
      </c>
      <c r="J385" s="59">
        <v>88.8</v>
      </c>
      <c r="K385" s="60"/>
      <c r="L385" s="60"/>
      <c r="M385" s="59">
        <f>ROUND(ROUND(J385, 2)*I385, 2)</f>
        <v>0</v>
      </c>
      <c r="N385" s="60"/>
      <c r="O385" s="60"/>
      <c r="P385" s="59">
        <v>88.8</v>
      </c>
      <c r="Q385" s="60"/>
      <c r="R385" s="60"/>
      <c r="S385" s="59">
        <f>ROUND(ROUND(P385, 2)*I385, 2)</f>
        <v>0</v>
      </c>
      <c r="T385" s="60"/>
      <c r="U385" s="61"/>
      <c r="V385" s="9">
        <f>ROUND(ROUND(P385, 2)/1.2, 2)</f>
        <v>74</v>
      </c>
      <c r="Y385" s="9">
        <f t="shared" si="79"/>
        <v>0</v>
      </c>
      <c r="AD385" s="4" t="s">
        <v>1090</v>
      </c>
      <c r="AE385" s="4" t="s">
        <v>1091</v>
      </c>
      <c r="AF385" s="4" t="s">
        <v>928</v>
      </c>
    </row>
    <row r="386" spans="1:35" ht="18" x14ac:dyDescent="0.35">
      <c r="A386" s="51" t="s">
        <v>1092</v>
      </c>
      <c r="B386" s="51"/>
      <c r="C386" s="56" t="s">
        <v>873</v>
      </c>
      <c r="D386" s="53"/>
      <c r="E386" s="53"/>
      <c r="F386" s="57" t="s">
        <v>498</v>
      </c>
      <c r="G386" s="58">
        <v>0.25</v>
      </c>
      <c r="H386" s="53"/>
      <c r="I386" s="62">
        <v>21.8</v>
      </c>
      <c r="J386" s="59">
        <v>47.44</v>
      </c>
      <c r="K386" s="60"/>
      <c r="L386" s="60"/>
      <c r="M386" s="59">
        <f>ROUND(ROUND(J386, 2)*I386, 2)</f>
        <v>1034.19</v>
      </c>
      <c r="N386" s="60"/>
      <c r="O386" s="60"/>
      <c r="P386" s="59">
        <v>47.44</v>
      </c>
      <c r="Q386" s="60"/>
      <c r="R386" s="60"/>
      <c r="S386" s="59">
        <f>ROUND(ROUND(P386, 2)*I386, 2)</f>
        <v>1034.19</v>
      </c>
      <c r="T386" s="60"/>
      <c r="U386" s="61"/>
      <c r="V386" s="9">
        <f>ROUND(ROUND(P386, 2)/1.2, 2)</f>
        <v>39.53</v>
      </c>
      <c r="Y386" s="9">
        <f t="shared" si="79"/>
        <v>861.83</v>
      </c>
      <c r="AD386" s="4" t="s">
        <v>1093</v>
      </c>
      <c r="AE386" s="4" t="s">
        <v>1094</v>
      </c>
      <c r="AF386" s="4" t="s">
        <v>876</v>
      </c>
    </row>
    <row r="387" spans="1:35" ht="36" x14ac:dyDescent="0.35">
      <c r="A387" s="51" t="s">
        <v>1095</v>
      </c>
      <c r="B387" s="51"/>
      <c r="C387" s="47" t="s">
        <v>1035</v>
      </c>
      <c r="D387" s="53"/>
      <c r="E387" s="53"/>
      <c r="F387" s="57" t="s">
        <v>498</v>
      </c>
      <c r="G387" s="58">
        <v>7</v>
      </c>
      <c r="H387" s="53"/>
      <c r="I387" s="58">
        <v>0</v>
      </c>
      <c r="J387" s="59">
        <v>16.12</v>
      </c>
      <c r="K387" s="60"/>
      <c r="L387" s="60"/>
      <c r="M387" s="59">
        <f>ROUND(ROUND(J387, 2)*I387, 2)</f>
        <v>0</v>
      </c>
      <c r="N387" s="60"/>
      <c r="O387" s="60"/>
      <c r="P387" s="59">
        <v>16.11</v>
      </c>
      <c r="Q387" s="60"/>
      <c r="R387" s="60"/>
      <c r="S387" s="59">
        <f>ROUND(ROUND(P387, 2)*I387, 2)</f>
        <v>0</v>
      </c>
      <c r="T387" s="60"/>
      <c r="U387" s="61"/>
      <c r="V387" s="9">
        <f>ROUND(ROUND(P387, 2)/1.2, 2)</f>
        <v>13.43</v>
      </c>
      <c r="Y387" s="9">
        <f t="shared" si="79"/>
        <v>0</v>
      </c>
      <c r="AD387" s="4" t="s">
        <v>1096</v>
      </c>
      <c r="AE387" s="4" t="s">
        <v>1097</v>
      </c>
      <c r="AF387" s="4" t="s">
        <v>1038</v>
      </c>
    </row>
    <row r="388" spans="1:35" ht="18" x14ac:dyDescent="0.35">
      <c r="A388" s="51" t="s">
        <v>1098</v>
      </c>
      <c r="B388" s="51"/>
      <c r="C388" s="56" t="s">
        <v>1027</v>
      </c>
      <c r="D388" s="53"/>
      <c r="E388" s="53"/>
      <c r="F388" s="57" t="s">
        <v>63</v>
      </c>
      <c r="G388" s="58">
        <v>1.07</v>
      </c>
      <c r="H388" s="53"/>
      <c r="I388" s="62">
        <v>93.304000000000002</v>
      </c>
      <c r="J388" s="59">
        <v>2059.06</v>
      </c>
      <c r="K388" s="60"/>
      <c r="L388" s="60"/>
      <c r="M388" s="59">
        <f>ROUND(ROUND(J388, 2)*I388, 2)</f>
        <v>192118.53</v>
      </c>
      <c r="N388" s="60"/>
      <c r="O388" s="60"/>
      <c r="P388" s="59">
        <v>2059.0500000000002</v>
      </c>
      <c r="Q388" s="60"/>
      <c r="R388" s="60"/>
      <c r="S388" s="59">
        <f>ROUND(ROUND(P388, 2)*I388, 2)</f>
        <v>192117.6</v>
      </c>
      <c r="T388" s="60"/>
      <c r="U388" s="61"/>
      <c r="V388" s="9">
        <f>ROUND(ROUND(P388, 2)/1.2, 2)</f>
        <v>1715.88</v>
      </c>
      <c r="Y388" s="9">
        <f t="shared" si="79"/>
        <v>160098</v>
      </c>
      <c r="AD388" s="4" t="s">
        <v>1099</v>
      </c>
      <c r="AE388" s="4" t="s">
        <v>1100</v>
      </c>
      <c r="AF388" s="4" t="s">
        <v>1030</v>
      </c>
    </row>
    <row r="389" spans="1:35" ht="54" x14ac:dyDescent="0.35">
      <c r="A389" s="17" t="s">
        <v>1101</v>
      </c>
      <c r="B389" s="17" t="s">
        <v>1102</v>
      </c>
      <c r="C389" s="18" t="s">
        <v>1103</v>
      </c>
      <c r="D389" s="19"/>
      <c r="E389" s="19"/>
      <c r="F389" s="19" t="s">
        <v>63</v>
      </c>
      <c r="G389" s="20">
        <v>1</v>
      </c>
      <c r="H389" s="19"/>
      <c r="I389" s="21">
        <v>0</v>
      </c>
      <c r="J389" s="22">
        <v>2552.44</v>
      </c>
      <c r="K389" s="22">
        <v>2785</v>
      </c>
      <c r="L389" s="22">
        <f>J389+ROUND(K389, 2)</f>
        <v>5337.4400000000005</v>
      </c>
      <c r="M389" s="22">
        <v>0</v>
      </c>
      <c r="N389" s="22">
        <v>0</v>
      </c>
      <c r="O389" s="22">
        <f>M389+N389</f>
        <v>0</v>
      </c>
      <c r="P389" s="22">
        <v>2552.44</v>
      </c>
      <c r="Q389" s="22">
        <v>2785</v>
      </c>
      <c r="R389" s="22">
        <f>P389+ROUND(Q389, 2)</f>
        <v>5337.4400000000005</v>
      </c>
      <c r="S389" s="22">
        <v>0</v>
      </c>
      <c r="T389" s="22">
        <v>0</v>
      </c>
      <c r="U389" s="22">
        <f>S389+T389</f>
        <v>0</v>
      </c>
      <c r="V389" s="9">
        <f>ROUND(P389 / 1.2, 2)</f>
        <v>2127.0300000000002</v>
      </c>
      <c r="W389" s="9">
        <f>ROUND(Q389 / 1.2, 2)</f>
        <v>2320.83</v>
      </c>
      <c r="X389" s="9">
        <f>ROUND(R389 / 1.2, 2)</f>
        <v>4447.87</v>
      </c>
      <c r="Y389" s="9">
        <f t="shared" si="79"/>
        <v>0</v>
      </c>
      <c r="Z389" s="9">
        <f>ROUND(T389 / 1.2, 2)</f>
        <v>0</v>
      </c>
      <c r="AA389" s="9">
        <f>Y389+Z389</f>
        <v>0</v>
      </c>
      <c r="AD389" s="4">
        <v>305116972</v>
      </c>
      <c r="AE389" s="4">
        <v>20926527</v>
      </c>
      <c r="AG389" s="4" t="s">
        <v>1104</v>
      </c>
      <c r="AH389" s="4" t="s">
        <v>1105</v>
      </c>
      <c r="AI389" s="4" t="s">
        <v>467</v>
      </c>
    </row>
    <row r="390" spans="1:35" ht="54" x14ac:dyDescent="0.35">
      <c r="A390" s="23" t="s">
        <v>1106</v>
      </c>
      <c r="B390" s="23" t="s">
        <v>1102</v>
      </c>
      <c r="C390" s="24" t="s">
        <v>1103</v>
      </c>
      <c r="D390" s="25"/>
      <c r="E390" s="25" t="s">
        <v>933</v>
      </c>
      <c r="F390" s="25" t="s">
        <v>63</v>
      </c>
      <c r="G390" s="26">
        <v>1</v>
      </c>
      <c r="H390" s="25"/>
      <c r="I390" s="26">
        <v>2228.66</v>
      </c>
      <c r="J390" s="27">
        <v>2552.44</v>
      </c>
      <c r="K390" s="27">
        <v>2785</v>
      </c>
      <c r="L390" s="27">
        <v>2785</v>
      </c>
      <c r="M390" s="27">
        <v>5688520.9299999997</v>
      </c>
      <c r="N390" s="27">
        <v>6206818.0999999996</v>
      </c>
      <c r="O390" s="27"/>
      <c r="P390" s="27">
        <v>2552.44</v>
      </c>
      <c r="Q390" s="27">
        <v>2785</v>
      </c>
      <c r="R390" s="27">
        <v>2785</v>
      </c>
      <c r="S390" s="27">
        <v>5688520.9299999997</v>
      </c>
      <c r="T390" s="27">
        <v>6206818.0999999996</v>
      </c>
      <c r="U390" s="27"/>
      <c r="V390" s="9"/>
      <c r="W390" s="9">
        <f>ROUND(Q390 / 1.2, 2)</f>
        <v>2320.83</v>
      </c>
      <c r="X390" s="9">
        <f>ROUND(R390 / 1.2, 2)</f>
        <v>2320.83</v>
      </c>
      <c r="Y390" s="9"/>
      <c r="Z390" s="9">
        <f>ROUND(T390 / 1.2, 2)</f>
        <v>5172348.42</v>
      </c>
      <c r="AA390" s="9"/>
      <c r="AD390" s="4">
        <v>279984991</v>
      </c>
      <c r="AE390" s="4">
        <v>20926527</v>
      </c>
      <c r="AG390" s="4" t="s">
        <v>1104</v>
      </c>
      <c r="AH390" s="4" t="s">
        <v>1105</v>
      </c>
      <c r="AI390" s="4"/>
    </row>
    <row r="391" spans="1:35" ht="36" x14ac:dyDescent="0.35">
      <c r="A391" s="17" t="s">
        <v>1107</v>
      </c>
      <c r="B391" s="17"/>
      <c r="C391" s="34" t="s">
        <v>1108</v>
      </c>
      <c r="D391" s="19"/>
      <c r="E391" s="19"/>
      <c r="F391" s="35" t="s">
        <v>498</v>
      </c>
      <c r="G391" s="36">
        <v>1.2</v>
      </c>
      <c r="H391" s="19"/>
      <c r="I391" s="48">
        <v>0</v>
      </c>
      <c r="J391" s="38">
        <v>16.96</v>
      </c>
      <c r="K391" s="39"/>
      <c r="L391" s="39"/>
      <c r="M391" s="38">
        <f t="shared" ref="M391:M398" si="80">ROUND(ROUND(J391, 2)*I391, 2)</f>
        <v>0</v>
      </c>
      <c r="N391" s="39"/>
      <c r="O391" s="39"/>
      <c r="P391" s="38">
        <v>16.96</v>
      </c>
      <c r="Q391" s="39"/>
      <c r="R391" s="39"/>
      <c r="S391" s="38">
        <f t="shared" ref="S391:S398" si="81">ROUND(ROUND(P391, 2)*I391, 2)</f>
        <v>0</v>
      </c>
      <c r="T391" s="39"/>
      <c r="U391" s="40"/>
      <c r="V391" s="9">
        <f t="shared" ref="V391:V398" si="82">ROUND(ROUND(P391, 2)/1.2, 2)</f>
        <v>14.13</v>
      </c>
      <c r="Y391" s="9">
        <f t="shared" ref="Y391:Y399" si="83">ROUND(S391 / 1.2, 2)</f>
        <v>0</v>
      </c>
      <c r="AD391" s="4" t="s">
        <v>1109</v>
      </c>
      <c r="AE391" s="4" t="s">
        <v>1110</v>
      </c>
      <c r="AF391" s="4" t="s">
        <v>1111</v>
      </c>
    </row>
    <row r="392" spans="1:35" ht="36" x14ac:dyDescent="0.35">
      <c r="A392" s="23" t="s">
        <v>1112</v>
      </c>
      <c r="B392" s="23"/>
      <c r="C392" s="41" t="s">
        <v>1108</v>
      </c>
      <c r="D392" s="25"/>
      <c r="E392" s="25"/>
      <c r="F392" s="42" t="s">
        <v>498</v>
      </c>
      <c r="G392" s="43">
        <v>1.2</v>
      </c>
      <c r="H392" s="25"/>
      <c r="I392" s="50">
        <v>13371.96</v>
      </c>
      <c r="J392" s="44">
        <v>16.96</v>
      </c>
      <c r="K392" s="45"/>
      <c r="L392" s="45"/>
      <c r="M392" s="44">
        <f t="shared" si="80"/>
        <v>226788.44</v>
      </c>
      <c r="N392" s="45"/>
      <c r="O392" s="45"/>
      <c r="P392" s="44">
        <v>16.96</v>
      </c>
      <c r="Q392" s="45"/>
      <c r="R392" s="45"/>
      <c r="S392" s="44">
        <f t="shared" si="81"/>
        <v>226788.44</v>
      </c>
      <c r="T392" s="45"/>
      <c r="U392" s="46"/>
      <c r="V392" s="9">
        <f t="shared" si="82"/>
        <v>14.13</v>
      </c>
      <c r="Y392" s="9">
        <f t="shared" si="83"/>
        <v>188990.37</v>
      </c>
      <c r="AD392" s="4" t="s">
        <v>1113</v>
      </c>
      <c r="AE392" s="4" t="s">
        <v>1110</v>
      </c>
      <c r="AF392" s="4" t="s">
        <v>1111</v>
      </c>
    </row>
    <row r="393" spans="1:35" ht="36" x14ac:dyDescent="0.35">
      <c r="A393" s="17" t="s">
        <v>1114</v>
      </c>
      <c r="B393" s="17"/>
      <c r="C393" s="34" t="s">
        <v>1115</v>
      </c>
      <c r="D393" s="19"/>
      <c r="E393" s="19"/>
      <c r="F393" s="35" t="s">
        <v>63</v>
      </c>
      <c r="G393" s="36">
        <v>1.2</v>
      </c>
      <c r="H393" s="19"/>
      <c r="I393" s="48">
        <v>0</v>
      </c>
      <c r="J393" s="38">
        <v>2021.25</v>
      </c>
      <c r="K393" s="39"/>
      <c r="L393" s="39"/>
      <c r="M393" s="38">
        <f t="shared" si="80"/>
        <v>0</v>
      </c>
      <c r="N393" s="39"/>
      <c r="O393" s="39"/>
      <c r="P393" s="38">
        <v>2021.25</v>
      </c>
      <c r="Q393" s="39"/>
      <c r="R393" s="39"/>
      <c r="S393" s="38">
        <f t="shared" si="81"/>
        <v>0</v>
      </c>
      <c r="T393" s="39"/>
      <c r="U393" s="40"/>
      <c r="V393" s="9">
        <f t="shared" si="82"/>
        <v>1684.38</v>
      </c>
      <c r="Y393" s="9">
        <f t="shared" si="83"/>
        <v>0</v>
      </c>
      <c r="AD393" s="4" t="s">
        <v>1116</v>
      </c>
      <c r="AE393" s="4" t="s">
        <v>1117</v>
      </c>
      <c r="AF393" s="4" t="s">
        <v>1118</v>
      </c>
    </row>
    <row r="394" spans="1:35" ht="54" x14ac:dyDescent="0.35">
      <c r="A394" s="23" t="s">
        <v>1119</v>
      </c>
      <c r="B394" s="23"/>
      <c r="C394" s="41" t="s">
        <v>1115</v>
      </c>
      <c r="D394" s="25"/>
      <c r="E394" s="25" t="s">
        <v>1120</v>
      </c>
      <c r="F394" s="42" t="s">
        <v>63</v>
      </c>
      <c r="G394" s="43">
        <v>1.2</v>
      </c>
      <c r="H394" s="25"/>
      <c r="I394" s="50">
        <v>2674.3919999999998</v>
      </c>
      <c r="J394" s="44">
        <v>2021.25</v>
      </c>
      <c r="K394" s="45"/>
      <c r="L394" s="45"/>
      <c r="M394" s="44">
        <f t="shared" si="80"/>
        <v>5405614.8300000001</v>
      </c>
      <c r="N394" s="45"/>
      <c r="O394" s="45"/>
      <c r="P394" s="44">
        <v>2021.25</v>
      </c>
      <c r="Q394" s="45"/>
      <c r="R394" s="45"/>
      <c r="S394" s="44">
        <f t="shared" si="81"/>
        <v>5405614.8300000001</v>
      </c>
      <c r="T394" s="45"/>
      <c r="U394" s="46"/>
      <c r="V394" s="9">
        <f t="shared" si="82"/>
        <v>1684.38</v>
      </c>
      <c r="Y394" s="9">
        <f t="shared" si="83"/>
        <v>4504679.03</v>
      </c>
      <c r="AD394" s="4" t="s">
        <v>1121</v>
      </c>
      <c r="AE394" s="4" t="s">
        <v>1117</v>
      </c>
      <c r="AF394" s="4" t="s">
        <v>1118</v>
      </c>
    </row>
    <row r="395" spans="1:35" ht="18" x14ac:dyDescent="0.35">
      <c r="A395" s="17" t="s">
        <v>1122</v>
      </c>
      <c r="B395" s="17"/>
      <c r="C395" s="34" t="s">
        <v>873</v>
      </c>
      <c r="D395" s="19"/>
      <c r="E395" s="19"/>
      <c r="F395" s="35" t="s">
        <v>498</v>
      </c>
      <c r="G395" s="36">
        <v>0.25</v>
      </c>
      <c r="H395" s="19"/>
      <c r="I395" s="48">
        <v>0</v>
      </c>
      <c r="J395" s="38">
        <v>47.44</v>
      </c>
      <c r="K395" s="39"/>
      <c r="L395" s="39"/>
      <c r="M395" s="38">
        <f t="shared" si="80"/>
        <v>0</v>
      </c>
      <c r="N395" s="39"/>
      <c r="O395" s="39"/>
      <c r="P395" s="38">
        <v>47.44</v>
      </c>
      <c r="Q395" s="39"/>
      <c r="R395" s="39"/>
      <c r="S395" s="38">
        <f t="shared" si="81"/>
        <v>0</v>
      </c>
      <c r="T395" s="39"/>
      <c r="U395" s="40"/>
      <c r="V395" s="9">
        <f t="shared" si="82"/>
        <v>39.53</v>
      </c>
      <c r="Y395" s="9">
        <f t="shared" si="83"/>
        <v>0</v>
      </c>
      <c r="AD395" s="4" t="s">
        <v>1123</v>
      </c>
      <c r="AE395" s="4" t="s">
        <v>1124</v>
      </c>
      <c r="AF395" s="4" t="s">
        <v>876</v>
      </c>
    </row>
    <row r="396" spans="1:35" ht="18" x14ac:dyDescent="0.35">
      <c r="A396" s="23" t="s">
        <v>1125</v>
      </c>
      <c r="B396" s="23"/>
      <c r="C396" s="41" t="s">
        <v>873</v>
      </c>
      <c r="D396" s="25"/>
      <c r="E396" s="25"/>
      <c r="F396" s="42" t="s">
        <v>498</v>
      </c>
      <c r="G396" s="43">
        <v>0.25</v>
      </c>
      <c r="H396" s="25"/>
      <c r="I396" s="50">
        <v>557.16499999999996</v>
      </c>
      <c r="J396" s="44">
        <v>47.44</v>
      </c>
      <c r="K396" s="45"/>
      <c r="L396" s="45"/>
      <c r="M396" s="44">
        <f t="shared" si="80"/>
        <v>26431.91</v>
      </c>
      <c r="N396" s="45"/>
      <c r="O396" s="45"/>
      <c r="P396" s="44">
        <v>47.44</v>
      </c>
      <c r="Q396" s="45"/>
      <c r="R396" s="45"/>
      <c r="S396" s="44">
        <f t="shared" si="81"/>
        <v>26431.91</v>
      </c>
      <c r="T396" s="45"/>
      <c r="U396" s="46"/>
      <c r="V396" s="9">
        <f t="shared" si="82"/>
        <v>39.53</v>
      </c>
      <c r="Y396" s="9">
        <f t="shared" si="83"/>
        <v>22026.59</v>
      </c>
      <c r="AD396" s="4" t="s">
        <v>1126</v>
      </c>
      <c r="AE396" s="4" t="s">
        <v>1124</v>
      </c>
      <c r="AF396" s="4" t="s">
        <v>876</v>
      </c>
    </row>
    <row r="397" spans="1:35" ht="36" x14ac:dyDescent="0.35">
      <c r="A397" s="17" t="s">
        <v>1127</v>
      </c>
      <c r="B397" s="17"/>
      <c r="C397" s="34" t="s">
        <v>925</v>
      </c>
      <c r="D397" s="19"/>
      <c r="E397" s="19"/>
      <c r="F397" s="35" t="s">
        <v>498</v>
      </c>
      <c r="G397" s="36">
        <v>0.15</v>
      </c>
      <c r="H397" s="19"/>
      <c r="I397" s="37">
        <v>0</v>
      </c>
      <c r="J397" s="38">
        <v>88.8</v>
      </c>
      <c r="K397" s="39"/>
      <c r="L397" s="39"/>
      <c r="M397" s="38">
        <f t="shared" si="80"/>
        <v>0</v>
      </c>
      <c r="N397" s="39"/>
      <c r="O397" s="39"/>
      <c r="P397" s="38">
        <v>88.8</v>
      </c>
      <c r="Q397" s="39"/>
      <c r="R397" s="39"/>
      <c r="S397" s="38">
        <f t="shared" si="81"/>
        <v>0</v>
      </c>
      <c r="T397" s="39"/>
      <c r="U397" s="40"/>
      <c r="V397" s="9">
        <f t="shared" si="82"/>
        <v>74</v>
      </c>
      <c r="Y397" s="9">
        <f t="shared" si="83"/>
        <v>0</v>
      </c>
      <c r="AD397" s="4" t="s">
        <v>1128</v>
      </c>
      <c r="AE397" s="4" t="s">
        <v>1129</v>
      </c>
      <c r="AF397" s="4" t="s">
        <v>928</v>
      </c>
    </row>
    <row r="398" spans="1:35" ht="36" x14ac:dyDescent="0.35">
      <c r="A398" s="23" t="s">
        <v>1130</v>
      </c>
      <c r="B398" s="23"/>
      <c r="C398" s="41" t="s">
        <v>925</v>
      </c>
      <c r="D398" s="25"/>
      <c r="E398" s="25"/>
      <c r="F398" s="42" t="s">
        <v>498</v>
      </c>
      <c r="G398" s="43">
        <v>0.15</v>
      </c>
      <c r="H398" s="25"/>
      <c r="I398" s="43">
        <v>334.29899999999998</v>
      </c>
      <c r="J398" s="44">
        <v>88.8</v>
      </c>
      <c r="K398" s="45"/>
      <c r="L398" s="45"/>
      <c r="M398" s="44">
        <f t="shared" si="80"/>
        <v>29685.75</v>
      </c>
      <c r="N398" s="45"/>
      <c r="O398" s="45"/>
      <c r="P398" s="44">
        <v>88.8</v>
      </c>
      <c r="Q398" s="45"/>
      <c r="R398" s="45"/>
      <c r="S398" s="44">
        <f t="shared" si="81"/>
        <v>29685.75</v>
      </c>
      <c r="T398" s="45"/>
      <c r="U398" s="46"/>
      <c r="V398" s="9">
        <f t="shared" si="82"/>
        <v>74</v>
      </c>
      <c r="Y398" s="9">
        <f t="shared" si="83"/>
        <v>24738.13</v>
      </c>
      <c r="AD398" s="4" t="s">
        <v>1131</v>
      </c>
      <c r="AE398" s="4" t="s">
        <v>1129</v>
      </c>
      <c r="AF398" s="4" t="s">
        <v>928</v>
      </c>
    </row>
    <row r="399" spans="1:35" ht="54" x14ac:dyDescent="0.35">
      <c r="A399" s="17" t="s">
        <v>1132</v>
      </c>
      <c r="B399" s="17" t="s">
        <v>1102</v>
      </c>
      <c r="C399" s="18" t="s">
        <v>1103</v>
      </c>
      <c r="D399" s="19"/>
      <c r="E399" s="19"/>
      <c r="F399" s="19" t="s">
        <v>63</v>
      </c>
      <c r="G399" s="20">
        <v>1</v>
      </c>
      <c r="H399" s="19"/>
      <c r="I399" s="21">
        <v>0</v>
      </c>
      <c r="J399" s="22">
        <v>2552.44</v>
      </c>
      <c r="K399" s="22">
        <v>2785</v>
      </c>
      <c r="L399" s="22">
        <f>J399+ROUND(K399, 2)</f>
        <v>5337.4400000000005</v>
      </c>
      <c r="M399" s="22">
        <v>0</v>
      </c>
      <c r="N399" s="22">
        <v>0</v>
      </c>
      <c r="O399" s="22">
        <f>M399+N399</f>
        <v>0</v>
      </c>
      <c r="P399" s="22">
        <v>2552.44</v>
      </c>
      <c r="Q399" s="22">
        <v>2785</v>
      </c>
      <c r="R399" s="22">
        <f>P399+ROUND(Q399, 2)</f>
        <v>5337.4400000000005</v>
      </c>
      <c r="S399" s="22">
        <v>0</v>
      </c>
      <c r="T399" s="22">
        <v>0</v>
      </c>
      <c r="U399" s="22">
        <f>S399+T399</f>
        <v>0</v>
      </c>
      <c r="V399" s="9">
        <f>ROUND(P399 / 1.2, 2)</f>
        <v>2127.0300000000002</v>
      </c>
      <c r="W399" s="9">
        <f>ROUND(Q399 / 1.2, 2)</f>
        <v>2320.83</v>
      </c>
      <c r="X399" s="9">
        <f>ROUND(R399 / 1.2, 2)</f>
        <v>4447.87</v>
      </c>
      <c r="Y399" s="9">
        <f t="shared" si="83"/>
        <v>0</v>
      </c>
      <c r="Z399" s="9">
        <f>ROUND(T399 / 1.2, 2)</f>
        <v>0</v>
      </c>
      <c r="AA399" s="9">
        <f>Y399+Z399</f>
        <v>0</v>
      </c>
      <c r="AD399" s="4">
        <v>305117049</v>
      </c>
      <c r="AE399" s="4">
        <v>20926528</v>
      </c>
      <c r="AG399" s="4" t="s">
        <v>1104</v>
      </c>
      <c r="AH399" s="4" t="s">
        <v>1105</v>
      </c>
      <c r="AI399" s="4" t="s">
        <v>467</v>
      </c>
    </row>
    <row r="400" spans="1:35" ht="54" x14ac:dyDescent="0.35">
      <c r="A400" s="23" t="s">
        <v>1133</v>
      </c>
      <c r="B400" s="23" t="s">
        <v>1102</v>
      </c>
      <c r="C400" s="24" t="s">
        <v>1103</v>
      </c>
      <c r="D400" s="25"/>
      <c r="E400" s="25" t="s">
        <v>957</v>
      </c>
      <c r="F400" s="25" t="s">
        <v>63</v>
      </c>
      <c r="G400" s="26">
        <v>1</v>
      </c>
      <c r="H400" s="25"/>
      <c r="I400" s="26">
        <v>1152.23</v>
      </c>
      <c r="J400" s="27">
        <v>2552.44</v>
      </c>
      <c r="K400" s="27">
        <v>2785</v>
      </c>
      <c r="L400" s="27">
        <v>2785</v>
      </c>
      <c r="M400" s="27">
        <v>2940997.94</v>
      </c>
      <c r="N400" s="27">
        <v>3208960.55</v>
      </c>
      <c r="O400" s="27"/>
      <c r="P400" s="27">
        <v>2552.44</v>
      </c>
      <c r="Q400" s="27">
        <v>2785</v>
      </c>
      <c r="R400" s="27">
        <v>2785</v>
      </c>
      <c r="S400" s="27">
        <v>2940997.94</v>
      </c>
      <c r="T400" s="27">
        <v>3208960.55</v>
      </c>
      <c r="U400" s="27"/>
      <c r="V400" s="9"/>
      <c r="W400" s="9">
        <f>ROUND(Q400 / 1.2, 2)</f>
        <v>2320.83</v>
      </c>
      <c r="X400" s="9">
        <f>ROUND(R400 / 1.2, 2)</f>
        <v>2320.83</v>
      </c>
      <c r="Y400" s="9"/>
      <c r="Z400" s="9">
        <f>ROUND(T400 / 1.2, 2)</f>
        <v>2674133.79</v>
      </c>
      <c r="AA400" s="9"/>
      <c r="AD400" s="4">
        <v>279985039</v>
      </c>
      <c r="AE400" s="4">
        <v>20926528</v>
      </c>
      <c r="AG400" s="4" t="s">
        <v>1104</v>
      </c>
      <c r="AH400" s="4" t="s">
        <v>1105</v>
      </c>
      <c r="AI400" s="4"/>
    </row>
    <row r="401" spans="1:35" ht="36" x14ac:dyDescent="0.35">
      <c r="A401" s="17" t="s">
        <v>1134</v>
      </c>
      <c r="B401" s="17"/>
      <c r="C401" s="34" t="s">
        <v>925</v>
      </c>
      <c r="D401" s="19"/>
      <c r="E401" s="19"/>
      <c r="F401" s="35" t="s">
        <v>498</v>
      </c>
      <c r="G401" s="36">
        <v>0.15</v>
      </c>
      <c r="H401" s="19"/>
      <c r="I401" s="37">
        <v>0</v>
      </c>
      <c r="J401" s="38">
        <v>88.8</v>
      </c>
      <c r="K401" s="39"/>
      <c r="L401" s="39"/>
      <c r="M401" s="38">
        <f t="shared" ref="M401:M408" si="84">ROUND(ROUND(J401, 2)*I401, 2)</f>
        <v>0</v>
      </c>
      <c r="N401" s="39"/>
      <c r="O401" s="39"/>
      <c r="P401" s="38">
        <v>88.8</v>
      </c>
      <c r="Q401" s="39"/>
      <c r="R401" s="39"/>
      <c r="S401" s="38">
        <f t="shared" ref="S401:S408" si="85">ROUND(ROUND(P401, 2)*I401, 2)</f>
        <v>0</v>
      </c>
      <c r="T401" s="39"/>
      <c r="U401" s="40"/>
      <c r="V401" s="9">
        <f t="shared" ref="V401:V408" si="86">ROUND(ROUND(P401, 2)/1.2, 2)</f>
        <v>74</v>
      </c>
      <c r="Y401" s="9">
        <f t="shared" ref="Y401:Y418" si="87">ROUND(S401 / 1.2, 2)</f>
        <v>0</v>
      </c>
      <c r="AD401" s="4" t="s">
        <v>1135</v>
      </c>
      <c r="AE401" s="4" t="s">
        <v>1136</v>
      </c>
      <c r="AF401" s="4" t="s">
        <v>928</v>
      </c>
    </row>
    <row r="402" spans="1:35" ht="36" x14ac:dyDescent="0.35">
      <c r="A402" s="23" t="s">
        <v>1137</v>
      </c>
      <c r="B402" s="23"/>
      <c r="C402" s="41" t="s">
        <v>925</v>
      </c>
      <c r="D402" s="25"/>
      <c r="E402" s="25"/>
      <c r="F402" s="42" t="s">
        <v>498</v>
      </c>
      <c r="G402" s="43">
        <v>0.15</v>
      </c>
      <c r="H402" s="25"/>
      <c r="I402" s="43">
        <v>172.83500000000001</v>
      </c>
      <c r="J402" s="44">
        <v>88.8</v>
      </c>
      <c r="K402" s="45"/>
      <c r="L402" s="45"/>
      <c r="M402" s="44">
        <f t="shared" si="84"/>
        <v>15347.75</v>
      </c>
      <c r="N402" s="45"/>
      <c r="O402" s="45"/>
      <c r="P402" s="44">
        <v>88.8</v>
      </c>
      <c r="Q402" s="45"/>
      <c r="R402" s="45"/>
      <c r="S402" s="44">
        <f t="shared" si="85"/>
        <v>15347.75</v>
      </c>
      <c r="T402" s="45"/>
      <c r="U402" s="46"/>
      <c r="V402" s="9">
        <f t="shared" si="86"/>
        <v>74</v>
      </c>
      <c r="Y402" s="9">
        <f t="shared" si="87"/>
        <v>12789.79</v>
      </c>
      <c r="AD402" s="4" t="s">
        <v>1138</v>
      </c>
      <c r="AE402" s="4" t="s">
        <v>1136</v>
      </c>
      <c r="AF402" s="4" t="s">
        <v>928</v>
      </c>
    </row>
    <row r="403" spans="1:35" ht="18" x14ac:dyDescent="0.35">
      <c r="A403" s="17" t="s">
        <v>1139</v>
      </c>
      <c r="B403" s="17"/>
      <c r="C403" s="34" t="s">
        <v>873</v>
      </c>
      <c r="D403" s="19"/>
      <c r="E403" s="19"/>
      <c r="F403" s="35" t="s">
        <v>498</v>
      </c>
      <c r="G403" s="36">
        <v>0.25</v>
      </c>
      <c r="H403" s="19"/>
      <c r="I403" s="48">
        <v>0</v>
      </c>
      <c r="J403" s="38">
        <v>47.44</v>
      </c>
      <c r="K403" s="39"/>
      <c r="L403" s="39"/>
      <c r="M403" s="38">
        <f t="shared" si="84"/>
        <v>0</v>
      </c>
      <c r="N403" s="39"/>
      <c r="O403" s="39"/>
      <c r="P403" s="38">
        <v>47.44</v>
      </c>
      <c r="Q403" s="39"/>
      <c r="R403" s="39"/>
      <c r="S403" s="38">
        <f t="shared" si="85"/>
        <v>0</v>
      </c>
      <c r="T403" s="39"/>
      <c r="U403" s="40"/>
      <c r="V403" s="9">
        <f t="shared" si="86"/>
        <v>39.53</v>
      </c>
      <c r="Y403" s="9">
        <f t="shared" si="87"/>
        <v>0</v>
      </c>
      <c r="AD403" s="4" t="s">
        <v>1140</v>
      </c>
      <c r="AE403" s="4" t="s">
        <v>1141</v>
      </c>
      <c r="AF403" s="4" t="s">
        <v>876</v>
      </c>
    </row>
    <row r="404" spans="1:35" ht="18" x14ac:dyDescent="0.35">
      <c r="A404" s="23" t="s">
        <v>1142</v>
      </c>
      <c r="B404" s="23"/>
      <c r="C404" s="41" t="s">
        <v>873</v>
      </c>
      <c r="D404" s="25"/>
      <c r="E404" s="25"/>
      <c r="F404" s="42" t="s">
        <v>498</v>
      </c>
      <c r="G404" s="43">
        <v>0.25</v>
      </c>
      <c r="H404" s="25"/>
      <c r="I404" s="50">
        <v>288.05799999999999</v>
      </c>
      <c r="J404" s="44">
        <v>47.44</v>
      </c>
      <c r="K404" s="45"/>
      <c r="L404" s="45"/>
      <c r="M404" s="44">
        <f t="shared" si="84"/>
        <v>13665.47</v>
      </c>
      <c r="N404" s="45"/>
      <c r="O404" s="45"/>
      <c r="P404" s="44">
        <v>47.44</v>
      </c>
      <c r="Q404" s="45"/>
      <c r="R404" s="45"/>
      <c r="S404" s="44">
        <f t="shared" si="85"/>
        <v>13665.47</v>
      </c>
      <c r="T404" s="45"/>
      <c r="U404" s="46"/>
      <c r="V404" s="9">
        <f t="shared" si="86"/>
        <v>39.53</v>
      </c>
      <c r="Y404" s="9">
        <f t="shared" si="87"/>
        <v>11387.89</v>
      </c>
      <c r="AD404" s="4" t="s">
        <v>1143</v>
      </c>
      <c r="AE404" s="4" t="s">
        <v>1141</v>
      </c>
      <c r="AF404" s="4" t="s">
        <v>876</v>
      </c>
    </row>
    <row r="405" spans="1:35" ht="36" x14ac:dyDescent="0.35">
      <c r="A405" s="17" t="s">
        <v>1144</v>
      </c>
      <c r="B405" s="17"/>
      <c r="C405" s="34" t="s">
        <v>1115</v>
      </c>
      <c r="D405" s="19"/>
      <c r="E405" s="19"/>
      <c r="F405" s="35" t="s">
        <v>63</v>
      </c>
      <c r="G405" s="36">
        <v>1.2</v>
      </c>
      <c r="H405" s="19"/>
      <c r="I405" s="48">
        <v>0</v>
      </c>
      <c r="J405" s="38">
        <v>2021.25</v>
      </c>
      <c r="K405" s="39"/>
      <c r="L405" s="39"/>
      <c r="M405" s="38">
        <f t="shared" si="84"/>
        <v>0</v>
      </c>
      <c r="N405" s="39"/>
      <c r="O405" s="39"/>
      <c r="P405" s="38">
        <v>2021.25</v>
      </c>
      <c r="Q405" s="39"/>
      <c r="R405" s="39"/>
      <c r="S405" s="38">
        <f t="shared" si="85"/>
        <v>0</v>
      </c>
      <c r="T405" s="39"/>
      <c r="U405" s="40"/>
      <c r="V405" s="9">
        <f t="shared" si="86"/>
        <v>1684.38</v>
      </c>
      <c r="Y405" s="9">
        <f t="shared" si="87"/>
        <v>0</v>
      </c>
      <c r="AD405" s="4" t="s">
        <v>1145</v>
      </c>
      <c r="AE405" s="4" t="s">
        <v>1146</v>
      </c>
      <c r="AF405" s="4" t="s">
        <v>1118</v>
      </c>
    </row>
    <row r="406" spans="1:35" ht="72" x14ac:dyDescent="0.35">
      <c r="A406" s="23" t="s">
        <v>1147</v>
      </c>
      <c r="B406" s="23"/>
      <c r="C406" s="41" t="s">
        <v>1115</v>
      </c>
      <c r="D406" s="25"/>
      <c r="E406" s="25" t="s">
        <v>1148</v>
      </c>
      <c r="F406" s="42" t="s">
        <v>63</v>
      </c>
      <c r="G406" s="43">
        <v>1.2</v>
      </c>
      <c r="H406" s="25"/>
      <c r="I406" s="50">
        <v>1382.6759999999999</v>
      </c>
      <c r="J406" s="44">
        <v>2021.25</v>
      </c>
      <c r="K406" s="45"/>
      <c r="L406" s="45"/>
      <c r="M406" s="44">
        <f t="shared" si="84"/>
        <v>2794733.87</v>
      </c>
      <c r="N406" s="45"/>
      <c r="O406" s="45"/>
      <c r="P406" s="44">
        <v>2021.25</v>
      </c>
      <c r="Q406" s="45"/>
      <c r="R406" s="45"/>
      <c r="S406" s="44">
        <f t="shared" si="85"/>
        <v>2794733.87</v>
      </c>
      <c r="T406" s="45"/>
      <c r="U406" s="46"/>
      <c r="V406" s="9">
        <f t="shared" si="86"/>
        <v>1684.38</v>
      </c>
      <c r="Y406" s="9">
        <f t="shared" si="87"/>
        <v>2328944.89</v>
      </c>
      <c r="AD406" s="4" t="s">
        <v>1149</v>
      </c>
      <c r="AE406" s="4" t="s">
        <v>1146</v>
      </c>
      <c r="AF406" s="4" t="s">
        <v>1118</v>
      </c>
    </row>
    <row r="407" spans="1:35" ht="36" x14ac:dyDescent="0.35">
      <c r="A407" s="17" t="s">
        <v>1150</v>
      </c>
      <c r="B407" s="17"/>
      <c r="C407" s="34" t="s">
        <v>1108</v>
      </c>
      <c r="D407" s="19"/>
      <c r="E407" s="19"/>
      <c r="F407" s="35" t="s">
        <v>498</v>
      </c>
      <c r="G407" s="36">
        <v>1.2</v>
      </c>
      <c r="H407" s="19"/>
      <c r="I407" s="48">
        <v>0</v>
      </c>
      <c r="J407" s="38">
        <v>16.96</v>
      </c>
      <c r="K407" s="39"/>
      <c r="L407" s="39"/>
      <c r="M407" s="38">
        <f t="shared" si="84"/>
        <v>0</v>
      </c>
      <c r="N407" s="39"/>
      <c r="O407" s="39"/>
      <c r="P407" s="38">
        <v>16.96</v>
      </c>
      <c r="Q407" s="39"/>
      <c r="R407" s="39"/>
      <c r="S407" s="38">
        <f t="shared" si="85"/>
        <v>0</v>
      </c>
      <c r="T407" s="39"/>
      <c r="U407" s="40"/>
      <c r="V407" s="9">
        <f t="shared" si="86"/>
        <v>14.13</v>
      </c>
      <c r="Y407" s="9">
        <f t="shared" si="87"/>
        <v>0</v>
      </c>
      <c r="AD407" s="4" t="s">
        <v>1151</v>
      </c>
      <c r="AE407" s="4" t="s">
        <v>1152</v>
      </c>
      <c r="AF407" s="4" t="s">
        <v>1111</v>
      </c>
    </row>
    <row r="408" spans="1:35" ht="36" x14ac:dyDescent="0.35">
      <c r="A408" s="23" t="s">
        <v>1153</v>
      </c>
      <c r="B408" s="23"/>
      <c r="C408" s="41" t="s">
        <v>1108</v>
      </c>
      <c r="D408" s="25"/>
      <c r="E408" s="25"/>
      <c r="F408" s="42" t="s">
        <v>498</v>
      </c>
      <c r="G408" s="43">
        <v>1.2</v>
      </c>
      <c r="H408" s="25"/>
      <c r="I408" s="50">
        <v>6913.38</v>
      </c>
      <c r="J408" s="44">
        <v>16.96</v>
      </c>
      <c r="K408" s="45"/>
      <c r="L408" s="45"/>
      <c r="M408" s="44">
        <f t="shared" si="84"/>
        <v>117250.92</v>
      </c>
      <c r="N408" s="45"/>
      <c r="O408" s="45"/>
      <c r="P408" s="44">
        <v>16.96</v>
      </c>
      <c r="Q408" s="45"/>
      <c r="R408" s="45"/>
      <c r="S408" s="44">
        <f t="shared" si="85"/>
        <v>117250.92</v>
      </c>
      <c r="T408" s="45"/>
      <c r="U408" s="46"/>
      <c r="V408" s="9">
        <f t="shared" si="86"/>
        <v>14.13</v>
      </c>
      <c r="Y408" s="9">
        <f t="shared" si="87"/>
        <v>97709.1</v>
      </c>
      <c r="AD408" s="4" t="s">
        <v>1154</v>
      </c>
      <c r="AE408" s="4" t="s">
        <v>1152</v>
      </c>
      <c r="AF408" s="4" t="s">
        <v>1111</v>
      </c>
    </row>
    <row r="409" spans="1:35" ht="54" x14ac:dyDescent="0.35">
      <c r="A409" s="51" t="s">
        <v>1155</v>
      </c>
      <c r="B409" s="51" t="s">
        <v>1102</v>
      </c>
      <c r="C409" s="52" t="s">
        <v>1103</v>
      </c>
      <c r="D409" s="53"/>
      <c r="E409" s="53" t="s">
        <v>933</v>
      </c>
      <c r="F409" s="53" t="s">
        <v>63</v>
      </c>
      <c r="G409" s="54">
        <v>1</v>
      </c>
      <c r="H409" s="53"/>
      <c r="I409" s="54">
        <v>0</v>
      </c>
      <c r="J409" s="55">
        <f>IFERROR(ROUND(SUM(M410,M411,M412,M413)/I409, 2),0)</f>
        <v>0</v>
      </c>
      <c r="K409" s="55">
        <v>2785</v>
      </c>
      <c r="L409" s="55">
        <f>J409+ROUND(K409, 2)</f>
        <v>2785</v>
      </c>
      <c r="M409" s="55">
        <f>ROUND(J409*I409, 2)</f>
        <v>0</v>
      </c>
      <c r="N409" s="55">
        <f>ROUND(I409*ROUND(K409, 2), 2)</f>
        <v>0</v>
      </c>
      <c r="O409" s="55">
        <f>M409+N409</f>
        <v>0</v>
      </c>
      <c r="P409" s="55">
        <f>IFERROR(ROUND(SUM(S410,S411,S412,S413)/I409, 2),0)</f>
        <v>0</v>
      </c>
      <c r="Q409" s="55">
        <v>4177.5</v>
      </c>
      <c r="R409" s="55">
        <f>P409+ROUND(Q409, 2)</f>
        <v>4177.5</v>
      </c>
      <c r="S409" s="55">
        <f>ROUND(P409*I409, 2)</f>
        <v>0</v>
      </c>
      <c r="T409" s="55">
        <f>ROUND(I409*ROUND(Q409, 2), 2)</f>
        <v>0</v>
      </c>
      <c r="U409" s="55">
        <f>S409+T409</f>
        <v>0</v>
      </c>
      <c r="V409" s="9">
        <f>ROUND(P409 / 1.2, 2)</f>
        <v>0</v>
      </c>
      <c r="W409" s="9">
        <f>ROUND(Q409 / 1.2, 2)</f>
        <v>3481.25</v>
      </c>
      <c r="X409" s="9">
        <f>ROUND(R409 / 1.2, 2)</f>
        <v>3481.25</v>
      </c>
      <c r="Y409" s="9">
        <f t="shared" si="87"/>
        <v>0</v>
      </c>
      <c r="Z409" s="9">
        <f>ROUND(T409 / 1.2, 2)</f>
        <v>0</v>
      </c>
      <c r="AA409" s="9">
        <f>Y409+Z409</f>
        <v>0</v>
      </c>
      <c r="AD409" s="4">
        <v>305117050</v>
      </c>
      <c r="AE409" s="4">
        <v>22135712</v>
      </c>
      <c r="AG409" s="4" t="s">
        <v>1104</v>
      </c>
      <c r="AH409" s="4" t="s">
        <v>1105</v>
      </c>
      <c r="AI409" s="4" t="s">
        <v>467</v>
      </c>
    </row>
    <row r="410" spans="1:35" ht="36" x14ac:dyDescent="0.35">
      <c r="A410" s="51" t="s">
        <v>1156</v>
      </c>
      <c r="B410" s="51"/>
      <c r="C410" s="47" t="s">
        <v>1108</v>
      </c>
      <c r="D410" s="53"/>
      <c r="E410" s="53"/>
      <c r="F410" s="57" t="s">
        <v>498</v>
      </c>
      <c r="G410" s="58">
        <v>1.2</v>
      </c>
      <c r="H410" s="53"/>
      <c r="I410" s="62">
        <v>2674.3919999999998</v>
      </c>
      <c r="J410" s="59">
        <v>16.12</v>
      </c>
      <c r="K410" s="60"/>
      <c r="L410" s="60"/>
      <c r="M410" s="59">
        <f>ROUND(ROUND(J410, 2)*I410, 2)</f>
        <v>43111.199999999997</v>
      </c>
      <c r="N410" s="60"/>
      <c r="O410" s="60"/>
      <c r="P410" s="59">
        <v>16.11</v>
      </c>
      <c r="Q410" s="60"/>
      <c r="R410" s="60"/>
      <c r="S410" s="59">
        <f>ROUND(ROUND(P410, 2)*I410, 2)</f>
        <v>43084.46</v>
      </c>
      <c r="T410" s="60"/>
      <c r="U410" s="61"/>
      <c r="V410" s="9">
        <f>ROUND(ROUND(P410, 2)/1.2, 2)</f>
        <v>13.43</v>
      </c>
      <c r="Y410" s="9">
        <f t="shared" si="87"/>
        <v>35903.72</v>
      </c>
      <c r="AD410" s="4" t="s">
        <v>1157</v>
      </c>
      <c r="AE410" s="4" t="s">
        <v>1158</v>
      </c>
      <c r="AF410" s="4" t="s">
        <v>1111</v>
      </c>
    </row>
    <row r="411" spans="1:35" ht="54" x14ac:dyDescent="0.35">
      <c r="A411" s="51" t="s">
        <v>1159</v>
      </c>
      <c r="B411" s="51"/>
      <c r="C411" s="56" t="s">
        <v>1115</v>
      </c>
      <c r="D411" s="53"/>
      <c r="E411" s="53" t="s">
        <v>1120</v>
      </c>
      <c r="F411" s="57" t="s">
        <v>63</v>
      </c>
      <c r="G411" s="58">
        <v>1.2</v>
      </c>
      <c r="H411" s="53"/>
      <c r="I411" s="62">
        <v>2674.3919999999998</v>
      </c>
      <c r="J411" s="59">
        <v>2021.26</v>
      </c>
      <c r="K411" s="60"/>
      <c r="L411" s="60"/>
      <c r="M411" s="59">
        <f>ROUND(ROUND(J411, 2)*I411, 2)</f>
        <v>5405641.5700000003</v>
      </c>
      <c r="N411" s="60"/>
      <c r="O411" s="60"/>
      <c r="P411" s="59">
        <v>2021.25</v>
      </c>
      <c r="Q411" s="60"/>
      <c r="R411" s="60"/>
      <c r="S411" s="59">
        <f>ROUND(ROUND(P411, 2)*I411, 2)</f>
        <v>5405614.8300000001</v>
      </c>
      <c r="T411" s="60"/>
      <c r="U411" s="61"/>
      <c r="V411" s="9">
        <f>ROUND(ROUND(P411, 2)/1.2, 2)</f>
        <v>1684.38</v>
      </c>
      <c r="Y411" s="9">
        <f t="shared" si="87"/>
        <v>4504679.03</v>
      </c>
      <c r="AD411" s="4" t="s">
        <v>1160</v>
      </c>
      <c r="AE411" s="4" t="s">
        <v>1161</v>
      </c>
      <c r="AF411" s="4" t="s">
        <v>1118</v>
      </c>
    </row>
    <row r="412" spans="1:35" ht="18" x14ac:dyDescent="0.35">
      <c r="A412" s="51" t="s">
        <v>1162</v>
      </c>
      <c r="B412" s="51"/>
      <c r="C412" s="56" t="s">
        <v>873</v>
      </c>
      <c r="D412" s="53"/>
      <c r="E412" s="53"/>
      <c r="F412" s="57" t="s">
        <v>498</v>
      </c>
      <c r="G412" s="58">
        <v>0.25</v>
      </c>
      <c r="H412" s="53"/>
      <c r="I412" s="62">
        <v>557.16499999999996</v>
      </c>
      <c r="J412" s="59">
        <v>47.44</v>
      </c>
      <c r="K412" s="60"/>
      <c r="L412" s="60"/>
      <c r="M412" s="59">
        <f>ROUND(ROUND(J412, 2)*I412, 2)</f>
        <v>26431.91</v>
      </c>
      <c r="N412" s="60"/>
      <c r="O412" s="60"/>
      <c r="P412" s="59">
        <v>47.44</v>
      </c>
      <c r="Q412" s="60"/>
      <c r="R412" s="60"/>
      <c r="S412" s="59">
        <f>ROUND(ROUND(P412, 2)*I412, 2)</f>
        <v>26431.91</v>
      </c>
      <c r="T412" s="60"/>
      <c r="U412" s="61"/>
      <c r="V412" s="9">
        <f>ROUND(ROUND(P412, 2)/1.2, 2)</f>
        <v>39.53</v>
      </c>
      <c r="Y412" s="9">
        <f t="shared" si="87"/>
        <v>22026.59</v>
      </c>
      <c r="AD412" s="4" t="s">
        <v>1163</v>
      </c>
      <c r="AE412" s="4" t="s">
        <v>1164</v>
      </c>
      <c r="AF412" s="4" t="s">
        <v>876</v>
      </c>
    </row>
    <row r="413" spans="1:35" ht="36" x14ac:dyDescent="0.35">
      <c r="A413" s="51" t="s">
        <v>1165</v>
      </c>
      <c r="B413" s="51"/>
      <c r="C413" s="56" t="s">
        <v>925</v>
      </c>
      <c r="D413" s="53"/>
      <c r="E413" s="53"/>
      <c r="F413" s="57" t="s">
        <v>498</v>
      </c>
      <c r="G413" s="58">
        <v>0.15</v>
      </c>
      <c r="H413" s="53"/>
      <c r="I413" s="58">
        <v>0</v>
      </c>
      <c r="J413" s="59">
        <v>88.8</v>
      </c>
      <c r="K413" s="60"/>
      <c r="L413" s="60"/>
      <c r="M413" s="59">
        <f>ROUND(ROUND(J413, 2)*I413, 2)</f>
        <v>0</v>
      </c>
      <c r="N413" s="60"/>
      <c r="O413" s="60"/>
      <c r="P413" s="59">
        <v>88.8</v>
      </c>
      <c r="Q413" s="60"/>
      <c r="R413" s="60"/>
      <c r="S413" s="59">
        <f>ROUND(ROUND(P413, 2)*I413, 2)</f>
        <v>0</v>
      </c>
      <c r="T413" s="60"/>
      <c r="U413" s="61"/>
      <c r="V413" s="9">
        <f>ROUND(ROUND(P413, 2)/1.2, 2)</f>
        <v>74</v>
      </c>
      <c r="Y413" s="9">
        <f t="shared" si="87"/>
        <v>0</v>
      </c>
      <c r="AD413" s="4" t="s">
        <v>1166</v>
      </c>
      <c r="AE413" s="4" t="s">
        <v>1167</v>
      </c>
      <c r="AF413" s="4" t="s">
        <v>928</v>
      </c>
    </row>
    <row r="414" spans="1:35" ht="54" x14ac:dyDescent="0.35">
      <c r="A414" s="51" t="s">
        <v>1168</v>
      </c>
      <c r="B414" s="51" t="s">
        <v>1102</v>
      </c>
      <c r="C414" s="52" t="s">
        <v>1103</v>
      </c>
      <c r="D414" s="53"/>
      <c r="E414" s="53" t="s">
        <v>957</v>
      </c>
      <c r="F414" s="53" t="s">
        <v>63</v>
      </c>
      <c r="G414" s="54">
        <v>1</v>
      </c>
      <c r="H414" s="53"/>
      <c r="I414" s="54">
        <v>0</v>
      </c>
      <c r="J414" s="55">
        <f>IFERROR(ROUND(SUM(M415,M416,M417,M418)/I414, 2),0)</f>
        <v>0</v>
      </c>
      <c r="K414" s="55">
        <v>2785</v>
      </c>
      <c r="L414" s="55">
        <f>J414+ROUND(K414, 2)</f>
        <v>2785</v>
      </c>
      <c r="M414" s="55">
        <f>ROUND(J414*I414, 2)</f>
        <v>0</v>
      </c>
      <c r="N414" s="55">
        <f>ROUND(I414*ROUND(K414, 2), 2)</f>
        <v>0</v>
      </c>
      <c r="O414" s="55">
        <f>M414+N414</f>
        <v>0</v>
      </c>
      <c r="P414" s="55">
        <f>IFERROR(ROUND(SUM(S415,S416,S417,S418)/I414, 2),0)</f>
        <v>0</v>
      </c>
      <c r="Q414" s="55">
        <v>4177.5</v>
      </c>
      <c r="R414" s="55">
        <f>P414+ROUND(Q414, 2)</f>
        <v>4177.5</v>
      </c>
      <c r="S414" s="55">
        <f>ROUND(P414*I414, 2)</f>
        <v>0</v>
      </c>
      <c r="T414" s="55">
        <f>ROUND(I414*ROUND(Q414, 2), 2)</f>
        <v>0</v>
      </c>
      <c r="U414" s="55">
        <f>S414+T414</f>
        <v>0</v>
      </c>
      <c r="V414" s="9">
        <f>ROUND(P414 / 1.2, 2)</f>
        <v>0</v>
      </c>
      <c r="W414" s="9">
        <f>ROUND(Q414 / 1.2, 2)</f>
        <v>3481.25</v>
      </c>
      <c r="X414" s="9">
        <f>ROUND(R414 / 1.2, 2)</f>
        <v>3481.25</v>
      </c>
      <c r="Y414" s="9">
        <f t="shared" si="87"/>
        <v>0</v>
      </c>
      <c r="Z414" s="9">
        <f>ROUND(T414 / 1.2, 2)</f>
        <v>0</v>
      </c>
      <c r="AA414" s="9">
        <f>Y414+Z414</f>
        <v>0</v>
      </c>
      <c r="AD414" s="4">
        <v>305117051</v>
      </c>
      <c r="AE414" s="4">
        <v>22135730</v>
      </c>
      <c r="AG414" s="4" t="s">
        <v>1104</v>
      </c>
      <c r="AH414" s="4" t="s">
        <v>1105</v>
      </c>
      <c r="AI414" s="4" t="s">
        <v>467</v>
      </c>
    </row>
    <row r="415" spans="1:35" ht="36" x14ac:dyDescent="0.35">
      <c r="A415" s="51" t="s">
        <v>1169</v>
      </c>
      <c r="B415" s="51"/>
      <c r="C415" s="56" t="s">
        <v>925</v>
      </c>
      <c r="D415" s="53"/>
      <c r="E415" s="53"/>
      <c r="F415" s="57" t="s">
        <v>498</v>
      </c>
      <c r="G415" s="58">
        <v>0.15</v>
      </c>
      <c r="H415" s="53"/>
      <c r="I415" s="58">
        <v>0</v>
      </c>
      <c r="J415" s="59">
        <v>88.8</v>
      </c>
      <c r="K415" s="60"/>
      <c r="L415" s="60"/>
      <c r="M415" s="59">
        <f>ROUND(ROUND(J415, 2)*I415, 2)</f>
        <v>0</v>
      </c>
      <c r="N415" s="60"/>
      <c r="O415" s="60"/>
      <c r="P415" s="59">
        <v>88.8</v>
      </c>
      <c r="Q415" s="60"/>
      <c r="R415" s="60"/>
      <c r="S415" s="59">
        <f>ROUND(ROUND(P415, 2)*I415, 2)</f>
        <v>0</v>
      </c>
      <c r="T415" s="60"/>
      <c r="U415" s="61"/>
      <c r="V415" s="9">
        <f>ROUND(ROUND(P415, 2)/1.2, 2)</f>
        <v>74</v>
      </c>
      <c r="Y415" s="9">
        <f t="shared" si="87"/>
        <v>0</v>
      </c>
      <c r="AD415" s="4" t="s">
        <v>1170</v>
      </c>
      <c r="AE415" s="4" t="s">
        <v>1171</v>
      </c>
      <c r="AF415" s="4" t="s">
        <v>928</v>
      </c>
    </row>
    <row r="416" spans="1:35" ht="18" x14ac:dyDescent="0.35">
      <c r="A416" s="51" t="s">
        <v>1172</v>
      </c>
      <c r="B416" s="51"/>
      <c r="C416" s="56" t="s">
        <v>873</v>
      </c>
      <c r="D416" s="53"/>
      <c r="E416" s="53"/>
      <c r="F416" s="57" t="s">
        <v>498</v>
      </c>
      <c r="G416" s="58">
        <v>0.25</v>
      </c>
      <c r="H416" s="53"/>
      <c r="I416" s="62">
        <v>288.05799999999999</v>
      </c>
      <c r="J416" s="59">
        <v>47.44</v>
      </c>
      <c r="K416" s="60"/>
      <c r="L416" s="60"/>
      <c r="M416" s="59">
        <f>ROUND(ROUND(J416, 2)*I416, 2)</f>
        <v>13665.47</v>
      </c>
      <c r="N416" s="60"/>
      <c r="O416" s="60"/>
      <c r="P416" s="59">
        <v>47.44</v>
      </c>
      <c r="Q416" s="60"/>
      <c r="R416" s="60"/>
      <c r="S416" s="59">
        <f>ROUND(ROUND(P416, 2)*I416, 2)</f>
        <v>13665.47</v>
      </c>
      <c r="T416" s="60"/>
      <c r="U416" s="61"/>
      <c r="V416" s="9">
        <f>ROUND(ROUND(P416, 2)/1.2, 2)</f>
        <v>39.53</v>
      </c>
      <c r="Y416" s="9">
        <f t="shared" si="87"/>
        <v>11387.89</v>
      </c>
      <c r="AD416" s="4" t="s">
        <v>1173</v>
      </c>
      <c r="AE416" s="4" t="s">
        <v>1174</v>
      </c>
      <c r="AF416" s="4" t="s">
        <v>876</v>
      </c>
    </row>
    <row r="417" spans="1:35" ht="72" x14ac:dyDescent="0.35">
      <c r="A417" s="51" t="s">
        <v>1175</v>
      </c>
      <c r="B417" s="51"/>
      <c r="C417" s="56" t="s">
        <v>1115</v>
      </c>
      <c r="D417" s="53"/>
      <c r="E417" s="53" t="s">
        <v>1148</v>
      </c>
      <c r="F417" s="57" t="s">
        <v>63</v>
      </c>
      <c r="G417" s="58">
        <v>1.2</v>
      </c>
      <c r="H417" s="53"/>
      <c r="I417" s="62">
        <v>1382.6759999999999</v>
      </c>
      <c r="J417" s="59">
        <v>2021.26</v>
      </c>
      <c r="K417" s="60"/>
      <c r="L417" s="60"/>
      <c r="M417" s="59">
        <f>ROUND(ROUND(J417, 2)*I417, 2)</f>
        <v>2794747.69</v>
      </c>
      <c r="N417" s="60"/>
      <c r="O417" s="60"/>
      <c r="P417" s="59">
        <v>2021.25</v>
      </c>
      <c r="Q417" s="60"/>
      <c r="R417" s="60"/>
      <c r="S417" s="59">
        <f>ROUND(ROUND(P417, 2)*I417, 2)</f>
        <v>2794733.87</v>
      </c>
      <c r="T417" s="60"/>
      <c r="U417" s="61"/>
      <c r="V417" s="9">
        <f>ROUND(ROUND(P417, 2)/1.2, 2)</f>
        <v>1684.38</v>
      </c>
      <c r="Y417" s="9">
        <f t="shared" si="87"/>
        <v>2328944.89</v>
      </c>
      <c r="AD417" s="4" t="s">
        <v>1176</v>
      </c>
      <c r="AE417" s="4" t="s">
        <v>1177</v>
      </c>
      <c r="AF417" s="4" t="s">
        <v>1118</v>
      </c>
    </row>
    <row r="418" spans="1:35" ht="36" x14ac:dyDescent="0.35">
      <c r="A418" s="51" t="s">
        <v>1178</v>
      </c>
      <c r="B418" s="51"/>
      <c r="C418" s="47" t="s">
        <v>1108</v>
      </c>
      <c r="D418" s="53"/>
      <c r="E418" s="53"/>
      <c r="F418" s="57" t="s">
        <v>498</v>
      </c>
      <c r="G418" s="58">
        <v>1.2</v>
      </c>
      <c r="H418" s="53"/>
      <c r="I418" s="62">
        <v>1382.6759999999999</v>
      </c>
      <c r="J418" s="59">
        <v>16.12</v>
      </c>
      <c r="K418" s="60"/>
      <c r="L418" s="60"/>
      <c r="M418" s="59">
        <f>ROUND(ROUND(J418, 2)*I418, 2)</f>
        <v>22288.74</v>
      </c>
      <c r="N418" s="60"/>
      <c r="O418" s="60"/>
      <c r="P418" s="59">
        <v>16.11</v>
      </c>
      <c r="Q418" s="60"/>
      <c r="R418" s="60"/>
      <c r="S418" s="59">
        <f>ROUND(ROUND(P418, 2)*I418, 2)</f>
        <v>22274.91</v>
      </c>
      <c r="T418" s="60"/>
      <c r="U418" s="61"/>
      <c r="V418" s="9">
        <f>ROUND(ROUND(P418, 2)/1.2, 2)</f>
        <v>13.43</v>
      </c>
      <c r="Y418" s="9">
        <f t="shared" si="87"/>
        <v>18562.43</v>
      </c>
      <c r="AD418" s="4" t="s">
        <v>1179</v>
      </c>
      <c r="AE418" s="4" t="s">
        <v>1180</v>
      </c>
      <c r="AF418" s="4" t="s">
        <v>1111</v>
      </c>
    </row>
    <row r="419" spans="1:35" ht="17" customHeight="1" x14ac:dyDescent="0.35">
      <c r="A419" s="10" t="s">
        <v>1181</v>
      </c>
      <c r="B419" s="10" t="s">
        <v>1182</v>
      </c>
      <c r="C419" s="174" t="s">
        <v>1183</v>
      </c>
      <c r="D419" s="175"/>
      <c r="E419" s="175"/>
      <c r="F419" s="175"/>
      <c r="G419" s="175"/>
      <c r="H419" s="175"/>
      <c r="I419" s="176"/>
      <c r="M419" s="6">
        <f>SUM(M420,M436)</f>
        <v>0</v>
      </c>
      <c r="N419" s="6">
        <f>SUM(N420,N436)</f>
        <v>0</v>
      </c>
      <c r="O419" s="6">
        <f>SUM(O420,O436)</f>
        <v>0</v>
      </c>
      <c r="S419" s="6">
        <f>SUM(S420,S436)</f>
        <v>0</v>
      </c>
      <c r="T419" s="6">
        <f>SUM(T420,T436)</f>
        <v>0</v>
      </c>
      <c r="U419" s="6">
        <f>SUM(U420,U436)</f>
        <v>0</v>
      </c>
      <c r="Y419" s="9">
        <f>SUM(Y420,Y436)</f>
        <v>0</v>
      </c>
      <c r="Z419" s="9">
        <f>SUM(Z420,Z436)</f>
        <v>0</v>
      </c>
      <c r="AA419" s="9">
        <f>SUM(AA420,AA436)</f>
        <v>0</v>
      </c>
      <c r="AD419" s="4">
        <v>305116973</v>
      </c>
      <c r="AE419" s="4">
        <v>20927071</v>
      </c>
    </row>
    <row r="420" spans="1:35" ht="17" customHeight="1" x14ac:dyDescent="0.35">
      <c r="A420" s="10" t="s">
        <v>1184</v>
      </c>
      <c r="B420" s="10" t="s">
        <v>1185</v>
      </c>
      <c r="C420" s="174" t="s">
        <v>1186</v>
      </c>
      <c r="D420" s="175"/>
      <c r="E420" s="175"/>
      <c r="F420" s="175"/>
      <c r="G420" s="175"/>
      <c r="H420" s="175"/>
      <c r="I420" s="176"/>
      <c r="M420" s="6">
        <f>SUM(M421,M431)</f>
        <v>0</v>
      </c>
      <c r="N420" s="6">
        <f>SUM(N421,N431)</f>
        <v>0</v>
      </c>
      <c r="O420" s="6">
        <f>SUM(O421,O431)</f>
        <v>0</v>
      </c>
      <c r="S420" s="6">
        <f>SUM(S421,S431)</f>
        <v>0</v>
      </c>
      <c r="T420" s="6">
        <f>SUM(T421,T431)</f>
        <v>0</v>
      </c>
      <c r="U420" s="6">
        <f>SUM(U421,U431)</f>
        <v>0</v>
      </c>
      <c r="Y420" s="9">
        <f>SUM(Y421,Y431)</f>
        <v>0</v>
      </c>
      <c r="Z420" s="9">
        <f>SUM(Z421,Z431)</f>
        <v>0</v>
      </c>
      <c r="AA420" s="9">
        <f>SUM(AA421,AA431)</f>
        <v>0</v>
      </c>
      <c r="AD420" s="4">
        <v>305116974</v>
      </c>
      <c r="AE420" s="4">
        <v>20927074</v>
      </c>
    </row>
    <row r="421" spans="1:35" ht="72" x14ac:dyDescent="0.35">
      <c r="A421" s="17" t="s">
        <v>1187</v>
      </c>
      <c r="B421" s="17" t="s">
        <v>1188</v>
      </c>
      <c r="C421" s="18" t="s">
        <v>1189</v>
      </c>
      <c r="D421" s="19" t="s">
        <v>1190</v>
      </c>
      <c r="E421" s="19"/>
      <c r="F421" s="19" t="s">
        <v>63</v>
      </c>
      <c r="G421" s="20">
        <v>1</v>
      </c>
      <c r="H421" s="19"/>
      <c r="I421" s="21">
        <v>0</v>
      </c>
      <c r="J421" s="22">
        <v>281.27999999999997</v>
      </c>
      <c r="K421" s="22">
        <v>954</v>
      </c>
      <c r="L421" s="22">
        <f>J421+ROUND(K421, 2)</f>
        <v>1235.28</v>
      </c>
      <c r="M421" s="22">
        <v>0</v>
      </c>
      <c r="N421" s="22">
        <v>0</v>
      </c>
      <c r="O421" s="22">
        <f>M421+N421</f>
        <v>0</v>
      </c>
      <c r="P421" s="22">
        <v>281.27999999999997</v>
      </c>
      <c r="Q421" s="22">
        <v>954</v>
      </c>
      <c r="R421" s="22">
        <f>P421+ROUND(Q421, 2)</f>
        <v>1235.28</v>
      </c>
      <c r="S421" s="22">
        <v>0</v>
      </c>
      <c r="T421" s="22">
        <v>0</v>
      </c>
      <c r="U421" s="22">
        <f>S421+T421</f>
        <v>0</v>
      </c>
      <c r="V421" s="9">
        <f>ROUND(P421 / 1.2, 2)</f>
        <v>234.4</v>
      </c>
      <c r="W421" s="9">
        <f>ROUND(Q421 / 1.2, 2)</f>
        <v>795</v>
      </c>
      <c r="X421" s="9">
        <f>ROUND(R421 / 1.2, 2)</f>
        <v>1029.4000000000001</v>
      </c>
      <c r="Y421" s="9">
        <f>ROUND(S421 / 1.2, 2)</f>
        <v>0</v>
      </c>
      <c r="Z421" s="9">
        <f>ROUND(T421 / 1.2, 2)</f>
        <v>0</v>
      </c>
      <c r="AA421" s="9">
        <f>Y421+Z421</f>
        <v>0</v>
      </c>
      <c r="AD421" s="4">
        <v>305116976</v>
      </c>
      <c r="AE421" s="4">
        <v>20940565</v>
      </c>
      <c r="AG421" s="4" t="s">
        <v>1191</v>
      </c>
      <c r="AH421" s="4" t="s">
        <v>1192</v>
      </c>
      <c r="AI421" s="4" t="s">
        <v>467</v>
      </c>
    </row>
    <row r="422" spans="1:35" ht="72" x14ac:dyDescent="0.35">
      <c r="A422" s="23" t="s">
        <v>1193</v>
      </c>
      <c r="B422" s="23" t="s">
        <v>1188</v>
      </c>
      <c r="C422" s="24" t="s">
        <v>1189</v>
      </c>
      <c r="D422" s="25" t="s">
        <v>1190</v>
      </c>
      <c r="E422" s="25" t="s">
        <v>1194</v>
      </c>
      <c r="F422" s="25" t="s">
        <v>63</v>
      </c>
      <c r="G422" s="26">
        <v>1</v>
      </c>
      <c r="H422" s="25"/>
      <c r="I422" s="26">
        <v>7659.9</v>
      </c>
      <c r="J422" s="27">
        <v>281.27999999999997</v>
      </c>
      <c r="K422" s="27">
        <v>954</v>
      </c>
      <c r="L422" s="27">
        <v>954</v>
      </c>
      <c r="M422" s="27">
        <v>2154576.67</v>
      </c>
      <c r="N422" s="27">
        <v>7307544.5999999996</v>
      </c>
      <c r="O422" s="27"/>
      <c r="P422" s="27">
        <v>281.27999999999997</v>
      </c>
      <c r="Q422" s="27">
        <v>954</v>
      </c>
      <c r="R422" s="27">
        <v>954</v>
      </c>
      <c r="S422" s="27">
        <v>2154576.67</v>
      </c>
      <c r="T422" s="27">
        <v>7307544.5999999996</v>
      </c>
      <c r="U422" s="27"/>
      <c r="V422" s="9"/>
      <c r="W422" s="9">
        <f>ROUND(Q422 / 1.2, 2)</f>
        <v>795</v>
      </c>
      <c r="X422" s="9">
        <f>ROUND(R422 / 1.2, 2)</f>
        <v>795</v>
      </c>
      <c r="Y422" s="9"/>
      <c r="Z422" s="9">
        <f>ROUND(T422 / 1.2, 2)</f>
        <v>6089620.5</v>
      </c>
      <c r="AA422" s="9"/>
      <c r="AD422" s="4">
        <v>276896401</v>
      </c>
      <c r="AE422" s="4">
        <v>20940565</v>
      </c>
      <c r="AG422" s="4" t="s">
        <v>1191</v>
      </c>
      <c r="AH422" s="4" t="s">
        <v>1192</v>
      </c>
      <c r="AI422" s="4"/>
    </row>
    <row r="423" spans="1:35" ht="18" x14ac:dyDescent="0.35">
      <c r="A423" s="17" t="s">
        <v>1195</v>
      </c>
      <c r="B423" s="17"/>
      <c r="C423" s="34" t="s">
        <v>1196</v>
      </c>
      <c r="D423" s="19"/>
      <c r="E423" s="19"/>
      <c r="F423" s="35" t="s">
        <v>498</v>
      </c>
      <c r="G423" s="36">
        <v>1.3</v>
      </c>
      <c r="H423" s="19"/>
      <c r="I423" s="48">
        <v>0</v>
      </c>
      <c r="J423" s="38">
        <v>8.6</v>
      </c>
      <c r="K423" s="39"/>
      <c r="L423" s="39"/>
      <c r="M423" s="38">
        <f t="shared" ref="M423:M430" si="88">ROUND(ROUND(J423, 2)*I423, 2)</f>
        <v>0</v>
      </c>
      <c r="N423" s="39"/>
      <c r="O423" s="39"/>
      <c r="P423" s="38">
        <v>8.6</v>
      </c>
      <c r="Q423" s="39"/>
      <c r="R423" s="39"/>
      <c r="S423" s="38">
        <f t="shared" ref="S423:S430" si="89">ROUND(ROUND(P423, 2)*I423, 2)</f>
        <v>0</v>
      </c>
      <c r="T423" s="39"/>
      <c r="U423" s="40"/>
      <c r="V423" s="9">
        <f t="shared" ref="V423:V430" si="90">ROUND(ROUND(P423, 2)/1.2, 2)</f>
        <v>7.17</v>
      </c>
      <c r="Y423" s="9">
        <f t="shared" ref="Y423:Y435" si="91">ROUND(S423 / 1.2, 2)</f>
        <v>0</v>
      </c>
      <c r="AD423" s="4" t="s">
        <v>1197</v>
      </c>
      <c r="AE423" s="4" t="s">
        <v>1198</v>
      </c>
      <c r="AF423" s="4" t="s">
        <v>1199</v>
      </c>
    </row>
    <row r="424" spans="1:35" ht="18" x14ac:dyDescent="0.35">
      <c r="A424" s="23" t="s">
        <v>1200</v>
      </c>
      <c r="B424" s="23"/>
      <c r="C424" s="41" t="s">
        <v>1196</v>
      </c>
      <c r="D424" s="25"/>
      <c r="E424" s="25"/>
      <c r="F424" s="42" t="s">
        <v>498</v>
      </c>
      <c r="G424" s="43">
        <v>1.3</v>
      </c>
      <c r="H424" s="25"/>
      <c r="I424" s="50">
        <v>199157.4</v>
      </c>
      <c r="J424" s="44">
        <v>8.6</v>
      </c>
      <c r="K424" s="45"/>
      <c r="L424" s="45"/>
      <c r="M424" s="44">
        <f t="shared" si="88"/>
        <v>1712753.64</v>
      </c>
      <c r="N424" s="45"/>
      <c r="O424" s="45"/>
      <c r="P424" s="44">
        <v>8.6</v>
      </c>
      <c r="Q424" s="45"/>
      <c r="R424" s="45"/>
      <c r="S424" s="44">
        <f t="shared" si="89"/>
        <v>1712753.64</v>
      </c>
      <c r="T424" s="45"/>
      <c r="U424" s="46"/>
      <c r="V424" s="9">
        <f t="shared" si="90"/>
        <v>7.17</v>
      </c>
      <c r="Y424" s="9">
        <f t="shared" si="91"/>
        <v>1427294.7</v>
      </c>
      <c r="AD424" s="4" t="s">
        <v>1201</v>
      </c>
      <c r="AE424" s="4" t="s">
        <v>1198</v>
      </c>
      <c r="AF424" s="4" t="s">
        <v>1199</v>
      </c>
    </row>
    <row r="425" spans="1:35" ht="18" x14ac:dyDescent="0.35">
      <c r="A425" s="17" t="s">
        <v>1202</v>
      </c>
      <c r="B425" s="17"/>
      <c r="C425" s="34" t="s">
        <v>1203</v>
      </c>
      <c r="D425" s="19"/>
      <c r="E425" s="19"/>
      <c r="F425" s="35" t="s">
        <v>63</v>
      </c>
      <c r="G425" s="36">
        <v>1.1000000000000001</v>
      </c>
      <c r="H425" s="19"/>
      <c r="I425" s="37">
        <v>0</v>
      </c>
      <c r="J425" s="38">
        <v>26</v>
      </c>
      <c r="K425" s="39"/>
      <c r="L425" s="39"/>
      <c r="M425" s="38">
        <f t="shared" si="88"/>
        <v>0</v>
      </c>
      <c r="N425" s="39"/>
      <c r="O425" s="39"/>
      <c r="P425" s="38">
        <v>26</v>
      </c>
      <c r="Q425" s="39"/>
      <c r="R425" s="39"/>
      <c r="S425" s="38">
        <f t="shared" si="89"/>
        <v>0</v>
      </c>
      <c r="T425" s="39"/>
      <c r="U425" s="40"/>
      <c r="V425" s="9">
        <f t="shared" si="90"/>
        <v>21.67</v>
      </c>
      <c r="Y425" s="9">
        <f t="shared" si="91"/>
        <v>0</v>
      </c>
      <c r="AD425" s="4" t="s">
        <v>1204</v>
      </c>
      <c r="AE425" s="4" t="s">
        <v>1205</v>
      </c>
      <c r="AF425" s="4" t="s">
        <v>1206</v>
      </c>
    </row>
    <row r="426" spans="1:35" ht="18" x14ac:dyDescent="0.35">
      <c r="A426" s="23" t="s">
        <v>1207</v>
      </c>
      <c r="B426" s="23"/>
      <c r="C426" s="41" t="s">
        <v>1203</v>
      </c>
      <c r="D426" s="25"/>
      <c r="E426" s="25"/>
      <c r="F426" s="42" t="s">
        <v>63</v>
      </c>
      <c r="G426" s="43">
        <v>1.1000000000000001</v>
      </c>
      <c r="H426" s="25"/>
      <c r="I426" s="43">
        <v>8425.89</v>
      </c>
      <c r="J426" s="44">
        <v>26</v>
      </c>
      <c r="K426" s="45"/>
      <c r="L426" s="45"/>
      <c r="M426" s="44">
        <f t="shared" si="88"/>
        <v>219073.14</v>
      </c>
      <c r="N426" s="45"/>
      <c r="O426" s="45"/>
      <c r="P426" s="44">
        <v>26</v>
      </c>
      <c r="Q426" s="45"/>
      <c r="R426" s="45"/>
      <c r="S426" s="44">
        <f t="shared" si="89"/>
        <v>219073.14</v>
      </c>
      <c r="T426" s="45"/>
      <c r="U426" s="46"/>
      <c r="V426" s="9">
        <f t="shared" si="90"/>
        <v>21.67</v>
      </c>
      <c r="Y426" s="9">
        <f t="shared" si="91"/>
        <v>182560.95</v>
      </c>
      <c r="AD426" s="4" t="s">
        <v>1208</v>
      </c>
      <c r="AE426" s="4" t="s">
        <v>1205</v>
      </c>
      <c r="AF426" s="4" t="s">
        <v>1206</v>
      </c>
    </row>
    <row r="427" spans="1:35" ht="18" x14ac:dyDescent="0.35">
      <c r="A427" s="17" t="s">
        <v>1209</v>
      </c>
      <c r="B427" s="17"/>
      <c r="C427" s="34" t="s">
        <v>1210</v>
      </c>
      <c r="D427" s="19"/>
      <c r="E427" s="19"/>
      <c r="F427" s="35" t="s">
        <v>78</v>
      </c>
      <c r="G427" s="36">
        <v>1</v>
      </c>
      <c r="H427" s="19"/>
      <c r="I427" s="48">
        <v>0</v>
      </c>
      <c r="J427" s="38">
        <v>15.76</v>
      </c>
      <c r="K427" s="39"/>
      <c r="L427" s="39"/>
      <c r="M427" s="38">
        <f t="shared" si="88"/>
        <v>0</v>
      </c>
      <c r="N427" s="39"/>
      <c r="O427" s="39"/>
      <c r="P427" s="38">
        <v>15.76</v>
      </c>
      <c r="Q427" s="39"/>
      <c r="R427" s="39"/>
      <c r="S427" s="38">
        <f t="shared" si="89"/>
        <v>0</v>
      </c>
      <c r="T427" s="39"/>
      <c r="U427" s="40"/>
      <c r="V427" s="9">
        <f t="shared" si="90"/>
        <v>13.13</v>
      </c>
      <c r="Y427" s="9">
        <f t="shared" si="91"/>
        <v>0</v>
      </c>
      <c r="AD427" s="4" t="s">
        <v>1211</v>
      </c>
      <c r="AE427" s="4" t="s">
        <v>1212</v>
      </c>
      <c r="AF427" s="4" t="s">
        <v>1213</v>
      </c>
    </row>
    <row r="428" spans="1:35" ht="18" x14ac:dyDescent="0.35">
      <c r="A428" s="23" t="s">
        <v>1214</v>
      </c>
      <c r="B428" s="23"/>
      <c r="C428" s="41" t="s">
        <v>1210</v>
      </c>
      <c r="D428" s="25"/>
      <c r="E428" s="25"/>
      <c r="F428" s="42" t="s">
        <v>78</v>
      </c>
      <c r="G428" s="43">
        <v>1</v>
      </c>
      <c r="H428" s="25"/>
      <c r="I428" s="50">
        <v>7659.9</v>
      </c>
      <c r="J428" s="44">
        <v>15.76</v>
      </c>
      <c r="K428" s="45"/>
      <c r="L428" s="45"/>
      <c r="M428" s="44">
        <f t="shared" si="88"/>
        <v>120720.02</v>
      </c>
      <c r="N428" s="45"/>
      <c r="O428" s="45"/>
      <c r="P428" s="44">
        <v>15.76</v>
      </c>
      <c r="Q428" s="45"/>
      <c r="R428" s="45"/>
      <c r="S428" s="44">
        <f t="shared" si="89"/>
        <v>120720.02</v>
      </c>
      <c r="T428" s="45"/>
      <c r="U428" s="46"/>
      <c r="V428" s="9">
        <f t="shared" si="90"/>
        <v>13.13</v>
      </c>
      <c r="Y428" s="9">
        <f t="shared" si="91"/>
        <v>100600.02</v>
      </c>
      <c r="AD428" s="4" t="s">
        <v>1215</v>
      </c>
      <c r="AE428" s="4" t="s">
        <v>1212</v>
      </c>
      <c r="AF428" s="4" t="s">
        <v>1213</v>
      </c>
    </row>
    <row r="429" spans="1:35" ht="36" x14ac:dyDescent="0.35">
      <c r="A429" s="17" t="s">
        <v>1216</v>
      </c>
      <c r="B429" s="17"/>
      <c r="C429" s="34" t="s">
        <v>925</v>
      </c>
      <c r="D429" s="19"/>
      <c r="E429" s="19"/>
      <c r="F429" s="35" t="s">
        <v>498</v>
      </c>
      <c r="G429" s="36">
        <v>0.15</v>
      </c>
      <c r="H429" s="19"/>
      <c r="I429" s="37">
        <v>0</v>
      </c>
      <c r="J429" s="38">
        <v>88.8</v>
      </c>
      <c r="K429" s="39"/>
      <c r="L429" s="39"/>
      <c r="M429" s="38">
        <f t="shared" si="88"/>
        <v>0</v>
      </c>
      <c r="N429" s="39"/>
      <c r="O429" s="39"/>
      <c r="P429" s="38">
        <v>88.8</v>
      </c>
      <c r="Q429" s="39"/>
      <c r="R429" s="39"/>
      <c r="S429" s="38">
        <f t="shared" si="89"/>
        <v>0</v>
      </c>
      <c r="T429" s="39"/>
      <c r="U429" s="40"/>
      <c r="V429" s="9">
        <f t="shared" si="90"/>
        <v>74</v>
      </c>
      <c r="Y429" s="9">
        <f t="shared" si="91"/>
        <v>0</v>
      </c>
      <c r="AD429" s="4" t="s">
        <v>1217</v>
      </c>
      <c r="AE429" s="4" t="s">
        <v>1218</v>
      </c>
      <c r="AF429" s="4" t="s">
        <v>928</v>
      </c>
    </row>
    <row r="430" spans="1:35" ht="36" x14ac:dyDescent="0.35">
      <c r="A430" s="23" t="s">
        <v>1219</v>
      </c>
      <c r="B430" s="23"/>
      <c r="C430" s="41" t="s">
        <v>925</v>
      </c>
      <c r="D430" s="25"/>
      <c r="E430" s="25"/>
      <c r="F430" s="42" t="s">
        <v>498</v>
      </c>
      <c r="G430" s="43">
        <v>0.15</v>
      </c>
      <c r="H430" s="25"/>
      <c r="I430" s="43">
        <v>1148.9849999999999</v>
      </c>
      <c r="J430" s="44">
        <v>88.8</v>
      </c>
      <c r="K430" s="45"/>
      <c r="L430" s="45"/>
      <c r="M430" s="44">
        <f t="shared" si="88"/>
        <v>102029.87</v>
      </c>
      <c r="N430" s="45"/>
      <c r="O430" s="45"/>
      <c r="P430" s="44">
        <v>88.8</v>
      </c>
      <c r="Q430" s="45"/>
      <c r="R430" s="45"/>
      <c r="S430" s="44">
        <f t="shared" si="89"/>
        <v>102029.87</v>
      </c>
      <c r="T430" s="45"/>
      <c r="U430" s="46"/>
      <c r="V430" s="9">
        <f t="shared" si="90"/>
        <v>74</v>
      </c>
      <c r="Y430" s="9">
        <f t="shared" si="91"/>
        <v>85024.89</v>
      </c>
      <c r="AD430" s="4" t="s">
        <v>1220</v>
      </c>
      <c r="AE430" s="4" t="s">
        <v>1218</v>
      </c>
      <c r="AF430" s="4" t="s">
        <v>928</v>
      </c>
    </row>
    <row r="431" spans="1:35" ht="72" x14ac:dyDescent="0.35">
      <c r="A431" s="51" t="s">
        <v>1221</v>
      </c>
      <c r="B431" s="51" t="s">
        <v>1188</v>
      </c>
      <c r="C431" s="52" t="s">
        <v>1189</v>
      </c>
      <c r="D431" s="53" t="s">
        <v>1190</v>
      </c>
      <c r="E431" s="53" t="s">
        <v>1194</v>
      </c>
      <c r="F431" s="53" t="s">
        <v>63</v>
      </c>
      <c r="G431" s="54">
        <v>1</v>
      </c>
      <c r="H431" s="53"/>
      <c r="I431" s="54">
        <v>0</v>
      </c>
      <c r="J431" s="55">
        <f>IFERROR(ROUND(SUM(M432,M433,M434,M435)/I431, 2),0)</f>
        <v>0</v>
      </c>
      <c r="K431" s="55">
        <v>954</v>
      </c>
      <c r="L431" s="55">
        <f>J431+ROUND(K431, 2)</f>
        <v>954</v>
      </c>
      <c r="M431" s="55">
        <f>ROUND(J431*I431, 2)</f>
        <v>0</v>
      </c>
      <c r="N431" s="55">
        <f>ROUND(I431*ROUND(K431, 2), 2)</f>
        <v>0</v>
      </c>
      <c r="O431" s="55">
        <f>M431+N431</f>
        <v>0</v>
      </c>
      <c r="P431" s="55">
        <f>IFERROR(ROUND(SUM(S432,S433,S434,S435)/I431, 2),0)</f>
        <v>0</v>
      </c>
      <c r="Q431" s="55">
        <v>1431</v>
      </c>
      <c r="R431" s="55">
        <f>P431+ROUND(Q431, 2)</f>
        <v>1431</v>
      </c>
      <c r="S431" s="55">
        <f>ROUND(P431*I431, 2)</f>
        <v>0</v>
      </c>
      <c r="T431" s="55">
        <f>ROUND(I431*ROUND(Q431, 2), 2)</f>
        <v>0</v>
      </c>
      <c r="U431" s="55">
        <f>S431+T431</f>
        <v>0</v>
      </c>
      <c r="V431" s="9">
        <f>ROUND(P431 / 1.2, 2)</f>
        <v>0</v>
      </c>
      <c r="W431" s="9">
        <f>ROUND(Q431 / 1.2, 2)</f>
        <v>1192.5</v>
      </c>
      <c r="X431" s="9">
        <f>ROUND(R431 / 1.2, 2)</f>
        <v>1192.5</v>
      </c>
      <c r="Y431" s="9">
        <f t="shared" si="91"/>
        <v>0</v>
      </c>
      <c r="Z431" s="9">
        <f>ROUND(T431 / 1.2, 2)</f>
        <v>0</v>
      </c>
      <c r="AA431" s="9">
        <f>Y431+Z431</f>
        <v>0</v>
      </c>
      <c r="AD431" s="4">
        <v>305117052</v>
      </c>
      <c r="AE431" s="4">
        <v>22135687</v>
      </c>
      <c r="AG431" s="4" t="s">
        <v>1191</v>
      </c>
      <c r="AH431" s="4" t="s">
        <v>1192</v>
      </c>
      <c r="AI431" s="4" t="s">
        <v>467</v>
      </c>
    </row>
    <row r="432" spans="1:35" ht="36" x14ac:dyDescent="0.35">
      <c r="A432" s="51" t="s">
        <v>1222</v>
      </c>
      <c r="B432" s="51"/>
      <c r="C432" s="56" t="s">
        <v>925</v>
      </c>
      <c r="D432" s="53"/>
      <c r="E432" s="53"/>
      <c r="F432" s="57" t="s">
        <v>498</v>
      </c>
      <c r="G432" s="58">
        <v>0.15</v>
      </c>
      <c r="H432" s="53"/>
      <c r="I432" s="58">
        <v>0</v>
      </c>
      <c r="J432" s="59">
        <v>88.8</v>
      </c>
      <c r="K432" s="60"/>
      <c r="L432" s="60"/>
      <c r="M432" s="59">
        <f>ROUND(ROUND(J432, 2)*I432, 2)</f>
        <v>0</v>
      </c>
      <c r="N432" s="60"/>
      <c r="O432" s="60"/>
      <c r="P432" s="59">
        <v>88.8</v>
      </c>
      <c r="Q432" s="60"/>
      <c r="R432" s="60"/>
      <c r="S432" s="59">
        <f>ROUND(ROUND(P432, 2)*I432, 2)</f>
        <v>0</v>
      </c>
      <c r="T432" s="60"/>
      <c r="U432" s="61"/>
      <c r="V432" s="9">
        <f>ROUND(ROUND(P432, 2)/1.2, 2)</f>
        <v>74</v>
      </c>
      <c r="Y432" s="9">
        <f t="shared" si="91"/>
        <v>0</v>
      </c>
      <c r="AD432" s="4" t="s">
        <v>1223</v>
      </c>
      <c r="AE432" s="4" t="s">
        <v>1224</v>
      </c>
      <c r="AF432" s="4" t="s">
        <v>928</v>
      </c>
    </row>
    <row r="433" spans="1:35" ht="18" x14ac:dyDescent="0.35">
      <c r="A433" s="51" t="s">
        <v>1225</v>
      </c>
      <c r="B433" s="51"/>
      <c r="C433" s="56" t="s">
        <v>1210</v>
      </c>
      <c r="D433" s="53"/>
      <c r="E433" s="53"/>
      <c r="F433" s="57" t="s">
        <v>78</v>
      </c>
      <c r="G433" s="58">
        <v>1</v>
      </c>
      <c r="H433" s="53"/>
      <c r="I433" s="62">
        <v>7659.9</v>
      </c>
      <c r="J433" s="59">
        <v>15.76</v>
      </c>
      <c r="K433" s="60"/>
      <c r="L433" s="60"/>
      <c r="M433" s="59">
        <f>ROUND(ROUND(J433, 2)*I433, 2)</f>
        <v>120720.02</v>
      </c>
      <c r="N433" s="60"/>
      <c r="O433" s="60"/>
      <c r="P433" s="59">
        <v>15.76</v>
      </c>
      <c r="Q433" s="60"/>
      <c r="R433" s="60"/>
      <c r="S433" s="59">
        <f>ROUND(ROUND(P433, 2)*I433, 2)</f>
        <v>120720.02</v>
      </c>
      <c r="T433" s="60"/>
      <c r="U433" s="61"/>
      <c r="V433" s="9">
        <f>ROUND(ROUND(P433, 2)/1.2, 2)</f>
        <v>13.13</v>
      </c>
      <c r="Y433" s="9">
        <f t="shared" si="91"/>
        <v>100600.02</v>
      </c>
      <c r="AD433" s="4" t="s">
        <v>1226</v>
      </c>
      <c r="AE433" s="4" t="s">
        <v>1227</v>
      </c>
      <c r="AF433" s="4" t="s">
        <v>1213</v>
      </c>
    </row>
    <row r="434" spans="1:35" ht="18" x14ac:dyDescent="0.35">
      <c r="A434" s="51" t="s">
        <v>1228</v>
      </c>
      <c r="B434" s="51"/>
      <c r="C434" s="56" t="s">
        <v>1203</v>
      </c>
      <c r="D434" s="53"/>
      <c r="E434" s="53"/>
      <c r="F434" s="57" t="s">
        <v>63</v>
      </c>
      <c r="G434" s="58">
        <v>1.1000000000000001</v>
      </c>
      <c r="H434" s="53"/>
      <c r="I434" s="58">
        <v>0</v>
      </c>
      <c r="J434" s="59">
        <v>26</v>
      </c>
      <c r="K434" s="60"/>
      <c r="L434" s="60"/>
      <c r="M434" s="59">
        <f>ROUND(ROUND(J434, 2)*I434, 2)</f>
        <v>0</v>
      </c>
      <c r="N434" s="60"/>
      <c r="O434" s="60"/>
      <c r="P434" s="59">
        <v>26</v>
      </c>
      <c r="Q434" s="60"/>
      <c r="R434" s="60"/>
      <c r="S434" s="59">
        <f>ROUND(ROUND(P434, 2)*I434, 2)</f>
        <v>0</v>
      </c>
      <c r="T434" s="60"/>
      <c r="U434" s="61"/>
      <c r="V434" s="9">
        <f>ROUND(ROUND(P434, 2)/1.2, 2)</f>
        <v>21.67</v>
      </c>
      <c r="Y434" s="9">
        <f t="shared" si="91"/>
        <v>0</v>
      </c>
      <c r="AD434" s="4" t="s">
        <v>1229</v>
      </c>
      <c r="AE434" s="4" t="s">
        <v>1230</v>
      </c>
      <c r="AF434" s="4" t="s">
        <v>1206</v>
      </c>
    </row>
    <row r="435" spans="1:35" ht="18" x14ac:dyDescent="0.35">
      <c r="A435" s="51" t="s">
        <v>1231</v>
      </c>
      <c r="B435" s="51"/>
      <c r="C435" s="56" t="s">
        <v>1196</v>
      </c>
      <c r="D435" s="53"/>
      <c r="E435" s="53"/>
      <c r="F435" s="57" t="s">
        <v>498</v>
      </c>
      <c r="G435" s="58">
        <v>1.3</v>
      </c>
      <c r="H435" s="53"/>
      <c r="I435" s="62">
        <v>199157.4</v>
      </c>
      <c r="J435" s="59">
        <v>8.6</v>
      </c>
      <c r="K435" s="60"/>
      <c r="L435" s="60"/>
      <c r="M435" s="59">
        <f>ROUND(ROUND(J435, 2)*I435, 2)</f>
        <v>1712753.64</v>
      </c>
      <c r="N435" s="60"/>
      <c r="O435" s="60"/>
      <c r="P435" s="59">
        <v>8.6</v>
      </c>
      <c r="Q435" s="60"/>
      <c r="R435" s="60"/>
      <c r="S435" s="59">
        <f>ROUND(ROUND(P435, 2)*I435, 2)</f>
        <v>1712753.64</v>
      </c>
      <c r="T435" s="60"/>
      <c r="U435" s="61"/>
      <c r="V435" s="9">
        <f>ROUND(ROUND(P435, 2)/1.2, 2)</f>
        <v>7.17</v>
      </c>
      <c r="Y435" s="9">
        <f t="shared" si="91"/>
        <v>1427294.7</v>
      </c>
      <c r="AD435" s="4" t="s">
        <v>1232</v>
      </c>
      <c r="AE435" s="4" t="s">
        <v>1233</v>
      </c>
      <c r="AF435" s="4" t="s">
        <v>1199</v>
      </c>
    </row>
    <row r="436" spans="1:35" ht="17" customHeight="1" x14ac:dyDescent="0.35">
      <c r="A436" s="10" t="s">
        <v>1234</v>
      </c>
      <c r="B436" s="10" t="s">
        <v>1235</v>
      </c>
      <c r="C436" s="174" t="s">
        <v>1236</v>
      </c>
      <c r="D436" s="175"/>
      <c r="E436" s="175"/>
      <c r="F436" s="175"/>
      <c r="G436" s="175"/>
      <c r="H436" s="175"/>
      <c r="I436" s="176"/>
      <c r="M436" s="6">
        <f>SUM(M437,M441,M443,M449,M455,M458,M461,M471)</f>
        <v>0</v>
      </c>
      <c r="N436" s="6">
        <f>SUM(N437,N441,N443,N449,N455,N458,N461,N471)</f>
        <v>0</v>
      </c>
      <c r="O436" s="6">
        <f>SUM(O437,O441,O443,O449,O455,O458,O461,O471)</f>
        <v>0</v>
      </c>
      <c r="S436" s="6">
        <f>SUM(S437,S441,S443,S449,S455,S458,S461,S471)</f>
        <v>0</v>
      </c>
      <c r="T436" s="6">
        <f>SUM(T437,T441,T443,T449,T455,T458,T461,T471)</f>
        <v>0</v>
      </c>
      <c r="U436" s="6">
        <f>SUM(U437,U441,U443,U449,U455,U458,U461,U471)</f>
        <v>0</v>
      </c>
      <c r="Y436" s="9">
        <f>SUM(Y437,Y441,Y443,Y449,Y455,Y458,Y461,Y471)</f>
        <v>0</v>
      </c>
      <c r="Z436" s="9">
        <f>SUM(Z437,Z441,Z443,Z449,Z455,Z458,Z461,Z471)</f>
        <v>0</v>
      </c>
      <c r="AA436" s="9">
        <f>SUM(AA437,AA441,AA443,AA449,AA455,AA458,AA461,AA471)</f>
        <v>0</v>
      </c>
      <c r="AD436" s="4">
        <v>305116977</v>
      </c>
      <c r="AE436" s="4">
        <v>20927095</v>
      </c>
    </row>
    <row r="437" spans="1:35" ht="18" x14ac:dyDescent="0.35">
      <c r="A437" s="17" t="s">
        <v>1237</v>
      </c>
      <c r="B437" s="17" t="s">
        <v>1238</v>
      </c>
      <c r="C437" s="18" t="s">
        <v>1239</v>
      </c>
      <c r="D437" s="19"/>
      <c r="E437" s="19"/>
      <c r="F437" s="19" t="s">
        <v>63</v>
      </c>
      <c r="G437" s="20">
        <v>1</v>
      </c>
      <c r="H437" s="19"/>
      <c r="I437" s="21">
        <v>0</v>
      </c>
      <c r="J437" s="22">
        <v>418</v>
      </c>
      <c r="K437" s="22">
        <v>1010</v>
      </c>
      <c r="L437" s="22">
        <f>J437+ROUND(K437, 2)</f>
        <v>1428</v>
      </c>
      <c r="M437" s="22">
        <v>0</v>
      </c>
      <c r="N437" s="22">
        <v>0</v>
      </c>
      <c r="O437" s="22">
        <f>M437+N437</f>
        <v>0</v>
      </c>
      <c r="P437" s="22">
        <v>418</v>
      </c>
      <c r="Q437" s="22">
        <v>1010</v>
      </c>
      <c r="R437" s="22">
        <f>P437+ROUND(Q437, 2)</f>
        <v>1428</v>
      </c>
      <c r="S437" s="22">
        <v>0</v>
      </c>
      <c r="T437" s="22">
        <v>0</v>
      </c>
      <c r="U437" s="22">
        <f>S437+T437</f>
        <v>0</v>
      </c>
      <c r="V437" s="9">
        <f>ROUND(P437 / 1.2, 2)</f>
        <v>348.33</v>
      </c>
      <c r="W437" s="9">
        <f>ROUND(Q437 / 1.2, 2)</f>
        <v>841.67</v>
      </c>
      <c r="X437" s="9">
        <f>ROUND(R437 / 1.2, 2)</f>
        <v>1190</v>
      </c>
      <c r="Y437" s="9">
        <f>ROUND(S437 / 1.2, 2)</f>
        <v>0</v>
      </c>
      <c r="Z437" s="9">
        <f>ROUND(T437 / 1.2, 2)</f>
        <v>0</v>
      </c>
      <c r="AA437" s="9">
        <f>Y437+Z437</f>
        <v>0</v>
      </c>
      <c r="AD437" s="4">
        <v>305116979</v>
      </c>
      <c r="AE437" s="4">
        <v>20927367</v>
      </c>
      <c r="AG437" s="4" t="s">
        <v>1240</v>
      </c>
      <c r="AH437" s="4" t="s">
        <v>1241</v>
      </c>
      <c r="AI437" s="4" t="s">
        <v>467</v>
      </c>
    </row>
    <row r="438" spans="1:35" ht="54" x14ac:dyDescent="0.35">
      <c r="A438" s="23" t="s">
        <v>1242</v>
      </c>
      <c r="B438" s="23" t="s">
        <v>1238</v>
      </c>
      <c r="C438" s="24" t="s">
        <v>1239</v>
      </c>
      <c r="D438" s="25"/>
      <c r="E438" s="25" t="s">
        <v>1243</v>
      </c>
      <c r="F438" s="25" t="s">
        <v>63</v>
      </c>
      <c r="G438" s="26">
        <v>1</v>
      </c>
      <c r="H438" s="25"/>
      <c r="I438" s="26">
        <v>2373.3000000000002</v>
      </c>
      <c r="J438" s="27">
        <v>418</v>
      </c>
      <c r="K438" s="27">
        <v>1010</v>
      </c>
      <c r="L438" s="27">
        <v>1010</v>
      </c>
      <c r="M438" s="27">
        <v>992039.4</v>
      </c>
      <c r="N438" s="27">
        <v>2397033</v>
      </c>
      <c r="O438" s="27"/>
      <c r="P438" s="27">
        <v>418</v>
      </c>
      <c r="Q438" s="27">
        <v>1010</v>
      </c>
      <c r="R438" s="27">
        <v>1010</v>
      </c>
      <c r="S438" s="27">
        <v>992039.4</v>
      </c>
      <c r="T438" s="27">
        <v>2397033</v>
      </c>
      <c r="U438" s="27"/>
      <c r="V438" s="9"/>
      <c r="W438" s="9">
        <f>ROUND(Q438 / 1.2, 2)</f>
        <v>841.67</v>
      </c>
      <c r="X438" s="9">
        <f>ROUND(R438 / 1.2, 2)</f>
        <v>841.67</v>
      </c>
      <c r="Y438" s="9"/>
      <c r="Z438" s="9">
        <f>ROUND(T438 / 1.2, 2)</f>
        <v>1997527.5</v>
      </c>
      <c r="AA438" s="9"/>
      <c r="AD438" s="4">
        <v>276896404</v>
      </c>
      <c r="AE438" s="4">
        <v>20927367</v>
      </c>
      <c r="AG438" s="4" t="s">
        <v>1240</v>
      </c>
      <c r="AH438" s="4" t="s">
        <v>1241</v>
      </c>
      <c r="AI438" s="4"/>
    </row>
    <row r="439" spans="1:35" ht="18" x14ac:dyDescent="0.35">
      <c r="A439" s="17" t="s">
        <v>1244</v>
      </c>
      <c r="B439" s="17"/>
      <c r="C439" s="34" t="s">
        <v>1245</v>
      </c>
      <c r="D439" s="19"/>
      <c r="E439" s="19"/>
      <c r="F439" s="35" t="s">
        <v>490</v>
      </c>
      <c r="G439" s="36">
        <v>1</v>
      </c>
      <c r="H439" s="19"/>
      <c r="I439" s="37">
        <v>0</v>
      </c>
      <c r="J439" s="38">
        <v>418</v>
      </c>
      <c r="K439" s="39"/>
      <c r="L439" s="39"/>
      <c r="M439" s="38">
        <f>ROUND(ROUND(J439, 2)*I439, 2)</f>
        <v>0</v>
      </c>
      <c r="N439" s="39"/>
      <c r="O439" s="39"/>
      <c r="P439" s="38">
        <v>418</v>
      </c>
      <c r="Q439" s="39"/>
      <c r="R439" s="39"/>
      <c r="S439" s="38">
        <f>ROUND(ROUND(P439, 2)*I439, 2)</f>
        <v>0</v>
      </c>
      <c r="T439" s="39"/>
      <c r="U439" s="40"/>
      <c r="V439" s="9">
        <f>ROUND(ROUND(P439, 2)/1.2, 2)</f>
        <v>348.33</v>
      </c>
      <c r="Y439" s="9">
        <f>ROUND(S439 / 1.2, 2)</f>
        <v>0</v>
      </c>
      <c r="AD439" s="4" t="s">
        <v>1246</v>
      </c>
      <c r="AE439" s="4" t="s">
        <v>1247</v>
      </c>
      <c r="AF439" s="4" t="s">
        <v>1248</v>
      </c>
    </row>
    <row r="440" spans="1:35" ht="18" x14ac:dyDescent="0.35">
      <c r="A440" s="23" t="s">
        <v>1249</v>
      </c>
      <c r="B440" s="23"/>
      <c r="C440" s="41" t="s">
        <v>1245</v>
      </c>
      <c r="D440" s="25"/>
      <c r="E440" s="25"/>
      <c r="F440" s="42" t="s">
        <v>490</v>
      </c>
      <c r="G440" s="43">
        <v>1</v>
      </c>
      <c r="H440" s="25"/>
      <c r="I440" s="43">
        <v>2373.3000000000002</v>
      </c>
      <c r="J440" s="44">
        <v>418</v>
      </c>
      <c r="K440" s="45"/>
      <c r="L440" s="45"/>
      <c r="M440" s="44">
        <f>ROUND(ROUND(J440, 2)*I440, 2)</f>
        <v>992039.4</v>
      </c>
      <c r="N440" s="45"/>
      <c r="O440" s="45"/>
      <c r="P440" s="44">
        <v>418</v>
      </c>
      <c r="Q440" s="45"/>
      <c r="R440" s="45"/>
      <c r="S440" s="44">
        <f>ROUND(ROUND(P440, 2)*I440, 2)</f>
        <v>992039.4</v>
      </c>
      <c r="T440" s="45"/>
      <c r="U440" s="46"/>
      <c r="V440" s="9">
        <f>ROUND(ROUND(P440, 2)/1.2, 2)</f>
        <v>348.33</v>
      </c>
      <c r="Y440" s="9">
        <f>ROUND(S440 / 1.2, 2)</f>
        <v>826699.5</v>
      </c>
      <c r="AD440" s="4" t="s">
        <v>1250</v>
      </c>
      <c r="AE440" s="4" t="s">
        <v>1247</v>
      </c>
      <c r="AF440" s="4" t="s">
        <v>1248</v>
      </c>
    </row>
    <row r="441" spans="1:35" ht="54" x14ac:dyDescent="0.35">
      <c r="A441" s="51" t="s">
        <v>1251</v>
      </c>
      <c r="B441" s="51" t="s">
        <v>1238</v>
      </c>
      <c r="C441" s="52" t="s">
        <v>1239</v>
      </c>
      <c r="D441" s="53"/>
      <c r="E441" s="53" t="s">
        <v>1243</v>
      </c>
      <c r="F441" s="53" t="s">
        <v>63</v>
      </c>
      <c r="G441" s="54">
        <v>1</v>
      </c>
      <c r="H441" s="53"/>
      <c r="I441" s="54">
        <v>0</v>
      </c>
      <c r="J441" s="55">
        <f>IFERROR(ROUND(SUM(M442)/I441, 2),0)</f>
        <v>0</v>
      </c>
      <c r="K441" s="55">
        <v>1010</v>
      </c>
      <c r="L441" s="55">
        <f>J441+ROUND(K441, 2)</f>
        <v>1010</v>
      </c>
      <c r="M441" s="55">
        <f>ROUND(J441*I441, 2)</f>
        <v>0</v>
      </c>
      <c r="N441" s="55">
        <f>ROUND(I441*ROUND(K441, 2), 2)</f>
        <v>0</v>
      </c>
      <c r="O441" s="55">
        <f>M441+N441</f>
        <v>0</v>
      </c>
      <c r="P441" s="55">
        <f>IFERROR(ROUND(SUM(S442)/I441, 2),0)</f>
        <v>0</v>
      </c>
      <c r="Q441" s="55">
        <v>1515</v>
      </c>
      <c r="R441" s="55">
        <f>P441+ROUND(Q441, 2)</f>
        <v>1515</v>
      </c>
      <c r="S441" s="55">
        <f>ROUND(P441*I441, 2)</f>
        <v>0</v>
      </c>
      <c r="T441" s="55">
        <f>ROUND(I441*ROUND(Q441, 2), 2)</f>
        <v>0</v>
      </c>
      <c r="U441" s="55">
        <f>S441+T441</f>
        <v>0</v>
      </c>
      <c r="V441" s="9">
        <f>ROUND(P441 / 1.2, 2)</f>
        <v>0</v>
      </c>
      <c r="W441" s="9">
        <f>ROUND(Q441 / 1.2, 2)</f>
        <v>1262.5</v>
      </c>
      <c r="X441" s="9">
        <f>ROUND(R441 / 1.2, 2)</f>
        <v>1262.5</v>
      </c>
      <c r="Y441" s="9">
        <f>ROUND(S441 / 1.2, 2)</f>
        <v>0</v>
      </c>
      <c r="Z441" s="9">
        <f>ROUND(T441 / 1.2, 2)</f>
        <v>0</v>
      </c>
      <c r="AA441" s="9">
        <f>Y441+Z441</f>
        <v>0</v>
      </c>
      <c r="AD441" s="4">
        <v>305117053</v>
      </c>
      <c r="AE441" s="4">
        <v>22135682</v>
      </c>
      <c r="AG441" s="4" t="s">
        <v>1240</v>
      </c>
      <c r="AH441" s="4" t="s">
        <v>1241</v>
      </c>
      <c r="AI441" s="4" t="s">
        <v>467</v>
      </c>
    </row>
    <row r="442" spans="1:35" ht="18" x14ac:dyDescent="0.35">
      <c r="A442" s="51" t="s">
        <v>1252</v>
      </c>
      <c r="B442" s="51"/>
      <c r="C442" s="56" t="s">
        <v>1245</v>
      </c>
      <c r="D442" s="53"/>
      <c r="E442" s="53"/>
      <c r="F442" s="57" t="s">
        <v>490</v>
      </c>
      <c r="G442" s="58">
        <v>1</v>
      </c>
      <c r="H442" s="53"/>
      <c r="I442" s="58">
        <v>0</v>
      </c>
      <c r="J442" s="59">
        <v>418</v>
      </c>
      <c r="K442" s="60"/>
      <c r="L442" s="60"/>
      <c r="M442" s="59">
        <f>ROUND(ROUND(J442, 2)*I442, 2)</f>
        <v>0</v>
      </c>
      <c r="N442" s="60"/>
      <c r="O442" s="60"/>
      <c r="P442" s="59">
        <v>418</v>
      </c>
      <c r="Q442" s="60"/>
      <c r="R442" s="60"/>
      <c r="S442" s="59">
        <f>ROUND(ROUND(P442, 2)*I442, 2)</f>
        <v>0</v>
      </c>
      <c r="T442" s="60"/>
      <c r="U442" s="61"/>
      <c r="V442" s="9">
        <f>ROUND(ROUND(P442, 2)/1.2, 2)</f>
        <v>348.33</v>
      </c>
      <c r="Y442" s="9">
        <f>ROUND(S442 / 1.2, 2)</f>
        <v>0</v>
      </c>
      <c r="AD442" s="4" t="s">
        <v>1253</v>
      </c>
      <c r="AE442" s="4" t="s">
        <v>1254</v>
      </c>
      <c r="AF442" s="4" t="s">
        <v>1248</v>
      </c>
    </row>
    <row r="443" spans="1:35" ht="36" x14ac:dyDescent="0.35">
      <c r="A443" s="17" t="s">
        <v>1255</v>
      </c>
      <c r="B443" s="17" t="s">
        <v>1256</v>
      </c>
      <c r="C443" s="18" t="s">
        <v>1257</v>
      </c>
      <c r="D443" s="19"/>
      <c r="E443" s="19"/>
      <c r="F443" s="19" t="s">
        <v>63</v>
      </c>
      <c r="G443" s="20">
        <v>1</v>
      </c>
      <c r="H443" s="19"/>
      <c r="I443" s="21">
        <v>0</v>
      </c>
      <c r="J443" s="22">
        <v>499.92</v>
      </c>
      <c r="K443" s="22">
        <v>428</v>
      </c>
      <c r="L443" s="22">
        <f>J443+ROUND(K443, 2)</f>
        <v>927.92000000000007</v>
      </c>
      <c r="M443" s="22">
        <v>0</v>
      </c>
      <c r="N443" s="22">
        <v>0</v>
      </c>
      <c r="O443" s="22">
        <f>M443+N443</f>
        <v>0</v>
      </c>
      <c r="P443" s="22">
        <v>58.11</v>
      </c>
      <c r="Q443" s="22">
        <v>428</v>
      </c>
      <c r="R443" s="22">
        <f>P443+ROUND(Q443, 2)</f>
        <v>486.11</v>
      </c>
      <c r="S443" s="22">
        <v>0</v>
      </c>
      <c r="T443" s="22">
        <v>0</v>
      </c>
      <c r="U443" s="22">
        <f>S443+T443</f>
        <v>0</v>
      </c>
      <c r="V443" s="9">
        <f>ROUND(P443 / 1.2, 2)</f>
        <v>48.43</v>
      </c>
      <c r="W443" s="9">
        <f>ROUND(Q443 / 1.2, 2)</f>
        <v>356.67</v>
      </c>
      <c r="X443" s="9">
        <f>ROUND(R443 / 1.2, 2)</f>
        <v>405.09</v>
      </c>
      <c r="Y443" s="9">
        <f>ROUND(S443 / 1.2, 2)</f>
        <v>0</v>
      </c>
      <c r="Z443" s="9">
        <f>ROUND(T443 / 1.2, 2)</f>
        <v>0</v>
      </c>
      <c r="AA443" s="9">
        <f>Y443+Z443</f>
        <v>0</v>
      </c>
      <c r="AD443" s="4">
        <v>305116981</v>
      </c>
      <c r="AE443" s="4">
        <v>20927097</v>
      </c>
      <c r="AG443" s="4" t="s">
        <v>1258</v>
      </c>
      <c r="AH443" s="4" t="s">
        <v>1259</v>
      </c>
      <c r="AI443" s="4" t="s">
        <v>467</v>
      </c>
    </row>
    <row r="444" spans="1:35" ht="108" x14ac:dyDescent="0.35">
      <c r="A444" s="23" t="s">
        <v>1260</v>
      </c>
      <c r="B444" s="23" t="s">
        <v>1256</v>
      </c>
      <c r="C444" s="24" t="s">
        <v>1257</v>
      </c>
      <c r="D444" s="25"/>
      <c r="E444" s="25" t="s">
        <v>1261</v>
      </c>
      <c r="F444" s="25" t="s">
        <v>63</v>
      </c>
      <c r="G444" s="26">
        <v>1</v>
      </c>
      <c r="H444" s="25"/>
      <c r="I444" s="26">
        <v>11850.4</v>
      </c>
      <c r="J444" s="27">
        <v>499.92</v>
      </c>
      <c r="K444" s="27">
        <v>428</v>
      </c>
      <c r="L444" s="27">
        <v>428</v>
      </c>
      <c r="M444" s="27">
        <v>5924251.9699999997</v>
      </c>
      <c r="N444" s="27">
        <v>5071971.2</v>
      </c>
      <c r="O444" s="27"/>
      <c r="P444" s="27">
        <v>58.11</v>
      </c>
      <c r="Q444" s="27">
        <v>428</v>
      </c>
      <c r="R444" s="27">
        <v>428</v>
      </c>
      <c r="S444" s="27">
        <v>688626.74</v>
      </c>
      <c r="T444" s="27">
        <v>5071971.2</v>
      </c>
      <c r="U444" s="27"/>
      <c r="V444" s="9"/>
      <c r="W444" s="9">
        <f>ROUND(Q444 / 1.2, 2)</f>
        <v>356.67</v>
      </c>
      <c r="X444" s="9">
        <f>ROUND(R444 / 1.2, 2)</f>
        <v>356.67</v>
      </c>
      <c r="Y444" s="9"/>
      <c r="Z444" s="9">
        <f>ROUND(T444 / 1.2, 2)</f>
        <v>4226642.67</v>
      </c>
      <c r="AA444" s="9"/>
      <c r="AD444" s="4">
        <v>281765319</v>
      </c>
      <c r="AE444" s="4">
        <v>20927097</v>
      </c>
      <c r="AG444" s="4" t="s">
        <v>1258</v>
      </c>
      <c r="AH444" s="4" t="s">
        <v>1259</v>
      </c>
      <c r="AI444" s="4"/>
    </row>
    <row r="445" spans="1:35" ht="36" x14ac:dyDescent="0.35">
      <c r="A445" s="17" t="s">
        <v>1262</v>
      </c>
      <c r="B445" s="17"/>
      <c r="C445" s="34" t="s">
        <v>925</v>
      </c>
      <c r="D445" s="19"/>
      <c r="E445" s="19"/>
      <c r="F445" s="35" t="s">
        <v>498</v>
      </c>
      <c r="G445" s="36">
        <v>0.15</v>
      </c>
      <c r="H445" s="19"/>
      <c r="I445" s="37">
        <v>0</v>
      </c>
      <c r="J445" s="38">
        <v>88.8</v>
      </c>
      <c r="K445" s="39"/>
      <c r="L445" s="39"/>
      <c r="M445" s="38">
        <f>ROUND(ROUND(J445, 2)*I445, 2)</f>
        <v>0</v>
      </c>
      <c r="N445" s="39"/>
      <c r="O445" s="39"/>
      <c r="P445" s="38">
        <v>88.8</v>
      </c>
      <c r="Q445" s="39"/>
      <c r="R445" s="39"/>
      <c r="S445" s="38">
        <f>ROUND(ROUND(P445, 2)*I445, 2)</f>
        <v>0</v>
      </c>
      <c r="T445" s="39"/>
      <c r="U445" s="40"/>
      <c r="V445" s="9">
        <f>ROUND(ROUND(P445, 2)/1.2, 2)</f>
        <v>74</v>
      </c>
      <c r="Y445" s="9">
        <f>ROUND(S445 / 1.2, 2)</f>
        <v>0</v>
      </c>
      <c r="AD445" s="4" t="s">
        <v>1263</v>
      </c>
      <c r="AE445" s="4" t="s">
        <v>1264</v>
      </c>
      <c r="AF445" s="4" t="s">
        <v>928</v>
      </c>
    </row>
    <row r="446" spans="1:35" ht="36" x14ac:dyDescent="0.35">
      <c r="A446" s="23" t="s">
        <v>1265</v>
      </c>
      <c r="B446" s="23"/>
      <c r="C446" s="41" t="s">
        <v>925</v>
      </c>
      <c r="D446" s="25"/>
      <c r="E446" s="25"/>
      <c r="F446" s="42" t="s">
        <v>498</v>
      </c>
      <c r="G446" s="43">
        <v>0.15</v>
      </c>
      <c r="H446" s="25"/>
      <c r="I446" s="43">
        <v>1777.56</v>
      </c>
      <c r="J446" s="44">
        <v>88.8</v>
      </c>
      <c r="K446" s="45"/>
      <c r="L446" s="45"/>
      <c r="M446" s="44">
        <f>ROUND(ROUND(J446, 2)*I446, 2)</f>
        <v>157847.32999999999</v>
      </c>
      <c r="N446" s="45"/>
      <c r="O446" s="45"/>
      <c r="P446" s="44">
        <v>88.8</v>
      </c>
      <c r="Q446" s="45"/>
      <c r="R446" s="45"/>
      <c r="S446" s="44">
        <f>ROUND(ROUND(P446, 2)*I446, 2)</f>
        <v>157847.32999999999</v>
      </c>
      <c r="T446" s="45"/>
      <c r="U446" s="46"/>
      <c r="V446" s="9">
        <f>ROUND(ROUND(P446, 2)/1.2, 2)</f>
        <v>74</v>
      </c>
      <c r="Y446" s="9">
        <f>ROUND(S446 / 1.2, 2)</f>
        <v>131539.44</v>
      </c>
      <c r="AD446" s="4" t="s">
        <v>1266</v>
      </c>
      <c r="AE446" s="4" t="s">
        <v>1264</v>
      </c>
      <c r="AF446" s="4" t="s">
        <v>928</v>
      </c>
    </row>
    <row r="447" spans="1:35" ht="18" x14ac:dyDescent="0.35">
      <c r="A447" s="17" t="s">
        <v>1267</v>
      </c>
      <c r="B447" s="17"/>
      <c r="C447" s="34" t="s">
        <v>1268</v>
      </c>
      <c r="D447" s="19"/>
      <c r="E447" s="19"/>
      <c r="F447" s="35" t="s">
        <v>498</v>
      </c>
      <c r="G447" s="36">
        <v>0.3</v>
      </c>
      <c r="H447" s="19"/>
      <c r="I447" s="37">
        <v>0</v>
      </c>
      <c r="J447" s="38">
        <v>1622</v>
      </c>
      <c r="K447" s="39"/>
      <c r="L447" s="39"/>
      <c r="M447" s="38">
        <f>ROUND(ROUND(J447, 2)*I447, 2)</f>
        <v>0</v>
      </c>
      <c r="N447" s="39"/>
      <c r="O447" s="39"/>
      <c r="P447" s="38">
        <v>149.31</v>
      </c>
      <c r="Q447" s="39"/>
      <c r="R447" s="39"/>
      <c r="S447" s="38">
        <f>ROUND(ROUND(P447, 2)*I447, 2)</f>
        <v>0</v>
      </c>
      <c r="T447" s="39"/>
      <c r="U447" s="40"/>
      <c r="V447" s="9">
        <f>ROUND(ROUND(P447, 2)/1.2, 2)</f>
        <v>124.43</v>
      </c>
      <c r="Y447" s="9">
        <f>ROUND(S447 / 1.2, 2)</f>
        <v>0</v>
      </c>
      <c r="AD447" s="4" t="s">
        <v>1269</v>
      </c>
      <c r="AE447" s="4" t="s">
        <v>1270</v>
      </c>
      <c r="AF447" s="4" t="s">
        <v>1271</v>
      </c>
    </row>
    <row r="448" spans="1:35" ht="90" x14ac:dyDescent="0.35">
      <c r="A448" s="23" t="s">
        <v>1272</v>
      </c>
      <c r="B448" s="23"/>
      <c r="C448" s="41" t="s">
        <v>1268</v>
      </c>
      <c r="D448" s="25"/>
      <c r="E448" s="25" t="s">
        <v>1273</v>
      </c>
      <c r="F448" s="42" t="s">
        <v>498</v>
      </c>
      <c r="G448" s="43">
        <v>0.3</v>
      </c>
      <c r="H448" s="25"/>
      <c r="I448" s="43">
        <v>3555.12</v>
      </c>
      <c r="J448" s="44">
        <v>1622</v>
      </c>
      <c r="K448" s="45"/>
      <c r="L448" s="45"/>
      <c r="M448" s="44">
        <f>ROUND(ROUND(J448, 2)*I448, 2)</f>
        <v>5766404.6399999997</v>
      </c>
      <c r="N448" s="45"/>
      <c r="O448" s="45"/>
      <c r="P448" s="44">
        <v>149.31</v>
      </c>
      <c r="Q448" s="45"/>
      <c r="R448" s="45"/>
      <c r="S448" s="44">
        <f>ROUND(ROUND(P448, 2)*I448, 2)</f>
        <v>530814.97</v>
      </c>
      <c r="T448" s="45"/>
      <c r="U448" s="46"/>
      <c r="V448" s="9">
        <f>ROUND(ROUND(P448, 2)/1.2, 2)</f>
        <v>124.43</v>
      </c>
      <c r="Y448" s="9">
        <f>ROUND(S448 / 1.2, 2)</f>
        <v>442345.81</v>
      </c>
      <c r="AD448" s="4" t="s">
        <v>1274</v>
      </c>
      <c r="AE448" s="4" t="s">
        <v>1270</v>
      </c>
      <c r="AF448" s="4" t="s">
        <v>1271</v>
      </c>
    </row>
    <row r="449" spans="1:35" ht="36" x14ac:dyDescent="0.35">
      <c r="A449" s="17" t="s">
        <v>1275</v>
      </c>
      <c r="B449" s="17" t="s">
        <v>1256</v>
      </c>
      <c r="C449" s="18" t="s">
        <v>1257</v>
      </c>
      <c r="D449" s="19"/>
      <c r="E449" s="19"/>
      <c r="F449" s="19" t="s">
        <v>63</v>
      </c>
      <c r="G449" s="20">
        <v>1</v>
      </c>
      <c r="H449" s="19"/>
      <c r="I449" s="21">
        <v>0</v>
      </c>
      <c r="J449" s="22">
        <v>499.92</v>
      </c>
      <c r="K449" s="22">
        <v>428</v>
      </c>
      <c r="L449" s="22">
        <f>J449+ROUND(K449, 2)</f>
        <v>927.92000000000007</v>
      </c>
      <c r="M449" s="22">
        <v>0</v>
      </c>
      <c r="N449" s="22">
        <v>0</v>
      </c>
      <c r="O449" s="22">
        <f>M449+N449</f>
        <v>0</v>
      </c>
      <c r="P449" s="22">
        <v>58.11</v>
      </c>
      <c r="Q449" s="22">
        <v>428</v>
      </c>
      <c r="R449" s="22">
        <f>P449+ROUND(Q449, 2)</f>
        <v>486.11</v>
      </c>
      <c r="S449" s="22">
        <v>0</v>
      </c>
      <c r="T449" s="22">
        <v>0</v>
      </c>
      <c r="U449" s="22">
        <f>S449+T449</f>
        <v>0</v>
      </c>
      <c r="V449" s="9">
        <f>ROUND(P449 / 1.2, 2)</f>
        <v>48.43</v>
      </c>
      <c r="W449" s="9">
        <f>ROUND(Q449 / 1.2, 2)</f>
        <v>356.67</v>
      </c>
      <c r="X449" s="9">
        <f>ROUND(R449 / 1.2, 2)</f>
        <v>405.09</v>
      </c>
      <c r="Y449" s="9">
        <f>ROUND(S449 / 1.2, 2)</f>
        <v>0</v>
      </c>
      <c r="Z449" s="9">
        <f>ROUND(T449 / 1.2, 2)</f>
        <v>0</v>
      </c>
      <c r="AA449" s="9">
        <f>Y449+Z449</f>
        <v>0</v>
      </c>
      <c r="AD449" s="4">
        <v>305117054</v>
      </c>
      <c r="AE449" s="4">
        <v>20927144</v>
      </c>
      <c r="AG449" s="4" t="s">
        <v>1258</v>
      </c>
      <c r="AH449" s="4" t="s">
        <v>1259</v>
      </c>
      <c r="AI449" s="4" t="s">
        <v>467</v>
      </c>
    </row>
    <row r="450" spans="1:35" ht="90" x14ac:dyDescent="0.35">
      <c r="A450" s="23" t="s">
        <v>1276</v>
      </c>
      <c r="B450" s="23" t="s">
        <v>1256</v>
      </c>
      <c r="C450" s="24" t="s">
        <v>1257</v>
      </c>
      <c r="D450" s="25"/>
      <c r="E450" s="25" t="s">
        <v>1277</v>
      </c>
      <c r="F450" s="25" t="s">
        <v>63</v>
      </c>
      <c r="G450" s="26">
        <v>1</v>
      </c>
      <c r="H450" s="25"/>
      <c r="I450" s="26">
        <v>3034</v>
      </c>
      <c r="J450" s="27">
        <v>499.92</v>
      </c>
      <c r="K450" s="27">
        <v>428</v>
      </c>
      <c r="L450" s="27">
        <v>428</v>
      </c>
      <c r="M450" s="27">
        <v>1516757.28</v>
      </c>
      <c r="N450" s="27">
        <v>1298552</v>
      </c>
      <c r="O450" s="27"/>
      <c r="P450" s="27">
        <v>58.11</v>
      </c>
      <c r="Q450" s="27">
        <v>428</v>
      </c>
      <c r="R450" s="27">
        <v>428</v>
      </c>
      <c r="S450" s="27">
        <v>176305.74</v>
      </c>
      <c r="T450" s="27">
        <v>1298552</v>
      </c>
      <c r="U450" s="27"/>
      <c r="V450" s="9"/>
      <c r="W450" s="9">
        <f>ROUND(Q450 / 1.2, 2)</f>
        <v>356.67</v>
      </c>
      <c r="X450" s="9">
        <f>ROUND(R450 / 1.2, 2)</f>
        <v>356.67</v>
      </c>
      <c r="Y450" s="9"/>
      <c r="Z450" s="9">
        <f>ROUND(T450 / 1.2, 2)</f>
        <v>1082126.67</v>
      </c>
      <c r="AA450" s="9"/>
      <c r="AD450" s="4">
        <v>281765357</v>
      </c>
      <c r="AE450" s="4">
        <v>20927144</v>
      </c>
      <c r="AG450" s="4" t="s">
        <v>1258</v>
      </c>
      <c r="AH450" s="4" t="s">
        <v>1259</v>
      </c>
      <c r="AI450" s="4"/>
    </row>
    <row r="451" spans="1:35" ht="18" x14ac:dyDescent="0.35">
      <c r="A451" s="17" t="s">
        <v>1278</v>
      </c>
      <c r="B451" s="17"/>
      <c r="C451" s="34" t="s">
        <v>1268</v>
      </c>
      <c r="D451" s="19"/>
      <c r="E451" s="19"/>
      <c r="F451" s="35" t="s">
        <v>498</v>
      </c>
      <c r="G451" s="36">
        <v>0.3</v>
      </c>
      <c r="H451" s="19"/>
      <c r="I451" s="37">
        <v>0</v>
      </c>
      <c r="J451" s="38">
        <v>1622</v>
      </c>
      <c r="K451" s="39"/>
      <c r="L451" s="39"/>
      <c r="M451" s="38">
        <f>ROUND(ROUND(J451, 2)*I451, 2)</f>
        <v>0</v>
      </c>
      <c r="N451" s="39"/>
      <c r="O451" s="39"/>
      <c r="P451" s="38">
        <v>149.31</v>
      </c>
      <c r="Q451" s="39"/>
      <c r="R451" s="39"/>
      <c r="S451" s="38">
        <f>ROUND(ROUND(P451, 2)*I451, 2)</f>
        <v>0</v>
      </c>
      <c r="T451" s="39"/>
      <c r="U451" s="40"/>
      <c r="V451" s="9">
        <f>ROUND(ROUND(P451, 2)/1.2, 2)</f>
        <v>124.43</v>
      </c>
      <c r="Y451" s="9">
        <f t="shared" ref="Y451:Y461" si="92">ROUND(S451 / 1.2, 2)</f>
        <v>0</v>
      </c>
      <c r="AD451" s="4" t="s">
        <v>1279</v>
      </c>
      <c r="AE451" s="4" t="s">
        <v>1280</v>
      </c>
      <c r="AF451" s="4" t="s">
        <v>1271</v>
      </c>
    </row>
    <row r="452" spans="1:35" ht="90" x14ac:dyDescent="0.35">
      <c r="A452" s="23" t="s">
        <v>1281</v>
      </c>
      <c r="B452" s="23"/>
      <c r="C452" s="41" t="s">
        <v>1268</v>
      </c>
      <c r="D452" s="25"/>
      <c r="E452" s="25" t="s">
        <v>1282</v>
      </c>
      <c r="F452" s="42" t="s">
        <v>498</v>
      </c>
      <c r="G452" s="43">
        <v>0.3</v>
      </c>
      <c r="H452" s="25"/>
      <c r="I452" s="43">
        <v>910.2</v>
      </c>
      <c r="J452" s="44">
        <v>1622</v>
      </c>
      <c r="K452" s="45"/>
      <c r="L452" s="45"/>
      <c r="M452" s="44">
        <f>ROUND(ROUND(J452, 2)*I452, 2)</f>
        <v>1476344.4</v>
      </c>
      <c r="N452" s="45"/>
      <c r="O452" s="45"/>
      <c r="P452" s="44">
        <v>149.31</v>
      </c>
      <c r="Q452" s="45"/>
      <c r="R452" s="45"/>
      <c r="S452" s="44">
        <f>ROUND(ROUND(P452, 2)*I452, 2)</f>
        <v>135901.96</v>
      </c>
      <c r="T452" s="45"/>
      <c r="U452" s="46"/>
      <c r="V452" s="9">
        <f>ROUND(ROUND(P452, 2)/1.2, 2)</f>
        <v>124.43</v>
      </c>
      <c r="Y452" s="9">
        <f t="shared" si="92"/>
        <v>113251.63</v>
      </c>
      <c r="AD452" s="4" t="s">
        <v>1283</v>
      </c>
      <c r="AE452" s="4" t="s">
        <v>1280</v>
      </c>
      <c r="AF452" s="4" t="s">
        <v>1271</v>
      </c>
    </row>
    <row r="453" spans="1:35" ht="36" x14ac:dyDescent="0.35">
      <c r="A453" s="17" t="s">
        <v>1284</v>
      </c>
      <c r="B453" s="17"/>
      <c r="C453" s="34" t="s">
        <v>925</v>
      </c>
      <c r="D453" s="19"/>
      <c r="E453" s="19"/>
      <c r="F453" s="35" t="s">
        <v>498</v>
      </c>
      <c r="G453" s="36">
        <v>0.15</v>
      </c>
      <c r="H453" s="19"/>
      <c r="I453" s="37">
        <v>0</v>
      </c>
      <c r="J453" s="38">
        <v>88.8</v>
      </c>
      <c r="K453" s="39"/>
      <c r="L453" s="39"/>
      <c r="M453" s="38">
        <f>ROUND(ROUND(J453, 2)*I453, 2)</f>
        <v>0</v>
      </c>
      <c r="N453" s="39"/>
      <c r="O453" s="39"/>
      <c r="P453" s="38">
        <v>88.8</v>
      </c>
      <c r="Q453" s="39"/>
      <c r="R453" s="39"/>
      <c r="S453" s="38">
        <f>ROUND(ROUND(P453, 2)*I453, 2)</f>
        <v>0</v>
      </c>
      <c r="T453" s="39"/>
      <c r="U453" s="40"/>
      <c r="V453" s="9">
        <f>ROUND(ROUND(P453, 2)/1.2, 2)</f>
        <v>74</v>
      </c>
      <c r="Y453" s="9">
        <f t="shared" si="92"/>
        <v>0</v>
      </c>
      <c r="AD453" s="4" t="s">
        <v>1285</v>
      </c>
      <c r="AE453" s="4" t="s">
        <v>1286</v>
      </c>
      <c r="AF453" s="4" t="s">
        <v>928</v>
      </c>
    </row>
    <row r="454" spans="1:35" ht="36" x14ac:dyDescent="0.35">
      <c r="A454" s="23" t="s">
        <v>1287</v>
      </c>
      <c r="B454" s="23"/>
      <c r="C454" s="41" t="s">
        <v>925</v>
      </c>
      <c r="D454" s="25"/>
      <c r="E454" s="25"/>
      <c r="F454" s="42" t="s">
        <v>498</v>
      </c>
      <c r="G454" s="43">
        <v>0.15</v>
      </c>
      <c r="H454" s="25"/>
      <c r="I454" s="43">
        <v>455.1</v>
      </c>
      <c r="J454" s="44">
        <v>88.8</v>
      </c>
      <c r="K454" s="45"/>
      <c r="L454" s="45"/>
      <c r="M454" s="44">
        <f>ROUND(ROUND(J454, 2)*I454, 2)</f>
        <v>40412.879999999997</v>
      </c>
      <c r="N454" s="45"/>
      <c r="O454" s="45"/>
      <c r="P454" s="44">
        <v>88.8</v>
      </c>
      <c r="Q454" s="45"/>
      <c r="R454" s="45"/>
      <c r="S454" s="44">
        <f>ROUND(ROUND(P454, 2)*I454, 2)</f>
        <v>40412.879999999997</v>
      </c>
      <c r="T454" s="45"/>
      <c r="U454" s="46"/>
      <c r="V454" s="9">
        <f>ROUND(ROUND(P454, 2)/1.2, 2)</f>
        <v>74</v>
      </c>
      <c r="Y454" s="9">
        <f t="shared" si="92"/>
        <v>33677.4</v>
      </c>
      <c r="AD454" s="4" t="s">
        <v>1288</v>
      </c>
      <c r="AE454" s="4" t="s">
        <v>1286</v>
      </c>
      <c r="AF454" s="4" t="s">
        <v>928</v>
      </c>
    </row>
    <row r="455" spans="1:35" ht="108" x14ac:dyDescent="0.35">
      <c r="A455" s="51" t="s">
        <v>1289</v>
      </c>
      <c r="B455" s="51" t="s">
        <v>1256</v>
      </c>
      <c r="C455" s="52" t="s">
        <v>1257</v>
      </c>
      <c r="D455" s="53"/>
      <c r="E455" s="53" t="s">
        <v>1261</v>
      </c>
      <c r="F455" s="53" t="s">
        <v>63</v>
      </c>
      <c r="G455" s="54">
        <v>1</v>
      </c>
      <c r="H455" s="53"/>
      <c r="I455" s="54">
        <v>0</v>
      </c>
      <c r="J455" s="55">
        <f>IFERROR(ROUND(SUM(M456,M457)/I455, 2),0)</f>
        <v>0</v>
      </c>
      <c r="K455" s="55">
        <v>428</v>
      </c>
      <c r="L455" s="55">
        <f>J455+ROUND(K455, 2)</f>
        <v>428</v>
      </c>
      <c r="M455" s="55">
        <f>ROUND(J455*I455, 2)</f>
        <v>0</v>
      </c>
      <c r="N455" s="55">
        <f>ROUND(I455*ROUND(K455, 2), 2)</f>
        <v>0</v>
      </c>
      <c r="O455" s="55">
        <f>M455+N455</f>
        <v>0</v>
      </c>
      <c r="P455" s="55">
        <f>IFERROR(ROUND(SUM(S456,S457)/I455, 2),0)</f>
        <v>0</v>
      </c>
      <c r="Q455" s="55">
        <v>642</v>
      </c>
      <c r="R455" s="55">
        <f>P455+ROUND(Q455, 2)</f>
        <v>642</v>
      </c>
      <c r="S455" s="55">
        <f>ROUND(P455*I455, 2)</f>
        <v>0</v>
      </c>
      <c r="T455" s="55">
        <f>ROUND(I455*ROUND(Q455, 2), 2)</f>
        <v>0</v>
      </c>
      <c r="U455" s="55">
        <f>S455+T455</f>
        <v>0</v>
      </c>
      <c r="V455" s="9">
        <f>ROUND(P455 / 1.2, 2)</f>
        <v>0</v>
      </c>
      <c r="W455" s="9">
        <f>ROUND(Q455 / 1.2, 2)</f>
        <v>535</v>
      </c>
      <c r="X455" s="9">
        <f>ROUND(R455 / 1.2, 2)</f>
        <v>535</v>
      </c>
      <c r="Y455" s="9">
        <f t="shared" si="92"/>
        <v>0</v>
      </c>
      <c r="Z455" s="9">
        <f>ROUND(T455 / 1.2, 2)</f>
        <v>0</v>
      </c>
      <c r="AA455" s="9">
        <f>Y455+Z455</f>
        <v>0</v>
      </c>
      <c r="AD455" s="4">
        <v>305117055</v>
      </c>
      <c r="AE455" s="4">
        <v>22135710</v>
      </c>
      <c r="AG455" s="4" t="s">
        <v>1258</v>
      </c>
      <c r="AH455" s="4" t="s">
        <v>1259</v>
      </c>
      <c r="AI455" s="4" t="s">
        <v>467</v>
      </c>
    </row>
    <row r="456" spans="1:35" ht="36" x14ac:dyDescent="0.35">
      <c r="A456" s="51" t="s">
        <v>1290</v>
      </c>
      <c r="B456" s="51"/>
      <c r="C456" s="56" t="s">
        <v>925</v>
      </c>
      <c r="D456" s="53"/>
      <c r="E456" s="53"/>
      <c r="F456" s="57" t="s">
        <v>498</v>
      </c>
      <c r="G456" s="58">
        <v>0.15</v>
      </c>
      <c r="H456" s="53"/>
      <c r="I456" s="58">
        <v>0</v>
      </c>
      <c r="J456" s="59">
        <v>88.8</v>
      </c>
      <c r="K456" s="60"/>
      <c r="L456" s="60"/>
      <c r="M456" s="59">
        <f>ROUND(ROUND(J456, 2)*I456, 2)</f>
        <v>0</v>
      </c>
      <c r="N456" s="60"/>
      <c r="O456" s="60"/>
      <c r="P456" s="59">
        <v>88.8</v>
      </c>
      <c r="Q456" s="60"/>
      <c r="R456" s="60"/>
      <c r="S456" s="59">
        <f>ROUND(ROUND(P456, 2)*I456, 2)</f>
        <v>0</v>
      </c>
      <c r="T456" s="60"/>
      <c r="U456" s="61"/>
      <c r="V456" s="9">
        <f>ROUND(ROUND(P456, 2)/1.2, 2)</f>
        <v>74</v>
      </c>
      <c r="Y456" s="9">
        <f t="shared" si="92"/>
        <v>0</v>
      </c>
      <c r="AD456" s="4" t="s">
        <v>1291</v>
      </c>
      <c r="AE456" s="4" t="s">
        <v>1292</v>
      </c>
      <c r="AF456" s="4" t="s">
        <v>928</v>
      </c>
    </row>
    <row r="457" spans="1:35" ht="90" x14ac:dyDescent="0.35">
      <c r="A457" s="51" t="s">
        <v>1293</v>
      </c>
      <c r="B457" s="51"/>
      <c r="C457" s="56" t="s">
        <v>1268</v>
      </c>
      <c r="D457" s="53"/>
      <c r="E457" s="53" t="s">
        <v>1273</v>
      </c>
      <c r="F457" s="57" t="s">
        <v>498</v>
      </c>
      <c r="G457" s="58">
        <v>0.3</v>
      </c>
      <c r="H457" s="53"/>
      <c r="I457" s="58">
        <v>0</v>
      </c>
      <c r="J457" s="59">
        <v>1622</v>
      </c>
      <c r="K457" s="60"/>
      <c r="L457" s="60"/>
      <c r="M457" s="59">
        <f>ROUND(ROUND(J457, 2)*I457, 2)</f>
        <v>0</v>
      </c>
      <c r="N457" s="60"/>
      <c r="O457" s="60"/>
      <c r="P457" s="59">
        <v>1622</v>
      </c>
      <c r="Q457" s="60"/>
      <c r="R457" s="60"/>
      <c r="S457" s="59">
        <f>ROUND(ROUND(P457, 2)*I457, 2)</f>
        <v>0</v>
      </c>
      <c r="T457" s="60"/>
      <c r="U457" s="61"/>
      <c r="V457" s="9">
        <f>ROUND(ROUND(P457, 2)/1.2, 2)</f>
        <v>1351.67</v>
      </c>
      <c r="Y457" s="9">
        <f t="shared" si="92"/>
        <v>0</v>
      </c>
      <c r="AD457" s="4" t="s">
        <v>1294</v>
      </c>
      <c r="AE457" s="4" t="s">
        <v>1295</v>
      </c>
      <c r="AF457" s="4" t="s">
        <v>1271</v>
      </c>
    </row>
    <row r="458" spans="1:35" ht="90" x14ac:dyDescent="0.35">
      <c r="A458" s="51" t="s">
        <v>1296</v>
      </c>
      <c r="B458" s="51" t="s">
        <v>1256</v>
      </c>
      <c r="C458" s="52" t="s">
        <v>1257</v>
      </c>
      <c r="D458" s="53"/>
      <c r="E458" s="53" t="s">
        <v>1277</v>
      </c>
      <c r="F458" s="53" t="s">
        <v>63</v>
      </c>
      <c r="G458" s="54">
        <v>1</v>
      </c>
      <c r="H458" s="53"/>
      <c r="I458" s="54">
        <v>0</v>
      </c>
      <c r="J458" s="55">
        <f>IFERROR(ROUND(SUM(M459,M460)/I458, 2),0)</f>
        <v>0</v>
      </c>
      <c r="K458" s="55">
        <v>428</v>
      </c>
      <c r="L458" s="55">
        <f>J458+ROUND(K458, 2)</f>
        <v>428</v>
      </c>
      <c r="M458" s="55">
        <f>ROUND(J458*I458, 2)</f>
        <v>0</v>
      </c>
      <c r="N458" s="55">
        <f>ROUND(I458*ROUND(K458, 2), 2)</f>
        <v>0</v>
      </c>
      <c r="O458" s="55">
        <f>M458+N458</f>
        <v>0</v>
      </c>
      <c r="P458" s="55">
        <f>IFERROR(ROUND(SUM(S459,S460)/I458, 2),0)</f>
        <v>0</v>
      </c>
      <c r="Q458" s="55">
        <v>642</v>
      </c>
      <c r="R458" s="55">
        <f>P458+ROUND(Q458, 2)</f>
        <v>642</v>
      </c>
      <c r="S458" s="55">
        <f>ROUND(P458*I458, 2)</f>
        <v>0</v>
      </c>
      <c r="T458" s="55">
        <f>ROUND(I458*ROUND(Q458, 2), 2)</f>
        <v>0</v>
      </c>
      <c r="U458" s="55">
        <f>S458+T458</f>
        <v>0</v>
      </c>
      <c r="V458" s="9">
        <f>ROUND(P458 / 1.2, 2)</f>
        <v>0</v>
      </c>
      <c r="W458" s="9">
        <f>ROUND(Q458 / 1.2, 2)</f>
        <v>535</v>
      </c>
      <c r="X458" s="9">
        <f>ROUND(R458 / 1.2, 2)</f>
        <v>535</v>
      </c>
      <c r="Y458" s="9">
        <f t="shared" si="92"/>
        <v>0</v>
      </c>
      <c r="Z458" s="9">
        <f>ROUND(T458 / 1.2, 2)</f>
        <v>0</v>
      </c>
      <c r="AA458" s="9">
        <f>Y458+Z458</f>
        <v>0</v>
      </c>
      <c r="AD458" s="4">
        <v>305117056</v>
      </c>
      <c r="AE458" s="4">
        <v>22135713</v>
      </c>
      <c r="AG458" s="4" t="s">
        <v>1258</v>
      </c>
      <c r="AH458" s="4" t="s">
        <v>1259</v>
      </c>
      <c r="AI458" s="4" t="s">
        <v>467</v>
      </c>
    </row>
    <row r="459" spans="1:35" ht="90" x14ac:dyDescent="0.35">
      <c r="A459" s="51" t="s">
        <v>1297</v>
      </c>
      <c r="B459" s="51"/>
      <c r="C459" s="56" t="s">
        <v>1268</v>
      </c>
      <c r="D459" s="53"/>
      <c r="E459" s="53" t="s">
        <v>1282</v>
      </c>
      <c r="F459" s="57" t="s">
        <v>498</v>
      </c>
      <c r="G459" s="58">
        <v>0.3</v>
      </c>
      <c r="H459" s="53"/>
      <c r="I459" s="58">
        <v>0</v>
      </c>
      <c r="J459" s="59">
        <v>1622</v>
      </c>
      <c r="K459" s="60"/>
      <c r="L459" s="60"/>
      <c r="M459" s="59">
        <f>ROUND(ROUND(J459, 2)*I459, 2)</f>
        <v>0</v>
      </c>
      <c r="N459" s="60"/>
      <c r="O459" s="60"/>
      <c r="P459" s="59">
        <v>1622</v>
      </c>
      <c r="Q459" s="60"/>
      <c r="R459" s="60"/>
      <c r="S459" s="59">
        <f>ROUND(ROUND(P459, 2)*I459, 2)</f>
        <v>0</v>
      </c>
      <c r="T459" s="60"/>
      <c r="U459" s="61"/>
      <c r="V459" s="9">
        <f>ROUND(ROUND(P459, 2)/1.2, 2)</f>
        <v>1351.67</v>
      </c>
      <c r="Y459" s="9">
        <f t="shared" si="92"/>
        <v>0</v>
      </c>
      <c r="AD459" s="4" t="s">
        <v>1298</v>
      </c>
      <c r="AE459" s="4" t="s">
        <v>1299</v>
      </c>
      <c r="AF459" s="4" t="s">
        <v>1271</v>
      </c>
    </row>
    <row r="460" spans="1:35" ht="36" x14ac:dyDescent="0.35">
      <c r="A460" s="51" t="s">
        <v>1300</v>
      </c>
      <c r="B460" s="51"/>
      <c r="C460" s="56" t="s">
        <v>925</v>
      </c>
      <c r="D460" s="53"/>
      <c r="E460" s="53"/>
      <c r="F460" s="57" t="s">
        <v>498</v>
      </c>
      <c r="G460" s="58">
        <v>0.15</v>
      </c>
      <c r="H460" s="53"/>
      <c r="I460" s="58">
        <v>0</v>
      </c>
      <c r="J460" s="59">
        <v>88.8</v>
      </c>
      <c r="K460" s="60"/>
      <c r="L460" s="60"/>
      <c r="M460" s="59">
        <f>ROUND(ROUND(J460, 2)*I460, 2)</f>
        <v>0</v>
      </c>
      <c r="N460" s="60"/>
      <c r="O460" s="60"/>
      <c r="P460" s="59">
        <v>88.8</v>
      </c>
      <c r="Q460" s="60"/>
      <c r="R460" s="60"/>
      <c r="S460" s="59">
        <f>ROUND(ROUND(P460, 2)*I460, 2)</f>
        <v>0</v>
      </c>
      <c r="T460" s="60"/>
      <c r="U460" s="61"/>
      <c r="V460" s="9">
        <f>ROUND(ROUND(P460, 2)/1.2, 2)</f>
        <v>74</v>
      </c>
      <c r="Y460" s="9">
        <f t="shared" si="92"/>
        <v>0</v>
      </c>
      <c r="AD460" s="4" t="s">
        <v>1301</v>
      </c>
      <c r="AE460" s="4" t="s">
        <v>1302</v>
      </c>
      <c r="AF460" s="4" t="s">
        <v>928</v>
      </c>
    </row>
    <row r="461" spans="1:35" ht="54" x14ac:dyDescent="0.35">
      <c r="A461" s="17" t="s">
        <v>1303</v>
      </c>
      <c r="B461" s="17" t="s">
        <v>1304</v>
      </c>
      <c r="C461" s="18" t="s">
        <v>1305</v>
      </c>
      <c r="D461" s="19"/>
      <c r="E461" s="19"/>
      <c r="F461" s="19" t="s">
        <v>63</v>
      </c>
      <c r="G461" s="20">
        <v>1</v>
      </c>
      <c r="H461" s="19"/>
      <c r="I461" s="21">
        <v>0</v>
      </c>
      <c r="J461" s="22">
        <v>1603.98</v>
      </c>
      <c r="K461" s="22">
        <v>2364</v>
      </c>
      <c r="L461" s="22">
        <f>J461+ROUND(K461, 2)</f>
        <v>3967.98</v>
      </c>
      <c r="M461" s="22">
        <v>0</v>
      </c>
      <c r="N461" s="22">
        <v>0</v>
      </c>
      <c r="O461" s="22">
        <f>M461+N461</f>
        <v>0</v>
      </c>
      <c r="P461" s="22">
        <v>1603.98</v>
      </c>
      <c r="Q461" s="22">
        <v>2364</v>
      </c>
      <c r="R461" s="22">
        <f>P461+ROUND(Q461, 2)</f>
        <v>3967.98</v>
      </c>
      <c r="S461" s="22">
        <v>0</v>
      </c>
      <c r="T461" s="22">
        <v>0</v>
      </c>
      <c r="U461" s="22">
        <f>S461+T461</f>
        <v>0</v>
      </c>
      <c r="V461" s="9">
        <f>ROUND(P461 / 1.2, 2)</f>
        <v>1336.65</v>
      </c>
      <c r="W461" s="9">
        <f>ROUND(Q461 / 1.2, 2)</f>
        <v>1970</v>
      </c>
      <c r="X461" s="9">
        <f>ROUND(R461 / 1.2, 2)</f>
        <v>3306.65</v>
      </c>
      <c r="Y461" s="9">
        <f t="shared" si="92"/>
        <v>0</v>
      </c>
      <c r="Z461" s="9">
        <f>ROUND(T461 / 1.2, 2)</f>
        <v>0</v>
      </c>
      <c r="AA461" s="9">
        <f>Y461+Z461</f>
        <v>0</v>
      </c>
      <c r="AD461" s="4">
        <v>305116983</v>
      </c>
      <c r="AE461" s="4">
        <v>20927264</v>
      </c>
      <c r="AG461" s="4" t="s">
        <v>1306</v>
      </c>
      <c r="AH461" s="4" t="s">
        <v>1307</v>
      </c>
      <c r="AI461" s="4" t="s">
        <v>467</v>
      </c>
    </row>
    <row r="462" spans="1:35" ht="54" x14ac:dyDescent="0.35">
      <c r="A462" s="23" t="s">
        <v>1308</v>
      </c>
      <c r="B462" s="23" t="s">
        <v>1304</v>
      </c>
      <c r="C462" s="24" t="s">
        <v>1305</v>
      </c>
      <c r="D462" s="25"/>
      <c r="E462" s="25" t="s">
        <v>1309</v>
      </c>
      <c r="F462" s="25" t="s">
        <v>63</v>
      </c>
      <c r="G462" s="26">
        <v>1</v>
      </c>
      <c r="H462" s="25"/>
      <c r="I462" s="26">
        <v>4009.8</v>
      </c>
      <c r="J462" s="27">
        <v>1603.98</v>
      </c>
      <c r="K462" s="27">
        <v>2364</v>
      </c>
      <c r="L462" s="27">
        <v>2364</v>
      </c>
      <c r="M462" s="27">
        <v>6431639</v>
      </c>
      <c r="N462" s="27">
        <v>9479167.1999999993</v>
      </c>
      <c r="O462" s="27"/>
      <c r="P462" s="27">
        <v>1603.98</v>
      </c>
      <c r="Q462" s="27">
        <v>2364</v>
      </c>
      <c r="R462" s="27">
        <v>2364</v>
      </c>
      <c r="S462" s="27">
        <v>6431639</v>
      </c>
      <c r="T462" s="27">
        <v>9479167.1999999993</v>
      </c>
      <c r="U462" s="27"/>
      <c r="V462" s="9"/>
      <c r="W462" s="9">
        <f>ROUND(Q462 / 1.2, 2)</f>
        <v>1970</v>
      </c>
      <c r="X462" s="9">
        <f>ROUND(R462 / 1.2, 2)</f>
        <v>1970</v>
      </c>
      <c r="Y462" s="9"/>
      <c r="Z462" s="9">
        <f>ROUND(T462 / 1.2, 2)</f>
        <v>7899306</v>
      </c>
      <c r="AA462" s="9"/>
      <c r="AD462" s="4">
        <v>279990425</v>
      </c>
      <c r="AE462" s="4">
        <v>20927264</v>
      </c>
      <c r="AG462" s="4" t="s">
        <v>1306</v>
      </c>
      <c r="AH462" s="4" t="s">
        <v>1307</v>
      </c>
      <c r="AI462" s="4"/>
    </row>
    <row r="463" spans="1:35" ht="18" x14ac:dyDescent="0.35">
      <c r="A463" s="17" t="s">
        <v>1310</v>
      </c>
      <c r="B463" s="17"/>
      <c r="C463" s="34" t="s">
        <v>1311</v>
      </c>
      <c r="D463" s="19"/>
      <c r="E463" s="19"/>
      <c r="F463" s="35" t="s">
        <v>498</v>
      </c>
      <c r="G463" s="36">
        <v>0.25</v>
      </c>
      <c r="H463" s="19"/>
      <c r="I463" s="48">
        <v>0</v>
      </c>
      <c r="J463" s="38">
        <v>40.270000000000003</v>
      </c>
      <c r="K463" s="39"/>
      <c r="L463" s="39"/>
      <c r="M463" s="38">
        <f t="shared" ref="M463:M470" si="93">ROUND(ROUND(J463, 2)*I463, 2)</f>
        <v>0</v>
      </c>
      <c r="N463" s="39"/>
      <c r="O463" s="39"/>
      <c r="P463" s="38">
        <v>40.270000000000003</v>
      </c>
      <c r="Q463" s="39"/>
      <c r="R463" s="39"/>
      <c r="S463" s="38">
        <f t="shared" ref="S463:S470" si="94">ROUND(ROUND(P463, 2)*I463, 2)</f>
        <v>0</v>
      </c>
      <c r="T463" s="39"/>
      <c r="U463" s="40"/>
      <c r="V463" s="9">
        <f t="shared" ref="V463:V470" si="95">ROUND(ROUND(P463, 2)/1.2, 2)</f>
        <v>33.56</v>
      </c>
      <c r="Y463" s="9">
        <f t="shared" ref="Y463:Y475" si="96">ROUND(S463 / 1.2, 2)</f>
        <v>0</v>
      </c>
      <c r="AD463" s="4" t="s">
        <v>1312</v>
      </c>
      <c r="AE463" s="4" t="s">
        <v>1313</v>
      </c>
      <c r="AF463" s="4" t="s">
        <v>1314</v>
      </c>
    </row>
    <row r="464" spans="1:35" ht="18" x14ac:dyDescent="0.35">
      <c r="A464" s="23" t="s">
        <v>1315</v>
      </c>
      <c r="B464" s="23"/>
      <c r="C464" s="41" t="s">
        <v>1311</v>
      </c>
      <c r="D464" s="25"/>
      <c r="E464" s="25"/>
      <c r="F464" s="42" t="s">
        <v>498</v>
      </c>
      <c r="G464" s="43">
        <v>0.25</v>
      </c>
      <c r="H464" s="25"/>
      <c r="I464" s="50">
        <v>1002.45</v>
      </c>
      <c r="J464" s="44">
        <v>40.270000000000003</v>
      </c>
      <c r="K464" s="45"/>
      <c r="L464" s="45"/>
      <c r="M464" s="44">
        <f t="shared" si="93"/>
        <v>40368.660000000003</v>
      </c>
      <c r="N464" s="45"/>
      <c r="O464" s="45"/>
      <c r="P464" s="44">
        <v>40.270000000000003</v>
      </c>
      <c r="Q464" s="45"/>
      <c r="R464" s="45"/>
      <c r="S464" s="44">
        <f t="shared" si="94"/>
        <v>40368.660000000003</v>
      </c>
      <c r="T464" s="45"/>
      <c r="U464" s="46"/>
      <c r="V464" s="9">
        <f t="shared" si="95"/>
        <v>33.56</v>
      </c>
      <c r="Y464" s="9">
        <f t="shared" si="96"/>
        <v>33640.550000000003</v>
      </c>
      <c r="AD464" s="4" t="s">
        <v>1316</v>
      </c>
      <c r="AE464" s="4" t="s">
        <v>1313</v>
      </c>
      <c r="AF464" s="4" t="s">
        <v>1314</v>
      </c>
    </row>
    <row r="465" spans="1:35" ht="36" x14ac:dyDescent="0.35">
      <c r="A465" s="17" t="s">
        <v>1317</v>
      </c>
      <c r="B465" s="17"/>
      <c r="C465" s="34" t="s">
        <v>758</v>
      </c>
      <c r="D465" s="19"/>
      <c r="E465" s="19"/>
      <c r="F465" s="35" t="s">
        <v>498</v>
      </c>
      <c r="G465" s="36">
        <v>0.15</v>
      </c>
      <c r="H465" s="19"/>
      <c r="I465" s="37">
        <v>0</v>
      </c>
      <c r="J465" s="38">
        <v>68.400000000000006</v>
      </c>
      <c r="K465" s="39"/>
      <c r="L465" s="39"/>
      <c r="M465" s="38">
        <f t="shared" si="93"/>
        <v>0</v>
      </c>
      <c r="N465" s="39"/>
      <c r="O465" s="39"/>
      <c r="P465" s="38">
        <v>68.400000000000006</v>
      </c>
      <c r="Q465" s="39"/>
      <c r="R465" s="39"/>
      <c r="S465" s="38">
        <f t="shared" si="94"/>
        <v>0</v>
      </c>
      <c r="T465" s="39"/>
      <c r="U465" s="40"/>
      <c r="V465" s="9">
        <f t="shared" si="95"/>
        <v>57</v>
      </c>
      <c r="Y465" s="9">
        <f t="shared" si="96"/>
        <v>0</v>
      </c>
      <c r="AD465" s="4" t="s">
        <v>1318</v>
      </c>
      <c r="AE465" s="4" t="s">
        <v>1319</v>
      </c>
      <c r="AF465" s="4" t="s">
        <v>761</v>
      </c>
    </row>
    <row r="466" spans="1:35" ht="36" x14ac:dyDescent="0.35">
      <c r="A466" s="23" t="s">
        <v>1320</v>
      </c>
      <c r="B466" s="23"/>
      <c r="C466" s="41" t="s">
        <v>758</v>
      </c>
      <c r="D466" s="25"/>
      <c r="E466" s="25"/>
      <c r="F466" s="42" t="s">
        <v>498</v>
      </c>
      <c r="G466" s="43">
        <v>0.15</v>
      </c>
      <c r="H466" s="25"/>
      <c r="I466" s="43">
        <v>601.47</v>
      </c>
      <c r="J466" s="44">
        <v>68.400000000000006</v>
      </c>
      <c r="K466" s="45"/>
      <c r="L466" s="45"/>
      <c r="M466" s="44">
        <f t="shared" si="93"/>
        <v>41140.550000000003</v>
      </c>
      <c r="N466" s="45"/>
      <c r="O466" s="45"/>
      <c r="P466" s="44">
        <v>68.400000000000006</v>
      </c>
      <c r="Q466" s="45"/>
      <c r="R466" s="45"/>
      <c r="S466" s="44">
        <f t="shared" si="94"/>
        <v>41140.550000000003</v>
      </c>
      <c r="T466" s="45"/>
      <c r="U466" s="46"/>
      <c r="V466" s="9">
        <f t="shared" si="95"/>
        <v>57</v>
      </c>
      <c r="Y466" s="9">
        <f t="shared" si="96"/>
        <v>34283.79</v>
      </c>
      <c r="AD466" s="4" t="s">
        <v>1321</v>
      </c>
      <c r="AE466" s="4" t="s">
        <v>1319</v>
      </c>
      <c r="AF466" s="4" t="s">
        <v>761</v>
      </c>
    </row>
    <row r="467" spans="1:35" ht="36" x14ac:dyDescent="0.35">
      <c r="A467" s="17" t="s">
        <v>1322</v>
      </c>
      <c r="B467" s="17"/>
      <c r="C467" s="34" t="s">
        <v>1108</v>
      </c>
      <c r="D467" s="19"/>
      <c r="E467" s="19"/>
      <c r="F467" s="35" t="s">
        <v>498</v>
      </c>
      <c r="G467" s="36">
        <v>1.2</v>
      </c>
      <c r="H467" s="19"/>
      <c r="I467" s="48">
        <v>0</v>
      </c>
      <c r="J467" s="38">
        <v>16.96</v>
      </c>
      <c r="K467" s="39"/>
      <c r="L467" s="39"/>
      <c r="M467" s="38">
        <f t="shared" si="93"/>
        <v>0</v>
      </c>
      <c r="N467" s="39"/>
      <c r="O467" s="39"/>
      <c r="P467" s="38">
        <v>16.96</v>
      </c>
      <c r="Q467" s="39"/>
      <c r="R467" s="39"/>
      <c r="S467" s="38">
        <f t="shared" si="94"/>
        <v>0</v>
      </c>
      <c r="T467" s="39"/>
      <c r="U467" s="40"/>
      <c r="V467" s="9">
        <f t="shared" si="95"/>
        <v>14.13</v>
      </c>
      <c r="Y467" s="9">
        <f t="shared" si="96"/>
        <v>0</v>
      </c>
      <c r="AD467" s="4" t="s">
        <v>1323</v>
      </c>
      <c r="AE467" s="4" t="s">
        <v>1324</v>
      </c>
      <c r="AF467" s="4" t="s">
        <v>1111</v>
      </c>
    </row>
    <row r="468" spans="1:35" ht="36" x14ac:dyDescent="0.35">
      <c r="A468" s="23" t="s">
        <v>1325</v>
      </c>
      <c r="B468" s="23"/>
      <c r="C468" s="41" t="s">
        <v>1108</v>
      </c>
      <c r="D468" s="25"/>
      <c r="E468" s="25"/>
      <c r="F468" s="42" t="s">
        <v>498</v>
      </c>
      <c r="G468" s="43">
        <v>1.2</v>
      </c>
      <c r="H468" s="25"/>
      <c r="I468" s="50">
        <v>24058.799999999999</v>
      </c>
      <c r="J468" s="44">
        <v>16.96</v>
      </c>
      <c r="K468" s="45"/>
      <c r="L468" s="45"/>
      <c r="M468" s="44">
        <f t="shared" si="93"/>
        <v>408037.25</v>
      </c>
      <c r="N468" s="45"/>
      <c r="O468" s="45"/>
      <c r="P468" s="44">
        <v>16.96</v>
      </c>
      <c r="Q468" s="45"/>
      <c r="R468" s="45"/>
      <c r="S468" s="44">
        <f t="shared" si="94"/>
        <v>408037.25</v>
      </c>
      <c r="T468" s="45"/>
      <c r="U468" s="46"/>
      <c r="V468" s="9">
        <f t="shared" si="95"/>
        <v>14.13</v>
      </c>
      <c r="Y468" s="9">
        <f t="shared" si="96"/>
        <v>340031.04</v>
      </c>
      <c r="AD468" s="4" t="s">
        <v>1326</v>
      </c>
      <c r="AE468" s="4" t="s">
        <v>1324</v>
      </c>
      <c r="AF468" s="4" t="s">
        <v>1111</v>
      </c>
    </row>
    <row r="469" spans="1:35" ht="36" x14ac:dyDescent="0.35">
      <c r="A469" s="17" t="s">
        <v>1327</v>
      </c>
      <c r="B469" s="17"/>
      <c r="C469" s="34" t="s">
        <v>1328</v>
      </c>
      <c r="D469" s="19"/>
      <c r="E469" s="19"/>
      <c r="F469" s="35" t="s">
        <v>63</v>
      </c>
      <c r="G469" s="36">
        <v>1.07</v>
      </c>
      <c r="H469" s="19"/>
      <c r="I469" s="48">
        <v>0</v>
      </c>
      <c r="J469" s="38">
        <v>1384.95</v>
      </c>
      <c r="K469" s="39"/>
      <c r="L469" s="39"/>
      <c r="M469" s="38">
        <f t="shared" si="93"/>
        <v>0</v>
      </c>
      <c r="N469" s="39"/>
      <c r="O469" s="39"/>
      <c r="P469" s="38">
        <v>1384.95</v>
      </c>
      <c r="Q469" s="39"/>
      <c r="R469" s="39"/>
      <c r="S469" s="38">
        <f t="shared" si="94"/>
        <v>0</v>
      </c>
      <c r="T469" s="39"/>
      <c r="U469" s="40"/>
      <c r="V469" s="9">
        <f t="shared" si="95"/>
        <v>1154.1300000000001</v>
      </c>
      <c r="Y469" s="9">
        <f t="shared" si="96"/>
        <v>0</v>
      </c>
      <c r="AD469" s="4" t="s">
        <v>1329</v>
      </c>
      <c r="AE469" s="4" t="s">
        <v>1330</v>
      </c>
      <c r="AF469" s="4" t="s">
        <v>1331</v>
      </c>
    </row>
    <row r="470" spans="1:35" ht="72" x14ac:dyDescent="0.35">
      <c r="A470" s="23" t="s">
        <v>1332</v>
      </c>
      <c r="B470" s="23"/>
      <c r="C470" s="41" t="s">
        <v>1328</v>
      </c>
      <c r="D470" s="25"/>
      <c r="E470" s="25" t="s">
        <v>1333</v>
      </c>
      <c r="F470" s="42" t="s">
        <v>63</v>
      </c>
      <c r="G470" s="43">
        <v>1.07</v>
      </c>
      <c r="H470" s="25"/>
      <c r="I470" s="50">
        <v>4290.4859999999999</v>
      </c>
      <c r="J470" s="44">
        <v>1384.95</v>
      </c>
      <c r="K470" s="45"/>
      <c r="L470" s="45"/>
      <c r="M470" s="44">
        <f t="shared" si="93"/>
        <v>5942108.5899999999</v>
      </c>
      <c r="N470" s="45"/>
      <c r="O470" s="45"/>
      <c r="P470" s="44">
        <v>1384.95</v>
      </c>
      <c r="Q470" s="45"/>
      <c r="R470" s="45"/>
      <c r="S470" s="44">
        <f t="shared" si="94"/>
        <v>5942108.5899999999</v>
      </c>
      <c r="T470" s="45"/>
      <c r="U470" s="46"/>
      <c r="V470" s="9">
        <f t="shared" si="95"/>
        <v>1154.1300000000001</v>
      </c>
      <c r="Y470" s="9">
        <f t="shared" si="96"/>
        <v>4951757.16</v>
      </c>
      <c r="AD470" s="4" t="s">
        <v>1334</v>
      </c>
      <c r="AE470" s="4" t="s">
        <v>1330</v>
      </c>
      <c r="AF470" s="4" t="s">
        <v>1331</v>
      </c>
    </row>
    <row r="471" spans="1:35" ht="54" x14ac:dyDescent="0.35">
      <c r="A471" s="51" t="s">
        <v>1335</v>
      </c>
      <c r="B471" s="51" t="s">
        <v>1304</v>
      </c>
      <c r="C471" s="52" t="s">
        <v>1305</v>
      </c>
      <c r="D471" s="53"/>
      <c r="E471" s="53" t="s">
        <v>1309</v>
      </c>
      <c r="F471" s="53" t="s">
        <v>63</v>
      </c>
      <c r="G471" s="54">
        <v>1</v>
      </c>
      <c r="H471" s="53"/>
      <c r="I471" s="54">
        <v>0</v>
      </c>
      <c r="J471" s="55">
        <f>IFERROR(ROUND(SUM(M472,M473,M474,M475)/I471, 2),0)</f>
        <v>0</v>
      </c>
      <c r="K471" s="55">
        <v>2364</v>
      </c>
      <c r="L471" s="55">
        <f>J471+ROUND(K471, 2)</f>
        <v>2364</v>
      </c>
      <c r="M471" s="55">
        <f>ROUND(J471*I471, 2)</f>
        <v>0</v>
      </c>
      <c r="N471" s="55">
        <f>ROUND(I471*ROUND(K471, 2), 2)</f>
        <v>0</v>
      </c>
      <c r="O471" s="55">
        <f>M471+N471</f>
        <v>0</v>
      </c>
      <c r="P471" s="55">
        <f>IFERROR(ROUND(SUM(S472,S473,S474,S475)/I471, 2),0)</f>
        <v>0</v>
      </c>
      <c r="Q471" s="55">
        <v>3546</v>
      </c>
      <c r="R471" s="55">
        <f>P471+ROUND(Q471, 2)</f>
        <v>3546</v>
      </c>
      <c r="S471" s="55">
        <f>ROUND(P471*I471, 2)</f>
        <v>0</v>
      </c>
      <c r="T471" s="55">
        <f>ROUND(I471*ROUND(Q471, 2), 2)</f>
        <v>0</v>
      </c>
      <c r="U471" s="55">
        <f>S471+T471</f>
        <v>0</v>
      </c>
      <c r="V471" s="9">
        <f>ROUND(P471 / 1.2, 2)</f>
        <v>0</v>
      </c>
      <c r="W471" s="9">
        <f>ROUND(Q471 / 1.2, 2)</f>
        <v>2955</v>
      </c>
      <c r="X471" s="9">
        <f>ROUND(R471 / 1.2, 2)</f>
        <v>2955</v>
      </c>
      <c r="Y471" s="9">
        <f t="shared" si="96"/>
        <v>0</v>
      </c>
      <c r="Z471" s="9">
        <f>ROUND(T471 / 1.2, 2)</f>
        <v>0</v>
      </c>
      <c r="AA471" s="9">
        <f>Y471+Z471</f>
        <v>0</v>
      </c>
      <c r="AD471" s="4">
        <v>305117057</v>
      </c>
      <c r="AE471" s="4">
        <v>22135718</v>
      </c>
      <c r="AG471" s="4" t="s">
        <v>1306</v>
      </c>
      <c r="AH471" s="4" t="s">
        <v>1307</v>
      </c>
      <c r="AI471" s="4" t="s">
        <v>467</v>
      </c>
    </row>
    <row r="472" spans="1:35" ht="72" x14ac:dyDescent="0.35">
      <c r="A472" s="51" t="s">
        <v>1336</v>
      </c>
      <c r="B472" s="51"/>
      <c r="C472" s="47" t="s">
        <v>1328</v>
      </c>
      <c r="D472" s="53"/>
      <c r="E472" s="53" t="s">
        <v>1333</v>
      </c>
      <c r="F472" s="57" t="s">
        <v>63</v>
      </c>
      <c r="G472" s="58">
        <v>1.07</v>
      </c>
      <c r="H472" s="53"/>
      <c r="I472" s="62">
        <v>4290.4859999999999</v>
      </c>
      <c r="J472" s="59">
        <v>1384.96</v>
      </c>
      <c r="K472" s="60"/>
      <c r="L472" s="60"/>
      <c r="M472" s="59">
        <f>ROUND(ROUND(J472, 2)*I472, 2)</f>
        <v>5942151.4900000002</v>
      </c>
      <c r="N472" s="60"/>
      <c r="O472" s="60"/>
      <c r="P472" s="59">
        <v>1384.95</v>
      </c>
      <c r="Q472" s="60"/>
      <c r="R472" s="60"/>
      <c r="S472" s="59">
        <f>ROUND(ROUND(P472, 2)*I472, 2)</f>
        <v>5942108.5899999999</v>
      </c>
      <c r="T472" s="60"/>
      <c r="U472" s="61"/>
      <c r="V472" s="9">
        <f>ROUND(ROUND(P472, 2)/1.2, 2)</f>
        <v>1154.1300000000001</v>
      </c>
      <c r="Y472" s="9">
        <f t="shared" si="96"/>
        <v>4951757.16</v>
      </c>
      <c r="AD472" s="4" t="s">
        <v>1337</v>
      </c>
      <c r="AE472" s="4" t="s">
        <v>1338</v>
      </c>
      <c r="AF472" s="4" t="s">
        <v>1331</v>
      </c>
    </row>
    <row r="473" spans="1:35" ht="36" x14ac:dyDescent="0.35">
      <c r="A473" s="51" t="s">
        <v>1339</v>
      </c>
      <c r="B473" s="51"/>
      <c r="C473" s="47" t="s">
        <v>1108</v>
      </c>
      <c r="D473" s="53"/>
      <c r="E473" s="53"/>
      <c r="F473" s="57" t="s">
        <v>498</v>
      </c>
      <c r="G473" s="58">
        <v>1.2</v>
      </c>
      <c r="H473" s="53"/>
      <c r="I473" s="62">
        <v>24058.799999999999</v>
      </c>
      <c r="J473" s="59">
        <v>16.12</v>
      </c>
      <c r="K473" s="60"/>
      <c r="L473" s="60"/>
      <c r="M473" s="59">
        <f>ROUND(ROUND(J473, 2)*I473, 2)</f>
        <v>387827.86</v>
      </c>
      <c r="N473" s="60"/>
      <c r="O473" s="60"/>
      <c r="P473" s="59">
        <v>16.11</v>
      </c>
      <c r="Q473" s="60"/>
      <c r="R473" s="60"/>
      <c r="S473" s="59">
        <f>ROUND(ROUND(P473, 2)*I473, 2)</f>
        <v>387587.27</v>
      </c>
      <c r="T473" s="60"/>
      <c r="U473" s="61"/>
      <c r="V473" s="9">
        <f>ROUND(ROUND(P473, 2)/1.2, 2)</f>
        <v>13.43</v>
      </c>
      <c r="Y473" s="9">
        <f t="shared" si="96"/>
        <v>322989.39</v>
      </c>
      <c r="AD473" s="4" t="s">
        <v>1340</v>
      </c>
      <c r="AE473" s="4" t="s">
        <v>1341</v>
      </c>
      <c r="AF473" s="4" t="s">
        <v>1111</v>
      </c>
    </row>
    <row r="474" spans="1:35" ht="36" x14ac:dyDescent="0.35">
      <c r="A474" s="51" t="s">
        <v>1342</v>
      </c>
      <c r="B474" s="51"/>
      <c r="C474" s="56" t="s">
        <v>758</v>
      </c>
      <c r="D474" s="53"/>
      <c r="E474" s="53"/>
      <c r="F474" s="57" t="s">
        <v>498</v>
      </c>
      <c r="G474" s="58">
        <v>0.15</v>
      </c>
      <c r="H474" s="53"/>
      <c r="I474" s="58">
        <v>0</v>
      </c>
      <c r="J474" s="59">
        <v>68.400000000000006</v>
      </c>
      <c r="K474" s="60"/>
      <c r="L474" s="60"/>
      <c r="M474" s="59">
        <f>ROUND(ROUND(J474, 2)*I474, 2)</f>
        <v>0</v>
      </c>
      <c r="N474" s="60"/>
      <c r="O474" s="60"/>
      <c r="P474" s="59">
        <v>68.400000000000006</v>
      </c>
      <c r="Q474" s="60"/>
      <c r="R474" s="60"/>
      <c r="S474" s="59">
        <f>ROUND(ROUND(P474, 2)*I474, 2)</f>
        <v>0</v>
      </c>
      <c r="T474" s="60"/>
      <c r="U474" s="61"/>
      <c r="V474" s="9">
        <f>ROUND(ROUND(P474, 2)/1.2, 2)</f>
        <v>57</v>
      </c>
      <c r="Y474" s="9">
        <f t="shared" si="96"/>
        <v>0</v>
      </c>
      <c r="AD474" s="4" t="s">
        <v>1343</v>
      </c>
      <c r="AE474" s="4" t="s">
        <v>1344</v>
      </c>
      <c r="AF474" s="4" t="s">
        <v>761</v>
      </c>
    </row>
    <row r="475" spans="1:35" ht="18" x14ac:dyDescent="0.35">
      <c r="A475" s="51" t="s">
        <v>1345</v>
      </c>
      <c r="B475" s="51"/>
      <c r="C475" s="56" t="s">
        <v>1311</v>
      </c>
      <c r="D475" s="53"/>
      <c r="E475" s="53"/>
      <c r="F475" s="57" t="s">
        <v>498</v>
      </c>
      <c r="G475" s="58">
        <v>0.25</v>
      </c>
      <c r="H475" s="53"/>
      <c r="I475" s="62">
        <v>1002.45</v>
      </c>
      <c r="J475" s="59">
        <v>40.270000000000003</v>
      </c>
      <c r="K475" s="60"/>
      <c r="L475" s="60"/>
      <c r="M475" s="59">
        <f>ROUND(ROUND(J475, 2)*I475, 2)</f>
        <v>40368.660000000003</v>
      </c>
      <c r="N475" s="60"/>
      <c r="O475" s="60"/>
      <c r="P475" s="59">
        <v>40.270000000000003</v>
      </c>
      <c r="Q475" s="60"/>
      <c r="R475" s="60"/>
      <c r="S475" s="59">
        <f>ROUND(ROUND(P475, 2)*I475, 2)</f>
        <v>40368.660000000003</v>
      </c>
      <c r="T475" s="60"/>
      <c r="U475" s="61"/>
      <c r="V475" s="9">
        <f>ROUND(ROUND(P475, 2)/1.2, 2)</f>
        <v>33.56</v>
      </c>
      <c r="Y475" s="9">
        <f t="shared" si="96"/>
        <v>33640.550000000003</v>
      </c>
      <c r="AD475" s="4" t="s">
        <v>1346</v>
      </c>
      <c r="AE475" s="4" t="s">
        <v>1347</v>
      </c>
      <c r="AF475" s="4" t="s">
        <v>1314</v>
      </c>
    </row>
    <row r="476" spans="1:35" ht="17" customHeight="1" x14ac:dyDescent="0.35">
      <c r="A476" s="10" t="s">
        <v>1348</v>
      </c>
      <c r="B476" s="10" t="s">
        <v>1349</v>
      </c>
      <c r="C476" s="174" t="s">
        <v>1350</v>
      </c>
      <c r="D476" s="175"/>
      <c r="E476" s="175"/>
      <c r="F476" s="175"/>
      <c r="G476" s="175"/>
      <c r="H476" s="175"/>
      <c r="I476" s="176"/>
      <c r="M476" s="6">
        <f>SUM(M477,M502)</f>
        <v>0</v>
      </c>
      <c r="N476" s="6">
        <f>SUM(N477,N502)</f>
        <v>0</v>
      </c>
      <c r="O476" s="6">
        <f>SUM(O477,O502)</f>
        <v>0</v>
      </c>
      <c r="S476" s="6">
        <f>SUM(S477,S502)</f>
        <v>0</v>
      </c>
      <c r="T476" s="6">
        <f>SUM(T477,T502)</f>
        <v>0</v>
      </c>
      <c r="U476" s="6">
        <f>SUM(U477,U502)</f>
        <v>0</v>
      </c>
      <c r="Y476" s="9">
        <f>SUM(Y477,Y502)</f>
        <v>0</v>
      </c>
      <c r="Z476" s="9">
        <f>SUM(Z477,Z502)</f>
        <v>0</v>
      </c>
      <c r="AA476" s="9">
        <f>SUM(AA477,AA502)</f>
        <v>0</v>
      </c>
      <c r="AD476" s="4">
        <v>305116984</v>
      </c>
      <c r="AE476" s="4">
        <v>20942113</v>
      </c>
    </row>
    <row r="477" spans="1:35" ht="17" customHeight="1" x14ac:dyDescent="0.35">
      <c r="A477" s="10" t="s">
        <v>1351</v>
      </c>
      <c r="B477" s="10" t="s">
        <v>1352</v>
      </c>
      <c r="C477" s="174" t="s">
        <v>1353</v>
      </c>
      <c r="D477" s="175"/>
      <c r="E477" s="175"/>
      <c r="F477" s="175"/>
      <c r="G477" s="175"/>
      <c r="H477" s="175"/>
      <c r="I477" s="176"/>
      <c r="M477" s="6">
        <f>SUM(M478,M488,M493,M499)</f>
        <v>0</v>
      </c>
      <c r="N477" s="6">
        <f>SUM(N478,N488,N493,N499)</f>
        <v>0</v>
      </c>
      <c r="O477" s="6">
        <f>SUM(O478,O488,O493,O499)</f>
        <v>0</v>
      </c>
      <c r="S477" s="6">
        <f>SUM(S478,S488,S493,S499)</f>
        <v>0</v>
      </c>
      <c r="T477" s="6">
        <f>SUM(T478,T488,T493,T499)</f>
        <v>0</v>
      </c>
      <c r="U477" s="6">
        <f>SUM(U478,U488,U493,U499)</f>
        <v>0</v>
      </c>
      <c r="Y477" s="9">
        <f>SUM(Y478,Y488,Y493,Y499)</f>
        <v>0</v>
      </c>
      <c r="Z477" s="9">
        <f>SUM(Z478,Z488,Z493,Z499)</f>
        <v>0</v>
      </c>
      <c r="AA477" s="9">
        <f>SUM(AA478,AA488,AA493,AA499)</f>
        <v>0</v>
      </c>
      <c r="AD477" s="4">
        <v>305116985</v>
      </c>
      <c r="AE477" s="4">
        <v>20942116</v>
      </c>
    </row>
    <row r="478" spans="1:35" ht="72" x14ac:dyDescent="0.35">
      <c r="A478" s="17" t="s">
        <v>1354</v>
      </c>
      <c r="B478" s="17" t="s">
        <v>1355</v>
      </c>
      <c r="C478" s="18" t="s">
        <v>1356</v>
      </c>
      <c r="D478" s="19"/>
      <c r="E478" s="19"/>
      <c r="F478" s="19" t="s">
        <v>63</v>
      </c>
      <c r="G478" s="20">
        <v>1</v>
      </c>
      <c r="H478" s="19"/>
      <c r="I478" s="21">
        <v>0</v>
      </c>
      <c r="J478" s="22">
        <v>170.27</v>
      </c>
      <c r="K478" s="22">
        <v>853</v>
      </c>
      <c r="L478" s="22">
        <f>J478+ROUND(K478, 2)</f>
        <v>1023.27</v>
      </c>
      <c r="M478" s="22">
        <v>0</v>
      </c>
      <c r="N478" s="22">
        <v>0</v>
      </c>
      <c r="O478" s="22">
        <f>M478+N478</f>
        <v>0</v>
      </c>
      <c r="P478" s="22">
        <v>170.27</v>
      </c>
      <c r="Q478" s="22">
        <v>853</v>
      </c>
      <c r="R478" s="22">
        <f>P478+ROUND(Q478, 2)</f>
        <v>1023.27</v>
      </c>
      <c r="S478" s="22">
        <v>0</v>
      </c>
      <c r="T478" s="22">
        <v>0</v>
      </c>
      <c r="U478" s="22">
        <f>S478+T478</f>
        <v>0</v>
      </c>
      <c r="V478" s="9">
        <f>ROUND(P478 / 1.2, 2)</f>
        <v>141.88999999999999</v>
      </c>
      <c r="W478" s="9">
        <f>ROUND(Q478 / 1.2, 2)</f>
        <v>710.83</v>
      </c>
      <c r="X478" s="9">
        <f>ROUND(R478 / 1.2, 2)</f>
        <v>852.73</v>
      </c>
      <c r="Y478" s="9">
        <f>ROUND(S478 / 1.2, 2)</f>
        <v>0</v>
      </c>
      <c r="Z478" s="9">
        <f>ROUND(T478 / 1.2, 2)</f>
        <v>0</v>
      </c>
      <c r="AA478" s="9">
        <f>Y478+Z478</f>
        <v>0</v>
      </c>
      <c r="AD478" s="4">
        <v>305116987</v>
      </c>
      <c r="AE478" s="4">
        <v>20944432</v>
      </c>
      <c r="AG478" s="4" t="s">
        <v>1357</v>
      </c>
      <c r="AH478" s="4" t="s">
        <v>1358</v>
      </c>
      <c r="AI478" s="4" t="s">
        <v>467</v>
      </c>
    </row>
    <row r="479" spans="1:35" ht="72" x14ac:dyDescent="0.35">
      <c r="A479" s="23" t="s">
        <v>1359</v>
      </c>
      <c r="B479" s="23" t="s">
        <v>1355</v>
      </c>
      <c r="C479" s="24" t="s">
        <v>1356</v>
      </c>
      <c r="D479" s="25"/>
      <c r="E479" s="25" t="s">
        <v>1360</v>
      </c>
      <c r="F479" s="25" t="s">
        <v>63</v>
      </c>
      <c r="G479" s="26">
        <v>1</v>
      </c>
      <c r="H479" s="25"/>
      <c r="I479" s="26">
        <v>1500.7</v>
      </c>
      <c r="J479" s="27">
        <v>170.27</v>
      </c>
      <c r="K479" s="27">
        <v>853</v>
      </c>
      <c r="L479" s="27">
        <v>853</v>
      </c>
      <c r="M479" s="27">
        <v>255524.19</v>
      </c>
      <c r="N479" s="27">
        <v>1280097.1000000001</v>
      </c>
      <c r="O479" s="27"/>
      <c r="P479" s="27">
        <v>170.27</v>
      </c>
      <c r="Q479" s="27">
        <v>853</v>
      </c>
      <c r="R479" s="27">
        <v>853</v>
      </c>
      <c r="S479" s="27">
        <v>255524.19</v>
      </c>
      <c r="T479" s="27">
        <v>1280097.1000000001</v>
      </c>
      <c r="U479" s="27"/>
      <c r="V479" s="9"/>
      <c r="W479" s="9">
        <f>ROUND(Q479 / 1.2, 2)</f>
        <v>710.83</v>
      </c>
      <c r="X479" s="9">
        <f>ROUND(R479 / 1.2, 2)</f>
        <v>710.83</v>
      </c>
      <c r="Y479" s="9"/>
      <c r="Z479" s="9">
        <f>ROUND(T479 / 1.2, 2)</f>
        <v>1066747.58</v>
      </c>
      <c r="AA479" s="9"/>
      <c r="AD479" s="4">
        <v>276896415</v>
      </c>
      <c r="AE479" s="4">
        <v>20944432</v>
      </c>
      <c r="AG479" s="4" t="s">
        <v>1357</v>
      </c>
      <c r="AH479" s="4" t="s">
        <v>1358</v>
      </c>
      <c r="AI479" s="4"/>
    </row>
    <row r="480" spans="1:35" ht="18" x14ac:dyDescent="0.35">
      <c r="A480" s="17" t="s">
        <v>1361</v>
      </c>
      <c r="B480" s="17"/>
      <c r="C480" s="34" t="s">
        <v>1196</v>
      </c>
      <c r="D480" s="19"/>
      <c r="E480" s="19"/>
      <c r="F480" s="35" t="s">
        <v>498</v>
      </c>
      <c r="G480" s="36">
        <v>1.3</v>
      </c>
      <c r="H480" s="19"/>
      <c r="I480" s="48">
        <v>0</v>
      </c>
      <c r="J480" s="38">
        <v>8.6</v>
      </c>
      <c r="K480" s="39"/>
      <c r="L480" s="39"/>
      <c r="M480" s="38">
        <f t="shared" ref="M480:M487" si="97">ROUND(ROUND(J480, 2)*I480, 2)</f>
        <v>0</v>
      </c>
      <c r="N480" s="39"/>
      <c r="O480" s="39"/>
      <c r="P480" s="38">
        <v>8.6</v>
      </c>
      <c r="Q480" s="39"/>
      <c r="R480" s="39"/>
      <c r="S480" s="38">
        <f t="shared" ref="S480:S487" si="98">ROUND(ROUND(P480, 2)*I480, 2)</f>
        <v>0</v>
      </c>
      <c r="T480" s="39"/>
      <c r="U480" s="40"/>
      <c r="V480" s="9">
        <f t="shared" ref="V480:V487" si="99">ROUND(ROUND(P480, 2)/1.2, 2)</f>
        <v>7.17</v>
      </c>
      <c r="Y480" s="9">
        <f t="shared" ref="Y480:Y493" si="100">ROUND(S480 / 1.2, 2)</f>
        <v>0</v>
      </c>
      <c r="AD480" s="4" t="s">
        <v>1362</v>
      </c>
      <c r="AE480" s="4" t="s">
        <v>1363</v>
      </c>
      <c r="AF480" s="4" t="s">
        <v>1199</v>
      </c>
    </row>
    <row r="481" spans="1:35" ht="18" x14ac:dyDescent="0.35">
      <c r="A481" s="23" t="s">
        <v>1364</v>
      </c>
      <c r="B481" s="23"/>
      <c r="C481" s="41" t="s">
        <v>1196</v>
      </c>
      <c r="D481" s="25"/>
      <c r="E481" s="25"/>
      <c r="F481" s="42" t="s">
        <v>498</v>
      </c>
      <c r="G481" s="43">
        <v>1.3</v>
      </c>
      <c r="H481" s="25"/>
      <c r="I481" s="50">
        <v>19509.099999999999</v>
      </c>
      <c r="J481" s="44">
        <v>8.6</v>
      </c>
      <c r="K481" s="45"/>
      <c r="L481" s="45"/>
      <c r="M481" s="44">
        <f t="shared" si="97"/>
        <v>167778.26</v>
      </c>
      <c r="N481" s="45"/>
      <c r="O481" s="45"/>
      <c r="P481" s="44">
        <v>8.6</v>
      </c>
      <c r="Q481" s="45"/>
      <c r="R481" s="45"/>
      <c r="S481" s="44">
        <f t="shared" si="98"/>
        <v>167778.26</v>
      </c>
      <c r="T481" s="45"/>
      <c r="U481" s="46"/>
      <c r="V481" s="9">
        <f t="shared" si="99"/>
        <v>7.17</v>
      </c>
      <c r="Y481" s="9">
        <f t="shared" si="100"/>
        <v>139815.22</v>
      </c>
      <c r="AD481" s="4" t="s">
        <v>1365</v>
      </c>
      <c r="AE481" s="4" t="s">
        <v>1363</v>
      </c>
      <c r="AF481" s="4" t="s">
        <v>1199</v>
      </c>
    </row>
    <row r="482" spans="1:35" ht="18" x14ac:dyDescent="0.35">
      <c r="A482" s="17" t="s">
        <v>1366</v>
      </c>
      <c r="B482" s="17"/>
      <c r="C482" s="34" t="s">
        <v>1203</v>
      </c>
      <c r="D482" s="19"/>
      <c r="E482" s="19"/>
      <c r="F482" s="35" t="s">
        <v>63</v>
      </c>
      <c r="G482" s="36">
        <v>1.1000000000000001</v>
      </c>
      <c r="H482" s="19"/>
      <c r="I482" s="48">
        <v>0</v>
      </c>
      <c r="J482" s="38">
        <v>26</v>
      </c>
      <c r="K482" s="39"/>
      <c r="L482" s="39"/>
      <c r="M482" s="38">
        <f t="shared" si="97"/>
        <v>0</v>
      </c>
      <c r="N482" s="39"/>
      <c r="O482" s="39"/>
      <c r="P482" s="38">
        <v>26</v>
      </c>
      <c r="Q482" s="39"/>
      <c r="R482" s="39"/>
      <c r="S482" s="38">
        <f t="shared" si="98"/>
        <v>0</v>
      </c>
      <c r="T482" s="39"/>
      <c r="U482" s="40"/>
      <c r="V482" s="9">
        <f t="shared" si="99"/>
        <v>21.67</v>
      </c>
      <c r="Y482" s="9">
        <f t="shared" si="100"/>
        <v>0</v>
      </c>
      <c r="AD482" s="4" t="s">
        <v>1367</v>
      </c>
      <c r="AE482" s="4" t="s">
        <v>1368</v>
      </c>
      <c r="AF482" s="4" t="s">
        <v>1206</v>
      </c>
    </row>
    <row r="483" spans="1:35" ht="18" x14ac:dyDescent="0.35">
      <c r="A483" s="23" t="s">
        <v>1369</v>
      </c>
      <c r="B483" s="23"/>
      <c r="C483" s="41" t="s">
        <v>1203</v>
      </c>
      <c r="D483" s="25"/>
      <c r="E483" s="25"/>
      <c r="F483" s="42" t="s">
        <v>63</v>
      </c>
      <c r="G483" s="43">
        <v>1.1000000000000001</v>
      </c>
      <c r="H483" s="25"/>
      <c r="I483" s="50">
        <v>1650.77</v>
      </c>
      <c r="J483" s="44">
        <v>26</v>
      </c>
      <c r="K483" s="45"/>
      <c r="L483" s="45"/>
      <c r="M483" s="44">
        <f t="shared" si="97"/>
        <v>42920.02</v>
      </c>
      <c r="N483" s="45"/>
      <c r="O483" s="45"/>
      <c r="P483" s="44">
        <v>26</v>
      </c>
      <c r="Q483" s="45"/>
      <c r="R483" s="45"/>
      <c r="S483" s="44">
        <f t="shared" si="98"/>
        <v>42920.02</v>
      </c>
      <c r="T483" s="45"/>
      <c r="U483" s="46"/>
      <c r="V483" s="9">
        <f t="shared" si="99"/>
        <v>21.67</v>
      </c>
      <c r="Y483" s="9">
        <f t="shared" si="100"/>
        <v>35766.68</v>
      </c>
      <c r="AD483" s="4" t="s">
        <v>1370</v>
      </c>
      <c r="AE483" s="4" t="s">
        <v>1368</v>
      </c>
      <c r="AF483" s="4" t="s">
        <v>1206</v>
      </c>
    </row>
    <row r="484" spans="1:35" ht="18" x14ac:dyDescent="0.35">
      <c r="A484" s="17" t="s">
        <v>1371</v>
      </c>
      <c r="B484" s="17"/>
      <c r="C484" s="34" t="s">
        <v>1210</v>
      </c>
      <c r="D484" s="19"/>
      <c r="E484" s="19"/>
      <c r="F484" s="35" t="s">
        <v>78</v>
      </c>
      <c r="G484" s="36">
        <v>1.05</v>
      </c>
      <c r="H484" s="19"/>
      <c r="I484" s="48">
        <v>0</v>
      </c>
      <c r="J484" s="38">
        <v>15.76</v>
      </c>
      <c r="K484" s="39"/>
      <c r="L484" s="39"/>
      <c r="M484" s="38">
        <f t="shared" si="97"/>
        <v>0</v>
      </c>
      <c r="N484" s="39"/>
      <c r="O484" s="39"/>
      <c r="P484" s="38">
        <v>15.76</v>
      </c>
      <c r="Q484" s="39"/>
      <c r="R484" s="39"/>
      <c r="S484" s="38">
        <f t="shared" si="98"/>
        <v>0</v>
      </c>
      <c r="T484" s="39"/>
      <c r="U484" s="40"/>
      <c r="V484" s="9">
        <f t="shared" si="99"/>
        <v>13.13</v>
      </c>
      <c r="Y484" s="9">
        <f t="shared" si="100"/>
        <v>0</v>
      </c>
      <c r="AD484" s="4" t="s">
        <v>1372</v>
      </c>
      <c r="AE484" s="4" t="s">
        <v>1373</v>
      </c>
      <c r="AF484" s="4" t="s">
        <v>1213</v>
      </c>
    </row>
    <row r="485" spans="1:35" ht="18" x14ac:dyDescent="0.35">
      <c r="A485" s="23" t="s">
        <v>1374</v>
      </c>
      <c r="B485" s="23"/>
      <c r="C485" s="41" t="s">
        <v>1210</v>
      </c>
      <c r="D485" s="25"/>
      <c r="E485" s="25"/>
      <c r="F485" s="42" t="s">
        <v>78</v>
      </c>
      <c r="G485" s="43">
        <v>1.05</v>
      </c>
      <c r="H485" s="25"/>
      <c r="I485" s="50">
        <v>1575.7349999999999</v>
      </c>
      <c r="J485" s="44">
        <v>15.76</v>
      </c>
      <c r="K485" s="45"/>
      <c r="L485" s="45"/>
      <c r="M485" s="44">
        <f t="shared" si="97"/>
        <v>24833.58</v>
      </c>
      <c r="N485" s="45"/>
      <c r="O485" s="45"/>
      <c r="P485" s="44">
        <v>15.76</v>
      </c>
      <c r="Q485" s="45"/>
      <c r="R485" s="45"/>
      <c r="S485" s="44">
        <f t="shared" si="98"/>
        <v>24833.58</v>
      </c>
      <c r="T485" s="45"/>
      <c r="U485" s="46"/>
      <c r="V485" s="9">
        <f t="shared" si="99"/>
        <v>13.13</v>
      </c>
      <c r="Y485" s="9">
        <f t="shared" si="100"/>
        <v>20694.650000000001</v>
      </c>
      <c r="AD485" s="4" t="s">
        <v>1375</v>
      </c>
      <c r="AE485" s="4" t="s">
        <v>1373</v>
      </c>
      <c r="AF485" s="4" t="s">
        <v>1213</v>
      </c>
    </row>
    <row r="486" spans="1:35" ht="36" x14ac:dyDescent="0.35">
      <c r="A486" s="17" t="s">
        <v>1376</v>
      </c>
      <c r="B486" s="17"/>
      <c r="C486" s="34" t="s">
        <v>544</v>
      </c>
      <c r="D486" s="19"/>
      <c r="E486" s="19"/>
      <c r="F486" s="35" t="s">
        <v>498</v>
      </c>
      <c r="G486" s="36">
        <v>0.15</v>
      </c>
      <c r="H486" s="19"/>
      <c r="I486" s="37">
        <v>0</v>
      </c>
      <c r="J486" s="38">
        <v>88.8</v>
      </c>
      <c r="K486" s="39"/>
      <c r="L486" s="39"/>
      <c r="M486" s="38">
        <f t="shared" si="97"/>
        <v>0</v>
      </c>
      <c r="N486" s="39"/>
      <c r="O486" s="39"/>
      <c r="P486" s="38">
        <v>88.8</v>
      </c>
      <c r="Q486" s="39"/>
      <c r="R486" s="39"/>
      <c r="S486" s="38">
        <f t="shared" si="98"/>
        <v>0</v>
      </c>
      <c r="T486" s="39"/>
      <c r="U486" s="40"/>
      <c r="V486" s="9">
        <f t="shared" si="99"/>
        <v>74</v>
      </c>
      <c r="Y486" s="9">
        <f t="shared" si="100"/>
        <v>0</v>
      </c>
      <c r="AD486" s="4" t="s">
        <v>1377</v>
      </c>
      <c r="AE486" s="4" t="s">
        <v>1378</v>
      </c>
      <c r="AF486" s="4" t="s">
        <v>547</v>
      </c>
    </row>
    <row r="487" spans="1:35" ht="36" x14ac:dyDescent="0.35">
      <c r="A487" s="23" t="s">
        <v>1379</v>
      </c>
      <c r="B487" s="23"/>
      <c r="C487" s="41" t="s">
        <v>544</v>
      </c>
      <c r="D487" s="25"/>
      <c r="E487" s="25"/>
      <c r="F487" s="42" t="s">
        <v>498</v>
      </c>
      <c r="G487" s="43">
        <v>0.15</v>
      </c>
      <c r="H487" s="25"/>
      <c r="I487" s="43">
        <v>225.10499999999999</v>
      </c>
      <c r="J487" s="44">
        <v>88.8</v>
      </c>
      <c r="K487" s="45"/>
      <c r="L487" s="45"/>
      <c r="M487" s="44">
        <f t="shared" si="97"/>
        <v>19989.32</v>
      </c>
      <c r="N487" s="45"/>
      <c r="O487" s="45"/>
      <c r="P487" s="44">
        <v>88.8</v>
      </c>
      <c r="Q487" s="45"/>
      <c r="R487" s="45"/>
      <c r="S487" s="44">
        <f t="shared" si="98"/>
        <v>19989.32</v>
      </c>
      <c r="T487" s="45"/>
      <c r="U487" s="46"/>
      <c r="V487" s="9">
        <f t="shared" si="99"/>
        <v>74</v>
      </c>
      <c r="Y487" s="9">
        <f t="shared" si="100"/>
        <v>16657.77</v>
      </c>
      <c r="AD487" s="4" t="s">
        <v>1380</v>
      </c>
      <c r="AE487" s="4" t="s">
        <v>1378</v>
      </c>
      <c r="AF487" s="4" t="s">
        <v>547</v>
      </c>
    </row>
    <row r="488" spans="1:35" ht="72" x14ac:dyDescent="0.35">
      <c r="A488" s="51" t="s">
        <v>1381</v>
      </c>
      <c r="B488" s="51" t="s">
        <v>1355</v>
      </c>
      <c r="C488" s="52" t="s">
        <v>1356</v>
      </c>
      <c r="D488" s="53"/>
      <c r="E488" s="53" t="s">
        <v>1360</v>
      </c>
      <c r="F488" s="53" t="s">
        <v>63</v>
      </c>
      <c r="G488" s="54">
        <v>1</v>
      </c>
      <c r="H488" s="53"/>
      <c r="I488" s="54">
        <v>0</v>
      </c>
      <c r="J488" s="55">
        <f>IFERROR(ROUND(SUM(M489,M490,M491,M492)/I488, 2),0)</f>
        <v>0</v>
      </c>
      <c r="K488" s="55">
        <v>853</v>
      </c>
      <c r="L488" s="55">
        <f>J488+ROUND(K488, 2)</f>
        <v>853</v>
      </c>
      <c r="M488" s="55">
        <f>ROUND(J488*I488, 2)</f>
        <v>0</v>
      </c>
      <c r="N488" s="55">
        <f>ROUND(I488*ROUND(K488, 2), 2)</f>
        <v>0</v>
      </c>
      <c r="O488" s="55">
        <f>M488+N488</f>
        <v>0</v>
      </c>
      <c r="P488" s="55">
        <f>IFERROR(ROUND(SUM(S489,S490,S491,S492)/I488, 2),0)</f>
        <v>0</v>
      </c>
      <c r="Q488" s="55">
        <v>1279.5</v>
      </c>
      <c r="R488" s="55">
        <f>P488+ROUND(Q488, 2)</f>
        <v>1279.5</v>
      </c>
      <c r="S488" s="55">
        <f>ROUND(P488*I488, 2)</f>
        <v>0</v>
      </c>
      <c r="T488" s="55">
        <f>ROUND(I488*ROUND(Q488, 2), 2)</f>
        <v>0</v>
      </c>
      <c r="U488" s="55">
        <f>S488+T488</f>
        <v>0</v>
      </c>
      <c r="V488" s="9">
        <f>ROUND(P488 / 1.2, 2)</f>
        <v>0</v>
      </c>
      <c r="W488" s="9">
        <f>ROUND(Q488 / 1.2, 2)</f>
        <v>1066.25</v>
      </c>
      <c r="X488" s="9">
        <f>ROUND(R488 / 1.2, 2)</f>
        <v>1066.25</v>
      </c>
      <c r="Y488" s="9">
        <f t="shared" si="100"/>
        <v>0</v>
      </c>
      <c r="Z488" s="9">
        <f>ROUND(T488 / 1.2, 2)</f>
        <v>0</v>
      </c>
      <c r="AA488" s="9">
        <f>Y488+Z488</f>
        <v>0</v>
      </c>
      <c r="AD488" s="4">
        <v>305117058</v>
      </c>
      <c r="AE488" s="4">
        <v>22135700</v>
      </c>
      <c r="AG488" s="4" t="s">
        <v>1357</v>
      </c>
      <c r="AH488" s="4" t="s">
        <v>1358</v>
      </c>
      <c r="AI488" s="4" t="s">
        <v>467</v>
      </c>
    </row>
    <row r="489" spans="1:35" ht="36" x14ac:dyDescent="0.35">
      <c r="A489" s="51" t="s">
        <v>1382</v>
      </c>
      <c r="B489" s="51"/>
      <c r="C489" s="56" t="s">
        <v>544</v>
      </c>
      <c r="D489" s="53"/>
      <c r="E489" s="53"/>
      <c r="F489" s="57" t="s">
        <v>498</v>
      </c>
      <c r="G489" s="58">
        <v>0.15</v>
      </c>
      <c r="H489" s="53"/>
      <c r="I489" s="58">
        <v>0</v>
      </c>
      <c r="J489" s="59">
        <v>88.8</v>
      </c>
      <c r="K489" s="60"/>
      <c r="L489" s="60"/>
      <c r="M489" s="59">
        <f>ROUND(ROUND(J489, 2)*I489, 2)</f>
        <v>0</v>
      </c>
      <c r="N489" s="60"/>
      <c r="O489" s="60"/>
      <c r="P489" s="59">
        <v>88.8</v>
      </c>
      <c r="Q489" s="60"/>
      <c r="R489" s="60"/>
      <c r="S489" s="59">
        <f>ROUND(ROUND(P489, 2)*I489, 2)</f>
        <v>0</v>
      </c>
      <c r="T489" s="60"/>
      <c r="U489" s="61"/>
      <c r="V489" s="9">
        <f>ROUND(ROUND(P489, 2)/1.2, 2)</f>
        <v>74</v>
      </c>
      <c r="Y489" s="9">
        <f t="shared" si="100"/>
        <v>0</v>
      </c>
      <c r="AD489" s="4" t="s">
        <v>1383</v>
      </c>
      <c r="AE489" s="4" t="s">
        <v>1384</v>
      </c>
      <c r="AF489" s="4" t="s">
        <v>547</v>
      </c>
    </row>
    <row r="490" spans="1:35" ht="18" x14ac:dyDescent="0.35">
      <c r="A490" s="51" t="s">
        <v>1385</v>
      </c>
      <c r="B490" s="51"/>
      <c r="C490" s="56" t="s">
        <v>1210</v>
      </c>
      <c r="D490" s="53"/>
      <c r="E490" s="53"/>
      <c r="F490" s="57" t="s">
        <v>78</v>
      </c>
      <c r="G490" s="58">
        <v>1.05</v>
      </c>
      <c r="H490" s="53"/>
      <c r="I490" s="62">
        <v>1575.7349999999999</v>
      </c>
      <c r="J490" s="59">
        <v>15.76</v>
      </c>
      <c r="K490" s="60"/>
      <c r="L490" s="60"/>
      <c r="M490" s="59">
        <f>ROUND(ROUND(J490, 2)*I490, 2)</f>
        <v>24833.58</v>
      </c>
      <c r="N490" s="60"/>
      <c r="O490" s="60"/>
      <c r="P490" s="59">
        <v>15.76</v>
      </c>
      <c r="Q490" s="60"/>
      <c r="R490" s="60"/>
      <c r="S490" s="59">
        <f>ROUND(ROUND(P490, 2)*I490, 2)</f>
        <v>24833.58</v>
      </c>
      <c r="T490" s="60"/>
      <c r="U490" s="61"/>
      <c r="V490" s="9">
        <f>ROUND(ROUND(P490, 2)/1.2, 2)</f>
        <v>13.13</v>
      </c>
      <c r="Y490" s="9">
        <f t="shared" si="100"/>
        <v>20694.650000000001</v>
      </c>
      <c r="AD490" s="4" t="s">
        <v>1386</v>
      </c>
      <c r="AE490" s="4" t="s">
        <v>1387</v>
      </c>
      <c r="AF490" s="4" t="s">
        <v>1213</v>
      </c>
    </row>
    <row r="491" spans="1:35" ht="18" x14ac:dyDescent="0.35">
      <c r="A491" s="51" t="s">
        <v>1388</v>
      </c>
      <c r="B491" s="51"/>
      <c r="C491" s="56" t="s">
        <v>1203</v>
      </c>
      <c r="D491" s="53"/>
      <c r="E491" s="53"/>
      <c r="F491" s="57" t="s">
        <v>63</v>
      </c>
      <c r="G491" s="58">
        <v>1.1000000000000001</v>
      </c>
      <c r="H491" s="53"/>
      <c r="I491" s="62">
        <v>1650.77</v>
      </c>
      <c r="J491" s="59">
        <v>26</v>
      </c>
      <c r="K491" s="60"/>
      <c r="L491" s="60"/>
      <c r="M491" s="59">
        <f>ROUND(ROUND(J491, 2)*I491, 2)</f>
        <v>42920.02</v>
      </c>
      <c r="N491" s="60"/>
      <c r="O491" s="60"/>
      <c r="P491" s="59">
        <v>26</v>
      </c>
      <c r="Q491" s="60"/>
      <c r="R491" s="60"/>
      <c r="S491" s="59">
        <f>ROUND(ROUND(P491, 2)*I491, 2)</f>
        <v>42920.02</v>
      </c>
      <c r="T491" s="60"/>
      <c r="U491" s="61"/>
      <c r="V491" s="9">
        <f>ROUND(ROUND(P491, 2)/1.2, 2)</f>
        <v>21.67</v>
      </c>
      <c r="Y491" s="9">
        <f t="shared" si="100"/>
        <v>35766.68</v>
      </c>
      <c r="AD491" s="4" t="s">
        <v>1389</v>
      </c>
      <c r="AE491" s="4" t="s">
        <v>1390</v>
      </c>
      <c r="AF491" s="4" t="s">
        <v>1206</v>
      </c>
    </row>
    <row r="492" spans="1:35" ht="18" x14ac:dyDescent="0.35">
      <c r="A492" s="51" t="s">
        <v>1391</v>
      </c>
      <c r="B492" s="51"/>
      <c r="C492" s="56" t="s">
        <v>1196</v>
      </c>
      <c r="D492" s="53"/>
      <c r="E492" s="53"/>
      <c r="F492" s="57" t="s">
        <v>498</v>
      </c>
      <c r="G492" s="58">
        <v>1.3</v>
      </c>
      <c r="H492" s="53"/>
      <c r="I492" s="62">
        <v>19509.099999999999</v>
      </c>
      <c r="J492" s="59">
        <v>8.6</v>
      </c>
      <c r="K492" s="60"/>
      <c r="L492" s="60"/>
      <c r="M492" s="59">
        <f>ROUND(ROUND(J492, 2)*I492, 2)</f>
        <v>167778.26</v>
      </c>
      <c r="N492" s="60"/>
      <c r="O492" s="60"/>
      <c r="P492" s="59">
        <v>8.6</v>
      </c>
      <c r="Q492" s="60"/>
      <c r="R492" s="60"/>
      <c r="S492" s="59">
        <f>ROUND(ROUND(P492, 2)*I492, 2)</f>
        <v>167778.26</v>
      </c>
      <c r="T492" s="60"/>
      <c r="U492" s="61"/>
      <c r="V492" s="9">
        <f>ROUND(ROUND(P492, 2)/1.2, 2)</f>
        <v>7.17</v>
      </c>
      <c r="Y492" s="9">
        <f t="shared" si="100"/>
        <v>139815.22</v>
      </c>
      <c r="AD492" s="4" t="s">
        <v>1392</v>
      </c>
      <c r="AE492" s="4" t="s">
        <v>1393</v>
      </c>
      <c r="AF492" s="4" t="s">
        <v>1199</v>
      </c>
    </row>
    <row r="493" spans="1:35" ht="36" x14ac:dyDescent="0.35">
      <c r="A493" s="17" t="s">
        <v>1394</v>
      </c>
      <c r="B493" s="17" t="s">
        <v>1395</v>
      </c>
      <c r="C493" s="18" t="s">
        <v>1396</v>
      </c>
      <c r="D493" s="19"/>
      <c r="E493" s="19"/>
      <c r="F493" s="19" t="s">
        <v>63</v>
      </c>
      <c r="G493" s="20">
        <v>1</v>
      </c>
      <c r="H493" s="19"/>
      <c r="I493" s="21">
        <v>0</v>
      </c>
      <c r="J493" s="22">
        <v>36.18</v>
      </c>
      <c r="K493" s="22">
        <v>546</v>
      </c>
      <c r="L493" s="22">
        <f>J493+ROUND(K493, 2)</f>
        <v>582.17999999999995</v>
      </c>
      <c r="M493" s="22">
        <v>0</v>
      </c>
      <c r="N493" s="22">
        <v>0</v>
      </c>
      <c r="O493" s="22">
        <f>M493+N493</f>
        <v>0</v>
      </c>
      <c r="P493" s="22">
        <v>36.18</v>
      </c>
      <c r="Q493" s="22">
        <v>546</v>
      </c>
      <c r="R493" s="22">
        <f>P493+ROUND(Q493, 2)</f>
        <v>582.17999999999995</v>
      </c>
      <c r="S493" s="22">
        <v>0</v>
      </c>
      <c r="T493" s="22">
        <v>0</v>
      </c>
      <c r="U493" s="22">
        <f>S493+T493</f>
        <v>0</v>
      </c>
      <c r="V493" s="9">
        <f>ROUND(P493 / 1.2, 2)</f>
        <v>30.15</v>
      </c>
      <c r="W493" s="9">
        <f>ROUND(Q493 / 1.2, 2)</f>
        <v>455</v>
      </c>
      <c r="X493" s="9">
        <f>ROUND(R493 / 1.2, 2)</f>
        <v>485.15</v>
      </c>
      <c r="Y493" s="9">
        <f t="shared" si="100"/>
        <v>0</v>
      </c>
      <c r="Z493" s="9">
        <f>ROUND(T493 / 1.2, 2)</f>
        <v>0</v>
      </c>
      <c r="AA493" s="9">
        <f>Y493+Z493</f>
        <v>0</v>
      </c>
      <c r="AD493" s="4">
        <v>305116989</v>
      </c>
      <c r="AE493" s="4">
        <v>20944431</v>
      </c>
      <c r="AG493" s="4" t="s">
        <v>1397</v>
      </c>
      <c r="AH493" s="4" t="s">
        <v>1398</v>
      </c>
      <c r="AI493" s="4" t="s">
        <v>467</v>
      </c>
    </row>
    <row r="494" spans="1:35" ht="36" x14ac:dyDescent="0.35">
      <c r="A494" s="23" t="s">
        <v>1399</v>
      </c>
      <c r="B494" s="23" t="s">
        <v>1395</v>
      </c>
      <c r="C494" s="24" t="s">
        <v>1396</v>
      </c>
      <c r="D494" s="25"/>
      <c r="E494" s="25" t="s">
        <v>1360</v>
      </c>
      <c r="F494" s="25" t="s">
        <v>63</v>
      </c>
      <c r="G494" s="26">
        <v>1</v>
      </c>
      <c r="H494" s="25"/>
      <c r="I494" s="26">
        <v>1500.7</v>
      </c>
      <c r="J494" s="27">
        <v>36.18</v>
      </c>
      <c r="K494" s="27">
        <v>546</v>
      </c>
      <c r="L494" s="27">
        <v>546</v>
      </c>
      <c r="M494" s="27">
        <v>54295.33</v>
      </c>
      <c r="N494" s="27">
        <v>819382.2</v>
      </c>
      <c r="O494" s="27"/>
      <c r="P494" s="27">
        <v>36.18</v>
      </c>
      <c r="Q494" s="27">
        <v>546</v>
      </c>
      <c r="R494" s="27">
        <v>546</v>
      </c>
      <c r="S494" s="27">
        <v>54295.33</v>
      </c>
      <c r="T494" s="27">
        <v>819382.2</v>
      </c>
      <c r="U494" s="27"/>
      <c r="V494" s="9"/>
      <c r="W494" s="9">
        <f>ROUND(Q494 / 1.2, 2)</f>
        <v>455</v>
      </c>
      <c r="X494" s="9">
        <f>ROUND(R494 / 1.2, 2)</f>
        <v>455</v>
      </c>
      <c r="Y494" s="9"/>
      <c r="Z494" s="9">
        <f>ROUND(T494 / 1.2, 2)</f>
        <v>682818.5</v>
      </c>
      <c r="AA494" s="9"/>
      <c r="AD494" s="4">
        <v>276896418</v>
      </c>
      <c r="AE494" s="4">
        <v>20944431</v>
      </c>
      <c r="AG494" s="4" t="s">
        <v>1397</v>
      </c>
      <c r="AH494" s="4" t="s">
        <v>1398</v>
      </c>
      <c r="AI494" s="4"/>
    </row>
    <row r="495" spans="1:35" ht="54" x14ac:dyDescent="0.35">
      <c r="A495" s="17" t="s">
        <v>1400</v>
      </c>
      <c r="B495" s="17"/>
      <c r="C495" s="34" t="s">
        <v>1401</v>
      </c>
      <c r="D495" s="19"/>
      <c r="E495" s="19"/>
      <c r="F495" s="35" t="s">
        <v>498</v>
      </c>
      <c r="G495" s="36">
        <v>1.8</v>
      </c>
      <c r="H495" s="19"/>
      <c r="I495" s="37">
        <v>0</v>
      </c>
      <c r="J495" s="38">
        <v>12.7</v>
      </c>
      <c r="K495" s="39"/>
      <c r="L495" s="39"/>
      <c r="M495" s="38">
        <f>ROUND(ROUND(J495, 2)*I495, 2)</f>
        <v>0</v>
      </c>
      <c r="N495" s="39"/>
      <c r="O495" s="39"/>
      <c r="P495" s="38">
        <v>12.7</v>
      </c>
      <c r="Q495" s="39"/>
      <c r="R495" s="39"/>
      <c r="S495" s="38">
        <f>ROUND(ROUND(P495, 2)*I495, 2)</f>
        <v>0</v>
      </c>
      <c r="T495" s="39"/>
      <c r="U495" s="40"/>
      <c r="V495" s="9">
        <f>ROUND(ROUND(P495, 2)/1.2, 2)</f>
        <v>10.58</v>
      </c>
      <c r="Y495" s="9">
        <f t="shared" ref="Y495:Y501" si="101">ROUND(S495 / 1.2, 2)</f>
        <v>0</v>
      </c>
      <c r="AD495" s="4" t="s">
        <v>1402</v>
      </c>
      <c r="AE495" s="4" t="s">
        <v>1403</v>
      </c>
      <c r="AF495" s="4" t="s">
        <v>1404</v>
      </c>
    </row>
    <row r="496" spans="1:35" ht="54" x14ac:dyDescent="0.35">
      <c r="A496" s="23" t="s">
        <v>1405</v>
      </c>
      <c r="B496" s="23"/>
      <c r="C496" s="41" t="s">
        <v>1401</v>
      </c>
      <c r="D496" s="25"/>
      <c r="E496" s="25"/>
      <c r="F496" s="42" t="s">
        <v>498</v>
      </c>
      <c r="G496" s="43">
        <v>1.8</v>
      </c>
      <c r="H496" s="25"/>
      <c r="I496" s="43">
        <v>2701.26</v>
      </c>
      <c r="J496" s="44">
        <v>12.7</v>
      </c>
      <c r="K496" s="45"/>
      <c r="L496" s="45"/>
      <c r="M496" s="44">
        <f>ROUND(ROUND(J496, 2)*I496, 2)</f>
        <v>34306</v>
      </c>
      <c r="N496" s="45"/>
      <c r="O496" s="45"/>
      <c r="P496" s="44">
        <v>12.7</v>
      </c>
      <c r="Q496" s="45"/>
      <c r="R496" s="45"/>
      <c r="S496" s="44">
        <f>ROUND(ROUND(P496, 2)*I496, 2)</f>
        <v>34306</v>
      </c>
      <c r="T496" s="45"/>
      <c r="U496" s="46"/>
      <c r="V496" s="9">
        <f>ROUND(ROUND(P496, 2)/1.2, 2)</f>
        <v>10.58</v>
      </c>
      <c r="Y496" s="9">
        <f t="shared" si="101"/>
        <v>28588.33</v>
      </c>
      <c r="AD496" s="4" t="s">
        <v>1406</v>
      </c>
      <c r="AE496" s="4" t="s">
        <v>1403</v>
      </c>
      <c r="AF496" s="4" t="s">
        <v>1404</v>
      </c>
    </row>
    <row r="497" spans="1:35" ht="36" x14ac:dyDescent="0.35">
      <c r="A497" s="17" t="s">
        <v>1407</v>
      </c>
      <c r="B497" s="17"/>
      <c r="C497" s="34" t="s">
        <v>544</v>
      </c>
      <c r="D497" s="19"/>
      <c r="E497" s="19"/>
      <c r="F497" s="35" t="s">
        <v>498</v>
      </c>
      <c r="G497" s="36">
        <v>0.15</v>
      </c>
      <c r="H497" s="19"/>
      <c r="I497" s="37">
        <v>0</v>
      </c>
      <c r="J497" s="38">
        <v>88.8</v>
      </c>
      <c r="K497" s="39"/>
      <c r="L497" s="39"/>
      <c r="M497" s="38">
        <f>ROUND(ROUND(J497, 2)*I497, 2)</f>
        <v>0</v>
      </c>
      <c r="N497" s="39"/>
      <c r="O497" s="39"/>
      <c r="P497" s="38">
        <v>88.8</v>
      </c>
      <c r="Q497" s="39"/>
      <c r="R497" s="39"/>
      <c r="S497" s="38">
        <f>ROUND(ROUND(P497, 2)*I497, 2)</f>
        <v>0</v>
      </c>
      <c r="T497" s="39"/>
      <c r="U497" s="40"/>
      <c r="V497" s="9">
        <f>ROUND(ROUND(P497, 2)/1.2, 2)</f>
        <v>74</v>
      </c>
      <c r="Y497" s="9">
        <f t="shared" si="101"/>
        <v>0</v>
      </c>
      <c r="AD497" s="4" t="s">
        <v>1408</v>
      </c>
      <c r="AE497" s="4" t="s">
        <v>1409</v>
      </c>
      <c r="AF497" s="4" t="s">
        <v>547</v>
      </c>
    </row>
    <row r="498" spans="1:35" ht="36" x14ac:dyDescent="0.35">
      <c r="A498" s="23" t="s">
        <v>1410</v>
      </c>
      <c r="B498" s="23"/>
      <c r="C498" s="41" t="s">
        <v>544</v>
      </c>
      <c r="D498" s="25"/>
      <c r="E498" s="25"/>
      <c r="F498" s="42" t="s">
        <v>498</v>
      </c>
      <c r="G498" s="43">
        <v>0.15</v>
      </c>
      <c r="H498" s="25"/>
      <c r="I498" s="43">
        <v>225.10499999999999</v>
      </c>
      <c r="J498" s="44">
        <v>88.8</v>
      </c>
      <c r="K498" s="45"/>
      <c r="L498" s="45"/>
      <c r="M498" s="44">
        <f>ROUND(ROUND(J498, 2)*I498, 2)</f>
        <v>19989.32</v>
      </c>
      <c r="N498" s="45"/>
      <c r="O498" s="45"/>
      <c r="P498" s="44">
        <v>88.8</v>
      </c>
      <c r="Q498" s="45"/>
      <c r="R498" s="45"/>
      <c r="S498" s="44">
        <f>ROUND(ROUND(P498, 2)*I498, 2)</f>
        <v>19989.32</v>
      </c>
      <c r="T498" s="45"/>
      <c r="U498" s="46"/>
      <c r="V498" s="9">
        <f>ROUND(ROUND(P498, 2)/1.2, 2)</f>
        <v>74</v>
      </c>
      <c r="Y498" s="9">
        <f t="shared" si="101"/>
        <v>16657.77</v>
      </c>
      <c r="AD498" s="4" t="s">
        <v>1411</v>
      </c>
      <c r="AE498" s="4" t="s">
        <v>1409</v>
      </c>
      <c r="AF498" s="4" t="s">
        <v>547</v>
      </c>
    </row>
    <row r="499" spans="1:35" ht="36" x14ac:dyDescent="0.35">
      <c r="A499" s="51" t="s">
        <v>1412</v>
      </c>
      <c r="B499" s="51" t="s">
        <v>1395</v>
      </c>
      <c r="C499" s="52" t="s">
        <v>1396</v>
      </c>
      <c r="D499" s="53"/>
      <c r="E499" s="53" t="s">
        <v>1360</v>
      </c>
      <c r="F499" s="53" t="s">
        <v>63</v>
      </c>
      <c r="G499" s="54">
        <v>1</v>
      </c>
      <c r="H499" s="53"/>
      <c r="I499" s="54">
        <v>0</v>
      </c>
      <c r="J499" s="55">
        <f>IFERROR(ROUND(SUM(M500,M501)/I499, 2),0)</f>
        <v>0</v>
      </c>
      <c r="K499" s="55">
        <v>546</v>
      </c>
      <c r="L499" s="55">
        <f>J499+ROUND(K499, 2)</f>
        <v>546</v>
      </c>
      <c r="M499" s="55">
        <f>ROUND(J499*I499, 2)</f>
        <v>0</v>
      </c>
      <c r="N499" s="55">
        <f>ROUND(I499*ROUND(K499, 2), 2)</f>
        <v>0</v>
      </c>
      <c r="O499" s="55">
        <f>M499+N499</f>
        <v>0</v>
      </c>
      <c r="P499" s="55">
        <f>IFERROR(ROUND(SUM(S500,S501)/I499, 2),0)</f>
        <v>0</v>
      </c>
      <c r="Q499" s="55">
        <v>819</v>
      </c>
      <c r="R499" s="55">
        <f>P499+ROUND(Q499, 2)</f>
        <v>819</v>
      </c>
      <c r="S499" s="55">
        <f>ROUND(P499*I499, 2)</f>
        <v>0</v>
      </c>
      <c r="T499" s="55">
        <f>ROUND(I499*ROUND(Q499, 2), 2)</f>
        <v>0</v>
      </c>
      <c r="U499" s="55">
        <f>S499+T499</f>
        <v>0</v>
      </c>
      <c r="V499" s="9">
        <f>ROUND(P499 / 1.2, 2)</f>
        <v>0</v>
      </c>
      <c r="W499" s="9">
        <f>ROUND(Q499 / 1.2, 2)</f>
        <v>682.5</v>
      </c>
      <c r="X499" s="9">
        <f>ROUND(R499 / 1.2, 2)</f>
        <v>682.5</v>
      </c>
      <c r="Y499" s="9">
        <f t="shared" si="101"/>
        <v>0</v>
      </c>
      <c r="Z499" s="9">
        <f>ROUND(T499 / 1.2, 2)</f>
        <v>0</v>
      </c>
      <c r="AA499" s="9">
        <f>Y499+Z499</f>
        <v>0</v>
      </c>
      <c r="AD499" s="4">
        <v>305117059</v>
      </c>
      <c r="AE499" s="4">
        <v>22135699</v>
      </c>
      <c r="AG499" s="4" t="s">
        <v>1397</v>
      </c>
      <c r="AH499" s="4" t="s">
        <v>1398</v>
      </c>
      <c r="AI499" s="4" t="s">
        <v>467</v>
      </c>
    </row>
    <row r="500" spans="1:35" ht="36" x14ac:dyDescent="0.35">
      <c r="A500" s="51" t="s">
        <v>1413</v>
      </c>
      <c r="B500" s="51"/>
      <c r="C500" s="56" t="s">
        <v>544</v>
      </c>
      <c r="D500" s="53"/>
      <c r="E500" s="53"/>
      <c r="F500" s="57" t="s">
        <v>498</v>
      </c>
      <c r="G500" s="58">
        <v>0.15</v>
      </c>
      <c r="H500" s="53"/>
      <c r="I500" s="58">
        <v>0</v>
      </c>
      <c r="J500" s="59">
        <v>88.8</v>
      </c>
      <c r="K500" s="60"/>
      <c r="L500" s="60"/>
      <c r="M500" s="59">
        <f>ROUND(ROUND(J500, 2)*I500, 2)</f>
        <v>0</v>
      </c>
      <c r="N500" s="60"/>
      <c r="O500" s="60"/>
      <c r="P500" s="59">
        <v>88.8</v>
      </c>
      <c r="Q500" s="60"/>
      <c r="R500" s="60"/>
      <c r="S500" s="59">
        <f>ROUND(ROUND(P500, 2)*I500, 2)</f>
        <v>0</v>
      </c>
      <c r="T500" s="60"/>
      <c r="U500" s="61"/>
      <c r="V500" s="9">
        <f>ROUND(ROUND(P500, 2)/1.2, 2)</f>
        <v>74</v>
      </c>
      <c r="Y500" s="9">
        <f t="shared" si="101"/>
        <v>0</v>
      </c>
      <c r="AD500" s="4" t="s">
        <v>1414</v>
      </c>
      <c r="AE500" s="4" t="s">
        <v>1415</v>
      </c>
      <c r="AF500" s="4" t="s">
        <v>547</v>
      </c>
    </row>
    <row r="501" spans="1:35" ht="54" x14ac:dyDescent="0.35">
      <c r="A501" s="51" t="s">
        <v>1416</v>
      </c>
      <c r="B501" s="51"/>
      <c r="C501" s="47" t="s">
        <v>1401</v>
      </c>
      <c r="D501" s="53"/>
      <c r="E501" s="53"/>
      <c r="F501" s="57" t="s">
        <v>498</v>
      </c>
      <c r="G501" s="58">
        <v>1.8</v>
      </c>
      <c r="H501" s="53"/>
      <c r="I501" s="58">
        <v>0</v>
      </c>
      <c r="J501" s="59">
        <v>12.06</v>
      </c>
      <c r="K501" s="60"/>
      <c r="L501" s="60"/>
      <c r="M501" s="59">
        <f>ROUND(ROUND(J501, 2)*I501, 2)</f>
        <v>0</v>
      </c>
      <c r="N501" s="60"/>
      <c r="O501" s="60"/>
      <c r="P501" s="59">
        <v>12.07</v>
      </c>
      <c r="Q501" s="60"/>
      <c r="R501" s="60"/>
      <c r="S501" s="59">
        <f>ROUND(ROUND(P501, 2)*I501, 2)</f>
        <v>0</v>
      </c>
      <c r="T501" s="60"/>
      <c r="U501" s="61"/>
      <c r="V501" s="9">
        <f>ROUND(ROUND(P501, 2)/1.2, 2)</f>
        <v>10.06</v>
      </c>
      <c r="Y501" s="9">
        <f t="shared" si="101"/>
        <v>0</v>
      </c>
      <c r="AD501" s="4" t="s">
        <v>1417</v>
      </c>
      <c r="AE501" s="4" t="s">
        <v>1418</v>
      </c>
      <c r="AF501" s="4" t="s">
        <v>1404</v>
      </c>
    </row>
    <row r="502" spans="1:35" ht="17" customHeight="1" x14ac:dyDescent="0.35">
      <c r="A502" s="10" t="s">
        <v>1419</v>
      </c>
      <c r="B502" s="10" t="s">
        <v>1420</v>
      </c>
      <c r="C502" s="174" t="s">
        <v>1421</v>
      </c>
      <c r="D502" s="175"/>
      <c r="E502" s="175"/>
      <c r="F502" s="175"/>
      <c r="G502" s="175"/>
      <c r="H502" s="175"/>
      <c r="I502" s="176"/>
      <c r="M502" s="6">
        <f>SUM(M503,M509,M515,M521,M527,M530,M533,M536)</f>
        <v>0</v>
      </c>
      <c r="N502" s="6">
        <f>SUM(N503,N509,N515,N521,N527,N530,N533,N536)</f>
        <v>0</v>
      </c>
      <c r="O502" s="6">
        <f>SUM(O503,O509,O515,O521,O527,O530,O533,O536)</f>
        <v>0</v>
      </c>
      <c r="S502" s="6">
        <f>SUM(S503,S509,S515,S521,S527,S530,S533,S536)</f>
        <v>0</v>
      </c>
      <c r="T502" s="6">
        <f>SUM(T503,T509,T515,T521,T527,T530,T533,T536)</f>
        <v>0</v>
      </c>
      <c r="U502" s="6">
        <f>SUM(U503,U509,U515,U521,U527,U530,U533,U536)</f>
        <v>0</v>
      </c>
      <c r="Y502" s="9">
        <f>SUM(Y503,Y509,Y515,Y521,Y527,Y530,Y533,Y536)</f>
        <v>0</v>
      </c>
      <c r="Z502" s="9">
        <f>SUM(Z503,Z509,Z515,Z521,Z527,Z530,Z533,Z536)</f>
        <v>0</v>
      </c>
      <c r="AA502" s="9">
        <f>SUM(AA503,AA509,AA515,AA521,AA527,AA530,AA533,AA536)</f>
        <v>0</v>
      </c>
      <c r="AD502" s="4">
        <v>305116990</v>
      </c>
      <c r="AE502" s="4">
        <v>20944425</v>
      </c>
    </row>
    <row r="503" spans="1:35" ht="36" x14ac:dyDescent="0.35">
      <c r="A503" s="17" t="s">
        <v>1422</v>
      </c>
      <c r="B503" s="17" t="s">
        <v>1423</v>
      </c>
      <c r="C503" s="18" t="s">
        <v>1424</v>
      </c>
      <c r="D503" s="19"/>
      <c r="E503" s="19"/>
      <c r="F503" s="19" t="s">
        <v>63</v>
      </c>
      <c r="G503" s="20">
        <v>1</v>
      </c>
      <c r="H503" s="19"/>
      <c r="I503" s="21">
        <v>0</v>
      </c>
      <c r="J503" s="22">
        <v>13.32</v>
      </c>
      <c r="K503" s="22">
        <v>464</v>
      </c>
      <c r="L503" s="22">
        <f>J503+ROUND(K503, 2)</f>
        <v>477.32</v>
      </c>
      <c r="M503" s="22">
        <v>0</v>
      </c>
      <c r="N503" s="22">
        <v>0</v>
      </c>
      <c r="O503" s="22">
        <f>M503+N503</f>
        <v>0</v>
      </c>
      <c r="P503" s="22">
        <v>73.040000000000006</v>
      </c>
      <c r="Q503" s="22">
        <v>464</v>
      </c>
      <c r="R503" s="22">
        <f>P503+ROUND(Q503, 2)</f>
        <v>537.04</v>
      </c>
      <c r="S503" s="22">
        <v>0</v>
      </c>
      <c r="T503" s="22">
        <v>0</v>
      </c>
      <c r="U503" s="22">
        <f>S503+T503</f>
        <v>0</v>
      </c>
      <c r="V503" s="9">
        <f>ROUND(P503 / 1.2, 2)</f>
        <v>60.87</v>
      </c>
      <c r="W503" s="9">
        <f>ROUND(Q503 / 1.2, 2)</f>
        <v>386.67</v>
      </c>
      <c r="X503" s="9">
        <f>ROUND(R503 / 1.2, 2)</f>
        <v>447.53</v>
      </c>
      <c r="Y503" s="9">
        <f>ROUND(S503 / 1.2, 2)</f>
        <v>0</v>
      </c>
      <c r="Z503" s="9">
        <f>ROUND(T503 / 1.2, 2)</f>
        <v>0</v>
      </c>
      <c r="AA503" s="9">
        <f>Y503+Z503</f>
        <v>0</v>
      </c>
      <c r="AD503" s="4">
        <v>305116992</v>
      </c>
      <c r="AE503" s="4">
        <v>20944429</v>
      </c>
      <c r="AG503" s="4" t="s">
        <v>1425</v>
      </c>
      <c r="AH503" s="4" t="s">
        <v>1426</v>
      </c>
      <c r="AI503" s="4" t="s">
        <v>467</v>
      </c>
    </row>
    <row r="504" spans="1:35" ht="36" x14ac:dyDescent="0.35">
      <c r="A504" s="23" t="s">
        <v>1427</v>
      </c>
      <c r="B504" s="23" t="s">
        <v>1423</v>
      </c>
      <c r="C504" s="24" t="s">
        <v>1424</v>
      </c>
      <c r="D504" s="25"/>
      <c r="E504" s="25" t="s">
        <v>1428</v>
      </c>
      <c r="F504" s="25" t="s">
        <v>63</v>
      </c>
      <c r="G504" s="26">
        <v>1</v>
      </c>
      <c r="H504" s="25"/>
      <c r="I504" s="26">
        <v>2326.3000000000002</v>
      </c>
      <c r="J504" s="27">
        <v>13.32</v>
      </c>
      <c r="K504" s="27">
        <v>464</v>
      </c>
      <c r="L504" s="27">
        <v>464</v>
      </c>
      <c r="M504" s="27">
        <v>30986.32</v>
      </c>
      <c r="N504" s="27">
        <v>1079403.2</v>
      </c>
      <c r="O504" s="27"/>
      <c r="P504" s="27">
        <v>73.040000000000006</v>
      </c>
      <c r="Q504" s="27">
        <v>464</v>
      </c>
      <c r="R504" s="27">
        <v>464</v>
      </c>
      <c r="S504" s="27">
        <v>169912.95</v>
      </c>
      <c r="T504" s="27">
        <v>1079403.2</v>
      </c>
      <c r="U504" s="27"/>
      <c r="V504" s="9"/>
      <c r="W504" s="9">
        <f>ROUND(Q504 / 1.2, 2)</f>
        <v>386.67</v>
      </c>
      <c r="X504" s="9">
        <f>ROUND(R504 / 1.2, 2)</f>
        <v>386.67</v>
      </c>
      <c r="Y504" s="9"/>
      <c r="Z504" s="9">
        <f>ROUND(T504 / 1.2, 2)</f>
        <v>899502.67</v>
      </c>
      <c r="AA504" s="9"/>
      <c r="AD504" s="4">
        <v>281765330</v>
      </c>
      <c r="AE504" s="4">
        <v>20944429</v>
      </c>
      <c r="AG504" s="4" t="s">
        <v>1425</v>
      </c>
      <c r="AH504" s="4" t="s">
        <v>1426</v>
      </c>
      <c r="AI504" s="4"/>
    </row>
    <row r="505" spans="1:35" ht="36" x14ac:dyDescent="0.35">
      <c r="A505" s="17" t="s">
        <v>1429</v>
      </c>
      <c r="B505" s="17"/>
      <c r="C505" s="34" t="s">
        <v>1430</v>
      </c>
      <c r="D505" s="19"/>
      <c r="E505" s="19"/>
      <c r="F505" s="35" t="s">
        <v>498</v>
      </c>
      <c r="G505" s="36">
        <v>0.4</v>
      </c>
      <c r="H505" s="19"/>
      <c r="I505" s="37">
        <v>0</v>
      </c>
      <c r="J505" s="38">
        <v>0</v>
      </c>
      <c r="K505" s="39"/>
      <c r="L505" s="39"/>
      <c r="M505" s="38">
        <f>ROUND(ROUND(J505, 2)*I505, 2)</f>
        <v>0</v>
      </c>
      <c r="N505" s="39"/>
      <c r="O505" s="39"/>
      <c r="P505" s="38">
        <v>149.31</v>
      </c>
      <c r="Q505" s="39"/>
      <c r="R505" s="39"/>
      <c r="S505" s="38">
        <f>ROUND(ROUND(P505, 2)*I505, 2)</f>
        <v>0</v>
      </c>
      <c r="T505" s="39"/>
      <c r="U505" s="40"/>
      <c r="V505" s="9">
        <f>ROUND(ROUND(P505, 2)/1.2, 2)</f>
        <v>124.43</v>
      </c>
      <c r="Y505" s="9">
        <f>ROUND(S505 / 1.2, 2)</f>
        <v>0</v>
      </c>
      <c r="AD505" s="4" t="s">
        <v>1431</v>
      </c>
      <c r="AE505" s="4" t="s">
        <v>1432</v>
      </c>
      <c r="AF505" s="4" t="s">
        <v>1433</v>
      </c>
    </row>
    <row r="506" spans="1:35" ht="162" x14ac:dyDescent="0.35">
      <c r="A506" s="23" t="s">
        <v>1434</v>
      </c>
      <c r="B506" s="23"/>
      <c r="C506" s="41" t="s">
        <v>1430</v>
      </c>
      <c r="D506" s="25"/>
      <c r="E506" s="25" t="s">
        <v>1435</v>
      </c>
      <c r="F506" s="42" t="s">
        <v>498</v>
      </c>
      <c r="G506" s="43">
        <v>0.4</v>
      </c>
      <c r="H506" s="25"/>
      <c r="I506" s="43">
        <v>930.52</v>
      </c>
      <c r="J506" s="44">
        <v>0</v>
      </c>
      <c r="K506" s="45"/>
      <c r="L506" s="45"/>
      <c r="M506" s="44">
        <f>ROUND(ROUND(J506, 2)*I506, 2)</f>
        <v>0</v>
      </c>
      <c r="N506" s="45"/>
      <c r="O506" s="45"/>
      <c r="P506" s="44">
        <v>149.31</v>
      </c>
      <c r="Q506" s="45"/>
      <c r="R506" s="45"/>
      <c r="S506" s="44">
        <f>ROUND(ROUND(P506, 2)*I506, 2)</f>
        <v>138935.94</v>
      </c>
      <c r="T506" s="45"/>
      <c r="U506" s="46"/>
      <c r="V506" s="9">
        <f>ROUND(ROUND(P506, 2)/1.2, 2)</f>
        <v>124.43</v>
      </c>
      <c r="Y506" s="9">
        <f>ROUND(S506 / 1.2, 2)</f>
        <v>115779.95</v>
      </c>
      <c r="AD506" s="4" t="s">
        <v>1436</v>
      </c>
      <c r="AE506" s="4" t="s">
        <v>1432</v>
      </c>
      <c r="AF506" s="4" t="s">
        <v>1433</v>
      </c>
    </row>
    <row r="507" spans="1:35" ht="36" x14ac:dyDescent="0.35">
      <c r="A507" s="17" t="s">
        <v>1437</v>
      </c>
      <c r="B507" s="17"/>
      <c r="C507" s="34" t="s">
        <v>925</v>
      </c>
      <c r="D507" s="19"/>
      <c r="E507" s="19"/>
      <c r="F507" s="35" t="s">
        <v>498</v>
      </c>
      <c r="G507" s="36">
        <v>0.15</v>
      </c>
      <c r="H507" s="19"/>
      <c r="I507" s="37">
        <v>0</v>
      </c>
      <c r="J507" s="38">
        <v>88.8</v>
      </c>
      <c r="K507" s="39"/>
      <c r="L507" s="39"/>
      <c r="M507" s="38">
        <f>ROUND(ROUND(J507, 2)*I507, 2)</f>
        <v>0</v>
      </c>
      <c r="N507" s="39"/>
      <c r="O507" s="39"/>
      <c r="P507" s="38">
        <v>88.8</v>
      </c>
      <c r="Q507" s="39"/>
      <c r="R507" s="39"/>
      <c r="S507" s="38">
        <f>ROUND(ROUND(P507, 2)*I507, 2)</f>
        <v>0</v>
      </c>
      <c r="T507" s="39"/>
      <c r="U507" s="40"/>
      <c r="V507" s="9">
        <f>ROUND(ROUND(P507, 2)/1.2, 2)</f>
        <v>74</v>
      </c>
      <c r="Y507" s="9">
        <f>ROUND(S507 / 1.2, 2)</f>
        <v>0</v>
      </c>
      <c r="AD507" s="4" t="s">
        <v>1438</v>
      </c>
      <c r="AE507" s="4" t="s">
        <v>1439</v>
      </c>
      <c r="AF507" s="4" t="s">
        <v>928</v>
      </c>
    </row>
    <row r="508" spans="1:35" ht="36" x14ac:dyDescent="0.35">
      <c r="A508" s="23" t="s">
        <v>1440</v>
      </c>
      <c r="B508" s="23"/>
      <c r="C508" s="41" t="s">
        <v>925</v>
      </c>
      <c r="D508" s="25"/>
      <c r="E508" s="25"/>
      <c r="F508" s="42" t="s">
        <v>498</v>
      </c>
      <c r="G508" s="43">
        <v>0.15</v>
      </c>
      <c r="H508" s="25"/>
      <c r="I508" s="43">
        <v>348.94499999999999</v>
      </c>
      <c r="J508" s="44">
        <v>88.8</v>
      </c>
      <c r="K508" s="45"/>
      <c r="L508" s="45"/>
      <c r="M508" s="44">
        <f>ROUND(ROUND(J508, 2)*I508, 2)</f>
        <v>30986.32</v>
      </c>
      <c r="N508" s="45"/>
      <c r="O508" s="45"/>
      <c r="P508" s="44">
        <v>88.8</v>
      </c>
      <c r="Q508" s="45"/>
      <c r="R508" s="45"/>
      <c r="S508" s="44">
        <f>ROUND(ROUND(P508, 2)*I508, 2)</f>
        <v>30986.32</v>
      </c>
      <c r="T508" s="45"/>
      <c r="U508" s="46"/>
      <c r="V508" s="9">
        <f>ROUND(ROUND(P508, 2)/1.2, 2)</f>
        <v>74</v>
      </c>
      <c r="Y508" s="9">
        <f>ROUND(S508 / 1.2, 2)</f>
        <v>25821.93</v>
      </c>
      <c r="AD508" s="4" t="s">
        <v>1441</v>
      </c>
      <c r="AE508" s="4" t="s">
        <v>1439</v>
      </c>
      <c r="AF508" s="4" t="s">
        <v>928</v>
      </c>
    </row>
    <row r="509" spans="1:35" ht="36" x14ac:dyDescent="0.35">
      <c r="A509" s="17" t="s">
        <v>1442</v>
      </c>
      <c r="B509" s="17" t="s">
        <v>1423</v>
      </c>
      <c r="C509" s="18" t="s">
        <v>1424</v>
      </c>
      <c r="D509" s="19"/>
      <c r="E509" s="19"/>
      <c r="F509" s="19" t="s">
        <v>63</v>
      </c>
      <c r="G509" s="20">
        <v>1</v>
      </c>
      <c r="H509" s="19"/>
      <c r="I509" s="21">
        <v>0</v>
      </c>
      <c r="J509" s="22">
        <v>13.32</v>
      </c>
      <c r="K509" s="22">
        <v>464</v>
      </c>
      <c r="L509" s="22">
        <f>J509+ROUND(K509, 2)</f>
        <v>477.32</v>
      </c>
      <c r="M509" s="22">
        <v>0</v>
      </c>
      <c r="N509" s="22">
        <v>0</v>
      </c>
      <c r="O509" s="22">
        <f>M509+N509</f>
        <v>0</v>
      </c>
      <c r="P509" s="22">
        <v>73.040000000000006</v>
      </c>
      <c r="Q509" s="22">
        <v>464</v>
      </c>
      <c r="R509" s="22">
        <f>P509+ROUND(Q509, 2)</f>
        <v>537.04</v>
      </c>
      <c r="S509" s="22">
        <v>0</v>
      </c>
      <c r="T509" s="22">
        <v>0</v>
      </c>
      <c r="U509" s="22">
        <f>S509+T509</f>
        <v>0</v>
      </c>
      <c r="V509" s="9">
        <f>ROUND(P509 / 1.2, 2)</f>
        <v>60.87</v>
      </c>
      <c r="W509" s="9">
        <f>ROUND(Q509 / 1.2, 2)</f>
        <v>386.67</v>
      </c>
      <c r="X509" s="9">
        <f>ROUND(R509 / 1.2, 2)</f>
        <v>447.53</v>
      </c>
      <c r="Y509" s="9">
        <f>ROUND(S509 / 1.2, 2)</f>
        <v>0</v>
      </c>
      <c r="Z509" s="9">
        <f>ROUND(T509 / 1.2, 2)</f>
        <v>0</v>
      </c>
      <c r="AA509" s="9">
        <f>Y509+Z509</f>
        <v>0</v>
      </c>
      <c r="AD509" s="4">
        <v>305117060</v>
      </c>
      <c r="AE509" s="4">
        <v>20944430</v>
      </c>
      <c r="AG509" s="4" t="s">
        <v>1425</v>
      </c>
      <c r="AH509" s="4" t="s">
        <v>1426</v>
      </c>
      <c r="AI509" s="4" t="s">
        <v>467</v>
      </c>
    </row>
    <row r="510" spans="1:35" ht="36" x14ac:dyDescent="0.35">
      <c r="A510" s="23" t="s">
        <v>1443</v>
      </c>
      <c r="B510" s="23" t="s">
        <v>1423</v>
      </c>
      <c r="C510" s="24" t="s">
        <v>1424</v>
      </c>
      <c r="D510" s="25"/>
      <c r="E510" s="25" t="s">
        <v>1444</v>
      </c>
      <c r="F510" s="25" t="s">
        <v>63</v>
      </c>
      <c r="G510" s="26">
        <v>1</v>
      </c>
      <c r="H510" s="25"/>
      <c r="I510" s="26">
        <v>559.9</v>
      </c>
      <c r="J510" s="27">
        <v>13.32</v>
      </c>
      <c r="K510" s="27">
        <v>464</v>
      </c>
      <c r="L510" s="27">
        <v>464</v>
      </c>
      <c r="M510" s="27">
        <v>7457.87</v>
      </c>
      <c r="N510" s="27">
        <v>259793.6</v>
      </c>
      <c r="O510" s="27"/>
      <c r="P510" s="27">
        <v>73.040000000000006</v>
      </c>
      <c r="Q510" s="27">
        <v>464</v>
      </c>
      <c r="R510" s="27">
        <v>464</v>
      </c>
      <c r="S510" s="27">
        <v>40895.1</v>
      </c>
      <c r="T510" s="27">
        <v>259793.6</v>
      </c>
      <c r="U510" s="27"/>
      <c r="V510" s="9"/>
      <c r="W510" s="9">
        <f>ROUND(Q510 / 1.2, 2)</f>
        <v>386.67</v>
      </c>
      <c r="X510" s="9">
        <f>ROUND(R510 / 1.2, 2)</f>
        <v>386.67</v>
      </c>
      <c r="Y510" s="9"/>
      <c r="Z510" s="9">
        <f>ROUND(T510 / 1.2, 2)</f>
        <v>216494.67</v>
      </c>
      <c r="AA510" s="9"/>
      <c r="AD510" s="4">
        <v>281765358</v>
      </c>
      <c r="AE510" s="4">
        <v>20944430</v>
      </c>
      <c r="AG510" s="4" t="s">
        <v>1425</v>
      </c>
      <c r="AH510" s="4" t="s">
        <v>1426</v>
      </c>
      <c r="AI510" s="4"/>
    </row>
    <row r="511" spans="1:35" ht="36" x14ac:dyDescent="0.35">
      <c r="A511" s="17" t="s">
        <v>1445</v>
      </c>
      <c r="B511" s="17"/>
      <c r="C511" s="34" t="s">
        <v>925</v>
      </c>
      <c r="D511" s="19"/>
      <c r="E511" s="19"/>
      <c r="F511" s="35" t="s">
        <v>498</v>
      </c>
      <c r="G511" s="36">
        <v>0.15</v>
      </c>
      <c r="H511" s="19"/>
      <c r="I511" s="37">
        <v>0</v>
      </c>
      <c r="J511" s="38">
        <v>88.8</v>
      </c>
      <c r="K511" s="39"/>
      <c r="L511" s="39"/>
      <c r="M511" s="38">
        <f>ROUND(ROUND(J511, 2)*I511, 2)</f>
        <v>0</v>
      </c>
      <c r="N511" s="39"/>
      <c r="O511" s="39"/>
      <c r="P511" s="38">
        <v>88.8</v>
      </c>
      <c r="Q511" s="39"/>
      <c r="R511" s="39"/>
      <c r="S511" s="38">
        <f>ROUND(ROUND(P511, 2)*I511, 2)</f>
        <v>0</v>
      </c>
      <c r="T511" s="39"/>
      <c r="U511" s="40"/>
      <c r="V511" s="9">
        <f>ROUND(ROUND(P511, 2)/1.2, 2)</f>
        <v>74</v>
      </c>
      <c r="Y511" s="9">
        <f>ROUND(S511 / 1.2, 2)</f>
        <v>0</v>
      </c>
      <c r="AD511" s="4" t="s">
        <v>1446</v>
      </c>
      <c r="AE511" s="4" t="s">
        <v>1447</v>
      </c>
      <c r="AF511" s="4" t="s">
        <v>928</v>
      </c>
    </row>
    <row r="512" spans="1:35" ht="36" x14ac:dyDescent="0.35">
      <c r="A512" s="23" t="s">
        <v>1448</v>
      </c>
      <c r="B512" s="23"/>
      <c r="C512" s="41" t="s">
        <v>925</v>
      </c>
      <c r="D512" s="25"/>
      <c r="E512" s="25"/>
      <c r="F512" s="42" t="s">
        <v>498</v>
      </c>
      <c r="G512" s="43">
        <v>0.15</v>
      </c>
      <c r="H512" s="25"/>
      <c r="I512" s="43">
        <v>83.984999999999999</v>
      </c>
      <c r="J512" s="44">
        <v>88.8</v>
      </c>
      <c r="K512" s="45"/>
      <c r="L512" s="45"/>
      <c r="M512" s="44">
        <f>ROUND(ROUND(J512, 2)*I512, 2)</f>
        <v>7457.87</v>
      </c>
      <c r="N512" s="45"/>
      <c r="O512" s="45"/>
      <c r="P512" s="44">
        <v>88.8</v>
      </c>
      <c r="Q512" s="45"/>
      <c r="R512" s="45"/>
      <c r="S512" s="44">
        <f>ROUND(ROUND(P512, 2)*I512, 2)</f>
        <v>7457.87</v>
      </c>
      <c r="T512" s="45"/>
      <c r="U512" s="46"/>
      <c r="V512" s="9">
        <f>ROUND(ROUND(P512, 2)/1.2, 2)</f>
        <v>74</v>
      </c>
      <c r="Y512" s="9">
        <f>ROUND(S512 / 1.2, 2)</f>
        <v>6214.89</v>
      </c>
      <c r="AD512" s="4" t="s">
        <v>1449</v>
      </c>
      <c r="AE512" s="4" t="s">
        <v>1447</v>
      </c>
      <c r="AF512" s="4" t="s">
        <v>928</v>
      </c>
    </row>
    <row r="513" spans="1:35" ht="36" x14ac:dyDescent="0.35">
      <c r="A513" s="17" t="s">
        <v>1450</v>
      </c>
      <c r="B513" s="17"/>
      <c r="C513" s="34" t="s">
        <v>1430</v>
      </c>
      <c r="D513" s="19"/>
      <c r="E513" s="19"/>
      <c r="F513" s="35" t="s">
        <v>498</v>
      </c>
      <c r="G513" s="36">
        <v>0.4</v>
      </c>
      <c r="H513" s="19"/>
      <c r="I513" s="37">
        <v>0</v>
      </c>
      <c r="J513" s="38">
        <v>0</v>
      </c>
      <c r="K513" s="39"/>
      <c r="L513" s="39"/>
      <c r="M513" s="38">
        <f>ROUND(ROUND(J513, 2)*I513, 2)</f>
        <v>0</v>
      </c>
      <c r="N513" s="39"/>
      <c r="O513" s="39"/>
      <c r="P513" s="38">
        <v>149.31</v>
      </c>
      <c r="Q513" s="39"/>
      <c r="R513" s="39"/>
      <c r="S513" s="38">
        <f>ROUND(ROUND(P513, 2)*I513, 2)</f>
        <v>0</v>
      </c>
      <c r="T513" s="39"/>
      <c r="U513" s="40"/>
      <c r="V513" s="9">
        <f>ROUND(ROUND(P513, 2)/1.2, 2)</f>
        <v>124.43</v>
      </c>
      <c r="Y513" s="9">
        <f>ROUND(S513 / 1.2, 2)</f>
        <v>0</v>
      </c>
      <c r="AD513" s="4" t="s">
        <v>1451</v>
      </c>
      <c r="AE513" s="4" t="s">
        <v>1452</v>
      </c>
      <c r="AF513" s="4" t="s">
        <v>1433</v>
      </c>
    </row>
    <row r="514" spans="1:35" ht="90" x14ac:dyDescent="0.35">
      <c r="A514" s="23" t="s">
        <v>1453</v>
      </c>
      <c r="B514" s="23"/>
      <c r="C514" s="41" t="s">
        <v>1430</v>
      </c>
      <c r="D514" s="25"/>
      <c r="E514" s="25" t="s">
        <v>1454</v>
      </c>
      <c r="F514" s="42" t="s">
        <v>498</v>
      </c>
      <c r="G514" s="43">
        <v>0.4</v>
      </c>
      <c r="H514" s="25"/>
      <c r="I514" s="43">
        <v>223.96</v>
      </c>
      <c r="J514" s="44">
        <v>0</v>
      </c>
      <c r="K514" s="45"/>
      <c r="L514" s="45"/>
      <c r="M514" s="44">
        <f>ROUND(ROUND(J514, 2)*I514, 2)</f>
        <v>0</v>
      </c>
      <c r="N514" s="45"/>
      <c r="O514" s="45"/>
      <c r="P514" s="44">
        <v>149.31</v>
      </c>
      <c r="Q514" s="45"/>
      <c r="R514" s="45"/>
      <c r="S514" s="44">
        <f>ROUND(ROUND(P514, 2)*I514, 2)</f>
        <v>33439.47</v>
      </c>
      <c r="T514" s="45"/>
      <c r="U514" s="46"/>
      <c r="V514" s="9">
        <f>ROUND(ROUND(P514, 2)/1.2, 2)</f>
        <v>124.43</v>
      </c>
      <c r="Y514" s="9">
        <f>ROUND(S514 / 1.2, 2)</f>
        <v>27866.23</v>
      </c>
      <c r="AD514" s="4" t="s">
        <v>1455</v>
      </c>
      <c r="AE514" s="4" t="s">
        <v>1452</v>
      </c>
      <c r="AF514" s="4" t="s">
        <v>1433</v>
      </c>
    </row>
    <row r="515" spans="1:35" ht="36" x14ac:dyDescent="0.35">
      <c r="A515" s="17" t="s">
        <v>1456</v>
      </c>
      <c r="B515" s="17" t="s">
        <v>1423</v>
      </c>
      <c r="C515" s="18" t="s">
        <v>1424</v>
      </c>
      <c r="D515" s="19"/>
      <c r="E515" s="19"/>
      <c r="F515" s="19" t="s">
        <v>63</v>
      </c>
      <c r="G515" s="20">
        <v>1</v>
      </c>
      <c r="H515" s="19"/>
      <c r="I515" s="21">
        <v>0</v>
      </c>
      <c r="J515" s="22">
        <v>13.32</v>
      </c>
      <c r="K515" s="22">
        <v>464</v>
      </c>
      <c r="L515" s="22">
        <f>J515+ROUND(K515, 2)</f>
        <v>477.32</v>
      </c>
      <c r="M515" s="22">
        <v>0</v>
      </c>
      <c r="N515" s="22">
        <v>0</v>
      </c>
      <c r="O515" s="22">
        <f>M515+N515</f>
        <v>0</v>
      </c>
      <c r="P515" s="22">
        <v>73.040000000000006</v>
      </c>
      <c r="Q515" s="22">
        <v>464</v>
      </c>
      <c r="R515" s="22">
        <f>P515+ROUND(Q515, 2)</f>
        <v>537.04</v>
      </c>
      <c r="S515" s="22">
        <v>0</v>
      </c>
      <c r="T515" s="22">
        <v>0</v>
      </c>
      <c r="U515" s="22">
        <f>S515+T515</f>
        <v>0</v>
      </c>
      <c r="V515" s="9">
        <f>ROUND(P515 / 1.2, 2)</f>
        <v>60.87</v>
      </c>
      <c r="W515" s="9">
        <f>ROUND(Q515 / 1.2, 2)</f>
        <v>386.67</v>
      </c>
      <c r="X515" s="9">
        <f>ROUND(R515 / 1.2, 2)</f>
        <v>447.53</v>
      </c>
      <c r="Y515" s="9">
        <f>ROUND(S515 / 1.2, 2)</f>
        <v>0</v>
      </c>
      <c r="Z515" s="9">
        <f>ROUND(T515 / 1.2, 2)</f>
        <v>0</v>
      </c>
      <c r="AA515" s="9">
        <f>Y515+Z515</f>
        <v>0</v>
      </c>
      <c r="AD515" s="4">
        <v>305117061</v>
      </c>
      <c r="AE515" s="4">
        <v>20944433</v>
      </c>
      <c r="AG515" s="4" t="s">
        <v>1425</v>
      </c>
      <c r="AH515" s="4" t="s">
        <v>1426</v>
      </c>
      <c r="AI515" s="4" t="s">
        <v>467</v>
      </c>
    </row>
    <row r="516" spans="1:35" ht="36" x14ac:dyDescent="0.35">
      <c r="A516" s="23" t="s">
        <v>1457</v>
      </c>
      <c r="B516" s="23" t="s">
        <v>1423</v>
      </c>
      <c r="C516" s="24" t="s">
        <v>1424</v>
      </c>
      <c r="D516" s="25"/>
      <c r="E516" s="25" t="s">
        <v>1458</v>
      </c>
      <c r="F516" s="25" t="s">
        <v>63</v>
      </c>
      <c r="G516" s="26">
        <v>1</v>
      </c>
      <c r="H516" s="25"/>
      <c r="I516" s="26">
        <v>568.5</v>
      </c>
      <c r="J516" s="27">
        <v>13.32</v>
      </c>
      <c r="K516" s="27">
        <v>464</v>
      </c>
      <c r="L516" s="27">
        <v>464</v>
      </c>
      <c r="M516" s="27">
        <v>7572.42</v>
      </c>
      <c r="N516" s="27">
        <v>263784</v>
      </c>
      <c r="O516" s="27"/>
      <c r="P516" s="27">
        <v>73.040000000000006</v>
      </c>
      <c r="Q516" s="27">
        <v>464</v>
      </c>
      <c r="R516" s="27">
        <v>464</v>
      </c>
      <c r="S516" s="27">
        <v>41523.24</v>
      </c>
      <c r="T516" s="27">
        <v>263784</v>
      </c>
      <c r="U516" s="27"/>
      <c r="V516" s="9"/>
      <c r="W516" s="9">
        <f>ROUND(Q516 / 1.2, 2)</f>
        <v>386.67</v>
      </c>
      <c r="X516" s="9">
        <f>ROUND(R516 / 1.2, 2)</f>
        <v>386.67</v>
      </c>
      <c r="Y516" s="9"/>
      <c r="Z516" s="9">
        <f>ROUND(T516 / 1.2, 2)</f>
        <v>219820</v>
      </c>
      <c r="AA516" s="9"/>
      <c r="AD516" s="4">
        <v>281765359</v>
      </c>
      <c r="AE516" s="4">
        <v>20944433</v>
      </c>
      <c r="AG516" s="4" t="s">
        <v>1425</v>
      </c>
      <c r="AH516" s="4" t="s">
        <v>1426</v>
      </c>
      <c r="AI516" s="4"/>
    </row>
    <row r="517" spans="1:35" ht="36" x14ac:dyDescent="0.35">
      <c r="A517" s="17" t="s">
        <v>1459</v>
      </c>
      <c r="B517" s="17"/>
      <c r="C517" s="34" t="s">
        <v>1430</v>
      </c>
      <c r="D517" s="19"/>
      <c r="E517" s="19"/>
      <c r="F517" s="35" t="s">
        <v>498</v>
      </c>
      <c r="G517" s="36">
        <v>0.4</v>
      </c>
      <c r="H517" s="19"/>
      <c r="I517" s="37">
        <v>0</v>
      </c>
      <c r="J517" s="38">
        <v>0</v>
      </c>
      <c r="K517" s="39"/>
      <c r="L517" s="39"/>
      <c r="M517" s="38">
        <f>ROUND(ROUND(J517, 2)*I517, 2)</f>
        <v>0</v>
      </c>
      <c r="N517" s="39"/>
      <c r="O517" s="39"/>
      <c r="P517" s="38">
        <v>149.31</v>
      </c>
      <c r="Q517" s="39"/>
      <c r="R517" s="39"/>
      <c r="S517" s="38">
        <f>ROUND(ROUND(P517, 2)*I517, 2)</f>
        <v>0</v>
      </c>
      <c r="T517" s="39"/>
      <c r="U517" s="40"/>
      <c r="V517" s="9">
        <f>ROUND(ROUND(P517, 2)/1.2, 2)</f>
        <v>124.43</v>
      </c>
      <c r="Y517" s="9">
        <f>ROUND(S517 / 1.2, 2)</f>
        <v>0</v>
      </c>
      <c r="AD517" s="4" t="s">
        <v>1460</v>
      </c>
      <c r="AE517" s="4" t="s">
        <v>1461</v>
      </c>
      <c r="AF517" s="4" t="s">
        <v>1433</v>
      </c>
    </row>
    <row r="518" spans="1:35" ht="72" x14ac:dyDescent="0.35">
      <c r="A518" s="23" t="s">
        <v>1462</v>
      </c>
      <c r="B518" s="23"/>
      <c r="C518" s="41" t="s">
        <v>1430</v>
      </c>
      <c r="D518" s="25"/>
      <c r="E518" s="25" t="s">
        <v>1463</v>
      </c>
      <c r="F518" s="42" t="s">
        <v>498</v>
      </c>
      <c r="G518" s="43">
        <v>0.4</v>
      </c>
      <c r="H518" s="25"/>
      <c r="I518" s="43">
        <v>227.4</v>
      </c>
      <c r="J518" s="44">
        <v>0</v>
      </c>
      <c r="K518" s="45"/>
      <c r="L518" s="45"/>
      <c r="M518" s="44">
        <f>ROUND(ROUND(J518, 2)*I518, 2)</f>
        <v>0</v>
      </c>
      <c r="N518" s="45"/>
      <c r="O518" s="45"/>
      <c r="P518" s="44">
        <v>149.31</v>
      </c>
      <c r="Q518" s="45"/>
      <c r="R518" s="45"/>
      <c r="S518" s="44">
        <f>ROUND(ROUND(P518, 2)*I518, 2)</f>
        <v>33953.089999999997</v>
      </c>
      <c r="T518" s="45"/>
      <c r="U518" s="46"/>
      <c r="V518" s="9">
        <f>ROUND(ROUND(P518, 2)/1.2, 2)</f>
        <v>124.43</v>
      </c>
      <c r="Y518" s="9">
        <f>ROUND(S518 / 1.2, 2)</f>
        <v>28294.240000000002</v>
      </c>
      <c r="AD518" s="4" t="s">
        <v>1464</v>
      </c>
      <c r="AE518" s="4" t="s">
        <v>1461</v>
      </c>
      <c r="AF518" s="4" t="s">
        <v>1433</v>
      </c>
    </row>
    <row r="519" spans="1:35" ht="36" x14ac:dyDescent="0.35">
      <c r="A519" s="17" t="s">
        <v>1465</v>
      </c>
      <c r="B519" s="17"/>
      <c r="C519" s="34" t="s">
        <v>925</v>
      </c>
      <c r="D519" s="19"/>
      <c r="E519" s="19"/>
      <c r="F519" s="35" t="s">
        <v>498</v>
      </c>
      <c r="G519" s="36">
        <v>0.15</v>
      </c>
      <c r="H519" s="19"/>
      <c r="I519" s="37">
        <v>0</v>
      </c>
      <c r="J519" s="38">
        <v>88.8</v>
      </c>
      <c r="K519" s="39"/>
      <c r="L519" s="39"/>
      <c r="M519" s="38">
        <f>ROUND(ROUND(J519, 2)*I519, 2)</f>
        <v>0</v>
      </c>
      <c r="N519" s="39"/>
      <c r="O519" s="39"/>
      <c r="P519" s="38">
        <v>88.8</v>
      </c>
      <c r="Q519" s="39"/>
      <c r="R519" s="39"/>
      <c r="S519" s="38">
        <f>ROUND(ROUND(P519, 2)*I519, 2)</f>
        <v>0</v>
      </c>
      <c r="T519" s="39"/>
      <c r="U519" s="40"/>
      <c r="V519" s="9">
        <f>ROUND(ROUND(P519, 2)/1.2, 2)</f>
        <v>74</v>
      </c>
      <c r="Y519" s="9">
        <f>ROUND(S519 / 1.2, 2)</f>
        <v>0</v>
      </c>
      <c r="AD519" s="4" t="s">
        <v>1466</v>
      </c>
      <c r="AE519" s="4" t="s">
        <v>1467</v>
      </c>
      <c r="AF519" s="4" t="s">
        <v>928</v>
      </c>
    </row>
    <row r="520" spans="1:35" ht="36" x14ac:dyDescent="0.35">
      <c r="A520" s="23" t="s">
        <v>1468</v>
      </c>
      <c r="B520" s="23"/>
      <c r="C520" s="41" t="s">
        <v>925</v>
      </c>
      <c r="D520" s="25"/>
      <c r="E520" s="25"/>
      <c r="F520" s="42" t="s">
        <v>498</v>
      </c>
      <c r="G520" s="43">
        <v>0.15</v>
      </c>
      <c r="H520" s="25"/>
      <c r="I520" s="43">
        <v>85.275000000000006</v>
      </c>
      <c r="J520" s="44">
        <v>88.8</v>
      </c>
      <c r="K520" s="45"/>
      <c r="L520" s="45"/>
      <c r="M520" s="44">
        <f>ROUND(ROUND(J520, 2)*I520, 2)</f>
        <v>7572.42</v>
      </c>
      <c r="N520" s="45"/>
      <c r="O520" s="45"/>
      <c r="P520" s="44">
        <v>88.8</v>
      </c>
      <c r="Q520" s="45"/>
      <c r="R520" s="45"/>
      <c r="S520" s="44">
        <f>ROUND(ROUND(P520, 2)*I520, 2)</f>
        <v>7572.42</v>
      </c>
      <c r="T520" s="45"/>
      <c r="U520" s="46"/>
      <c r="V520" s="9">
        <f>ROUND(ROUND(P520, 2)/1.2, 2)</f>
        <v>74</v>
      </c>
      <c r="Y520" s="9">
        <f>ROUND(S520 / 1.2, 2)</f>
        <v>6310.35</v>
      </c>
      <c r="AD520" s="4" t="s">
        <v>1469</v>
      </c>
      <c r="AE520" s="4" t="s">
        <v>1467</v>
      </c>
      <c r="AF520" s="4" t="s">
        <v>928</v>
      </c>
    </row>
    <row r="521" spans="1:35" ht="36" x14ac:dyDescent="0.35">
      <c r="A521" s="17" t="s">
        <v>1470</v>
      </c>
      <c r="B521" s="17" t="s">
        <v>1423</v>
      </c>
      <c r="C521" s="18" t="s">
        <v>1424</v>
      </c>
      <c r="D521" s="19"/>
      <c r="E521" s="19"/>
      <c r="F521" s="19" t="s">
        <v>63</v>
      </c>
      <c r="G521" s="20">
        <v>1</v>
      </c>
      <c r="H521" s="19"/>
      <c r="I521" s="21">
        <v>0</v>
      </c>
      <c r="J521" s="22">
        <v>13.32</v>
      </c>
      <c r="K521" s="22">
        <v>464</v>
      </c>
      <c r="L521" s="22">
        <f>J521+ROUND(K521, 2)</f>
        <v>477.32</v>
      </c>
      <c r="M521" s="22">
        <v>0</v>
      </c>
      <c r="N521" s="22">
        <v>0</v>
      </c>
      <c r="O521" s="22">
        <f>M521+N521</f>
        <v>0</v>
      </c>
      <c r="P521" s="22">
        <v>73.040000000000006</v>
      </c>
      <c r="Q521" s="22">
        <v>464</v>
      </c>
      <c r="R521" s="22">
        <f>P521+ROUND(Q521, 2)</f>
        <v>537.04</v>
      </c>
      <c r="S521" s="22">
        <v>0</v>
      </c>
      <c r="T521" s="22">
        <v>0</v>
      </c>
      <c r="U521" s="22">
        <f>S521+T521</f>
        <v>0</v>
      </c>
      <c r="V521" s="9">
        <f>ROUND(P521 / 1.2, 2)</f>
        <v>60.87</v>
      </c>
      <c r="W521" s="9">
        <f>ROUND(Q521 / 1.2, 2)</f>
        <v>386.67</v>
      </c>
      <c r="X521" s="9">
        <f>ROUND(R521 / 1.2, 2)</f>
        <v>447.53</v>
      </c>
      <c r="Y521" s="9">
        <f>ROUND(S521 / 1.2, 2)</f>
        <v>0</v>
      </c>
      <c r="Z521" s="9">
        <f>ROUND(T521 / 1.2, 2)</f>
        <v>0</v>
      </c>
      <c r="AA521" s="9">
        <f>Y521+Z521</f>
        <v>0</v>
      </c>
      <c r="AD521" s="4">
        <v>305117062</v>
      </c>
      <c r="AE521" s="4">
        <v>20944434</v>
      </c>
      <c r="AG521" s="4" t="s">
        <v>1425</v>
      </c>
      <c r="AH521" s="4" t="s">
        <v>1426</v>
      </c>
      <c r="AI521" s="4" t="s">
        <v>467</v>
      </c>
    </row>
    <row r="522" spans="1:35" ht="36" x14ac:dyDescent="0.35">
      <c r="A522" s="23" t="s">
        <v>1471</v>
      </c>
      <c r="B522" s="23" t="s">
        <v>1423</v>
      </c>
      <c r="C522" s="24" t="s">
        <v>1424</v>
      </c>
      <c r="D522" s="25"/>
      <c r="E522" s="25" t="s">
        <v>1472</v>
      </c>
      <c r="F522" s="25" t="s">
        <v>63</v>
      </c>
      <c r="G522" s="26">
        <v>1</v>
      </c>
      <c r="H522" s="25"/>
      <c r="I522" s="26">
        <v>932.2</v>
      </c>
      <c r="J522" s="27">
        <v>13.32</v>
      </c>
      <c r="K522" s="27">
        <v>464</v>
      </c>
      <c r="L522" s="27">
        <v>464</v>
      </c>
      <c r="M522" s="27">
        <v>12416.9</v>
      </c>
      <c r="N522" s="27">
        <v>432540.8</v>
      </c>
      <c r="O522" s="27"/>
      <c r="P522" s="27">
        <v>73.040000000000006</v>
      </c>
      <c r="Q522" s="27">
        <v>464</v>
      </c>
      <c r="R522" s="27">
        <v>464</v>
      </c>
      <c r="S522" s="27">
        <v>68087.89</v>
      </c>
      <c r="T522" s="27">
        <v>432540.8</v>
      </c>
      <c r="U522" s="27"/>
      <c r="V522" s="9"/>
      <c r="W522" s="9">
        <f>ROUND(Q522 / 1.2, 2)</f>
        <v>386.67</v>
      </c>
      <c r="X522" s="9">
        <f>ROUND(R522 / 1.2, 2)</f>
        <v>386.67</v>
      </c>
      <c r="Y522" s="9"/>
      <c r="Z522" s="9">
        <f>ROUND(T522 / 1.2, 2)</f>
        <v>360450.67</v>
      </c>
      <c r="AA522" s="9"/>
      <c r="AD522" s="4">
        <v>281765360</v>
      </c>
      <c r="AE522" s="4">
        <v>20944434</v>
      </c>
      <c r="AG522" s="4" t="s">
        <v>1425</v>
      </c>
      <c r="AH522" s="4" t="s">
        <v>1426</v>
      </c>
      <c r="AI522" s="4"/>
    </row>
    <row r="523" spans="1:35" ht="36" x14ac:dyDescent="0.35">
      <c r="A523" s="17" t="s">
        <v>1473</v>
      </c>
      <c r="B523" s="17"/>
      <c r="C523" s="34" t="s">
        <v>925</v>
      </c>
      <c r="D523" s="19"/>
      <c r="E523" s="19"/>
      <c r="F523" s="35" t="s">
        <v>498</v>
      </c>
      <c r="G523" s="36">
        <v>0.15</v>
      </c>
      <c r="H523" s="19"/>
      <c r="I523" s="37">
        <v>0</v>
      </c>
      <c r="J523" s="38">
        <v>88.8</v>
      </c>
      <c r="K523" s="39"/>
      <c r="L523" s="39"/>
      <c r="M523" s="38">
        <f>ROUND(ROUND(J523, 2)*I523, 2)</f>
        <v>0</v>
      </c>
      <c r="N523" s="39"/>
      <c r="O523" s="39"/>
      <c r="P523" s="38">
        <v>88.8</v>
      </c>
      <c r="Q523" s="39"/>
      <c r="R523" s="39"/>
      <c r="S523" s="38">
        <f>ROUND(ROUND(P523, 2)*I523, 2)</f>
        <v>0</v>
      </c>
      <c r="T523" s="39"/>
      <c r="U523" s="40"/>
      <c r="V523" s="9">
        <f>ROUND(ROUND(P523, 2)/1.2, 2)</f>
        <v>74</v>
      </c>
      <c r="Y523" s="9">
        <f t="shared" ref="Y523:Y538" si="102">ROUND(S523 / 1.2, 2)</f>
        <v>0</v>
      </c>
      <c r="AD523" s="4" t="s">
        <v>1474</v>
      </c>
      <c r="AE523" s="4" t="s">
        <v>1475</v>
      </c>
      <c r="AF523" s="4" t="s">
        <v>928</v>
      </c>
    </row>
    <row r="524" spans="1:35" ht="36" x14ac:dyDescent="0.35">
      <c r="A524" s="23" t="s">
        <v>1476</v>
      </c>
      <c r="B524" s="23"/>
      <c r="C524" s="41" t="s">
        <v>925</v>
      </c>
      <c r="D524" s="25"/>
      <c r="E524" s="25"/>
      <c r="F524" s="42" t="s">
        <v>498</v>
      </c>
      <c r="G524" s="43">
        <v>0.15</v>
      </c>
      <c r="H524" s="25"/>
      <c r="I524" s="43">
        <v>139.83000000000001</v>
      </c>
      <c r="J524" s="44">
        <v>88.8</v>
      </c>
      <c r="K524" s="45"/>
      <c r="L524" s="45"/>
      <c r="M524" s="44">
        <f>ROUND(ROUND(J524, 2)*I524, 2)</f>
        <v>12416.9</v>
      </c>
      <c r="N524" s="45"/>
      <c r="O524" s="45"/>
      <c r="P524" s="44">
        <v>88.8</v>
      </c>
      <c r="Q524" s="45"/>
      <c r="R524" s="45"/>
      <c r="S524" s="44">
        <f>ROUND(ROUND(P524, 2)*I524, 2)</f>
        <v>12416.9</v>
      </c>
      <c r="T524" s="45"/>
      <c r="U524" s="46"/>
      <c r="V524" s="9">
        <f>ROUND(ROUND(P524, 2)/1.2, 2)</f>
        <v>74</v>
      </c>
      <c r="Y524" s="9">
        <f t="shared" si="102"/>
        <v>10347.42</v>
      </c>
      <c r="AD524" s="4" t="s">
        <v>1477</v>
      </c>
      <c r="AE524" s="4" t="s">
        <v>1475</v>
      </c>
      <c r="AF524" s="4" t="s">
        <v>928</v>
      </c>
    </row>
    <row r="525" spans="1:35" ht="36" x14ac:dyDescent="0.35">
      <c r="A525" s="17" t="s">
        <v>1478</v>
      </c>
      <c r="B525" s="17"/>
      <c r="C525" s="34" t="s">
        <v>1430</v>
      </c>
      <c r="D525" s="19"/>
      <c r="E525" s="19"/>
      <c r="F525" s="35" t="s">
        <v>498</v>
      </c>
      <c r="G525" s="36">
        <v>0.4</v>
      </c>
      <c r="H525" s="19"/>
      <c r="I525" s="37">
        <v>0</v>
      </c>
      <c r="J525" s="38">
        <v>0</v>
      </c>
      <c r="K525" s="39"/>
      <c r="L525" s="39"/>
      <c r="M525" s="38">
        <f>ROUND(ROUND(J525, 2)*I525, 2)</f>
        <v>0</v>
      </c>
      <c r="N525" s="39"/>
      <c r="O525" s="39"/>
      <c r="P525" s="38">
        <v>149.31</v>
      </c>
      <c r="Q525" s="39"/>
      <c r="R525" s="39"/>
      <c r="S525" s="38">
        <f>ROUND(ROUND(P525, 2)*I525, 2)</f>
        <v>0</v>
      </c>
      <c r="T525" s="39"/>
      <c r="U525" s="40"/>
      <c r="V525" s="9">
        <f>ROUND(ROUND(P525, 2)/1.2, 2)</f>
        <v>124.43</v>
      </c>
      <c r="Y525" s="9">
        <f t="shared" si="102"/>
        <v>0</v>
      </c>
      <c r="AD525" s="4" t="s">
        <v>1479</v>
      </c>
      <c r="AE525" s="4" t="s">
        <v>1480</v>
      </c>
      <c r="AF525" s="4" t="s">
        <v>1433</v>
      </c>
    </row>
    <row r="526" spans="1:35" ht="90" x14ac:dyDescent="0.35">
      <c r="A526" s="23" t="s">
        <v>1481</v>
      </c>
      <c r="B526" s="23"/>
      <c r="C526" s="41" t="s">
        <v>1430</v>
      </c>
      <c r="D526" s="25"/>
      <c r="E526" s="25" t="s">
        <v>1482</v>
      </c>
      <c r="F526" s="42" t="s">
        <v>498</v>
      </c>
      <c r="G526" s="43">
        <v>0.4</v>
      </c>
      <c r="H526" s="25"/>
      <c r="I526" s="43">
        <v>372.88</v>
      </c>
      <c r="J526" s="44">
        <v>0</v>
      </c>
      <c r="K526" s="45"/>
      <c r="L526" s="45"/>
      <c r="M526" s="44">
        <f>ROUND(ROUND(J526, 2)*I526, 2)</f>
        <v>0</v>
      </c>
      <c r="N526" s="45"/>
      <c r="O526" s="45"/>
      <c r="P526" s="44">
        <v>149.31</v>
      </c>
      <c r="Q526" s="45"/>
      <c r="R526" s="45"/>
      <c r="S526" s="44">
        <f>ROUND(ROUND(P526, 2)*I526, 2)</f>
        <v>55674.71</v>
      </c>
      <c r="T526" s="45"/>
      <c r="U526" s="46"/>
      <c r="V526" s="9">
        <f>ROUND(ROUND(P526, 2)/1.2, 2)</f>
        <v>124.43</v>
      </c>
      <c r="Y526" s="9">
        <f t="shared" si="102"/>
        <v>46395.59</v>
      </c>
      <c r="AD526" s="4" t="s">
        <v>1483</v>
      </c>
      <c r="AE526" s="4" t="s">
        <v>1480</v>
      </c>
      <c r="AF526" s="4" t="s">
        <v>1433</v>
      </c>
    </row>
    <row r="527" spans="1:35" ht="36" x14ac:dyDescent="0.35">
      <c r="A527" s="51" t="s">
        <v>1484</v>
      </c>
      <c r="B527" s="51" t="s">
        <v>1423</v>
      </c>
      <c r="C527" s="52" t="s">
        <v>1424</v>
      </c>
      <c r="D527" s="53"/>
      <c r="E527" s="53" t="s">
        <v>1428</v>
      </c>
      <c r="F527" s="53" t="s">
        <v>63</v>
      </c>
      <c r="G527" s="54">
        <v>1</v>
      </c>
      <c r="H527" s="53"/>
      <c r="I527" s="54">
        <v>0</v>
      </c>
      <c r="J527" s="55">
        <f>IFERROR(ROUND(SUM(M528,M529)/I527, 2),0)</f>
        <v>0</v>
      </c>
      <c r="K527" s="55">
        <v>464</v>
      </c>
      <c r="L527" s="55">
        <f>J527+ROUND(K527, 2)</f>
        <v>464</v>
      </c>
      <c r="M527" s="55">
        <f>ROUND(J527*I527, 2)</f>
        <v>0</v>
      </c>
      <c r="N527" s="55">
        <f>ROUND(I527*ROUND(K527, 2), 2)</f>
        <v>0</v>
      </c>
      <c r="O527" s="55">
        <f>M527+N527</f>
        <v>0</v>
      </c>
      <c r="P527" s="55">
        <f>IFERROR(ROUND(SUM(S528,S529)/I527, 2),0)</f>
        <v>0</v>
      </c>
      <c r="Q527" s="55">
        <v>696</v>
      </c>
      <c r="R527" s="55">
        <f>P527+ROUND(Q527, 2)</f>
        <v>696</v>
      </c>
      <c r="S527" s="55">
        <f>ROUND(P527*I527, 2)</f>
        <v>0</v>
      </c>
      <c r="T527" s="55">
        <f>ROUND(I527*ROUND(Q527, 2), 2)</f>
        <v>0</v>
      </c>
      <c r="U527" s="55">
        <f>S527+T527</f>
        <v>0</v>
      </c>
      <c r="V527" s="9">
        <f>ROUND(P527 / 1.2, 2)</f>
        <v>0</v>
      </c>
      <c r="W527" s="9">
        <f>ROUND(Q527 / 1.2, 2)</f>
        <v>580</v>
      </c>
      <c r="X527" s="9">
        <f>ROUND(R527 / 1.2, 2)</f>
        <v>580</v>
      </c>
      <c r="Y527" s="9">
        <f t="shared" si="102"/>
        <v>0</v>
      </c>
      <c r="Z527" s="9">
        <f>ROUND(T527 / 1.2, 2)</f>
        <v>0</v>
      </c>
      <c r="AA527" s="9">
        <f>Y527+Z527</f>
        <v>0</v>
      </c>
      <c r="AD527" s="4">
        <v>305117063</v>
      </c>
      <c r="AE527" s="4">
        <v>22135694</v>
      </c>
      <c r="AG527" s="4" t="s">
        <v>1425</v>
      </c>
      <c r="AH527" s="4" t="s">
        <v>1426</v>
      </c>
      <c r="AI527" s="4" t="s">
        <v>467</v>
      </c>
    </row>
    <row r="528" spans="1:35" ht="162" x14ac:dyDescent="0.35">
      <c r="A528" s="51" t="s">
        <v>1485</v>
      </c>
      <c r="B528" s="51"/>
      <c r="C528" s="56" t="s">
        <v>1430</v>
      </c>
      <c r="D528" s="53"/>
      <c r="E528" s="53" t="s">
        <v>1435</v>
      </c>
      <c r="F528" s="57" t="s">
        <v>498</v>
      </c>
      <c r="G528" s="58">
        <v>0.4</v>
      </c>
      <c r="H528" s="53"/>
      <c r="I528" s="58">
        <v>0</v>
      </c>
      <c r="J528" s="59">
        <v>0</v>
      </c>
      <c r="K528" s="60"/>
      <c r="L528" s="60"/>
      <c r="M528" s="59">
        <f>ROUND(ROUND(J528, 2)*I528, 2)</f>
        <v>0</v>
      </c>
      <c r="N528" s="60"/>
      <c r="O528" s="60"/>
      <c r="P528" s="59">
        <v>0</v>
      </c>
      <c r="Q528" s="60"/>
      <c r="R528" s="60"/>
      <c r="S528" s="59">
        <f>ROUND(ROUND(P528, 2)*I528, 2)</f>
        <v>0</v>
      </c>
      <c r="T528" s="60"/>
      <c r="U528" s="61"/>
      <c r="V528" s="9">
        <f>ROUND(ROUND(P528, 2)/1.2, 2)</f>
        <v>0</v>
      </c>
      <c r="Y528" s="9">
        <f t="shared" si="102"/>
        <v>0</v>
      </c>
      <c r="AD528" s="4" t="s">
        <v>1486</v>
      </c>
      <c r="AE528" s="4" t="s">
        <v>1487</v>
      </c>
      <c r="AF528" s="4" t="s">
        <v>1433</v>
      </c>
    </row>
    <row r="529" spans="1:35" ht="36" x14ac:dyDescent="0.35">
      <c r="A529" s="51" t="s">
        <v>1488</v>
      </c>
      <c r="B529" s="51"/>
      <c r="C529" s="56" t="s">
        <v>925</v>
      </c>
      <c r="D529" s="53"/>
      <c r="E529" s="53"/>
      <c r="F529" s="57" t="s">
        <v>498</v>
      </c>
      <c r="G529" s="58">
        <v>0.15</v>
      </c>
      <c r="H529" s="53"/>
      <c r="I529" s="58">
        <v>0</v>
      </c>
      <c r="J529" s="59">
        <v>88.8</v>
      </c>
      <c r="K529" s="60"/>
      <c r="L529" s="60"/>
      <c r="M529" s="59">
        <f>ROUND(ROUND(J529, 2)*I529, 2)</f>
        <v>0</v>
      </c>
      <c r="N529" s="60"/>
      <c r="O529" s="60"/>
      <c r="P529" s="59">
        <v>88.8</v>
      </c>
      <c r="Q529" s="60"/>
      <c r="R529" s="60"/>
      <c r="S529" s="59">
        <f>ROUND(ROUND(P529, 2)*I529, 2)</f>
        <v>0</v>
      </c>
      <c r="T529" s="60"/>
      <c r="U529" s="61"/>
      <c r="V529" s="9">
        <f>ROUND(ROUND(P529, 2)/1.2, 2)</f>
        <v>74</v>
      </c>
      <c r="Y529" s="9">
        <f t="shared" si="102"/>
        <v>0</v>
      </c>
      <c r="AD529" s="4" t="s">
        <v>1489</v>
      </c>
      <c r="AE529" s="4" t="s">
        <v>1490</v>
      </c>
      <c r="AF529" s="4" t="s">
        <v>928</v>
      </c>
    </row>
    <row r="530" spans="1:35" ht="36" x14ac:dyDescent="0.35">
      <c r="A530" s="51" t="s">
        <v>1491</v>
      </c>
      <c r="B530" s="51" t="s">
        <v>1423</v>
      </c>
      <c r="C530" s="52" t="s">
        <v>1424</v>
      </c>
      <c r="D530" s="53"/>
      <c r="E530" s="53" t="s">
        <v>1444</v>
      </c>
      <c r="F530" s="53" t="s">
        <v>63</v>
      </c>
      <c r="G530" s="54">
        <v>1</v>
      </c>
      <c r="H530" s="53"/>
      <c r="I530" s="54">
        <v>0</v>
      </c>
      <c r="J530" s="55">
        <f>IFERROR(ROUND(SUM(M531,M532)/I530, 2),0)</f>
        <v>0</v>
      </c>
      <c r="K530" s="55">
        <v>464</v>
      </c>
      <c r="L530" s="55">
        <f>J530+ROUND(K530, 2)</f>
        <v>464</v>
      </c>
      <c r="M530" s="55">
        <f>ROUND(J530*I530, 2)</f>
        <v>0</v>
      </c>
      <c r="N530" s="55">
        <f>ROUND(I530*ROUND(K530, 2), 2)</f>
        <v>0</v>
      </c>
      <c r="O530" s="55">
        <f>M530+N530</f>
        <v>0</v>
      </c>
      <c r="P530" s="55">
        <f>IFERROR(ROUND(SUM(S531,S532)/I530, 2),0)</f>
        <v>0</v>
      </c>
      <c r="Q530" s="55">
        <v>696</v>
      </c>
      <c r="R530" s="55">
        <f>P530+ROUND(Q530, 2)</f>
        <v>696</v>
      </c>
      <c r="S530" s="55">
        <f>ROUND(P530*I530, 2)</f>
        <v>0</v>
      </c>
      <c r="T530" s="55">
        <f>ROUND(I530*ROUND(Q530, 2), 2)</f>
        <v>0</v>
      </c>
      <c r="U530" s="55">
        <f>S530+T530</f>
        <v>0</v>
      </c>
      <c r="V530" s="9">
        <f>ROUND(P530 / 1.2, 2)</f>
        <v>0</v>
      </c>
      <c r="W530" s="9">
        <f>ROUND(Q530 / 1.2, 2)</f>
        <v>580</v>
      </c>
      <c r="X530" s="9">
        <f>ROUND(R530 / 1.2, 2)</f>
        <v>580</v>
      </c>
      <c r="Y530" s="9">
        <f t="shared" si="102"/>
        <v>0</v>
      </c>
      <c r="Z530" s="9">
        <f>ROUND(T530 / 1.2, 2)</f>
        <v>0</v>
      </c>
      <c r="AA530" s="9">
        <f>Y530+Z530</f>
        <v>0</v>
      </c>
      <c r="AD530" s="4">
        <v>305117064</v>
      </c>
      <c r="AE530" s="4">
        <v>22135696</v>
      </c>
      <c r="AG530" s="4" t="s">
        <v>1425</v>
      </c>
      <c r="AH530" s="4" t="s">
        <v>1426</v>
      </c>
      <c r="AI530" s="4" t="s">
        <v>467</v>
      </c>
    </row>
    <row r="531" spans="1:35" ht="36" x14ac:dyDescent="0.35">
      <c r="A531" s="51" t="s">
        <v>1492</v>
      </c>
      <c r="B531" s="51"/>
      <c r="C531" s="56" t="s">
        <v>925</v>
      </c>
      <c r="D531" s="53"/>
      <c r="E531" s="53"/>
      <c r="F531" s="57" t="s">
        <v>498</v>
      </c>
      <c r="G531" s="58">
        <v>0.15</v>
      </c>
      <c r="H531" s="53"/>
      <c r="I531" s="58">
        <v>0</v>
      </c>
      <c r="J531" s="59">
        <v>88.8</v>
      </c>
      <c r="K531" s="60"/>
      <c r="L531" s="60"/>
      <c r="M531" s="59">
        <f>ROUND(ROUND(J531, 2)*I531, 2)</f>
        <v>0</v>
      </c>
      <c r="N531" s="60"/>
      <c r="O531" s="60"/>
      <c r="P531" s="59">
        <v>88.8</v>
      </c>
      <c r="Q531" s="60"/>
      <c r="R531" s="60"/>
      <c r="S531" s="59">
        <f>ROUND(ROUND(P531, 2)*I531, 2)</f>
        <v>0</v>
      </c>
      <c r="T531" s="60"/>
      <c r="U531" s="61"/>
      <c r="V531" s="9">
        <f>ROUND(ROUND(P531, 2)/1.2, 2)</f>
        <v>74</v>
      </c>
      <c r="Y531" s="9">
        <f t="shared" si="102"/>
        <v>0</v>
      </c>
      <c r="AD531" s="4" t="s">
        <v>1493</v>
      </c>
      <c r="AE531" s="4" t="s">
        <v>1494</v>
      </c>
      <c r="AF531" s="4" t="s">
        <v>928</v>
      </c>
    </row>
    <row r="532" spans="1:35" ht="90" x14ac:dyDescent="0.35">
      <c r="A532" s="51" t="s">
        <v>1495</v>
      </c>
      <c r="B532" s="51"/>
      <c r="C532" s="56" t="s">
        <v>1430</v>
      </c>
      <c r="D532" s="53"/>
      <c r="E532" s="53" t="s">
        <v>1454</v>
      </c>
      <c r="F532" s="57" t="s">
        <v>498</v>
      </c>
      <c r="G532" s="58">
        <v>0.4</v>
      </c>
      <c r="H532" s="53"/>
      <c r="I532" s="58">
        <v>0</v>
      </c>
      <c r="J532" s="59">
        <v>0</v>
      </c>
      <c r="K532" s="60"/>
      <c r="L532" s="60"/>
      <c r="M532" s="59">
        <f>ROUND(ROUND(J532, 2)*I532, 2)</f>
        <v>0</v>
      </c>
      <c r="N532" s="60"/>
      <c r="O532" s="60"/>
      <c r="P532" s="59">
        <v>0</v>
      </c>
      <c r="Q532" s="60"/>
      <c r="R532" s="60"/>
      <c r="S532" s="59">
        <f>ROUND(ROUND(P532, 2)*I532, 2)</f>
        <v>0</v>
      </c>
      <c r="T532" s="60"/>
      <c r="U532" s="61"/>
      <c r="V532" s="9">
        <f>ROUND(ROUND(P532, 2)/1.2, 2)</f>
        <v>0</v>
      </c>
      <c r="Y532" s="9">
        <f t="shared" si="102"/>
        <v>0</v>
      </c>
      <c r="AD532" s="4" t="s">
        <v>1496</v>
      </c>
      <c r="AE532" s="4" t="s">
        <v>1497</v>
      </c>
      <c r="AF532" s="4" t="s">
        <v>1433</v>
      </c>
    </row>
    <row r="533" spans="1:35" ht="36" x14ac:dyDescent="0.35">
      <c r="A533" s="51" t="s">
        <v>1498</v>
      </c>
      <c r="B533" s="51" t="s">
        <v>1423</v>
      </c>
      <c r="C533" s="52" t="s">
        <v>1424</v>
      </c>
      <c r="D533" s="53"/>
      <c r="E533" s="53" t="s">
        <v>1458</v>
      </c>
      <c r="F533" s="53" t="s">
        <v>63</v>
      </c>
      <c r="G533" s="54">
        <v>1</v>
      </c>
      <c r="H533" s="53"/>
      <c r="I533" s="54">
        <v>0</v>
      </c>
      <c r="J533" s="55">
        <f>IFERROR(ROUND(SUM(M534,M535)/I533, 2),0)</f>
        <v>0</v>
      </c>
      <c r="K533" s="55">
        <v>464</v>
      </c>
      <c r="L533" s="55">
        <f>J533+ROUND(K533, 2)</f>
        <v>464</v>
      </c>
      <c r="M533" s="55">
        <f>ROUND(J533*I533, 2)</f>
        <v>0</v>
      </c>
      <c r="N533" s="55">
        <f>ROUND(I533*ROUND(K533, 2), 2)</f>
        <v>0</v>
      </c>
      <c r="O533" s="55">
        <f>M533+N533</f>
        <v>0</v>
      </c>
      <c r="P533" s="55">
        <f>IFERROR(ROUND(SUM(S534,S535)/I533, 2),0)</f>
        <v>0</v>
      </c>
      <c r="Q533" s="55">
        <v>696</v>
      </c>
      <c r="R533" s="55">
        <f>P533+ROUND(Q533, 2)</f>
        <v>696</v>
      </c>
      <c r="S533" s="55">
        <f>ROUND(P533*I533, 2)</f>
        <v>0</v>
      </c>
      <c r="T533" s="55">
        <f>ROUND(I533*ROUND(Q533, 2), 2)</f>
        <v>0</v>
      </c>
      <c r="U533" s="55">
        <f>S533+T533</f>
        <v>0</v>
      </c>
      <c r="V533" s="9">
        <f>ROUND(P533 / 1.2, 2)</f>
        <v>0</v>
      </c>
      <c r="W533" s="9">
        <f>ROUND(Q533 / 1.2, 2)</f>
        <v>580</v>
      </c>
      <c r="X533" s="9">
        <f>ROUND(R533 / 1.2, 2)</f>
        <v>580</v>
      </c>
      <c r="Y533" s="9">
        <f t="shared" si="102"/>
        <v>0</v>
      </c>
      <c r="Z533" s="9">
        <f>ROUND(T533 / 1.2, 2)</f>
        <v>0</v>
      </c>
      <c r="AA533" s="9">
        <f>Y533+Z533</f>
        <v>0</v>
      </c>
      <c r="AD533" s="4">
        <v>305117065</v>
      </c>
      <c r="AE533" s="4">
        <v>22135701</v>
      </c>
      <c r="AG533" s="4" t="s">
        <v>1425</v>
      </c>
      <c r="AH533" s="4" t="s">
        <v>1426</v>
      </c>
      <c r="AI533" s="4" t="s">
        <v>467</v>
      </c>
    </row>
    <row r="534" spans="1:35" ht="72" x14ac:dyDescent="0.35">
      <c r="A534" s="51" t="s">
        <v>1499</v>
      </c>
      <c r="B534" s="51"/>
      <c r="C534" s="56" t="s">
        <v>1430</v>
      </c>
      <c r="D534" s="53"/>
      <c r="E534" s="53" t="s">
        <v>1463</v>
      </c>
      <c r="F534" s="57" t="s">
        <v>498</v>
      </c>
      <c r="G534" s="58">
        <v>0.4</v>
      </c>
      <c r="H534" s="53"/>
      <c r="I534" s="58">
        <v>0</v>
      </c>
      <c r="J534" s="59">
        <v>0</v>
      </c>
      <c r="K534" s="60"/>
      <c r="L534" s="60"/>
      <c r="M534" s="59">
        <f>ROUND(ROUND(J534, 2)*I534, 2)</f>
        <v>0</v>
      </c>
      <c r="N534" s="60"/>
      <c r="O534" s="60"/>
      <c r="P534" s="59">
        <v>0</v>
      </c>
      <c r="Q534" s="60"/>
      <c r="R534" s="60"/>
      <c r="S534" s="59">
        <f>ROUND(ROUND(P534, 2)*I534, 2)</f>
        <v>0</v>
      </c>
      <c r="T534" s="60"/>
      <c r="U534" s="61"/>
      <c r="V534" s="9">
        <f>ROUND(ROUND(P534, 2)/1.2, 2)</f>
        <v>0</v>
      </c>
      <c r="Y534" s="9">
        <f t="shared" si="102"/>
        <v>0</v>
      </c>
      <c r="AD534" s="4" t="s">
        <v>1500</v>
      </c>
      <c r="AE534" s="4" t="s">
        <v>1501</v>
      </c>
      <c r="AF534" s="4" t="s">
        <v>1433</v>
      </c>
    </row>
    <row r="535" spans="1:35" ht="36" x14ac:dyDescent="0.35">
      <c r="A535" s="51" t="s">
        <v>1502</v>
      </c>
      <c r="B535" s="51"/>
      <c r="C535" s="56" t="s">
        <v>925</v>
      </c>
      <c r="D535" s="53"/>
      <c r="E535" s="53"/>
      <c r="F535" s="57" t="s">
        <v>498</v>
      </c>
      <c r="G535" s="58">
        <v>0.15</v>
      </c>
      <c r="H535" s="53"/>
      <c r="I535" s="58">
        <v>0</v>
      </c>
      <c r="J535" s="59">
        <v>88.8</v>
      </c>
      <c r="K535" s="60"/>
      <c r="L535" s="60"/>
      <c r="M535" s="59">
        <f>ROUND(ROUND(J535, 2)*I535, 2)</f>
        <v>0</v>
      </c>
      <c r="N535" s="60"/>
      <c r="O535" s="60"/>
      <c r="P535" s="59">
        <v>88.8</v>
      </c>
      <c r="Q535" s="60"/>
      <c r="R535" s="60"/>
      <c r="S535" s="59">
        <f>ROUND(ROUND(P535, 2)*I535, 2)</f>
        <v>0</v>
      </c>
      <c r="T535" s="60"/>
      <c r="U535" s="61"/>
      <c r="V535" s="9">
        <f>ROUND(ROUND(P535, 2)/1.2, 2)</f>
        <v>74</v>
      </c>
      <c r="Y535" s="9">
        <f t="shared" si="102"/>
        <v>0</v>
      </c>
      <c r="AD535" s="4" t="s">
        <v>1503</v>
      </c>
      <c r="AE535" s="4" t="s">
        <v>1504</v>
      </c>
      <c r="AF535" s="4" t="s">
        <v>928</v>
      </c>
    </row>
    <row r="536" spans="1:35" ht="36" x14ac:dyDescent="0.35">
      <c r="A536" s="51" t="s">
        <v>1505</v>
      </c>
      <c r="B536" s="51" t="s">
        <v>1423</v>
      </c>
      <c r="C536" s="52" t="s">
        <v>1424</v>
      </c>
      <c r="D536" s="53"/>
      <c r="E536" s="53" t="s">
        <v>1472</v>
      </c>
      <c r="F536" s="53" t="s">
        <v>63</v>
      </c>
      <c r="G536" s="54">
        <v>1</v>
      </c>
      <c r="H536" s="53"/>
      <c r="I536" s="54">
        <v>0</v>
      </c>
      <c r="J536" s="55">
        <f>IFERROR(ROUND(SUM(M537,M538)/I536, 2),0)</f>
        <v>0</v>
      </c>
      <c r="K536" s="55">
        <v>464</v>
      </c>
      <c r="L536" s="55">
        <f>J536+ROUND(K536, 2)</f>
        <v>464</v>
      </c>
      <c r="M536" s="55">
        <f>ROUND(J536*I536, 2)</f>
        <v>0</v>
      </c>
      <c r="N536" s="55">
        <f>ROUND(I536*ROUND(K536, 2), 2)</f>
        <v>0</v>
      </c>
      <c r="O536" s="55">
        <f>M536+N536</f>
        <v>0</v>
      </c>
      <c r="P536" s="55">
        <f>IFERROR(ROUND(SUM(S537,S538)/I536, 2),0)</f>
        <v>0</v>
      </c>
      <c r="Q536" s="55">
        <v>696</v>
      </c>
      <c r="R536" s="55">
        <f>P536+ROUND(Q536, 2)</f>
        <v>696</v>
      </c>
      <c r="S536" s="55">
        <f>ROUND(P536*I536, 2)</f>
        <v>0</v>
      </c>
      <c r="T536" s="55">
        <f>ROUND(I536*ROUND(Q536, 2), 2)</f>
        <v>0</v>
      </c>
      <c r="U536" s="55">
        <f>S536+T536</f>
        <v>0</v>
      </c>
      <c r="V536" s="9">
        <f>ROUND(P536 / 1.2, 2)</f>
        <v>0</v>
      </c>
      <c r="W536" s="9">
        <f>ROUND(Q536 / 1.2, 2)</f>
        <v>580</v>
      </c>
      <c r="X536" s="9">
        <f>ROUND(R536 / 1.2, 2)</f>
        <v>580</v>
      </c>
      <c r="Y536" s="9">
        <f t="shared" si="102"/>
        <v>0</v>
      </c>
      <c r="Z536" s="9">
        <f>ROUND(T536 / 1.2, 2)</f>
        <v>0</v>
      </c>
      <c r="AA536" s="9">
        <f>Y536+Z536</f>
        <v>0</v>
      </c>
      <c r="AD536" s="4">
        <v>305117066</v>
      </c>
      <c r="AE536" s="4">
        <v>22135702</v>
      </c>
      <c r="AG536" s="4" t="s">
        <v>1425</v>
      </c>
      <c r="AH536" s="4" t="s">
        <v>1426</v>
      </c>
      <c r="AI536" s="4" t="s">
        <v>467</v>
      </c>
    </row>
    <row r="537" spans="1:35" ht="36" x14ac:dyDescent="0.35">
      <c r="A537" s="51" t="s">
        <v>1506</v>
      </c>
      <c r="B537" s="51"/>
      <c r="C537" s="56" t="s">
        <v>925</v>
      </c>
      <c r="D537" s="53"/>
      <c r="E537" s="53"/>
      <c r="F537" s="57" t="s">
        <v>498</v>
      </c>
      <c r="G537" s="58">
        <v>0.15</v>
      </c>
      <c r="H537" s="53"/>
      <c r="I537" s="58">
        <v>0</v>
      </c>
      <c r="J537" s="59">
        <v>88.8</v>
      </c>
      <c r="K537" s="60"/>
      <c r="L537" s="60"/>
      <c r="M537" s="59">
        <f>ROUND(ROUND(J537, 2)*I537, 2)</f>
        <v>0</v>
      </c>
      <c r="N537" s="60"/>
      <c r="O537" s="60"/>
      <c r="P537" s="59">
        <v>88.8</v>
      </c>
      <c r="Q537" s="60"/>
      <c r="R537" s="60"/>
      <c r="S537" s="59">
        <f>ROUND(ROUND(P537, 2)*I537, 2)</f>
        <v>0</v>
      </c>
      <c r="T537" s="60"/>
      <c r="U537" s="61"/>
      <c r="V537" s="9">
        <f>ROUND(ROUND(P537, 2)/1.2, 2)</f>
        <v>74</v>
      </c>
      <c r="Y537" s="9">
        <f t="shared" si="102"/>
        <v>0</v>
      </c>
      <c r="AD537" s="4" t="s">
        <v>1507</v>
      </c>
      <c r="AE537" s="4" t="s">
        <v>1508</v>
      </c>
      <c r="AF537" s="4" t="s">
        <v>928</v>
      </c>
    </row>
    <row r="538" spans="1:35" ht="90" x14ac:dyDescent="0.35">
      <c r="A538" s="51" t="s">
        <v>1509</v>
      </c>
      <c r="B538" s="51"/>
      <c r="C538" s="56" t="s">
        <v>1430</v>
      </c>
      <c r="D538" s="53"/>
      <c r="E538" s="53" t="s">
        <v>1482</v>
      </c>
      <c r="F538" s="57" t="s">
        <v>498</v>
      </c>
      <c r="G538" s="58">
        <v>0.4</v>
      </c>
      <c r="H538" s="53"/>
      <c r="I538" s="58">
        <v>0</v>
      </c>
      <c r="J538" s="59">
        <v>0</v>
      </c>
      <c r="K538" s="60"/>
      <c r="L538" s="60"/>
      <c r="M538" s="59">
        <f>ROUND(ROUND(J538, 2)*I538, 2)</f>
        <v>0</v>
      </c>
      <c r="N538" s="60"/>
      <c r="O538" s="60"/>
      <c r="P538" s="59">
        <v>0</v>
      </c>
      <c r="Q538" s="60"/>
      <c r="R538" s="60"/>
      <c r="S538" s="59">
        <f>ROUND(ROUND(P538, 2)*I538, 2)</f>
        <v>0</v>
      </c>
      <c r="T538" s="60"/>
      <c r="U538" s="61"/>
      <c r="V538" s="9">
        <f>ROUND(ROUND(P538, 2)/1.2, 2)</f>
        <v>0</v>
      </c>
      <c r="Y538" s="9">
        <f t="shared" si="102"/>
        <v>0</v>
      </c>
      <c r="AD538" s="4" t="s">
        <v>1510</v>
      </c>
      <c r="AE538" s="4" t="s">
        <v>1511</v>
      </c>
      <c r="AF538" s="4" t="s">
        <v>1433</v>
      </c>
    </row>
    <row r="539" spans="1:35" ht="17" customHeight="1" x14ac:dyDescent="0.35">
      <c r="A539" s="10" t="s">
        <v>1512</v>
      </c>
      <c r="B539" s="10" t="s">
        <v>1513</v>
      </c>
      <c r="C539" s="174" t="s">
        <v>1514</v>
      </c>
      <c r="D539" s="175"/>
      <c r="E539" s="175"/>
      <c r="F539" s="175"/>
      <c r="G539" s="175"/>
      <c r="H539" s="175"/>
      <c r="I539" s="176"/>
      <c r="M539" s="6">
        <f>SUM(M540,M544,M548,M550,M552,M554,M555,M577,M599,M621,M632,M643,M653,M657)</f>
        <v>0</v>
      </c>
      <c r="N539" s="6">
        <f>SUM(N540,N544,N548,N550,N552,N554,N555,N577,N599,N621,N632,N643,N653,N657)</f>
        <v>0</v>
      </c>
      <c r="O539" s="6">
        <f>SUM(O540,O544,O548,O550,O552,O554,O555,O577,O599,O621,O632,O643,O653,O657)</f>
        <v>0</v>
      </c>
      <c r="S539" s="6">
        <f>SUM(S540,S544,S548,S550,S552,S554,S555,S577,S599,S621,S632,S643,S653,S657)</f>
        <v>0</v>
      </c>
      <c r="T539" s="6">
        <f>SUM(T540,T544,T548,T550,T552,T554,T555,T577,T599,T621,T632,T643,T653,T657)</f>
        <v>0</v>
      </c>
      <c r="U539" s="6">
        <f>SUM(U540,U544,U548,U550,U552,U554,U555,U577,U599,U621,U632,U643,U653,U657)</f>
        <v>0</v>
      </c>
      <c r="Y539" s="9">
        <f>SUM(Y540,Y544,Y548,Y550,Y552,Y554,Y555,Y577,Y599,Y621,Y632,Y643,Y653,Y657)</f>
        <v>0</v>
      </c>
      <c r="Z539" s="9">
        <f>SUM(Z540,Z544,Z548,Z550,Z552,Z554,Z555,Z577,Z599,Z621,Z632,Z643,Z653,Z657)</f>
        <v>0</v>
      </c>
      <c r="AA539" s="9">
        <f>SUM(AA540,AA544,AA548,AA550,AA552,AA554,AA555,AA577,AA599,AA621,AA632,AA643,AA653,AA657)</f>
        <v>0</v>
      </c>
      <c r="AD539" s="4">
        <v>305116993</v>
      </c>
      <c r="AE539" s="4">
        <v>20945563</v>
      </c>
    </row>
    <row r="540" spans="1:35" ht="36" x14ac:dyDescent="0.35">
      <c r="A540" s="17" t="s">
        <v>1515</v>
      </c>
      <c r="B540" s="17" t="s">
        <v>1516</v>
      </c>
      <c r="C540" s="18" t="s">
        <v>1517</v>
      </c>
      <c r="D540" s="19"/>
      <c r="E540" s="19"/>
      <c r="F540" s="19" t="s">
        <v>63</v>
      </c>
      <c r="G540" s="20">
        <v>1</v>
      </c>
      <c r="H540" s="19"/>
      <c r="I540" s="21">
        <v>0</v>
      </c>
      <c r="J540" s="22">
        <v>7126.9</v>
      </c>
      <c r="K540" s="22">
        <v>837</v>
      </c>
      <c r="L540" s="22">
        <f>J540+ROUND(K540, 2)</f>
        <v>7963.9</v>
      </c>
      <c r="M540" s="22">
        <v>0</v>
      </c>
      <c r="N540" s="22">
        <v>0</v>
      </c>
      <c r="O540" s="22">
        <f>M540+N540</f>
        <v>0</v>
      </c>
      <c r="P540" s="22">
        <v>7126.9</v>
      </c>
      <c r="Q540" s="22">
        <v>837</v>
      </c>
      <c r="R540" s="22">
        <f>P540+ROUND(Q540, 2)</f>
        <v>7963.9</v>
      </c>
      <c r="S540" s="22">
        <v>0</v>
      </c>
      <c r="T540" s="22">
        <v>0</v>
      </c>
      <c r="U540" s="22">
        <f>S540+T540</f>
        <v>0</v>
      </c>
      <c r="V540" s="9">
        <f>ROUND(P540 / 1.2, 2)</f>
        <v>5939.08</v>
      </c>
      <c r="W540" s="9">
        <f>ROUND(Q540 / 1.2, 2)</f>
        <v>697.5</v>
      </c>
      <c r="X540" s="9">
        <f>ROUND(R540 / 1.2, 2)</f>
        <v>6636.58</v>
      </c>
      <c r="Y540" s="9">
        <f>ROUND(S540 / 1.2, 2)</f>
        <v>0</v>
      </c>
      <c r="Z540" s="9">
        <f>ROUND(T540 / 1.2, 2)</f>
        <v>0</v>
      </c>
      <c r="AA540" s="9">
        <f>Y540+Z540</f>
        <v>0</v>
      </c>
      <c r="AD540" s="4">
        <v>305116995</v>
      </c>
      <c r="AE540" s="4">
        <v>20953806</v>
      </c>
      <c r="AG540" s="4" t="s">
        <v>1518</v>
      </c>
      <c r="AH540" s="4" t="s">
        <v>1519</v>
      </c>
      <c r="AI540" s="4" t="s">
        <v>467</v>
      </c>
    </row>
    <row r="541" spans="1:35" ht="126" x14ac:dyDescent="0.35">
      <c r="A541" s="23" t="s">
        <v>1520</v>
      </c>
      <c r="B541" s="23" t="s">
        <v>1516</v>
      </c>
      <c r="C541" s="24" t="s">
        <v>1517</v>
      </c>
      <c r="D541" s="25"/>
      <c r="E541" s="25" t="s">
        <v>1521</v>
      </c>
      <c r="F541" s="25" t="s">
        <v>63</v>
      </c>
      <c r="G541" s="26">
        <v>1</v>
      </c>
      <c r="H541" s="25"/>
      <c r="I541" s="26">
        <v>1034.5</v>
      </c>
      <c r="J541" s="27">
        <v>7126.9</v>
      </c>
      <c r="K541" s="27">
        <v>837</v>
      </c>
      <c r="L541" s="27">
        <v>837</v>
      </c>
      <c r="M541" s="27">
        <v>7372778.0499999998</v>
      </c>
      <c r="N541" s="27">
        <v>865876.5</v>
      </c>
      <c r="O541" s="27"/>
      <c r="P541" s="27">
        <v>7126.9</v>
      </c>
      <c r="Q541" s="27">
        <v>837</v>
      </c>
      <c r="R541" s="27">
        <v>837</v>
      </c>
      <c r="S541" s="27">
        <v>7372778.0499999998</v>
      </c>
      <c r="T541" s="27">
        <v>865876.5</v>
      </c>
      <c r="U541" s="27"/>
      <c r="V541" s="9"/>
      <c r="W541" s="9">
        <f>ROUND(Q541 / 1.2, 2)</f>
        <v>697.5</v>
      </c>
      <c r="X541" s="9">
        <f>ROUND(R541 / 1.2, 2)</f>
        <v>697.5</v>
      </c>
      <c r="Y541" s="9"/>
      <c r="Z541" s="9">
        <f>ROUND(T541 / 1.2, 2)</f>
        <v>721563.75</v>
      </c>
      <c r="AA541" s="9"/>
      <c r="AD541" s="4">
        <v>276896425</v>
      </c>
      <c r="AE541" s="4">
        <v>20953806</v>
      </c>
      <c r="AG541" s="4" t="s">
        <v>1518</v>
      </c>
      <c r="AH541" s="4" t="s">
        <v>1519</v>
      </c>
      <c r="AI541" s="4"/>
    </row>
    <row r="542" spans="1:35" ht="36" x14ac:dyDescent="0.35">
      <c r="A542" s="17" t="s">
        <v>1522</v>
      </c>
      <c r="B542" s="17"/>
      <c r="C542" s="34" t="s">
        <v>1523</v>
      </c>
      <c r="D542" s="19"/>
      <c r="E542" s="19"/>
      <c r="F542" s="35" t="s">
        <v>63</v>
      </c>
      <c r="G542" s="36">
        <v>1.1000000000000001</v>
      </c>
      <c r="H542" s="19"/>
      <c r="I542" s="48">
        <v>0</v>
      </c>
      <c r="J542" s="38">
        <v>6479</v>
      </c>
      <c r="K542" s="39"/>
      <c r="L542" s="39"/>
      <c r="M542" s="38">
        <f>ROUND(ROUND(J542, 2)*I542, 2)</f>
        <v>0</v>
      </c>
      <c r="N542" s="39"/>
      <c r="O542" s="39"/>
      <c r="P542" s="38">
        <v>6479</v>
      </c>
      <c r="Q542" s="39"/>
      <c r="R542" s="39"/>
      <c r="S542" s="38">
        <f>ROUND(ROUND(P542, 2)*I542, 2)</f>
        <v>0</v>
      </c>
      <c r="T542" s="39"/>
      <c r="U542" s="40"/>
      <c r="V542" s="9">
        <f>ROUND(ROUND(P542, 2)/1.2, 2)</f>
        <v>5399.17</v>
      </c>
      <c r="Y542" s="9">
        <f>ROUND(S542 / 1.2, 2)</f>
        <v>0</v>
      </c>
      <c r="AD542" s="4" t="s">
        <v>1524</v>
      </c>
      <c r="AE542" s="4" t="s">
        <v>1525</v>
      </c>
      <c r="AF542" s="4" t="s">
        <v>1526</v>
      </c>
    </row>
    <row r="543" spans="1:35" ht="36" x14ac:dyDescent="0.35">
      <c r="A543" s="23" t="s">
        <v>1527</v>
      </c>
      <c r="B543" s="23"/>
      <c r="C543" s="41" t="s">
        <v>1523</v>
      </c>
      <c r="D543" s="25"/>
      <c r="E543" s="25"/>
      <c r="F543" s="42" t="s">
        <v>63</v>
      </c>
      <c r="G543" s="43">
        <v>1.1000000000000001</v>
      </c>
      <c r="H543" s="25"/>
      <c r="I543" s="50">
        <v>1137.95</v>
      </c>
      <c r="J543" s="44">
        <v>6479</v>
      </c>
      <c r="K543" s="45"/>
      <c r="L543" s="45"/>
      <c r="M543" s="44">
        <f>ROUND(ROUND(J543, 2)*I543, 2)</f>
        <v>7372778.0499999998</v>
      </c>
      <c r="N543" s="45"/>
      <c r="O543" s="45"/>
      <c r="P543" s="44">
        <v>6479</v>
      </c>
      <c r="Q543" s="45"/>
      <c r="R543" s="45"/>
      <c r="S543" s="44">
        <f>ROUND(ROUND(P543, 2)*I543, 2)</f>
        <v>7372778.0499999998</v>
      </c>
      <c r="T543" s="45"/>
      <c r="U543" s="46"/>
      <c r="V543" s="9">
        <f>ROUND(ROUND(P543, 2)/1.2, 2)</f>
        <v>5399.17</v>
      </c>
      <c r="Y543" s="9">
        <f>ROUND(S543 / 1.2, 2)</f>
        <v>6143981.71</v>
      </c>
      <c r="AD543" s="4" t="s">
        <v>1528</v>
      </c>
      <c r="AE543" s="4" t="s">
        <v>1525</v>
      </c>
      <c r="AF543" s="4" t="s">
        <v>1526</v>
      </c>
    </row>
    <row r="544" spans="1:35" ht="36" x14ac:dyDescent="0.35">
      <c r="A544" s="17" t="s">
        <v>1529</v>
      </c>
      <c r="B544" s="17" t="s">
        <v>1516</v>
      </c>
      <c r="C544" s="18" t="s">
        <v>1517</v>
      </c>
      <c r="D544" s="19"/>
      <c r="E544" s="19"/>
      <c r="F544" s="19" t="s">
        <v>63</v>
      </c>
      <c r="G544" s="20">
        <v>1</v>
      </c>
      <c r="H544" s="19"/>
      <c r="I544" s="21">
        <v>0</v>
      </c>
      <c r="J544" s="22">
        <v>1280.4000000000001</v>
      </c>
      <c r="K544" s="22">
        <v>837</v>
      </c>
      <c r="L544" s="22">
        <f>J544+ROUND(K544, 2)</f>
        <v>2117.4</v>
      </c>
      <c r="M544" s="22">
        <v>0</v>
      </c>
      <c r="N544" s="22">
        <v>0</v>
      </c>
      <c r="O544" s="22">
        <f>M544+N544</f>
        <v>0</v>
      </c>
      <c r="P544" s="22">
        <v>1280.4000000000001</v>
      </c>
      <c r="Q544" s="22">
        <v>837</v>
      </c>
      <c r="R544" s="22">
        <f>P544+ROUND(Q544, 2)</f>
        <v>2117.4</v>
      </c>
      <c r="S544" s="22">
        <v>0</v>
      </c>
      <c r="T544" s="22">
        <v>0</v>
      </c>
      <c r="U544" s="22">
        <f>S544+T544</f>
        <v>0</v>
      </c>
      <c r="V544" s="9">
        <f>ROUND(P544 / 1.2, 2)</f>
        <v>1067</v>
      </c>
      <c r="W544" s="9">
        <f>ROUND(Q544 / 1.2, 2)</f>
        <v>697.5</v>
      </c>
      <c r="X544" s="9">
        <f>ROUND(R544 / 1.2, 2)</f>
        <v>1764.5</v>
      </c>
      <c r="Y544" s="9">
        <f>ROUND(S544 / 1.2, 2)</f>
        <v>0</v>
      </c>
      <c r="Z544" s="9">
        <f>ROUND(T544 / 1.2, 2)</f>
        <v>0</v>
      </c>
      <c r="AA544" s="9">
        <f>Y544+Z544</f>
        <v>0</v>
      </c>
      <c r="AD544" s="4">
        <v>305117067</v>
      </c>
      <c r="AE544" s="4">
        <v>20953807</v>
      </c>
      <c r="AG544" s="4" t="s">
        <v>1518</v>
      </c>
      <c r="AH544" s="4" t="s">
        <v>1519</v>
      </c>
      <c r="AI544" s="4" t="s">
        <v>467</v>
      </c>
    </row>
    <row r="545" spans="1:35" ht="144" x14ac:dyDescent="0.35">
      <c r="A545" s="23" t="s">
        <v>1530</v>
      </c>
      <c r="B545" s="23" t="s">
        <v>1516</v>
      </c>
      <c r="C545" s="24" t="s">
        <v>1517</v>
      </c>
      <c r="D545" s="25"/>
      <c r="E545" s="25" t="s">
        <v>1531</v>
      </c>
      <c r="F545" s="25" t="s">
        <v>63</v>
      </c>
      <c r="G545" s="26">
        <v>1</v>
      </c>
      <c r="H545" s="25"/>
      <c r="I545" s="26">
        <v>180.2</v>
      </c>
      <c r="J545" s="27">
        <v>1280.4000000000001</v>
      </c>
      <c r="K545" s="27">
        <v>837</v>
      </c>
      <c r="L545" s="27">
        <v>837</v>
      </c>
      <c r="M545" s="27">
        <v>230728.08</v>
      </c>
      <c r="N545" s="27">
        <v>150827.4</v>
      </c>
      <c r="O545" s="27"/>
      <c r="P545" s="27">
        <v>1280.4000000000001</v>
      </c>
      <c r="Q545" s="27">
        <v>837</v>
      </c>
      <c r="R545" s="27">
        <v>837</v>
      </c>
      <c r="S545" s="27">
        <v>230728.08</v>
      </c>
      <c r="T545" s="27">
        <v>150827.4</v>
      </c>
      <c r="U545" s="27"/>
      <c r="V545" s="9"/>
      <c r="W545" s="9">
        <f>ROUND(Q545 / 1.2, 2)</f>
        <v>697.5</v>
      </c>
      <c r="X545" s="9">
        <f>ROUND(R545 / 1.2, 2)</f>
        <v>697.5</v>
      </c>
      <c r="Y545" s="9"/>
      <c r="Z545" s="9">
        <f>ROUND(T545 / 1.2, 2)</f>
        <v>125689.5</v>
      </c>
      <c r="AA545" s="9"/>
      <c r="AD545" s="4">
        <v>278588554</v>
      </c>
      <c r="AE545" s="4">
        <v>20953807</v>
      </c>
      <c r="AG545" s="4" t="s">
        <v>1518</v>
      </c>
      <c r="AH545" s="4" t="s">
        <v>1519</v>
      </c>
      <c r="AI545" s="4"/>
    </row>
    <row r="546" spans="1:35" ht="18" x14ac:dyDescent="0.35">
      <c r="A546" s="17" t="s">
        <v>1532</v>
      </c>
      <c r="B546" s="17"/>
      <c r="C546" s="34" t="s">
        <v>1533</v>
      </c>
      <c r="D546" s="19"/>
      <c r="E546" s="19"/>
      <c r="F546" s="35" t="s">
        <v>63</v>
      </c>
      <c r="G546" s="36">
        <v>1.1000000000000001</v>
      </c>
      <c r="H546" s="19"/>
      <c r="I546" s="48">
        <v>0</v>
      </c>
      <c r="J546" s="38">
        <v>1164</v>
      </c>
      <c r="K546" s="39"/>
      <c r="L546" s="39"/>
      <c r="M546" s="38">
        <f>ROUND(ROUND(J546, 2)*I546, 2)</f>
        <v>0</v>
      </c>
      <c r="N546" s="39"/>
      <c r="O546" s="39"/>
      <c r="P546" s="38">
        <v>1164</v>
      </c>
      <c r="Q546" s="39"/>
      <c r="R546" s="39"/>
      <c r="S546" s="38">
        <f>ROUND(ROUND(P546, 2)*I546, 2)</f>
        <v>0</v>
      </c>
      <c r="T546" s="39"/>
      <c r="U546" s="40"/>
      <c r="V546" s="9">
        <f>ROUND(ROUND(P546, 2)/1.2, 2)</f>
        <v>970</v>
      </c>
      <c r="Y546" s="9">
        <f t="shared" ref="Y546:Y551" si="103">ROUND(S546 / 1.2, 2)</f>
        <v>0</v>
      </c>
      <c r="AD546" s="4" t="s">
        <v>1534</v>
      </c>
      <c r="AE546" s="4" t="s">
        <v>1535</v>
      </c>
      <c r="AF546" s="4" t="s">
        <v>1536</v>
      </c>
    </row>
    <row r="547" spans="1:35" ht="18" x14ac:dyDescent="0.35">
      <c r="A547" s="23" t="s">
        <v>1537</v>
      </c>
      <c r="B547" s="23"/>
      <c r="C547" s="41" t="s">
        <v>1533</v>
      </c>
      <c r="D547" s="25"/>
      <c r="E547" s="25"/>
      <c r="F547" s="42" t="s">
        <v>63</v>
      </c>
      <c r="G547" s="43">
        <v>1.1000000000000001</v>
      </c>
      <c r="H547" s="25"/>
      <c r="I547" s="50">
        <v>198.22</v>
      </c>
      <c r="J547" s="44">
        <v>1164</v>
      </c>
      <c r="K547" s="45"/>
      <c r="L547" s="45"/>
      <c r="M547" s="44">
        <f>ROUND(ROUND(J547, 2)*I547, 2)</f>
        <v>230728.08</v>
      </c>
      <c r="N547" s="45"/>
      <c r="O547" s="45"/>
      <c r="P547" s="44">
        <v>1164</v>
      </c>
      <c r="Q547" s="45"/>
      <c r="R547" s="45"/>
      <c r="S547" s="44">
        <f>ROUND(ROUND(P547, 2)*I547, 2)</f>
        <v>230728.08</v>
      </c>
      <c r="T547" s="45"/>
      <c r="U547" s="46"/>
      <c r="V547" s="9">
        <f>ROUND(ROUND(P547, 2)/1.2, 2)</f>
        <v>970</v>
      </c>
      <c r="Y547" s="9">
        <f t="shared" si="103"/>
        <v>192273.4</v>
      </c>
      <c r="AD547" s="4" t="s">
        <v>1538</v>
      </c>
      <c r="AE547" s="4" t="s">
        <v>1535</v>
      </c>
      <c r="AF547" s="4" t="s">
        <v>1536</v>
      </c>
    </row>
    <row r="548" spans="1:35" ht="126" x14ac:dyDescent="0.35">
      <c r="A548" s="51" t="s">
        <v>1539</v>
      </c>
      <c r="B548" s="51" t="s">
        <v>1516</v>
      </c>
      <c r="C548" s="52" t="s">
        <v>1517</v>
      </c>
      <c r="D548" s="53"/>
      <c r="E548" s="53" t="s">
        <v>1521</v>
      </c>
      <c r="F548" s="53" t="s">
        <v>63</v>
      </c>
      <c r="G548" s="54">
        <v>1</v>
      </c>
      <c r="H548" s="53"/>
      <c r="I548" s="54">
        <v>0</v>
      </c>
      <c r="J548" s="55">
        <f>IFERROR(ROUND(SUM(M549)/I548, 2),0)</f>
        <v>0</v>
      </c>
      <c r="K548" s="55">
        <v>837</v>
      </c>
      <c r="L548" s="55">
        <f>J548+ROUND(K548, 2)</f>
        <v>837</v>
      </c>
      <c r="M548" s="55">
        <f>ROUND(J548*I548, 2)</f>
        <v>0</v>
      </c>
      <c r="N548" s="55">
        <f>ROUND(I548*ROUND(K548, 2), 2)</f>
        <v>0</v>
      </c>
      <c r="O548" s="55">
        <f>M548+N548</f>
        <v>0</v>
      </c>
      <c r="P548" s="55">
        <f>IFERROR(ROUND(SUM(S549)/I548, 2),0)</f>
        <v>0</v>
      </c>
      <c r="Q548" s="55">
        <v>1255.5</v>
      </c>
      <c r="R548" s="55">
        <f>P548+ROUND(Q548, 2)</f>
        <v>1255.5</v>
      </c>
      <c r="S548" s="55">
        <f>ROUND(P548*I548, 2)</f>
        <v>0</v>
      </c>
      <c r="T548" s="55">
        <f>ROUND(I548*ROUND(Q548, 2), 2)</f>
        <v>0</v>
      </c>
      <c r="U548" s="55">
        <f>S548+T548</f>
        <v>0</v>
      </c>
      <c r="V548" s="9">
        <f>ROUND(P548 / 1.2, 2)</f>
        <v>0</v>
      </c>
      <c r="W548" s="9">
        <f>ROUND(Q548 / 1.2, 2)</f>
        <v>1046.25</v>
      </c>
      <c r="X548" s="9">
        <f>ROUND(R548 / 1.2, 2)</f>
        <v>1046.25</v>
      </c>
      <c r="Y548" s="9">
        <f t="shared" si="103"/>
        <v>0</v>
      </c>
      <c r="Z548" s="9">
        <f>ROUND(T548 / 1.2, 2)</f>
        <v>0</v>
      </c>
      <c r="AA548" s="9">
        <f>Y548+Z548</f>
        <v>0</v>
      </c>
      <c r="AD548" s="4">
        <v>305117068</v>
      </c>
      <c r="AE548" s="4">
        <v>22135697</v>
      </c>
      <c r="AG548" s="4" t="s">
        <v>1518</v>
      </c>
      <c r="AH548" s="4" t="s">
        <v>1519</v>
      </c>
      <c r="AI548" s="4" t="s">
        <v>467</v>
      </c>
    </row>
    <row r="549" spans="1:35" ht="36" x14ac:dyDescent="0.35">
      <c r="A549" s="51" t="s">
        <v>1540</v>
      </c>
      <c r="B549" s="51"/>
      <c r="C549" s="56" t="s">
        <v>1523</v>
      </c>
      <c r="D549" s="53"/>
      <c r="E549" s="53"/>
      <c r="F549" s="57" t="s">
        <v>63</v>
      </c>
      <c r="G549" s="58">
        <v>1.1000000000000001</v>
      </c>
      <c r="H549" s="53"/>
      <c r="I549" s="62">
        <v>1137.95</v>
      </c>
      <c r="J549" s="59">
        <v>6479</v>
      </c>
      <c r="K549" s="60"/>
      <c r="L549" s="60"/>
      <c r="M549" s="59">
        <f>ROUND(ROUND(J549, 2)*I549, 2)</f>
        <v>7372778.0499999998</v>
      </c>
      <c r="N549" s="60"/>
      <c r="O549" s="60"/>
      <c r="P549" s="59">
        <v>6479</v>
      </c>
      <c r="Q549" s="60"/>
      <c r="R549" s="60"/>
      <c r="S549" s="59">
        <f>ROUND(ROUND(P549, 2)*I549, 2)</f>
        <v>7372778.0499999998</v>
      </c>
      <c r="T549" s="60"/>
      <c r="U549" s="61"/>
      <c r="V549" s="9">
        <f>ROUND(ROUND(P549, 2)/1.2, 2)</f>
        <v>5399.17</v>
      </c>
      <c r="Y549" s="9">
        <f t="shared" si="103"/>
        <v>6143981.71</v>
      </c>
      <c r="AD549" s="4" t="s">
        <v>1541</v>
      </c>
      <c r="AE549" s="4" t="s">
        <v>1542</v>
      </c>
      <c r="AF549" s="4" t="s">
        <v>1526</v>
      </c>
    </row>
    <row r="550" spans="1:35" ht="144" x14ac:dyDescent="0.35">
      <c r="A550" s="51" t="s">
        <v>1543</v>
      </c>
      <c r="B550" s="51" t="s">
        <v>1516</v>
      </c>
      <c r="C550" s="52" t="s">
        <v>1517</v>
      </c>
      <c r="D550" s="53"/>
      <c r="E550" s="53" t="s">
        <v>1531</v>
      </c>
      <c r="F550" s="53" t="s">
        <v>63</v>
      </c>
      <c r="G550" s="54">
        <v>1</v>
      </c>
      <c r="H550" s="53"/>
      <c r="I550" s="54">
        <v>0</v>
      </c>
      <c r="J550" s="55">
        <f>IFERROR(ROUND(SUM(M551)/I550, 2),0)</f>
        <v>0</v>
      </c>
      <c r="K550" s="55">
        <v>837</v>
      </c>
      <c r="L550" s="55">
        <f>J550+ROUND(K550, 2)</f>
        <v>837</v>
      </c>
      <c r="M550" s="55">
        <f>ROUND(J550*I550, 2)</f>
        <v>0</v>
      </c>
      <c r="N550" s="55">
        <f>ROUND(I550*ROUND(K550, 2), 2)</f>
        <v>0</v>
      </c>
      <c r="O550" s="55">
        <f>M550+N550</f>
        <v>0</v>
      </c>
      <c r="P550" s="55">
        <f>IFERROR(ROUND(SUM(S551)/I550, 2),0)</f>
        <v>0</v>
      </c>
      <c r="Q550" s="55">
        <v>1255.5</v>
      </c>
      <c r="R550" s="55">
        <f>P550+ROUND(Q550, 2)</f>
        <v>1255.5</v>
      </c>
      <c r="S550" s="55">
        <f>ROUND(P550*I550, 2)</f>
        <v>0</v>
      </c>
      <c r="T550" s="55">
        <f>ROUND(I550*ROUND(Q550, 2), 2)</f>
        <v>0</v>
      </c>
      <c r="U550" s="55">
        <f>S550+T550</f>
        <v>0</v>
      </c>
      <c r="V550" s="9">
        <f>ROUND(P550 / 1.2, 2)</f>
        <v>0</v>
      </c>
      <c r="W550" s="9">
        <f>ROUND(Q550 / 1.2, 2)</f>
        <v>1046.25</v>
      </c>
      <c r="X550" s="9">
        <f>ROUND(R550 / 1.2, 2)</f>
        <v>1046.25</v>
      </c>
      <c r="Y550" s="9">
        <f t="shared" si="103"/>
        <v>0</v>
      </c>
      <c r="Z550" s="9">
        <f>ROUND(T550 / 1.2, 2)</f>
        <v>0</v>
      </c>
      <c r="AA550" s="9">
        <f>Y550+Z550</f>
        <v>0</v>
      </c>
      <c r="AD550" s="4">
        <v>305117069</v>
      </c>
      <c r="AE550" s="4">
        <v>22135727</v>
      </c>
      <c r="AG550" s="4" t="s">
        <v>1518</v>
      </c>
      <c r="AH550" s="4" t="s">
        <v>1519</v>
      </c>
      <c r="AI550" s="4" t="s">
        <v>467</v>
      </c>
    </row>
    <row r="551" spans="1:35" ht="18" x14ac:dyDescent="0.35">
      <c r="A551" s="51" t="s">
        <v>1544</v>
      </c>
      <c r="B551" s="51"/>
      <c r="C551" s="56" t="s">
        <v>1533</v>
      </c>
      <c r="D551" s="53"/>
      <c r="E551" s="53"/>
      <c r="F551" s="57" t="s">
        <v>63</v>
      </c>
      <c r="G551" s="58">
        <v>1.1000000000000001</v>
      </c>
      <c r="H551" s="53"/>
      <c r="I551" s="62">
        <v>198.22</v>
      </c>
      <c r="J551" s="59">
        <v>1164</v>
      </c>
      <c r="K551" s="60"/>
      <c r="L551" s="60"/>
      <c r="M551" s="59">
        <f>ROUND(ROUND(J551, 2)*I551, 2)</f>
        <v>230728.08</v>
      </c>
      <c r="N551" s="60"/>
      <c r="O551" s="60"/>
      <c r="P551" s="59">
        <v>1164</v>
      </c>
      <c r="Q551" s="60"/>
      <c r="R551" s="60"/>
      <c r="S551" s="59">
        <f>ROUND(ROUND(P551, 2)*I551, 2)</f>
        <v>230728.08</v>
      </c>
      <c r="T551" s="60"/>
      <c r="U551" s="61"/>
      <c r="V551" s="9">
        <f>ROUND(ROUND(P551, 2)/1.2, 2)</f>
        <v>970</v>
      </c>
      <c r="Y551" s="9">
        <f t="shared" si="103"/>
        <v>192273.4</v>
      </c>
      <c r="AD551" s="4" t="s">
        <v>1545</v>
      </c>
      <c r="AE551" s="4" t="s">
        <v>1546</v>
      </c>
      <c r="AF551" s="4" t="s">
        <v>1536</v>
      </c>
    </row>
    <row r="552" spans="1:35" ht="54" x14ac:dyDescent="0.35">
      <c r="A552" s="17" t="s">
        <v>1547</v>
      </c>
      <c r="B552" s="17" t="s">
        <v>1548</v>
      </c>
      <c r="C552" s="18" t="s">
        <v>1549</v>
      </c>
      <c r="D552" s="19"/>
      <c r="E552" s="19"/>
      <c r="F552" s="19" t="s">
        <v>63</v>
      </c>
      <c r="G552" s="20">
        <v>1</v>
      </c>
      <c r="H552" s="19"/>
      <c r="I552" s="21">
        <v>0</v>
      </c>
      <c r="J552" s="22">
        <v>0</v>
      </c>
      <c r="K552" s="22">
        <v>121</v>
      </c>
      <c r="L552" s="22">
        <f>J552+ROUND(K552, 2)</f>
        <v>121</v>
      </c>
      <c r="M552" s="22">
        <v>0</v>
      </c>
      <c r="N552" s="22">
        <v>0</v>
      </c>
      <c r="O552" s="22">
        <f>M552+N552</f>
        <v>0</v>
      </c>
      <c r="P552" s="22">
        <v>0</v>
      </c>
      <c r="Q552" s="22">
        <v>121</v>
      </c>
      <c r="R552" s="22">
        <f>P552+ROUND(Q552, 2)</f>
        <v>121</v>
      </c>
      <c r="S552" s="22">
        <v>0</v>
      </c>
      <c r="T552" s="22">
        <v>0</v>
      </c>
      <c r="U552" s="22">
        <f>S552+T552</f>
        <v>0</v>
      </c>
      <c r="V552" s="9"/>
      <c r="W552" s="9">
        <f t="shared" ref="W552:X556" si="104">ROUND(Q552 / 1.2, 2)</f>
        <v>100.83</v>
      </c>
      <c r="X552" s="9">
        <f t="shared" si="104"/>
        <v>100.83</v>
      </c>
      <c r="Y552" s="9"/>
      <c r="Z552" s="9">
        <f>ROUND(T552 / 1.2, 2)</f>
        <v>0</v>
      </c>
      <c r="AA552" s="9">
        <f>Y552+Z552</f>
        <v>0</v>
      </c>
      <c r="AD552" s="4">
        <v>305116997</v>
      </c>
      <c r="AE552" s="4">
        <v>20945565</v>
      </c>
      <c r="AG552" s="4" t="s">
        <v>1550</v>
      </c>
      <c r="AH552" s="4" t="s">
        <v>1551</v>
      </c>
      <c r="AI552" s="4" t="s">
        <v>467</v>
      </c>
    </row>
    <row r="553" spans="1:35" ht="54" x14ac:dyDescent="0.35">
      <c r="A553" s="23" t="s">
        <v>1552</v>
      </c>
      <c r="B553" s="23" t="s">
        <v>1548</v>
      </c>
      <c r="C553" s="24" t="s">
        <v>1549</v>
      </c>
      <c r="D553" s="25"/>
      <c r="E553" s="25" t="s">
        <v>1553</v>
      </c>
      <c r="F553" s="25" t="s">
        <v>63</v>
      </c>
      <c r="G553" s="26">
        <v>1</v>
      </c>
      <c r="H553" s="25"/>
      <c r="I553" s="26">
        <v>4271.5</v>
      </c>
      <c r="J553" s="27">
        <v>0</v>
      </c>
      <c r="K553" s="27">
        <v>121</v>
      </c>
      <c r="L553" s="27">
        <v>121</v>
      </c>
      <c r="M553" s="27">
        <v>0</v>
      </c>
      <c r="N553" s="27">
        <v>516851.5</v>
      </c>
      <c r="O553" s="27"/>
      <c r="P553" s="27">
        <v>0</v>
      </c>
      <c r="Q553" s="27">
        <v>121</v>
      </c>
      <c r="R553" s="27">
        <v>121</v>
      </c>
      <c r="S553" s="27">
        <v>0</v>
      </c>
      <c r="T553" s="27">
        <v>516851.5</v>
      </c>
      <c r="U553" s="27"/>
      <c r="V553" s="9"/>
      <c r="W553" s="9">
        <f t="shared" si="104"/>
        <v>100.83</v>
      </c>
      <c r="X553" s="9">
        <f t="shared" si="104"/>
        <v>100.83</v>
      </c>
      <c r="Y553" s="9"/>
      <c r="Z553" s="9">
        <f>ROUND(T553 / 1.2, 2)</f>
        <v>430709.58</v>
      </c>
      <c r="AA553" s="9"/>
      <c r="AD553" s="4">
        <v>276896428</v>
      </c>
      <c r="AE553" s="4">
        <v>20945565</v>
      </c>
      <c r="AG553" s="4" t="s">
        <v>1550</v>
      </c>
      <c r="AH553" s="4" t="s">
        <v>1551</v>
      </c>
      <c r="AI553" s="4"/>
    </row>
    <row r="554" spans="1:35" ht="54" x14ac:dyDescent="0.35">
      <c r="A554" s="51" t="s">
        <v>1554</v>
      </c>
      <c r="B554" s="51" t="s">
        <v>1548</v>
      </c>
      <c r="C554" s="52" t="s">
        <v>1549</v>
      </c>
      <c r="D554" s="53"/>
      <c r="E554" s="53" t="s">
        <v>1553</v>
      </c>
      <c r="F554" s="53" t="s">
        <v>63</v>
      </c>
      <c r="G554" s="54">
        <v>1</v>
      </c>
      <c r="H554" s="53"/>
      <c r="I554" s="54">
        <v>0</v>
      </c>
      <c r="J554" s="55">
        <v>0</v>
      </c>
      <c r="K554" s="55">
        <v>121</v>
      </c>
      <c r="L554" s="55">
        <f>J554+ROUND(K554, 2)</f>
        <v>121</v>
      </c>
      <c r="M554" s="55">
        <v>0</v>
      </c>
      <c r="N554" s="55">
        <f>ROUND(I554*ROUND(K554, 2), 2)</f>
        <v>0</v>
      </c>
      <c r="O554" s="55">
        <f>M554+N554</f>
        <v>0</v>
      </c>
      <c r="P554" s="55">
        <v>0</v>
      </c>
      <c r="Q554" s="55">
        <v>181.5</v>
      </c>
      <c r="R554" s="55">
        <f>P554+ROUND(Q554, 2)</f>
        <v>181.5</v>
      </c>
      <c r="S554" s="55">
        <v>0</v>
      </c>
      <c r="T554" s="55">
        <f>ROUND(I554*ROUND(Q554, 2), 2)</f>
        <v>0</v>
      </c>
      <c r="U554" s="55">
        <f>S554+T554</f>
        <v>0</v>
      </c>
      <c r="V554" s="9"/>
      <c r="W554" s="9">
        <f t="shared" si="104"/>
        <v>151.25</v>
      </c>
      <c r="X554" s="9">
        <f t="shared" si="104"/>
        <v>151.25</v>
      </c>
      <c r="Y554" s="9"/>
      <c r="Z554" s="9">
        <f>ROUND(T554 / 1.2, 2)</f>
        <v>0</v>
      </c>
      <c r="AA554" s="9">
        <f>Y554+Z554</f>
        <v>0</v>
      </c>
      <c r="AD554" s="4">
        <v>305117070</v>
      </c>
      <c r="AE554" s="4">
        <v>22135693</v>
      </c>
      <c r="AG554" s="4" t="s">
        <v>1550</v>
      </c>
      <c r="AH554" s="4" t="s">
        <v>1551</v>
      </c>
      <c r="AI554" s="4" t="s">
        <v>467</v>
      </c>
    </row>
    <row r="555" spans="1:35" ht="36" x14ac:dyDescent="0.35">
      <c r="A555" s="17" t="s">
        <v>1555</v>
      </c>
      <c r="B555" s="17" t="s">
        <v>1556</v>
      </c>
      <c r="C555" s="18" t="s">
        <v>1557</v>
      </c>
      <c r="D555" s="19"/>
      <c r="E555" s="19"/>
      <c r="F555" s="19" t="s">
        <v>63</v>
      </c>
      <c r="G555" s="20">
        <v>1</v>
      </c>
      <c r="H555" s="19"/>
      <c r="I555" s="21">
        <v>0</v>
      </c>
      <c r="J555" s="22">
        <v>584.54999999999995</v>
      </c>
      <c r="K555" s="22">
        <v>1379</v>
      </c>
      <c r="L555" s="22">
        <f>J555+ROUND(K555, 2)</f>
        <v>1963.55</v>
      </c>
      <c r="M555" s="22">
        <v>0</v>
      </c>
      <c r="N555" s="22">
        <v>0</v>
      </c>
      <c r="O555" s="22">
        <f>M555+N555</f>
        <v>0</v>
      </c>
      <c r="P555" s="22">
        <v>584.54999999999995</v>
      </c>
      <c r="Q555" s="22">
        <v>1379</v>
      </c>
      <c r="R555" s="22">
        <f>P555+ROUND(Q555, 2)</f>
        <v>1963.55</v>
      </c>
      <c r="S555" s="22">
        <v>0</v>
      </c>
      <c r="T555" s="22">
        <v>0</v>
      </c>
      <c r="U555" s="22">
        <f>S555+T555</f>
        <v>0</v>
      </c>
      <c r="V555" s="9">
        <f>ROUND(P555 / 1.2, 2)</f>
        <v>487.13</v>
      </c>
      <c r="W555" s="9">
        <f t="shared" si="104"/>
        <v>1149.17</v>
      </c>
      <c r="X555" s="9">
        <f t="shared" si="104"/>
        <v>1636.29</v>
      </c>
      <c r="Y555" s="9">
        <f>ROUND(S555 / 1.2, 2)</f>
        <v>0</v>
      </c>
      <c r="Z555" s="9">
        <f>ROUND(T555 / 1.2, 2)</f>
        <v>0</v>
      </c>
      <c r="AA555" s="9">
        <f>Y555+Z555</f>
        <v>0</v>
      </c>
      <c r="AD555" s="4">
        <v>305116999</v>
      </c>
      <c r="AE555" s="4">
        <v>20958867</v>
      </c>
      <c r="AG555" s="4" t="s">
        <v>1558</v>
      </c>
      <c r="AH555" s="4" t="s">
        <v>1559</v>
      </c>
      <c r="AI555" s="4" t="s">
        <v>467</v>
      </c>
    </row>
    <row r="556" spans="1:35" ht="90" x14ac:dyDescent="0.35">
      <c r="A556" s="23" t="s">
        <v>1560</v>
      </c>
      <c r="B556" s="23" t="s">
        <v>1556</v>
      </c>
      <c r="C556" s="24" t="s">
        <v>1557</v>
      </c>
      <c r="D556" s="25"/>
      <c r="E556" s="25" t="s">
        <v>1561</v>
      </c>
      <c r="F556" s="25" t="s">
        <v>63</v>
      </c>
      <c r="G556" s="26">
        <v>1</v>
      </c>
      <c r="H556" s="25"/>
      <c r="I556" s="26">
        <v>2326.3000000000002</v>
      </c>
      <c r="J556" s="27">
        <v>584.54999999999995</v>
      </c>
      <c r="K556" s="27">
        <v>1379</v>
      </c>
      <c r="L556" s="27">
        <v>1379</v>
      </c>
      <c r="M556" s="27">
        <v>1359838.67</v>
      </c>
      <c r="N556" s="27">
        <v>3207967.7</v>
      </c>
      <c r="O556" s="27"/>
      <c r="P556" s="27">
        <v>584.54999999999995</v>
      </c>
      <c r="Q556" s="27">
        <v>1379</v>
      </c>
      <c r="R556" s="27">
        <v>1379</v>
      </c>
      <c r="S556" s="27">
        <v>1359838.67</v>
      </c>
      <c r="T556" s="27">
        <v>3207967.7</v>
      </c>
      <c r="U556" s="27"/>
      <c r="V556" s="9"/>
      <c r="W556" s="9">
        <f t="shared" si="104"/>
        <v>1149.17</v>
      </c>
      <c r="X556" s="9">
        <f t="shared" si="104"/>
        <v>1149.17</v>
      </c>
      <c r="Y556" s="9"/>
      <c r="Z556" s="9">
        <f>ROUND(T556 / 1.2, 2)</f>
        <v>2673306.42</v>
      </c>
      <c r="AA556" s="9"/>
      <c r="AD556" s="4">
        <v>281774544</v>
      </c>
      <c r="AE556" s="4">
        <v>20958867</v>
      </c>
      <c r="AG556" s="4" t="s">
        <v>1558</v>
      </c>
      <c r="AH556" s="4" t="s">
        <v>1559</v>
      </c>
      <c r="AI556" s="4"/>
    </row>
    <row r="557" spans="1:35" ht="18" x14ac:dyDescent="0.35">
      <c r="A557" s="17" t="s">
        <v>1562</v>
      </c>
      <c r="B557" s="17"/>
      <c r="C557" s="34" t="s">
        <v>1563</v>
      </c>
      <c r="D557" s="19"/>
      <c r="E557" s="19"/>
      <c r="F557" s="35" t="s">
        <v>490</v>
      </c>
      <c r="G557" s="36">
        <v>15</v>
      </c>
      <c r="H557" s="19"/>
      <c r="I557" s="37">
        <v>0</v>
      </c>
      <c r="J557" s="38">
        <v>0.95</v>
      </c>
      <c r="K557" s="39"/>
      <c r="L557" s="39"/>
      <c r="M557" s="38">
        <f t="shared" ref="M557:M576" si="105">ROUND(ROUND(J557, 2)*I557, 2)</f>
        <v>0</v>
      </c>
      <c r="N557" s="39"/>
      <c r="O557" s="39"/>
      <c r="P557" s="38">
        <v>0.95</v>
      </c>
      <c r="Q557" s="39"/>
      <c r="R557" s="39"/>
      <c r="S557" s="38">
        <f t="shared" ref="S557:S576" si="106">ROUND(ROUND(P557, 2)*I557, 2)</f>
        <v>0</v>
      </c>
      <c r="T557" s="39"/>
      <c r="U557" s="40"/>
      <c r="V557" s="9">
        <f t="shared" ref="V557:V576" si="107">ROUND(ROUND(P557, 2)/1.2, 2)</f>
        <v>0.79</v>
      </c>
      <c r="Y557" s="9">
        <f t="shared" ref="Y557:Y577" si="108">ROUND(S557 / 1.2, 2)</f>
        <v>0</v>
      </c>
      <c r="AD557" s="4" t="s">
        <v>1564</v>
      </c>
      <c r="AE557" s="4" t="s">
        <v>1565</v>
      </c>
      <c r="AF557" s="4" t="s">
        <v>1566</v>
      </c>
    </row>
    <row r="558" spans="1:35" ht="18" x14ac:dyDescent="0.35">
      <c r="A558" s="23" t="s">
        <v>1567</v>
      </c>
      <c r="B558" s="23"/>
      <c r="C558" s="41" t="s">
        <v>1563</v>
      </c>
      <c r="D558" s="25"/>
      <c r="E558" s="25"/>
      <c r="F558" s="42" t="s">
        <v>490</v>
      </c>
      <c r="G558" s="43">
        <v>15</v>
      </c>
      <c r="H558" s="25"/>
      <c r="I558" s="43">
        <v>34894.5</v>
      </c>
      <c r="J558" s="44">
        <v>0.95</v>
      </c>
      <c r="K558" s="45"/>
      <c r="L558" s="45"/>
      <c r="M558" s="44">
        <f t="shared" si="105"/>
        <v>33149.78</v>
      </c>
      <c r="N558" s="45"/>
      <c r="O558" s="45"/>
      <c r="P558" s="44">
        <v>0.95</v>
      </c>
      <c r="Q558" s="45"/>
      <c r="R558" s="45"/>
      <c r="S558" s="44">
        <f t="shared" si="106"/>
        <v>33149.78</v>
      </c>
      <c r="T558" s="45"/>
      <c r="U558" s="46"/>
      <c r="V558" s="9">
        <f t="shared" si="107"/>
        <v>0.79</v>
      </c>
      <c r="Y558" s="9">
        <f t="shared" si="108"/>
        <v>27624.82</v>
      </c>
      <c r="AD558" s="4" t="s">
        <v>1568</v>
      </c>
      <c r="AE558" s="4" t="s">
        <v>1565</v>
      </c>
      <c r="AF558" s="4" t="s">
        <v>1566</v>
      </c>
    </row>
    <row r="559" spans="1:35" ht="18" x14ac:dyDescent="0.35">
      <c r="A559" s="17" t="s">
        <v>1569</v>
      </c>
      <c r="B559" s="17"/>
      <c r="C559" s="34" t="s">
        <v>1570</v>
      </c>
      <c r="D559" s="19"/>
      <c r="E559" s="19"/>
      <c r="F559" s="35" t="s">
        <v>498</v>
      </c>
      <c r="G559" s="36">
        <v>0.35</v>
      </c>
      <c r="H559" s="19"/>
      <c r="I559" s="37">
        <v>0</v>
      </c>
      <c r="J559" s="38">
        <v>55</v>
      </c>
      <c r="K559" s="39"/>
      <c r="L559" s="39"/>
      <c r="M559" s="38">
        <f t="shared" si="105"/>
        <v>0</v>
      </c>
      <c r="N559" s="39"/>
      <c r="O559" s="39"/>
      <c r="P559" s="38">
        <v>55</v>
      </c>
      <c r="Q559" s="39"/>
      <c r="R559" s="39"/>
      <c r="S559" s="38">
        <f t="shared" si="106"/>
        <v>0</v>
      </c>
      <c r="T559" s="39"/>
      <c r="U559" s="40"/>
      <c r="V559" s="9">
        <f t="shared" si="107"/>
        <v>45.83</v>
      </c>
      <c r="Y559" s="9">
        <f t="shared" si="108"/>
        <v>0</v>
      </c>
      <c r="AD559" s="4" t="s">
        <v>1571</v>
      </c>
      <c r="AE559" s="4" t="s">
        <v>1572</v>
      </c>
      <c r="AF559" s="4" t="s">
        <v>1573</v>
      </c>
    </row>
    <row r="560" spans="1:35" ht="18" x14ac:dyDescent="0.35">
      <c r="A560" s="23" t="s">
        <v>1574</v>
      </c>
      <c r="B560" s="23"/>
      <c r="C560" s="41" t="s">
        <v>1570</v>
      </c>
      <c r="D560" s="25"/>
      <c r="E560" s="25"/>
      <c r="F560" s="42" t="s">
        <v>498</v>
      </c>
      <c r="G560" s="43">
        <v>0.35</v>
      </c>
      <c r="H560" s="25"/>
      <c r="I560" s="43">
        <v>814.20500000000004</v>
      </c>
      <c r="J560" s="44">
        <v>55</v>
      </c>
      <c r="K560" s="45"/>
      <c r="L560" s="45"/>
      <c r="M560" s="44">
        <f t="shared" si="105"/>
        <v>44781.279999999999</v>
      </c>
      <c r="N560" s="45"/>
      <c r="O560" s="45"/>
      <c r="P560" s="44">
        <v>55</v>
      </c>
      <c r="Q560" s="45"/>
      <c r="R560" s="45"/>
      <c r="S560" s="44">
        <f t="shared" si="106"/>
        <v>44781.279999999999</v>
      </c>
      <c r="T560" s="45"/>
      <c r="U560" s="46"/>
      <c r="V560" s="9">
        <f t="shared" si="107"/>
        <v>45.83</v>
      </c>
      <c r="Y560" s="9">
        <f t="shared" si="108"/>
        <v>37317.730000000003</v>
      </c>
      <c r="AD560" s="4" t="s">
        <v>1575</v>
      </c>
      <c r="AE560" s="4" t="s">
        <v>1572</v>
      </c>
      <c r="AF560" s="4" t="s">
        <v>1573</v>
      </c>
    </row>
    <row r="561" spans="1:32" ht="18" x14ac:dyDescent="0.35">
      <c r="A561" s="17" t="s">
        <v>1576</v>
      </c>
      <c r="B561" s="17"/>
      <c r="C561" s="34" t="s">
        <v>1577</v>
      </c>
      <c r="D561" s="19"/>
      <c r="E561" s="19"/>
      <c r="F561" s="35" t="s">
        <v>490</v>
      </c>
      <c r="G561" s="36">
        <v>0.3</v>
      </c>
      <c r="H561" s="19"/>
      <c r="I561" s="37">
        <v>0</v>
      </c>
      <c r="J561" s="38">
        <v>5.6</v>
      </c>
      <c r="K561" s="39"/>
      <c r="L561" s="39"/>
      <c r="M561" s="38">
        <f t="shared" si="105"/>
        <v>0</v>
      </c>
      <c r="N561" s="39"/>
      <c r="O561" s="39"/>
      <c r="P561" s="38">
        <v>5.6</v>
      </c>
      <c r="Q561" s="39"/>
      <c r="R561" s="39"/>
      <c r="S561" s="38">
        <f t="shared" si="106"/>
        <v>0</v>
      </c>
      <c r="T561" s="39"/>
      <c r="U561" s="40"/>
      <c r="V561" s="9">
        <f t="shared" si="107"/>
        <v>4.67</v>
      </c>
      <c r="Y561" s="9">
        <f t="shared" si="108"/>
        <v>0</v>
      </c>
      <c r="AD561" s="4" t="s">
        <v>1578</v>
      </c>
      <c r="AE561" s="4" t="s">
        <v>1579</v>
      </c>
      <c r="AF561" s="4" t="s">
        <v>1580</v>
      </c>
    </row>
    <row r="562" spans="1:32" ht="18" x14ac:dyDescent="0.35">
      <c r="A562" s="23" t="s">
        <v>1581</v>
      </c>
      <c r="B562" s="23"/>
      <c r="C562" s="41" t="s">
        <v>1577</v>
      </c>
      <c r="D562" s="25"/>
      <c r="E562" s="25"/>
      <c r="F562" s="42" t="s">
        <v>490</v>
      </c>
      <c r="G562" s="43">
        <v>0.3</v>
      </c>
      <c r="H562" s="25"/>
      <c r="I562" s="43">
        <v>697.89</v>
      </c>
      <c r="J562" s="44">
        <v>5.6</v>
      </c>
      <c r="K562" s="45"/>
      <c r="L562" s="45"/>
      <c r="M562" s="44">
        <f t="shared" si="105"/>
        <v>3908.18</v>
      </c>
      <c r="N562" s="45"/>
      <c r="O562" s="45"/>
      <c r="P562" s="44">
        <v>5.6</v>
      </c>
      <c r="Q562" s="45"/>
      <c r="R562" s="45"/>
      <c r="S562" s="44">
        <f t="shared" si="106"/>
        <v>3908.18</v>
      </c>
      <c r="T562" s="45"/>
      <c r="U562" s="46"/>
      <c r="V562" s="9">
        <f t="shared" si="107"/>
        <v>4.67</v>
      </c>
      <c r="Y562" s="9">
        <f t="shared" si="108"/>
        <v>3256.82</v>
      </c>
      <c r="AD562" s="4" t="s">
        <v>1582</v>
      </c>
      <c r="AE562" s="4" t="s">
        <v>1579</v>
      </c>
      <c r="AF562" s="4" t="s">
        <v>1580</v>
      </c>
    </row>
    <row r="563" spans="1:32" ht="36" x14ac:dyDescent="0.35">
      <c r="A563" s="17" t="s">
        <v>1583</v>
      </c>
      <c r="B563" s="17"/>
      <c r="C563" s="34" t="s">
        <v>1584</v>
      </c>
      <c r="D563" s="19"/>
      <c r="E563" s="19"/>
      <c r="F563" s="35" t="s">
        <v>490</v>
      </c>
      <c r="G563" s="36">
        <v>3.6</v>
      </c>
      <c r="H563" s="19"/>
      <c r="I563" s="37">
        <v>0</v>
      </c>
      <c r="J563" s="38">
        <v>15.9</v>
      </c>
      <c r="K563" s="39"/>
      <c r="L563" s="39"/>
      <c r="M563" s="38">
        <f t="shared" si="105"/>
        <v>0</v>
      </c>
      <c r="N563" s="39"/>
      <c r="O563" s="39"/>
      <c r="P563" s="38">
        <v>15.9</v>
      </c>
      <c r="Q563" s="39"/>
      <c r="R563" s="39"/>
      <c r="S563" s="38">
        <f t="shared" si="106"/>
        <v>0</v>
      </c>
      <c r="T563" s="39"/>
      <c r="U563" s="40"/>
      <c r="V563" s="9">
        <f t="shared" si="107"/>
        <v>13.25</v>
      </c>
      <c r="Y563" s="9">
        <f t="shared" si="108"/>
        <v>0</v>
      </c>
      <c r="AD563" s="4" t="s">
        <v>1585</v>
      </c>
      <c r="AE563" s="4" t="s">
        <v>1586</v>
      </c>
      <c r="AF563" s="4" t="s">
        <v>1587</v>
      </c>
    </row>
    <row r="564" spans="1:32" ht="36" x14ac:dyDescent="0.35">
      <c r="A564" s="23" t="s">
        <v>1588</v>
      </c>
      <c r="B564" s="23"/>
      <c r="C564" s="41" t="s">
        <v>1584</v>
      </c>
      <c r="D564" s="25"/>
      <c r="E564" s="25"/>
      <c r="F564" s="42" t="s">
        <v>490</v>
      </c>
      <c r="G564" s="43">
        <v>3.6</v>
      </c>
      <c r="H564" s="25"/>
      <c r="I564" s="43">
        <v>8374.68</v>
      </c>
      <c r="J564" s="44">
        <v>15.9</v>
      </c>
      <c r="K564" s="45"/>
      <c r="L564" s="45"/>
      <c r="M564" s="44">
        <f t="shared" si="105"/>
        <v>133157.41</v>
      </c>
      <c r="N564" s="45"/>
      <c r="O564" s="45"/>
      <c r="P564" s="44">
        <v>15.9</v>
      </c>
      <c r="Q564" s="45"/>
      <c r="R564" s="45"/>
      <c r="S564" s="44">
        <f t="shared" si="106"/>
        <v>133157.41</v>
      </c>
      <c r="T564" s="45"/>
      <c r="U564" s="46"/>
      <c r="V564" s="9">
        <f t="shared" si="107"/>
        <v>13.25</v>
      </c>
      <c r="Y564" s="9">
        <f t="shared" si="108"/>
        <v>110964.51</v>
      </c>
      <c r="AD564" s="4" t="s">
        <v>1589</v>
      </c>
      <c r="AE564" s="4" t="s">
        <v>1586</v>
      </c>
      <c r="AF564" s="4" t="s">
        <v>1587</v>
      </c>
    </row>
    <row r="565" spans="1:32" ht="18" x14ac:dyDescent="0.35">
      <c r="A565" s="17" t="s">
        <v>1590</v>
      </c>
      <c r="B565" s="17"/>
      <c r="C565" s="34" t="s">
        <v>1591</v>
      </c>
      <c r="D565" s="19"/>
      <c r="E565" s="19"/>
      <c r="F565" s="35" t="s">
        <v>78</v>
      </c>
      <c r="G565" s="36">
        <v>1.2</v>
      </c>
      <c r="H565" s="19"/>
      <c r="I565" s="37">
        <v>0</v>
      </c>
      <c r="J565" s="38">
        <v>22.82</v>
      </c>
      <c r="K565" s="39"/>
      <c r="L565" s="39"/>
      <c r="M565" s="38">
        <f t="shared" si="105"/>
        <v>0</v>
      </c>
      <c r="N565" s="39"/>
      <c r="O565" s="39"/>
      <c r="P565" s="38">
        <v>22.82</v>
      </c>
      <c r="Q565" s="39"/>
      <c r="R565" s="39"/>
      <c r="S565" s="38">
        <f t="shared" si="106"/>
        <v>0</v>
      </c>
      <c r="T565" s="39"/>
      <c r="U565" s="40"/>
      <c r="V565" s="9">
        <f t="shared" si="107"/>
        <v>19.02</v>
      </c>
      <c r="Y565" s="9">
        <f t="shared" si="108"/>
        <v>0</v>
      </c>
      <c r="AD565" s="4" t="s">
        <v>1592</v>
      </c>
      <c r="AE565" s="4" t="s">
        <v>1593</v>
      </c>
      <c r="AF565" s="4" t="s">
        <v>1594</v>
      </c>
    </row>
    <row r="566" spans="1:32" ht="18" x14ac:dyDescent="0.35">
      <c r="A566" s="23" t="s">
        <v>1595</v>
      </c>
      <c r="B566" s="23"/>
      <c r="C566" s="41" t="s">
        <v>1591</v>
      </c>
      <c r="D566" s="25"/>
      <c r="E566" s="25"/>
      <c r="F566" s="42" t="s">
        <v>78</v>
      </c>
      <c r="G566" s="43">
        <v>1.2</v>
      </c>
      <c r="H566" s="25"/>
      <c r="I566" s="43">
        <v>2791.56</v>
      </c>
      <c r="J566" s="44">
        <v>22.82</v>
      </c>
      <c r="K566" s="45"/>
      <c r="L566" s="45"/>
      <c r="M566" s="44">
        <f t="shared" si="105"/>
        <v>63703.4</v>
      </c>
      <c r="N566" s="45"/>
      <c r="O566" s="45"/>
      <c r="P566" s="44">
        <v>22.82</v>
      </c>
      <c r="Q566" s="45"/>
      <c r="R566" s="45"/>
      <c r="S566" s="44">
        <f t="shared" si="106"/>
        <v>63703.4</v>
      </c>
      <c r="T566" s="45"/>
      <c r="U566" s="46"/>
      <c r="V566" s="9">
        <f t="shared" si="107"/>
        <v>19.02</v>
      </c>
      <c r="Y566" s="9">
        <f t="shared" si="108"/>
        <v>53086.17</v>
      </c>
      <c r="AD566" s="4" t="s">
        <v>1596</v>
      </c>
      <c r="AE566" s="4" t="s">
        <v>1593</v>
      </c>
      <c r="AF566" s="4" t="s">
        <v>1594</v>
      </c>
    </row>
    <row r="567" spans="1:32" ht="18" x14ac:dyDescent="0.35">
      <c r="A567" s="17" t="s">
        <v>1597</v>
      </c>
      <c r="B567" s="17"/>
      <c r="C567" s="34" t="s">
        <v>1598</v>
      </c>
      <c r="D567" s="19"/>
      <c r="E567" s="19"/>
      <c r="F567" s="35" t="s">
        <v>78</v>
      </c>
      <c r="G567" s="36">
        <v>4.7</v>
      </c>
      <c r="H567" s="19"/>
      <c r="I567" s="37">
        <v>0</v>
      </c>
      <c r="J567" s="38">
        <v>66.98</v>
      </c>
      <c r="K567" s="39"/>
      <c r="L567" s="39"/>
      <c r="M567" s="38">
        <f t="shared" si="105"/>
        <v>0</v>
      </c>
      <c r="N567" s="39"/>
      <c r="O567" s="39"/>
      <c r="P567" s="38">
        <v>66.98</v>
      </c>
      <c r="Q567" s="39"/>
      <c r="R567" s="39"/>
      <c r="S567" s="38">
        <f t="shared" si="106"/>
        <v>0</v>
      </c>
      <c r="T567" s="39"/>
      <c r="U567" s="40"/>
      <c r="V567" s="9">
        <f t="shared" si="107"/>
        <v>55.82</v>
      </c>
      <c r="Y567" s="9">
        <f t="shared" si="108"/>
        <v>0</v>
      </c>
      <c r="AD567" s="4" t="s">
        <v>1599</v>
      </c>
      <c r="AE567" s="4" t="s">
        <v>1600</v>
      </c>
      <c r="AF567" s="4" t="s">
        <v>1601</v>
      </c>
    </row>
    <row r="568" spans="1:32" ht="18" x14ac:dyDescent="0.35">
      <c r="A568" s="23" t="s">
        <v>1602</v>
      </c>
      <c r="B568" s="23"/>
      <c r="C568" s="41" t="s">
        <v>1598</v>
      </c>
      <c r="D568" s="25"/>
      <c r="E568" s="25"/>
      <c r="F568" s="42" t="s">
        <v>78</v>
      </c>
      <c r="G568" s="43">
        <v>4.7</v>
      </c>
      <c r="H568" s="25"/>
      <c r="I568" s="43">
        <v>10933.61</v>
      </c>
      <c r="J568" s="44">
        <v>66.98</v>
      </c>
      <c r="K568" s="45"/>
      <c r="L568" s="45"/>
      <c r="M568" s="44">
        <f t="shared" si="105"/>
        <v>732333.2</v>
      </c>
      <c r="N568" s="45"/>
      <c r="O568" s="45"/>
      <c r="P568" s="44">
        <v>66.98</v>
      </c>
      <c r="Q568" s="45"/>
      <c r="R568" s="45"/>
      <c r="S568" s="44">
        <f t="shared" si="106"/>
        <v>732333.2</v>
      </c>
      <c r="T568" s="45"/>
      <c r="U568" s="46"/>
      <c r="V568" s="9">
        <f t="shared" si="107"/>
        <v>55.82</v>
      </c>
      <c r="Y568" s="9">
        <f t="shared" si="108"/>
        <v>610277.67000000004</v>
      </c>
      <c r="AD568" s="4" t="s">
        <v>1603</v>
      </c>
      <c r="AE568" s="4" t="s">
        <v>1600</v>
      </c>
      <c r="AF568" s="4" t="s">
        <v>1601</v>
      </c>
    </row>
    <row r="569" spans="1:32" ht="18" x14ac:dyDescent="0.35">
      <c r="A569" s="17" t="s">
        <v>1604</v>
      </c>
      <c r="B569" s="17"/>
      <c r="C569" s="34" t="s">
        <v>1605</v>
      </c>
      <c r="D569" s="19"/>
      <c r="E569" s="19"/>
      <c r="F569" s="35" t="s">
        <v>78</v>
      </c>
      <c r="G569" s="36">
        <v>1.05</v>
      </c>
      <c r="H569" s="19"/>
      <c r="I569" s="37">
        <v>0</v>
      </c>
      <c r="J569" s="38">
        <v>4.5999999999999996</v>
      </c>
      <c r="K569" s="39"/>
      <c r="L569" s="39"/>
      <c r="M569" s="38">
        <f t="shared" si="105"/>
        <v>0</v>
      </c>
      <c r="N569" s="39"/>
      <c r="O569" s="39"/>
      <c r="P569" s="38">
        <v>4.5999999999999996</v>
      </c>
      <c r="Q569" s="39"/>
      <c r="R569" s="39"/>
      <c r="S569" s="38">
        <f t="shared" si="106"/>
        <v>0</v>
      </c>
      <c r="T569" s="39"/>
      <c r="U569" s="40"/>
      <c r="V569" s="9">
        <f t="shared" si="107"/>
        <v>3.83</v>
      </c>
      <c r="Y569" s="9">
        <f t="shared" si="108"/>
        <v>0</v>
      </c>
      <c r="AD569" s="4" t="s">
        <v>1606</v>
      </c>
      <c r="AE569" s="4" t="s">
        <v>1607</v>
      </c>
      <c r="AF569" s="4" t="s">
        <v>1608</v>
      </c>
    </row>
    <row r="570" spans="1:32" ht="18" x14ac:dyDescent="0.35">
      <c r="A570" s="23" t="s">
        <v>1609</v>
      </c>
      <c r="B570" s="23"/>
      <c r="C570" s="41" t="s">
        <v>1605</v>
      </c>
      <c r="D570" s="25"/>
      <c r="E570" s="25"/>
      <c r="F570" s="42" t="s">
        <v>78</v>
      </c>
      <c r="G570" s="43">
        <v>1.05</v>
      </c>
      <c r="H570" s="25"/>
      <c r="I570" s="43">
        <v>2442.6149999999998</v>
      </c>
      <c r="J570" s="44">
        <v>4.5999999999999996</v>
      </c>
      <c r="K570" s="45"/>
      <c r="L570" s="45"/>
      <c r="M570" s="44">
        <f t="shared" si="105"/>
        <v>11236.03</v>
      </c>
      <c r="N570" s="45"/>
      <c r="O570" s="45"/>
      <c r="P570" s="44">
        <v>4.5999999999999996</v>
      </c>
      <c r="Q570" s="45"/>
      <c r="R570" s="45"/>
      <c r="S570" s="44">
        <f t="shared" si="106"/>
        <v>11236.03</v>
      </c>
      <c r="T570" s="45"/>
      <c r="U570" s="46"/>
      <c r="V570" s="9">
        <f t="shared" si="107"/>
        <v>3.83</v>
      </c>
      <c r="Y570" s="9">
        <f t="shared" si="108"/>
        <v>9363.36</v>
      </c>
      <c r="AD570" s="4" t="s">
        <v>1610</v>
      </c>
      <c r="AE570" s="4" t="s">
        <v>1607</v>
      </c>
      <c r="AF570" s="4" t="s">
        <v>1608</v>
      </c>
    </row>
    <row r="571" spans="1:32" ht="18" x14ac:dyDescent="0.35">
      <c r="A571" s="17" t="s">
        <v>1611</v>
      </c>
      <c r="B571" s="17"/>
      <c r="C571" s="34" t="s">
        <v>1612</v>
      </c>
      <c r="D571" s="19"/>
      <c r="E571" s="19"/>
      <c r="F571" s="35" t="s">
        <v>78</v>
      </c>
      <c r="G571" s="36">
        <v>0.25</v>
      </c>
      <c r="H571" s="19"/>
      <c r="I571" s="37">
        <v>0</v>
      </c>
      <c r="J571" s="38">
        <v>2.8</v>
      </c>
      <c r="K571" s="39"/>
      <c r="L571" s="39"/>
      <c r="M571" s="38">
        <f t="shared" si="105"/>
        <v>0</v>
      </c>
      <c r="N571" s="39"/>
      <c r="O571" s="39"/>
      <c r="P571" s="38">
        <v>2.8</v>
      </c>
      <c r="Q571" s="39"/>
      <c r="R571" s="39"/>
      <c r="S571" s="38">
        <f t="shared" si="106"/>
        <v>0</v>
      </c>
      <c r="T571" s="39"/>
      <c r="U571" s="40"/>
      <c r="V571" s="9">
        <f t="shared" si="107"/>
        <v>2.33</v>
      </c>
      <c r="Y571" s="9">
        <f t="shared" si="108"/>
        <v>0</v>
      </c>
      <c r="AD571" s="4" t="s">
        <v>1613</v>
      </c>
      <c r="AE571" s="4" t="s">
        <v>1614</v>
      </c>
      <c r="AF571" s="4" t="s">
        <v>1615</v>
      </c>
    </row>
    <row r="572" spans="1:32" ht="18" x14ac:dyDescent="0.35">
      <c r="A572" s="23" t="s">
        <v>1616</v>
      </c>
      <c r="B572" s="23"/>
      <c r="C572" s="41" t="s">
        <v>1612</v>
      </c>
      <c r="D572" s="25"/>
      <c r="E572" s="25"/>
      <c r="F572" s="42" t="s">
        <v>78</v>
      </c>
      <c r="G572" s="43">
        <v>0.25</v>
      </c>
      <c r="H572" s="25"/>
      <c r="I572" s="43">
        <v>581.57500000000005</v>
      </c>
      <c r="J572" s="44">
        <v>2.8</v>
      </c>
      <c r="K572" s="45"/>
      <c r="L572" s="45"/>
      <c r="M572" s="44">
        <f t="shared" si="105"/>
        <v>1628.41</v>
      </c>
      <c r="N572" s="45"/>
      <c r="O572" s="45"/>
      <c r="P572" s="44">
        <v>2.8</v>
      </c>
      <c r="Q572" s="45"/>
      <c r="R572" s="45"/>
      <c r="S572" s="44">
        <f t="shared" si="106"/>
        <v>1628.41</v>
      </c>
      <c r="T572" s="45"/>
      <c r="U572" s="46"/>
      <c r="V572" s="9">
        <f t="shared" si="107"/>
        <v>2.33</v>
      </c>
      <c r="Y572" s="9">
        <f t="shared" si="108"/>
        <v>1357.01</v>
      </c>
      <c r="AD572" s="4" t="s">
        <v>1617</v>
      </c>
      <c r="AE572" s="4" t="s">
        <v>1614</v>
      </c>
      <c r="AF572" s="4" t="s">
        <v>1615</v>
      </c>
    </row>
    <row r="573" spans="1:32" ht="36" x14ac:dyDescent="0.35">
      <c r="A573" s="17" t="s">
        <v>1618</v>
      </c>
      <c r="B573" s="17"/>
      <c r="C573" s="34" t="s">
        <v>1619</v>
      </c>
      <c r="D573" s="19"/>
      <c r="E573" s="19"/>
      <c r="F573" s="35" t="s">
        <v>63</v>
      </c>
      <c r="G573" s="36">
        <v>1.05</v>
      </c>
      <c r="H573" s="19"/>
      <c r="I573" s="37">
        <v>0</v>
      </c>
      <c r="J573" s="38">
        <v>135.53</v>
      </c>
      <c r="K573" s="39"/>
      <c r="L573" s="39"/>
      <c r="M573" s="38">
        <f t="shared" si="105"/>
        <v>0</v>
      </c>
      <c r="N573" s="39"/>
      <c r="O573" s="39"/>
      <c r="P573" s="38">
        <v>135.53</v>
      </c>
      <c r="Q573" s="39"/>
      <c r="R573" s="39"/>
      <c r="S573" s="38">
        <f t="shared" si="106"/>
        <v>0</v>
      </c>
      <c r="T573" s="39"/>
      <c r="U573" s="40"/>
      <c r="V573" s="9">
        <f t="shared" si="107"/>
        <v>112.94</v>
      </c>
      <c r="Y573" s="9">
        <f t="shared" si="108"/>
        <v>0</v>
      </c>
      <c r="AD573" s="4" t="s">
        <v>1620</v>
      </c>
      <c r="AE573" s="4" t="s">
        <v>1621</v>
      </c>
      <c r="AF573" s="4" t="s">
        <v>1622</v>
      </c>
    </row>
    <row r="574" spans="1:32" ht="36" x14ac:dyDescent="0.35">
      <c r="A574" s="23" t="s">
        <v>1623</v>
      </c>
      <c r="B574" s="23"/>
      <c r="C574" s="41" t="s">
        <v>1619</v>
      </c>
      <c r="D574" s="25"/>
      <c r="E574" s="25"/>
      <c r="F574" s="42" t="s">
        <v>63</v>
      </c>
      <c r="G574" s="43">
        <v>1.05</v>
      </c>
      <c r="H574" s="25"/>
      <c r="I574" s="43">
        <v>2442.6149999999998</v>
      </c>
      <c r="J574" s="44">
        <v>135.53</v>
      </c>
      <c r="K574" s="45"/>
      <c r="L574" s="45"/>
      <c r="M574" s="44">
        <f t="shared" si="105"/>
        <v>331047.61</v>
      </c>
      <c r="N574" s="45"/>
      <c r="O574" s="45"/>
      <c r="P574" s="44">
        <v>135.53</v>
      </c>
      <c r="Q574" s="45"/>
      <c r="R574" s="45"/>
      <c r="S574" s="44">
        <f t="shared" si="106"/>
        <v>331047.61</v>
      </c>
      <c r="T574" s="45"/>
      <c r="U574" s="46"/>
      <c r="V574" s="9">
        <f t="shared" si="107"/>
        <v>112.94</v>
      </c>
      <c r="Y574" s="9">
        <f t="shared" si="108"/>
        <v>275873.01</v>
      </c>
      <c r="AD574" s="4" t="s">
        <v>1624</v>
      </c>
      <c r="AE574" s="4" t="s">
        <v>1621</v>
      </c>
      <c r="AF574" s="4" t="s">
        <v>1622</v>
      </c>
    </row>
    <row r="575" spans="1:32" ht="18" x14ac:dyDescent="0.35">
      <c r="A575" s="17" t="s">
        <v>1625</v>
      </c>
      <c r="B575" s="17"/>
      <c r="C575" s="34" t="s">
        <v>1626</v>
      </c>
      <c r="D575" s="19"/>
      <c r="E575" s="19"/>
      <c r="F575" s="35" t="s">
        <v>490</v>
      </c>
      <c r="G575" s="36">
        <v>0.75</v>
      </c>
      <c r="H575" s="19"/>
      <c r="I575" s="37">
        <v>0</v>
      </c>
      <c r="J575" s="38">
        <v>2.8</v>
      </c>
      <c r="K575" s="39"/>
      <c r="L575" s="39"/>
      <c r="M575" s="38">
        <f t="shared" si="105"/>
        <v>0</v>
      </c>
      <c r="N575" s="39"/>
      <c r="O575" s="39"/>
      <c r="P575" s="38">
        <v>2.8</v>
      </c>
      <c r="Q575" s="39"/>
      <c r="R575" s="39"/>
      <c r="S575" s="38">
        <f t="shared" si="106"/>
        <v>0</v>
      </c>
      <c r="T575" s="39"/>
      <c r="U575" s="40"/>
      <c r="V575" s="9">
        <f t="shared" si="107"/>
        <v>2.33</v>
      </c>
      <c r="Y575" s="9">
        <f t="shared" si="108"/>
        <v>0</v>
      </c>
      <c r="AD575" s="4" t="s">
        <v>1627</v>
      </c>
      <c r="AE575" s="4" t="s">
        <v>1628</v>
      </c>
      <c r="AF575" s="4" t="s">
        <v>1629</v>
      </c>
    </row>
    <row r="576" spans="1:32" ht="18" x14ac:dyDescent="0.35">
      <c r="A576" s="23" t="s">
        <v>1630</v>
      </c>
      <c r="B576" s="23"/>
      <c r="C576" s="41" t="s">
        <v>1626</v>
      </c>
      <c r="D576" s="25"/>
      <c r="E576" s="25"/>
      <c r="F576" s="42" t="s">
        <v>490</v>
      </c>
      <c r="G576" s="43">
        <v>0.75</v>
      </c>
      <c r="H576" s="25"/>
      <c r="I576" s="43">
        <v>1744.7249999999999</v>
      </c>
      <c r="J576" s="44">
        <v>2.8</v>
      </c>
      <c r="K576" s="45"/>
      <c r="L576" s="45"/>
      <c r="M576" s="44">
        <f t="shared" si="105"/>
        <v>4885.2299999999996</v>
      </c>
      <c r="N576" s="45"/>
      <c r="O576" s="45"/>
      <c r="P576" s="44">
        <v>2.8</v>
      </c>
      <c r="Q576" s="45"/>
      <c r="R576" s="45"/>
      <c r="S576" s="44">
        <f t="shared" si="106"/>
        <v>4885.2299999999996</v>
      </c>
      <c r="T576" s="45"/>
      <c r="U576" s="46"/>
      <c r="V576" s="9">
        <f t="shared" si="107"/>
        <v>2.33</v>
      </c>
      <c r="Y576" s="9">
        <f t="shared" si="108"/>
        <v>4071.03</v>
      </c>
      <c r="AD576" s="4" t="s">
        <v>1631</v>
      </c>
      <c r="AE576" s="4" t="s">
        <v>1628</v>
      </c>
      <c r="AF576" s="4" t="s">
        <v>1629</v>
      </c>
    </row>
    <row r="577" spans="1:35" ht="36" x14ac:dyDescent="0.35">
      <c r="A577" s="17" t="s">
        <v>1632</v>
      </c>
      <c r="B577" s="17" t="s">
        <v>1556</v>
      </c>
      <c r="C577" s="18" t="s">
        <v>1557</v>
      </c>
      <c r="D577" s="19"/>
      <c r="E577" s="19"/>
      <c r="F577" s="19" t="s">
        <v>63</v>
      </c>
      <c r="G577" s="20">
        <v>1</v>
      </c>
      <c r="H577" s="19"/>
      <c r="I577" s="21">
        <v>0</v>
      </c>
      <c r="J577" s="22">
        <v>584.54999999999995</v>
      </c>
      <c r="K577" s="22">
        <v>1379</v>
      </c>
      <c r="L577" s="22">
        <f>J577+ROUND(K577, 2)</f>
        <v>1963.55</v>
      </c>
      <c r="M577" s="22">
        <v>0</v>
      </c>
      <c r="N577" s="22">
        <v>0</v>
      </c>
      <c r="O577" s="22">
        <f>M577+N577</f>
        <v>0</v>
      </c>
      <c r="P577" s="22">
        <v>584.54999999999995</v>
      </c>
      <c r="Q577" s="22">
        <v>1379</v>
      </c>
      <c r="R577" s="22">
        <f>P577+ROUND(Q577, 2)</f>
        <v>1963.55</v>
      </c>
      <c r="S577" s="22">
        <v>0</v>
      </c>
      <c r="T577" s="22">
        <v>0</v>
      </c>
      <c r="U577" s="22">
        <f>S577+T577</f>
        <v>0</v>
      </c>
      <c r="V577" s="9">
        <f>ROUND(P577 / 1.2, 2)</f>
        <v>487.13</v>
      </c>
      <c r="W577" s="9">
        <f>ROUND(Q577 / 1.2, 2)</f>
        <v>1149.17</v>
      </c>
      <c r="X577" s="9">
        <f>ROUND(R577 / 1.2, 2)</f>
        <v>1636.29</v>
      </c>
      <c r="Y577" s="9">
        <f t="shared" si="108"/>
        <v>0</v>
      </c>
      <c r="Z577" s="9">
        <f>ROUND(T577 / 1.2, 2)</f>
        <v>0</v>
      </c>
      <c r="AA577" s="9">
        <f>Y577+Z577</f>
        <v>0</v>
      </c>
      <c r="AD577" s="4">
        <v>305117071</v>
      </c>
      <c r="AE577" s="4">
        <v>20958866</v>
      </c>
      <c r="AG577" s="4" t="s">
        <v>1558</v>
      </c>
      <c r="AH577" s="4" t="s">
        <v>1559</v>
      </c>
      <c r="AI577" s="4" t="s">
        <v>467</v>
      </c>
    </row>
    <row r="578" spans="1:35" ht="72" x14ac:dyDescent="0.35">
      <c r="A578" s="23" t="s">
        <v>1633</v>
      </c>
      <c r="B578" s="23" t="s">
        <v>1556</v>
      </c>
      <c r="C578" s="24" t="s">
        <v>1557</v>
      </c>
      <c r="D578" s="25"/>
      <c r="E578" s="25" t="s">
        <v>1634</v>
      </c>
      <c r="F578" s="25" t="s">
        <v>63</v>
      </c>
      <c r="G578" s="26">
        <v>1</v>
      </c>
      <c r="H578" s="25"/>
      <c r="I578" s="26">
        <v>454.4</v>
      </c>
      <c r="J578" s="27">
        <v>584.54999999999995</v>
      </c>
      <c r="K578" s="27">
        <v>1379</v>
      </c>
      <c r="L578" s="27">
        <v>1379</v>
      </c>
      <c r="M578" s="27">
        <v>265619.52</v>
      </c>
      <c r="N578" s="27">
        <v>626617.59999999998</v>
      </c>
      <c r="O578" s="27"/>
      <c r="P578" s="27">
        <v>584.54999999999995</v>
      </c>
      <c r="Q578" s="27">
        <v>1379</v>
      </c>
      <c r="R578" s="27">
        <v>1379</v>
      </c>
      <c r="S578" s="27">
        <v>265619.52</v>
      </c>
      <c r="T578" s="27">
        <v>626617.59999999998</v>
      </c>
      <c r="U578" s="27"/>
      <c r="V578" s="9"/>
      <c r="W578" s="9">
        <f>ROUND(Q578 / 1.2, 2)</f>
        <v>1149.17</v>
      </c>
      <c r="X578" s="9">
        <f>ROUND(R578 / 1.2, 2)</f>
        <v>1149.17</v>
      </c>
      <c r="Y578" s="9"/>
      <c r="Z578" s="9">
        <f>ROUND(T578 / 1.2, 2)</f>
        <v>522181.33</v>
      </c>
      <c r="AA578" s="9"/>
      <c r="AD578" s="4">
        <v>281774569</v>
      </c>
      <c r="AE578" s="4">
        <v>20958866</v>
      </c>
      <c r="AG578" s="4" t="s">
        <v>1558</v>
      </c>
      <c r="AH578" s="4" t="s">
        <v>1559</v>
      </c>
      <c r="AI578" s="4"/>
    </row>
    <row r="579" spans="1:35" ht="18" x14ac:dyDescent="0.35">
      <c r="A579" s="17" t="s">
        <v>1635</v>
      </c>
      <c r="B579" s="17"/>
      <c r="C579" s="34" t="s">
        <v>1626</v>
      </c>
      <c r="D579" s="19"/>
      <c r="E579" s="19"/>
      <c r="F579" s="35" t="s">
        <v>490</v>
      </c>
      <c r="G579" s="36">
        <v>0.75</v>
      </c>
      <c r="H579" s="19"/>
      <c r="I579" s="37">
        <v>0</v>
      </c>
      <c r="J579" s="38">
        <v>2.8</v>
      </c>
      <c r="K579" s="39"/>
      <c r="L579" s="39"/>
      <c r="M579" s="38">
        <f t="shared" ref="M579:M598" si="109">ROUND(ROUND(J579, 2)*I579, 2)</f>
        <v>0</v>
      </c>
      <c r="N579" s="39"/>
      <c r="O579" s="39"/>
      <c r="P579" s="38">
        <v>2.8</v>
      </c>
      <c r="Q579" s="39"/>
      <c r="R579" s="39"/>
      <c r="S579" s="38">
        <f t="shared" ref="S579:S598" si="110">ROUND(ROUND(P579, 2)*I579, 2)</f>
        <v>0</v>
      </c>
      <c r="T579" s="39"/>
      <c r="U579" s="40"/>
      <c r="V579" s="9">
        <f t="shared" ref="V579:V598" si="111">ROUND(ROUND(P579, 2)/1.2, 2)</f>
        <v>2.33</v>
      </c>
      <c r="Y579" s="9">
        <f t="shared" ref="Y579:Y599" si="112">ROUND(S579 / 1.2, 2)</f>
        <v>0</v>
      </c>
      <c r="AD579" s="4" t="s">
        <v>1636</v>
      </c>
      <c r="AE579" s="4" t="s">
        <v>1637</v>
      </c>
      <c r="AF579" s="4" t="s">
        <v>1629</v>
      </c>
    </row>
    <row r="580" spans="1:35" ht="18" x14ac:dyDescent="0.35">
      <c r="A580" s="23" t="s">
        <v>1638</v>
      </c>
      <c r="B580" s="23"/>
      <c r="C580" s="41" t="s">
        <v>1626</v>
      </c>
      <c r="D580" s="25"/>
      <c r="E580" s="25"/>
      <c r="F580" s="42" t="s">
        <v>490</v>
      </c>
      <c r="G580" s="43">
        <v>0.75</v>
      </c>
      <c r="H580" s="25"/>
      <c r="I580" s="43">
        <v>340.8</v>
      </c>
      <c r="J580" s="44">
        <v>2.8</v>
      </c>
      <c r="K580" s="45"/>
      <c r="L580" s="45"/>
      <c r="M580" s="44">
        <f t="shared" si="109"/>
        <v>954.24</v>
      </c>
      <c r="N580" s="45"/>
      <c r="O580" s="45"/>
      <c r="P580" s="44">
        <v>2.8</v>
      </c>
      <c r="Q580" s="45"/>
      <c r="R580" s="45"/>
      <c r="S580" s="44">
        <f t="shared" si="110"/>
        <v>954.24</v>
      </c>
      <c r="T580" s="45"/>
      <c r="U580" s="46"/>
      <c r="V580" s="9">
        <f t="shared" si="111"/>
        <v>2.33</v>
      </c>
      <c r="Y580" s="9">
        <f t="shared" si="112"/>
        <v>795.2</v>
      </c>
      <c r="AD580" s="4" t="s">
        <v>1639</v>
      </c>
      <c r="AE580" s="4" t="s">
        <v>1637</v>
      </c>
      <c r="AF580" s="4" t="s">
        <v>1629</v>
      </c>
    </row>
    <row r="581" spans="1:35" ht="36" x14ac:dyDescent="0.35">
      <c r="A581" s="17" t="s">
        <v>1640</v>
      </c>
      <c r="B581" s="17"/>
      <c r="C581" s="34" t="s">
        <v>100</v>
      </c>
      <c r="D581" s="19"/>
      <c r="E581" s="19"/>
      <c r="F581" s="35" t="s">
        <v>63</v>
      </c>
      <c r="G581" s="36">
        <v>1.05</v>
      </c>
      <c r="H581" s="19"/>
      <c r="I581" s="37">
        <v>0</v>
      </c>
      <c r="J581" s="38">
        <v>135.53</v>
      </c>
      <c r="K581" s="39"/>
      <c r="L581" s="39"/>
      <c r="M581" s="38">
        <f t="shared" si="109"/>
        <v>0</v>
      </c>
      <c r="N581" s="39"/>
      <c r="O581" s="39"/>
      <c r="P581" s="38">
        <v>135.53</v>
      </c>
      <c r="Q581" s="39"/>
      <c r="R581" s="39"/>
      <c r="S581" s="38">
        <f t="shared" si="110"/>
        <v>0</v>
      </c>
      <c r="T581" s="39"/>
      <c r="U581" s="40"/>
      <c r="V581" s="9">
        <f t="shared" si="111"/>
        <v>112.94</v>
      </c>
      <c r="Y581" s="9">
        <f t="shared" si="112"/>
        <v>0</v>
      </c>
      <c r="AD581" s="4" t="s">
        <v>1641</v>
      </c>
      <c r="AE581" s="4" t="s">
        <v>1642</v>
      </c>
      <c r="AF581" s="4" t="s">
        <v>103</v>
      </c>
    </row>
    <row r="582" spans="1:35" ht="36" x14ac:dyDescent="0.35">
      <c r="A582" s="23" t="s">
        <v>1643</v>
      </c>
      <c r="B582" s="23"/>
      <c r="C582" s="41" t="s">
        <v>100</v>
      </c>
      <c r="D582" s="25"/>
      <c r="E582" s="25"/>
      <c r="F582" s="42" t="s">
        <v>63</v>
      </c>
      <c r="G582" s="43">
        <v>1.05</v>
      </c>
      <c r="H582" s="25"/>
      <c r="I582" s="43">
        <v>477.12</v>
      </c>
      <c r="J582" s="44">
        <v>135.53</v>
      </c>
      <c r="K582" s="45"/>
      <c r="L582" s="45"/>
      <c r="M582" s="44">
        <f t="shared" si="109"/>
        <v>64664.07</v>
      </c>
      <c r="N582" s="45"/>
      <c r="O582" s="45"/>
      <c r="P582" s="44">
        <v>135.53</v>
      </c>
      <c r="Q582" s="45"/>
      <c r="R582" s="45"/>
      <c r="S582" s="44">
        <f t="shared" si="110"/>
        <v>64664.07</v>
      </c>
      <c r="T582" s="45"/>
      <c r="U582" s="46"/>
      <c r="V582" s="9">
        <f t="shared" si="111"/>
        <v>112.94</v>
      </c>
      <c r="Y582" s="9">
        <f t="shared" si="112"/>
        <v>53886.73</v>
      </c>
      <c r="AD582" s="4" t="s">
        <v>1644</v>
      </c>
      <c r="AE582" s="4" t="s">
        <v>1642</v>
      </c>
      <c r="AF582" s="4" t="s">
        <v>103</v>
      </c>
    </row>
    <row r="583" spans="1:35" ht="18" x14ac:dyDescent="0.35">
      <c r="A583" s="17" t="s">
        <v>1645</v>
      </c>
      <c r="B583" s="17"/>
      <c r="C583" s="34" t="s">
        <v>1612</v>
      </c>
      <c r="D583" s="19"/>
      <c r="E583" s="19"/>
      <c r="F583" s="35" t="s">
        <v>78</v>
      </c>
      <c r="G583" s="36">
        <v>0.25</v>
      </c>
      <c r="H583" s="19"/>
      <c r="I583" s="37">
        <v>0</v>
      </c>
      <c r="J583" s="38">
        <v>2.8</v>
      </c>
      <c r="K583" s="39"/>
      <c r="L583" s="39"/>
      <c r="M583" s="38">
        <f t="shared" si="109"/>
        <v>0</v>
      </c>
      <c r="N583" s="39"/>
      <c r="O583" s="39"/>
      <c r="P583" s="38">
        <v>2.8</v>
      </c>
      <c r="Q583" s="39"/>
      <c r="R583" s="39"/>
      <c r="S583" s="38">
        <f t="shared" si="110"/>
        <v>0</v>
      </c>
      <c r="T583" s="39"/>
      <c r="U583" s="40"/>
      <c r="V583" s="9">
        <f t="shared" si="111"/>
        <v>2.33</v>
      </c>
      <c r="Y583" s="9">
        <f t="shared" si="112"/>
        <v>0</v>
      </c>
      <c r="AD583" s="4" t="s">
        <v>1646</v>
      </c>
      <c r="AE583" s="4" t="s">
        <v>1647</v>
      </c>
      <c r="AF583" s="4" t="s">
        <v>1615</v>
      </c>
    </row>
    <row r="584" spans="1:35" ht="18" x14ac:dyDescent="0.35">
      <c r="A584" s="23" t="s">
        <v>1648</v>
      </c>
      <c r="B584" s="23"/>
      <c r="C584" s="41" t="s">
        <v>1612</v>
      </c>
      <c r="D584" s="25"/>
      <c r="E584" s="25"/>
      <c r="F584" s="42" t="s">
        <v>78</v>
      </c>
      <c r="G584" s="43">
        <v>0.25</v>
      </c>
      <c r="H584" s="25"/>
      <c r="I584" s="43">
        <v>113.6</v>
      </c>
      <c r="J584" s="44">
        <v>2.8</v>
      </c>
      <c r="K584" s="45"/>
      <c r="L584" s="45"/>
      <c r="M584" s="44">
        <f t="shared" si="109"/>
        <v>318.08</v>
      </c>
      <c r="N584" s="45"/>
      <c r="O584" s="45"/>
      <c r="P584" s="44">
        <v>2.8</v>
      </c>
      <c r="Q584" s="45"/>
      <c r="R584" s="45"/>
      <c r="S584" s="44">
        <f t="shared" si="110"/>
        <v>318.08</v>
      </c>
      <c r="T584" s="45"/>
      <c r="U584" s="46"/>
      <c r="V584" s="9">
        <f t="shared" si="111"/>
        <v>2.33</v>
      </c>
      <c r="Y584" s="9">
        <f t="shared" si="112"/>
        <v>265.07</v>
      </c>
      <c r="AD584" s="4" t="s">
        <v>1649</v>
      </c>
      <c r="AE584" s="4" t="s">
        <v>1647</v>
      </c>
      <c r="AF584" s="4" t="s">
        <v>1615</v>
      </c>
    </row>
    <row r="585" spans="1:35" ht="18" x14ac:dyDescent="0.35">
      <c r="A585" s="17" t="s">
        <v>1650</v>
      </c>
      <c r="B585" s="17"/>
      <c r="C585" s="34" t="s">
        <v>1605</v>
      </c>
      <c r="D585" s="19"/>
      <c r="E585" s="19"/>
      <c r="F585" s="35" t="s">
        <v>78</v>
      </c>
      <c r="G585" s="36">
        <v>1.05</v>
      </c>
      <c r="H585" s="19"/>
      <c r="I585" s="37">
        <v>0</v>
      </c>
      <c r="J585" s="38">
        <v>4.5999999999999996</v>
      </c>
      <c r="K585" s="39"/>
      <c r="L585" s="39"/>
      <c r="M585" s="38">
        <f t="shared" si="109"/>
        <v>0</v>
      </c>
      <c r="N585" s="39"/>
      <c r="O585" s="39"/>
      <c r="P585" s="38">
        <v>4.5999999999999996</v>
      </c>
      <c r="Q585" s="39"/>
      <c r="R585" s="39"/>
      <c r="S585" s="38">
        <f t="shared" si="110"/>
        <v>0</v>
      </c>
      <c r="T585" s="39"/>
      <c r="U585" s="40"/>
      <c r="V585" s="9">
        <f t="shared" si="111"/>
        <v>3.83</v>
      </c>
      <c r="Y585" s="9">
        <f t="shared" si="112"/>
        <v>0</v>
      </c>
      <c r="AD585" s="4" t="s">
        <v>1651</v>
      </c>
      <c r="AE585" s="4" t="s">
        <v>1652</v>
      </c>
      <c r="AF585" s="4" t="s">
        <v>1608</v>
      </c>
    </row>
    <row r="586" spans="1:35" ht="18" x14ac:dyDescent="0.35">
      <c r="A586" s="23" t="s">
        <v>1653</v>
      </c>
      <c r="B586" s="23"/>
      <c r="C586" s="41" t="s">
        <v>1605</v>
      </c>
      <c r="D586" s="25"/>
      <c r="E586" s="25"/>
      <c r="F586" s="42" t="s">
        <v>78</v>
      </c>
      <c r="G586" s="43">
        <v>1.05</v>
      </c>
      <c r="H586" s="25"/>
      <c r="I586" s="43">
        <v>477.12</v>
      </c>
      <c r="J586" s="44">
        <v>4.5999999999999996</v>
      </c>
      <c r="K586" s="45"/>
      <c r="L586" s="45"/>
      <c r="M586" s="44">
        <f t="shared" si="109"/>
        <v>2194.75</v>
      </c>
      <c r="N586" s="45"/>
      <c r="O586" s="45"/>
      <c r="P586" s="44">
        <v>4.5999999999999996</v>
      </c>
      <c r="Q586" s="45"/>
      <c r="R586" s="45"/>
      <c r="S586" s="44">
        <f t="shared" si="110"/>
        <v>2194.75</v>
      </c>
      <c r="T586" s="45"/>
      <c r="U586" s="46"/>
      <c r="V586" s="9">
        <f t="shared" si="111"/>
        <v>3.83</v>
      </c>
      <c r="Y586" s="9">
        <f t="shared" si="112"/>
        <v>1828.96</v>
      </c>
      <c r="AD586" s="4" t="s">
        <v>1654</v>
      </c>
      <c r="AE586" s="4" t="s">
        <v>1652</v>
      </c>
      <c r="AF586" s="4" t="s">
        <v>1608</v>
      </c>
    </row>
    <row r="587" spans="1:35" ht="18" x14ac:dyDescent="0.35">
      <c r="A587" s="17" t="s">
        <v>1655</v>
      </c>
      <c r="B587" s="17"/>
      <c r="C587" s="34" t="s">
        <v>1591</v>
      </c>
      <c r="D587" s="19"/>
      <c r="E587" s="19"/>
      <c r="F587" s="35" t="s">
        <v>78</v>
      </c>
      <c r="G587" s="36">
        <v>1.2</v>
      </c>
      <c r="H587" s="19"/>
      <c r="I587" s="37">
        <v>0</v>
      </c>
      <c r="J587" s="38">
        <v>22.82</v>
      </c>
      <c r="K587" s="39"/>
      <c r="L587" s="39"/>
      <c r="M587" s="38">
        <f t="shared" si="109"/>
        <v>0</v>
      </c>
      <c r="N587" s="39"/>
      <c r="O587" s="39"/>
      <c r="P587" s="38">
        <v>22.82</v>
      </c>
      <c r="Q587" s="39"/>
      <c r="R587" s="39"/>
      <c r="S587" s="38">
        <f t="shared" si="110"/>
        <v>0</v>
      </c>
      <c r="T587" s="39"/>
      <c r="U587" s="40"/>
      <c r="V587" s="9">
        <f t="shared" si="111"/>
        <v>19.02</v>
      </c>
      <c r="Y587" s="9">
        <f t="shared" si="112"/>
        <v>0</v>
      </c>
      <c r="AD587" s="4" t="s">
        <v>1656</v>
      </c>
      <c r="AE587" s="4" t="s">
        <v>1657</v>
      </c>
      <c r="AF587" s="4" t="s">
        <v>1594</v>
      </c>
    </row>
    <row r="588" spans="1:35" ht="18" x14ac:dyDescent="0.35">
      <c r="A588" s="23" t="s">
        <v>1658</v>
      </c>
      <c r="B588" s="23"/>
      <c r="C588" s="41" t="s">
        <v>1591</v>
      </c>
      <c r="D588" s="25"/>
      <c r="E588" s="25"/>
      <c r="F588" s="42" t="s">
        <v>78</v>
      </c>
      <c r="G588" s="43">
        <v>1.2</v>
      </c>
      <c r="H588" s="25"/>
      <c r="I588" s="43">
        <v>545.28</v>
      </c>
      <c r="J588" s="44">
        <v>22.82</v>
      </c>
      <c r="K588" s="45"/>
      <c r="L588" s="45"/>
      <c r="M588" s="44">
        <f t="shared" si="109"/>
        <v>12443.29</v>
      </c>
      <c r="N588" s="45"/>
      <c r="O588" s="45"/>
      <c r="P588" s="44">
        <v>22.82</v>
      </c>
      <c r="Q588" s="45"/>
      <c r="R588" s="45"/>
      <c r="S588" s="44">
        <f t="shared" si="110"/>
        <v>12443.29</v>
      </c>
      <c r="T588" s="45"/>
      <c r="U588" s="46"/>
      <c r="V588" s="9">
        <f t="shared" si="111"/>
        <v>19.02</v>
      </c>
      <c r="Y588" s="9">
        <f t="shared" si="112"/>
        <v>10369.41</v>
      </c>
      <c r="AD588" s="4" t="s">
        <v>1659</v>
      </c>
      <c r="AE588" s="4" t="s">
        <v>1657</v>
      </c>
      <c r="AF588" s="4" t="s">
        <v>1594</v>
      </c>
    </row>
    <row r="589" spans="1:35" ht="18" x14ac:dyDescent="0.35">
      <c r="A589" s="17" t="s">
        <v>1660</v>
      </c>
      <c r="B589" s="17"/>
      <c r="C589" s="34" t="s">
        <v>1598</v>
      </c>
      <c r="D589" s="19"/>
      <c r="E589" s="19"/>
      <c r="F589" s="35" t="s">
        <v>78</v>
      </c>
      <c r="G589" s="36">
        <v>4.7</v>
      </c>
      <c r="H589" s="19"/>
      <c r="I589" s="37">
        <v>0</v>
      </c>
      <c r="J589" s="38">
        <v>66.98</v>
      </c>
      <c r="K589" s="39"/>
      <c r="L589" s="39"/>
      <c r="M589" s="38">
        <f t="shared" si="109"/>
        <v>0</v>
      </c>
      <c r="N589" s="39"/>
      <c r="O589" s="39"/>
      <c r="P589" s="38">
        <v>66.98</v>
      </c>
      <c r="Q589" s="39"/>
      <c r="R589" s="39"/>
      <c r="S589" s="38">
        <f t="shared" si="110"/>
        <v>0</v>
      </c>
      <c r="T589" s="39"/>
      <c r="U589" s="40"/>
      <c r="V589" s="9">
        <f t="shared" si="111"/>
        <v>55.82</v>
      </c>
      <c r="Y589" s="9">
        <f t="shared" si="112"/>
        <v>0</v>
      </c>
      <c r="AD589" s="4" t="s">
        <v>1661</v>
      </c>
      <c r="AE589" s="4" t="s">
        <v>1662</v>
      </c>
      <c r="AF589" s="4" t="s">
        <v>1601</v>
      </c>
    </row>
    <row r="590" spans="1:35" ht="18" x14ac:dyDescent="0.35">
      <c r="A590" s="23" t="s">
        <v>1663</v>
      </c>
      <c r="B590" s="23"/>
      <c r="C590" s="41" t="s">
        <v>1598</v>
      </c>
      <c r="D590" s="25"/>
      <c r="E590" s="25"/>
      <c r="F590" s="42" t="s">
        <v>78</v>
      </c>
      <c r="G590" s="43">
        <v>4.7</v>
      </c>
      <c r="H590" s="25"/>
      <c r="I590" s="43">
        <v>2135.6799999999998</v>
      </c>
      <c r="J590" s="44">
        <v>66.98</v>
      </c>
      <c r="K590" s="45"/>
      <c r="L590" s="45"/>
      <c r="M590" s="44">
        <f t="shared" si="109"/>
        <v>143047.85</v>
      </c>
      <c r="N590" s="45"/>
      <c r="O590" s="45"/>
      <c r="P590" s="44">
        <v>66.98</v>
      </c>
      <c r="Q590" s="45"/>
      <c r="R590" s="45"/>
      <c r="S590" s="44">
        <f t="shared" si="110"/>
        <v>143047.85</v>
      </c>
      <c r="T590" s="45"/>
      <c r="U590" s="46"/>
      <c r="V590" s="9">
        <f t="shared" si="111"/>
        <v>55.82</v>
      </c>
      <c r="Y590" s="9">
        <f t="shared" si="112"/>
        <v>119206.54</v>
      </c>
      <c r="AD590" s="4" t="s">
        <v>1664</v>
      </c>
      <c r="AE590" s="4" t="s">
        <v>1662</v>
      </c>
      <c r="AF590" s="4" t="s">
        <v>1601</v>
      </c>
    </row>
    <row r="591" spans="1:35" ht="36" x14ac:dyDescent="0.35">
      <c r="A591" s="17" t="s">
        <v>1665</v>
      </c>
      <c r="B591" s="17"/>
      <c r="C591" s="34" t="s">
        <v>1584</v>
      </c>
      <c r="D591" s="19"/>
      <c r="E591" s="19"/>
      <c r="F591" s="35" t="s">
        <v>490</v>
      </c>
      <c r="G591" s="36">
        <v>3.6</v>
      </c>
      <c r="H591" s="19"/>
      <c r="I591" s="37">
        <v>0</v>
      </c>
      <c r="J591" s="38">
        <v>15.9</v>
      </c>
      <c r="K591" s="39"/>
      <c r="L591" s="39"/>
      <c r="M591" s="38">
        <f t="shared" si="109"/>
        <v>0</v>
      </c>
      <c r="N591" s="39"/>
      <c r="O591" s="39"/>
      <c r="P591" s="38">
        <v>15.9</v>
      </c>
      <c r="Q591" s="39"/>
      <c r="R591" s="39"/>
      <c r="S591" s="38">
        <f t="shared" si="110"/>
        <v>0</v>
      </c>
      <c r="T591" s="39"/>
      <c r="U591" s="40"/>
      <c r="V591" s="9">
        <f t="shared" si="111"/>
        <v>13.25</v>
      </c>
      <c r="Y591" s="9">
        <f t="shared" si="112"/>
        <v>0</v>
      </c>
      <c r="AD591" s="4" t="s">
        <v>1666</v>
      </c>
      <c r="AE591" s="4" t="s">
        <v>1667</v>
      </c>
      <c r="AF591" s="4" t="s">
        <v>1587</v>
      </c>
    </row>
    <row r="592" spans="1:35" ht="36" x14ac:dyDescent="0.35">
      <c r="A592" s="23" t="s">
        <v>1668</v>
      </c>
      <c r="B592" s="23"/>
      <c r="C592" s="41" t="s">
        <v>1584</v>
      </c>
      <c r="D592" s="25"/>
      <c r="E592" s="25"/>
      <c r="F592" s="42" t="s">
        <v>490</v>
      </c>
      <c r="G592" s="43">
        <v>3.6</v>
      </c>
      <c r="H592" s="25"/>
      <c r="I592" s="43">
        <v>1635.84</v>
      </c>
      <c r="J592" s="44">
        <v>15.9</v>
      </c>
      <c r="K592" s="45"/>
      <c r="L592" s="45"/>
      <c r="M592" s="44">
        <f t="shared" si="109"/>
        <v>26009.86</v>
      </c>
      <c r="N592" s="45"/>
      <c r="O592" s="45"/>
      <c r="P592" s="44">
        <v>15.9</v>
      </c>
      <c r="Q592" s="45"/>
      <c r="R592" s="45"/>
      <c r="S592" s="44">
        <f t="shared" si="110"/>
        <v>26009.86</v>
      </c>
      <c r="T592" s="45"/>
      <c r="U592" s="46"/>
      <c r="V592" s="9">
        <f t="shared" si="111"/>
        <v>13.25</v>
      </c>
      <c r="Y592" s="9">
        <f t="shared" si="112"/>
        <v>21674.880000000001</v>
      </c>
      <c r="AD592" s="4" t="s">
        <v>1669</v>
      </c>
      <c r="AE592" s="4" t="s">
        <v>1667</v>
      </c>
      <c r="AF592" s="4" t="s">
        <v>1587</v>
      </c>
    </row>
    <row r="593" spans="1:35" ht="18" x14ac:dyDescent="0.35">
      <c r="A593" s="17" t="s">
        <v>1670</v>
      </c>
      <c r="B593" s="17"/>
      <c r="C593" s="34" t="s">
        <v>1577</v>
      </c>
      <c r="D593" s="19"/>
      <c r="E593" s="19"/>
      <c r="F593" s="35" t="s">
        <v>490</v>
      </c>
      <c r="G593" s="36">
        <v>0.3</v>
      </c>
      <c r="H593" s="19"/>
      <c r="I593" s="37">
        <v>0</v>
      </c>
      <c r="J593" s="38">
        <v>5.6</v>
      </c>
      <c r="K593" s="39"/>
      <c r="L593" s="39"/>
      <c r="M593" s="38">
        <f t="shared" si="109"/>
        <v>0</v>
      </c>
      <c r="N593" s="39"/>
      <c r="O593" s="39"/>
      <c r="P593" s="38">
        <v>5.6</v>
      </c>
      <c r="Q593" s="39"/>
      <c r="R593" s="39"/>
      <c r="S593" s="38">
        <f t="shared" si="110"/>
        <v>0</v>
      </c>
      <c r="T593" s="39"/>
      <c r="U593" s="40"/>
      <c r="V593" s="9">
        <f t="shared" si="111"/>
        <v>4.67</v>
      </c>
      <c r="Y593" s="9">
        <f t="shared" si="112"/>
        <v>0</v>
      </c>
      <c r="AD593" s="4" t="s">
        <v>1671</v>
      </c>
      <c r="AE593" s="4" t="s">
        <v>1672</v>
      </c>
      <c r="AF593" s="4" t="s">
        <v>1580</v>
      </c>
    </row>
    <row r="594" spans="1:35" ht="18" x14ac:dyDescent="0.35">
      <c r="A594" s="23" t="s">
        <v>1673</v>
      </c>
      <c r="B594" s="23"/>
      <c r="C594" s="41" t="s">
        <v>1577</v>
      </c>
      <c r="D594" s="25"/>
      <c r="E594" s="25"/>
      <c r="F594" s="42" t="s">
        <v>490</v>
      </c>
      <c r="G594" s="43">
        <v>0.3</v>
      </c>
      <c r="H594" s="25"/>
      <c r="I594" s="43">
        <v>136.32</v>
      </c>
      <c r="J594" s="44">
        <v>5.6</v>
      </c>
      <c r="K594" s="45"/>
      <c r="L594" s="45"/>
      <c r="M594" s="44">
        <f t="shared" si="109"/>
        <v>763.39</v>
      </c>
      <c r="N594" s="45"/>
      <c r="O594" s="45"/>
      <c r="P594" s="44">
        <v>5.6</v>
      </c>
      <c r="Q594" s="45"/>
      <c r="R594" s="45"/>
      <c r="S594" s="44">
        <f t="shared" si="110"/>
        <v>763.39</v>
      </c>
      <c r="T594" s="45"/>
      <c r="U594" s="46"/>
      <c r="V594" s="9">
        <f t="shared" si="111"/>
        <v>4.67</v>
      </c>
      <c r="Y594" s="9">
        <f t="shared" si="112"/>
        <v>636.16</v>
      </c>
      <c r="AD594" s="4" t="s">
        <v>1674</v>
      </c>
      <c r="AE594" s="4" t="s">
        <v>1672</v>
      </c>
      <c r="AF594" s="4" t="s">
        <v>1580</v>
      </c>
    </row>
    <row r="595" spans="1:35" ht="18" x14ac:dyDescent="0.35">
      <c r="A595" s="17" t="s">
        <v>1675</v>
      </c>
      <c r="B595" s="17"/>
      <c r="C595" s="34" t="s">
        <v>1570</v>
      </c>
      <c r="D595" s="19"/>
      <c r="E595" s="19"/>
      <c r="F595" s="35" t="s">
        <v>498</v>
      </c>
      <c r="G595" s="36">
        <v>0.35</v>
      </c>
      <c r="H595" s="19"/>
      <c r="I595" s="37">
        <v>0</v>
      </c>
      <c r="J595" s="38">
        <v>55</v>
      </c>
      <c r="K595" s="39"/>
      <c r="L595" s="39"/>
      <c r="M595" s="38">
        <f t="shared" si="109"/>
        <v>0</v>
      </c>
      <c r="N595" s="39"/>
      <c r="O595" s="39"/>
      <c r="P595" s="38">
        <v>55</v>
      </c>
      <c r="Q595" s="39"/>
      <c r="R595" s="39"/>
      <c r="S595" s="38">
        <f t="shared" si="110"/>
        <v>0</v>
      </c>
      <c r="T595" s="39"/>
      <c r="U595" s="40"/>
      <c r="V595" s="9">
        <f t="shared" si="111"/>
        <v>45.83</v>
      </c>
      <c r="Y595" s="9">
        <f t="shared" si="112"/>
        <v>0</v>
      </c>
      <c r="AD595" s="4" t="s">
        <v>1676</v>
      </c>
      <c r="AE595" s="4" t="s">
        <v>1677</v>
      </c>
      <c r="AF595" s="4" t="s">
        <v>1573</v>
      </c>
    </row>
    <row r="596" spans="1:35" ht="18" x14ac:dyDescent="0.35">
      <c r="A596" s="23" t="s">
        <v>1678</v>
      </c>
      <c r="B596" s="23"/>
      <c r="C596" s="41" t="s">
        <v>1570</v>
      </c>
      <c r="D596" s="25"/>
      <c r="E596" s="25"/>
      <c r="F596" s="42" t="s">
        <v>498</v>
      </c>
      <c r="G596" s="43">
        <v>0.35</v>
      </c>
      <c r="H596" s="25"/>
      <c r="I596" s="43">
        <v>159.04</v>
      </c>
      <c r="J596" s="44">
        <v>55</v>
      </c>
      <c r="K596" s="45"/>
      <c r="L596" s="45"/>
      <c r="M596" s="44">
        <f t="shared" si="109"/>
        <v>8747.2000000000007</v>
      </c>
      <c r="N596" s="45"/>
      <c r="O596" s="45"/>
      <c r="P596" s="44">
        <v>55</v>
      </c>
      <c r="Q596" s="45"/>
      <c r="R596" s="45"/>
      <c r="S596" s="44">
        <f t="shared" si="110"/>
        <v>8747.2000000000007</v>
      </c>
      <c r="T596" s="45"/>
      <c r="U596" s="46"/>
      <c r="V596" s="9">
        <f t="shared" si="111"/>
        <v>45.83</v>
      </c>
      <c r="Y596" s="9">
        <f t="shared" si="112"/>
        <v>7289.33</v>
      </c>
      <c r="AD596" s="4" t="s">
        <v>1679</v>
      </c>
      <c r="AE596" s="4" t="s">
        <v>1677</v>
      </c>
      <c r="AF596" s="4" t="s">
        <v>1573</v>
      </c>
    </row>
    <row r="597" spans="1:35" ht="18" x14ac:dyDescent="0.35">
      <c r="A597" s="17" t="s">
        <v>1680</v>
      </c>
      <c r="B597" s="17"/>
      <c r="C597" s="34" t="s">
        <v>1563</v>
      </c>
      <c r="D597" s="19"/>
      <c r="E597" s="19"/>
      <c r="F597" s="35" t="s">
        <v>490</v>
      </c>
      <c r="G597" s="36">
        <v>15</v>
      </c>
      <c r="H597" s="19"/>
      <c r="I597" s="37">
        <v>0</v>
      </c>
      <c r="J597" s="38">
        <v>0.95</v>
      </c>
      <c r="K597" s="39"/>
      <c r="L597" s="39"/>
      <c r="M597" s="38">
        <f t="shared" si="109"/>
        <v>0</v>
      </c>
      <c r="N597" s="39"/>
      <c r="O597" s="39"/>
      <c r="P597" s="38">
        <v>0.95</v>
      </c>
      <c r="Q597" s="39"/>
      <c r="R597" s="39"/>
      <c r="S597" s="38">
        <f t="shared" si="110"/>
        <v>0</v>
      </c>
      <c r="T597" s="39"/>
      <c r="U597" s="40"/>
      <c r="V597" s="9">
        <f t="shared" si="111"/>
        <v>0.79</v>
      </c>
      <c r="Y597" s="9">
        <f t="shared" si="112"/>
        <v>0</v>
      </c>
      <c r="AD597" s="4" t="s">
        <v>1681</v>
      </c>
      <c r="AE597" s="4" t="s">
        <v>1682</v>
      </c>
      <c r="AF597" s="4" t="s">
        <v>1566</v>
      </c>
    </row>
    <row r="598" spans="1:35" ht="18" x14ac:dyDescent="0.35">
      <c r="A598" s="23" t="s">
        <v>1683</v>
      </c>
      <c r="B598" s="23"/>
      <c r="C598" s="41" t="s">
        <v>1563</v>
      </c>
      <c r="D598" s="25"/>
      <c r="E598" s="25"/>
      <c r="F598" s="42" t="s">
        <v>490</v>
      </c>
      <c r="G598" s="43">
        <v>15</v>
      </c>
      <c r="H598" s="25"/>
      <c r="I598" s="43">
        <v>6816</v>
      </c>
      <c r="J598" s="44">
        <v>0.95</v>
      </c>
      <c r="K598" s="45"/>
      <c r="L598" s="45"/>
      <c r="M598" s="44">
        <f t="shared" si="109"/>
        <v>6475.2</v>
      </c>
      <c r="N598" s="45"/>
      <c r="O598" s="45"/>
      <c r="P598" s="44">
        <v>0.95</v>
      </c>
      <c r="Q598" s="45"/>
      <c r="R598" s="45"/>
      <c r="S598" s="44">
        <f t="shared" si="110"/>
        <v>6475.2</v>
      </c>
      <c r="T598" s="45"/>
      <c r="U598" s="46"/>
      <c r="V598" s="9">
        <f t="shared" si="111"/>
        <v>0.79</v>
      </c>
      <c r="Y598" s="9">
        <f t="shared" si="112"/>
        <v>5396</v>
      </c>
      <c r="AD598" s="4" t="s">
        <v>1684</v>
      </c>
      <c r="AE598" s="4" t="s">
        <v>1682</v>
      </c>
      <c r="AF598" s="4" t="s">
        <v>1566</v>
      </c>
    </row>
    <row r="599" spans="1:35" ht="36" x14ac:dyDescent="0.35">
      <c r="A599" s="17" t="s">
        <v>1685</v>
      </c>
      <c r="B599" s="17" t="s">
        <v>1556</v>
      </c>
      <c r="C599" s="18" t="s">
        <v>1557</v>
      </c>
      <c r="D599" s="19"/>
      <c r="E599" s="19"/>
      <c r="F599" s="19" t="s">
        <v>63</v>
      </c>
      <c r="G599" s="20">
        <v>1</v>
      </c>
      <c r="H599" s="19"/>
      <c r="I599" s="21">
        <v>0</v>
      </c>
      <c r="J599" s="22">
        <v>442.24</v>
      </c>
      <c r="K599" s="22">
        <v>1379</v>
      </c>
      <c r="L599" s="22">
        <f>J599+ROUND(K599, 2)</f>
        <v>1821.24</v>
      </c>
      <c r="M599" s="22">
        <v>0</v>
      </c>
      <c r="N599" s="22">
        <v>0</v>
      </c>
      <c r="O599" s="22">
        <f>M599+N599</f>
        <v>0</v>
      </c>
      <c r="P599" s="22">
        <v>2038.59</v>
      </c>
      <c r="Q599" s="22">
        <v>1379</v>
      </c>
      <c r="R599" s="22">
        <f>P599+ROUND(Q599, 2)</f>
        <v>3417.59</v>
      </c>
      <c r="S599" s="22">
        <v>0</v>
      </c>
      <c r="T599" s="22">
        <v>0</v>
      </c>
      <c r="U599" s="22">
        <f>S599+T599</f>
        <v>0</v>
      </c>
      <c r="V599" s="9">
        <f>ROUND(P599 / 1.2, 2)</f>
        <v>1698.83</v>
      </c>
      <c r="W599" s="9">
        <f>ROUND(Q599 / 1.2, 2)</f>
        <v>1149.17</v>
      </c>
      <c r="X599" s="9">
        <f>ROUND(R599 / 1.2, 2)</f>
        <v>2847.99</v>
      </c>
      <c r="Y599" s="9">
        <f t="shared" si="112"/>
        <v>0</v>
      </c>
      <c r="Z599" s="9">
        <f>ROUND(T599 / 1.2, 2)</f>
        <v>0</v>
      </c>
      <c r="AA599" s="9">
        <f>Y599+Z599</f>
        <v>0</v>
      </c>
      <c r="AD599" s="4">
        <v>305117072</v>
      </c>
      <c r="AE599" s="4">
        <v>20958869</v>
      </c>
      <c r="AG599" s="4" t="s">
        <v>1558</v>
      </c>
      <c r="AH599" s="4" t="s">
        <v>1559</v>
      </c>
      <c r="AI599" s="4" t="s">
        <v>467</v>
      </c>
    </row>
    <row r="600" spans="1:35" ht="54" x14ac:dyDescent="0.35">
      <c r="A600" s="23" t="s">
        <v>1686</v>
      </c>
      <c r="B600" s="23" t="s">
        <v>1556</v>
      </c>
      <c r="C600" s="24" t="s">
        <v>1557</v>
      </c>
      <c r="D600" s="25"/>
      <c r="E600" s="25" t="s">
        <v>1687</v>
      </c>
      <c r="F600" s="25" t="s">
        <v>63</v>
      </c>
      <c r="G600" s="26">
        <v>1</v>
      </c>
      <c r="H600" s="25"/>
      <c r="I600" s="26">
        <v>105.5</v>
      </c>
      <c r="J600" s="27">
        <v>442.24</v>
      </c>
      <c r="K600" s="27">
        <v>1379</v>
      </c>
      <c r="L600" s="27">
        <v>1379</v>
      </c>
      <c r="M600" s="27">
        <v>46656.32</v>
      </c>
      <c r="N600" s="27">
        <v>145484.5</v>
      </c>
      <c r="O600" s="27"/>
      <c r="P600" s="27">
        <v>2038.59</v>
      </c>
      <c r="Q600" s="27">
        <v>1379</v>
      </c>
      <c r="R600" s="27">
        <v>1379</v>
      </c>
      <c r="S600" s="27">
        <v>215071.25</v>
      </c>
      <c r="T600" s="27">
        <v>145484.5</v>
      </c>
      <c r="U600" s="27"/>
      <c r="V600" s="9"/>
      <c r="W600" s="9">
        <f>ROUND(Q600 / 1.2, 2)</f>
        <v>1149.17</v>
      </c>
      <c r="X600" s="9">
        <f>ROUND(R600 / 1.2, 2)</f>
        <v>1149.17</v>
      </c>
      <c r="Y600" s="9"/>
      <c r="Z600" s="9">
        <f>ROUND(T600 / 1.2, 2)</f>
        <v>121237.08</v>
      </c>
      <c r="AA600" s="9"/>
      <c r="AD600" s="4">
        <v>281774570</v>
      </c>
      <c r="AE600" s="4">
        <v>20958869</v>
      </c>
      <c r="AG600" s="4" t="s">
        <v>1558</v>
      </c>
      <c r="AH600" s="4" t="s">
        <v>1559</v>
      </c>
      <c r="AI600" s="4"/>
    </row>
    <row r="601" spans="1:35" ht="18" x14ac:dyDescent="0.35">
      <c r="A601" s="17" t="s">
        <v>1688</v>
      </c>
      <c r="B601" s="17"/>
      <c r="C601" s="34" t="s">
        <v>1563</v>
      </c>
      <c r="D601" s="19"/>
      <c r="E601" s="19"/>
      <c r="F601" s="35" t="s">
        <v>490</v>
      </c>
      <c r="G601" s="36">
        <v>15</v>
      </c>
      <c r="H601" s="19"/>
      <c r="I601" s="37">
        <v>0</v>
      </c>
      <c r="J601" s="38">
        <v>0.95</v>
      </c>
      <c r="K601" s="39"/>
      <c r="L601" s="39"/>
      <c r="M601" s="38">
        <f t="shared" ref="M601:M620" si="113">ROUND(ROUND(J601, 2)*I601, 2)</f>
        <v>0</v>
      </c>
      <c r="N601" s="39"/>
      <c r="O601" s="39"/>
      <c r="P601" s="38">
        <v>0.95</v>
      </c>
      <c r="Q601" s="39"/>
      <c r="R601" s="39"/>
      <c r="S601" s="38">
        <f t="shared" ref="S601:S620" si="114">ROUND(ROUND(P601, 2)*I601, 2)</f>
        <v>0</v>
      </c>
      <c r="T601" s="39"/>
      <c r="U601" s="40"/>
      <c r="V601" s="9">
        <f t="shared" ref="V601:V620" si="115">ROUND(ROUND(P601, 2)/1.2, 2)</f>
        <v>0.79</v>
      </c>
      <c r="Y601" s="9">
        <f t="shared" ref="Y601:Y632" si="116">ROUND(S601 / 1.2, 2)</f>
        <v>0</v>
      </c>
      <c r="AD601" s="4" t="s">
        <v>1689</v>
      </c>
      <c r="AE601" s="4" t="s">
        <v>1690</v>
      </c>
      <c r="AF601" s="4" t="s">
        <v>1566</v>
      </c>
    </row>
    <row r="602" spans="1:35" ht="18" x14ac:dyDescent="0.35">
      <c r="A602" s="23" t="s">
        <v>1691</v>
      </c>
      <c r="B602" s="23"/>
      <c r="C602" s="41" t="s">
        <v>1563</v>
      </c>
      <c r="D602" s="25"/>
      <c r="E602" s="25"/>
      <c r="F602" s="42" t="s">
        <v>490</v>
      </c>
      <c r="G602" s="43">
        <v>15</v>
      </c>
      <c r="H602" s="25"/>
      <c r="I602" s="43">
        <v>1582.5</v>
      </c>
      <c r="J602" s="44">
        <v>0.95</v>
      </c>
      <c r="K602" s="45"/>
      <c r="L602" s="45"/>
      <c r="M602" s="44">
        <f t="shared" si="113"/>
        <v>1503.38</v>
      </c>
      <c r="N602" s="45"/>
      <c r="O602" s="45"/>
      <c r="P602" s="44">
        <v>0.95</v>
      </c>
      <c r="Q602" s="45"/>
      <c r="R602" s="45"/>
      <c r="S602" s="44">
        <f t="shared" si="114"/>
        <v>1503.38</v>
      </c>
      <c r="T602" s="45"/>
      <c r="U602" s="46"/>
      <c r="V602" s="9">
        <f t="shared" si="115"/>
        <v>0.79</v>
      </c>
      <c r="Y602" s="9">
        <f t="shared" si="116"/>
        <v>1252.82</v>
      </c>
      <c r="AD602" s="4" t="s">
        <v>1692</v>
      </c>
      <c r="AE602" s="4" t="s">
        <v>1690</v>
      </c>
      <c r="AF602" s="4" t="s">
        <v>1566</v>
      </c>
    </row>
    <row r="603" spans="1:35" ht="18" x14ac:dyDescent="0.35">
      <c r="A603" s="17" t="s">
        <v>1693</v>
      </c>
      <c r="B603" s="17"/>
      <c r="C603" s="34" t="s">
        <v>1570</v>
      </c>
      <c r="D603" s="19"/>
      <c r="E603" s="19"/>
      <c r="F603" s="35" t="s">
        <v>498</v>
      </c>
      <c r="G603" s="36">
        <v>0.35</v>
      </c>
      <c r="H603" s="19"/>
      <c r="I603" s="37">
        <v>0</v>
      </c>
      <c r="J603" s="38">
        <v>55</v>
      </c>
      <c r="K603" s="39"/>
      <c r="L603" s="39"/>
      <c r="M603" s="38">
        <f t="shared" si="113"/>
        <v>0</v>
      </c>
      <c r="N603" s="39"/>
      <c r="O603" s="39"/>
      <c r="P603" s="38">
        <v>55</v>
      </c>
      <c r="Q603" s="39"/>
      <c r="R603" s="39"/>
      <c r="S603" s="38">
        <f t="shared" si="114"/>
        <v>0</v>
      </c>
      <c r="T603" s="39"/>
      <c r="U603" s="40"/>
      <c r="V603" s="9">
        <f t="shared" si="115"/>
        <v>45.83</v>
      </c>
      <c r="Y603" s="9">
        <f t="shared" si="116"/>
        <v>0</v>
      </c>
      <c r="AD603" s="4" t="s">
        <v>1694</v>
      </c>
      <c r="AE603" s="4" t="s">
        <v>1695</v>
      </c>
      <c r="AF603" s="4" t="s">
        <v>1573</v>
      </c>
    </row>
    <row r="604" spans="1:35" ht="18" x14ac:dyDescent="0.35">
      <c r="A604" s="23" t="s">
        <v>1696</v>
      </c>
      <c r="B604" s="23"/>
      <c r="C604" s="41" t="s">
        <v>1570</v>
      </c>
      <c r="D604" s="25"/>
      <c r="E604" s="25"/>
      <c r="F604" s="42" t="s">
        <v>498</v>
      </c>
      <c r="G604" s="43">
        <v>0.35</v>
      </c>
      <c r="H604" s="25"/>
      <c r="I604" s="43">
        <v>36.924999999999997</v>
      </c>
      <c r="J604" s="44">
        <v>55</v>
      </c>
      <c r="K604" s="45"/>
      <c r="L604" s="45"/>
      <c r="M604" s="44">
        <f t="shared" si="113"/>
        <v>2030.88</v>
      </c>
      <c r="N604" s="45"/>
      <c r="O604" s="45"/>
      <c r="P604" s="44">
        <v>55</v>
      </c>
      <c r="Q604" s="45"/>
      <c r="R604" s="45"/>
      <c r="S604" s="44">
        <f t="shared" si="114"/>
        <v>2030.88</v>
      </c>
      <c r="T604" s="45"/>
      <c r="U604" s="46"/>
      <c r="V604" s="9">
        <f t="shared" si="115"/>
        <v>45.83</v>
      </c>
      <c r="Y604" s="9">
        <f t="shared" si="116"/>
        <v>1692.4</v>
      </c>
      <c r="AD604" s="4" t="s">
        <v>1697</v>
      </c>
      <c r="AE604" s="4" t="s">
        <v>1695</v>
      </c>
      <c r="AF604" s="4" t="s">
        <v>1573</v>
      </c>
    </row>
    <row r="605" spans="1:35" ht="18" x14ac:dyDescent="0.35">
      <c r="A605" s="17" t="s">
        <v>1698</v>
      </c>
      <c r="B605" s="17"/>
      <c r="C605" s="34" t="s">
        <v>1577</v>
      </c>
      <c r="D605" s="19"/>
      <c r="E605" s="19"/>
      <c r="F605" s="35" t="s">
        <v>490</v>
      </c>
      <c r="G605" s="36">
        <v>0.3</v>
      </c>
      <c r="H605" s="19"/>
      <c r="I605" s="37">
        <v>0</v>
      </c>
      <c r="J605" s="38">
        <v>5.6</v>
      </c>
      <c r="K605" s="39"/>
      <c r="L605" s="39"/>
      <c r="M605" s="38">
        <f t="shared" si="113"/>
        <v>0</v>
      </c>
      <c r="N605" s="39"/>
      <c r="O605" s="39"/>
      <c r="P605" s="38">
        <v>5.6</v>
      </c>
      <c r="Q605" s="39"/>
      <c r="R605" s="39"/>
      <c r="S605" s="38">
        <f t="shared" si="114"/>
        <v>0</v>
      </c>
      <c r="T605" s="39"/>
      <c r="U605" s="40"/>
      <c r="V605" s="9">
        <f t="shared" si="115"/>
        <v>4.67</v>
      </c>
      <c r="Y605" s="9">
        <f t="shared" si="116"/>
        <v>0</v>
      </c>
      <c r="AD605" s="4" t="s">
        <v>1699</v>
      </c>
      <c r="AE605" s="4" t="s">
        <v>1700</v>
      </c>
      <c r="AF605" s="4" t="s">
        <v>1580</v>
      </c>
    </row>
    <row r="606" spans="1:35" ht="18" x14ac:dyDescent="0.35">
      <c r="A606" s="23" t="s">
        <v>1701</v>
      </c>
      <c r="B606" s="23"/>
      <c r="C606" s="41" t="s">
        <v>1577</v>
      </c>
      <c r="D606" s="25"/>
      <c r="E606" s="25"/>
      <c r="F606" s="42" t="s">
        <v>490</v>
      </c>
      <c r="G606" s="43">
        <v>0.3</v>
      </c>
      <c r="H606" s="25"/>
      <c r="I606" s="43">
        <v>31.65</v>
      </c>
      <c r="J606" s="44">
        <v>5.6</v>
      </c>
      <c r="K606" s="45"/>
      <c r="L606" s="45"/>
      <c r="M606" s="44">
        <f t="shared" si="113"/>
        <v>177.24</v>
      </c>
      <c r="N606" s="45"/>
      <c r="O606" s="45"/>
      <c r="P606" s="44">
        <v>5.6</v>
      </c>
      <c r="Q606" s="45"/>
      <c r="R606" s="45"/>
      <c r="S606" s="44">
        <f t="shared" si="114"/>
        <v>177.24</v>
      </c>
      <c r="T606" s="45"/>
      <c r="U606" s="46"/>
      <c r="V606" s="9">
        <f t="shared" si="115"/>
        <v>4.67</v>
      </c>
      <c r="Y606" s="9">
        <f t="shared" si="116"/>
        <v>147.69999999999999</v>
      </c>
      <c r="AD606" s="4" t="s">
        <v>1702</v>
      </c>
      <c r="AE606" s="4" t="s">
        <v>1700</v>
      </c>
      <c r="AF606" s="4" t="s">
        <v>1580</v>
      </c>
    </row>
    <row r="607" spans="1:35" ht="36" x14ac:dyDescent="0.35">
      <c r="A607" s="17" t="s">
        <v>1703</v>
      </c>
      <c r="B607" s="17"/>
      <c r="C607" s="34" t="s">
        <v>1584</v>
      </c>
      <c r="D607" s="19"/>
      <c r="E607" s="19"/>
      <c r="F607" s="35" t="s">
        <v>490</v>
      </c>
      <c r="G607" s="36">
        <v>3.6</v>
      </c>
      <c r="H607" s="19"/>
      <c r="I607" s="37">
        <v>0</v>
      </c>
      <c r="J607" s="38">
        <v>15.9</v>
      </c>
      <c r="K607" s="39"/>
      <c r="L607" s="39"/>
      <c r="M607" s="38">
        <f t="shared" si="113"/>
        <v>0</v>
      </c>
      <c r="N607" s="39"/>
      <c r="O607" s="39"/>
      <c r="P607" s="38">
        <v>15.9</v>
      </c>
      <c r="Q607" s="39"/>
      <c r="R607" s="39"/>
      <c r="S607" s="38">
        <f t="shared" si="114"/>
        <v>0</v>
      </c>
      <c r="T607" s="39"/>
      <c r="U607" s="40"/>
      <c r="V607" s="9">
        <f t="shared" si="115"/>
        <v>13.25</v>
      </c>
      <c r="Y607" s="9">
        <f t="shared" si="116"/>
        <v>0</v>
      </c>
      <c r="AD607" s="4" t="s">
        <v>1704</v>
      </c>
      <c r="AE607" s="4" t="s">
        <v>1705</v>
      </c>
      <c r="AF607" s="4" t="s">
        <v>1587</v>
      </c>
    </row>
    <row r="608" spans="1:35" ht="36" x14ac:dyDescent="0.35">
      <c r="A608" s="23" t="s">
        <v>1706</v>
      </c>
      <c r="B608" s="23"/>
      <c r="C608" s="41" t="s">
        <v>1584</v>
      </c>
      <c r="D608" s="25"/>
      <c r="E608" s="25"/>
      <c r="F608" s="42" t="s">
        <v>490</v>
      </c>
      <c r="G608" s="43">
        <v>3.6</v>
      </c>
      <c r="H608" s="25"/>
      <c r="I608" s="43">
        <v>379.8</v>
      </c>
      <c r="J608" s="44">
        <v>15.9</v>
      </c>
      <c r="K608" s="45"/>
      <c r="L608" s="45"/>
      <c r="M608" s="44">
        <f t="shared" si="113"/>
        <v>6038.82</v>
      </c>
      <c r="N608" s="45"/>
      <c r="O608" s="45"/>
      <c r="P608" s="44">
        <v>15.9</v>
      </c>
      <c r="Q608" s="45"/>
      <c r="R608" s="45"/>
      <c r="S608" s="44">
        <f t="shared" si="114"/>
        <v>6038.82</v>
      </c>
      <c r="T608" s="45"/>
      <c r="U608" s="46"/>
      <c r="V608" s="9">
        <f t="shared" si="115"/>
        <v>13.25</v>
      </c>
      <c r="Y608" s="9">
        <f t="shared" si="116"/>
        <v>5032.3500000000004</v>
      </c>
      <c r="AD608" s="4" t="s">
        <v>1707</v>
      </c>
      <c r="AE608" s="4" t="s">
        <v>1705</v>
      </c>
      <c r="AF608" s="4" t="s">
        <v>1587</v>
      </c>
    </row>
    <row r="609" spans="1:35" ht="18" x14ac:dyDescent="0.35">
      <c r="A609" s="17" t="s">
        <v>1708</v>
      </c>
      <c r="B609" s="17"/>
      <c r="C609" s="34" t="s">
        <v>1591</v>
      </c>
      <c r="D609" s="19"/>
      <c r="E609" s="19"/>
      <c r="F609" s="35" t="s">
        <v>78</v>
      </c>
      <c r="G609" s="36">
        <v>1.2</v>
      </c>
      <c r="H609" s="19"/>
      <c r="I609" s="37">
        <v>0</v>
      </c>
      <c r="J609" s="38">
        <v>22.82</v>
      </c>
      <c r="K609" s="39"/>
      <c r="L609" s="39"/>
      <c r="M609" s="38">
        <f t="shared" si="113"/>
        <v>0</v>
      </c>
      <c r="N609" s="39"/>
      <c r="O609" s="39"/>
      <c r="P609" s="38">
        <v>22.82</v>
      </c>
      <c r="Q609" s="39"/>
      <c r="R609" s="39"/>
      <c r="S609" s="38">
        <f t="shared" si="114"/>
        <v>0</v>
      </c>
      <c r="T609" s="39"/>
      <c r="U609" s="40"/>
      <c r="V609" s="9">
        <f t="shared" si="115"/>
        <v>19.02</v>
      </c>
      <c r="Y609" s="9">
        <f t="shared" si="116"/>
        <v>0</v>
      </c>
      <c r="AD609" s="4" t="s">
        <v>1709</v>
      </c>
      <c r="AE609" s="4" t="s">
        <v>1710</v>
      </c>
      <c r="AF609" s="4" t="s">
        <v>1594</v>
      </c>
    </row>
    <row r="610" spans="1:35" ht="18" x14ac:dyDescent="0.35">
      <c r="A610" s="23" t="s">
        <v>1711</v>
      </c>
      <c r="B610" s="23"/>
      <c r="C610" s="41" t="s">
        <v>1591</v>
      </c>
      <c r="D610" s="25"/>
      <c r="E610" s="25"/>
      <c r="F610" s="42" t="s">
        <v>78</v>
      </c>
      <c r="G610" s="43">
        <v>1.2</v>
      </c>
      <c r="H610" s="25"/>
      <c r="I610" s="43">
        <v>126.6</v>
      </c>
      <c r="J610" s="44">
        <v>22.82</v>
      </c>
      <c r="K610" s="45"/>
      <c r="L610" s="45"/>
      <c r="M610" s="44">
        <f t="shared" si="113"/>
        <v>2889.01</v>
      </c>
      <c r="N610" s="45"/>
      <c r="O610" s="45"/>
      <c r="P610" s="44">
        <v>22.82</v>
      </c>
      <c r="Q610" s="45"/>
      <c r="R610" s="45"/>
      <c r="S610" s="44">
        <f t="shared" si="114"/>
        <v>2889.01</v>
      </c>
      <c r="T610" s="45"/>
      <c r="U610" s="46"/>
      <c r="V610" s="9">
        <f t="shared" si="115"/>
        <v>19.02</v>
      </c>
      <c r="Y610" s="9">
        <f t="shared" si="116"/>
        <v>2407.5100000000002</v>
      </c>
      <c r="AD610" s="4" t="s">
        <v>1712</v>
      </c>
      <c r="AE610" s="4" t="s">
        <v>1710</v>
      </c>
      <c r="AF610" s="4" t="s">
        <v>1594</v>
      </c>
    </row>
    <row r="611" spans="1:35" ht="18" x14ac:dyDescent="0.35">
      <c r="A611" s="17" t="s">
        <v>1713</v>
      </c>
      <c r="B611" s="17"/>
      <c r="C611" s="34" t="s">
        <v>1598</v>
      </c>
      <c r="D611" s="19"/>
      <c r="E611" s="19"/>
      <c r="F611" s="35" t="s">
        <v>78</v>
      </c>
      <c r="G611" s="36">
        <v>4.7</v>
      </c>
      <c r="H611" s="19"/>
      <c r="I611" s="37">
        <v>0</v>
      </c>
      <c r="J611" s="38">
        <v>66.98</v>
      </c>
      <c r="K611" s="39"/>
      <c r="L611" s="39"/>
      <c r="M611" s="38">
        <f t="shared" si="113"/>
        <v>0</v>
      </c>
      <c r="N611" s="39"/>
      <c r="O611" s="39"/>
      <c r="P611" s="38">
        <v>66.98</v>
      </c>
      <c r="Q611" s="39"/>
      <c r="R611" s="39"/>
      <c r="S611" s="38">
        <f t="shared" si="114"/>
        <v>0</v>
      </c>
      <c r="T611" s="39"/>
      <c r="U611" s="40"/>
      <c r="V611" s="9">
        <f t="shared" si="115"/>
        <v>55.82</v>
      </c>
      <c r="Y611" s="9">
        <f t="shared" si="116"/>
        <v>0</v>
      </c>
      <c r="AD611" s="4" t="s">
        <v>1714</v>
      </c>
      <c r="AE611" s="4" t="s">
        <v>1715</v>
      </c>
      <c r="AF611" s="4" t="s">
        <v>1601</v>
      </c>
    </row>
    <row r="612" spans="1:35" ht="18" x14ac:dyDescent="0.35">
      <c r="A612" s="23" t="s">
        <v>1716</v>
      </c>
      <c r="B612" s="23"/>
      <c r="C612" s="41" t="s">
        <v>1598</v>
      </c>
      <c r="D612" s="25"/>
      <c r="E612" s="25"/>
      <c r="F612" s="42" t="s">
        <v>78</v>
      </c>
      <c r="G612" s="43">
        <v>4.7</v>
      </c>
      <c r="H612" s="25"/>
      <c r="I612" s="43">
        <v>495.85</v>
      </c>
      <c r="J612" s="44">
        <v>66.98</v>
      </c>
      <c r="K612" s="45"/>
      <c r="L612" s="45"/>
      <c r="M612" s="44">
        <f t="shared" si="113"/>
        <v>33212.03</v>
      </c>
      <c r="N612" s="45"/>
      <c r="O612" s="45"/>
      <c r="P612" s="44">
        <v>66.98</v>
      </c>
      <c r="Q612" s="45"/>
      <c r="R612" s="45"/>
      <c r="S612" s="44">
        <f t="shared" si="114"/>
        <v>33212.03</v>
      </c>
      <c r="T612" s="45"/>
      <c r="U612" s="46"/>
      <c r="V612" s="9">
        <f t="shared" si="115"/>
        <v>55.82</v>
      </c>
      <c r="Y612" s="9">
        <f t="shared" si="116"/>
        <v>27676.69</v>
      </c>
      <c r="AD612" s="4" t="s">
        <v>1717</v>
      </c>
      <c r="AE612" s="4" t="s">
        <v>1715</v>
      </c>
      <c r="AF612" s="4" t="s">
        <v>1601</v>
      </c>
    </row>
    <row r="613" spans="1:35" ht="18" x14ac:dyDescent="0.35">
      <c r="A613" s="17" t="s">
        <v>1718</v>
      </c>
      <c r="B613" s="17"/>
      <c r="C613" s="34" t="s">
        <v>1719</v>
      </c>
      <c r="D613" s="19"/>
      <c r="E613" s="19"/>
      <c r="F613" s="35" t="s">
        <v>63</v>
      </c>
      <c r="G613" s="36">
        <v>1.05</v>
      </c>
      <c r="H613" s="19"/>
      <c r="I613" s="37">
        <v>0</v>
      </c>
      <c r="J613" s="38">
        <v>0</v>
      </c>
      <c r="K613" s="39"/>
      <c r="L613" s="39"/>
      <c r="M613" s="38">
        <f t="shared" si="113"/>
        <v>0</v>
      </c>
      <c r="N613" s="39"/>
      <c r="O613" s="39"/>
      <c r="P613" s="38">
        <v>1520.33</v>
      </c>
      <c r="Q613" s="39"/>
      <c r="R613" s="39"/>
      <c r="S613" s="38">
        <f t="shared" si="114"/>
        <v>0</v>
      </c>
      <c r="T613" s="39"/>
      <c r="U613" s="40"/>
      <c r="V613" s="9">
        <f t="shared" si="115"/>
        <v>1266.94</v>
      </c>
      <c r="Y613" s="9">
        <f t="shared" si="116"/>
        <v>0</v>
      </c>
      <c r="AD613" s="4" t="s">
        <v>1720</v>
      </c>
      <c r="AE613" s="4" t="s">
        <v>1721</v>
      </c>
      <c r="AF613" s="4" t="s">
        <v>1722</v>
      </c>
    </row>
    <row r="614" spans="1:35" ht="18" x14ac:dyDescent="0.35">
      <c r="A614" s="23" t="s">
        <v>1723</v>
      </c>
      <c r="B614" s="23"/>
      <c r="C614" s="41" t="s">
        <v>1719</v>
      </c>
      <c r="D614" s="25"/>
      <c r="E614" s="25"/>
      <c r="F614" s="42" t="s">
        <v>63</v>
      </c>
      <c r="G614" s="43">
        <v>1.05</v>
      </c>
      <c r="H614" s="25"/>
      <c r="I614" s="43">
        <v>110.77500000000001</v>
      </c>
      <c r="J614" s="44">
        <v>0</v>
      </c>
      <c r="K614" s="45"/>
      <c r="L614" s="45"/>
      <c r="M614" s="44">
        <f t="shared" si="113"/>
        <v>0</v>
      </c>
      <c r="N614" s="45"/>
      <c r="O614" s="45"/>
      <c r="P614" s="44">
        <v>1520.33</v>
      </c>
      <c r="Q614" s="45"/>
      <c r="R614" s="45"/>
      <c r="S614" s="44">
        <f t="shared" si="114"/>
        <v>168414.56</v>
      </c>
      <c r="T614" s="45"/>
      <c r="U614" s="46"/>
      <c r="V614" s="9">
        <f t="shared" si="115"/>
        <v>1266.94</v>
      </c>
      <c r="Y614" s="9">
        <f t="shared" si="116"/>
        <v>140345.47</v>
      </c>
      <c r="AD614" s="4" t="s">
        <v>1724</v>
      </c>
      <c r="AE614" s="4" t="s">
        <v>1721</v>
      </c>
      <c r="AF614" s="4" t="s">
        <v>1722</v>
      </c>
    </row>
    <row r="615" spans="1:35" ht="18" x14ac:dyDescent="0.35">
      <c r="A615" s="17" t="s">
        <v>1725</v>
      </c>
      <c r="B615" s="17"/>
      <c r="C615" s="34" t="s">
        <v>1605</v>
      </c>
      <c r="D615" s="19"/>
      <c r="E615" s="19"/>
      <c r="F615" s="35" t="s">
        <v>78</v>
      </c>
      <c r="G615" s="36">
        <v>1.05</v>
      </c>
      <c r="H615" s="19"/>
      <c r="I615" s="37">
        <v>0</v>
      </c>
      <c r="J615" s="38">
        <v>4.5999999999999996</v>
      </c>
      <c r="K615" s="39"/>
      <c r="L615" s="39"/>
      <c r="M615" s="38">
        <f t="shared" si="113"/>
        <v>0</v>
      </c>
      <c r="N615" s="39"/>
      <c r="O615" s="39"/>
      <c r="P615" s="38">
        <v>4.5999999999999996</v>
      </c>
      <c r="Q615" s="39"/>
      <c r="R615" s="39"/>
      <c r="S615" s="38">
        <f t="shared" si="114"/>
        <v>0</v>
      </c>
      <c r="T615" s="39"/>
      <c r="U615" s="40"/>
      <c r="V615" s="9">
        <f t="shared" si="115"/>
        <v>3.83</v>
      </c>
      <c r="Y615" s="9">
        <f t="shared" si="116"/>
        <v>0</v>
      </c>
      <c r="AD615" s="4" t="s">
        <v>1726</v>
      </c>
      <c r="AE615" s="4" t="s">
        <v>1727</v>
      </c>
      <c r="AF615" s="4" t="s">
        <v>1608</v>
      </c>
    </row>
    <row r="616" spans="1:35" ht="18" x14ac:dyDescent="0.35">
      <c r="A616" s="23" t="s">
        <v>1728</v>
      </c>
      <c r="B616" s="23"/>
      <c r="C616" s="41" t="s">
        <v>1605</v>
      </c>
      <c r="D616" s="25"/>
      <c r="E616" s="25"/>
      <c r="F616" s="42" t="s">
        <v>78</v>
      </c>
      <c r="G616" s="43">
        <v>1.05</v>
      </c>
      <c r="H616" s="25"/>
      <c r="I616" s="43">
        <v>110.77500000000001</v>
      </c>
      <c r="J616" s="44">
        <v>4.5999999999999996</v>
      </c>
      <c r="K616" s="45"/>
      <c r="L616" s="45"/>
      <c r="M616" s="44">
        <f t="shared" si="113"/>
        <v>509.57</v>
      </c>
      <c r="N616" s="45"/>
      <c r="O616" s="45"/>
      <c r="P616" s="44">
        <v>4.5999999999999996</v>
      </c>
      <c r="Q616" s="45"/>
      <c r="R616" s="45"/>
      <c r="S616" s="44">
        <f t="shared" si="114"/>
        <v>509.57</v>
      </c>
      <c r="T616" s="45"/>
      <c r="U616" s="46"/>
      <c r="V616" s="9">
        <f t="shared" si="115"/>
        <v>3.83</v>
      </c>
      <c r="Y616" s="9">
        <f t="shared" si="116"/>
        <v>424.64</v>
      </c>
      <c r="AD616" s="4" t="s">
        <v>1729</v>
      </c>
      <c r="AE616" s="4" t="s">
        <v>1727</v>
      </c>
      <c r="AF616" s="4" t="s">
        <v>1608</v>
      </c>
    </row>
    <row r="617" spans="1:35" ht="18" x14ac:dyDescent="0.35">
      <c r="A617" s="17" t="s">
        <v>1730</v>
      </c>
      <c r="B617" s="17"/>
      <c r="C617" s="34" t="s">
        <v>1612</v>
      </c>
      <c r="D617" s="19"/>
      <c r="E617" s="19"/>
      <c r="F617" s="35" t="s">
        <v>78</v>
      </c>
      <c r="G617" s="36">
        <v>0.25</v>
      </c>
      <c r="H617" s="19"/>
      <c r="I617" s="37">
        <v>0</v>
      </c>
      <c r="J617" s="38">
        <v>2.8</v>
      </c>
      <c r="K617" s="39"/>
      <c r="L617" s="39"/>
      <c r="M617" s="38">
        <f t="shared" si="113"/>
        <v>0</v>
      </c>
      <c r="N617" s="39"/>
      <c r="O617" s="39"/>
      <c r="P617" s="38">
        <v>2.8</v>
      </c>
      <c r="Q617" s="39"/>
      <c r="R617" s="39"/>
      <c r="S617" s="38">
        <f t="shared" si="114"/>
        <v>0</v>
      </c>
      <c r="T617" s="39"/>
      <c r="U617" s="40"/>
      <c r="V617" s="9">
        <f t="shared" si="115"/>
        <v>2.33</v>
      </c>
      <c r="Y617" s="9">
        <f t="shared" si="116"/>
        <v>0</v>
      </c>
      <c r="AD617" s="4" t="s">
        <v>1731</v>
      </c>
      <c r="AE617" s="4" t="s">
        <v>1732</v>
      </c>
      <c r="AF617" s="4" t="s">
        <v>1615</v>
      </c>
    </row>
    <row r="618" spans="1:35" ht="18" x14ac:dyDescent="0.35">
      <c r="A618" s="23" t="s">
        <v>1733</v>
      </c>
      <c r="B618" s="23"/>
      <c r="C618" s="41" t="s">
        <v>1612</v>
      </c>
      <c r="D618" s="25"/>
      <c r="E618" s="25"/>
      <c r="F618" s="42" t="s">
        <v>78</v>
      </c>
      <c r="G618" s="43">
        <v>0.25</v>
      </c>
      <c r="H618" s="25"/>
      <c r="I618" s="43">
        <v>26.375</v>
      </c>
      <c r="J618" s="44">
        <v>2.8</v>
      </c>
      <c r="K618" s="45"/>
      <c r="L618" s="45"/>
      <c r="M618" s="44">
        <f t="shared" si="113"/>
        <v>73.849999999999994</v>
      </c>
      <c r="N618" s="45"/>
      <c r="O618" s="45"/>
      <c r="P618" s="44">
        <v>2.8</v>
      </c>
      <c r="Q618" s="45"/>
      <c r="R618" s="45"/>
      <c r="S618" s="44">
        <f t="shared" si="114"/>
        <v>73.849999999999994</v>
      </c>
      <c r="T618" s="45"/>
      <c r="U618" s="46"/>
      <c r="V618" s="9">
        <f t="shared" si="115"/>
        <v>2.33</v>
      </c>
      <c r="Y618" s="9">
        <f t="shared" si="116"/>
        <v>61.54</v>
      </c>
      <c r="AD618" s="4" t="s">
        <v>1734</v>
      </c>
      <c r="AE618" s="4" t="s">
        <v>1732</v>
      </c>
      <c r="AF618" s="4" t="s">
        <v>1615</v>
      </c>
    </row>
    <row r="619" spans="1:35" ht="18" x14ac:dyDescent="0.35">
      <c r="A619" s="17" t="s">
        <v>1735</v>
      </c>
      <c r="B619" s="17"/>
      <c r="C619" s="34" t="s">
        <v>1626</v>
      </c>
      <c r="D619" s="19"/>
      <c r="E619" s="19"/>
      <c r="F619" s="35" t="s">
        <v>490</v>
      </c>
      <c r="G619" s="36">
        <v>0.75</v>
      </c>
      <c r="H619" s="19"/>
      <c r="I619" s="37">
        <v>0</v>
      </c>
      <c r="J619" s="38">
        <v>2.8</v>
      </c>
      <c r="K619" s="39"/>
      <c r="L619" s="39"/>
      <c r="M619" s="38">
        <f t="shared" si="113"/>
        <v>0</v>
      </c>
      <c r="N619" s="39"/>
      <c r="O619" s="39"/>
      <c r="P619" s="38">
        <v>2.8</v>
      </c>
      <c r="Q619" s="39"/>
      <c r="R619" s="39"/>
      <c r="S619" s="38">
        <f t="shared" si="114"/>
        <v>0</v>
      </c>
      <c r="T619" s="39"/>
      <c r="U619" s="40"/>
      <c r="V619" s="9">
        <f t="shared" si="115"/>
        <v>2.33</v>
      </c>
      <c r="Y619" s="9">
        <f t="shared" si="116"/>
        <v>0</v>
      </c>
      <c r="AD619" s="4" t="s">
        <v>1736</v>
      </c>
      <c r="AE619" s="4" t="s">
        <v>1737</v>
      </c>
      <c r="AF619" s="4" t="s">
        <v>1629</v>
      </c>
    </row>
    <row r="620" spans="1:35" ht="18" x14ac:dyDescent="0.35">
      <c r="A620" s="23" t="s">
        <v>1738</v>
      </c>
      <c r="B620" s="23"/>
      <c r="C620" s="41" t="s">
        <v>1626</v>
      </c>
      <c r="D620" s="25"/>
      <c r="E620" s="25"/>
      <c r="F620" s="42" t="s">
        <v>490</v>
      </c>
      <c r="G620" s="43">
        <v>0.75</v>
      </c>
      <c r="H620" s="25"/>
      <c r="I620" s="43">
        <v>79.125</v>
      </c>
      <c r="J620" s="44">
        <v>2.8</v>
      </c>
      <c r="K620" s="45"/>
      <c r="L620" s="45"/>
      <c r="M620" s="44">
        <f t="shared" si="113"/>
        <v>221.55</v>
      </c>
      <c r="N620" s="45"/>
      <c r="O620" s="45"/>
      <c r="P620" s="44">
        <v>2.8</v>
      </c>
      <c r="Q620" s="45"/>
      <c r="R620" s="45"/>
      <c r="S620" s="44">
        <f t="shared" si="114"/>
        <v>221.55</v>
      </c>
      <c r="T620" s="45"/>
      <c r="U620" s="46"/>
      <c r="V620" s="9">
        <f t="shared" si="115"/>
        <v>2.33</v>
      </c>
      <c r="Y620" s="9">
        <f t="shared" si="116"/>
        <v>184.63</v>
      </c>
      <c r="AD620" s="4" t="s">
        <v>1739</v>
      </c>
      <c r="AE620" s="4" t="s">
        <v>1737</v>
      </c>
      <c r="AF620" s="4" t="s">
        <v>1629</v>
      </c>
    </row>
    <row r="621" spans="1:35" ht="90" x14ac:dyDescent="0.35">
      <c r="A621" s="51" t="s">
        <v>1740</v>
      </c>
      <c r="B621" s="51" t="s">
        <v>1556</v>
      </c>
      <c r="C621" s="52" t="s">
        <v>1557</v>
      </c>
      <c r="D621" s="53"/>
      <c r="E621" s="53" t="s">
        <v>1561</v>
      </c>
      <c r="F621" s="53" t="s">
        <v>63</v>
      </c>
      <c r="G621" s="54">
        <v>1</v>
      </c>
      <c r="H621" s="53"/>
      <c r="I621" s="54">
        <v>0</v>
      </c>
      <c r="J621" s="55">
        <f>IFERROR(ROUND(SUM(M622,M623,M624,M625,M626,M627,M628,M629,M630,M631)/I621, 2),0)</f>
        <v>0</v>
      </c>
      <c r="K621" s="55">
        <v>1379</v>
      </c>
      <c r="L621" s="55">
        <f>J621+ROUND(K621, 2)</f>
        <v>1379</v>
      </c>
      <c r="M621" s="55">
        <f>ROUND(J621*I621, 2)</f>
        <v>0</v>
      </c>
      <c r="N621" s="55">
        <f>ROUND(I621*ROUND(K621, 2), 2)</f>
        <v>0</v>
      </c>
      <c r="O621" s="55">
        <f>M621+N621</f>
        <v>0</v>
      </c>
      <c r="P621" s="55">
        <f>IFERROR(ROUND(SUM(S622,S623,S624,S625,S626,S627,S628,S629,S630,S631)/I621, 2),0)</f>
        <v>0</v>
      </c>
      <c r="Q621" s="55">
        <v>2068.5</v>
      </c>
      <c r="R621" s="55">
        <f>P621+ROUND(Q621, 2)</f>
        <v>2068.5</v>
      </c>
      <c r="S621" s="55">
        <f>ROUND(P621*I621, 2)</f>
        <v>0</v>
      </c>
      <c r="T621" s="55">
        <f>ROUND(I621*ROUND(Q621, 2), 2)</f>
        <v>0</v>
      </c>
      <c r="U621" s="55">
        <f>S621+T621</f>
        <v>0</v>
      </c>
      <c r="V621" s="9">
        <f>ROUND(P621 / 1.2, 2)</f>
        <v>0</v>
      </c>
      <c r="W621" s="9">
        <f>ROUND(Q621 / 1.2, 2)</f>
        <v>1723.75</v>
      </c>
      <c r="X621" s="9">
        <f>ROUND(R621 / 1.2, 2)</f>
        <v>1723.75</v>
      </c>
      <c r="Y621" s="9">
        <f t="shared" si="116"/>
        <v>0</v>
      </c>
      <c r="Z621" s="9">
        <f>ROUND(T621 / 1.2, 2)</f>
        <v>0</v>
      </c>
      <c r="AA621" s="9">
        <f>Y621+Z621</f>
        <v>0</v>
      </c>
      <c r="AD621" s="4">
        <v>305117073</v>
      </c>
      <c r="AE621" s="4">
        <v>22135695</v>
      </c>
      <c r="AG621" s="4" t="s">
        <v>1558</v>
      </c>
      <c r="AH621" s="4" t="s">
        <v>1559</v>
      </c>
      <c r="AI621" s="4" t="s">
        <v>467</v>
      </c>
    </row>
    <row r="622" spans="1:35" ht="18" x14ac:dyDescent="0.35">
      <c r="A622" s="51" t="s">
        <v>1741</v>
      </c>
      <c r="B622" s="51"/>
      <c r="C622" s="56" t="s">
        <v>1626</v>
      </c>
      <c r="D622" s="53"/>
      <c r="E622" s="53"/>
      <c r="F622" s="57" t="s">
        <v>490</v>
      </c>
      <c r="G622" s="58">
        <v>0.75</v>
      </c>
      <c r="H622" s="53"/>
      <c r="I622" s="58">
        <v>0</v>
      </c>
      <c r="J622" s="59">
        <v>2.8</v>
      </c>
      <c r="K622" s="60"/>
      <c r="L622" s="60"/>
      <c r="M622" s="59">
        <f t="shared" ref="M622:M631" si="117">ROUND(ROUND(J622, 2)*I622, 2)</f>
        <v>0</v>
      </c>
      <c r="N622" s="60"/>
      <c r="O622" s="60"/>
      <c r="P622" s="59">
        <v>2.8</v>
      </c>
      <c r="Q622" s="60"/>
      <c r="R622" s="60"/>
      <c r="S622" s="59">
        <f t="shared" ref="S622:S631" si="118">ROUND(ROUND(P622, 2)*I622, 2)</f>
        <v>0</v>
      </c>
      <c r="T622" s="60"/>
      <c r="U622" s="61"/>
      <c r="V622" s="9">
        <f t="shared" ref="V622:V631" si="119">ROUND(ROUND(P622, 2)/1.2, 2)</f>
        <v>2.33</v>
      </c>
      <c r="Y622" s="9">
        <f t="shared" si="116"/>
        <v>0</v>
      </c>
      <c r="AD622" s="4" t="s">
        <v>1742</v>
      </c>
      <c r="AE622" s="4" t="s">
        <v>1743</v>
      </c>
      <c r="AF622" s="4" t="s">
        <v>1629</v>
      </c>
    </row>
    <row r="623" spans="1:35" ht="36" x14ac:dyDescent="0.35">
      <c r="A623" s="51" t="s">
        <v>1744</v>
      </c>
      <c r="B623" s="51"/>
      <c r="C623" s="56" t="s">
        <v>1619</v>
      </c>
      <c r="D623" s="53"/>
      <c r="E623" s="53"/>
      <c r="F623" s="57" t="s">
        <v>63</v>
      </c>
      <c r="G623" s="58">
        <v>1.05</v>
      </c>
      <c r="H623" s="53"/>
      <c r="I623" s="58">
        <v>0</v>
      </c>
      <c r="J623" s="59">
        <v>135.53</v>
      </c>
      <c r="K623" s="60"/>
      <c r="L623" s="60"/>
      <c r="M623" s="59">
        <f t="shared" si="117"/>
        <v>0</v>
      </c>
      <c r="N623" s="60"/>
      <c r="O623" s="60"/>
      <c r="P623" s="59">
        <v>135.53</v>
      </c>
      <c r="Q623" s="60"/>
      <c r="R623" s="60"/>
      <c r="S623" s="59">
        <f t="shared" si="118"/>
        <v>0</v>
      </c>
      <c r="T623" s="60"/>
      <c r="U623" s="61"/>
      <c r="V623" s="9">
        <f t="shared" si="119"/>
        <v>112.94</v>
      </c>
      <c r="Y623" s="9">
        <f t="shared" si="116"/>
        <v>0</v>
      </c>
      <c r="AD623" s="4" t="s">
        <v>1745</v>
      </c>
      <c r="AE623" s="4" t="s">
        <v>1746</v>
      </c>
      <c r="AF623" s="4" t="s">
        <v>1622</v>
      </c>
    </row>
    <row r="624" spans="1:35" ht="18" x14ac:dyDescent="0.35">
      <c r="A624" s="51" t="s">
        <v>1747</v>
      </c>
      <c r="B624" s="51"/>
      <c r="C624" s="56" t="s">
        <v>1612</v>
      </c>
      <c r="D624" s="53"/>
      <c r="E624" s="53"/>
      <c r="F624" s="57" t="s">
        <v>78</v>
      </c>
      <c r="G624" s="58">
        <v>0.25</v>
      </c>
      <c r="H624" s="53"/>
      <c r="I624" s="58">
        <v>0</v>
      </c>
      <c r="J624" s="59">
        <v>2.8</v>
      </c>
      <c r="K624" s="60"/>
      <c r="L624" s="60"/>
      <c r="M624" s="59">
        <f t="shared" si="117"/>
        <v>0</v>
      </c>
      <c r="N624" s="60"/>
      <c r="O624" s="60"/>
      <c r="P624" s="59">
        <v>2.8</v>
      </c>
      <c r="Q624" s="60"/>
      <c r="R624" s="60"/>
      <c r="S624" s="59">
        <f t="shared" si="118"/>
        <v>0</v>
      </c>
      <c r="T624" s="60"/>
      <c r="U624" s="61"/>
      <c r="V624" s="9">
        <f t="shared" si="119"/>
        <v>2.33</v>
      </c>
      <c r="Y624" s="9">
        <f t="shared" si="116"/>
        <v>0</v>
      </c>
      <c r="AD624" s="4" t="s">
        <v>1748</v>
      </c>
      <c r="AE624" s="4" t="s">
        <v>1749</v>
      </c>
      <c r="AF624" s="4" t="s">
        <v>1615</v>
      </c>
    </row>
    <row r="625" spans="1:35" ht="18" x14ac:dyDescent="0.35">
      <c r="A625" s="51" t="s">
        <v>1750</v>
      </c>
      <c r="B625" s="51"/>
      <c r="C625" s="56" t="s">
        <v>1605</v>
      </c>
      <c r="D625" s="53"/>
      <c r="E625" s="53"/>
      <c r="F625" s="57" t="s">
        <v>78</v>
      </c>
      <c r="G625" s="58">
        <v>1.05</v>
      </c>
      <c r="H625" s="53"/>
      <c r="I625" s="58">
        <v>0</v>
      </c>
      <c r="J625" s="59">
        <v>4.5999999999999996</v>
      </c>
      <c r="K625" s="60"/>
      <c r="L625" s="60"/>
      <c r="M625" s="59">
        <f t="shared" si="117"/>
        <v>0</v>
      </c>
      <c r="N625" s="60"/>
      <c r="O625" s="60"/>
      <c r="P625" s="59">
        <v>4.5999999999999996</v>
      </c>
      <c r="Q625" s="60"/>
      <c r="R625" s="60"/>
      <c r="S625" s="59">
        <f t="shared" si="118"/>
        <v>0</v>
      </c>
      <c r="T625" s="60"/>
      <c r="U625" s="61"/>
      <c r="V625" s="9">
        <f t="shared" si="119"/>
        <v>3.83</v>
      </c>
      <c r="Y625" s="9">
        <f t="shared" si="116"/>
        <v>0</v>
      </c>
      <c r="AD625" s="4" t="s">
        <v>1751</v>
      </c>
      <c r="AE625" s="4" t="s">
        <v>1752</v>
      </c>
      <c r="AF625" s="4" t="s">
        <v>1608</v>
      </c>
    </row>
    <row r="626" spans="1:35" ht="18" x14ac:dyDescent="0.35">
      <c r="A626" s="51" t="s">
        <v>1753</v>
      </c>
      <c r="B626" s="51"/>
      <c r="C626" s="56" t="s">
        <v>1591</v>
      </c>
      <c r="D626" s="53"/>
      <c r="E626" s="53"/>
      <c r="F626" s="57" t="s">
        <v>78</v>
      </c>
      <c r="G626" s="58">
        <v>1.2</v>
      </c>
      <c r="H626" s="53"/>
      <c r="I626" s="58">
        <v>0</v>
      </c>
      <c r="J626" s="59">
        <v>22.82</v>
      </c>
      <c r="K626" s="60"/>
      <c r="L626" s="60"/>
      <c r="M626" s="59">
        <f t="shared" si="117"/>
        <v>0</v>
      </c>
      <c r="N626" s="60"/>
      <c r="O626" s="60"/>
      <c r="P626" s="59">
        <v>22.82</v>
      </c>
      <c r="Q626" s="60"/>
      <c r="R626" s="60"/>
      <c r="S626" s="59">
        <f t="shared" si="118"/>
        <v>0</v>
      </c>
      <c r="T626" s="60"/>
      <c r="U626" s="61"/>
      <c r="V626" s="9">
        <f t="shared" si="119"/>
        <v>19.02</v>
      </c>
      <c r="Y626" s="9">
        <f t="shared" si="116"/>
        <v>0</v>
      </c>
      <c r="AD626" s="4" t="s">
        <v>1754</v>
      </c>
      <c r="AE626" s="4" t="s">
        <v>1755</v>
      </c>
      <c r="AF626" s="4" t="s">
        <v>1594</v>
      </c>
    </row>
    <row r="627" spans="1:35" ht="18" x14ac:dyDescent="0.35">
      <c r="A627" s="51" t="s">
        <v>1756</v>
      </c>
      <c r="B627" s="51"/>
      <c r="C627" s="56" t="s">
        <v>1598</v>
      </c>
      <c r="D627" s="53"/>
      <c r="E627" s="53"/>
      <c r="F627" s="57" t="s">
        <v>78</v>
      </c>
      <c r="G627" s="58">
        <v>4.7</v>
      </c>
      <c r="H627" s="53"/>
      <c r="I627" s="58">
        <v>0</v>
      </c>
      <c r="J627" s="59">
        <v>66.98</v>
      </c>
      <c r="K627" s="60"/>
      <c r="L627" s="60"/>
      <c r="M627" s="59">
        <f t="shared" si="117"/>
        <v>0</v>
      </c>
      <c r="N627" s="60"/>
      <c r="O627" s="60"/>
      <c r="P627" s="59">
        <v>66.98</v>
      </c>
      <c r="Q627" s="60"/>
      <c r="R627" s="60"/>
      <c r="S627" s="59">
        <f t="shared" si="118"/>
        <v>0</v>
      </c>
      <c r="T627" s="60"/>
      <c r="U627" s="61"/>
      <c r="V627" s="9">
        <f t="shared" si="119"/>
        <v>55.82</v>
      </c>
      <c r="Y627" s="9">
        <f t="shared" si="116"/>
        <v>0</v>
      </c>
      <c r="AD627" s="4" t="s">
        <v>1757</v>
      </c>
      <c r="AE627" s="4" t="s">
        <v>1758</v>
      </c>
      <c r="AF627" s="4" t="s">
        <v>1601</v>
      </c>
    </row>
    <row r="628" spans="1:35" ht="36" x14ac:dyDescent="0.35">
      <c r="A628" s="51" t="s">
        <v>1759</v>
      </c>
      <c r="B628" s="51"/>
      <c r="C628" s="47" t="s">
        <v>1584</v>
      </c>
      <c r="D628" s="53"/>
      <c r="E628" s="53"/>
      <c r="F628" s="57" t="s">
        <v>490</v>
      </c>
      <c r="G628" s="58">
        <v>3.6</v>
      </c>
      <c r="H628" s="53"/>
      <c r="I628" s="58">
        <v>0</v>
      </c>
      <c r="J628" s="59">
        <v>15.9</v>
      </c>
      <c r="K628" s="60"/>
      <c r="L628" s="60"/>
      <c r="M628" s="59">
        <f t="shared" si="117"/>
        <v>0</v>
      </c>
      <c r="N628" s="60"/>
      <c r="O628" s="60"/>
      <c r="P628" s="59">
        <v>15.9</v>
      </c>
      <c r="Q628" s="60"/>
      <c r="R628" s="60"/>
      <c r="S628" s="59">
        <f t="shared" si="118"/>
        <v>0</v>
      </c>
      <c r="T628" s="60"/>
      <c r="U628" s="61"/>
      <c r="V628" s="9">
        <f t="shared" si="119"/>
        <v>13.25</v>
      </c>
      <c r="Y628" s="9">
        <f t="shared" si="116"/>
        <v>0</v>
      </c>
      <c r="AD628" s="4" t="s">
        <v>1760</v>
      </c>
      <c r="AE628" s="4" t="s">
        <v>1761</v>
      </c>
      <c r="AF628" s="4" t="s">
        <v>1587</v>
      </c>
    </row>
    <row r="629" spans="1:35" ht="18" x14ac:dyDescent="0.35">
      <c r="A629" s="51" t="s">
        <v>1762</v>
      </c>
      <c r="B629" s="51"/>
      <c r="C629" s="56" t="s">
        <v>1577</v>
      </c>
      <c r="D629" s="53"/>
      <c r="E629" s="53"/>
      <c r="F629" s="57" t="s">
        <v>490</v>
      </c>
      <c r="G629" s="58">
        <v>0.3</v>
      </c>
      <c r="H629" s="53"/>
      <c r="I629" s="58">
        <v>0</v>
      </c>
      <c r="J629" s="59">
        <v>5.6</v>
      </c>
      <c r="K629" s="60"/>
      <c r="L629" s="60"/>
      <c r="M629" s="59">
        <f t="shared" si="117"/>
        <v>0</v>
      </c>
      <c r="N629" s="60"/>
      <c r="O629" s="60"/>
      <c r="P629" s="59">
        <v>5.6</v>
      </c>
      <c r="Q629" s="60"/>
      <c r="R629" s="60"/>
      <c r="S629" s="59">
        <f t="shared" si="118"/>
        <v>0</v>
      </c>
      <c r="T629" s="60"/>
      <c r="U629" s="61"/>
      <c r="V629" s="9">
        <f t="shared" si="119"/>
        <v>4.67</v>
      </c>
      <c r="Y629" s="9">
        <f t="shared" si="116"/>
        <v>0</v>
      </c>
      <c r="AD629" s="4" t="s">
        <v>1763</v>
      </c>
      <c r="AE629" s="4" t="s">
        <v>1764</v>
      </c>
      <c r="AF629" s="4" t="s">
        <v>1580</v>
      </c>
    </row>
    <row r="630" spans="1:35" ht="18" x14ac:dyDescent="0.35">
      <c r="A630" s="51" t="s">
        <v>1765</v>
      </c>
      <c r="B630" s="51"/>
      <c r="C630" s="56" t="s">
        <v>1570</v>
      </c>
      <c r="D630" s="53"/>
      <c r="E630" s="53"/>
      <c r="F630" s="57" t="s">
        <v>498</v>
      </c>
      <c r="G630" s="58">
        <v>0.35</v>
      </c>
      <c r="H630" s="53"/>
      <c r="I630" s="58">
        <v>0</v>
      </c>
      <c r="J630" s="59">
        <v>55</v>
      </c>
      <c r="K630" s="60"/>
      <c r="L630" s="60"/>
      <c r="M630" s="59">
        <f t="shared" si="117"/>
        <v>0</v>
      </c>
      <c r="N630" s="60"/>
      <c r="O630" s="60"/>
      <c r="P630" s="59">
        <v>55</v>
      </c>
      <c r="Q630" s="60"/>
      <c r="R630" s="60"/>
      <c r="S630" s="59">
        <f t="shared" si="118"/>
        <v>0</v>
      </c>
      <c r="T630" s="60"/>
      <c r="U630" s="61"/>
      <c r="V630" s="9">
        <f t="shared" si="119"/>
        <v>45.83</v>
      </c>
      <c r="Y630" s="9">
        <f t="shared" si="116"/>
        <v>0</v>
      </c>
      <c r="AD630" s="4" t="s">
        <v>1766</v>
      </c>
      <c r="AE630" s="4" t="s">
        <v>1767</v>
      </c>
      <c r="AF630" s="4" t="s">
        <v>1573</v>
      </c>
    </row>
    <row r="631" spans="1:35" ht="18" x14ac:dyDescent="0.35">
      <c r="A631" s="51" t="s">
        <v>1768</v>
      </c>
      <c r="B631" s="51"/>
      <c r="C631" s="56" t="s">
        <v>1563</v>
      </c>
      <c r="D631" s="53"/>
      <c r="E631" s="53"/>
      <c r="F631" s="57" t="s">
        <v>490</v>
      </c>
      <c r="G631" s="58">
        <v>15</v>
      </c>
      <c r="H631" s="53"/>
      <c r="I631" s="58">
        <v>0</v>
      </c>
      <c r="J631" s="59">
        <v>0.95</v>
      </c>
      <c r="K631" s="60"/>
      <c r="L631" s="60"/>
      <c r="M631" s="59">
        <f t="shared" si="117"/>
        <v>0</v>
      </c>
      <c r="N631" s="60"/>
      <c r="O631" s="60"/>
      <c r="P631" s="59">
        <v>0.95</v>
      </c>
      <c r="Q631" s="60"/>
      <c r="R631" s="60"/>
      <c r="S631" s="59">
        <f t="shared" si="118"/>
        <v>0</v>
      </c>
      <c r="T631" s="60"/>
      <c r="U631" s="61"/>
      <c r="V631" s="9">
        <f t="shared" si="119"/>
        <v>0.79</v>
      </c>
      <c r="Y631" s="9">
        <f t="shared" si="116"/>
        <v>0</v>
      </c>
      <c r="AD631" s="4" t="s">
        <v>1769</v>
      </c>
      <c r="AE631" s="4" t="s">
        <v>1770</v>
      </c>
      <c r="AF631" s="4" t="s">
        <v>1566</v>
      </c>
    </row>
    <row r="632" spans="1:35" ht="72" x14ac:dyDescent="0.35">
      <c r="A632" s="51" t="s">
        <v>1771</v>
      </c>
      <c r="B632" s="51" t="s">
        <v>1556</v>
      </c>
      <c r="C632" s="52" t="s">
        <v>1557</v>
      </c>
      <c r="D632" s="53"/>
      <c r="E632" s="53" t="s">
        <v>1634</v>
      </c>
      <c r="F632" s="53" t="s">
        <v>63</v>
      </c>
      <c r="G632" s="54">
        <v>1</v>
      </c>
      <c r="H632" s="53"/>
      <c r="I632" s="54">
        <v>0</v>
      </c>
      <c r="J632" s="55">
        <f>IFERROR(ROUND(SUM(M633,M634,M635,M636,M637,M638,M639,M640,M641,M642)/I632, 2),0)</f>
        <v>0</v>
      </c>
      <c r="K632" s="55">
        <v>1379</v>
      </c>
      <c r="L632" s="55">
        <f>J632+ROUND(K632, 2)</f>
        <v>1379</v>
      </c>
      <c r="M632" s="55">
        <f>ROUND(J632*I632, 2)</f>
        <v>0</v>
      </c>
      <c r="N632" s="55">
        <f>ROUND(I632*ROUND(K632, 2), 2)</f>
        <v>0</v>
      </c>
      <c r="O632" s="55">
        <f>M632+N632</f>
        <v>0</v>
      </c>
      <c r="P632" s="55">
        <f>IFERROR(ROUND(SUM(S633,S634,S635,S636,S637,S638,S639,S640,S641,S642)/I632, 2),0)</f>
        <v>0</v>
      </c>
      <c r="Q632" s="55">
        <v>2068.5</v>
      </c>
      <c r="R632" s="55">
        <f>P632+ROUND(Q632, 2)</f>
        <v>2068.5</v>
      </c>
      <c r="S632" s="55">
        <f>ROUND(P632*I632, 2)</f>
        <v>0</v>
      </c>
      <c r="T632" s="55">
        <f>ROUND(I632*ROUND(Q632, 2), 2)</f>
        <v>0</v>
      </c>
      <c r="U632" s="55">
        <f>S632+T632</f>
        <v>0</v>
      </c>
      <c r="V632" s="9">
        <f>ROUND(P632 / 1.2, 2)</f>
        <v>0</v>
      </c>
      <c r="W632" s="9">
        <f>ROUND(Q632 / 1.2, 2)</f>
        <v>1723.75</v>
      </c>
      <c r="X632" s="9">
        <f>ROUND(R632 / 1.2, 2)</f>
        <v>1723.75</v>
      </c>
      <c r="Y632" s="9">
        <f t="shared" si="116"/>
        <v>0</v>
      </c>
      <c r="Z632" s="9">
        <f>ROUND(T632 / 1.2, 2)</f>
        <v>0</v>
      </c>
      <c r="AA632" s="9">
        <f>Y632+Z632</f>
        <v>0</v>
      </c>
      <c r="AD632" s="4">
        <v>305117074</v>
      </c>
      <c r="AE632" s="4">
        <v>22135684</v>
      </c>
      <c r="AG632" s="4" t="s">
        <v>1558</v>
      </c>
      <c r="AH632" s="4" t="s">
        <v>1559</v>
      </c>
      <c r="AI632" s="4" t="s">
        <v>467</v>
      </c>
    </row>
    <row r="633" spans="1:35" ht="18" x14ac:dyDescent="0.35">
      <c r="A633" s="51" t="s">
        <v>1772</v>
      </c>
      <c r="B633" s="51"/>
      <c r="C633" s="56" t="s">
        <v>1563</v>
      </c>
      <c r="D633" s="53"/>
      <c r="E633" s="53"/>
      <c r="F633" s="57" t="s">
        <v>490</v>
      </c>
      <c r="G633" s="58">
        <v>15</v>
      </c>
      <c r="H633" s="53"/>
      <c r="I633" s="58">
        <v>0</v>
      </c>
      <c r="J633" s="59">
        <v>0.95</v>
      </c>
      <c r="K633" s="60"/>
      <c r="L633" s="60"/>
      <c r="M633" s="59">
        <f t="shared" ref="M633:M642" si="120">ROUND(ROUND(J633, 2)*I633, 2)</f>
        <v>0</v>
      </c>
      <c r="N633" s="60"/>
      <c r="O633" s="60"/>
      <c r="P633" s="59">
        <v>0.95</v>
      </c>
      <c r="Q633" s="60"/>
      <c r="R633" s="60"/>
      <c r="S633" s="59">
        <f t="shared" ref="S633:S642" si="121">ROUND(ROUND(P633, 2)*I633, 2)</f>
        <v>0</v>
      </c>
      <c r="T633" s="60"/>
      <c r="U633" s="61"/>
      <c r="V633" s="9">
        <f t="shared" ref="V633:V642" si="122">ROUND(ROUND(P633, 2)/1.2, 2)</f>
        <v>0.79</v>
      </c>
      <c r="Y633" s="9">
        <f t="shared" ref="Y633:Y653" si="123">ROUND(S633 / 1.2, 2)</f>
        <v>0</v>
      </c>
      <c r="AD633" s="4" t="s">
        <v>1773</v>
      </c>
      <c r="AE633" s="4" t="s">
        <v>1774</v>
      </c>
      <c r="AF633" s="4" t="s">
        <v>1566</v>
      </c>
    </row>
    <row r="634" spans="1:35" ht="18" x14ac:dyDescent="0.35">
      <c r="A634" s="51" t="s">
        <v>1775</v>
      </c>
      <c r="B634" s="51"/>
      <c r="C634" s="56" t="s">
        <v>1570</v>
      </c>
      <c r="D634" s="53"/>
      <c r="E634" s="53"/>
      <c r="F634" s="57" t="s">
        <v>498</v>
      </c>
      <c r="G634" s="58">
        <v>0.35</v>
      </c>
      <c r="H634" s="53"/>
      <c r="I634" s="58">
        <v>0</v>
      </c>
      <c r="J634" s="59">
        <v>55</v>
      </c>
      <c r="K634" s="60"/>
      <c r="L634" s="60"/>
      <c r="M634" s="59">
        <f t="shared" si="120"/>
        <v>0</v>
      </c>
      <c r="N634" s="60"/>
      <c r="O634" s="60"/>
      <c r="P634" s="59">
        <v>55</v>
      </c>
      <c r="Q634" s="60"/>
      <c r="R634" s="60"/>
      <c r="S634" s="59">
        <f t="shared" si="121"/>
        <v>0</v>
      </c>
      <c r="T634" s="60"/>
      <c r="U634" s="61"/>
      <c r="V634" s="9">
        <f t="shared" si="122"/>
        <v>45.83</v>
      </c>
      <c r="Y634" s="9">
        <f t="shared" si="123"/>
        <v>0</v>
      </c>
      <c r="AD634" s="4" t="s">
        <v>1776</v>
      </c>
      <c r="AE634" s="4" t="s">
        <v>1777</v>
      </c>
      <c r="AF634" s="4" t="s">
        <v>1573</v>
      </c>
    </row>
    <row r="635" spans="1:35" ht="18" x14ac:dyDescent="0.35">
      <c r="A635" s="51" t="s">
        <v>1778</v>
      </c>
      <c r="B635" s="51"/>
      <c r="C635" s="56" t="s">
        <v>1577</v>
      </c>
      <c r="D635" s="53"/>
      <c r="E635" s="53"/>
      <c r="F635" s="57" t="s">
        <v>490</v>
      </c>
      <c r="G635" s="58">
        <v>0.3</v>
      </c>
      <c r="H635" s="53"/>
      <c r="I635" s="58">
        <v>0</v>
      </c>
      <c r="J635" s="59">
        <v>5.6</v>
      </c>
      <c r="K635" s="60"/>
      <c r="L635" s="60"/>
      <c r="M635" s="59">
        <f t="shared" si="120"/>
        <v>0</v>
      </c>
      <c r="N635" s="60"/>
      <c r="O635" s="60"/>
      <c r="P635" s="59">
        <v>5.6</v>
      </c>
      <c r="Q635" s="60"/>
      <c r="R635" s="60"/>
      <c r="S635" s="59">
        <f t="shared" si="121"/>
        <v>0</v>
      </c>
      <c r="T635" s="60"/>
      <c r="U635" s="61"/>
      <c r="V635" s="9">
        <f t="shared" si="122"/>
        <v>4.67</v>
      </c>
      <c r="Y635" s="9">
        <f t="shared" si="123"/>
        <v>0</v>
      </c>
      <c r="AD635" s="4" t="s">
        <v>1779</v>
      </c>
      <c r="AE635" s="4" t="s">
        <v>1780</v>
      </c>
      <c r="AF635" s="4" t="s">
        <v>1580</v>
      </c>
    </row>
    <row r="636" spans="1:35" ht="36" x14ac:dyDescent="0.35">
      <c r="A636" s="51" t="s">
        <v>1781</v>
      </c>
      <c r="B636" s="51"/>
      <c r="C636" s="47" t="s">
        <v>1584</v>
      </c>
      <c r="D636" s="53"/>
      <c r="E636" s="53"/>
      <c r="F636" s="57" t="s">
        <v>490</v>
      </c>
      <c r="G636" s="58">
        <v>3.6</v>
      </c>
      <c r="H636" s="53"/>
      <c r="I636" s="58">
        <v>0</v>
      </c>
      <c r="J636" s="59">
        <v>15.9</v>
      </c>
      <c r="K636" s="60"/>
      <c r="L636" s="60"/>
      <c r="M636" s="59">
        <f t="shared" si="120"/>
        <v>0</v>
      </c>
      <c r="N636" s="60"/>
      <c r="O636" s="60"/>
      <c r="P636" s="59">
        <v>15.9</v>
      </c>
      <c r="Q636" s="60"/>
      <c r="R636" s="60"/>
      <c r="S636" s="59">
        <f t="shared" si="121"/>
        <v>0</v>
      </c>
      <c r="T636" s="60"/>
      <c r="U636" s="61"/>
      <c r="V636" s="9">
        <f t="shared" si="122"/>
        <v>13.25</v>
      </c>
      <c r="Y636" s="9">
        <f t="shared" si="123"/>
        <v>0</v>
      </c>
      <c r="AD636" s="4" t="s">
        <v>1782</v>
      </c>
      <c r="AE636" s="4" t="s">
        <v>1783</v>
      </c>
      <c r="AF636" s="4" t="s">
        <v>1587</v>
      </c>
    </row>
    <row r="637" spans="1:35" ht="18" x14ac:dyDescent="0.35">
      <c r="A637" s="51" t="s">
        <v>1784</v>
      </c>
      <c r="B637" s="51"/>
      <c r="C637" s="56" t="s">
        <v>1591</v>
      </c>
      <c r="D637" s="53"/>
      <c r="E637" s="53"/>
      <c r="F637" s="57" t="s">
        <v>78</v>
      </c>
      <c r="G637" s="58">
        <v>1.2</v>
      </c>
      <c r="H637" s="53"/>
      <c r="I637" s="58">
        <v>0</v>
      </c>
      <c r="J637" s="59">
        <v>22.82</v>
      </c>
      <c r="K637" s="60"/>
      <c r="L637" s="60"/>
      <c r="M637" s="59">
        <f t="shared" si="120"/>
        <v>0</v>
      </c>
      <c r="N637" s="60"/>
      <c r="O637" s="60"/>
      <c r="P637" s="59">
        <v>22.82</v>
      </c>
      <c r="Q637" s="60"/>
      <c r="R637" s="60"/>
      <c r="S637" s="59">
        <f t="shared" si="121"/>
        <v>0</v>
      </c>
      <c r="T637" s="60"/>
      <c r="U637" s="61"/>
      <c r="V637" s="9">
        <f t="shared" si="122"/>
        <v>19.02</v>
      </c>
      <c r="Y637" s="9">
        <f t="shared" si="123"/>
        <v>0</v>
      </c>
      <c r="AD637" s="4" t="s">
        <v>1785</v>
      </c>
      <c r="AE637" s="4" t="s">
        <v>1786</v>
      </c>
      <c r="AF637" s="4" t="s">
        <v>1594</v>
      </c>
    </row>
    <row r="638" spans="1:35" ht="18" x14ac:dyDescent="0.35">
      <c r="A638" s="51" t="s">
        <v>1787</v>
      </c>
      <c r="B638" s="51"/>
      <c r="C638" s="56" t="s">
        <v>1598</v>
      </c>
      <c r="D638" s="53"/>
      <c r="E638" s="53"/>
      <c r="F638" s="57" t="s">
        <v>78</v>
      </c>
      <c r="G638" s="58">
        <v>4.7</v>
      </c>
      <c r="H638" s="53"/>
      <c r="I638" s="58">
        <v>0</v>
      </c>
      <c r="J638" s="59">
        <v>66.98</v>
      </c>
      <c r="K638" s="60"/>
      <c r="L638" s="60"/>
      <c r="M638" s="59">
        <f t="shared" si="120"/>
        <v>0</v>
      </c>
      <c r="N638" s="60"/>
      <c r="O638" s="60"/>
      <c r="P638" s="59">
        <v>66.98</v>
      </c>
      <c r="Q638" s="60"/>
      <c r="R638" s="60"/>
      <c r="S638" s="59">
        <f t="shared" si="121"/>
        <v>0</v>
      </c>
      <c r="T638" s="60"/>
      <c r="U638" s="61"/>
      <c r="V638" s="9">
        <f t="shared" si="122"/>
        <v>55.82</v>
      </c>
      <c r="Y638" s="9">
        <f t="shared" si="123"/>
        <v>0</v>
      </c>
      <c r="AD638" s="4" t="s">
        <v>1788</v>
      </c>
      <c r="AE638" s="4" t="s">
        <v>1789</v>
      </c>
      <c r="AF638" s="4" t="s">
        <v>1601</v>
      </c>
    </row>
    <row r="639" spans="1:35" ht="18" x14ac:dyDescent="0.35">
      <c r="A639" s="51" t="s">
        <v>1790</v>
      </c>
      <c r="B639" s="51"/>
      <c r="C639" s="56" t="s">
        <v>1605</v>
      </c>
      <c r="D639" s="53"/>
      <c r="E639" s="53"/>
      <c r="F639" s="57" t="s">
        <v>78</v>
      </c>
      <c r="G639" s="58">
        <v>1.05</v>
      </c>
      <c r="H639" s="53"/>
      <c r="I639" s="58">
        <v>0</v>
      </c>
      <c r="J639" s="59">
        <v>4.5999999999999996</v>
      </c>
      <c r="K639" s="60"/>
      <c r="L639" s="60"/>
      <c r="M639" s="59">
        <f t="shared" si="120"/>
        <v>0</v>
      </c>
      <c r="N639" s="60"/>
      <c r="O639" s="60"/>
      <c r="P639" s="59">
        <v>4.5999999999999996</v>
      </c>
      <c r="Q639" s="60"/>
      <c r="R639" s="60"/>
      <c r="S639" s="59">
        <f t="shared" si="121"/>
        <v>0</v>
      </c>
      <c r="T639" s="60"/>
      <c r="U639" s="61"/>
      <c r="V639" s="9">
        <f t="shared" si="122"/>
        <v>3.83</v>
      </c>
      <c r="Y639" s="9">
        <f t="shared" si="123"/>
        <v>0</v>
      </c>
      <c r="AD639" s="4" t="s">
        <v>1791</v>
      </c>
      <c r="AE639" s="4" t="s">
        <v>1792</v>
      </c>
      <c r="AF639" s="4" t="s">
        <v>1608</v>
      </c>
    </row>
    <row r="640" spans="1:35" ht="18" x14ac:dyDescent="0.35">
      <c r="A640" s="51" t="s">
        <v>1793</v>
      </c>
      <c r="B640" s="51"/>
      <c r="C640" s="56" t="s">
        <v>1612</v>
      </c>
      <c r="D640" s="53"/>
      <c r="E640" s="53"/>
      <c r="F640" s="57" t="s">
        <v>78</v>
      </c>
      <c r="G640" s="58">
        <v>0.25</v>
      </c>
      <c r="H640" s="53"/>
      <c r="I640" s="58">
        <v>0</v>
      </c>
      <c r="J640" s="59">
        <v>2.8</v>
      </c>
      <c r="K640" s="60"/>
      <c r="L640" s="60"/>
      <c r="M640" s="59">
        <f t="shared" si="120"/>
        <v>0</v>
      </c>
      <c r="N640" s="60"/>
      <c r="O640" s="60"/>
      <c r="P640" s="59">
        <v>2.8</v>
      </c>
      <c r="Q640" s="60"/>
      <c r="R640" s="60"/>
      <c r="S640" s="59">
        <f t="shared" si="121"/>
        <v>0</v>
      </c>
      <c r="T640" s="60"/>
      <c r="U640" s="61"/>
      <c r="V640" s="9">
        <f t="shared" si="122"/>
        <v>2.33</v>
      </c>
      <c r="Y640" s="9">
        <f t="shared" si="123"/>
        <v>0</v>
      </c>
      <c r="AD640" s="4" t="s">
        <v>1794</v>
      </c>
      <c r="AE640" s="4" t="s">
        <v>1795</v>
      </c>
      <c r="AF640" s="4" t="s">
        <v>1615</v>
      </c>
    </row>
    <row r="641" spans="1:35" ht="36" x14ac:dyDescent="0.35">
      <c r="A641" s="51" t="s">
        <v>1796</v>
      </c>
      <c r="B641" s="51"/>
      <c r="C641" s="56" t="s">
        <v>100</v>
      </c>
      <c r="D641" s="53"/>
      <c r="E641" s="53"/>
      <c r="F641" s="57" t="s">
        <v>63</v>
      </c>
      <c r="G641" s="58">
        <v>1.05</v>
      </c>
      <c r="H641" s="53"/>
      <c r="I641" s="58">
        <v>0</v>
      </c>
      <c r="J641" s="59">
        <v>135.53</v>
      </c>
      <c r="K641" s="60"/>
      <c r="L641" s="60"/>
      <c r="M641" s="59">
        <f t="shared" si="120"/>
        <v>0</v>
      </c>
      <c r="N641" s="60"/>
      <c r="O641" s="60"/>
      <c r="P641" s="59">
        <v>135.53</v>
      </c>
      <c r="Q641" s="60"/>
      <c r="R641" s="60"/>
      <c r="S641" s="59">
        <f t="shared" si="121"/>
        <v>0</v>
      </c>
      <c r="T641" s="60"/>
      <c r="U641" s="61"/>
      <c r="V641" s="9">
        <f t="shared" si="122"/>
        <v>112.94</v>
      </c>
      <c r="Y641" s="9">
        <f t="shared" si="123"/>
        <v>0</v>
      </c>
      <c r="AD641" s="4" t="s">
        <v>1797</v>
      </c>
      <c r="AE641" s="4" t="s">
        <v>1798</v>
      </c>
      <c r="AF641" s="4" t="s">
        <v>103</v>
      </c>
    </row>
    <row r="642" spans="1:35" ht="18" x14ac:dyDescent="0.35">
      <c r="A642" s="51" t="s">
        <v>1799</v>
      </c>
      <c r="B642" s="51"/>
      <c r="C642" s="56" t="s">
        <v>1626</v>
      </c>
      <c r="D642" s="53"/>
      <c r="E642" s="53"/>
      <c r="F642" s="57" t="s">
        <v>490</v>
      </c>
      <c r="G642" s="58">
        <v>0.75</v>
      </c>
      <c r="H642" s="53"/>
      <c r="I642" s="58">
        <v>0</v>
      </c>
      <c r="J642" s="59">
        <v>2.8</v>
      </c>
      <c r="K642" s="60"/>
      <c r="L642" s="60"/>
      <c r="M642" s="59">
        <f t="shared" si="120"/>
        <v>0</v>
      </c>
      <c r="N642" s="60"/>
      <c r="O642" s="60"/>
      <c r="P642" s="59">
        <v>2.8</v>
      </c>
      <c r="Q642" s="60"/>
      <c r="R642" s="60"/>
      <c r="S642" s="59">
        <f t="shared" si="121"/>
        <v>0</v>
      </c>
      <c r="T642" s="60"/>
      <c r="U642" s="61"/>
      <c r="V642" s="9">
        <f t="shared" si="122"/>
        <v>2.33</v>
      </c>
      <c r="Y642" s="9">
        <f t="shared" si="123"/>
        <v>0</v>
      </c>
      <c r="AD642" s="4" t="s">
        <v>1800</v>
      </c>
      <c r="AE642" s="4" t="s">
        <v>1801</v>
      </c>
      <c r="AF642" s="4" t="s">
        <v>1629</v>
      </c>
    </row>
    <row r="643" spans="1:35" ht="54" x14ac:dyDescent="0.35">
      <c r="A643" s="51" t="s">
        <v>1802</v>
      </c>
      <c r="B643" s="51" t="s">
        <v>1556</v>
      </c>
      <c r="C643" s="52" t="s">
        <v>1557</v>
      </c>
      <c r="D643" s="53"/>
      <c r="E643" s="53" t="s">
        <v>1687</v>
      </c>
      <c r="F643" s="53" t="s">
        <v>63</v>
      </c>
      <c r="G643" s="54">
        <v>1</v>
      </c>
      <c r="H643" s="53"/>
      <c r="I643" s="54">
        <v>0</v>
      </c>
      <c r="J643" s="55">
        <f>IFERROR(ROUND(SUM(M644,M645,M646,M647,M648,M649,M650,M651,M652)/I643, 2),0)</f>
        <v>0</v>
      </c>
      <c r="K643" s="55">
        <v>1379</v>
      </c>
      <c r="L643" s="55">
        <f>J643+ROUND(K643, 2)</f>
        <v>1379</v>
      </c>
      <c r="M643" s="55">
        <f>ROUND(J643*I643, 2)</f>
        <v>0</v>
      </c>
      <c r="N643" s="55">
        <f>ROUND(I643*ROUND(K643, 2), 2)</f>
        <v>0</v>
      </c>
      <c r="O643" s="55">
        <f>M643+N643</f>
        <v>0</v>
      </c>
      <c r="P643" s="55">
        <f>IFERROR(ROUND(SUM(S644,S645,S646,S647,S648,S649,S650,S651,S652)/I643, 2),0)</f>
        <v>0</v>
      </c>
      <c r="Q643" s="55">
        <v>2068.5</v>
      </c>
      <c r="R643" s="55">
        <f>P643+ROUND(Q643, 2)</f>
        <v>2068.5</v>
      </c>
      <c r="S643" s="55">
        <f>ROUND(P643*I643, 2)</f>
        <v>0</v>
      </c>
      <c r="T643" s="55">
        <f>ROUND(I643*ROUND(Q643, 2), 2)</f>
        <v>0</v>
      </c>
      <c r="U643" s="55">
        <f>S643+T643</f>
        <v>0</v>
      </c>
      <c r="V643" s="9">
        <f>ROUND(P643 / 1.2, 2)</f>
        <v>0</v>
      </c>
      <c r="W643" s="9">
        <f>ROUND(Q643 / 1.2, 2)</f>
        <v>1723.75</v>
      </c>
      <c r="X643" s="9">
        <f>ROUND(R643 / 1.2, 2)</f>
        <v>1723.75</v>
      </c>
      <c r="Y643" s="9">
        <f t="shared" si="123"/>
        <v>0</v>
      </c>
      <c r="Z643" s="9">
        <f>ROUND(T643 / 1.2, 2)</f>
        <v>0</v>
      </c>
      <c r="AA643" s="9">
        <f>Y643+Z643</f>
        <v>0</v>
      </c>
      <c r="AD643" s="4">
        <v>305117075</v>
      </c>
      <c r="AE643" s="4">
        <v>22135726</v>
      </c>
      <c r="AG643" s="4" t="s">
        <v>1558</v>
      </c>
      <c r="AH643" s="4" t="s">
        <v>1559</v>
      </c>
      <c r="AI643" s="4" t="s">
        <v>467</v>
      </c>
    </row>
    <row r="644" spans="1:35" ht="18" x14ac:dyDescent="0.35">
      <c r="A644" s="51" t="s">
        <v>1803</v>
      </c>
      <c r="B644" s="51"/>
      <c r="C644" s="56" t="s">
        <v>1626</v>
      </c>
      <c r="D644" s="53"/>
      <c r="E644" s="53"/>
      <c r="F644" s="57" t="s">
        <v>490</v>
      </c>
      <c r="G644" s="58">
        <v>0.75</v>
      </c>
      <c r="H644" s="53"/>
      <c r="I644" s="58">
        <v>0</v>
      </c>
      <c r="J644" s="59">
        <v>2.8</v>
      </c>
      <c r="K644" s="60"/>
      <c r="L644" s="60"/>
      <c r="M644" s="59">
        <f t="shared" ref="M644:M652" si="124">ROUND(ROUND(J644, 2)*I644, 2)</f>
        <v>0</v>
      </c>
      <c r="N644" s="60"/>
      <c r="O644" s="60"/>
      <c r="P644" s="59">
        <v>2.8</v>
      </c>
      <c r="Q644" s="60"/>
      <c r="R644" s="60"/>
      <c r="S644" s="59">
        <f t="shared" ref="S644:S652" si="125">ROUND(ROUND(P644, 2)*I644, 2)</f>
        <v>0</v>
      </c>
      <c r="T644" s="60"/>
      <c r="U644" s="61"/>
      <c r="V644" s="9">
        <f t="shared" ref="V644:V652" si="126">ROUND(ROUND(P644, 2)/1.2, 2)</f>
        <v>2.33</v>
      </c>
      <c r="Y644" s="9">
        <f t="shared" si="123"/>
        <v>0</v>
      </c>
      <c r="AD644" s="4" t="s">
        <v>1804</v>
      </c>
      <c r="AE644" s="4" t="s">
        <v>1805</v>
      </c>
      <c r="AF644" s="4" t="s">
        <v>1629</v>
      </c>
    </row>
    <row r="645" spans="1:35" ht="18" x14ac:dyDescent="0.35">
      <c r="A645" s="51" t="s">
        <v>1806</v>
      </c>
      <c r="B645" s="51"/>
      <c r="C645" s="56" t="s">
        <v>1612</v>
      </c>
      <c r="D645" s="53"/>
      <c r="E645" s="53"/>
      <c r="F645" s="57" t="s">
        <v>78</v>
      </c>
      <c r="G645" s="58">
        <v>0.25</v>
      </c>
      <c r="H645" s="53"/>
      <c r="I645" s="58">
        <v>0</v>
      </c>
      <c r="J645" s="59">
        <v>2.8</v>
      </c>
      <c r="K645" s="60"/>
      <c r="L645" s="60"/>
      <c r="M645" s="59">
        <f t="shared" si="124"/>
        <v>0</v>
      </c>
      <c r="N645" s="60"/>
      <c r="O645" s="60"/>
      <c r="P645" s="59">
        <v>2.8</v>
      </c>
      <c r="Q645" s="60"/>
      <c r="R645" s="60"/>
      <c r="S645" s="59">
        <f t="shared" si="125"/>
        <v>0</v>
      </c>
      <c r="T645" s="60"/>
      <c r="U645" s="61"/>
      <c r="V645" s="9">
        <f t="shared" si="126"/>
        <v>2.33</v>
      </c>
      <c r="Y645" s="9">
        <f t="shared" si="123"/>
        <v>0</v>
      </c>
      <c r="AD645" s="4" t="s">
        <v>1807</v>
      </c>
      <c r="AE645" s="4" t="s">
        <v>1808</v>
      </c>
      <c r="AF645" s="4" t="s">
        <v>1615</v>
      </c>
    </row>
    <row r="646" spans="1:35" ht="18" x14ac:dyDescent="0.35">
      <c r="A646" s="51" t="s">
        <v>1809</v>
      </c>
      <c r="B646" s="51"/>
      <c r="C646" s="56" t="s">
        <v>1605</v>
      </c>
      <c r="D646" s="53"/>
      <c r="E646" s="53"/>
      <c r="F646" s="57" t="s">
        <v>78</v>
      </c>
      <c r="G646" s="58">
        <v>1.05</v>
      </c>
      <c r="H646" s="53"/>
      <c r="I646" s="58">
        <v>0</v>
      </c>
      <c r="J646" s="59">
        <v>4.5999999999999996</v>
      </c>
      <c r="K646" s="60"/>
      <c r="L646" s="60"/>
      <c r="M646" s="59">
        <f t="shared" si="124"/>
        <v>0</v>
      </c>
      <c r="N646" s="60"/>
      <c r="O646" s="60"/>
      <c r="P646" s="59">
        <v>4.5999999999999996</v>
      </c>
      <c r="Q646" s="60"/>
      <c r="R646" s="60"/>
      <c r="S646" s="59">
        <f t="shared" si="125"/>
        <v>0</v>
      </c>
      <c r="T646" s="60"/>
      <c r="U646" s="61"/>
      <c r="V646" s="9">
        <f t="shared" si="126"/>
        <v>3.83</v>
      </c>
      <c r="Y646" s="9">
        <f t="shared" si="123"/>
        <v>0</v>
      </c>
      <c r="AD646" s="4" t="s">
        <v>1810</v>
      </c>
      <c r="AE646" s="4" t="s">
        <v>1811</v>
      </c>
      <c r="AF646" s="4" t="s">
        <v>1608</v>
      </c>
    </row>
    <row r="647" spans="1:35" ht="18" x14ac:dyDescent="0.35">
      <c r="A647" s="51" t="s">
        <v>1812</v>
      </c>
      <c r="B647" s="51"/>
      <c r="C647" s="56" t="s">
        <v>1719</v>
      </c>
      <c r="D647" s="53"/>
      <c r="E647" s="53"/>
      <c r="F647" s="57" t="s">
        <v>63</v>
      </c>
      <c r="G647" s="58">
        <v>1.05</v>
      </c>
      <c r="H647" s="53"/>
      <c r="I647" s="58">
        <v>0</v>
      </c>
      <c r="J647" s="59">
        <v>0</v>
      </c>
      <c r="K647" s="60"/>
      <c r="L647" s="60"/>
      <c r="M647" s="59">
        <f t="shared" si="124"/>
        <v>0</v>
      </c>
      <c r="N647" s="60"/>
      <c r="O647" s="60"/>
      <c r="P647" s="59">
        <v>0</v>
      </c>
      <c r="Q647" s="60"/>
      <c r="R647" s="60"/>
      <c r="S647" s="59">
        <f t="shared" si="125"/>
        <v>0</v>
      </c>
      <c r="T647" s="60"/>
      <c r="U647" s="61"/>
      <c r="V647" s="9">
        <f t="shared" si="126"/>
        <v>0</v>
      </c>
      <c r="Y647" s="9">
        <f t="shared" si="123"/>
        <v>0</v>
      </c>
      <c r="AD647" s="4" t="s">
        <v>1813</v>
      </c>
      <c r="AE647" s="4" t="s">
        <v>1814</v>
      </c>
      <c r="AF647" s="4" t="s">
        <v>1722</v>
      </c>
    </row>
    <row r="648" spans="1:35" ht="18" x14ac:dyDescent="0.35">
      <c r="A648" s="51" t="s">
        <v>1815</v>
      </c>
      <c r="B648" s="51"/>
      <c r="C648" s="56" t="s">
        <v>1591</v>
      </c>
      <c r="D648" s="53"/>
      <c r="E648" s="53"/>
      <c r="F648" s="57" t="s">
        <v>78</v>
      </c>
      <c r="G648" s="58">
        <v>1.2</v>
      </c>
      <c r="H648" s="53"/>
      <c r="I648" s="58">
        <v>0</v>
      </c>
      <c r="J648" s="59">
        <v>22.82</v>
      </c>
      <c r="K648" s="60"/>
      <c r="L648" s="60"/>
      <c r="M648" s="59">
        <f t="shared" si="124"/>
        <v>0</v>
      </c>
      <c r="N648" s="60"/>
      <c r="O648" s="60"/>
      <c r="P648" s="59">
        <v>22.82</v>
      </c>
      <c r="Q648" s="60"/>
      <c r="R648" s="60"/>
      <c r="S648" s="59">
        <f t="shared" si="125"/>
        <v>0</v>
      </c>
      <c r="T648" s="60"/>
      <c r="U648" s="61"/>
      <c r="V648" s="9">
        <f t="shared" si="126"/>
        <v>19.02</v>
      </c>
      <c r="Y648" s="9">
        <f t="shared" si="123"/>
        <v>0</v>
      </c>
      <c r="AD648" s="4" t="s">
        <v>1816</v>
      </c>
      <c r="AE648" s="4" t="s">
        <v>1817</v>
      </c>
      <c r="AF648" s="4" t="s">
        <v>1594</v>
      </c>
    </row>
    <row r="649" spans="1:35" ht="18" x14ac:dyDescent="0.35">
      <c r="A649" s="51" t="s">
        <v>1818</v>
      </c>
      <c r="B649" s="51"/>
      <c r="C649" s="56" t="s">
        <v>1598</v>
      </c>
      <c r="D649" s="53"/>
      <c r="E649" s="53"/>
      <c r="F649" s="57" t="s">
        <v>78</v>
      </c>
      <c r="G649" s="58">
        <v>4.7</v>
      </c>
      <c r="H649" s="53"/>
      <c r="I649" s="58">
        <v>0</v>
      </c>
      <c r="J649" s="59">
        <v>66.98</v>
      </c>
      <c r="K649" s="60"/>
      <c r="L649" s="60"/>
      <c r="M649" s="59">
        <f t="shared" si="124"/>
        <v>0</v>
      </c>
      <c r="N649" s="60"/>
      <c r="O649" s="60"/>
      <c r="P649" s="59">
        <v>66.98</v>
      </c>
      <c r="Q649" s="60"/>
      <c r="R649" s="60"/>
      <c r="S649" s="59">
        <f t="shared" si="125"/>
        <v>0</v>
      </c>
      <c r="T649" s="60"/>
      <c r="U649" s="61"/>
      <c r="V649" s="9">
        <f t="shared" si="126"/>
        <v>55.82</v>
      </c>
      <c r="Y649" s="9">
        <f t="shared" si="123"/>
        <v>0</v>
      </c>
      <c r="AD649" s="4" t="s">
        <v>1819</v>
      </c>
      <c r="AE649" s="4" t="s">
        <v>1820</v>
      </c>
      <c r="AF649" s="4" t="s">
        <v>1601</v>
      </c>
    </row>
    <row r="650" spans="1:35" ht="36" x14ac:dyDescent="0.35">
      <c r="A650" s="51" t="s">
        <v>1821</v>
      </c>
      <c r="B650" s="51"/>
      <c r="C650" s="47" t="s">
        <v>1584</v>
      </c>
      <c r="D650" s="53"/>
      <c r="E650" s="53"/>
      <c r="F650" s="57" t="s">
        <v>490</v>
      </c>
      <c r="G650" s="58">
        <v>3.6</v>
      </c>
      <c r="H650" s="53"/>
      <c r="I650" s="58">
        <v>0</v>
      </c>
      <c r="J650" s="59">
        <v>15.9</v>
      </c>
      <c r="K650" s="60"/>
      <c r="L650" s="60"/>
      <c r="M650" s="59">
        <f t="shared" si="124"/>
        <v>0</v>
      </c>
      <c r="N650" s="60"/>
      <c r="O650" s="60"/>
      <c r="P650" s="59">
        <v>15.9</v>
      </c>
      <c r="Q650" s="60"/>
      <c r="R650" s="60"/>
      <c r="S650" s="59">
        <f t="shared" si="125"/>
        <v>0</v>
      </c>
      <c r="T650" s="60"/>
      <c r="U650" s="61"/>
      <c r="V650" s="9">
        <f t="shared" si="126"/>
        <v>13.25</v>
      </c>
      <c r="Y650" s="9">
        <f t="shared" si="123"/>
        <v>0</v>
      </c>
      <c r="AD650" s="4" t="s">
        <v>1822</v>
      </c>
      <c r="AE650" s="4" t="s">
        <v>1823</v>
      </c>
      <c r="AF650" s="4" t="s">
        <v>1587</v>
      </c>
    </row>
    <row r="651" spans="1:35" ht="18" x14ac:dyDescent="0.35">
      <c r="A651" s="51" t="s">
        <v>1824</v>
      </c>
      <c r="B651" s="51"/>
      <c r="C651" s="56" t="s">
        <v>1570</v>
      </c>
      <c r="D651" s="53"/>
      <c r="E651" s="53"/>
      <c r="F651" s="57" t="s">
        <v>498</v>
      </c>
      <c r="G651" s="58">
        <v>0.35</v>
      </c>
      <c r="H651" s="53"/>
      <c r="I651" s="58">
        <v>0</v>
      </c>
      <c r="J651" s="59">
        <v>55</v>
      </c>
      <c r="K651" s="60"/>
      <c r="L651" s="60"/>
      <c r="M651" s="59">
        <f t="shared" si="124"/>
        <v>0</v>
      </c>
      <c r="N651" s="60"/>
      <c r="O651" s="60"/>
      <c r="P651" s="59">
        <v>55</v>
      </c>
      <c r="Q651" s="60"/>
      <c r="R651" s="60"/>
      <c r="S651" s="59">
        <f t="shared" si="125"/>
        <v>0</v>
      </c>
      <c r="T651" s="60"/>
      <c r="U651" s="61"/>
      <c r="V651" s="9">
        <f t="shared" si="126"/>
        <v>45.83</v>
      </c>
      <c r="Y651" s="9">
        <f t="shared" si="123"/>
        <v>0</v>
      </c>
      <c r="AD651" s="4" t="s">
        <v>1825</v>
      </c>
      <c r="AE651" s="4" t="s">
        <v>1826</v>
      </c>
      <c r="AF651" s="4" t="s">
        <v>1573</v>
      </c>
    </row>
    <row r="652" spans="1:35" ht="18" x14ac:dyDescent="0.35">
      <c r="A652" s="51" t="s">
        <v>1827</v>
      </c>
      <c r="B652" s="51"/>
      <c r="C652" s="56" t="s">
        <v>1563</v>
      </c>
      <c r="D652" s="53"/>
      <c r="E652" s="53"/>
      <c r="F652" s="57" t="s">
        <v>490</v>
      </c>
      <c r="G652" s="58">
        <v>15</v>
      </c>
      <c r="H652" s="53"/>
      <c r="I652" s="58">
        <v>0</v>
      </c>
      <c r="J652" s="59">
        <v>0.95</v>
      </c>
      <c r="K652" s="60"/>
      <c r="L652" s="60"/>
      <c r="M652" s="59">
        <f t="shared" si="124"/>
        <v>0</v>
      </c>
      <c r="N652" s="60"/>
      <c r="O652" s="60"/>
      <c r="P652" s="59">
        <v>0.95</v>
      </c>
      <c r="Q652" s="60"/>
      <c r="R652" s="60"/>
      <c r="S652" s="59">
        <f t="shared" si="125"/>
        <v>0</v>
      </c>
      <c r="T652" s="60"/>
      <c r="U652" s="61"/>
      <c r="V652" s="9">
        <f t="shared" si="126"/>
        <v>0.79</v>
      </c>
      <c r="Y652" s="9">
        <f t="shared" si="123"/>
        <v>0</v>
      </c>
      <c r="AD652" s="4" t="s">
        <v>1828</v>
      </c>
      <c r="AE652" s="4" t="s">
        <v>1829</v>
      </c>
      <c r="AF652" s="4" t="s">
        <v>1566</v>
      </c>
    </row>
    <row r="653" spans="1:35" ht="36" x14ac:dyDescent="0.35">
      <c r="A653" s="17" t="s">
        <v>1830</v>
      </c>
      <c r="B653" s="17" t="s">
        <v>1831</v>
      </c>
      <c r="C653" s="18" t="s">
        <v>1832</v>
      </c>
      <c r="D653" s="19"/>
      <c r="E653" s="19"/>
      <c r="F653" s="19" t="s">
        <v>63</v>
      </c>
      <c r="G653" s="20">
        <v>1</v>
      </c>
      <c r="H653" s="19"/>
      <c r="I653" s="21">
        <v>0</v>
      </c>
      <c r="J653" s="22">
        <v>855.89</v>
      </c>
      <c r="K653" s="22">
        <v>963</v>
      </c>
      <c r="L653" s="22">
        <f>J653+ROUND(K653, 2)</f>
        <v>1818.8899999999999</v>
      </c>
      <c r="M653" s="22">
        <v>0</v>
      </c>
      <c r="N653" s="22">
        <v>0</v>
      </c>
      <c r="O653" s="22">
        <f>M653+N653</f>
        <v>0</v>
      </c>
      <c r="P653" s="22">
        <v>855.89</v>
      </c>
      <c r="Q653" s="22">
        <v>963</v>
      </c>
      <c r="R653" s="22">
        <f>P653+ROUND(Q653, 2)</f>
        <v>1818.8899999999999</v>
      </c>
      <c r="S653" s="22">
        <v>0</v>
      </c>
      <c r="T653" s="22">
        <v>0</v>
      </c>
      <c r="U653" s="22">
        <f>S653+T653</f>
        <v>0</v>
      </c>
      <c r="V653" s="9">
        <f>ROUND(P653 / 1.2, 2)</f>
        <v>713.24</v>
      </c>
      <c r="W653" s="9">
        <f>ROUND(Q653 / 1.2, 2)</f>
        <v>802.5</v>
      </c>
      <c r="X653" s="9">
        <f>ROUND(R653 / 1.2, 2)</f>
        <v>1515.74</v>
      </c>
      <c r="Y653" s="9">
        <f t="shared" si="123"/>
        <v>0</v>
      </c>
      <c r="Z653" s="9">
        <f>ROUND(T653 / 1.2, 2)</f>
        <v>0</v>
      </c>
      <c r="AA653" s="9">
        <f>Y653+Z653</f>
        <v>0</v>
      </c>
      <c r="AD653" s="4">
        <v>305117000</v>
      </c>
      <c r="AE653" s="4">
        <v>20958868</v>
      </c>
      <c r="AG653" s="4" t="s">
        <v>1833</v>
      </c>
      <c r="AH653" s="4" t="s">
        <v>1834</v>
      </c>
      <c r="AI653" s="4" t="s">
        <v>467</v>
      </c>
    </row>
    <row r="654" spans="1:35" ht="108" x14ac:dyDescent="0.35">
      <c r="A654" s="23" t="s">
        <v>1835</v>
      </c>
      <c r="B654" s="23" t="s">
        <v>1831</v>
      </c>
      <c r="C654" s="24" t="s">
        <v>1832</v>
      </c>
      <c r="D654" s="25"/>
      <c r="E654" s="25" t="s">
        <v>1836</v>
      </c>
      <c r="F654" s="25" t="s">
        <v>63</v>
      </c>
      <c r="G654" s="26">
        <v>1</v>
      </c>
      <c r="H654" s="25"/>
      <c r="I654" s="26">
        <v>170.6</v>
      </c>
      <c r="J654" s="27">
        <v>855.89</v>
      </c>
      <c r="K654" s="27">
        <v>963</v>
      </c>
      <c r="L654" s="27">
        <v>963</v>
      </c>
      <c r="M654" s="27">
        <v>146014.82999999999</v>
      </c>
      <c r="N654" s="27">
        <v>164287.79999999999</v>
      </c>
      <c r="O654" s="27"/>
      <c r="P654" s="27">
        <v>855.89</v>
      </c>
      <c r="Q654" s="27">
        <v>963</v>
      </c>
      <c r="R654" s="27">
        <v>963</v>
      </c>
      <c r="S654" s="27">
        <v>146014.82999999999</v>
      </c>
      <c r="T654" s="27">
        <v>164287.79999999999</v>
      </c>
      <c r="U654" s="27"/>
      <c r="V654" s="9"/>
      <c r="W654" s="9">
        <f>ROUND(Q654 / 1.2, 2)</f>
        <v>802.5</v>
      </c>
      <c r="X654" s="9">
        <f>ROUND(R654 / 1.2, 2)</f>
        <v>802.5</v>
      </c>
      <c r="Y654" s="9"/>
      <c r="Z654" s="9">
        <f>ROUND(T654 / 1.2, 2)</f>
        <v>136906.5</v>
      </c>
      <c r="AA654" s="9"/>
      <c r="AD654" s="4">
        <v>276896431</v>
      </c>
      <c r="AE654" s="4">
        <v>20958868</v>
      </c>
      <c r="AG654" s="4" t="s">
        <v>1833</v>
      </c>
      <c r="AH654" s="4" t="s">
        <v>1834</v>
      </c>
      <c r="AI654" s="4"/>
    </row>
    <row r="655" spans="1:35" ht="18" x14ac:dyDescent="0.35">
      <c r="A655" s="17" t="s">
        <v>1837</v>
      </c>
      <c r="B655" s="17"/>
      <c r="C655" s="34" t="s">
        <v>1838</v>
      </c>
      <c r="D655" s="19"/>
      <c r="E655" s="19"/>
      <c r="F655" s="35" t="s">
        <v>63</v>
      </c>
      <c r="G655" s="36">
        <v>1.1000000000000001</v>
      </c>
      <c r="H655" s="19"/>
      <c r="I655" s="48">
        <v>0</v>
      </c>
      <c r="J655" s="38">
        <v>778.08</v>
      </c>
      <c r="K655" s="39"/>
      <c r="L655" s="39"/>
      <c r="M655" s="38">
        <f>ROUND(ROUND(J655, 2)*I655, 2)</f>
        <v>0</v>
      </c>
      <c r="N655" s="39"/>
      <c r="O655" s="39"/>
      <c r="P655" s="38">
        <v>778.08</v>
      </c>
      <c r="Q655" s="39"/>
      <c r="R655" s="39"/>
      <c r="S655" s="38">
        <f>ROUND(ROUND(P655, 2)*I655, 2)</f>
        <v>0</v>
      </c>
      <c r="T655" s="39"/>
      <c r="U655" s="40"/>
      <c r="V655" s="9">
        <f>ROUND(ROUND(P655, 2)/1.2, 2)</f>
        <v>648.4</v>
      </c>
      <c r="Y655" s="9">
        <f>ROUND(S655 / 1.2, 2)</f>
        <v>0</v>
      </c>
      <c r="AD655" s="4" t="s">
        <v>1839</v>
      </c>
      <c r="AE655" s="4" t="s">
        <v>1840</v>
      </c>
      <c r="AF655" s="4" t="s">
        <v>1841</v>
      </c>
    </row>
    <row r="656" spans="1:35" ht="18" x14ac:dyDescent="0.35">
      <c r="A656" s="23" t="s">
        <v>1842</v>
      </c>
      <c r="B656" s="23"/>
      <c r="C656" s="41" t="s">
        <v>1838</v>
      </c>
      <c r="D656" s="25"/>
      <c r="E656" s="25"/>
      <c r="F656" s="42" t="s">
        <v>63</v>
      </c>
      <c r="G656" s="43">
        <v>1.1000000000000001</v>
      </c>
      <c r="H656" s="25"/>
      <c r="I656" s="50">
        <v>187.66</v>
      </c>
      <c r="J656" s="44">
        <v>778.08</v>
      </c>
      <c r="K656" s="45"/>
      <c r="L656" s="45"/>
      <c r="M656" s="44">
        <f>ROUND(ROUND(J656, 2)*I656, 2)</f>
        <v>146014.49</v>
      </c>
      <c r="N656" s="45"/>
      <c r="O656" s="45"/>
      <c r="P656" s="44">
        <v>778.08</v>
      </c>
      <c r="Q656" s="45"/>
      <c r="R656" s="45"/>
      <c r="S656" s="44">
        <f>ROUND(ROUND(P656, 2)*I656, 2)</f>
        <v>146014.49</v>
      </c>
      <c r="T656" s="45"/>
      <c r="U656" s="46"/>
      <c r="V656" s="9">
        <f>ROUND(ROUND(P656, 2)/1.2, 2)</f>
        <v>648.4</v>
      </c>
      <c r="Y656" s="9">
        <f>ROUND(S656 / 1.2, 2)</f>
        <v>121678.74</v>
      </c>
      <c r="AD656" s="4" t="s">
        <v>1843</v>
      </c>
      <c r="AE656" s="4" t="s">
        <v>1840</v>
      </c>
      <c r="AF656" s="4" t="s">
        <v>1841</v>
      </c>
    </row>
    <row r="657" spans="1:35" ht="108" x14ac:dyDescent="0.35">
      <c r="A657" s="51" t="s">
        <v>1844</v>
      </c>
      <c r="B657" s="51" t="s">
        <v>1831</v>
      </c>
      <c r="C657" s="52" t="s">
        <v>1832</v>
      </c>
      <c r="D657" s="53"/>
      <c r="E657" s="53" t="s">
        <v>1836</v>
      </c>
      <c r="F657" s="53" t="s">
        <v>63</v>
      </c>
      <c r="G657" s="54">
        <v>1</v>
      </c>
      <c r="H657" s="53"/>
      <c r="I657" s="54">
        <v>0</v>
      </c>
      <c r="J657" s="55">
        <f>IFERROR(ROUND(SUM(M658)/I657, 2),0)</f>
        <v>0</v>
      </c>
      <c r="K657" s="55">
        <v>963</v>
      </c>
      <c r="L657" s="55">
        <f>J657+ROUND(K657, 2)</f>
        <v>963</v>
      </c>
      <c r="M657" s="55">
        <f>ROUND(J657*I657, 2)</f>
        <v>0</v>
      </c>
      <c r="N657" s="55">
        <f>ROUND(I657*ROUND(K657, 2), 2)</f>
        <v>0</v>
      </c>
      <c r="O657" s="55">
        <f>M657+N657</f>
        <v>0</v>
      </c>
      <c r="P657" s="55">
        <f>IFERROR(ROUND(SUM(S658)/I657, 2),0)</f>
        <v>0</v>
      </c>
      <c r="Q657" s="55">
        <v>1444.5</v>
      </c>
      <c r="R657" s="55">
        <f>P657+ROUND(Q657, 2)</f>
        <v>1444.5</v>
      </c>
      <c r="S657" s="55">
        <f>ROUND(P657*I657, 2)</f>
        <v>0</v>
      </c>
      <c r="T657" s="55">
        <f>ROUND(I657*ROUND(Q657, 2), 2)</f>
        <v>0</v>
      </c>
      <c r="U657" s="55">
        <f>S657+T657</f>
        <v>0</v>
      </c>
      <c r="V657" s="9">
        <f>ROUND(P657 / 1.2, 2)</f>
        <v>0</v>
      </c>
      <c r="W657" s="9">
        <f>ROUND(Q657 / 1.2, 2)</f>
        <v>1203.75</v>
      </c>
      <c r="X657" s="9">
        <f>ROUND(R657 / 1.2, 2)</f>
        <v>1203.75</v>
      </c>
      <c r="Y657" s="9">
        <f>ROUND(S657 / 1.2, 2)</f>
        <v>0</v>
      </c>
      <c r="Z657" s="9">
        <f>ROUND(T657 / 1.2, 2)</f>
        <v>0</v>
      </c>
      <c r="AA657" s="9">
        <f>Y657+Z657</f>
        <v>0</v>
      </c>
      <c r="AD657" s="4">
        <v>305117076</v>
      </c>
      <c r="AE657" s="4">
        <v>22135698</v>
      </c>
      <c r="AG657" s="4" t="s">
        <v>1833</v>
      </c>
      <c r="AH657" s="4" t="s">
        <v>1834</v>
      </c>
      <c r="AI657" s="4" t="s">
        <v>467</v>
      </c>
    </row>
    <row r="658" spans="1:35" ht="18" x14ac:dyDescent="0.35">
      <c r="A658" s="51" t="s">
        <v>1845</v>
      </c>
      <c r="B658" s="51"/>
      <c r="C658" s="47" t="s">
        <v>1838</v>
      </c>
      <c r="D658" s="53"/>
      <c r="E658" s="53"/>
      <c r="F658" s="57" t="s">
        <v>63</v>
      </c>
      <c r="G658" s="58">
        <v>1.1000000000000001</v>
      </c>
      <c r="H658" s="53"/>
      <c r="I658" s="62">
        <v>187.66</v>
      </c>
      <c r="J658" s="59">
        <v>778.08</v>
      </c>
      <c r="K658" s="60"/>
      <c r="L658" s="60"/>
      <c r="M658" s="59">
        <f>ROUND(ROUND(J658, 2)*I658, 2)</f>
        <v>146014.49</v>
      </c>
      <c r="N658" s="60"/>
      <c r="O658" s="60"/>
      <c r="P658" s="59">
        <v>778.08</v>
      </c>
      <c r="Q658" s="60"/>
      <c r="R658" s="60"/>
      <c r="S658" s="59">
        <f>ROUND(ROUND(P658, 2)*I658, 2)</f>
        <v>146014.49</v>
      </c>
      <c r="T658" s="60"/>
      <c r="U658" s="61"/>
      <c r="V658" s="9">
        <f>ROUND(ROUND(P658, 2)/1.2, 2)</f>
        <v>648.4</v>
      </c>
      <c r="Y658" s="9">
        <f>ROUND(S658 / 1.2, 2)</f>
        <v>121678.74</v>
      </c>
      <c r="AD658" s="4" t="s">
        <v>1846</v>
      </c>
      <c r="AE658" s="4" t="s">
        <v>1847</v>
      </c>
      <c r="AF658" s="4" t="s">
        <v>1841</v>
      </c>
    </row>
    <row r="659" spans="1:35" ht="17" customHeight="1" x14ac:dyDescent="0.35">
      <c r="A659" s="10" t="s">
        <v>1848</v>
      </c>
      <c r="B659" s="10" t="s">
        <v>1849</v>
      </c>
      <c r="C659" s="174" t="s">
        <v>1850</v>
      </c>
      <c r="D659" s="175"/>
      <c r="E659" s="175"/>
      <c r="F659" s="175"/>
      <c r="G659" s="175"/>
      <c r="H659" s="175"/>
      <c r="I659" s="176"/>
      <c r="M659" s="6">
        <f>SUM(M660,M662)</f>
        <v>0</v>
      </c>
      <c r="N659" s="6">
        <f>SUM(N660,N662)</f>
        <v>0</v>
      </c>
      <c r="O659" s="6">
        <f>SUM(O660,O662)</f>
        <v>0</v>
      </c>
      <c r="S659" s="6">
        <f>SUM(S660,S662)</f>
        <v>0</v>
      </c>
      <c r="T659" s="6">
        <f>SUM(T660,T662)</f>
        <v>0</v>
      </c>
      <c r="U659" s="6">
        <f>SUM(U660,U662)</f>
        <v>0</v>
      </c>
      <c r="Y659" s="9">
        <f>SUM(Y660,Y662)</f>
        <v>0</v>
      </c>
      <c r="Z659" s="9">
        <f>SUM(Z660,Z662)</f>
        <v>0</v>
      </c>
      <c r="AA659" s="9">
        <f>SUM(AA660,AA662)</f>
        <v>0</v>
      </c>
      <c r="AD659" s="4">
        <v>305117001</v>
      </c>
      <c r="AE659" s="4">
        <v>20956521</v>
      </c>
    </row>
    <row r="660" spans="1:35" ht="54" x14ac:dyDescent="0.35">
      <c r="A660" s="17" t="s">
        <v>1851</v>
      </c>
      <c r="B660" s="17" t="s">
        <v>1852</v>
      </c>
      <c r="C660" s="18" t="s">
        <v>1853</v>
      </c>
      <c r="D660" s="19" t="s">
        <v>1854</v>
      </c>
      <c r="E660" s="19"/>
      <c r="F660" s="19" t="s">
        <v>1855</v>
      </c>
      <c r="G660" s="20">
        <v>1</v>
      </c>
      <c r="H660" s="19"/>
      <c r="I660" s="21">
        <v>0</v>
      </c>
      <c r="J660" s="22">
        <v>0</v>
      </c>
      <c r="K660" s="22">
        <v>169189</v>
      </c>
      <c r="L660" s="22">
        <f>J660+ROUND(K660, 2)</f>
        <v>169189</v>
      </c>
      <c r="M660" s="22">
        <v>0</v>
      </c>
      <c r="N660" s="22">
        <v>0</v>
      </c>
      <c r="O660" s="22">
        <f>M660+N660</f>
        <v>0</v>
      </c>
      <c r="P660" s="22">
        <v>0</v>
      </c>
      <c r="Q660" s="22">
        <v>169189</v>
      </c>
      <c r="R660" s="22">
        <f>P660+ROUND(Q660, 2)</f>
        <v>169189</v>
      </c>
      <c r="S660" s="22">
        <v>0</v>
      </c>
      <c r="T660" s="22">
        <v>0</v>
      </c>
      <c r="U660" s="22">
        <f>S660+T660</f>
        <v>0</v>
      </c>
      <c r="V660" s="9"/>
      <c r="W660" s="9">
        <f t="shared" ref="W660:X662" si="127">ROUND(Q660 / 1.2, 2)</f>
        <v>140990.82999999999</v>
      </c>
      <c r="X660" s="9">
        <f t="shared" si="127"/>
        <v>140990.82999999999</v>
      </c>
      <c r="Y660" s="9"/>
      <c r="Z660" s="9">
        <f>ROUND(T660 / 1.2, 2)</f>
        <v>0</v>
      </c>
      <c r="AA660" s="9">
        <f>Y660+Z660</f>
        <v>0</v>
      </c>
      <c r="AD660" s="4">
        <v>305117003</v>
      </c>
      <c r="AE660" s="4">
        <v>21274623</v>
      </c>
      <c r="AG660" s="4" t="s">
        <v>1856</v>
      </c>
      <c r="AH660" s="4" t="s">
        <v>1857</v>
      </c>
      <c r="AI660" s="4" t="s">
        <v>467</v>
      </c>
    </row>
    <row r="661" spans="1:35" ht="54" x14ac:dyDescent="0.35">
      <c r="A661" s="23" t="s">
        <v>1858</v>
      </c>
      <c r="B661" s="23" t="s">
        <v>1852</v>
      </c>
      <c r="C661" s="24" t="s">
        <v>1853</v>
      </c>
      <c r="D661" s="25" t="s">
        <v>1854</v>
      </c>
      <c r="E661" s="25"/>
      <c r="F661" s="25" t="s">
        <v>1855</v>
      </c>
      <c r="G661" s="26">
        <v>1</v>
      </c>
      <c r="H661" s="25"/>
      <c r="I661" s="26">
        <v>9</v>
      </c>
      <c r="J661" s="27">
        <v>0</v>
      </c>
      <c r="K661" s="27">
        <v>169189</v>
      </c>
      <c r="L661" s="27">
        <v>169189</v>
      </c>
      <c r="M661" s="27">
        <v>0</v>
      </c>
      <c r="N661" s="27">
        <v>1522701</v>
      </c>
      <c r="O661" s="27"/>
      <c r="P661" s="27">
        <v>0</v>
      </c>
      <c r="Q661" s="27">
        <v>169189</v>
      </c>
      <c r="R661" s="27">
        <v>169189</v>
      </c>
      <c r="S661" s="27">
        <v>0</v>
      </c>
      <c r="T661" s="27">
        <v>1522701</v>
      </c>
      <c r="U661" s="27"/>
      <c r="V661" s="9"/>
      <c r="W661" s="9">
        <f t="shared" si="127"/>
        <v>140990.82999999999</v>
      </c>
      <c r="X661" s="9">
        <f t="shared" si="127"/>
        <v>140990.82999999999</v>
      </c>
      <c r="Y661" s="9"/>
      <c r="Z661" s="9">
        <f>ROUND(T661 / 1.2, 2)</f>
        <v>1268917.5</v>
      </c>
      <c r="AA661" s="9"/>
      <c r="AD661" s="4">
        <v>281779809</v>
      </c>
      <c r="AE661" s="4">
        <v>21274623</v>
      </c>
      <c r="AG661" s="4" t="s">
        <v>1856</v>
      </c>
      <c r="AH661" s="4" t="s">
        <v>1857</v>
      </c>
      <c r="AI661" s="4"/>
    </row>
    <row r="662" spans="1:35" ht="54" x14ac:dyDescent="0.35">
      <c r="A662" s="51" t="s">
        <v>1859</v>
      </c>
      <c r="B662" s="51" t="s">
        <v>1852</v>
      </c>
      <c r="C662" s="52" t="s">
        <v>1853</v>
      </c>
      <c r="D662" s="53" t="s">
        <v>1854</v>
      </c>
      <c r="E662" s="53"/>
      <c r="F662" s="53" t="s">
        <v>1855</v>
      </c>
      <c r="G662" s="54">
        <v>1</v>
      </c>
      <c r="H662" s="53"/>
      <c r="I662" s="54">
        <v>0</v>
      </c>
      <c r="J662" s="55">
        <v>0</v>
      </c>
      <c r="K662" s="55">
        <v>169189</v>
      </c>
      <c r="L662" s="55">
        <f>J662+ROUND(K662, 2)</f>
        <v>169189</v>
      </c>
      <c r="M662" s="55">
        <v>0</v>
      </c>
      <c r="N662" s="55">
        <f>ROUND(I662*ROUND(K662, 2), 2)</f>
        <v>0</v>
      </c>
      <c r="O662" s="55">
        <f>M662+N662</f>
        <v>0</v>
      </c>
      <c r="P662" s="55">
        <v>0</v>
      </c>
      <c r="Q662" s="55">
        <v>253783.5</v>
      </c>
      <c r="R662" s="55">
        <f>P662+ROUND(Q662, 2)</f>
        <v>253783.5</v>
      </c>
      <c r="S662" s="55">
        <v>0</v>
      </c>
      <c r="T662" s="55">
        <f>ROUND(I662*ROUND(Q662, 2), 2)</f>
        <v>0</v>
      </c>
      <c r="U662" s="55">
        <f>S662+T662</f>
        <v>0</v>
      </c>
      <c r="V662" s="9"/>
      <c r="W662" s="9">
        <f t="shared" si="127"/>
        <v>211486.25</v>
      </c>
      <c r="X662" s="9">
        <f t="shared" si="127"/>
        <v>211486.25</v>
      </c>
      <c r="Y662" s="9"/>
      <c r="Z662" s="9">
        <f>ROUND(T662 / 1.2, 2)</f>
        <v>0</v>
      </c>
      <c r="AA662" s="9">
        <f>Y662+Z662</f>
        <v>0</v>
      </c>
      <c r="AD662" s="4">
        <v>305117077</v>
      </c>
      <c r="AE662" s="4">
        <v>22135606</v>
      </c>
      <c r="AG662" s="4" t="s">
        <v>1856</v>
      </c>
      <c r="AH662" s="4" t="s">
        <v>1857</v>
      </c>
      <c r="AI662" s="4" t="s">
        <v>467</v>
      </c>
    </row>
    <row r="663" spans="1:35" ht="30" customHeight="1" x14ac:dyDescent="0.35">
      <c r="A663" s="177" t="s">
        <v>1860</v>
      </c>
      <c r="B663" s="178"/>
      <c r="C663" s="178"/>
      <c r="D663" s="178"/>
      <c r="E663" s="178"/>
      <c r="F663" s="178"/>
      <c r="G663" s="178"/>
      <c r="H663" s="178"/>
      <c r="I663" s="179"/>
      <c r="J663" s="60"/>
      <c r="K663" s="60"/>
      <c r="L663" s="60"/>
      <c r="M663" s="63">
        <f>SUM(M664)</f>
        <v>65084872.160000004</v>
      </c>
      <c r="N663" s="63">
        <f>SUM(N664)</f>
        <v>85694697.920000002</v>
      </c>
      <c r="O663" s="63">
        <f>SUM(O664)</f>
        <v>150779570.08000001</v>
      </c>
      <c r="P663" s="60"/>
      <c r="Q663" s="60"/>
      <c r="R663" s="60"/>
      <c r="S663" s="63">
        <f>SUM(S664)</f>
        <v>65084872.160000004</v>
      </c>
      <c r="T663" s="63">
        <f>SUM(T664)</f>
        <v>128127932.99000001</v>
      </c>
      <c r="U663" s="63">
        <f>SUM(U664)</f>
        <v>193212805.15000001</v>
      </c>
      <c r="Y663" s="9">
        <f>SUM(Y664)</f>
        <v>54237393.520000003</v>
      </c>
      <c r="Z663" s="9">
        <f>SUM(Z664)</f>
        <v>106773277.51000001</v>
      </c>
      <c r="AA663" s="9">
        <f>SUM(AA664)</f>
        <v>161010671.03</v>
      </c>
      <c r="AC663" s="4" t="s">
        <v>1861</v>
      </c>
    </row>
    <row r="664" spans="1:35" ht="17" customHeight="1" x14ac:dyDescent="0.35">
      <c r="A664" s="51" t="s">
        <v>1862</v>
      </c>
      <c r="B664" s="51" t="s">
        <v>41</v>
      </c>
      <c r="C664" s="180" t="s">
        <v>42</v>
      </c>
      <c r="D664" s="181"/>
      <c r="E664" s="181"/>
      <c r="F664" s="181"/>
      <c r="G664" s="181"/>
      <c r="H664" s="181"/>
      <c r="I664" s="182"/>
      <c r="J664" s="60"/>
      <c r="K664" s="60"/>
      <c r="L664" s="60"/>
      <c r="M664" s="63">
        <f>SUM(M665,M718)</f>
        <v>65084872.160000004</v>
      </c>
      <c r="N664" s="63">
        <f>SUM(N665,N718)</f>
        <v>85694697.920000002</v>
      </c>
      <c r="O664" s="63">
        <f>SUM(O665,O718)</f>
        <v>150779570.08000001</v>
      </c>
      <c r="P664" s="60"/>
      <c r="Q664" s="60"/>
      <c r="R664" s="60"/>
      <c r="S664" s="63">
        <f>SUM(S665,S718)</f>
        <v>65084872.160000004</v>
      </c>
      <c r="T664" s="63">
        <f>SUM(T665,T718)</f>
        <v>128127932.99000001</v>
      </c>
      <c r="U664" s="63">
        <f>SUM(U665,U718)</f>
        <v>193212805.15000001</v>
      </c>
      <c r="Y664" s="9">
        <f>SUM(Y665,Y718)</f>
        <v>54237393.520000003</v>
      </c>
      <c r="Z664" s="9">
        <f>SUM(Z665,Z718)</f>
        <v>106773277.51000001</v>
      </c>
      <c r="AA664" s="9">
        <f>SUM(AA665,AA718)</f>
        <v>161010671.03</v>
      </c>
      <c r="AD664" s="4">
        <v>295859902</v>
      </c>
      <c r="AE664" s="4">
        <v>22502012</v>
      </c>
    </row>
    <row r="665" spans="1:35" ht="17" customHeight="1" x14ac:dyDescent="0.35">
      <c r="A665" s="51" t="s">
        <v>1863</v>
      </c>
      <c r="B665" s="51" t="s">
        <v>44</v>
      </c>
      <c r="C665" s="180" t="s">
        <v>45</v>
      </c>
      <c r="D665" s="181"/>
      <c r="E665" s="181"/>
      <c r="F665" s="181"/>
      <c r="G665" s="181"/>
      <c r="H665" s="181"/>
      <c r="I665" s="182"/>
      <c r="J665" s="60"/>
      <c r="K665" s="60"/>
      <c r="L665" s="60"/>
      <c r="M665" s="63">
        <f t="shared" ref="M665:O668" si="128">SUM(M666)</f>
        <v>10611394.960000001</v>
      </c>
      <c r="N665" s="63">
        <f t="shared" si="128"/>
        <v>18104800.700000003</v>
      </c>
      <c r="O665" s="63">
        <f t="shared" si="128"/>
        <v>28716195.66</v>
      </c>
      <c r="P665" s="60"/>
      <c r="Q665" s="60"/>
      <c r="R665" s="60"/>
      <c r="S665" s="63">
        <f t="shared" ref="S665:U668" si="129">SUM(S666)</f>
        <v>10611394.960000001</v>
      </c>
      <c r="T665" s="63">
        <f t="shared" si="129"/>
        <v>26048948.800000004</v>
      </c>
      <c r="U665" s="63">
        <f t="shared" si="129"/>
        <v>36660343.759999998</v>
      </c>
      <c r="Y665" s="9">
        <f t="shared" ref="Y665:AA668" si="130">SUM(Y666)</f>
        <v>8842829.1400000006</v>
      </c>
      <c r="Z665" s="9">
        <f t="shared" si="130"/>
        <v>21707457.34</v>
      </c>
      <c r="AA665" s="9">
        <f t="shared" si="130"/>
        <v>30550286.480000004</v>
      </c>
      <c r="AD665" s="4">
        <v>295859903</v>
      </c>
      <c r="AE665" s="4">
        <v>22502052</v>
      </c>
    </row>
    <row r="666" spans="1:35" ht="17" customHeight="1" x14ac:dyDescent="0.35">
      <c r="A666" s="51" t="s">
        <v>1864</v>
      </c>
      <c r="B666" s="51" t="s">
        <v>47</v>
      </c>
      <c r="C666" s="180" t="s">
        <v>48</v>
      </c>
      <c r="D666" s="181"/>
      <c r="E666" s="181"/>
      <c r="F666" s="181"/>
      <c r="G666" s="181"/>
      <c r="H666" s="181"/>
      <c r="I666" s="182"/>
      <c r="J666" s="60"/>
      <c r="K666" s="60"/>
      <c r="L666" s="60"/>
      <c r="M666" s="63">
        <f t="shared" si="128"/>
        <v>10611394.960000001</v>
      </c>
      <c r="N666" s="63">
        <f t="shared" si="128"/>
        <v>18104800.700000003</v>
      </c>
      <c r="O666" s="63">
        <f t="shared" si="128"/>
        <v>28716195.66</v>
      </c>
      <c r="P666" s="60"/>
      <c r="Q666" s="60"/>
      <c r="R666" s="60"/>
      <c r="S666" s="63">
        <f t="shared" si="129"/>
        <v>10611394.960000001</v>
      </c>
      <c r="T666" s="63">
        <f t="shared" si="129"/>
        <v>26048948.800000004</v>
      </c>
      <c r="U666" s="63">
        <f t="shared" si="129"/>
        <v>36660343.759999998</v>
      </c>
      <c r="Y666" s="9">
        <f t="shared" si="130"/>
        <v>8842829.1400000006</v>
      </c>
      <c r="Z666" s="9">
        <f t="shared" si="130"/>
        <v>21707457.34</v>
      </c>
      <c r="AA666" s="9">
        <f t="shared" si="130"/>
        <v>30550286.480000004</v>
      </c>
      <c r="AD666" s="4">
        <v>295859904</v>
      </c>
      <c r="AE666" s="4">
        <v>22502023</v>
      </c>
    </row>
    <row r="667" spans="1:35" ht="17" customHeight="1" x14ac:dyDescent="0.35">
      <c r="A667" s="51" t="s">
        <v>1865</v>
      </c>
      <c r="B667" s="51" t="s">
        <v>50</v>
      </c>
      <c r="C667" s="180" t="s">
        <v>51</v>
      </c>
      <c r="D667" s="181"/>
      <c r="E667" s="181"/>
      <c r="F667" s="181"/>
      <c r="G667" s="181"/>
      <c r="H667" s="181"/>
      <c r="I667" s="182"/>
      <c r="J667" s="60"/>
      <c r="K667" s="60"/>
      <c r="L667" s="60"/>
      <c r="M667" s="63">
        <f t="shared" si="128"/>
        <v>10611394.960000001</v>
      </c>
      <c r="N667" s="63">
        <f t="shared" si="128"/>
        <v>18104800.700000003</v>
      </c>
      <c r="O667" s="63">
        <f t="shared" si="128"/>
        <v>28716195.66</v>
      </c>
      <c r="P667" s="60"/>
      <c r="Q667" s="60"/>
      <c r="R667" s="60"/>
      <c r="S667" s="63">
        <f t="shared" si="129"/>
        <v>10611394.960000001</v>
      </c>
      <c r="T667" s="63">
        <f t="shared" si="129"/>
        <v>26048948.800000004</v>
      </c>
      <c r="U667" s="63">
        <f t="shared" si="129"/>
        <v>36660343.759999998</v>
      </c>
      <c r="Y667" s="9">
        <f t="shared" si="130"/>
        <v>8842829.1400000006</v>
      </c>
      <c r="Z667" s="9">
        <f t="shared" si="130"/>
        <v>21707457.34</v>
      </c>
      <c r="AA667" s="9">
        <f t="shared" si="130"/>
        <v>30550286.480000004</v>
      </c>
      <c r="AD667" s="4">
        <v>295859905</v>
      </c>
      <c r="AE667" s="4">
        <v>22502013</v>
      </c>
    </row>
    <row r="668" spans="1:35" ht="17" customHeight="1" x14ac:dyDescent="0.35">
      <c r="A668" s="51" t="s">
        <v>1866</v>
      </c>
      <c r="B668" s="51" t="s">
        <v>53</v>
      </c>
      <c r="C668" s="180" t="s">
        <v>54</v>
      </c>
      <c r="D668" s="181"/>
      <c r="E668" s="181"/>
      <c r="F668" s="181"/>
      <c r="G668" s="181"/>
      <c r="H668" s="181"/>
      <c r="I668" s="182"/>
      <c r="J668" s="60"/>
      <c r="K668" s="60"/>
      <c r="L668" s="60"/>
      <c r="M668" s="63">
        <f t="shared" si="128"/>
        <v>10611394.960000001</v>
      </c>
      <c r="N668" s="63">
        <f t="shared" si="128"/>
        <v>18104800.700000003</v>
      </c>
      <c r="O668" s="63">
        <f t="shared" si="128"/>
        <v>28716195.66</v>
      </c>
      <c r="P668" s="60"/>
      <c r="Q668" s="60"/>
      <c r="R668" s="60"/>
      <c r="S668" s="63">
        <f t="shared" si="129"/>
        <v>10611394.960000001</v>
      </c>
      <c r="T668" s="63">
        <f t="shared" si="129"/>
        <v>26048948.800000004</v>
      </c>
      <c r="U668" s="63">
        <f t="shared" si="129"/>
        <v>36660343.759999998</v>
      </c>
      <c r="Y668" s="9">
        <f t="shared" si="130"/>
        <v>8842829.1400000006</v>
      </c>
      <c r="Z668" s="9">
        <f t="shared" si="130"/>
        <v>21707457.34</v>
      </c>
      <c r="AA668" s="9">
        <f t="shared" si="130"/>
        <v>30550286.480000004</v>
      </c>
      <c r="AD668" s="4">
        <v>295859906</v>
      </c>
      <c r="AE668" s="4">
        <v>22502025</v>
      </c>
    </row>
    <row r="669" spans="1:35" ht="17" customHeight="1" x14ac:dyDescent="0.35">
      <c r="A669" s="51" t="s">
        <v>1867</v>
      </c>
      <c r="B669" s="51" t="s">
        <v>56</v>
      </c>
      <c r="C669" s="180" t="s">
        <v>57</v>
      </c>
      <c r="D669" s="181"/>
      <c r="E669" s="181"/>
      <c r="F669" s="181"/>
      <c r="G669" s="181"/>
      <c r="H669" s="181"/>
      <c r="I669" s="182"/>
      <c r="J669" s="60"/>
      <c r="K669" s="60"/>
      <c r="L669" s="60"/>
      <c r="M669" s="63">
        <f>SUM(M670,M676,M682,M688,M694,M700,M706,M712)</f>
        <v>10611394.960000001</v>
      </c>
      <c r="N669" s="63">
        <f>SUM(N670,N676,N682,N688,N694,N700,N706,N712)</f>
        <v>18104800.700000003</v>
      </c>
      <c r="O669" s="63">
        <f>SUM(O670,O676,O682,O688,O694,O700,O706,O712)</f>
        <v>28716195.66</v>
      </c>
      <c r="P669" s="60"/>
      <c r="Q669" s="60"/>
      <c r="R669" s="60"/>
      <c r="S669" s="63">
        <f>SUM(S670,S676,S682,S688,S694,S700,S706,S712)</f>
        <v>10611394.960000001</v>
      </c>
      <c r="T669" s="63">
        <f>SUM(T670,T676,T682,T688,T694,T700,T706,T712)</f>
        <v>26048948.800000004</v>
      </c>
      <c r="U669" s="63">
        <f>SUM(U670,U676,U682,U688,U694,U700,U706,U712)</f>
        <v>36660343.759999998</v>
      </c>
      <c r="Y669" s="9">
        <f>SUM(Y670,Y676,Y682,Y688,Y694,Y700,Y706,Y712)</f>
        <v>8842829.1400000006</v>
      </c>
      <c r="Z669" s="9">
        <f>SUM(Z670,Z676,Z682,Z688,Z694,Z700,Z706,Z712)</f>
        <v>21707457.34</v>
      </c>
      <c r="AA669" s="9">
        <f>SUM(AA670,AA676,AA682,AA688,AA694,AA700,AA706,AA712)</f>
        <v>30550286.480000004</v>
      </c>
      <c r="AD669" s="4">
        <v>295859907</v>
      </c>
      <c r="AE669" s="4">
        <v>22502014</v>
      </c>
    </row>
    <row r="670" spans="1:35" ht="252" x14ac:dyDescent="0.35">
      <c r="A670" s="51" t="s">
        <v>1868</v>
      </c>
      <c r="B670" s="51" t="s">
        <v>59</v>
      </c>
      <c r="C670" s="52" t="s">
        <v>60</v>
      </c>
      <c r="D670" s="53" t="s">
        <v>61</v>
      </c>
      <c r="E670" s="53" t="s">
        <v>62</v>
      </c>
      <c r="F670" s="53" t="s">
        <v>63</v>
      </c>
      <c r="G670" s="54">
        <v>1</v>
      </c>
      <c r="H670" s="53"/>
      <c r="I670" s="54">
        <v>6610.5</v>
      </c>
      <c r="J670" s="55">
        <f>IFERROR(ROUND(SUM(M671,M672,M673,M674,M675)/I670, 2),0)</f>
        <v>1117.5999999999999</v>
      </c>
      <c r="K670" s="55">
        <v>1991</v>
      </c>
      <c r="L670" s="55">
        <f>J670+ROUND(K670, 2)</f>
        <v>3108.6</v>
      </c>
      <c r="M670" s="55">
        <f>ROUND(J670*I670, 2)</f>
        <v>7387894.7999999998</v>
      </c>
      <c r="N670" s="55">
        <f>ROUND(I670*ROUND(K670, 2), 2)</f>
        <v>13161505.5</v>
      </c>
      <c r="O670" s="55">
        <f>M670+N670</f>
        <v>20549400.300000001</v>
      </c>
      <c r="P670" s="55">
        <f>IFERROR(ROUND(SUM(S671,S672,S673,S674,S675)/I670, 2),0)</f>
        <v>1117.5999999999999</v>
      </c>
      <c r="Q670" s="55">
        <v>2877</v>
      </c>
      <c r="R670" s="55">
        <f>P670+ROUND(Q670, 2)</f>
        <v>3994.6</v>
      </c>
      <c r="S670" s="55">
        <f>ROUND(P670*I670, 2)</f>
        <v>7387894.7999999998</v>
      </c>
      <c r="T670" s="55">
        <f>ROUND(I670*ROUND(Q670, 2), 2)</f>
        <v>19018408.5</v>
      </c>
      <c r="U670" s="55">
        <f>S670+T670</f>
        <v>26406303.300000001</v>
      </c>
      <c r="V670" s="9">
        <f>ROUND(P670 / 1.2, 2)</f>
        <v>931.33</v>
      </c>
      <c r="W670" s="9">
        <f>ROUND(Q670 / 1.2, 2)</f>
        <v>2397.5</v>
      </c>
      <c r="X670" s="9">
        <f>ROUND(R670 / 1.2, 2)</f>
        <v>3328.83</v>
      </c>
      <c r="Y670" s="9">
        <f>ROUND(S670 / 1.2, 2)</f>
        <v>6156579</v>
      </c>
      <c r="Z670" s="9">
        <f>ROUND(T670 / 1.2, 2)</f>
        <v>15848673.75</v>
      </c>
      <c r="AA670" s="9">
        <f>Y670+Z670</f>
        <v>22005252.75</v>
      </c>
      <c r="AD670" s="4">
        <v>295859909</v>
      </c>
      <c r="AE670" s="4">
        <v>22502056</v>
      </c>
      <c r="AG670" s="4" t="s">
        <v>64</v>
      </c>
      <c r="AH670" s="4" t="s">
        <v>65</v>
      </c>
      <c r="AI670" s="4" t="s">
        <v>66</v>
      </c>
    </row>
    <row r="671" spans="1:35" ht="54" x14ac:dyDescent="0.35">
      <c r="A671" s="51" t="s">
        <v>1869</v>
      </c>
      <c r="B671" s="51"/>
      <c r="C671" s="56" t="s">
        <v>69</v>
      </c>
      <c r="D671" s="53"/>
      <c r="E671" s="53"/>
      <c r="F671" s="57" t="s">
        <v>70</v>
      </c>
      <c r="G671" s="58">
        <v>1</v>
      </c>
      <c r="H671" s="53"/>
      <c r="I671" s="58">
        <v>6610.5</v>
      </c>
      <c r="J671" s="59">
        <v>88.35</v>
      </c>
      <c r="K671" s="60"/>
      <c r="L671" s="60"/>
      <c r="M671" s="59">
        <f>ROUND(ROUND(J671, 2)*I671, 2)</f>
        <v>584037.68000000005</v>
      </c>
      <c r="N671" s="60"/>
      <c r="O671" s="60"/>
      <c r="P671" s="59">
        <v>88.35</v>
      </c>
      <c r="Q671" s="60"/>
      <c r="R671" s="60"/>
      <c r="S671" s="59">
        <f>ROUND(ROUND(P671, 2)*I671, 2)</f>
        <v>584037.68000000005</v>
      </c>
      <c r="T671" s="60"/>
      <c r="U671" s="61"/>
      <c r="V671" s="9">
        <f>ROUND(ROUND(P671, 2)/1.2, 2)</f>
        <v>73.63</v>
      </c>
      <c r="Y671" s="9">
        <f t="shared" ref="Y671:Y717" si="131">ROUND(S671 / 1.2, 2)</f>
        <v>486698.07</v>
      </c>
      <c r="AD671" s="4" t="s">
        <v>1870</v>
      </c>
      <c r="AE671" s="4" t="s">
        <v>1871</v>
      </c>
      <c r="AF671" s="4" t="s">
        <v>73</v>
      </c>
    </row>
    <row r="672" spans="1:35" ht="18" x14ac:dyDescent="0.35">
      <c r="A672" s="51" t="s">
        <v>1872</v>
      </c>
      <c r="B672" s="51"/>
      <c r="C672" s="47" t="s">
        <v>77</v>
      </c>
      <c r="D672" s="53"/>
      <c r="E672" s="53"/>
      <c r="F672" s="57" t="s">
        <v>78</v>
      </c>
      <c r="G672" s="58">
        <v>0.8</v>
      </c>
      <c r="H672" s="53"/>
      <c r="I672" s="62">
        <v>5288.4</v>
      </c>
      <c r="J672" s="59">
        <v>63.73</v>
      </c>
      <c r="K672" s="60"/>
      <c r="L672" s="60"/>
      <c r="M672" s="59">
        <f>ROUND(ROUND(J672, 2)*I672, 2)</f>
        <v>337029.73</v>
      </c>
      <c r="N672" s="60"/>
      <c r="O672" s="60"/>
      <c r="P672" s="59">
        <v>63.73</v>
      </c>
      <c r="Q672" s="60"/>
      <c r="R672" s="60"/>
      <c r="S672" s="59">
        <f>ROUND(ROUND(P672, 2)*I672, 2)</f>
        <v>337029.73</v>
      </c>
      <c r="T672" s="60"/>
      <c r="U672" s="61"/>
      <c r="V672" s="9">
        <f>ROUND(ROUND(P672, 2)/1.2, 2)</f>
        <v>53.11</v>
      </c>
      <c r="Y672" s="9">
        <f t="shared" si="131"/>
        <v>280858.11</v>
      </c>
      <c r="AD672" s="4" t="s">
        <v>1873</v>
      </c>
      <c r="AE672" s="4" t="s">
        <v>1874</v>
      </c>
      <c r="AF672" s="4" t="s">
        <v>81</v>
      </c>
    </row>
    <row r="673" spans="1:35" ht="18" x14ac:dyDescent="0.35">
      <c r="A673" s="51" t="s">
        <v>1875</v>
      </c>
      <c r="B673" s="51"/>
      <c r="C673" s="47" t="s">
        <v>85</v>
      </c>
      <c r="D673" s="53"/>
      <c r="E673" s="53"/>
      <c r="F673" s="57" t="s">
        <v>78</v>
      </c>
      <c r="G673" s="58">
        <v>2.1</v>
      </c>
      <c r="H673" s="53"/>
      <c r="I673" s="62">
        <v>13882.05</v>
      </c>
      <c r="J673" s="59">
        <v>95.07</v>
      </c>
      <c r="K673" s="60"/>
      <c r="L673" s="60"/>
      <c r="M673" s="59">
        <f>ROUND(ROUND(J673, 2)*I673, 2)</f>
        <v>1319766.49</v>
      </c>
      <c r="N673" s="60"/>
      <c r="O673" s="60"/>
      <c r="P673" s="59">
        <v>95.07</v>
      </c>
      <c r="Q673" s="60"/>
      <c r="R673" s="60"/>
      <c r="S673" s="59">
        <f>ROUND(ROUND(P673, 2)*I673, 2)</f>
        <v>1319766.49</v>
      </c>
      <c r="T673" s="60"/>
      <c r="U673" s="61"/>
      <c r="V673" s="9">
        <f>ROUND(ROUND(P673, 2)/1.2, 2)</f>
        <v>79.23</v>
      </c>
      <c r="Y673" s="9">
        <f t="shared" si="131"/>
        <v>1099805.4099999999</v>
      </c>
      <c r="AD673" s="4" t="s">
        <v>1876</v>
      </c>
      <c r="AE673" s="4" t="s">
        <v>1877</v>
      </c>
      <c r="AF673" s="4" t="s">
        <v>88</v>
      </c>
    </row>
    <row r="674" spans="1:35" ht="36" x14ac:dyDescent="0.35">
      <c r="A674" s="51" t="s">
        <v>1878</v>
      </c>
      <c r="B674" s="51"/>
      <c r="C674" s="47" t="s">
        <v>92</v>
      </c>
      <c r="D674" s="53"/>
      <c r="E674" s="53"/>
      <c r="F674" s="57" t="s">
        <v>93</v>
      </c>
      <c r="G674" s="58">
        <v>5.1999999999999998E-2</v>
      </c>
      <c r="H674" s="53"/>
      <c r="I674" s="58">
        <v>343.74599999999998</v>
      </c>
      <c r="J674" s="59">
        <v>4026.8</v>
      </c>
      <c r="K674" s="60"/>
      <c r="L674" s="60"/>
      <c r="M674" s="59">
        <f>ROUND(ROUND(J674, 2)*I674, 2)</f>
        <v>1384196.39</v>
      </c>
      <c r="N674" s="60"/>
      <c r="O674" s="60"/>
      <c r="P674" s="59">
        <v>4026.8</v>
      </c>
      <c r="Q674" s="60"/>
      <c r="R674" s="60"/>
      <c r="S674" s="59">
        <f>ROUND(ROUND(P674, 2)*I674, 2)</f>
        <v>1384196.39</v>
      </c>
      <c r="T674" s="60"/>
      <c r="U674" s="61"/>
      <c r="V674" s="9">
        <f>ROUND(ROUND(P674, 2)/1.2, 2)</f>
        <v>3355.67</v>
      </c>
      <c r="Y674" s="9">
        <f t="shared" si="131"/>
        <v>1153496.99</v>
      </c>
      <c r="AD674" s="4" t="s">
        <v>1879</v>
      </c>
      <c r="AE674" s="4" t="s">
        <v>1880</v>
      </c>
      <c r="AF674" s="4" t="s">
        <v>96</v>
      </c>
    </row>
    <row r="675" spans="1:35" ht="36" x14ac:dyDescent="0.35">
      <c r="A675" s="51" t="s">
        <v>1881</v>
      </c>
      <c r="B675" s="51"/>
      <c r="C675" s="56" t="s">
        <v>100</v>
      </c>
      <c r="D675" s="53"/>
      <c r="E675" s="53"/>
      <c r="F675" s="57" t="s">
        <v>63</v>
      </c>
      <c r="G675" s="58">
        <v>4.2</v>
      </c>
      <c r="H675" s="53"/>
      <c r="I675" s="58">
        <v>27764.1</v>
      </c>
      <c r="J675" s="59">
        <v>135.53</v>
      </c>
      <c r="K675" s="60"/>
      <c r="L675" s="60"/>
      <c r="M675" s="59">
        <f>ROUND(ROUND(J675, 2)*I675, 2)</f>
        <v>3762868.47</v>
      </c>
      <c r="N675" s="60"/>
      <c r="O675" s="60"/>
      <c r="P675" s="59">
        <v>135.53</v>
      </c>
      <c r="Q675" s="60"/>
      <c r="R675" s="60"/>
      <c r="S675" s="59">
        <f>ROUND(ROUND(P675, 2)*I675, 2)</f>
        <v>3762868.47</v>
      </c>
      <c r="T675" s="60"/>
      <c r="U675" s="61"/>
      <c r="V675" s="9">
        <f>ROUND(ROUND(P675, 2)/1.2, 2)</f>
        <v>112.94</v>
      </c>
      <c r="Y675" s="9">
        <f t="shared" si="131"/>
        <v>3135723.73</v>
      </c>
      <c r="AD675" s="4" t="s">
        <v>1882</v>
      </c>
      <c r="AE675" s="4" t="s">
        <v>1883</v>
      </c>
      <c r="AF675" s="4" t="s">
        <v>103</v>
      </c>
    </row>
    <row r="676" spans="1:35" ht="270" x14ac:dyDescent="0.35">
      <c r="A676" s="51" t="s">
        <v>1884</v>
      </c>
      <c r="B676" s="51" t="s">
        <v>123</v>
      </c>
      <c r="C676" s="52" t="s">
        <v>124</v>
      </c>
      <c r="D676" s="53" t="s">
        <v>61</v>
      </c>
      <c r="E676" s="53" t="s">
        <v>128</v>
      </c>
      <c r="F676" s="53" t="s">
        <v>63</v>
      </c>
      <c r="G676" s="54">
        <v>1</v>
      </c>
      <c r="H676" s="53"/>
      <c r="I676" s="54">
        <v>162.4</v>
      </c>
      <c r="J676" s="55">
        <f>IFERROR(ROUND(SUM(M677,M678,M679,M680,M681)/I676, 2),0)</f>
        <v>1039.98</v>
      </c>
      <c r="K676" s="55">
        <v>1991</v>
      </c>
      <c r="L676" s="55">
        <f>J676+ROUND(K676, 2)</f>
        <v>3030.98</v>
      </c>
      <c r="M676" s="55">
        <f>ROUND(J676*I676, 2)</f>
        <v>168892.75</v>
      </c>
      <c r="N676" s="55">
        <f>ROUND(I676*ROUND(K676, 2), 2)</f>
        <v>323338.40000000002</v>
      </c>
      <c r="O676" s="55">
        <f>M676+N676</f>
        <v>492231.15</v>
      </c>
      <c r="P676" s="55">
        <f>IFERROR(ROUND(SUM(S677,S678,S679,S680,S681)/I676, 2),0)</f>
        <v>1039.98</v>
      </c>
      <c r="Q676" s="55">
        <v>2877</v>
      </c>
      <c r="R676" s="55">
        <f>P676+ROUND(Q676, 2)</f>
        <v>3916.98</v>
      </c>
      <c r="S676" s="55">
        <f>ROUND(P676*I676, 2)</f>
        <v>168892.75</v>
      </c>
      <c r="T676" s="55">
        <f>ROUND(I676*ROUND(Q676, 2), 2)</f>
        <v>467224.8</v>
      </c>
      <c r="U676" s="55">
        <f>S676+T676</f>
        <v>636117.55000000005</v>
      </c>
      <c r="V676" s="9">
        <f>ROUND(P676 / 1.2, 2)</f>
        <v>866.65</v>
      </c>
      <c r="W676" s="9">
        <f>ROUND(Q676 / 1.2, 2)</f>
        <v>2397.5</v>
      </c>
      <c r="X676" s="9">
        <f>ROUND(R676 / 1.2, 2)</f>
        <v>3264.15</v>
      </c>
      <c r="Y676" s="9">
        <f t="shared" si="131"/>
        <v>140743.96</v>
      </c>
      <c r="Z676" s="9">
        <f>ROUND(T676 / 1.2, 2)</f>
        <v>389354</v>
      </c>
      <c r="AA676" s="9">
        <f>Y676+Z676</f>
        <v>530097.96</v>
      </c>
      <c r="AD676" s="4">
        <v>295859910</v>
      </c>
      <c r="AE676" s="4">
        <v>22502060</v>
      </c>
      <c r="AG676" s="4" t="s">
        <v>125</v>
      </c>
      <c r="AH676" s="4" t="s">
        <v>126</v>
      </c>
      <c r="AI676" s="4" t="s">
        <v>66</v>
      </c>
    </row>
    <row r="677" spans="1:35" ht="54" x14ac:dyDescent="0.35">
      <c r="A677" s="51" t="s">
        <v>1885</v>
      </c>
      <c r="B677" s="51"/>
      <c r="C677" s="56" t="s">
        <v>69</v>
      </c>
      <c r="D677" s="53"/>
      <c r="E677" s="53"/>
      <c r="F677" s="57" t="s">
        <v>70</v>
      </c>
      <c r="G677" s="58">
        <v>1</v>
      </c>
      <c r="H677" s="53"/>
      <c r="I677" s="58">
        <v>162.4</v>
      </c>
      <c r="J677" s="59">
        <v>88.35</v>
      </c>
      <c r="K677" s="60"/>
      <c r="L677" s="60"/>
      <c r="M677" s="59">
        <f>ROUND(ROUND(J677, 2)*I677, 2)</f>
        <v>14348.04</v>
      </c>
      <c r="N677" s="60"/>
      <c r="O677" s="60"/>
      <c r="P677" s="59">
        <v>88.35</v>
      </c>
      <c r="Q677" s="60"/>
      <c r="R677" s="60"/>
      <c r="S677" s="59">
        <f>ROUND(ROUND(P677, 2)*I677, 2)</f>
        <v>14348.04</v>
      </c>
      <c r="T677" s="60"/>
      <c r="U677" s="61"/>
      <c r="V677" s="9">
        <f>ROUND(ROUND(P677, 2)/1.2, 2)</f>
        <v>73.63</v>
      </c>
      <c r="Y677" s="9">
        <f t="shared" si="131"/>
        <v>11956.7</v>
      </c>
      <c r="AD677" s="4" t="s">
        <v>1886</v>
      </c>
      <c r="AE677" s="4" t="s">
        <v>1887</v>
      </c>
      <c r="AF677" s="4" t="s">
        <v>73</v>
      </c>
    </row>
    <row r="678" spans="1:35" ht="18" x14ac:dyDescent="0.35">
      <c r="A678" s="51" t="s">
        <v>1888</v>
      </c>
      <c r="B678" s="51"/>
      <c r="C678" s="47" t="s">
        <v>135</v>
      </c>
      <c r="D678" s="53"/>
      <c r="E678" s="53"/>
      <c r="F678" s="57" t="s">
        <v>78</v>
      </c>
      <c r="G678" s="58">
        <v>2.04</v>
      </c>
      <c r="H678" s="53"/>
      <c r="I678" s="62">
        <v>331.29599999999999</v>
      </c>
      <c r="J678" s="59">
        <v>64.56</v>
      </c>
      <c r="K678" s="60"/>
      <c r="L678" s="60"/>
      <c r="M678" s="59">
        <f>ROUND(ROUND(J678, 2)*I678, 2)</f>
        <v>21388.47</v>
      </c>
      <c r="N678" s="60"/>
      <c r="O678" s="60"/>
      <c r="P678" s="59">
        <v>64.56</v>
      </c>
      <c r="Q678" s="60"/>
      <c r="R678" s="60"/>
      <c r="S678" s="59">
        <f>ROUND(ROUND(P678, 2)*I678, 2)</f>
        <v>21388.47</v>
      </c>
      <c r="T678" s="60"/>
      <c r="U678" s="61"/>
      <c r="V678" s="9">
        <f>ROUND(ROUND(P678, 2)/1.2, 2)</f>
        <v>53.8</v>
      </c>
      <c r="Y678" s="9">
        <f t="shared" si="131"/>
        <v>17823.73</v>
      </c>
      <c r="AD678" s="4" t="s">
        <v>1889</v>
      </c>
      <c r="AE678" s="4" t="s">
        <v>1890</v>
      </c>
      <c r="AF678" s="4" t="s">
        <v>138</v>
      </c>
    </row>
    <row r="679" spans="1:35" ht="18" x14ac:dyDescent="0.35">
      <c r="A679" s="51" t="s">
        <v>1891</v>
      </c>
      <c r="B679" s="51"/>
      <c r="C679" s="47" t="s">
        <v>142</v>
      </c>
      <c r="D679" s="53"/>
      <c r="E679" s="53"/>
      <c r="F679" s="57" t="s">
        <v>78</v>
      </c>
      <c r="G679" s="58">
        <v>0.8</v>
      </c>
      <c r="H679" s="53"/>
      <c r="I679" s="62">
        <v>129.91999999999999</v>
      </c>
      <c r="J679" s="59">
        <v>51.63</v>
      </c>
      <c r="K679" s="60"/>
      <c r="L679" s="60"/>
      <c r="M679" s="59">
        <f>ROUND(ROUND(J679, 2)*I679, 2)</f>
        <v>6707.77</v>
      </c>
      <c r="N679" s="60"/>
      <c r="O679" s="60"/>
      <c r="P679" s="59">
        <v>51.63</v>
      </c>
      <c r="Q679" s="60"/>
      <c r="R679" s="60"/>
      <c r="S679" s="59">
        <f>ROUND(ROUND(P679, 2)*I679, 2)</f>
        <v>6707.77</v>
      </c>
      <c r="T679" s="60"/>
      <c r="U679" s="61"/>
      <c r="V679" s="9">
        <f>ROUND(ROUND(P679, 2)/1.2, 2)</f>
        <v>43.03</v>
      </c>
      <c r="Y679" s="9">
        <f t="shared" si="131"/>
        <v>5589.81</v>
      </c>
      <c r="AD679" s="4" t="s">
        <v>1892</v>
      </c>
      <c r="AE679" s="4" t="s">
        <v>1893</v>
      </c>
      <c r="AF679" s="4" t="s">
        <v>145</v>
      </c>
    </row>
    <row r="680" spans="1:35" ht="36" x14ac:dyDescent="0.35">
      <c r="A680" s="51" t="s">
        <v>1894</v>
      </c>
      <c r="B680" s="51"/>
      <c r="C680" s="47" t="s">
        <v>92</v>
      </c>
      <c r="D680" s="53"/>
      <c r="E680" s="53"/>
      <c r="F680" s="57" t="s">
        <v>93</v>
      </c>
      <c r="G680" s="58">
        <v>5.1999999999999998E-2</v>
      </c>
      <c r="H680" s="53"/>
      <c r="I680" s="58">
        <v>8.4450000000000003</v>
      </c>
      <c r="J680" s="59">
        <v>4026.8</v>
      </c>
      <c r="K680" s="60"/>
      <c r="L680" s="60"/>
      <c r="M680" s="59">
        <f>ROUND(ROUND(J680, 2)*I680, 2)</f>
        <v>34006.33</v>
      </c>
      <c r="N680" s="60"/>
      <c r="O680" s="60"/>
      <c r="P680" s="59">
        <v>4026.8</v>
      </c>
      <c r="Q680" s="60"/>
      <c r="R680" s="60"/>
      <c r="S680" s="59">
        <f>ROUND(ROUND(P680, 2)*I680, 2)</f>
        <v>34006.33</v>
      </c>
      <c r="T680" s="60"/>
      <c r="U680" s="61"/>
      <c r="V680" s="9">
        <f>ROUND(ROUND(P680, 2)/1.2, 2)</f>
        <v>3355.67</v>
      </c>
      <c r="Y680" s="9">
        <f t="shared" si="131"/>
        <v>28338.61</v>
      </c>
      <c r="AD680" s="4" t="s">
        <v>1895</v>
      </c>
      <c r="AE680" s="4" t="s">
        <v>1896</v>
      </c>
      <c r="AF680" s="4" t="s">
        <v>96</v>
      </c>
    </row>
    <row r="681" spans="1:35" ht="36" x14ac:dyDescent="0.35">
      <c r="A681" s="51" t="s">
        <v>1897</v>
      </c>
      <c r="B681" s="51"/>
      <c r="C681" s="56" t="s">
        <v>100</v>
      </c>
      <c r="D681" s="53"/>
      <c r="E681" s="53" t="s">
        <v>157</v>
      </c>
      <c r="F681" s="57" t="s">
        <v>63</v>
      </c>
      <c r="G681" s="58">
        <v>4.2</v>
      </c>
      <c r="H681" s="53"/>
      <c r="I681" s="58">
        <v>682.08</v>
      </c>
      <c r="J681" s="59">
        <v>135.53</v>
      </c>
      <c r="K681" s="60"/>
      <c r="L681" s="60"/>
      <c r="M681" s="59">
        <f>ROUND(ROUND(J681, 2)*I681, 2)</f>
        <v>92442.3</v>
      </c>
      <c r="N681" s="60"/>
      <c r="O681" s="60"/>
      <c r="P681" s="59">
        <v>135.53</v>
      </c>
      <c r="Q681" s="60"/>
      <c r="R681" s="60"/>
      <c r="S681" s="59">
        <f>ROUND(ROUND(P681, 2)*I681, 2)</f>
        <v>92442.3</v>
      </c>
      <c r="T681" s="60"/>
      <c r="U681" s="61"/>
      <c r="V681" s="9">
        <f>ROUND(ROUND(P681, 2)/1.2, 2)</f>
        <v>112.94</v>
      </c>
      <c r="Y681" s="9">
        <f t="shared" si="131"/>
        <v>77035.25</v>
      </c>
      <c r="AD681" s="4" t="s">
        <v>1898</v>
      </c>
      <c r="AE681" s="4" t="s">
        <v>1899</v>
      </c>
      <c r="AF681" s="4" t="s">
        <v>103</v>
      </c>
    </row>
    <row r="682" spans="1:35" ht="216" x14ac:dyDescent="0.35">
      <c r="A682" s="51" t="s">
        <v>1900</v>
      </c>
      <c r="B682" s="51" t="s">
        <v>123</v>
      </c>
      <c r="C682" s="52" t="s">
        <v>124</v>
      </c>
      <c r="D682" s="53" t="s">
        <v>61</v>
      </c>
      <c r="E682" s="53" t="s">
        <v>161</v>
      </c>
      <c r="F682" s="53" t="s">
        <v>63</v>
      </c>
      <c r="G682" s="54">
        <v>1</v>
      </c>
      <c r="H682" s="53"/>
      <c r="I682" s="54">
        <v>59.8</v>
      </c>
      <c r="J682" s="55">
        <f>IFERROR(ROUND(SUM(M683,M684,M685,M686,M687)/I682, 2),0)</f>
        <v>1040</v>
      </c>
      <c r="K682" s="55">
        <v>1991</v>
      </c>
      <c r="L682" s="55">
        <f>J682+ROUND(K682, 2)</f>
        <v>3031</v>
      </c>
      <c r="M682" s="55">
        <f>ROUND(J682*I682, 2)</f>
        <v>62192</v>
      </c>
      <c r="N682" s="55">
        <f>ROUND(I682*ROUND(K682, 2), 2)</f>
        <v>119061.8</v>
      </c>
      <c r="O682" s="55">
        <f>M682+N682</f>
        <v>181253.8</v>
      </c>
      <c r="P682" s="55">
        <f>IFERROR(ROUND(SUM(S683,S684,S685,S686,S687)/I682, 2),0)</f>
        <v>1040</v>
      </c>
      <c r="Q682" s="55">
        <v>2877</v>
      </c>
      <c r="R682" s="55">
        <f>P682+ROUND(Q682, 2)</f>
        <v>3917</v>
      </c>
      <c r="S682" s="55">
        <f>ROUND(P682*I682, 2)</f>
        <v>62192</v>
      </c>
      <c r="T682" s="55">
        <f>ROUND(I682*ROUND(Q682, 2), 2)</f>
        <v>172044.6</v>
      </c>
      <c r="U682" s="55">
        <f>S682+T682</f>
        <v>234236.6</v>
      </c>
      <c r="V682" s="9">
        <f>ROUND(P682 / 1.2, 2)</f>
        <v>866.67</v>
      </c>
      <c r="W682" s="9">
        <f>ROUND(Q682 / 1.2, 2)</f>
        <v>2397.5</v>
      </c>
      <c r="X682" s="9">
        <f>ROUND(R682 / 1.2, 2)</f>
        <v>3264.17</v>
      </c>
      <c r="Y682" s="9">
        <f t="shared" si="131"/>
        <v>51826.67</v>
      </c>
      <c r="Z682" s="9">
        <f>ROUND(T682 / 1.2, 2)</f>
        <v>143370.5</v>
      </c>
      <c r="AA682" s="9">
        <f>Y682+Z682</f>
        <v>195197.16999999998</v>
      </c>
      <c r="AD682" s="4">
        <v>295859980</v>
      </c>
      <c r="AE682" s="4">
        <v>22502058</v>
      </c>
      <c r="AG682" s="4" t="s">
        <v>125</v>
      </c>
      <c r="AH682" s="4" t="s">
        <v>126</v>
      </c>
      <c r="AI682" s="4" t="s">
        <v>66</v>
      </c>
    </row>
    <row r="683" spans="1:35" ht="36" x14ac:dyDescent="0.35">
      <c r="A683" s="51" t="s">
        <v>1901</v>
      </c>
      <c r="B683" s="51"/>
      <c r="C683" s="56" t="s">
        <v>100</v>
      </c>
      <c r="D683" s="53"/>
      <c r="E683" s="53"/>
      <c r="F683" s="57" t="s">
        <v>63</v>
      </c>
      <c r="G683" s="58">
        <v>4.2</v>
      </c>
      <c r="H683" s="53"/>
      <c r="I683" s="58">
        <v>251.16</v>
      </c>
      <c r="J683" s="59">
        <v>135.53</v>
      </c>
      <c r="K683" s="60"/>
      <c r="L683" s="60"/>
      <c r="M683" s="59">
        <f>ROUND(ROUND(J683, 2)*I683, 2)</f>
        <v>34039.71</v>
      </c>
      <c r="N683" s="60"/>
      <c r="O683" s="60"/>
      <c r="P683" s="59">
        <v>135.53</v>
      </c>
      <c r="Q683" s="60"/>
      <c r="R683" s="60"/>
      <c r="S683" s="59">
        <f>ROUND(ROUND(P683, 2)*I683, 2)</f>
        <v>34039.71</v>
      </c>
      <c r="T683" s="60"/>
      <c r="U683" s="61"/>
      <c r="V683" s="9">
        <f>ROUND(ROUND(P683, 2)/1.2, 2)</f>
        <v>112.94</v>
      </c>
      <c r="Y683" s="9">
        <f t="shared" si="131"/>
        <v>28366.43</v>
      </c>
      <c r="AD683" s="4" t="s">
        <v>1902</v>
      </c>
      <c r="AE683" s="4" t="s">
        <v>1903</v>
      </c>
      <c r="AF683" s="4" t="s">
        <v>103</v>
      </c>
    </row>
    <row r="684" spans="1:35" ht="36" x14ac:dyDescent="0.35">
      <c r="A684" s="51" t="s">
        <v>1904</v>
      </c>
      <c r="B684" s="51"/>
      <c r="C684" s="47" t="s">
        <v>92</v>
      </c>
      <c r="D684" s="53"/>
      <c r="E684" s="53"/>
      <c r="F684" s="57" t="s">
        <v>93</v>
      </c>
      <c r="G684" s="58">
        <v>5.1999999999999998E-2</v>
      </c>
      <c r="H684" s="53"/>
      <c r="I684" s="58">
        <v>3.11</v>
      </c>
      <c r="J684" s="59">
        <v>4026.8</v>
      </c>
      <c r="K684" s="60"/>
      <c r="L684" s="60"/>
      <c r="M684" s="59">
        <f>ROUND(ROUND(J684, 2)*I684, 2)</f>
        <v>12523.35</v>
      </c>
      <c r="N684" s="60"/>
      <c r="O684" s="60"/>
      <c r="P684" s="59">
        <v>4026.8</v>
      </c>
      <c r="Q684" s="60"/>
      <c r="R684" s="60"/>
      <c r="S684" s="59">
        <f>ROUND(ROUND(P684, 2)*I684, 2)</f>
        <v>12523.35</v>
      </c>
      <c r="T684" s="60"/>
      <c r="U684" s="61"/>
      <c r="V684" s="9">
        <f>ROUND(ROUND(P684, 2)/1.2, 2)</f>
        <v>3355.67</v>
      </c>
      <c r="Y684" s="9">
        <f t="shared" si="131"/>
        <v>10436.129999999999</v>
      </c>
      <c r="AD684" s="4" t="s">
        <v>1905</v>
      </c>
      <c r="AE684" s="4" t="s">
        <v>1906</v>
      </c>
      <c r="AF684" s="4" t="s">
        <v>96</v>
      </c>
    </row>
    <row r="685" spans="1:35" ht="18" x14ac:dyDescent="0.35">
      <c r="A685" s="51" t="s">
        <v>1907</v>
      </c>
      <c r="B685" s="51"/>
      <c r="C685" s="47" t="s">
        <v>135</v>
      </c>
      <c r="D685" s="53"/>
      <c r="E685" s="53"/>
      <c r="F685" s="57" t="s">
        <v>78</v>
      </c>
      <c r="G685" s="58">
        <v>2.04</v>
      </c>
      <c r="H685" s="53"/>
      <c r="I685" s="62">
        <v>121.992</v>
      </c>
      <c r="J685" s="59">
        <v>64.56</v>
      </c>
      <c r="K685" s="60"/>
      <c r="L685" s="60"/>
      <c r="M685" s="59">
        <f>ROUND(ROUND(J685, 2)*I685, 2)</f>
        <v>7875.8</v>
      </c>
      <c r="N685" s="60"/>
      <c r="O685" s="60"/>
      <c r="P685" s="59">
        <v>64.56</v>
      </c>
      <c r="Q685" s="60"/>
      <c r="R685" s="60"/>
      <c r="S685" s="59">
        <f>ROUND(ROUND(P685, 2)*I685, 2)</f>
        <v>7875.8</v>
      </c>
      <c r="T685" s="60"/>
      <c r="U685" s="61"/>
      <c r="V685" s="9">
        <f>ROUND(ROUND(P685, 2)/1.2, 2)</f>
        <v>53.8</v>
      </c>
      <c r="Y685" s="9">
        <f t="shared" si="131"/>
        <v>6563.17</v>
      </c>
      <c r="AD685" s="4" t="s">
        <v>1908</v>
      </c>
      <c r="AE685" s="4" t="s">
        <v>1909</v>
      </c>
      <c r="AF685" s="4" t="s">
        <v>138</v>
      </c>
    </row>
    <row r="686" spans="1:35" ht="18" x14ac:dyDescent="0.35">
      <c r="A686" s="51" t="s">
        <v>1910</v>
      </c>
      <c r="B686" s="51"/>
      <c r="C686" s="47" t="s">
        <v>142</v>
      </c>
      <c r="D686" s="53"/>
      <c r="E686" s="53"/>
      <c r="F686" s="57" t="s">
        <v>78</v>
      </c>
      <c r="G686" s="58">
        <v>0.8</v>
      </c>
      <c r="H686" s="53"/>
      <c r="I686" s="62">
        <v>47.84</v>
      </c>
      <c r="J686" s="59">
        <v>51.63</v>
      </c>
      <c r="K686" s="60"/>
      <c r="L686" s="60"/>
      <c r="M686" s="59">
        <f>ROUND(ROUND(J686, 2)*I686, 2)</f>
        <v>2469.98</v>
      </c>
      <c r="N686" s="60"/>
      <c r="O686" s="60"/>
      <c r="P686" s="59">
        <v>51.63</v>
      </c>
      <c r="Q686" s="60"/>
      <c r="R686" s="60"/>
      <c r="S686" s="59">
        <f>ROUND(ROUND(P686, 2)*I686, 2)</f>
        <v>2469.98</v>
      </c>
      <c r="T686" s="60"/>
      <c r="U686" s="61"/>
      <c r="V686" s="9">
        <f>ROUND(ROUND(P686, 2)/1.2, 2)</f>
        <v>43.03</v>
      </c>
      <c r="Y686" s="9">
        <f t="shared" si="131"/>
        <v>2058.3200000000002</v>
      </c>
      <c r="AD686" s="4" t="s">
        <v>1911</v>
      </c>
      <c r="AE686" s="4" t="s">
        <v>1912</v>
      </c>
      <c r="AF686" s="4" t="s">
        <v>145</v>
      </c>
    </row>
    <row r="687" spans="1:35" ht="54" x14ac:dyDescent="0.35">
      <c r="A687" s="51" t="s">
        <v>1913</v>
      </c>
      <c r="B687" s="51"/>
      <c r="C687" s="56" t="s">
        <v>69</v>
      </c>
      <c r="D687" s="53"/>
      <c r="E687" s="53"/>
      <c r="F687" s="57" t="s">
        <v>70</v>
      </c>
      <c r="G687" s="58">
        <v>1</v>
      </c>
      <c r="H687" s="53"/>
      <c r="I687" s="58">
        <v>59.8</v>
      </c>
      <c r="J687" s="59">
        <v>88.35</v>
      </c>
      <c r="K687" s="60"/>
      <c r="L687" s="60"/>
      <c r="M687" s="59">
        <f>ROUND(ROUND(J687, 2)*I687, 2)</f>
        <v>5283.33</v>
      </c>
      <c r="N687" s="60"/>
      <c r="O687" s="60"/>
      <c r="P687" s="59">
        <v>88.35</v>
      </c>
      <c r="Q687" s="60"/>
      <c r="R687" s="60"/>
      <c r="S687" s="59">
        <f>ROUND(ROUND(P687, 2)*I687, 2)</f>
        <v>5283.33</v>
      </c>
      <c r="T687" s="60"/>
      <c r="U687" s="61"/>
      <c r="V687" s="9">
        <f>ROUND(ROUND(P687, 2)/1.2, 2)</f>
        <v>73.63</v>
      </c>
      <c r="Y687" s="9">
        <f t="shared" si="131"/>
        <v>4402.78</v>
      </c>
      <c r="AD687" s="4" t="s">
        <v>1914</v>
      </c>
      <c r="AE687" s="4" t="s">
        <v>1915</v>
      </c>
      <c r="AF687" s="4" t="s">
        <v>73</v>
      </c>
    </row>
    <row r="688" spans="1:35" ht="288" x14ac:dyDescent="0.35">
      <c r="A688" s="51" t="s">
        <v>1916</v>
      </c>
      <c r="B688" s="51" t="s">
        <v>215</v>
      </c>
      <c r="C688" s="52" t="s">
        <v>216</v>
      </c>
      <c r="D688" s="53" t="s">
        <v>61</v>
      </c>
      <c r="E688" s="53" t="s">
        <v>1917</v>
      </c>
      <c r="F688" s="53" t="s">
        <v>63</v>
      </c>
      <c r="G688" s="54">
        <v>1</v>
      </c>
      <c r="H688" s="53"/>
      <c r="I688" s="54">
        <v>783.6</v>
      </c>
      <c r="J688" s="55">
        <f>IFERROR(ROUND(SUM(M689,M690,M691,M692,M693)/I688, 2),0)</f>
        <v>805.05</v>
      </c>
      <c r="K688" s="55">
        <v>1225</v>
      </c>
      <c r="L688" s="55">
        <f>J688+ROUND(K688, 2)</f>
        <v>2030.05</v>
      </c>
      <c r="M688" s="55">
        <f>ROUND(J688*I688, 2)</f>
        <v>630837.18000000005</v>
      </c>
      <c r="N688" s="55">
        <f>ROUND(I688*ROUND(K688, 2), 2)</f>
        <v>959910</v>
      </c>
      <c r="O688" s="55">
        <f>M688+N688</f>
        <v>1590747.1800000002</v>
      </c>
      <c r="P688" s="55">
        <f>IFERROR(ROUND(SUM(S689,S690,S691,S692,S693)/I688, 2),0)</f>
        <v>805.05</v>
      </c>
      <c r="Q688" s="55">
        <v>1739.5</v>
      </c>
      <c r="R688" s="55">
        <f>P688+ROUND(Q688, 2)</f>
        <v>2544.5500000000002</v>
      </c>
      <c r="S688" s="55">
        <f>ROUND(P688*I688, 2)</f>
        <v>630837.18000000005</v>
      </c>
      <c r="T688" s="55">
        <f>ROUND(I688*ROUND(Q688, 2), 2)</f>
        <v>1363072.2</v>
      </c>
      <c r="U688" s="55">
        <f>S688+T688</f>
        <v>1993909.38</v>
      </c>
      <c r="V688" s="9">
        <f>ROUND(P688 / 1.2, 2)</f>
        <v>670.88</v>
      </c>
      <c r="W688" s="9">
        <f>ROUND(Q688 / 1.2, 2)</f>
        <v>1449.58</v>
      </c>
      <c r="X688" s="9">
        <f>ROUND(R688 / 1.2, 2)</f>
        <v>2120.46</v>
      </c>
      <c r="Y688" s="9">
        <f t="shared" si="131"/>
        <v>525697.65</v>
      </c>
      <c r="Z688" s="9">
        <f>ROUND(T688 / 1.2, 2)</f>
        <v>1135893.5</v>
      </c>
      <c r="AA688" s="9">
        <f>Y688+Z688</f>
        <v>1661591.15</v>
      </c>
      <c r="AD688" s="4">
        <v>295859912</v>
      </c>
      <c r="AE688" s="4">
        <v>22502063</v>
      </c>
      <c r="AG688" s="4" t="s">
        <v>217</v>
      </c>
      <c r="AH688" s="4" t="s">
        <v>218</v>
      </c>
      <c r="AI688" s="4" t="s">
        <v>66</v>
      </c>
    </row>
    <row r="689" spans="1:35" ht="72" x14ac:dyDescent="0.35">
      <c r="A689" s="51" t="s">
        <v>1918</v>
      </c>
      <c r="B689" s="51"/>
      <c r="C689" s="56" t="s">
        <v>222</v>
      </c>
      <c r="D689" s="53"/>
      <c r="E689" s="53"/>
      <c r="F689" s="57" t="s">
        <v>70</v>
      </c>
      <c r="G689" s="58">
        <v>1</v>
      </c>
      <c r="H689" s="53"/>
      <c r="I689" s="58">
        <v>783.6</v>
      </c>
      <c r="J689" s="59">
        <v>111.15</v>
      </c>
      <c r="K689" s="60"/>
      <c r="L689" s="60"/>
      <c r="M689" s="59">
        <f>ROUND(ROUND(J689, 2)*I689, 2)</f>
        <v>87097.14</v>
      </c>
      <c r="N689" s="60"/>
      <c r="O689" s="60"/>
      <c r="P689" s="59">
        <v>111.15</v>
      </c>
      <c r="Q689" s="60"/>
      <c r="R689" s="60"/>
      <c r="S689" s="59">
        <f>ROUND(ROUND(P689, 2)*I689, 2)</f>
        <v>87097.14</v>
      </c>
      <c r="T689" s="60"/>
      <c r="U689" s="61"/>
      <c r="V689" s="9">
        <f>ROUND(ROUND(P689, 2)/1.2, 2)</f>
        <v>92.63</v>
      </c>
      <c r="Y689" s="9">
        <f t="shared" si="131"/>
        <v>72580.95</v>
      </c>
      <c r="AD689" s="4" t="s">
        <v>1919</v>
      </c>
      <c r="AE689" s="4" t="s">
        <v>1920</v>
      </c>
      <c r="AF689" s="4" t="s">
        <v>225</v>
      </c>
    </row>
    <row r="690" spans="1:35" ht="18" x14ac:dyDescent="0.35">
      <c r="A690" s="51" t="s">
        <v>1921</v>
      </c>
      <c r="B690" s="51"/>
      <c r="C690" s="47" t="s">
        <v>77</v>
      </c>
      <c r="D690" s="53"/>
      <c r="E690" s="53"/>
      <c r="F690" s="57" t="s">
        <v>78</v>
      </c>
      <c r="G690" s="58">
        <v>0.86</v>
      </c>
      <c r="H690" s="53"/>
      <c r="I690" s="62">
        <v>673.89599999999996</v>
      </c>
      <c r="J690" s="59">
        <v>63.73</v>
      </c>
      <c r="K690" s="60"/>
      <c r="L690" s="60"/>
      <c r="M690" s="59">
        <f>ROUND(ROUND(J690, 2)*I690, 2)</f>
        <v>42947.39</v>
      </c>
      <c r="N690" s="60"/>
      <c r="O690" s="60"/>
      <c r="P690" s="59">
        <v>63.73</v>
      </c>
      <c r="Q690" s="60"/>
      <c r="R690" s="60"/>
      <c r="S690" s="59">
        <f>ROUND(ROUND(P690, 2)*I690, 2)</f>
        <v>42947.39</v>
      </c>
      <c r="T690" s="60"/>
      <c r="U690" s="61"/>
      <c r="V690" s="9">
        <f>ROUND(ROUND(P690, 2)/1.2, 2)</f>
        <v>53.11</v>
      </c>
      <c r="Y690" s="9">
        <f t="shared" si="131"/>
        <v>35789.49</v>
      </c>
      <c r="AD690" s="4" t="s">
        <v>1922</v>
      </c>
      <c r="AE690" s="4" t="s">
        <v>1923</v>
      </c>
      <c r="AF690" s="4" t="s">
        <v>81</v>
      </c>
    </row>
    <row r="691" spans="1:35" ht="18" x14ac:dyDescent="0.35">
      <c r="A691" s="51" t="s">
        <v>1924</v>
      </c>
      <c r="B691" s="51"/>
      <c r="C691" s="47" t="s">
        <v>85</v>
      </c>
      <c r="D691" s="53"/>
      <c r="E691" s="53"/>
      <c r="F691" s="57" t="s">
        <v>78</v>
      </c>
      <c r="G691" s="58">
        <v>2.1</v>
      </c>
      <c r="H691" s="53"/>
      <c r="I691" s="62">
        <v>1645.56</v>
      </c>
      <c r="J691" s="59">
        <v>95.07</v>
      </c>
      <c r="K691" s="60"/>
      <c r="L691" s="60"/>
      <c r="M691" s="59">
        <f>ROUND(ROUND(J691, 2)*I691, 2)</f>
        <v>156443.39000000001</v>
      </c>
      <c r="N691" s="60"/>
      <c r="O691" s="60"/>
      <c r="P691" s="59">
        <v>95.07</v>
      </c>
      <c r="Q691" s="60"/>
      <c r="R691" s="60"/>
      <c r="S691" s="59">
        <f>ROUND(ROUND(P691, 2)*I691, 2)</f>
        <v>156443.39000000001</v>
      </c>
      <c r="T691" s="60"/>
      <c r="U691" s="61"/>
      <c r="V691" s="9">
        <f>ROUND(ROUND(P691, 2)/1.2, 2)</f>
        <v>79.23</v>
      </c>
      <c r="Y691" s="9">
        <f t="shared" si="131"/>
        <v>130369.49</v>
      </c>
      <c r="AD691" s="4" t="s">
        <v>1925</v>
      </c>
      <c r="AE691" s="4" t="s">
        <v>1926</v>
      </c>
      <c r="AF691" s="4" t="s">
        <v>88</v>
      </c>
    </row>
    <row r="692" spans="1:35" ht="36" x14ac:dyDescent="0.35">
      <c r="A692" s="51" t="s">
        <v>1927</v>
      </c>
      <c r="B692" s="51"/>
      <c r="C692" s="47" t="s">
        <v>92</v>
      </c>
      <c r="D692" s="53"/>
      <c r="E692" s="53"/>
      <c r="F692" s="57" t="s">
        <v>93</v>
      </c>
      <c r="G692" s="58">
        <v>5.1999999999999998E-2</v>
      </c>
      <c r="H692" s="53"/>
      <c r="I692" s="58">
        <v>40.747</v>
      </c>
      <c r="J692" s="59">
        <v>4026.8</v>
      </c>
      <c r="K692" s="60"/>
      <c r="L692" s="60"/>
      <c r="M692" s="59">
        <f>ROUND(ROUND(J692, 2)*I692, 2)</f>
        <v>164080.01999999999</v>
      </c>
      <c r="N692" s="60"/>
      <c r="O692" s="60"/>
      <c r="P692" s="59">
        <v>4026.8</v>
      </c>
      <c r="Q692" s="60"/>
      <c r="R692" s="60"/>
      <c r="S692" s="59">
        <f>ROUND(ROUND(P692, 2)*I692, 2)</f>
        <v>164080.01999999999</v>
      </c>
      <c r="T692" s="60"/>
      <c r="U692" s="61"/>
      <c r="V692" s="9">
        <f>ROUND(ROUND(P692, 2)/1.2, 2)</f>
        <v>3355.67</v>
      </c>
      <c r="Y692" s="9">
        <f t="shared" si="131"/>
        <v>136733.35</v>
      </c>
      <c r="AD692" s="4" t="s">
        <v>1928</v>
      </c>
      <c r="AE692" s="4" t="s">
        <v>1929</v>
      </c>
      <c r="AF692" s="4" t="s">
        <v>96</v>
      </c>
    </row>
    <row r="693" spans="1:35" ht="36" x14ac:dyDescent="0.35">
      <c r="A693" s="51" t="s">
        <v>1930</v>
      </c>
      <c r="B693" s="51"/>
      <c r="C693" s="47" t="s">
        <v>244</v>
      </c>
      <c r="D693" s="53"/>
      <c r="E693" s="53"/>
      <c r="F693" s="57" t="s">
        <v>63</v>
      </c>
      <c r="G693" s="58">
        <v>2.2000000000000002</v>
      </c>
      <c r="H693" s="53"/>
      <c r="I693" s="58">
        <v>1723.92</v>
      </c>
      <c r="J693" s="59">
        <v>104.57</v>
      </c>
      <c r="K693" s="60"/>
      <c r="L693" s="60"/>
      <c r="M693" s="59">
        <f>ROUND(ROUND(J693, 2)*I693, 2)</f>
        <v>180270.31</v>
      </c>
      <c r="N693" s="60"/>
      <c r="O693" s="60"/>
      <c r="P693" s="59">
        <v>104.57</v>
      </c>
      <c r="Q693" s="60"/>
      <c r="R693" s="60"/>
      <c r="S693" s="59">
        <f>ROUND(ROUND(P693, 2)*I693, 2)</f>
        <v>180270.31</v>
      </c>
      <c r="T693" s="60"/>
      <c r="U693" s="61"/>
      <c r="V693" s="9">
        <f>ROUND(ROUND(P693, 2)/1.2, 2)</f>
        <v>87.14</v>
      </c>
      <c r="Y693" s="9">
        <f t="shared" si="131"/>
        <v>150225.26</v>
      </c>
      <c r="AD693" s="4" t="s">
        <v>1931</v>
      </c>
      <c r="AE693" s="4" t="s">
        <v>1932</v>
      </c>
      <c r="AF693" s="4" t="s">
        <v>247</v>
      </c>
    </row>
    <row r="694" spans="1:35" ht="306" x14ac:dyDescent="0.35">
      <c r="A694" s="51" t="s">
        <v>1933</v>
      </c>
      <c r="B694" s="51" t="s">
        <v>215</v>
      </c>
      <c r="C694" s="52" t="s">
        <v>216</v>
      </c>
      <c r="D694" s="53" t="s">
        <v>61</v>
      </c>
      <c r="E694" s="53" t="s">
        <v>339</v>
      </c>
      <c r="F694" s="53" t="s">
        <v>63</v>
      </c>
      <c r="G694" s="54">
        <v>1</v>
      </c>
      <c r="H694" s="53"/>
      <c r="I694" s="54">
        <v>95.8</v>
      </c>
      <c r="J694" s="55">
        <f>IFERROR(ROUND(SUM(M695,M696,M697,M698,M699)/I694, 2),0)</f>
        <v>1269.23</v>
      </c>
      <c r="K694" s="55">
        <v>1225</v>
      </c>
      <c r="L694" s="55">
        <f>J694+ROUND(K694, 2)</f>
        <v>2494.23</v>
      </c>
      <c r="M694" s="55">
        <f>ROUND(J694*I694, 2)</f>
        <v>121592.23</v>
      </c>
      <c r="N694" s="55">
        <f>ROUND(I694*ROUND(K694, 2), 2)</f>
        <v>117355</v>
      </c>
      <c r="O694" s="55">
        <f>M694+N694</f>
        <v>238947.22999999998</v>
      </c>
      <c r="P694" s="55">
        <f>IFERROR(ROUND(SUM(S695,S696,S697,S698,S699)/I694, 2),0)</f>
        <v>1269.23</v>
      </c>
      <c r="Q694" s="55">
        <v>1739.5</v>
      </c>
      <c r="R694" s="55">
        <f>P694+ROUND(Q694, 2)</f>
        <v>3008.73</v>
      </c>
      <c r="S694" s="55">
        <f>ROUND(P694*I694, 2)</f>
        <v>121592.23</v>
      </c>
      <c r="T694" s="55">
        <f>ROUND(I694*ROUND(Q694, 2), 2)</f>
        <v>166644.1</v>
      </c>
      <c r="U694" s="55">
        <f>S694+T694</f>
        <v>288236.33</v>
      </c>
      <c r="V694" s="9">
        <f>ROUND(P694 / 1.2, 2)</f>
        <v>1057.69</v>
      </c>
      <c r="W694" s="9">
        <f>ROUND(Q694 / 1.2, 2)</f>
        <v>1449.58</v>
      </c>
      <c r="X694" s="9">
        <f>ROUND(R694 / 1.2, 2)</f>
        <v>2507.2800000000002</v>
      </c>
      <c r="Y694" s="9">
        <f t="shared" si="131"/>
        <v>101326.86</v>
      </c>
      <c r="Z694" s="9">
        <f>ROUND(T694 / 1.2, 2)</f>
        <v>138870.07999999999</v>
      </c>
      <c r="AA694" s="9">
        <f>Y694+Z694</f>
        <v>240196.94</v>
      </c>
      <c r="AD694" s="4">
        <v>295859981</v>
      </c>
      <c r="AE694" s="4">
        <v>22502057</v>
      </c>
      <c r="AG694" s="4" t="s">
        <v>217</v>
      </c>
      <c r="AH694" s="4" t="s">
        <v>218</v>
      </c>
      <c r="AI694" s="4" t="s">
        <v>66</v>
      </c>
    </row>
    <row r="695" spans="1:35" ht="18" x14ac:dyDescent="0.35">
      <c r="A695" s="51" t="s">
        <v>1934</v>
      </c>
      <c r="B695" s="51"/>
      <c r="C695" s="47" t="s">
        <v>361</v>
      </c>
      <c r="D695" s="53"/>
      <c r="E695" s="53"/>
      <c r="F695" s="57" t="s">
        <v>63</v>
      </c>
      <c r="G695" s="58">
        <v>2.2000000000000002</v>
      </c>
      <c r="H695" s="53"/>
      <c r="I695" s="58">
        <v>210.76</v>
      </c>
      <c r="J695" s="59">
        <v>315.55</v>
      </c>
      <c r="K695" s="60"/>
      <c r="L695" s="60"/>
      <c r="M695" s="59">
        <f>ROUND(ROUND(J695, 2)*I695, 2)</f>
        <v>66505.320000000007</v>
      </c>
      <c r="N695" s="60"/>
      <c r="O695" s="60"/>
      <c r="P695" s="59">
        <v>315.55</v>
      </c>
      <c r="Q695" s="60"/>
      <c r="R695" s="60"/>
      <c r="S695" s="59">
        <f>ROUND(ROUND(P695, 2)*I695, 2)</f>
        <v>66505.320000000007</v>
      </c>
      <c r="T695" s="60"/>
      <c r="U695" s="61"/>
      <c r="V695" s="9">
        <f>ROUND(ROUND(P695, 2)/1.2, 2)</f>
        <v>262.95999999999998</v>
      </c>
      <c r="Y695" s="9">
        <f t="shared" si="131"/>
        <v>55421.1</v>
      </c>
      <c r="AD695" s="4" t="s">
        <v>1935</v>
      </c>
      <c r="AE695" s="4" t="s">
        <v>1936</v>
      </c>
      <c r="AF695" s="4" t="s">
        <v>364</v>
      </c>
    </row>
    <row r="696" spans="1:35" ht="36" x14ac:dyDescent="0.35">
      <c r="A696" s="51" t="s">
        <v>1937</v>
      </c>
      <c r="B696" s="51"/>
      <c r="C696" s="47" t="s">
        <v>92</v>
      </c>
      <c r="D696" s="53"/>
      <c r="E696" s="53"/>
      <c r="F696" s="57" t="s">
        <v>93</v>
      </c>
      <c r="G696" s="58">
        <v>5.1999999999999998E-2</v>
      </c>
      <c r="H696" s="53"/>
      <c r="I696" s="58">
        <v>4.9820000000000002</v>
      </c>
      <c r="J696" s="59">
        <v>4026.8</v>
      </c>
      <c r="K696" s="60"/>
      <c r="L696" s="60"/>
      <c r="M696" s="59">
        <f>ROUND(ROUND(J696, 2)*I696, 2)</f>
        <v>20061.52</v>
      </c>
      <c r="N696" s="60"/>
      <c r="O696" s="60"/>
      <c r="P696" s="59">
        <v>4026.8</v>
      </c>
      <c r="Q696" s="60"/>
      <c r="R696" s="60"/>
      <c r="S696" s="59">
        <f>ROUND(ROUND(P696, 2)*I696, 2)</f>
        <v>20061.52</v>
      </c>
      <c r="T696" s="60"/>
      <c r="U696" s="61"/>
      <c r="V696" s="9">
        <f>ROUND(ROUND(P696, 2)/1.2, 2)</f>
        <v>3355.67</v>
      </c>
      <c r="Y696" s="9">
        <f t="shared" si="131"/>
        <v>16717.93</v>
      </c>
      <c r="AD696" s="4" t="s">
        <v>1938</v>
      </c>
      <c r="AE696" s="4" t="s">
        <v>1939</v>
      </c>
      <c r="AF696" s="4" t="s">
        <v>96</v>
      </c>
    </row>
    <row r="697" spans="1:35" ht="18" x14ac:dyDescent="0.35">
      <c r="A697" s="51" t="s">
        <v>1940</v>
      </c>
      <c r="B697" s="51"/>
      <c r="C697" s="47" t="s">
        <v>77</v>
      </c>
      <c r="D697" s="53"/>
      <c r="E697" s="53"/>
      <c r="F697" s="57" t="s">
        <v>78</v>
      </c>
      <c r="G697" s="58">
        <v>0.86</v>
      </c>
      <c r="H697" s="53"/>
      <c r="I697" s="62">
        <v>82.388000000000005</v>
      </c>
      <c r="J697" s="59">
        <v>63.73</v>
      </c>
      <c r="K697" s="60"/>
      <c r="L697" s="60"/>
      <c r="M697" s="59">
        <f>ROUND(ROUND(J697, 2)*I697, 2)</f>
        <v>5250.59</v>
      </c>
      <c r="N697" s="60"/>
      <c r="O697" s="60"/>
      <c r="P697" s="59">
        <v>63.73</v>
      </c>
      <c r="Q697" s="60"/>
      <c r="R697" s="60"/>
      <c r="S697" s="59">
        <f>ROUND(ROUND(P697, 2)*I697, 2)</f>
        <v>5250.59</v>
      </c>
      <c r="T697" s="60"/>
      <c r="U697" s="61"/>
      <c r="V697" s="9">
        <f>ROUND(ROUND(P697, 2)/1.2, 2)</f>
        <v>53.11</v>
      </c>
      <c r="Y697" s="9">
        <f t="shared" si="131"/>
        <v>4375.49</v>
      </c>
      <c r="AD697" s="4" t="s">
        <v>1941</v>
      </c>
      <c r="AE697" s="4" t="s">
        <v>1942</v>
      </c>
      <c r="AF697" s="4" t="s">
        <v>81</v>
      </c>
    </row>
    <row r="698" spans="1:35" ht="18" x14ac:dyDescent="0.35">
      <c r="A698" s="51" t="s">
        <v>1943</v>
      </c>
      <c r="B698" s="51"/>
      <c r="C698" s="47" t="s">
        <v>85</v>
      </c>
      <c r="D698" s="53"/>
      <c r="E698" s="53"/>
      <c r="F698" s="57" t="s">
        <v>78</v>
      </c>
      <c r="G698" s="58">
        <v>2.1</v>
      </c>
      <c r="H698" s="53"/>
      <c r="I698" s="62">
        <v>201.18</v>
      </c>
      <c r="J698" s="59">
        <v>95.07</v>
      </c>
      <c r="K698" s="60"/>
      <c r="L698" s="60"/>
      <c r="M698" s="59">
        <f>ROUND(ROUND(J698, 2)*I698, 2)</f>
        <v>19126.18</v>
      </c>
      <c r="N698" s="60"/>
      <c r="O698" s="60"/>
      <c r="P698" s="59">
        <v>95.07</v>
      </c>
      <c r="Q698" s="60"/>
      <c r="R698" s="60"/>
      <c r="S698" s="59">
        <f>ROUND(ROUND(P698, 2)*I698, 2)</f>
        <v>19126.18</v>
      </c>
      <c r="T698" s="60"/>
      <c r="U698" s="61"/>
      <c r="V698" s="9">
        <f>ROUND(ROUND(P698, 2)/1.2, 2)</f>
        <v>79.23</v>
      </c>
      <c r="Y698" s="9">
        <f t="shared" si="131"/>
        <v>15938.48</v>
      </c>
      <c r="AD698" s="4" t="s">
        <v>1944</v>
      </c>
      <c r="AE698" s="4" t="s">
        <v>1945</v>
      </c>
      <c r="AF698" s="4" t="s">
        <v>88</v>
      </c>
    </row>
    <row r="699" spans="1:35" ht="72" x14ac:dyDescent="0.35">
      <c r="A699" s="51" t="s">
        <v>1946</v>
      </c>
      <c r="B699" s="51"/>
      <c r="C699" s="56" t="s">
        <v>222</v>
      </c>
      <c r="D699" s="53"/>
      <c r="E699" s="53"/>
      <c r="F699" s="57" t="s">
        <v>70</v>
      </c>
      <c r="G699" s="58">
        <v>1</v>
      </c>
      <c r="H699" s="53"/>
      <c r="I699" s="58">
        <v>95.8</v>
      </c>
      <c r="J699" s="59">
        <v>111.15</v>
      </c>
      <c r="K699" s="60"/>
      <c r="L699" s="60"/>
      <c r="M699" s="59">
        <f>ROUND(ROUND(J699, 2)*I699, 2)</f>
        <v>10648.17</v>
      </c>
      <c r="N699" s="60"/>
      <c r="O699" s="60"/>
      <c r="P699" s="59">
        <v>111.15</v>
      </c>
      <c r="Q699" s="60"/>
      <c r="R699" s="60"/>
      <c r="S699" s="59">
        <f>ROUND(ROUND(P699, 2)*I699, 2)</f>
        <v>10648.17</v>
      </c>
      <c r="T699" s="60"/>
      <c r="U699" s="61"/>
      <c r="V699" s="9">
        <f>ROUND(ROUND(P699, 2)/1.2, 2)</f>
        <v>92.63</v>
      </c>
      <c r="Y699" s="9">
        <f t="shared" si="131"/>
        <v>8873.48</v>
      </c>
      <c r="AD699" s="4" t="s">
        <v>1947</v>
      </c>
      <c r="AE699" s="4" t="s">
        <v>1948</v>
      </c>
      <c r="AF699" s="4" t="s">
        <v>225</v>
      </c>
    </row>
    <row r="700" spans="1:35" ht="306" x14ac:dyDescent="0.35">
      <c r="A700" s="51" t="s">
        <v>1949</v>
      </c>
      <c r="B700" s="51" t="s">
        <v>215</v>
      </c>
      <c r="C700" s="52" t="s">
        <v>216</v>
      </c>
      <c r="D700" s="53" t="s">
        <v>61</v>
      </c>
      <c r="E700" s="53" t="s">
        <v>310</v>
      </c>
      <c r="F700" s="53" t="s">
        <v>63</v>
      </c>
      <c r="G700" s="54">
        <v>1</v>
      </c>
      <c r="H700" s="53"/>
      <c r="I700" s="54">
        <v>128.5</v>
      </c>
      <c r="J700" s="55">
        <f>IFERROR(ROUND(SUM(M701,M702,M703,M704,M705)/I700, 2),0)</f>
        <v>727.48</v>
      </c>
      <c r="K700" s="55">
        <v>1225</v>
      </c>
      <c r="L700" s="55">
        <f>J700+ROUND(K700, 2)</f>
        <v>1952.48</v>
      </c>
      <c r="M700" s="55">
        <f>ROUND(J700*I700, 2)</f>
        <v>93481.18</v>
      </c>
      <c r="N700" s="55">
        <f>ROUND(I700*ROUND(K700, 2), 2)</f>
        <v>157412.5</v>
      </c>
      <c r="O700" s="55">
        <f>M700+N700</f>
        <v>250893.68</v>
      </c>
      <c r="P700" s="55">
        <f>IFERROR(ROUND(SUM(S701,S702,S703,S704,S705)/I700, 2),0)</f>
        <v>727.48</v>
      </c>
      <c r="Q700" s="55">
        <v>1739.5</v>
      </c>
      <c r="R700" s="55">
        <f>P700+ROUND(Q700, 2)</f>
        <v>2466.98</v>
      </c>
      <c r="S700" s="55">
        <f>ROUND(P700*I700, 2)</f>
        <v>93481.18</v>
      </c>
      <c r="T700" s="55">
        <f>ROUND(I700*ROUND(Q700, 2), 2)</f>
        <v>223525.75</v>
      </c>
      <c r="U700" s="55">
        <f>S700+T700</f>
        <v>317006.93</v>
      </c>
      <c r="V700" s="9">
        <f>ROUND(P700 / 1.2, 2)</f>
        <v>606.23</v>
      </c>
      <c r="W700" s="9">
        <f>ROUND(Q700 / 1.2, 2)</f>
        <v>1449.58</v>
      </c>
      <c r="X700" s="9">
        <f>ROUND(R700 / 1.2, 2)</f>
        <v>2055.8200000000002</v>
      </c>
      <c r="Y700" s="9">
        <f t="shared" si="131"/>
        <v>77900.98</v>
      </c>
      <c r="Z700" s="9">
        <f>ROUND(T700 / 1.2, 2)</f>
        <v>186271.46</v>
      </c>
      <c r="AA700" s="9">
        <f>Y700+Z700</f>
        <v>264172.44</v>
      </c>
      <c r="AD700" s="4">
        <v>295859982</v>
      </c>
      <c r="AE700" s="4">
        <v>22502066</v>
      </c>
      <c r="AG700" s="4" t="s">
        <v>217</v>
      </c>
      <c r="AH700" s="4" t="s">
        <v>218</v>
      </c>
      <c r="AI700" s="4" t="s">
        <v>66</v>
      </c>
    </row>
    <row r="701" spans="1:35" ht="72" x14ac:dyDescent="0.35">
      <c r="A701" s="51" t="s">
        <v>1950</v>
      </c>
      <c r="B701" s="51"/>
      <c r="C701" s="56" t="s">
        <v>222</v>
      </c>
      <c r="D701" s="53"/>
      <c r="E701" s="53"/>
      <c r="F701" s="57" t="s">
        <v>70</v>
      </c>
      <c r="G701" s="58">
        <v>1</v>
      </c>
      <c r="H701" s="53"/>
      <c r="I701" s="58">
        <v>128.5</v>
      </c>
      <c r="J701" s="59">
        <v>111.15</v>
      </c>
      <c r="K701" s="60"/>
      <c r="L701" s="60"/>
      <c r="M701" s="59">
        <f>ROUND(ROUND(J701, 2)*I701, 2)</f>
        <v>14282.78</v>
      </c>
      <c r="N701" s="60"/>
      <c r="O701" s="60"/>
      <c r="P701" s="59">
        <v>111.15</v>
      </c>
      <c r="Q701" s="60"/>
      <c r="R701" s="60"/>
      <c r="S701" s="59">
        <f>ROUND(ROUND(P701, 2)*I701, 2)</f>
        <v>14282.78</v>
      </c>
      <c r="T701" s="60"/>
      <c r="U701" s="61"/>
      <c r="V701" s="9">
        <f>ROUND(ROUND(P701, 2)/1.2, 2)</f>
        <v>92.63</v>
      </c>
      <c r="Y701" s="9">
        <f t="shared" si="131"/>
        <v>11902.32</v>
      </c>
      <c r="AD701" s="4" t="s">
        <v>1951</v>
      </c>
      <c r="AE701" s="4" t="s">
        <v>1952</v>
      </c>
      <c r="AF701" s="4" t="s">
        <v>225</v>
      </c>
    </row>
    <row r="702" spans="1:35" ht="18" x14ac:dyDescent="0.35">
      <c r="A702" s="51" t="s">
        <v>1953</v>
      </c>
      <c r="B702" s="51"/>
      <c r="C702" s="47" t="s">
        <v>135</v>
      </c>
      <c r="D702" s="53"/>
      <c r="E702" s="53"/>
      <c r="F702" s="57" t="s">
        <v>78</v>
      </c>
      <c r="G702" s="58">
        <v>2.1</v>
      </c>
      <c r="H702" s="53"/>
      <c r="I702" s="58">
        <v>269.85000000000002</v>
      </c>
      <c r="J702" s="59">
        <v>64.56</v>
      </c>
      <c r="K702" s="60"/>
      <c r="L702" s="60"/>
      <c r="M702" s="59">
        <f>ROUND(ROUND(J702, 2)*I702, 2)</f>
        <v>17421.52</v>
      </c>
      <c r="N702" s="60"/>
      <c r="O702" s="60"/>
      <c r="P702" s="59">
        <v>64.56</v>
      </c>
      <c r="Q702" s="60"/>
      <c r="R702" s="60"/>
      <c r="S702" s="59">
        <f>ROUND(ROUND(P702, 2)*I702, 2)</f>
        <v>17421.52</v>
      </c>
      <c r="T702" s="60"/>
      <c r="U702" s="61"/>
      <c r="V702" s="9">
        <f>ROUND(ROUND(P702, 2)/1.2, 2)</f>
        <v>53.8</v>
      </c>
      <c r="Y702" s="9">
        <f t="shared" si="131"/>
        <v>14517.93</v>
      </c>
      <c r="AD702" s="4" t="s">
        <v>1954</v>
      </c>
      <c r="AE702" s="4" t="s">
        <v>1955</v>
      </c>
      <c r="AF702" s="4" t="s">
        <v>138</v>
      </c>
    </row>
    <row r="703" spans="1:35" ht="18" x14ac:dyDescent="0.35">
      <c r="A703" s="51" t="s">
        <v>1956</v>
      </c>
      <c r="B703" s="51"/>
      <c r="C703" s="47" t="s">
        <v>142</v>
      </c>
      <c r="D703" s="53"/>
      <c r="E703" s="53"/>
      <c r="F703" s="57" t="s">
        <v>78</v>
      </c>
      <c r="G703" s="58">
        <v>0.8</v>
      </c>
      <c r="H703" s="53"/>
      <c r="I703" s="58">
        <v>102.8</v>
      </c>
      <c r="J703" s="59">
        <v>51.63</v>
      </c>
      <c r="K703" s="60"/>
      <c r="L703" s="60"/>
      <c r="M703" s="59">
        <f>ROUND(ROUND(J703, 2)*I703, 2)</f>
        <v>5307.56</v>
      </c>
      <c r="N703" s="60"/>
      <c r="O703" s="60"/>
      <c r="P703" s="59">
        <v>51.63</v>
      </c>
      <c r="Q703" s="60"/>
      <c r="R703" s="60"/>
      <c r="S703" s="59">
        <f>ROUND(ROUND(P703, 2)*I703, 2)</f>
        <v>5307.56</v>
      </c>
      <c r="T703" s="60"/>
      <c r="U703" s="61"/>
      <c r="V703" s="9">
        <f>ROUND(ROUND(P703, 2)/1.2, 2)</f>
        <v>43.03</v>
      </c>
      <c r="Y703" s="9">
        <f t="shared" si="131"/>
        <v>4422.97</v>
      </c>
      <c r="AD703" s="4" t="s">
        <v>1957</v>
      </c>
      <c r="AE703" s="4" t="s">
        <v>1958</v>
      </c>
      <c r="AF703" s="4" t="s">
        <v>145</v>
      </c>
    </row>
    <row r="704" spans="1:35" ht="36" x14ac:dyDescent="0.35">
      <c r="A704" s="51" t="s">
        <v>1959</v>
      </c>
      <c r="B704" s="51"/>
      <c r="C704" s="47" t="s">
        <v>92</v>
      </c>
      <c r="D704" s="53"/>
      <c r="E704" s="53"/>
      <c r="F704" s="57" t="s">
        <v>93</v>
      </c>
      <c r="G704" s="58">
        <v>5.1999999999999998E-2</v>
      </c>
      <c r="H704" s="53"/>
      <c r="I704" s="58">
        <v>6.6820000000000004</v>
      </c>
      <c r="J704" s="59">
        <v>4026.8</v>
      </c>
      <c r="K704" s="60"/>
      <c r="L704" s="60"/>
      <c r="M704" s="59">
        <f>ROUND(ROUND(J704, 2)*I704, 2)</f>
        <v>26907.08</v>
      </c>
      <c r="N704" s="60"/>
      <c r="O704" s="60"/>
      <c r="P704" s="59">
        <v>4026.8</v>
      </c>
      <c r="Q704" s="60"/>
      <c r="R704" s="60"/>
      <c r="S704" s="59">
        <f>ROUND(ROUND(P704, 2)*I704, 2)</f>
        <v>26907.08</v>
      </c>
      <c r="T704" s="60"/>
      <c r="U704" s="61"/>
      <c r="V704" s="9">
        <f>ROUND(ROUND(P704, 2)/1.2, 2)</f>
        <v>3355.67</v>
      </c>
      <c r="Y704" s="9">
        <f t="shared" si="131"/>
        <v>22422.57</v>
      </c>
      <c r="AD704" s="4" t="s">
        <v>1960</v>
      </c>
      <c r="AE704" s="4" t="s">
        <v>1961</v>
      </c>
      <c r="AF704" s="4" t="s">
        <v>96</v>
      </c>
    </row>
    <row r="705" spans="1:35" ht="36" x14ac:dyDescent="0.35">
      <c r="A705" s="51" t="s">
        <v>1962</v>
      </c>
      <c r="B705" s="51"/>
      <c r="C705" s="47" t="s">
        <v>254</v>
      </c>
      <c r="D705" s="53"/>
      <c r="E705" s="53" t="s">
        <v>315</v>
      </c>
      <c r="F705" s="57" t="s">
        <v>63</v>
      </c>
      <c r="G705" s="58">
        <v>2.2000000000000002</v>
      </c>
      <c r="H705" s="53"/>
      <c r="I705" s="58">
        <v>282.7</v>
      </c>
      <c r="J705" s="59">
        <v>104.57</v>
      </c>
      <c r="K705" s="60"/>
      <c r="L705" s="60"/>
      <c r="M705" s="59">
        <f>ROUND(ROUND(J705, 2)*I705, 2)</f>
        <v>29561.94</v>
      </c>
      <c r="N705" s="60"/>
      <c r="O705" s="60"/>
      <c r="P705" s="59">
        <v>104.57</v>
      </c>
      <c r="Q705" s="60"/>
      <c r="R705" s="60"/>
      <c r="S705" s="59">
        <f>ROUND(ROUND(P705, 2)*I705, 2)</f>
        <v>29561.94</v>
      </c>
      <c r="T705" s="60"/>
      <c r="U705" s="61"/>
      <c r="V705" s="9">
        <f>ROUND(ROUND(P705, 2)/1.2, 2)</f>
        <v>87.14</v>
      </c>
      <c r="Y705" s="9">
        <f t="shared" si="131"/>
        <v>24634.95</v>
      </c>
      <c r="AD705" s="4" t="s">
        <v>1963</v>
      </c>
      <c r="AE705" s="4" t="s">
        <v>1964</v>
      </c>
      <c r="AF705" s="4" t="s">
        <v>257</v>
      </c>
    </row>
    <row r="706" spans="1:35" ht="396" x14ac:dyDescent="0.35">
      <c r="A706" s="51" t="s">
        <v>1965</v>
      </c>
      <c r="B706" s="51" t="s">
        <v>215</v>
      </c>
      <c r="C706" s="52" t="s">
        <v>216</v>
      </c>
      <c r="D706" s="53" t="s">
        <v>61</v>
      </c>
      <c r="E706" s="53" t="s">
        <v>282</v>
      </c>
      <c r="F706" s="53" t="s">
        <v>63</v>
      </c>
      <c r="G706" s="54">
        <v>1</v>
      </c>
      <c r="H706" s="53"/>
      <c r="I706" s="54">
        <v>185.6</v>
      </c>
      <c r="J706" s="55">
        <f>IFERROR(ROUND(SUM(M707,M708,M709,M710,M711)/I706, 2),0)</f>
        <v>805.05</v>
      </c>
      <c r="K706" s="55">
        <v>1225</v>
      </c>
      <c r="L706" s="55">
        <f>J706+ROUND(K706, 2)</f>
        <v>2030.05</v>
      </c>
      <c r="M706" s="55">
        <f>ROUND(J706*I706, 2)</f>
        <v>149417.28</v>
      </c>
      <c r="N706" s="55">
        <f>ROUND(I706*ROUND(K706, 2), 2)</f>
        <v>227360</v>
      </c>
      <c r="O706" s="55">
        <f>M706+N706</f>
        <v>376777.28</v>
      </c>
      <c r="P706" s="55">
        <f>IFERROR(ROUND(SUM(S707,S708,S709,S710,S711)/I706, 2),0)</f>
        <v>805.05</v>
      </c>
      <c r="Q706" s="55">
        <v>1739.5</v>
      </c>
      <c r="R706" s="55">
        <f>P706+ROUND(Q706, 2)</f>
        <v>2544.5500000000002</v>
      </c>
      <c r="S706" s="55">
        <f>ROUND(P706*I706, 2)</f>
        <v>149417.28</v>
      </c>
      <c r="T706" s="55">
        <f>ROUND(I706*ROUND(Q706, 2), 2)</f>
        <v>322851.20000000001</v>
      </c>
      <c r="U706" s="55">
        <f>S706+T706</f>
        <v>472268.48</v>
      </c>
      <c r="V706" s="9">
        <f>ROUND(P706 / 1.2, 2)</f>
        <v>670.88</v>
      </c>
      <c r="W706" s="9">
        <f>ROUND(Q706 / 1.2, 2)</f>
        <v>1449.58</v>
      </c>
      <c r="X706" s="9">
        <f>ROUND(R706 / 1.2, 2)</f>
        <v>2120.46</v>
      </c>
      <c r="Y706" s="9">
        <f t="shared" si="131"/>
        <v>124514.4</v>
      </c>
      <c r="Z706" s="9">
        <f>ROUND(T706 / 1.2, 2)</f>
        <v>269042.67</v>
      </c>
      <c r="AA706" s="9">
        <f>Y706+Z706</f>
        <v>393557.06999999995</v>
      </c>
      <c r="AD706" s="4">
        <v>295859983</v>
      </c>
      <c r="AE706" s="4">
        <v>22502065</v>
      </c>
      <c r="AG706" s="4" t="s">
        <v>217</v>
      </c>
      <c r="AH706" s="4" t="s">
        <v>218</v>
      </c>
      <c r="AI706" s="4" t="s">
        <v>66</v>
      </c>
    </row>
    <row r="707" spans="1:35" ht="36" x14ac:dyDescent="0.35">
      <c r="A707" s="51" t="s">
        <v>1966</v>
      </c>
      <c r="B707" s="51"/>
      <c r="C707" s="47" t="s">
        <v>254</v>
      </c>
      <c r="D707" s="53"/>
      <c r="E707" s="53"/>
      <c r="F707" s="57" t="s">
        <v>63</v>
      </c>
      <c r="G707" s="58">
        <v>2.2000000000000002</v>
      </c>
      <c r="H707" s="53"/>
      <c r="I707" s="58">
        <v>408.32</v>
      </c>
      <c r="J707" s="59">
        <v>104.57</v>
      </c>
      <c r="K707" s="60"/>
      <c r="L707" s="60"/>
      <c r="M707" s="59">
        <f>ROUND(ROUND(J707, 2)*I707, 2)</f>
        <v>42698.02</v>
      </c>
      <c r="N707" s="60"/>
      <c r="O707" s="60"/>
      <c r="P707" s="59">
        <v>104.57</v>
      </c>
      <c r="Q707" s="60"/>
      <c r="R707" s="60"/>
      <c r="S707" s="59">
        <f>ROUND(ROUND(P707, 2)*I707, 2)</f>
        <v>42698.02</v>
      </c>
      <c r="T707" s="60"/>
      <c r="U707" s="61"/>
      <c r="V707" s="9">
        <f>ROUND(ROUND(P707, 2)/1.2, 2)</f>
        <v>87.14</v>
      </c>
      <c r="Y707" s="9">
        <f t="shared" si="131"/>
        <v>35581.68</v>
      </c>
      <c r="AD707" s="4" t="s">
        <v>1967</v>
      </c>
      <c r="AE707" s="4" t="s">
        <v>1968</v>
      </c>
      <c r="AF707" s="4" t="s">
        <v>257</v>
      </c>
    </row>
    <row r="708" spans="1:35" ht="36" x14ac:dyDescent="0.35">
      <c r="A708" s="51" t="s">
        <v>1969</v>
      </c>
      <c r="B708" s="51"/>
      <c r="C708" s="47" t="s">
        <v>92</v>
      </c>
      <c r="D708" s="53"/>
      <c r="E708" s="53"/>
      <c r="F708" s="57" t="s">
        <v>93</v>
      </c>
      <c r="G708" s="58">
        <v>5.1999999999999998E-2</v>
      </c>
      <c r="H708" s="53"/>
      <c r="I708" s="58">
        <v>9.6509999999999998</v>
      </c>
      <c r="J708" s="59">
        <v>4026.8</v>
      </c>
      <c r="K708" s="60"/>
      <c r="L708" s="60"/>
      <c r="M708" s="59">
        <f>ROUND(ROUND(J708, 2)*I708, 2)</f>
        <v>38862.65</v>
      </c>
      <c r="N708" s="60"/>
      <c r="O708" s="60"/>
      <c r="P708" s="59">
        <v>4026.8</v>
      </c>
      <c r="Q708" s="60"/>
      <c r="R708" s="60"/>
      <c r="S708" s="59">
        <f>ROUND(ROUND(P708, 2)*I708, 2)</f>
        <v>38862.65</v>
      </c>
      <c r="T708" s="60"/>
      <c r="U708" s="61"/>
      <c r="V708" s="9">
        <f>ROUND(ROUND(P708, 2)/1.2, 2)</f>
        <v>3355.67</v>
      </c>
      <c r="Y708" s="9">
        <f t="shared" si="131"/>
        <v>32385.54</v>
      </c>
      <c r="AD708" s="4" t="s">
        <v>1970</v>
      </c>
      <c r="AE708" s="4" t="s">
        <v>1971</v>
      </c>
      <c r="AF708" s="4" t="s">
        <v>96</v>
      </c>
    </row>
    <row r="709" spans="1:35" ht="18" x14ac:dyDescent="0.35">
      <c r="A709" s="51" t="s">
        <v>1972</v>
      </c>
      <c r="B709" s="51"/>
      <c r="C709" s="47" t="s">
        <v>77</v>
      </c>
      <c r="D709" s="53"/>
      <c r="E709" s="53"/>
      <c r="F709" s="57" t="s">
        <v>78</v>
      </c>
      <c r="G709" s="58">
        <v>0.86</v>
      </c>
      <c r="H709" s="53"/>
      <c r="I709" s="62">
        <v>159.61600000000001</v>
      </c>
      <c r="J709" s="59">
        <v>63.73</v>
      </c>
      <c r="K709" s="60"/>
      <c r="L709" s="60"/>
      <c r="M709" s="59">
        <f>ROUND(ROUND(J709, 2)*I709, 2)</f>
        <v>10172.33</v>
      </c>
      <c r="N709" s="60"/>
      <c r="O709" s="60"/>
      <c r="P709" s="59">
        <v>63.73</v>
      </c>
      <c r="Q709" s="60"/>
      <c r="R709" s="60"/>
      <c r="S709" s="59">
        <f>ROUND(ROUND(P709, 2)*I709, 2)</f>
        <v>10172.33</v>
      </c>
      <c r="T709" s="60"/>
      <c r="U709" s="61"/>
      <c r="V709" s="9">
        <f>ROUND(ROUND(P709, 2)/1.2, 2)</f>
        <v>53.11</v>
      </c>
      <c r="Y709" s="9">
        <f t="shared" si="131"/>
        <v>8476.94</v>
      </c>
      <c r="AD709" s="4" t="s">
        <v>1973</v>
      </c>
      <c r="AE709" s="4" t="s">
        <v>1974</v>
      </c>
      <c r="AF709" s="4" t="s">
        <v>81</v>
      </c>
    </row>
    <row r="710" spans="1:35" ht="18" x14ac:dyDescent="0.35">
      <c r="A710" s="51" t="s">
        <v>1975</v>
      </c>
      <c r="B710" s="51"/>
      <c r="C710" s="47" t="s">
        <v>85</v>
      </c>
      <c r="D710" s="53"/>
      <c r="E710" s="53"/>
      <c r="F710" s="57" t="s">
        <v>78</v>
      </c>
      <c r="G710" s="58">
        <v>2.1</v>
      </c>
      <c r="H710" s="53"/>
      <c r="I710" s="62">
        <v>389.76</v>
      </c>
      <c r="J710" s="59">
        <v>95.07</v>
      </c>
      <c r="K710" s="60"/>
      <c r="L710" s="60"/>
      <c r="M710" s="59">
        <f>ROUND(ROUND(J710, 2)*I710, 2)</f>
        <v>37054.480000000003</v>
      </c>
      <c r="N710" s="60"/>
      <c r="O710" s="60"/>
      <c r="P710" s="59">
        <v>95.07</v>
      </c>
      <c r="Q710" s="60"/>
      <c r="R710" s="60"/>
      <c r="S710" s="59">
        <f>ROUND(ROUND(P710, 2)*I710, 2)</f>
        <v>37054.480000000003</v>
      </c>
      <c r="T710" s="60"/>
      <c r="U710" s="61"/>
      <c r="V710" s="9">
        <f>ROUND(ROUND(P710, 2)/1.2, 2)</f>
        <v>79.23</v>
      </c>
      <c r="Y710" s="9">
        <f t="shared" si="131"/>
        <v>30878.73</v>
      </c>
      <c r="AD710" s="4" t="s">
        <v>1976</v>
      </c>
      <c r="AE710" s="4" t="s">
        <v>1977</v>
      </c>
      <c r="AF710" s="4" t="s">
        <v>88</v>
      </c>
    </row>
    <row r="711" spans="1:35" ht="72" x14ac:dyDescent="0.35">
      <c r="A711" s="51" t="s">
        <v>1978</v>
      </c>
      <c r="B711" s="51"/>
      <c r="C711" s="56" t="s">
        <v>222</v>
      </c>
      <c r="D711" s="53"/>
      <c r="E711" s="53"/>
      <c r="F711" s="57" t="s">
        <v>70</v>
      </c>
      <c r="G711" s="58">
        <v>1</v>
      </c>
      <c r="H711" s="53"/>
      <c r="I711" s="58">
        <v>185.6</v>
      </c>
      <c r="J711" s="59">
        <v>111.15</v>
      </c>
      <c r="K711" s="60"/>
      <c r="L711" s="60"/>
      <c r="M711" s="59">
        <f>ROUND(ROUND(J711, 2)*I711, 2)</f>
        <v>20629.439999999999</v>
      </c>
      <c r="N711" s="60"/>
      <c r="O711" s="60"/>
      <c r="P711" s="59">
        <v>111.15</v>
      </c>
      <c r="Q711" s="60"/>
      <c r="R711" s="60"/>
      <c r="S711" s="59">
        <f>ROUND(ROUND(P711, 2)*I711, 2)</f>
        <v>20629.439999999999</v>
      </c>
      <c r="T711" s="60"/>
      <c r="U711" s="61"/>
      <c r="V711" s="9">
        <f>ROUND(ROUND(P711, 2)/1.2, 2)</f>
        <v>92.63</v>
      </c>
      <c r="Y711" s="9">
        <f t="shared" si="131"/>
        <v>17191.2</v>
      </c>
      <c r="AD711" s="4" t="s">
        <v>1979</v>
      </c>
      <c r="AE711" s="4" t="s">
        <v>1980</v>
      </c>
      <c r="AF711" s="4" t="s">
        <v>225</v>
      </c>
    </row>
    <row r="712" spans="1:35" ht="306" x14ac:dyDescent="0.35">
      <c r="A712" s="51" t="s">
        <v>1981</v>
      </c>
      <c r="B712" s="51" t="s">
        <v>215</v>
      </c>
      <c r="C712" s="52" t="s">
        <v>216</v>
      </c>
      <c r="D712" s="53" t="s">
        <v>61</v>
      </c>
      <c r="E712" s="53" t="s">
        <v>252</v>
      </c>
      <c r="F712" s="53" t="s">
        <v>63</v>
      </c>
      <c r="G712" s="54">
        <v>1</v>
      </c>
      <c r="H712" s="53"/>
      <c r="I712" s="54">
        <v>2480.6999999999998</v>
      </c>
      <c r="J712" s="55">
        <f>IFERROR(ROUND(SUM(M713,M714,M715,M716,M717)/I712, 2),0)</f>
        <v>805.05</v>
      </c>
      <c r="K712" s="55">
        <v>1225</v>
      </c>
      <c r="L712" s="55">
        <f>J712+ROUND(K712, 2)</f>
        <v>2030.05</v>
      </c>
      <c r="M712" s="55">
        <f>ROUND(J712*I712, 2)</f>
        <v>1997087.54</v>
      </c>
      <c r="N712" s="55">
        <f>ROUND(I712*ROUND(K712, 2), 2)</f>
        <v>3038857.5</v>
      </c>
      <c r="O712" s="55">
        <f>M712+N712</f>
        <v>5035945.04</v>
      </c>
      <c r="P712" s="55">
        <f>IFERROR(ROUND(SUM(S713,S714,S715,S716,S717)/I712, 2),0)</f>
        <v>805.05</v>
      </c>
      <c r="Q712" s="55">
        <v>1739.5</v>
      </c>
      <c r="R712" s="55">
        <f>P712+ROUND(Q712, 2)</f>
        <v>2544.5500000000002</v>
      </c>
      <c r="S712" s="55">
        <f>ROUND(P712*I712, 2)</f>
        <v>1997087.54</v>
      </c>
      <c r="T712" s="55">
        <f>ROUND(I712*ROUND(Q712, 2), 2)</f>
        <v>4315177.6500000004</v>
      </c>
      <c r="U712" s="55">
        <f>S712+T712</f>
        <v>6312265.1900000004</v>
      </c>
      <c r="V712" s="9">
        <f>ROUND(P712 / 1.2, 2)</f>
        <v>670.88</v>
      </c>
      <c r="W712" s="9">
        <f>ROUND(Q712 / 1.2, 2)</f>
        <v>1449.58</v>
      </c>
      <c r="X712" s="9">
        <f>ROUND(R712 / 1.2, 2)</f>
        <v>2120.46</v>
      </c>
      <c r="Y712" s="9">
        <f t="shared" si="131"/>
        <v>1664239.62</v>
      </c>
      <c r="Z712" s="9">
        <f>ROUND(T712 / 1.2, 2)</f>
        <v>3595981.38</v>
      </c>
      <c r="AA712" s="9">
        <f>Y712+Z712</f>
        <v>5260221</v>
      </c>
      <c r="AD712" s="4">
        <v>295859984</v>
      </c>
      <c r="AE712" s="4">
        <v>22502064</v>
      </c>
      <c r="AG712" s="4" t="s">
        <v>217</v>
      </c>
      <c r="AH712" s="4" t="s">
        <v>218</v>
      </c>
      <c r="AI712" s="4" t="s">
        <v>66</v>
      </c>
    </row>
    <row r="713" spans="1:35" ht="72" x14ac:dyDescent="0.35">
      <c r="A713" s="51" t="s">
        <v>1982</v>
      </c>
      <c r="B713" s="51"/>
      <c r="C713" s="56" t="s">
        <v>222</v>
      </c>
      <c r="D713" s="53"/>
      <c r="E713" s="53"/>
      <c r="F713" s="57" t="s">
        <v>70</v>
      </c>
      <c r="G713" s="58">
        <v>1</v>
      </c>
      <c r="H713" s="53"/>
      <c r="I713" s="58">
        <v>2480.6999999999998</v>
      </c>
      <c r="J713" s="59">
        <v>111.15</v>
      </c>
      <c r="K713" s="60"/>
      <c r="L713" s="60"/>
      <c r="M713" s="59">
        <f>ROUND(ROUND(J713, 2)*I713, 2)</f>
        <v>275729.81</v>
      </c>
      <c r="N713" s="60"/>
      <c r="O713" s="60"/>
      <c r="P713" s="59">
        <v>111.15</v>
      </c>
      <c r="Q713" s="60"/>
      <c r="R713" s="60"/>
      <c r="S713" s="59">
        <f>ROUND(ROUND(P713, 2)*I713, 2)</f>
        <v>275729.81</v>
      </c>
      <c r="T713" s="60"/>
      <c r="U713" s="61"/>
      <c r="V713" s="9">
        <f>ROUND(ROUND(P713, 2)/1.2, 2)</f>
        <v>92.63</v>
      </c>
      <c r="Y713" s="9">
        <f t="shared" si="131"/>
        <v>229774.84</v>
      </c>
      <c r="AD713" s="4" t="s">
        <v>1983</v>
      </c>
      <c r="AE713" s="4" t="s">
        <v>1984</v>
      </c>
      <c r="AF713" s="4" t="s">
        <v>225</v>
      </c>
    </row>
    <row r="714" spans="1:35" ht="18" x14ac:dyDescent="0.35">
      <c r="A714" s="51" t="s">
        <v>1985</v>
      </c>
      <c r="B714" s="51"/>
      <c r="C714" s="47" t="s">
        <v>77</v>
      </c>
      <c r="D714" s="53"/>
      <c r="E714" s="53"/>
      <c r="F714" s="57" t="s">
        <v>78</v>
      </c>
      <c r="G714" s="58">
        <v>0.86</v>
      </c>
      <c r="H714" s="53"/>
      <c r="I714" s="62">
        <v>2133.402</v>
      </c>
      <c r="J714" s="59">
        <v>63.73</v>
      </c>
      <c r="K714" s="60"/>
      <c r="L714" s="60"/>
      <c r="M714" s="59">
        <f>ROUND(ROUND(J714, 2)*I714, 2)</f>
        <v>135961.71</v>
      </c>
      <c r="N714" s="60"/>
      <c r="O714" s="60"/>
      <c r="P714" s="59">
        <v>63.73</v>
      </c>
      <c r="Q714" s="60"/>
      <c r="R714" s="60"/>
      <c r="S714" s="59">
        <f>ROUND(ROUND(P714, 2)*I714, 2)</f>
        <v>135961.71</v>
      </c>
      <c r="T714" s="60"/>
      <c r="U714" s="61"/>
      <c r="V714" s="9">
        <f>ROUND(ROUND(P714, 2)/1.2, 2)</f>
        <v>53.11</v>
      </c>
      <c r="Y714" s="9">
        <f t="shared" si="131"/>
        <v>113301.43</v>
      </c>
      <c r="AD714" s="4" t="s">
        <v>1986</v>
      </c>
      <c r="AE714" s="4" t="s">
        <v>1987</v>
      </c>
      <c r="AF714" s="4" t="s">
        <v>81</v>
      </c>
    </row>
    <row r="715" spans="1:35" ht="18" x14ac:dyDescent="0.35">
      <c r="A715" s="51" t="s">
        <v>1988</v>
      </c>
      <c r="B715" s="51"/>
      <c r="C715" s="47" t="s">
        <v>85</v>
      </c>
      <c r="D715" s="53"/>
      <c r="E715" s="53"/>
      <c r="F715" s="57" t="s">
        <v>78</v>
      </c>
      <c r="G715" s="58">
        <v>2.1</v>
      </c>
      <c r="H715" s="53"/>
      <c r="I715" s="62">
        <v>5209.47</v>
      </c>
      <c r="J715" s="59">
        <v>95.07</v>
      </c>
      <c r="K715" s="60"/>
      <c r="L715" s="60"/>
      <c r="M715" s="59">
        <f>ROUND(ROUND(J715, 2)*I715, 2)</f>
        <v>495264.31</v>
      </c>
      <c r="N715" s="60"/>
      <c r="O715" s="60"/>
      <c r="P715" s="59">
        <v>95.07</v>
      </c>
      <c r="Q715" s="60"/>
      <c r="R715" s="60"/>
      <c r="S715" s="59">
        <f>ROUND(ROUND(P715, 2)*I715, 2)</f>
        <v>495264.31</v>
      </c>
      <c r="T715" s="60"/>
      <c r="U715" s="61"/>
      <c r="V715" s="9">
        <f>ROUND(ROUND(P715, 2)/1.2, 2)</f>
        <v>79.23</v>
      </c>
      <c r="Y715" s="9">
        <f t="shared" si="131"/>
        <v>412720.26</v>
      </c>
      <c r="AD715" s="4" t="s">
        <v>1989</v>
      </c>
      <c r="AE715" s="4" t="s">
        <v>1990</v>
      </c>
      <c r="AF715" s="4" t="s">
        <v>88</v>
      </c>
    </row>
    <row r="716" spans="1:35" ht="36" x14ac:dyDescent="0.35">
      <c r="A716" s="51" t="s">
        <v>1991</v>
      </c>
      <c r="B716" s="51"/>
      <c r="C716" s="47" t="s">
        <v>92</v>
      </c>
      <c r="D716" s="53"/>
      <c r="E716" s="53"/>
      <c r="F716" s="57" t="s">
        <v>93</v>
      </c>
      <c r="G716" s="58">
        <v>5.1999999999999998E-2</v>
      </c>
      <c r="H716" s="53"/>
      <c r="I716" s="58">
        <v>128.99600000000001</v>
      </c>
      <c r="J716" s="59">
        <v>4026.8</v>
      </c>
      <c r="K716" s="60"/>
      <c r="L716" s="60"/>
      <c r="M716" s="59">
        <f>ROUND(ROUND(J716, 2)*I716, 2)</f>
        <v>519441.09</v>
      </c>
      <c r="N716" s="60"/>
      <c r="O716" s="60"/>
      <c r="P716" s="59">
        <v>4026.8</v>
      </c>
      <c r="Q716" s="60"/>
      <c r="R716" s="60"/>
      <c r="S716" s="59">
        <f>ROUND(ROUND(P716, 2)*I716, 2)</f>
        <v>519441.09</v>
      </c>
      <c r="T716" s="60"/>
      <c r="U716" s="61"/>
      <c r="V716" s="9">
        <f>ROUND(ROUND(P716, 2)/1.2, 2)</f>
        <v>3355.67</v>
      </c>
      <c r="Y716" s="9">
        <f t="shared" si="131"/>
        <v>432867.58</v>
      </c>
      <c r="AD716" s="4" t="s">
        <v>1992</v>
      </c>
      <c r="AE716" s="4" t="s">
        <v>1993</v>
      </c>
      <c r="AF716" s="4" t="s">
        <v>96</v>
      </c>
    </row>
    <row r="717" spans="1:35" ht="36" x14ac:dyDescent="0.35">
      <c r="A717" s="51" t="s">
        <v>1994</v>
      </c>
      <c r="B717" s="51"/>
      <c r="C717" s="47" t="s">
        <v>254</v>
      </c>
      <c r="D717" s="53"/>
      <c r="E717" s="53"/>
      <c r="F717" s="57" t="s">
        <v>63</v>
      </c>
      <c r="G717" s="58">
        <v>2.2000000000000002</v>
      </c>
      <c r="H717" s="53"/>
      <c r="I717" s="58">
        <v>5457.54</v>
      </c>
      <c r="J717" s="59">
        <v>104.57</v>
      </c>
      <c r="K717" s="60"/>
      <c r="L717" s="60"/>
      <c r="M717" s="59">
        <f>ROUND(ROUND(J717, 2)*I717, 2)</f>
        <v>570694.96</v>
      </c>
      <c r="N717" s="60"/>
      <c r="O717" s="60"/>
      <c r="P717" s="59">
        <v>104.57</v>
      </c>
      <c r="Q717" s="60"/>
      <c r="R717" s="60"/>
      <c r="S717" s="59">
        <f>ROUND(ROUND(P717, 2)*I717, 2)</f>
        <v>570694.96</v>
      </c>
      <c r="T717" s="60"/>
      <c r="U717" s="61"/>
      <c r="V717" s="9">
        <f>ROUND(ROUND(P717, 2)/1.2, 2)</f>
        <v>87.14</v>
      </c>
      <c r="Y717" s="9">
        <f t="shared" si="131"/>
        <v>475579.13</v>
      </c>
      <c r="AD717" s="4" t="s">
        <v>1995</v>
      </c>
      <c r="AE717" s="4" t="s">
        <v>1996</v>
      </c>
      <c r="AF717" s="4" t="s">
        <v>257</v>
      </c>
    </row>
    <row r="718" spans="1:35" ht="17" customHeight="1" x14ac:dyDescent="0.35">
      <c r="A718" s="51" t="s">
        <v>1997</v>
      </c>
      <c r="B718" s="51" t="s">
        <v>448</v>
      </c>
      <c r="C718" s="180" t="s">
        <v>449</v>
      </c>
      <c r="D718" s="181"/>
      <c r="E718" s="181"/>
      <c r="F718" s="181"/>
      <c r="G718" s="181"/>
      <c r="H718" s="181"/>
      <c r="I718" s="182"/>
      <c r="J718" s="60"/>
      <c r="K718" s="60"/>
      <c r="L718" s="60"/>
      <c r="M718" s="63">
        <f t="shared" ref="M718:O719" si="132">SUM(M719)</f>
        <v>54473477.200000003</v>
      </c>
      <c r="N718" s="63">
        <f t="shared" si="132"/>
        <v>67589897.219999999</v>
      </c>
      <c r="O718" s="63">
        <f t="shared" si="132"/>
        <v>122063374.42</v>
      </c>
      <c r="P718" s="60"/>
      <c r="Q718" s="60"/>
      <c r="R718" s="60"/>
      <c r="S718" s="63">
        <f t="shared" ref="S718:U719" si="133">SUM(S719)</f>
        <v>54473477.200000003</v>
      </c>
      <c r="T718" s="63">
        <f t="shared" si="133"/>
        <v>102078984.19</v>
      </c>
      <c r="U718" s="63">
        <f t="shared" si="133"/>
        <v>156552461.39000002</v>
      </c>
      <c r="Y718" s="9">
        <f t="shared" ref="Y718:AA719" si="134">SUM(Y719)</f>
        <v>45394564.380000003</v>
      </c>
      <c r="Z718" s="9">
        <f t="shared" si="134"/>
        <v>85065820.170000002</v>
      </c>
      <c r="AA718" s="9">
        <f t="shared" si="134"/>
        <v>130460384.55</v>
      </c>
      <c r="AD718" s="4">
        <v>295859913</v>
      </c>
      <c r="AE718" s="4">
        <v>22502021</v>
      </c>
    </row>
    <row r="719" spans="1:35" ht="17" customHeight="1" x14ac:dyDescent="0.35">
      <c r="A719" s="51" t="s">
        <v>1998</v>
      </c>
      <c r="B719" s="51" t="s">
        <v>451</v>
      </c>
      <c r="C719" s="180" t="s">
        <v>452</v>
      </c>
      <c r="D719" s="181"/>
      <c r="E719" s="181"/>
      <c r="F719" s="181"/>
      <c r="G719" s="181"/>
      <c r="H719" s="181"/>
      <c r="I719" s="182"/>
      <c r="J719" s="60"/>
      <c r="K719" s="60"/>
      <c r="L719" s="60"/>
      <c r="M719" s="63">
        <f t="shared" si="132"/>
        <v>54473477.200000003</v>
      </c>
      <c r="N719" s="63">
        <f t="shared" si="132"/>
        <v>67589897.219999999</v>
      </c>
      <c r="O719" s="63">
        <f t="shared" si="132"/>
        <v>122063374.42</v>
      </c>
      <c r="P719" s="60"/>
      <c r="Q719" s="60"/>
      <c r="R719" s="60"/>
      <c r="S719" s="63">
        <f t="shared" si="133"/>
        <v>54473477.200000003</v>
      </c>
      <c r="T719" s="63">
        <f t="shared" si="133"/>
        <v>102078984.19</v>
      </c>
      <c r="U719" s="63">
        <f t="shared" si="133"/>
        <v>156552461.39000002</v>
      </c>
      <c r="Y719" s="9">
        <f t="shared" si="134"/>
        <v>45394564.380000003</v>
      </c>
      <c r="Z719" s="9">
        <f t="shared" si="134"/>
        <v>85065820.170000002</v>
      </c>
      <c r="AA719" s="9">
        <f t="shared" si="134"/>
        <v>130460384.55</v>
      </c>
      <c r="AD719" s="4">
        <v>295859914</v>
      </c>
      <c r="AE719" s="4">
        <v>22502026</v>
      </c>
    </row>
    <row r="720" spans="1:35" ht="17" customHeight="1" x14ac:dyDescent="0.35">
      <c r="A720" s="51" t="s">
        <v>1999</v>
      </c>
      <c r="B720" s="51" t="s">
        <v>454</v>
      </c>
      <c r="C720" s="180" t="s">
        <v>455</v>
      </c>
      <c r="D720" s="181"/>
      <c r="E720" s="181"/>
      <c r="F720" s="181"/>
      <c r="G720" s="181"/>
      <c r="H720" s="181"/>
      <c r="I720" s="182"/>
      <c r="J720" s="60"/>
      <c r="K720" s="60"/>
      <c r="L720" s="60"/>
      <c r="M720" s="63">
        <f>SUM(M721,M809,M830,M853,M893)</f>
        <v>54473477.200000003</v>
      </c>
      <c r="N720" s="63">
        <f>SUM(N721,N809,N830,N853,N893)</f>
        <v>67589897.219999999</v>
      </c>
      <c r="O720" s="63">
        <f>SUM(O721,O809,O830,O853,O893)</f>
        <v>122063374.42</v>
      </c>
      <c r="P720" s="60"/>
      <c r="Q720" s="60"/>
      <c r="R720" s="60"/>
      <c r="S720" s="63">
        <f>SUM(S721,S809,S830,S853,S893)</f>
        <v>54473477.200000003</v>
      </c>
      <c r="T720" s="63">
        <f>SUM(T721,T809,T830,T853,T893)</f>
        <v>102078984.19</v>
      </c>
      <c r="U720" s="63">
        <f>SUM(U721,U809,U830,U853,U893)</f>
        <v>156552461.39000002</v>
      </c>
      <c r="Y720" s="9">
        <f>SUM(Y721,Y809,Y830,Y853,Y893)</f>
        <v>45394564.380000003</v>
      </c>
      <c r="Z720" s="9">
        <f>SUM(Z721,Z809,Z830,Z853,Z893)</f>
        <v>85065820.170000002</v>
      </c>
      <c r="AA720" s="9">
        <f>SUM(AA721,AA809,AA830,AA853,AA893)</f>
        <v>130460384.55</v>
      </c>
      <c r="AD720" s="4">
        <v>295859915</v>
      </c>
      <c r="AE720" s="4">
        <v>22502047</v>
      </c>
    </row>
    <row r="721" spans="1:35" ht="17" customHeight="1" x14ac:dyDescent="0.35">
      <c r="A721" s="51" t="s">
        <v>2000</v>
      </c>
      <c r="B721" s="51" t="s">
        <v>457</v>
      </c>
      <c r="C721" s="180" t="s">
        <v>458</v>
      </c>
      <c r="D721" s="181"/>
      <c r="E721" s="181"/>
      <c r="F721" s="181"/>
      <c r="G721" s="181"/>
      <c r="H721" s="181"/>
      <c r="I721" s="182"/>
      <c r="J721" s="60"/>
      <c r="K721" s="60"/>
      <c r="L721" s="60"/>
      <c r="M721" s="63">
        <f>SUM(M722,M734,M757)</f>
        <v>27686647.390000001</v>
      </c>
      <c r="N721" s="63">
        <f>SUM(N722,N734,N757)</f>
        <v>30700014.319999997</v>
      </c>
      <c r="O721" s="63">
        <f>SUM(O722,O734,O757)</f>
        <v>58386661.709999993</v>
      </c>
      <c r="P721" s="60"/>
      <c r="Q721" s="60"/>
      <c r="R721" s="60"/>
      <c r="S721" s="63">
        <f>SUM(S722,S734,S757)</f>
        <v>27686647.390000001</v>
      </c>
      <c r="T721" s="63">
        <f>SUM(T722,T734,T757)</f>
        <v>43594020.350000001</v>
      </c>
      <c r="U721" s="63">
        <f>SUM(U722,U734,U757)</f>
        <v>71280667.74000001</v>
      </c>
      <c r="Y721" s="9">
        <f>SUM(Y722,Y734,Y757)</f>
        <v>23072206.190000001</v>
      </c>
      <c r="Z721" s="9">
        <f>SUM(Z722,Z734,Z757)</f>
        <v>36328350.290000007</v>
      </c>
      <c r="AA721" s="9">
        <f>SUM(AA722,AA734,AA757)</f>
        <v>59400556.480000004</v>
      </c>
      <c r="AD721" s="4">
        <v>295859916</v>
      </c>
      <c r="AE721" s="4">
        <v>22502051</v>
      </c>
    </row>
    <row r="722" spans="1:35" ht="17" customHeight="1" x14ac:dyDescent="0.35">
      <c r="A722" s="51" t="s">
        <v>2001</v>
      </c>
      <c r="B722" s="51" t="s">
        <v>460</v>
      </c>
      <c r="C722" s="180" t="s">
        <v>461</v>
      </c>
      <c r="D722" s="181"/>
      <c r="E722" s="181"/>
      <c r="F722" s="181"/>
      <c r="G722" s="181"/>
      <c r="H722" s="181"/>
      <c r="I722" s="182"/>
      <c r="J722" s="60"/>
      <c r="K722" s="60"/>
      <c r="L722" s="60"/>
      <c r="M722" s="63">
        <f>SUM(M723,M725,M730)</f>
        <v>1283835.6700000002</v>
      </c>
      <c r="N722" s="63">
        <f>SUM(N723,N725,N730)</f>
        <v>7086703.3000000007</v>
      </c>
      <c r="O722" s="63">
        <f>SUM(O723,O725,O730)</f>
        <v>8370538.9700000007</v>
      </c>
      <c r="P722" s="60"/>
      <c r="Q722" s="60"/>
      <c r="R722" s="60"/>
      <c r="S722" s="63">
        <f>SUM(S723,S725,S730)</f>
        <v>1283835.6700000002</v>
      </c>
      <c r="T722" s="63">
        <f>SUM(T723,T725,T730)</f>
        <v>10063118.689999999</v>
      </c>
      <c r="U722" s="63">
        <f>SUM(U723,U725,U730)</f>
        <v>11346954.360000001</v>
      </c>
      <c r="Y722" s="9">
        <f>SUM(Y723,Y725,Y730)</f>
        <v>1069863.06</v>
      </c>
      <c r="Z722" s="9">
        <f>SUM(Z723,Z725,Z730)</f>
        <v>8385932.2400000012</v>
      </c>
      <c r="AA722" s="9">
        <f>SUM(AA723,AA725,AA730)</f>
        <v>9455795.3000000007</v>
      </c>
      <c r="AD722" s="4">
        <v>295859917</v>
      </c>
      <c r="AE722" s="4">
        <v>22502043</v>
      </c>
    </row>
    <row r="723" spans="1:35" ht="36" x14ac:dyDescent="0.35">
      <c r="A723" s="51" t="s">
        <v>2002</v>
      </c>
      <c r="B723" s="51" t="s">
        <v>463</v>
      </c>
      <c r="C723" s="52" t="s">
        <v>464</v>
      </c>
      <c r="D723" s="53"/>
      <c r="E723" s="53" t="s">
        <v>469</v>
      </c>
      <c r="F723" s="53" t="s">
        <v>63</v>
      </c>
      <c r="G723" s="54">
        <v>1</v>
      </c>
      <c r="H723" s="53"/>
      <c r="I723" s="54">
        <v>22.6</v>
      </c>
      <c r="J723" s="55">
        <f>IFERROR(ROUND(SUM(M724)/I723, 2),0)</f>
        <v>51.44</v>
      </c>
      <c r="K723" s="55">
        <v>40</v>
      </c>
      <c r="L723" s="55">
        <f>J723+ROUND(K723, 2)</f>
        <v>91.44</v>
      </c>
      <c r="M723" s="55">
        <f>ROUND(J723*I723, 2)</f>
        <v>1162.54</v>
      </c>
      <c r="N723" s="55">
        <f>ROUND(I723*ROUND(K723, 2), 2)</f>
        <v>904</v>
      </c>
      <c r="O723" s="55">
        <f>M723+N723</f>
        <v>2066.54</v>
      </c>
      <c r="P723" s="55">
        <f>IFERROR(ROUND(SUM(S724)/I723, 2),0)</f>
        <v>51.44</v>
      </c>
      <c r="Q723" s="55">
        <v>56.8</v>
      </c>
      <c r="R723" s="55">
        <f>P723+ROUND(Q723, 2)</f>
        <v>108.24</v>
      </c>
      <c r="S723" s="55">
        <f>ROUND(P723*I723, 2)</f>
        <v>1162.54</v>
      </c>
      <c r="T723" s="55">
        <f>ROUND(I723*ROUND(Q723, 2), 2)</f>
        <v>1283.68</v>
      </c>
      <c r="U723" s="55">
        <f>S723+T723</f>
        <v>2446.2200000000003</v>
      </c>
      <c r="V723" s="9">
        <f>ROUND(P723 / 1.2, 2)</f>
        <v>42.87</v>
      </c>
      <c r="W723" s="9">
        <f>ROUND(Q723 / 1.2, 2)</f>
        <v>47.33</v>
      </c>
      <c r="X723" s="9">
        <f>ROUND(R723 / 1.2, 2)</f>
        <v>90.2</v>
      </c>
      <c r="Y723" s="9">
        <f>ROUND(S723 / 1.2, 2)</f>
        <v>968.78</v>
      </c>
      <c r="Z723" s="9">
        <f>ROUND(T723 / 1.2, 2)</f>
        <v>1069.73</v>
      </c>
      <c r="AA723" s="9">
        <f>Y723+Z723</f>
        <v>2038.51</v>
      </c>
      <c r="AD723" s="4">
        <v>295859919</v>
      </c>
      <c r="AE723" s="4">
        <v>22502098</v>
      </c>
      <c r="AG723" s="4" t="s">
        <v>465</v>
      </c>
      <c r="AH723" s="4" t="s">
        <v>466</v>
      </c>
      <c r="AI723" s="4" t="s">
        <v>467</v>
      </c>
    </row>
    <row r="724" spans="1:35" ht="18" x14ac:dyDescent="0.35">
      <c r="A724" s="51" t="s">
        <v>2003</v>
      </c>
      <c r="B724" s="51"/>
      <c r="C724" s="56" t="s">
        <v>471</v>
      </c>
      <c r="D724" s="53"/>
      <c r="E724" s="53"/>
      <c r="F724" s="57" t="s">
        <v>63</v>
      </c>
      <c r="G724" s="58">
        <v>1.1000000000000001</v>
      </c>
      <c r="H724" s="53"/>
      <c r="I724" s="58">
        <v>24.86</v>
      </c>
      <c r="J724" s="59">
        <v>46.76</v>
      </c>
      <c r="K724" s="60"/>
      <c r="L724" s="60"/>
      <c r="M724" s="59">
        <f>ROUND(ROUND(J724, 2)*I724, 2)</f>
        <v>1162.45</v>
      </c>
      <c r="N724" s="60"/>
      <c r="O724" s="60"/>
      <c r="P724" s="59">
        <v>46.76</v>
      </c>
      <c r="Q724" s="60"/>
      <c r="R724" s="60"/>
      <c r="S724" s="59">
        <f>ROUND(ROUND(P724, 2)*I724, 2)</f>
        <v>1162.45</v>
      </c>
      <c r="T724" s="60"/>
      <c r="U724" s="61"/>
      <c r="V724" s="9">
        <f>ROUND(ROUND(P724, 2)/1.2, 2)</f>
        <v>38.97</v>
      </c>
      <c r="Y724" s="9">
        <f t="shared" ref="Y724:Y733" si="135">ROUND(S724 / 1.2, 2)</f>
        <v>968.71</v>
      </c>
      <c r="AD724" s="4" t="s">
        <v>2004</v>
      </c>
      <c r="AE724" s="4" t="s">
        <v>2005</v>
      </c>
      <c r="AF724" s="4" t="s">
        <v>474</v>
      </c>
    </row>
    <row r="725" spans="1:35" ht="36" x14ac:dyDescent="0.35">
      <c r="A725" s="51" t="s">
        <v>2006</v>
      </c>
      <c r="B725" s="51" t="s">
        <v>482</v>
      </c>
      <c r="C725" s="52" t="s">
        <v>483</v>
      </c>
      <c r="D725" s="53"/>
      <c r="E725" s="53" t="s">
        <v>487</v>
      </c>
      <c r="F725" s="53" t="s">
        <v>63</v>
      </c>
      <c r="G725" s="54">
        <v>1</v>
      </c>
      <c r="H725" s="53"/>
      <c r="I725" s="54">
        <v>7788.8</v>
      </c>
      <c r="J725" s="55">
        <f>IFERROR(ROUND(SUM(M726,M727,M728,M729)/I725, 2),0)</f>
        <v>151.97999999999999</v>
      </c>
      <c r="K725" s="55">
        <v>868</v>
      </c>
      <c r="L725" s="55">
        <f>J725+ROUND(K725, 2)</f>
        <v>1019.98</v>
      </c>
      <c r="M725" s="55">
        <f>ROUND(J725*I725, 2)</f>
        <v>1183741.82</v>
      </c>
      <c r="N725" s="55">
        <f>ROUND(I725*ROUND(K725, 2), 2)</f>
        <v>6760678.4000000004</v>
      </c>
      <c r="O725" s="55">
        <f>M725+N725</f>
        <v>7944420.2200000007</v>
      </c>
      <c r="P725" s="55">
        <f>IFERROR(ROUND(SUM(S726,S727,S728,S729)/I725, 2),0)</f>
        <v>151.97999999999999</v>
      </c>
      <c r="Q725" s="55">
        <v>1232.56</v>
      </c>
      <c r="R725" s="55">
        <f>P725+ROUND(Q725, 2)</f>
        <v>1384.54</v>
      </c>
      <c r="S725" s="55">
        <f>ROUND(P725*I725, 2)</f>
        <v>1183741.82</v>
      </c>
      <c r="T725" s="55">
        <f>ROUND(I725*ROUND(Q725, 2), 2)</f>
        <v>9600163.3300000001</v>
      </c>
      <c r="U725" s="55">
        <f>S725+T725</f>
        <v>10783905.15</v>
      </c>
      <c r="V725" s="9">
        <f>ROUND(P725 / 1.2, 2)</f>
        <v>126.65</v>
      </c>
      <c r="W725" s="9">
        <f>ROUND(Q725 / 1.2, 2)</f>
        <v>1027.1300000000001</v>
      </c>
      <c r="X725" s="9">
        <f>ROUND(R725 / 1.2, 2)</f>
        <v>1153.78</v>
      </c>
      <c r="Y725" s="9">
        <f t="shared" si="135"/>
        <v>986451.52</v>
      </c>
      <c r="Z725" s="9">
        <f>ROUND(T725 / 1.2, 2)</f>
        <v>8000136.1100000003</v>
      </c>
      <c r="AA725" s="9">
        <f>Y725+Z725</f>
        <v>8986587.6300000008</v>
      </c>
      <c r="AD725" s="4">
        <v>295859921</v>
      </c>
      <c r="AE725" s="4">
        <v>22502078</v>
      </c>
      <c r="AG725" s="4" t="s">
        <v>484</v>
      </c>
      <c r="AH725" s="4" t="s">
        <v>485</v>
      </c>
      <c r="AI725" s="4" t="s">
        <v>467</v>
      </c>
    </row>
    <row r="726" spans="1:35" ht="18" x14ac:dyDescent="0.35">
      <c r="A726" s="51" t="s">
        <v>2007</v>
      </c>
      <c r="B726" s="51"/>
      <c r="C726" s="56" t="s">
        <v>489</v>
      </c>
      <c r="D726" s="53"/>
      <c r="E726" s="53"/>
      <c r="F726" s="57" t="s">
        <v>490</v>
      </c>
      <c r="G726" s="58">
        <v>8</v>
      </c>
      <c r="H726" s="53"/>
      <c r="I726" s="62">
        <v>62310.400000000001</v>
      </c>
      <c r="J726" s="59">
        <v>2.5</v>
      </c>
      <c r="K726" s="60"/>
      <c r="L726" s="60"/>
      <c r="M726" s="59">
        <f>ROUND(ROUND(J726, 2)*I726, 2)</f>
        <v>155776</v>
      </c>
      <c r="N726" s="60"/>
      <c r="O726" s="60"/>
      <c r="P726" s="59">
        <v>2.5</v>
      </c>
      <c r="Q726" s="60"/>
      <c r="R726" s="60"/>
      <c r="S726" s="59">
        <f>ROUND(ROUND(P726, 2)*I726, 2)</f>
        <v>155776</v>
      </c>
      <c r="T726" s="60"/>
      <c r="U726" s="61"/>
      <c r="V726" s="9">
        <f>ROUND(ROUND(P726, 2)/1.2, 2)</f>
        <v>2.08</v>
      </c>
      <c r="Y726" s="9">
        <f t="shared" si="135"/>
        <v>129813.33</v>
      </c>
      <c r="AD726" s="4" t="s">
        <v>2008</v>
      </c>
      <c r="AE726" s="4" t="s">
        <v>2009</v>
      </c>
      <c r="AF726" s="4" t="s">
        <v>493</v>
      </c>
    </row>
    <row r="727" spans="1:35" ht="18" x14ac:dyDescent="0.35">
      <c r="A727" s="51" t="s">
        <v>2010</v>
      </c>
      <c r="B727" s="51"/>
      <c r="C727" s="56" t="s">
        <v>512</v>
      </c>
      <c r="D727" s="53"/>
      <c r="E727" s="53"/>
      <c r="F727" s="57" t="s">
        <v>78</v>
      </c>
      <c r="G727" s="58">
        <v>1</v>
      </c>
      <c r="H727" s="53"/>
      <c r="I727" s="62">
        <v>6544</v>
      </c>
      <c r="J727" s="59">
        <v>10.4</v>
      </c>
      <c r="K727" s="60"/>
      <c r="L727" s="60"/>
      <c r="M727" s="59">
        <f>ROUND(ROUND(J727, 2)*I727, 2)</f>
        <v>68057.600000000006</v>
      </c>
      <c r="N727" s="60"/>
      <c r="O727" s="60"/>
      <c r="P727" s="59">
        <v>10.4</v>
      </c>
      <c r="Q727" s="60"/>
      <c r="R727" s="60"/>
      <c r="S727" s="59">
        <f>ROUND(ROUND(P727, 2)*I727, 2)</f>
        <v>68057.600000000006</v>
      </c>
      <c r="T727" s="60"/>
      <c r="U727" s="61"/>
      <c r="V727" s="9">
        <f>ROUND(ROUND(P727, 2)/1.2, 2)</f>
        <v>8.67</v>
      </c>
      <c r="Y727" s="9">
        <f t="shared" si="135"/>
        <v>56714.67</v>
      </c>
      <c r="AD727" s="4" t="s">
        <v>2011</v>
      </c>
      <c r="AE727" s="4" t="s">
        <v>2012</v>
      </c>
      <c r="AF727" s="4" t="s">
        <v>515</v>
      </c>
    </row>
    <row r="728" spans="1:35" ht="18" x14ac:dyDescent="0.35">
      <c r="A728" s="51" t="s">
        <v>2013</v>
      </c>
      <c r="B728" s="51"/>
      <c r="C728" s="56" t="s">
        <v>497</v>
      </c>
      <c r="D728" s="53"/>
      <c r="E728" s="53"/>
      <c r="F728" s="57" t="s">
        <v>498</v>
      </c>
      <c r="G728" s="58">
        <v>1.8</v>
      </c>
      <c r="H728" s="53"/>
      <c r="I728" s="62">
        <v>14019.84</v>
      </c>
      <c r="J728" s="59">
        <v>6.17</v>
      </c>
      <c r="K728" s="60"/>
      <c r="L728" s="60"/>
      <c r="M728" s="59">
        <f>ROUND(ROUND(J728, 2)*I728, 2)</f>
        <v>86502.41</v>
      </c>
      <c r="N728" s="60"/>
      <c r="O728" s="60"/>
      <c r="P728" s="59">
        <v>6.17</v>
      </c>
      <c r="Q728" s="60"/>
      <c r="R728" s="60"/>
      <c r="S728" s="59">
        <f>ROUND(ROUND(P728, 2)*I728, 2)</f>
        <v>86502.41</v>
      </c>
      <c r="T728" s="60"/>
      <c r="U728" s="61"/>
      <c r="V728" s="9">
        <f>ROUND(ROUND(P728, 2)/1.2, 2)</f>
        <v>5.14</v>
      </c>
      <c r="Y728" s="9">
        <f t="shared" si="135"/>
        <v>72085.34</v>
      </c>
      <c r="AD728" s="4" t="s">
        <v>2014</v>
      </c>
      <c r="AE728" s="4" t="s">
        <v>2015</v>
      </c>
      <c r="AF728" s="4" t="s">
        <v>501</v>
      </c>
    </row>
    <row r="729" spans="1:35" ht="18" x14ac:dyDescent="0.35">
      <c r="A729" s="51" t="s">
        <v>2016</v>
      </c>
      <c r="B729" s="51"/>
      <c r="C729" s="56" t="s">
        <v>505</v>
      </c>
      <c r="D729" s="53"/>
      <c r="E729" s="53"/>
      <c r="F729" s="57" t="s">
        <v>63</v>
      </c>
      <c r="G729" s="58">
        <v>1.1000000000000001</v>
      </c>
      <c r="H729" s="53"/>
      <c r="I729" s="62">
        <v>8567.68</v>
      </c>
      <c r="J729" s="59">
        <v>101.94</v>
      </c>
      <c r="K729" s="60"/>
      <c r="L729" s="60"/>
      <c r="M729" s="59">
        <f>ROUND(ROUND(J729, 2)*I729, 2)</f>
        <v>873389.3</v>
      </c>
      <c r="N729" s="60"/>
      <c r="O729" s="60"/>
      <c r="P729" s="59">
        <v>101.94</v>
      </c>
      <c r="Q729" s="60"/>
      <c r="R729" s="60"/>
      <c r="S729" s="59">
        <f>ROUND(ROUND(P729, 2)*I729, 2)</f>
        <v>873389.3</v>
      </c>
      <c r="T729" s="60"/>
      <c r="U729" s="61"/>
      <c r="V729" s="9">
        <f>ROUND(ROUND(P729, 2)/1.2, 2)</f>
        <v>84.95</v>
      </c>
      <c r="Y729" s="9">
        <f t="shared" si="135"/>
        <v>727824.42</v>
      </c>
      <c r="AD729" s="4" t="s">
        <v>2017</v>
      </c>
      <c r="AE729" s="4" t="s">
        <v>2018</v>
      </c>
      <c r="AF729" s="4" t="s">
        <v>508</v>
      </c>
    </row>
    <row r="730" spans="1:35" ht="54" x14ac:dyDescent="0.35">
      <c r="A730" s="51" t="s">
        <v>2019</v>
      </c>
      <c r="B730" s="51" t="s">
        <v>532</v>
      </c>
      <c r="C730" s="52" t="s">
        <v>533</v>
      </c>
      <c r="D730" s="53"/>
      <c r="E730" s="53" t="s">
        <v>537</v>
      </c>
      <c r="F730" s="53" t="s">
        <v>63</v>
      </c>
      <c r="G730" s="54">
        <v>1</v>
      </c>
      <c r="H730" s="53"/>
      <c r="I730" s="54">
        <v>583.70000000000005</v>
      </c>
      <c r="J730" s="55">
        <f>IFERROR(ROUND(SUM(M731,M732,M733)/I730, 2),0)</f>
        <v>169.49</v>
      </c>
      <c r="K730" s="55">
        <v>557</v>
      </c>
      <c r="L730" s="55">
        <f>J730+ROUND(K730, 2)</f>
        <v>726.49</v>
      </c>
      <c r="M730" s="55">
        <f>ROUND(J730*I730, 2)</f>
        <v>98931.31</v>
      </c>
      <c r="N730" s="55">
        <f>ROUND(I730*ROUND(K730, 2), 2)</f>
        <v>325120.90000000002</v>
      </c>
      <c r="O730" s="55">
        <f>M730+N730</f>
        <v>424052.21</v>
      </c>
      <c r="P730" s="55">
        <f>IFERROR(ROUND(SUM(S731,S732,S733)/I730, 2),0)</f>
        <v>169.49</v>
      </c>
      <c r="Q730" s="55">
        <v>790.94</v>
      </c>
      <c r="R730" s="55">
        <f>P730+ROUND(Q730, 2)</f>
        <v>960.43000000000006</v>
      </c>
      <c r="S730" s="55">
        <f>ROUND(P730*I730, 2)</f>
        <v>98931.31</v>
      </c>
      <c r="T730" s="55">
        <f>ROUND(I730*ROUND(Q730, 2), 2)</f>
        <v>461671.67999999999</v>
      </c>
      <c r="U730" s="55">
        <f>S730+T730</f>
        <v>560602.99</v>
      </c>
      <c r="V730" s="9">
        <f>ROUND(P730 / 1.2, 2)</f>
        <v>141.24</v>
      </c>
      <c r="W730" s="9">
        <f>ROUND(Q730 / 1.2, 2)</f>
        <v>659.12</v>
      </c>
      <c r="X730" s="9">
        <f>ROUND(R730 / 1.2, 2)</f>
        <v>800.36</v>
      </c>
      <c r="Y730" s="9">
        <f t="shared" si="135"/>
        <v>82442.759999999995</v>
      </c>
      <c r="Z730" s="9">
        <f>ROUND(T730 / 1.2, 2)</f>
        <v>384726.4</v>
      </c>
      <c r="AA730" s="9">
        <f>Y730+Z730</f>
        <v>467169.16000000003</v>
      </c>
      <c r="AD730" s="4">
        <v>295859923</v>
      </c>
      <c r="AE730" s="4">
        <v>22502085</v>
      </c>
      <c r="AG730" s="4" t="s">
        <v>534</v>
      </c>
      <c r="AH730" s="4" t="s">
        <v>535</v>
      </c>
      <c r="AI730" s="4" t="s">
        <v>467</v>
      </c>
    </row>
    <row r="731" spans="1:35" ht="18" x14ac:dyDescent="0.35">
      <c r="A731" s="51" t="s">
        <v>2020</v>
      </c>
      <c r="B731" s="51"/>
      <c r="C731" s="56" t="s">
        <v>512</v>
      </c>
      <c r="D731" s="53"/>
      <c r="E731" s="53"/>
      <c r="F731" s="57" t="s">
        <v>78</v>
      </c>
      <c r="G731" s="58">
        <v>1</v>
      </c>
      <c r="H731" s="53"/>
      <c r="I731" s="62">
        <v>96.64</v>
      </c>
      <c r="J731" s="59">
        <v>10.4</v>
      </c>
      <c r="K731" s="60"/>
      <c r="L731" s="60"/>
      <c r="M731" s="59">
        <f>ROUND(ROUND(J731, 2)*I731, 2)</f>
        <v>1005.06</v>
      </c>
      <c r="N731" s="60"/>
      <c r="O731" s="60"/>
      <c r="P731" s="59">
        <v>10.4</v>
      </c>
      <c r="Q731" s="60"/>
      <c r="R731" s="60"/>
      <c r="S731" s="59">
        <f>ROUND(ROUND(P731, 2)*I731, 2)</f>
        <v>1005.06</v>
      </c>
      <c r="T731" s="60"/>
      <c r="U731" s="61"/>
      <c r="V731" s="9">
        <f>ROUND(ROUND(P731, 2)/1.2, 2)</f>
        <v>8.67</v>
      </c>
      <c r="Y731" s="9">
        <f t="shared" si="135"/>
        <v>837.55</v>
      </c>
      <c r="AD731" s="4" t="s">
        <v>2021</v>
      </c>
      <c r="AE731" s="4" t="s">
        <v>2022</v>
      </c>
      <c r="AF731" s="4" t="s">
        <v>515</v>
      </c>
    </row>
    <row r="732" spans="1:35" ht="36" x14ac:dyDescent="0.35">
      <c r="A732" s="51" t="s">
        <v>2023</v>
      </c>
      <c r="B732" s="51"/>
      <c r="C732" s="56" t="s">
        <v>544</v>
      </c>
      <c r="D732" s="53"/>
      <c r="E732" s="53"/>
      <c r="F732" s="57" t="s">
        <v>498</v>
      </c>
      <c r="G732" s="58">
        <v>0.255</v>
      </c>
      <c r="H732" s="53"/>
      <c r="I732" s="58">
        <v>148.84399999999999</v>
      </c>
      <c r="J732" s="59">
        <v>88.8</v>
      </c>
      <c r="K732" s="60"/>
      <c r="L732" s="60"/>
      <c r="M732" s="59">
        <f>ROUND(ROUND(J732, 2)*I732, 2)</f>
        <v>13217.35</v>
      </c>
      <c r="N732" s="60"/>
      <c r="O732" s="60"/>
      <c r="P732" s="59">
        <v>88.8</v>
      </c>
      <c r="Q732" s="60"/>
      <c r="R732" s="60"/>
      <c r="S732" s="59">
        <f>ROUND(ROUND(P732, 2)*I732, 2)</f>
        <v>13217.35</v>
      </c>
      <c r="T732" s="60"/>
      <c r="U732" s="61"/>
      <c r="V732" s="9">
        <f>ROUND(ROUND(P732, 2)/1.2, 2)</f>
        <v>74</v>
      </c>
      <c r="Y732" s="9">
        <f t="shared" si="135"/>
        <v>11014.46</v>
      </c>
      <c r="AD732" s="4" t="s">
        <v>2024</v>
      </c>
      <c r="AE732" s="4" t="s">
        <v>2025</v>
      </c>
      <c r="AF732" s="4" t="s">
        <v>547</v>
      </c>
    </row>
    <row r="733" spans="1:35" ht="36" x14ac:dyDescent="0.35">
      <c r="A733" s="51" t="s">
        <v>2026</v>
      </c>
      <c r="B733" s="51"/>
      <c r="C733" s="47" t="s">
        <v>551</v>
      </c>
      <c r="D733" s="53"/>
      <c r="E733" s="53"/>
      <c r="F733" s="57" t="s">
        <v>498</v>
      </c>
      <c r="G733" s="58">
        <v>1.6</v>
      </c>
      <c r="H733" s="53"/>
      <c r="I733" s="62">
        <v>9339.2000000000007</v>
      </c>
      <c r="J733" s="59">
        <v>9.07</v>
      </c>
      <c r="K733" s="60"/>
      <c r="L733" s="60"/>
      <c r="M733" s="59">
        <f>ROUND(ROUND(J733, 2)*I733, 2)</f>
        <v>84706.54</v>
      </c>
      <c r="N733" s="60"/>
      <c r="O733" s="60"/>
      <c r="P733" s="59">
        <v>9.07</v>
      </c>
      <c r="Q733" s="60"/>
      <c r="R733" s="60"/>
      <c r="S733" s="59">
        <f>ROUND(ROUND(P733, 2)*I733, 2)</f>
        <v>84706.54</v>
      </c>
      <c r="T733" s="60"/>
      <c r="U733" s="61"/>
      <c r="V733" s="9">
        <f>ROUND(ROUND(P733, 2)/1.2, 2)</f>
        <v>7.56</v>
      </c>
      <c r="Y733" s="9">
        <f t="shared" si="135"/>
        <v>70588.78</v>
      </c>
      <c r="AD733" s="4" t="s">
        <v>2027</v>
      </c>
      <c r="AE733" s="4" t="s">
        <v>2028</v>
      </c>
      <c r="AF733" s="4" t="s">
        <v>554</v>
      </c>
    </row>
    <row r="734" spans="1:35" ht="17" customHeight="1" x14ac:dyDescent="0.35">
      <c r="A734" s="51" t="s">
        <v>2029</v>
      </c>
      <c r="B734" s="51" t="s">
        <v>568</v>
      </c>
      <c r="C734" s="180" t="s">
        <v>569</v>
      </c>
      <c r="D734" s="181"/>
      <c r="E734" s="181"/>
      <c r="F734" s="181"/>
      <c r="G734" s="181"/>
      <c r="H734" s="181"/>
      <c r="I734" s="182"/>
      <c r="J734" s="60"/>
      <c r="K734" s="60"/>
      <c r="L734" s="60"/>
      <c r="M734" s="63">
        <f>SUM(M735,M737,M739,M741,M743,M745,M747,M749,M751,M753,M755)</f>
        <v>4197714.66</v>
      </c>
      <c r="N734" s="63">
        <f>SUM(N735,N737,N739,N741,N743,N745,N747,N749,N751,N753,N755)</f>
        <v>3555936.2399999993</v>
      </c>
      <c r="O734" s="63">
        <f>SUM(O735,O737,O739,O741,O743,O745,O747,O749,O751,O753,O755)</f>
        <v>7753650.8999999994</v>
      </c>
      <c r="P734" s="60"/>
      <c r="Q734" s="60"/>
      <c r="R734" s="60"/>
      <c r="S734" s="63">
        <f>SUM(S735,S737,S739,S741,S743,S745,S747,S749,S751,S753,S755)</f>
        <v>4197714.66</v>
      </c>
      <c r="T734" s="63">
        <f>SUM(T735,T737,T739,T741,T743,T745,T747,T749,T751,T753,T755)</f>
        <v>5049429.47</v>
      </c>
      <c r="U734" s="63">
        <f>SUM(U735,U737,U739,U741,U743,U745,U747,U749,U751,U753,U755)</f>
        <v>9247144.129999999</v>
      </c>
      <c r="Y734" s="9">
        <f>SUM(Y735,Y737,Y739,Y741,Y743,Y745,Y747,Y749,Y751,Y753,Y755)</f>
        <v>3498095.56</v>
      </c>
      <c r="Z734" s="9">
        <f>SUM(Z735,Z737,Z739,Z741,Z743,Z745,Z747,Z749,Z751,Z753,Z755)</f>
        <v>4207857.8900000006</v>
      </c>
      <c r="AA734" s="9">
        <f>SUM(AA735,AA737,AA739,AA741,AA743,AA745,AA747,AA749,AA751,AA753,AA755)</f>
        <v>7705953.4500000011</v>
      </c>
      <c r="AD734" s="4">
        <v>295859924</v>
      </c>
      <c r="AE734" s="4">
        <v>22502036</v>
      </c>
    </row>
    <row r="735" spans="1:35" ht="54" x14ac:dyDescent="0.35">
      <c r="A735" s="51" t="s">
        <v>2030</v>
      </c>
      <c r="B735" s="51" t="s">
        <v>571</v>
      </c>
      <c r="C735" s="52" t="s">
        <v>572</v>
      </c>
      <c r="D735" s="53"/>
      <c r="E735" s="53" t="s">
        <v>576</v>
      </c>
      <c r="F735" s="53" t="s">
        <v>63</v>
      </c>
      <c r="G735" s="54">
        <v>1</v>
      </c>
      <c r="H735" s="53"/>
      <c r="I735" s="54">
        <v>168.4</v>
      </c>
      <c r="J735" s="55">
        <f>IFERROR(ROUND(SUM(M736)/I735, 2),0)</f>
        <v>997.82</v>
      </c>
      <c r="K735" s="55">
        <v>162</v>
      </c>
      <c r="L735" s="55">
        <f>J735+ROUND(K735, 2)</f>
        <v>1159.8200000000002</v>
      </c>
      <c r="M735" s="55">
        <f>ROUND(J735*I735, 2)</f>
        <v>168032.89</v>
      </c>
      <c r="N735" s="55">
        <f>ROUND(I735*ROUND(K735, 2), 2)</f>
        <v>27280.799999999999</v>
      </c>
      <c r="O735" s="55">
        <f>M735+N735</f>
        <v>195313.69</v>
      </c>
      <c r="P735" s="55">
        <f>IFERROR(ROUND(SUM(S736)/I735, 2),0)</f>
        <v>997.82</v>
      </c>
      <c r="Q735" s="55">
        <v>230.04</v>
      </c>
      <c r="R735" s="55">
        <f>P735+ROUND(Q735, 2)</f>
        <v>1227.8600000000001</v>
      </c>
      <c r="S735" s="55">
        <f>ROUND(P735*I735, 2)</f>
        <v>168032.89</v>
      </c>
      <c r="T735" s="55">
        <f>ROUND(I735*ROUND(Q735, 2), 2)</f>
        <v>38738.74</v>
      </c>
      <c r="U735" s="55">
        <f>S735+T735</f>
        <v>206771.63</v>
      </c>
      <c r="V735" s="9">
        <f>ROUND(P735 / 1.2, 2)</f>
        <v>831.52</v>
      </c>
      <c r="W735" s="9">
        <f>ROUND(Q735 / 1.2, 2)</f>
        <v>191.7</v>
      </c>
      <c r="X735" s="9">
        <f>ROUND(R735 / 1.2, 2)</f>
        <v>1023.22</v>
      </c>
      <c r="Y735" s="9">
        <f>ROUND(S735 / 1.2, 2)</f>
        <v>140027.41</v>
      </c>
      <c r="Z735" s="9">
        <f>ROUND(T735 / 1.2, 2)</f>
        <v>32282.28</v>
      </c>
      <c r="AA735" s="9">
        <f>Y735+Z735</f>
        <v>172309.69</v>
      </c>
      <c r="AD735" s="4">
        <v>295859926</v>
      </c>
      <c r="AE735" s="4">
        <v>22502096</v>
      </c>
      <c r="AG735" s="4" t="s">
        <v>573</v>
      </c>
      <c r="AH735" s="4" t="s">
        <v>574</v>
      </c>
      <c r="AI735" s="4" t="s">
        <v>467</v>
      </c>
    </row>
    <row r="736" spans="1:35" ht="36" x14ac:dyDescent="0.35">
      <c r="A736" s="51" t="s">
        <v>2031</v>
      </c>
      <c r="B736" s="51"/>
      <c r="C736" s="56" t="s">
        <v>578</v>
      </c>
      <c r="D736" s="53"/>
      <c r="E736" s="53"/>
      <c r="F736" s="57" t="s">
        <v>498</v>
      </c>
      <c r="G736" s="58">
        <v>1</v>
      </c>
      <c r="H736" s="53"/>
      <c r="I736" s="58">
        <v>168.4</v>
      </c>
      <c r="J736" s="59">
        <v>997.82</v>
      </c>
      <c r="K736" s="60"/>
      <c r="L736" s="60"/>
      <c r="M736" s="59">
        <f>ROUND(ROUND(J736, 2)*I736, 2)</f>
        <v>168032.89</v>
      </c>
      <c r="N736" s="60"/>
      <c r="O736" s="60"/>
      <c r="P736" s="59">
        <v>997.82</v>
      </c>
      <c r="Q736" s="60"/>
      <c r="R736" s="60"/>
      <c r="S736" s="59">
        <f>ROUND(ROUND(P736, 2)*I736, 2)</f>
        <v>168032.89</v>
      </c>
      <c r="T736" s="60"/>
      <c r="U736" s="61"/>
      <c r="V736" s="9">
        <f>ROUND(ROUND(P736, 2)/1.2, 2)</f>
        <v>831.52</v>
      </c>
      <c r="Y736" s="9">
        <f t="shared" ref="Y736:Y756" si="136">ROUND(S736 / 1.2, 2)</f>
        <v>140027.41</v>
      </c>
      <c r="AD736" s="4" t="s">
        <v>2032</v>
      </c>
      <c r="AE736" s="4" t="s">
        <v>2033</v>
      </c>
      <c r="AF736" s="4" t="s">
        <v>581</v>
      </c>
    </row>
    <row r="737" spans="1:35" ht="54" x14ac:dyDescent="0.35">
      <c r="A737" s="51" t="s">
        <v>2034</v>
      </c>
      <c r="B737" s="51" t="s">
        <v>589</v>
      </c>
      <c r="C737" s="52" t="s">
        <v>590</v>
      </c>
      <c r="D737" s="53"/>
      <c r="E737" s="53" t="s">
        <v>2035</v>
      </c>
      <c r="F737" s="53" t="s">
        <v>63</v>
      </c>
      <c r="G737" s="54">
        <v>1</v>
      </c>
      <c r="H737" s="53"/>
      <c r="I737" s="54">
        <v>549.6</v>
      </c>
      <c r="J737" s="55">
        <f>IFERROR(ROUND(SUM(M738)/I737, 2),0)</f>
        <v>420.76</v>
      </c>
      <c r="K737" s="55">
        <v>324</v>
      </c>
      <c r="L737" s="55">
        <f>J737+ROUND(K737, 2)</f>
        <v>744.76</v>
      </c>
      <c r="M737" s="55">
        <f>ROUND(J737*I737, 2)</f>
        <v>231249.7</v>
      </c>
      <c r="N737" s="55">
        <f>ROUND(I737*ROUND(K737, 2), 2)</f>
        <v>178070.39999999999</v>
      </c>
      <c r="O737" s="55">
        <f>M737+N737</f>
        <v>409320.1</v>
      </c>
      <c r="P737" s="55">
        <f>IFERROR(ROUND(SUM(S738)/I737, 2),0)</f>
        <v>420.76</v>
      </c>
      <c r="Q737" s="55">
        <v>460.08</v>
      </c>
      <c r="R737" s="55">
        <f>P737+ROUND(Q737, 2)</f>
        <v>880.83999999999992</v>
      </c>
      <c r="S737" s="55">
        <f>ROUND(P737*I737, 2)</f>
        <v>231249.7</v>
      </c>
      <c r="T737" s="55">
        <f>ROUND(I737*ROUND(Q737, 2), 2)</f>
        <v>252859.97</v>
      </c>
      <c r="U737" s="55">
        <f>S737+T737</f>
        <v>484109.67000000004</v>
      </c>
      <c r="V737" s="9">
        <f>ROUND(P737 / 1.2, 2)</f>
        <v>350.63</v>
      </c>
      <c r="W737" s="9">
        <f>ROUND(Q737 / 1.2, 2)</f>
        <v>383.4</v>
      </c>
      <c r="X737" s="9">
        <f>ROUND(R737 / 1.2, 2)</f>
        <v>734.03</v>
      </c>
      <c r="Y737" s="9">
        <f t="shared" si="136"/>
        <v>192708.08</v>
      </c>
      <c r="Z737" s="9">
        <f>ROUND(T737 / 1.2, 2)</f>
        <v>210716.64</v>
      </c>
      <c r="AA737" s="9">
        <f>Y737+Z737</f>
        <v>403424.72</v>
      </c>
      <c r="AD737" s="4">
        <v>295859927</v>
      </c>
      <c r="AE737" s="4">
        <v>22502055</v>
      </c>
      <c r="AG737" s="4" t="s">
        <v>591</v>
      </c>
      <c r="AH737" s="4" t="s">
        <v>592</v>
      </c>
      <c r="AI737" s="4" t="s">
        <v>467</v>
      </c>
    </row>
    <row r="738" spans="1:35" ht="18" x14ac:dyDescent="0.35">
      <c r="A738" s="51" t="s">
        <v>2036</v>
      </c>
      <c r="B738" s="51"/>
      <c r="C738" s="56" t="s">
        <v>596</v>
      </c>
      <c r="D738" s="53"/>
      <c r="E738" s="53"/>
      <c r="F738" s="57" t="s">
        <v>498</v>
      </c>
      <c r="G738" s="58">
        <v>4.3</v>
      </c>
      <c r="H738" s="53"/>
      <c r="I738" s="58">
        <v>2363.2800000000002</v>
      </c>
      <c r="J738" s="59">
        <v>97.85</v>
      </c>
      <c r="K738" s="60"/>
      <c r="L738" s="60"/>
      <c r="M738" s="59">
        <f>ROUND(ROUND(J738, 2)*I738, 2)</f>
        <v>231246.95</v>
      </c>
      <c r="N738" s="60"/>
      <c r="O738" s="60"/>
      <c r="P738" s="59">
        <v>97.85</v>
      </c>
      <c r="Q738" s="60"/>
      <c r="R738" s="60"/>
      <c r="S738" s="59">
        <f>ROUND(ROUND(P738, 2)*I738, 2)</f>
        <v>231246.95</v>
      </c>
      <c r="T738" s="60"/>
      <c r="U738" s="61"/>
      <c r="V738" s="9">
        <f>ROUND(ROUND(P738, 2)/1.2, 2)</f>
        <v>81.540000000000006</v>
      </c>
      <c r="Y738" s="9">
        <f t="shared" si="136"/>
        <v>192705.79</v>
      </c>
      <c r="AD738" s="4" t="s">
        <v>2037</v>
      </c>
      <c r="AE738" s="4" t="s">
        <v>2038</v>
      </c>
      <c r="AF738" s="4" t="s">
        <v>599</v>
      </c>
    </row>
    <row r="739" spans="1:35" ht="54" x14ac:dyDescent="0.35">
      <c r="A739" s="51" t="s">
        <v>2039</v>
      </c>
      <c r="B739" s="51" t="s">
        <v>607</v>
      </c>
      <c r="C739" s="52" t="s">
        <v>608</v>
      </c>
      <c r="D739" s="53"/>
      <c r="E739" s="53" t="s">
        <v>612</v>
      </c>
      <c r="F739" s="53" t="s">
        <v>63</v>
      </c>
      <c r="G739" s="54">
        <v>1</v>
      </c>
      <c r="H739" s="53"/>
      <c r="I739" s="54">
        <v>1430.4</v>
      </c>
      <c r="J739" s="55">
        <f>IFERROR(ROUND(SUM(M740)/I739, 2),0)</f>
        <v>276.93</v>
      </c>
      <c r="K739" s="55">
        <v>580</v>
      </c>
      <c r="L739" s="55">
        <f>J739+ROUND(K739, 2)</f>
        <v>856.93000000000006</v>
      </c>
      <c r="M739" s="55">
        <f>ROUND(J739*I739, 2)</f>
        <v>396120.67</v>
      </c>
      <c r="N739" s="55">
        <f>ROUND(I739*ROUND(K739, 2), 2)</f>
        <v>829632</v>
      </c>
      <c r="O739" s="55">
        <f>M739+N739</f>
        <v>1225752.67</v>
      </c>
      <c r="P739" s="55">
        <f>IFERROR(ROUND(SUM(S740)/I739, 2),0)</f>
        <v>276.93</v>
      </c>
      <c r="Q739" s="55">
        <v>823.6</v>
      </c>
      <c r="R739" s="55">
        <f>P739+ROUND(Q739, 2)</f>
        <v>1100.53</v>
      </c>
      <c r="S739" s="55">
        <f>ROUND(P739*I739, 2)</f>
        <v>396120.67</v>
      </c>
      <c r="T739" s="55">
        <f>ROUND(I739*ROUND(Q739, 2), 2)</f>
        <v>1178077.44</v>
      </c>
      <c r="U739" s="55">
        <f>S739+T739</f>
        <v>1574198.1099999999</v>
      </c>
      <c r="V739" s="9">
        <f>ROUND(P739 / 1.2, 2)</f>
        <v>230.78</v>
      </c>
      <c r="W739" s="9">
        <f>ROUND(Q739 / 1.2, 2)</f>
        <v>686.33</v>
      </c>
      <c r="X739" s="9">
        <f>ROUND(R739 / 1.2, 2)</f>
        <v>917.11</v>
      </c>
      <c r="Y739" s="9">
        <f t="shared" si="136"/>
        <v>330100.56</v>
      </c>
      <c r="Z739" s="9">
        <f>ROUND(T739 / 1.2, 2)</f>
        <v>981731.2</v>
      </c>
      <c r="AA739" s="9">
        <f>Y739+Z739</f>
        <v>1311831.76</v>
      </c>
      <c r="AD739" s="4">
        <v>295859929</v>
      </c>
      <c r="AE739" s="4">
        <v>22502090</v>
      </c>
      <c r="AG739" s="4" t="s">
        <v>609</v>
      </c>
      <c r="AH739" s="4" t="s">
        <v>610</v>
      </c>
      <c r="AI739" s="4" t="s">
        <v>467</v>
      </c>
    </row>
    <row r="740" spans="1:35" ht="18" x14ac:dyDescent="0.35">
      <c r="A740" s="51" t="s">
        <v>2040</v>
      </c>
      <c r="B740" s="51"/>
      <c r="C740" s="47" t="s">
        <v>614</v>
      </c>
      <c r="D740" s="53"/>
      <c r="E740" s="53"/>
      <c r="F740" s="57" t="s">
        <v>63</v>
      </c>
      <c r="G740" s="58">
        <v>1.1000000000000001</v>
      </c>
      <c r="H740" s="53"/>
      <c r="I740" s="62">
        <v>1573.44</v>
      </c>
      <c r="J740" s="59">
        <v>251.75</v>
      </c>
      <c r="K740" s="60"/>
      <c r="L740" s="60"/>
      <c r="M740" s="59">
        <f>ROUND(ROUND(J740, 2)*I740, 2)</f>
        <v>396113.52</v>
      </c>
      <c r="N740" s="60"/>
      <c r="O740" s="60"/>
      <c r="P740" s="59">
        <v>251.75</v>
      </c>
      <c r="Q740" s="60"/>
      <c r="R740" s="60"/>
      <c r="S740" s="59">
        <f>ROUND(ROUND(P740, 2)*I740, 2)</f>
        <v>396113.52</v>
      </c>
      <c r="T740" s="60"/>
      <c r="U740" s="61"/>
      <c r="V740" s="9">
        <f>ROUND(ROUND(P740, 2)/1.2, 2)</f>
        <v>209.79</v>
      </c>
      <c r="Y740" s="9">
        <f t="shared" si="136"/>
        <v>330094.59999999998</v>
      </c>
      <c r="AD740" s="4" t="s">
        <v>2041</v>
      </c>
      <c r="AE740" s="4" t="s">
        <v>2042</v>
      </c>
      <c r="AF740" s="4" t="s">
        <v>617</v>
      </c>
    </row>
    <row r="741" spans="1:35" ht="36" x14ac:dyDescent="0.35">
      <c r="A741" s="51" t="s">
        <v>2043</v>
      </c>
      <c r="B741" s="51" t="s">
        <v>625</v>
      </c>
      <c r="C741" s="52" t="s">
        <v>626</v>
      </c>
      <c r="D741" s="53"/>
      <c r="E741" s="53" t="s">
        <v>630</v>
      </c>
      <c r="F741" s="53" t="s">
        <v>63</v>
      </c>
      <c r="G741" s="54">
        <v>1</v>
      </c>
      <c r="H741" s="53"/>
      <c r="I741" s="54">
        <v>220.5</v>
      </c>
      <c r="J741" s="55">
        <f>IFERROR(ROUND(SUM(M742)/I741, 2),0)</f>
        <v>681.45</v>
      </c>
      <c r="K741" s="55">
        <v>868</v>
      </c>
      <c r="L741" s="55">
        <f>J741+ROUND(K741, 2)</f>
        <v>1549.45</v>
      </c>
      <c r="M741" s="55">
        <f>ROUND(J741*I741, 2)</f>
        <v>150259.73000000001</v>
      </c>
      <c r="N741" s="55">
        <f>ROUND(I741*ROUND(K741, 2), 2)</f>
        <v>191394</v>
      </c>
      <c r="O741" s="55">
        <f>M741+N741</f>
        <v>341653.73</v>
      </c>
      <c r="P741" s="55">
        <f>IFERROR(ROUND(SUM(S742)/I741, 2),0)</f>
        <v>681.45</v>
      </c>
      <c r="Q741" s="55">
        <v>1232.56</v>
      </c>
      <c r="R741" s="55">
        <f>P741+ROUND(Q741, 2)</f>
        <v>1914.01</v>
      </c>
      <c r="S741" s="55">
        <f>ROUND(P741*I741, 2)</f>
        <v>150259.73000000001</v>
      </c>
      <c r="T741" s="55">
        <f>ROUND(I741*ROUND(Q741, 2), 2)</f>
        <v>271779.48</v>
      </c>
      <c r="U741" s="55">
        <f>S741+T741</f>
        <v>422039.20999999996</v>
      </c>
      <c r="V741" s="9">
        <f>ROUND(P741 / 1.2, 2)</f>
        <v>567.88</v>
      </c>
      <c r="W741" s="9">
        <f>ROUND(Q741 / 1.2, 2)</f>
        <v>1027.1300000000001</v>
      </c>
      <c r="X741" s="9">
        <f>ROUND(R741 / 1.2, 2)</f>
        <v>1595.01</v>
      </c>
      <c r="Y741" s="9">
        <f t="shared" si="136"/>
        <v>125216.44</v>
      </c>
      <c r="Z741" s="9">
        <f>ROUND(T741 / 1.2, 2)</f>
        <v>226482.9</v>
      </c>
      <c r="AA741" s="9">
        <f>Y741+Z741</f>
        <v>351699.33999999997</v>
      </c>
      <c r="AD741" s="4">
        <v>295859930</v>
      </c>
      <c r="AE741" s="4">
        <v>22502091</v>
      </c>
      <c r="AG741" s="4" t="s">
        <v>627</v>
      </c>
      <c r="AH741" s="4" t="s">
        <v>628</v>
      </c>
      <c r="AI741" s="4" t="s">
        <v>467</v>
      </c>
    </row>
    <row r="742" spans="1:35" ht="18" x14ac:dyDescent="0.35">
      <c r="A742" s="51" t="s">
        <v>2044</v>
      </c>
      <c r="B742" s="51"/>
      <c r="C742" s="47" t="s">
        <v>632</v>
      </c>
      <c r="D742" s="53"/>
      <c r="E742" s="53"/>
      <c r="F742" s="57" t="s">
        <v>63</v>
      </c>
      <c r="G742" s="58">
        <v>2.1</v>
      </c>
      <c r="H742" s="53"/>
      <c r="I742" s="62">
        <v>463.05</v>
      </c>
      <c r="J742" s="59">
        <v>324.5</v>
      </c>
      <c r="K742" s="60"/>
      <c r="L742" s="60"/>
      <c r="M742" s="59">
        <f>ROUND(ROUND(J742, 2)*I742, 2)</f>
        <v>150259.73000000001</v>
      </c>
      <c r="N742" s="60"/>
      <c r="O742" s="60"/>
      <c r="P742" s="59">
        <v>324.5</v>
      </c>
      <c r="Q742" s="60"/>
      <c r="R742" s="60"/>
      <c r="S742" s="59">
        <f>ROUND(ROUND(P742, 2)*I742, 2)</f>
        <v>150259.73000000001</v>
      </c>
      <c r="T742" s="60"/>
      <c r="U742" s="61"/>
      <c r="V742" s="9">
        <f>ROUND(ROUND(P742, 2)/1.2, 2)</f>
        <v>270.42</v>
      </c>
      <c r="Y742" s="9">
        <f t="shared" si="136"/>
        <v>125216.44</v>
      </c>
      <c r="AD742" s="4" t="s">
        <v>2045</v>
      </c>
      <c r="AE742" s="4" t="s">
        <v>2046</v>
      </c>
      <c r="AF742" s="4" t="s">
        <v>635</v>
      </c>
    </row>
    <row r="743" spans="1:35" ht="36" x14ac:dyDescent="0.35">
      <c r="A743" s="51" t="s">
        <v>2047</v>
      </c>
      <c r="B743" s="51" t="s">
        <v>644</v>
      </c>
      <c r="C743" s="52" t="s">
        <v>645</v>
      </c>
      <c r="D743" s="53"/>
      <c r="E743" s="53" t="s">
        <v>649</v>
      </c>
      <c r="F743" s="53" t="s">
        <v>93</v>
      </c>
      <c r="G743" s="54">
        <v>1</v>
      </c>
      <c r="H743" s="53"/>
      <c r="I743" s="54">
        <v>14.77</v>
      </c>
      <c r="J743" s="55">
        <f>IFERROR(ROUND(SUM(M744)/I743, 2),0)</f>
        <v>2600.9299999999998</v>
      </c>
      <c r="K743" s="55">
        <v>2157</v>
      </c>
      <c r="L743" s="55">
        <f>J743+ROUND(K743, 2)</f>
        <v>4757.93</v>
      </c>
      <c r="M743" s="55">
        <f>ROUND(J743*I743, 2)</f>
        <v>38415.74</v>
      </c>
      <c r="N743" s="55">
        <f>ROUND(I743*ROUND(K743, 2), 2)</f>
        <v>31858.89</v>
      </c>
      <c r="O743" s="55">
        <f>M743+N743</f>
        <v>70274.63</v>
      </c>
      <c r="P743" s="55">
        <f>IFERROR(ROUND(SUM(S744)/I743, 2),0)</f>
        <v>2600.9299999999998</v>
      </c>
      <c r="Q743" s="55">
        <v>3062.94</v>
      </c>
      <c r="R743" s="55">
        <f>P743+ROUND(Q743, 2)</f>
        <v>5663.87</v>
      </c>
      <c r="S743" s="55">
        <f>ROUND(P743*I743, 2)</f>
        <v>38415.74</v>
      </c>
      <c r="T743" s="55">
        <f>ROUND(I743*ROUND(Q743, 2), 2)</f>
        <v>45239.62</v>
      </c>
      <c r="U743" s="55">
        <f>S743+T743</f>
        <v>83655.360000000001</v>
      </c>
      <c r="V743" s="9">
        <f>ROUND(P743 / 1.2, 2)</f>
        <v>2167.44</v>
      </c>
      <c r="W743" s="9">
        <f>ROUND(Q743 / 1.2, 2)</f>
        <v>2552.4499999999998</v>
      </c>
      <c r="X743" s="9">
        <f>ROUND(R743 / 1.2, 2)</f>
        <v>4719.8900000000003</v>
      </c>
      <c r="Y743" s="9">
        <f t="shared" si="136"/>
        <v>32013.119999999999</v>
      </c>
      <c r="Z743" s="9">
        <f>ROUND(T743 / 1.2, 2)</f>
        <v>37699.68</v>
      </c>
      <c r="AA743" s="9">
        <f>Y743+Z743</f>
        <v>69712.800000000003</v>
      </c>
      <c r="AD743" s="4">
        <v>295859932</v>
      </c>
      <c r="AE743" s="4">
        <v>22502089</v>
      </c>
      <c r="AG743" s="4" t="s">
        <v>646</v>
      </c>
      <c r="AH743" s="4" t="s">
        <v>647</v>
      </c>
      <c r="AI743" s="4" t="s">
        <v>467</v>
      </c>
    </row>
    <row r="744" spans="1:35" ht="18" x14ac:dyDescent="0.35">
      <c r="A744" s="51" t="s">
        <v>2048</v>
      </c>
      <c r="B744" s="51"/>
      <c r="C744" s="56" t="s">
        <v>651</v>
      </c>
      <c r="D744" s="53"/>
      <c r="E744" s="53"/>
      <c r="F744" s="57" t="s">
        <v>93</v>
      </c>
      <c r="G744" s="58">
        <v>1.02</v>
      </c>
      <c r="H744" s="53"/>
      <c r="I744" s="58">
        <v>15.065</v>
      </c>
      <c r="J744" s="59">
        <v>2550</v>
      </c>
      <c r="K744" s="60"/>
      <c r="L744" s="60"/>
      <c r="M744" s="59">
        <f>ROUND(ROUND(J744, 2)*I744, 2)</f>
        <v>38415.75</v>
      </c>
      <c r="N744" s="60"/>
      <c r="O744" s="60"/>
      <c r="P744" s="59">
        <v>2550</v>
      </c>
      <c r="Q744" s="60"/>
      <c r="R744" s="60"/>
      <c r="S744" s="59">
        <f>ROUND(ROUND(P744, 2)*I744, 2)</f>
        <v>38415.75</v>
      </c>
      <c r="T744" s="60"/>
      <c r="U744" s="61"/>
      <c r="V744" s="9">
        <f>ROUND(ROUND(P744, 2)/1.2, 2)</f>
        <v>2125</v>
      </c>
      <c r="Y744" s="9">
        <f t="shared" si="136"/>
        <v>32013.13</v>
      </c>
      <c r="AD744" s="4" t="s">
        <v>2049</v>
      </c>
      <c r="AE744" s="4" t="s">
        <v>2050</v>
      </c>
      <c r="AF744" s="4" t="s">
        <v>654</v>
      </c>
    </row>
    <row r="745" spans="1:35" ht="36" x14ac:dyDescent="0.35">
      <c r="A745" s="51" t="s">
        <v>2051</v>
      </c>
      <c r="B745" s="51" t="s">
        <v>644</v>
      </c>
      <c r="C745" s="52" t="s">
        <v>645</v>
      </c>
      <c r="D745" s="53"/>
      <c r="E745" s="53" t="s">
        <v>691</v>
      </c>
      <c r="F745" s="53" t="s">
        <v>93</v>
      </c>
      <c r="G745" s="54">
        <v>1</v>
      </c>
      <c r="H745" s="53"/>
      <c r="I745" s="54">
        <v>6.57</v>
      </c>
      <c r="J745" s="55">
        <f>IFERROR(ROUND(SUM(M746)/I745, 2),0)</f>
        <v>2600.84</v>
      </c>
      <c r="K745" s="55">
        <v>2157</v>
      </c>
      <c r="L745" s="55">
        <f>J745+ROUND(K745, 2)</f>
        <v>4757.84</v>
      </c>
      <c r="M745" s="55">
        <f>ROUND(J745*I745, 2)</f>
        <v>17087.52</v>
      </c>
      <c r="N745" s="55">
        <f>ROUND(I745*ROUND(K745, 2), 2)</f>
        <v>14171.49</v>
      </c>
      <c r="O745" s="55">
        <f>M745+N745</f>
        <v>31259.010000000002</v>
      </c>
      <c r="P745" s="55">
        <f>IFERROR(ROUND(SUM(S746)/I745, 2),0)</f>
        <v>2600.84</v>
      </c>
      <c r="Q745" s="55">
        <v>3062.94</v>
      </c>
      <c r="R745" s="55">
        <f>P745+ROUND(Q745, 2)</f>
        <v>5663.7800000000007</v>
      </c>
      <c r="S745" s="55">
        <f>ROUND(P745*I745, 2)</f>
        <v>17087.52</v>
      </c>
      <c r="T745" s="55">
        <f>ROUND(I745*ROUND(Q745, 2), 2)</f>
        <v>20123.52</v>
      </c>
      <c r="U745" s="55">
        <f>S745+T745</f>
        <v>37211.040000000001</v>
      </c>
      <c r="V745" s="9">
        <f>ROUND(P745 / 1.2, 2)</f>
        <v>2167.37</v>
      </c>
      <c r="W745" s="9">
        <f>ROUND(Q745 / 1.2, 2)</f>
        <v>2552.4499999999998</v>
      </c>
      <c r="X745" s="9">
        <f>ROUND(R745 / 1.2, 2)</f>
        <v>4719.82</v>
      </c>
      <c r="Y745" s="9">
        <f t="shared" si="136"/>
        <v>14239.6</v>
      </c>
      <c r="Z745" s="9">
        <f>ROUND(T745 / 1.2, 2)</f>
        <v>16769.599999999999</v>
      </c>
      <c r="AA745" s="9">
        <f>Y745+Z745</f>
        <v>31009.199999999997</v>
      </c>
      <c r="AD745" s="4">
        <v>295859985</v>
      </c>
      <c r="AE745" s="4">
        <v>22502080</v>
      </c>
      <c r="AG745" s="4" t="s">
        <v>646</v>
      </c>
      <c r="AH745" s="4" t="s">
        <v>647</v>
      </c>
      <c r="AI745" s="4" t="s">
        <v>467</v>
      </c>
    </row>
    <row r="746" spans="1:35" ht="18" x14ac:dyDescent="0.35">
      <c r="A746" s="51" t="s">
        <v>2052</v>
      </c>
      <c r="B746" s="51"/>
      <c r="C746" s="56" t="s">
        <v>651</v>
      </c>
      <c r="D746" s="53"/>
      <c r="E746" s="53"/>
      <c r="F746" s="57" t="s">
        <v>93</v>
      </c>
      <c r="G746" s="58">
        <v>1.02</v>
      </c>
      <c r="H746" s="53"/>
      <c r="I746" s="58">
        <v>6.7009999999999996</v>
      </c>
      <c r="J746" s="59">
        <v>2550</v>
      </c>
      <c r="K746" s="60"/>
      <c r="L746" s="60"/>
      <c r="M746" s="59">
        <f>ROUND(ROUND(J746, 2)*I746, 2)</f>
        <v>17087.55</v>
      </c>
      <c r="N746" s="60"/>
      <c r="O746" s="60"/>
      <c r="P746" s="59">
        <v>2550</v>
      </c>
      <c r="Q746" s="60"/>
      <c r="R746" s="60"/>
      <c r="S746" s="59">
        <f>ROUND(ROUND(P746, 2)*I746, 2)</f>
        <v>17087.55</v>
      </c>
      <c r="T746" s="60"/>
      <c r="U746" s="61"/>
      <c r="V746" s="9">
        <f>ROUND(ROUND(P746, 2)/1.2, 2)</f>
        <v>2125</v>
      </c>
      <c r="Y746" s="9">
        <f t="shared" si="136"/>
        <v>14239.63</v>
      </c>
      <c r="AD746" s="4" t="s">
        <v>2053</v>
      </c>
      <c r="AE746" s="4" t="s">
        <v>2054</v>
      </c>
      <c r="AF746" s="4" t="s">
        <v>654</v>
      </c>
    </row>
    <row r="747" spans="1:35" ht="54" x14ac:dyDescent="0.35">
      <c r="A747" s="51" t="s">
        <v>2055</v>
      </c>
      <c r="B747" s="51" t="s">
        <v>644</v>
      </c>
      <c r="C747" s="52" t="s">
        <v>645</v>
      </c>
      <c r="D747" s="53"/>
      <c r="E747" s="53" t="s">
        <v>683</v>
      </c>
      <c r="F747" s="53" t="s">
        <v>93</v>
      </c>
      <c r="G747" s="54">
        <v>1</v>
      </c>
      <c r="H747" s="53"/>
      <c r="I747" s="54">
        <v>159.52000000000001</v>
      </c>
      <c r="J747" s="55">
        <f>IFERROR(ROUND(SUM(M748)/I747, 2),0)</f>
        <v>2600.9899999999998</v>
      </c>
      <c r="K747" s="55">
        <v>2157</v>
      </c>
      <c r="L747" s="55">
        <f>J747+ROUND(K747, 2)</f>
        <v>4757.99</v>
      </c>
      <c r="M747" s="55">
        <f>ROUND(J747*I747, 2)</f>
        <v>414909.92</v>
      </c>
      <c r="N747" s="55">
        <f>ROUND(I747*ROUND(K747, 2), 2)</f>
        <v>344084.64</v>
      </c>
      <c r="O747" s="55">
        <f>M747+N747</f>
        <v>758994.56</v>
      </c>
      <c r="P747" s="55">
        <f>IFERROR(ROUND(SUM(S748)/I747, 2),0)</f>
        <v>2600.9899999999998</v>
      </c>
      <c r="Q747" s="55">
        <v>3062.94</v>
      </c>
      <c r="R747" s="55">
        <f>P747+ROUND(Q747, 2)</f>
        <v>5663.93</v>
      </c>
      <c r="S747" s="55">
        <f>ROUND(P747*I747, 2)</f>
        <v>414909.92</v>
      </c>
      <c r="T747" s="55">
        <f>ROUND(I747*ROUND(Q747, 2), 2)</f>
        <v>488600.19</v>
      </c>
      <c r="U747" s="55">
        <f>S747+T747</f>
        <v>903510.11</v>
      </c>
      <c r="V747" s="9">
        <f>ROUND(P747 / 1.2, 2)</f>
        <v>2167.4899999999998</v>
      </c>
      <c r="W747" s="9">
        <f>ROUND(Q747 / 1.2, 2)</f>
        <v>2552.4499999999998</v>
      </c>
      <c r="X747" s="9">
        <f>ROUND(R747 / 1.2, 2)</f>
        <v>4719.9399999999996</v>
      </c>
      <c r="Y747" s="9">
        <f t="shared" si="136"/>
        <v>345758.27</v>
      </c>
      <c r="Z747" s="9">
        <f>ROUND(T747 / 1.2, 2)</f>
        <v>407166.83</v>
      </c>
      <c r="AA747" s="9">
        <f>Y747+Z747</f>
        <v>752925.10000000009</v>
      </c>
      <c r="AD747" s="4">
        <v>295859986</v>
      </c>
      <c r="AE747" s="4">
        <v>22502092</v>
      </c>
      <c r="AG747" s="4" t="s">
        <v>646</v>
      </c>
      <c r="AH747" s="4" t="s">
        <v>647</v>
      </c>
      <c r="AI747" s="4" t="s">
        <v>467</v>
      </c>
    </row>
    <row r="748" spans="1:35" ht="18" x14ac:dyDescent="0.35">
      <c r="A748" s="51" t="s">
        <v>2056</v>
      </c>
      <c r="B748" s="51"/>
      <c r="C748" s="56" t="s">
        <v>651</v>
      </c>
      <c r="D748" s="53"/>
      <c r="E748" s="53"/>
      <c r="F748" s="57" t="s">
        <v>93</v>
      </c>
      <c r="G748" s="58">
        <v>1.02</v>
      </c>
      <c r="H748" s="53"/>
      <c r="I748" s="58">
        <v>162.71</v>
      </c>
      <c r="J748" s="59">
        <v>2550</v>
      </c>
      <c r="K748" s="60"/>
      <c r="L748" s="60"/>
      <c r="M748" s="59">
        <f>ROUND(ROUND(J748, 2)*I748, 2)</f>
        <v>414910.5</v>
      </c>
      <c r="N748" s="60"/>
      <c r="O748" s="60"/>
      <c r="P748" s="59">
        <v>2550</v>
      </c>
      <c r="Q748" s="60"/>
      <c r="R748" s="60"/>
      <c r="S748" s="59">
        <f>ROUND(ROUND(P748, 2)*I748, 2)</f>
        <v>414910.5</v>
      </c>
      <c r="T748" s="60"/>
      <c r="U748" s="61"/>
      <c r="V748" s="9">
        <f>ROUND(ROUND(P748, 2)/1.2, 2)</f>
        <v>2125</v>
      </c>
      <c r="Y748" s="9">
        <f t="shared" si="136"/>
        <v>345758.75</v>
      </c>
      <c r="AD748" s="4" t="s">
        <v>2057</v>
      </c>
      <c r="AE748" s="4" t="s">
        <v>2058</v>
      </c>
      <c r="AF748" s="4" t="s">
        <v>654</v>
      </c>
    </row>
    <row r="749" spans="1:35" ht="36" x14ac:dyDescent="0.35">
      <c r="A749" s="51" t="s">
        <v>2059</v>
      </c>
      <c r="B749" s="51" t="s">
        <v>644</v>
      </c>
      <c r="C749" s="52" t="s">
        <v>645</v>
      </c>
      <c r="D749" s="53"/>
      <c r="E749" s="53" t="s">
        <v>674</v>
      </c>
      <c r="F749" s="53" t="s">
        <v>93</v>
      </c>
      <c r="G749" s="54">
        <v>1</v>
      </c>
      <c r="H749" s="53"/>
      <c r="I749" s="54">
        <v>2.71</v>
      </c>
      <c r="J749" s="55">
        <f>IFERROR(ROUND(SUM(M750)/I749, 2),0)</f>
        <v>2600.81</v>
      </c>
      <c r="K749" s="55">
        <v>2157</v>
      </c>
      <c r="L749" s="55">
        <f>J749+ROUND(K749, 2)</f>
        <v>4757.8099999999995</v>
      </c>
      <c r="M749" s="55">
        <f>ROUND(J749*I749, 2)</f>
        <v>7048.2</v>
      </c>
      <c r="N749" s="55">
        <f>ROUND(I749*ROUND(K749, 2), 2)</f>
        <v>5845.47</v>
      </c>
      <c r="O749" s="55">
        <f>M749+N749</f>
        <v>12893.67</v>
      </c>
      <c r="P749" s="55">
        <f>IFERROR(ROUND(SUM(S750)/I749, 2),0)</f>
        <v>2600.81</v>
      </c>
      <c r="Q749" s="55">
        <v>3062.94</v>
      </c>
      <c r="R749" s="55">
        <f>P749+ROUND(Q749, 2)</f>
        <v>5663.75</v>
      </c>
      <c r="S749" s="55">
        <f>ROUND(P749*I749, 2)</f>
        <v>7048.2</v>
      </c>
      <c r="T749" s="55">
        <f>ROUND(I749*ROUND(Q749, 2), 2)</f>
        <v>8300.57</v>
      </c>
      <c r="U749" s="55">
        <f>S749+T749</f>
        <v>15348.77</v>
      </c>
      <c r="V749" s="9">
        <f>ROUND(P749 / 1.2, 2)</f>
        <v>2167.34</v>
      </c>
      <c r="W749" s="9">
        <f>ROUND(Q749 / 1.2, 2)</f>
        <v>2552.4499999999998</v>
      </c>
      <c r="X749" s="9">
        <f>ROUND(R749 / 1.2, 2)</f>
        <v>4719.79</v>
      </c>
      <c r="Y749" s="9">
        <f t="shared" si="136"/>
        <v>5873.5</v>
      </c>
      <c r="Z749" s="9">
        <f>ROUND(T749 / 1.2, 2)</f>
        <v>6917.14</v>
      </c>
      <c r="AA749" s="9">
        <f>Y749+Z749</f>
        <v>12790.64</v>
      </c>
      <c r="AD749" s="4">
        <v>295859987</v>
      </c>
      <c r="AE749" s="4">
        <v>22502079</v>
      </c>
      <c r="AG749" s="4" t="s">
        <v>646</v>
      </c>
      <c r="AH749" s="4" t="s">
        <v>647</v>
      </c>
      <c r="AI749" s="4" t="s">
        <v>467</v>
      </c>
    </row>
    <row r="750" spans="1:35" ht="18" x14ac:dyDescent="0.35">
      <c r="A750" s="51" t="s">
        <v>2060</v>
      </c>
      <c r="B750" s="51"/>
      <c r="C750" s="56" t="s">
        <v>651</v>
      </c>
      <c r="D750" s="53"/>
      <c r="E750" s="53"/>
      <c r="F750" s="57" t="s">
        <v>93</v>
      </c>
      <c r="G750" s="58">
        <v>1.02</v>
      </c>
      <c r="H750" s="53"/>
      <c r="I750" s="58">
        <v>2.7639999999999998</v>
      </c>
      <c r="J750" s="59">
        <v>2550</v>
      </c>
      <c r="K750" s="60"/>
      <c r="L750" s="60"/>
      <c r="M750" s="59">
        <f>ROUND(ROUND(J750, 2)*I750, 2)</f>
        <v>7048.2</v>
      </c>
      <c r="N750" s="60"/>
      <c r="O750" s="60"/>
      <c r="P750" s="59">
        <v>2550</v>
      </c>
      <c r="Q750" s="60"/>
      <c r="R750" s="60"/>
      <c r="S750" s="59">
        <f>ROUND(ROUND(P750, 2)*I750, 2)</f>
        <v>7048.2</v>
      </c>
      <c r="T750" s="60"/>
      <c r="U750" s="61"/>
      <c r="V750" s="9">
        <f>ROUND(ROUND(P750, 2)/1.2, 2)</f>
        <v>2125</v>
      </c>
      <c r="Y750" s="9">
        <f t="shared" si="136"/>
        <v>5873.5</v>
      </c>
      <c r="AD750" s="4" t="s">
        <v>2061</v>
      </c>
      <c r="AE750" s="4" t="s">
        <v>2062</v>
      </c>
      <c r="AF750" s="4" t="s">
        <v>654</v>
      </c>
    </row>
    <row r="751" spans="1:35" ht="36" x14ac:dyDescent="0.35">
      <c r="A751" s="51" t="s">
        <v>2063</v>
      </c>
      <c r="B751" s="51" t="s">
        <v>644</v>
      </c>
      <c r="C751" s="52" t="s">
        <v>645</v>
      </c>
      <c r="D751" s="53"/>
      <c r="E751" s="53" t="s">
        <v>666</v>
      </c>
      <c r="F751" s="53" t="s">
        <v>93</v>
      </c>
      <c r="G751" s="54">
        <v>1</v>
      </c>
      <c r="H751" s="53"/>
      <c r="I751" s="54">
        <v>53.99</v>
      </c>
      <c r="J751" s="55">
        <f>IFERROR(ROUND(SUM(M752)/I751, 2),0)</f>
        <v>2601.0100000000002</v>
      </c>
      <c r="K751" s="55">
        <v>2157</v>
      </c>
      <c r="L751" s="55">
        <f>J751+ROUND(K751, 2)</f>
        <v>4758.01</v>
      </c>
      <c r="M751" s="55">
        <f>ROUND(J751*I751, 2)</f>
        <v>140428.53</v>
      </c>
      <c r="N751" s="55">
        <f>ROUND(I751*ROUND(K751, 2), 2)</f>
        <v>116456.43</v>
      </c>
      <c r="O751" s="55">
        <f>M751+N751</f>
        <v>256884.96</v>
      </c>
      <c r="P751" s="55">
        <f>IFERROR(ROUND(SUM(S752)/I751, 2),0)</f>
        <v>2601.0100000000002</v>
      </c>
      <c r="Q751" s="55">
        <v>3062.94</v>
      </c>
      <c r="R751" s="55">
        <f>P751+ROUND(Q751, 2)</f>
        <v>5663.9500000000007</v>
      </c>
      <c r="S751" s="55">
        <f>ROUND(P751*I751, 2)</f>
        <v>140428.53</v>
      </c>
      <c r="T751" s="55">
        <f>ROUND(I751*ROUND(Q751, 2), 2)</f>
        <v>165368.13</v>
      </c>
      <c r="U751" s="55">
        <f>S751+T751</f>
        <v>305796.66000000003</v>
      </c>
      <c r="V751" s="9">
        <f>ROUND(P751 / 1.2, 2)</f>
        <v>2167.5100000000002</v>
      </c>
      <c r="W751" s="9">
        <f>ROUND(Q751 / 1.2, 2)</f>
        <v>2552.4499999999998</v>
      </c>
      <c r="X751" s="9">
        <f>ROUND(R751 / 1.2, 2)</f>
        <v>4719.96</v>
      </c>
      <c r="Y751" s="9">
        <f t="shared" si="136"/>
        <v>117023.78</v>
      </c>
      <c r="Z751" s="9">
        <f>ROUND(T751 / 1.2, 2)</f>
        <v>137806.78</v>
      </c>
      <c r="AA751" s="9">
        <f>Y751+Z751</f>
        <v>254830.56</v>
      </c>
      <c r="AD751" s="4">
        <v>295859988</v>
      </c>
      <c r="AE751" s="4">
        <v>22502084</v>
      </c>
      <c r="AG751" s="4" t="s">
        <v>646</v>
      </c>
      <c r="AH751" s="4" t="s">
        <v>647</v>
      </c>
      <c r="AI751" s="4" t="s">
        <v>467</v>
      </c>
    </row>
    <row r="752" spans="1:35" ht="18" x14ac:dyDescent="0.35">
      <c r="A752" s="51" t="s">
        <v>2064</v>
      </c>
      <c r="B752" s="51"/>
      <c r="C752" s="56" t="s">
        <v>651</v>
      </c>
      <c r="D752" s="53"/>
      <c r="E752" s="53"/>
      <c r="F752" s="57" t="s">
        <v>93</v>
      </c>
      <c r="G752" s="58">
        <v>1.02</v>
      </c>
      <c r="H752" s="53"/>
      <c r="I752" s="58">
        <v>55.07</v>
      </c>
      <c r="J752" s="59">
        <v>2550</v>
      </c>
      <c r="K752" s="60"/>
      <c r="L752" s="60"/>
      <c r="M752" s="59">
        <f>ROUND(ROUND(J752, 2)*I752, 2)</f>
        <v>140428.5</v>
      </c>
      <c r="N752" s="60"/>
      <c r="O752" s="60"/>
      <c r="P752" s="59">
        <v>2550</v>
      </c>
      <c r="Q752" s="60"/>
      <c r="R752" s="60"/>
      <c r="S752" s="59">
        <f>ROUND(ROUND(P752, 2)*I752, 2)</f>
        <v>140428.5</v>
      </c>
      <c r="T752" s="60"/>
      <c r="U752" s="61"/>
      <c r="V752" s="9">
        <f>ROUND(ROUND(P752, 2)/1.2, 2)</f>
        <v>2125</v>
      </c>
      <c r="Y752" s="9">
        <f t="shared" si="136"/>
        <v>117023.75</v>
      </c>
      <c r="AD752" s="4" t="s">
        <v>2065</v>
      </c>
      <c r="AE752" s="4" t="s">
        <v>2066</v>
      </c>
      <c r="AF752" s="4" t="s">
        <v>654</v>
      </c>
    </row>
    <row r="753" spans="1:35" ht="36" x14ac:dyDescent="0.35">
      <c r="A753" s="51" t="s">
        <v>2067</v>
      </c>
      <c r="B753" s="51" t="s">
        <v>644</v>
      </c>
      <c r="C753" s="52" t="s">
        <v>645</v>
      </c>
      <c r="D753" s="53"/>
      <c r="E753" s="53" t="s">
        <v>659</v>
      </c>
      <c r="F753" s="53" t="s">
        <v>93</v>
      </c>
      <c r="G753" s="54">
        <v>1</v>
      </c>
      <c r="H753" s="53"/>
      <c r="I753" s="54">
        <v>520.76</v>
      </c>
      <c r="J753" s="55">
        <f>IFERROR(ROUND(SUM(M754)/I753, 2),0)</f>
        <v>2601</v>
      </c>
      <c r="K753" s="55">
        <v>2157</v>
      </c>
      <c r="L753" s="55">
        <f>J753+ROUND(K753, 2)</f>
        <v>4758</v>
      </c>
      <c r="M753" s="55">
        <f>ROUND(J753*I753, 2)</f>
        <v>1354496.76</v>
      </c>
      <c r="N753" s="55">
        <f>ROUND(I753*ROUND(K753, 2), 2)</f>
        <v>1123279.32</v>
      </c>
      <c r="O753" s="55">
        <f>M753+N753</f>
        <v>2477776.08</v>
      </c>
      <c r="P753" s="55">
        <f>IFERROR(ROUND(SUM(S754)/I753, 2),0)</f>
        <v>2601</v>
      </c>
      <c r="Q753" s="55">
        <v>3062.94</v>
      </c>
      <c r="R753" s="55">
        <f>P753+ROUND(Q753, 2)</f>
        <v>5663.9400000000005</v>
      </c>
      <c r="S753" s="55">
        <f>ROUND(P753*I753, 2)</f>
        <v>1354496.76</v>
      </c>
      <c r="T753" s="55">
        <f>ROUND(I753*ROUND(Q753, 2), 2)</f>
        <v>1595056.63</v>
      </c>
      <c r="U753" s="55">
        <f>S753+T753</f>
        <v>2949553.3899999997</v>
      </c>
      <c r="V753" s="9">
        <f>ROUND(P753 / 1.2, 2)</f>
        <v>2167.5</v>
      </c>
      <c r="W753" s="9">
        <f>ROUND(Q753 / 1.2, 2)</f>
        <v>2552.4499999999998</v>
      </c>
      <c r="X753" s="9">
        <f>ROUND(R753 / 1.2, 2)</f>
        <v>4719.95</v>
      </c>
      <c r="Y753" s="9">
        <f t="shared" si="136"/>
        <v>1128747.3</v>
      </c>
      <c r="Z753" s="9">
        <f>ROUND(T753 / 1.2, 2)</f>
        <v>1329213.8600000001</v>
      </c>
      <c r="AA753" s="9">
        <f>Y753+Z753</f>
        <v>2457961.16</v>
      </c>
      <c r="AD753" s="4">
        <v>295859989</v>
      </c>
      <c r="AE753" s="4">
        <v>22502077</v>
      </c>
      <c r="AG753" s="4" t="s">
        <v>646</v>
      </c>
      <c r="AH753" s="4" t="s">
        <v>647</v>
      </c>
      <c r="AI753" s="4" t="s">
        <v>467</v>
      </c>
    </row>
    <row r="754" spans="1:35" ht="18" x14ac:dyDescent="0.35">
      <c r="A754" s="51" t="s">
        <v>2068</v>
      </c>
      <c r="B754" s="51"/>
      <c r="C754" s="56" t="s">
        <v>651</v>
      </c>
      <c r="D754" s="53"/>
      <c r="E754" s="53"/>
      <c r="F754" s="57" t="s">
        <v>93</v>
      </c>
      <c r="G754" s="58">
        <v>1.02</v>
      </c>
      <c r="H754" s="53"/>
      <c r="I754" s="58">
        <v>531.17499999999995</v>
      </c>
      <c r="J754" s="59">
        <v>2550</v>
      </c>
      <c r="K754" s="60"/>
      <c r="L754" s="60"/>
      <c r="M754" s="59">
        <f>ROUND(ROUND(J754, 2)*I754, 2)</f>
        <v>1354496.25</v>
      </c>
      <c r="N754" s="60"/>
      <c r="O754" s="60"/>
      <c r="P754" s="59">
        <v>2550</v>
      </c>
      <c r="Q754" s="60"/>
      <c r="R754" s="60"/>
      <c r="S754" s="59">
        <f>ROUND(ROUND(P754, 2)*I754, 2)</f>
        <v>1354496.25</v>
      </c>
      <c r="T754" s="60"/>
      <c r="U754" s="61"/>
      <c r="V754" s="9">
        <f>ROUND(ROUND(P754, 2)/1.2, 2)</f>
        <v>2125</v>
      </c>
      <c r="Y754" s="9">
        <f t="shared" si="136"/>
        <v>1128746.8799999999</v>
      </c>
      <c r="AD754" s="4" t="s">
        <v>2069</v>
      </c>
      <c r="AE754" s="4" t="s">
        <v>2070</v>
      </c>
      <c r="AF754" s="4" t="s">
        <v>654</v>
      </c>
    </row>
    <row r="755" spans="1:35" ht="18" x14ac:dyDescent="0.35">
      <c r="A755" s="51" t="s">
        <v>2071</v>
      </c>
      <c r="B755" s="51" t="s">
        <v>722</v>
      </c>
      <c r="C755" s="52" t="s">
        <v>723</v>
      </c>
      <c r="D755" s="53"/>
      <c r="E755" s="53"/>
      <c r="F755" s="53" t="s">
        <v>93</v>
      </c>
      <c r="G755" s="54">
        <v>1</v>
      </c>
      <c r="H755" s="53"/>
      <c r="I755" s="54">
        <v>758.32</v>
      </c>
      <c r="J755" s="55">
        <f>IFERROR(ROUND(SUM(M756)/I755, 2),0)</f>
        <v>1687.5</v>
      </c>
      <c r="K755" s="55">
        <v>915</v>
      </c>
      <c r="L755" s="55">
        <f>J755+ROUND(K755, 2)</f>
        <v>2602.5</v>
      </c>
      <c r="M755" s="55">
        <f>ROUND(J755*I755, 2)</f>
        <v>1279665</v>
      </c>
      <c r="N755" s="55">
        <f>ROUND(I755*ROUND(K755, 2), 2)</f>
        <v>693862.8</v>
      </c>
      <c r="O755" s="55">
        <f>M755+N755</f>
        <v>1973527.8</v>
      </c>
      <c r="P755" s="55">
        <f>IFERROR(ROUND(SUM(S756)/I755, 2),0)</f>
        <v>1687.5</v>
      </c>
      <c r="Q755" s="55">
        <v>1299.3</v>
      </c>
      <c r="R755" s="55">
        <f>P755+ROUND(Q755, 2)</f>
        <v>2986.8</v>
      </c>
      <c r="S755" s="55">
        <f>ROUND(P755*I755, 2)</f>
        <v>1279665</v>
      </c>
      <c r="T755" s="55">
        <f>ROUND(I755*ROUND(Q755, 2), 2)</f>
        <v>985285.18</v>
      </c>
      <c r="U755" s="55">
        <f>S755+T755</f>
        <v>2264950.1800000002</v>
      </c>
      <c r="V755" s="9">
        <f>ROUND(P755 / 1.2, 2)</f>
        <v>1406.25</v>
      </c>
      <c r="W755" s="9">
        <f>ROUND(Q755 / 1.2, 2)</f>
        <v>1082.75</v>
      </c>
      <c r="X755" s="9">
        <f>ROUND(R755 / 1.2, 2)</f>
        <v>2489</v>
      </c>
      <c r="Y755" s="9">
        <f t="shared" si="136"/>
        <v>1066387.5</v>
      </c>
      <c r="Z755" s="9">
        <f>ROUND(T755 / 1.2, 2)</f>
        <v>821070.98</v>
      </c>
      <c r="AA755" s="9">
        <f>Y755+Z755</f>
        <v>1887458.48</v>
      </c>
      <c r="AD755" s="4">
        <v>295859934</v>
      </c>
      <c r="AE755" s="4">
        <v>22502041</v>
      </c>
      <c r="AG755" s="4" t="s">
        <v>724</v>
      </c>
      <c r="AH755" s="4" t="s">
        <v>725</v>
      </c>
      <c r="AI755" s="4" t="s">
        <v>467</v>
      </c>
    </row>
    <row r="756" spans="1:35" ht="18" x14ac:dyDescent="0.35">
      <c r="A756" s="51" t="s">
        <v>2072</v>
      </c>
      <c r="B756" s="51"/>
      <c r="C756" s="56" t="s">
        <v>728</v>
      </c>
      <c r="D756" s="53"/>
      <c r="E756" s="53"/>
      <c r="F756" s="57" t="s">
        <v>498</v>
      </c>
      <c r="G756" s="58">
        <v>225</v>
      </c>
      <c r="H756" s="53"/>
      <c r="I756" s="58">
        <v>170622</v>
      </c>
      <c r="J756" s="59">
        <v>7.5</v>
      </c>
      <c r="K756" s="60"/>
      <c r="L756" s="60"/>
      <c r="M756" s="59">
        <f>ROUND(ROUND(J756, 2)*I756, 2)</f>
        <v>1279665</v>
      </c>
      <c r="N756" s="60"/>
      <c r="O756" s="60"/>
      <c r="P756" s="59">
        <v>7.5</v>
      </c>
      <c r="Q756" s="60"/>
      <c r="R756" s="60"/>
      <c r="S756" s="59">
        <f>ROUND(ROUND(P756, 2)*I756, 2)</f>
        <v>1279665</v>
      </c>
      <c r="T756" s="60"/>
      <c r="U756" s="61"/>
      <c r="V756" s="9">
        <f>ROUND(ROUND(P756, 2)/1.2, 2)</f>
        <v>6.25</v>
      </c>
      <c r="Y756" s="9">
        <f t="shared" si="136"/>
        <v>1066387.5</v>
      </c>
      <c r="AD756" s="4" t="s">
        <v>2073</v>
      </c>
      <c r="AE756" s="4" t="s">
        <v>2074</v>
      </c>
      <c r="AF756" s="4" t="s">
        <v>731</v>
      </c>
    </row>
    <row r="757" spans="1:35" ht="17" customHeight="1" x14ac:dyDescent="0.35">
      <c r="A757" s="51" t="s">
        <v>2075</v>
      </c>
      <c r="B757" s="51" t="s">
        <v>739</v>
      </c>
      <c r="C757" s="180" t="s">
        <v>740</v>
      </c>
      <c r="D757" s="181"/>
      <c r="E757" s="181"/>
      <c r="F757" s="181"/>
      <c r="G757" s="181"/>
      <c r="H757" s="181"/>
      <c r="I757" s="182"/>
      <c r="J757" s="60"/>
      <c r="K757" s="60"/>
      <c r="L757" s="60"/>
      <c r="M757" s="63">
        <f>SUM(M758,M762,M766,M769,M774,M779,M784,M789,M794,M799,M804)</f>
        <v>22205097.059999999</v>
      </c>
      <c r="N757" s="63">
        <f>SUM(N758,N762,N766,N769,N774,N779,N784,N789,N794,N799,N804)</f>
        <v>20057374.779999997</v>
      </c>
      <c r="O757" s="63">
        <f>SUM(O758,O762,O766,O769,O774,O779,O784,O789,O794,O799,O804)</f>
        <v>42262471.839999989</v>
      </c>
      <c r="P757" s="60"/>
      <c r="Q757" s="60"/>
      <c r="R757" s="60"/>
      <c r="S757" s="63">
        <f>SUM(S758,S762,S766,S769,S774,S779,S784,S789,S794,S799,S804)</f>
        <v>22205097.059999999</v>
      </c>
      <c r="T757" s="63">
        <f>SUM(T758,T762,T766,T769,T774,T779,T784,T789,T794,T799,T804)</f>
        <v>28481472.190000001</v>
      </c>
      <c r="U757" s="63">
        <f>SUM(U758,U762,U766,U769,U774,U779,U784,U789,U794,U799,U804)</f>
        <v>50686569.25</v>
      </c>
      <c r="Y757" s="9">
        <f>SUM(Y758,Y762,Y766,Y769,Y774,Y779,Y784,Y789,Y794,Y799,Y804)</f>
        <v>18504247.57</v>
      </c>
      <c r="Z757" s="9">
        <f>SUM(Z758,Z762,Z766,Z769,Z774,Z779,Z784,Z789,Z794,Z799,Z804)</f>
        <v>23734560.16</v>
      </c>
      <c r="AA757" s="9">
        <f>SUM(AA758,AA762,AA766,AA769,AA774,AA779,AA784,AA789,AA794,AA799,AA804)</f>
        <v>42238807.730000004</v>
      </c>
      <c r="AD757" s="4">
        <v>295859935</v>
      </c>
      <c r="AE757" s="4">
        <v>22502011</v>
      </c>
    </row>
    <row r="758" spans="1:35" ht="36" x14ac:dyDescent="0.35">
      <c r="A758" s="51" t="s">
        <v>2076</v>
      </c>
      <c r="B758" s="51" t="s">
        <v>742</v>
      </c>
      <c r="C758" s="52" t="s">
        <v>743</v>
      </c>
      <c r="D758" s="53" t="s">
        <v>744</v>
      </c>
      <c r="E758" s="53" t="s">
        <v>748</v>
      </c>
      <c r="F758" s="53" t="s">
        <v>63</v>
      </c>
      <c r="G758" s="54">
        <v>1</v>
      </c>
      <c r="H758" s="53"/>
      <c r="I758" s="54">
        <v>427.37</v>
      </c>
      <c r="J758" s="55">
        <f>IFERROR(ROUND(SUM(M759,M760,M761)/I758, 2),0)</f>
        <v>127.26</v>
      </c>
      <c r="K758" s="55">
        <v>556</v>
      </c>
      <c r="L758" s="55">
        <f>J758+ROUND(K758, 2)</f>
        <v>683.26</v>
      </c>
      <c r="M758" s="55">
        <f>ROUND(J758*I758, 2)</f>
        <v>54387.11</v>
      </c>
      <c r="N758" s="55">
        <f>ROUND(I758*ROUND(K758, 2), 2)</f>
        <v>237617.72</v>
      </c>
      <c r="O758" s="55">
        <f>M758+N758</f>
        <v>292004.83</v>
      </c>
      <c r="P758" s="55">
        <f>IFERROR(ROUND(SUM(S759,S760,S761)/I758, 2),0)</f>
        <v>127.26</v>
      </c>
      <c r="Q758" s="55">
        <v>789.52</v>
      </c>
      <c r="R758" s="55">
        <f>P758+ROUND(Q758, 2)</f>
        <v>916.78</v>
      </c>
      <c r="S758" s="55">
        <f>ROUND(P758*I758, 2)</f>
        <v>54387.11</v>
      </c>
      <c r="T758" s="55">
        <f>ROUND(I758*ROUND(Q758, 2), 2)</f>
        <v>337417.16</v>
      </c>
      <c r="U758" s="55">
        <f>S758+T758</f>
        <v>391804.26999999996</v>
      </c>
      <c r="V758" s="9">
        <f>ROUND(P758 / 1.2, 2)</f>
        <v>106.05</v>
      </c>
      <c r="W758" s="9">
        <f>ROUND(Q758 / 1.2, 2)</f>
        <v>657.93</v>
      </c>
      <c r="X758" s="9">
        <f>ROUND(R758 / 1.2, 2)</f>
        <v>763.98</v>
      </c>
      <c r="Y758" s="9">
        <f>ROUND(S758 / 1.2, 2)</f>
        <v>45322.59</v>
      </c>
      <c r="Z758" s="9">
        <f>ROUND(T758 / 1.2, 2)</f>
        <v>281180.96999999997</v>
      </c>
      <c r="AA758" s="9">
        <f>Y758+Z758</f>
        <v>326503.55999999994</v>
      </c>
      <c r="AD758" s="4">
        <v>295859937</v>
      </c>
      <c r="AE758" s="4">
        <v>22502088</v>
      </c>
      <c r="AG758" s="4" t="s">
        <v>745</v>
      </c>
      <c r="AH758" s="4" t="s">
        <v>746</v>
      </c>
      <c r="AI758" s="4" t="s">
        <v>467</v>
      </c>
    </row>
    <row r="759" spans="1:35" ht="18" x14ac:dyDescent="0.35">
      <c r="A759" s="51" t="s">
        <v>2077</v>
      </c>
      <c r="B759" s="51"/>
      <c r="C759" s="56" t="s">
        <v>750</v>
      </c>
      <c r="D759" s="53"/>
      <c r="E759" s="53"/>
      <c r="F759" s="57" t="s">
        <v>498</v>
      </c>
      <c r="G759" s="58">
        <v>0.3</v>
      </c>
      <c r="H759" s="53"/>
      <c r="I759" s="58">
        <v>128.21100000000001</v>
      </c>
      <c r="J759" s="59">
        <v>220</v>
      </c>
      <c r="K759" s="60"/>
      <c r="L759" s="60"/>
      <c r="M759" s="59">
        <f>ROUND(ROUND(J759, 2)*I759, 2)</f>
        <v>28206.42</v>
      </c>
      <c r="N759" s="60"/>
      <c r="O759" s="60"/>
      <c r="P759" s="59">
        <v>220</v>
      </c>
      <c r="Q759" s="60"/>
      <c r="R759" s="60"/>
      <c r="S759" s="59">
        <f>ROUND(ROUND(P759, 2)*I759, 2)</f>
        <v>28206.42</v>
      </c>
      <c r="T759" s="60"/>
      <c r="U759" s="61"/>
      <c r="V759" s="9">
        <f>ROUND(ROUND(P759, 2)/1.2, 2)</f>
        <v>183.33</v>
      </c>
      <c r="Y759" s="9">
        <f t="shared" ref="Y759:Y790" si="137">ROUND(S759 / 1.2, 2)</f>
        <v>23505.35</v>
      </c>
      <c r="AD759" s="4" t="s">
        <v>2078</v>
      </c>
      <c r="AE759" s="4" t="s">
        <v>2079</v>
      </c>
      <c r="AF759" s="4" t="s">
        <v>753</v>
      </c>
    </row>
    <row r="760" spans="1:35" ht="36" x14ac:dyDescent="0.35">
      <c r="A760" s="51" t="s">
        <v>2080</v>
      </c>
      <c r="B760" s="51"/>
      <c r="C760" s="56" t="s">
        <v>758</v>
      </c>
      <c r="D760" s="53"/>
      <c r="E760" s="53"/>
      <c r="F760" s="57" t="s">
        <v>498</v>
      </c>
      <c r="G760" s="58">
        <v>0.15</v>
      </c>
      <c r="H760" s="53"/>
      <c r="I760" s="58">
        <v>64.105999999999995</v>
      </c>
      <c r="J760" s="59">
        <v>68.400000000000006</v>
      </c>
      <c r="K760" s="60"/>
      <c r="L760" s="60"/>
      <c r="M760" s="59">
        <f>ROUND(ROUND(J760, 2)*I760, 2)</f>
        <v>4384.8500000000004</v>
      </c>
      <c r="N760" s="60"/>
      <c r="O760" s="60"/>
      <c r="P760" s="59">
        <v>68.400000000000006</v>
      </c>
      <c r="Q760" s="60"/>
      <c r="R760" s="60"/>
      <c r="S760" s="59">
        <f>ROUND(ROUND(P760, 2)*I760, 2)</f>
        <v>4384.8500000000004</v>
      </c>
      <c r="T760" s="60"/>
      <c r="U760" s="61"/>
      <c r="V760" s="9">
        <f>ROUND(ROUND(P760, 2)/1.2, 2)</f>
        <v>57</v>
      </c>
      <c r="Y760" s="9">
        <f t="shared" si="137"/>
        <v>3654.04</v>
      </c>
      <c r="AD760" s="4" t="s">
        <v>2081</v>
      </c>
      <c r="AE760" s="4" t="s">
        <v>2082</v>
      </c>
      <c r="AF760" s="4" t="s">
        <v>761</v>
      </c>
    </row>
    <row r="761" spans="1:35" ht="72" x14ac:dyDescent="0.35">
      <c r="A761" s="51" t="s">
        <v>2083</v>
      </c>
      <c r="B761" s="51"/>
      <c r="C761" s="47" t="s">
        <v>765</v>
      </c>
      <c r="D761" s="53"/>
      <c r="E761" s="53"/>
      <c r="F761" s="57" t="s">
        <v>78</v>
      </c>
      <c r="G761" s="58">
        <v>1</v>
      </c>
      <c r="H761" s="53"/>
      <c r="I761" s="62">
        <v>427.37</v>
      </c>
      <c r="J761" s="59">
        <v>51</v>
      </c>
      <c r="K761" s="60"/>
      <c r="L761" s="60"/>
      <c r="M761" s="59">
        <f>ROUND(ROUND(J761, 2)*I761, 2)</f>
        <v>21795.87</v>
      </c>
      <c r="N761" s="60"/>
      <c r="O761" s="60"/>
      <c r="P761" s="59">
        <v>51</v>
      </c>
      <c r="Q761" s="60"/>
      <c r="R761" s="60"/>
      <c r="S761" s="59">
        <f>ROUND(ROUND(P761, 2)*I761, 2)</f>
        <v>21795.87</v>
      </c>
      <c r="T761" s="60"/>
      <c r="U761" s="61"/>
      <c r="V761" s="9">
        <f>ROUND(ROUND(P761, 2)/1.2, 2)</f>
        <v>42.5</v>
      </c>
      <c r="Y761" s="9">
        <f t="shared" si="137"/>
        <v>18163.23</v>
      </c>
      <c r="AD761" s="4" t="s">
        <v>2084</v>
      </c>
      <c r="AE761" s="4" t="s">
        <v>2085</v>
      </c>
      <c r="AF761" s="4" t="s">
        <v>768</v>
      </c>
    </row>
    <row r="762" spans="1:35" ht="18" x14ac:dyDescent="0.35">
      <c r="A762" s="51" t="s">
        <v>2086</v>
      </c>
      <c r="B762" s="51" t="s">
        <v>742</v>
      </c>
      <c r="C762" s="52" t="s">
        <v>743</v>
      </c>
      <c r="D762" s="53" t="s">
        <v>744</v>
      </c>
      <c r="E762" s="53" t="s">
        <v>781</v>
      </c>
      <c r="F762" s="53" t="s">
        <v>63</v>
      </c>
      <c r="G762" s="54">
        <v>1</v>
      </c>
      <c r="H762" s="53"/>
      <c r="I762" s="54">
        <v>156.31</v>
      </c>
      <c r="J762" s="55">
        <f>IFERROR(ROUND(SUM(M763,M764,M765)/I762, 2),0)</f>
        <v>117</v>
      </c>
      <c r="K762" s="55">
        <v>556</v>
      </c>
      <c r="L762" s="55">
        <f>J762+ROUND(K762, 2)</f>
        <v>673</v>
      </c>
      <c r="M762" s="55">
        <f>ROUND(J762*I762, 2)</f>
        <v>18288.27</v>
      </c>
      <c r="N762" s="55">
        <f>ROUND(I762*ROUND(K762, 2), 2)</f>
        <v>86908.36</v>
      </c>
      <c r="O762" s="55">
        <f>M762+N762</f>
        <v>105196.63</v>
      </c>
      <c r="P762" s="55">
        <f>IFERROR(ROUND(SUM(S763,S764,S765)/I762, 2),0)</f>
        <v>117</v>
      </c>
      <c r="Q762" s="55">
        <v>789.52</v>
      </c>
      <c r="R762" s="55">
        <f>P762+ROUND(Q762, 2)</f>
        <v>906.52</v>
      </c>
      <c r="S762" s="55">
        <f>ROUND(P762*I762, 2)</f>
        <v>18288.27</v>
      </c>
      <c r="T762" s="55">
        <f>ROUND(I762*ROUND(Q762, 2), 2)</f>
        <v>123409.87</v>
      </c>
      <c r="U762" s="55">
        <f>S762+T762</f>
        <v>141698.13999999998</v>
      </c>
      <c r="V762" s="9">
        <f>ROUND(P762 / 1.2, 2)</f>
        <v>97.5</v>
      </c>
      <c r="W762" s="9">
        <f>ROUND(Q762 / 1.2, 2)</f>
        <v>657.93</v>
      </c>
      <c r="X762" s="9">
        <f>ROUND(R762 / 1.2, 2)</f>
        <v>755.43</v>
      </c>
      <c r="Y762" s="9">
        <f t="shared" si="137"/>
        <v>15240.23</v>
      </c>
      <c r="Z762" s="9">
        <f>ROUND(T762 / 1.2, 2)</f>
        <v>102841.56</v>
      </c>
      <c r="AA762" s="9">
        <f>Y762+Z762</f>
        <v>118081.79</v>
      </c>
      <c r="AD762" s="4">
        <v>295859990</v>
      </c>
      <c r="AE762" s="4">
        <v>22502061</v>
      </c>
      <c r="AG762" s="4" t="s">
        <v>745</v>
      </c>
      <c r="AH762" s="4" t="s">
        <v>746</v>
      </c>
      <c r="AI762" s="4" t="s">
        <v>467</v>
      </c>
    </row>
    <row r="763" spans="1:35" ht="54" x14ac:dyDescent="0.35">
      <c r="A763" s="51" t="s">
        <v>2087</v>
      </c>
      <c r="B763" s="51"/>
      <c r="C763" s="56" t="s">
        <v>772</v>
      </c>
      <c r="D763" s="53"/>
      <c r="E763" s="53" t="s">
        <v>786</v>
      </c>
      <c r="F763" s="57" t="s">
        <v>63</v>
      </c>
      <c r="G763" s="58">
        <v>1.1000000000000001</v>
      </c>
      <c r="H763" s="53"/>
      <c r="I763" s="62">
        <v>171.941</v>
      </c>
      <c r="J763" s="59">
        <v>0</v>
      </c>
      <c r="K763" s="60"/>
      <c r="L763" s="60"/>
      <c r="M763" s="59">
        <f>ROUND(ROUND(J763, 2)*I763, 2)</f>
        <v>0</v>
      </c>
      <c r="N763" s="60"/>
      <c r="O763" s="60"/>
      <c r="P763" s="59">
        <v>0</v>
      </c>
      <c r="Q763" s="60"/>
      <c r="R763" s="60"/>
      <c r="S763" s="59">
        <f>ROUND(ROUND(P763, 2)*I763, 2)</f>
        <v>0</v>
      </c>
      <c r="T763" s="60"/>
      <c r="U763" s="61"/>
      <c r="V763" s="9">
        <f>ROUND(ROUND(P763, 2)/1.2, 2)</f>
        <v>0</v>
      </c>
      <c r="Y763" s="9">
        <f t="shared" si="137"/>
        <v>0</v>
      </c>
      <c r="AD763" s="4" t="s">
        <v>2088</v>
      </c>
      <c r="AE763" s="4" t="s">
        <v>2089</v>
      </c>
      <c r="AF763" s="4" t="s">
        <v>775</v>
      </c>
    </row>
    <row r="764" spans="1:35" ht="72" x14ac:dyDescent="0.35">
      <c r="A764" s="51" t="s">
        <v>2090</v>
      </c>
      <c r="B764" s="51"/>
      <c r="C764" s="47" t="s">
        <v>765</v>
      </c>
      <c r="D764" s="53"/>
      <c r="E764" s="53"/>
      <c r="F764" s="57" t="s">
        <v>78</v>
      </c>
      <c r="G764" s="58">
        <v>1</v>
      </c>
      <c r="H764" s="53"/>
      <c r="I764" s="62">
        <v>156.31</v>
      </c>
      <c r="J764" s="59">
        <v>51</v>
      </c>
      <c r="K764" s="60"/>
      <c r="L764" s="60"/>
      <c r="M764" s="59">
        <f>ROUND(ROUND(J764, 2)*I764, 2)</f>
        <v>7971.81</v>
      </c>
      <c r="N764" s="60"/>
      <c r="O764" s="60"/>
      <c r="P764" s="59">
        <v>51</v>
      </c>
      <c r="Q764" s="60"/>
      <c r="R764" s="60"/>
      <c r="S764" s="59">
        <f>ROUND(ROUND(P764, 2)*I764, 2)</f>
        <v>7971.81</v>
      </c>
      <c r="T764" s="60"/>
      <c r="U764" s="61"/>
      <c r="V764" s="9">
        <f>ROUND(ROUND(P764, 2)/1.2, 2)</f>
        <v>42.5</v>
      </c>
      <c r="Y764" s="9">
        <f t="shared" si="137"/>
        <v>6643.18</v>
      </c>
      <c r="AD764" s="4" t="s">
        <v>2091</v>
      </c>
      <c r="AE764" s="4" t="s">
        <v>2092</v>
      </c>
      <c r="AF764" s="4" t="s">
        <v>768</v>
      </c>
    </row>
    <row r="765" spans="1:35" ht="18" x14ac:dyDescent="0.35">
      <c r="A765" s="51" t="s">
        <v>2093</v>
      </c>
      <c r="B765" s="51"/>
      <c r="C765" s="56" t="s">
        <v>750</v>
      </c>
      <c r="D765" s="53"/>
      <c r="E765" s="53"/>
      <c r="F765" s="57" t="s">
        <v>498</v>
      </c>
      <c r="G765" s="58">
        <v>0.3</v>
      </c>
      <c r="H765" s="53"/>
      <c r="I765" s="58">
        <v>46.893000000000001</v>
      </c>
      <c r="J765" s="59">
        <v>220</v>
      </c>
      <c r="K765" s="60"/>
      <c r="L765" s="60"/>
      <c r="M765" s="59">
        <f>ROUND(ROUND(J765, 2)*I765, 2)</f>
        <v>10316.459999999999</v>
      </c>
      <c r="N765" s="60"/>
      <c r="O765" s="60"/>
      <c r="P765" s="59">
        <v>220</v>
      </c>
      <c r="Q765" s="60"/>
      <c r="R765" s="60"/>
      <c r="S765" s="59">
        <f>ROUND(ROUND(P765, 2)*I765, 2)</f>
        <v>10316.459999999999</v>
      </c>
      <c r="T765" s="60"/>
      <c r="U765" s="61"/>
      <c r="V765" s="9">
        <f>ROUND(ROUND(P765, 2)/1.2, 2)</f>
        <v>183.33</v>
      </c>
      <c r="Y765" s="9">
        <f t="shared" si="137"/>
        <v>8597.0499999999993</v>
      </c>
      <c r="AD765" s="4" t="s">
        <v>2094</v>
      </c>
      <c r="AE765" s="4" t="s">
        <v>2095</v>
      </c>
      <c r="AF765" s="4" t="s">
        <v>753</v>
      </c>
    </row>
    <row r="766" spans="1:35" ht="72" x14ac:dyDescent="0.35">
      <c r="A766" s="51" t="s">
        <v>2096</v>
      </c>
      <c r="B766" s="51" t="s">
        <v>822</v>
      </c>
      <c r="C766" s="52" t="s">
        <v>823</v>
      </c>
      <c r="D766" s="53"/>
      <c r="E766" s="53" t="s">
        <v>843</v>
      </c>
      <c r="F766" s="53" t="s">
        <v>78</v>
      </c>
      <c r="G766" s="54">
        <v>1</v>
      </c>
      <c r="H766" s="53"/>
      <c r="I766" s="54">
        <v>544.5</v>
      </c>
      <c r="J766" s="55">
        <f>IFERROR(ROUND(SUM(M767,M768)/I766, 2),0)</f>
        <v>0</v>
      </c>
      <c r="K766" s="55">
        <v>201</v>
      </c>
      <c r="L766" s="55">
        <f>J766+ROUND(K766, 2)</f>
        <v>201</v>
      </c>
      <c r="M766" s="55">
        <f>ROUND(J766*I766, 2)</f>
        <v>0</v>
      </c>
      <c r="N766" s="55">
        <f>ROUND(I766*ROUND(K766, 2), 2)</f>
        <v>109444.5</v>
      </c>
      <c r="O766" s="55">
        <f>M766+N766</f>
        <v>109444.5</v>
      </c>
      <c r="P766" s="55">
        <f>IFERROR(ROUND(SUM(S767,S768)/I766, 2),0)</f>
        <v>0</v>
      </c>
      <c r="Q766" s="55">
        <v>285.42</v>
      </c>
      <c r="R766" s="55">
        <f>P766+ROUND(Q766, 2)</f>
        <v>285.42</v>
      </c>
      <c r="S766" s="55">
        <f>ROUND(P766*I766, 2)</f>
        <v>0</v>
      </c>
      <c r="T766" s="55">
        <f>ROUND(I766*ROUND(Q766, 2), 2)</f>
        <v>155411.19</v>
      </c>
      <c r="U766" s="55">
        <f>S766+T766</f>
        <v>155411.19</v>
      </c>
      <c r="V766" s="9">
        <f>ROUND(P766 / 1.2, 2)</f>
        <v>0</v>
      </c>
      <c r="W766" s="9">
        <f>ROUND(Q766 / 1.2, 2)</f>
        <v>237.85</v>
      </c>
      <c r="X766" s="9">
        <f>ROUND(R766 / 1.2, 2)</f>
        <v>237.85</v>
      </c>
      <c r="Y766" s="9">
        <f t="shared" si="137"/>
        <v>0</v>
      </c>
      <c r="Z766" s="9">
        <f>ROUND(T766 / 1.2, 2)</f>
        <v>129509.33</v>
      </c>
      <c r="AA766" s="9">
        <f>Y766+Z766</f>
        <v>129509.33</v>
      </c>
      <c r="AD766" s="4">
        <v>295859939</v>
      </c>
      <c r="AE766" s="4">
        <v>22502086</v>
      </c>
      <c r="AG766" s="4" t="s">
        <v>824</v>
      </c>
      <c r="AH766" s="4" t="s">
        <v>825</v>
      </c>
      <c r="AI766" s="4" t="s">
        <v>467</v>
      </c>
    </row>
    <row r="767" spans="1:35" ht="54" x14ac:dyDescent="0.35">
      <c r="A767" s="51" t="s">
        <v>2097</v>
      </c>
      <c r="B767" s="51"/>
      <c r="C767" s="56" t="s">
        <v>829</v>
      </c>
      <c r="D767" s="53"/>
      <c r="E767" s="53"/>
      <c r="F767" s="57" t="s">
        <v>78</v>
      </c>
      <c r="G767" s="58">
        <v>1.1000000000000001</v>
      </c>
      <c r="H767" s="53"/>
      <c r="I767" s="58">
        <v>598.95000000000005</v>
      </c>
      <c r="J767" s="59">
        <v>0</v>
      </c>
      <c r="K767" s="60"/>
      <c r="L767" s="60"/>
      <c r="M767" s="59">
        <f>ROUND(ROUND(J767, 2)*I767, 2)</f>
        <v>0</v>
      </c>
      <c r="N767" s="60"/>
      <c r="O767" s="60"/>
      <c r="P767" s="59">
        <v>0</v>
      </c>
      <c r="Q767" s="60"/>
      <c r="R767" s="60"/>
      <c r="S767" s="59">
        <f>ROUND(ROUND(P767, 2)*I767, 2)</f>
        <v>0</v>
      </c>
      <c r="T767" s="60"/>
      <c r="U767" s="61"/>
      <c r="V767" s="9">
        <f>ROUND(ROUND(P767, 2)/1.2, 2)</f>
        <v>0</v>
      </c>
      <c r="Y767" s="9">
        <f t="shared" si="137"/>
        <v>0</v>
      </c>
      <c r="AD767" s="4" t="s">
        <v>2098</v>
      </c>
      <c r="AE767" s="4" t="s">
        <v>2099</v>
      </c>
      <c r="AF767" s="4" t="s">
        <v>832</v>
      </c>
    </row>
    <row r="768" spans="1:35" ht="36" x14ac:dyDescent="0.35">
      <c r="A768" s="51" t="s">
        <v>2100</v>
      </c>
      <c r="B768" s="51"/>
      <c r="C768" s="56" t="s">
        <v>836</v>
      </c>
      <c r="D768" s="53"/>
      <c r="E768" s="53"/>
      <c r="F768" s="57" t="s">
        <v>490</v>
      </c>
      <c r="G768" s="58">
        <v>1</v>
      </c>
      <c r="H768" s="53"/>
      <c r="I768" s="62">
        <v>544.5</v>
      </c>
      <c r="J768" s="59">
        <v>0</v>
      </c>
      <c r="K768" s="60"/>
      <c r="L768" s="60"/>
      <c r="M768" s="59">
        <f>ROUND(ROUND(J768, 2)*I768, 2)</f>
        <v>0</v>
      </c>
      <c r="N768" s="60"/>
      <c r="O768" s="60"/>
      <c r="P768" s="59">
        <v>0</v>
      </c>
      <c r="Q768" s="60"/>
      <c r="R768" s="60"/>
      <c r="S768" s="59">
        <f>ROUND(ROUND(P768, 2)*I768, 2)</f>
        <v>0</v>
      </c>
      <c r="T768" s="60"/>
      <c r="U768" s="61"/>
      <c r="V768" s="9">
        <f>ROUND(ROUND(P768, 2)/1.2, 2)</f>
        <v>0</v>
      </c>
      <c r="Y768" s="9">
        <f t="shared" si="137"/>
        <v>0</v>
      </c>
      <c r="AD768" s="4" t="s">
        <v>2101</v>
      </c>
      <c r="AE768" s="4" t="s">
        <v>2102</v>
      </c>
      <c r="AF768" s="4" t="s">
        <v>839</v>
      </c>
    </row>
    <row r="769" spans="1:35" ht="36" x14ac:dyDescent="0.35">
      <c r="A769" s="51" t="s">
        <v>2103</v>
      </c>
      <c r="B769" s="51" t="s">
        <v>851</v>
      </c>
      <c r="C769" s="52" t="s">
        <v>852</v>
      </c>
      <c r="D769" s="53"/>
      <c r="E769" s="53" t="s">
        <v>856</v>
      </c>
      <c r="F769" s="53" t="s">
        <v>63</v>
      </c>
      <c r="G769" s="54">
        <v>1</v>
      </c>
      <c r="H769" s="53"/>
      <c r="I769" s="54">
        <v>276.45999999999998</v>
      </c>
      <c r="J769" s="55">
        <f>IFERROR(ROUND(SUM(M770,M771,M772,M773)/I769, 2),0)</f>
        <v>4446.1099999999997</v>
      </c>
      <c r="K769" s="55">
        <v>2310</v>
      </c>
      <c r="L769" s="55">
        <f>J769+ROUND(K769, 2)</f>
        <v>6756.11</v>
      </c>
      <c r="M769" s="55">
        <f>ROUND(J769*I769, 2)</f>
        <v>1229171.57</v>
      </c>
      <c r="N769" s="55">
        <f>ROUND(I769*ROUND(K769, 2), 2)</f>
        <v>638622.6</v>
      </c>
      <c r="O769" s="55">
        <f>M769+N769</f>
        <v>1867794.17</v>
      </c>
      <c r="P769" s="55">
        <f>IFERROR(ROUND(SUM(S770,S771,S772,S773)/I769, 2),0)</f>
        <v>4446.1099999999997</v>
      </c>
      <c r="Q769" s="55">
        <v>3280.2</v>
      </c>
      <c r="R769" s="55">
        <f>P769+ROUND(Q769, 2)</f>
        <v>7726.3099999999995</v>
      </c>
      <c r="S769" s="55">
        <f>ROUND(P769*I769, 2)</f>
        <v>1229171.57</v>
      </c>
      <c r="T769" s="55">
        <f>ROUND(I769*ROUND(Q769, 2), 2)</f>
        <v>906844.09</v>
      </c>
      <c r="U769" s="55">
        <f>S769+T769</f>
        <v>2136015.66</v>
      </c>
      <c r="V769" s="9">
        <f>ROUND(P769 / 1.2, 2)</f>
        <v>3705.09</v>
      </c>
      <c r="W769" s="9">
        <f>ROUND(Q769 / 1.2, 2)</f>
        <v>2733.5</v>
      </c>
      <c r="X769" s="9">
        <f>ROUND(R769 / 1.2, 2)</f>
        <v>6438.59</v>
      </c>
      <c r="Y769" s="9">
        <f t="shared" si="137"/>
        <v>1024309.64</v>
      </c>
      <c r="Z769" s="9">
        <f>ROUND(T769 / 1.2, 2)</f>
        <v>755703.41</v>
      </c>
      <c r="AA769" s="9">
        <f>Y769+Z769</f>
        <v>1780013.05</v>
      </c>
      <c r="AD769" s="4">
        <v>295859941</v>
      </c>
      <c r="AE769" s="4">
        <v>22502093</v>
      </c>
      <c r="AG769" s="4" t="s">
        <v>853</v>
      </c>
      <c r="AH769" s="4" t="s">
        <v>854</v>
      </c>
      <c r="AI769" s="4" t="s">
        <v>467</v>
      </c>
    </row>
    <row r="770" spans="1:35" ht="72" x14ac:dyDescent="0.35">
      <c r="A770" s="51" t="s">
        <v>2104</v>
      </c>
      <c r="B770" s="51"/>
      <c r="C770" s="47" t="s">
        <v>858</v>
      </c>
      <c r="D770" s="53"/>
      <c r="E770" s="53" t="s">
        <v>863</v>
      </c>
      <c r="F770" s="57" t="s">
        <v>490</v>
      </c>
      <c r="G770" s="58">
        <v>4</v>
      </c>
      <c r="H770" s="53"/>
      <c r="I770" s="58">
        <v>1105.8399999999999</v>
      </c>
      <c r="J770" s="59">
        <v>1100.4000000000001</v>
      </c>
      <c r="K770" s="60"/>
      <c r="L770" s="60"/>
      <c r="M770" s="59">
        <f>ROUND(ROUND(J770, 2)*I770, 2)</f>
        <v>1216866.3400000001</v>
      </c>
      <c r="N770" s="60"/>
      <c r="O770" s="60"/>
      <c r="P770" s="59">
        <v>1100.4000000000001</v>
      </c>
      <c r="Q770" s="60"/>
      <c r="R770" s="60"/>
      <c r="S770" s="59">
        <f>ROUND(ROUND(P770, 2)*I770, 2)</f>
        <v>1216866.3400000001</v>
      </c>
      <c r="T770" s="60"/>
      <c r="U770" s="61"/>
      <c r="V770" s="9">
        <f>ROUND(ROUND(P770, 2)/1.2, 2)</f>
        <v>917</v>
      </c>
      <c r="Y770" s="9">
        <f t="shared" si="137"/>
        <v>1014055.28</v>
      </c>
      <c r="AD770" s="4" t="s">
        <v>2105</v>
      </c>
      <c r="AE770" s="4" t="s">
        <v>2106</v>
      </c>
      <c r="AF770" s="4" t="s">
        <v>861</v>
      </c>
    </row>
    <row r="771" spans="1:35" ht="36" x14ac:dyDescent="0.35">
      <c r="A771" s="51" t="s">
        <v>2107</v>
      </c>
      <c r="B771" s="51"/>
      <c r="C771" s="47" t="s">
        <v>866</v>
      </c>
      <c r="D771" s="53"/>
      <c r="E771" s="53"/>
      <c r="F771" s="57" t="s">
        <v>498</v>
      </c>
      <c r="G771" s="58">
        <v>1.2</v>
      </c>
      <c r="H771" s="53"/>
      <c r="I771" s="62">
        <v>331.75200000000001</v>
      </c>
      <c r="J771" s="59">
        <v>16.11</v>
      </c>
      <c r="K771" s="60"/>
      <c r="L771" s="60"/>
      <c r="M771" s="59">
        <f>ROUND(ROUND(J771, 2)*I771, 2)</f>
        <v>5344.52</v>
      </c>
      <c r="N771" s="60"/>
      <c r="O771" s="60"/>
      <c r="P771" s="59">
        <v>16.11</v>
      </c>
      <c r="Q771" s="60"/>
      <c r="R771" s="60"/>
      <c r="S771" s="59">
        <f>ROUND(ROUND(P771, 2)*I771, 2)</f>
        <v>5344.52</v>
      </c>
      <c r="T771" s="60"/>
      <c r="U771" s="61"/>
      <c r="V771" s="9">
        <f>ROUND(ROUND(P771, 2)/1.2, 2)</f>
        <v>13.43</v>
      </c>
      <c r="Y771" s="9">
        <f t="shared" si="137"/>
        <v>4453.7700000000004</v>
      </c>
      <c r="AD771" s="4" t="s">
        <v>2108</v>
      </c>
      <c r="AE771" s="4" t="s">
        <v>2109</v>
      </c>
      <c r="AF771" s="4" t="s">
        <v>869</v>
      </c>
    </row>
    <row r="772" spans="1:35" ht="18" x14ac:dyDescent="0.35">
      <c r="A772" s="51" t="s">
        <v>2110</v>
      </c>
      <c r="B772" s="51"/>
      <c r="C772" s="56" t="s">
        <v>873</v>
      </c>
      <c r="D772" s="53"/>
      <c r="E772" s="53"/>
      <c r="F772" s="57" t="s">
        <v>498</v>
      </c>
      <c r="G772" s="58">
        <v>0.25</v>
      </c>
      <c r="H772" s="53"/>
      <c r="I772" s="58">
        <v>69.114999999999995</v>
      </c>
      <c r="J772" s="59">
        <v>47.44</v>
      </c>
      <c r="K772" s="60"/>
      <c r="L772" s="60"/>
      <c r="M772" s="59">
        <f>ROUND(ROUND(J772, 2)*I772, 2)</f>
        <v>3278.82</v>
      </c>
      <c r="N772" s="60"/>
      <c r="O772" s="60"/>
      <c r="P772" s="59">
        <v>47.44</v>
      </c>
      <c r="Q772" s="60"/>
      <c r="R772" s="60"/>
      <c r="S772" s="59">
        <f>ROUND(ROUND(P772, 2)*I772, 2)</f>
        <v>3278.82</v>
      </c>
      <c r="T772" s="60"/>
      <c r="U772" s="61"/>
      <c r="V772" s="9">
        <f>ROUND(ROUND(P772, 2)/1.2, 2)</f>
        <v>39.53</v>
      </c>
      <c r="Y772" s="9">
        <f t="shared" si="137"/>
        <v>2732.35</v>
      </c>
      <c r="AD772" s="4" t="s">
        <v>2111</v>
      </c>
      <c r="AE772" s="4" t="s">
        <v>2112</v>
      </c>
      <c r="AF772" s="4" t="s">
        <v>876</v>
      </c>
    </row>
    <row r="773" spans="1:35" ht="36" x14ac:dyDescent="0.35">
      <c r="A773" s="51" t="s">
        <v>2113</v>
      </c>
      <c r="B773" s="51"/>
      <c r="C773" s="56" t="s">
        <v>544</v>
      </c>
      <c r="D773" s="53"/>
      <c r="E773" s="53"/>
      <c r="F773" s="57" t="s">
        <v>498</v>
      </c>
      <c r="G773" s="58">
        <v>0.15</v>
      </c>
      <c r="H773" s="53"/>
      <c r="I773" s="58">
        <v>41.469000000000001</v>
      </c>
      <c r="J773" s="59">
        <v>88.8</v>
      </c>
      <c r="K773" s="60"/>
      <c r="L773" s="60"/>
      <c r="M773" s="59">
        <f>ROUND(ROUND(J773, 2)*I773, 2)</f>
        <v>3682.45</v>
      </c>
      <c r="N773" s="60"/>
      <c r="O773" s="60"/>
      <c r="P773" s="59">
        <v>88.8</v>
      </c>
      <c r="Q773" s="60"/>
      <c r="R773" s="60"/>
      <c r="S773" s="59">
        <f>ROUND(ROUND(P773, 2)*I773, 2)</f>
        <v>3682.45</v>
      </c>
      <c r="T773" s="60"/>
      <c r="U773" s="61"/>
      <c r="V773" s="9">
        <f>ROUND(ROUND(P773, 2)/1.2, 2)</f>
        <v>74</v>
      </c>
      <c r="Y773" s="9">
        <f t="shared" si="137"/>
        <v>3068.71</v>
      </c>
      <c r="AD773" s="4" t="s">
        <v>2114</v>
      </c>
      <c r="AE773" s="4" t="s">
        <v>2115</v>
      </c>
      <c r="AF773" s="4" t="s">
        <v>547</v>
      </c>
    </row>
    <row r="774" spans="1:35" ht="36" x14ac:dyDescent="0.35">
      <c r="A774" s="51" t="s">
        <v>2116</v>
      </c>
      <c r="B774" s="51" t="s">
        <v>898</v>
      </c>
      <c r="C774" s="52" t="s">
        <v>899</v>
      </c>
      <c r="D774" s="53"/>
      <c r="E774" s="53" t="s">
        <v>903</v>
      </c>
      <c r="F774" s="53" t="s">
        <v>78</v>
      </c>
      <c r="G774" s="54">
        <v>1</v>
      </c>
      <c r="H774" s="53"/>
      <c r="I774" s="54">
        <v>3328.1</v>
      </c>
      <c r="J774" s="55">
        <f>IFERROR(ROUND(SUM(M775,M776,M777,M778)/I774, 2),0)</f>
        <v>844.25</v>
      </c>
      <c r="K774" s="55">
        <v>473</v>
      </c>
      <c r="L774" s="55">
        <f>J774+ROUND(K774, 2)</f>
        <v>1317.25</v>
      </c>
      <c r="M774" s="55">
        <f>ROUND(J774*I774, 2)</f>
        <v>2809748.43</v>
      </c>
      <c r="N774" s="55">
        <f>ROUND(I774*ROUND(K774, 2), 2)</f>
        <v>1574191.3</v>
      </c>
      <c r="O774" s="55">
        <f>M774+N774</f>
        <v>4383939.7300000004</v>
      </c>
      <c r="P774" s="55">
        <f>IFERROR(ROUND(SUM(S775,S776,S777,S778)/I774, 2),0)</f>
        <v>844.25</v>
      </c>
      <c r="Q774" s="55">
        <v>671.66</v>
      </c>
      <c r="R774" s="55">
        <f>P774+ROUND(Q774, 2)</f>
        <v>1515.9099999999999</v>
      </c>
      <c r="S774" s="55">
        <f>ROUND(P774*I774, 2)</f>
        <v>2809748.43</v>
      </c>
      <c r="T774" s="55">
        <f>ROUND(I774*ROUND(Q774, 2), 2)</f>
        <v>2235351.65</v>
      </c>
      <c r="U774" s="55">
        <f>S774+T774</f>
        <v>5045100.08</v>
      </c>
      <c r="V774" s="9">
        <f>ROUND(P774 / 1.2, 2)</f>
        <v>703.54</v>
      </c>
      <c r="W774" s="9">
        <f>ROUND(Q774 / 1.2, 2)</f>
        <v>559.72</v>
      </c>
      <c r="X774" s="9">
        <f>ROUND(R774 / 1.2, 2)</f>
        <v>1263.26</v>
      </c>
      <c r="Y774" s="9">
        <f t="shared" si="137"/>
        <v>2341457.0299999998</v>
      </c>
      <c r="Z774" s="9">
        <f>ROUND(T774 / 1.2, 2)</f>
        <v>1862793.04</v>
      </c>
      <c r="AA774" s="9">
        <f>Y774+Z774</f>
        <v>4204250.07</v>
      </c>
      <c r="AD774" s="4">
        <v>295859943</v>
      </c>
      <c r="AE774" s="4">
        <v>22502076</v>
      </c>
      <c r="AG774" s="4" t="s">
        <v>900</v>
      </c>
      <c r="AH774" s="4" t="s">
        <v>901</v>
      </c>
      <c r="AI774" s="4" t="s">
        <v>467</v>
      </c>
    </row>
    <row r="775" spans="1:35" ht="72" x14ac:dyDescent="0.35">
      <c r="A775" s="51" t="s">
        <v>2117</v>
      </c>
      <c r="B775" s="51"/>
      <c r="C775" s="56" t="s">
        <v>912</v>
      </c>
      <c r="D775" s="53"/>
      <c r="E775" s="53" t="s">
        <v>917</v>
      </c>
      <c r="F775" s="57" t="s">
        <v>490</v>
      </c>
      <c r="G775" s="58">
        <v>1.84</v>
      </c>
      <c r="H775" s="53"/>
      <c r="I775" s="62">
        <v>6123.7039999999997</v>
      </c>
      <c r="J775" s="59">
        <v>450.95</v>
      </c>
      <c r="K775" s="60"/>
      <c r="L775" s="60"/>
      <c r="M775" s="59">
        <f>ROUND(ROUND(J775, 2)*I775, 2)</f>
        <v>2761484.32</v>
      </c>
      <c r="N775" s="60"/>
      <c r="O775" s="60"/>
      <c r="P775" s="59">
        <v>450.95</v>
      </c>
      <c r="Q775" s="60"/>
      <c r="R775" s="60"/>
      <c r="S775" s="59">
        <f>ROUND(ROUND(P775, 2)*I775, 2)</f>
        <v>2761484.32</v>
      </c>
      <c r="T775" s="60"/>
      <c r="U775" s="61"/>
      <c r="V775" s="9">
        <f>ROUND(ROUND(P775, 2)/1.2, 2)</f>
        <v>375.79</v>
      </c>
      <c r="Y775" s="9">
        <f t="shared" si="137"/>
        <v>2301236.9300000002</v>
      </c>
      <c r="AD775" s="4" t="s">
        <v>2118</v>
      </c>
      <c r="AE775" s="4" t="s">
        <v>2119</v>
      </c>
      <c r="AF775" s="4" t="s">
        <v>915</v>
      </c>
    </row>
    <row r="776" spans="1:35" ht="36" x14ac:dyDescent="0.35">
      <c r="A776" s="51" t="s">
        <v>2120</v>
      </c>
      <c r="B776" s="51"/>
      <c r="C776" s="47" t="s">
        <v>905</v>
      </c>
      <c r="D776" s="53"/>
      <c r="E776" s="53"/>
      <c r="F776" s="57" t="s">
        <v>498</v>
      </c>
      <c r="G776" s="58">
        <v>0.7</v>
      </c>
      <c r="H776" s="53"/>
      <c r="I776" s="62">
        <v>2329.67</v>
      </c>
      <c r="J776" s="59">
        <v>16.11</v>
      </c>
      <c r="K776" s="60"/>
      <c r="L776" s="60"/>
      <c r="M776" s="59">
        <f>ROUND(ROUND(J776, 2)*I776, 2)</f>
        <v>37530.980000000003</v>
      </c>
      <c r="N776" s="60"/>
      <c r="O776" s="60"/>
      <c r="P776" s="59">
        <v>16.11</v>
      </c>
      <c r="Q776" s="60"/>
      <c r="R776" s="60"/>
      <c r="S776" s="59">
        <f>ROUND(ROUND(P776, 2)*I776, 2)</f>
        <v>37530.980000000003</v>
      </c>
      <c r="T776" s="60"/>
      <c r="U776" s="61"/>
      <c r="V776" s="9">
        <f>ROUND(ROUND(P776, 2)/1.2, 2)</f>
        <v>13.43</v>
      </c>
      <c r="Y776" s="9">
        <f t="shared" si="137"/>
        <v>31275.82</v>
      </c>
      <c r="AD776" s="4" t="s">
        <v>2121</v>
      </c>
      <c r="AE776" s="4" t="s">
        <v>2122</v>
      </c>
      <c r="AF776" s="4" t="s">
        <v>908</v>
      </c>
    </row>
    <row r="777" spans="1:35" ht="18" x14ac:dyDescent="0.35">
      <c r="A777" s="51" t="s">
        <v>2123</v>
      </c>
      <c r="B777" s="51"/>
      <c r="C777" s="56" t="s">
        <v>873</v>
      </c>
      <c r="D777" s="53"/>
      <c r="E777" s="53"/>
      <c r="F777" s="57" t="s">
        <v>498</v>
      </c>
      <c r="G777" s="58">
        <v>0.04</v>
      </c>
      <c r="H777" s="53"/>
      <c r="I777" s="58">
        <v>133.124</v>
      </c>
      <c r="J777" s="59">
        <v>47.44</v>
      </c>
      <c r="K777" s="60"/>
      <c r="L777" s="60"/>
      <c r="M777" s="59">
        <f>ROUND(ROUND(J777, 2)*I777, 2)</f>
        <v>6315.4</v>
      </c>
      <c r="N777" s="60"/>
      <c r="O777" s="60"/>
      <c r="P777" s="59">
        <v>47.44</v>
      </c>
      <c r="Q777" s="60"/>
      <c r="R777" s="60"/>
      <c r="S777" s="59">
        <f>ROUND(ROUND(P777, 2)*I777, 2)</f>
        <v>6315.4</v>
      </c>
      <c r="T777" s="60"/>
      <c r="U777" s="61"/>
      <c r="V777" s="9">
        <f>ROUND(ROUND(P777, 2)/1.2, 2)</f>
        <v>39.53</v>
      </c>
      <c r="Y777" s="9">
        <f t="shared" si="137"/>
        <v>5262.83</v>
      </c>
      <c r="AD777" s="4" t="s">
        <v>2124</v>
      </c>
      <c r="AE777" s="4" t="s">
        <v>2125</v>
      </c>
      <c r="AF777" s="4" t="s">
        <v>876</v>
      </c>
    </row>
    <row r="778" spans="1:35" ht="36" x14ac:dyDescent="0.35">
      <c r="A778" s="51" t="s">
        <v>2126</v>
      </c>
      <c r="B778" s="51"/>
      <c r="C778" s="56" t="s">
        <v>925</v>
      </c>
      <c r="D778" s="53"/>
      <c r="E778" s="53"/>
      <c r="F778" s="57" t="s">
        <v>498</v>
      </c>
      <c r="G778" s="58">
        <v>1.4999999999999999E-2</v>
      </c>
      <c r="H778" s="53"/>
      <c r="I778" s="58">
        <v>49.921999999999997</v>
      </c>
      <c r="J778" s="59">
        <v>88.8</v>
      </c>
      <c r="K778" s="60"/>
      <c r="L778" s="60"/>
      <c r="M778" s="59">
        <f>ROUND(ROUND(J778, 2)*I778, 2)</f>
        <v>4433.07</v>
      </c>
      <c r="N778" s="60"/>
      <c r="O778" s="60"/>
      <c r="P778" s="59">
        <v>88.8</v>
      </c>
      <c r="Q778" s="60"/>
      <c r="R778" s="60"/>
      <c r="S778" s="59">
        <f>ROUND(ROUND(P778, 2)*I778, 2)</f>
        <v>4433.07</v>
      </c>
      <c r="T778" s="60"/>
      <c r="U778" s="61"/>
      <c r="V778" s="9">
        <f>ROUND(ROUND(P778, 2)/1.2, 2)</f>
        <v>74</v>
      </c>
      <c r="Y778" s="9">
        <f t="shared" si="137"/>
        <v>3694.23</v>
      </c>
      <c r="AD778" s="4" t="s">
        <v>2127</v>
      </c>
      <c r="AE778" s="4" t="s">
        <v>2128</v>
      </c>
      <c r="AF778" s="4" t="s">
        <v>928</v>
      </c>
    </row>
    <row r="779" spans="1:35" ht="36" x14ac:dyDescent="0.35">
      <c r="A779" s="51" t="s">
        <v>2129</v>
      </c>
      <c r="B779" s="51" t="s">
        <v>898</v>
      </c>
      <c r="C779" s="52" t="s">
        <v>899</v>
      </c>
      <c r="D779" s="53"/>
      <c r="E779" s="53" t="s">
        <v>957</v>
      </c>
      <c r="F779" s="53" t="s">
        <v>78</v>
      </c>
      <c r="G779" s="54">
        <v>1</v>
      </c>
      <c r="H779" s="53"/>
      <c r="I779" s="54">
        <v>892.1</v>
      </c>
      <c r="J779" s="55">
        <f>IFERROR(ROUND(SUM(M780,M781,M782,M783)/I779, 2),0)</f>
        <v>844.25</v>
      </c>
      <c r="K779" s="55">
        <v>473</v>
      </c>
      <c r="L779" s="55">
        <f>J779+ROUND(K779, 2)</f>
        <v>1317.25</v>
      </c>
      <c r="M779" s="55">
        <f>ROUND(J779*I779, 2)</f>
        <v>753155.43</v>
      </c>
      <c r="N779" s="55">
        <f>ROUND(I779*ROUND(K779, 2), 2)</f>
        <v>421963.3</v>
      </c>
      <c r="O779" s="55">
        <f>M779+N779</f>
        <v>1175118.73</v>
      </c>
      <c r="P779" s="55">
        <f>IFERROR(ROUND(SUM(S780,S781,S782,S783)/I779, 2),0)</f>
        <v>844.25</v>
      </c>
      <c r="Q779" s="55">
        <v>671.66</v>
      </c>
      <c r="R779" s="55">
        <f>P779+ROUND(Q779, 2)</f>
        <v>1515.9099999999999</v>
      </c>
      <c r="S779" s="55">
        <f>ROUND(P779*I779, 2)</f>
        <v>753155.43</v>
      </c>
      <c r="T779" s="55">
        <f>ROUND(I779*ROUND(Q779, 2), 2)</f>
        <v>599187.89</v>
      </c>
      <c r="U779" s="55">
        <f>S779+T779</f>
        <v>1352343.32</v>
      </c>
      <c r="V779" s="9">
        <f>ROUND(P779 / 1.2, 2)</f>
        <v>703.54</v>
      </c>
      <c r="W779" s="9">
        <f>ROUND(Q779 / 1.2, 2)</f>
        <v>559.72</v>
      </c>
      <c r="X779" s="9">
        <f>ROUND(R779 / 1.2, 2)</f>
        <v>1263.26</v>
      </c>
      <c r="Y779" s="9">
        <f t="shared" si="137"/>
        <v>627629.53</v>
      </c>
      <c r="Z779" s="9">
        <f>ROUND(T779 / 1.2, 2)</f>
        <v>499323.24</v>
      </c>
      <c r="AA779" s="9">
        <f>Y779+Z779</f>
        <v>1126952.77</v>
      </c>
      <c r="AD779" s="4">
        <v>295859991</v>
      </c>
      <c r="AE779" s="4">
        <v>22502097</v>
      </c>
      <c r="AG779" s="4" t="s">
        <v>900</v>
      </c>
      <c r="AH779" s="4" t="s">
        <v>901</v>
      </c>
      <c r="AI779" s="4" t="s">
        <v>467</v>
      </c>
    </row>
    <row r="780" spans="1:35" ht="36" x14ac:dyDescent="0.35">
      <c r="A780" s="51" t="s">
        <v>2130</v>
      </c>
      <c r="B780" s="51"/>
      <c r="C780" s="56" t="s">
        <v>925</v>
      </c>
      <c r="D780" s="53"/>
      <c r="E780" s="53"/>
      <c r="F780" s="57" t="s">
        <v>498</v>
      </c>
      <c r="G780" s="58">
        <v>1.4999999999999999E-2</v>
      </c>
      <c r="H780" s="53"/>
      <c r="I780" s="58">
        <v>13.382</v>
      </c>
      <c r="J780" s="59">
        <v>88.8</v>
      </c>
      <c r="K780" s="60"/>
      <c r="L780" s="60"/>
      <c r="M780" s="59">
        <f>ROUND(ROUND(J780, 2)*I780, 2)</f>
        <v>1188.32</v>
      </c>
      <c r="N780" s="60"/>
      <c r="O780" s="60"/>
      <c r="P780" s="59">
        <v>88.8</v>
      </c>
      <c r="Q780" s="60"/>
      <c r="R780" s="60"/>
      <c r="S780" s="59">
        <f>ROUND(ROUND(P780, 2)*I780, 2)</f>
        <v>1188.32</v>
      </c>
      <c r="T780" s="60"/>
      <c r="U780" s="61"/>
      <c r="V780" s="9">
        <f>ROUND(ROUND(P780, 2)/1.2, 2)</f>
        <v>74</v>
      </c>
      <c r="Y780" s="9">
        <f t="shared" si="137"/>
        <v>990.27</v>
      </c>
      <c r="AD780" s="4" t="s">
        <v>2131</v>
      </c>
      <c r="AE780" s="4" t="s">
        <v>2132</v>
      </c>
      <c r="AF780" s="4" t="s">
        <v>928</v>
      </c>
    </row>
    <row r="781" spans="1:35" ht="18" x14ac:dyDescent="0.35">
      <c r="A781" s="51" t="s">
        <v>2133</v>
      </c>
      <c r="B781" s="51"/>
      <c r="C781" s="56" t="s">
        <v>873</v>
      </c>
      <c r="D781" s="53"/>
      <c r="E781" s="53"/>
      <c r="F781" s="57" t="s">
        <v>498</v>
      </c>
      <c r="G781" s="58">
        <v>0.04</v>
      </c>
      <c r="H781" s="53"/>
      <c r="I781" s="58">
        <v>35.683999999999997</v>
      </c>
      <c r="J781" s="59">
        <v>47.44</v>
      </c>
      <c r="K781" s="60"/>
      <c r="L781" s="60"/>
      <c r="M781" s="59">
        <f>ROUND(ROUND(J781, 2)*I781, 2)</f>
        <v>1692.85</v>
      </c>
      <c r="N781" s="60"/>
      <c r="O781" s="60"/>
      <c r="P781" s="59">
        <v>47.44</v>
      </c>
      <c r="Q781" s="60"/>
      <c r="R781" s="60"/>
      <c r="S781" s="59">
        <f>ROUND(ROUND(P781, 2)*I781, 2)</f>
        <v>1692.85</v>
      </c>
      <c r="T781" s="60"/>
      <c r="U781" s="61"/>
      <c r="V781" s="9">
        <f>ROUND(ROUND(P781, 2)/1.2, 2)</f>
        <v>39.53</v>
      </c>
      <c r="Y781" s="9">
        <f t="shared" si="137"/>
        <v>1410.71</v>
      </c>
      <c r="AD781" s="4" t="s">
        <v>2134</v>
      </c>
      <c r="AE781" s="4" t="s">
        <v>2135</v>
      </c>
      <c r="AF781" s="4" t="s">
        <v>876</v>
      </c>
    </row>
    <row r="782" spans="1:35" ht="36" x14ac:dyDescent="0.35">
      <c r="A782" s="51" t="s">
        <v>2136</v>
      </c>
      <c r="B782" s="51"/>
      <c r="C782" s="47" t="s">
        <v>905</v>
      </c>
      <c r="D782" s="53"/>
      <c r="E782" s="53"/>
      <c r="F782" s="57" t="s">
        <v>498</v>
      </c>
      <c r="G782" s="58">
        <v>0.7</v>
      </c>
      <c r="H782" s="53"/>
      <c r="I782" s="62">
        <v>624.47</v>
      </c>
      <c r="J782" s="59">
        <v>16.11</v>
      </c>
      <c r="K782" s="60"/>
      <c r="L782" s="60"/>
      <c r="M782" s="59">
        <f>ROUND(ROUND(J782, 2)*I782, 2)</f>
        <v>10060.209999999999</v>
      </c>
      <c r="N782" s="60"/>
      <c r="O782" s="60"/>
      <c r="P782" s="59">
        <v>16.11</v>
      </c>
      <c r="Q782" s="60"/>
      <c r="R782" s="60"/>
      <c r="S782" s="59">
        <f>ROUND(ROUND(P782, 2)*I782, 2)</f>
        <v>10060.209999999999</v>
      </c>
      <c r="T782" s="60"/>
      <c r="U782" s="61"/>
      <c r="V782" s="9">
        <f>ROUND(ROUND(P782, 2)/1.2, 2)</f>
        <v>13.43</v>
      </c>
      <c r="Y782" s="9">
        <f t="shared" si="137"/>
        <v>8383.51</v>
      </c>
      <c r="AD782" s="4" t="s">
        <v>2137</v>
      </c>
      <c r="AE782" s="4" t="s">
        <v>2138</v>
      </c>
      <c r="AF782" s="4" t="s">
        <v>908</v>
      </c>
    </row>
    <row r="783" spans="1:35" ht="54" x14ac:dyDescent="0.35">
      <c r="A783" s="51" t="s">
        <v>2139</v>
      </c>
      <c r="B783" s="51"/>
      <c r="C783" s="56" t="s">
        <v>912</v>
      </c>
      <c r="D783" s="53"/>
      <c r="E783" s="53" t="s">
        <v>969</v>
      </c>
      <c r="F783" s="57" t="s">
        <v>490</v>
      </c>
      <c r="G783" s="58">
        <v>1.84</v>
      </c>
      <c r="H783" s="53"/>
      <c r="I783" s="62">
        <v>1641.4639999999999</v>
      </c>
      <c r="J783" s="59">
        <v>450.95</v>
      </c>
      <c r="K783" s="60"/>
      <c r="L783" s="60"/>
      <c r="M783" s="59">
        <f>ROUND(ROUND(J783, 2)*I783, 2)</f>
        <v>740218.19</v>
      </c>
      <c r="N783" s="60"/>
      <c r="O783" s="60"/>
      <c r="P783" s="59">
        <v>450.95</v>
      </c>
      <c r="Q783" s="60"/>
      <c r="R783" s="60"/>
      <c r="S783" s="59">
        <f>ROUND(ROUND(P783, 2)*I783, 2)</f>
        <v>740218.19</v>
      </c>
      <c r="T783" s="60"/>
      <c r="U783" s="61"/>
      <c r="V783" s="9">
        <f>ROUND(ROUND(P783, 2)/1.2, 2)</f>
        <v>375.79</v>
      </c>
      <c r="Y783" s="9">
        <f t="shared" si="137"/>
        <v>616848.49</v>
      </c>
      <c r="AD783" s="4" t="s">
        <v>2140</v>
      </c>
      <c r="AE783" s="4" t="s">
        <v>2141</v>
      </c>
      <c r="AF783" s="4" t="s">
        <v>915</v>
      </c>
    </row>
    <row r="784" spans="1:35" ht="36" x14ac:dyDescent="0.35">
      <c r="A784" s="51" t="s">
        <v>2142</v>
      </c>
      <c r="B784" s="51" t="s">
        <v>898</v>
      </c>
      <c r="C784" s="52" t="s">
        <v>899</v>
      </c>
      <c r="D784" s="53"/>
      <c r="E784" s="53" t="s">
        <v>933</v>
      </c>
      <c r="F784" s="53" t="s">
        <v>78</v>
      </c>
      <c r="G784" s="54">
        <v>1</v>
      </c>
      <c r="H784" s="53"/>
      <c r="I784" s="54">
        <v>2324.1</v>
      </c>
      <c r="J784" s="55">
        <f>IFERROR(ROUND(SUM(M785,M786,M787,M788)/I784, 2),0)</f>
        <v>844.25</v>
      </c>
      <c r="K784" s="55">
        <v>473</v>
      </c>
      <c r="L784" s="55">
        <f>J784+ROUND(K784, 2)</f>
        <v>1317.25</v>
      </c>
      <c r="M784" s="55">
        <f>ROUND(J784*I784, 2)</f>
        <v>1962121.43</v>
      </c>
      <c r="N784" s="55">
        <f>ROUND(I784*ROUND(K784, 2), 2)</f>
        <v>1099299.3</v>
      </c>
      <c r="O784" s="55">
        <f>M784+N784</f>
        <v>3061420.73</v>
      </c>
      <c r="P784" s="55">
        <f>IFERROR(ROUND(SUM(S785,S786,S787,S788)/I784, 2),0)</f>
        <v>844.25</v>
      </c>
      <c r="Q784" s="55">
        <v>671.66</v>
      </c>
      <c r="R784" s="55">
        <f>P784+ROUND(Q784, 2)</f>
        <v>1515.9099999999999</v>
      </c>
      <c r="S784" s="55">
        <f>ROUND(P784*I784, 2)</f>
        <v>1962121.43</v>
      </c>
      <c r="T784" s="55">
        <f>ROUND(I784*ROUND(Q784, 2), 2)</f>
        <v>1561005.01</v>
      </c>
      <c r="U784" s="55">
        <f>S784+T784</f>
        <v>3523126.44</v>
      </c>
      <c r="V784" s="9">
        <f>ROUND(P784 / 1.2, 2)</f>
        <v>703.54</v>
      </c>
      <c r="W784" s="9">
        <f>ROUND(Q784 / 1.2, 2)</f>
        <v>559.72</v>
      </c>
      <c r="X784" s="9">
        <f>ROUND(R784 / 1.2, 2)</f>
        <v>1263.26</v>
      </c>
      <c r="Y784" s="9">
        <f t="shared" si="137"/>
        <v>1635101.19</v>
      </c>
      <c r="Z784" s="9">
        <f>ROUND(T784 / 1.2, 2)</f>
        <v>1300837.51</v>
      </c>
      <c r="AA784" s="9">
        <f>Y784+Z784</f>
        <v>2935938.7</v>
      </c>
      <c r="AD784" s="4">
        <v>295859992</v>
      </c>
      <c r="AE784" s="4">
        <v>22502082</v>
      </c>
      <c r="AG784" s="4" t="s">
        <v>900</v>
      </c>
      <c r="AH784" s="4" t="s">
        <v>901</v>
      </c>
      <c r="AI784" s="4" t="s">
        <v>467</v>
      </c>
    </row>
    <row r="785" spans="1:35" ht="72" x14ac:dyDescent="0.35">
      <c r="A785" s="51" t="s">
        <v>2143</v>
      </c>
      <c r="B785" s="51"/>
      <c r="C785" s="56" t="s">
        <v>912</v>
      </c>
      <c r="D785" s="53"/>
      <c r="E785" s="53" t="s">
        <v>948</v>
      </c>
      <c r="F785" s="57" t="s">
        <v>490</v>
      </c>
      <c r="G785" s="58">
        <v>1.84</v>
      </c>
      <c r="H785" s="53"/>
      <c r="I785" s="62">
        <v>4276.3440000000001</v>
      </c>
      <c r="J785" s="59">
        <v>450.95</v>
      </c>
      <c r="K785" s="60"/>
      <c r="L785" s="60"/>
      <c r="M785" s="59">
        <f>ROUND(ROUND(J785, 2)*I785, 2)</f>
        <v>1928417.33</v>
      </c>
      <c r="N785" s="60"/>
      <c r="O785" s="60"/>
      <c r="P785" s="59">
        <v>450.95</v>
      </c>
      <c r="Q785" s="60"/>
      <c r="R785" s="60"/>
      <c r="S785" s="59">
        <f>ROUND(ROUND(P785, 2)*I785, 2)</f>
        <v>1928417.33</v>
      </c>
      <c r="T785" s="60"/>
      <c r="U785" s="61"/>
      <c r="V785" s="9">
        <f>ROUND(ROUND(P785, 2)/1.2, 2)</f>
        <v>375.79</v>
      </c>
      <c r="Y785" s="9">
        <f t="shared" si="137"/>
        <v>1607014.44</v>
      </c>
      <c r="AD785" s="4" t="s">
        <v>2144</v>
      </c>
      <c r="AE785" s="4" t="s">
        <v>2145</v>
      </c>
      <c r="AF785" s="4" t="s">
        <v>915</v>
      </c>
    </row>
    <row r="786" spans="1:35" ht="36" x14ac:dyDescent="0.35">
      <c r="A786" s="51" t="s">
        <v>2146</v>
      </c>
      <c r="B786" s="51"/>
      <c r="C786" s="47" t="s">
        <v>905</v>
      </c>
      <c r="D786" s="53"/>
      <c r="E786" s="53"/>
      <c r="F786" s="57" t="s">
        <v>498</v>
      </c>
      <c r="G786" s="58">
        <v>0.7</v>
      </c>
      <c r="H786" s="53"/>
      <c r="I786" s="62">
        <v>1626.87</v>
      </c>
      <c r="J786" s="59">
        <v>16.11</v>
      </c>
      <c r="K786" s="60"/>
      <c r="L786" s="60"/>
      <c r="M786" s="59">
        <f>ROUND(ROUND(J786, 2)*I786, 2)</f>
        <v>26208.880000000001</v>
      </c>
      <c r="N786" s="60"/>
      <c r="O786" s="60"/>
      <c r="P786" s="59">
        <v>16.11</v>
      </c>
      <c r="Q786" s="60"/>
      <c r="R786" s="60"/>
      <c r="S786" s="59">
        <f>ROUND(ROUND(P786, 2)*I786, 2)</f>
        <v>26208.880000000001</v>
      </c>
      <c r="T786" s="60"/>
      <c r="U786" s="61"/>
      <c r="V786" s="9">
        <f>ROUND(ROUND(P786, 2)/1.2, 2)</f>
        <v>13.43</v>
      </c>
      <c r="Y786" s="9">
        <f t="shared" si="137"/>
        <v>21840.73</v>
      </c>
      <c r="AD786" s="4" t="s">
        <v>2147</v>
      </c>
      <c r="AE786" s="4" t="s">
        <v>2148</v>
      </c>
      <c r="AF786" s="4" t="s">
        <v>908</v>
      </c>
    </row>
    <row r="787" spans="1:35" ht="18" x14ac:dyDescent="0.35">
      <c r="A787" s="51" t="s">
        <v>2149</v>
      </c>
      <c r="B787" s="51"/>
      <c r="C787" s="56" t="s">
        <v>873</v>
      </c>
      <c r="D787" s="53"/>
      <c r="E787" s="53"/>
      <c r="F787" s="57" t="s">
        <v>498</v>
      </c>
      <c r="G787" s="58">
        <v>0.04</v>
      </c>
      <c r="H787" s="53"/>
      <c r="I787" s="58">
        <v>92.963999999999999</v>
      </c>
      <c r="J787" s="59">
        <v>47.44</v>
      </c>
      <c r="K787" s="60"/>
      <c r="L787" s="60"/>
      <c r="M787" s="59">
        <f>ROUND(ROUND(J787, 2)*I787, 2)</f>
        <v>4410.21</v>
      </c>
      <c r="N787" s="60"/>
      <c r="O787" s="60"/>
      <c r="P787" s="59">
        <v>47.44</v>
      </c>
      <c r="Q787" s="60"/>
      <c r="R787" s="60"/>
      <c r="S787" s="59">
        <f>ROUND(ROUND(P787, 2)*I787, 2)</f>
        <v>4410.21</v>
      </c>
      <c r="T787" s="60"/>
      <c r="U787" s="61"/>
      <c r="V787" s="9">
        <f>ROUND(ROUND(P787, 2)/1.2, 2)</f>
        <v>39.53</v>
      </c>
      <c r="Y787" s="9">
        <f t="shared" si="137"/>
        <v>3675.18</v>
      </c>
      <c r="AD787" s="4" t="s">
        <v>2150</v>
      </c>
      <c r="AE787" s="4" t="s">
        <v>2151</v>
      </c>
      <c r="AF787" s="4" t="s">
        <v>876</v>
      </c>
    </row>
    <row r="788" spans="1:35" ht="36" x14ac:dyDescent="0.35">
      <c r="A788" s="51" t="s">
        <v>2152</v>
      </c>
      <c r="B788" s="51"/>
      <c r="C788" s="56" t="s">
        <v>925</v>
      </c>
      <c r="D788" s="53"/>
      <c r="E788" s="53"/>
      <c r="F788" s="57" t="s">
        <v>498</v>
      </c>
      <c r="G788" s="58">
        <v>1.4999999999999999E-2</v>
      </c>
      <c r="H788" s="53"/>
      <c r="I788" s="58">
        <v>34.862000000000002</v>
      </c>
      <c r="J788" s="59">
        <v>88.8</v>
      </c>
      <c r="K788" s="60"/>
      <c r="L788" s="60"/>
      <c r="M788" s="59">
        <f>ROUND(ROUND(J788, 2)*I788, 2)</f>
        <v>3095.75</v>
      </c>
      <c r="N788" s="60"/>
      <c r="O788" s="60"/>
      <c r="P788" s="59">
        <v>88.8</v>
      </c>
      <c r="Q788" s="60"/>
      <c r="R788" s="60"/>
      <c r="S788" s="59">
        <f>ROUND(ROUND(P788, 2)*I788, 2)</f>
        <v>3095.75</v>
      </c>
      <c r="T788" s="60"/>
      <c r="U788" s="61"/>
      <c r="V788" s="9">
        <f>ROUND(ROUND(P788, 2)/1.2, 2)</f>
        <v>74</v>
      </c>
      <c r="Y788" s="9">
        <f t="shared" si="137"/>
        <v>2579.79</v>
      </c>
      <c r="AD788" s="4" t="s">
        <v>2153</v>
      </c>
      <c r="AE788" s="4" t="s">
        <v>2154</v>
      </c>
      <c r="AF788" s="4" t="s">
        <v>928</v>
      </c>
    </row>
    <row r="789" spans="1:35" ht="54" x14ac:dyDescent="0.35">
      <c r="A789" s="51" t="s">
        <v>2155</v>
      </c>
      <c r="B789" s="51" t="s">
        <v>1021</v>
      </c>
      <c r="C789" s="52" t="s">
        <v>1022</v>
      </c>
      <c r="D789" s="53"/>
      <c r="E789" s="53" t="s">
        <v>903</v>
      </c>
      <c r="F789" s="53" t="s">
        <v>63</v>
      </c>
      <c r="G789" s="54">
        <v>1</v>
      </c>
      <c r="H789" s="53"/>
      <c r="I789" s="54">
        <v>3824.31</v>
      </c>
      <c r="J789" s="55">
        <f>IFERROR(ROUND(SUM(M790,M791,M792,M793)/I789, 2),0)</f>
        <v>2341.13</v>
      </c>
      <c r="K789" s="55">
        <v>1655</v>
      </c>
      <c r="L789" s="55">
        <f>J789+ROUND(K789, 2)</f>
        <v>3996.13</v>
      </c>
      <c r="M789" s="55">
        <f>ROUND(J789*I789, 2)</f>
        <v>8953206.8699999992</v>
      </c>
      <c r="N789" s="55">
        <f>ROUND(I789*ROUND(K789, 2), 2)</f>
        <v>6329233.0499999998</v>
      </c>
      <c r="O789" s="55">
        <f>M789+N789</f>
        <v>15282439.919999998</v>
      </c>
      <c r="P789" s="55">
        <f>IFERROR(ROUND(SUM(S790,S791,S792,S793)/I789, 2),0)</f>
        <v>2341.13</v>
      </c>
      <c r="Q789" s="55">
        <v>2350.1</v>
      </c>
      <c r="R789" s="55">
        <f>P789+ROUND(Q789, 2)</f>
        <v>4691.2299999999996</v>
      </c>
      <c r="S789" s="55">
        <f>ROUND(P789*I789, 2)</f>
        <v>8953206.8699999992</v>
      </c>
      <c r="T789" s="55">
        <f>ROUND(I789*ROUND(Q789, 2), 2)</f>
        <v>8987510.9299999997</v>
      </c>
      <c r="U789" s="55">
        <f>S789+T789</f>
        <v>17940717.799999997</v>
      </c>
      <c r="V789" s="9">
        <f>ROUND(P789 / 1.2, 2)</f>
        <v>1950.94</v>
      </c>
      <c r="W789" s="9">
        <f>ROUND(Q789 / 1.2, 2)</f>
        <v>1958.42</v>
      </c>
      <c r="X789" s="9">
        <f>ROUND(R789 / 1.2, 2)</f>
        <v>3909.36</v>
      </c>
      <c r="Y789" s="9">
        <f t="shared" si="137"/>
        <v>7461005.7300000004</v>
      </c>
      <c r="Z789" s="9">
        <f>ROUND(T789 / 1.2, 2)</f>
        <v>7489592.4400000004</v>
      </c>
      <c r="AA789" s="9">
        <f>Y789+Z789</f>
        <v>14950598.170000002</v>
      </c>
      <c r="AD789" s="4">
        <v>295859945</v>
      </c>
      <c r="AE789" s="4">
        <v>22502616</v>
      </c>
      <c r="AG789" s="4" t="s">
        <v>1023</v>
      </c>
      <c r="AH789" s="4" t="s">
        <v>1024</v>
      </c>
      <c r="AI789" s="4" t="s">
        <v>467</v>
      </c>
    </row>
    <row r="790" spans="1:35" ht="18" x14ac:dyDescent="0.35">
      <c r="A790" s="51" t="s">
        <v>2156</v>
      </c>
      <c r="B790" s="51"/>
      <c r="C790" s="56" t="s">
        <v>873</v>
      </c>
      <c r="D790" s="53"/>
      <c r="E790" s="53"/>
      <c r="F790" s="57" t="s">
        <v>498</v>
      </c>
      <c r="G790" s="58">
        <v>0.25</v>
      </c>
      <c r="H790" s="53"/>
      <c r="I790" s="62">
        <v>956.07799999999997</v>
      </c>
      <c r="J790" s="59">
        <v>47.44</v>
      </c>
      <c r="K790" s="60"/>
      <c r="L790" s="60"/>
      <c r="M790" s="59">
        <f>ROUND(ROUND(J790, 2)*I790, 2)</f>
        <v>45356.34</v>
      </c>
      <c r="N790" s="60"/>
      <c r="O790" s="60"/>
      <c r="P790" s="59">
        <v>47.44</v>
      </c>
      <c r="Q790" s="60"/>
      <c r="R790" s="60"/>
      <c r="S790" s="59">
        <f>ROUND(ROUND(P790, 2)*I790, 2)</f>
        <v>45356.34</v>
      </c>
      <c r="T790" s="60"/>
      <c r="U790" s="61"/>
      <c r="V790" s="9">
        <f>ROUND(ROUND(P790, 2)/1.2, 2)</f>
        <v>39.53</v>
      </c>
      <c r="Y790" s="9">
        <f t="shared" si="137"/>
        <v>37796.949999999997</v>
      </c>
      <c r="AD790" s="4" t="s">
        <v>2157</v>
      </c>
      <c r="AE790" s="4" t="s">
        <v>2158</v>
      </c>
      <c r="AF790" s="4" t="s">
        <v>876</v>
      </c>
    </row>
    <row r="791" spans="1:35" ht="54" x14ac:dyDescent="0.35">
      <c r="A791" s="51" t="s">
        <v>2159</v>
      </c>
      <c r="B791" s="51"/>
      <c r="C791" s="56" t="s">
        <v>1027</v>
      </c>
      <c r="D791" s="53"/>
      <c r="E791" s="53" t="s">
        <v>1032</v>
      </c>
      <c r="F791" s="57" t="s">
        <v>63</v>
      </c>
      <c r="G791" s="58">
        <v>1.07</v>
      </c>
      <c r="H791" s="53"/>
      <c r="I791" s="62">
        <v>4092.0120000000002</v>
      </c>
      <c r="J791" s="59">
        <v>2059.0500000000002</v>
      </c>
      <c r="K791" s="60"/>
      <c r="L791" s="60"/>
      <c r="M791" s="59">
        <f>ROUND(ROUND(J791, 2)*I791, 2)</f>
        <v>8425657.3100000005</v>
      </c>
      <c r="N791" s="60"/>
      <c r="O791" s="60"/>
      <c r="P791" s="59">
        <v>2059.0500000000002</v>
      </c>
      <c r="Q791" s="60"/>
      <c r="R791" s="60"/>
      <c r="S791" s="59">
        <f>ROUND(ROUND(P791, 2)*I791, 2)</f>
        <v>8425657.3100000005</v>
      </c>
      <c r="T791" s="60"/>
      <c r="U791" s="61"/>
      <c r="V791" s="9">
        <f>ROUND(ROUND(P791, 2)/1.2, 2)</f>
        <v>1715.88</v>
      </c>
      <c r="Y791" s="9">
        <f t="shared" ref="Y791:Y808" si="138">ROUND(S791 / 1.2, 2)</f>
        <v>7021381.0899999999</v>
      </c>
      <c r="AD791" s="4" t="s">
        <v>2160</v>
      </c>
      <c r="AE791" s="4" t="s">
        <v>2161</v>
      </c>
      <c r="AF791" s="4" t="s">
        <v>1030</v>
      </c>
    </row>
    <row r="792" spans="1:35" ht="36" x14ac:dyDescent="0.35">
      <c r="A792" s="51" t="s">
        <v>2162</v>
      </c>
      <c r="B792" s="51"/>
      <c r="C792" s="47" t="s">
        <v>1035</v>
      </c>
      <c r="D792" s="53"/>
      <c r="E792" s="53"/>
      <c r="F792" s="57" t="s">
        <v>498</v>
      </c>
      <c r="G792" s="58">
        <v>7</v>
      </c>
      <c r="H792" s="53"/>
      <c r="I792" s="58">
        <v>26770.17</v>
      </c>
      <c r="J792" s="59">
        <v>16.11</v>
      </c>
      <c r="K792" s="60"/>
      <c r="L792" s="60"/>
      <c r="M792" s="59">
        <f>ROUND(ROUND(J792, 2)*I792, 2)</f>
        <v>431267.44</v>
      </c>
      <c r="N792" s="60"/>
      <c r="O792" s="60"/>
      <c r="P792" s="59">
        <v>16.11</v>
      </c>
      <c r="Q792" s="60"/>
      <c r="R792" s="60"/>
      <c r="S792" s="59">
        <f>ROUND(ROUND(P792, 2)*I792, 2)</f>
        <v>431267.44</v>
      </c>
      <c r="T792" s="60"/>
      <c r="U792" s="61"/>
      <c r="V792" s="9">
        <f>ROUND(ROUND(P792, 2)/1.2, 2)</f>
        <v>13.43</v>
      </c>
      <c r="Y792" s="9">
        <f t="shared" si="138"/>
        <v>359389.53</v>
      </c>
      <c r="AD792" s="4" t="s">
        <v>2163</v>
      </c>
      <c r="AE792" s="4" t="s">
        <v>2164</v>
      </c>
      <c r="AF792" s="4" t="s">
        <v>1038</v>
      </c>
    </row>
    <row r="793" spans="1:35" ht="36" x14ac:dyDescent="0.35">
      <c r="A793" s="51" t="s">
        <v>2165</v>
      </c>
      <c r="B793" s="51"/>
      <c r="C793" s="56" t="s">
        <v>925</v>
      </c>
      <c r="D793" s="53"/>
      <c r="E793" s="53"/>
      <c r="F793" s="57" t="s">
        <v>498</v>
      </c>
      <c r="G793" s="58">
        <v>0.15</v>
      </c>
      <c r="H793" s="53"/>
      <c r="I793" s="58">
        <v>573.64700000000005</v>
      </c>
      <c r="J793" s="59">
        <v>88.8</v>
      </c>
      <c r="K793" s="60"/>
      <c r="L793" s="60"/>
      <c r="M793" s="59">
        <f>ROUND(ROUND(J793, 2)*I793, 2)</f>
        <v>50939.85</v>
      </c>
      <c r="N793" s="60"/>
      <c r="O793" s="60"/>
      <c r="P793" s="59">
        <v>88.8</v>
      </c>
      <c r="Q793" s="60"/>
      <c r="R793" s="60"/>
      <c r="S793" s="59">
        <f>ROUND(ROUND(P793, 2)*I793, 2)</f>
        <v>50939.85</v>
      </c>
      <c r="T793" s="60"/>
      <c r="U793" s="61"/>
      <c r="V793" s="9">
        <f>ROUND(ROUND(P793, 2)/1.2, 2)</f>
        <v>74</v>
      </c>
      <c r="Y793" s="9">
        <f t="shared" si="138"/>
        <v>42449.88</v>
      </c>
      <c r="AD793" s="4" t="s">
        <v>2166</v>
      </c>
      <c r="AE793" s="4" t="s">
        <v>2167</v>
      </c>
      <c r="AF793" s="4" t="s">
        <v>928</v>
      </c>
    </row>
    <row r="794" spans="1:35" ht="72" x14ac:dyDescent="0.35">
      <c r="A794" s="51" t="s">
        <v>2168</v>
      </c>
      <c r="B794" s="51" t="s">
        <v>1021</v>
      </c>
      <c r="C794" s="52" t="s">
        <v>1022</v>
      </c>
      <c r="D794" s="53"/>
      <c r="E794" s="53" t="s">
        <v>1088</v>
      </c>
      <c r="F794" s="53" t="s">
        <v>63</v>
      </c>
      <c r="G794" s="54">
        <v>1</v>
      </c>
      <c r="H794" s="53"/>
      <c r="I794" s="54">
        <v>87.2</v>
      </c>
      <c r="J794" s="55">
        <f>IFERROR(ROUND(SUM(M795,M796,M797,M798)/I794, 2),0)</f>
        <v>2341.13</v>
      </c>
      <c r="K794" s="55">
        <v>1655</v>
      </c>
      <c r="L794" s="55">
        <f>J794+ROUND(K794, 2)</f>
        <v>3996.13</v>
      </c>
      <c r="M794" s="55">
        <f>ROUND(J794*I794, 2)</f>
        <v>204146.54</v>
      </c>
      <c r="N794" s="55">
        <f>ROUND(I794*ROUND(K794, 2), 2)</f>
        <v>144316</v>
      </c>
      <c r="O794" s="55">
        <f>M794+N794</f>
        <v>348462.54000000004</v>
      </c>
      <c r="P794" s="55">
        <f>IFERROR(ROUND(SUM(S795,S796,S797,S798)/I794, 2),0)</f>
        <v>2341.13</v>
      </c>
      <c r="Q794" s="55">
        <v>2350.1</v>
      </c>
      <c r="R794" s="55">
        <f>P794+ROUND(Q794, 2)</f>
        <v>4691.2299999999996</v>
      </c>
      <c r="S794" s="55">
        <f>ROUND(P794*I794, 2)</f>
        <v>204146.54</v>
      </c>
      <c r="T794" s="55">
        <f>ROUND(I794*ROUND(Q794, 2), 2)</f>
        <v>204928.72</v>
      </c>
      <c r="U794" s="55">
        <f>S794+T794</f>
        <v>409075.26</v>
      </c>
      <c r="V794" s="9">
        <f>ROUND(P794 / 1.2, 2)</f>
        <v>1950.94</v>
      </c>
      <c r="W794" s="9">
        <f>ROUND(Q794 / 1.2, 2)</f>
        <v>1958.42</v>
      </c>
      <c r="X794" s="9">
        <f>ROUND(R794 / 1.2, 2)</f>
        <v>3909.36</v>
      </c>
      <c r="Y794" s="9">
        <f t="shared" si="138"/>
        <v>170122.12</v>
      </c>
      <c r="Z794" s="9">
        <f>ROUND(T794 / 1.2, 2)</f>
        <v>170773.93</v>
      </c>
      <c r="AA794" s="9">
        <f>Y794+Z794</f>
        <v>340896.05</v>
      </c>
      <c r="AD794" s="4">
        <v>295859993</v>
      </c>
      <c r="AE794" s="4">
        <v>22502614</v>
      </c>
      <c r="AG794" s="4" t="s">
        <v>1023</v>
      </c>
      <c r="AH794" s="4" t="s">
        <v>1024</v>
      </c>
      <c r="AI794" s="4" t="s">
        <v>467</v>
      </c>
    </row>
    <row r="795" spans="1:35" ht="36" x14ac:dyDescent="0.35">
      <c r="A795" s="51" t="s">
        <v>2169</v>
      </c>
      <c r="B795" s="51"/>
      <c r="C795" s="56" t="s">
        <v>925</v>
      </c>
      <c r="D795" s="53"/>
      <c r="E795" s="53"/>
      <c r="F795" s="57" t="s">
        <v>498</v>
      </c>
      <c r="G795" s="58">
        <v>0.15</v>
      </c>
      <c r="H795" s="53"/>
      <c r="I795" s="58">
        <v>13.08</v>
      </c>
      <c r="J795" s="59">
        <v>88.8</v>
      </c>
      <c r="K795" s="60"/>
      <c r="L795" s="60"/>
      <c r="M795" s="59">
        <f>ROUND(ROUND(J795, 2)*I795, 2)</f>
        <v>1161.5</v>
      </c>
      <c r="N795" s="60"/>
      <c r="O795" s="60"/>
      <c r="P795" s="59">
        <v>88.8</v>
      </c>
      <c r="Q795" s="60"/>
      <c r="R795" s="60"/>
      <c r="S795" s="59">
        <f>ROUND(ROUND(P795, 2)*I795, 2)</f>
        <v>1161.5</v>
      </c>
      <c r="T795" s="60"/>
      <c r="U795" s="61"/>
      <c r="V795" s="9">
        <f>ROUND(ROUND(P795, 2)/1.2, 2)</f>
        <v>74</v>
      </c>
      <c r="Y795" s="9">
        <f t="shared" si="138"/>
        <v>967.92</v>
      </c>
      <c r="AD795" s="4" t="s">
        <v>2170</v>
      </c>
      <c r="AE795" s="4" t="s">
        <v>2171</v>
      </c>
      <c r="AF795" s="4" t="s">
        <v>928</v>
      </c>
    </row>
    <row r="796" spans="1:35" ht="36" x14ac:dyDescent="0.35">
      <c r="A796" s="51" t="s">
        <v>2172</v>
      </c>
      <c r="B796" s="51"/>
      <c r="C796" s="47" t="s">
        <v>1035</v>
      </c>
      <c r="D796" s="53"/>
      <c r="E796" s="53"/>
      <c r="F796" s="57" t="s">
        <v>498</v>
      </c>
      <c r="G796" s="58">
        <v>7</v>
      </c>
      <c r="H796" s="53"/>
      <c r="I796" s="58">
        <v>610.4</v>
      </c>
      <c r="J796" s="59">
        <v>16.11</v>
      </c>
      <c r="K796" s="60"/>
      <c r="L796" s="60"/>
      <c r="M796" s="59">
        <f>ROUND(ROUND(J796, 2)*I796, 2)</f>
        <v>9833.5400000000009</v>
      </c>
      <c r="N796" s="60"/>
      <c r="O796" s="60"/>
      <c r="P796" s="59">
        <v>16.11</v>
      </c>
      <c r="Q796" s="60"/>
      <c r="R796" s="60"/>
      <c r="S796" s="59">
        <f>ROUND(ROUND(P796, 2)*I796, 2)</f>
        <v>9833.5400000000009</v>
      </c>
      <c r="T796" s="60"/>
      <c r="U796" s="61"/>
      <c r="V796" s="9">
        <f>ROUND(ROUND(P796, 2)/1.2, 2)</f>
        <v>13.43</v>
      </c>
      <c r="Y796" s="9">
        <f t="shared" si="138"/>
        <v>8194.6200000000008</v>
      </c>
      <c r="AD796" s="4" t="s">
        <v>2173</v>
      </c>
      <c r="AE796" s="4" t="s">
        <v>2174</v>
      </c>
      <c r="AF796" s="4" t="s">
        <v>1038</v>
      </c>
    </row>
    <row r="797" spans="1:35" ht="18" x14ac:dyDescent="0.35">
      <c r="A797" s="51" t="s">
        <v>2175</v>
      </c>
      <c r="B797" s="51"/>
      <c r="C797" s="56" t="s">
        <v>1027</v>
      </c>
      <c r="D797" s="53"/>
      <c r="E797" s="53"/>
      <c r="F797" s="57" t="s">
        <v>63</v>
      </c>
      <c r="G797" s="58">
        <v>1.07</v>
      </c>
      <c r="H797" s="53"/>
      <c r="I797" s="62">
        <v>93.304000000000002</v>
      </c>
      <c r="J797" s="59">
        <v>2059.0500000000002</v>
      </c>
      <c r="K797" s="60"/>
      <c r="L797" s="60"/>
      <c r="M797" s="59">
        <f>ROUND(ROUND(J797, 2)*I797, 2)</f>
        <v>192117.6</v>
      </c>
      <c r="N797" s="60"/>
      <c r="O797" s="60"/>
      <c r="P797" s="59">
        <v>2059.0500000000002</v>
      </c>
      <c r="Q797" s="60"/>
      <c r="R797" s="60"/>
      <c r="S797" s="59">
        <f>ROUND(ROUND(P797, 2)*I797, 2)</f>
        <v>192117.6</v>
      </c>
      <c r="T797" s="60"/>
      <c r="U797" s="61"/>
      <c r="V797" s="9">
        <f>ROUND(ROUND(P797, 2)/1.2, 2)</f>
        <v>1715.88</v>
      </c>
      <c r="Y797" s="9">
        <f t="shared" si="138"/>
        <v>160098</v>
      </c>
      <c r="AD797" s="4" t="s">
        <v>2176</v>
      </c>
      <c r="AE797" s="4" t="s">
        <v>2177</v>
      </c>
      <c r="AF797" s="4" t="s">
        <v>1030</v>
      </c>
    </row>
    <row r="798" spans="1:35" ht="18" x14ac:dyDescent="0.35">
      <c r="A798" s="51" t="s">
        <v>2178</v>
      </c>
      <c r="B798" s="51"/>
      <c r="C798" s="56" t="s">
        <v>873</v>
      </c>
      <c r="D798" s="53"/>
      <c r="E798" s="53"/>
      <c r="F798" s="57" t="s">
        <v>498</v>
      </c>
      <c r="G798" s="58">
        <v>0.25</v>
      </c>
      <c r="H798" s="53"/>
      <c r="I798" s="62">
        <v>21.8</v>
      </c>
      <c r="J798" s="59">
        <v>47.44</v>
      </c>
      <c r="K798" s="60"/>
      <c r="L798" s="60"/>
      <c r="M798" s="59">
        <f>ROUND(ROUND(J798, 2)*I798, 2)</f>
        <v>1034.19</v>
      </c>
      <c r="N798" s="60"/>
      <c r="O798" s="60"/>
      <c r="P798" s="59">
        <v>47.44</v>
      </c>
      <c r="Q798" s="60"/>
      <c r="R798" s="60"/>
      <c r="S798" s="59">
        <f>ROUND(ROUND(P798, 2)*I798, 2)</f>
        <v>1034.19</v>
      </c>
      <c r="T798" s="60"/>
      <c r="U798" s="61"/>
      <c r="V798" s="9">
        <f>ROUND(ROUND(P798, 2)/1.2, 2)</f>
        <v>39.53</v>
      </c>
      <c r="Y798" s="9">
        <f t="shared" si="138"/>
        <v>861.83</v>
      </c>
      <c r="AD798" s="4" t="s">
        <v>2179</v>
      </c>
      <c r="AE798" s="4" t="s">
        <v>2180</v>
      </c>
      <c r="AF798" s="4" t="s">
        <v>876</v>
      </c>
    </row>
    <row r="799" spans="1:35" ht="54" x14ac:dyDescent="0.35">
      <c r="A799" s="51" t="s">
        <v>2181</v>
      </c>
      <c r="B799" s="51" t="s">
        <v>1102</v>
      </c>
      <c r="C799" s="52" t="s">
        <v>1103</v>
      </c>
      <c r="D799" s="53"/>
      <c r="E799" s="53" t="s">
        <v>933</v>
      </c>
      <c r="F799" s="53" t="s">
        <v>63</v>
      </c>
      <c r="G799" s="54">
        <v>1</v>
      </c>
      <c r="H799" s="53"/>
      <c r="I799" s="54">
        <v>2228.66</v>
      </c>
      <c r="J799" s="55">
        <f>IFERROR(ROUND(SUM(M800,M801,M802,M803)/I799, 2),0)</f>
        <v>1840.01</v>
      </c>
      <c r="K799" s="55">
        <v>2785</v>
      </c>
      <c r="L799" s="55">
        <f>J799+ROUND(K799, 2)</f>
        <v>4625.01</v>
      </c>
      <c r="M799" s="55">
        <f>ROUND(J799*I799, 2)</f>
        <v>4100756.69</v>
      </c>
      <c r="N799" s="55">
        <f>ROUND(I799*ROUND(K799, 2), 2)</f>
        <v>6206818.0999999996</v>
      </c>
      <c r="O799" s="55">
        <f>M799+N799</f>
        <v>10307574.789999999</v>
      </c>
      <c r="P799" s="55">
        <f>IFERROR(ROUND(SUM(S800,S801,S802,S803)/I799, 2),0)</f>
        <v>1840.01</v>
      </c>
      <c r="Q799" s="55">
        <v>3954.7</v>
      </c>
      <c r="R799" s="55">
        <f>P799+ROUND(Q799, 2)</f>
        <v>5794.71</v>
      </c>
      <c r="S799" s="55">
        <f>ROUND(P799*I799, 2)</f>
        <v>4100756.69</v>
      </c>
      <c r="T799" s="55">
        <f>ROUND(I799*ROUND(Q799, 2), 2)</f>
        <v>8813681.6999999993</v>
      </c>
      <c r="U799" s="55">
        <f>S799+T799</f>
        <v>12914438.389999999</v>
      </c>
      <c r="V799" s="9">
        <f>ROUND(P799 / 1.2, 2)</f>
        <v>1533.34</v>
      </c>
      <c r="W799" s="9">
        <f>ROUND(Q799 / 1.2, 2)</f>
        <v>3295.58</v>
      </c>
      <c r="X799" s="9">
        <f>ROUND(R799 / 1.2, 2)</f>
        <v>4828.93</v>
      </c>
      <c r="Y799" s="9">
        <f t="shared" si="138"/>
        <v>3417297.24</v>
      </c>
      <c r="Z799" s="9">
        <f>ROUND(T799 / 1.2, 2)</f>
        <v>7344734.75</v>
      </c>
      <c r="AA799" s="9">
        <f>Y799+Z799</f>
        <v>10762031.99</v>
      </c>
      <c r="AD799" s="4">
        <v>295859946</v>
      </c>
      <c r="AE799" s="4">
        <v>22502620</v>
      </c>
      <c r="AG799" s="4" t="s">
        <v>1104</v>
      </c>
      <c r="AH799" s="4" t="s">
        <v>1105</v>
      </c>
      <c r="AI799" s="4" t="s">
        <v>467</v>
      </c>
    </row>
    <row r="800" spans="1:35" ht="36" x14ac:dyDescent="0.35">
      <c r="A800" s="51" t="s">
        <v>2182</v>
      </c>
      <c r="B800" s="51"/>
      <c r="C800" s="47" t="s">
        <v>1108</v>
      </c>
      <c r="D800" s="53"/>
      <c r="E800" s="53"/>
      <c r="F800" s="57" t="s">
        <v>498</v>
      </c>
      <c r="G800" s="58">
        <v>1.2</v>
      </c>
      <c r="H800" s="53"/>
      <c r="I800" s="62">
        <v>2674.3919999999998</v>
      </c>
      <c r="J800" s="59">
        <v>16.11</v>
      </c>
      <c r="K800" s="60"/>
      <c r="L800" s="60"/>
      <c r="M800" s="59">
        <f>ROUND(ROUND(J800, 2)*I800, 2)</f>
        <v>43084.46</v>
      </c>
      <c r="N800" s="60"/>
      <c r="O800" s="60"/>
      <c r="P800" s="59">
        <v>16.11</v>
      </c>
      <c r="Q800" s="60"/>
      <c r="R800" s="60"/>
      <c r="S800" s="59">
        <f>ROUND(ROUND(P800, 2)*I800, 2)</f>
        <v>43084.46</v>
      </c>
      <c r="T800" s="60"/>
      <c r="U800" s="61"/>
      <c r="V800" s="9">
        <f>ROUND(ROUND(P800, 2)/1.2, 2)</f>
        <v>13.43</v>
      </c>
      <c r="Y800" s="9">
        <f t="shared" si="138"/>
        <v>35903.72</v>
      </c>
      <c r="AD800" s="4" t="s">
        <v>2183</v>
      </c>
      <c r="AE800" s="4" t="s">
        <v>2184</v>
      </c>
      <c r="AF800" s="4" t="s">
        <v>1111</v>
      </c>
    </row>
    <row r="801" spans="1:35" ht="54" x14ac:dyDescent="0.35">
      <c r="A801" s="51" t="s">
        <v>2185</v>
      </c>
      <c r="B801" s="51"/>
      <c r="C801" s="56" t="s">
        <v>2186</v>
      </c>
      <c r="D801" s="53"/>
      <c r="E801" s="53" t="s">
        <v>1120</v>
      </c>
      <c r="F801" s="57" t="s">
        <v>63</v>
      </c>
      <c r="G801" s="58">
        <v>1.2</v>
      </c>
      <c r="H801" s="53"/>
      <c r="I801" s="62">
        <v>2674.3919999999998</v>
      </c>
      <c r="J801" s="59">
        <v>1496.25</v>
      </c>
      <c r="K801" s="60"/>
      <c r="L801" s="60"/>
      <c r="M801" s="59">
        <f>ROUND(ROUND(J801, 2)*I801, 2)</f>
        <v>4001559.03</v>
      </c>
      <c r="N801" s="60"/>
      <c r="O801" s="60"/>
      <c r="P801" s="59">
        <v>1496.25</v>
      </c>
      <c r="Q801" s="60"/>
      <c r="R801" s="60"/>
      <c r="S801" s="59">
        <f>ROUND(ROUND(P801, 2)*I801, 2)</f>
        <v>4001559.03</v>
      </c>
      <c r="T801" s="60"/>
      <c r="U801" s="61"/>
      <c r="V801" s="9">
        <f>ROUND(ROUND(P801, 2)/1.2, 2)</f>
        <v>1246.8800000000001</v>
      </c>
      <c r="Y801" s="9">
        <f t="shared" si="138"/>
        <v>3334632.53</v>
      </c>
      <c r="AD801" s="4" t="s">
        <v>2187</v>
      </c>
      <c r="AE801" s="4" t="s">
        <v>2188</v>
      </c>
      <c r="AF801" s="4" t="s">
        <v>2189</v>
      </c>
    </row>
    <row r="802" spans="1:35" ht="36" x14ac:dyDescent="0.35">
      <c r="A802" s="51" t="s">
        <v>2190</v>
      </c>
      <c r="B802" s="51"/>
      <c r="C802" s="56" t="s">
        <v>925</v>
      </c>
      <c r="D802" s="53"/>
      <c r="E802" s="53"/>
      <c r="F802" s="57" t="s">
        <v>498</v>
      </c>
      <c r="G802" s="58">
        <v>0.15</v>
      </c>
      <c r="H802" s="53"/>
      <c r="I802" s="58">
        <v>334.29899999999998</v>
      </c>
      <c r="J802" s="59">
        <v>88.8</v>
      </c>
      <c r="K802" s="60"/>
      <c r="L802" s="60"/>
      <c r="M802" s="59">
        <f>ROUND(ROUND(J802, 2)*I802, 2)</f>
        <v>29685.75</v>
      </c>
      <c r="N802" s="60"/>
      <c r="O802" s="60"/>
      <c r="P802" s="59">
        <v>88.8</v>
      </c>
      <c r="Q802" s="60"/>
      <c r="R802" s="60"/>
      <c r="S802" s="59">
        <f>ROUND(ROUND(P802, 2)*I802, 2)</f>
        <v>29685.75</v>
      </c>
      <c r="T802" s="60"/>
      <c r="U802" s="61"/>
      <c r="V802" s="9">
        <f>ROUND(ROUND(P802, 2)/1.2, 2)</f>
        <v>74</v>
      </c>
      <c r="Y802" s="9">
        <f t="shared" si="138"/>
        <v>24738.13</v>
      </c>
      <c r="AD802" s="4" t="s">
        <v>2191</v>
      </c>
      <c r="AE802" s="4" t="s">
        <v>2192</v>
      </c>
      <c r="AF802" s="4" t="s">
        <v>928</v>
      </c>
    </row>
    <row r="803" spans="1:35" ht="18" x14ac:dyDescent="0.35">
      <c r="A803" s="51" t="s">
        <v>2193</v>
      </c>
      <c r="B803" s="51"/>
      <c r="C803" s="56" t="s">
        <v>873</v>
      </c>
      <c r="D803" s="53"/>
      <c r="E803" s="53"/>
      <c r="F803" s="57" t="s">
        <v>498</v>
      </c>
      <c r="G803" s="58">
        <v>0.25</v>
      </c>
      <c r="H803" s="53"/>
      <c r="I803" s="62">
        <v>557.16499999999996</v>
      </c>
      <c r="J803" s="59">
        <v>47.44</v>
      </c>
      <c r="K803" s="60"/>
      <c r="L803" s="60"/>
      <c r="M803" s="59">
        <f>ROUND(ROUND(J803, 2)*I803, 2)</f>
        <v>26431.91</v>
      </c>
      <c r="N803" s="60"/>
      <c r="O803" s="60"/>
      <c r="P803" s="59">
        <v>47.44</v>
      </c>
      <c r="Q803" s="60"/>
      <c r="R803" s="60"/>
      <c r="S803" s="59">
        <f>ROUND(ROUND(P803, 2)*I803, 2)</f>
        <v>26431.91</v>
      </c>
      <c r="T803" s="60"/>
      <c r="U803" s="61"/>
      <c r="V803" s="9">
        <f>ROUND(ROUND(P803, 2)/1.2, 2)</f>
        <v>39.53</v>
      </c>
      <c r="Y803" s="9">
        <f t="shared" si="138"/>
        <v>22026.59</v>
      </c>
      <c r="AD803" s="4" t="s">
        <v>2194</v>
      </c>
      <c r="AE803" s="4" t="s">
        <v>2195</v>
      </c>
      <c r="AF803" s="4" t="s">
        <v>876</v>
      </c>
    </row>
    <row r="804" spans="1:35" ht="54" x14ac:dyDescent="0.35">
      <c r="A804" s="51" t="s">
        <v>2196</v>
      </c>
      <c r="B804" s="51" t="s">
        <v>1102</v>
      </c>
      <c r="C804" s="52" t="s">
        <v>1103</v>
      </c>
      <c r="D804" s="53"/>
      <c r="E804" s="53" t="s">
        <v>957</v>
      </c>
      <c r="F804" s="53" t="s">
        <v>63</v>
      </c>
      <c r="G804" s="54">
        <v>1</v>
      </c>
      <c r="H804" s="53"/>
      <c r="I804" s="54">
        <v>1152.23</v>
      </c>
      <c r="J804" s="55">
        <f>IFERROR(ROUND(SUM(M805,M806,M807,M808)/I804, 2),0)</f>
        <v>1840.01</v>
      </c>
      <c r="K804" s="55">
        <v>2785</v>
      </c>
      <c r="L804" s="55">
        <f>J804+ROUND(K804, 2)</f>
        <v>4625.01</v>
      </c>
      <c r="M804" s="55">
        <f>ROUND(J804*I804, 2)</f>
        <v>2120114.7200000002</v>
      </c>
      <c r="N804" s="55">
        <f>ROUND(I804*ROUND(K804, 2), 2)</f>
        <v>3208960.55</v>
      </c>
      <c r="O804" s="55">
        <f>M804+N804</f>
        <v>5329075.2699999996</v>
      </c>
      <c r="P804" s="55">
        <f>IFERROR(ROUND(SUM(S805,S806,S807,S808)/I804, 2),0)</f>
        <v>1840.01</v>
      </c>
      <c r="Q804" s="55">
        <v>3954.7</v>
      </c>
      <c r="R804" s="55">
        <f>P804+ROUND(Q804, 2)</f>
        <v>5794.71</v>
      </c>
      <c r="S804" s="55">
        <f>ROUND(P804*I804, 2)</f>
        <v>2120114.7200000002</v>
      </c>
      <c r="T804" s="55">
        <f>ROUND(I804*ROUND(Q804, 2), 2)</f>
        <v>4556723.9800000004</v>
      </c>
      <c r="U804" s="55">
        <f>S804+T804</f>
        <v>6676838.7000000011</v>
      </c>
      <c r="V804" s="9">
        <f>ROUND(P804 / 1.2, 2)</f>
        <v>1533.34</v>
      </c>
      <c r="W804" s="9">
        <f>ROUND(Q804 / 1.2, 2)</f>
        <v>3295.58</v>
      </c>
      <c r="X804" s="9">
        <f>ROUND(R804 / 1.2, 2)</f>
        <v>4828.93</v>
      </c>
      <c r="Y804" s="9">
        <f t="shared" si="138"/>
        <v>1766762.27</v>
      </c>
      <c r="Z804" s="9">
        <f>ROUND(T804 / 1.2, 2)</f>
        <v>3797269.98</v>
      </c>
      <c r="AA804" s="9">
        <f>Y804+Z804</f>
        <v>5564032.25</v>
      </c>
      <c r="AD804" s="4">
        <v>295859994</v>
      </c>
      <c r="AE804" s="4">
        <v>22502623</v>
      </c>
      <c r="AG804" s="4" t="s">
        <v>1104</v>
      </c>
      <c r="AH804" s="4" t="s">
        <v>1105</v>
      </c>
      <c r="AI804" s="4" t="s">
        <v>467</v>
      </c>
    </row>
    <row r="805" spans="1:35" ht="18" x14ac:dyDescent="0.35">
      <c r="A805" s="51" t="s">
        <v>2197</v>
      </c>
      <c r="B805" s="51"/>
      <c r="C805" s="56" t="s">
        <v>873</v>
      </c>
      <c r="D805" s="53"/>
      <c r="E805" s="53"/>
      <c r="F805" s="57" t="s">
        <v>498</v>
      </c>
      <c r="G805" s="58">
        <v>0.25</v>
      </c>
      <c r="H805" s="53"/>
      <c r="I805" s="62">
        <v>288.05799999999999</v>
      </c>
      <c r="J805" s="59">
        <v>47.44</v>
      </c>
      <c r="K805" s="60"/>
      <c r="L805" s="60"/>
      <c r="M805" s="59">
        <f>ROUND(ROUND(J805, 2)*I805, 2)</f>
        <v>13665.47</v>
      </c>
      <c r="N805" s="60"/>
      <c r="O805" s="60"/>
      <c r="P805" s="59">
        <v>47.44</v>
      </c>
      <c r="Q805" s="60"/>
      <c r="R805" s="60"/>
      <c r="S805" s="59">
        <f>ROUND(ROUND(P805, 2)*I805, 2)</f>
        <v>13665.47</v>
      </c>
      <c r="T805" s="60"/>
      <c r="U805" s="61"/>
      <c r="V805" s="9">
        <f>ROUND(ROUND(P805, 2)/1.2, 2)</f>
        <v>39.53</v>
      </c>
      <c r="Y805" s="9">
        <f t="shared" si="138"/>
        <v>11387.89</v>
      </c>
      <c r="AD805" s="4" t="s">
        <v>2198</v>
      </c>
      <c r="AE805" s="4" t="s">
        <v>2199</v>
      </c>
      <c r="AF805" s="4" t="s">
        <v>876</v>
      </c>
    </row>
    <row r="806" spans="1:35" ht="36" x14ac:dyDescent="0.35">
      <c r="A806" s="51" t="s">
        <v>2200</v>
      </c>
      <c r="B806" s="51"/>
      <c r="C806" s="56" t="s">
        <v>925</v>
      </c>
      <c r="D806" s="53"/>
      <c r="E806" s="53"/>
      <c r="F806" s="57" t="s">
        <v>498</v>
      </c>
      <c r="G806" s="58">
        <v>0.15</v>
      </c>
      <c r="H806" s="53"/>
      <c r="I806" s="58">
        <v>172.83500000000001</v>
      </c>
      <c r="J806" s="59">
        <v>88.8</v>
      </c>
      <c r="K806" s="60"/>
      <c r="L806" s="60"/>
      <c r="M806" s="59">
        <f>ROUND(ROUND(J806, 2)*I806, 2)</f>
        <v>15347.75</v>
      </c>
      <c r="N806" s="60"/>
      <c r="O806" s="60"/>
      <c r="P806" s="59">
        <v>88.8</v>
      </c>
      <c r="Q806" s="60"/>
      <c r="R806" s="60"/>
      <c r="S806" s="59">
        <f>ROUND(ROUND(P806, 2)*I806, 2)</f>
        <v>15347.75</v>
      </c>
      <c r="T806" s="60"/>
      <c r="U806" s="61"/>
      <c r="V806" s="9">
        <f>ROUND(ROUND(P806, 2)/1.2, 2)</f>
        <v>74</v>
      </c>
      <c r="Y806" s="9">
        <f t="shared" si="138"/>
        <v>12789.79</v>
      </c>
      <c r="AD806" s="4" t="s">
        <v>2201</v>
      </c>
      <c r="AE806" s="4" t="s">
        <v>2202</v>
      </c>
      <c r="AF806" s="4" t="s">
        <v>928</v>
      </c>
    </row>
    <row r="807" spans="1:35" ht="72" x14ac:dyDescent="0.35">
      <c r="A807" s="51" t="s">
        <v>2203</v>
      </c>
      <c r="B807" s="51"/>
      <c r="C807" s="56" t="s">
        <v>2186</v>
      </c>
      <c r="D807" s="53"/>
      <c r="E807" s="53" t="s">
        <v>1148</v>
      </c>
      <c r="F807" s="57" t="s">
        <v>63</v>
      </c>
      <c r="G807" s="58">
        <v>1.2</v>
      </c>
      <c r="H807" s="53"/>
      <c r="I807" s="62">
        <v>1382.6759999999999</v>
      </c>
      <c r="J807" s="59">
        <v>1496.25</v>
      </c>
      <c r="K807" s="60"/>
      <c r="L807" s="60"/>
      <c r="M807" s="59">
        <f>ROUND(ROUND(J807, 2)*I807, 2)</f>
        <v>2068828.97</v>
      </c>
      <c r="N807" s="60"/>
      <c r="O807" s="60"/>
      <c r="P807" s="59">
        <v>1496.25</v>
      </c>
      <c r="Q807" s="60"/>
      <c r="R807" s="60"/>
      <c r="S807" s="59">
        <f>ROUND(ROUND(P807, 2)*I807, 2)</f>
        <v>2068828.97</v>
      </c>
      <c r="T807" s="60"/>
      <c r="U807" s="61"/>
      <c r="V807" s="9">
        <f>ROUND(ROUND(P807, 2)/1.2, 2)</f>
        <v>1246.8800000000001</v>
      </c>
      <c r="Y807" s="9">
        <f t="shared" si="138"/>
        <v>1724024.14</v>
      </c>
      <c r="AD807" s="4" t="s">
        <v>2204</v>
      </c>
      <c r="AE807" s="4" t="s">
        <v>2205</v>
      </c>
      <c r="AF807" s="4" t="s">
        <v>2189</v>
      </c>
    </row>
    <row r="808" spans="1:35" ht="36" x14ac:dyDescent="0.35">
      <c r="A808" s="51" t="s">
        <v>2206</v>
      </c>
      <c r="B808" s="51"/>
      <c r="C808" s="47" t="s">
        <v>1108</v>
      </c>
      <c r="D808" s="53"/>
      <c r="E808" s="53"/>
      <c r="F808" s="57" t="s">
        <v>498</v>
      </c>
      <c r="G808" s="58">
        <v>1.2</v>
      </c>
      <c r="H808" s="53"/>
      <c r="I808" s="62">
        <v>1382.6759999999999</v>
      </c>
      <c r="J808" s="59">
        <v>16.11</v>
      </c>
      <c r="K808" s="60"/>
      <c r="L808" s="60"/>
      <c r="M808" s="59">
        <f>ROUND(ROUND(J808, 2)*I808, 2)</f>
        <v>22274.91</v>
      </c>
      <c r="N808" s="60"/>
      <c r="O808" s="60"/>
      <c r="P808" s="59">
        <v>16.11</v>
      </c>
      <c r="Q808" s="60"/>
      <c r="R808" s="60"/>
      <c r="S808" s="59">
        <f>ROUND(ROUND(P808, 2)*I808, 2)</f>
        <v>22274.91</v>
      </c>
      <c r="T808" s="60"/>
      <c r="U808" s="61"/>
      <c r="V808" s="9">
        <f>ROUND(ROUND(P808, 2)/1.2, 2)</f>
        <v>13.43</v>
      </c>
      <c r="Y808" s="9">
        <f t="shared" si="138"/>
        <v>18562.43</v>
      </c>
      <c r="AD808" s="4" t="s">
        <v>2207</v>
      </c>
      <c r="AE808" s="4" t="s">
        <v>2208</v>
      </c>
      <c r="AF808" s="4" t="s">
        <v>1111</v>
      </c>
    </row>
    <row r="809" spans="1:35" ht="17" customHeight="1" x14ac:dyDescent="0.35">
      <c r="A809" s="51" t="s">
        <v>2209</v>
      </c>
      <c r="B809" s="51" t="s">
        <v>1182</v>
      </c>
      <c r="C809" s="180" t="s">
        <v>1183</v>
      </c>
      <c r="D809" s="181"/>
      <c r="E809" s="181"/>
      <c r="F809" s="181"/>
      <c r="G809" s="181"/>
      <c r="H809" s="181"/>
      <c r="I809" s="182"/>
      <c r="J809" s="60"/>
      <c r="K809" s="60"/>
      <c r="L809" s="60"/>
      <c r="M809" s="63">
        <f>SUM(M810,M816)</f>
        <v>16998814.34</v>
      </c>
      <c r="N809" s="63">
        <f>SUM(N810,N816)</f>
        <v>25554268</v>
      </c>
      <c r="O809" s="63">
        <f>SUM(O810,O816)</f>
        <v>42553082.340000004</v>
      </c>
      <c r="P809" s="60"/>
      <c r="Q809" s="60"/>
      <c r="R809" s="60"/>
      <c r="S809" s="63">
        <f>SUM(S810,S816)</f>
        <v>16998814.34</v>
      </c>
      <c r="T809" s="63">
        <f>SUM(T810,T816)</f>
        <v>36287060.549999997</v>
      </c>
      <c r="U809" s="63">
        <f>SUM(U810,U816)</f>
        <v>53285874.890000001</v>
      </c>
      <c r="Y809" s="9">
        <f>SUM(Y810,Y816)</f>
        <v>14165678.619999999</v>
      </c>
      <c r="Z809" s="9">
        <f>SUM(Z810,Z816)</f>
        <v>30239217.129999999</v>
      </c>
      <c r="AA809" s="9">
        <f>SUM(AA810,AA816)</f>
        <v>44404895.75</v>
      </c>
      <c r="AD809" s="4">
        <v>295859947</v>
      </c>
      <c r="AE809" s="4">
        <v>22502008</v>
      </c>
    </row>
    <row r="810" spans="1:35" ht="17" customHeight="1" x14ac:dyDescent="0.35">
      <c r="A810" s="51" t="s">
        <v>2210</v>
      </c>
      <c r="B810" s="51" t="s">
        <v>1185</v>
      </c>
      <c r="C810" s="180" t="s">
        <v>1186</v>
      </c>
      <c r="D810" s="181"/>
      <c r="E810" s="181"/>
      <c r="F810" s="181"/>
      <c r="G810" s="181"/>
      <c r="H810" s="181"/>
      <c r="I810" s="182"/>
      <c r="J810" s="60"/>
      <c r="K810" s="60"/>
      <c r="L810" s="60"/>
      <c r="M810" s="63">
        <f>SUM(M811)</f>
        <v>2154576.67</v>
      </c>
      <c r="N810" s="63">
        <f>SUM(N811)</f>
        <v>7307544.5999999996</v>
      </c>
      <c r="O810" s="63">
        <f>SUM(O811)</f>
        <v>9462121.2699999996</v>
      </c>
      <c r="P810" s="60"/>
      <c r="Q810" s="60"/>
      <c r="R810" s="60"/>
      <c r="S810" s="63">
        <f>SUM(S811)</f>
        <v>2154576.67</v>
      </c>
      <c r="T810" s="63">
        <f>SUM(T811)</f>
        <v>10376713.33</v>
      </c>
      <c r="U810" s="63">
        <f>SUM(U811)</f>
        <v>12531290</v>
      </c>
      <c r="Y810" s="9">
        <f>SUM(Y811)</f>
        <v>1795480.56</v>
      </c>
      <c r="Z810" s="9">
        <f>SUM(Z811)</f>
        <v>8647261.1099999994</v>
      </c>
      <c r="AA810" s="9">
        <f>SUM(AA811)</f>
        <v>10442741.67</v>
      </c>
      <c r="AD810" s="4">
        <v>295859948</v>
      </c>
      <c r="AE810" s="4">
        <v>22502024</v>
      </c>
    </row>
    <row r="811" spans="1:35" ht="72" x14ac:dyDescent="0.35">
      <c r="A811" s="51" t="s">
        <v>2211</v>
      </c>
      <c r="B811" s="51" t="s">
        <v>1188</v>
      </c>
      <c r="C811" s="52" t="s">
        <v>1189</v>
      </c>
      <c r="D811" s="53" t="s">
        <v>1190</v>
      </c>
      <c r="E811" s="53" t="s">
        <v>1194</v>
      </c>
      <c r="F811" s="53" t="s">
        <v>63</v>
      </c>
      <c r="G811" s="54">
        <v>1</v>
      </c>
      <c r="H811" s="53"/>
      <c r="I811" s="54">
        <v>7659.9</v>
      </c>
      <c r="J811" s="55">
        <f>IFERROR(ROUND(SUM(M812,M813,M814,M815)/I811, 2),0)</f>
        <v>281.27999999999997</v>
      </c>
      <c r="K811" s="55">
        <v>954</v>
      </c>
      <c r="L811" s="55">
        <f>J811+ROUND(K811, 2)</f>
        <v>1235.28</v>
      </c>
      <c r="M811" s="55">
        <f>ROUND(J811*I811, 2)</f>
        <v>2154576.67</v>
      </c>
      <c r="N811" s="55">
        <f>ROUND(I811*ROUND(K811, 2), 2)</f>
        <v>7307544.5999999996</v>
      </c>
      <c r="O811" s="55">
        <f>M811+N811</f>
        <v>9462121.2699999996</v>
      </c>
      <c r="P811" s="55">
        <f>IFERROR(ROUND(SUM(S812,S813,S814,S815)/I811, 2),0)</f>
        <v>281.27999999999997</v>
      </c>
      <c r="Q811" s="55">
        <v>1354.68</v>
      </c>
      <c r="R811" s="55">
        <f>P811+ROUND(Q811, 2)</f>
        <v>1635.96</v>
      </c>
      <c r="S811" s="55">
        <f>ROUND(P811*I811, 2)</f>
        <v>2154576.67</v>
      </c>
      <c r="T811" s="55">
        <f>ROUND(I811*ROUND(Q811, 2), 2)</f>
        <v>10376713.33</v>
      </c>
      <c r="U811" s="55">
        <f>S811+T811</f>
        <v>12531290</v>
      </c>
      <c r="V811" s="9">
        <f>ROUND(P811 / 1.2, 2)</f>
        <v>234.4</v>
      </c>
      <c r="W811" s="9">
        <f>ROUND(Q811 / 1.2, 2)</f>
        <v>1128.9000000000001</v>
      </c>
      <c r="X811" s="9">
        <f>ROUND(R811 / 1.2, 2)</f>
        <v>1363.3</v>
      </c>
      <c r="Y811" s="9">
        <f>ROUND(S811 / 1.2, 2)</f>
        <v>1795480.56</v>
      </c>
      <c r="Z811" s="9">
        <f>ROUND(T811 / 1.2, 2)</f>
        <v>8647261.1099999994</v>
      </c>
      <c r="AA811" s="9">
        <f>Y811+Z811</f>
        <v>10442741.67</v>
      </c>
      <c r="AD811" s="4">
        <v>295859950</v>
      </c>
      <c r="AE811" s="4">
        <v>22502062</v>
      </c>
      <c r="AG811" s="4" t="s">
        <v>1191</v>
      </c>
      <c r="AH811" s="4" t="s">
        <v>1192</v>
      </c>
      <c r="AI811" s="4" t="s">
        <v>467</v>
      </c>
    </row>
    <row r="812" spans="1:35" ht="18" x14ac:dyDescent="0.35">
      <c r="A812" s="51" t="s">
        <v>2212</v>
      </c>
      <c r="B812" s="51"/>
      <c r="C812" s="56" t="s">
        <v>1196</v>
      </c>
      <c r="D812" s="53"/>
      <c r="E812" s="53"/>
      <c r="F812" s="57" t="s">
        <v>498</v>
      </c>
      <c r="G812" s="58">
        <v>1.3</v>
      </c>
      <c r="H812" s="53"/>
      <c r="I812" s="62">
        <v>199157.4</v>
      </c>
      <c r="J812" s="59">
        <v>8.6</v>
      </c>
      <c r="K812" s="60"/>
      <c r="L812" s="60"/>
      <c r="M812" s="59">
        <f>ROUND(ROUND(J812, 2)*I812, 2)</f>
        <v>1712753.64</v>
      </c>
      <c r="N812" s="60"/>
      <c r="O812" s="60"/>
      <c r="P812" s="59">
        <v>8.6</v>
      </c>
      <c r="Q812" s="60"/>
      <c r="R812" s="60"/>
      <c r="S812" s="59">
        <f>ROUND(ROUND(P812, 2)*I812, 2)</f>
        <v>1712753.64</v>
      </c>
      <c r="T812" s="60"/>
      <c r="U812" s="61"/>
      <c r="V812" s="9">
        <f>ROUND(ROUND(P812, 2)/1.2, 2)</f>
        <v>7.17</v>
      </c>
      <c r="Y812" s="9">
        <f>ROUND(S812 / 1.2, 2)</f>
        <v>1427294.7</v>
      </c>
      <c r="AD812" s="4" t="s">
        <v>2213</v>
      </c>
      <c r="AE812" s="4" t="s">
        <v>2214</v>
      </c>
      <c r="AF812" s="4" t="s">
        <v>1199</v>
      </c>
    </row>
    <row r="813" spans="1:35" ht="18" x14ac:dyDescent="0.35">
      <c r="A813" s="51" t="s">
        <v>2215</v>
      </c>
      <c r="B813" s="51"/>
      <c r="C813" s="56" t="s">
        <v>1203</v>
      </c>
      <c r="D813" s="53"/>
      <c r="E813" s="53"/>
      <c r="F813" s="57" t="s">
        <v>63</v>
      </c>
      <c r="G813" s="58">
        <v>1.1000000000000001</v>
      </c>
      <c r="H813" s="53"/>
      <c r="I813" s="58">
        <v>8425.89</v>
      </c>
      <c r="J813" s="59">
        <v>26</v>
      </c>
      <c r="K813" s="60"/>
      <c r="L813" s="60"/>
      <c r="M813" s="59">
        <f>ROUND(ROUND(J813, 2)*I813, 2)</f>
        <v>219073.14</v>
      </c>
      <c r="N813" s="60"/>
      <c r="O813" s="60"/>
      <c r="P813" s="59">
        <v>26</v>
      </c>
      <c r="Q813" s="60"/>
      <c r="R813" s="60"/>
      <c r="S813" s="59">
        <f>ROUND(ROUND(P813, 2)*I813, 2)</f>
        <v>219073.14</v>
      </c>
      <c r="T813" s="60"/>
      <c r="U813" s="61"/>
      <c r="V813" s="9">
        <f>ROUND(ROUND(P813, 2)/1.2, 2)</f>
        <v>21.67</v>
      </c>
      <c r="Y813" s="9">
        <f>ROUND(S813 / 1.2, 2)</f>
        <v>182560.95</v>
      </c>
      <c r="AD813" s="4" t="s">
        <v>2216</v>
      </c>
      <c r="AE813" s="4" t="s">
        <v>2217</v>
      </c>
      <c r="AF813" s="4" t="s">
        <v>1206</v>
      </c>
    </row>
    <row r="814" spans="1:35" ht="18" x14ac:dyDescent="0.35">
      <c r="A814" s="51" t="s">
        <v>2218</v>
      </c>
      <c r="B814" s="51"/>
      <c r="C814" s="56" t="s">
        <v>1210</v>
      </c>
      <c r="D814" s="53"/>
      <c r="E814" s="53"/>
      <c r="F814" s="57" t="s">
        <v>78</v>
      </c>
      <c r="G814" s="58">
        <v>1</v>
      </c>
      <c r="H814" s="53"/>
      <c r="I814" s="62">
        <v>7659.9</v>
      </c>
      <c r="J814" s="59">
        <v>15.76</v>
      </c>
      <c r="K814" s="60"/>
      <c r="L814" s="60"/>
      <c r="M814" s="59">
        <f>ROUND(ROUND(J814, 2)*I814, 2)</f>
        <v>120720.02</v>
      </c>
      <c r="N814" s="60"/>
      <c r="O814" s="60"/>
      <c r="P814" s="59">
        <v>15.76</v>
      </c>
      <c r="Q814" s="60"/>
      <c r="R814" s="60"/>
      <c r="S814" s="59">
        <f>ROUND(ROUND(P814, 2)*I814, 2)</f>
        <v>120720.02</v>
      </c>
      <c r="T814" s="60"/>
      <c r="U814" s="61"/>
      <c r="V814" s="9">
        <f>ROUND(ROUND(P814, 2)/1.2, 2)</f>
        <v>13.13</v>
      </c>
      <c r="Y814" s="9">
        <f>ROUND(S814 / 1.2, 2)</f>
        <v>100600.02</v>
      </c>
      <c r="AD814" s="4" t="s">
        <v>2219</v>
      </c>
      <c r="AE814" s="4" t="s">
        <v>2220</v>
      </c>
      <c r="AF814" s="4" t="s">
        <v>1213</v>
      </c>
    </row>
    <row r="815" spans="1:35" ht="36" x14ac:dyDescent="0.35">
      <c r="A815" s="51" t="s">
        <v>2221</v>
      </c>
      <c r="B815" s="51"/>
      <c r="C815" s="56" t="s">
        <v>925</v>
      </c>
      <c r="D815" s="53"/>
      <c r="E815" s="53"/>
      <c r="F815" s="57" t="s">
        <v>498</v>
      </c>
      <c r="G815" s="58">
        <v>0.15</v>
      </c>
      <c r="H815" s="53"/>
      <c r="I815" s="58">
        <v>1148.9849999999999</v>
      </c>
      <c r="J815" s="59">
        <v>88.8</v>
      </c>
      <c r="K815" s="60"/>
      <c r="L815" s="60"/>
      <c r="M815" s="59">
        <f>ROUND(ROUND(J815, 2)*I815, 2)</f>
        <v>102029.87</v>
      </c>
      <c r="N815" s="60"/>
      <c r="O815" s="60"/>
      <c r="P815" s="59">
        <v>88.8</v>
      </c>
      <c r="Q815" s="60"/>
      <c r="R815" s="60"/>
      <c r="S815" s="59">
        <f>ROUND(ROUND(P815, 2)*I815, 2)</f>
        <v>102029.87</v>
      </c>
      <c r="T815" s="60"/>
      <c r="U815" s="61"/>
      <c r="V815" s="9">
        <f>ROUND(ROUND(P815, 2)/1.2, 2)</f>
        <v>74</v>
      </c>
      <c r="Y815" s="9">
        <f>ROUND(S815 / 1.2, 2)</f>
        <v>85024.89</v>
      </c>
      <c r="AD815" s="4" t="s">
        <v>2222</v>
      </c>
      <c r="AE815" s="4" t="s">
        <v>2223</v>
      </c>
      <c r="AF815" s="4" t="s">
        <v>928</v>
      </c>
    </row>
    <row r="816" spans="1:35" ht="17" customHeight="1" x14ac:dyDescent="0.35">
      <c r="A816" s="51" t="s">
        <v>2224</v>
      </c>
      <c r="B816" s="51" t="s">
        <v>1235</v>
      </c>
      <c r="C816" s="180" t="s">
        <v>1236</v>
      </c>
      <c r="D816" s="181"/>
      <c r="E816" s="181"/>
      <c r="F816" s="181"/>
      <c r="G816" s="181"/>
      <c r="H816" s="181"/>
      <c r="I816" s="182"/>
      <c r="J816" s="60"/>
      <c r="K816" s="60"/>
      <c r="L816" s="60"/>
      <c r="M816" s="63">
        <f>SUM(M817,M819,M822,M825)</f>
        <v>14844237.67</v>
      </c>
      <c r="N816" s="63">
        <f>SUM(N817,N819,N822,N825)</f>
        <v>18246723.399999999</v>
      </c>
      <c r="O816" s="63">
        <f>SUM(O817,O819,O822,O825)</f>
        <v>33090961.07</v>
      </c>
      <c r="P816" s="60"/>
      <c r="Q816" s="60"/>
      <c r="R816" s="60"/>
      <c r="S816" s="63">
        <f>SUM(S817,S819,S822,S825)</f>
        <v>14844237.67</v>
      </c>
      <c r="T816" s="63">
        <f>SUM(T817,T819,T822,T825)</f>
        <v>25910347.219999999</v>
      </c>
      <c r="U816" s="63">
        <f>SUM(U817,U819,U822,U825)</f>
        <v>40754584.890000001</v>
      </c>
      <c r="Y816" s="9">
        <f>SUM(Y817,Y819,Y822,Y825)</f>
        <v>12370198.059999999</v>
      </c>
      <c r="Z816" s="9">
        <f>SUM(Z817,Z819,Z822,Z825)</f>
        <v>21591956.02</v>
      </c>
      <c r="AA816" s="9">
        <f>SUM(AA817,AA819,AA822,AA825)</f>
        <v>33962154.079999998</v>
      </c>
      <c r="AD816" s="4">
        <v>295859951</v>
      </c>
      <c r="AE816" s="4">
        <v>22502049</v>
      </c>
    </row>
    <row r="817" spans="1:35" ht="18" x14ac:dyDescent="0.35">
      <c r="A817" s="51" t="s">
        <v>2225</v>
      </c>
      <c r="B817" s="51" t="s">
        <v>1238</v>
      </c>
      <c r="C817" s="52" t="s">
        <v>1239</v>
      </c>
      <c r="D817" s="53"/>
      <c r="E817" s="53"/>
      <c r="F817" s="53" t="s">
        <v>63</v>
      </c>
      <c r="G817" s="54">
        <v>1</v>
      </c>
      <c r="H817" s="53"/>
      <c r="I817" s="54">
        <v>2373.3000000000002</v>
      </c>
      <c r="J817" s="55">
        <f>IFERROR(ROUND(SUM(M818)/I817, 2),0)</f>
        <v>418</v>
      </c>
      <c r="K817" s="55">
        <v>1010</v>
      </c>
      <c r="L817" s="55">
        <f>J817+ROUND(K817, 2)</f>
        <v>1428</v>
      </c>
      <c r="M817" s="55">
        <f>ROUND(J817*I817, 2)</f>
        <v>992039.4</v>
      </c>
      <c r="N817" s="55">
        <f>ROUND(I817*ROUND(K817, 2), 2)</f>
        <v>2397033</v>
      </c>
      <c r="O817" s="55">
        <f>M817+N817</f>
        <v>3389072.4</v>
      </c>
      <c r="P817" s="55">
        <f>IFERROR(ROUND(SUM(S818)/I817, 2),0)</f>
        <v>418</v>
      </c>
      <c r="Q817" s="55">
        <v>1434.2</v>
      </c>
      <c r="R817" s="55">
        <f>P817+ROUND(Q817, 2)</f>
        <v>1852.2</v>
      </c>
      <c r="S817" s="55">
        <f>ROUND(P817*I817, 2)</f>
        <v>992039.4</v>
      </c>
      <c r="T817" s="55">
        <f>ROUND(I817*ROUND(Q817, 2), 2)</f>
        <v>3403786.86</v>
      </c>
      <c r="U817" s="55">
        <f>S817+T817</f>
        <v>4395826.26</v>
      </c>
      <c r="V817" s="9">
        <f>ROUND(P817 / 1.2, 2)</f>
        <v>348.33</v>
      </c>
      <c r="W817" s="9">
        <f>ROUND(Q817 / 1.2, 2)</f>
        <v>1195.17</v>
      </c>
      <c r="X817" s="9">
        <f>ROUND(R817 / 1.2, 2)</f>
        <v>1543.5</v>
      </c>
      <c r="Y817" s="9">
        <f>ROUND(S817 / 1.2, 2)</f>
        <v>826699.5</v>
      </c>
      <c r="Z817" s="9">
        <f>ROUND(T817 / 1.2, 2)</f>
        <v>2836489.05</v>
      </c>
      <c r="AA817" s="9">
        <f>Y817+Z817</f>
        <v>3663188.55</v>
      </c>
      <c r="AD817" s="4">
        <v>295859953</v>
      </c>
      <c r="AE817" s="4">
        <v>22502040</v>
      </c>
      <c r="AG817" s="4" t="s">
        <v>1240</v>
      </c>
      <c r="AH817" s="4" t="s">
        <v>1241</v>
      </c>
      <c r="AI817" s="4" t="s">
        <v>467</v>
      </c>
    </row>
    <row r="818" spans="1:35" ht="18" x14ac:dyDescent="0.35">
      <c r="A818" s="51" t="s">
        <v>2226</v>
      </c>
      <c r="B818" s="51"/>
      <c r="C818" s="56" t="s">
        <v>1245</v>
      </c>
      <c r="D818" s="53"/>
      <c r="E818" s="53"/>
      <c r="F818" s="57" t="s">
        <v>490</v>
      </c>
      <c r="G818" s="58">
        <v>1</v>
      </c>
      <c r="H818" s="53"/>
      <c r="I818" s="58">
        <v>2373.3000000000002</v>
      </c>
      <c r="J818" s="59">
        <v>418</v>
      </c>
      <c r="K818" s="60"/>
      <c r="L818" s="60"/>
      <c r="M818" s="59">
        <f>ROUND(ROUND(J818, 2)*I818, 2)</f>
        <v>992039.4</v>
      </c>
      <c r="N818" s="60"/>
      <c r="O818" s="60"/>
      <c r="P818" s="59">
        <v>418</v>
      </c>
      <c r="Q818" s="60"/>
      <c r="R818" s="60"/>
      <c r="S818" s="59">
        <f>ROUND(ROUND(P818, 2)*I818, 2)</f>
        <v>992039.4</v>
      </c>
      <c r="T818" s="60"/>
      <c r="U818" s="61"/>
      <c r="V818" s="9">
        <f>ROUND(ROUND(P818, 2)/1.2, 2)</f>
        <v>348.33</v>
      </c>
      <c r="Y818" s="9">
        <f t="shared" ref="Y818:Y829" si="139">ROUND(S818 / 1.2, 2)</f>
        <v>826699.5</v>
      </c>
      <c r="AD818" s="4" t="s">
        <v>2227</v>
      </c>
      <c r="AE818" s="4" t="s">
        <v>2228</v>
      </c>
      <c r="AF818" s="4" t="s">
        <v>1248</v>
      </c>
    </row>
    <row r="819" spans="1:35" ht="90" x14ac:dyDescent="0.35">
      <c r="A819" s="51" t="s">
        <v>2229</v>
      </c>
      <c r="B819" s="51" t="s">
        <v>1256</v>
      </c>
      <c r="C819" s="52" t="s">
        <v>1257</v>
      </c>
      <c r="D819" s="53"/>
      <c r="E819" s="53" t="s">
        <v>2230</v>
      </c>
      <c r="F819" s="53" t="s">
        <v>63</v>
      </c>
      <c r="G819" s="54">
        <v>1</v>
      </c>
      <c r="H819" s="53"/>
      <c r="I819" s="54">
        <v>11850.4</v>
      </c>
      <c r="J819" s="55">
        <f>IFERROR(ROUND(SUM(M820,M821)/I819, 2),0)</f>
        <v>499.92</v>
      </c>
      <c r="K819" s="55">
        <v>428</v>
      </c>
      <c r="L819" s="55">
        <f>J819+ROUND(K819, 2)</f>
        <v>927.92000000000007</v>
      </c>
      <c r="M819" s="55">
        <f>ROUND(J819*I819, 2)</f>
        <v>5924251.9699999997</v>
      </c>
      <c r="N819" s="55">
        <f>ROUND(I819*ROUND(K819, 2), 2)</f>
        <v>5071971.2</v>
      </c>
      <c r="O819" s="55">
        <f>M819+N819</f>
        <v>10996223.17</v>
      </c>
      <c r="P819" s="55">
        <f>IFERROR(ROUND(SUM(S820,S821)/I819, 2),0)</f>
        <v>499.92</v>
      </c>
      <c r="Q819" s="55">
        <v>607.76</v>
      </c>
      <c r="R819" s="55">
        <f>P819+ROUND(Q819, 2)</f>
        <v>1107.68</v>
      </c>
      <c r="S819" s="55">
        <f>ROUND(P819*I819, 2)</f>
        <v>5924251.9699999997</v>
      </c>
      <c r="T819" s="55">
        <f>ROUND(I819*ROUND(Q819, 2), 2)</f>
        <v>7202199.0999999996</v>
      </c>
      <c r="U819" s="55">
        <f>S819+T819</f>
        <v>13126451.07</v>
      </c>
      <c r="V819" s="9">
        <f>ROUND(P819 / 1.2, 2)</f>
        <v>416.6</v>
      </c>
      <c r="W819" s="9">
        <f>ROUND(Q819 / 1.2, 2)</f>
        <v>506.47</v>
      </c>
      <c r="X819" s="9">
        <f>ROUND(R819 / 1.2, 2)</f>
        <v>923.07</v>
      </c>
      <c r="Y819" s="9">
        <f t="shared" si="139"/>
        <v>4936876.6399999997</v>
      </c>
      <c r="Z819" s="9">
        <f>ROUND(T819 / 1.2, 2)</f>
        <v>6001832.5800000001</v>
      </c>
      <c r="AA819" s="9">
        <f>Y819+Z819</f>
        <v>10938709.219999999</v>
      </c>
      <c r="AD819" s="4">
        <v>295859955</v>
      </c>
      <c r="AE819" s="4">
        <v>22502081</v>
      </c>
      <c r="AG819" s="4" t="s">
        <v>1258</v>
      </c>
      <c r="AH819" s="4" t="s">
        <v>1259</v>
      </c>
      <c r="AI819" s="4" t="s">
        <v>467</v>
      </c>
    </row>
    <row r="820" spans="1:35" ht="36" x14ac:dyDescent="0.35">
      <c r="A820" s="51" t="s">
        <v>2231</v>
      </c>
      <c r="B820" s="51"/>
      <c r="C820" s="56" t="s">
        <v>925</v>
      </c>
      <c r="D820" s="53"/>
      <c r="E820" s="53"/>
      <c r="F820" s="57" t="s">
        <v>498</v>
      </c>
      <c r="G820" s="58">
        <v>0.15</v>
      </c>
      <c r="H820" s="53"/>
      <c r="I820" s="58">
        <v>1777.56</v>
      </c>
      <c r="J820" s="59">
        <v>88.8</v>
      </c>
      <c r="K820" s="60"/>
      <c r="L820" s="60"/>
      <c r="M820" s="59">
        <f>ROUND(ROUND(J820, 2)*I820, 2)</f>
        <v>157847.32999999999</v>
      </c>
      <c r="N820" s="60"/>
      <c r="O820" s="60"/>
      <c r="P820" s="59">
        <v>88.8</v>
      </c>
      <c r="Q820" s="60"/>
      <c r="R820" s="60"/>
      <c r="S820" s="59">
        <f>ROUND(ROUND(P820, 2)*I820, 2)</f>
        <v>157847.32999999999</v>
      </c>
      <c r="T820" s="60"/>
      <c r="U820" s="61"/>
      <c r="V820" s="9">
        <f>ROUND(ROUND(P820, 2)/1.2, 2)</f>
        <v>74</v>
      </c>
      <c r="Y820" s="9">
        <f t="shared" si="139"/>
        <v>131539.44</v>
      </c>
      <c r="AD820" s="4" t="s">
        <v>2232</v>
      </c>
      <c r="AE820" s="4" t="s">
        <v>2233</v>
      </c>
      <c r="AF820" s="4" t="s">
        <v>928</v>
      </c>
    </row>
    <row r="821" spans="1:35" ht="90" x14ac:dyDescent="0.35">
      <c r="A821" s="51" t="s">
        <v>2234</v>
      </c>
      <c r="B821" s="51"/>
      <c r="C821" s="56" t="s">
        <v>1268</v>
      </c>
      <c r="D821" s="53"/>
      <c r="E821" s="53" t="s">
        <v>1273</v>
      </c>
      <c r="F821" s="57" t="s">
        <v>498</v>
      </c>
      <c r="G821" s="58">
        <v>0.3</v>
      </c>
      <c r="H821" s="53"/>
      <c r="I821" s="58">
        <v>3555.12</v>
      </c>
      <c r="J821" s="59">
        <v>1622</v>
      </c>
      <c r="K821" s="60"/>
      <c r="L821" s="60"/>
      <c r="M821" s="59">
        <f>ROUND(ROUND(J821, 2)*I821, 2)</f>
        <v>5766404.6399999997</v>
      </c>
      <c r="N821" s="60"/>
      <c r="O821" s="60"/>
      <c r="P821" s="59">
        <v>1622</v>
      </c>
      <c r="Q821" s="60"/>
      <c r="R821" s="60"/>
      <c r="S821" s="59">
        <f>ROUND(ROUND(P821, 2)*I821, 2)</f>
        <v>5766404.6399999997</v>
      </c>
      <c r="T821" s="60"/>
      <c r="U821" s="61"/>
      <c r="V821" s="9">
        <f>ROUND(ROUND(P821, 2)/1.2, 2)</f>
        <v>1351.67</v>
      </c>
      <c r="Y821" s="9">
        <f t="shared" si="139"/>
        <v>4805337.2</v>
      </c>
      <c r="AD821" s="4" t="s">
        <v>2235</v>
      </c>
      <c r="AE821" s="4" t="s">
        <v>2236</v>
      </c>
      <c r="AF821" s="4" t="s">
        <v>1271</v>
      </c>
    </row>
    <row r="822" spans="1:35" ht="90" x14ac:dyDescent="0.35">
      <c r="A822" s="51" t="s">
        <v>2237</v>
      </c>
      <c r="B822" s="51" t="s">
        <v>1256</v>
      </c>
      <c r="C822" s="52" t="s">
        <v>1257</v>
      </c>
      <c r="D822" s="53"/>
      <c r="E822" s="53" t="s">
        <v>1277</v>
      </c>
      <c r="F822" s="53" t="s">
        <v>63</v>
      </c>
      <c r="G822" s="54">
        <v>1</v>
      </c>
      <c r="H822" s="53"/>
      <c r="I822" s="54">
        <v>3034</v>
      </c>
      <c r="J822" s="55">
        <f>IFERROR(ROUND(SUM(M823,M824)/I822, 2),0)</f>
        <v>499.92</v>
      </c>
      <c r="K822" s="55">
        <v>428</v>
      </c>
      <c r="L822" s="55">
        <f>J822+ROUND(K822, 2)</f>
        <v>927.92000000000007</v>
      </c>
      <c r="M822" s="55">
        <f>ROUND(J822*I822, 2)</f>
        <v>1516757.28</v>
      </c>
      <c r="N822" s="55">
        <f>ROUND(I822*ROUND(K822, 2), 2)</f>
        <v>1298552</v>
      </c>
      <c r="O822" s="55">
        <f>M822+N822</f>
        <v>2815309.2800000003</v>
      </c>
      <c r="P822" s="55">
        <f>IFERROR(ROUND(SUM(S823,S824)/I822, 2),0)</f>
        <v>499.92</v>
      </c>
      <c r="Q822" s="55">
        <v>607.76</v>
      </c>
      <c r="R822" s="55">
        <f>P822+ROUND(Q822, 2)</f>
        <v>1107.68</v>
      </c>
      <c r="S822" s="55">
        <f>ROUND(P822*I822, 2)</f>
        <v>1516757.28</v>
      </c>
      <c r="T822" s="55">
        <f>ROUND(I822*ROUND(Q822, 2), 2)</f>
        <v>1843943.84</v>
      </c>
      <c r="U822" s="55">
        <f>S822+T822</f>
        <v>3360701.12</v>
      </c>
      <c r="V822" s="9">
        <f>ROUND(P822 / 1.2, 2)</f>
        <v>416.6</v>
      </c>
      <c r="W822" s="9">
        <f>ROUND(Q822 / 1.2, 2)</f>
        <v>506.47</v>
      </c>
      <c r="X822" s="9">
        <f>ROUND(R822 / 1.2, 2)</f>
        <v>923.07</v>
      </c>
      <c r="Y822" s="9">
        <f t="shared" si="139"/>
        <v>1263964.3999999999</v>
      </c>
      <c r="Z822" s="9">
        <f>ROUND(T822 / 1.2, 2)</f>
        <v>1536619.87</v>
      </c>
      <c r="AA822" s="9">
        <f>Y822+Z822</f>
        <v>2800584.27</v>
      </c>
      <c r="AD822" s="4">
        <v>295859995</v>
      </c>
      <c r="AE822" s="4">
        <v>22502083</v>
      </c>
      <c r="AG822" s="4" t="s">
        <v>1258</v>
      </c>
      <c r="AH822" s="4" t="s">
        <v>1259</v>
      </c>
      <c r="AI822" s="4" t="s">
        <v>467</v>
      </c>
    </row>
    <row r="823" spans="1:35" ht="90" x14ac:dyDescent="0.35">
      <c r="A823" s="51" t="s">
        <v>2238</v>
      </c>
      <c r="B823" s="51"/>
      <c r="C823" s="56" t="s">
        <v>1268</v>
      </c>
      <c r="D823" s="53"/>
      <c r="E823" s="53" t="s">
        <v>1282</v>
      </c>
      <c r="F823" s="57" t="s">
        <v>498</v>
      </c>
      <c r="G823" s="58">
        <v>0.3</v>
      </c>
      <c r="H823" s="53"/>
      <c r="I823" s="58">
        <v>910.2</v>
      </c>
      <c r="J823" s="59">
        <v>1622</v>
      </c>
      <c r="K823" s="60"/>
      <c r="L823" s="60"/>
      <c r="M823" s="59">
        <f>ROUND(ROUND(J823, 2)*I823, 2)</f>
        <v>1476344.4</v>
      </c>
      <c r="N823" s="60"/>
      <c r="O823" s="60"/>
      <c r="P823" s="59">
        <v>1622</v>
      </c>
      <c r="Q823" s="60"/>
      <c r="R823" s="60"/>
      <c r="S823" s="59">
        <f>ROUND(ROUND(P823, 2)*I823, 2)</f>
        <v>1476344.4</v>
      </c>
      <c r="T823" s="60"/>
      <c r="U823" s="61"/>
      <c r="V823" s="9">
        <f>ROUND(ROUND(P823, 2)/1.2, 2)</f>
        <v>1351.67</v>
      </c>
      <c r="Y823" s="9">
        <f t="shared" si="139"/>
        <v>1230287</v>
      </c>
      <c r="AD823" s="4" t="s">
        <v>2239</v>
      </c>
      <c r="AE823" s="4" t="s">
        <v>2240</v>
      </c>
      <c r="AF823" s="4" t="s">
        <v>1271</v>
      </c>
    </row>
    <row r="824" spans="1:35" ht="36" x14ac:dyDescent="0.35">
      <c r="A824" s="51" t="s">
        <v>2241</v>
      </c>
      <c r="B824" s="51"/>
      <c r="C824" s="56" t="s">
        <v>925</v>
      </c>
      <c r="D824" s="53"/>
      <c r="E824" s="53"/>
      <c r="F824" s="57" t="s">
        <v>498</v>
      </c>
      <c r="G824" s="58">
        <v>0.15</v>
      </c>
      <c r="H824" s="53"/>
      <c r="I824" s="58">
        <v>455.1</v>
      </c>
      <c r="J824" s="59">
        <v>88.8</v>
      </c>
      <c r="K824" s="60"/>
      <c r="L824" s="60"/>
      <c r="M824" s="59">
        <f>ROUND(ROUND(J824, 2)*I824, 2)</f>
        <v>40412.879999999997</v>
      </c>
      <c r="N824" s="60"/>
      <c r="O824" s="60"/>
      <c r="P824" s="59">
        <v>88.8</v>
      </c>
      <c r="Q824" s="60"/>
      <c r="R824" s="60"/>
      <c r="S824" s="59">
        <f>ROUND(ROUND(P824, 2)*I824, 2)</f>
        <v>40412.879999999997</v>
      </c>
      <c r="T824" s="60"/>
      <c r="U824" s="61"/>
      <c r="V824" s="9">
        <f>ROUND(ROUND(P824, 2)/1.2, 2)</f>
        <v>74</v>
      </c>
      <c r="Y824" s="9">
        <f t="shared" si="139"/>
        <v>33677.4</v>
      </c>
      <c r="AD824" s="4" t="s">
        <v>2242</v>
      </c>
      <c r="AE824" s="4" t="s">
        <v>2243</v>
      </c>
      <c r="AF824" s="4" t="s">
        <v>928</v>
      </c>
    </row>
    <row r="825" spans="1:35" ht="54" x14ac:dyDescent="0.35">
      <c r="A825" s="51" t="s">
        <v>2244</v>
      </c>
      <c r="B825" s="51" t="s">
        <v>1304</v>
      </c>
      <c r="C825" s="52" t="s">
        <v>1305</v>
      </c>
      <c r="D825" s="53"/>
      <c r="E825" s="53" t="s">
        <v>1309</v>
      </c>
      <c r="F825" s="53" t="s">
        <v>63</v>
      </c>
      <c r="G825" s="54">
        <v>1</v>
      </c>
      <c r="H825" s="53"/>
      <c r="I825" s="54">
        <v>4009.8</v>
      </c>
      <c r="J825" s="55">
        <f>IFERROR(ROUND(SUM(M826,M827,M828,M829)/I825, 2),0)</f>
        <v>1598.88</v>
      </c>
      <c r="K825" s="55">
        <v>2364</v>
      </c>
      <c r="L825" s="55">
        <f>J825+ROUND(K825, 2)</f>
        <v>3962.88</v>
      </c>
      <c r="M825" s="55">
        <f>ROUND(J825*I825, 2)</f>
        <v>6411189.0199999996</v>
      </c>
      <c r="N825" s="55">
        <f>ROUND(I825*ROUND(K825, 2), 2)</f>
        <v>9479167.1999999993</v>
      </c>
      <c r="O825" s="55">
        <f>M825+N825</f>
        <v>15890356.219999999</v>
      </c>
      <c r="P825" s="55">
        <f>IFERROR(ROUND(SUM(S826,S827,S828,S829)/I825, 2),0)</f>
        <v>1598.88</v>
      </c>
      <c r="Q825" s="55">
        <v>3356.88</v>
      </c>
      <c r="R825" s="55">
        <f>P825+ROUND(Q825, 2)</f>
        <v>4955.76</v>
      </c>
      <c r="S825" s="55">
        <f>ROUND(P825*I825, 2)</f>
        <v>6411189.0199999996</v>
      </c>
      <c r="T825" s="55">
        <f>ROUND(I825*ROUND(Q825, 2), 2)</f>
        <v>13460417.42</v>
      </c>
      <c r="U825" s="55">
        <f>S825+T825</f>
        <v>19871606.439999998</v>
      </c>
      <c r="V825" s="9">
        <f>ROUND(P825 / 1.2, 2)</f>
        <v>1332.4</v>
      </c>
      <c r="W825" s="9">
        <f>ROUND(Q825 / 1.2, 2)</f>
        <v>2797.4</v>
      </c>
      <c r="X825" s="9">
        <f>ROUND(R825 / 1.2, 2)</f>
        <v>4129.8</v>
      </c>
      <c r="Y825" s="9">
        <f t="shared" si="139"/>
        <v>5342657.5199999996</v>
      </c>
      <c r="Z825" s="9">
        <f>ROUND(T825 / 1.2, 2)</f>
        <v>11217014.52</v>
      </c>
      <c r="AA825" s="9">
        <f>Y825+Z825</f>
        <v>16559672.039999999</v>
      </c>
      <c r="AD825" s="4">
        <v>295859957</v>
      </c>
      <c r="AE825" s="4">
        <v>22502087</v>
      </c>
      <c r="AG825" s="4" t="s">
        <v>1306</v>
      </c>
      <c r="AH825" s="4" t="s">
        <v>1307</v>
      </c>
      <c r="AI825" s="4" t="s">
        <v>467</v>
      </c>
    </row>
    <row r="826" spans="1:35" ht="18" x14ac:dyDescent="0.35">
      <c r="A826" s="51" t="s">
        <v>2245</v>
      </c>
      <c r="B826" s="51"/>
      <c r="C826" s="56" t="s">
        <v>1311</v>
      </c>
      <c r="D826" s="53"/>
      <c r="E826" s="53"/>
      <c r="F826" s="57" t="s">
        <v>498</v>
      </c>
      <c r="G826" s="58">
        <v>0.25</v>
      </c>
      <c r="H826" s="53"/>
      <c r="I826" s="62">
        <v>1002.45</v>
      </c>
      <c r="J826" s="59">
        <v>40.270000000000003</v>
      </c>
      <c r="K826" s="60"/>
      <c r="L826" s="60"/>
      <c r="M826" s="59">
        <f>ROUND(ROUND(J826, 2)*I826, 2)</f>
        <v>40368.660000000003</v>
      </c>
      <c r="N826" s="60"/>
      <c r="O826" s="60"/>
      <c r="P826" s="59">
        <v>40.270000000000003</v>
      </c>
      <c r="Q826" s="60"/>
      <c r="R826" s="60"/>
      <c r="S826" s="59">
        <f>ROUND(ROUND(P826, 2)*I826, 2)</f>
        <v>40368.660000000003</v>
      </c>
      <c r="T826" s="60"/>
      <c r="U826" s="61"/>
      <c r="V826" s="9">
        <f>ROUND(ROUND(P826, 2)/1.2, 2)</f>
        <v>33.56</v>
      </c>
      <c r="Y826" s="9">
        <f t="shared" si="139"/>
        <v>33640.550000000003</v>
      </c>
      <c r="AD826" s="4" t="s">
        <v>2246</v>
      </c>
      <c r="AE826" s="4" t="s">
        <v>2247</v>
      </c>
      <c r="AF826" s="4" t="s">
        <v>1314</v>
      </c>
    </row>
    <row r="827" spans="1:35" ht="36" x14ac:dyDescent="0.35">
      <c r="A827" s="51" t="s">
        <v>2248</v>
      </c>
      <c r="B827" s="51"/>
      <c r="C827" s="56" t="s">
        <v>758</v>
      </c>
      <c r="D827" s="53"/>
      <c r="E827" s="53"/>
      <c r="F827" s="57" t="s">
        <v>498</v>
      </c>
      <c r="G827" s="58">
        <v>0.15</v>
      </c>
      <c r="H827" s="53"/>
      <c r="I827" s="58">
        <v>601.47</v>
      </c>
      <c r="J827" s="59">
        <v>68.400000000000006</v>
      </c>
      <c r="K827" s="60"/>
      <c r="L827" s="60"/>
      <c r="M827" s="59">
        <f>ROUND(ROUND(J827, 2)*I827, 2)</f>
        <v>41140.550000000003</v>
      </c>
      <c r="N827" s="60"/>
      <c r="O827" s="60"/>
      <c r="P827" s="59">
        <v>68.400000000000006</v>
      </c>
      <c r="Q827" s="60"/>
      <c r="R827" s="60"/>
      <c r="S827" s="59">
        <f>ROUND(ROUND(P827, 2)*I827, 2)</f>
        <v>41140.550000000003</v>
      </c>
      <c r="T827" s="60"/>
      <c r="U827" s="61"/>
      <c r="V827" s="9">
        <f>ROUND(ROUND(P827, 2)/1.2, 2)</f>
        <v>57</v>
      </c>
      <c r="Y827" s="9">
        <f t="shared" si="139"/>
        <v>34283.79</v>
      </c>
      <c r="AD827" s="4" t="s">
        <v>2249</v>
      </c>
      <c r="AE827" s="4" t="s">
        <v>2250</v>
      </c>
      <c r="AF827" s="4" t="s">
        <v>761</v>
      </c>
    </row>
    <row r="828" spans="1:35" ht="36" x14ac:dyDescent="0.35">
      <c r="A828" s="51" t="s">
        <v>2251</v>
      </c>
      <c r="B828" s="51"/>
      <c r="C828" s="47" t="s">
        <v>1108</v>
      </c>
      <c r="D828" s="53"/>
      <c r="E828" s="53"/>
      <c r="F828" s="57" t="s">
        <v>498</v>
      </c>
      <c r="G828" s="58">
        <v>1.2</v>
      </c>
      <c r="H828" s="53"/>
      <c r="I828" s="62">
        <v>24058.799999999999</v>
      </c>
      <c r="J828" s="59">
        <v>16.11</v>
      </c>
      <c r="K828" s="60"/>
      <c r="L828" s="60"/>
      <c r="M828" s="59">
        <f>ROUND(ROUND(J828, 2)*I828, 2)</f>
        <v>387587.27</v>
      </c>
      <c r="N828" s="60"/>
      <c r="O828" s="60"/>
      <c r="P828" s="59">
        <v>16.11</v>
      </c>
      <c r="Q828" s="60"/>
      <c r="R828" s="60"/>
      <c r="S828" s="59">
        <f>ROUND(ROUND(P828, 2)*I828, 2)</f>
        <v>387587.27</v>
      </c>
      <c r="T828" s="60"/>
      <c r="U828" s="61"/>
      <c r="V828" s="9">
        <f>ROUND(ROUND(P828, 2)/1.2, 2)</f>
        <v>13.43</v>
      </c>
      <c r="Y828" s="9">
        <f t="shared" si="139"/>
        <v>322989.39</v>
      </c>
      <c r="AD828" s="4" t="s">
        <v>2252</v>
      </c>
      <c r="AE828" s="4" t="s">
        <v>2253</v>
      </c>
      <c r="AF828" s="4" t="s">
        <v>1111</v>
      </c>
    </row>
    <row r="829" spans="1:35" ht="72" x14ac:dyDescent="0.35">
      <c r="A829" s="51" t="s">
        <v>2254</v>
      </c>
      <c r="B829" s="51"/>
      <c r="C829" s="47" t="s">
        <v>1328</v>
      </c>
      <c r="D829" s="53"/>
      <c r="E829" s="53" t="s">
        <v>1333</v>
      </c>
      <c r="F829" s="57" t="s">
        <v>63</v>
      </c>
      <c r="G829" s="58">
        <v>1.07</v>
      </c>
      <c r="H829" s="53"/>
      <c r="I829" s="62">
        <v>4290.4859999999999</v>
      </c>
      <c r="J829" s="59">
        <v>1384.95</v>
      </c>
      <c r="K829" s="60"/>
      <c r="L829" s="60"/>
      <c r="M829" s="59">
        <f>ROUND(ROUND(J829, 2)*I829, 2)</f>
        <v>5942108.5899999999</v>
      </c>
      <c r="N829" s="60"/>
      <c r="O829" s="60"/>
      <c r="P829" s="59">
        <v>1384.95</v>
      </c>
      <c r="Q829" s="60"/>
      <c r="R829" s="60"/>
      <c r="S829" s="59">
        <f>ROUND(ROUND(P829, 2)*I829, 2)</f>
        <v>5942108.5899999999</v>
      </c>
      <c r="T829" s="60"/>
      <c r="U829" s="61"/>
      <c r="V829" s="9">
        <f>ROUND(ROUND(P829, 2)/1.2, 2)</f>
        <v>1154.1300000000001</v>
      </c>
      <c r="Y829" s="9">
        <f t="shared" si="139"/>
        <v>4951757.16</v>
      </c>
      <c r="AD829" s="4" t="s">
        <v>2255</v>
      </c>
      <c r="AE829" s="4" t="s">
        <v>2256</v>
      </c>
      <c r="AF829" s="4" t="s">
        <v>1331</v>
      </c>
    </row>
    <row r="830" spans="1:35" ht="17" customHeight="1" x14ac:dyDescent="0.35">
      <c r="A830" s="51" t="s">
        <v>2257</v>
      </c>
      <c r="B830" s="51" t="s">
        <v>1349</v>
      </c>
      <c r="C830" s="180" t="s">
        <v>1350</v>
      </c>
      <c r="D830" s="181"/>
      <c r="E830" s="181"/>
      <c r="F830" s="181"/>
      <c r="G830" s="181"/>
      <c r="H830" s="181"/>
      <c r="I830" s="182"/>
      <c r="J830" s="60"/>
      <c r="K830" s="60"/>
      <c r="L830" s="60"/>
      <c r="M830" s="63">
        <f>SUM(M831,M840)</f>
        <v>366557.24</v>
      </c>
      <c r="N830" s="63">
        <f>SUM(N831,N840)</f>
        <v>4135000.9</v>
      </c>
      <c r="O830" s="63">
        <f>SUM(O831,O840)</f>
        <v>4501558.1400000006</v>
      </c>
      <c r="P830" s="60"/>
      <c r="Q830" s="60"/>
      <c r="R830" s="60"/>
      <c r="S830" s="63">
        <f>SUM(S831,S840)</f>
        <v>366557.24</v>
      </c>
      <c r="T830" s="63">
        <f>SUM(T831,T840)</f>
        <v>5871701.2699999996</v>
      </c>
      <c r="U830" s="63">
        <f>SUM(U831,U840)</f>
        <v>6238258.5099999998</v>
      </c>
      <c r="Y830" s="9">
        <f>SUM(Y831,Y840)</f>
        <v>305464.37</v>
      </c>
      <c r="Z830" s="9">
        <f>SUM(Z831,Z840)</f>
        <v>4893084.4000000004</v>
      </c>
      <c r="AA830" s="9">
        <f>SUM(AA831,AA840)</f>
        <v>5198548.7699999996</v>
      </c>
      <c r="AD830" s="4">
        <v>295859958</v>
      </c>
      <c r="AE830" s="4">
        <v>22502019</v>
      </c>
    </row>
    <row r="831" spans="1:35" ht="17" customHeight="1" x14ac:dyDescent="0.35">
      <c r="A831" s="51" t="s">
        <v>2258</v>
      </c>
      <c r="B831" s="51" t="s">
        <v>1352</v>
      </c>
      <c r="C831" s="180" t="s">
        <v>1353</v>
      </c>
      <c r="D831" s="181"/>
      <c r="E831" s="181"/>
      <c r="F831" s="181"/>
      <c r="G831" s="181"/>
      <c r="H831" s="181"/>
      <c r="I831" s="182"/>
      <c r="J831" s="60"/>
      <c r="K831" s="60"/>
      <c r="L831" s="60"/>
      <c r="M831" s="63">
        <f>SUM(M832,M837)</f>
        <v>308123.73</v>
      </c>
      <c r="N831" s="63">
        <f>SUM(N832,N837)</f>
        <v>2099479.2999999998</v>
      </c>
      <c r="O831" s="63">
        <f>SUM(O832,O837)</f>
        <v>2407603.0300000003</v>
      </c>
      <c r="P831" s="60"/>
      <c r="Q831" s="60"/>
      <c r="R831" s="60"/>
      <c r="S831" s="63">
        <f>SUM(S832,S837)</f>
        <v>308123.73</v>
      </c>
      <c r="T831" s="63">
        <f>SUM(T832,T837)</f>
        <v>2981260.5999999996</v>
      </c>
      <c r="U831" s="63">
        <f>SUM(U832,U837)</f>
        <v>3289384.33</v>
      </c>
      <c r="Y831" s="9">
        <f>SUM(Y832,Y837)</f>
        <v>256769.77999999997</v>
      </c>
      <c r="Z831" s="9">
        <f>SUM(Z832,Z837)</f>
        <v>2484383.84</v>
      </c>
      <c r="AA831" s="9">
        <f>SUM(AA832,AA837)</f>
        <v>2741153.62</v>
      </c>
      <c r="AD831" s="4">
        <v>295859959</v>
      </c>
      <c r="AE831" s="4">
        <v>22502039</v>
      </c>
    </row>
    <row r="832" spans="1:35" ht="72" x14ac:dyDescent="0.35">
      <c r="A832" s="51" t="s">
        <v>2259</v>
      </c>
      <c r="B832" s="51" t="s">
        <v>1355</v>
      </c>
      <c r="C832" s="52" t="s">
        <v>1356</v>
      </c>
      <c r="D832" s="53"/>
      <c r="E832" s="53" t="s">
        <v>1360</v>
      </c>
      <c r="F832" s="53" t="s">
        <v>63</v>
      </c>
      <c r="G832" s="54">
        <v>1</v>
      </c>
      <c r="H832" s="53"/>
      <c r="I832" s="54">
        <v>1500.7</v>
      </c>
      <c r="J832" s="55">
        <f>IFERROR(ROUND(SUM(M833,M834,M835,M836)/I832, 2),0)</f>
        <v>170.27</v>
      </c>
      <c r="K832" s="55">
        <v>853</v>
      </c>
      <c r="L832" s="55">
        <f>J832+ROUND(K832, 2)</f>
        <v>1023.27</v>
      </c>
      <c r="M832" s="55">
        <f>ROUND(J832*I832, 2)</f>
        <v>255524.19</v>
      </c>
      <c r="N832" s="55">
        <f>ROUND(I832*ROUND(K832, 2), 2)</f>
        <v>1280097.1000000001</v>
      </c>
      <c r="O832" s="55">
        <f>M832+N832</f>
        <v>1535621.29</v>
      </c>
      <c r="P832" s="55">
        <f>IFERROR(ROUND(SUM(S833,S834,S835,S836)/I832, 2),0)</f>
        <v>170.27</v>
      </c>
      <c r="Q832" s="55">
        <v>1211.26</v>
      </c>
      <c r="R832" s="55">
        <f>P832+ROUND(Q832, 2)</f>
        <v>1381.53</v>
      </c>
      <c r="S832" s="55">
        <f>ROUND(P832*I832, 2)</f>
        <v>255524.19</v>
      </c>
      <c r="T832" s="55">
        <f>ROUND(I832*ROUND(Q832, 2), 2)</f>
        <v>1817737.88</v>
      </c>
      <c r="U832" s="55">
        <f>S832+T832</f>
        <v>2073262.0699999998</v>
      </c>
      <c r="V832" s="9">
        <f>ROUND(P832 / 1.2, 2)</f>
        <v>141.88999999999999</v>
      </c>
      <c r="W832" s="9">
        <f>ROUND(Q832 / 1.2, 2)</f>
        <v>1009.38</v>
      </c>
      <c r="X832" s="9">
        <f>ROUND(R832 / 1.2, 2)</f>
        <v>1151.28</v>
      </c>
      <c r="Y832" s="9">
        <f>ROUND(S832 / 1.2, 2)</f>
        <v>212936.83</v>
      </c>
      <c r="Z832" s="9">
        <f>ROUND(T832 / 1.2, 2)</f>
        <v>1514781.57</v>
      </c>
      <c r="AA832" s="9">
        <f>Y832+Z832</f>
        <v>1727718.4000000001</v>
      </c>
      <c r="AD832" s="4">
        <v>295859961</v>
      </c>
      <c r="AE832" s="4">
        <v>22502073</v>
      </c>
      <c r="AG832" s="4" t="s">
        <v>1357</v>
      </c>
      <c r="AH832" s="4" t="s">
        <v>1358</v>
      </c>
      <c r="AI832" s="4" t="s">
        <v>467</v>
      </c>
    </row>
    <row r="833" spans="1:35" ht="18" x14ac:dyDescent="0.35">
      <c r="A833" s="51" t="s">
        <v>2260</v>
      </c>
      <c r="B833" s="51"/>
      <c r="C833" s="56" t="s">
        <v>1196</v>
      </c>
      <c r="D833" s="53"/>
      <c r="E833" s="53"/>
      <c r="F833" s="57" t="s">
        <v>498</v>
      </c>
      <c r="G833" s="58">
        <v>1.3</v>
      </c>
      <c r="H833" s="53"/>
      <c r="I833" s="62">
        <v>19509.099999999999</v>
      </c>
      <c r="J833" s="59">
        <v>8.6</v>
      </c>
      <c r="K833" s="60"/>
      <c r="L833" s="60"/>
      <c r="M833" s="59">
        <f>ROUND(ROUND(J833, 2)*I833, 2)</f>
        <v>167778.26</v>
      </c>
      <c r="N833" s="60"/>
      <c r="O833" s="60"/>
      <c r="P833" s="59">
        <v>8.6</v>
      </c>
      <c r="Q833" s="60"/>
      <c r="R833" s="60"/>
      <c r="S833" s="59">
        <f>ROUND(ROUND(P833, 2)*I833, 2)</f>
        <v>167778.26</v>
      </c>
      <c r="T833" s="60"/>
      <c r="U833" s="61"/>
      <c r="V833" s="9">
        <f>ROUND(ROUND(P833, 2)/1.2, 2)</f>
        <v>7.17</v>
      </c>
      <c r="Y833" s="9">
        <f t="shared" ref="Y833:Y839" si="140">ROUND(S833 / 1.2, 2)</f>
        <v>139815.22</v>
      </c>
      <c r="AD833" s="4" t="s">
        <v>2261</v>
      </c>
      <c r="AE833" s="4" t="s">
        <v>2262</v>
      </c>
      <c r="AF833" s="4" t="s">
        <v>1199</v>
      </c>
    </row>
    <row r="834" spans="1:35" ht="18" x14ac:dyDescent="0.35">
      <c r="A834" s="51" t="s">
        <v>2263</v>
      </c>
      <c r="B834" s="51"/>
      <c r="C834" s="56" t="s">
        <v>1203</v>
      </c>
      <c r="D834" s="53"/>
      <c r="E834" s="53"/>
      <c r="F834" s="57" t="s">
        <v>63</v>
      </c>
      <c r="G834" s="58">
        <v>1.1000000000000001</v>
      </c>
      <c r="H834" s="53"/>
      <c r="I834" s="62">
        <v>1650.77</v>
      </c>
      <c r="J834" s="59">
        <v>26</v>
      </c>
      <c r="K834" s="60"/>
      <c r="L834" s="60"/>
      <c r="M834" s="59">
        <f>ROUND(ROUND(J834, 2)*I834, 2)</f>
        <v>42920.02</v>
      </c>
      <c r="N834" s="60"/>
      <c r="O834" s="60"/>
      <c r="P834" s="59">
        <v>26</v>
      </c>
      <c r="Q834" s="60"/>
      <c r="R834" s="60"/>
      <c r="S834" s="59">
        <f>ROUND(ROUND(P834, 2)*I834, 2)</f>
        <v>42920.02</v>
      </c>
      <c r="T834" s="60"/>
      <c r="U834" s="61"/>
      <c r="V834" s="9">
        <f>ROUND(ROUND(P834, 2)/1.2, 2)</f>
        <v>21.67</v>
      </c>
      <c r="Y834" s="9">
        <f t="shared" si="140"/>
        <v>35766.68</v>
      </c>
      <c r="AD834" s="4" t="s">
        <v>2264</v>
      </c>
      <c r="AE834" s="4" t="s">
        <v>2265</v>
      </c>
      <c r="AF834" s="4" t="s">
        <v>1206</v>
      </c>
    </row>
    <row r="835" spans="1:35" ht="18" x14ac:dyDescent="0.35">
      <c r="A835" s="51" t="s">
        <v>2266</v>
      </c>
      <c r="B835" s="51"/>
      <c r="C835" s="56" t="s">
        <v>1210</v>
      </c>
      <c r="D835" s="53"/>
      <c r="E835" s="53"/>
      <c r="F835" s="57" t="s">
        <v>78</v>
      </c>
      <c r="G835" s="58">
        <v>1.05</v>
      </c>
      <c r="H835" s="53"/>
      <c r="I835" s="62">
        <v>1575.7349999999999</v>
      </c>
      <c r="J835" s="59">
        <v>15.76</v>
      </c>
      <c r="K835" s="60"/>
      <c r="L835" s="60"/>
      <c r="M835" s="59">
        <f>ROUND(ROUND(J835, 2)*I835, 2)</f>
        <v>24833.58</v>
      </c>
      <c r="N835" s="60"/>
      <c r="O835" s="60"/>
      <c r="P835" s="59">
        <v>15.76</v>
      </c>
      <c r="Q835" s="60"/>
      <c r="R835" s="60"/>
      <c r="S835" s="59">
        <f>ROUND(ROUND(P835, 2)*I835, 2)</f>
        <v>24833.58</v>
      </c>
      <c r="T835" s="60"/>
      <c r="U835" s="61"/>
      <c r="V835" s="9">
        <f>ROUND(ROUND(P835, 2)/1.2, 2)</f>
        <v>13.13</v>
      </c>
      <c r="Y835" s="9">
        <f t="shared" si="140"/>
        <v>20694.650000000001</v>
      </c>
      <c r="AD835" s="4" t="s">
        <v>2267</v>
      </c>
      <c r="AE835" s="4" t="s">
        <v>2268</v>
      </c>
      <c r="AF835" s="4" t="s">
        <v>1213</v>
      </c>
    </row>
    <row r="836" spans="1:35" ht="36" x14ac:dyDescent="0.35">
      <c r="A836" s="51" t="s">
        <v>2269</v>
      </c>
      <c r="B836" s="51"/>
      <c r="C836" s="56" t="s">
        <v>544</v>
      </c>
      <c r="D836" s="53"/>
      <c r="E836" s="53"/>
      <c r="F836" s="57" t="s">
        <v>498</v>
      </c>
      <c r="G836" s="58">
        <v>0.15</v>
      </c>
      <c r="H836" s="53"/>
      <c r="I836" s="58">
        <v>225.10499999999999</v>
      </c>
      <c r="J836" s="59">
        <v>88.8</v>
      </c>
      <c r="K836" s="60"/>
      <c r="L836" s="60"/>
      <c r="M836" s="59">
        <f>ROUND(ROUND(J836, 2)*I836, 2)</f>
        <v>19989.32</v>
      </c>
      <c r="N836" s="60"/>
      <c r="O836" s="60"/>
      <c r="P836" s="59">
        <v>88.8</v>
      </c>
      <c r="Q836" s="60"/>
      <c r="R836" s="60"/>
      <c r="S836" s="59">
        <f>ROUND(ROUND(P836, 2)*I836, 2)</f>
        <v>19989.32</v>
      </c>
      <c r="T836" s="60"/>
      <c r="U836" s="61"/>
      <c r="V836" s="9">
        <f>ROUND(ROUND(P836, 2)/1.2, 2)</f>
        <v>74</v>
      </c>
      <c r="Y836" s="9">
        <f t="shared" si="140"/>
        <v>16657.77</v>
      </c>
      <c r="AD836" s="4" t="s">
        <v>2270</v>
      </c>
      <c r="AE836" s="4" t="s">
        <v>2271</v>
      </c>
      <c r="AF836" s="4" t="s">
        <v>547</v>
      </c>
    </row>
    <row r="837" spans="1:35" ht="36" x14ac:dyDescent="0.35">
      <c r="A837" s="51" t="s">
        <v>2272</v>
      </c>
      <c r="B837" s="51" t="s">
        <v>1395</v>
      </c>
      <c r="C837" s="52" t="s">
        <v>1396</v>
      </c>
      <c r="D837" s="53"/>
      <c r="E837" s="53" t="s">
        <v>1360</v>
      </c>
      <c r="F837" s="53" t="s">
        <v>63</v>
      </c>
      <c r="G837" s="54">
        <v>1</v>
      </c>
      <c r="H837" s="53"/>
      <c r="I837" s="54">
        <v>1500.7</v>
      </c>
      <c r="J837" s="55">
        <f>IFERROR(ROUND(SUM(M838,M839)/I837, 2),0)</f>
        <v>35.049999999999997</v>
      </c>
      <c r="K837" s="55">
        <v>546</v>
      </c>
      <c r="L837" s="55">
        <f>J837+ROUND(K837, 2)</f>
        <v>581.04999999999995</v>
      </c>
      <c r="M837" s="55">
        <f>ROUND(J837*I837, 2)</f>
        <v>52599.54</v>
      </c>
      <c r="N837" s="55">
        <f>ROUND(I837*ROUND(K837, 2), 2)</f>
        <v>819382.2</v>
      </c>
      <c r="O837" s="55">
        <f>M837+N837</f>
        <v>871981.74</v>
      </c>
      <c r="P837" s="55">
        <f>IFERROR(ROUND(SUM(S838,S839)/I837, 2),0)</f>
        <v>35.049999999999997</v>
      </c>
      <c r="Q837" s="55">
        <v>775.32</v>
      </c>
      <c r="R837" s="55">
        <f>P837+ROUND(Q837, 2)</f>
        <v>810.37</v>
      </c>
      <c r="S837" s="55">
        <f>ROUND(P837*I837, 2)</f>
        <v>52599.54</v>
      </c>
      <c r="T837" s="55">
        <f>ROUND(I837*ROUND(Q837, 2), 2)</f>
        <v>1163522.72</v>
      </c>
      <c r="U837" s="55">
        <f>S837+T837</f>
        <v>1216122.26</v>
      </c>
      <c r="V837" s="9">
        <f>ROUND(P837 / 1.2, 2)</f>
        <v>29.21</v>
      </c>
      <c r="W837" s="9">
        <f>ROUND(Q837 / 1.2, 2)</f>
        <v>646.1</v>
      </c>
      <c r="X837" s="9">
        <f>ROUND(R837 / 1.2, 2)</f>
        <v>675.31</v>
      </c>
      <c r="Y837" s="9">
        <f t="shared" si="140"/>
        <v>43832.95</v>
      </c>
      <c r="Z837" s="9">
        <f>ROUND(T837 / 1.2, 2)</f>
        <v>969602.27</v>
      </c>
      <c r="AA837" s="9">
        <f>Y837+Z837</f>
        <v>1013435.22</v>
      </c>
      <c r="AD837" s="4">
        <v>295859963</v>
      </c>
      <c r="AE837" s="4">
        <v>22502072</v>
      </c>
      <c r="AG837" s="4" t="s">
        <v>1397</v>
      </c>
      <c r="AH837" s="4" t="s">
        <v>1398</v>
      </c>
      <c r="AI837" s="4" t="s">
        <v>467</v>
      </c>
    </row>
    <row r="838" spans="1:35" ht="54" x14ac:dyDescent="0.35">
      <c r="A838" s="51" t="s">
        <v>2273</v>
      </c>
      <c r="B838" s="51"/>
      <c r="C838" s="47" t="s">
        <v>1401</v>
      </c>
      <c r="D838" s="53"/>
      <c r="E838" s="53"/>
      <c r="F838" s="57" t="s">
        <v>498</v>
      </c>
      <c r="G838" s="58">
        <v>1.8</v>
      </c>
      <c r="H838" s="53"/>
      <c r="I838" s="58">
        <v>2701.26</v>
      </c>
      <c r="J838" s="59">
        <v>12.07</v>
      </c>
      <c r="K838" s="60"/>
      <c r="L838" s="60"/>
      <c r="M838" s="59">
        <f>ROUND(ROUND(J838, 2)*I838, 2)</f>
        <v>32604.21</v>
      </c>
      <c r="N838" s="60"/>
      <c r="O838" s="60"/>
      <c r="P838" s="59">
        <v>12.07</v>
      </c>
      <c r="Q838" s="60"/>
      <c r="R838" s="60"/>
      <c r="S838" s="59">
        <f>ROUND(ROUND(P838, 2)*I838, 2)</f>
        <v>32604.21</v>
      </c>
      <c r="T838" s="60"/>
      <c r="U838" s="61"/>
      <c r="V838" s="9">
        <f>ROUND(ROUND(P838, 2)/1.2, 2)</f>
        <v>10.06</v>
      </c>
      <c r="Y838" s="9">
        <f t="shared" si="140"/>
        <v>27170.18</v>
      </c>
      <c r="AD838" s="4" t="s">
        <v>2274</v>
      </c>
      <c r="AE838" s="4" t="s">
        <v>2275</v>
      </c>
      <c r="AF838" s="4" t="s">
        <v>1404</v>
      </c>
    </row>
    <row r="839" spans="1:35" ht="36" x14ac:dyDescent="0.35">
      <c r="A839" s="51" t="s">
        <v>2276</v>
      </c>
      <c r="B839" s="51"/>
      <c r="C839" s="56" t="s">
        <v>544</v>
      </c>
      <c r="D839" s="53"/>
      <c r="E839" s="53"/>
      <c r="F839" s="57" t="s">
        <v>498</v>
      </c>
      <c r="G839" s="58">
        <v>0.15</v>
      </c>
      <c r="H839" s="53"/>
      <c r="I839" s="58">
        <v>225.10499999999999</v>
      </c>
      <c r="J839" s="59">
        <v>88.8</v>
      </c>
      <c r="K839" s="60"/>
      <c r="L839" s="60"/>
      <c r="M839" s="59">
        <f>ROUND(ROUND(J839, 2)*I839, 2)</f>
        <v>19989.32</v>
      </c>
      <c r="N839" s="60"/>
      <c r="O839" s="60"/>
      <c r="P839" s="59">
        <v>88.8</v>
      </c>
      <c r="Q839" s="60"/>
      <c r="R839" s="60"/>
      <c r="S839" s="59">
        <f>ROUND(ROUND(P839, 2)*I839, 2)</f>
        <v>19989.32</v>
      </c>
      <c r="T839" s="60"/>
      <c r="U839" s="61"/>
      <c r="V839" s="9">
        <f>ROUND(ROUND(P839, 2)/1.2, 2)</f>
        <v>74</v>
      </c>
      <c r="Y839" s="9">
        <f t="shared" si="140"/>
        <v>16657.77</v>
      </c>
      <c r="AD839" s="4" t="s">
        <v>2277</v>
      </c>
      <c r="AE839" s="4" t="s">
        <v>2278</v>
      </c>
      <c r="AF839" s="4" t="s">
        <v>547</v>
      </c>
    </row>
    <row r="840" spans="1:35" ht="17" customHeight="1" x14ac:dyDescent="0.35">
      <c r="A840" s="51" t="s">
        <v>2279</v>
      </c>
      <c r="B840" s="51" t="s">
        <v>1420</v>
      </c>
      <c r="C840" s="180" t="s">
        <v>1421</v>
      </c>
      <c r="D840" s="181"/>
      <c r="E840" s="181"/>
      <c r="F840" s="181"/>
      <c r="G840" s="181"/>
      <c r="H840" s="181"/>
      <c r="I840" s="182"/>
      <c r="J840" s="60"/>
      <c r="K840" s="60"/>
      <c r="L840" s="60"/>
      <c r="M840" s="63">
        <f>SUM(M841,M844,M847,M850)</f>
        <v>58433.51</v>
      </c>
      <c r="N840" s="63">
        <f>SUM(N841,N844,N847,N850)</f>
        <v>2035521.6</v>
      </c>
      <c r="O840" s="63">
        <f>SUM(O841,O844,O847,O850)</f>
        <v>2093955.1099999999</v>
      </c>
      <c r="P840" s="60"/>
      <c r="Q840" s="60"/>
      <c r="R840" s="60"/>
      <c r="S840" s="63">
        <f>SUM(S841,S844,S847,S850)</f>
        <v>58433.51</v>
      </c>
      <c r="T840" s="63">
        <f>SUM(T841,T844,T847,T850)</f>
        <v>2890440.67</v>
      </c>
      <c r="U840" s="63">
        <f>SUM(U841,U844,U847,U850)</f>
        <v>2948874.18</v>
      </c>
      <c r="Y840" s="9">
        <f>SUM(Y841,Y844,Y847,Y850)</f>
        <v>48694.59</v>
      </c>
      <c r="Z840" s="9">
        <f>SUM(Z841,Z844,Z847,Z850)</f>
        <v>2408700.56</v>
      </c>
      <c r="AA840" s="9">
        <f>SUM(AA841,AA844,AA847,AA850)</f>
        <v>2457395.15</v>
      </c>
      <c r="AD840" s="4">
        <v>295859964</v>
      </c>
      <c r="AE840" s="4">
        <v>22502044</v>
      </c>
    </row>
    <row r="841" spans="1:35" ht="36" x14ac:dyDescent="0.35">
      <c r="A841" s="51" t="s">
        <v>2280</v>
      </c>
      <c r="B841" s="51" t="s">
        <v>1423</v>
      </c>
      <c r="C841" s="52" t="s">
        <v>1424</v>
      </c>
      <c r="D841" s="53"/>
      <c r="E841" s="53" t="s">
        <v>1428</v>
      </c>
      <c r="F841" s="53" t="s">
        <v>63</v>
      </c>
      <c r="G841" s="54">
        <v>1</v>
      </c>
      <c r="H841" s="53"/>
      <c r="I841" s="54">
        <v>2326.3000000000002</v>
      </c>
      <c r="J841" s="55">
        <f>IFERROR(ROUND(SUM(M842,M843)/I841, 2),0)</f>
        <v>13.32</v>
      </c>
      <c r="K841" s="55">
        <v>464</v>
      </c>
      <c r="L841" s="55">
        <f>J841+ROUND(K841, 2)</f>
        <v>477.32</v>
      </c>
      <c r="M841" s="55">
        <f>ROUND(J841*I841, 2)</f>
        <v>30986.32</v>
      </c>
      <c r="N841" s="55">
        <f>ROUND(I841*ROUND(K841, 2), 2)</f>
        <v>1079403.2</v>
      </c>
      <c r="O841" s="55">
        <f>M841+N841</f>
        <v>1110389.52</v>
      </c>
      <c r="P841" s="55">
        <f>IFERROR(ROUND(SUM(S842,S843)/I841, 2),0)</f>
        <v>13.32</v>
      </c>
      <c r="Q841" s="55">
        <v>658.88</v>
      </c>
      <c r="R841" s="55">
        <f>P841+ROUND(Q841, 2)</f>
        <v>672.2</v>
      </c>
      <c r="S841" s="55">
        <f>ROUND(P841*I841, 2)</f>
        <v>30986.32</v>
      </c>
      <c r="T841" s="55">
        <f>ROUND(I841*ROUND(Q841, 2), 2)</f>
        <v>1532752.54</v>
      </c>
      <c r="U841" s="55">
        <f>S841+T841</f>
        <v>1563738.86</v>
      </c>
      <c r="V841" s="9">
        <f>ROUND(P841 / 1.2, 2)</f>
        <v>11.1</v>
      </c>
      <c r="W841" s="9">
        <f>ROUND(Q841 / 1.2, 2)</f>
        <v>549.07000000000005</v>
      </c>
      <c r="X841" s="9">
        <f>ROUND(R841 / 1.2, 2)</f>
        <v>560.16999999999996</v>
      </c>
      <c r="Y841" s="9">
        <f>ROUND(S841 / 1.2, 2)</f>
        <v>25821.93</v>
      </c>
      <c r="Z841" s="9">
        <f>ROUND(T841 / 1.2, 2)</f>
        <v>1277293.78</v>
      </c>
      <c r="AA841" s="9">
        <f>Y841+Z841</f>
        <v>1303115.71</v>
      </c>
      <c r="AD841" s="4">
        <v>295859966</v>
      </c>
      <c r="AE841" s="4">
        <v>22502067</v>
      </c>
      <c r="AG841" s="4" t="s">
        <v>1425</v>
      </c>
      <c r="AH841" s="4" t="s">
        <v>1426</v>
      </c>
      <c r="AI841" s="4" t="s">
        <v>467</v>
      </c>
    </row>
    <row r="842" spans="1:35" ht="162" x14ac:dyDescent="0.35">
      <c r="A842" s="51" t="s">
        <v>2281</v>
      </c>
      <c r="B842" s="51"/>
      <c r="C842" s="56" t="s">
        <v>1430</v>
      </c>
      <c r="D842" s="53"/>
      <c r="E842" s="53" t="s">
        <v>1435</v>
      </c>
      <c r="F842" s="57" t="s">
        <v>498</v>
      </c>
      <c r="G842" s="58">
        <v>0.4</v>
      </c>
      <c r="H842" s="53"/>
      <c r="I842" s="58">
        <v>930.52</v>
      </c>
      <c r="J842" s="59">
        <v>0</v>
      </c>
      <c r="K842" s="60"/>
      <c r="L842" s="60"/>
      <c r="M842" s="59">
        <f>ROUND(ROUND(J842, 2)*I842, 2)</f>
        <v>0</v>
      </c>
      <c r="N842" s="60"/>
      <c r="O842" s="60"/>
      <c r="P842" s="59">
        <v>0</v>
      </c>
      <c r="Q842" s="60"/>
      <c r="R842" s="60"/>
      <c r="S842" s="59">
        <f>ROUND(ROUND(P842, 2)*I842, 2)</f>
        <v>0</v>
      </c>
      <c r="T842" s="60"/>
      <c r="U842" s="61"/>
      <c r="V842" s="9">
        <f>ROUND(ROUND(P842, 2)/1.2, 2)</f>
        <v>0</v>
      </c>
      <c r="Y842" s="9">
        <f t="shared" ref="Y842:Y852" si="141">ROUND(S842 / 1.2, 2)</f>
        <v>0</v>
      </c>
      <c r="AD842" s="4" t="s">
        <v>2282</v>
      </c>
      <c r="AE842" s="4" t="s">
        <v>2283</v>
      </c>
      <c r="AF842" s="4" t="s">
        <v>1433</v>
      </c>
    </row>
    <row r="843" spans="1:35" ht="36" x14ac:dyDescent="0.35">
      <c r="A843" s="51" t="s">
        <v>2284</v>
      </c>
      <c r="B843" s="51"/>
      <c r="C843" s="56" t="s">
        <v>925</v>
      </c>
      <c r="D843" s="53"/>
      <c r="E843" s="53"/>
      <c r="F843" s="57" t="s">
        <v>498</v>
      </c>
      <c r="G843" s="58">
        <v>0.15</v>
      </c>
      <c r="H843" s="53"/>
      <c r="I843" s="58">
        <v>348.94499999999999</v>
      </c>
      <c r="J843" s="59">
        <v>88.8</v>
      </c>
      <c r="K843" s="60"/>
      <c r="L843" s="60"/>
      <c r="M843" s="59">
        <f>ROUND(ROUND(J843, 2)*I843, 2)</f>
        <v>30986.32</v>
      </c>
      <c r="N843" s="60"/>
      <c r="O843" s="60"/>
      <c r="P843" s="59">
        <v>88.8</v>
      </c>
      <c r="Q843" s="60"/>
      <c r="R843" s="60"/>
      <c r="S843" s="59">
        <f>ROUND(ROUND(P843, 2)*I843, 2)</f>
        <v>30986.32</v>
      </c>
      <c r="T843" s="60"/>
      <c r="U843" s="61"/>
      <c r="V843" s="9">
        <f>ROUND(ROUND(P843, 2)/1.2, 2)</f>
        <v>74</v>
      </c>
      <c r="Y843" s="9">
        <f t="shared" si="141"/>
        <v>25821.93</v>
      </c>
      <c r="AD843" s="4" t="s">
        <v>2285</v>
      </c>
      <c r="AE843" s="4" t="s">
        <v>2286</v>
      </c>
      <c r="AF843" s="4" t="s">
        <v>928</v>
      </c>
    </row>
    <row r="844" spans="1:35" ht="36" x14ac:dyDescent="0.35">
      <c r="A844" s="51" t="s">
        <v>2287</v>
      </c>
      <c r="B844" s="51" t="s">
        <v>1423</v>
      </c>
      <c r="C844" s="52" t="s">
        <v>1424</v>
      </c>
      <c r="D844" s="53"/>
      <c r="E844" s="53" t="s">
        <v>1472</v>
      </c>
      <c r="F844" s="53" t="s">
        <v>63</v>
      </c>
      <c r="G844" s="54">
        <v>1</v>
      </c>
      <c r="H844" s="53"/>
      <c r="I844" s="54">
        <v>932.2</v>
      </c>
      <c r="J844" s="55">
        <f>IFERROR(ROUND(SUM(M845,M846)/I844, 2),0)</f>
        <v>13.32</v>
      </c>
      <c r="K844" s="55">
        <v>464</v>
      </c>
      <c r="L844" s="55">
        <f>J844+ROUND(K844, 2)</f>
        <v>477.32</v>
      </c>
      <c r="M844" s="55">
        <f>ROUND(J844*I844, 2)</f>
        <v>12416.9</v>
      </c>
      <c r="N844" s="55">
        <f>ROUND(I844*ROUND(K844, 2), 2)</f>
        <v>432540.8</v>
      </c>
      <c r="O844" s="55">
        <f>M844+N844</f>
        <v>444957.7</v>
      </c>
      <c r="P844" s="55">
        <f>IFERROR(ROUND(SUM(S845,S846)/I844, 2),0)</f>
        <v>13.32</v>
      </c>
      <c r="Q844" s="55">
        <v>658.88</v>
      </c>
      <c r="R844" s="55">
        <f>P844+ROUND(Q844, 2)</f>
        <v>672.2</v>
      </c>
      <c r="S844" s="55">
        <f>ROUND(P844*I844, 2)</f>
        <v>12416.9</v>
      </c>
      <c r="T844" s="55">
        <f>ROUND(I844*ROUND(Q844, 2), 2)</f>
        <v>614207.93999999994</v>
      </c>
      <c r="U844" s="55">
        <f>S844+T844</f>
        <v>626624.84</v>
      </c>
      <c r="V844" s="9">
        <f>ROUND(P844 / 1.2, 2)</f>
        <v>11.1</v>
      </c>
      <c r="W844" s="9">
        <f>ROUND(Q844 / 1.2, 2)</f>
        <v>549.07000000000005</v>
      </c>
      <c r="X844" s="9">
        <f>ROUND(R844 / 1.2, 2)</f>
        <v>560.16999999999996</v>
      </c>
      <c r="Y844" s="9">
        <f t="shared" si="141"/>
        <v>10347.42</v>
      </c>
      <c r="Z844" s="9">
        <f>ROUND(T844 / 1.2, 2)</f>
        <v>511839.95</v>
      </c>
      <c r="AA844" s="9">
        <f>Y844+Z844</f>
        <v>522187.37</v>
      </c>
      <c r="AD844" s="4">
        <v>295859996</v>
      </c>
      <c r="AE844" s="4">
        <v>22502075</v>
      </c>
      <c r="AG844" s="4" t="s">
        <v>1425</v>
      </c>
      <c r="AH844" s="4" t="s">
        <v>1426</v>
      </c>
      <c r="AI844" s="4" t="s">
        <v>467</v>
      </c>
    </row>
    <row r="845" spans="1:35" ht="36" x14ac:dyDescent="0.35">
      <c r="A845" s="51" t="s">
        <v>2288</v>
      </c>
      <c r="B845" s="51"/>
      <c r="C845" s="56" t="s">
        <v>925</v>
      </c>
      <c r="D845" s="53"/>
      <c r="E845" s="53"/>
      <c r="F845" s="57" t="s">
        <v>498</v>
      </c>
      <c r="G845" s="58">
        <v>0.15</v>
      </c>
      <c r="H845" s="53"/>
      <c r="I845" s="58">
        <v>139.83000000000001</v>
      </c>
      <c r="J845" s="59">
        <v>88.8</v>
      </c>
      <c r="K845" s="60"/>
      <c r="L845" s="60"/>
      <c r="M845" s="59">
        <f>ROUND(ROUND(J845, 2)*I845, 2)</f>
        <v>12416.9</v>
      </c>
      <c r="N845" s="60"/>
      <c r="O845" s="60"/>
      <c r="P845" s="59">
        <v>88.8</v>
      </c>
      <c r="Q845" s="60"/>
      <c r="R845" s="60"/>
      <c r="S845" s="59">
        <f>ROUND(ROUND(P845, 2)*I845, 2)</f>
        <v>12416.9</v>
      </c>
      <c r="T845" s="60"/>
      <c r="U845" s="61"/>
      <c r="V845" s="9">
        <f>ROUND(ROUND(P845, 2)/1.2, 2)</f>
        <v>74</v>
      </c>
      <c r="Y845" s="9">
        <f t="shared" si="141"/>
        <v>10347.42</v>
      </c>
      <c r="AD845" s="4" t="s">
        <v>2289</v>
      </c>
      <c r="AE845" s="4" t="s">
        <v>2290</v>
      </c>
      <c r="AF845" s="4" t="s">
        <v>928</v>
      </c>
    </row>
    <row r="846" spans="1:35" ht="90" x14ac:dyDescent="0.35">
      <c r="A846" s="51" t="s">
        <v>2291</v>
      </c>
      <c r="B846" s="51"/>
      <c r="C846" s="56" t="s">
        <v>1430</v>
      </c>
      <c r="D846" s="53"/>
      <c r="E846" s="53" t="s">
        <v>1482</v>
      </c>
      <c r="F846" s="57" t="s">
        <v>498</v>
      </c>
      <c r="G846" s="58">
        <v>0.4</v>
      </c>
      <c r="H846" s="53"/>
      <c r="I846" s="58">
        <v>372.88</v>
      </c>
      <c r="J846" s="59">
        <v>0</v>
      </c>
      <c r="K846" s="60"/>
      <c r="L846" s="60"/>
      <c r="M846" s="59">
        <f>ROUND(ROUND(J846, 2)*I846, 2)</f>
        <v>0</v>
      </c>
      <c r="N846" s="60"/>
      <c r="O846" s="60"/>
      <c r="P846" s="59">
        <v>0</v>
      </c>
      <c r="Q846" s="60"/>
      <c r="R846" s="60"/>
      <c r="S846" s="59">
        <f>ROUND(ROUND(P846, 2)*I846, 2)</f>
        <v>0</v>
      </c>
      <c r="T846" s="60"/>
      <c r="U846" s="61"/>
      <c r="V846" s="9">
        <f>ROUND(ROUND(P846, 2)/1.2, 2)</f>
        <v>0</v>
      </c>
      <c r="Y846" s="9">
        <f t="shared" si="141"/>
        <v>0</v>
      </c>
      <c r="AD846" s="4" t="s">
        <v>2292</v>
      </c>
      <c r="AE846" s="4" t="s">
        <v>2293</v>
      </c>
      <c r="AF846" s="4" t="s">
        <v>1433</v>
      </c>
    </row>
    <row r="847" spans="1:35" ht="36" x14ac:dyDescent="0.35">
      <c r="A847" s="51" t="s">
        <v>2294</v>
      </c>
      <c r="B847" s="51" t="s">
        <v>1423</v>
      </c>
      <c r="C847" s="52" t="s">
        <v>1424</v>
      </c>
      <c r="D847" s="53"/>
      <c r="E847" s="53" t="s">
        <v>1458</v>
      </c>
      <c r="F847" s="53" t="s">
        <v>63</v>
      </c>
      <c r="G847" s="54">
        <v>1</v>
      </c>
      <c r="H847" s="53"/>
      <c r="I847" s="54">
        <v>568.5</v>
      </c>
      <c r="J847" s="55">
        <f>IFERROR(ROUND(SUM(M848,M849)/I847, 2),0)</f>
        <v>13.32</v>
      </c>
      <c r="K847" s="55">
        <v>464</v>
      </c>
      <c r="L847" s="55">
        <f>J847+ROUND(K847, 2)</f>
        <v>477.32</v>
      </c>
      <c r="M847" s="55">
        <f>ROUND(J847*I847, 2)</f>
        <v>7572.42</v>
      </c>
      <c r="N847" s="55">
        <f>ROUND(I847*ROUND(K847, 2), 2)</f>
        <v>263784</v>
      </c>
      <c r="O847" s="55">
        <f>M847+N847</f>
        <v>271356.42</v>
      </c>
      <c r="P847" s="55">
        <f>IFERROR(ROUND(SUM(S848,S849)/I847, 2),0)</f>
        <v>13.32</v>
      </c>
      <c r="Q847" s="55">
        <v>658.88</v>
      </c>
      <c r="R847" s="55">
        <f>P847+ROUND(Q847, 2)</f>
        <v>672.2</v>
      </c>
      <c r="S847" s="55">
        <f>ROUND(P847*I847, 2)</f>
        <v>7572.42</v>
      </c>
      <c r="T847" s="55">
        <f>ROUND(I847*ROUND(Q847, 2), 2)</f>
        <v>374573.28</v>
      </c>
      <c r="U847" s="55">
        <f>S847+T847</f>
        <v>382145.7</v>
      </c>
      <c r="V847" s="9">
        <f>ROUND(P847 / 1.2, 2)</f>
        <v>11.1</v>
      </c>
      <c r="W847" s="9">
        <f>ROUND(Q847 / 1.2, 2)</f>
        <v>549.07000000000005</v>
      </c>
      <c r="X847" s="9">
        <f>ROUND(R847 / 1.2, 2)</f>
        <v>560.16999999999996</v>
      </c>
      <c r="Y847" s="9">
        <f t="shared" si="141"/>
        <v>6310.35</v>
      </c>
      <c r="Z847" s="9">
        <f>ROUND(T847 / 1.2, 2)</f>
        <v>312144.40000000002</v>
      </c>
      <c r="AA847" s="9">
        <f>Y847+Z847</f>
        <v>318454.75</v>
      </c>
      <c r="AD847" s="4">
        <v>295859997</v>
      </c>
      <c r="AE847" s="4">
        <v>22502074</v>
      </c>
      <c r="AG847" s="4" t="s">
        <v>1425</v>
      </c>
      <c r="AH847" s="4" t="s">
        <v>1426</v>
      </c>
      <c r="AI847" s="4" t="s">
        <v>467</v>
      </c>
    </row>
    <row r="848" spans="1:35" ht="72" x14ac:dyDescent="0.35">
      <c r="A848" s="51" t="s">
        <v>2295</v>
      </c>
      <c r="B848" s="51"/>
      <c r="C848" s="56" t="s">
        <v>1430</v>
      </c>
      <c r="D848" s="53"/>
      <c r="E848" s="53" t="s">
        <v>1463</v>
      </c>
      <c r="F848" s="57" t="s">
        <v>498</v>
      </c>
      <c r="G848" s="58">
        <v>0.4</v>
      </c>
      <c r="H848" s="53"/>
      <c r="I848" s="58">
        <v>227.4</v>
      </c>
      <c r="J848" s="59">
        <v>0</v>
      </c>
      <c r="K848" s="60"/>
      <c r="L848" s="60"/>
      <c r="M848" s="59">
        <f>ROUND(ROUND(J848, 2)*I848, 2)</f>
        <v>0</v>
      </c>
      <c r="N848" s="60"/>
      <c r="O848" s="60"/>
      <c r="P848" s="59">
        <v>0</v>
      </c>
      <c r="Q848" s="60"/>
      <c r="R848" s="60"/>
      <c r="S848" s="59">
        <f>ROUND(ROUND(P848, 2)*I848, 2)</f>
        <v>0</v>
      </c>
      <c r="T848" s="60"/>
      <c r="U848" s="61"/>
      <c r="V848" s="9">
        <f>ROUND(ROUND(P848, 2)/1.2, 2)</f>
        <v>0</v>
      </c>
      <c r="Y848" s="9">
        <f t="shared" si="141"/>
        <v>0</v>
      </c>
      <c r="AD848" s="4" t="s">
        <v>2296</v>
      </c>
      <c r="AE848" s="4" t="s">
        <v>2297</v>
      </c>
      <c r="AF848" s="4" t="s">
        <v>1433</v>
      </c>
    </row>
    <row r="849" spans="1:35" ht="36" x14ac:dyDescent="0.35">
      <c r="A849" s="51" t="s">
        <v>2298</v>
      </c>
      <c r="B849" s="51"/>
      <c r="C849" s="56" t="s">
        <v>925</v>
      </c>
      <c r="D849" s="53"/>
      <c r="E849" s="53"/>
      <c r="F849" s="57" t="s">
        <v>498</v>
      </c>
      <c r="G849" s="58">
        <v>0.15</v>
      </c>
      <c r="H849" s="53"/>
      <c r="I849" s="58">
        <v>85.275000000000006</v>
      </c>
      <c r="J849" s="59">
        <v>88.8</v>
      </c>
      <c r="K849" s="60"/>
      <c r="L849" s="60"/>
      <c r="M849" s="59">
        <f>ROUND(ROUND(J849, 2)*I849, 2)</f>
        <v>7572.42</v>
      </c>
      <c r="N849" s="60"/>
      <c r="O849" s="60"/>
      <c r="P849" s="59">
        <v>88.8</v>
      </c>
      <c r="Q849" s="60"/>
      <c r="R849" s="60"/>
      <c r="S849" s="59">
        <f>ROUND(ROUND(P849, 2)*I849, 2)</f>
        <v>7572.42</v>
      </c>
      <c r="T849" s="60"/>
      <c r="U849" s="61"/>
      <c r="V849" s="9">
        <f>ROUND(ROUND(P849, 2)/1.2, 2)</f>
        <v>74</v>
      </c>
      <c r="Y849" s="9">
        <f t="shared" si="141"/>
        <v>6310.35</v>
      </c>
      <c r="AD849" s="4" t="s">
        <v>2299</v>
      </c>
      <c r="AE849" s="4" t="s">
        <v>2300</v>
      </c>
      <c r="AF849" s="4" t="s">
        <v>928</v>
      </c>
    </row>
    <row r="850" spans="1:35" ht="36" x14ac:dyDescent="0.35">
      <c r="A850" s="51" t="s">
        <v>2301</v>
      </c>
      <c r="B850" s="51" t="s">
        <v>1423</v>
      </c>
      <c r="C850" s="52" t="s">
        <v>1424</v>
      </c>
      <c r="D850" s="53"/>
      <c r="E850" s="53" t="s">
        <v>1444</v>
      </c>
      <c r="F850" s="53" t="s">
        <v>63</v>
      </c>
      <c r="G850" s="54">
        <v>1</v>
      </c>
      <c r="H850" s="53"/>
      <c r="I850" s="54">
        <v>559.9</v>
      </c>
      <c r="J850" s="55">
        <f>IFERROR(ROUND(SUM(M851,M852)/I850, 2),0)</f>
        <v>13.32</v>
      </c>
      <c r="K850" s="55">
        <v>464</v>
      </c>
      <c r="L850" s="55">
        <f>J850+ROUND(K850, 2)</f>
        <v>477.32</v>
      </c>
      <c r="M850" s="55">
        <f>ROUND(J850*I850, 2)</f>
        <v>7457.87</v>
      </c>
      <c r="N850" s="55">
        <f>ROUND(I850*ROUND(K850, 2), 2)</f>
        <v>259793.6</v>
      </c>
      <c r="O850" s="55">
        <f>M850+N850</f>
        <v>267251.47000000003</v>
      </c>
      <c r="P850" s="55">
        <f>IFERROR(ROUND(SUM(S851,S852)/I850, 2),0)</f>
        <v>13.32</v>
      </c>
      <c r="Q850" s="55">
        <v>658.88</v>
      </c>
      <c r="R850" s="55">
        <f>P850+ROUND(Q850, 2)</f>
        <v>672.2</v>
      </c>
      <c r="S850" s="55">
        <f>ROUND(P850*I850, 2)</f>
        <v>7457.87</v>
      </c>
      <c r="T850" s="55">
        <f>ROUND(I850*ROUND(Q850, 2), 2)</f>
        <v>368906.91</v>
      </c>
      <c r="U850" s="55">
        <f>S850+T850</f>
        <v>376364.77999999997</v>
      </c>
      <c r="V850" s="9">
        <f>ROUND(P850 / 1.2, 2)</f>
        <v>11.1</v>
      </c>
      <c r="W850" s="9">
        <f>ROUND(Q850 / 1.2, 2)</f>
        <v>549.07000000000005</v>
      </c>
      <c r="X850" s="9">
        <f>ROUND(R850 / 1.2, 2)</f>
        <v>560.16999999999996</v>
      </c>
      <c r="Y850" s="9">
        <f t="shared" si="141"/>
        <v>6214.89</v>
      </c>
      <c r="Z850" s="9">
        <f>ROUND(T850 / 1.2, 2)</f>
        <v>307422.43</v>
      </c>
      <c r="AA850" s="9">
        <f>Y850+Z850</f>
        <v>313637.32</v>
      </c>
      <c r="AD850" s="4">
        <v>295859998</v>
      </c>
      <c r="AE850" s="4">
        <v>22502069</v>
      </c>
      <c r="AG850" s="4" t="s">
        <v>1425</v>
      </c>
      <c r="AH850" s="4" t="s">
        <v>1426</v>
      </c>
      <c r="AI850" s="4" t="s">
        <v>467</v>
      </c>
    </row>
    <row r="851" spans="1:35" ht="36" x14ac:dyDescent="0.35">
      <c r="A851" s="51" t="s">
        <v>2302</v>
      </c>
      <c r="B851" s="51"/>
      <c r="C851" s="56" t="s">
        <v>925</v>
      </c>
      <c r="D851" s="53"/>
      <c r="E851" s="53"/>
      <c r="F851" s="57" t="s">
        <v>498</v>
      </c>
      <c r="G851" s="58">
        <v>0.15</v>
      </c>
      <c r="H851" s="53"/>
      <c r="I851" s="58">
        <v>83.984999999999999</v>
      </c>
      <c r="J851" s="59">
        <v>88.8</v>
      </c>
      <c r="K851" s="60"/>
      <c r="L851" s="60"/>
      <c r="M851" s="59">
        <f>ROUND(ROUND(J851, 2)*I851, 2)</f>
        <v>7457.87</v>
      </c>
      <c r="N851" s="60"/>
      <c r="O851" s="60"/>
      <c r="P851" s="59">
        <v>88.8</v>
      </c>
      <c r="Q851" s="60"/>
      <c r="R851" s="60"/>
      <c r="S851" s="59">
        <f>ROUND(ROUND(P851, 2)*I851, 2)</f>
        <v>7457.87</v>
      </c>
      <c r="T851" s="60"/>
      <c r="U851" s="61"/>
      <c r="V851" s="9">
        <f>ROUND(ROUND(P851, 2)/1.2, 2)</f>
        <v>74</v>
      </c>
      <c r="Y851" s="9">
        <f t="shared" si="141"/>
        <v>6214.89</v>
      </c>
      <c r="AD851" s="4" t="s">
        <v>2303</v>
      </c>
      <c r="AE851" s="4" t="s">
        <v>2304</v>
      </c>
      <c r="AF851" s="4" t="s">
        <v>928</v>
      </c>
    </row>
    <row r="852" spans="1:35" ht="90" x14ac:dyDescent="0.35">
      <c r="A852" s="51" t="s">
        <v>2305</v>
      </c>
      <c r="B852" s="51"/>
      <c r="C852" s="56" t="s">
        <v>1430</v>
      </c>
      <c r="D852" s="53"/>
      <c r="E852" s="53" t="s">
        <v>1454</v>
      </c>
      <c r="F852" s="57" t="s">
        <v>498</v>
      </c>
      <c r="G852" s="58">
        <v>0.4</v>
      </c>
      <c r="H852" s="53"/>
      <c r="I852" s="58">
        <v>223.96</v>
      </c>
      <c r="J852" s="59">
        <v>0</v>
      </c>
      <c r="K852" s="60"/>
      <c r="L852" s="60"/>
      <c r="M852" s="59">
        <f>ROUND(ROUND(J852, 2)*I852, 2)</f>
        <v>0</v>
      </c>
      <c r="N852" s="60"/>
      <c r="O852" s="60"/>
      <c r="P852" s="59">
        <v>0</v>
      </c>
      <c r="Q852" s="60"/>
      <c r="R852" s="60"/>
      <c r="S852" s="59">
        <f>ROUND(ROUND(P852, 2)*I852, 2)</f>
        <v>0</v>
      </c>
      <c r="T852" s="60"/>
      <c r="U852" s="61"/>
      <c r="V852" s="9">
        <f>ROUND(ROUND(P852, 2)/1.2, 2)</f>
        <v>0</v>
      </c>
      <c r="Y852" s="9">
        <f t="shared" si="141"/>
        <v>0</v>
      </c>
      <c r="AD852" s="4" t="s">
        <v>2306</v>
      </c>
      <c r="AE852" s="4" t="s">
        <v>2307</v>
      </c>
      <c r="AF852" s="4" t="s">
        <v>1433</v>
      </c>
    </row>
    <row r="853" spans="1:35" ht="17" customHeight="1" x14ac:dyDescent="0.35">
      <c r="A853" s="51" t="s">
        <v>2308</v>
      </c>
      <c r="B853" s="51" t="s">
        <v>1513</v>
      </c>
      <c r="C853" s="180" t="s">
        <v>1514</v>
      </c>
      <c r="D853" s="181"/>
      <c r="E853" s="181"/>
      <c r="F853" s="181"/>
      <c r="G853" s="181"/>
      <c r="H853" s="181"/>
      <c r="I853" s="182"/>
      <c r="J853" s="60"/>
      <c r="K853" s="60"/>
      <c r="L853" s="60"/>
      <c r="M853" s="63">
        <f>SUM(M854,M856,M858,M859,M870,M880,M891)</f>
        <v>9421458.2300000004</v>
      </c>
      <c r="N853" s="63">
        <f>SUM(N854,N856,N858,N859,N870,N880,N891)</f>
        <v>5677912.9999999991</v>
      </c>
      <c r="O853" s="63">
        <f>SUM(O854,O856,O858,O859,O870,O880,O891)</f>
        <v>15099371.229999999</v>
      </c>
      <c r="P853" s="60"/>
      <c r="Q853" s="60"/>
      <c r="R853" s="60"/>
      <c r="S853" s="63">
        <f>SUM(S854,S856,S858,S859,S870,S880,S891)</f>
        <v>9421458.2300000004</v>
      </c>
      <c r="T853" s="63">
        <f>SUM(T854,T856,T858,T859,T870,T880,T891)</f>
        <v>8062636.46</v>
      </c>
      <c r="U853" s="63">
        <f>SUM(U854,U856,U858,U859,U870,U880,U891)</f>
        <v>17484094.690000005</v>
      </c>
      <c r="Y853" s="9">
        <f>SUM(Y854,Y856,Y858,Y859,Y870,Y880,Y891)</f>
        <v>7851215.2000000002</v>
      </c>
      <c r="Z853" s="9">
        <f>SUM(Z854,Z856,Z858,Z859,Z870,Z880,Z891)</f>
        <v>6718863.7200000007</v>
      </c>
      <c r="AA853" s="9">
        <f>SUM(AA854,AA856,AA858,AA859,AA870,AA880,AA891)</f>
        <v>14570078.92</v>
      </c>
      <c r="AD853" s="4">
        <v>295859967</v>
      </c>
      <c r="AE853" s="4">
        <v>22502046</v>
      </c>
    </row>
    <row r="854" spans="1:35" ht="108" x14ac:dyDescent="0.35">
      <c r="A854" s="51" t="s">
        <v>2309</v>
      </c>
      <c r="B854" s="51" t="s">
        <v>1516</v>
      </c>
      <c r="C854" s="52" t="s">
        <v>1517</v>
      </c>
      <c r="D854" s="53"/>
      <c r="E854" s="53" t="s">
        <v>2310</v>
      </c>
      <c r="F854" s="53" t="s">
        <v>63</v>
      </c>
      <c r="G854" s="54">
        <v>1</v>
      </c>
      <c r="H854" s="53"/>
      <c r="I854" s="54">
        <v>1034.5</v>
      </c>
      <c r="J854" s="55">
        <f>IFERROR(ROUND(SUM(M855)/I854, 2),0)</f>
        <v>7126.9</v>
      </c>
      <c r="K854" s="55">
        <v>837</v>
      </c>
      <c r="L854" s="55">
        <f>J854+ROUND(K854, 2)</f>
        <v>7963.9</v>
      </c>
      <c r="M854" s="55">
        <f>ROUND(J854*I854, 2)</f>
        <v>7372778.0499999998</v>
      </c>
      <c r="N854" s="55">
        <f>ROUND(I854*ROUND(K854, 2), 2)</f>
        <v>865876.5</v>
      </c>
      <c r="O854" s="55">
        <f>M854+N854</f>
        <v>8238654.5499999998</v>
      </c>
      <c r="P854" s="55">
        <f>IFERROR(ROUND(SUM(S855)/I854, 2),0)</f>
        <v>7126.9</v>
      </c>
      <c r="Q854" s="55">
        <v>1188.54</v>
      </c>
      <c r="R854" s="55">
        <f>P854+ROUND(Q854, 2)</f>
        <v>8315.4399999999987</v>
      </c>
      <c r="S854" s="55">
        <f>ROUND(P854*I854, 2)</f>
        <v>7372778.0499999998</v>
      </c>
      <c r="T854" s="55">
        <f>ROUND(I854*ROUND(Q854, 2), 2)</f>
        <v>1229544.6299999999</v>
      </c>
      <c r="U854" s="55">
        <f>S854+T854</f>
        <v>8602322.6799999997</v>
      </c>
      <c r="V854" s="9">
        <f>ROUND(P854 / 1.2, 2)</f>
        <v>5939.08</v>
      </c>
      <c r="W854" s="9">
        <f>ROUND(Q854 / 1.2, 2)</f>
        <v>990.45</v>
      </c>
      <c r="X854" s="9">
        <f>ROUND(R854 / 1.2, 2)</f>
        <v>6929.53</v>
      </c>
      <c r="Y854" s="9">
        <f>ROUND(S854 / 1.2, 2)</f>
        <v>6143981.71</v>
      </c>
      <c r="Z854" s="9">
        <f>ROUND(T854 / 1.2, 2)</f>
        <v>1024620.53</v>
      </c>
      <c r="AA854" s="9">
        <f>Y854+Z854</f>
        <v>7168602.2400000002</v>
      </c>
      <c r="AD854" s="4">
        <v>295859969</v>
      </c>
      <c r="AE854" s="4">
        <v>22502070</v>
      </c>
      <c r="AG854" s="4" t="s">
        <v>1518</v>
      </c>
      <c r="AH854" s="4" t="s">
        <v>1519</v>
      </c>
      <c r="AI854" s="4" t="s">
        <v>467</v>
      </c>
    </row>
    <row r="855" spans="1:35" ht="36" x14ac:dyDescent="0.35">
      <c r="A855" s="51" t="s">
        <v>2311</v>
      </c>
      <c r="B855" s="51"/>
      <c r="C855" s="56" t="s">
        <v>1523</v>
      </c>
      <c r="D855" s="53"/>
      <c r="E855" s="53"/>
      <c r="F855" s="57" t="s">
        <v>63</v>
      </c>
      <c r="G855" s="58">
        <v>1.1000000000000001</v>
      </c>
      <c r="H855" s="53"/>
      <c r="I855" s="62">
        <v>1137.95</v>
      </c>
      <c r="J855" s="59">
        <v>6479</v>
      </c>
      <c r="K855" s="60"/>
      <c r="L855" s="60"/>
      <c r="M855" s="59">
        <f>ROUND(ROUND(J855, 2)*I855, 2)</f>
        <v>7372778.0499999998</v>
      </c>
      <c r="N855" s="60"/>
      <c r="O855" s="60"/>
      <c r="P855" s="59">
        <v>6479</v>
      </c>
      <c r="Q855" s="60"/>
      <c r="R855" s="60"/>
      <c r="S855" s="59">
        <f>ROUND(ROUND(P855, 2)*I855, 2)</f>
        <v>7372778.0499999998</v>
      </c>
      <c r="T855" s="60"/>
      <c r="U855" s="61"/>
      <c r="V855" s="9">
        <f>ROUND(ROUND(P855, 2)/1.2, 2)</f>
        <v>5399.17</v>
      </c>
      <c r="Y855" s="9">
        <f>ROUND(S855 / 1.2, 2)</f>
        <v>6143981.71</v>
      </c>
      <c r="AD855" s="4" t="s">
        <v>2312</v>
      </c>
      <c r="AE855" s="4" t="s">
        <v>2313</v>
      </c>
      <c r="AF855" s="4" t="s">
        <v>1526</v>
      </c>
    </row>
    <row r="856" spans="1:35" ht="144" x14ac:dyDescent="0.35">
      <c r="A856" s="51" t="s">
        <v>2314</v>
      </c>
      <c r="B856" s="51" t="s">
        <v>1516</v>
      </c>
      <c r="C856" s="52" t="s">
        <v>1517</v>
      </c>
      <c r="D856" s="53"/>
      <c r="E856" s="53" t="s">
        <v>1531</v>
      </c>
      <c r="F856" s="53" t="s">
        <v>63</v>
      </c>
      <c r="G856" s="54">
        <v>1</v>
      </c>
      <c r="H856" s="53"/>
      <c r="I856" s="54">
        <v>180.2</v>
      </c>
      <c r="J856" s="55">
        <f>IFERROR(ROUND(SUM(M857)/I856, 2),0)</f>
        <v>1280.4000000000001</v>
      </c>
      <c r="K856" s="55">
        <v>837</v>
      </c>
      <c r="L856" s="55">
        <f>J856+ROUND(K856, 2)</f>
        <v>2117.4</v>
      </c>
      <c r="M856" s="55">
        <f>ROUND(J856*I856, 2)</f>
        <v>230728.08</v>
      </c>
      <c r="N856" s="55">
        <f>ROUND(I856*ROUND(K856, 2), 2)</f>
        <v>150827.4</v>
      </c>
      <c r="O856" s="55">
        <f>M856+N856</f>
        <v>381555.48</v>
      </c>
      <c r="P856" s="55">
        <f>IFERROR(ROUND(SUM(S857)/I856, 2),0)</f>
        <v>1280.4000000000001</v>
      </c>
      <c r="Q856" s="55">
        <v>1188.54</v>
      </c>
      <c r="R856" s="55">
        <f>P856+ROUND(Q856, 2)</f>
        <v>2468.94</v>
      </c>
      <c r="S856" s="55">
        <f>ROUND(P856*I856, 2)</f>
        <v>230728.08</v>
      </c>
      <c r="T856" s="55">
        <f>ROUND(I856*ROUND(Q856, 2), 2)</f>
        <v>214174.91</v>
      </c>
      <c r="U856" s="55">
        <f>S856+T856</f>
        <v>444902.99</v>
      </c>
      <c r="V856" s="9">
        <f>ROUND(P856 / 1.2, 2)</f>
        <v>1067</v>
      </c>
      <c r="W856" s="9">
        <f>ROUND(Q856 / 1.2, 2)</f>
        <v>990.45</v>
      </c>
      <c r="X856" s="9">
        <f>ROUND(R856 / 1.2, 2)</f>
        <v>2057.4499999999998</v>
      </c>
      <c r="Y856" s="9">
        <f>ROUND(S856 / 1.2, 2)</f>
        <v>192273.4</v>
      </c>
      <c r="Z856" s="9">
        <f>ROUND(T856 / 1.2, 2)</f>
        <v>178479.09</v>
      </c>
      <c r="AA856" s="9">
        <f>Y856+Z856</f>
        <v>370752.49</v>
      </c>
      <c r="AD856" s="4">
        <v>295859999</v>
      </c>
      <c r="AE856" s="4">
        <v>22502095</v>
      </c>
      <c r="AG856" s="4" t="s">
        <v>1518</v>
      </c>
      <c r="AH856" s="4" t="s">
        <v>1519</v>
      </c>
      <c r="AI856" s="4" t="s">
        <v>467</v>
      </c>
    </row>
    <row r="857" spans="1:35" ht="18" x14ac:dyDescent="0.35">
      <c r="A857" s="51" t="s">
        <v>2315</v>
      </c>
      <c r="B857" s="51"/>
      <c r="C857" s="56" t="s">
        <v>1533</v>
      </c>
      <c r="D857" s="53"/>
      <c r="E857" s="53"/>
      <c r="F857" s="57" t="s">
        <v>63</v>
      </c>
      <c r="G857" s="58">
        <v>1.1000000000000001</v>
      </c>
      <c r="H857" s="53"/>
      <c r="I857" s="62">
        <v>198.22</v>
      </c>
      <c r="J857" s="59">
        <v>1164</v>
      </c>
      <c r="K857" s="60"/>
      <c r="L857" s="60"/>
      <c r="M857" s="59">
        <f>ROUND(ROUND(J857, 2)*I857, 2)</f>
        <v>230728.08</v>
      </c>
      <c r="N857" s="60"/>
      <c r="O857" s="60"/>
      <c r="P857" s="59">
        <v>1164</v>
      </c>
      <c r="Q857" s="60"/>
      <c r="R857" s="60"/>
      <c r="S857" s="59">
        <f>ROUND(ROUND(P857, 2)*I857, 2)</f>
        <v>230728.08</v>
      </c>
      <c r="T857" s="60"/>
      <c r="U857" s="61"/>
      <c r="V857" s="9">
        <f>ROUND(ROUND(P857, 2)/1.2, 2)</f>
        <v>970</v>
      </c>
      <c r="Y857" s="9">
        <f>ROUND(S857 / 1.2, 2)</f>
        <v>192273.4</v>
      </c>
      <c r="AD857" s="4" t="s">
        <v>2316</v>
      </c>
      <c r="AE857" s="4" t="s">
        <v>2317</v>
      </c>
      <c r="AF857" s="4" t="s">
        <v>1536</v>
      </c>
    </row>
    <row r="858" spans="1:35" ht="54" x14ac:dyDescent="0.35">
      <c r="A858" s="51" t="s">
        <v>2318</v>
      </c>
      <c r="B858" s="51" t="s">
        <v>1548</v>
      </c>
      <c r="C858" s="52" t="s">
        <v>1549</v>
      </c>
      <c r="D858" s="53"/>
      <c r="E858" s="53"/>
      <c r="F858" s="53" t="s">
        <v>63</v>
      </c>
      <c r="G858" s="54">
        <v>1</v>
      </c>
      <c r="H858" s="53"/>
      <c r="I858" s="54">
        <v>4271.5</v>
      </c>
      <c r="J858" s="55">
        <v>0</v>
      </c>
      <c r="K858" s="55">
        <v>121</v>
      </c>
      <c r="L858" s="55">
        <f>J858+ROUND(K858, 2)</f>
        <v>121</v>
      </c>
      <c r="M858" s="55">
        <v>0</v>
      </c>
      <c r="N858" s="55">
        <f>ROUND(I858*ROUND(K858, 2), 2)</f>
        <v>516851.5</v>
      </c>
      <c r="O858" s="55">
        <f>M858+N858</f>
        <v>516851.5</v>
      </c>
      <c r="P858" s="55">
        <v>0</v>
      </c>
      <c r="Q858" s="55">
        <v>171.82</v>
      </c>
      <c r="R858" s="55">
        <f>P858+ROUND(Q858, 2)</f>
        <v>171.82</v>
      </c>
      <c r="S858" s="55">
        <v>0</v>
      </c>
      <c r="T858" s="55">
        <f>ROUND(I858*ROUND(Q858, 2), 2)</f>
        <v>733929.13</v>
      </c>
      <c r="U858" s="55">
        <f>S858+T858</f>
        <v>733929.13</v>
      </c>
      <c r="V858" s="9"/>
      <c r="W858" s="9">
        <f>ROUND(Q858 / 1.2, 2)</f>
        <v>143.18</v>
      </c>
      <c r="X858" s="9">
        <f>ROUND(R858 / 1.2, 2)</f>
        <v>143.18</v>
      </c>
      <c r="Y858" s="9"/>
      <c r="Z858" s="9">
        <f>ROUND(T858 / 1.2, 2)</f>
        <v>611607.61</v>
      </c>
      <c r="AA858" s="9">
        <f>Y858+Z858</f>
        <v>611607.61</v>
      </c>
      <c r="AD858" s="4">
        <v>295859971</v>
      </c>
      <c r="AE858" s="4">
        <v>22502032</v>
      </c>
      <c r="AG858" s="4" t="s">
        <v>1550</v>
      </c>
      <c r="AH858" s="4" t="s">
        <v>1551</v>
      </c>
      <c r="AI858" s="4" t="s">
        <v>467</v>
      </c>
    </row>
    <row r="859" spans="1:35" ht="90" x14ac:dyDescent="0.35">
      <c r="A859" s="51" t="s">
        <v>2319</v>
      </c>
      <c r="B859" s="51" t="s">
        <v>1556</v>
      </c>
      <c r="C859" s="52" t="s">
        <v>1557</v>
      </c>
      <c r="D859" s="53"/>
      <c r="E859" s="53" t="s">
        <v>1561</v>
      </c>
      <c r="F859" s="53" t="s">
        <v>63</v>
      </c>
      <c r="G859" s="54">
        <v>1</v>
      </c>
      <c r="H859" s="53"/>
      <c r="I859" s="54">
        <v>2326.3000000000002</v>
      </c>
      <c r="J859" s="55">
        <f>IFERROR(ROUND(SUM(M860,M861,M862,M863,M864,M865,M866,M867,M868,M869)/I859, 2),0)</f>
        <v>584.54999999999995</v>
      </c>
      <c r="K859" s="55">
        <v>1379</v>
      </c>
      <c r="L859" s="55">
        <f>J859+ROUND(K859, 2)</f>
        <v>1963.55</v>
      </c>
      <c r="M859" s="55">
        <f>ROUND(J859*I859, 2)</f>
        <v>1359838.67</v>
      </c>
      <c r="N859" s="55">
        <f>ROUND(I859*ROUND(K859, 2), 2)</f>
        <v>3207967.7</v>
      </c>
      <c r="O859" s="55">
        <f>M859+N859</f>
        <v>4567806.37</v>
      </c>
      <c r="P859" s="55">
        <f>IFERROR(ROUND(SUM(S860,S861,S862,S863,S864,S865,S866,S867,S868,S869)/I859, 2),0)</f>
        <v>584.54999999999995</v>
      </c>
      <c r="Q859" s="55">
        <v>1958.18</v>
      </c>
      <c r="R859" s="55">
        <f>P859+ROUND(Q859, 2)</f>
        <v>2542.73</v>
      </c>
      <c r="S859" s="55">
        <f>ROUND(P859*I859, 2)</f>
        <v>1359838.67</v>
      </c>
      <c r="T859" s="55">
        <f>ROUND(I859*ROUND(Q859, 2), 2)</f>
        <v>4555314.13</v>
      </c>
      <c r="U859" s="55">
        <f>S859+T859</f>
        <v>5915152.7999999998</v>
      </c>
      <c r="V859" s="9">
        <f>ROUND(P859 / 1.2, 2)</f>
        <v>487.13</v>
      </c>
      <c r="W859" s="9">
        <f>ROUND(Q859 / 1.2, 2)</f>
        <v>1631.82</v>
      </c>
      <c r="X859" s="9">
        <f>ROUND(R859 / 1.2, 2)</f>
        <v>2118.94</v>
      </c>
      <c r="Y859" s="9">
        <f t="shared" ref="Y859:Y892" si="142">ROUND(S859 / 1.2, 2)</f>
        <v>1133198.8899999999</v>
      </c>
      <c r="Z859" s="9">
        <f>ROUND(T859 / 1.2, 2)</f>
        <v>3796095.11</v>
      </c>
      <c r="AA859" s="9">
        <f>Y859+Z859</f>
        <v>4929294</v>
      </c>
      <c r="AD859" s="4">
        <v>295859973</v>
      </c>
      <c r="AE859" s="4">
        <v>22502068</v>
      </c>
      <c r="AG859" s="4" t="s">
        <v>1558</v>
      </c>
      <c r="AH859" s="4" t="s">
        <v>1559</v>
      </c>
      <c r="AI859" s="4" t="s">
        <v>467</v>
      </c>
    </row>
    <row r="860" spans="1:35" ht="18" x14ac:dyDescent="0.35">
      <c r="A860" s="51" t="s">
        <v>2320</v>
      </c>
      <c r="B860" s="51"/>
      <c r="C860" s="56" t="s">
        <v>1577</v>
      </c>
      <c r="D860" s="53"/>
      <c r="E860" s="53"/>
      <c r="F860" s="57" t="s">
        <v>490</v>
      </c>
      <c r="G860" s="58">
        <v>0.3</v>
      </c>
      <c r="H860" s="53"/>
      <c r="I860" s="58">
        <v>697.89</v>
      </c>
      <c r="J860" s="59">
        <v>5.6</v>
      </c>
      <c r="K860" s="60"/>
      <c r="L860" s="60"/>
      <c r="M860" s="59">
        <f t="shared" ref="M860:M869" si="143">ROUND(ROUND(J860, 2)*I860, 2)</f>
        <v>3908.18</v>
      </c>
      <c r="N860" s="60"/>
      <c r="O860" s="60"/>
      <c r="P860" s="59">
        <v>5.6</v>
      </c>
      <c r="Q860" s="60"/>
      <c r="R860" s="60"/>
      <c r="S860" s="59">
        <f t="shared" ref="S860:S869" si="144">ROUND(ROUND(P860, 2)*I860, 2)</f>
        <v>3908.18</v>
      </c>
      <c r="T860" s="60"/>
      <c r="U860" s="61"/>
      <c r="V860" s="9">
        <f t="shared" ref="V860:V869" si="145">ROUND(ROUND(P860, 2)/1.2, 2)</f>
        <v>4.67</v>
      </c>
      <c r="Y860" s="9">
        <f t="shared" si="142"/>
        <v>3256.82</v>
      </c>
      <c r="AD860" s="4" t="s">
        <v>2321</v>
      </c>
      <c r="AE860" s="4" t="s">
        <v>2322</v>
      </c>
      <c r="AF860" s="4" t="s">
        <v>1580</v>
      </c>
    </row>
    <row r="861" spans="1:35" ht="36" x14ac:dyDescent="0.35">
      <c r="A861" s="51" t="s">
        <v>2323</v>
      </c>
      <c r="B861" s="51"/>
      <c r="C861" s="47" t="s">
        <v>1584</v>
      </c>
      <c r="D861" s="53"/>
      <c r="E861" s="53"/>
      <c r="F861" s="57" t="s">
        <v>490</v>
      </c>
      <c r="G861" s="58">
        <v>3.6</v>
      </c>
      <c r="H861" s="53"/>
      <c r="I861" s="58">
        <v>8374.68</v>
      </c>
      <c r="J861" s="59">
        <v>15.9</v>
      </c>
      <c r="K861" s="60"/>
      <c r="L861" s="60"/>
      <c r="M861" s="59">
        <f t="shared" si="143"/>
        <v>133157.41</v>
      </c>
      <c r="N861" s="60"/>
      <c r="O861" s="60"/>
      <c r="P861" s="59">
        <v>15.9</v>
      </c>
      <c r="Q861" s="60"/>
      <c r="R861" s="60"/>
      <c r="S861" s="59">
        <f t="shared" si="144"/>
        <v>133157.41</v>
      </c>
      <c r="T861" s="60"/>
      <c r="U861" s="61"/>
      <c r="V861" s="9">
        <f t="shared" si="145"/>
        <v>13.25</v>
      </c>
      <c r="Y861" s="9">
        <f t="shared" si="142"/>
        <v>110964.51</v>
      </c>
      <c r="AD861" s="4" t="s">
        <v>2324</v>
      </c>
      <c r="AE861" s="4" t="s">
        <v>2325</v>
      </c>
      <c r="AF861" s="4" t="s">
        <v>1587</v>
      </c>
    </row>
    <row r="862" spans="1:35" ht="18" x14ac:dyDescent="0.35">
      <c r="A862" s="51" t="s">
        <v>2326</v>
      </c>
      <c r="B862" s="51"/>
      <c r="C862" s="56" t="s">
        <v>1563</v>
      </c>
      <c r="D862" s="53"/>
      <c r="E862" s="53"/>
      <c r="F862" s="57" t="s">
        <v>490</v>
      </c>
      <c r="G862" s="58">
        <v>15</v>
      </c>
      <c r="H862" s="53"/>
      <c r="I862" s="58">
        <v>34894.5</v>
      </c>
      <c r="J862" s="59">
        <v>0.95</v>
      </c>
      <c r="K862" s="60"/>
      <c r="L862" s="60"/>
      <c r="M862" s="59">
        <f t="shared" si="143"/>
        <v>33149.78</v>
      </c>
      <c r="N862" s="60"/>
      <c r="O862" s="60"/>
      <c r="P862" s="59">
        <v>0.95</v>
      </c>
      <c r="Q862" s="60"/>
      <c r="R862" s="60"/>
      <c r="S862" s="59">
        <f t="shared" si="144"/>
        <v>33149.78</v>
      </c>
      <c r="T862" s="60"/>
      <c r="U862" s="61"/>
      <c r="V862" s="9">
        <f t="shared" si="145"/>
        <v>0.79</v>
      </c>
      <c r="Y862" s="9">
        <f t="shared" si="142"/>
        <v>27624.82</v>
      </c>
      <c r="AD862" s="4" t="s">
        <v>2327</v>
      </c>
      <c r="AE862" s="4" t="s">
        <v>2328</v>
      </c>
      <c r="AF862" s="4" t="s">
        <v>1566</v>
      </c>
    </row>
    <row r="863" spans="1:35" ht="18" x14ac:dyDescent="0.35">
      <c r="A863" s="51" t="s">
        <v>2329</v>
      </c>
      <c r="B863" s="51"/>
      <c r="C863" s="56" t="s">
        <v>1570</v>
      </c>
      <c r="D863" s="53"/>
      <c r="E863" s="53"/>
      <c r="F863" s="57" t="s">
        <v>498</v>
      </c>
      <c r="G863" s="58">
        <v>0.35</v>
      </c>
      <c r="H863" s="53"/>
      <c r="I863" s="58">
        <v>814.20500000000004</v>
      </c>
      <c r="J863" s="59">
        <v>55</v>
      </c>
      <c r="K863" s="60"/>
      <c r="L863" s="60"/>
      <c r="M863" s="59">
        <f t="shared" si="143"/>
        <v>44781.279999999999</v>
      </c>
      <c r="N863" s="60"/>
      <c r="O863" s="60"/>
      <c r="P863" s="59">
        <v>55</v>
      </c>
      <c r="Q863" s="60"/>
      <c r="R863" s="60"/>
      <c r="S863" s="59">
        <f t="shared" si="144"/>
        <v>44781.279999999999</v>
      </c>
      <c r="T863" s="60"/>
      <c r="U863" s="61"/>
      <c r="V863" s="9">
        <f t="shared" si="145"/>
        <v>45.83</v>
      </c>
      <c r="Y863" s="9">
        <f t="shared" si="142"/>
        <v>37317.730000000003</v>
      </c>
      <c r="AD863" s="4" t="s">
        <v>2330</v>
      </c>
      <c r="AE863" s="4" t="s">
        <v>2331</v>
      </c>
      <c r="AF863" s="4" t="s">
        <v>1573</v>
      </c>
    </row>
    <row r="864" spans="1:35" ht="18" x14ac:dyDescent="0.35">
      <c r="A864" s="51" t="s">
        <v>2332</v>
      </c>
      <c r="B864" s="51"/>
      <c r="C864" s="56" t="s">
        <v>1612</v>
      </c>
      <c r="D864" s="53"/>
      <c r="E864" s="53"/>
      <c r="F864" s="57" t="s">
        <v>78</v>
      </c>
      <c r="G864" s="58">
        <v>0.25</v>
      </c>
      <c r="H864" s="53"/>
      <c r="I864" s="58">
        <v>581.57500000000005</v>
      </c>
      <c r="J864" s="59">
        <v>2.8</v>
      </c>
      <c r="K864" s="60"/>
      <c r="L864" s="60"/>
      <c r="M864" s="59">
        <f t="shared" si="143"/>
        <v>1628.41</v>
      </c>
      <c r="N864" s="60"/>
      <c r="O864" s="60"/>
      <c r="P864" s="59">
        <v>2.8</v>
      </c>
      <c r="Q864" s="60"/>
      <c r="R864" s="60"/>
      <c r="S864" s="59">
        <f t="shared" si="144"/>
        <v>1628.41</v>
      </c>
      <c r="T864" s="60"/>
      <c r="U864" s="61"/>
      <c r="V864" s="9">
        <f t="shared" si="145"/>
        <v>2.33</v>
      </c>
      <c r="Y864" s="9">
        <f t="shared" si="142"/>
        <v>1357.01</v>
      </c>
      <c r="AD864" s="4" t="s">
        <v>2333</v>
      </c>
      <c r="AE864" s="4" t="s">
        <v>2334</v>
      </c>
      <c r="AF864" s="4" t="s">
        <v>1615</v>
      </c>
    </row>
    <row r="865" spans="1:35" ht="18" x14ac:dyDescent="0.35">
      <c r="A865" s="51" t="s">
        <v>2335</v>
      </c>
      <c r="B865" s="51"/>
      <c r="C865" s="56" t="s">
        <v>1591</v>
      </c>
      <c r="D865" s="53"/>
      <c r="E865" s="53"/>
      <c r="F865" s="57" t="s">
        <v>78</v>
      </c>
      <c r="G865" s="58">
        <v>1.2</v>
      </c>
      <c r="H865" s="53"/>
      <c r="I865" s="58">
        <v>2791.56</v>
      </c>
      <c r="J865" s="59">
        <v>22.82</v>
      </c>
      <c r="K865" s="60"/>
      <c r="L865" s="60"/>
      <c r="M865" s="59">
        <f t="shared" si="143"/>
        <v>63703.4</v>
      </c>
      <c r="N865" s="60"/>
      <c r="O865" s="60"/>
      <c r="P865" s="59">
        <v>22.82</v>
      </c>
      <c r="Q865" s="60"/>
      <c r="R865" s="60"/>
      <c r="S865" s="59">
        <f t="shared" si="144"/>
        <v>63703.4</v>
      </c>
      <c r="T865" s="60"/>
      <c r="U865" s="61"/>
      <c r="V865" s="9">
        <f t="shared" si="145"/>
        <v>19.02</v>
      </c>
      <c r="Y865" s="9">
        <f t="shared" si="142"/>
        <v>53086.17</v>
      </c>
      <c r="AD865" s="4" t="s">
        <v>2336</v>
      </c>
      <c r="AE865" s="4" t="s">
        <v>2337</v>
      </c>
      <c r="AF865" s="4" t="s">
        <v>1594</v>
      </c>
    </row>
    <row r="866" spans="1:35" ht="18" x14ac:dyDescent="0.35">
      <c r="A866" s="51" t="s">
        <v>2338</v>
      </c>
      <c r="B866" s="51"/>
      <c r="C866" s="56" t="s">
        <v>1598</v>
      </c>
      <c r="D866" s="53"/>
      <c r="E866" s="53"/>
      <c r="F866" s="57" t="s">
        <v>78</v>
      </c>
      <c r="G866" s="58">
        <v>4.7</v>
      </c>
      <c r="H866" s="53"/>
      <c r="I866" s="58">
        <v>10933.61</v>
      </c>
      <c r="J866" s="59">
        <v>66.98</v>
      </c>
      <c r="K866" s="60"/>
      <c r="L866" s="60"/>
      <c r="M866" s="59">
        <f t="shared" si="143"/>
        <v>732333.2</v>
      </c>
      <c r="N866" s="60"/>
      <c r="O866" s="60"/>
      <c r="P866" s="59">
        <v>66.98</v>
      </c>
      <c r="Q866" s="60"/>
      <c r="R866" s="60"/>
      <c r="S866" s="59">
        <f t="shared" si="144"/>
        <v>732333.2</v>
      </c>
      <c r="T866" s="60"/>
      <c r="U866" s="61"/>
      <c r="V866" s="9">
        <f t="shared" si="145"/>
        <v>55.82</v>
      </c>
      <c r="Y866" s="9">
        <f t="shared" si="142"/>
        <v>610277.67000000004</v>
      </c>
      <c r="AD866" s="4" t="s">
        <v>2339</v>
      </c>
      <c r="AE866" s="4" t="s">
        <v>2340</v>
      </c>
      <c r="AF866" s="4" t="s">
        <v>1601</v>
      </c>
    </row>
    <row r="867" spans="1:35" ht="18" x14ac:dyDescent="0.35">
      <c r="A867" s="51" t="s">
        <v>2341</v>
      </c>
      <c r="B867" s="51"/>
      <c r="C867" s="56" t="s">
        <v>1605</v>
      </c>
      <c r="D867" s="53"/>
      <c r="E867" s="53"/>
      <c r="F867" s="57" t="s">
        <v>78</v>
      </c>
      <c r="G867" s="58">
        <v>1.05</v>
      </c>
      <c r="H867" s="53"/>
      <c r="I867" s="58">
        <v>2442.6149999999998</v>
      </c>
      <c r="J867" s="59">
        <v>4.5999999999999996</v>
      </c>
      <c r="K867" s="60"/>
      <c r="L867" s="60"/>
      <c r="M867" s="59">
        <f t="shared" si="143"/>
        <v>11236.03</v>
      </c>
      <c r="N867" s="60"/>
      <c r="O867" s="60"/>
      <c r="P867" s="59">
        <v>4.5999999999999996</v>
      </c>
      <c r="Q867" s="60"/>
      <c r="R867" s="60"/>
      <c r="S867" s="59">
        <f t="shared" si="144"/>
        <v>11236.03</v>
      </c>
      <c r="T867" s="60"/>
      <c r="U867" s="61"/>
      <c r="V867" s="9">
        <f t="shared" si="145"/>
        <v>3.83</v>
      </c>
      <c r="Y867" s="9">
        <f t="shared" si="142"/>
        <v>9363.36</v>
      </c>
      <c r="AD867" s="4" t="s">
        <v>2342</v>
      </c>
      <c r="AE867" s="4" t="s">
        <v>2343</v>
      </c>
      <c r="AF867" s="4" t="s">
        <v>1608</v>
      </c>
    </row>
    <row r="868" spans="1:35" ht="36" x14ac:dyDescent="0.35">
      <c r="A868" s="51" t="s">
        <v>2344</v>
      </c>
      <c r="B868" s="51"/>
      <c r="C868" s="56" t="s">
        <v>1619</v>
      </c>
      <c r="D868" s="53"/>
      <c r="E868" s="53"/>
      <c r="F868" s="57" t="s">
        <v>63</v>
      </c>
      <c r="G868" s="58">
        <v>1.05</v>
      </c>
      <c r="H868" s="53"/>
      <c r="I868" s="58">
        <v>2442.6149999999998</v>
      </c>
      <c r="J868" s="59">
        <v>135.53</v>
      </c>
      <c r="K868" s="60"/>
      <c r="L868" s="60"/>
      <c r="M868" s="59">
        <f t="shared" si="143"/>
        <v>331047.61</v>
      </c>
      <c r="N868" s="60"/>
      <c r="O868" s="60"/>
      <c r="P868" s="59">
        <v>135.53</v>
      </c>
      <c r="Q868" s="60"/>
      <c r="R868" s="60"/>
      <c r="S868" s="59">
        <f t="shared" si="144"/>
        <v>331047.61</v>
      </c>
      <c r="T868" s="60"/>
      <c r="U868" s="61"/>
      <c r="V868" s="9">
        <f t="shared" si="145"/>
        <v>112.94</v>
      </c>
      <c r="Y868" s="9">
        <f t="shared" si="142"/>
        <v>275873.01</v>
      </c>
      <c r="AD868" s="4" t="s">
        <v>2345</v>
      </c>
      <c r="AE868" s="4" t="s">
        <v>2346</v>
      </c>
      <c r="AF868" s="4" t="s">
        <v>1622</v>
      </c>
    </row>
    <row r="869" spans="1:35" ht="18" x14ac:dyDescent="0.35">
      <c r="A869" s="51" t="s">
        <v>2347</v>
      </c>
      <c r="B869" s="51"/>
      <c r="C869" s="56" t="s">
        <v>1626</v>
      </c>
      <c r="D869" s="53"/>
      <c r="E869" s="53"/>
      <c r="F869" s="57" t="s">
        <v>490</v>
      </c>
      <c r="G869" s="58">
        <v>0.75</v>
      </c>
      <c r="H869" s="53"/>
      <c r="I869" s="58">
        <v>1744.7249999999999</v>
      </c>
      <c r="J869" s="59">
        <v>2.8</v>
      </c>
      <c r="K869" s="60"/>
      <c r="L869" s="60"/>
      <c r="M869" s="59">
        <f t="shared" si="143"/>
        <v>4885.2299999999996</v>
      </c>
      <c r="N869" s="60"/>
      <c r="O869" s="60"/>
      <c r="P869" s="59">
        <v>2.8</v>
      </c>
      <c r="Q869" s="60"/>
      <c r="R869" s="60"/>
      <c r="S869" s="59">
        <f t="shared" si="144"/>
        <v>4885.2299999999996</v>
      </c>
      <c r="T869" s="60"/>
      <c r="U869" s="61"/>
      <c r="V869" s="9">
        <f t="shared" si="145"/>
        <v>2.33</v>
      </c>
      <c r="Y869" s="9">
        <f t="shared" si="142"/>
        <v>4071.03</v>
      </c>
      <c r="AD869" s="4" t="s">
        <v>2348</v>
      </c>
      <c r="AE869" s="4" t="s">
        <v>2349</v>
      </c>
      <c r="AF869" s="4" t="s">
        <v>1629</v>
      </c>
    </row>
    <row r="870" spans="1:35" ht="54" x14ac:dyDescent="0.35">
      <c r="A870" s="51" t="s">
        <v>2350</v>
      </c>
      <c r="B870" s="51" t="s">
        <v>1556</v>
      </c>
      <c r="C870" s="52" t="s">
        <v>1557</v>
      </c>
      <c r="D870" s="53"/>
      <c r="E870" s="53" t="s">
        <v>1687</v>
      </c>
      <c r="F870" s="53" t="s">
        <v>63</v>
      </c>
      <c r="G870" s="54">
        <v>1</v>
      </c>
      <c r="H870" s="53"/>
      <c r="I870" s="54">
        <v>105.5</v>
      </c>
      <c r="J870" s="55">
        <f>IFERROR(ROUND(SUM(M871,M872,M873,M874,M875,M876,M877,M878,M879)/I870, 2),0)</f>
        <v>440.56</v>
      </c>
      <c r="K870" s="55">
        <v>1379</v>
      </c>
      <c r="L870" s="55">
        <f>J870+ROUND(K870, 2)</f>
        <v>1819.56</v>
      </c>
      <c r="M870" s="55">
        <f>ROUND(J870*I870, 2)</f>
        <v>46479.08</v>
      </c>
      <c r="N870" s="55">
        <f>ROUND(I870*ROUND(K870, 2), 2)</f>
        <v>145484.5</v>
      </c>
      <c r="O870" s="55">
        <f>M870+N870</f>
        <v>191963.58000000002</v>
      </c>
      <c r="P870" s="55">
        <f>IFERROR(ROUND(SUM(S871,S872,S873,S874,S875,S876,S877,S878,S879)/I870, 2),0)</f>
        <v>440.56</v>
      </c>
      <c r="Q870" s="55">
        <v>1958.18</v>
      </c>
      <c r="R870" s="55">
        <f>P870+ROUND(Q870, 2)</f>
        <v>2398.7400000000002</v>
      </c>
      <c r="S870" s="55">
        <f>ROUND(P870*I870, 2)</f>
        <v>46479.08</v>
      </c>
      <c r="T870" s="55">
        <f>ROUND(I870*ROUND(Q870, 2), 2)</f>
        <v>206587.99</v>
      </c>
      <c r="U870" s="55">
        <f>S870+T870</f>
        <v>253067.07</v>
      </c>
      <c r="V870" s="9">
        <f>ROUND(P870 / 1.2, 2)</f>
        <v>367.13</v>
      </c>
      <c r="W870" s="9">
        <f>ROUND(Q870 / 1.2, 2)</f>
        <v>1631.82</v>
      </c>
      <c r="X870" s="9">
        <f>ROUND(R870 / 1.2, 2)</f>
        <v>1998.95</v>
      </c>
      <c r="Y870" s="9">
        <f t="shared" si="142"/>
        <v>38732.57</v>
      </c>
      <c r="Z870" s="9">
        <f>ROUND(T870 / 1.2, 2)</f>
        <v>172156.66</v>
      </c>
      <c r="AA870" s="9">
        <f>Y870+Z870</f>
        <v>210889.23</v>
      </c>
      <c r="AD870" s="4">
        <v>295860000</v>
      </c>
      <c r="AE870" s="4">
        <v>22502094</v>
      </c>
      <c r="AG870" s="4" t="s">
        <v>1558</v>
      </c>
      <c r="AH870" s="4" t="s">
        <v>1559</v>
      </c>
      <c r="AI870" s="4" t="s">
        <v>467</v>
      </c>
    </row>
    <row r="871" spans="1:35" ht="18" x14ac:dyDescent="0.35">
      <c r="A871" s="51" t="s">
        <v>2351</v>
      </c>
      <c r="B871" s="51"/>
      <c r="C871" s="56" t="s">
        <v>1626</v>
      </c>
      <c r="D871" s="53"/>
      <c r="E871" s="53"/>
      <c r="F871" s="57" t="s">
        <v>490</v>
      </c>
      <c r="G871" s="58">
        <v>0.75</v>
      </c>
      <c r="H871" s="53"/>
      <c r="I871" s="58">
        <v>79.125</v>
      </c>
      <c r="J871" s="59">
        <v>2.8</v>
      </c>
      <c r="K871" s="60"/>
      <c r="L871" s="60"/>
      <c r="M871" s="59">
        <f t="shared" ref="M871:M879" si="146">ROUND(ROUND(J871, 2)*I871, 2)</f>
        <v>221.55</v>
      </c>
      <c r="N871" s="60"/>
      <c r="O871" s="60"/>
      <c r="P871" s="59">
        <v>2.8</v>
      </c>
      <c r="Q871" s="60"/>
      <c r="R871" s="60"/>
      <c r="S871" s="59">
        <f t="shared" ref="S871:S879" si="147">ROUND(ROUND(P871, 2)*I871, 2)</f>
        <v>221.55</v>
      </c>
      <c r="T871" s="60"/>
      <c r="U871" s="61"/>
      <c r="V871" s="9">
        <f t="shared" ref="V871:V879" si="148">ROUND(ROUND(P871, 2)/1.2, 2)</f>
        <v>2.33</v>
      </c>
      <c r="Y871" s="9">
        <f t="shared" si="142"/>
        <v>184.63</v>
      </c>
      <c r="AD871" s="4" t="s">
        <v>2352</v>
      </c>
      <c r="AE871" s="4" t="s">
        <v>2353</v>
      </c>
      <c r="AF871" s="4" t="s">
        <v>1629</v>
      </c>
    </row>
    <row r="872" spans="1:35" ht="18" x14ac:dyDescent="0.35">
      <c r="A872" s="51" t="s">
        <v>2354</v>
      </c>
      <c r="B872" s="51"/>
      <c r="C872" s="56" t="s">
        <v>1605</v>
      </c>
      <c r="D872" s="53"/>
      <c r="E872" s="53"/>
      <c r="F872" s="57" t="s">
        <v>78</v>
      </c>
      <c r="G872" s="58">
        <v>1.05</v>
      </c>
      <c r="H872" s="53"/>
      <c r="I872" s="58">
        <v>110.77500000000001</v>
      </c>
      <c r="J872" s="59">
        <v>4.5999999999999996</v>
      </c>
      <c r="K872" s="60"/>
      <c r="L872" s="60"/>
      <c r="M872" s="59">
        <f t="shared" si="146"/>
        <v>509.57</v>
      </c>
      <c r="N872" s="60"/>
      <c r="O872" s="60"/>
      <c r="P872" s="59">
        <v>4.5999999999999996</v>
      </c>
      <c r="Q872" s="60"/>
      <c r="R872" s="60"/>
      <c r="S872" s="59">
        <f t="shared" si="147"/>
        <v>509.57</v>
      </c>
      <c r="T872" s="60"/>
      <c r="U872" s="61"/>
      <c r="V872" s="9">
        <f t="shared" si="148"/>
        <v>3.83</v>
      </c>
      <c r="Y872" s="9">
        <f t="shared" si="142"/>
        <v>424.64</v>
      </c>
      <c r="AD872" s="4" t="s">
        <v>2355</v>
      </c>
      <c r="AE872" s="4" t="s">
        <v>2356</v>
      </c>
      <c r="AF872" s="4" t="s">
        <v>1608</v>
      </c>
    </row>
    <row r="873" spans="1:35" ht="18" x14ac:dyDescent="0.35">
      <c r="A873" s="51" t="s">
        <v>2357</v>
      </c>
      <c r="B873" s="51"/>
      <c r="C873" s="56" t="s">
        <v>1719</v>
      </c>
      <c r="D873" s="53"/>
      <c r="E873" s="53"/>
      <c r="F873" s="57" t="s">
        <v>63</v>
      </c>
      <c r="G873" s="58">
        <v>1.05</v>
      </c>
      <c r="H873" s="53"/>
      <c r="I873" s="58">
        <v>110.77500000000001</v>
      </c>
      <c r="J873" s="59">
        <v>0</v>
      </c>
      <c r="K873" s="60"/>
      <c r="L873" s="60"/>
      <c r="M873" s="59">
        <f t="shared" si="146"/>
        <v>0</v>
      </c>
      <c r="N873" s="60"/>
      <c r="O873" s="60"/>
      <c r="P873" s="59">
        <v>0</v>
      </c>
      <c r="Q873" s="60"/>
      <c r="R873" s="60"/>
      <c r="S873" s="59">
        <f t="shared" si="147"/>
        <v>0</v>
      </c>
      <c r="T873" s="60"/>
      <c r="U873" s="61"/>
      <c r="V873" s="9">
        <f t="shared" si="148"/>
        <v>0</v>
      </c>
      <c r="Y873" s="9">
        <f t="shared" si="142"/>
        <v>0</v>
      </c>
      <c r="AD873" s="4" t="s">
        <v>2358</v>
      </c>
      <c r="AE873" s="4" t="s">
        <v>2359</v>
      </c>
      <c r="AF873" s="4" t="s">
        <v>1722</v>
      </c>
    </row>
    <row r="874" spans="1:35" ht="18" x14ac:dyDescent="0.35">
      <c r="A874" s="51" t="s">
        <v>2360</v>
      </c>
      <c r="B874" s="51"/>
      <c r="C874" s="56" t="s">
        <v>1591</v>
      </c>
      <c r="D874" s="53"/>
      <c r="E874" s="53"/>
      <c r="F874" s="57" t="s">
        <v>78</v>
      </c>
      <c r="G874" s="58">
        <v>1.2</v>
      </c>
      <c r="H874" s="53"/>
      <c r="I874" s="58">
        <v>126.6</v>
      </c>
      <c r="J874" s="59">
        <v>22.82</v>
      </c>
      <c r="K874" s="60"/>
      <c r="L874" s="60"/>
      <c r="M874" s="59">
        <f t="shared" si="146"/>
        <v>2889.01</v>
      </c>
      <c r="N874" s="60"/>
      <c r="O874" s="60"/>
      <c r="P874" s="59">
        <v>22.82</v>
      </c>
      <c r="Q874" s="60"/>
      <c r="R874" s="60"/>
      <c r="S874" s="59">
        <f t="shared" si="147"/>
        <v>2889.01</v>
      </c>
      <c r="T874" s="60"/>
      <c r="U874" s="61"/>
      <c r="V874" s="9">
        <f t="shared" si="148"/>
        <v>19.02</v>
      </c>
      <c r="Y874" s="9">
        <f t="shared" si="142"/>
        <v>2407.5100000000002</v>
      </c>
      <c r="AD874" s="4" t="s">
        <v>2361</v>
      </c>
      <c r="AE874" s="4" t="s">
        <v>2362</v>
      </c>
      <c r="AF874" s="4" t="s">
        <v>1594</v>
      </c>
    </row>
    <row r="875" spans="1:35" ht="18" x14ac:dyDescent="0.35">
      <c r="A875" s="51" t="s">
        <v>2363</v>
      </c>
      <c r="B875" s="51"/>
      <c r="C875" s="56" t="s">
        <v>1598</v>
      </c>
      <c r="D875" s="53"/>
      <c r="E875" s="53"/>
      <c r="F875" s="57" t="s">
        <v>78</v>
      </c>
      <c r="G875" s="58">
        <v>4.7</v>
      </c>
      <c r="H875" s="53"/>
      <c r="I875" s="58">
        <v>495.85</v>
      </c>
      <c r="J875" s="59">
        <v>66.98</v>
      </c>
      <c r="K875" s="60"/>
      <c r="L875" s="60"/>
      <c r="M875" s="59">
        <f t="shared" si="146"/>
        <v>33212.03</v>
      </c>
      <c r="N875" s="60"/>
      <c r="O875" s="60"/>
      <c r="P875" s="59">
        <v>66.98</v>
      </c>
      <c r="Q875" s="60"/>
      <c r="R875" s="60"/>
      <c r="S875" s="59">
        <f t="shared" si="147"/>
        <v>33212.03</v>
      </c>
      <c r="T875" s="60"/>
      <c r="U875" s="61"/>
      <c r="V875" s="9">
        <f t="shared" si="148"/>
        <v>55.82</v>
      </c>
      <c r="Y875" s="9">
        <f t="shared" si="142"/>
        <v>27676.69</v>
      </c>
      <c r="AD875" s="4" t="s">
        <v>2364</v>
      </c>
      <c r="AE875" s="4" t="s">
        <v>2365</v>
      </c>
      <c r="AF875" s="4" t="s">
        <v>1601</v>
      </c>
    </row>
    <row r="876" spans="1:35" ht="18" x14ac:dyDescent="0.35">
      <c r="A876" s="51" t="s">
        <v>2366</v>
      </c>
      <c r="B876" s="51"/>
      <c r="C876" s="56" t="s">
        <v>1612</v>
      </c>
      <c r="D876" s="53"/>
      <c r="E876" s="53"/>
      <c r="F876" s="57" t="s">
        <v>78</v>
      </c>
      <c r="G876" s="58">
        <v>0.25</v>
      </c>
      <c r="H876" s="53"/>
      <c r="I876" s="58">
        <v>26.375</v>
      </c>
      <c r="J876" s="59">
        <v>2.8</v>
      </c>
      <c r="K876" s="60"/>
      <c r="L876" s="60"/>
      <c r="M876" s="59">
        <f t="shared" si="146"/>
        <v>73.849999999999994</v>
      </c>
      <c r="N876" s="60"/>
      <c r="O876" s="60"/>
      <c r="P876" s="59">
        <v>2.8</v>
      </c>
      <c r="Q876" s="60"/>
      <c r="R876" s="60"/>
      <c r="S876" s="59">
        <f t="shared" si="147"/>
        <v>73.849999999999994</v>
      </c>
      <c r="T876" s="60"/>
      <c r="U876" s="61"/>
      <c r="V876" s="9">
        <f t="shared" si="148"/>
        <v>2.33</v>
      </c>
      <c r="Y876" s="9">
        <f t="shared" si="142"/>
        <v>61.54</v>
      </c>
      <c r="AD876" s="4" t="s">
        <v>2367</v>
      </c>
      <c r="AE876" s="4" t="s">
        <v>2368</v>
      </c>
      <c r="AF876" s="4" t="s">
        <v>1615</v>
      </c>
    </row>
    <row r="877" spans="1:35" ht="18" x14ac:dyDescent="0.35">
      <c r="A877" s="51" t="s">
        <v>2369</v>
      </c>
      <c r="B877" s="51"/>
      <c r="C877" s="56" t="s">
        <v>1570</v>
      </c>
      <c r="D877" s="53"/>
      <c r="E877" s="53"/>
      <c r="F877" s="57" t="s">
        <v>498</v>
      </c>
      <c r="G877" s="58">
        <v>0.35</v>
      </c>
      <c r="H877" s="53"/>
      <c r="I877" s="58">
        <v>36.924999999999997</v>
      </c>
      <c r="J877" s="59">
        <v>55</v>
      </c>
      <c r="K877" s="60"/>
      <c r="L877" s="60"/>
      <c r="M877" s="59">
        <f t="shared" si="146"/>
        <v>2030.88</v>
      </c>
      <c r="N877" s="60"/>
      <c r="O877" s="60"/>
      <c r="P877" s="59">
        <v>55</v>
      </c>
      <c r="Q877" s="60"/>
      <c r="R877" s="60"/>
      <c r="S877" s="59">
        <f t="shared" si="147"/>
        <v>2030.88</v>
      </c>
      <c r="T877" s="60"/>
      <c r="U877" s="61"/>
      <c r="V877" s="9">
        <f t="shared" si="148"/>
        <v>45.83</v>
      </c>
      <c r="Y877" s="9">
        <f t="shared" si="142"/>
        <v>1692.4</v>
      </c>
      <c r="AD877" s="4" t="s">
        <v>2370</v>
      </c>
      <c r="AE877" s="4" t="s">
        <v>2371</v>
      </c>
      <c r="AF877" s="4" t="s">
        <v>1573</v>
      </c>
    </row>
    <row r="878" spans="1:35" ht="18" x14ac:dyDescent="0.35">
      <c r="A878" s="51" t="s">
        <v>2372</v>
      </c>
      <c r="B878" s="51"/>
      <c r="C878" s="56" t="s">
        <v>1563</v>
      </c>
      <c r="D878" s="53"/>
      <c r="E878" s="53"/>
      <c r="F878" s="57" t="s">
        <v>490</v>
      </c>
      <c r="G878" s="58">
        <v>15</v>
      </c>
      <c r="H878" s="53"/>
      <c r="I878" s="58">
        <v>1582.5</v>
      </c>
      <c r="J878" s="59">
        <v>0.95</v>
      </c>
      <c r="K878" s="60"/>
      <c r="L878" s="60"/>
      <c r="M878" s="59">
        <f t="shared" si="146"/>
        <v>1503.38</v>
      </c>
      <c r="N878" s="60"/>
      <c r="O878" s="60"/>
      <c r="P878" s="59">
        <v>0.95</v>
      </c>
      <c r="Q878" s="60"/>
      <c r="R878" s="60"/>
      <c r="S878" s="59">
        <f t="shared" si="147"/>
        <v>1503.38</v>
      </c>
      <c r="T878" s="60"/>
      <c r="U878" s="61"/>
      <c r="V878" s="9">
        <f t="shared" si="148"/>
        <v>0.79</v>
      </c>
      <c r="Y878" s="9">
        <f t="shared" si="142"/>
        <v>1252.82</v>
      </c>
      <c r="AD878" s="4" t="s">
        <v>2373</v>
      </c>
      <c r="AE878" s="4" t="s">
        <v>2374</v>
      </c>
      <c r="AF878" s="4" t="s">
        <v>1566</v>
      </c>
    </row>
    <row r="879" spans="1:35" ht="36" x14ac:dyDescent="0.35">
      <c r="A879" s="51" t="s">
        <v>2375</v>
      </c>
      <c r="B879" s="51"/>
      <c r="C879" s="47" t="s">
        <v>1584</v>
      </c>
      <c r="D879" s="53"/>
      <c r="E879" s="53"/>
      <c r="F879" s="57" t="s">
        <v>490</v>
      </c>
      <c r="G879" s="58">
        <v>3.6</v>
      </c>
      <c r="H879" s="53"/>
      <c r="I879" s="58">
        <v>379.8</v>
      </c>
      <c r="J879" s="59">
        <v>15.9</v>
      </c>
      <c r="K879" s="60"/>
      <c r="L879" s="60"/>
      <c r="M879" s="59">
        <f t="shared" si="146"/>
        <v>6038.82</v>
      </c>
      <c r="N879" s="60"/>
      <c r="O879" s="60"/>
      <c r="P879" s="59">
        <v>15.9</v>
      </c>
      <c r="Q879" s="60"/>
      <c r="R879" s="60"/>
      <c r="S879" s="59">
        <f t="shared" si="147"/>
        <v>6038.82</v>
      </c>
      <c r="T879" s="60"/>
      <c r="U879" s="61"/>
      <c r="V879" s="9">
        <f t="shared" si="148"/>
        <v>13.25</v>
      </c>
      <c r="Y879" s="9">
        <f t="shared" si="142"/>
        <v>5032.3500000000004</v>
      </c>
      <c r="AD879" s="4" t="s">
        <v>2376</v>
      </c>
      <c r="AE879" s="4" t="s">
        <v>2377</v>
      </c>
      <c r="AF879" s="4" t="s">
        <v>1587</v>
      </c>
    </row>
    <row r="880" spans="1:35" ht="72" x14ac:dyDescent="0.35">
      <c r="A880" s="51" t="s">
        <v>2378</v>
      </c>
      <c r="B880" s="51" t="s">
        <v>1556</v>
      </c>
      <c r="C880" s="52" t="s">
        <v>1557</v>
      </c>
      <c r="D880" s="53"/>
      <c r="E880" s="53" t="s">
        <v>1634</v>
      </c>
      <c r="F880" s="53" t="s">
        <v>63</v>
      </c>
      <c r="G880" s="54">
        <v>1</v>
      </c>
      <c r="H880" s="53"/>
      <c r="I880" s="54">
        <v>454.4</v>
      </c>
      <c r="J880" s="55">
        <f>IFERROR(ROUND(SUM(M881,M882,M883,M884,M885,M886,M887,M888,M889,M890)/I880, 2),0)</f>
        <v>584.54999999999995</v>
      </c>
      <c r="K880" s="55">
        <v>1379</v>
      </c>
      <c r="L880" s="55">
        <f>J880+ROUND(K880, 2)</f>
        <v>1963.55</v>
      </c>
      <c r="M880" s="55">
        <f>ROUND(J880*I880, 2)</f>
        <v>265619.52</v>
      </c>
      <c r="N880" s="55">
        <f>ROUND(I880*ROUND(K880, 2), 2)</f>
        <v>626617.59999999998</v>
      </c>
      <c r="O880" s="55">
        <f>M880+N880</f>
        <v>892237.12</v>
      </c>
      <c r="P880" s="55">
        <f>IFERROR(ROUND(SUM(S881,S882,S883,S884,S885,S886,S887,S888,S889,S890)/I880, 2),0)</f>
        <v>584.54999999999995</v>
      </c>
      <c r="Q880" s="55">
        <v>1958.18</v>
      </c>
      <c r="R880" s="55">
        <f>P880+ROUND(Q880, 2)</f>
        <v>2542.73</v>
      </c>
      <c r="S880" s="55">
        <f>ROUND(P880*I880, 2)</f>
        <v>265619.52</v>
      </c>
      <c r="T880" s="55">
        <f>ROUND(I880*ROUND(Q880, 2), 2)</f>
        <v>889796.99</v>
      </c>
      <c r="U880" s="55">
        <f>S880+T880</f>
        <v>1155416.51</v>
      </c>
      <c r="V880" s="9">
        <f>ROUND(P880 / 1.2, 2)</f>
        <v>487.13</v>
      </c>
      <c r="W880" s="9">
        <f>ROUND(Q880 / 1.2, 2)</f>
        <v>1631.82</v>
      </c>
      <c r="X880" s="9">
        <f>ROUND(R880 / 1.2, 2)</f>
        <v>2118.94</v>
      </c>
      <c r="Y880" s="9">
        <f t="shared" si="142"/>
        <v>221349.6</v>
      </c>
      <c r="Z880" s="9">
        <f>ROUND(T880 / 1.2, 2)</f>
        <v>741497.49</v>
      </c>
      <c r="AA880" s="9">
        <f>Y880+Z880</f>
        <v>962847.09</v>
      </c>
      <c r="AD880" s="4">
        <v>295860001</v>
      </c>
      <c r="AE880" s="4">
        <v>22502059</v>
      </c>
      <c r="AG880" s="4" t="s">
        <v>1558</v>
      </c>
      <c r="AH880" s="4" t="s">
        <v>1559</v>
      </c>
      <c r="AI880" s="4" t="s">
        <v>467</v>
      </c>
    </row>
    <row r="881" spans="1:35" ht="18" x14ac:dyDescent="0.35">
      <c r="A881" s="51" t="s">
        <v>2379</v>
      </c>
      <c r="B881" s="51"/>
      <c r="C881" s="56" t="s">
        <v>1577</v>
      </c>
      <c r="D881" s="53"/>
      <c r="E881" s="53"/>
      <c r="F881" s="57" t="s">
        <v>490</v>
      </c>
      <c r="G881" s="58">
        <v>0.3</v>
      </c>
      <c r="H881" s="53"/>
      <c r="I881" s="58">
        <v>136.32</v>
      </c>
      <c r="J881" s="59">
        <v>5.6</v>
      </c>
      <c r="K881" s="60"/>
      <c r="L881" s="60"/>
      <c r="M881" s="59">
        <f t="shared" ref="M881:M890" si="149">ROUND(ROUND(J881, 2)*I881, 2)</f>
        <v>763.39</v>
      </c>
      <c r="N881" s="60"/>
      <c r="O881" s="60"/>
      <c r="P881" s="59">
        <v>5.6</v>
      </c>
      <c r="Q881" s="60"/>
      <c r="R881" s="60"/>
      <c r="S881" s="59">
        <f t="shared" ref="S881:S890" si="150">ROUND(ROUND(P881, 2)*I881, 2)</f>
        <v>763.39</v>
      </c>
      <c r="T881" s="60"/>
      <c r="U881" s="61"/>
      <c r="V881" s="9">
        <f t="shared" ref="V881:V890" si="151">ROUND(ROUND(P881, 2)/1.2, 2)</f>
        <v>4.67</v>
      </c>
      <c r="Y881" s="9">
        <f t="shared" si="142"/>
        <v>636.16</v>
      </c>
      <c r="AD881" s="4" t="s">
        <v>2380</v>
      </c>
      <c r="AE881" s="4" t="s">
        <v>2381</v>
      </c>
      <c r="AF881" s="4" t="s">
        <v>1580</v>
      </c>
    </row>
    <row r="882" spans="1:35" ht="36" x14ac:dyDescent="0.35">
      <c r="A882" s="51" t="s">
        <v>2382</v>
      </c>
      <c r="B882" s="51"/>
      <c r="C882" s="47" t="s">
        <v>1584</v>
      </c>
      <c r="D882" s="53"/>
      <c r="E882" s="53"/>
      <c r="F882" s="57" t="s">
        <v>490</v>
      </c>
      <c r="G882" s="58">
        <v>3.6</v>
      </c>
      <c r="H882" s="53"/>
      <c r="I882" s="58">
        <v>1635.84</v>
      </c>
      <c r="J882" s="59">
        <v>15.9</v>
      </c>
      <c r="K882" s="60"/>
      <c r="L882" s="60"/>
      <c r="M882" s="59">
        <f t="shared" si="149"/>
        <v>26009.86</v>
      </c>
      <c r="N882" s="60"/>
      <c r="O882" s="60"/>
      <c r="P882" s="59">
        <v>15.9</v>
      </c>
      <c r="Q882" s="60"/>
      <c r="R882" s="60"/>
      <c r="S882" s="59">
        <f t="shared" si="150"/>
        <v>26009.86</v>
      </c>
      <c r="T882" s="60"/>
      <c r="U882" s="61"/>
      <c r="V882" s="9">
        <f t="shared" si="151"/>
        <v>13.25</v>
      </c>
      <c r="Y882" s="9">
        <f t="shared" si="142"/>
        <v>21674.880000000001</v>
      </c>
      <c r="AD882" s="4" t="s">
        <v>2383</v>
      </c>
      <c r="AE882" s="4" t="s">
        <v>2384</v>
      </c>
      <c r="AF882" s="4" t="s">
        <v>1587</v>
      </c>
    </row>
    <row r="883" spans="1:35" ht="18" x14ac:dyDescent="0.35">
      <c r="A883" s="51" t="s">
        <v>2385</v>
      </c>
      <c r="B883" s="51"/>
      <c r="C883" s="56" t="s">
        <v>1563</v>
      </c>
      <c r="D883" s="53"/>
      <c r="E883" s="53"/>
      <c r="F883" s="57" t="s">
        <v>490</v>
      </c>
      <c r="G883" s="58">
        <v>15</v>
      </c>
      <c r="H883" s="53"/>
      <c r="I883" s="58">
        <v>6816</v>
      </c>
      <c r="J883" s="59">
        <v>0.95</v>
      </c>
      <c r="K883" s="60"/>
      <c r="L883" s="60"/>
      <c r="M883" s="59">
        <f t="shared" si="149"/>
        <v>6475.2</v>
      </c>
      <c r="N883" s="60"/>
      <c r="O883" s="60"/>
      <c r="P883" s="59">
        <v>0.95</v>
      </c>
      <c r="Q883" s="60"/>
      <c r="R883" s="60"/>
      <c r="S883" s="59">
        <f t="shared" si="150"/>
        <v>6475.2</v>
      </c>
      <c r="T883" s="60"/>
      <c r="U883" s="61"/>
      <c r="V883" s="9">
        <f t="shared" si="151"/>
        <v>0.79</v>
      </c>
      <c r="Y883" s="9">
        <f t="shared" si="142"/>
        <v>5396</v>
      </c>
      <c r="AD883" s="4" t="s">
        <v>2386</v>
      </c>
      <c r="AE883" s="4" t="s">
        <v>2387</v>
      </c>
      <c r="AF883" s="4" t="s">
        <v>1566</v>
      </c>
    </row>
    <row r="884" spans="1:35" ht="18" x14ac:dyDescent="0.35">
      <c r="A884" s="51" t="s">
        <v>2388</v>
      </c>
      <c r="B884" s="51"/>
      <c r="C884" s="56" t="s">
        <v>1570</v>
      </c>
      <c r="D884" s="53"/>
      <c r="E884" s="53"/>
      <c r="F884" s="57" t="s">
        <v>498</v>
      </c>
      <c r="G884" s="58">
        <v>0.35</v>
      </c>
      <c r="H884" s="53"/>
      <c r="I884" s="58">
        <v>159.04</v>
      </c>
      <c r="J884" s="59">
        <v>55</v>
      </c>
      <c r="K884" s="60"/>
      <c r="L884" s="60"/>
      <c r="M884" s="59">
        <f t="shared" si="149"/>
        <v>8747.2000000000007</v>
      </c>
      <c r="N884" s="60"/>
      <c r="O884" s="60"/>
      <c r="P884" s="59">
        <v>55</v>
      </c>
      <c r="Q884" s="60"/>
      <c r="R884" s="60"/>
      <c r="S884" s="59">
        <f t="shared" si="150"/>
        <v>8747.2000000000007</v>
      </c>
      <c r="T884" s="60"/>
      <c r="U884" s="61"/>
      <c r="V884" s="9">
        <f t="shared" si="151"/>
        <v>45.83</v>
      </c>
      <c r="Y884" s="9">
        <f t="shared" si="142"/>
        <v>7289.33</v>
      </c>
      <c r="AD884" s="4" t="s">
        <v>2389</v>
      </c>
      <c r="AE884" s="4" t="s">
        <v>2390</v>
      </c>
      <c r="AF884" s="4" t="s">
        <v>1573</v>
      </c>
    </row>
    <row r="885" spans="1:35" ht="18" x14ac:dyDescent="0.35">
      <c r="A885" s="51" t="s">
        <v>2391</v>
      </c>
      <c r="B885" s="51"/>
      <c r="C885" s="56" t="s">
        <v>1612</v>
      </c>
      <c r="D885" s="53"/>
      <c r="E885" s="53"/>
      <c r="F885" s="57" t="s">
        <v>78</v>
      </c>
      <c r="G885" s="58">
        <v>0.25</v>
      </c>
      <c r="H885" s="53"/>
      <c r="I885" s="58">
        <v>113.6</v>
      </c>
      <c r="J885" s="59">
        <v>2.8</v>
      </c>
      <c r="K885" s="60"/>
      <c r="L885" s="60"/>
      <c r="M885" s="59">
        <f t="shared" si="149"/>
        <v>318.08</v>
      </c>
      <c r="N885" s="60"/>
      <c r="O885" s="60"/>
      <c r="P885" s="59">
        <v>2.8</v>
      </c>
      <c r="Q885" s="60"/>
      <c r="R885" s="60"/>
      <c r="S885" s="59">
        <f t="shared" si="150"/>
        <v>318.08</v>
      </c>
      <c r="T885" s="60"/>
      <c r="U885" s="61"/>
      <c r="V885" s="9">
        <f t="shared" si="151"/>
        <v>2.33</v>
      </c>
      <c r="Y885" s="9">
        <f t="shared" si="142"/>
        <v>265.07</v>
      </c>
      <c r="AD885" s="4" t="s">
        <v>2392</v>
      </c>
      <c r="AE885" s="4" t="s">
        <v>2393</v>
      </c>
      <c r="AF885" s="4" t="s">
        <v>1615</v>
      </c>
    </row>
    <row r="886" spans="1:35" ht="18" x14ac:dyDescent="0.35">
      <c r="A886" s="51" t="s">
        <v>2394</v>
      </c>
      <c r="B886" s="51"/>
      <c r="C886" s="56" t="s">
        <v>1591</v>
      </c>
      <c r="D886" s="53"/>
      <c r="E886" s="53"/>
      <c r="F886" s="57" t="s">
        <v>78</v>
      </c>
      <c r="G886" s="58">
        <v>1.2</v>
      </c>
      <c r="H886" s="53"/>
      <c r="I886" s="58">
        <v>545.28</v>
      </c>
      <c r="J886" s="59">
        <v>22.82</v>
      </c>
      <c r="K886" s="60"/>
      <c r="L886" s="60"/>
      <c r="M886" s="59">
        <f t="shared" si="149"/>
        <v>12443.29</v>
      </c>
      <c r="N886" s="60"/>
      <c r="O886" s="60"/>
      <c r="P886" s="59">
        <v>22.82</v>
      </c>
      <c r="Q886" s="60"/>
      <c r="R886" s="60"/>
      <c r="S886" s="59">
        <f t="shared" si="150"/>
        <v>12443.29</v>
      </c>
      <c r="T886" s="60"/>
      <c r="U886" s="61"/>
      <c r="V886" s="9">
        <f t="shared" si="151"/>
        <v>19.02</v>
      </c>
      <c r="Y886" s="9">
        <f t="shared" si="142"/>
        <v>10369.41</v>
      </c>
      <c r="AD886" s="4" t="s">
        <v>2395</v>
      </c>
      <c r="AE886" s="4" t="s">
        <v>2396</v>
      </c>
      <c r="AF886" s="4" t="s">
        <v>1594</v>
      </c>
    </row>
    <row r="887" spans="1:35" ht="18" x14ac:dyDescent="0.35">
      <c r="A887" s="51" t="s">
        <v>2397</v>
      </c>
      <c r="B887" s="51"/>
      <c r="C887" s="56" t="s">
        <v>1598</v>
      </c>
      <c r="D887" s="53"/>
      <c r="E887" s="53"/>
      <c r="F887" s="57" t="s">
        <v>78</v>
      </c>
      <c r="G887" s="58">
        <v>4.7</v>
      </c>
      <c r="H887" s="53"/>
      <c r="I887" s="58">
        <v>2135.6799999999998</v>
      </c>
      <c r="J887" s="59">
        <v>66.98</v>
      </c>
      <c r="K887" s="60"/>
      <c r="L887" s="60"/>
      <c r="M887" s="59">
        <f t="shared" si="149"/>
        <v>143047.85</v>
      </c>
      <c r="N887" s="60"/>
      <c r="O887" s="60"/>
      <c r="P887" s="59">
        <v>66.98</v>
      </c>
      <c r="Q887" s="60"/>
      <c r="R887" s="60"/>
      <c r="S887" s="59">
        <f t="shared" si="150"/>
        <v>143047.85</v>
      </c>
      <c r="T887" s="60"/>
      <c r="U887" s="61"/>
      <c r="V887" s="9">
        <f t="shared" si="151"/>
        <v>55.82</v>
      </c>
      <c r="Y887" s="9">
        <f t="shared" si="142"/>
        <v>119206.54</v>
      </c>
      <c r="AD887" s="4" t="s">
        <v>2398</v>
      </c>
      <c r="AE887" s="4" t="s">
        <v>2399</v>
      </c>
      <c r="AF887" s="4" t="s">
        <v>1601</v>
      </c>
    </row>
    <row r="888" spans="1:35" ht="18" x14ac:dyDescent="0.35">
      <c r="A888" s="51" t="s">
        <v>2400</v>
      </c>
      <c r="B888" s="51"/>
      <c r="C888" s="56" t="s">
        <v>1605</v>
      </c>
      <c r="D888" s="53"/>
      <c r="E888" s="53"/>
      <c r="F888" s="57" t="s">
        <v>78</v>
      </c>
      <c r="G888" s="58">
        <v>1.05</v>
      </c>
      <c r="H888" s="53"/>
      <c r="I888" s="58">
        <v>477.12</v>
      </c>
      <c r="J888" s="59">
        <v>4.5999999999999996</v>
      </c>
      <c r="K888" s="60"/>
      <c r="L888" s="60"/>
      <c r="M888" s="59">
        <f t="shared" si="149"/>
        <v>2194.75</v>
      </c>
      <c r="N888" s="60"/>
      <c r="O888" s="60"/>
      <c r="P888" s="59">
        <v>4.5999999999999996</v>
      </c>
      <c r="Q888" s="60"/>
      <c r="R888" s="60"/>
      <c r="S888" s="59">
        <f t="shared" si="150"/>
        <v>2194.75</v>
      </c>
      <c r="T888" s="60"/>
      <c r="U888" s="61"/>
      <c r="V888" s="9">
        <f t="shared" si="151"/>
        <v>3.83</v>
      </c>
      <c r="Y888" s="9">
        <f t="shared" si="142"/>
        <v>1828.96</v>
      </c>
      <c r="AD888" s="4" t="s">
        <v>2401</v>
      </c>
      <c r="AE888" s="4" t="s">
        <v>2402</v>
      </c>
      <c r="AF888" s="4" t="s">
        <v>1608</v>
      </c>
    </row>
    <row r="889" spans="1:35" ht="36" x14ac:dyDescent="0.35">
      <c r="A889" s="51" t="s">
        <v>2403</v>
      </c>
      <c r="B889" s="51"/>
      <c r="C889" s="56" t="s">
        <v>100</v>
      </c>
      <c r="D889" s="53"/>
      <c r="E889" s="53"/>
      <c r="F889" s="57" t="s">
        <v>63</v>
      </c>
      <c r="G889" s="58">
        <v>1.05</v>
      </c>
      <c r="H889" s="53"/>
      <c r="I889" s="58">
        <v>477.12</v>
      </c>
      <c r="J889" s="59">
        <v>135.53</v>
      </c>
      <c r="K889" s="60"/>
      <c r="L889" s="60"/>
      <c r="M889" s="59">
        <f t="shared" si="149"/>
        <v>64664.07</v>
      </c>
      <c r="N889" s="60"/>
      <c r="O889" s="60"/>
      <c r="P889" s="59">
        <v>135.53</v>
      </c>
      <c r="Q889" s="60"/>
      <c r="R889" s="60"/>
      <c r="S889" s="59">
        <f t="shared" si="150"/>
        <v>64664.07</v>
      </c>
      <c r="T889" s="60"/>
      <c r="U889" s="61"/>
      <c r="V889" s="9">
        <f t="shared" si="151"/>
        <v>112.94</v>
      </c>
      <c r="Y889" s="9">
        <f t="shared" si="142"/>
        <v>53886.73</v>
      </c>
      <c r="AD889" s="4" t="s">
        <v>2404</v>
      </c>
      <c r="AE889" s="4" t="s">
        <v>2405</v>
      </c>
      <c r="AF889" s="4" t="s">
        <v>103</v>
      </c>
    </row>
    <row r="890" spans="1:35" ht="18" x14ac:dyDescent="0.35">
      <c r="A890" s="51" t="s">
        <v>2406</v>
      </c>
      <c r="B890" s="51"/>
      <c r="C890" s="56" t="s">
        <v>1626</v>
      </c>
      <c r="D890" s="53"/>
      <c r="E890" s="53"/>
      <c r="F890" s="57" t="s">
        <v>490</v>
      </c>
      <c r="G890" s="58">
        <v>0.75</v>
      </c>
      <c r="H890" s="53"/>
      <c r="I890" s="58">
        <v>340.8</v>
      </c>
      <c r="J890" s="59">
        <v>2.8</v>
      </c>
      <c r="K890" s="60"/>
      <c r="L890" s="60"/>
      <c r="M890" s="59">
        <f t="shared" si="149"/>
        <v>954.24</v>
      </c>
      <c r="N890" s="60"/>
      <c r="O890" s="60"/>
      <c r="P890" s="59">
        <v>2.8</v>
      </c>
      <c r="Q890" s="60"/>
      <c r="R890" s="60"/>
      <c r="S890" s="59">
        <f t="shared" si="150"/>
        <v>954.24</v>
      </c>
      <c r="T890" s="60"/>
      <c r="U890" s="61"/>
      <c r="V890" s="9">
        <f t="shared" si="151"/>
        <v>2.33</v>
      </c>
      <c r="Y890" s="9">
        <f t="shared" si="142"/>
        <v>795.2</v>
      </c>
      <c r="AD890" s="4" t="s">
        <v>2407</v>
      </c>
      <c r="AE890" s="4" t="s">
        <v>2408</v>
      </c>
      <c r="AF890" s="4" t="s">
        <v>1629</v>
      </c>
    </row>
    <row r="891" spans="1:35" ht="108" x14ac:dyDescent="0.35">
      <c r="A891" s="51" t="s">
        <v>2409</v>
      </c>
      <c r="B891" s="51" t="s">
        <v>1831</v>
      </c>
      <c r="C891" s="52" t="s">
        <v>1832</v>
      </c>
      <c r="D891" s="53"/>
      <c r="E891" s="53" t="s">
        <v>1836</v>
      </c>
      <c r="F891" s="53" t="s">
        <v>63</v>
      </c>
      <c r="G891" s="54">
        <v>1</v>
      </c>
      <c r="H891" s="53"/>
      <c r="I891" s="54">
        <v>170.6</v>
      </c>
      <c r="J891" s="55">
        <f>IFERROR(ROUND(SUM(M892)/I891, 2),0)</f>
        <v>855.89</v>
      </c>
      <c r="K891" s="55">
        <v>963</v>
      </c>
      <c r="L891" s="55">
        <f>J891+ROUND(K891, 2)</f>
        <v>1818.8899999999999</v>
      </c>
      <c r="M891" s="55">
        <f>ROUND(J891*I891, 2)</f>
        <v>146014.82999999999</v>
      </c>
      <c r="N891" s="55">
        <f>ROUND(I891*ROUND(K891, 2), 2)</f>
        <v>164287.79999999999</v>
      </c>
      <c r="O891" s="55">
        <f>M891+N891</f>
        <v>310302.63</v>
      </c>
      <c r="P891" s="55">
        <f>IFERROR(ROUND(SUM(S892)/I891, 2),0)</f>
        <v>855.89</v>
      </c>
      <c r="Q891" s="55">
        <v>1367.46</v>
      </c>
      <c r="R891" s="55">
        <f>P891+ROUND(Q891, 2)</f>
        <v>2223.35</v>
      </c>
      <c r="S891" s="55">
        <f>ROUND(P891*I891, 2)</f>
        <v>146014.82999999999</v>
      </c>
      <c r="T891" s="55">
        <f>ROUND(I891*ROUND(Q891, 2), 2)</f>
        <v>233288.68</v>
      </c>
      <c r="U891" s="55">
        <f>S891+T891</f>
        <v>379303.51</v>
      </c>
      <c r="V891" s="9">
        <f>ROUND(P891 / 1.2, 2)</f>
        <v>713.24</v>
      </c>
      <c r="W891" s="9">
        <f>ROUND(Q891 / 1.2, 2)</f>
        <v>1139.55</v>
      </c>
      <c r="X891" s="9">
        <f>ROUND(R891 / 1.2, 2)</f>
        <v>1852.79</v>
      </c>
      <c r="Y891" s="9">
        <f t="shared" si="142"/>
        <v>121679.03</v>
      </c>
      <c r="Z891" s="9">
        <f>ROUND(T891 / 1.2, 2)</f>
        <v>194407.23</v>
      </c>
      <c r="AA891" s="9">
        <f>Y891+Z891</f>
        <v>316086.26</v>
      </c>
      <c r="AD891" s="4">
        <v>295859974</v>
      </c>
      <c r="AE891" s="4">
        <v>22502071</v>
      </c>
      <c r="AG891" s="4" t="s">
        <v>1833</v>
      </c>
      <c r="AH891" s="4" t="s">
        <v>1834</v>
      </c>
      <c r="AI891" s="4" t="s">
        <v>467</v>
      </c>
    </row>
    <row r="892" spans="1:35" ht="18" x14ac:dyDescent="0.35">
      <c r="A892" s="51" t="s">
        <v>2410</v>
      </c>
      <c r="B892" s="51"/>
      <c r="C892" s="47" t="s">
        <v>1838</v>
      </c>
      <c r="D892" s="53"/>
      <c r="E892" s="53"/>
      <c r="F892" s="57" t="s">
        <v>63</v>
      </c>
      <c r="G892" s="58">
        <v>1.1000000000000001</v>
      </c>
      <c r="H892" s="53"/>
      <c r="I892" s="62">
        <v>187.66</v>
      </c>
      <c r="J892" s="59">
        <v>778.08</v>
      </c>
      <c r="K892" s="60"/>
      <c r="L892" s="60"/>
      <c r="M892" s="59">
        <f>ROUND(ROUND(J892, 2)*I892, 2)</f>
        <v>146014.49</v>
      </c>
      <c r="N892" s="60"/>
      <c r="O892" s="60"/>
      <c r="P892" s="59">
        <v>778.08</v>
      </c>
      <c r="Q892" s="60"/>
      <c r="R892" s="60"/>
      <c r="S892" s="59">
        <f>ROUND(ROUND(P892, 2)*I892, 2)</f>
        <v>146014.49</v>
      </c>
      <c r="T892" s="60"/>
      <c r="U892" s="61"/>
      <c r="V892" s="9">
        <f>ROUND(ROUND(P892, 2)/1.2, 2)</f>
        <v>648.4</v>
      </c>
      <c r="Y892" s="9">
        <f t="shared" si="142"/>
        <v>121678.74</v>
      </c>
      <c r="AD892" s="4" t="s">
        <v>2411</v>
      </c>
      <c r="AE892" s="4" t="s">
        <v>2412</v>
      </c>
      <c r="AF892" s="4" t="s">
        <v>1841</v>
      </c>
    </row>
    <row r="893" spans="1:35" ht="17" customHeight="1" x14ac:dyDescent="0.35">
      <c r="A893" s="51" t="s">
        <v>2413</v>
      </c>
      <c r="B893" s="51" t="s">
        <v>1849</v>
      </c>
      <c r="C893" s="180" t="s">
        <v>1850</v>
      </c>
      <c r="D893" s="181"/>
      <c r="E893" s="181"/>
      <c r="F893" s="181"/>
      <c r="G893" s="181"/>
      <c r="H893" s="181"/>
      <c r="I893" s="182"/>
      <c r="J893" s="60"/>
      <c r="K893" s="60"/>
      <c r="L893" s="60"/>
      <c r="M893" s="63">
        <f>SUM(M894,M895)</f>
        <v>0</v>
      </c>
      <c r="N893" s="63">
        <f>SUM(N894,N895)</f>
        <v>1522701</v>
      </c>
      <c r="O893" s="63">
        <f>SUM(O894,O895)</f>
        <v>1522701</v>
      </c>
      <c r="P893" s="60"/>
      <c r="Q893" s="60"/>
      <c r="R893" s="60"/>
      <c r="S893" s="63">
        <f>SUM(S894,S895)</f>
        <v>0</v>
      </c>
      <c r="T893" s="63">
        <f>SUM(T894,T895)</f>
        <v>8263565.5599999996</v>
      </c>
      <c r="U893" s="63">
        <f>SUM(U894,U895)</f>
        <v>8263565.5599999996</v>
      </c>
      <c r="Y893" s="9">
        <f>SUM(Y894,Y895)</f>
        <v>0</v>
      </c>
      <c r="Z893" s="9">
        <f>SUM(Z894,Z895)</f>
        <v>6886304.6300000008</v>
      </c>
      <c r="AA893" s="9">
        <f>SUM(AA894,AA895)</f>
        <v>6886304.6300000008</v>
      </c>
      <c r="AD893" s="4">
        <v>295859975</v>
      </c>
      <c r="AE893" s="4">
        <v>22502006</v>
      </c>
    </row>
    <row r="894" spans="1:35" ht="54" x14ac:dyDescent="0.35">
      <c r="A894" s="51" t="s">
        <v>2414</v>
      </c>
      <c r="B894" s="51" t="s">
        <v>1852</v>
      </c>
      <c r="C894" s="52" t="s">
        <v>1853</v>
      </c>
      <c r="D894" s="53" t="s">
        <v>1854</v>
      </c>
      <c r="E894" s="53"/>
      <c r="F894" s="53" t="s">
        <v>1855</v>
      </c>
      <c r="G894" s="54">
        <v>1</v>
      </c>
      <c r="H894" s="53"/>
      <c r="I894" s="54">
        <v>9</v>
      </c>
      <c r="J894" s="55">
        <v>0</v>
      </c>
      <c r="K894" s="55">
        <v>169189</v>
      </c>
      <c r="L894" s="55">
        <f>J894+ROUND(K894, 2)</f>
        <v>169189</v>
      </c>
      <c r="M894" s="55">
        <v>0</v>
      </c>
      <c r="N894" s="55">
        <f>ROUND(I894*ROUND(K894, 2), 2)</f>
        <v>1522701</v>
      </c>
      <c r="O894" s="55">
        <f>M894+N894</f>
        <v>1522701</v>
      </c>
      <c r="P894" s="55">
        <v>0</v>
      </c>
      <c r="Q894" s="55">
        <v>240248.38</v>
      </c>
      <c r="R894" s="55">
        <f>P894+ROUND(Q894, 2)</f>
        <v>240248.38</v>
      </c>
      <c r="S894" s="55">
        <v>0</v>
      </c>
      <c r="T894" s="55">
        <f>ROUND(I894*ROUND(Q894, 2), 2)</f>
        <v>2162235.42</v>
      </c>
      <c r="U894" s="55">
        <f>S894+T894</f>
        <v>2162235.42</v>
      </c>
      <c r="V894" s="9"/>
      <c r="W894" s="9">
        <f>ROUND(Q894 / 1.2, 2)</f>
        <v>200206.98</v>
      </c>
      <c r="X894" s="9">
        <f>ROUND(R894 / 1.2, 2)</f>
        <v>200206.98</v>
      </c>
      <c r="Y894" s="9"/>
      <c r="Z894" s="9">
        <f>ROUND(T894 / 1.2, 2)</f>
        <v>1801862.85</v>
      </c>
      <c r="AA894" s="9">
        <f>Y894+Z894</f>
        <v>1801862.85</v>
      </c>
      <c r="AD894" s="4">
        <v>295859977</v>
      </c>
      <c r="AE894" s="4">
        <v>22502015</v>
      </c>
      <c r="AG894" s="4" t="s">
        <v>1856</v>
      </c>
      <c r="AH894" s="4" t="s">
        <v>1857</v>
      </c>
      <c r="AI894" s="4" t="s">
        <v>467</v>
      </c>
    </row>
    <row r="895" spans="1:35" ht="36" x14ac:dyDescent="0.35">
      <c r="A895" s="51" t="s">
        <v>2415</v>
      </c>
      <c r="B895" s="51" t="s">
        <v>2416</v>
      </c>
      <c r="C895" s="52" t="s">
        <v>2417</v>
      </c>
      <c r="D895" s="53" t="s">
        <v>2418</v>
      </c>
      <c r="E895" s="53"/>
      <c r="F895" s="53" t="s">
        <v>2419</v>
      </c>
      <c r="G895" s="54">
        <v>1</v>
      </c>
      <c r="H895" s="53"/>
      <c r="I895" s="54">
        <v>1</v>
      </c>
      <c r="J895" s="55">
        <v>0</v>
      </c>
      <c r="K895" s="55">
        <v>0</v>
      </c>
      <c r="L895" s="55">
        <f>J895+ROUND(K895, 2)</f>
        <v>0</v>
      </c>
      <c r="M895" s="55">
        <v>0</v>
      </c>
      <c r="N895" s="55">
        <f>ROUND(I895*ROUND(K895, 2), 2)</f>
        <v>0</v>
      </c>
      <c r="O895" s="55">
        <f>M895+N895</f>
        <v>0</v>
      </c>
      <c r="P895" s="55">
        <v>0</v>
      </c>
      <c r="Q895" s="55">
        <v>6101330.1399999997</v>
      </c>
      <c r="R895" s="55">
        <f>P895+ROUND(Q895, 2)</f>
        <v>6101330.1399999997</v>
      </c>
      <c r="S895" s="55">
        <v>0</v>
      </c>
      <c r="T895" s="55">
        <f>ROUND(I895*ROUND(Q895, 2), 2)</f>
        <v>6101330.1399999997</v>
      </c>
      <c r="U895" s="55">
        <f>S895+T895</f>
        <v>6101330.1399999997</v>
      </c>
      <c r="V895" s="9"/>
      <c r="W895" s="9">
        <f>ROUND(Q895 / 1.2, 2)</f>
        <v>5084441.78</v>
      </c>
      <c r="X895" s="9">
        <f>ROUND(R895 / 1.2, 2)</f>
        <v>5084441.78</v>
      </c>
      <c r="Y895" s="9"/>
      <c r="Z895" s="9">
        <f>ROUND(T895 / 1.2, 2)</f>
        <v>5084441.78</v>
      </c>
      <c r="AA895" s="9">
        <f>Y895+Z895</f>
        <v>5084441.78</v>
      </c>
      <c r="AD895" s="4">
        <v>295859979</v>
      </c>
      <c r="AE895" s="4">
        <v>22599661</v>
      </c>
      <c r="AG895" s="4" t="s">
        <v>2420</v>
      </c>
      <c r="AH895" s="4" t="s">
        <v>2421</v>
      </c>
      <c r="AI895" s="4" t="s">
        <v>467</v>
      </c>
    </row>
    <row r="896" spans="1:35" ht="24" customHeight="1" x14ac:dyDescent="0.35">
      <c r="A896" s="64"/>
      <c r="B896" s="64"/>
      <c r="C896" s="64"/>
      <c r="D896" s="65" t="s">
        <v>2422</v>
      </c>
      <c r="E896" s="64"/>
      <c r="F896" s="64"/>
      <c r="G896" s="64"/>
      <c r="H896" s="64"/>
      <c r="I896" s="64"/>
      <c r="J896" s="64"/>
      <c r="K896" s="64"/>
      <c r="L896" s="64"/>
      <c r="M896" s="66">
        <f>SUM(M8,M663)</f>
        <v>65084872.160000004</v>
      </c>
      <c r="N896" s="66">
        <f>SUM(N8,N663)</f>
        <v>85694697.920000002</v>
      </c>
      <c r="O896" s="66">
        <f>M896+N896</f>
        <v>150779570.08000001</v>
      </c>
      <c r="P896" s="64"/>
      <c r="Q896" s="64"/>
      <c r="R896" s="64"/>
      <c r="S896" s="66">
        <f>SUM(S8,S663)</f>
        <v>65084872.160000004</v>
      </c>
      <c r="T896" s="66">
        <f>SUM(T8,T663)</f>
        <v>128127932.99000001</v>
      </c>
      <c r="U896" s="66">
        <f>S896+T896</f>
        <v>193212805.15000001</v>
      </c>
      <c r="Y896" s="9">
        <f>SUM(Y8,Y663)</f>
        <v>54237393.520000003</v>
      </c>
      <c r="Z896" s="9">
        <f>SUM(Z8,Z663)</f>
        <v>106773277.51000001</v>
      </c>
      <c r="AA896" s="9">
        <f>Y896+Z896</f>
        <v>161010671.03</v>
      </c>
    </row>
  </sheetData>
  <sheetProtection password="C644" sheet="1" formatColumns="0" autoFilter="0"/>
  <autoFilter ref="A7:U7" xr:uid="{00000000-0009-0000-0000-000000000000}"/>
  <mergeCells count="67">
    <mergeCell ref="C893:I893"/>
    <mergeCell ref="C816:I816"/>
    <mergeCell ref="C830:I830"/>
    <mergeCell ref="C831:I831"/>
    <mergeCell ref="C840:I840"/>
    <mergeCell ref="C853:I853"/>
    <mergeCell ref="C722:I722"/>
    <mergeCell ref="C734:I734"/>
    <mergeCell ref="C757:I757"/>
    <mergeCell ref="C809:I809"/>
    <mergeCell ref="C810:I810"/>
    <mergeCell ref="C669:I669"/>
    <mergeCell ref="C718:I718"/>
    <mergeCell ref="C719:I719"/>
    <mergeCell ref="C720:I720"/>
    <mergeCell ref="C721:I721"/>
    <mergeCell ref="C664:I664"/>
    <mergeCell ref="C665:I665"/>
    <mergeCell ref="C666:I666"/>
    <mergeCell ref="C667:I667"/>
    <mergeCell ref="C668:I668"/>
    <mergeCell ref="C477:I477"/>
    <mergeCell ref="C502:I502"/>
    <mergeCell ref="C539:I539"/>
    <mergeCell ref="C659:I659"/>
    <mergeCell ref="A663:I663"/>
    <mergeCell ref="C262:I262"/>
    <mergeCell ref="C419:I419"/>
    <mergeCell ref="C420:I420"/>
    <mergeCell ref="C436:I436"/>
    <mergeCell ref="C476:I476"/>
    <mergeCell ref="C158:I158"/>
    <mergeCell ref="C159:I159"/>
    <mergeCell ref="C160:I160"/>
    <mergeCell ref="C161:I161"/>
    <mergeCell ref="C195:I195"/>
    <mergeCell ref="C11:I11"/>
    <mergeCell ref="C12:I12"/>
    <mergeCell ref="C13:I13"/>
    <mergeCell ref="C14:I14"/>
    <mergeCell ref="C157:I157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04"/>
  <sheetViews>
    <sheetView zoomScale="64" zoomScaleNormal="64" workbookViewId="0">
      <pane xSplit="9" ySplit="7" topLeftCell="O675" activePane="bottomRight" state="frozen"/>
      <selection pane="topRight"/>
      <selection pane="bottomLeft"/>
      <selection pane="bottomRight" sqref="A1:XFD1048576"/>
    </sheetView>
  </sheetViews>
  <sheetFormatPr defaultRowHeight="14.5" x14ac:dyDescent="0.35"/>
  <cols>
    <col min="1" max="1" width="20" customWidth="1"/>
    <col min="2" max="2" width="21.7265625" bestFit="1" customWidth="1"/>
    <col min="3" max="3" width="55.6328125" customWidth="1"/>
    <col min="4" max="5" width="38" customWidth="1"/>
    <col min="6" max="7" width="16.453125" customWidth="1"/>
    <col min="8" max="8" width="16" customWidth="1"/>
    <col min="9" max="9" width="16.81640625" customWidth="1"/>
    <col min="10" max="10" width="16" customWidth="1"/>
    <col min="11" max="11" width="17" customWidth="1"/>
    <col min="12" max="12" width="17.6328125" customWidth="1"/>
    <col min="13" max="13" width="18" customWidth="1"/>
    <col min="14" max="14" width="18.81640625" customWidth="1"/>
    <col min="15" max="15" width="23.6328125" customWidth="1"/>
    <col min="16" max="16" width="16" customWidth="1"/>
    <col min="17" max="17" width="17" customWidth="1"/>
    <col min="18" max="18" width="17.6328125" customWidth="1"/>
    <col min="19" max="19" width="18" customWidth="1"/>
    <col min="20" max="20" width="18.81640625" customWidth="1"/>
    <col min="21" max="21" width="23.6328125" customWidth="1"/>
    <col min="22" max="35" width="9.08984375" hidden="1"/>
  </cols>
  <sheetData>
    <row r="1" spans="1:35" ht="15" customHeight="1" x14ac:dyDescent="0.35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2423</v>
      </c>
      <c r="H1" s="2" t="s">
        <v>2424</v>
      </c>
      <c r="I1" s="2" t="s">
        <v>2425</v>
      </c>
      <c r="J1" s="2" t="s">
        <v>2426</v>
      </c>
      <c r="K1" s="2" t="s">
        <v>2427</v>
      </c>
      <c r="L1" s="2" t="s">
        <v>2428</v>
      </c>
      <c r="M1" s="2" t="s">
        <v>2429</v>
      </c>
      <c r="N1" s="3"/>
      <c r="O1" s="3"/>
      <c r="P1" s="3"/>
      <c r="Q1" s="3"/>
      <c r="R1" s="3"/>
      <c r="S1" s="3"/>
      <c r="T1" s="3"/>
      <c r="U1" s="3"/>
      <c r="AC1" s="4" t="s">
        <v>17</v>
      </c>
      <c r="AD1" s="4" t="s">
        <v>18</v>
      </c>
      <c r="AE1" s="4" t="s">
        <v>19</v>
      </c>
      <c r="AF1" s="4" t="s">
        <v>20</v>
      </c>
      <c r="AG1" s="4" t="s">
        <v>21</v>
      </c>
      <c r="AH1" s="4" t="s">
        <v>22</v>
      </c>
      <c r="AI1" s="4" t="s">
        <v>23</v>
      </c>
    </row>
    <row r="2" spans="1:35" ht="30.75" customHeight="1" x14ac:dyDescent="0.35">
      <c r="A2" s="157" t="s">
        <v>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</row>
    <row r="3" spans="1:35" ht="15" customHeight="1" x14ac:dyDescent="0.35">
      <c r="A3" s="158" t="s">
        <v>5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</row>
    <row r="4" spans="1:35" ht="15" customHeight="1" x14ac:dyDescent="0.35">
      <c r="A4" s="159" t="s">
        <v>6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35" ht="40.75" customHeight="1" x14ac:dyDescent="0.35">
      <c r="A5" s="166" t="s">
        <v>24</v>
      </c>
      <c r="B5" s="166" t="s">
        <v>25</v>
      </c>
      <c r="C5" s="166" t="s">
        <v>26</v>
      </c>
      <c r="D5" s="166" t="s">
        <v>27</v>
      </c>
      <c r="E5" s="166" t="s">
        <v>28</v>
      </c>
      <c r="F5" s="166" t="s">
        <v>29</v>
      </c>
      <c r="G5" s="166" t="s">
        <v>30</v>
      </c>
      <c r="H5" s="166" t="s">
        <v>31</v>
      </c>
      <c r="I5" s="166" t="s">
        <v>32</v>
      </c>
      <c r="J5" s="160" t="s">
        <v>7</v>
      </c>
      <c r="K5" s="161"/>
      <c r="L5" s="161"/>
      <c r="M5" s="161"/>
      <c r="N5" s="161"/>
      <c r="O5" s="162"/>
      <c r="P5" s="163" t="s">
        <v>8</v>
      </c>
      <c r="Q5" s="164"/>
      <c r="R5" s="165"/>
      <c r="S5" s="163" t="s">
        <v>9</v>
      </c>
      <c r="T5" s="164"/>
      <c r="U5" s="165"/>
    </row>
    <row r="6" spans="1:35" ht="15.75" customHeight="1" x14ac:dyDescent="0.35">
      <c r="A6" s="167"/>
      <c r="B6" s="167"/>
      <c r="C6" s="167"/>
      <c r="D6" s="167"/>
      <c r="E6" s="167"/>
      <c r="F6" s="167"/>
      <c r="G6" s="167"/>
      <c r="H6" s="167"/>
      <c r="I6" s="167"/>
      <c r="J6" s="169" t="s">
        <v>33</v>
      </c>
      <c r="K6" s="170"/>
      <c r="L6" s="166" t="s">
        <v>33</v>
      </c>
      <c r="M6" s="169" t="s">
        <v>36</v>
      </c>
      <c r="N6" s="170"/>
      <c r="O6" s="166" t="s">
        <v>37</v>
      </c>
      <c r="P6" s="169" t="s">
        <v>33</v>
      </c>
      <c r="Q6" s="170"/>
      <c r="R6" s="166" t="s">
        <v>33</v>
      </c>
      <c r="S6" s="169" t="s">
        <v>36</v>
      </c>
      <c r="T6" s="170"/>
      <c r="U6" s="166" t="s">
        <v>37</v>
      </c>
    </row>
    <row r="7" spans="1:35" ht="31.25" customHeight="1" x14ac:dyDescent="0.35">
      <c r="A7" s="168"/>
      <c r="B7" s="168"/>
      <c r="C7" s="168"/>
      <c r="D7" s="168"/>
      <c r="E7" s="168"/>
      <c r="F7" s="168"/>
      <c r="G7" s="168"/>
      <c r="H7" s="168"/>
      <c r="I7" s="168"/>
      <c r="J7" s="5" t="s">
        <v>34</v>
      </c>
      <c r="K7" s="5" t="s">
        <v>35</v>
      </c>
      <c r="L7" s="168"/>
      <c r="M7" s="5" t="s">
        <v>34</v>
      </c>
      <c r="N7" s="5" t="s">
        <v>35</v>
      </c>
      <c r="O7" s="168"/>
      <c r="P7" s="5" t="s">
        <v>34</v>
      </c>
      <c r="Q7" s="5" t="s">
        <v>35</v>
      </c>
      <c r="R7" s="168"/>
      <c r="S7" s="5" t="s">
        <v>34</v>
      </c>
      <c r="T7" s="5" t="s">
        <v>35</v>
      </c>
      <c r="U7" s="168"/>
    </row>
    <row r="8" spans="1:35" ht="30" customHeight="1" x14ac:dyDescent="0.35">
      <c r="A8" s="171" t="s">
        <v>38</v>
      </c>
      <c r="B8" s="172"/>
      <c r="C8" s="172"/>
      <c r="D8" s="172"/>
      <c r="E8" s="172"/>
      <c r="F8" s="172"/>
      <c r="G8" s="172"/>
      <c r="H8" s="172"/>
      <c r="I8" s="173"/>
      <c r="J8" s="7"/>
      <c r="K8" s="7"/>
      <c r="L8" s="7"/>
      <c r="M8" s="8">
        <f>SUM(M9)</f>
        <v>0</v>
      </c>
      <c r="N8" s="8">
        <f>SUM(N9)</f>
        <v>0</v>
      </c>
      <c r="O8" s="8">
        <f>SUM(O9)</f>
        <v>0</v>
      </c>
      <c r="P8" s="7"/>
      <c r="Q8" s="7"/>
      <c r="R8" s="7"/>
      <c r="S8" s="8">
        <f>SUM(S9)</f>
        <v>0</v>
      </c>
      <c r="T8" s="8">
        <f>SUM(T9)</f>
        <v>0</v>
      </c>
      <c r="U8" s="8">
        <f>SUM(U9)</f>
        <v>0</v>
      </c>
      <c r="Y8" s="9">
        <f>SUM(Y9)</f>
        <v>0</v>
      </c>
      <c r="Z8" s="9">
        <f>SUM(Z9)</f>
        <v>0</v>
      </c>
      <c r="AA8" s="9">
        <f>SUM(AA9)</f>
        <v>0</v>
      </c>
      <c r="AC8" s="4" t="s">
        <v>39</v>
      </c>
    </row>
    <row r="9" spans="1:35" ht="17" customHeight="1" x14ac:dyDescent="0.35">
      <c r="A9" s="10" t="s">
        <v>40</v>
      </c>
      <c r="B9" s="10" t="s">
        <v>41</v>
      </c>
      <c r="C9" s="174" t="s">
        <v>42</v>
      </c>
      <c r="D9" s="175"/>
      <c r="E9" s="175"/>
      <c r="F9" s="175"/>
      <c r="G9" s="175"/>
      <c r="H9" s="175"/>
      <c r="I9" s="176"/>
      <c r="M9" s="6">
        <f>SUM(M10,M110)</f>
        <v>0</v>
      </c>
      <c r="N9" s="6">
        <f>SUM(N10,N110)</f>
        <v>0</v>
      </c>
      <c r="O9" s="6">
        <f>SUM(O10,O110)</f>
        <v>0</v>
      </c>
      <c r="S9" s="6">
        <f>SUM(S10,S110)</f>
        <v>0</v>
      </c>
      <c r="T9" s="6">
        <f>SUM(T10,T110)</f>
        <v>0</v>
      </c>
      <c r="U9" s="6">
        <f>SUM(U10,U110)</f>
        <v>0</v>
      </c>
      <c r="Y9" s="9">
        <f>SUM(Y10,Y110)</f>
        <v>0</v>
      </c>
      <c r="Z9" s="9">
        <f>SUM(Z10,Z110)</f>
        <v>0</v>
      </c>
      <c r="AA9" s="9">
        <f>SUM(AA10,AA110)</f>
        <v>0</v>
      </c>
      <c r="AD9" s="4">
        <v>305116928</v>
      </c>
      <c r="AE9" s="4">
        <v>20926424</v>
      </c>
    </row>
    <row r="10" spans="1:35" ht="17" customHeight="1" x14ac:dyDescent="0.35">
      <c r="A10" s="10" t="s">
        <v>43</v>
      </c>
      <c r="B10" s="10" t="s">
        <v>44</v>
      </c>
      <c r="C10" s="174" t="s">
        <v>45</v>
      </c>
      <c r="D10" s="175"/>
      <c r="E10" s="175"/>
      <c r="F10" s="175"/>
      <c r="G10" s="175"/>
      <c r="H10" s="175"/>
      <c r="I10" s="176"/>
      <c r="M10" s="6">
        <f t="shared" ref="M10:O13" si="0">SUM(M11)</f>
        <v>0</v>
      </c>
      <c r="N10" s="6">
        <f t="shared" si="0"/>
        <v>0</v>
      </c>
      <c r="O10" s="6">
        <f t="shared" si="0"/>
        <v>0</v>
      </c>
      <c r="S10" s="6">
        <f t="shared" ref="S10:U13" si="1">SUM(S11)</f>
        <v>0</v>
      </c>
      <c r="T10" s="6">
        <f t="shared" si="1"/>
        <v>0</v>
      </c>
      <c r="U10" s="6">
        <f t="shared" si="1"/>
        <v>0</v>
      </c>
      <c r="Y10" s="9">
        <f t="shared" ref="Y10:AA13" si="2">SUM(Y11)</f>
        <v>0</v>
      </c>
      <c r="Z10" s="9">
        <f t="shared" si="2"/>
        <v>0</v>
      </c>
      <c r="AA10" s="9">
        <f t="shared" si="2"/>
        <v>0</v>
      </c>
      <c r="AD10" s="4">
        <v>305116929</v>
      </c>
      <c r="AE10" s="4">
        <v>20927485</v>
      </c>
    </row>
    <row r="11" spans="1:35" ht="17" customHeight="1" x14ac:dyDescent="0.35">
      <c r="A11" s="10" t="s">
        <v>46</v>
      </c>
      <c r="B11" s="10" t="s">
        <v>47</v>
      </c>
      <c r="C11" s="174" t="s">
        <v>48</v>
      </c>
      <c r="D11" s="175"/>
      <c r="E11" s="175"/>
      <c r="F11" s="175"/>
      <c r="G11" s="175"/>
      <c r="H11" s="175"/>
      <c r="I11" s="176"/>
      <c r="M11" s="6">
        <f t="shared" si="0"/>
        <v>0</v>
      </c>
      <c r="N11" s="6">
        <f t="shared" si="0"/>
        <v>0</v>
      </c>
      <c r="O11" s="6">
        <f t="shared" si="0"/>
        <v>0</v>
      </c>
      <c r="S11" s="6">
        <f t="shared" si="1"/>
        <v>0</v>
      </c>
      <c r="T11" s="6">
        <f t="shared" si="1"/>
        <v>0</v>
      </c>
      <c r="U11" s="6">
        <f t="shared" si="1"/>
        <v>0</v>
      </c>
      <c r="Y11" s="9">
        <f t="shared" si="2"/>
        <v>0</v>
      </c>
      <c r="Z11" s="9">
        <f t="shared" si="2"/>
        <v>0</v>
      </c>
      <c r="AA11" s="9">
        <f t="shared" si="2"/>
        <v>0</v>
      </c>
      <c r="AD11" s="4">
        <v>305116930</v>
      </c>
      <c r="AE11" s="4">
        <v>20927483</v>
      </c>
    </row>
    <row r="12" spans="1:35" ht="17" customHeight="1" x14ac:dyDescent="0.35">
      <c r="A12" s="10" t="s">
        <v>49</v>
      </c>
      <c r="B12" s="10" t="s">
        <v>50</v>
      </c>
      <c r="C12" s="174" t="s">
        <v>51</v>
      </c>
      <c r="D12" s="175"/>
      <c r="E12" s="175"/>
      <c r="F12" s="175"/>
      <c r="G12" s="175"/>
      <c r="H12" s="175"/>
      <c r="I12" s="176"/>
      <c r="M12" s="6">
        <f t="shared" si="0"/>
        <v>0</v>
      </c>
      <c r="N12" s="6">
        <f t="shared" si="0"/>
        <v>0</v>
      </c>
      <c r="O12" s="6">
        <f t="shared" si="0"/>
        <v>0</v>
      </c>
      <c r="S12" s="6">
        <f t="shared" si="1"/>
        <v>0</v>
      </c>
      <c r="T12" s="6">
        <f t="shared" si="1"/>
        <v>0</v>
      </c>
      <c r="U12" s="6">
        <f t="shared" si="1"/>
        <v>0</v>
      </c>
      <c r="Y12" s="9">
        <f t="shared" si="2"/>
        <v>0</v>
      </c>
      <c r="Z12" s="9">
        <f t="shared" si="2"/>
        <v>0</v>
      </c>
      <c r="AA12" s="9">
        <f t="shared" si="2"/>
        <v>0</v>
      </c>
      <c r="AD12" s="4">
        <v>305116931</v>
      </c>
      <c r="AE12" s="4">
        <v>20927480</v>
      </c>
    </row>
    <row r="13" spans="1:35" ht="17" customHeight="1" x14ac:dyDescent="0.35">
      <c r="A13" s="10" t="s">
        <v>52</v>
      </c>
      <c r="B13" s="10" t="s">
        <v>53</v>
      </c>
      <c r="C13" s="174" t="s">
        <v>54</v>
      </c>
      <c r="D13" s="175"/>
      <c r="E13" s="175"/>
      <c r="F13" s="175"/>
      <c r="G13" s="175"/>
      <c r="H13" s="175"/>
      <c r="I13" s="176"/>
      <c r="M13" s="6">
        <f t="shared" si="0"/>
        <v>0</v>
      </c>
      <c r="N13" s="6">
        <f t="shared" si="0"/>
        <v>0</v>
      </c>
      <c r="O13" s="6">
        <f t="shared" si="0"/>
        <v>0</v>
      </c>
      <c r="S13" s="6">
        <f t="shared" si="1"/>
        <v>0</v>
      </c>
      <c r="T13" s="6">
        <f t="shared" si="1"/>
        <v>0</v>
      </c>
      <c r="U13" s="6">
        <f t="shared" si="1"/>
        <v>0</v>
      </c>
      <c r="Y13" s="9">
        <f t="shared" si="2"/>
        <v>0</v>
      </c>
      <c r="Z13" s="9">
        <f t="shared" si="2"/>
        <v>0</v>
      </c>
      <c r="AA13" s="9">
        <f t="shared" si="2"/>
        <v>0</v>
      </c>
      <c r="AD13" s="4">
        <v>305116932</v>
      </c>
      <c r="AE13" s="4">
        <v>20927484</v>
      </c>
    </row>
    <row r="14" spans="1:35" ht="17" customHeight="1" x14ac:dyDescent="0.35">
      <c r="A14" s="10" t="s">
        <v>55</v>
      </c>
      <c r="B14" s="10" t="s">
        <v>56</v>
      </c>
      <c r="C14" s="174" t="s">
        <v>57</v>
      </c>
      <c r="D14" s="175"/>
      <c r="E14" s="175"/>
      <c r="F14" s="175"/>
      <c r="G14" s="175"/>
      <c r="H14" s="175"/>
      <c r="I14" s="176"/>
      <c r="M14" s="6">
        <f>SUM(M15,M21,M27,M33,M38,M44,M50,M56,M62,M68,M74,M80,M86,M92,M98,M104)</f>
        <v>0</v>
      </c>
      <c r="N14" s="6">
        <f>SUM(N15,N21,N27,N33,N38,N44,N50,N56,N62,N68,N74,N80,N86,N92,N98,N104)</f>
        <v>0</v>
      </c>
      <c r="O14" s="6">
        <f>SUM(O15,O21,O27,O33,O38,O44,O50,O56,O62,O68,O74,O80,O86,O92,O98,O104)</f>
        <v>0</v>
      </c>
      <c r="S14" s="6">
        <f>SUM(S15,S21,S27,S33,S38,S44,S50,S56,S62,S68,S74,S80,S86,S92,S98,S104)</f>
        <v>0</v>
      </c>
      <c r="T14" s="6">
        <f>SUM(T15,T21,T27,T33,T38,T44,T50,T56,T62,T68,T74,T80,T86,T92,T98,T104)</f>
        <v>0</v>
      </c>
      <c r="U14" s="6">
        <f>SUM(U15,U21,U27,U33,U38,U44,U50,U56,U62,U68,U74,U80,U86,U92,U98,U104)</f>
        <v>0</v>
      </c>
      <c r="Y14" s="9">
        <f>SUM(Y15,Y21,Y27,Y33,Y38,Y44,Y50,Y56,Y62,Y68,Y74,Y80,Y86,Y92,Y98,Y104)</f>
        <v>0</v>
      </c>
      <c r="Z14" s="9">
        <f>SUM(Z15,Z21,Z27,Z33,Z38,Z44,Z50,Z56,Z62,Z68,Z74,Z80,Z86,Z92,Z98,Z104)</f>
        <v>0</v>
      </c>
      <c r="AA14" s="9">
        <f>SUM(AA15,AA21,AA27,AA33,AA38,AA44,AA50,AA56,AA62,AA68,AA74,AA80,AA86,AA92,AA98,AA104)</f>
        <v>0</v>
      </c>
      <c r="AD14" s="4">
        <v>305116933</v>
      </c>
      <c r="AE14" s="4">
        <v>20927481</v>
      </c>
    </row>
    <row r="15" spans="1:35" ht="252" x14ac:dyDescent="0.35">
      <c r="A15" s="10" t="s">
        <v>58</v>
      </c>
      <c r="B15" s="10" t="s">
        <v>59</v>
      </c>
      <c r="C15" s="11" t="s">
        <v>60</v>
      </c>
      <c r="D15" s="12" t="s">
        <v>61</v>
      </c>
      <c r="E15" s="12" t="s">
        <v>62</v>
      </c>
      <c r="F15" s="12" t="s">
        <v>63</v>
      </c>
      <c r="G15" s="13">
        <v>1</v>
      </c>
      <c r="H15" s="13"/>
      <c r="I15" s="13">
        <v>0</v>
      </c>
      <c r="J15" s="14">
        <v>1117.5999999999999</v>
      </c>
      <c r="K15" s="15">
        <v>1991</v>
      </c>
      <c r="L15" s="14">
        <f>J15+ROUND(K15, 2)</f>
        <v>3108.6</v>
      </c>
      <c r="M15" s="14">
        <v>0</v>
      </c>
      <c r="N15" s="14">
        <v>0</v>
      </c>
      <c r="O15" s="14">
        <f>M15+N15</f>
        <v>0</v>
      </c>
      <c r="P15" s="14">
        <v>1117.5999999999999</v>
      </c>
      <c r="Q15" s="15">
        <v>1991</v>
      </c>
      <c r="R15" s="14">
        <f>P15+ROUND(Q15, 2)</f>
        <v>3108.6</v>
      </c>
      <c r="S15" s="14">
        <v>0</v>
      </c>
      <c r="T15" s="14">
        <v>0</v>
      </c>
      <c r="U15" s="14">
        <f>S15+T15</f>
        <v>0</v>
      </c>
      <c r="V15" s="9">
        <f>ROUND(P15 / 1.2, 2)</f>
        <v>931.33</v>
      </c>
      <c r="W15" s="9">
        <f>ROUND(Q15 / 1.2, 2)</f>
        <v>1659.17</v>
      </c>
      <c r="X15" s="9">
        <f>ROUND(R15 / 1.2, 2)</f>
        <v>2590.5</v>
      </c>
      <c r="Y15" s="9">
        <f>ROUND(S15 / 1.2, 2)</f>
        <v>0</v>
      </c>
      <c r="Z15" s="9">
        <f>ROUND(T15 / 1.2, 2)</f>
        <v>0</v>
      </c>
      <c r="AA15" s="9">
        <f>Y15+Z15</f>
        <v>0</v>
      </c>
      <c r="AD15" s="4">
        <v>305116935</v>
      </c>
      <c r="AE15" s="4">
        <v>20927486</v>
      </c>
      <c r="AG15" s="4" t="s">
        <v>64</v>
      </c>
      <c r="AH15" s="4" t="s">
        <v>65</v>
      </c>
      <c r="AI15" s="4" t="s">
        <v>66</v>
      </c>
    </row>
    <row r="16" spans="1:35" ht="54" x14ac:dyDescent="0.35">
      <c r="A16" s="10" t="s">
        <v>68</v>
      </c>
      <c r="B16" s="10"/>
      <c r="C16" s="28" t="s">
        <v>69</v>
      </c>
      <c r="D16" s="12"/>
      <c r="E16" s="12"/>
      <c r="F16" s="29" t="s">
        <v>70</v>
      </c>
      <c r="G16" s="30">
        <v>1</v>
      </c>
      <c r="H16" s="30"/>
      <c r="I16" s="30">
        <v>0</v>
      </c>
      <c r="J16" s="31">
        <v>88.35</v>
      </c>
      <c r="M16" s="32">
        <f>ROUND(ROUND(J16, 2)*I16, 2)</f>
        <v>0</v>
      </c>
      <c r="P16" s="31">
        <v>88.35</v>
      </c>
      <c r="S16" s="32">
        <f>ROUND(ROUND(P16, 2)*I16, 2)</f>
        <v>0</v>
      </c>
      <c r="V16" s="9">
        <f>ROUND(ROUND(P16, 2)/1.2, 2)</f>
        <v>73.63</v>
      </c>
      <c r="Y16" s="9">
        <f t="shared" ref="Y16:Y47" si="3">ROUND(S16 / 1.2, 2)</f>
        <v>0</v>
      </c>
      <c r="AD16" s="4" t="s">
        <v>71</v>
      </c>
      <c r="AE16" s="4" t="s">
        <v>72</v>
      </c>
      <c r="AF16" s="4" t="s">
        <v>73</v>
      </c>
    </row>
    <row r="17" spans="1:35" ht="18" x14ac:dyDescent="0.35">
      <c r="A17" s="10" t="s">
        <v>76</v>
      </c>
      <c r="B17" s="10"/>
      <c r="C17" s="47" t="s">
        <v>77</v>
      </c>
      <c r="D17" s="12"/>
      <c r="E17" s="12"/>
      <c r="F17" s="29" t="s">
        <v>78</v>
      </c>
      <c r="G17" s="30">
        <v>0.8</v>
      </c>
      <c r="H17" s="49"/>
      <c r="I17" s="49">
        <v>0</v>
      </c>
      <c r="J17" s="31">
        <v>63.73</v>
      </c>
      <c r="M17" s="32">
        <f>ROUND(ROUND(J17, 2)*I17, 2)</f>
        <v>0</v>
      </c>
      <c r="P17" s="31">
        <v>63.73</v>
      </c>
      <c r="S17" s="32">
        <f>ROUND(ROUND(P17, 2)*I17, 2)</f>
        <v>0</v>
      </c>
      <c r="V17" s="9">
        <f>ROUND(ROUND(P17, 2)/1.2, 2)</f>
        <v>53.11</v>
      </c>
      <c r="Y17" s="9">
        <f t="shared" si="3"/>
        <v>0</v>
      </c>
      <c r="AD17" s="4" t="s">
        <v>79</v>
      </c>
      <c r="AE17" s="4" t="s">
        <v>80</v>
      </c>
      <c r="AF17" s="4" t="s">
        <v>81</v>
      </c>
    </row>
    <row r="18" spans="1:35" ht="18" x14ac:dyDescent="0.35">
      <c r="A18" s="10" t="s">
        <v>84</v>
      </c>
      <c r="B18" s="10"/>
      <c r="C18" s="47" t="s">
        <v>85</v>
      </c>
      <c r="D18" s="12"/>
      <c r="E18" s="12"/>
      <c r="F18" s="29" t="s">
        <v>78</v>
      </c>
      <c r="G18" s="30">
        <v>2.1</v>
      </c>
      <c r="H18" s="49"/>
      <c r="I18" s="49">
        <v>0</v>
      </c>
      <c r="J18" s="31">
        <v>95.07</v>
      </c>
      <c r="M18" s="32">
        <f>ROUND(ROUND(J18, 2)*I18, 2)</f>
        <v>0</v>
      </c>
      <c r="P18" s="31">
        <v>95.07</v>
      </c>
      <c r="S18" s="32">
        <f>ROUND(ROUND(P18, 2)*I18, 2)</f>
        <v>0</v>
      </c>
      <c r="V18" s="9">
        <f>ROUND(ROUND(P18, 2)/1.2, 2)</f>
        <v>79.23</v>
      </c>
      <c r="Y18" s="9">
        <f t="shared" si="3"/>
        <v>0</v>
      </c>
      <c r="AD18" s="4" t="s">
        <v>86</v>
      </c>
      <c r="AE18" s="4" t="s">
        <v>87</v>
      </c>
      <c r="AF18" s="4" t="s">
        <v>88</v>
      </c>
    </row>
    <row r="19" spans="1:35" ht="36" x14ac:dyDescent="0.35">
      <c r="A19" s="10" t="s">
        <v>91</v>
      </c>
      <c r="B19" s="10"/>
      <c r="C19" s="47" t="s">
        <v>92</v>
      </c>
      <c r="D19" s="12"/>
      <c r="E19" s="12"/>
      <c r="F19" s="29" t="s">
        <v>93</v>
      </c>
      <c r="G19" s="30">
        <v>5.1999999999999998E-2</v>
      </c>
      <c r="H19" s="30"/>
      <c r="I19" s="30">
        <v>0</v>
      </c>
      <c r="J19" s="31">
        <v>4026.8</v>
      </c>
      <c r="M19" s="32">
        <f>ROUND(ROUND(J19, 2)*I19, 2)</f>
        <v>0</v>
      </c>
      <c r="P19" s="31">
        <v>4026.8</v>
      </c>
      <c r="S19" s="32">
        <f>ROUND(ROUND(P19, 2)*I19, 2)</f>
        <v>0</v>
      </c>
      <c r="V19" s="9">
        <f>ROUND(ROUND(P19, 2)/1.2, 2)</f>
        <v>3355.67</v>
      </c>
      <c r="Y19" s="9">
        <f t="shared" si="3"/>
        <v>0</v>
      </c>
      <c r="AD19" s="4" t="s">
        <v>94</v>
      </c>
      <c r="AE19" s="4" t="s">
        <v>95</v>
      </c>
      <c r="AF19" s="4" t="s">
        <v>96</v>
      </c>
    </row>
    <row r="20" spans="1:35" ht="36" x14ac:dyDescent="0.35">
      <c r="A20" s="10" t="s">
        <v>99</v>
      </c>
      <c r="B20" s="10"/>
      <c r="C20" s="28" t="s">
        <v>100</v>
      </c>
      <c r="D20" s="12"/>
      <c r="E20" s="12"/>
      <c r="F20" s="29" t="s">
        <v>63</v>
      </c>
      <c r="G20" s="30">
        <v>4.2</v>
      </c>
      <c r="H20" s="30"/>
      <c r="I20" s="30">
        <v>0</v>
      </c>
      <c r="J20" s="31">
        <v>135.53</v>
      </c>
      <c r="M20" s="32">
        <f>ROUND(ROUND(J20, 2)*I20, 2)</f>
        <v>0</v>
      </c>
      <c r="P20" s="31">
        <v>135.53</v>
      </c>
      <c r="S20" s="32">
        <f>ROUND(ROUND(P20, 2)*I20, 2)</f>
        <v>0</v>
      </c>
      <c r="V20" s="9">
        <f>ROUND(ROUND(P20, 2)/1.2, 2)</f>
        <v>112.94</v>
      </c>
      <c r="Y20" s="9">
        <f t="shared" si="3"/>
        <v>0</v>
      </c>
      <c r="AD20" s="4" t="s">
        <v>101</v>
      </c>
      <c r="AE20" s="4" t="s">
        <v>102</v>
      </c>
      <c r="AF20" s="4" t="s">
        <v>103</v>
      </c>
    </row>
    <row r="21" spans="1:35" ht="54" x14ac:dyDescent="0.35">
      <c r="A21" s="10" t="s">
        <v>106</v>
      </c>
      <c r="B21" s="10" t="s">
        <v>59</v>
      </c>
      <c r="C21" s="11" t="s">
        <v>60</v>
      </c>
      <c r="D21" s="12" t="s">
        <v>61</v>
      </c>
      <c r="E21" s="12"/>
      <c r="F21" s="12" t="s">
        <v>63</v>
      </c>
      <c r="G21" s="13">
        <v>1</v>
      </c>
      <c r="H21" s="13"/>
      <c r="I21" s="13">
        <v>0</v>
      </c>
      <c r="J21" s="14">
        <f>IFERROR(ROUND(SUM(M22,M23,M24,M25,M26)/I21, 2),0)</f>
        <v>0</v>
      </c>
      <c r="K21" s="15">
        <v>1991</v>
      </c>
      <c r="L21" s="14">
        <f>J21+ROUND(K21, 2)</f>
        <v>1991</v>
      </c>
      <c r="M21" s="14">
        <f>ROUND(J21*I21, 2)</f>
        <v>0</v>
      </c>
      <c r="N21" s="14">
        <f>ROUND(I21*ROUND(K21, 2), 2)</f>
        <v>0</v>
      </c>
      <c r="O21" s="14">
        <f>M21+N21</f>
        <v>0</v>
      </c>
      <c r="P21" s="14">
        <f>IFERROR(ROUND(SUM(S22,S23,S24,S25,S26)/I21, 2),0)</f>
        <v>0</v>
      </c>
      <c r="Q21" s="16">
        <v>2986.5</v>
      </c>
      <c r="R21" s="14">
        <f>P21+ROUND(Q21, 2)</f>
        <v>2986.5</v>
      </c>
      <c r="S21" s="14">
        <f>ROUND(P21*I21, 2)</f>
        <v>0</v>
      </c>
      <c r="T21" s="14">
        <f>ROUND(I21*ROUND(Q21, 2), 2)</f>
        <v>0</v>
      </c>
      <c r="U21" s="14">
        <f>S21+T21</f>
        <v>0</v>
      </c>
      <c r="V21" s="9">
        <f>ROUND(P21 / 1.2, 2)</f>
        <v>0</v>
      </c>
      <c r="W21" s="9">
        <f>ROUND(Q21 / 1.2, 2)</f>
        <v>2488.75</v>
      </c>
      <c r="X21" s="9">
        <f>ROUND(R21 / 1.2, 2)</f>
        <v>2488.75</v>
      </c>
      <c r="Y21" s="9">
        <f t="shared" si="3"/>
        <v>0</v>
      </c>
      <c r="Z21" s="9">
        <f>ROUND(T21 / 1.2, 2)</f>
        <v>0</v>
      </c>
      <c r="AA21" s="9">
        <f>Y21+Z21</f>
        <v>0</v>
      </c>
      <c r="AD21" s="4">
        <v>305117004</v>
      </c>
      <c r="AE21" s="4">
        <v>22071402</v>
      </c>
      <c r="AG21" s="4" t="s">
        <v>64</v>
      </c>
      <c r="AH21" s="4" t="s">
        <v>65</v>
      </c>
      <c r="AI21" s="4" t="s">
        <v>66</v>
      </c>
    </row>
    <row r="22" spans="1:35" ht="36" x14ac:dyDescent="0.35">
      <c r="A22" s="10" t="s">
        <v>107</v>
      </c>
      <c r="B22" s="10"/>
      <c r="C22" s="28" t="s">
        <v>100</v>
      </c>
      <c r="D22" s="12"/>
      <c r="E22" s="12"/>
      <c r="F22" s="29" t="s">
        <v>63</v>
      </c>
      <c r="G22" s="30">
        <v>4.2</v>
      </c>
      <c r="H22" s="30"/>
      <c r="I22" s="30">
        <v>0</v>
      </c>
      <c r="J22" s="31">
        <v>135.53</v>
      </c>
      <c r="M22" s="32">
        <f>ROUND(ROUND(J22, 2)*I22, 2)</f>
        <v>0</v>
      </c>
      <c r="P22" s="33">
        <v>135.53</v>
      </c>
      <c r="S22" s="32">
        <f>ROUND(ROUND(P22, 2)*I22, 2)</f>
        <v>0</v>
      </c>
      <c r="V22" s="9">
        <f>ROUND(ROUND(P22, 2)/1.2, 2)</f>
        <v>112.94</v>
      </c>
      <c r="Y22" s="9">
        <f t="shared" si="3"/>
        <v>0</v>
      </c>
      <c r="AD22" s="4" t="s">
        <v>108</v>
      </c>
      <c r="AE22" s="4" t="s">
        <v>109</v>
      </c>
      <c r="AF22" s="4" t="s">
        <v>103</v>
      </c>
    </row>
    <row r="23" spans="1:35" ht="36" x14ac:dyDescent="0.35">
      <c r="A23" s="10" t="s">
        <v>110</v>
      </c>
      <c r="B23" s="10"/>
      <c r="C23" s="47" t="s">
        <v>92</v>
      </c>
      <c r="D23" s="12"/>
      <c r="E23" s="12"/>
      <c r="F23" s="29" t="s">
        <v>93</v>
      </c>
      <c r="G23" s="30">
        <v>5.1999999999999998E-2</v>
      </c>
      <c r="H23" s="30"/>
      <c r="I23" s="30">
        <v>0</v>
      </c>
      <c r="J23" s="31">
        <v>4026.8</v>
      </c>
      <c r="M23" s="32">
        <f>ROUND(ROUND(J23, 2)*I23, 2)</f>
        <v>0</v>
      </c>
      <c r="P23" s="33">
        <v>4026.8</v>
      </c>
      <c r="S23" s="32">
        <f>ROUND(ROUND(P23, 2)*I23, 2)</f>
        <v>0</v>
      </c>
      <c r="V23" s="9">
        <f>ROUND(ROUND(P23, 2)/1.2, 2)</f>
        <v>3355.67</v>
      </c>
      <c r="Y23" s="9">
        <f t="shared" si="3"/>
        <v>0</v>
      </c>
      <c r="AD23" s="4" t="s">
        <v>111</v>
      </c>
      <c r="AE23" s="4" t="s">
        <v>112</v>
      </c>
      <c r="AF23" s="4" t="s">
        <v>96</v>
      </c>
    </row>
    <row r="24" spans="1:35" ht="18" x14ac:dyDescent="0.35">
      <c r="A24" s="10" t="s">
        <v>113</v>
      </c>
      <c r="B24" s="10"/>
      <c r="C24" s="47" t="s">
        <v>77</v>
      </c>
      <c r="D24" s="12"/>
      <c r="E24" s="12"/>
      <c r="F24" s="29" t="s">
        <v>78</v>
      </c>
      <c r="G24" s="30">
        <v>0.8</v>
      </c>
      <c r="H24" s="49"/>
      <c r="I24" s="49">
        <v>5288.4</v>
      </c>
      <c r="J24" s="31">
        <v>63.72</v>
      </c>
      <c r="M24" s="32">
        <f>ROUND(ROUND(J24, 2)*I24, 2)</f>
        <v>336976.85</v>
      </c>
      <c r="P24" s="33">
        <v>63.73</v>
      </c>
      <c r="S24" s="32">
        <f>ROUND(ROUND(P24, 2)*I24, 2)</f>
        <v>337029.73</v>
      </c>
      <c r="V24" s="9">
        <f>ROUND(ROUND(P24, 2)/1.2, 2)</f>
        <v>53.11</v>
      </c>
      <c r="Y24" s="9">
        <f t="shared" si="3"/>
        <v>280858.11</v>
      </c>
      <c r="AD24" s="4" t="s">
        <v>114</v>
      </c>
      <c r="AE24" s="4" t="s">
        <v>115</v>
      </c>
      <c r="AF24" s="4" t="s">
        <v>81</v>
      </c>
    </row>
    <row r="25" spans="1:35" ht="18" x14ac:dyDescent="0.35">
      <c r="A25" s="10" t="s">
        <v>116</v>
      </c>
      <c r="B25" s="10"/>
      <c r="C25" s="47" t="s">
        <v>85</v>
      </c>
      <c r="D25" s="12"/>
      <c r="E25" s="12"/>
      <c r="F25" s="29" t="s">
        <v>78</v>
      </c>
      <c r="G25" s="30">
        <v>2.1</v>
      </c>
      <c r="H25" s="49"/>
      <c r="I25" s="49">
        <v>13882.05</v>
      </c>
      <c r="J25" s="31">
        <v>95.08</v>
      </c>
      <c r="M25" s="32">
        <f>ROUND(ROUND(J25, 2)*I25, 2)</f>
        <v>1319905.31</v>
      </c>
      <c r="P25" s="33">
        <v>95.07</v>
      </c>
      <c r="S25" s="32">
        <f>ROUND(ROUND(P25, 2)*I25, 2)</f>
        <v>1319766.49</v>
      </c>
      <c r="V25" s="9">
        <f>ROUND(ROUND(P25, 2)/1.2, 2)</f>
        <v>79.23</v>
      </c>
      <c r="Y25" s="9">
        <f t="shared" si="3"/>
        <v>1099805.4099999999</v>
      </c>
      <c r="AD25" s="4" t="s">
        <v>117</v>
      </c>
      <c r="AE25" s="4" t="s">
        <v>118</v>
      </c>
      <c r="AF25" s="4" t="s">
        <v>88</v>
      </c>
    </row>
    <row r="26" spans="1:35" ht="54" x14ac:dyDescent="0.35">
      <c r="A26" s="10" t="s">
        <v>119</v>
      </c>
      <c r="B26" s="10"/>
      <c r="C26" s="28" t="s">
        <v>69</v>
      </c>
      <c r="D26" s="12"/>
      <c r="E26" s="12"/>
      <c r="F26" s="29" t="s">
        <v>70</v>
      </c>
      <c r="G26" s="30">
        <v>1</v>
      </c>
      <c r="H26" s="30"/>
      <c r="I26" s="30">
        <v>0</v>
      </c>
      <c r="J26" s="31">
        <v>88.36</v>
      </c>
      <c r="M26" s="32">
        <f>ROUND(ROUND(J26, 2)*I26, 2)</f>
        <v>0</v>
      </c>
      <c r="P26" s="33">
        <v>88.35</v>
      </c>
      <c r="S26" s="32">
        <f>ROUND(ROUND(P26, 2)*I26, 2)</f>
        <v>0</v>
      </c>
      <c r="V26" s="9">
        <f>ROUND(ROUND(P26, 2)/1.2, 2)</f>
        <v>73.63</v>
      </c>
      <c r="Y26" s="9">
        <f t="shared" si="3"/>
        <v>0</v>
      </c>
      <c r="AD26" s="4" t="s">
        <v>120</v>
      </c>
      <c r="AE26" s="4" t="s">
        <v>121</v>
      </c>
      <c r="AF26" s="4" t="s">
        <v>73</v>
      </c>
    </row>
    <row r="27" spans="1:35" ht="36" x14ac:dyDescent="0.35">
      <c r="A27" s="10" t="s">
        <v>122</v>
      </c>
      <c r="B27" s="10" t="s">
        <v>123</v>
      </c>
      <c r="C27" s="11" t="s">
        <v>124</v>
      </c>
      <c r="D27" s="12" t="s">
        <v>61</v>
      </c>
      <c r="E27" s="12"/>
      <c r="F27" s="12" t="s">
        <v>63</v>
      </c>
      <c r="G27" s="13">
        <v>1</v>
      </c>
      <c r="H27" s="13"/>
      <c r="I27" s="13">
        <v>0</v>
      </c>
      <c r="J27" s="14">
        <v>1039.98</v>
      </c>
      <c r="K27" s="15">
        <v>1991</v>
      </c>
      <c r="L27" s="14">
        <f>J27+ROUND(K27, 2)</f>
        <v>3030.98</v>
      </c>
      <c r="M27" s="14">
        <v>0</v>
      </c>
      <c r="N27" s="14">
        <v>0</v>
      </c>
      <c r="O27" s="14">
        <f>M27+N27</f>
        <v>0</v>
      </c>
      <c r="P27" s="14">
        <v>6856.14</v>
      </c>
      <c r="Q27" s="15">
        <v>1991</v>
      </c>
      <c r="R27" s="14">
        <f>P27+ROUND(Q27, 2)</f>
        <v>8847.14</v>
      </c>
      <c r="S27" s="14">
        <v>0</v>
      </c>
      <c r="T27" s="14">
        <v>0</v>
      </c>
      <c r="U27" s="14">
        <f>S27+T27</f>
        <v>0</v>
      </c>
      <c r="V27" s="9">
        <f>ROUND(P27 / 1.2, 2)</f>
        <v>5713.45</v>
      </c>
      <c r="W27" s="9">
        <f>ROUND(Q27 / 1.2, 2)</f>
        <v>1659.17</v>
      </c>
      <c r="X27" s="9">
        <f>ROUND(R27 / 1.2, 2)</f>
        <v>7372.62</v>
      </c>
      <c r="Y27" s="9">
        <f t="shared" si="3"/>
        <v>0</v>
      </c>
      <c r="Z27" s="9">
        <f>ROUND(T27 / 1.2, 2)</f>
        <v>0</v>
      </c>
      <c r="AA27" s="9">
        <f>Y27+Z27</f>
        <v>0</v>
      </c>
      <c r="AD27" s="4">
        <v>305116936</v>
      </c>
      <c r="AE27" s="4">
        <v>20927487</v>
      </c>
      <c r="AG27" s="4" t="s">
        <v>125</v>
      </c>
      <c r="AH27" s="4" t="s">
        <v>126</v>
      </c>
      <c r="AI27" s="4" t="s">
        <v>66</v>
      </c>
    </row>
    <row r="28" spans="1:35" ht="54" x14ac:dyDescent="0.35">
      <c r="A28" s="10" t="s">
        <v>129</v>
      </c>
      <c r="B28" s="10"/>
      <c r="C28" s="28" t="s">
        <v>69</v>
      </c>
      <c r="D28" s="12"/>
      <c r="E28" s="12"/>
      <c r="F28" s="29" t="s">
        <v>70</v>
      </c>
      <c r="G28" s="30">
        <v>1</v>
      </c>
      <c r="H28" s="30"/>
      <c r="I28" s="30">
        <v>0</v>
      </c>
      <c r="J28" s="31">
        <v>88.35</v>
      </c>
      <c r="M28" s="32">
        <f>ROUND(ROUND(J28, 2)*I28, 2)</f>
        <v>0</v>
      </c>
      <c r="P28" s="31">
        <v>88.35</v>
      </c>
      <c r="S28" s="32">
        <f>ROUND(ROUND(P28, 2)*I28, 2)</f>
        <v>0</v>
      </c>
      <c r="V28" s="9">
        <f>ROUND(ROUND(P28, 2)/1.2, 2)</f>
        <v>73.63</v>
      </c>
      <c r="Y28" s="9">
        <f t="shared" si="3"/>
        <v>0</v>
      </c>
      <c r="AD28" s="4" t="s">
        <v>130</v>
      </c>
      <c r="AE28" s="4" t="s">
        <v>131</v>
      </c>
      <c r="AF28" s="4" t="s">
        <v>73</v>
      </c>
    </row>
    <row r="29" spans="1:35" ht="18" x14ac:dyDescent="0.35">
      <c r="A29" s="10" t="s">
        <v>134</v>
      </c>
      <c r="B29" s="10"/>
      <c r="C29" s="47" t="s">
        <v>135</v>
      </c>
      <c r="D29" s="12"/>
      <c r="E29" s="12"/>
      <c r="F29" s="29" t="s">
        <v>78</v>
      </c>
      <c r="G29" s="30">
        <v>2.04</v>
      </c>
      <c r="H29" s="49"/>
      <c r="I29" s="49">
        <v>0</v>
      </c>
      <c r="J29" s="31">
        <v>64.56</v>
      </c>
      <c r="M29" s="32">
        <f>ROUND(ROUND(J29, 2)*I29, 2)</f>
        <v>0</v>
      </c>
      <c r="P29" s="31">
        <v>64.56</v>
      </c>
      <c r="S29" s="32">
        <f>ROUND(ROUND(P29, 2)*I29, 2)</f>
        <v>0</v>
      </c>
      <c r="V29" s="9">
        <f>ROUND(ROUND(P29, 2)/1.2, 2)</f>
        <v>53.8</v>
      </c>
      <c r="Y29" s="9">
        <f t="shared" si="3"/>
        <v>0</v>
      </c>
      <c r="AD29" s="4" t="s">
        <v>136</v>
      </c>
      <c r="AE29" s="4" t="s">
        <v>137</v>
      </c>
      <c r="AF29" s="4" t="s">
        <v>138</v>
      </c>
    </row>
    <row r="30" spans="1:35" ht="18" x14ac:dyDescent="0.35">
      <c r="A30" s="10" t="s">
        <v>141</v>
      </c>
      <c r="B30" s="10"/>
      <c r="C30" s="47" t="s">
        <v>142</v>
      </c>
      <c r="D30" s="12"/>
      <c r="E30" s="12"/>
      <c r="F30" s="29" t="s">
        <v>78</v>
      </c>
      <c r="G30" s="30">
        <v>0.8</v>
      </c>
      <c r="H30" s="49"/>
      <c r="I30" s="49">
        <v>0</v>
      </c>
      <c r="J30" s="31">
        <v>51.63</v>
      </c>
      <c r="M30" s="32">
        <f>ROUND(ROUND(J30, 2)*I30, 2)</f>
        <v>0</v>
      </c>
      <c r="P30" s="31">
        <v>51.63</v>
      </c>
      <c r="S30" s="32">
        <f>ROUND(ROUND(P30, 2)*I30, 2)</f>
        <v>0</v>
      </c>
      <c r="V30" s="9">
        <f>ROUND(ROUND(P30, 2)/1.2, 2)</f>
        <v>43.03</v>
      </c>
      <c r="Y30" s="9">
        <f t="shared" si="3"/>
        <v>0</v>
      </c>
      <c r="AD30" s="4" t="s">
        <v>143</v>
      </c>
      <c r="AE30" s="4" t="s">
        <v>144</v>
      </c>
      <c r="AF30" s="4" t="s">
        <v>145</v>
      </c>
    </row>
    <row r="31" spans="1:35" ht="36" x14ac:dyDescent="0.35">
      <c r="A31" s="10" t="s">
        <v>148</v>
      </c>
      <c r="B31" s="10"/>
      <c r="C31" s="47" t="s">
        <v>92</v>
      </c>
      <c r="D31" s="12"/>
      <c r="E31" s="12"/>
      <c r="F31" s="29" t="s">
        <v>93</v>
      </c>
      <c r="G31" s="30">
        <v>5.1999999999999998E-2</v>
      </c>
      <c r="H31" s="30"/>
      <c r="I31" s="30">
        <v>0</v>
      </c>
      <c r="J31" s="31">
        <v>4026.8</v>
      </c>
      <c r="M31" s="32">
        <f>ROUND(ROUND(J31, 2)*I31, 2)</f>
        <v>0</v>
      </c>
      <c r="P31" s="31">
        <v>4026.8</v>
      </c>
      <c r="S31" s="32">
        <f>ROUND(ROUND(P31, 2)*I31, 2)</f>
        <v>0</v>
      </c>
      <c r="V31" s="9">
        <f>ROUND(ROUND(P31, 2)/1.2, 2)</f>
        <v>3355.67</v>
      </c>
      <c r="Y31" s="9">
        <f t="shared" si="3"/>
        <v>0</v>
      </c>
      <c r="AD31" s="4" t="s">
        <v>149</v>
      </c>
      <c r="AE31" s="4" t="s">
        <v>150</v>
      </c>
      <c r="AF31" s="4" t="s">
        <v>96</v>
      </c>
    </row>
    <row r="32" spans="1:35" ht="36" x14ac:dyDescent="0.35">
      <c r="A32" s="10" t="s">
        <v>153</v>
      </c>
      <c r="B32" s="10"/>
      <c r="C32" s="28" t="s">
        <v>100</v>
      </c>
      <c r="D32" s="12"/>
      <c r="E32" s="12"/>
      <c r="F32" s="29" t="s">
        <v>63</v>
      </c>
      <c r="G32" s="30">
        <v>4.2</v>
      </c>
      <c r="H32" s="30"/>
      <c r="I32" s="30">
        <v>0</v>
      </c>
      <c r="J32" s="31">
        <v>135.53</v>
      </c>
      <c r="M32" s="32">
        <f>ROUND(ROUND(J32, 2)*I32, 2)</f>
        <v>0</v>
      </c>
      <c r="P32" s="31">
        <v>1520.33</v>
      </c>
      <c r="S32" s="32">
        <f>ROUND(ROUND(P32, 2)*I32, 2)</f>
        <v>0</v>
      </c>
      <c r="V32" s="9">
        <f>ROUND(ROUND(P32, 2)/1.2, 2)</f>
        <v>1266.94</v>
      </c>
      <c r="Y32" s="9">
        <f t="shared" si="3"/>
        <v>0</v>
      </c>
      <c r="AD32" s="4" t="s">
        <v>154</v>
      </c>
      <c r="AE32" s="4" t="s">
        <v>155</v>
      </c>
      <c r="AF32" s="4" t="s">
        <v>103</v>
      </c>
    </row>
    <row r="33" spans="1:35" ht="36" x14ac:dyDescent="0.35">
      <c r="A33" s="10" t="s">
        <v>159</v>
      </c>
      <c r="B33" s="10" t="s">
        <v>123</v>
      </c>
      <c r="C33" s="11" t="s">
        <v>124</v>
      </c>
      <c r="D33" s="12" t="s">
        <v>61</v>
      </c>
      <c r="E33" s="12"/>
      <c r="F33" s="12" t="s">
        <v>63</v>
      </c>
      <c r="G33" s="13">
        <v>1</v>
      </c>
      <c r="H33" s="13"/>
      <c r="I33" s="13">
        <v>0</v>
      </c>
      <c r="J33" s="14">
        <v>951.65</v>
      </c>
      <c r="K33" s="15">
        <v>1991</v>
      </c>
      <c r="L33" s="14">
        <f>J33+ROUND(K33, 2)</f>
        <v>2942.65</v>
      </c>
      <c r="M33" s="14">
        <v>0</v>
      </c>
      <c r="N33" s="14">
        <v>0</v>
      </c>
      <c r="O33" s="14">
        <f>M33+N33</f>
        <v>0</v>
      </c>
      <c r="P33" s="14">
        <v>951.65</v>
      </c>
      <c r="Q33" s="15">
        <v>1991</v>
      </c>
      <c r="R33" s="14">
        <f>P33+ROUND(Q33, 2)</f>
        <v>2942.65</v>
      </c>
      <c r="S33" s="14">
        <v>0</v>
      </c>
      <c r="T33" s="14">
        <v>0</v>
      </c>
      <c r="U33" s="14">
        <f>S33+T33</f>
        <v>0</v>
      </c>
      <c r="V33" s="9">
        <f>ROUND(P33 / 1.2, 2)</f>
        <v>793.04</v>
      </c>
      <c r="W33" s="9">
        <f>ROUND(Q33 / 1.2, 2)</f>
        <v>1659.17</v>
      </c>
      <c r="X33" s="9">
        <f>ROUND(R33 / 1.2, 2)</f>
        <v>2452.21</v>
      </c>
      <c r="Y33" s="9">
        <f t="shared" si="3"/>
        <v>0</v>
      </c>
      <c r="Z33" s="9">
        <f>ROUND(T33 / 1.2, 2)</f>
        <v>0</v>
      </c>
      <c r="AA33" s="9">
        <f>Y33+Z33</f>
        <v>0</v>
      </c>
      <c r="AD33" s="4">
        <v>305117005</v>
      </c>
      <c r="AE33" s="4">
        <v>20927894</v>
      </c>
      <c r="AG33" s="4" t="s">
        <v>125</v>
      </c>
      <c r="AH33" s="4" t="s">
        <v>126</v>
      </c>
      <c r="AI33" s="4" t="s">
        <v>66</v>
      </c>
    </row>
    <row r="34" spans="1:35" ht="36" x14ac:dyDescent="0.35">
      <c r="A34" s="10" t="s">
        <v>162</v>
      </c>
      <c r="B34" s="10"/>
      <c r="C34" s="28" t="s">
        <v>100</v>
      </c>
      <c r="D34" s="12"/>
      <c r="E34" s="12"/>
      <c r="F34" s="29" t="s">
        <v>63</v>
      </c>
      <c r="G34" s="30">
        <v>4.2</v>
      </c>
      <c r="H34" s="30"/>
      <c r="I34" s="30">
        <v>0</v>
      </c>
      <c r="J34" s="31">
        <v>135.53</v>
      </c>
      <c r="M34" s="32">
        <f>ROUND(ROUND(J34, 2)*I34, 2)</f>
        <v>0</v>
      </c>
      <c r="P34" s="31">
        <v>135.53</v>
      </c>
      <c r="S34" s="32">
        <f>ROUND(ROUND(P34, 2)*I34, 2)</f>
        <v>0</v>
      </c>
      <c r="V34" s="9">
        <f>ROUND(ROUND(P34, 2)/1.2, 2)</f>
        <v>112.94</v>
      </c>
      <c r="Y34" s="9">
        <f t="shared" si="3"/>
        <v>0</v>
      </c>
      <c r="AD34" s="4" t="s">
        <v>163</v>
      </c>
      <c r="AE34" s="4" t="s">
        <v>164</v>
      </c>
      <c r="AF34" s="4" t="s">
        <v>103</v>
      </c>
    </row>
    <row r="35" spans="1:35" ht="36" x14ac:dyDescent="0.35">
      <c r="A35" s="10" t="s">
        <v>167</v>
      </c>
      <c r="B35" s="10"/>
      <c r="C35" s="47" t="s">
        <v>92</v>
      </c>
      <c r="D35" s="12"/>
      <c r="E35" s="12"/>
      <c r="F35" s="29" t="s">
        <v>93</v>
      </c>
      <c r="G35" s="30">
        <v>5.1999999999999998E-2</v>
      </c>
      <c r="H35" s="30"/>
      <c r="I35" s="30">
        <v>0</v>
      </c>
      <c r="J35" s="31">
        <v>4026.8</v>
      </c>
      <c r="M35" s="32">
        <f>ROUND(ROUND(J35, 2)*I35, 2)</f>
        <v>0</v>
      </c>
      <c r="P35" s="31">
        <v>4026.8</v>
      </c>
      <c r="S35" s="32">
        <f>ROUND(ROUND(P35, 2)*I35, 2)</f>
        <v>0</v>
      </c>
      <c r="V35" s="9">
        <f>ROUND(ROUND(P35, 2)/1.2, 2)</f>
        <v>3355.67</v>
      </c>
      <c r="Y35" s="9">
        <f t="shared" si="3"/>
        <v>0</v>
      </c>
      <c r="AD35" s="4" t="s">
        <v>168</v>
      </c>
      <c r="AE35" s="4" t="s">
        <v>169</v>
      </c>
      <c r="AF35" s="4" t="s">
        <v>96</v>
      </c>
    </row>
    <row r="36" spans="1:35" ht="18" x14ac:dyDescent="0.35">
      <c r="A36" s="10" t="s">
        <v>172</v>
      </c>
      <c r="B36" s="10"/>
      <c r="C36" s="47" t="s">
        <v>135</v>
      </c>
      <c r="D36" s="12"/>
      <c r="E36" s="12"/>
      <c r="F36" s="29" t="s">
        <v>78</v>
      </c>
      <c r="G36" s="30">
        <v>2.04</v>
      </c>
      <c r="H36" s="49"/>
      <c r="I36" s="49">
        <v>0</v>
      </c>
      <c r="J36" s="31">
        <v>64.56</v>
      </c>
      <c r="M36" s="32">
        <f>ROUND(ROUND(J36, 2)*I36, 2)</f>
        <v>0</v>
      </c>
      <c r="P36" s="31">
        <v>64.56</v>
      </c>
      <c r="S36" s="32">
        <f>ROUND(ROUND(P36, 2)*I36, 2)</f>
        <v>0</v>
      </c>
      <c r="V36" s="9">
        <f>ROUND(ROUND(P36, 2)/1.2, 2)</f>
        <v>53.8</v>
      </c>
      <c r="Y36" s="9">
        <f t="shared" si="3"/>
        <v>0</v>
      </c>
      <c r="AD36" s="4" t="s">
        <v>173</v>
      </c>
      <c r="AE36" s="4" t="s">
        <v>174</v>
      </c>
      <c r="AF36" s="4" t="s">
        <v>138</v>
      </c>
    </row>
    <row r="37" spans="1:35" ht="18" x14ac:dyDescent="0.35">
      <c r="A37" s="10" t="s">
        <v>177</v>
      </c>
      <c r="B37" s="10"/>
      <c r="C37" s="47" t="s">
        <v>142</v>
      </c>
      <c r="D37" s="12"/>
      <c r="E37" s="12"/>
      <c r="F37" s="29" t="s">
        <v>78</v>
      </c>
      <c r="G37" s="30">
        <v>0.8</v>
      </c>
      <c r="H37" s="49"/>
      <c r="I37" s="49">
        <v>0</v>
      </c>
      <c r="J37" s="31">
        <v>51.63</v>
      </c>
      <c r="M37" s="32">
        <f>ROUND(ROUND(J37, 2)*I37, 2)</f>
        <v>0</v>
      </c>
      <c r="P37" s="31">
        <v>51.63</v>
      </c>
      <c r="S37" s="32">
        <f>ROUND(ROUND(P37, 2)*I37, 2)</f>
        <v>0</v>
      </c>
      <c r="V37" s="9">
        <f>ROUND(ROUND(P37, 2)/1.2, 2)</f>
        <v>43.03</v>
      </c>
      <c r="Y37" s="9">
        <f t="shared" si="3"/>
        <v>0</v>
      </c>
      <c r="AD37" s="4" t="s">
        <v>178</v>
      </c>
      <c r="AE37" s="4" t="s">
        <v>179</v>
      </c>
      <c r="AF37" s="4" t="s">
        <v>145</v>
      </c>
    </row>
    <row r="38" spans="1:35" ht="270" x14ac:dyDescent="0.35">
      <c r="A38" s="10" t="s">
        <v>182</v>
      </c>
      <c r="B38" s="10" t="s">
        <v>123</v>
      </c>
      <c r="C38" s="11" t="s">
        <v>124</v>
      </c>
      <c r="D38" s="12" t="s">
        <v>61</v>
      </c>
      <c r="E38" s="12" t="s">
        <v>128</v>
      </c>
      <c r="F38" s="12" t="s">
        <v>63</v>
      </c>
      <c r="G38" s="13">
        <v>1</v>
      </c>
      <c r="H38" s="13"/>
      <c r="I38" s="13">
        <v>0</v>
      </c>
      <c r="J38" s="14">
        <f>IFERROR(ROUND(SUM(M39,M40,M41,M42,M43)/I38, 2),0)</f>
        <v>0</v>
      </c>
      <c r="K38" s="15">
        <v>1991</v>
      </c>
      <c r="L38" s="14">
        <f>J38+ROUND(K38, 2)</f>
        <v>1991</v>
      </c>
      <c r="M38" s="14">
        <f>ROUND(J38*I38, 2)</f>
        <v>0</v>
      </c>
      <c r="N38" s="14">
        <f>ROUND(I38*ROUND(K38, 2), 2)</f>
        <v>0</v>
      </c>
      <c r="O38" s="14">
        <f>M38+N38</f>
        <v>0</v>
      </c>
      <c r="P38" s="14">
        <f>IFERROR(ROUND(SUM(S39,S40,S41,S42,S43)/I38, 2),0)</f>
        <v>0</v>
      </c>
      <c r="Q38" s="16">
        <v>2986.5</v>
      </c>
      <c r="R38" s="14">
        <f>P38+ROUND(Q38, 2)</f>
        <v>2986.5</v>
      </c>
      <c r="S38" s="14">
        <f>ROUND(P38*I38, 2)</f>
        <v>0</v>
      </c>
      <c r="T38" s="14">
        <f>ROUND(I38*ROUND(Q38, 2), 2)</f>
        <v>0</v>
      </c>
      <c r="U38" s="14">
        <f>S38+T38</f>
        <v>0</v>
      </c>
      <c r="V38" s="9">
        <f>ROUND(P38 / 1.2, 2)</f>
        <v>0</v>
      </c>
      <c r="W38" s="9">
        <f>ROUND(Q38 / 1.2, 2)</f>
        <v>2488.75</v>
      </c>
      <c r="X38" s="9">
        <f>ROUND(R38 / 1.2, 2)</f>
        <v>2488.75</v>
      </c>
      <c r="Y38" s="9">
        <f t="shared" si="3"/>
        <v>0</v>
      </c>
      <c r="Z38" s="9">
        <f>ROUND(T38 / 1.2, 2)</f>
        <v>0</v>
      </c>
      <c r="AA38" s="9">
        <f>Y38+Z38</f>
        <v>0</v>
      </c>
      <c r="AD38" s="4">
        <v>305117006</v>
      </c>
      <c r="AE38" s="4">
        <v>22135685</v>
      </c>
      <c r="AG38" s="4" t="s">
        <v>125</v>
      </c>
      <c r="AH38" s="4" t="s">
        <v>126</v>
      </c>
      <c r="AI38" s="4" t="s">
        <v>66</v>
      </c>
    </row>
    <row r="39" spans="1:35" ht="54" x14ac:dyDescent="0.35">
      <c r="A39" s="10" t="s">
        <v>183</v>
      </c>
      <c r="B39" s="10"/>
      <c r="C39" s="28" t="s">
        <v>69</v>
      </c>
      <c r="D39" s="12"/>
      <c r="E39" s="12"/>
      <c r="F39" s="29" t="s">
        <v>70</v>
      </c>
      <c r="G39" s="30">
        <v>1</v>
      </c>
      <c r="H39" s="30"/>
      <c r="I39" s="30">
        <v>0</v>
      </c>
      <c r="J39" s="31">
        <v>88.36</v>
      </c>
      <c r="M39" s="32">
        <f>ROUND(ROUND(J39, 2)*I39, 2)</f>
        <v>0</v>
      </c>
      <c r="P39" s="33">
        <v>88.35</v>
      </c>
      <c r="S39" s="32">
        <f>ROUND(ROUND(P39, 2)*I39, 2)</f>
        <v>0</v>
      </c>
      <c r="V39" s="9">
        <f>ROUND(ROUND(P39, 2)/1.2, 2)</f>
        <v>73.63</v>
      </c>
      <c r="Y39" s="9">
        <f t="shared" si="3"/>
        <v>0</v>
      </c>
      <c r="AD39" s="4" t="s">
        <v>184</v>
      </c>
      <c r="AE39" s="4" t="s">
        <v>185</v>
      </c>
      <c r="AF39" s="4" t="s">
        <v>73</v>
      </c>
    </row>
    <row r="40" spans="1:35" ht="18" x14ac:dyDescent="0.35">
      <c r="A40" s="10" t="s">
        <v>186</v>
      </c>
      <c r="B40" s="10"/>
      <c r="C40" s="47" t="s">
        <v>135</v>
      </c>
      <c r="D40" s="12"/>
      <c r="E40" s="12"/>
      <c r="F40" s="29" t="s">
        <v>78</v>
      </c>
      <c r="G40" s="30">
        <v>2.04</v>
      </c>
      <c r="H40" s="49"/>
      <c r="I40" s="49">
        <v>331.29599999999999</v>
      </c>
      <c r="J40" s="31">
        <v>64.56</v>
      </c>
      <c r="M40" s="32">
        <f>ROUND(ROUND(J40, 2)*I40, 2)</f>
        <v>21388.47</v>
      </c>
      <c r="P40" s="33">
        <v>64.56</v>
      </c>
      <c r="S40" s="32">
        <f>ROUND(ROUND(P40, 2)*I40, 2)</f>
        <v>21388.47</v>
      </c>
      <c r="V40" s="9">
        <f>ROUND(ROUND(P40, 2)/1.2, 2)</f>
        <v>53.8</v>
      </c>
      <c r="Y40" s="9">
        <f t="shared" si="3"/>
        <v>17823.73</v>
      </c>
      <c r="AD40" s="4" t="s">
        <v>187</v>
      </c>
      <c r="AE40" s="4" t="s">
        <v>188</v>
      </c>
      <c r="AF40" s="4" t="s">
        <v>138</v>
      </c>
    </row>
    <row r="41" spans="1:35" ht="18" x14ac:dyDescent="0.35">
      <c r="A41" s="10" t="s">
        <v>189</v>
      </c>
      <c r="B41" s="10"/>
      <c r="C41" s="47" t="s">
        <v>142</v>
      </c>
      <c r="D41" s="12"/>
      <c r="E41" s="12"/>
      <c r="F41" s="29" t="s">
        <v>78</v>
      </c>
      <c r="G41" s="30">
        <v>0.8</v>
      </c>
      <c r="H41" s="49"/>
      <c r="I41" s="49">
        <v>129.91999999999999</v>
      </c>
      <c r="J41" s="31">
        <v>51.64</v>
      </c>
      <c r="M41" s="32">
        <f>ROUND(ROUND(J41, 2)*I41, 2)</f>
        <v>6709.07</v>
      </c>
      <c r="P41" s="33">
        <v>51.63</v>
      </c>
      <c r="S41" s="32">
        <f>ROUND(ROUND(P41, 2)*I41, 2)</f>
        <v>6707.77</v>
      </c>
      <c r="V41" s="9">
        <f>ROUND(ROUND(P41, 2)/1.2, 2)</f>
        <v>43.03</v>
      </c>
      <c r="Y41" s="9">
        <f t="shared" si="3"/>
        <v>5589.81</v>
      </c>
      <c r="AD41" s="4" t="s">
        <v>190</v>
      </c>
      <c r="AE41" s="4" t="s">
        <v>191</v>
      </c>
      <c r="AF41" s="4" t="s">
        <v>145</v>
      </c>
    </row>
    <row r="42" spans="1:35" ht="36" x14ac:dyDescent="0.35">
      <c r="A42" s="10" t="s">
        <v>192</v>
      </c>
      <c r="B42" s="10"/>
      <c r="C42" s="47" t="s">
        <v>92</v>
      </c>
      <c r="D42" s="12"/>
      <c r="E42" s="12"/>
      <c r="F42" s="29" t="s">
        <v>93</v>
      </c>
      <c r="G42" s="30">
        <v>5.1999999999999998E-2</v>
      </c>
      <c r="H42" s="30"/>
      <c r="I42" s="30">
        <v>0</v>
      </c>
      <c r="J42" s="31">
        <v>4026.8</v>
      </c>
      <c r="M42" s="32">
        <f>ROUND(ROUND(J42, 2)*I42, 2)</f>
        <v>0</v>
      </c>
      <c r="P42" s="33">
        <v>4026.8</v>
      </c>
      <c r="S42" s="32">
        <f>ROUND(ROUND(P42, 2)*I42, 2)</f>
        <v>0</v>
      </c>
      <c r="V42" s="9">
        <f>ROUND(ROUND(P42, 2)/1.2, 2)</f>
        <v>3355.67</v>
      </c>
      <c r="Y42" s="9">
        <f t="shared" si="3"/>
        <v>0</v>
      </c>
      <c r="AD42" s="4" t="s">
        <v>193</v>
      </c>
      <c r="AE42" s="4" t="s">
        <v>194</v>
      </c>
      <c r="AF42" s="4" t="s">
        <v>96</v>
      </c>
    </row>
    <row r="43" spans="1:35" ht="36" x14ac:dyDescent="0.35">
      <c r="A43" s="10" t="s">
        <v>195</v>
      </c>
      <c r="B43" s="10"/>
      <c r="C43" s="28" t="s">
        <v>100</v>
      </c>
      <c r="D43" s="12"/>
      <c r="E43" s="12" t="s">
        <v>157</v>
      </c>
      <c r="F43" s="29" t="s">
        <v>63</v>
      </c>
      <c r="G43" s="30">
        <v>4.2</v>
      </c>
      <c r="H43" s="30"/>
      <c r="I43" s="30">
        <v>0</v>
      </c>
      <c r="J43" s="31">
        <v>135.53</v>
      </c>
      <c r="M43" s="32">
        <f>ROUND(ROUND(J43, 2)*I43, 2)</f>
        <v>0</v>
      </c>
      <c r="P43" s="33">
        <v>135.53</v>
      </c>
      <c r="S43" s="32">
        <f>ROUND(ROUND(P43, 2)*I43, 2)</f>
        <v>0</v>
      </c>
      <c r="V43" s="9">
        <f>ROUND(ROUND(P43, 2)/1.2, 2)</f>
        <v>112.94</v>
      </c>
      <c r="Y43" s="9">
        <f t="shared" si="3"/>
        <v>0</v>
      </c>
      <c r="AD43" s="4" t="s">
        <v>196</v>
      </c>
      <c r="AE43" s="4" t="s">
        <v>197</v>
      </c>
      <c r="AF43" s="4" t="s">
        <v>103</v>
      </c>
    </row>
    <row r="44" spans="1:35" ht="216" x14ac:dyDescent="0.35">
      <c r="A44" s="10" t="s">
        <v>198</v>
      </c>
      <c r="B44" s="10" t="s">
        <v>123</v>
      </c>
      <c r="C44" s="11" t="s">
        <v>124</v>
      </c>
      <c r="D44" s="12" t="s">
        <v>61</v>
      </c>
      <c r="E44" s="12" t="s">
        <v>161</v>
      </c>
      <c r="F44" s="12" t="s">
        <v>63</v>
      </c>
      <c r="G44" s="13">
        <v>1</v>
      </c>
      <c r="H44" s="13"/>
      <c r="I44" s="13">
        <v>0</v>
      </c>
      <c r="J44" s="14">
        <f>IFERROR(ROUND(SUM(M45,M46,M47,M48,M49)/I44, 2),0)</f>
        <v>0</v>
      </c>
      <c r="K44" s="15">
        <v>1991</v>
      </c>
      <c r="L44" s="14">
        <f>J44+ROUND(K44, 2)</f>
        <v>1991</v>
      </c>
      <c r="M44" s="14">
        <f>ROUND(J44*I44, 2)</f>
        <v>0</v>
      </c>
      <c r="N44" s="14">
        <f>ROUND(I44*ROUND(K44, 2), 2)</f>
        <v>0</v>
      </c>
      <c r="O44" s="14">
        <f>M44+N44</f>
        <v>0</v>
      </c>
      <c r="P44" s="14">
        <f>IFERROR(ROUND(SUM(S45,S46,S47,S48,S49)/I44, 2),0)</f>
        <v>0</v>
      </c>
      <c r="Q44" s="16">
        <v>2986.5</v>
      </c>
      <c r="R44" s="14">
        <f>P44+ROUND(Q44, 2)</f>
        <v>2986.5</v>
      </c>
      <c r="S44" s="14">
        <f>ROUND(P44*I44, 2)</f>
        <v>0</v>
      </c>
      <c r="T44" s="14">
        <f>ROUND(I44*ROUND(Q44, 2), 2)</f>
        <v>0</v>
      </c>
      <c r="U44" s="14">
        <f>S44+T44</f>
        <v>0</v>
      </c>
      <c r="V44" s="9">
        <f>ROUND(P44 / 1.2, 2)</f>
        <v>0</v>
      </c>
      <c r="W44" s="9">
        <f>ROUND(Q44 / 1.2, 2)</f>
        <v>2488.75</v>
      </c>
      <c r="X44" s="9">
        <f>ROUND(R44 / 1.2, 2)</f>
        <v>2488.75</v>
      </c>
      <c r="Y44" s="9">
        <f t="shared" si="3"/>
        <v>0</v>
      </c>
      <c r="Z44" s="9">
        <f>ROUND(T44 / 1.2, 2)</f>
        <v>0</v>
      </c>
      <c r="AA44" s="9">
        <f>Y44+Z44</f>
        <v>0</v>
      </c>
      <c r="AD44" s="4">
        <v>305117007</v>
      </c>
      <c r="AE44" s="4">
        <v>22135683</v>
      </c>
      <c r="AG44" s="4" t="s">
        <v>125</v>
      </c>
      <c r="AH44" s="4" t="s">
        <v>126</v>
      </c>
      <c r="AI44" s="4" t="s">
        <v>66</v>
      </c>
    </row>
    <row r="45" spans="1:35" ht="36" x14ac:dyDescent="0.35">
      <c r="A45" s="10" t="s">
        <v>199</v>
      </c>
      <c r="B45" s="10"/>
      <c r="C45" s="28" t="s">
        <v>100</v>
      </c>
      <c r="D45" s="12"/>
      <c r="E45" s="12"/>
      <c r="F45" s="29" t="s">
        <v>63</v>
      </c>
      <c r="G45" s="30">
        <v>4.2</v>
      </c>
      <c r="H45" s="30"/>
      <c r="I45" s="30">
        <v>0</v>
      </c>
      <c r="J45" s="31">
        <v>135.53</v>
      </c>
      <c r="M45" s="32">
        <f>ROUND(ROUND(J45, 2)*I45, 2)</f>
        <v>0</v>
      </c>
      <c r="P45" s="33">
        <v>135.53</v>
      </c>
      <c r="S45" s="32">
        <f>ROUND(ROUND(P45, 2)*I45, 2)</f>
        <v>0</v>
      </c>
      <c r="V45" s="9">
        <f>ROUND(ROUND(P45, 2)/1.2, 2)</f>
        <v>112.94</v>
      </c>
      <c r="Y45" s="9">
        <f t="shared" si="3"/>
        <v>0</v>
      </c>
      <c r="AD45" s="4" t="s">
        <v>200</v>
      </c>
      <c r="AE45" s="4" t="s">
        <v>201</v>
      </c>
      <c r="AF45" s="4" t="s">
        <v>103</v>
      </c>
    </row>
    <row r="46" spans="1:35" ht="36" x14ac:dyDescent="0.35">
      <c r="A46" s="10" t="s">
        <v>202</v>
      </c>
      <c r="B46" s="10"/>
      <c r="C46" s="47" t="s">
        <v>92</v>
      </c>
      <c r="D46" s="12"/>
      <c r="E46" s="12"/>
      <c r="F46" s="29" t="s">
        <v>93</v>
      </c>
      <c r="G46" s="30">
        <v>5.1999999999999998E-2</v>
      </c>
      <c r="H46" s="30"/>
      <c r="I46" s="30">
        <v>0</v>
      </c>
      <c r="J46" s="31">
        <v>4026.8</v>
      </c>
      <c r="M46" s="32">
        <f>ROUND(ROUND(J46, 2)*I46, 2)</f>
        <v>0</v>
      </c>
      <c r="P46" s="33">
        <v>4026.8</v>
      </c>
      <c r="S46" s="32">
        <f>ROUND(ROUND(P46, 2)*I46, 2)</f>
        <v>0</v>
      </c>
      <c r="V46" s="9">
        <f>ROUND(ROUND(P46, 2)/1.2, 2)</f>
        <v>3355.67</v>
      </c>
      <c r="Y46" s="9">
        <f t="shared" si="3"/>
        <v>0</v>
      </c>
      <c r="AD46" s="4" t="s">
        <v>203</v>
      </c>
      <c r="AE46" s="4" t="s">
        <v>204</v>
      </c>
      <c r="AF46" s="4" t="s">
        <v>96</v>
      </c>
    </row>
    <row r="47" spans="1:35" ht="18" x14ac:dyDescent="0.35">
      <c r="A47" s="10" t="s">
        <v>205</v>
      </c>
      <c r="B47" s="10"/>
      <c r="C47" s="47" t="s">
        <v>135</v>
      </c>
      <c r="D47" s="12"/>
      <c r="E47" s="12"/>
      <c r="F47" s="29" t="s">
        <v>78</v>
      </c>
      <c r="G47" s="30">
        <v>2.04</v>
      </c>
      <c r="H47" s="49"/>
      <c r="I47" s="49">
        <v>121.992</v>
      </c>
      <c r="J47" s="31">
        <v>64.56</v>
      </c>
      <c r="M47" s="32">
        <f>ROUND(ROUND(J47, 2)*I47, 2)</f>
        <v>7875.8</v>
      </c>
      <c r="P47" s="33">
        <v>64.56</v>
      </c>
      <c r="S47" s="32">
        <f>ROUND(ROUND(P47, 2)*I47, 2)</f>
        <v>7875.8</v>
      </c>
      <c r="V47" s="9">
        <f>ROUND(ROUND(P47, 2)/1.2, 2)</f>
        <v>53.8</v>
      </c>
      <c r="Y47" s="9">
        <f t="shared" si="3"/>
        <v>6563.17</v>
      </c>
      <c r="AD47" s="4" t="s">
        <v>206</v>
      </c>
      <c r="AE47" s="4" t="s">
        <v>207</v>
      </c>
      <c r="AF47" s="4" t="s">
        <v>138</v>
      </c>
    </row>
    <row r="48" spans="1:35" ht="18" x14ac:dyDescent="0.35">
      <c r="A48" s="10" t="s">
        <v>208</v>
      </c>
      <c r="B48" s="10"/>
      <c r="C48" s="47" t="s">
        <v>142</v>
      </c>
      <c r="D48" s="12"/>
      <c r="E48" s="12"/>
      <c r="F48" s="29" t="s">
        <v>78</v>
      </c>
      <c r="G48" s="30">
        <v>0.8</v>
      </c>
      <c r="H48" s="49"/>
      <c r="I48" s="49">
        <v>47.84</v>
      </c>
      <c r="J48" s="31">
        <v>51.64</v>
      </c>
      <c r="M48" s="32">
        <f>ROUND(ROUND(J48, 2)*I48, 2)</f>
        <v>2470.46</v>
      </c>
      <c r="P48" s="33">
        <v>51.63</v>
      </c>
      <c r="S48" s="32">
        <f>ROUND(ROUND(P48, 2)*I48, 2)</f>
        <v>2469.98</v>
      </c>
      <c r="V48" s="9">
        <f>ROUND(ROUND(P48, 2)/1.2, 2)</f>
        <v>43.03</v>
      </c>
      <c r="Y48" s="9">
        <f t="shared" ref="Y48:Y79" si="4">ROUND(S48 / 1.2, 2)</f>
        <v>2058.3200000000002</v>
      </c>
      <c r="AD48" s="4" t="s">
        <v>209</v>
      </c>
      <c r="AE48" s="4" t="s">
        <v>210</v>
      </c>
      <c r="AF48" s="4" t="s">
        <v>145</v>
      </c>
    </row>
    <row r="49" spans="1:35" ht="54" x14ac:dyDescent="0.35">
      <c r="A49" s="10" t="s">
        <v>211</v>
      </c>
      <c r="B49" s="10"/>
      <c r="C49" s="28" t="s">
        <v>69</v>
      </c>
      <c r="D49" s="12"/>
      <c r="E49" s="12"/>
      <c r="F49" s="29" t="s">
        <v>70</v>
      </c>
      <c r="G49" s="30">
        <v>1</v>
      </c>
      <c r="H49" s="30"/>
      <c r="I49" s="30">
        <v>0</v>
      </c>
      <c r="J49" s="31">
        <v>88.36</v>
      </c>
      <c r="M49" s="32">
        <f>ROUND(ROUND(J49, 2)*I49, 2)</f>
        <v>0</v>
      </c>
      <c r="P49" s="33">
        <v>88.35</v>
      </c>
      <c r="S49" s="32">
        <f>ROUND(ROUND(P49, 2)*I49, 2)</f>
        <v>0</v>
      </c>
      <c r="V49" s="9">
        <f>ROUND(ROUND(P49, 2)/1.2, 2)</f>
        <v>73.63</v>
      </c>
      <c r="Y49" s="9">
        <f t="shared" si="4"/>
        <v>0</v>
      </c>
      <c r="AD49" s="4" t="s">
        <v>212</v>
      </c>
      <c r="AE49" s="4" t="s">
        <v>213</v>
      </c>
      <c r="AF49" s="4" t="s">
        <v>73</v>
      </c>
    </row>
    <row r="50" spans="1:35" ht="36" x14ac:dyDescent="0.35">
      <c r="A50" s="10" t="s">
        <v>214</v>
      </c>
      <c r="B50" s="10" t="s">
        <v>215</v>
      </c>
      <c r="C50" s="11" t="s">
        <v>216</v>
      </c>
      <c r="D50" s="12" t="s">
        <v>61</v>
      </c>
      <c r="E50" s="12"/>
      <c r="F50" s="12" t="s">
        <v>63</v>
      </c>
      <c r="G50" s="13">
        <v>1</v>
      </c>
      <c r="H50" s="13"/>
      <c r="I50" s="13">
        <v>0</v>
      </c>
      <c r="J50" s="14">
        <v>805.05</v>
      </c>
      <c r="K50" s="15">
        <v>1225</v>
      </c>
      <c r="L50" s="14">
        <f>J50+ROUND(K50, 2)</f>
        <v>2030.05</v>
      </c>
      <c r="M50" s="14">
        <v>0</v>
      </c>
      <c r="N50" s="14">
        <v>0</v>
      </c>
      <c r="O50" s="14">
        <f>M50+N50</f>
        <v>0</v>
      </c>
      <c r="P50" s="14">
        <v>805.05</v>
      </c>
      <c r="Q50" s="15">
        <v>1225</v>
      </c>
      <c r="R50" s="14">
        <f>P50+ROUND(Q50, 2)</f>
        <v>2030.05</v>
      </c>
      <c r="S50" s="14">
        <v>0</v>
      </c>
      <c r="T50" s="14">
        <v>0</v>
      </c>
      <c r="U50" s="14">
        <f>S50+T50</f>
        <v>0</v>
      </c>
      <c r="V50" s="9">
        <f>ROUND(P50 / 1.2, 2)</f>
        <v>670.88</v>
      </c>
      <c r="W50" s="9">
        <f>ROUND(Q50 / 1.2, 2)</f>
        <v>1020.83</v>
      </c>
      <c r="X50" s="9">
        <f>ROUND(R50 / 1.2, 2)</f>
        <v>1691.71</v>
      </c>
      <c r="Y50" s="9">
        <f t="shared" si="4"/>
        <v>0</v>
      </c>
      <c r="Z50" s="9">
        <f>ROUND(T50 / 1.2, 2)</f>
        <v>0</v>
      </c>
      <c r="AA50" s="9">
        <f>Y50+Z50</f>
        <v>0</v>
      </c>
      <c r="AD50" s="4">
        <v>305116938</v>
      </c>
      <c r="AE50" s="4">
        <v>20927640</v>
      </c>
      <c r="AG50" s="4" t="s">
        <v>217</v>
      </c>
      <c r="AH50" s="4" t="s">
        <v>218</v>
      </c>
      <c r="AI50" s="4" t="s">
        <v>66</v>
      </c>
    </row>
    <row r="51" spans="1:35" ht="54" x14ac:dyDescent="0.35">
      <c r="A51" s="10" t="s">
        <v>221</v>
      </c>
      <c r="B51" s="10"/>
      <c r="C51" s="28" t="s">
        <v>222</v>
      </c>
      <c r="D51" s="12"/>
      <c r="E51" s="12"/>
      <c r="F51" s="29" t="s">
        <v>70</v>
      </c>
      <c r="G51" s="30">
        <v>1</v>
      </c>
      <c r="H51" s="30"/>
      <c r="I51" s="30">
        <v>0</v>
      </c>
      <c r="J51" s="31">
        <v>111.15</v>
      </c>
      <c r="M51" s="32">
        <f>ROUND(ROUND(J51, 2)*I51, 2)</f>
        <v>0</v>
      </c>
      <c r="P51" s="31">
        <v>111.15</v>
      </c>
      <c r="S51" s="32">
        <f>ROUND(ROUND(P51, 2)*I51, 2)</f>
        <v>0</v>
      </c>
      <c r="V51" s="9">
        <f>ROUND(ROUND(P51, 2)/1.2, 2)</f>
        <v>92.63</v>
      </c>
      <c r="Y51" s="9">
        <f t="shared" si="4"/>
        <v>0</v>
      </c>
      <c r="AD51" s="4" t="s">
        <v>223</v>
      </c>
      <c r="AE51" s="4" t="s">
        <v>224</v>
      </c>
      <c r="AF51" s="4" t="s">
        <v>225</v>
      </c>
    </row>
    <row r="52" spans="1:35" ht="18" x14ac:dyDescent="0.35">
      <c r="A52" s="10" t="s">
        <v>228</v>
      </c>
      <c r="B52" s="10"/>
      <c r="C52" s="47" t="s">
        <v>77</v>
      </c>
      <c r="D52" s="12"/>
      <c r="E52" s="12"/>
      <c r="F52" s="29" t="s">
        <v>78</v>
      </c>
      <c r="G52" s="30">
        <v>0.86</v>
      </c>
      <c r="H52" s="49"/>
      <c r="I52" s="49">
        <v>0</v>
      </c>
      <c r="J52" s="31">
        <v>63.73</v>
      </c>
      <c r="M52" s="32">
        <f>ROUND(ROUND(J52, 2)*I52, 2)</f>
        <v>0</v>
      </c>
      <c r="P52" s="31">
        <v>63.73</v>
      </c>
      <c r="S52" s="32">
        <f>ROUND(ROUND(P52, 2)*I52, 2)</f>
        <v>0</v>
      </c>
      <c r="V52" s="9">
        <f>ROUND(ROUND(P52, 2)/1.2, 2)</f>
        <v>53.11</v>
      </c>
      <c r="Y52" s="9">
        <f t="shared" si="4"/>
        <v>0</v>
      </c>
      <c r="AD52" s="4" t="s">
        <v>229</v>
      </c>
      <c r="AE52" s="4" t="s">
        <v>230</v>
      </c>
      <c r="AF52" s="4" t="s">
        <v>81</v>
      </c>
    </row>
    <row r="53" spans="1:35" ht="18" x14ac:dyDescent="0.35">
      <c r="A53" s="10" t="s">
        <v>233</v>
      </c>
      <c r="B53" s="10"/>
      <c r="C53" s="47" t="s">
        <v>85</v>
      </c>
      <c r="D53" s="12"/>
      <c r="E53" s="12"/>
      <c r="F53" s="29" t="s">
        <v>78</v>
      </c>
      <c r="G53" s="30">
        <v>2.1</v>
      </c>
      <c r="H53" s="49"/>
      <c r="I53" s="49">
        <v>0</v>
      </c>
      <c r="J53" s="31">
        <v>95.07</v>
      </c>
      <c r="M53" s="32">
        <f>ROUND(ROUND(J53, 2)*I53, 2)</f>
        <v>0</v>
      </c>
      <c r="P53" s="31">
        <v>95.07</v>
      </c>
      <c r="S53" s="32">
        <f>ROUND(ROUND(P53, 2)*I53, 2)</f>
        <v>0</v>
      </c>
      <c r="V53" s="9">
        <f>ROUND(ROUND(P53, 2)/1.2, 2)</f>
        <v>79.23</v>
      </c>
      <c r="Y53" s="9">
        <f t="shared" si="4"/>
        <v>0</v>
      </c>
      <c r="AD53" s="4" t="s">
        <v>234</v>
      </c>
      <c r="AE53" s="4" t="s">
        <v>235</v>
      </c>
      <c r="AF53" s="4" t="s">
        <v>88</v>
      </c>
    </row>
    <row r="54" spans="1:35" ht="36" x14ac:dyDescent="0.35">
      <c r="A54" s="10" t="s">
        <v>238</v>
      </c>
      <c r="B54" s="10"/>
      <c r="C54" s="47" t="s">
        <v>92</v>
      </c>
      <c r="D54" s="12"/>
      <c r="E54" s="12"/>
      <c r="F54" s="29" t="s">
        <v>93</v>
      </c>
      <c r="G54" s="30">
        <v>5.1999999999999998E-2</v>
      </c>
      <c r="H54" s="30"/>
      <c r="I54" s="30">
        <v>0</v>
      </c>
      <c r="J54" s="31">
        <v>4026.8</v>
      </c>
      <c r="M54" s="32">
        <f>ROUND(ROUND(J54, 2)*I54, 2)</f>
        <v>0</v>
      </c>
      <c r="P54" s="31">
        <v>4026.8</v>
      </c>
      <c r="S54" s="32">
        <f>ROUND(ROUND(P54, 2)*I54, 2)</f>
        <v>0</v>
      </c>
      <c r="V54" s="9">
        <f>ROUND(ROUND(P54, 2)/1.2, 2)</f>
        <v>3355.67</v>
      </c>
      <c r="Y54" s="9">
        <f t="shared" si="4"/>
        <v>0</v>
      </c>
      <c r="AD54" s="4" t="s">
        <v>239</v>
      </c>
      <c r="AE54" s="4" t="s">
        <v>240</v>
      </c>
      <c r="AF54" s="4" t="s">
        <v>96</v>
      </c>
    </row>
    <row r="55" spans="1:35" ht="36" x14ac:dyDescent="0.35">
      <c r="A55" s="10" t="s">
        <v>243</v>
      </c>
      <c r="B55" s="10"/>
      <c r="C55" s="47" t="s">
        <v>244</v>
      </c>
      <c r="D55" s="12"/>
      <c r="E55" s="12"/>
      <c r="F55" s="29" t="s">
        <v>63</v>
      </c>
      <c r="G55" s="30">
        <v>2.2000000000000002</v>
      </c>
      <c r="H55" s="30"/>
      <c r="I55" s="30">
        <v>0</v>
      </c>
      <c r="J55" s="31">
        <v>104.57</v>
      </c>
      <c r="M55" s="32">
        <f>ROUND(ROUND(J55, 2)*I55, 2)</f>
        <v>0</v>
      </c>
      <c r="P55" s="31">
        <v>104.57</v>
      </c>
      <c r="S55" s="32">
        <f>ROUND(ROUND(P55, 2)*I55, 2)</f>
        <v>0</v>
      </c>
      <c r="V55" s="9">
        <f>ROUND(ROUND(P55, 2)/1.2, 2)</f>
        <v>87.14</v>
      </c>
      <c r="Y55" s="9">
        <f t="shared" si="4"/>
        <v>0</v>
      </c>
      <c r="AD55" s="4" t="s">
        <v>245</v>
      </c>
      <c r="AE55" s="4" t="s">
        <v>246</v>
      </c>
      <c r="AF55" s="4" t="s">
        <v>247</v>
      </c>
    </row>
    <row r="56" spans="1:35" ht="36" x14ac:dyDescent="0.35">
      <c r="A56" s="10" t="s">
        <v>250</v>
      </c>
      <c r="B56" s="10" t="s">
        <v>215</v>
      </c>
      <c r="C56" s="11" t="s">
        <v>216</v>
      </c>
      <c r="D56" s="12" t="s">
        <v>61</v>
      </c>
      <c r="E56" s="12"/>
      <c r="F56" s="12" t="s">
        <v>63</v>
      </c>
      <c r="G56" s="13">
        <v>1</v>
      </c>
      <c r="H56" s="13"/>
      <c r="I56" s="13">
        <v>0</v>
      </c>
      <c r="J56" s="14">
        <v>805.05</v>
      </c>
      <c r="K56" s="15">
        <v>1225</v>
      </c>
      <c r="L56" s="14">
        <f>J56+ROUND(K56, 2)</f>
        <v>2030.05</v>
      </c>
      <c r="M56" s="14">
        <v>0</v>
      </c>
      <c r="N56" s="14">
        <v>0</v>
      </c>
      <c r="O56" s="14">
        <f>M56+N56</f>
        <v>0</v>
      </c>
      <c r="P56" s="14">
        <v>805.05</v>
      </c>
      <c r="Q56" s="15">
        <v>1225</v>
      </c>
      <c r="R56" s="14">
        <f>P56+ROUND(Q56, 2)</f>
        <v>2030.05</v>
      </c>
      <c r="S56" s="14">
        <v>0</v>
      </c>
      <c r="T56" s="14">
        <v>0</v>
      </c>
      <c r="U56" s="14">
        <f>S56+T56</f>
        <v>0</v>
      </c>
      <c r="V56" s="9">
        <f>ROUND(P56 / 1.2, 2)</f>
        <v>670.88</v>
      </c>
      <c r="W56" s="9">
        <f>ROUND(Q56 / 1.2, 2)</f>
        <v>1020.83</v>
      </c>
      <c r="X56" s="9">
        <f>ROUND(R56 / 1.2, 2)</f>
        <v>1691.71</v>
      </c>
      <c r="Y56" s="9">
        <f t="shared" si="4"/>
        <v>0</v>
      </c>
      <c r="Z56" s="9">
        <f>ROUND(T56 / 1.2, 2)</f>
        <v>0</v>
      </c>
      <c r="AA56" s="9">
        <f>Y56+Z56</f>
        <v>0</v>
      </c>
      <c r="AD56" s="4">
        <v>305117008</v>
      </c>
      <c r="AE56" s="4">
        <v>20927641</v>
      </c>
      <c r="AG56" s="4" t="s">
        <v>217</v>
      </c>
      <c r="AH56" s="4" t="s">
        <v>218</v>
      </c>
      <c r="AI56" s="4" t="s">
        <v>66</v>
      </c>
    </row>
    <row r="57" spans="1:35" ht="36" x14ac:dyDescent="0.35">
      <c r="A57" s="10" t="s">
        <v>253</v>
      </c>
      <c r="B57" s="10"/>
      <c r="C57" s="47" t="s">
        <v>254</v>
      </c>
      <c r="D57" s="12"/>
      <c r="E57" s="12"/>
      <c r="F57" s="29" t="s">
        <v>63</v>
      </c>
      <c r="G57" s="30">
        <v>2.2000000000000002</v>
      </c>
      <c r="H57" s="30"/>
      <c r="I57" s="30">
        <v>0</v>
      </c>
      <c r="J57" s="31">
        <v>104.57</v>
      </c>
      <c r="M57" s="32">
        <f>ROUND(ROUND(J57, 2)*I57, 2)</f>
        <v>0</v>
      </c>
      <c r="P57" s="31">
        <v>104.57</v>
      </c>
      <c r="S57" s="32">
        <f>ROUND(ROUND(P57, 2)*I57, 2)</f>
        <v>0</v>
      </c>
      <c r="V57" s="9">
        <f>ROUND(ROUND(P57, 2)/1.2, 2)</f>
        <v>87.14</v>
      </c>
      <c r="Y57" s="9">
        <f t="shared" si="4"/>
        <v>0</v>
      </c>
      <c r="AD57" s="4" t="s">
        <v>255</v>
      </c>
      <c r="AE57" s="4" t="s">
        <v>256</v>
      </c>
      <c r="AF57" s="4" t="s">
        <v>257</v>
      </c>
    </row>
    <row r="58" spans="1:35" ht="36" x14ac:dyDescent="0.35">
      <c r="A58" s="10" t="s">
        <v>260</v>
      </c>
      <c r="B58" s="10"/>
      <c r="C58" s="47" t="s">
        <v>92</v>
      </c>
      <c r="D58" s="12"/>
      <c r="E58" s="12"/>
      <c r="F58" s="29" t="s">
        <v>93</v>
      </c>
      <c r="G58" s="30">
        <v>5.1999999999999998E-2</v>
      </c>
      <c r="H58" s="30"/>
      <c r="I58" s="30">
        <v>0</v>
      </c>
      <c r="J58" s="31">
        <v>4026.8</v>
      </c>
      <c r="M58" s="32">
        <f>ROUND(ROUND(J58, 2)*I58, 2)</f>
        <v>0</v>
      </c>
      <c r="P58" s="31">
        <v>4026.8</v>
      </c>
      <c r="S58" s="32">
        <f>ROUND(ROUND(P58, 2)*I58, 2)</f>
        <v>0</v>
      </c>
      <c r="V58" s="9">
        <f>ROUND(ROUND(P58, 2)/1.2, 2)</f>
        <v>3355.67</v>
      </c>
      <c r="Y58" s="9">
        <f t="shared" si="4"/>
        <v>0</v>
      </c>
      <c r="AD58" s="4" t="s">
        <v>261</v>
      </c>
      <c r="AE58" s="4" t="s">
        <v>262</v>
      </c>
      <c r="AF58" s="4" t="s">
        <v>96</v>
      </c>
    </row>
    <row r="59" spans="1:35" ht="18" x14ac:dyDescent="0.35">
      <c r="A59" s="10" t="s">
        <v>265</v>
      </c>
      <c r="B59" s="10"/>
      <c r="C59" s="47" t="s">
        <v>77</v>
      </c>
      <c r="D59" s="12"/>
      <c r="E59" s="12"/>
      <c r="F59" s="29" t="s">
        <v>78</v>
      </c>
      <c r="G59" s="30">
        <v>0.86</v>
      </c>
      <c r="H59" s="49"/>
      <c r="I59" s="49">
        <v>0</v>
      </c>
      <c r="J59" s="31">
        <v>63.73</v>
      </c>
      <c r="M59" s="32">
        <f>ROUND(ROUND(J59, 2)*I59, 2)</f>
        <v>0</v>
      </c>
      <c r="P59" s="31">
        <v>63.73</v>
      </c>
      <c r="S59" s="32">
        <f>ROUND(ROUND(P59, 2)*I59, 2)</f>
        <v>0</v>
      </c>
      <c r="V59" s="9">
        <f>ROUND(ROUND(P59, 2)/1.2, 2)</f>
        <v>53.11</v>
      </c>
      <c r="Y59" s="9">
        <f t="shared" si="4"/>
        <v>0</v>
      </c>
      <c r="AD59" s="4" t="s">
        <v>266</v>
      </c>
      <c r="AE59" s="4" t="s">
        <v>267</v>
      </c>
      <c r="AF59" s="4" t="s">
        <v>81</v>
      </c>
    </row>
    <row r="60" spans="1:35" ht="18" x14ac:dyDescent="0.35">
      <c r="A60" s="10" t="s">
        <v>270</v>
      </c>
      <c r="B60" s="10"/>
      <c r="C60" s="47" t="s">
        <v>85</v>
      </c>
      <c r="D60" s="12"/>
      <c r="E60" s="12"/>
      <c r="F60" s="29" t="s">
        <v>78</v>
      </c>
      <c r="G60" s="30">
        <v>2.1</v>
      </c>
      <c r="H60" s="49"/>
      <c r="I60" s="49">
        <v>0</v>
      </c>
      <c r="J60" s="31">
        <v>95.07</v>
      </c>
      <c r="M60" s="32">
        <f>ROUND(ROUND(J60, 2)*I60, 2)</f>
        <v>0</v>
      </c>
      <c r="P60" s="31">
        <v>95.07</v>
      </c>
      <c r="S60" s="32">
        <f>ROUND(ROUND(P60, 2)*I60, 2)</f>
        <v>0</v>
      </c>
      <c r="V60" s="9">
        <f>ROUND(ROUND(P60, 2)/1.2, 2)</f>
        <v>79.23</v>
      </c>
      <c r="Y60" s="9">
        <f t="shared" si="4"/>
        <v>0</v>
      </c>
      <c r="AD60" s="4" t="s">
        <v>271</v>
      </c>
      <c r="AE60" s="4" t="s">
        <v>272</v>
      </c>
      <c r="AF60" s="4" t="s">
        <v>88</v>
      </c>
    </row>
    <row r="61" spans="1:35" ht="54" x14ac:dyDescent="0.35">
      <c r="A61" s="10" t="s">
        <v>275</v>
      </c>
      <c r="B61" s="10"/>
      <c r="C61" s="28" t="s">
        <v>222</v>
      </c>
      <c r="D61" s="12"/>
      <c r="E61" s="12"/>
      <c r="F61" s="29" t="s">
        <v>70</v>
      </c>
      <c r="G61" s="30">
        <v>1</v>
      </c>
      <c r="H61" s="30"/>
      <c r="I61" s="30">
        <v>0</v>
      </c>
      <c r="J61" s="31">
        <v>111.15</v>
      </c>
      <c r="M61" s="32">
        <f>ROUND(ROUND(J61, 2)*I61, 2)</f>
        <v>0</v>
      </c>
      <c r="P61" s="31">
        <v>111.15</v>
      </c>
      <c r="S61" s="32">
        <f>ROUND(ROUND(P61, 2)*I61, 2)</f>
        <v>0</v>
      </c>
      <c r="V61" s="9">
        <f>ROUND(ROUND(P61, 2)/1.2, 2)</f>
        <v>92.63</v>
      </c>
      <c r="Y61" s="9">
        <f t="shared" si="4"/>
        <v>0</v>
      </c>
      <c r="AD61" s="4" t="s">
        <v>276</v>
      </c>
      <c r="AE61" s="4" t="s">
        <v>277</v>
      </c>
      <c r="AF61" s="4" t="s">
        <v>225</v>
      </c>
    </row>
    <row r="62" spans="1:35" ht="36" x14ac:dyDescent="0.35">
      <c r="A62" s="10" t="s">
        <v>280</v>
      </c>
      <c r="B62" s="10" t="s">
        <v>215</v>
      </c>
      <c r="C62" s="11" t="s">
        <v>216</v>
      </c>
      <c r="D62" s="12" t="s">
        <v>61</v>
      </c>
      <c r="E62" s="12"/>
      <c r="F62" s="12" t="s">
        <v>63</v>
      </c>
      <c r="G62" s="13">
        <v>1</v>
      </c>
      <c r="H62" s="13"/>
      <c r="I62" s="13">
        <v>0</v>
      </c>
      <c r="J62" s="14">
        <v>805.05</v>
      </c>
      <c r="K62" s="15">
        <v>1225</v>
      </c>
      <c r="L62" s="14">
        <f>J62+ROUND(K62, 2)</f>
        <v>2030.05</v>
      </c>
      <c r="M62" s="14">
        <v>0</v>
      </c>
      <c r="N62" s="14">
        <v>0</v>
      </c>
      <c r="O62" s="14">
        <f>M62+N62</f>
        <v>0</v>
      </c>
      <c r="P62" s="14">
        <v>805.05</v>
      </c>
      <c r="Q62" s="15">
        <v>1225</v>
      </c>
      <c r="R62" s="14">
        <f>P62+ROUND(Q62, 2)</f>
        <v>2030.05</v>
      </c>
      <c r="S62" s="14">
        <v>0</v>
      </c>
      <c r="T62" s="14">
        <v>0</v>
      </c>
      <c r="U62" s="14">
        <f>S62+T62</f>
        <v>0</v>
      </c>
      <c r="V62" s="9">
        <f>ROUND(P62 / 1.2, 2)</f>
        <v>670.88</v>
      </c>
      <c r="W62" s="9">
        <f>ROUND(Q62 / 1.2, 2)</f>
        <v>1020.83</v>
      </c>
      <c r="X62" s="9">
        <f>ROUND(R62 / 1.2, 2)</f>
        <v>1691.71</v>
      </c>
      <c r="Y62" s="9">
        <f t="shared" si="4"/>
        <v>0</v>
      </c>
      <c r="Z62" s="9">
        <f>ROUND(T62 / 1.2, 2)</f>
        <v>0</v>
      </c>
      <c r="AA62" s="9">
        <f>Y62+Z62</f>
        <v>0</v>
      </c>
      <c r="AD62" s="4">
        <v>305117009</v>
      </c>
      <c r="AE62" s="4">
        <v>20927756</v>
      </c>
      <c r="AG62" s="4" t="s">
        <v>217</v>
      </c>
      <c r="AH62" s="4" t="s">
        <v>218</v>
      </c>
      <c r="AI62" s="4" t="s">
        <v>66</v>
      </c>
    </row>
    <row r="63" spans="1:35" ht="54" x14ac:dyDescent="0.35">
      <c r="A63" s="10" t="s">
        <v>283</v>
      </c>
      <c r="B63" s="10"/>
      <c r="C63" s="28" t="s">
        <v>222</v>
      </c>
      <c r="D63" s="12"/>
      <c r="E63" s="12"/>
      <c r="F63" s="29" t="s">
        <v>70</v>
      </c>
      <c r="G63" s="30">
        <v>1</v>
      </c>
      <c r="H63" s="30"/>
      <c r="I63" s="30">
        <v>0</v>
      </c>
      <c r="J63" s="31">
        <v>111.15</v>
      </c>
      <c r="M63" s="32">
        <f>ROUND(ROUND(J63, 2)*I63, 2)</f>
        <v>0</v>
      </c>
      <c r="P63" s="31">
        <v>111.15</v>
      </c>
      <c r="S63" s="32">
        <f>ROUND(ROUND(P63, 2)*I63, 2)</f>
        <v>0</v>
      </c>
      <c r="V63" s="9">
        <f>ROUND(ROUND(P63, 2)/1.2, 2)</f>
        <v>92.63</v>
      </c>
      <c r="Y63" s="9">
        <f t="shared" si="4"/>
        <v>0</v>
      </c>
      <c r="AD63" s="4" t="s">
        <v>284</v>
      </c>
      <c r="AE63" s="4" t="s">
        <v>285</v>
      </c>
      <c r="AF63" s="4" t="s">
        <v>225</v>
      </c>
    </row>
    <row r="64" spans="1:35" ht="18" x14ac:dyDescent="0.35">
      <c r="A64" s="10" t="s">
        <v>288</v>
      </c>
      <c r="B64" s="10"/>
      <c r="C64" s="47" t="s">
        <v>77</v>
      </c>
      <c r="D64" s="12"/>
      <c r="E64" s="12"/>
      <c r="F64" s="29" t="s">
        <v>78</v>
      </c>
      <c r="G64" s="30">
        <v>0.86</v>
      </c>
      <c r="H64" s="49"/>
      <c r="I64" s="49">
        <v>0</v>
      </c>
      <c r="J64" s="31">
        <v>63.73</v>
      </c>
      <c r="M64" s="32">
        <f>ROUND(ROUND(J64, 2)*I64, 2)</f>
        <v>0</v>
      </c>
      <c r="P64" s="31">
        <v>63.73</v>
      </c>
      <c r="S64" s="32">
        <f>ROUND(ROUND(P64, 2)*I64, 2)</f>
        <v>0</v>
      </c>
      <c r="V64" s="9">
        <f>ROUND(ROUND(P64, 2)/1.2, 2)</f>
        <v>53.11</v>
      </c>
      <c r="Y64" s="9">
        <f t="shared" si="4"/>
        <v>0</v>
      </c>
      <c r="AD64" s="4" t="s">
        <v>289</v>
      </c>
      <c r="AE64" s="4" t="s">
        <v>290</v>
      </c>
      <c r="AF64" s="4" t="s">
        <v>81</v>
      </c>
    </row>
    <row r="65" spans="1:35" ht="18" x14ac:dyDescent="0.35">
      <c r="A65" s="10" t="s">
        <v>293</v>
      </c>
      <c r="B65" s="10"/>
      <c r="C65" s="47" t="s">
        <v>85</v>
      </c>
      <c r="D65" s="12"/>
      <c r="E65" s="12"/>
      <c r="F65" s="29" t="s">
        <v>78</v>
      </c>
      <c r="G65" s="30">
        <v>2.1</v>
      </c>
      <c r="H65" s="49"/>
      <c r="I65" s="49">
        <v>0</v>
      </c>
      <c r="J65" s="31">
        <v>95.07</v>
      </c>
      <c r="M65" s="32">
        <f>ROUND(ROUND(J65, 2)*I65, 2)</f>
        <v>0</v>
      </c>
      <c r="P65" s="31">
        <v>95.07</v>
      </c>
      <c r="S65" s="32">
        <f>ROUND(ROUND(P65, 2)*I65, 2)</f>
        <v>0</v>
      </c>
      <c r="V65" s="9">
        <f>ROUND(ROUND(P65, 2)/1.2, 2)</f>
        <v>79.23</v>
      </c>
      <c r="Y65" s="9">
        <f t="shared" si="4"/>
        <v>0</v>
      </c>
      <c r="AD65" s="4" t="s">
        <v>294</v>
      </c>
      <c r="AE65" s="4" t="s">
        <v>295</v>
      </c>
      <c r="AF65" s="4" t="s">
        <v>88</v>
      </c>
    </row>
    <row r="66" spans="1:35" ht="36" x14ac:dyDescent="0.35">
      <c r="A66" s="10" t="s">
        <v>298</v>
      </c>
      <c r="B66" s="10"/>
      <c r="C66" s="47" t="s">
        <v>92</v>
      </c>
      <c r="D66" s="12"/>
      <c r="E66" s="12"/>
      <c r="F66" s="29" t="s">
        <v>93</v>
      </c>
      <c r="G66" s="30">
        <v>5.1999999999999998E-2</v>
      </c>
      <c r="H66" s="30"/>
      <c r="I66" s="30">
        <v>0</v>
      </c>
      <c r="J66" s="31">
        <v>4026.8</v>
      </c>
      <c r="M66" s="32">
        <f>ROUND(ROUND(J66, 2)*I66, 2)</f>
        <v>0</v>
      </c>
      <c r="P66" s="31">
        <v>4026.8</v>
      </c>
      <c r="S66" s="32">
        <f>ROUND(ROUND(P66, 2)*I66, 2)</f>
        <v>0</v>
      </c>
      <c r="V66" s="9">
        <f>ROUND(ROUND(P66, 2)/1.2, 2)</f>
        <v>3355.67</v>
      </c>
      <c r="Y66" s="9">
        <f t="shared" si="4"/>
        <v>0</v>
      </c>
      <c r="AD66" s="4" t="s">
        <v>299</v>
      </c>
      <c r="AE66" s="4" t="s">
        <v>300</v>
      </c>
      <c r="AF66" s="4" t="s">
        <v>96</v>
      </c>
    </row>
    <row r="67" spans="1:35" ht="36" x14ac:dyDescent="0.35">
      <c r="A67" s="10" t="s">
        <v>303</v>
      </c>
      <c r="B67" s="10"/>
      <c r="C67" s="47" t="s">
        <v>254</v>
      </c>
      <c r="D67" s="12"/>
      <c r="E67" s="12"/>
      <c r="F67" s="29" t="s">
        <v>63</v>
      </c>
      <c r="G67" s="30">
        <v>2.2000000000000002</v>
      </c>
      <c r="H67" s="30"/>
      <c r="I67" s="30">
        <v>0</v>
      </c>
      <c r="J67" s="31">
        <v>104.57</v>
      </c>
      <c r="M67" s="32">
        <f>ROUND(ROUND(J67, 2)*I67, 2)</f>
        <v>0</v>
      </c>
      <c r="P67" s="31">
        <v>104.57</v>
      </c>
      <c r="S67" s="32">
        <f>ROUND(ROUND(P67, 2)*I67, 2)</f>
        <v>0</v>
      </c>
      <c r="V67" s="9">
        <f>ROUND(ROUND(P67, 2)/1.2, 2)</f>
        <v>87.14</v>
      </c>
      <c r="Y67" s="9">
        <f t="shared" si="4"/>
        <v>0</v>
      </c>
      <c r="AD67" s="4" t="s">
        <v>304</v>
      </c>
      <c r="AE67" s="4" t="s">
        <v>305</v>
      </c>
      <c r="AF67" s="4" t="s">
        <v>257</v>
      </c>
    </row>
    <row r="68" spans="1:35" ht="36" x14ac:dyDescent="0.35">
      <c r="A68" s="10" t="s">
        <v>308</v>
      </c>
      <c r="B68" s="10" t="s">
        <v>215</v>
      </c>
      <c r="C68" s="11" t="s">
        <v>216</v>
      </c>
      <c r="D68" s="12" t="s">
        <v>61</v>
      </c>
      <c r="E68" s="12"/>
      <c r="F68" s="12" t="s">
        <v>63</v>
      </c>
      <c r="G68" s="13">
        <v>1</v>
      </c>
      <c r="H68" s="13"/>
      <c r="I68" s="13">
        <v>0</v>
      </c>
      <c r="J68" s="14">
        <v>727.48</v>
      </c>
      <c r="K68" s="15">
        <v>1225</v>
      </c>
      <c r="L68" s="14">
        <f>J68+ROUND(K68, 2)</f>
        <v>1952.48</v>
      </c>
      <c r="M68" s="14">
        <v>0</v>
      </c>
      <c r="N68" s="14">
        <v>0</v>
      </c>
      <c r="O68" s="14">
        <f>M68+N68</f>
        <v>0</v>
      </c>
      <c r="P68" s="14">
        <v>3842.15</v>
      </c>
      <c r="Q68" s="15">
        <v>1225</v>
      </c>
      <c r="R68" s="14">
        <f>P68+ROUND(Q68, 2)</f>
        <v>5067.1499999999996</v>
      </c>
      <c r="S68" s="14">
        <v>0</v>
      </c>
      <c r="T68" s="14">
        <v>0</v>
      </c>
      <c r="U68" s="14">
        <f>S68+T68</f>
        <v>0</v>
      </c>
      <c r="V68" s="9">
        <f>ROUND(P68 / 1.2, 2)</f>
        <v>3201.79</v>
      </c>
      <c r="W68" s="9">
        <f>ROUND(Q68 / 1.2, 2)</f>
        <v>1020.83</v>
      </c>
      <c r="X68" s="9">
        <f>ROUND(R68 / 1.2, 2)</f>
        <v>4222.63</v>
      </c>
      <c r="Y68" s="9">
        <f t="shared" si="4"/>
        <v>0</v>
      </c>
      <c r="Z68" s="9">
        <f>ROUND(T68 / 1.2, 2)</f>
        <v>0</v>
      </c>
      <c r="AA68" s="9">
        <f>Y68+Z68</f>
        <v>0</v>
      </c>
      <c r="AD68" s="4">
        <v>305117010</v>
      </c>
      <c r="AE68" s="4">
        <v>20927757</v>
      </c>
      <c r="AG68" s="4" t="s">
        <v>217</v>
      </c>
      <c r="AH68" s="4" t="s">
        <v>218</v>
      </c>
      <c r="AI68" s="4" t="s">
        <v>66</v>
      </c>
    </row>
    <row r="69" spans="1:35" ht="36" x14ac:dyDescent="0.35">
      <c r="A69" s="10" t="s">
        <v>311</v>
      </c>
      <c r="B69" s="10"/>
      <c r="C69" s="47" t="s">
        <v>254</v>
      </c>
      <c r="D69" s="12"/>
      <c r="E69" s="12"/>
      <c r="F69" s="29" t="s">
        <v>63</v>
      </c>
      <c r="G69" s="30">
        <v>2.2000000000000002</v>
      </c>
      <c r="H69" s="30"/>
      <c r="I69" s="30">
        <v>0</v>
      </c>
      <c r="J69" s="31">
        <v>104.57</v>
      </c>
      <c r="M69" s="32">
        <f>ROUND(ROUND(J69, 2)*I69, 2)</f>
        <v>0</v>
      </c>
      <c r="P69" s="31">
        <v>1520.33</v>
      </c>
      <c r="S69" s="32">
        <f>ROUND(ROUND(P69, 2)*I69, 2)</f>
        <v>0</v>
      </c>
      <c r="V69" s="9">
        <f>ROUND(ROUND(P69, 2)/1.2, 2)</f>
        <v>1266.94</v>
      </c>
      <c r="Y69" s="9">
        <f t="shared" si="4"/>
        <v>0</v>
      </c>
      <c r="AD69" s="4" t="s">
        <v>312</v>
      </c>
      <c r="AE69" s="4" t="s">
        <v>313</v>
      </c>
      <c r="AF69" s="4" t="s">
        <v>257</v>
      </c>
    </row>
    <row r="70" spans="1:35" ht="36" x14ac:dyDescent="0.35">
      <c r="A70" s="10" t="s">
        <v>317</v>
      </c>
      <c r="B70" s="10"/>
      <c r="C70" s="47" t="s">
        <v>92</v>
      </c>
      <c r="D70" s="12"/>
      <c r="E70" s="12"/>
      <c r="F70" s="29" t="s">
        <v>93</v>
      </c>
      <c r="G70" s="30">
        <v>5.1999999999999998E-2</v>
      </c>
      <c r="H70" s="30"/>
      <c r="I70" s="30">
        <v>0</v>
      </c>
      <c r="J70" s="31">
        <v>4026.8</v>
      </c>
      <c r="M70" s="32">
        <f>ROUND(ROUND(J70, 2)*I70, 2)</f>
        <v>0</v>
      </c>
      <c r="P70" s="31">
        <v>4026.8</v>
      </c>
      <c r="S70" s="32">
        <f>ROUND(ROUND(P70, 2)*I70, 2)</f>
        <v>0</v>
      </c>
      <c r="V70" s="9">
        <f>ROUND(ROUND(P70, 2)/1.2, 2)</f>
        <v>3355.67</v>
      </c>
      <c r="Y70" s="9">
        <f t="shared" si="4"/>
        <v>0</v>
      </c>
      <c r="AD70" s="4" t="s">
        <v>318</v>
      </c>
      <c r="AE70" s="4" t="s">
        <v>319</v>
      </c>
      <c r="AF70" s="4" t="s">
        <v>96</v>
      </c>
    </row>
    <row r="71" spans="1:35" ht="18" x14ac:dyDescent="0.35">
      <c r="A71" s="10" t="s">
        <v>322</v>
      </c>
      <c r="B71" s="10"/>
      <c r="C71" s="47" t="s">
        <v>135</v>
      </c>
      <c r="D71" s="12"/>
      <c r="E71" s="12"/>
      <c r="F71" s="29" t="s">
        <v>78</v>
      </c>
      <c r="G71" s="30">
        <v>2.1</v>
      </c>
      <c r="H71" s="30"/>
      <c r="I71" s="30">
        <v>0</v>
      </c>
      <c r="J71" s="31">
        <v>64.56</v>
      </c>
      <c r="M71" s="32">
        <f>ROUND(ROUND(J71, 2)*I71, 2)</f>
        <v>0</v>
      </c>
      <c r="P71" s="31">
        <v>64.56</v>
      </c>
      <c r="S71" s="32">
        <f>ROUND(ROUND(P71, 2)*I71, 2)</f>
        <v>0</v>
      </c>
      <c r="V71" s="9">
        <f>ROUND(ROUND(P71, 2)/1.2, 2)</f>
        <v>53.8</v>
      </c>
      <c r="Y71" s="9">
        <f t="shared" si="4"/>
        <v>0</v>
      </c>
      <c r="AD71" s="4" t="s">
        <v>323</v>
      </c>
      <c r="AE71" s="4" t="s">
        <v>324</v>
      </c>
      <c r="AF71" s="4" t="s">
        <v>138</v>
      </c>
    </row>
    <row r="72" spans="1:35" ht="18" x14ac:dyDescent="0.35">
      <c r="A72" s="10" t="s">
        <v>327</v>
      </c>
      <c r="B72" s="10"/>
      <c r="C72" s="47" t="s">
        <v>142</v>
      </c>
      <c r="D72" s="12"/>
      <c r="E72" s="12"/>
      <c r="F72" s="29" t="s">
        <v>78</v>
      </c>
      <c r="G72" s="30">
        <v>0.8</v>
      </c>
      <c r="H72" s="30"/>
      <c r="I72" s="30">
        <v>0</v>
      </c>
      <c r="J72" s="31">
        <v>51.63</v>
      </c>
      <c r="M72" s="32">
        <f>ROUND(ROUND(J72, 2)*I72, 2)</f>
        <v>0</v>
      </c>
      <c r="P72" s="31">
        <v>51.63</v>
      </c>
      <c r="S72" s="32">
        <f>ROUND(ROUND(P72, 2)*I72, 2)</f>
        <v>0</v>
      </c>
      <c r="V72" s="9">
        <f>ROUND(ROUND(P72, 2)/1.2, 2)</f>
        <v>43.03</v>
      </c>
      <c r="Y72" s="9">
        <f t="shared" si="4"/>
        <v>0</v>
      </c>
      <c r="AD72" s="4" t="s">
        <v>328</v>
      </c>
      <c r="AE72" s="4" t="s">
        <v>329</v>
      </c>
      <c r="AF72" s="4" t="s">
        <v>145</v>
      </c>
    </row>
    <row r="73" spans="1:35" ht="54" x14ac:dyDescent="0.35">
      <c r="A73" s="10" t="s">
        <v>332</v>
      </c>
      <c r="B73" s="10"/>
      <c r="C73" s="28" t="s">
        <v>222</v>
      </c>
      <c r="D73" s="12"/>
      <c r="E73" s="12"/>
      <c r="F73" s="29" t="s">
        <v>70</v>
      </c>
      <c r="G73" s="30">
        <v>1</v>
      </c>
      <c r="H73" s="30"/>
      <c r="I73" s="30">
        <v>0</v>
      </c>
      <c r="J73" s="31">
        <v>111.15</v>
      </c>
      <c r="M73" s="32">
        <f>ROUND(ROUND(J73, 2)*I73, 2)</f>
        <v>0</v>
      </c>
      <c r="P73" s="31">
        <v>111.15</v>
      </c>
      <c r="S73" s="32">
        <f>ROUND(ROUND(P73, 2)*I73, 2)</f>
        <v>0</v>
      </c>
      <c r="V73" s="9">
        <f>ROUND(ROUND(P73, 2)/1.2, 2)</f>
        <v>92.63</v>
      </c>
      <c r="Y73" s="9">
        <f t="shared" si="4"/>
        <v>0</v>
      </c>
      <c r="AD73" s="4" t="s">
        <v>333</v>
      </c>
      <c r="AE73" s="4" t="s">
        <v>334</v>
      </c>
      <c r="AF73" s="4" t="s">
        <v>225</v>
      </c>
    </row>
    <row r="74" spans="1:35" ht="36" x14ac:dyDescent="0.35">
      <c r="A74" s="10" t="s">
        <v>337</v>
      </c>
      <c r="B74" s="10" t="s">
        <v>215</v>
      </c>
      <c r="C74" s="11" t="s">
        <v>216</v>
      </c>
      <c r="D74" s="12" t="s">
        <v>61</v>
      </c>
      <c r="E74" s="12"/>
      <c r="F74" s="12" t="s">
        <v>63</v>
      </c>
      <c r="G74" s="13">
        <v>1</v>
      </c>
      <c r="H74" s="13"/>
      <c r="I74" s="13">
        <v>0</v>
      </c>
      <c r="J74" s="14">
        <v>1269.23</v>
      </c>
      <c r="K74" s="15">
        <v>1225</v>
      </c>
      <c r="L74" s="14">
        <f>J74+ROUND(K74, 2)</f>
        <v>2494.23</v>
      </c>
      <c r="M74" s="14">
        <v>0</v>
      </c>
      <c r="N74" s="14">
        <v>0</v>
      </c>
      <c r="O74" s="14">
        <f>M74+N74</f>
        <v>0</v>
      </c>
      <c r="P74" s="14">
        <v>1269.23</v>
      </c>
      <c r="Q74" s="15">
        <v>1225</v>
      </c>
      <c r="R74" s="14">
        <f>P74+ROUND(Q74, 2)</f>
        <v>2494.23</v>
      </c>
      <c r="S74" s="14">
        <v>0</v>
      </c>
      <c r="T74" s="14">
        <v>0</v>
      </c>
      <c r="U74" s="14">
        <f>S74+T74</f>
        <v>0</v>
      </c>
      <c r="V74" s="9">
        <f>ROUND(P74 / 1.2, 2)</f>
        <v>1057.69</v>
      </c>
      <c r="W74" s="9">
        <f>ROUND(Q74 / 1.2, 2)</f>
        <v>1020.83</v>
      </c>
      <c r="X74" s="9">
        <f>ROUND(R74 / 1.2, 2)</f>
        <v>2078.5300000000002</v>
      </c>
      <c r="Y74" s="9">
        <f t="shared" si="4"/>
        <v>0</v>
      </c>
      <c r="Z74" s="9">
        <f>ROUND(T74 / 1.2, 2)</f>
        <v>0</v>
      </c>
      <c r="AA74" s="9">
        <f>Y74+Z74</f>
        <v>0</v>
      </c>
      <c r="AD74" s="4">
        <v>305117011</v>
      </c>
      <c r="AE74" s="4">
        <v>20927983</v>
      </c>
      <c r="AG74" s="4" t="s">
        <v>217</v>
      </c>
      <c r="AH74" s="4" t="s">
        <v>218</v>
      </c>
      <c r="AI74" s="4" t="s">
        <v>66</v>
      </c>
    </row>
    <row r="75" spans="1:35" ht="54" x14ac:dyDescent="0.35">
      <c r="A75" s="10" t="s">
        <v>340</v>
      </c>
      <c r="B75" s="10"/>
      <c r="C75" s="28" t="s">
        <v>222</v>
      </c>
      <c r="D75" s="12"/>
      <c r="E75" s="12"/>
      <c r="F75" s="29" t="s">
        <v>70</v>
      </c>
      <c r="G75" s="30">
        <v>1</v>
      </c>
      <c r="H75" s="30"/>
      <c r="I75" s="30">
        <v>0</v>
      </c>
      <c r="J75" s="31">
        <v>111.15</v>
      </c>
      <c r="M75" s="32">
        <f>ROUND(ROUND(J75, 2)*I75, 2)</f>
        <v>0</v>
      </c>
      <c r="P75" s="31">
        <v>111.15</v>
      </c>
      <c r="S75" s="32">
        <f>ROUND(ROUND(P75, 2)*I75, 2)</f>
        <v>0</v>
      </c>
      <c r="V75" s="9">
        <f>ROUND(ROUND(P75, 2)/1.2, 2)</f>
        <v>92.63</v>
      </c>
      <c r="Y75" s="9">
        <f t="shared" si="4"/>
        <v>0</v>
      </c>
      <c r="AD75" s="4" t="s">
        <v>341</v>
      </c>
      <c r="AE75" s="4" t="s">
        <v>342</v>
      </c>
      <c r="AF75" s="4" t="s">
        <v>225</v>
      </c>
    </row>
    <row r="76" spans="1:35" ht="18" x14ac:dyDescent="0.35">
      <c r="A76" s="10" t="s">
        <v>345</v>
      </c>
      <c r="B76" s="10"/>
      <c r="C76" s="47" t="s">
        <v>77</v>
      </c>
      <c r="D76" s="12"/>
      <c r="E76" s="12"/>
      <c r="F76" s="29" t="s">
        <v>78</v>
      </c>
      <c r="G76" s="30">
        <v>0.86</v>
      </c>
      <c r="H76" s="49"/>
      <c r="I76" s="49">
        <v>0</v>
      </c>
      <c r="J76" s="31">
        <v>63.73</v>
      </c>
      <c r="M76" s="32">
        <f>ROUND(ROUND(J76, 2)*I76, 2)</f>
        <v>0</v>
      </c>
      <c r="P76" s="31">
        <v>63.73</v>
      </c>
      <c r="S76" s="32">
        <f>ROUND(ROUND(P76, 2)*I76, 2)</f>
        <v>0</v>
      </c>
      <c r="V76" s="9">
        <f>ROUND(ROUND(P76, 2)/1.2, 2)</f>
        <v>53.11</v>
      </c>
      <c r="Y76" s="9">
        <f t="shared" si="4"/>
        <v>0</v>
      </c>
      <c r="AD76" s="4" t="s">
        <v>346</v>
      </c>
      <c r="AE76" s="4" t="s">
        <v>347</v>
      </c>
      <c r="AF76" s="4" t="s">
        <v>81</v>
      </c>
    </row>
    <row r="77" spans="1:35" ht="18" x14ac:dyDescent="0.35">
      <c r="A77" s="10" t="s">
        <v>350</v>
      </c>
      <c r="B77" s="10"/>
      <c r="C77" s="47" t="s">
        <v>85</v>
      </c>
      <c r="D77" s="12"/>
      <c r="E77" s="12"/>
      <c r="F77" s="29" t="s">
        <v>78</v>
      </c>
      <c r="G77" s="30">
        <v>2.1</v>
      </c>
      <c r="H77" s="49"/>
      <c r="I77" s="49">
        <v>0</v>
      </c>
      <c r="J77" s="31">
        <v>95.07</v>
      </c>
      <c r="M77" s="32">
        <f>ROUND(ROUND(J77, 2)*I77, 2)</f>
        <v>0</v>
      </c>
      <c r="P77" s="31">
        <v>95.07</v>
      </c>
      <c r="S77" s="32">
        <f>ROUND(ROUND(P77, 2)*I77, 2)</f>
        <v>0</v>
      </c>
      <c r="V77" s="9">
        <f>ROUND(ROUND(P77, 2)/1.2, 2)</f>
        <v>79.23</v>
      </c>
      <c r="Y77" s="9">
        <f t="shared" si="4"/>
        <v>0</v>
      </c>
      <c r="AD77" s="4" t="s">
        <v>351</v>
      </c>
      <c r="AE77" s="4" t="s">
        <v>352</v>
      </c>
      <c r="AF77" s="4" t="s">
        <v>88</v>
      </c>
    </row>
    <row r="78" spans="1:35" ht="36" x14ac:dyDescent="0.35">
      <c r="A78" s="10" t="s">
        <v>355</v>
      </c>
      <c r="B78" s="10"/>
      <c r="C78" s="47" t="s">
        <v>92</v>
      </c>
      <c r="D78" s="12"/>
      <c r="E78" s="12"/>
      <c r="F78" s="29" t="s">
        <v>93</v>
      </c>
      <c r="G78" s="30">
        <v>5.1999999999999998E-2</v>
      </c>
      <c r="H78" s="30"/>
      <c r="I78" s="30">
        <v>0</v>
      </c>
      <c r="J78" s="31">
        <v>4026.8</v>
      </c>
      <c r="M78" s="32">
        <f>ROUND(ROUND(J78, 2)*I78, 2)</f>
        <v>0</v>
      </c>
      <c r="P78" s="31">
        <v>4026.8</v>
      </c>
      <c r="S78" s="32">
        <f>ROUND(ROUND(P78, 2)*I78, 2)</f>
        <v>0</v>
      </c>
      <c r="V78" s="9">
        <f>ROUND(ROUND(P78, 2)/1.2, 2)</f>
        <v>3355.67</v>
      </c>
      <c r="Y78" s="9">
        <f t="shared" si="4"/>
        <v>0</v>
      </c>
      <c r="AD78" s="4" t="s">
        <v>356</v>
      </c>
      <c r="AE78" s="4" t="s">
        <v>357</v>
      </c>
      <c r="AF78" s="4" t="s">
        <v>96</v>
      </c>
    </row>
    <row r="79" spans="1:35" ht="18" x14ac:dyDescent="0.35">
      <c r="A79" s="10" t="s">
        <v>360</v>
      </c>
      <c r="B79" s="10"/>
      <c r="C79" s="47" t="s">
        <v>361</v>
      </c>
      <c r="D79" s="12"/>
      <c r="E79" s="12"/>
      <c r="F79" s="29" t="s">
        <v>63</v>
      </c>
      <c r="G79" s="30">
        <v>2.2000000000000002</v>
      </c>
      <c r="H79" s="30"/>
      <c r="I79" s="30">
        <v>0</v>
      </c>
      <c r="J79" s="31">
        <v>315.55</v>
      </c>
      <c r="M79" s="32">
        <f>ROUND(ROUND(J79, 2)*I79, 2)</f>
        <v>0</v>
      </c>
      <c r="P79" s="31">
        <v>315.55</v>
      </c>
      <c r="S79" s="32">
        <f>ROUND(ROUND(P79, 2)*I79, 2)</f>
        <v>0</v>
      </c>
      <c r="V79" s="9">
        <f>ROUND(ROUND(P79, 2)/1.2, 2)</f>
        <v>262.95999999999998</v>
      </c>
      <c r="Y79" s="9">
        <f t="shared" si="4"/>
        <v>0</v>
      </c>
      <c r="AD79" s="4" t="s">
        <v>362</v>
      </c>
      <c r="AE79" s="4" t="s">
        <v>363</v>
      </c>
      <c r="AF79" s="4" t="s">
        <v>364</v>
      </c>
    </row>
    <row r="80" spans="1:35" ht="306" x14ac:dyDescent="0.35">
      <c r="A80" s="10" t="s">
        <v>367</v>
      </c>
      <c r="B80" s="10" t="s">
        <v>215</v>
      </c>
      <c r="C80" s="11" t="s">
        <v>216</v>
      </c>
      <c r="D80" s="12" t="s">
        <v>61</v>
      </c>
      <c r="E80" s="12" t="s">
        <v>220</v>
      </c>
      <c r="F80" s="12" t="s">
        <v>63</v>
      </c>
      <c r="G80" s="13">
        <v>1</v>
      </c>
      <c r="H80" s="13"/>
      <c r="I80" s="13">
        <v>0</v>
      </c>
      <c r="J80" s="14">
        <f>IFERROR(ROUND(SUM(M81,M82,M83,M84,M85)/I80, 2),0)</f>
        <v>0</v>
      </c>
      <c r="K80" s="15">
        <v>1225</v>
      </c>
      <c r="L80" s="14">
        <f>J80+ROUND(K80, 2)</f>
        <v>1225</v>
      </c>
      <c r="M80" s="14">
        <f>ROUND(J80*I80, 2)</f>
        <v>0</v>
      </c>
      <c r="N80" s="14">
        <f>ROUND(I80*ROUND(K80, 2), 2)</f>
        <v>0</v>
      </c>
      <c r="O80" s="14">
        <f>M80+N80</f>
        <v>0</v>
      </c>
      <c r="P80" s="14">
        <f>IFERROR(ROUND(SUM(S81,S82,S83,S84,S85)/I80, 2),0)</f>
        <v>0</v>
      </c>
      <c r="Q80" s="16">
        <v>1837.5</v>
      </c>
      <c r="R80" s="14">
        <f>P80+ROUND(Q80, 2)</f>
        <v>1837.5</v>
      </c>
      <c r="S80" s="14">
        <f>ROUND(P80*I80, 2)</f>
        <v>0</v>
      </c>
      <c r="T80" s="14">
        <f>ROUND(I80*ROUND(Q80, 2), 2)</f>
        <v>0</v>
      </c>
      <c r="U80" s="14">
        <f>S80+T80</f>
        <v>0</v>
      </c>
      <c r="V80" s="9">
        <f>ROUND(P80 / 1.2, 2)</f>
        <v>0</v>
      </c>
      <c r="W80" s="9">
        <f>ROUND(Q80 / 1.2, 2)</f>
        <v>1531.25</v>
      </c>
      <c r="X80" s="9">
        <f>ROUND(R80 / 1.2, 2)</f>
        <v>1531.25</v>
      </c>
      <c r="Y80" s="9">
        <f t="shared" ref="Y80:Y109" si="5">ROUND(S80 / 1.2, 2)</f>
        <v>0</v>
      </c>
      <c r="Z80" s="9">
        <f>ROUND(T80 / 1.2, 2)</f>
        <v>0</v>
      </c>
      <c r="AA80" s="9">
        <f>Y80+Z80</f>
        <v>0</v>
      </c>
      <c r="AD80" s="4">
        <v>305117012</v>
      </c>
      <c r="AE80" s="4">
        <v>22135688</v>
      </c>
      <c r="AG80" s="4" t="s">
        <v>217</v>
      </c>
      <c r="AH80" s="4" t="s">
        <v>218</v>
      </c>
      <c r="AI80" s="4" t="s">
        <v>66</v>
      </c>
    </row>
    <row r="81" spans="1:35" ht="36" x14ac:dyDescent="0.35">
      <c r="A81" s="10" t="s">
        <v>368</v>
      </c>
      <c r="B81" s="10"/>
      <c r="C81" s="47" t="s">
        <v>244</v>
      </c>
      <c r="D81" s="12"/>
      <c r="E81" s="12"/>
      <c r="F81" s="29" t="s">
        <v>63</v>
      </c>
      <c r="G81" s="30">
        <v>2.2000000000000002</v>
      </c>
      <c r="H81" s="30"/>
      <c r="I81" s="30">
        <v>0</v>
      </c>
      <c r="J81" s="31">
        <v>104.57</v>
      </c>
      <c r="M81" s="32">
        <f>ROUND(ROUND(J81, 2)*I81, 2)</f>
        <v>0</v>
      </c>
      <c r="P81" s="33">
        <v>104.57</v>
      </c>
      <c r="S81" s="32">
        <f>ROUND(ROUND(P81, 2)*I81, 2)</f>
        <v>0</v>
      </c>
      <c r="V81" s="9">
        <f>ROUND(ROUND(P81, 2)/1.2, 2)</f>
        <v>87.14</v>
      </c>
      <c r="Y81" s="9">
        <f t="shared" si="5"/>
        <v>0</v>
      </c>
      <c r="AD81" s="4" t="s">
        <v>369</v>
      </c>
      <c r="AE81" s="4" t="s">
        <v>370</v>
      </c>
      <c r="AF81" s="4" t="s">
        <v>247</v>
      </c>
    </row>
    <row r="82" spans="1:35" ht="36" x14ac:dyDescent="0.35">
      <c r="A82" s="10" t="s">
        <v>371</v>
      </c>
      <c r="B82" s="10"/>
      <c r="C82" s="47" t="s">
        <v>92</v>
      </c>
      <c r="D82" s="12"/>
      <c r="E82" s="12"/>
      <c r="F82" s="29" t="s">
        <v>93</v>
      </c>
      <c r="G82" s="30">
        <v>5.1999999999999998E-2</v>
      </c>
      <c r="H82" s="30"/>
      <c r="I82" s="30">
        <v>0</v>
      </c>
      <c r="J82" s="31">
        <v>4026.8</v>
      </c>
      <c r="M82" s="32">
        <f>ROUND(ROUND(J82, 2)*I82, 2)</f>
        <v>0</v>
      </c>
      <c r="P82" s="33">
        <v>4026.8</v>
      </c>
      <c r="S82" s="32">
        <f>ROUND(ROUND(P82, 2)*I82, 2)</f>
        <v>0</v>
      </c>
      <c r="V82" s="9">
        <f>ROUND(ROUND(P82, 2)/1.2, 2)</f>
        <v>3355.67</v>
      </c>
      <c r="Y82" s="9">
        <f t="shared" si="5"/>
        <v>0</v>
      </c>
      <c r="AD82" s="4" t="s">
        <v>372</v>
      </c>
      <c r="AE82" s="4" t="s">
        <v>373</v>
      </c>
      <c r="AF82" s="4" t="s">
        <v>96</v>
      </c>
    </row>
    <row r="83" spans="1:35" ht="18" x14ac:dyDescent="0.35">
      <c r="A83" s="10" t="s">
        <v>374</v>
      </c>
      <c r="B83" s="10"/>
      <c r="C83" s="47" t="s">
        <v>77</v>
      </c>
      <c r="D83" s="12"/>
      <c r="E83" s="12"/>
      <c r="F83" s="29" t="s">
        <v>78</v>
      </c>
      <c r="G83" s="30">
        <v>0.86</v>
      </c>
      <c r="H83" s="49"/>
      <c r="I83" s="49">
        <v>673.89599999999996</v>
      </c>
      <c r="J83" s="31">
        <v>63.72</v>
      </c>
      <c r="M83" s="32">
        <f>ROUND(ROUND(J83, 2)*I83, 2)</f>
        <v>42940.65</v>
      </c>
      <c r="P83" s="33">
        <v>63.73</v>
      </c>
      <c r="S83" s="32">
        <f>ROUND(ROUND(P83, 2)*I83, 2)</f>
        <v>42947.39</v>
      </c>
      <c r="V83" s="9">
        <f>ROUND(ROUND(P83, 2)/1.2, 2)</f>
        <v>53.11</v>
      </c>
      <c r="Y83" s="9">
        <f t="shared" si="5"/>
        <v>35789.49</v>
      </c>
      <c r="AD83" s="4" t="s">
        <v>375</v>
      </c>
      <c r="AE83" s="4" t="s">
        <v>376</v>
      </c>
      <c r="AF83" s="4" t="s">
        <v>81</v>
      </c>
    </row>
    <row r="84" spans="1:35" ht="18" x14ac:dyDescent="0.35">
      <c r="A84" s="10" t="s">
        <v>377</v>
      </c>
      <c r="B84" s="10"/>
      <c r="C84" s="47" t="s">
        <v>85</v>
      </c>
      <c r="D84" s="12"/>
      <c r="E84" s="12"/>
      <c r="F84" s="29" t="s">
        <v>78</v>
      </c>
      <c r="G84" s="30">
        <v>2.1</v>
      </c>
      <c r="H84" s="49"/>
      <c r="I84" s="49">
        <v>1645.56</v>
      </c>
      <c r="J84" s="31">
        <v>95.08</v>
      </c>
      <c r="M84" s="32">
        <f>ROUND(ROUND(J84, 2)*I84, 2)</f>
        <v>156459.84</v>
      </c>
      <c r="P84" s="33">
        <v>95.07</v>
      </c>
      <c r="S84" s="32">
        <f>ROUND(ROUND(P84, 2)*I84, 2)</f>
        <v>156443.39000000001</v>
      </c>
      <c r="V84" s="9">
        <f>ROUND(ROUND(P84, 2)/1.2, 2)</f>
        <v>79.23</v>
      </c>
      <c r="Y84" s="9">
        <f t="shared" si="5"/>
        <v>130369.49</v>
      </c>
      <c r="AD84" s="4" t="s">
        <v>378</v>
      </c>
      <c r="AE84" s="4" t="s">
        <v>379</v>
      </c>
      <c r="AF84" s="4" t="s">
        <v>88</v>
      </c>
    </row>
    <row r="85" spans="1:35" ht="54" x14ac:dyDescent="0.35">
      <c r="A85" s="10" t="s">
        <v>380</v>
      </c>
      <c r="B85" s="10"/>
      <c r="C85" s="28" t="s">
        <v>222</v>
      </c>
      <c r="D85" s="12"/>
      <c r="E85" s="12"/>
      <c r="F85" s="29" t="s">
        <v>70</v>
      </c>
      <c r="G85" s="30">
        <v>1</v>
      </c>
      <c r="H85" s="30"/>
      <c r="I85" s="30">
        <v>0</v>
      </c>
      <c r="J85" s="31">
        <v>111.16</v>
      </c>
      <c r="M85" s="32">
        <f>ROUND(ROUND(J85, 2)*I85, 2)</f>
        <v>0</v>
      </c>
      <c r="P85" s="33">
        <v>111.15</v>
      </c>
      <c r="S85" s="32">
        <f>ROUND(ROUND(P85, 2)*I85, 2)</f>
        <v>0</v>
      </c>
      <c r="V85" s="9">
        <f>ROUND(ROUND(P85, 2)/1.2, 2)</f>
        <v>92.63</v>
      </c>
      <c r="Y85" s="9">
        <f t="shared" si="5"/>
        <v>0</v>
      </c>
      <c r="AD85" s="4" t="s">
        <v>381</v>
      </c>
      <c r="AE85" s="4" t="s">
        <v>382</v>
      </c>
      <c r="AF85" s="4" t="s">
        <v>225</v>
      </c>
    </row>
    <row r="86" spans="1:35" ht="306" x14ac:dyDescent="0.35">
      <c r="A86" s="10" t="s">
        <v>383</v>
      </c>
      <c r="B86" s="10" t="s">
        <v>215</v>
      </c>
      <c r="C86" s="11" t="s">
        <v>216</v>
      </c>
      <c r="D86" s="12" t="s">
        <v>61</v>
      </c>
      <c r="E86" s="12" t="s">
        <v>252</v>
      </c>
      <c r="F86" s="12" t="s">
        <v>63</v>
      </c>
      <c r="G86" s="13">
        <v>1</v>
      </c>
      <c r="H86" s="13"/>
      <c r="I86" s="13">
        <v>0</v>
      </c>
      <c r="J86" s="14">
        <f>IFERROR(ROUND(SUM(M87,M88,M89,M90,M91)/I86, 2),0)</f>
        <v>0</v>
      </c>
      <c r="K86" s="15">
        <v>1225</v>
      </c>
      <c r="L86" s="14">
        <f>J86+ROUND(K86, 2)</f>
        <v>1225</v>
      </c>
      <c r="M86" s="14">
        <f>ROUND(J86*I86, 2)</f>
        <v>0</v>
      </c>
      <c r="N86" s="14">
        <f>ROUND(I86*ROUND(K86, 2), 2)</f>
        <v>0</v>
      </c>
      <c r="O86" s="14">
        <f>M86+N86</f>
        <v>0</v>
      </c>
      <c r="P86" s="14">
        <f>IFERROR(ROUND(SUM(S87,S88,S89,S90,S91)/I86, 2),0)</f>
        <v>0</v>
      </c>
      <c r="Q86" s="16">
        <v>1837.5</v>
      </c>
      <c r="R86" s="14">
        <f>P86+ROUND(Q86, 2)</f>
        <v>1837.5</v>
      </c>
      <c r="S86" s="14">
        <f>ROUND(P86*I86, 2)</f>
        <v>0</v>
      </c>
      <c r="T86" s="14">
        <f>ROUND(I86*ROUND(Q86, 2), 2)</f>
        <v>0</v>
      </c>
      <c r="U86" s="14">
        <f>S86+T86</f>
        <v>0</v>
      </c>
      <c r="V86" s="9">
        <f>ROUND(P86 / 1.2, 2)</f>
        <v>0</v>
      </c>
      <c r="W86" s="9">
        <f>ROUND(Q86 / 1.2, 2)</f>
        <v>1531.25</v>
      </c>
      <c r="X86" s="9">
        <f>ROUND(R86 / 1.2, 2)</f>
        <v>1531.25</v>
      </c>
      <c r="Y86" s="9">
        <f t="shared" si="5"/>
        <v>0</v>
      </c>
      <c r="Z86" s="9">
        <f>ROUND(T86 / 1.2, 2)</f>
        <v>0</v>
      </c>
      <c r="AA86" s="9">
        <f>Y86+Z86</f>
        <v>0</v>
      </c>
      <c r="AD86" s="4">
        <v>305117013</v>
      </c>
      <c r="AE86" s="4">
        <v>22135689</v>
      </c>
      <c r="AG86" s="4" t="s">
        <v>217</v>
      </c>
      <c r="AH86" s="4" t="s">
        <v>218</v>
      </c>
      <c r="AI86" s="4" t="s">
        <v>66</v>
      </c>
    </row>
    <row r="87" spans="1:35" ht="54" x14ac:dyDescent="0.35">
      <c r="A87" s="10" t="s">
        <v>384</v>
      </c>
      <c r="B87" s="10"/>
      <c r="C87" s="28" t="s">
        <v>222</v>
      </c>
      <c r="D87" s="12"/>
      <c r="E87" s="12"/>
      <c r="F87" s="29" t="s">
        <v>70</v>
      </c>
      <c r="G87" s="30">
        <v>1</v>
      </c>
      <c r="H87" s="30"/>
      <c r="I87" s="30">
        <v>0</v>
      </c>
      <c r="J87" s="31">
        <v>111.16</v>
      </c>
      <c r="M87" s="32">
        <f>ROUND(ROUND(J87, 2)*I87, 2)</f>
        <v>0</v>
      </c>
      <c r="P87" s="33">
        <v>111.15</v>
      </c>
      <c r="S87" s="32">
        <f>ROUND(ROUND(P87, 2)*I87, 2)</f>
        <v>0</v>
      </c>
      <c r="V87" s="9">
        <f>ROUND(ROUND(P87, 2)/1.2, 2)</f>
        <v>92.63</v>
      </c>
      <c r="Y87" s="9">
        <f t="shared" si="5"/>
        <v>0</v>
      </c>
      <c r="AD87" s="4" t="s">
        <v>385</v>
      </c>
      <c r="AE87" s="4" t="s">
        <v>386</v>
      </c>
      <c r="AF87" s="4" t="s">
        <v>225</v>
      </c>
    </row>
    <row r="88" spans="1:35" ht="18" x14ac:dyDescent="0.35">
      <c r="A88" s="10" t="s">
        <v>387</v>
      </c>
      <c r="B88" s="10"/>
      <c r="C88" s="47" t="s">
        <v>77</v>
      </c>
      <c r="D88" s="12"/>
      <c r="E88" s="12"/>
      <c r="F88" s="29" t="s">
        <v>78</v>
      </c>
      <c r="G88" s="30">
        <v>0.86</v>
      </c>
      <c r="H88" s="49"/>
      <c r="I88" s="49">
        <v>2133.402</v>
      </c>
      <c r="J88" s="31">
        <v>63.72</v>
      </c>
      <c r="M88" s="32">
        <f>ROUND(ROUND(J88, 2)*I88, 2)</f>
        <v>135940.38</v>
      </c>
      <c r="P88" s="33">
        <v>63.73</v>
      </c>
      <c r="S88" s="32">
        <f>ROUND(ROUND(P88, 2)*I88, 2)</f>
        <v>135961.71</v>
      </c>
      <c r="V88" s="9">
        <f>ROUND(ROUND(P88, 2)/1.2, 2)</f>
        <v>53.11</v>
      </c>
      <c r="Y88" s="9">
        <f t="shared" si="5"/>
        <v>113301.43</v>
      </c>
      <c r="AD88" s="4" t="s">
        <v>388</v>
      </c>
      <c r="AE88" s="4" t="s">
        <v>389</v>
      </c>
      <c r="AF88" s="4" t="s">
        <v>81</v>
      </c>
    </row>
    <row r="89" spans="1:35" ht="18" x14ac:dyDescent="0.35">
      <c r="A89" s="10" t="s">
        <v>390</v>
      </c>
      <c r="B89" s="10"/>
      <c r="C89" s="47" t="s">
        <v>85</v>
      </c>
      <c r="D89" s="12"/>
      <c r="E89" s="12"/>
      <c r="F89" s="29" t="s">
        <v>78</v>
      </c>
      <c r="G89" s="30">
        <v>2.1</v>
      </c>
      <c r="H89" s="49"/>
      <c r="I89" s="49">
        <v>5209.47</v>
      </c>
      <c r="J89" s="31">
        <v>95.08</v>
      </c>
      <c r="M89" s="32">
        <f>ROUND(ROUND(J89, 2)*I89, 2)</f>
        <v>495316.41</v>
      </c>
      <c r="P89" s="33">
        <v>95.07</v>
      </c>
      <c r="S89" s="32">
        <f>ROUND(ROUND(P89, 2)*I89, 2)</f>
        <v>495264.31</v>
      </c>
      <c r="V89" s="9">
        <f>ROUND(ROUND(P89, 2)/1.2, 2)</f>
        <v>79.23</v>
      </c>
      <c r="Y89" s="9">
        <f t="shared" si="5"/>
        <v>412720.26</v>
      </c>
      <c r="AD89" s="4" t="s">
        <v>391</v>
      </c>
      <c r="AE89" s="4" t="s">
        <v>392</v>
      </c>
      <c r="AF89" s="4" t="s">
        <v>88</v>
      </c>
    </row>
    <row r="90" spans="1:35" ht="36" x14ac:dyDescent="0.35">
      <c r="A90" s="10" t="s">
        <v>393</v>
      </c>
      <c r="B90" s="10"/>
      <c r="C90" s="47" t="s">
        <v>92</v>
      </c>
      <c r="D90" s="12"/>
      <c r="E90" s="12"/>
      <c r="F90" s="29" t="s">
        <v>93</v>
      </c>
      <c r="G90" s="30">
        <v>5.1999999999999998E-2</v>
      </c>
      <c r="H90" s="30"/>
      <c r="I90" s="30">
        <v>0</v>
      </c>
      <c r="J90" s="31">
        <v>4026.8</v>
      </c>
      <c r="M90" s="32">
        <f>ROUND(ROUND(J90, 2)*I90, 2)</f>
        <v>0</v>
      </c>
      <c r="P90" s="33">
        <v>4026.8</v>
      </c>
      <c r="S90" s="32">
        <f>ROUND(ROUND(P90, 2)*I90, 2)</f>
        <v>0</v>
      </c>
      <c r="V90" s="9">
        <f>ROUND(ROUND(P90, 2)/1.2, 2)</f>
        <v>3355.67</v>
      </c>
      <c r="Y90" s="9">
        <f t="shared" si="5"/>
        <v>0</v>
      </c>
      <c r="AD90" s="4" t="s">
        <v>394</v>
      </c>
      <c r="AE90" s="4" t="s">
        <v>395</v>
      </c>
      <c r="AF90" s="4" t="s">
        <v>96</v>
      </c>
    </row>
    <row r="91" spans="1:35" ht="36" x14ac:dyDescent="0.35">
      <c r="A91" s="10" t="s">
        <v>396</v>
      </c>
      <c r="B91" s="10"/>
      <c r="C91" s="47" t="s">
        <v>254</v>
      </c>
      <c r="D91" s="12"/>
      <c r="E91" s="12"/>
      <c r="F91" s="29" t="s">
        <v>63</v>
      </c>
      <c r="G91" s="30">
        <v>2.2000000000000002</v>
      </c>
      <c r="H91" s="30"/>
      <c r="I91" s="30">
        <v>0</v>
      </c>
      <c r="J91" s="31">
        <v>104.57</v>
      </c>
      <c r="M91" s="32">
        <f>ROUND(ROUND(J91, 2)*I91, 2)</f>
        <v>0</v>
      </c>
      <c r="P91" s="33">
        <v>104.57</v>
      </c>
      <c r="S91" s="32">
        <f>ROUND(ROUND(P91, 2)*I91, 2)</f>
        <v>0</v>
      </c>
      <c r="V91" s="9">
        <f>ROUND(ROUND(P91, 2)/1.2, 2)</f>
        <v>87.14</v>
      </c>
      <c r="Y91" s="9">
        <f t="shared" si="5"/>
        <v>0</v>
      </c>
      <c r="AD91" s="4" t="s">
        <v>397</v>
      </c>
      <c r="AE91" s="4" t="s">
        <v>398</v>
      </c>
      <c r="AF91" s="4" t="s">
        <v>257</v>
      </c>
    </row>
    <row r="92" spans="1:35" ht="360" x14ac:dyDescent="0.35">
      <c r="A92" s="10" t="s">
        <v>399</v>
      </c>
      <c r="B92" s="10" t="s">
        <v>215</v>
      </c>
      <c r="C92" s="11" t="s">
        <v>216</v>
      </c>
      <c r="D92" s="12" t="s">
        <v>61</v>
      </c>
      <c r="E92" s="12" t="s">
        <v>282</v>
      </c>
      <c r="F92" s="12" t="s">
        <v>63</v>
      </c>
      <c r="G92" s="13">
        <v>1</v>
      </c>
      <c r="H92" s="13"/>
      <c r="I92" s="13">
        <v>0</v>
      </c>
      <c r="J92" s="14">
        <f>IFERROR(ROUND(SUM(M93,M94,M95,M96,M97)/I92, 2),0)</f>
        <v>0</v>
      </c>
      <c r="K92" s="15">
        <v>1225</v>
      </c>
      <c r="L92" s="14">
        <f>J92+ROUND(K92, 2)</f>
        <v>1225</v>
      </c>
      <c r="M92" s="14">
        <f>ROUND(J92*I92, 2)</f>
        <v>0</v>
      </c>
      <c r="N92" s="14">
        <f>ROUND(I92*ROUND(K92, 2), 2)</f>
        <v>0</v>
      </c>
      <c r="O92" s="14">
        <f>M92+N92</f>
        <v>0</v>
      </c>
      <c r="P92" s="14">
        <f>IFERROR(ROUND(SUM(S93,S94,S95,S96,S97)/I92, 2),0)</f>
        <v>0</v>
      </c>
      <c r="Q92" s="16">
        <v>1837.5</v>
      </c>
      <c r="R92" s="14">
        <f>P92+ROUND(Q92, 2)</f>
        <v>1837.5</v>
      </c>
      <c r="S92" s="14">
        <f>ROUND(P92*I92, 2)</f>
        <v>0</v>
      </c>
      <c r="T92" s="14">
        <f>ROUND(I92*ROUND(Q92, 2), 2)</f>
        <v>0</v>
      </c>
      <c r="U92" s="14">
        <f>S92+T92</f>
        <v>0</v>
      </c>
      <c r="V92" s="9">
        <f>ROUND(P92 / 1.2, 2)</f>
        <v>0</v>
      </c>
      <c r="W92" s="9">
        <f>ROUND(Q92 / 1.2, 2)</f>
        <v>1531.25</v>
      </c>
      <c r="X92" s="9">
        <f>ROUND(R92 / 1.2, 2)</f>
        <v>1531.25</v>
      </c>
      <c r="Y92" s="9">
        <f t="shared" si="5"/>
        <v>0</v>
      </c>
      <c r="Z92" s="9">
        <f>ROUND(T92 / 1.2, 2)</f>
        <v>0</v>
      </c>
      <c r="AA92" s="9">
        <f>Y92+Z92</f>
        <v>0</v>
      </c>
      <c r="AD92" s="4">
        <v>305117014</v>
      </c>
      <c r="AE92" s="4">
        <v>22135690</v>
      </c>
      <c r="AG92" s="4" t="s">
        <v>217</v>
      </c>
      <c r="AH92" s="4" t="s">
        <v>218</v>
      </c>
      <c r="AI92" s="4" t="s">
        <v>66</v>
      </c>
    </row>
    <row r="93" spans="1:35" ht="36" x14ac:dyDescent="0.35">
      <c r="A93" s="10" t="s">
        <v>400</v>
      </c>
      <c r="B93" s="10"/>
      <c r="C93" s="47" t="s">
        <v>254</v>
      </c>
      <c r="D93" s="12"/>
      <c r="E93" s="12"/>
      <c r="F93" s="29" t="s">
        <v>63</v>
      </c>
      <c r="G93" s="30">
        <v>2.2000000000000002</v>
      </c>
      <c r="H93" s="30"/>
      <c r="I93" s="30">
        <v>0</v>
      </c>
      <c r="J93" s="31">
        <v>104.57</v>
      </c>
      <c r="M93" s="32">
        <f>ROUND(ROUND(J93, 2)*I93, 2)</f>
        <v>0</v>
      </c>
      <c r="P93" s="33">
        <v>104.57</v>
      </c>
      <c r="S93" s="32">
        <f>ROUND(ROUND(P93, 2)*I93, 2)</f>
        <v>0</v>
      </c>
      <c r="V93" s="9">
        <f>ROUND(ROUND(P93, 2)/1.2, 2)</f>
        <v>87.14</v>
      </c>
      <c r="Y93" s="9">
        <f t="shared" si="5"/>
        <v>0</v>
      </c>
      <c r="AD93" s="4" t="s">
        <v>401</v>
      </c>
      <c r="AE93" s="4" t="s">
        <v>402</v>
      </c>
      <c r="AF93" s="4" t="s">
        <v>257</v>
      </c>
    </row>
    <row r="94" spans="1:35" ht="36" x14ac:dyDescent="0.35">
      <c r="A94" s="10" t="s">
        <v>403</v>
      </c>
      <c r="B94" s="10"/>
      <c r="C94" s="47" t="s">
        <v>92</v>
      </c>
      <c r="D94" s="12"/>
      <c r="E94" s="12"/>
      <c r="F94" s="29" t="s">
        <v>93</v>
      </c>
      <c r="G94" s="30">
        <v>5.1999999999999998E-2</v>
      </c>
      <c r="H94" s="30"/>
      <c r="I94" s="30">
        <v>0</v>
      </c>
      <c r="J94" s="31">
        <v>4026.8</v>
      </c>
      <c r="M94" s="32">
        <f>ROUND(ROUND(J94, 2)*I94, 2)</f>
        <v>0</v>
      </c>
      <c r="P94" s="33">
        <v>4026.8</v>
      </c>
      <c r="S94" s="32">
        <f>ROUND(ROUND(P94, 2)*I94, 2)</f>
        <v>0</v>
      </c>
      <c r="V94" s="9">
        <f>ROUND(ROUND(P94, 2)/1.2, 2)</f>
        <v>3355.67</v>
      </c>
      <c r="Y94" s="9">
        <f t="shared" si="5"/>
        <v>0</v>
      </c>
      <c r="AD94" s="4" t="s">
        <v>404</v>
      </c>
      <c r="AE94" s="4" t="s">
        <v>405</v>
      </c>
      <c r="AF94" s="4" t="s">
        <v>96</v>
      </c>
    </row>
    <row r="95" spans="1:35" ht="18" x14ac:dyDescent="0.35">
      <c r="A95" s="10" t="s">
        <v>406</v>
      </c>
      <c r="B95" s="10"/>
      <c r="C95" s="47" t="s">
        <v>77</v>
      </c>
      <c r="D95" s="12"/>
      <c r="E95" s="12"/>
      <c r="F95" s="29" t="s">
        <v>78</v>
      </c>
      <c r="G95" s="30">
        <v>0.86</v>
      </c>
      <c r="H95" s="49"/>
      <c r="I95" s="49">
        <v>159.61600000000001</v>
      </c>
      <c r="J95" s="31">
        <v>63.72</v>
      </c>
      <c r="M95" s="32">
        <f>ROUND(ROUND(J95, 2)*I95, 2)</f>
        <v>10170.73</v>
      </c>
      <c r="P95" s="33">
        <v>63.73</v>
      </c>
      <c r="S95" s="32">
        <f>ROUND(ROUND(P95, 2)*I95, 2)</f>
        <v>10172.33</v>
      </c>
      <c r="V95" s="9">
        <f>ROUND(ROUND(P95, 2)/1.2, 2)</f>
        <v>53.11</v>
      </c>
      <c r="Y95" s="9">
        <f t="shared" si="5"/>
        <v>8476.94</v>
      </c>
      <c r="AD95" s="4" t="s">
        <v>407</v>
      </c>
      <c r="AE95" s="4" t="s">
        <v>408</v>
      </c>
      <c r="AF95" s="4" t="s">
        <v>81</v>
      </c>
    </row>
    <row r="96" spans="1:35" ht="18" x14ac:dyDescent="0.35">
      <c r="A96" s="10" t="s">
        <v>409</v>
      </c>
      <c r="B96" s="10"/>
      <c r="C96" s="47" t="s">
        <v>85</v>
      </c>
      <c r="D96" s="12"/>
      <c r="E96" s="12"/>
      <c r="F96" s="29" t="s">
        <v>78</v>
      </c>
      <c r="G96" s="30">
        <v>2.1</v>
      </c>
      <c r="H96" s="49"/>
      <c r="I96" s="49">
        <v>389.76</v>
      </c>
      <c r="J96" s="31">
        <v>95.08</v>
      </c>
      <c r="M96" s="32">
        <f>ROUND(ROUND(J96, 2)*I96, 2)</f>
        <v>37058.379999999997</v>
      </c>
      <c r="P96" s="33">
        <v>95.07</v>
      </c>
      <c r="S96" s="32">
        <f>ROUND(ROUND(P96, 2)*I96, 2)</f>
        <v>37054.480000000003</v>
      </c>
      <c r="V96" s="9">
        <f>ROUND(ROUND(P96, 2)/1.2, 2)</f>
        <v>79.23</v>
      </c>
      <c r="Y96" s="9">
        <f t="shared" si="5"/>
        <v>30878.73</v>
      </c>
      <c r="AD96" s="4" t="s">
        <v>410</v>
      </c>
      <c r="AE96" s="4" t="s">
        <v>411</v>
      </c>
      <c r="AF96" s="4" t="s">
        <v>88</v>
      </c>
    </row>
    <row r="97" spans="1:35" ht="54" x14ac:dyDescent="0.35">
      <c r="A97" s="10" t="s">
        <v>412</v>
      </c>
      <c r="B97" s="10"/>
      <c r="C97" s="28" t="s">
        <v>222</v>
      </c>
      <c r="D97" s="12"/>
      <c r="E97" s="12"/>
      <c r="F97" s="29" t="s">
        <v>70</v>
      </c>
      <c r="G97" s="30">
        <v>1</v>
      </c>
      <c r="H97" s="30"/>
      <c r="I97" s="30">
        <v>0</v>
      </c>
      <c r="J97" s="31">
        <v>111.16</v>
      </c>
      <c r="M97" s="32">
        <f>ROUND(ROUND(J97, 2)*I97, 2)</f>
        <v>0</v>
      </c>
      <c r="P97" s="33">
        <v>111.15</v>
      </c>
      <c r="S97" s="32">
        <f>ROUND(ROUND(P97, 2)*I97, 2)</f>
        <v>0</v>
      </c>
      <c r="V97" s="9">
        <f>ROUND(ROUND(P97, 2)/1.2, 2)</f>
        <v>92.63</v>
      </c>
      <c r="Y97" s="9">
        <f t="shared" si="5"/>
        <v>0</v>
      </c>
      <c r="AD97" s="4" t="s">
        <v>413</v>
      </c>
      <c r="AE97" s="4" t="s">
        <v>414</v>
      </c>
      <c r="AF97" s="4" t="s">
        <v>225</v>
      </c>
    </row>
    <row r="98" spans="1:35" ht="288" x14ac:dyDescent="0.35">
      <c r="A98" s="10" t="s">
        <v>415</v>
      </c>
      <c r="B98" s="10" t="s">
        <v>215</v>
      </c>
      <c r="C98" s="11" t="s">
        <v>216</v>
      </c>
      <c r="D98" s="12" t="s">
        <v>61</v>
      </c>
      <c r="E98" s="12" t="s">
        <v>310</v>
      </c>
      <c r="F98" s="12" t="s">
        <v>63</v>
      </c>
      <c r="G98" s="13">
        <v>1</v>
      </c>
      <c r="H98" s="13"/>
      <c r="I98" s="13">
        <v>0</v>
      </c>
      <c r="J98" s="14">
        <f>IFERROR(ROUND(SUM(M99,M100,M101,M102,M103)/I98, 2),0)</f>
        <v>0</v>
      </c>
      <c r="K98" s="15">
        <v>1225</v>
      </c>
      <c r="L98" s="14">
        <f>J98+ROUND(K98, 2)</f>
        <v>1225</v>
      </c>
      <c r="M98" s="14">
        <f>ROUND(J98*I98, 2)</f>
        <v>0</v>
      </c>
      <c r="N98" s="14">
        <f>ROUND(I98*ROUND(K98, 2), 2)</f>
        <v>0</v>
      </c>
      <c r="O98" s="14">
        <f>M98+N98</f>
        <v>0</v>
      </c>
      <c r="P98" s="14">
        <f>IFERROR(ROUND(SUM(S99,S100,S101,S102,S103)/I98, 2),0)</f>
        <v>0</v>
      </c>
      <c r="Q98" s="16">
        <v>1837.5</v>
      </c>
      <c r="R98" s="14">
        <f>P98+ROUND(Q98, 2)</f>
        <v>1837.5</v>
      </c>
      <c r="S98" s="14">
        <f>ROUND(P98*I98, 2)</f>
        <v>0</v>
      </c>
      <c r="T98" s="14">
        <f>ROUND(I98*ROUND(Q98, 2), 2)</f>
        <v>0</v>
      </c>
      <c r="U98" s="14">
        <f>S98+T98</f>
        <v>0</v>
      </c>
      <c r="V98" s="9">
        <f>ROUND(P98 / 1.2, 2)</f>
        <v>0</v>
      </c>
      <c r="W98" s="9">
        <f>ROUND(Q98 / 1.2, 2)</f>
        <v>1531.25</v>
      </c>
      <c r="X98" s="9">
        <f>ROUND(R98 / 1.2, 2)</f>
        <v>1531.25</v>
      </c>
      <c r="Y98" s="9">
        <f t="shared" si="5"/>
        <v>0</v>
      </c>
      <c r="Z98" s="9">
        <f>ROUND(T98 / 1.2, 2)</f>
        <v>0</v>
      </c>
      <c r="AA98" s="9">
        <f>Y98+Z98</f>
        <v>0</v>
      </c>
      <c r="AD98" s="4">
        <v>305117015</v>
      </c>
      <c r="AE98" s="4">
        <v>22135691</v>
      </c>
      <c r="AG98" s="4" t="s">
        <v>217</v>
      </c>
      <c r="AH98" s="4" t="s">
        <v>218</v>
      </c>
      <c r="AI98" s="4" t="s">
        <v>66</v>
      </c>
    </row>
    <row r="99" spans="1:35" ht="54" x14ac:dyDescent="0.35">
      <c r="A99" s="10" t="s">
        <v>416</v>
      </c>
      <c r="B99" s="10"/>
      <c r="C99" s="28" t="s">
        <v>222</v>
      </c>
      <c r="D99" s="12"/>
      <c r="E99" s="12"/>
      <c r="F99" s="29" t="s">
        <v>70</v>
      </c>
      <c r="G99" s="30">
        <v>1</v>
      </c>
      <c r="H99" s="30"/>
      <c r="I99" s="30">
        <v>0</v>
      </c>
      <c r="J99" s="31">
        <v>111.16</v>
      </c>
      <c r="M99" s="32">
        <f>ROUND(ROUND(J99, 2)*I99, 2)</f>
        <v>0</v>
      </c>
      <c r="P99" s="33">
        <v>111.15</v>
      </c>
      <c r="S99" s="32">
        <f>ROUND(ROUND(P99, 2)*I99, 2)</f>
        <v>0</v>
      </c>
      <c r="V99" s="9">
        <f>ROUND(ROUND(P99, 2)/1.2, 2)</f>
        <v>92.63</v>
      </c>
      <c r="Y99" s="9">
        <f t="shared" si="5"/>
        <v>0</v>
      </c>
      <c r="AD99" s="4" t="s">
        <v>417</v>
      </c>
      <c r="AE99" s="4" t="s">
        <v>418</v>
      </c>
      <c r="AF99" s="4" t="s">
        <v>225</v>
      </c>
    </row>
    <row r="100" spans="1:35" ht="18" x14ac:dyDescent="0.35">
      <c r="A100" s="10" t="s">
        <v>419</v>
      </c>
      <c r="B100" s="10"/>
      <c r="C100" s="47" t="s">
        <v>135</v>
      </c>
      <c r="D100" s="12"/>
      <c r="E100" s="12"/>
      <c r="F100" s="29" t="s">
        <v>78</v>
      </c>
      <c r="G100" s="30">
        <v>2.1</v>
      </c>
      <c r="H100" s="30"/>
      <c r="I100" s="30">
        <v>0</v>
      </c>
      <c r="J100" s="31">
        <v>64.56</v>
      </c>
      <c r="M100" s="32">
        <f>ROUND(ROUND(J100, 2)*I100, 2)</f>
        <v>0</v>
      </c>
      <c r="P100" s="33">
        <v>64.56</v>
      </c>
      <c r="S100" s="32">
        <f>ROUND(ROUND(P100, 2)*I100, 2)</f>
        <v>0</v>
      </c>
      <c r="V100" s="9">
        <f>ROUND(ROUND(P100, 2)/1.2, 2)</f>
        <v>53.8</v>
      </c>
      <c r="Y100" s="9">
        <f t="shared" si="5"/>
        <v>0</v>
      </c>
      <c r="AD100" s="4" t="s">
        <v>420</v>
      </c>
      <c r="AE100" s="4" t="s">
        <v>421</v>
      </c>
      <c r="AF100" s="4" t="s">
        <v>138</v>
      </c>
    </row>
    <row r="101" spans="1:35" ht="18" x14ac:dyDescent="0.35">
      <c r="A101" s="10" t="s">
        <v>422</v>
      </c>
      <c r="B101" s="10"/>
      <c r="C101" s="47" t="s">
        <v>142</v>
      </c>
      <c r="D101" s="12"/>
      <c r="E101" s="12"/>
      <c r="F101" s="29" t="s">
        <v>78</v>
      </c>
      <c r="G101" s="30">
        <v>0.8</v>
      </c>
      <c r="H101" s="30"/>
      <c r="I101" s="30">
        <v>0</v>
      </c>
      <c r="J101" s="31">
        <v>51.64</v>
      </c>
      <c r="M101" s="32">
        <f>ROUND(ROUND(J101, 2)*I101, 2)</f>
        <v>0</v>
      </c>
      <c r="P101" s="33">
        <v>51.63</v>
      </c>
      <c r="S101" s="32">
        <f>ROUND(ROUND(P101, 2)*I101, 2)</f>
        <v>0</v>
      </c>
      <c r="V101" s="9">
        <f>ROUND(ROUND(P101, 2)/1.2, 2)</f>
        <v>43.03</v>
      </c>
      <c r="Y101" s="9">
        <f t="shared" si="5"/>
        <v>0</v>
      </c>
      <c r="AD101" s="4" t="s">
        <v>423</v>
      </c>
      <c r="AE101" s="4" t="s">
        <v>424</v>
      </c>
      <c r="AF101" s="4" t="s">
        <v>145</v>
      </c>
    </row>
    <row r="102" spans="1:35" ht="36" x14ac:dyDescent="0.35">
      <c r="A102" s="10" t="s">
        <v>425</v>
      </c>
      <c r="B102" s="10"/>
      <c r="C102" s="47" t="s">
        <v>92</v>
      </c>
      <c r="D102" s="12"/>
      <c r="E102" s="12"/>
      <c r="F102" s="29" t="s">
        <v>93</v>
      </c>
      <c r="G102" s="30">
        <v>5.1999999999999998E-2</v>
      </c>
      <c r="H102" s="30"/>
      <c r="I102" s="30">
        <v>0</v>
      </c>
      <c r="J102" s="31">
        <v>4026.8</v>
      </c>
      <c r="M102" s="32">
        <f>ROUND(ROUND(J102, 2)*I102, 2)</f>
        <v>0</v>
      </c>
      <c r="P102" s="33">
        <v>4026.8</v>
      </c>
      <c r="S102" s="32">
        <f>ROUND(ROUND(P102, 2)*I102, 2)</f>
        <v>0</v>
      </c>
      <c r="V102" s="9">
        <f>ROUND(ROUND(P102, 2)/1.2, 2)</f>
        <v>3355.67</v>
      </c>
      <c r="Y102" s="9">
        <f t="shared" si="5"/>
        <v>0</v>
      </c>
      <c r="AD102" s="4" t="s">
        <v>426</v>
      </c>
      <c r="AE102" s="4" t="s">
        <v>427</v>
      </c>
      <c r="AF102" s="4" t="s">
        <v>96</v>
      </c>
    </row>
    <row r="103" spans="1:35" ht="36" x14ac:dyDescent="0.35">
      <c r="A103" s="10" t="s">
        <v>428</v>
      </c>
      <c r="B103" s="10"/>
      <c r="C103" s="47" t="s">
        <v>254</v>
      </c>
      <c r="D103" s="12"/>
      <c r="E103" s="12" t="s">
        <v>315</v>
      </c>
      <c r="F103" s="29" t="s">
        <v>63</v>
      </c>
      <c r="G103" s="30">
        <v>2.2000000000000002</v>
      </c>
      <c r="H103" s="30"/>
      <c r="I103" s="30">
        <v>0</v>
      </c>
      <c r="J103" s="31">
        <v>104.57</v>
      </c>
      <c r="M103" s="32">
        <f>ROUND(ROUND(J103, 2)*I103, 2)</f>
        <v>0</v>
      </c>
      <c r="P103" s="33">
        <v>104.57</v>
      </c>
      <c r="S103" s="32">
        <f>ROUND(ROUND(P103, 2)*I103, 2)</f>
        <v>0</v>
      </c>
      <c r="V103" s="9">
        <f>ROUND(ROUND(P103, 2)/1.2, 2)</f>
        <v>87.14</v>
      </c>
      <c r="Y103" s="9">
        <f t="shared" si="5"/>
        <v>0</v>
      </c>
      <c r="AD103" s="4" t="s">
        <v>429</v>
      </c>
      <c r="AE103" s="4" t="s">
        <v>430</v>
      </c>
      <c r="AF103" s="4" t="s">
        <v>257</v>
      </c>
    </row>
    <row r="104" spans="1:35" ht="288" x14ac:dyDescent="0.35">
      <c r="A104" s="10" t="s">
        <v>431</v>
      </c>
      <c r="B104" s="10" t="s">
        <v>215</v>
      </c>
      <c r="C104" s="11" t="s">
        <v>216</v>
      </c>
      <c r="D104" s="12" t="s">
        <v>61</v>
      </c>
      <c r="E104" s="12" t="s">
        <v>339</v>
      </c>
      <c r="F104" s="12" t="s">
        <v>63</v>
      </c>
      <c r="G104" s="13">
        <v>1</v>
      </c>
      <c r="H104" s="13"/>
      <c r="I104" s="13">
        <v>0</v>
      </c>
      <c r="J104" s="14">
        <f>IFERROR(ROUND(SUM(M105,M106,M107,M108,M109)/I104, 2),0)</f>
        <v>0</v>
      </c>
      <c r="K104" s="15">
        <v>1225</v>
      </c>
      <c r="L104" s="14">
        <f>J104+ROUND(K104, 2)</f>
        <v>1225</v>
      </c>
      <c r="M104" s="14">
        <f>ROUND(J104*I104, 2)</f>
        <v>0</v>
      </c>
      <c r="N104" s="14">
        <f>ROUND(I104*ROUND(K104, 2), 2)</f>
        <v>0</v>
      </c>
      <c r="O104" s="14">
        <f>M104+N104</f>
        <v>0</v>
      </c>
      <c r="P104" s="14">
        <f>IFERROR(ROUND(SUM(S105,S106,S107,S108,S109)/I104, 2),0)</f>
        <v>0</v>
      </c>
      <c r="Q104" s="16">
        <v>1837.5</v>
      </c>
      <c r="R104" s="14">
        <f>P104+ROUND(Q104, 2)</f>
        <v>1837.5</v>
      </c>
      <c r="S104" s="14">
        <f>ROUND(P104*I104, 2)</f>
        <v>0</v>
      </c>
      <c r="T104" s="14">
        <f>ROUND(I104*ROUND(Q104, 2), 2)</f>
        <v>0</v>
      </c>
      <c r="U104" s="14">
        <f>S104+T104</f>
        <v>0</v>
      </c>
      <c r="V104" s="9">
        <f>ROUND(P104 / 1.2, 2)</f>
        <v>0</v>
      </c>
      <c r="W104" s="9">
        <f>ROUND(Q104 / 1.2, 2)</f>
        <v>1531.25</v>
      </c>
      <c r="X104" s="9">
        <f>ROUND(R104 / 1.2, 2)</f>
        <v>1531.25</v>
      </c>
      <c r="Y104" s="9">
        <f t="shared" si="5"/>
        <v>0</v>
      </c>
      <c r="Z104" s="9">
        <f>ROUND(T104 / 1.2, 2)</f>
        <v>0</v>
      </c>
      <c r="AA104" s="9">
        <f>Y104+Z104</f>
        <v>0</v>
      </c>
      <c r="AD104" s="4">
        <v>305117016</v>
      </c>
      <c r="AE104" s="4">
        <v>22135681</v>
      </c>
      <c r="AG104" s="4" t="s">
        <v>217</v>
      </c>
      <c r="AH104" s="4" t="s">
        <v>218</v>
      </c>
      <c r="AI104" s="4" t="s">
        <v>66</v>
      </c>
    </row>
    <row r="105" spans="1:35" ht="18" x14ac:dyDescent="0.35">
      <c r="A105" s="10" t="s">
        <v>432</v>
      </c>
      <c r="B105" s="10"/>
      <c r="C105" s="47" t="s">
        <v>361</v>
      </c>
      <c r="D105" s="12"/>
      <c r="E105" s="12"/>
      <c r="F105" s="29" t="s">
        <v>63</v>
      </c>
      <c r="G105" s="30">
        <v>2.2000000000000002</v>
      </c>
      <c r="H105" s="30"/>
      <c r="I105" s="30">
        <v>0</v>
      </c>
      <c r="J105" s="31">
        <v>315.55</v>
      </c>
      <c r="M105" s="32">
        <f>ROUND(ROUND(J105, 2)*I105, 2)</f>
        <v>0</v>
      </c>
      <c r="P105" s="33">
        <v>315.55</v>
      </c>
      <c r="S105" s="32">
        <f>ROUND(ROUND(P105, 2)*I105, 2)</f>
        <v>0</v>
      </c>
      <c r="V105" s="9">
        <f>ROUND(ROUND(P105, 2)/1.2, 2)</f>
        <v>262.95999999999998</v>
      </c>
      <c r="Y105" s="9">
        <f t="shared" si="5"/>
        <v>0</v>
      </c>
      <c r="AD105" s="4" t="s">
        <v>433</v>
      </c>
      <c r="AE105" s="4" t="s">
        <v>434</v>
      </c>
      <c r="AF105" s="4" t="s">
        <v>364</v>
      </c>
    </row>
    <row r="106" spans="1:35" ht="36" x14ac:dyDescent="0.35">
      <c r="A106" s="10" t="s">
        <v>435</v>
      </c>
      <c r="B106" s="10"/>
      <c r="C106" s="47" t="s">
        <v>92</v>
      </c>
      <c r="D106" s="12"/>
      <c r="E106" s="12"/>
      <c r="F106" s="29" t="s">
        <v>93</v>
      </c>
      <c r="G106" s="30">
        <v>5.1999999999999998E-2</v>
      </c>
      <c r="H106" s="30"/>
      <c r="I106" s="30">
        <v>0</v>
      </c>
      <c r="J106" s="31">
        <v>4026.8</v>
      </c>
      <c r="M106" s="32">
        <f>ROUND(ROUND(J106, 2)*I106, 2)</f>
        <v>0</v>
      </c>
      <c r="P106" s="33">
        <v>4026.8</v>
      </c>
      <c r="S106" s="32">
        <f>ROUND(ROUND(P106, 2)*I106, 2)</f>
        <v>0</v>
      </c>
      <c r="V106" s="9">
        <f>ROUND(ROUND(P106, 2)/1.2, 2)</f>
        <v>3355.67</v>
      </c>
      <c r="Y106" s="9">
        <f t="shared" si="5"/>
        <v>0</v>
      </c>
      <c r="AD106" s="4" t="s">
        <v>436</v>
      </c>
      <c r="AE106" s="4" t="s">
        <v>437</v>
      </c>
      <c r="AF106" s="4" t="s">
        <v>96</v>
      </c>
    </row>
    <row r="107" spans="1:35" ht="18" x14ac:dyDescent="0.35">
      <c r="A107" s="10" t="s">
        <v>438</v>
      </c>
      <c r="B107" s="10"/>
      <c r="C107" s="47" t="s">
        <v>77</v>
      </c>
      <c r="D107" s="12"/>
      <c r="E107" s="12"/>
      <c r="F107" s="29" t="s">
        <v>78</v>
      </c>
      <c r="G107" s="30">
        <v>0.86</v>
      </c>
      <c r="H107" s="49"/>
      <c r="I107" s="49">
        <v>82.388000000000005</v>
      </c>
      <c r="J107" s="31">
        <v>63.72</v>
      </c>
      <c r="M107" s="32">
        <f>ROUND(ROUND(J107, 2)*I107, 2)</f>
        <v>5249.76</v>
      </c>
      <c r="P107" s="33">
        <v>63.73</v>
      </c>
      <c r="S107" s="32">
        <f>ROUND(ROUND(P107, 2)*I107, 2)</f>
        <v>5250.59</v>
      </c>
      <c r="V107" s="9">
        <f>ROUND(ROUND(P107, 2)/1.2, 2)</f>
        <v>53.11</v>
      </c>
      <c r="Y107" s="9">
        <f t="shared" si="5"/>
        <v>4375.49</v>
      </c>
      <c r="AD107" s="4" t="s">
        <v>439</v>
      </c>
      <c r="AE107" s="4" t="s">
        <v>440</v>
      </c>
      <c r="AF107" s="4" t="s">
        <v>81</v>
      </c>
    </row>
    <row r="108" spans="1:35" ht="18" x14ac:dyDescent="0.35">
      <c r="A108" s="10" t="s">
        <v>441</v>
      </c>
      <c r="B108" s="10"/>
      <c r="C108" s="47" t="s">
        <v>85</v>
      </c>
      <c r="D108" s="12"/>
      <c r="E108" s="12"/>
      <c r="F108" s="29" t="s">
        <v>78</v>
      </c>
      <c r="G108" s="30">
        <v>2.1</v>
      </c>
      <c r="H108" s="49"/>
      <c r="I108" s="49">
        <v>201.18</v>
      </c>
      <c r="J108" s="31">
        <v>95.08</v>
      </c>
      <c r="M108" s="32">
        <f>ROUND(ROUND(J108, 2)*I108, 2)</f>
        <v>19128.189999999999</v>
      </c>
      <c r="P108" s="33">
        <v>95.07</v>
      </c>
      <c r="S108" s="32">
        <f>ROUND(ROUND(P108, 2)*I108, 2)</f>
        <v>19126.18</v>
      </c>
      <c r="V108" s="9">
        <f>ROUND(ROUND(P108, 2)/1.2, 2)</f>
        <v>79.23</v>
      </c>
      <c r="Y108" s="9">
        <f t="shared" si="5"/>
        <v>15938.48</v>
      </c>
      <c r="AD108" s="4" t="s">
        <v>442</v>
      </c>
      <c r="AE108" s="4" t="s">
        <v>443</v>
      </c>
      <c r="AF108" s="4" t="s">
        <v>88</v>
      </c>
    </row>
    <row r="109" spans="1:35" ht="54" x14ac:dyDescent="0.35">
      <c r="A109" s="10" t="s">
        <v>444</v>
      </c>
      <c r="B109" s="10"/>
      <c r="C109" s="28" t="s">
        <v>222</v>
      </c>
      <c r="D109" s="12"/>
      <c r="E109" s="12"/>
      <c r="F109" s="29" t="s">
        <v>70</v>
      </c>
      <c r="G109" s="30">
        <v>1</v>
      </c>
      <c r="H109" s="30"/>
      <c r="I109" s="30">
        <v>0</v>
      </c>
      <c r="J109" s="31">
        <v>111.16</v>
      </c>
      <c r="M109" s="32">
        <f>ROUND(ROUND(J109, 2)*I109, 2)</f>
        <v>0</v>
      </c>
      <c r="P109" s="33">
        <v>111.15</v>
      </c>
      <c r="S109" s="32">
        <f>ROUND(ROUND(P109, 2)*I109, 2)</f>
        <v>0</v>
      </c>
      <c r="V109" s="9">
        <f>ROUND(ROUND(P109, 2)/1.2, 2)</f>
        <v>92.63</v>
      </c>
      <c r="Y109" s="9">
        <f t="shared" si="5"/>
        <v>0</v>
      </c>
      <c r="AD109" s="4" t="s">
        <v>445</v>
      </c>
      <c r="AE109" s="4" t="s">
        <v>446</v>
      </c>
      <c r="AF109" s="4" t="s">
        <v>225</v>
      </c>
    </row>
    <row r="110" spans="1:35" ht="17" customHeight="1" x14ac:dyDescent="0.35">
      <c r="A110" s="10" t="s">
        <v>447</v>
      </c>
      <c r="B110" s="10" t="s">
        <v>448</v>
      </c>
      <c r="C110" s="174" t="s">
        <v>449</v>
      </c>
      <c r="D110" s="175"/>
      <c r="E110" s="175"/>
      <c r="F110" s="175"/>
      <c r="G110" s="175"/>
      <c r="H110" s="175"/>
      <c r="I110" s="176"/>
      <c r="M110" s="6">
        <f t="shared" ref="M110:O111" si="6">SUM(M111)</f>
        <v>0</v>
      </c>
      <c r="N110" s="6">
        <f t="shared" si="6"/>
        <v>0</v>
      </c>
      <c r="O110" s="6">
        <f t="shared" si="6"/>
        <v>0</v>
      </c>
      <c r="S110" s="6">
        <f t="shared" ref="S110:U111" si="7">SUM(S111)</f>
        <v>0</v>
      </c>
      <c r="T110" s="6">
        <f t="shared" si="7"/>
        <v>0</v>
      </c>
      <c r="U110" s="6">
        <f t="shared" si="7"/>
        <v>0</v>
      </c>
      <c r="Y110" s="9">
        <f t="shared" ref="Y110:AA111" si="8">SUM(Y111)</f>
        <v>0</v>
      </c>
      <c r="Z110" s="9">
        <f t="shared" si="8"/>
        <v>0</v>
      </c>
      <c r="AA110" s="9">
        <f t="shared" si="8"/>
        <v>0</v>
      </c>
      <c r="AD110" s="4">
        <v>305116939</v>
      </c>
      <c r="AE110" s="4">
        <v>20926425</v>
      </c>
    </row>
    <row r="111" spans="1:35" ht="17" customHeight="1" x14ac:dyDescent="0.35">
      <c r="A111" s="10" t="s">
        <v>450</v>
      </c>
      <c r="B111" s="10" t="s">
        <v>451</v>
      </c>
      <c r="C111" s="174" t="s">
        <v>452</v>
      </c>
      <c r="D111" s="175"/>
      <c r="E111" s="175"/>
      <c r="F111" s="175"/>
      <c r="G111" s="175"/>
      <c r="H111" s="175"/>
      <c r="I111" s="176"/>
      <c r="M111" s="6">
        <f t="shared" si="6"/>
        <v>0</v>
      </c>
      <c r="N111" s="6">
        <f t="shared" si="6"/>
        <v>0</v>
      </c>
      <c r="O111" s="6">
        <f t="shared" si="6"/>
        <v>0</v>
      </c>
      <c r="S111" s="6">
        <f t="shared" si="7"/>
        <v>0</v>
      </c>
      <c r="T111" s="6">
        <f t="shared" si="7"/>
        <v>0</v>
      </c>
      <c r="U111" s="6">
        <f t="shared" si="7"/>
        <v>0</v>
      </c>
      <c r="Y111" s="9">
        <f t="shared" si="8"/>
        <v>0</v>
      </c>
      <c r="Z111" s="9">
        <f t="shared" si="8"/>
        <v>0</v>
      </c>
      <c r="AA111" s="9">
        <f t="shared" si="8"/>
        <v>0</v>
      </c>
      <c r="AD111" s="4">
        <v>305116940</v>
      </c>
      <c r="AE111" s="4">
        <v>20926427</v>
      </c>
    </row>
    <row r="112" spans="1:35" ht="17" customHeight="1" x14ac:dyDescent="0.35">
      <c r="A112" s="10" t="s">
        <v>453</v>
      </c>
      <c r="B112" s="10" t="s">
        <v>454</v>
      </c>
      <c r="C112" s="174" t="s">
        <v>455</v>
      </c>
      <c r="D112" s="175"/>
      <c r="E112" s="175"/>
      <c r="F112" s="175"/>
      <c r="G112" s="175"/>
      <c r="H112" s="175"/>
      <c r="I112" s="176"/>
      <c r="M112" s="6">
        <f>SUM(M113,M287,M326,M369,M449)</f>
        <v>0</v>
      </c>
      <c r="N112" s="6">
        <f>SUM(N113,N287,N326,N369,N449)</f>
        <v>0</v>
      </c>
      <c r="O112" s="6">
        <f>SUM(O113,O287,O326,O369,O449)</f>
        <v>0</v>
      </c>
      <c r="S112" s="6">
        <f>SUM(S113,S287,S326,S369,S449)</f>
        <v>0</v>
      </c>
      <c r="T112" s="6">
        <f>SUM(T113,T287,T326,T369,T449)</f>
        <v>0</v>
      </c>
      <c r="U112" s="6">
        <f>SUM(U113,U287,U326,U369,U449)</f>
        <v>0</v>
      </c>
      <c r="Y112" s="9">
        <f>SUM(Y113,Y287,Y326,Y369,Y449)</f>
        <v>0</v>
      </c>
      <c r="Z112" s="9">
        <f>SUM(Z113,Z287,Z326,Z369,Z449)</f>
        <v>0</v>
      </c>
      <c r="AA112" s="9">
        <f>SUM(AA113,AA287,AA326,AA369,AA449)</f>
        <v>0</v>
      </c>
      <c r="AD112" s="4">
        <v>305116941</v>
      </c>
      <c r="AE112" s="4">
        <v>20926429</v>
      </c>
    </row>
    <row r="113" spans="1:35" ht="17" customHeight="1" x14ac:dyDescent="0.35">
      <c r="A113" s="10" t="s">
        <v>456</v>
      </c>
      <c r="B113" s="10" t="s">
        <v>457</v>
      </c>
      <c r="C113" s="174" t="s">
        <v>458</v>
      </c>
      <c r="D113" s="175"/>
      <c r="E113" s="175"/>
      <c r="F113" s="175"/>
      <c r="G113" s="175"/>
      <c r="H113" s="175"/>
      <c r="I113" s="176"/>
      <c r="M113" s="6">
        <f>SUM(M114,M137,M182)</f>
        <v>0</v>
      </c>
      <c r="N113" s="6">
        <f>SUM(N114,N137,N182)</f>
        <v>0</v>
      </c>
      <c r="O113" s="6">
        <f>SUM(O114,O137,O182)</f>
        <v>0</v>
      </c>
      <c r="S113" s="6">
        <f>SUM(S114,S137,S182)</f>
        <v>0</v>
      </c>
      <c r="T113" s="6">
        <f>SUM(T114,T137,T182)</f>
        <v>0</v>
      </c>
      <c r="U113" s="6">
        <f>SUM(U114,U137,U182)</f>
        <v>0</v>
      </c>
      <c r="Y113" s="9">
        <f>SUM(Y114,Y137,Y182)</f>
        <v>0</v>
      </c>
      <c r="Z113" s="9">
        <f>SUM(Z114,Z137,Z182)</f>
        <v>0</v>
      </c>
      <c r="AA113" s="9">
        <f>SUM(AA114,AA137,AA182)</f>
        <v>0</v>
      </c>
      <c r="AD113" s="4">
        <v>305116942</v>
      </c>
      <c r="AE113" s="4">
        <v>20926430</v>
      </c>
    </row>
    <row r="114" spans="1:35" ht="17" customHeight="1" x14ac:dyDescent="0.35">
      <c r="A114" s="10" t="s">
        <v>459</v>
      </c>
      <c r="B114" s="10" t="s">
        <v>460</v>
      </c>
      <c r="C114" s="174" t="s">
        <v>461</v>
      </c>
      <c r="D114" s="175"/>
      <c r="E114" s="175"/>
      <c r="F114" s="175"/>
      <c r="G114" s="175"/>
      <c r="H114" s="175"/>
      <c r="I114" s="176"/>
      <c r="M114" s="6">
        <f>SUM(M115,M117,M119,M124,M129,M133)</f>
        <v>0</v>
      </c>
      <c r="N114" s="6">
        <f>SUM(N115,N117,N119,N124,N129,N133)</f>
        <v>0</v>
      </c>
      <c r="O114" s="6">
        <f>SUM(O115,O117,O119,O124,O129,O133)</f>
        <v>0</v>
      </c>
      <c r="S114" s="6">
        <f>SUM(S115,S117,S119,S124,S129,S133)</f>
        <v>0</v>
      </c>
      <c r="T114" s="6">
        <f>SUM(T115,T117,T119,T124,T129,T133)</f>
        <v>0</v>
      </c>
      <c r="U114" s="6">
        <f>SUM(U115,U117,U119,U124,U129,U133)</f>
        <v>0</v>
      </c>
      <c r="Y114" s="9">
        <f>SUM(Y115,Y117,Y119,Y124,Y129,Y133)</f>
        <v>0</v>
      </c>
      <c r="Z114" s="9">
        <f>SUM(Z115,Z117,Z119,Z124,Z129,Z133)</f>
        <v>0</v>
      </c>
      <c r="AA114" s="9">
        <f>SUM(AA115,AA117,AA119,AA124,AA129,AA133)</f>
        <v>0</v>
      </c>
      <c r="AD114" s="4">
        <v>305116943</v>
      </c>
      <c r="AE114" s="4">
        <v>20926428</v>
      </c>
    </row>
    <row r="115" spans="1:35" ht="36" x14ac:dyDescent="0.35">
      <c r="A115" s="10" t="s">
        <v>462</v>
      </c>
      <c r="B115" s="10" t="s">
        <v>463</v>
      </c>
      <c r="C115" s="11" t="s">
        <v>464</v>
      </c>
      <c r="D115" s="12"/>
      <c r="E115" s="12"/>
      <c r="F115" s="12" t="s">
        <v>63</v>
      </c>
      <c r="G115" s="13">
        <v>1</v>
      </c>
      <c r="H115" s="13"/>
      <c r="I115" s="13">
        <v>0</v>
      </c>
      <c r="J115" s="14">
        <v>51.44</v>
      </c>
      <c r="K115" s="15">
        <v>40</v>
      </c>
      <c r="L115" s="14">
        <f>J115+ROUND(K115, 2)</f>
        <v>91.44</v>
      </c>
      <c r="M115" s="14">
        <v>0</v>
      </c>
      <c r="N115" s="14">
        <v>0</v>
      </c>
      <c r="O115" s="14">
        <f>M115+N115</f>
        <v>0</v>
      </c>
      <c r="P115" s="14">
        <v>51.44</v>
      </c>
      <c r="Q115" s="15">
        <v>40</v>
      </c>
      <c r="R115" s="14">
        <f>P115+ROUND(Q115, 2)</f>
        <v>91.44</v>
      </c>
      <c r="S115" s="14">
        <v>0</v>
      </c>
      <c r="T115" s="14">
        <v>0</v>
      </c>
      <c r="U115" s="14">
        <f>S115+T115</f>
        <v>0</v>
      </c>
      <c r="V115" s="9">
        <f>ROUND(P115 / 1.2, 2)</f>
        <v>42.87</v>
      </c>
      <c r="W115" s="9">
        <f>ROUND(Q115 / 1.2, 2)</f>
        <v>33.33</v>
      </c>
      <c r="X115" s="9">
        <f>ROUND(R115 / 1.2, 2)</f>
        <v>76.2</v>
      </c>
      <c r="Y115" s="9">
        <f>ROUND(S115 / 1.2, 2)</f>
        <v>0</v>
      </c>
      <c r="Z115" s="9">
        <f>ROUND(T115 / 1.2, 2)</f>
        <v>0</v>
      </c>
      <c r="AA115" s="9">
        <f>Y115+Z115</f>
        <v>0</v>
      </c>
      <c r="AD115" s="4">
        <v>305116945</v>
      </c>
      <c r="AE115" s="4">
        <v>20926494</v>
      </c>
      <c r="AG115" s="4" t="s">
        <v>465</v>
      </c>
      <c r="AH115" s="4" t="s">
        <v>466</v>
      </c>
      <c r="AI115" s="4" t="s">
        <v>467</v>
      </c>
    </row>
    <row r="116" spans="1:35" ht="18" x14ac:dyDescent="0.35">
      <c r="A116" s="10" t="s">
        <v>470</v>
      </c>
      <c r="B116" s="10"/>
      <c r="C116" s="28" t="s">
        <v>471</v>
      </c>
      <c r="D116" s="12"/>
      <c r="E116" s="12"/>
      <c r="F116" s="29" t="s">
        <v>63</v>
      </c>
      <c r="G116" s="30">
        <v>1.1000000000000001</v>
      </c>
      <c r="H116" s="30"/>
      <c r="I116" s="30">
        <v>0</v>
      </c>
      <c r="J116" s="31">
        <v>46.76</v>
      </c>
      <c r="M116" s="32">
        <f>ROUND(ROUND(J116, 2)*I116, 2)</f>
        <v>0</v>
      </c>
      <c r="P116" s="31">
        <v>46.76</v>
      </c>
      <c r="S116" s="32">
        <f>ROUND(ROUND(P116, 2)*I116, 2)</f>
        <v>0</v>
      </c>
      <c r="V116" s="9">
        <f>ROUND(ROUND(P116, 2)/1.2, 2)</f>
        <v>38.97</v>
      </c>
      <c r="Y116" s="9">
        <f t="shared" ref="Y116:Y136" si="9">ROUND(S116 / 1.2, 2)</f>
        <v>0</v>
      </c>
      <c r="AD116" s="4" t="s">
        <v>472</v>
      </c>
      <c r="AE116" s="4" t="s">
        <v>473</v>
      </c>
      <c r="AF116" s="4" t="s">
        <v>474</v>
      </c>
    </row>
    <row r="117" spans="1:35" ht="36" x14ac:dyDescent="0.35">
      <c r="A117" s="10" t="s">
        <v>477</v>
      </c>
      <c r="B117" s="10" t="s">
        <v>463</v>
      </c>
      <c r="C117" s="11" t="s">
        <v>464</v>
      </c>
      <c r="D117" s="12"/>
      <c r="E117" s="12" t="s">
        <v>469</v>
      </c>
      <c r="F117" s="12" t="s">
        <v>63</v>
      </c>
      <c r="G117" s="13">
        <v>1</v>
      </c>
      <c r="H117" s="13"/>
      <c r="I117" s="13">
        <v>0</v>
      </c>
      <c r="J117" s="14">
        <f>IFERROR(ROUND(SUM(M118)/I117, 2),0)</f>
        <v>0</v>
      </c>
      <c r="K117" s="15">
        <v>40</v>
      </c>
      <c r="L117" s="14">
        <f>J117+ROUND(K117, 2)</f>
        <v>40</v>
      </c>
      <c r="M117" s="14">
        <f>ROUND(J117*I117, 2)</f>
        <v>0</v>
      </c>
      <c r="N117" s="14">
        <f>ROUND(I117*ROUND(K117, 2), 2)</f>
        <v>0</v>
      </c>
      <c r="O117" s="14">
        <f>M117+N117</f>
        <v>0</v>
      </c>
      <c r="P117" s="14">
        <f>IFERROR(ROUND(SUM(S118)/I117, 2),0)</f>
        <v>0</v>
      </c>
      <c r="Q117" s="16">
        <v>60</v>
      </c>
      <c r="R117" s="14">
        <f>P117+ROUND(Q117, 2)</f>
        <v>60</v>
      </c>
      <c r="S117" s="14">
        <f>ROUND(P117*I117, 2)</f>
        <v>0</v>
      </c>
      <c r="T117" s="14">
        <f>ROUND(I117*ROUND(Q117, 2), 2)</f>
        <v>0</v>
      </c>
      <c r="U117" s="14">
        <f>S117+T117</f>
        <v>0</v>
      </c>
      <c r="V117" s="9">
        <f>ROUND(P117 / 1.2, 2)</f>
        <v>0</v>
      </c>
      <c r="W117" s="9">
        <f>ROUND(Q117 / 1.2, 2)</f>
        <v>50</v>
      </c>
      <c r="X117" s="9">
        <f>ROUND(R117 / 1.2, 2)</f>
        <v>50</v>
      </c>
      <c r="Y117" s="9">
        <f t="shared" si="9"/>
        <v>0</v>
      </c>
      <c r="Z117" s="9">
        <f>ROUND(T117 / 1.2, 2)</f>
        <v>0</v>
      </c>
      <c r="AA117" s="9">
        <f>Y117+Z117</f>
        <v>0</v>
      </c>
      <c r="AD117" s="4">
        <v>305117017</v>
      </c>
      <c r="AE117" s="4">
        <v>22135731</v>
      </c>
      <c r="AG117" s="4" t="s">
        <v>465</v>
      </c>
      <c r="AH117" s="4" t="s">
        <v>466</v>
      </c>
      <c r="AI117" s="4" t="s">
        <v>467</v>
      </c>
    </row>
    <row r="118" spans="1:35" ht="18" x14ac:dyDescent="0.35">
      <c r="A118" s="10" t="s">
        <v>478</v>
      </c>
      <c r="B118" s="10"/>
      <c r="C118" s="28" t="s">
        <v>471</v>
      </c>
      <c r="D118" s="12"/>
      <c r="E118" s="12"/>
      <c r="F118" s="29" t="s">
        <v>63</v>
      </c>
      <c r="G118" s="30">
        <v>1.1000000000000001</v>
      </c>
      <c r="H118" s="30"/>
      <c r="I118" s="30">
        <v>0</v>
      </c>
      <c r="J118" s="31">
        <v>46.76</v>
      </c>
      <c r="M118" s="32">
        <f>ROUND(ROUND(J118, 2)*I118, 2)</f>
        <v>0</v>
      </c>
      <c r="P118" s="33">
        <v>46.76</v>
      </c>
      <c r="S118" s="32">
        <f>ROUND(ROUND(P118, 2)*I118, 2)</f>
        <v>0</v>
      </c>
      <c r="V118" s="9">
        <f>ROUND(ROUND(P118, 2)/1.2, 2)</f>
        <v>38.97</v>
      </c>
      <c r="Y118" s="9">
        <f t="shared" si="9"/>
        <v>0</v>
      </c>
      <c r="AD118" s="4" t="s">
        <v>479</v>
      </c>
      <c r="AE118" s="4" t="s">
        <v>480</v>
      </c>
      <c r="AF118" s="4" t="s">
        <v>474</v>
      </c>
    </row>
    <row r="119" spans="1:35" ht="36" x14ac:dyDescent="0.35">
      <c r="A119" s="10" t="s">
        <v>481</v>
      </c>
      <c r="B119" s="10" t="s">
        <v>482</v>
      </c>
      <c r="C119" s="11" t="s">
        <v>483</v>
      </c>
      <c r="D119" s="12"/>
      <c r="E119" s="12"/>
      <c r="F119" s="12" t="s">
        <v>63</v>
      </c>
      <c r="G119" s="13">
        <v>1</v>
      </c>
      <c r="H119" s="13"/>
      <c r="I119" s="13">
        <v>0</v>
      </c>
      <c r="J119" s="14">
        <v>585.11</v>
      </c>
      <c r="K119" s="15">
        <v>868</v>
      </c>
      <c r="L119" s="14">
        <f>J119+ROUND(K119, 2)</f>
        <v>1453.1100000000001</v>
      </c>
      <c r="M119" s="14">
        <v>0</v>
      </c>
      <c r="N119" s="14">
        <v>0</v>
      </c>
      <c r="O119" s="14">
        <f>M119+N119</f>
        <v>0</v>
      </c>
      <c r="P119" s="14">
        <v>585.11</v>
      </c>
      <c r="Q119" s="15">
        <v>868</v>
      </c>
      <c r="R119" s="14">
        <f>P119+ROUND(Q119, 2)</f>
        <v>1453.1100000000001</v>
      </c>
      <c r="S119" s="14">
        <v>0</v>
      </c>
      <c r="T119" s="14">
        <v>0</v>
      </c>
      <c r="U119" s="14">
        <f>S119+T119</f>
        <v>0</v>
      </c>
      <c r="V119" s="9">
        <f>ROUND(P119 / 1.2, 2)</f>
        <v>487.59</v>
      </c>
      <c r="W119" s="9">
        <f>ROUND(Q119 / 1.2, 2)</f>
        <v>723.33</v>
      </c>
      <c r="X119" s="9">
        <f>ROUND(R119 / 1.2, 2)</f>
        <v>1210.93</v>
      </c>
      <c r="Y119" s="9">
        <f t="shared" si="9"/>
        <v>0</v>
      </c>
      <c r="Z119" s="9">
        <f>ROUND(T119 / 1.2, 2)</f>
        <v>0</v>
      </c>
      <c r="AA119" s="9">
        <f>Y119+Z119</f>
        <v>0</v>
      </c>
      <c r="AD119" s="4">
        <v>305116947</v>
      </c>
      <c r="AE119" s="4">
        <v>20926431</v>
      </c>
      <c r="AG119" s="4" t="s">
        <v>484</v>
      </c>
      <c r="AH119" s="4" t="s">
        <v>485</v>
      </c>
      <c r="AI119" s="4" t="s">
        <v>467</v>
      </c>
    </row>
    <row r="120" spans="1:35" ht="18" x14ac:dyDescent="0.35">
      <c r="A120" s="10" t="s">
        <v>488</v>
      </c>
      <c r="B120" s="10"/>
      <c r="C120" s="28" t="s">
        <v>489</v>
      </c>
      <c r="D120" s="12"/>
      <c r="E120" s="12"/>
      <c r="F120" s="29" t="s">
        <v>490</v>
      </c>
      <c r="G120" s="30">
        <v>8</v>
      </c>
      <c r="H120" s="49"/>
      <c r="I120" s="49">
        <v>0</v>
      </c>
      <c r="J120" s="31">
        <v>2.5</v>
      </c>
      <c r="M120" s="32">
        <f>ROUND(ROUND(J120, 2)*I120, 2)</f>
        <v>0</v>
      </c>
      <c r="P120" s="31">
        <v>2.5</v>
      </c>
      <c r="S120" s="32">
        <f>ROUND(ROUND(P120, 2)*I120, 2)</f>
        <v>0</v>
      </c>
      <c r="V120" s="9">
        <f>ROUND(ROUND(P120, 2)/1.2, 2)</f>
        <v>2.08</v>
      </c>
      <c r="Y120" s="9">
        <f t="shared" si="9"/>
        <v>0</v>
      </c>
      <c r="AD120" s="4" t="s">
        <v>491</v>
      </c>
      <c r="AE120" s="4" t="s">
        <v>492</v>
      </c>
      <c r="AF120" s="4" t="s">
        <v>493</v>
      </c>
    </row>
    <row r="121" spans="1:35" ht="18" x14ac:dyDescent="0.35">
      <c r="A121" s="10" t="s">
        <v>496</v>
      </c>
      <c r="B121" s="10"/>
      <c r="C121" s="28" t="s">
        <v>497</v>
      </c>
      <c r="D121" s="12"/>
      <c r="E121" s="12"/>
      <c r="F121" s="29" t="s">
        <v>498</v>
      </c>
      <c r="G121" s="30">
        <v>1.8</v>
      </c>
      <c r="H121" s="49"/>
      <c r="I121" s="49">
        <v>0</v>
      </c>
      <c r="J121" s="31">
        <v>6.17</v>
      </c>
      <c r="M121" s="32">
        <f>ROUND(ROUND(J121, 2)*I121, 2)</f>
        <v>0</v>
      </c>
      <c r="P121" s="31">
        <v>6.17</v>
      </c>
      <c r="S121" s="32">
        <f>ROUND(ROUND(P121, 2)*I121, 2)</f>
        <v>0</v>
      </c>
      <c r="V121" s="9">
        <f>ROUND(ROUND(P121, 2)/1.2, 2)</f>
        <v>5.14</v>
      </c>
      <c r="Y121" s="9">
        <f t="shared" si="9"/>
        <v>0</v>
      </c>
      <c r="AD121" s="4" t="s">
        <v>499</v>
      </c>
      <c r="AE121" s="4" t="s">
        <v>500</v>
      </c>
      <c r="AF121" s="4" t="s">
        <v>501</v>
      </c>
    </row>
    <row r="122" spans="1:35" ht="18" x14ac:dyDescent="0.35">
      <c r="A122" s="10" t="s">
        <v>504</v>
      </c>
      <c r="B122" s="10"/>
      <c r="C122" s="28" t="s">
        <v>505</v>
      </c>
      <c r="D122" s="12"/>
      <c r="E122" s="12"/>
      <c r="F122" s="29" t="s">
        <v>63</v>
      </c>
      <c r="G122" s="30">
        <v>1.1000000000000001</v>
      </c>
      <c r="H122" s="49"/>
      <c r="I122" s="49">
        <v>0</v>
      </c>
      <c r="J122" s="31">
        <v>101.94</v>
      </c>
      <c r="M122" s="32">
        <f>ROUND(ROUND(J122, 2)*I122, 2)</f>
        <v>0</v>
      </c>
      <c r="P122" s="31">
        <v>101.94</v>
      </c>
      <c r="S122" s="32">
        <f>ROUND(ROUND(P122, 2)*I122, 2)</f>
        <v>0</v>
      </c>
      <c r="V122" s="9">
        <f>ROUND(ROUND(P122, 2)/1.2, 2)</f>
        <v>84.95</v>
      </c>
      <c r="Y122" s="9">
        <f t="shared" si="9"/>
        <v>0</v>
      </c>
      <c r="AD122" s="4" t="s">
        <v>506</v>
      </c>
      <c r="AE122" s="4" t="s">
        <v>507</v>
      </c>
      <c r="AF122" s="4" t="s">
        <v>508</v>
      </c>
    </row>
    <row r="123" spans="1:35" ht="18" x14ac:dyDescent="0.35">
      <c r="A123" s="10" t="s">
        <v>511</v>
      </c>
      <c r="B123" s="10"/>
      <c r="C123" s="28" t="s">
        <v>512</v>
      </c>
      <c r="D123" s="12"/>
      <c r="E123" s="12"/>
      <c r="F123" s="29" t="s">
        <v>78</v>
      </c>
      <c r="G123" s="30">
        <v>1</v>
      </c>
      <c r="H123" s="49"/>
      <c r="I123" s="49">
        <v>0</v>
      </c>
      <c r="J123" s="31">
        <v>10.4</v>
      </c>
      <c r="M123" s="32">
        <f>ROUND(ROUND(J123, 2)*I123, 2)</f>
        <v>0</v>
      </c>
      <c r="P123" s="31">
        <v>10.4</v>
      </c>
      <c r="S123" s="32">
        <f>ROUND(ROUND(P123, 2)*I123, 2)</f>
        <v>0</v>
      </c>
      <c r="V123" s="9">
        <f>ROUND(ROUND(P123, 2)/1.2, 2)</f>
        <v>8.67</v>
      </c>
      <c r="Y123" s="9">
        <f t="shared" si="9"/>
        <v>0</v>
      </c>
      <c r="AD123" s="4" t="s">
        <v>513</v>
      </c>
      <c r="AE123" s="4" t="s">
        <v>514</v>
      </c>
      <c r="AF123" s="4" t="s">
        <v>515</v>
      </c>
    </row>
    <row r="124" spans="1:35" ht="36" x14ac:dyDescent="0.35">
      <c r="A124" s="10" t="s">
        <v>518</v>
      </c>
      <c r="B124" s="10" t="s">
        <v>482</v>
      </c>
      <c r="C124" s="11" t="s">
        <v>483</v>
      </c>
      <c r="D124" s="12"/>
      <c r="E124" s="12" t="s">
        <v>487</v>
      </c>
      <c r="F124" s="12" t="s">
        <v>63</v>
      </c>
      <c r="G124" s="13">
        <v>1</v>
      </c>
      <c r="H124" s="13"/>
      <c r="I124" s="13">
        <v>0</v>
      </c>
      <c r="J124" s="14">
        <f>IFERROR(ROUND(SUM(M125,M126,M127,M128)/I124, 2),0)</f>
        <v>0</v>
      </c>
      <c r="K124" s="15">
        <v>868</v>
      </c>
      <c r="L124" s="14">
        <f>J124+ROUND(K124, 2)</f>
        <v>868</v>
      </c>
      <c r="M124" s="14">
        <f>ROUND(J124*I124, 2)</f>
        <v>0</v>
      </c>
      <c r="N124" s="14">
        <f>ROUND(I124*ROUND(K124, 2), 2)</f>
        <v>0</v>
      </c>
      <c r="O124" s="14">
        <f>M124+N124</f>
        <v>0</v>
      </c>
      <c r="P124" s="14">
        <f>IFERROR(ROUND(SUM(S125,S126,S127,S128)/I124, 2),0)</f>
        <v>0</v>
      </c>
      <c r="Q124" s="16">
        <v>1302</v>
      </c>
      <c r="R124" s="14">
        <f>P124+ROUND(Q124, 2)</f>
        <v>1302</v>
      </c>
      <c r="S124" s="14">
        <f>ROUND(P124*I124, 2)</f>
        <v>0</v>
      </c>
      <c r="T124" s="14">
        <f>ROUND(I124*ROUND(Q124, 2), 2)</f>
        <v>0</v>
      </c>
      <c r="U124" s="14">
        <f>S124+T124</f>
        <v>0</v>
      </c>
      <c r="V124" s="9">
        <f>ROUND(P124 / 1.2, 2)</f>
        <v>0</v>
      </c>
      <c r="W124" s="9">
        <f>ROUND(Q124 / 1.2, 2)</f>
        <v>1085</v>
      </c>
      <c r="X124" s="9">
        <f>ROUND(R124 / 1.2, 2)</f>
        <v>1085</v>
      </c>
      <c r="Y124" s="9">
        <f t="shared" si="9"/>
        <v>0</v>
      </c>
      <c r="Z124" s="9">
        <f>ROUND(T124 / 1.2, 2)</f>
        <v>0</v>
      </c>
      <c r="AA124" s="9">
        <f>Y124+Z124</f>
        <v>0</v>
      </c>
      <c r="AD124" s="4">
        <v>305117018</v>
      </c>
      <c r="AE124" s="4">
        <v>22135706</v>
      </c>
      <c r="AG124" s="4" t="s">
        <v>484</v>
      </c>
      <c r="AH124" s="4" t="s">
        <v>485</v>
      </c>
      <c r="AI124" s="4" t="s">
        <v>467</v>
      </c>
    </row>
    <row r="125" spans="1:35" ht="18" x14ac:dyDescent="0.35">
      <c r="A125" s="10" t="s">
        <v>519</v>
      </c>
      <c r="B125" s="10"/>
      <c r="C125" s="28" t="s">
        <v>512</v>
      </c>
      <c r="D125" s="12"/>
      <c r="E125" s="12"/>
      <c r="F125" s="29" t="s">
        <v>78</v>
      </c>
      <c r="G125" s="30">
        <v>1</v>
      </c>
      <c r="H125" s="49"/>
      <c r="I125" s="49">
        <v>6544</v>
      </c>
      <c r="J125" s="31">
        <v>10.4</v>
      </c>
      <c r="M125" s="32">
        <f>ROUND(ROUND(J125, 2)*I125, 2)</f>
        <v>68057.600000000006</v>
      </c>
      <c r="P125" s="33">
        <v>10.4</v>
      </c>
      <c r="S125" s="32">
        <f>ROUND(ROUND(P125, 2)*I125, 2)</f>
        <v>68057.600000000006</v>
      </c>
      <c r="V125" s="9">
        <f>ROUND(ROUND(P125, 2)/1.2, 2)</f>
        <v>8.67</v>
      </c>
      <c r="Y125" s="9">
        <f t="shared" si="9"/>
        <v>56714.67</v>
      </c>
      <c r="AD125" s="4" t="s">
        <v>520</v>
      </c>
      <c r="AE125" s="4" t="s">
        <v>521</v>
      </c>
      <c r="AF125" s="4" t="s">
        <v>515</v>
      </c>
    </row>
    <row r="126" spans="1:35" ht="18" x14ac:dyDescent="0.35">
      <c r="A126" s="10" t="s">
        <v>522</v>
      </c>
      <c r="B126" s="10"/>
      <c r="C126" s="28" t="s">
        <v>505</v>
      </c>
      <c r="D126" s="12"/>
      <c r="E126" s="12"/>
      <c r="F126" s="29" t="s">
        <v>63</v>
      </c>
      <c r="G126" s="30">
        <v>1.1000000000000001</v>
      </c>
      <c r="H126" s="49"/>
      <c r="I126" s="49">
        <v>8567.68</v>
      </c>
      <c r="J126" s="31">
        <v>101.94</v>
      </c>
      <c r="M126" s="32">
        <f>ROUND(ROUND(J126, 2)*I126, 2)</f>
        <v>873389.3</v>
      </c>
      <c r="P126" s="33">
        <v>101.94</v>
      </c>
      <c r="S126" s="32">
        <f>ROUND(ROUND(P126, 2)*I126, 2)</f>
        <v>873389.3</v>
      </c>
      <c r="V126" s="9">
        <f>ROUND(ROUND(P126, 2)/1.2, 2)</f>
        <v>84.95</v>
      </c>
      <c r="Y126" s="9">
        <f t="shared" si="9"/>
        <v>727824.42</v>
      </c>
      <c r="AD126" s="4" t="s">
        <v>523</v>
      </c>
      <c r="AE126" s="4" t="s">
        <v>524</v>
      </c>
      <c r="AF126" s="4" t="s">
        <v>508</v>
      </c>
    </row>
    <row r="127" spans="1:35" ht="18" x14ac:dyDescent="0.35">
      <c r="A127" s="10" t="s">
        <v>525</v>
      </c>
      <c r="B127" s="10"/>
      <c r="C127" s="28" t="s">
        <v>497</v>
      </c>
      <c r="D127" s="12"/>
      <c r="E127" s="12"/>
      <c r="F127" s="29" t="s">
        <v>498</v>
      </c>
      <c r="G127" s="30">
        <v>1.8</v>
      </c>
      <c r="H127" s="49"/>
      <c r="I127" s="49">
        <v>14019.84</v>
      </c>
      <c r="J127" s="31">
        <v>6.17</v>
      </c>
      <c r="M127" s="32">
        <f>ROUND(ROUND(J127, 2)*I127, 2)</f>
        <v>86502.41</v>
      </c>
      <c r="P127" s="33">
        <v>6.17</v>
      </c>
      <c r="S127" s="32">
        <f>ROUND(ROUND(P127, 2)*I127, 2)</f>
        <v>86502.41</v>
      </c>
      <c r="V127" s="9">
        <f>ROUND(ROUND(P127, 2)/1.2, 2)</f>
        <v>5.14</v>
      </c>
      <c r="Y127" s="9">
        <f t="shared" si="9"/>
        <v>72085.34</v>
      </c>
      <c r="AD127" s="4" t="s">
        <v>526</v>
      </c>
      <c r="AE127" s="4" t="s">
        <v>527</v>
      </c>
      <c r="AF127" s="4" t="s">
        <v>501</v>
      </c>
    </row>
    <row r="128" spans="1:35" ht="18" x14ac:dyDescent="0.35">
      <c r="A128" s="10" t="s">
        <v>528</v>
      </c>
      <c r="B128" s="10"/>
      <c r="C128" s="28" t="s">
        <v>489</v>
      </c>
      <c r="D128" s="12"/>
      <c r="E128" s="12"/>
      <c r="F128" s="29" t="s">
        <v>490</v>
      </c>
      <c r="G128" s="30">
        <v>8</v>
      </c>
      <c r="H128" s="49"/>
      <c r="I128" s="49">
        <v>62310.400000000001</v>
      </c>
      <c r="J128" s="31">
        <v>2.5</v>
      </c>
      <c r="M128" s="32">
        <f>ROUND(ROUND(J128, 2)*I128, 2)</f>
        <v>155776</v>
      </c>
      <c r="P128" s="33">
        <v>2.5</v>
      </c>
      <c r="S128" s="32">
        <f>ROUND(ROUND(P128, 2)*I128, 2)</f>
        <v>155776</v>
      </c>
      <c r="V128" s="9">
        <f>ROUND(ROUND(P128, 2)/1.2, 2)</f>
        <v>2.08</v>
      </c>
      <c r="Y128" s="9">
        <f t="shared" si="9"/>
        <v>129813.33</v>
      </c>
      <c r="AD128" s="4" t="s">
        <v>529</v>
      </c>
      <c r="AE128" s="4" t="s">
        <v>530</v>
      </c>
      <c r="AF128" s="4" t="s">
        <v>493</v>
      </c>
    </row>
    <row r="129" spans="1:35" ht="36" x14ac:dyDescent="0.35">
      <c r="A129" s="10" t="s">
        <v>531</v>
      </c>
      <c r="B129" s="10" t="s">
        <v>532</v>
      </c>
      <c r="C129" s="11" t="s">
        <v>533</v>
      </c>
      <c r="D129" s="12"/>
      <c r="E129" s="12"/>
      <c r="F129" s="12" t="s">
        <v>63</v>
      </c>
      <c r="G129" s="13">
        <v>1</v>
      </c>
      <c r="H129" s="13"/>
      <c r="I129" s="13">
        <v>0</v>
      </c>
      <c r="J129" s="14">
        <v>177.17</v>
      </c>
      <c r="K129" s="15">
        <v>557</v>
      </c>
      <c r="L129" s="14">
        <f>J129+ROUND(K129, 2)</f>
        <v>734.17</v>
      </c>
      <c r="M129" s="14">
        <v>0</v>
      </c>
      <c r="N129" s="14">
        <v>0</v>
      </c>
      <c r="O129" s="14">
        <f>M129+N129</f>
        <v>0</v>
      </c>
      <c r="P129" s="14">
        <v>177.17</v>
      </c>
      <c r="Q129" s="15">
        <v>557</v>
      </c>
      <c r="R129" s="14">
        <f>P129+ROUND(Q129, 2)</f>
        <v>734.17</v>
      </c>
      <c r="S129" s="14">
        <v>0</v>
      </c>
      <c r="T129" s="14">
        <v>0</v>
      </c>
      <c r="U129" s="14">
        <f>S129+T129</f>
        <v>0</v>
      </c>
      <c r="V129" s="9">
        <f>ROUND(P129 / 1.2, 2)</f>
        <v>147.63999999999999</v>
      </c>
      <c r="W129" s="9">
        <f>ROUND(Q129 / 1.2, 2)</f>
        <v>464.17</v>
      </c>
      <c r="X129" s="9">
        <f>ROUND(R129 / 1.2, 2)</f>
        <v>611.80999999999995</v>
      </c>
      <c r="Y129" s="9">
        <f t="shared" si="9"/>
        <v>0</v>
      </c>
      <c r="Z129" s="9">
        <f>ROUND(T129 / 1.2, 2)</f>
        <v>0</v>
      </c>
      <c r="AA129" s="9">
        <f>Y129+Z129</f>
        <v>0</v>
      </c>
      <c r="AD129" s="4">
        <v>305116949</v>
      </c>
      <c r="AE129" s="4">
        <v>20926453</v>
      </c>
      <c r="AG129" s="4" t="s">
        <v>534</v>
      </c>
      <c r="AH129" s="4" t="s">
        <v>535</v>
      </c>
      <c r="AI129" s="4" t="s">
        <v>467</v>
      </c>
    </row>
    <row r="130" spans="1:35" ht="18" x14ac:dyDescent="0.35">
      <c r="A130" s="10" t="s">
        <v>538</v>
      </c>
      <c r="B130" s="10"/>
      <c r="C130" s="28" t="s">
        <v>512</v>
      </c>
      <c r="D130" s="12"/>
      <c r="E130" s="12"/>
      <c r="F130" s="29" t="s">
        <v>78</v>
      </c>
      <c r="G130" s="30">
        <v>1</v>
      </c>
      <c r="H130" s="49"/>
      <c r="I130" s="49">
        <v>0</v>
      </c>
      <c r="J130" s="31">
        <v>10.4</v>
      </c>
      <c r="M130" s="32">
        <f>ROUND(ROUND(J130, 2)*I130, 2)</f>
        <v>0</v>
      </c>
      <c r="P130" s="31">
        <v>10.4</v>
      </c>
      <c r="S130" s="32">
        <f>ROUND(ROUND(P130, 2)*I130, 2)</f>
        <v>0</v>
      </c>
      <c r="V130" s="9">
        <f>ROUND(ROUND(P130, 2)/1.2, 2)</f>
        <v>8.67</v>
      </c>
      <c r="Y130" s="9">
        <f t="shared" si="9"/>
        <v>0</v>
      </c>
      <c r="AD130" s="4" t="s">
        <v>539</v>
      </c>
      <c r="AE130" s="4" t="s">
        <v>540</v>
      </c>
      <c r="AF130" s="4" t="s">
        <v>515</v>
      </c>
    </row>
    <row r="131" spans="1:35" ht="36" x14ac:dyDescent="0.35">
      <c r="A131" s="10" t="s">
        <v>543</v>
      </c>
      <c r="B131" s="10"/>
      <c r="C131" s="28" t="s">
        <v>544</v>
      </c>
      <c r="D131" s="12"/>
      <c r="E131" s="12"/>
      <c r="F131" s="29" t="s">
        <v>498</v>
      </c>
      <c r="G131" s="30">
        <v>0.255</v>
      </c>
      <c r="H131" s="30"/>
      <c r="I131" s="30">
        <v>0</v>
      </c>
      <c r="J131" s="31">
        <v>88.8</v>
      </c>
      <c r="M131" s="32">
        <f>ROUND(ROUND(J131, 2)*I131, 2)</f>
        <v>0</v>
      </c>
      <c r="P131" s="31">
        <v>88.8</v>
      </c>
      <c r="S131" s="32">
        <f>ROUND(ROUND(P131, 2)*I131, 2)</f>
        <v>0</v>
      </c>
      <c r="V131" s="9">
        <f>ROUND(ROUND(P131, 2)/1.2, 2)</f>
        <v>74</v>
      </c>
      <c r="Y131" s="9">
        <f t="shared" si="9"/>
        <v>0</v>
      </c>
      <c r="AD131" s="4" t="s">
        <v>545</v>
      </c>
      <c r="AE131" s="4" t="s">
        <v>546</v>
      </c>
      <c r="AF131" s="4" t="s">
        <v>547</v>
      </c>
    </row>
    <row r="132" spans="1:35" ht="36" x14ac:dyDescent="0.35">
      <c r="A132" s="10" t="s">
        <v>550</v>
      </c>
      <c r="B132" s="10"/>
      <c r="C132" s="47" t="s">
        <v>551</v>
      </c>
      <c r="D132" s="12"/>
      <c r="E132" s="12"/>
      <c r="F132" s="29" t="s">
        <v>498</v>
      </c>
      <c r="G132" s="30">
        <v>1.6</v>
      </c>
      <c r="H132" s="49"/>
      <c r="I132" s="49">
        <v>0</v>
      </c>
      <c r="J132" s="31">
        <v>9.5500000000000007</v>
      </c>
      <c r="M132" s="32">
        <f>ROUND(ROUND(J132, 2)*I132, 2)</f>
        <v>0</v>
      </c>
      <c r="P132" s="31">
        <v>9.5500000000000007</v>
      </c>
      <c r="S132" s="32">
        <f>ROUND(ROUND(P132, 2)*I132, 2)</f>
        <v>0</v>
      </c>
      <c r="V132" s="9">
        <f>ROUND(ROUND(P132, 2)/1.2, 2)</f>
        <v>7.96</v>
      </c>
      <c r="Y132" s="9">
        <f t="shared" si="9"/>
        <v>0</v>
      </c>
      <c r="AD132" s="4" t="s">
        <v>552</v>
      </c>
      <c r="AE132" s="4" t="s">
        <v>553</v>
      </c>
      <c r="AF132" s="4" t="s">
        <v>554</v>
      </c>
    </row>
    <row r="133" spans="1:35" ht="54" x14ac:dyDescent="0.35">
      <c r="A133" s="10" t="s">
        <v>557</v>
      </c>
      <c r="B133" s="10" t="s">
        <v>532</v>
      </c>
      <c r="C133" s="11" t="s">
        <v>533</v>
      </c>
      <c r="D133" s="12"/>
      <c r="E133" s="12" t="s">
        <v>537</v>
      </c>
      <c r="F133" s="12" t="s">
        <v>63</v>
      </c>
      <c r="G133" s="13">
        <v>1</v>
      </c>
      <c r="H133" s="13"/>
      <c r="I133" s="13">
        <v>0</v>
      </c>
      <c r="J133" s="14">
        <f>IFERROR(ROUND(SUM(M134,M135,M136)/I133, 2),0)</f>
        <v>0</v>
      </c>
      <c r="K133" s="15">
        <v>557</v>
      </c>
      <c r="L133" s="14">
        <f>J133+ROUND(K133, 2)</f>
        <v>557</v>
      </c>
      <c r="M133" s="14">
        <f>ROUND(J133*I133, 2)</f>
        <v>0</v>
      </c>
      <c r="N133" s="14">
        <f>ROUND(I133*ROUND(K133, 2), 2)</f>
        <v>0</v>
      </c>
      <c r="O133" s="14">
        <f>M133+N133</f>
        <v>0</v>
      </c>
      <c r="P133" s="14">
        <f>IFERROR(ROUND(SUM(S134,S135,S136)/I133, 2),0)</f>
        <v>0</v>
      </c>
      <c r="Q133" s="16">
        <v>835.5</v>
      </c>
      <c r="R133" s="14">
        <f>P133+ROUND(Q133, 2)</f>
        <v>835.5</v>
      </c>
      <c r="S133" s="14">
        <f>ROUND(P133*I133, 2)</f>
        <v>0</v>
      </c>
      <c r="T133" s="14">
        <f>ROUND(I133*ROUND(Q133, 2), 2)</f>
        <v>0</v>
      </c>
      <c r="U133" s="14">
        <f>S133+T133</f>
        <v>0</v>
      </c>
      <c r="V133" s="9">
        <f>ROUND(P133 / 1.2, 2)</f>
        <v>0</v>
      </c>
      <c r="W133" s="9">
        <f>ROUND(Q133 / 1.2, 2)</f>
        <v>696.25</v>
      </c>
      <c r="X133" s="9">
        <f>ROUND(R133 / 1.2, 2)</f>
        <v>696.25</v>
      </c>
      <c r="Y133" s="9">
        <f t="shared" si="9"/>
        <v>0</v>
      </c>
      <c r="Z133" s="9">
        <f>ROUND(T133 / 1.2, 2)</f>
        <v>0</v>
      </c>
      <c r="AA133" s="9">
        <f>Y133+Z133</f>
        <v>0</v>
      </c>
      <c r="AD133" s="4">
        <v>305117019</v>
      </c>
      <c r="AE133" s="4">
        <v>22135716</v>
      </c>
      <c r="AG133" s="4" t="s">
        <v>534</v>
      </c>
      <c r="AH133" s="4" t="s">
        <v>535</v>
      </c>
      <c r="AI133" s="4" t="s">
        <v>467</v>
      </c>
    </row>
    <row r="134" spans="1:35" ht="36" x14ac:dyDescent="0.35">
      <c r="A134" s="10" t="s">
        <v>558</v>
      </c>
      <c r="B134" s="10"/>
      <c r="C134" s="47" t="s">
        <v>551</v>
      </c>
      <c r="D134" s="12"/>
      <c r="E134" s="12"/>
      <c r="F134" s="29" t="s">
        <v>498</v>
      </c>
      <c r="G134" s="30">
        <v>1.6</v>
      </c>
      <c r="H134" s="49"/>
      <c r="I134" s="49">
        <v>9339.2000000000007</v>
      </c>
      <c r="J134" s="31">
        <v>9.07</v>
      </c>
      <c r="M134" s="32">
        <f>ROUND(ROUND(J134, 2)*I134, 2)</f>
        <v>84706.54</v>
      </c>
      <c r="P134" s="33">
        <v>9.07</v>
      </c>
      <c r="S134" s="32">
        <f>ROUND(ROUND(P134, 2)*I134, 2)</f>
        <v>84706.54</v>
      </c>
      <c r="V134" s="9">
        <f>ROUND(ROUND(P134, 2)/1.2, 2)</f>
        <v>7.56</v>
      </c>
      <c r="Y134" s="9">
        <f t="shared" si="9"/>
        <v>70588.78</v>
      </c>
      <c r="AD134" s="4" t="s">
        <v>559</v>
      </c>
      <c r="AE134" s="4" t="s">
        <v>560</v>
      </c>
      <c r="AF134" s="4" t="s">
        <v>554</v>
      </c>
    </row>
    <row r="135" spans="1:35" ht="36" x14ac:dyDescent="0.35">
      <c r="A135" s="10" t="s">
        <v>561</v>
      </c>
      <c r="B135" s="10"/>
      <c r="C135" s="28" t="s">
        <v>544</v>
      </c>
      <c r="D135" s="12"/>
      <c r="E135" s="12"/>
      <c r="F135" s="29" t="s">
        <v>498</v>
      </c>
      <c r="G135" s="30">
        <v>0.255</v>
      </c>
      <c r="H135" s="30"/>
      <c r="I135" s="30">
        <v>0</v>
      </c>
      <c r="J135" s="31">
        <v>88.8</v>
      </c>
      <c r="M135" s="32">
        <f>ROUND(ROUND(J135, 2)*I135, 2)</f>
        <v>0</v>
      </c>
      <c r="P135" s="33">
        <v>88.8</v>
      </c>
      <c r="S135" s="32">
        <f>ROUND(ROUND(P135, 2)*I135, 2)</f>
        <v>0</v>
      </c>
      <c r="V135" s="9">
        <f>ROUND(ROUND(P135, 2)/1.2, 2)</f>
        <v>74</v>
      </c>
      <c r="Y135" s="9">
        <f t="shared" si="9"/>
        <v>0</v>
      </c>
      <c r="AD135" s="4" t="s">
        <v>562</v>
      </c>
      <c r="AE135" s="4" t="s">
        <v>563</v>
      </c>
      <c r="AF135" s="4" t="s">
        <v>547</v>
      </c>
    </row>
    <row r="136" spans="1:35" ht="18" x14ac:dyDescent="0.35">
      <c r="A136" s="10" t="s">
        <v>564</v>
      </c>
      <c r="B136" s="10"/>
      <c r="C136" s="28" t="s">
        <v>512</v>
      </c>
      <c r="D136" s="12"/>
      <c r="E136" s="12"/>
      <c r="F136" s="29" t="s">
        <v>78</v>
      </c>
      <c r="G136" s="30">
        <v>1</v>
      </c>
      <c r="H136" s="49"/>
      <c r="I136" s="49">
        <v>96.64</v>
      </c>
      <c r="J136" s="31">
        <v>10.4</v>
      </c>
      <c r="M136" s="32">
        <f>ROUND(ROUND(J136, 2)*I136, 2)</f>
        <v>1005.06</v>
      </c>
      <c r="P136" s="33">
        <v>10.4</v>
      </c>
      <c r="S136" s="32">
        <f>ROUND(ROUND(P136, 2)*I136, 2)</f>
        <v>1005.06</v>
      </c>
      <c r="V136" s="9">
        <f>ROUND(ROUND(P136, 2)/1.2, 2)</f>
        <v>8.67</v>
      </c>
      <c r="Y136" s="9">
        <f t="shared" si="9"/>
        <v>837.55</v>
      </c>
      <c r="AD136" s="4" t="s">
        <v>565</v>
      </c>
      <c r="AE136" s="4" t="s">
        <v>566</v>
      </c>
      <c r="AF136" s="4" t="s">
        <v>515</v>
      </c>
    </row>
    <row r="137" spans="1:35" ht="17" customHeight="1" x14ac:dyDescent="0.35">
      <c r="A137" s="10" t="s">
        <v>567</v>
      </c>
      <c r="B137" s="10" t="s">
        <v>568</v>
      </c>
      <c r="C137" s="174" t="s">
        <v>569</v>
      </c>
      <c r="D137" s="175"/>
      <c r="E137" s="175"/>
      <c r="F137" s="175"/>
      <c r="G137" s="175"/>
      <c r="H137" s="175"/>
      <c r="I137" s="176"/>
      <c r="M137" s="6">
        <f>SUM(M138,M140,M142,M144,M146,M148,M150,M152,M154,M156,M158,M160,M162,M164,M166,M168,M170,M172,M174,M176,M178,M180)</f>
        <v>0</v>
      </c>
      <c r="N137" s="6">
        <f>SUM(N138,N140,N142,N144,N146,N148,N150,N152,N154,N156,N158,N160,N162,N164,N166,N168,N170,N172,N174,N176,N178,N180)</f>
        <v>0</v>
      </c>
      <c r="O137" s="6">
        <f>SUM(O138,O140,O142,O144,O146,O148,O150,O152,O154,O156,O158,O160,O162,O164,O166,O168,O170,O172,O174,O176,O178,O180)</f>
        <v>0</v>
      </c>
      <c r="S137" s="6">
        <f>SUM(S138,S140,S142,S144,S146,S148,S150,S152,S154,S156,S158,S160,S162,S164,S166,S168,S170,S172,S174,S176,S178,S180)</f>
        <v>0</v>
      </c>
      <c r="T137" s="6">
        <f>SUM(T138,T140,T142,T144,T146,T148,T150,T152,T154,T156,T158,T160,T162,T164,T166,T168,T170,T172,T174,T176,T178,T180)</f>
        <v>0</v>
      </c>
      <c r="U137" s="6">
        <f>SUM(U138,U140,U142,U144,U146,U148,U150,U152,U154,U156,U158,U160,U162,U164,U166,U168,U170,U172,U174,U176,U178,U180)</f>
        <v>0</v>
      </c>
      <c r="Y137" s="9">
        <f>SUM(Y138,Y140,Y142,Y144,Y146,Y148,Y150,Y152,Y154,Y156,Y158,Y160,Y162,Y164,Y166,Y168,Y170,Y172,Y174,Y176,Y178,Y180)</f>
        <v>0</v>
      </c>
      <c r="Z137" s="9">
        <f>SUM(Z138,Z140,Z142,Z144,Z146,Z148,Z150,Z152,Z154,Z156,Z158,Z160,Z162,Z164,Z166,Z168,Z170,Z172,Z174,Z176,Z178,Z180)</f>
        <v>0</v>
      </c>
      <c r="AA137" s="9">
        <f>SUM(AA138,AA140,AA142,AA144,AA146,AA148,AA150,AA152,AA154,AA156,AA158,AA160,AA162,AA164,AA166,AA168,AA170,AA172,AA174,AA176,AA178,AA180)</f>
        <v>0</v>
      </c>
      <c r="AD137" s="4">
        <v>305116950</v>
      </c>
      <c r="AE137" s="4">
        <v>20926471</v>
      </c>
    </row>
    <row r="138" spans="1:35" ht="54" x14ac:dyDescent="0.35">
      <c r="A138" s="10" t="s">
        <v>570</v>
      </c>
      <c r="B138" s="10" t="s">
        <v>571</v>
      </c>
      <c r="C138" s="11" t="s">
        <v>572</v>
      </c>
      <c r="D138" s="12"/>
      <c r="E138" s="12"/>
      <c r="F138" s="12" t="s">
        <v>63</v>
      </c>
      <c r="G138" s="13">
        <v>1</v>
      </c>
      <c r="H138" s="13"/>
      <c r="I138" s="13">
        <v>0</v>
      </c>
      <c r="J138" s="14">
        <v>997.82</v>
      </c>
      <c r="K138" s="15">
        <v>162</v>
      </c>
      <c r="L138" s="14">
        <f>J138+ROUND(K138, 2)</f>
        <v>1159.8200000000002</v>
      </c>
      <c r="M138" s="14">
        <v>0</v>
      </c>
      <c r="N138" s="14">
        <v>0</v>
      </c>
      <c r="O138" s="14">
        <f>M138+N138</f>
        <v>0</v>
      </c>
      <c r="P138" s="14">
        <v>997.82</v>
      </c>
      <c r="Q138" s="15">
        <v>162</v>
      </c>
      <c r="R138" s="14">
        <f>P138+ROUND(Q138, 2)</f>
        <v>1159.8200000000002</v>
      </c>
      <c r="S138" s="14">
        <v>0</v>
      </c>
      <c r="T138" s="14">
        <v>0</v>
      </c>
      <c r="U138" s="14">
        <f>S138+T138</f>
        <v>0</v>
      </c>
      <c r="V138" s="9">
        <f>ROUND(P138 / 1.2, 2)</f>
        <v>831.52</v>
      </c>
      <c r="W138" s="9">
        <f>ROUND(Q138 / 1.2, 2)</f>
        <v>135</v>
      </c>
      <c r="X138" s="9">
        <f>ROUND(R138 / 1.2, 2)</f>
        <v>966.52</v>
      </c>
      <c r="Y138" s="9">
        <f>ROUND(S138 / 1.2, 2)</f>
        <v>0</v>
      </c>
      <c r="Z138" s="9">
        <f>ROUND(T138 / 1.2, 2)</f>
        <v>0</v>
      </c>
      <c r="AA138" s="9">
        <f>Y138+Z138</f>
        <v>0</v>
      </c>
      <c r="AD138" s="4">
        <v>305116952</v>
      </c>
      <c r="AE138" s="4">
        <v>20927265</v>
      </c>
      <c r="AG138" s="4" t="s">
        <v>573</v>
      </c>
      <c r="AH138" s="4" t="s">
        <v>574</v>
      </c>
      <c r="AI138" s="4" t="s">
        <v>467</v>
      </c>
    </row>
    <row r="139" spans="1:35" ht="36" x14ac:dyDescent="0.35">
      <c r="A139" s="10" t="s">
        <v>577</v>
      </c>
      <c r="B139" s="10"/>
      <c r="C139" s="28" t="s">
        <v>578</v>
      </c>
      <c r="D139" s="12"/>
      <c r="E139" s="12"/>
      <c r="F139" s="29" t="s">
        <v>498</v>
      </c>
      <c r="G139" s="30">
        <v>1</v>
      </c>
      <c r="H139" s="30"/>
      <c r="I139" s="30">
        <v>0</v>
      </c>
      <c r="J139" s="31">
        <v>997.82</v>
      </c>
      <c r="M139" s="32">
        <f>ROUND(ROUND(J139, 2)*I139, 2)</f>
        <v>0</v>
      </c>
      <c r="P139" s="31">
        <v>997.82</v>
      </c>
      <c r="S139" s="32">
        <f>ROUND(ROUND(P139, 2)*I139, 2)</f>
        <v>0</v>
      </c>
      <c r="V139" s="9">
        <f>ROUND(ROUND(P139, 2)/1.2, 2)</f>
        <v>831.52</v>
      </c>
      <c r="Y139" s="9">
        <f t="shared" ref="Y139:Y181" si="10">ROUND(S139 / 1.2, 2)</f>
        <v>0</v>
      </c>
      <c r="AD139" s="4" t="s">
        <v>579</v>
      </c>
      <c r="AE139" s="4" t="s">
        <v>580</v>
      </c>
      <c r="AF139" s="4" t="s">
        <v>581</v>
      </c>
    </row>
    <row r="140" spans="1:35" ht="54" x14ac:dyDescent="0.35">
      <c r="A140" s="10" t="s">
        <v>584</v>
      </c>
      <c r="B140" s="10" t="s">
        <v>571</v>
      </c>
      <c r="C140" s="11" t="s">
        <v>572</v>
      </c>
      <c r="D140" s="12"/>
      <c r="E140" s="12" t="s">
        <v>576</v>
      </c>
      <c r="F140" s="12" t="s">
        <v>63</v>
      </c>
      <c r="G140" s="13">
        <v>1</v>
      </c>
      <c r="H140" s="13"/>
      <c r="I140" s="13">
        <v>0</v>
      </c>
      <c r="J140" s="14">
        <f>IFERROR(ROUND(SUM(M141)/I140, 2),0)</f>
        <v>0</v>
      </c>
      <c r="K140" s="15">
        <v>162</v>
      </c>
      <c r="L140" s="14">
        <f>J140+ROUND(K140, 2)</f>
        <v>162</v>
      </c>
      <c r="M140" s="14">
        <f>ROUND(J140*I140, 2)</f>
        <v>0</v>
      </c>
      <c r="N140" s="14">
        <f>ROUND(I140*ROUND(K140, 2), 2)</f>
        <v>0</v>
      </c>
      <c r="O140" s="14">
        <f>M140+N140</f>
        <v>0</v>
      </c>
      <c r="P140" s="14">
        <f>IFERROR(ROUND(SUM(S141)/I140, 2),0)</f>
        <v>0</v>
      </c>
      <c r="Q140" s="16">
        <v>243</v>
      </c>
      <c r="R140" s="14">
        <f>P140+ROUND(Q140, 2)</f>
        <v>243</v>
      </c>
      <c r="S140" s="14">
        <f>ROUND(P140*I140, 2)</f>
        <v>0</v>
      </c>
      <c r="T140" s="14">
        <f>ROUND(I140*ROUND(Q140, 2), 2)</f>
        <v>0</v>
      </c>
      <c r="U140" s="14">
        <f>S140+T140</f>
        <v>0</v>
      </c>
      <c r="V140" s="9">
        <f>ROUND(P140 / 1.2, 2)</f>
        <v>0</v>
      </c>
      <c r="W140" s="9">
        <f>ROUND(Q140 / 1.2, 2)</f>
        <v>202.5</v>
      </c>
      <c r="X140" s="9">
        <f>ROUND(R140 / 1.2, 2)</f>
        <v>202.5</v>
      </c>
      <c r="Y140" s="9">
        <f t="shared" si="10"/>
        <v>0</v>
      </c>
      <c r="Z140" s="9">
        <f>ROUND(T140 / 1.2, 2)</f>
        <v>0</v>
      </c>
      <c r="AA140" s="9">
        <f>Y140+Z140</f>
        <v>0</v>
      </c>
      <c r="AD140" s="4">
        <v>305117020</v>
      </c>
      <c r="AE140" s="4">
        <v>22135728</v>
      </c>
      <c r="AG140" s="4" t="s">
        <v>573</v>
      </c>
      <c r="AH140" s="4" t="s">
        <v>574</v>
      </c>
      <c r="AI140" s="4" t="s">
        <v>467</v>
      </c>
    </row>
    <row r="141" spans="1:35" ht="36" x14ac:dyDescent="0.35">
      <c r="A141" s="10" t="s">
        <v>585</v>
      </c>
      <c r="B141" s="10"/>
      <c r="C141" s="28" t="s">
        <v>578</v>
      </c>
      <c r="D141" s="12"/>
      <c r="E141" s="12"/>
      <c r="F141" s="29" t="s">
        <v>498</v>
      </c>
      <c r="G141" s="30">
        <v>1</v>
      </c>
      <c r="H141" s="30"/>
      <c r="I141" s="30">
        <v>0</v>
      </c>
      <c r="J141" s="31">
        <v>997.81</v>
      </c>
      <c r="M141" s="32">
        <f>ROUND(ROUND(J141, 2)*I141, 2)</f>
        <v>0</v>
      </c>
      <c r="P141" s="33">
        <v>997.82</v>
      </c>
      <c r="S141" s="32">
        <f>ROUND(ROUND(P141, 2)*I141, 2)</f>
        <v>0</v>
      </c>
      <c r="V141" s="9">
        <f>ROUND(ROUND(P141, 2)/1.2, 2)</f>
        <v>831.52</v>
      </c>
      <c r="Y141" s="9">
        <f t="shared" si="10"/>
        <v>0</v>
      </c>
      <c r="AD141" s="4" t="s">
        <v>586</v>
      </c>
      <c r="AE141" s="4" t="s">
        <v>587</v>
      </c>
      <c r="AF141" s="4" t="s">
        <v>581</v>
      </c>
    </row>
    <row r="142" spans="1:35" ht="54" x14ac:dyDescent="0.35">
      <c r="A142" s="10" t="s">
        <v>588</v>
      </c>
      <c r="B142" s="10" t="s">
        <v>589</v>
      </c>
      <c r="C142" s="11" t="s">
        <v>590</v>
      </c>
      <c r="D142" s="12"/>
      <c r="E142" s="12"/>
      <c r="F142" s="12" t="s">
        <v>63</v>
      </c>
      <c r="G142" s="13">
        <v>1</v>
      </c>
      <c r="H142" s="13"/>
      <c r="I142" s="13">
        <v>0</v>
      </c>
      <c r="J142" s="14">
        <v>420.76</v>
      </c>
      <c r="K142" s="15">
        <v>324</v>
      </c>
      <c r="L142" s="14">
        <f>J142+ROUND(K142, 2)</f>
        <v>744.76</v>
      </c>
      <c r="M142" s="14">
        <v>0</v>
      </c>
      <c r="N142" s="14">
        <v>0</v>
      </c>
      <c r="O142" s="14">
        <f>M142+N142</f>
        <v>0</v>
      </c>
      <c r="P142" s="14">
        <v>420.76</v>
      </c>
      <c r="Q142" s="15">
        <v>324</v>
      </c>
      <c r="R142" s="14">
        <f>P142+ROUND(Q142, 2)</f>
        <v>744.76</v>
      </c>
      <c r="S142" s="14">
        <v>0</v>
      </c>
      <c r="T142" s="14">
        <v>0</v>
      </c>
      <c r="U142" s="14">
        <f>S142+T142</f>
        <v>0</v>
      </c>
      <c r="V142" s="9">
        <f>ROUND(P142 / 1.2, 2)</f>
        <v>350.63</v>
      </c>
      <c r="W142" s="9">
        <f>ROUND(Q142 / 1.2, 2)</f>
        <v>270</v>
      </c>
      <c r="X142" s="9">
        <f>ROUND(R142 / 1.2, 2)</f>
        <v>620.63</v>
      </c>
      <c r="Y142" s="9">
        <f t="shared" si="10"/>
        <v>0</v>
      </c>
      <c r="Z142" s="9">
        <f>ROUND(T142 / 1.2, 2)</f>
        <v>0</v>
      </c>
      <c r="AA142" s="9">
        <f>Y142+Z142</f>
        <v>0</v>
      </c>
      <c r="AD142" s="4">
        <v>305116953</v>
      </c>
      <c r="AE142" s="4">
        <v>20926475</v>
      </c>
      <c r="AG142" s="4" t="s">
        <v>591</v>
      </c>
      <c r="AH142" s="4" t="s">
        <v>592</v>
      </c>
      <c r="AI142" s="4" t="s">
        <v>467</v>
      </c>
    </row>
    <row r="143" spans="1:35" ht="18" x14ac:dyDescent="0.35">
      <c r="A143" s="10" t="s">
        <v>595</v>
      </c>
      <c r="B143" s="10"/>
      <c r="C143" s="28" t="s">
        <v>596</v>
      </c>
      <c r="D143" s="12"/>
      <c r="E143" s="12"/>
      <c r="F143" s="29" t="s">
        <v>498</v>
      </c>
      <c r="G143" s="30">
        <v>4.3</v>
      </c>
      <c r="H143" s="30"/>
      <c r="I143" s="30">
        <v>0</v>
      </c>
      <c r="J143" s="31">
        <v>97.85</v>
      </c>
      <c r="M143" s="32">
        <f>ROUND(ROUND(J143, 2)*I143, 2)</f>
        <v>0</v>
      </c>
      <c r="P143" s="31">
        <v>97.85</v>
      </c>
      <c r="S143" s="32">
        <f>ROUND(ROUND(P143, 2)*I143, 2)</f>
        <v>0</v>
      </c>
      <c r="V143" s="9">
        <f>ROUND(ROUND(P143, 2)/1.2, 2)</f>
        <v>81.540000000000006</v>
      </c>
      <c r="Y143" s="9">
        <f t="shared" si="10"/>
        <v>0</v>
      </c>
      <c r="AD143" s="4" t="s">
        <v>597</v>
      </c>
      <c r="AE143" s="4" t="s">
        <v>598</v>
      </c>
      <c r="AF143" s="4" t="s">
        <v>599</v>
      </c>
    </row>
    <row r="144" spans="1:35" ht="54" x14ac:dyDescent="0.35">
      <c r="A144" s="10" t="s">
        <v>602</v>
      </c>
      <c r="B144" s="10" t="s">
        <v>589</v>
      </c>
      <c r="C144" s="11" t="s">
        <v>590</v>
      </c>
      <c r="D144" s="12"/>
      <c r="E144" s="12" t="s">
        <v>594</v>
      </c>
      <c r="F144" s="12" t="s">
        <v>63</v>
      </c>
      <c r="G144" s="13">
        <v>1</v>
      </c>
      <c r="H144" s="13"/>
      <c r="I144" s="13">
        <v>0</v>
      </c>
      <c r="J144" s="14">
        <f>IFERROR(ROUND(SUM(M145)/I144, 2),0)</f>
        <v>0</v>
      </c>
      <c r="K144" s="15">
        <v>324</v>
      </c>
      <c r="L144" s="14">
        <f>J144+ROUND(K144, 2)</f>
        <v>324</v>
      </c>
      <c r="M144" s="14">
        <f>ROUND(J144*I144, 2)</f>
        <v>0</v>
      </c>
      <c r="N144" s="14">
        <f>ROUND(I144*ROUND(K144, 2), 2)</f>
        <v>0</v>
      </c>
      <c r="O144" s="14">
        <f>M144+N144</f>
        <v>0</v>
      </c>
      <c r="P144" s="14">
        <f>IFERROR(ROUND(SUM(S145)/I144, 2),0)</f>
        <v>0</v>
      </c>
      <c r="Q144" s="16">
        <v>486</v>
      </c>
      <c r="R144" s="14">
        <f>P144+ROUND(Q144, 2)</f>
        <v>486</v>
      </c>
      <c r="S144" s="14">
        <f>ROUND(P144*I144, 2)</f>
        <v>0</v>
      </c>
      <c r="T144" s="14">
        <f>ROUND(I144*ROUND(Q144, 2), 2)</f>
        <v>0</v>
      </c>
      <c r="U144" s="14">
        <f>S144+T144</f>
        <v>0</v>
      </c>
      <c r="V144" s="9">
        <f>ROUND(P144 / 1.2, 2)</f>
        <v>0</v>
      </c>
      <c r="W144" s="9">
        <f>ROUND(Q144 / 1.2, 2)</f>
        <v>405</v>
      </c>
      <c r="X144" s="9">
        <f>ROUND(R144 / 1.2, 2)</f>
        <v>405</v>
      </c>
      <c r="Y144" s="9">
        <f t="shared" si="10"/>
        <v>0</v>
      </c>
      <c r="Z144" s="9">
        <f>ROUND(T144 / 1.2, 2)</f>
        <v>0</v>
      </c>
      <c r="AA144" s="9">
        <f>Y144+Z144</f>
        <v>0</v>
      </c>
      <c r="AD144" s="4">
        <v>305117021</v>
      </c>
      <c r="AE144" s="4">
        <v>22135720</v>
      </c>
      <c r="AG144" s="4" t="s">
        <v>591</v>
      </c>
      <c r="AH144" s="4" t="s">
        <v>592</v>
      </c>
      <c r="AI144" s="4" t="s">
        <v>467</v>
      </c>
    </row>
    <row r="145" spans="1:35" ht="18" x14ac:dyDescent="0.35">
      <c r="A145" s="10" t="s">
        <v>603</v>
      </c>
      <c r="B145" s="10"/>
      <c r="C145" s="28" t="s">
        <v>596</v>
      </c>
      <c r="D145" s="12"/>
      <c r="E145" s="12"/>
      <c r="F145" s="29" t="s">
        <v>498</v>
      </c>
      <c r="G145" s="30">
        <v>4.3</v>
      </c>
      <c r="H145" s="30"/>
      <c r="I145" s="30">
        <v>0</v>
      </c>
      <c r="J145" s="31">
        <v>97.85</v>
      </c>
      <c r="M145" s="32">
        <f>ROUND(ROUND(J145, 2)*I145, 2)</f>
        <v>0</v>
      </c>
      <c r="P145" s="33">
        <v>97.85</v>
      </c>
      <c r="S145" s="32">
        <f>ROUND(ROUND(P145, 2)*I145, 2)</f>
        <v>0</v>
      </c>
      <c r="V145" s="9">
        <f>ROUND(ROUND(P145, 2)/1.2, 2)</f>
        <v>81.540000000000006</v>
      </c>
      <c r="Y145" s="9">
        <f t="shared" si="10"/>
        <v>0</v>
      </c>
      <c r="AD145" s="4" t="s">
        <v>604</v>
      </c>
      <c r="AE145" s="4" t="s">
        <v>605</v>
      </c>
      <c r="AF145" s="4" t="s">
        <v>599</v>
      </c>
    </row>
    <row r="146" spans="1:35" ht="36" x14ac:dyDescent="0.35">
      <c r="A146" s="10" t="s">
        <v>606</v>
      </c>
      <c r="B146" s="10" t="s">
        <v>607</v>
      </c>
      <c r="C146" s="11" t="s">
        <v>608</v>
      </c>
      <c r="D146" s="12"/>
      <c r="E146" s="12"/>
      <c r="F146" s="12" t="s">
        <v>63</v>
      </c>
      <c r="G146" s="13">
        <v>1</v>
      </c>
      <c r="H146" s="13"/>
      <c r="I146" s="13">
        <v>0</v>
      </c>
      <c r="J146" s="14">
        <v>291.5</v>
      </c>
      <c r="K146" s="15">
        <v>580</v>
      </c>
      <c r="L146" s="14">
        <f>J146+ROUND(K146, 2)</f>
        <v>871.5</v>
      </c>
      <c r="M146" s="14">
        <v>0</v>
      </c>
      <c r="N146" s="14">
        <v>0</v>
      </c>
      <c r="O146" s="14">
        <f>M146+N146</f>
        <v>0</v>
      </c>
      <c r="P146" s="14">
        <v>291.5</v>
      </c>
      <c r="Q146" s="15">
        <v>580</v>
      </c>
      <c r="R146" s="14">
        <f>P146+ROUND(Q146, 2)</f>
        <v>871.5</v>
      </c>
      <c r="S146" s="14">
        <v>0</v>
      </c>
      <c r="T146" s="14">
        <v>0</v>
      </c>
      <c r="U146" s="14">
        <f>S146+T146</f>
        <v>0</v>
      </c>
      <c r="V146" s="9">
        <f>ROUND(P146 / 1.2, 2)</f>
        <v>242.92</v>
      </c>
      <c r="W146" s="9">
        <f>ROUND(Q146 / 1.2, 2)</f>
        <v>483.33</v>
      </c>
      <c r="X146" s="9">
        <f>ROUND(R146 / 1.2, 2)</f>
        <v>726.25</v>
      </c>
      <c r="Y146" s="9">
        <f t="shared" si="10"/>
        <v>0</v>
      </c>
      <c r="Z146" s="9">
        <f>ROUND(T146 / 1.2, 2)</f>
        <v>0</v>
      </c>
      <c r="AA146" s="9">
        <f>Y146+Z146</f>
        <v>0</v>
      </c>
      <c r="AD146" s="4">
        <v>305116955</v>
      </c>
      <c r="AE146" s="4">
        <v>20926502</v>
      </c>
      <c r="AG146" s="4" t="s">
        <v>609</v>
      </c>
      <c r="AH146" s="4" t="s">
        <v>610</v>
      </c>
      <c r="AI146" s="4" t="s">
        <v>467</v>
      </c>
    </row>
    <row r="147" spans="1:35" ht="18" x14ac:dyDescent="0.35">
      <c r="A147" s="10" t="s">
        <v>613</v>
      </c>
      <c r="B147" s="10"/>
      <c r="C147" s="47" t="s">
        <v>614</v>
      </c>
      <c r="D147" s="12"/>
      <c r="E147" s="12"/>
      <c r="F147" s="29" t="s">
        <v>63</v>
      </c>
      <c r="G147" s="30">
        <v>1.1000000000000001</v>
      </c>
      <c r="H147" s="49"/>
      <c r="I147" s="49">
        <v>0</v>
      </c>
      <c r="J147" s="31">
        <v>265</v>
      </c>
      <c r="M147" s="32">
        <f>ROUND(ROUND(J147, 2)*I147, 2)</f>
        <v>0</v>
      </c>
      <c r="P147" s="31">
        <v>265</v>
      </c>
      <c r="S147" s="32">
        <f>ROUND(ROUND(P147, 2)*I147, 2)</f>
        <v>0</v>
      </c>
      <c r="V147" s="9">
        <f>ROUND(ROUND(P147, 2)/1.2, 2)</f>
        <v>220.83</v>
      </c>
      <c r="Y147" s="9">
        <f t="shared" si="10"/>
        <v>0</v>
      </c>
      <c r="AD147" s="4" t="s">
        <v>615</v>
      </c>
      <c r="AE147" s="4" t="s">
        <v>616</v>
      </c>
      <c r="AF147" s="4" t="s">
        <v>617</v>
      </c>
    </row>
    <row r="148" spans="1:35" ht="54" x14ac:dyDescent="0.35">
      <c r="A148" s="10" t="s">
        <v>620</v>
      </c>
      <c r="B148" s="10" t="s">
        <v>607</v>
      </c>
      <c r="C148" s="11" t="s">
        <v>608</v>
      </c>
      <c r="D148" s="12"/>
      <c r="E148" s="12" t="s">
        <v>612</v>
      </c>
      <c r="F148" s="12" t="s">
        <v>63</v>
      </c>
      <c r="G148" s="13">
        <v>1</v>
      </c>
      <c r="H148" s="13"/>
      <c r="I148" s="13">
        <v>0</v>
      </c>
      <c r="J148" s="14">
        <f>IFERROR(ROUND(SUM(M149)/I148, 2),0)</f>
        <v>0</v>
      </c>
      <c r="K148" s="15">
        <v>580</v>
      </c>
      <c r="L148" s="14">
        <f>J148+ROUND(K148, 2)</f>
        <v>580</v>
      </c>
      <c r="M148" s="14">
        <f>ROUND(J148*I148, 2)</f>
        <v>0</v>
      </c>
      <c r="N148" s="14">
        <f>ROUND(I148*ROUND(K148, 2), 2)</f>
        <v>0</v>
      </c>
      <c r="O148" s="14">
        <f>M148+N148</f>
        <v>0</v>
      </c>
      <c r="P148" s="14">
        <f>IFERROR(ROUND(SUM(S149)/I148, 2),0)</f>
        <v>0</v>
      </c>
      <c r="Q148" s="16">
        <v>870</v>
      </c>
      <c r="R148" s="14">
        <f>P148+ROUND(Q148, 2)</f>
        <v>870</v>
      </c>
      <c r="S148" s="14">
        <f>ROUND(P148*I148, 2)</f>
        <v>0</v>
      </c>
      <c r="T148" s="14">
        <f>ROUND(I148*ROUND(Q148, 2), 2)</f>
        <v>0</v>
      </c>
      <c r="U148" s="14">
        <f>S148+T148</f>
        <v>0</v>
      </c>
      <c r="V148" s="9">
        <f>ROUND(P148 / 1.2, 2)</f>
        <v>0</v>
      </c>
      <c r="W148" s="9">
        <f>ROUND(Q148 / 1.2, 2)</f>
        <v>725</v>
      </c>
      <c r="X148" s="9">
        <f>ROUND(R148 / 1.2, 2)</f>
        <v>725</v>
      </c>
      <c r="Y148" s="9">
        <f t="shared" si="10"/>
        <v>0</v>
      </c>
      <c r="Z148" s="9">
        <f>ROUND(T148 / 1.2, 2)</f>
        <v>0</v>
      </c>
      <c r="AA148" s="9">
        <f>Y148+Z148</f>
        <v>0</v>
      </c>
      <c r="AD148" s="4">
        <v>305117022</v>
      </c>
      <c r="AE148" s="4">
        <v>22135722</v>
      </c>
      <c r="AG148" s="4" t="s">
        <v>609</v>
      </c>
      <c r="AH148" s="4" t="s">
        <v>610</v>
      </c>
      <c r="AI148" s="4" t="s">
        <v>467</v>
      </c>
    </row>
    <row r="149" spans="1:35" ht="18" x14ac:dyDescent="0.35">
      <c r="A149" s="10" t="s">
        <v>621</v>
      </c>
      <c r="B149" s="10"/>
      <c r="C149" s="47" t="s">
        <v>614</v>
      </c>
      <c r="D149" s="12"/>
      <c r="E149" s="12"/>
      <c r="F149" s="29" t="s">
        <v>63</v>
      </c>
      <c r="G149" s="30">
        <v>1.1000000000000001</v>
      </c>
      <c r="H149" s="49"/>
      <c r="I149" s="49">
        <v>1573.44</v>
      </c>
      <c r="J149" s="31">
        <v>251.75</v>
      </c>
      <c r="M149" s="32">
        <f>ROUND(ROUND(J149, 2)*I149, 2)</f>
        <v>396113.52</v>
      </c>
      <c r="P149" s="33">
        <v>251.75</v>
      </c>
      <c r="S149" s="32">
        <f>ROUND(ROUND(P149, 2)*I149, 2)</f>
        <v>396113.52</v>
      </c>
      <c r="V149" s="9">
        <f>ROUND(ROUND(P149, 2)/1.2, 2)</f>
        <v>209.79</v>
      </c>
      <c r="Y149" s="9">
        <f t="shared" si="10"/>
        <v>330094.59999999998</v>
      </c>
      <c r="AD149" s="4" t="s">
        <v>622</v>
      </c>
      <c r="AE149" s="4" t="s">
        <v>623</v>
      </c>
      <c r="AF149" s="4" t="s">
        <v>617</v>
      </c>
    </row>
    <row r="150" spans="1:35" ht="36" x14ac:dyDescent="0.35">
      <c r="A150" s="10" t="s">
        <v>624</v>
      </c>
      <c r="B150" s="10" t="s">
        <v>625</v>
      </c>
      <c r="C150" s="11" t="s">
        <v>626</v>
      </c>
      <c r="D150" s="12"/>
      <c r="E150" s="12"/>
      <c r="F150" s="12" t="s">
        <v>63</v>
      </c>
      <c r="G150" s="13">
        <v>1</v>
      </c>
      <c r="H150" s="13"/>
      <c r="I150" s="13">
        <v>0</v>
      </c>
      <c r="J150" s="14">
        <v>681.45</v>
      </c>
      <c r="K150" s="15">
        <v>868</v>
      </c>
      <c r="L150" s="14">
        <f>J150+ROUND(K150, 2)</f>
        <v>1549.45</v>
      </c>
      <c r="M150" s="14">
        <v>0</v>
      </c>
      <c r="N150" s="14">
        <v>0</v>
      </c>
      <c r="O150" s="14">
        <f>M150+N150</f>
        <v>0</v>
      </c>
      <c r="P150" s="14">
        <v>681.45</v>
      </c>
      <c r="Q150" s="15">
        <v>868</v>
      </c>
      <c r="R150" s="14">
        <f>P150+ROUND(Q150, 2)</f>
        <v>1549.45</v>
      </c>
      <c r="S150" s="14">
        <v>0</v>
      </c>
      <c r="T150" s="14">
        <v>0</v>
      </c>
      <c r="U150" s="14">
        <f>S150+T150</f>
        <v>0</v>
      </c>
      <c r="V150" s="9">
        <f>ROUND(P150 / 1.2, 2)</f>
        <v>567.88</v>
      </c>
      <c r="W150" s="9">
        <f>ROUND(Q150 / 1.2, 2)</f>
        <v>723.33</v>
      </c>
      <c r="X150" s="9">
        <f>ROUND(R150 / 1.2, 2)</f>
        <v>1291.21</v>
      </c>
      <c r="Y150" s="9">
        <f t="shared" si="10"/>
        <v>0</v>
      </c>
      <c r="Z150" s="9">
        <f>ROUND(T150 / 1.2, 2)</f>
        <v>0</v>
      </c>
      <c r="AA150" s="9">
        <f>Y150+Z150</f>
        <v>0</v>
      </c>
      <c r="AD150" s="4">
        <v>305116956</v>
      </c>
      <c r="AE150" s="4">
        <v>20926476</v>
      </c>
      <c r="AG150" s="4" t="s">
        <v>627</v>
      </c>
      <c r="AH150" s="4" t="s">
        <v>628</v>
      </c>
      <c r="AI150" s="4" t="s">
        <v>467</v>
      </c>
    </row>
    <row r="151" spans="1:35" ht="18" x14ac:dyDescent="0.35">
      <c r="A151" s="10" t="s">
        <v>631</v>
      </c>
      <c r="B151" s="10"/>
      <c r="C151" s="47" t="s">
        <v>632</v>
      </c>
      <c r="D151" s="12"/>
      <c r="E151" s="12"/>
      <c r="F151" s="29" t="s">
        <v>63</v>
      </c>
      <c r="G151" s="30">
        <v>2.1</v>
      </c>
      <c r="H151" s="49"/>
      <c r="I151" s="49">
        <v>0</v>
      </c>
      <c r="J151" s="31">
        <v>324.5</v>
      </c>
      <c r="M151" s="32">
        <f>ROUND(ROUND(J151, 2)*I151, 2)</f>
        <v>0</v>
      </c>
      <c r="P151" s="31">
        <v>324.5</v>
      </c>
      <c r="S151" s="32">
        <f>ROUND(ROUND(P151, 2)*I151, 2)</f>
        <v>0</v>
      </c>
      <c r="V151" s="9">
        <f>ROUND(ROUND(P151, 2)/1.2, 2)</f>
        <v>270.42</v>
      </c>
      <c r="Y151" s="9">
        <f t="shared" si="10"/>
        <v>0</v>
      </c>
      <c r="AD151" s="4" t="s">
        <v>633</v>
      </c>
      <c r="AE151" s="4" t="s">
        <v>634</v>
      </c>
      <c r="AF151" s="4" t="s">
        <v>635</v>
      </c>
    </row>
    <row r="152" spans="1:35" ht="36" x14ac:dyDescent="0.35">
      <c r="A152" s="10" t="s">
        <v>639</v>
      </c>
      <c r="B152" s="10" t="s">
        <v>625</v>
      </c>
      <c r="C152" s="11" t="s">
        <v>626</v>
      </c>
      <c r="D152" s="12"/>
      <c r="E152" s="12" t="s">
        <v>630</v>
      </c>
      <c r="F152" s="12" t="s">
        <v>63</v>
      </c>
      <c r="G152" s="13">
        <v>1</v>
      </c>
      <c r="H152" s="13"/>
      <c r="I152" s="13">
        <v>0</v>
      </c>
      <c r="J152" s="14">
        <f>IFERROR(ROUND(SUM(M153)/I152, 2),0)</f>
        <v>0</v>
      </c>
      <c r="K152" s="15">
        <v>868</v>
      </c>
      <c r="L152" s="14">
        <f>J152+ROUND(K152, 2)</f>
        <v>868</v>
      </c>
      <c r="M152" s="14">
        <f>ROUND(J152*I152, 2)</f>
        <v>0</v>
      </c>
      <c r="N152" s="14">
        <f>ROUND(I152*ROUND(K152, 2), 2)</f>
        <v>0</v>
      </c>
      <c r="O152" s="14">
        <f>M152+N152</f>
        <v>0</v>
      </c>
      <c r="P152" s="14">
        <f>IFERROR(ROUND(SUM(S153)/I152, 2),0)</f>
        <v>0</v>
      </c>
      <c r="Q152" s="16">
        <v>1302</v>
      </c>
      <c r="R152" s="14">
        <f>P152+ROUND(Q152, 2)</f>
        <v>1302</v>
      </c>
      <c r="S152" s="14">
        <f>ROUND(P152*I152, 2)</f>
        <v>0</v>
      </c>
      <c r="T152" s="14">
        <f>ROUND(I152*ROUND(Q152, 2), 2)</f>
        <v>0</v>
      </c>
      <c r="U152" s="14">
        <f>S152+T152</f>
        <v>0</v>
      </c>
      <c r="V152" s="9">
        <f>ROUND(P152 / 1.2, 2)</f>
        <v>0</v>
      </c>
      <c r="W152" s="9">
        <f>ROUND(Q152 / 1.2, 2)</f>
        <v>1085</v>
      </c>
      <c r="X152" s="9">
        <f>ROUND(R152 / 1.2, 2)</f>
        <v>1085</v>
      </c>
      <c r="Y152" s="9">
        <f t="shared" si="10"/>
        <v>0</v>
      </c>
      <c r="Z152" s="9">
        <f>ROUND(T152 / 1.2, 2)</f>
        <v>0</v>
      </c>
      <c r="AA152" s="9">
        <f>Y152+Z152</f>
        <v>0</v>
      </c>
      <c r="AD152" s="4">
        <v>305117023</v>
      </c>
      <c r="AE152" s="4">
        <v>22135723</v>
      </c>
      <c r="AG152" s="4" t="s">
        <v>627</v>
      </c>
      <c r="AH152" s="4" t="s">
        <v>628</v>
      </c>
      <c r="AI152" s="4" t="s">
        <v>467</v>
      </c>
    </row>
    <row r="153" spans="1:35" ht="18" x14ac:dyDescent="0.35">
      <c r="A153" s="10" t="s">
        <v>640</v>
      </c>
      <c r="B153" s="10"/>
      <c r="C153" s="47" t="s">
        <v>632</v>
      </c>
      <c r="D153" s="12"/>
      <c r="E153" s="12" t="s">
        <v>637</v>
      </c>
      <c r="F153" s="29" t="s">
        <v>63</v>
      </c>
      <c r="G153" s="30">
        <v>2.1</v>
      </c>
      <c r="H153" s="49"/>
      <c r="I153" s="49">
        <v>463.05</v>
      </c>
      <c r="J153" s="31">
        <v>324.5</v>
      </c>
      <c r="M153" s="32">
        <f>ROUND(ROUND(J153, 2)*I153, 2)</f>
        <v>150259.73000000001</v>
      </c>
      <c r="P153" s="33">
        <v>324.5</v>
      </c>
      <c r="S153" s="32">
        <f>ROUND(ROUND(P153, 2)*I153, 2)</f>
        <v>150259.73000000001</v>
      </c>
      <c r="V153" s="9">
        <f>ROUND(ROUND(P153, 2)/1.2, 2)</f>
        <v>270.42</v>
      </c>
      <c r="Y153" s="9">
        <f t="shared" si="10"/>
        <v>125216.44</v>
      </c>
      <c r="AD153" s="4" t="s">
        <v>641</v>
      </c>
      <c r="AE153" s="4" t="s">
        <v>642</v>
      </c>
      <c r="AF153" s="4" t="s">
        <v>635</v>
      </c>
    </row>
    <row r="154" spans="1:35" ht="18" x14ac:dyDescent="0.35">
      <c r="A154" s="10" t="s">
        <v>643</v>
      </c>
      <c r="B154" s="10" t="s">
        <v>644</v>
      </c>
      <c r="C154" s="11" t="s">
        <v>645</v>
      </c>
      <c r="D154" s="12"/>
      <c r="E154" s="12"/>
      <c r="F154" s="12" t="s">
        <v>93</v>
      </c>
      <c r="G154" s="13">
        <v>1</v>
      </c>
      <c r="H154" s="13"/>
      <c r="I154" s="13">
        <v>0</v>
      </c>
      <c r="J154" s="14">
        <v>2600.9299999999998</v>
      </c>
      <c r="K154" s="15">
        <v>2157</v>
      </c>
      <c r="L154" s="14">
        <f>J154+ROUND(K154, 2)</f>
        <v>4757.93</v>
      </c>
      <c r="M154" s="14">
        <v>0</v>
      </c>
      <c r="N154" s="14">
        <v>0</v>
      </c>
      <c r="O154" s="14">
        <f>M154+N154</f>
        <v>0</v>
      </c>
      <c r="P154" s="14">
        <v>2600.9299999999998</v>
      </c>
      <c r="Q154" s="15">
        <v>2157</v>
      </c>
      <c r="R154" s="14">
        <f>P154+ROUND(Q154, 2)</f>
        <v>4757.93</v>
      </c>
      <c r="S154" s="14">
        <v>0</v>
      </c>
      <c r="T154" s="14">
        <v>0</v>
      </c>
      <c r="U154" s="14">
        <f>S154+T154</f>
        <v>0</v>
      </c>
      <c r="V154" s="9">
        <f>ROUND(P154 / 1.2, 2)</f>
        <v>2167.44</v>
      </c>
      <c r="W154" s="9">
        <f>ROUND(Q154 / 1.2, 2)</f>
        <v>1797.5</v>
      </c>
      <c r="X154" s="9">
        <f>ROUND(R154 / 1.2, 2)</f>
        <v>3964.94</v>
      </c>
      <c r="Y154" s="9">
        <f t="shared" si="10"/>
        <v>0</v>
      </c>
      <c r="Z154" s="9">
        <f>ROUND(T154 / 1.2, 2)</f>
        <v>0</v>
      </c>
      <c r="AA154" s="9">
        <f>Y154+Z154</f>
        <v>0</v>
      </c>
      <c r="AD154" s="4">
        <v>305116958</v>
      </c>
      <c r="AE154" s="4">
        <v>20926501</v>
      </c>
      <c r="AG154" s="4" t="s">
        <v>646</v>
      </c>
      <c r="AH154" s="4" t="s">
        <v>647</v>
      </c>
      <c r="AI154" s="4" t="s">
        <v>467</v>
      </c>
    </row>
    <row r="155" spans="1:35" ht="18" x14ac:dyDescent="0.35">
      <c r="A155" s="10" t="s">
        <v>650</v>
      </c>
      <c r="B155" s="10"/>
      <c r="C155" s="28" t="s">
        <v>651</v>
      </c>
      <c r="D155" s="12"/>
      <c r="E155" s="12"/>
      <c r="F155" s="29" t="s">
        <v>93</v>
      </c>
      <c r="G155" s="30">
        <v>1.02</v>
      </c>
      <c r="H155" s="30"/>
      <c r="I155" s="30">
        <v>0</v>
      </c>
      <c r="J155" s="31">
        <v>2550</v>
      </c>
      <c r="M155" s="32">
        <f>ROUND(ROUND(J155, 2)*I155, 2)</f>
        <v>0</v>
      </c>
      <c r="P155" s="31">
        <v>2550</v>
      </c>
      <c r="S155" s="32">
        <f>ROUND(ROUND(P155, 2)*I155, 2)</f>
        <v>0</v>
      </c>
      <c r="V155" s="9">
        <f>ROUND(ROUND(P155, 2)/1.2, 2)</f>
        <v>2125</v>
      </c>
      <c r="Y155" s="9">
        <f t="shared" si="10"/>
        <v>0</v>
      </c>
      <c r="AD155" s="4" t="s">
        <v>652</v>
      </c>
      <c r="AE155" s="4" t="s">
        <v>653</v>
      </c>
      <c r="AF155" s="4" t="s">
        <v>654</v>
      </c>
    </row>
    <row r="156" spans="1:35" ht="18" x14ac:dyDescent="0.35">
      <c r="A156" s="10" t="s">
        <v>657</v>
      </c>
      <c r="B156" s="10" t="s">
        <v>644</v>
      </c>
      <c r="C156" s="11" t="s">
        <v>645</v>
      </c>
      <c r="D156" s="12"/>
      <c r="E156" s="12"/>
      <c r="F156" s="12" t="s">
        <v>93</v>
      </c>
      <c r="G156" s="13">
        <v>1</v>
      </c>
      <c r="H156" s="13"/>
      <c r="I156" s="13">
        <v>0</v>
      </c>
      <c r="J156" s="14">
        <v>2601</v>
      </c>
      <c r="K156" s="15">
        <v>2157</v>
      </c>
      <c r="L156" s="14">
        <f>J156+ROUND(K156, 2)</f>
        <v>4758</v>
      </c>
      <c r="M156" s="14">
        <v>0</v>
      </c>
      <c r="N156" s="14">
        <v>0</v>
      </c>
      <c r="O156" s="14">
        <f>M156+N156</f>
        <v>0</v>
      </c>
      <c r="P156" s="14">
        <v>2601</v>
      </c>
      <c r="Q156" s="15">
        <v>2157</v>
      </c>
      <c r="R156" s="14">
        <f>P156+ROUND(Q156, 2)</f>
        <v>4758</v>
      </c>
      <c r="S156" s="14">
        <v>0</v>
      </c>
      <c r="T156" s="14">
        <v>0</v>
      </c>
      <c r="U156" s="14">
        <f>S156+T156</f>
        <v>0</v>
      </c>
      <c r="V156" s="9">
        <f>ROUND(P156 / 1.2, 2)</f>
        <v>2167.5</v>
      </c>
      <c r="W156" s="9">
        <f>ROUND(Q156 / 1.2, 2)</f>
        <v>1797.5</v>
      </c>
      <c r="X156" s="9">
        <f>ROUND(R156 / 1.2, 2)</f>
        <v>3965</v>
      </c>
      <c r="Y156" s="9">
        <f t="shared" si="10"/>
        <v>0</v>
      </c>
      <c r="Z156" s="9">
        <f>ROUND(T156 / 1.2, 2)</f>
        <v>0</v>
      </c>
      <c r="AA156" s="9">
        <f>Y156+Z156</f>
        <v>0</v>
      </c>
      <c r="AD156" s="4">
        <v>305117024</v>
      </c>
      <c r="AE156" s="4">
        <v>21125774</v>
      </c>
      <c r="AG156" s="4" t="s">
        <v>646</v>
      </c>
      <c r="AH156" s="4" t="s">
        <v>647</v>
      </c>
      <c r="AI156" s="4" t="s">
        <v>467</v>
      </c>
    </row>
    <row r="157" spans="1:35" ht="18" x14ac:dyDescent="0.35">
      <c r="A157" s="10" t="s">
        <v>660</v>
      </c>
      <c r="B157" s="10"/>
      <c r="C157" s="28" t="s">
        <v>651</v>
      </c>
      <c r="D157" s="12"/>
      <c r="E157" s="12"/>
      <c r="F157" s="29" t="s">
        <v>93</v>
      </c>
      <c r="G157" s="30">
        <v>1.02</v>
      </c>
      <c r="H157" s="30"/>
      <c r="I157" s="30">
        <v>0</v>
      </c>
      <c r="J157" s="31">
        <v>2550</v>
      </c>
      <c r="M157" s="32">
        <f>ROUND(ROUND(J157, 2)*I157, 2)</f>
        <v>0</v>
      </c>
      <c r="P157" s="31">
        <v>2550</v>
      </c>
      <c r="S157" s="32">
        <f>ROUND(ROUND(P157, 2)*I157, 2)</f>
        <v>0</v>
      </c>
      <c r="V157" s="9">
        <f>ROUND(ROUND(P157, 2)/1.2, 2)</f>
        <v>2125</v>
      </c>
      <c r="Y157" s="9">
        <f t="shared" si="10"/>
        <v>0</v>
      </c>
      <c r="AD157" s="4" t="s">
        <v>661</v>
      </c>
      <c r="AE157" s="4" t="s">
        <v>662</v>
      </c>
      <c r="AF157" s="4" t="s">
        <v>654</v>
      </c>
    </row>
    <row r="158" spans="1:35" ht="36" x14ac:dyDescent="0.35">
      <c r="A158" s="10" t="s">
        <v>665</v>
      </c>
      <c r="B158" s="10" t="s">
        <v>644</v>
      </c>
      <c r="C158" s="11" t="s">
        <v>645</v>
      </c>
      <c r="D158" s="12"/>
      <c r="E158" s="12" t="s">
        <v>666</v>
      </c>
      <c r="F158" s="12" t="s">
        <v>93</v>
      </c>
      <c r="G158" s="13">
        <v>1</v>
      </c>
      <c r="H158" s="13"/>
      <c r="I158" s="13">
        <v>0</v>
      </c>
      <c r="J158" s="14">
        <v>2601.0100000000002</v>
      </c>
      <c r="K158" s="15">
        <v>2157</v>
      </c>
      <c r="L158" s="14">
        <f>J158+ROUND(K158, 2)</f>
        <v>4758.01</v>
      </c>
      <c r="M158" s="14">
        <v>0</v>
      </c>
      <c r="N158" s="14">
        <v>0</v>
      </c>
      <c r="O158" s="14">
        <f>M158+N158</f>
        <v>0</v>
      </c>
      <c r="P158" s="14">
        <v>2601.0100000000002</v>
      </c>
      <c r="Q158" s="15">
        <v>2157</v>
      </c>
      <c r="R158" s="14">
        <f>P158+ROUND(Q158, 2)</f>
        <v>4758.01</v>
      </c>
      <c r="S158" s="14">
        <v>0</v>
      </c>
      <c r="T158" s="14">
        <v>0</v>
      </c>
      <c r="U158" s="14">
        <f>S158+T158</f>
        <v>0</v>
      </c>
      <c r="V158" s="9">
        <f>ROUND(P158 / 1.2, 2)</f>
        <v>2167.5100000000002</v>
      </c>
      <c r="W158" s="9">
        <f>ROUND(Q158 / 1.2, 2)</f>
        <v>1797.5</v>
      </c>
      <c r="X158" s="9">
        <f>ROUND(R158 / 1.2, 2)</f>
        <v>3965.01</v>
      </c>
      <c r="Y158" s="9">
        <f t="shared" si="10"/>
        <v>0</v>
      </c>
      <c r="Z158" s="9">
        <f>ROUND(T158 / 1.2, 2)</f>
        <v>0</v>
      </c>
      <c r="AA158" s="9">
        <f>Y158+Z158</f>
        <v>0</v>
      </c>
      <c r="AD158" s="4">
        <v>305117025</v>
      </c>
      <c r="AE158" s="4">
        <v>21125777</v>
      </c>
      <c r="AG158" s="4" t="s">
        <v>646</v>
      </c>
      <c r="AH158" s="4" t="s">
        <v>647</v>
      </c>
      <c r="AI158" s="4" t="s">
        <v>467</v>
      </c>
    </row>
    <row r="159" spans="1:35" ht="18" x14ac:dyDescent="0.35">
      <c r="A159" s="10" t="s">
        <v>668</v>
      </c>
      <c r="B159" s="10"/>
      <c r="C159" s="28" t="s">
        <v>651</v>
      </c>
      <c r="D159" s="12"/>
      <c r="E159" s="12"/>
      <c r="F159" s="29" t="s">
        <v>93</v>
      </c>
      <c r="G159" s="30">
        <v>1.02</v>
      </c>
      <c r="H159" s="30"/>
      <c r="I159" s="30">
        <v>0</v>
      </c>
      <c r="J159" s="31">
        <v>2550</v>
      </c>
      <c r="M159" s="32">
        <f>ROUND(ROUND(J159, 2)*I159, 2)</f>
        <v>0</v>
      </c>
      <c r="P159" s="31">
        <v>2550</v>
      </c>
      <c r="S159" s="32">
        <f>ROUND(ROUND(P159, 2)*I159, 2)</f>
        <v>0</v>
      </c>
      <c r="V159" s="9">
        <f>ROUND(ROUND(P159, 2)/1.2, 2)</f>
        <v>2125</v>
      </c>
      <c r="Y159" s="9">
        <f t="shared" si="10"/>
        <v>0</v>
      </c>
      <c r="AD159" s="4" t="s">
        <v>669</v>
      </c>
      <c r="AE159" s="4" t="s">
        <v>670</v>
      </c>
      <c r="AF159" s="4" t="s">
        <v>654</v>
      </c>
    </row>
    <row r="160" spans="1:35" ht="36" x14ac:dyDescent="0.35">
      <c r="A160" s="10" t="s">
        <v>673</v>
      </c>
      <c r="B160" s="10" t="s">
        <v>644</v>
      </c>
      <c r="C160" s="11" t="s">
        <v>645</v>
      </c>
      <c r="D160" s="12"/>
      <c r="E160" s="12" t="s">
        <v>674</v>
      </c>
      <c r="F160" s="12" t="s">
        <v>93</v>
      </c>
      <c r="G160" s="13">
        <v>1</v>
      </c>
      <c r="H160" s="13"/>
      <c r="I160" s="13">
        <v>0</v>
      </c>
      <c r="J160" s="14">
        <v>2600.81</v>
      </c>
      <c r="K160" s="15">
        <v>2157</v>
      </c>
      <c r="L160" s="14">
        <f>J160+ROUND(K160, 2)</f>
        <v>4757.8099999999995</v>
      </c>
      <c r="M160" s="14">
        <v>0</v>
      </c>
      <c r="N160" s="14">
        <v>0</v>
      </c>
      <c r="O160" s="14">
        <f>M160+N160</f>
        <v>0</v>
      </c>
      <c r="P160" s="14">
        <v>2600.81</v>
      </c>
      <c r="Q160" s="15">
        <v>2157</v>
      </c>
      <c r="R160" s="14">
        <f>P160+ROUND(Q160, 2)</f>
        <v>4757.8099999999995</v>
      </c>
      <c r="S160" s="14">
        <v>0</v>
      </c>
      <c r="T160" s="14">
        <v>0</v>
      </c>
      <c r="U160" s="14">
        <f>S160+T160</f>
        <v>0</v>
      </c>
      <c r="V160" s="9">
        <f>ROUND(P160 / 1.2, 2)</f>
        <v>2167.34</v>
      </c>
      <c r="W160" s="9">
        <f>ROUND(Q160 / 1.2, 2)</f>
        <v>1797.5</v>
      </c>
      <c r="X160" s="9">
        <f>ROUND(R160 / 1.2, 2)</f>
        <v>3964.84</v>
      </c>
      <c r="Y160" s="9">
        <f t="shared" si="10"/>
        <v>0</v>
      </c>
      <c r="Z160" s="9">
        <f>ROUND(T160 / 1.2, 2)</f>
        <v>0</v>
      </c>
      <c r="AA160" s="9">
        <f>Y160+Z160</f>
        <v>0</v>
      </c>
      <c r="AD160" s="4">
        <v>305117026</v>
      </c>
      <c r="AE160" s="4">
        <v>21125775</v>
      </c>
      <c r="AG160" s="4" t="s">
        <v>646</v>
      </c>
      <c r="AH160" s="4" t="s">
        <v>647</v>
      </c>
      <c r="AI160" s="4" t="s">
        <v>467</v>
      </c>
    </row>
    <row r="161" spans="1:35" ht="18" x14ac:dyDescent="0.35">
      <c r="A161" s="10" t="s">
        <v>676</v>
      </c>
      <c r="B161" s="10"/>
      <c r="C161" s="28" t="s">
        <v>651</v>
      </c>
      <c r="D161" s="12"/>
      <c r="E161" s="12"/>
      <c r="F161" s="29" t="s">
        <v>93</v>
      </c>
      <c r="G161" s="30">
        <v>1.02</v>
      </c>
      <c r="H161" s="30"/>
      <c r="I161" s="30">
        <v>0</v>
      </c>
      <c r="J161" s="31">
        <v>2550</v>
      </c>
      <c r="M161" s="32">
        <f>ROUND(ROUND(J161, 2)*I161, 2)</f>
        <v>0</v>
      </c>
      <c r="P161" s="31">
        <v>2550</v>
      </c>
      <c r="S161" s="32">
        <f>ROUND(ROUND(P161, 2)*I161, 2)</f>
        <v>0</v>
      </c>
      <c r="V161" s="9">
        <f>ROUND(ROUND(P161, 2)/1.2, 2)</f>
        <v>2125</v>
      </c>
      <c r="Y161" s="9">
        <f t="shared" si="10"/>
        <v>0</v>
      </c>
      <c r="AD161" s="4" t="s">
        <v>677</v>
      </c>
      <c r="AE161" s="4" t="s">
        <v>678</v>
      </c>
      <c r="AF161" s="4" t="s">
        <v>654</v>
      </c>
    </row>
    <row r="162" spans="1:35" ht="18" x14ac:dyDescent="0.35">
      <c r="A162" s="10" t="s">
        <v>681</v>
      </c>
      <c r="B162" s="10" t="s">
        <v>644</v>
      </c>
      <c r="C162" s="11" t="s">
        <v>645</v>
      </c>
      <c r="D162" s="12"/>
      <c r="E162" s="12"/>
      <c r="F162" s="12" t="s">
        <v>93</v>
      </c>
      <c r="G162" s="13">
        <v>1</v>
      </c>
      <c r="H162" s="13"/>
      <c r="I162" s="13">
        <v>0</v>
      </c>
      <c r="J162" s="14">
        <v>2600.9899999999998</v>
      </c>
      <c r="K162" s="15">
        <v>2157</v>
      </c>
      <c r="L162" s="14">
        <f>J162+ROUND(K162, 2)</f>
        <v>4757.99</v>
      </c>
      <c r="M162" s="14">
        <v>0</v>
      </c>
      <c r="N162" s="14">
        <v>0</v>
      </c>
      <c r="O162" s="14">
        <f>M162+N162</f>
        <v>0</v>
      </c>
      <c r="P162" s="14">
        <v>2600.9899999999998</v>
      </c>
      <c r="Q162" s="15">
        <v>2157</v>
      </c>
      <c r="R162" s="14">
        <f>P162+ROUND(Q162, 2)</f>
        <v>4757.99</v>
      </c>
      <c r="S162" s="14">
        <v>0</v>
      </c>
      <c r="T162" s="14">
        <v>0</v>
      </c>
      <c r="U162" s="14">
        <f>S162+T162</f>
        <v>0</v>
      </c>
      <c r="V162" s="9">
        <f>ROUND(P162 / 1.2, 2)</f>
        <v>2167.4899999999998</v>
      </c>
      <c r="W162" s="9">
        <f>ROUND(Q162 / 1.2, 2)</f>
        <v>1797.5</v>
      </c>
      <c r="X162" s="9">
        <f>ROUND(R162 / 1.2, 2)</f>
        <v>3964.99</v>
      </c>
      <c r="Y162" s="9">
        <f t="shared" si="10"/>
        <v>0</v>
      </c>
      <c r="Z162" s="9">
        <f>ROUND(T162 / 1.2, 2)</f>
        <v>0</v>
      </c>
      <c r="AA162" s="9">
        <f>Y162+Z162</f>
        <v>0</v>
      </c>
      <c r="AD162" s="4">
        <v>305117027</v>
      </c>
      <c r="AE162" s="4">
        <v>21125779</v>
      </c>
      <c r="AG162" s="4" t="s">
        <v>646</v>
      </c>
      <c r="AH162" s="4" t="s">
        <v>647</v>
      </c>
      <c r="AI162" s="4" t="s">
        <v>467</v>
      </c>
    </row>
    <row r="163" spans="1:35" ht="18" x14ac:dyDescent="0.35">
      <c r="A163" s="10" t="s">
        <v>684</v>
      </c>
      <c r="B163" s="10"/>
      <c r="C163" s="28" t="s">
        <v>651</v>
      </c>
      <c r="D163" s="12"/>
      <c r="E163" s="12"/>
      <c r="F163" s="29" t="s">
        <v>93</v>
      </c>
      <c r="G163" s="30">
        <v>1.02</v>
      </c>
      <c r="H163" s="30"/>
      <c r="I163" s="30">
        <v>0</v>
      </c>
      <c r="J163" s="31">
        <v>2550</v>
      </c>
      <c r="M163" s="32">
        <f>ROUND(ROUND(J163, 2)*I163, 2)</f>
        <v>0</v>
      </c>
      <c r="P163" s="31">
        <v>2550</v>
      </c>
      <c r="S163" s="32">
        <f>ROUND(ROUND(P163, 2)*I163, 2)</f>
        <v>0</v>
      </c>
      <c r="V163" s="9">
        <f>ROUND(ROUND(P163, 2)/1.2, 2)</f>
        <v>2125</v>
      </c>
      <c r="Y163" s="9">
        <f t="shared" si="10"/>
        <v>0</v>
      </c>
      <c r="AD163" s="4" t="s">
        <v>685</v>
      </c>
      <c r="AE163" s="4" t="s">
        <v>686</v>
      </c>
      <c r="AF163" s="4" t="s">
        <v>654</v>
      </c>
    </row>
    <row r="164" spans="1:35" ht="18" x14ac:dyDescent="0.35">
      <c r="A164" s="10" t="s">
        <v>689</v>
      </c>
      <c r="B164" s="10" t="s">
        <v>644</v>
      </c>
      <c r="C164" s="11" t="s">
        <v>645</v>
      </c>
      <c r="D164" s="12"/>
      <c r="E164" s="12"/>
      <c r="F164" s="12" t="s">
        <v>93</v>
      </c>
      <c r="G164" s="13">
        <v>1</v>
      </c>
      <c r="H164" s="13"/>
      <c r="I164" s="13">
        <v>0</v>
      </c>
      <c r="J164" s="14">
        <v>2600.84</v>
      </c>
      <c r="K164" s="15">
        <v>2157</v>
      </c>
      <c r="L164" s="14">
        <f>J164+ROUND(K164, 2)</f>
        <v>4757.84</v>
      </c>
      <c r="M164" s="14">
        <v>0</v>
      </c>
      <c r="N164" s="14">
        <v>0</v>
      </c>
      <c r="O164" s="14">
        <f>M164+N164</f>
        <v>0</v>
      </c>
      <c r="P164" s="14">
        <v>2600.84</v>
      </c>
      <c r="Q164" s="15">
        <v>2157</v>
      </c>
      <c r="R164" s="14">
        <f>P164+ROUND(Q164, 2)</f>
        <v>4757.84</v>
      </c>
      <c r="S164" s="14">
        <v>0</v>
      </c>
      <c r="T164" s="14">
        <v>0</v>
      </c>
      <c r="U164" s="14">
        <f>S164+T164</f>
        <v>0</v>
      </c>
      <c r="V164" s="9">
        <f>ROUND(P164 / 1.2, 2)</f>
        <v>2167.37</v>
      </c>
      <c r="W164" s="9">
        <f>ROUND(Q164 / 1.2, 2)</f>
        <v>1797.5</v>
      </c>
      <c r="X164" s="9">
        <f>ROUND(R164 / 1.2, 2)</f>
        <v>3964.87</v>
      </c>
      <c r="Y164" s="9">
        <f t="shared" si="10"/>
        <v>0</v>
      </c>
      <c r="Z164" s="9">
        <f>ROUND(T164 / 1.2, 2)</f>
        <v>0</v>
      </c>
      <c r="AA164" s="9">
        <f>Y164+Z164</f>
        <v>0</v>
      </c>
      <c r="AD164" s="4">
        <v>305117028</v>
      </c>
      <c r="AE164" s="4">
        <v>21125776</v>
      </c>
      <c r="AG164" s="4" t="s">
        <v>646</v>
      </c>
      <c r="AH164" s="4" t="s">
        <v>647</v>
      </c>
      <c r="AI164" s="4" t="s">
        <v>467</v>
      </c>
    </row>
    <row r="165" spans="1:35" ht="18" x14ac:dyDescent="0.35">
      <c r="A165" s="10" t="s">
        <v>692</v>
      </c>
      <c r="B165" s="10"/>
      <c r="C165" s="28" t="s">
        <v>651</v>
      </c>
      <c r="D165" s="12"/>
      <c r="E165" s="12"/>
      <c r="F165" s="29" t="s">
        <v>93</v>
      </c>
      <c r="G165" s="30">
        <v>1.02</v>
      </c>
      <c r="H165" s="30"/>
      <c r="I165" s="30">
        <v>0</v>
      </c>
      <c r="J165" s="31">
        <v>2550</v>
      </c>
      <c r="M165" s="32">
        <f>ROUND(ROUND(J165, 2)*I165, 2)</f>
        <v>0</v>
      </c>
      <c r="P165" s="31">
        <v>2550</v>
      </c>
      <c r="S165" s="32">
        <f>ROUND(ROUND(P165, 2)*I165, 2)</f>
        <v>0</v>
      </c>
      <c r="V165" s="9">
        <f>ROUND(ROUND(P165, 2)/1.2, 2)</f>
        <v>2125</v>
      </c>
      <c r="Y165" s="9">
        <f t="shared" si="10"/>
        <v>0</v>
      </c>
      <c r="AD165" s="4" t="s">
        <v>693</v>
      </c>
      <c r="AE165" s="4" t="s">
        <v>694</v>
      </c>
      <c r="AF165" s="4" t="s">
        <v>654</v>
      </c>
    </row>
    <row r="166" spans="1:35" ht="36" x14ac:dyDescent="0.35">
      <c r="A166" s="10" t="s">
        <v>697</v>
      </c>
      <c r="B166" s="10" t="s">
        <v>644</v>
      </c>
      <c r="C166" s="11" t="s">
        <v>645</v>
      </c>
      <c r="D166" s="12"/>
      <c r="E166" s="12" t="s">
        <v>649</v>
      </c>
      <c r="F166" s="12" t="s">
        <v>93</v>
      </c>
      <c r="G166" s="13">
        <v>1</v>
      </c>
      <c r="H166" s="13"/>
      <c r="I166" s="13">
        <v>0</v>
      </c>
      <c r="J166" s="14">
        <f>IFERROR(ROUND(SUM(M167)/I166, 2),0)</f>
        <v>0</v>
      </c>
      <c r="K166" s="15">
        <v>2157</v>
      </c>
      <c r="L166" s="14">
        <f>J166+ROUND(K166, 2)</f>
        <v>2157</v>
      </c>
      <c r="M166" s="14">
        <f>ROUND(J166*I166, 2)</f>
        <v>0</v>
      </c>
      <c r="N166" s="14">
        <f>ROUND(I166*ROUND(K166, 2), 2)</f>
        <v>0</v>
      </c>
      <c r="O166" s="14">
        <f>M166+N166</f>
        <v>0</v>
      </c>
      <c r="P166" s="14">
        <f>IFERROR(ROUND(SUM(S167)/I166, 2),0)</f>
        <v>0</v>
      </c>
      <c r="Q166" s="16">
        <v>3235.5</v>
      </c>
      <c r="R166" s="14">
        <f>P166+ROUND(Q166, 2)</f>
        <v>3235.5</v>
      </c>
      <c r="S166" s="14">
        <f>ROUND(P166*I166, 2)</f>
        <v>0</v>
      </c>
      <c r="T166" s="14">
        <f>ROUND(I166*ROUND(Q166, 2), 2)</f>
        <v>0</v>
      </c>
      <c r="U166" s="14">
        <f>S166+T166</f>
        <v>0</v>
      </c>
      <c r="V166" s="9">
        <f>ROUND(P166 / 1.2, 2)</f>
        <v>0</v>
      </c>
      <c r="W166" s="9">
        <f>ROUND(Q166 / 1.2, 2)</f>
        <v>2696.25</v>
      </c>
      <c r="X166" s="9">
        <f>ROUND(R166 / 1.2, 2)</f>
        <v>2696.25</v>
      </c>
      <c r="Y166" s="9">
        <f t="shared" si="10"/>
        <v>0</v>
      </c>
      <c r="Z166" s="9">
        <f>ROUND(T166 / 1.2, 2)</f>
        <v>0</v>
      </c>
      <c r="AA166" s="9">
        <f>Y166+Z166</f>
        <v>0</v>
      </c>
      <c r="AD166" s="4">
        <v>305117029</v>
      </c>
      <c r="AE166" s="4">
        <v>22135721</v>
      </c>
      <c r="AG166" s="4" t="s">
        <v>646</v>
      </c>
      <c r="AH166" s="4" t="s">
        <v>647</v>
      </c>
      <c r="AI166" s="4" t="s">
        <v>467</v>
      </c>
    </row>
    <row r="167" spans="1:35" ht="18" x14ac:dyDescent="0.35">
      <c r="A167" s="10" t="s">
        <v>698</v>
      </c>
      <c r="B167" s="10"/>
      <c r="C167" s="28" t="s">
        <v>651</v>
      </c>
      <c r="D167" s="12"/>
      <c r="E167" s="12"/>
      <c r="F167" s="29" t="s">
        <v>93</v>
      </c>
      <c r="G167" s="30">
        <v>1.02</v>
      </c>
      <c r="H167" s="30"/>
      <c r="I167" s="30">
        <v>0</v>
      </c>
      <c r="J167" s="31">
        <v>2550</v>
      </c>
      <c r="M167" s="32">
        <f>ROUND(ROUND(J167, 2)*I167, 2)</f>
        <v>0</v>
      </c>
      <c r="P167" s="33">
        <v>2550</v>
      </c>
      <c r="S167" s="32">
        <f>ROUND(ROUND(P167, 2)*I167, 2)</f>
        <v>0</v>
      </c>
      <c r="V167" s="9">
        <f>ROUND(ROUND(P167, 2)/1.2, 2)</f>
        <v>2125</v>
      </c>
      <c r="Y167" s="9">
        <f t="shared" si="10"/>
        <v>0</v>
      </c>
      <c r="AD167" s="4" t="s">
        <v>699</v>
      </c>
      <c r="AE167" s="4" t="s">
        <v>700</v>
      </c>
      <c r="AF167" s="4" t="s">
        <v>654</v>
      </c>
    </row>
    <row r="168" spans="1:35" ht="36" x14ac:dyDescent="0.35">
      <c r="A168" s="10" t="s">
        <v>701</v>
      </c>
      <c r="B168" s="10" t="s">
        <v>644</v>
      </c>
      <c r="C168" s="11" t="s">
        <v>645</v>
      </c>
      <c r="D168" s="12"/>
      <c r="E168" s="12" t="s">
        <v>659</v>
      </c>
      <c r="F168" s="12" t="s">
        <v>93</v>
      </c>
      <c r="G168" s="13">
        <v>1</v>
      </c>
      <c r="H168" s="13"/>
      <c r="I168" s="13">
        <v>0</v>
      </c>
      <c r="J168" s="14">
        <f>IFERROR(ROUND(SUM(M169)/I168, 2),0)</f>
        <v>0</v>
      </c>
      <c r="K168" s="15">
        <v>2157</v>
      </c>
      <c r="L168" s="14">
        <f>J168+ROUND(K168, 2)</f>
        <v>2157</v>
      </c>
      <c r="M168" s="14">
        <f>ROUND(J168*I168, 2)</f>
        <v>0</v>
      </c>
      <c r="N168" s="14">
        <f>ROUND(I168*ROUND(K168, 2), 2)</f>
        <v>0</v>
      </c>
      <c r="O168" s="14">
        <f>M168+N168</f>
        <v>0</v>
      </c>
      <c r="P168" s="14">
        <f>IFERROR(ROUND(SUM(S169)/I168, 2),0)</f>
        <v>0</v>
      </c>
      <c r="Q168" s="16">
        <v>3235.5</v>
      </c>
      <c r="R168" s="14">
        <f>P168+ROUND(Q168, 2)</f>
        <v>3235.5</v>
      </c>
      <c r="S168" s="14">
        <f>ROUND(P168*I168, 2)</f>
        <v>0</v>
      </c>
      <c r="T168" s="14">
        <f>ROUND(I168*ROUND(Q168, 2), 2)</f>
        <v>0</v>
      </c>
      <c r="U168" s="14">
        <f>S168+T168</f>
        <v>0</v>
      </c>
      <c r="V168" s="9">
        <f>ROUND(P168 / 1.2, 2)</f>
        <v>0</v>
      </c>
      <c r="W168" s="9">
        <f>ROUND(Q168 / 1.2, 2)</f>
        <v>2696.25</v>
      </c>
      <c r="X168" s="9">
        <f>ROUND(R168 / 1.2, 2)</f>
        <v>2696.25</v>
      </c>
      <c r="Y168" s="9">
        <f t="shared" si="10"/>
        <v>0</v>
      </c>
      <c r="Z168" s="9">
        <f>ROUND(T168 / 1.2, 2)</f>
        <v>0</v>
      </c>
      <c r="AA168" s="9">
        <f>Y168+Z168</f>
        <v>0</v>
      </c>
      <c r="AD168" s="4">
        <v>305117030</v>
      </c>
      <c r="AE168" s="4">
        <v>22135705</v>
      </c>
      <c r="AG168" s="4" t="s">
        <v>646</v>
      </c>
      <c r="AH168" s="4" t="s">
        <v>647</v>
      </c>
      <c r="AI168" s="4" t="s">
        <v>467</v>
      </c>
    </row>
    <row r="169" spans="1:35" ht="18" x14ac:dyDescent="0.35">
      <c r="A169" s="10" t="s">
        <v>702</v>
      </c>
      <c r="B169" s="10"/>
      <c r="C169" s="28" t="s">
        <v>651</v>
      </c>
      <c r="D169" s="12"/>
      <c r="E169" s="12"/>
      <c r="F169" s="29" t="s">
        <v>93</v>
      </c>
      <c r="G169" s="30">
        <v>1.02</v>
      </c>
      <c r="H169" s="30"/>
      <c r="I169" s="30">
        <v>0</v>
      </c>
      <c r="J169" s="31">
        <v>2550</v>
      </c>
      <c r="M169" s="32">
        <f>ROUND(ROUND(J169, 2)*I169, 2)</f>
        <v>0</v>
      </c>
      <c r="P169" s="33">
        <v>2550</v>
      </c>
      <c r="S169" s="32">
        <f>ROUND(ROUND(P169, 2)*I169, 2)</f>
        <v>0</v>
      </c>
      <c r="V169" s="9">
        <f>ROUND(ROUND(P169, 2)/1.2, 2)</f>
        <v>2125</v>
      </c>
      <c r="Y169" s="9">
        <f t="shared" si="10"/>
        <v>0</v>
      </c>
      <c r="AD169" s="4" t="s">
        <v>703</v>
      </c>
      <c r="AE169" s="4" t="s">
        <v>704</v>
      </c>
      <c r="AF169" s="4" t="s">
        <v>654</v>
      </c>
    </row>
    <row r="170" spans="1:35" ht="36" x14ac:dyDescent="0.35">
      <c r="A170" s="10" t="s">
        <v>705</v>
      </c>
      <c r="B170" s="10" t="s">
        <v>644</v>
      </c>
      <c r="C170" s="11" t="s">
        <v>645</v>
      </c>
      <c r="D170" s="12"/>
      <c r="E170" s="12" t="s">
        <v>666</v>
      </c>
      <c r="F170" s="12" t="s">
        <v>93</v>
      </c>
      <c r="G170" s="13">
        <v>1</v>
      </c>
      <c r="H170" s="13"/>
      <c r="I170" s="13">
        <v>0</v>
      </c>
      <c r="J170" s="14">
        <f>IFERROR(ROUND(SUM(M171)/I170, 2),0)</f>
        <v>0</v>
      </c>
      <c r="K170" s="15">
        <v>2157</v>
      </c>
      <c r="L170" s="14">
        <f>J170+ROUND(K170, 2)</f>
        <v>2157</v>
      </c>
      <c r="M170" s="14">
        <f>ROUND(J170*I170, 2)</f>
        <v>0</v>
      </c>
      <c r="N170" s="14">
        <f>ROUND(I170*ROUND(K170, 2), 2)</f>
        <v>0</v>
      </c>
      <c r="O170" s="14">
        <f>M170+N170</f>
        <v>0</v>
      </c>
      <c r="P170" s="14">
        <f>IFERROR(ROUND(SUM(S171)/I170, 2),0)</f>
        <v>0</v>
      </c>
      <c r="Q170" s="16">
        <v>3235.5</v>
      </c>
      <c r="R170" s="14">
        <f>P170+ROUND(Q170, 2)</f>
        <v>3235.5</v>
      </c>
      <c r="S170" s="14">
        <f>ROUND(P170*I170, 2)</f>
        <v>0</v>
      </c>
      <c r="T170" s="14">
        <f>ROUND(I170*ROUND(Q170, 2), 2)</f>
        <v>0</v>
      </c>
      <c r="U170" s="14">
        <f>S170+T170</f>
        <v>0</v>
      </c>
      <c r="V170" s="9">
        <f>ROUND(P170 / 1.2, 2)</f>
        <v>0</v>
      </c>
      <c r="W170" s="9">
        <f>ROUND(Q170 / 1.2, 2)</f>
        <v>2696.25</v>
      </c>
      <c r="X170" s="9">
        <f>ROUND(R170 / 1.2, 2)</f>
        <v>2696.25</v>
      </c>
      <c r="Y170" s="9">
        <f t="shared" si="10"/>
        <v>0</v>
      </c>
      <c r="Z170" s="9">
        <f>ROUND(T170 / 1.2, 2)</f>
        <v>0</v>
      </c>
      <c r="AA170" s="9">
        <f>Y170+Z170</f>
        <v>0</v>
      </c>
      <c r="AD170" s="4">
        <v>305117031</v>
      </c>
      <c r="AE170" s="4">
        <v>22135715</v>
      </c>
      <c r="AG170" s="4" t="s">
        <v>646</v>
      </c>
      <c r="AH170" s="4" t="s">
        <v>647</v>
      </c>
      <c r="AI170" s="4" t="s">
        <v>467</v>
      </c>
    </row>
    <row r="171" spans="1:35" ht="18" x14ac:dyDescent="0.35">
      <c r="A171" s="10" t="s">
        <v>706</v>
      </c>
      <c r="B171" s="10"/>
      <c r="C171" s="28" t="s">
        <v>651</v>
      </c>
      <c r="D171" s="12"/>
      <c r="E171" s="12"/>
      <c r="F171" s="29" t="s">
        <v>93</v>
      </c>
      <c r="G171" s="30">
        <v>1.02</v>
      </c>
      <c r="H171" s="30"/>
      <c r="I171" s="30">
        <v>0</v>
      </c>
      <c r="J171" s="31">
        <v>2550</v>
      </c>
      <c r="M171" s="32">
        <f>ROUND(ROUND(J171, 2)*I171, 2)</f>
        <v>0</v>
      </c>
      <c r="P171" s="33">
        <v>2550</v>
      </c>
      <c r="S171" s="32">
        <f>ROUND(ROUND(P171, 2)*I171, 2)</f>
        <v>0</v>
      </c>
      <c r="V171" s="9">
        <f>ROUND(ROUND(P171, 2)/1.2, 2)</f>
        <v>2125</v>
      </c>
      <c r="Y171" s="9">
        <f t="shared" si="10"/>
        <v>0</v>
      </c>
      <c r="AD171" s="4" t="s">
        <v>707</v>
      </c>
      <c r="AE171" s="4" t="s">
        <v>708</v>
      </c>
      <c r="AF171" s="4" t="s">
        <v>654</v>
      </c>
    </row>
    <row r="172" spans="1:35" ht="36" x14ac:dyDescent="0.35">
      <c r="A172" s="10" t="s">
        <v>709</v>
      </c>
      <c r="B172" s="10" t="s">
        <v>644</v>
      </c>
      <c r="C172" s="11" t="s">
        <v>645</v>
      </c>
      <c r="D172" s="12"/>
      <c r="E172" s="12" t="s">
        <v>674</v>
      </c>
      <c r="F172" s="12" t="s">
        <v>93</v>
      </c>
      <c r="G172" s="13">
        <v>1</v>
      </c>
      <c r="H172" s="13"/>
      <c r="I172" s="13">
        <v>0</v>
      </c>
      <c r="J172" s="14">
        <f>IFERROR(ROUND(SUM(M173)/I172, 2),0)</f>
        <v>0</v>
      </c>
      <c r="K172" s="15">
        <v>2157</v>
      </c>
      <c r="L172" s="14">
        <f>J172+ROUND(K172, 2)</f>
        <v>2157</v>
      </c>
      <c r="M172" s="14">
        <f>ROUND(J172*I172, 2)</f>
        <v>0</v>
      </c>
      <c r="N172" s="14">
        <f>ROUND(I172*ROUND(K172, 2), 2)</f>
        <v>0</v>
      </c>
      <c r="O172" s="14">
        <f>M172+N172</f>
        <v>0</v>
      </c>
      <c r="P172" s="14">
        <f>IFERROR(ROUND(SUM(S173)/I172, 2),0)</f>
        <v>0</v>
      </c>
      <c r="Q172" s="16">
        <v>3235.5</v>
      </c>
      <c r="R172" s="14">
        <f>P172+ROUND(Q172, 2)</f>
        <v>3235.5</v>
      </c>
      <c r="S172" s="14">
        <f>ROUND(P172*I172, 2)</f>
        <v>0</v>
      </c>
      <c r="T172" s="14">
        <f>ROUND(I172*ROUND(Q172, 2), 2)</f>
        <v>0</v>
      </c>
      <c r="U172" s="14">
        <f>S172+T172</f>
        <v>0</v>
      </c>
      <c r="V172" s="9">
        <f>ROUND(P172 / 1.2, 2)</f>
        <v>0</v>
      </c>
      <c r="W172" s="9">
        <f>ROUND(Q172 / 1.2, 2)</f>
        <v>2696.25</v>
      </c>
      <c r="X172" s="9">
        <f>ROUND(R172 / 1.2, 2)</f>
        <v>2696.25</v>
      </c>
      <c r="Y172" s="9">
        <f t="shared" si="10"/>
        <v>0</v>
      </c>
      <c r="Z172" s="9">
        <f>ROUND(T172 / 1.2, 2)</f>
        <v>0</v>
      </c>
      <c r="AA172" s="9">
        <f>Y172+Z172</f>
        <v>0</v>
      </c>
      <c r="AD172" s="4">
        <v>305117032</v>
      </c>
      <c r="AE172" s="4">
        <v>22135708</v>
      </c>
      <c r="AG172" s="4" t="s">
        <v>646</v>
      </c>
      <c r="AH172" s="4" t="s">
        <v>647</v>
      </c>
      <c r="AI172" s="4" t="s">
        <v>467</v>
      </c>
    </row>
    <row r="173" spans="1:35" ht="18" x14ac:dyDescent="0.35">
      <c r="A173" s="10" t="s">
        <v>710</v>
      </c>
      <c r="B173" s="10"/>
      <c r="C173" s="28" t="s">
        <v>651</v>
      </c>
      <c r="D173" s="12"/>
      <c r="E173" s="12"/>
      <c r="F173" s="29" t="s">
        <v>93</v>
      </c>
      <c r="G173" s="30">
        <v>1.02</v>
      </c>
      <c r="H173" s="30"/>
      <c r="I173" s="30">
        <v>0</v>
      </c>
      <c r="J173" s="31">
        <v>2550</v>
      </c>
      <c r="M173" s="32">
        <f>ROUND(ROUND(J173, 2)*I173, 2)</f>
        <v>0</v>
      </c>
      <c r="P173" s="33">
        <v>2550</v>
      </c>
      <c r="S173" s="32">
        <f>ROUND(ROUND(P173, 2)*I173, 2)</f>
        <v>0</v>
      </c>
      <c r="V173" s="9">
        <f>ROUND(ROUND(P173, 2)/1.2, 2)</f>
        <v>2125</v>
      </c>
      <c r="Y173" s="9">
        <f t="shared" si="10"/>
        <v>0</v>
      </c>
      <c r="AD173" s="4" t="s">
        <v>711</v>
      </c>
      <c r="AE173" s="4" t="s">
        <v>712</v>
      </c>
      <c r="AF173" s="4" t="s">
        <v>654</v>
      </c>
    </row>
    <row r="174" spans="1:35" ht="54" x14ac:dyDescent="0.35">
      <c r="A174" s="10" t="s">
        <v>713</v>
      </c>
      <c r="B174" s="10" t="s">
        <v>644</v>
      </c>
      <c r="C174" s="11" t="s">
        <v>645</v>
      </c>
      <c r="D174" s="12"/>
      <c r="E174" s="12" t="s">
        <v>683</v>
      </c>
      <c r="F174" s="12" t="s">
        <v>93</v>
      </c>
      <c r="G174" s="13">
        <v>1</v>
      </c>
      <c r="H174" s="13"/>
      <c r="I174" s="13">
        <v>0</v>
      </c>
      <c r="J174" s="14">
        <f>IFERROR(ROUND(SUM(M175)/I174, 2),0)</f>
        <v>0</v>
      </c>
      <c r="K174" s="15">
        <v>2157</v>
      </c>
      <c r="L174" s="14">
        <f>J174+ROUND(K174, 2)</f>
        <v>2157</v>
      </c>
      <c r="M174" s="14">
        <f>ROUND(J174*I174, 2)</f>
        <v>0</v>
      </c>
      <c r="N174" s="14">
        <f>ROUND(I174*ROUND(K174, 2), 2)</f>
        <v>0</v>
      </c>
      <c r="O174" s="14">
        <f>M174+N174</f>
        <v>0</v>
      </c>
      <c r="P174" s="14">
        <f>IFERROR(ROUND(SUM(S175)/I174, 2),0)</f>
        <v>0</v>
      </c>
      <c r="Q174" s="16">
        <v>3235.5</v>
      </c>
      <c r="R174" s="14">
        <f>P174+ROUND(Q174, 2)</f>
        <v>3235.5</v>
      </c>
      <c r="S174" s="14">
        <f>ROUND(P174*I174, 2)</f>
        <v>0</v>
      </c>
      <c r="T174" s="14">
        <f>ROUND(I174*ROUND(Q174, 2), 2)</f>
        <v>0</v>
      </c>
      <c r="U174" s="14">
        <f>S174+T174</f>
        <v>0</v>
      </c>
      <c r="V174" s="9">
        <f>ROUND(P174 / 1.2, 2)</f>
        <v>0</v>
      </c>
      <c r="W174" s="9">
        <f>ROUND(Q174 / 1.2, 2)</f>
        <v>2696.25</v>
      </c>
      <c r="X174" s="9">
        <f>ROUND(R174 / 1.2, 2)</f>
        <v>2696.25</v>
      </c>
      <c r="Y174" s="9">
        <f t="shared" si="10"/>
        <v>0</v>
      </c>
      <c r="Z174" s="9">
        <f>ROUND(T174 / 1.2, 2)</f>
        <v>0</v>
      </c>
      <c r="AA174" s="9">
        <f>Y174+Z174</f>
        <v>0</v>
      </c>
      <c r="AD174" s="4">
        <v>305117033</v>
      </c>
      <c r="AE174" s="4">
        <v>22135724</v>
      </c>
      <c r="AG174" s="4" t="s">
        <v>646</v>
      </c>
      <c r="AH174" s="4" t="s">
        <v>647</v>
      </c>
      <c r="AI174" s="4" t="s">
        <v>467</v>
      </c>
    </row>
    <row r="175" spans="1:35" ht="18" x14ac:dyDescent="0.35">
      <c r="A175" s="10" t="s">
        <v>714</v>
      </c>
      <c r="B175" s="10"/>
      <c r="C175" s="28" t="s">
        <v>651</v>
      </c>
      <c r="D175" s="12"/>
      <c r="E175" s="12"/>
      <c r="F175" s="29" t="s">
        <v>93</v>
      </c>
      <c r="G175" s="30">
        <v>1.02</v>
      </c>
      <c r="H175" s="30"/>
      <c r="I175" s="30">
        <v>0</v>
      </c>
      <c r="J175" s="31">
        <v>2550</v>
      </c>
      <c r="M175" s="32">
        <f>ROUND(ROUND(J175, 2)*I175, 2)</f>
        <v>0</v>
      </c>
      <c r="P175" s="33">
        <v>2550</v>
      </c>
      <c r="S175" s="32">
        <f>ROUND(ROUND(P175, 2)*I175, 2)</f>
        <v>0</v>
      </c>
      <c r="V175" s="9">
        <f>ROUND(ROUND(P175, 2)/1.2, 2)</f>
        <v>2125</v>
      </c>
      <c r="Y175" s="9">
        <f t="shared" si="10"/>
        <v>0</v>
      </c>
      <c r="AD175" s="4" t="s">
        <v>715</v>
      </c>
      <c r="AE175" s="4" t="s">
        <v>716</v>
      </c>
      <c r="AF175" s="4" t="s">
        <v>654</v>
      </c>
    </row>
    <row r="176" spans="1:35" ht="36" x14ac:dyDescent="0.35">
      <c r="A176" s="10" t="s">
        <v>717</v>
      </c>
      <c r="B176" s="10" t="s">
        <v>644</v>
      </c>
      <c r="C176" s="11" t="s">
        <v>645</v>
      </c>
      <c r="D176" s="12"/>
      <c r="E176" s="12" t="s">
        <v>691</v>
      </c>
      <c r="F176" s="12" t="s">
        <v>93</v>
      </c>
      <c r="G176" s="13">
        <v>1</v>
      </c>
      <c r="H176" s="13"/>
      <c r="I176" s="13">
        <v>0</v>
      </c>
      <c r="J176" s="14">
        <f>IFERROR(ROUND(SUM(M177)/I176, 2),0)</f>
        <v>0</v>
      </c>
      <c r="K176" s="15">
        <v>2157</v>
      </c>
      <c r="L176" s="14">
        <f>J176+ROUND(K176, 2)</f>
        <v>2157</v>
      </c>
      <c r="M176" s="14">
        <f>ROUND(J176*I176, 2)</f>
        <v>0</v>
      </c>
      <c r="N176" s="14">
        <f>ROUND(I176*ROUND(K176, 2), 2)</f>
        <v>0</v>
      </c>
      <c r="O176" s="14">
        <f>M176+N176</f>
        <v>0</v>
      </c>
      <c r="P176" s="14">
        <f>IFERROR(ROUND(SUM(S177)/I176, 2),0)</f>
        <v>0</v>
      </c>
      <c r="Q176" s="16">
        <v>3235.5</v>
      </c>
      <c r="R176" s="14">
        <f>P176+ROUND(Q176, 2)</f>
        <v>3235.5</v>
      </c>
      <c r="S176" s="14">
        <f>ROUND(P176*I176, 2)</f>
        <v>0</v>
      </c>
      <c r="T176" s="14">
        <f>ROUND(I176*ROUND(Q176, 2), 2)</f>
        <v>0</v>
      </c>
      <c r="U176" s="14">
        <f>S176+T176</f>
        <v>0</v>
      </c>
      <c r="V176" s="9">
        <f>ROUND(P176 / 1.2, 2)</f>
        <v>0</v>
      </c>
      <c r="W176" s="9">
        <f>ROUND(Q176 / 1.2, 2)</f>
        <v>2696.25</v>
      </c>
      <c r="X176" s="9">
        <f>ROUND(R176 / 1.2, 2)</f>
        <v>2696.25</v>
      </c>
      <c r="Y176" s="9">
        <f t="shared" si="10"/>
        <v>0</v>
      </c>
      <c r="Z176" s="9">
        <f>ROUND(T176 / 1.2, 2)</f>
        <v>0</v>
      </c>
      <c r="AA176" s="9">
        <f>Y176+Z176</f>
        <v>0</v>
      </c>
      <c r="AD176" s="4">
        <v>305117034</v>
      </c>
      <c r="AE176" s="4">
        <v>22135709</v>
      </c>
      <c r="AG176" s="4" t="s">
        <v>646</v>
      </c>
      <c r="AH176" s="4" t="s">
        <v>647</v>
      </c>
      <c r="AI176" s="4" t="s">
        <v>467</v>
      </c>
    </row>
    <row r="177" spans="1:35" ht="18" x14ac:dyDescent="0.35">
      <c r="A177" s="10" t="s">
        <v>718</v>
      </c>
      <c r="B177" s="10"/>
      <c r="C177" s="28" t="s">
        <v>651</v>
      </c>
      <c r="D177" s="12"/>
      <c r="E177" s="12"/>
      <c r="F177" s="29" t="s">
        <v>93</v>
      </c>
      <c r="G177" s="30">
        <v>1.02</v>
      </c>
      <c r="H177" s="30"/>
      <c r="I177" s="30">
        <v>0</v>
      </c>
      <c r="J177" s="31">
        <v>2550</v>
      </c>
      <c r="M177" s="32">
        <f>ROUND(ROUND(J177, 2)*I177, 2)</f>
        <v>0</v>
      </c>
      <c r="P177" s="33">
        <v>2550</v>
      </c>
      <c r="S177" s="32">
        <f>ROUND(ROUND(P177, 2)*I177, 2)</f>
        <v>0</v>
      </c>
      <c r="V177" s="9">
        <f>ROUND(ROUND(P177, 2)/1.2, 2)</f>
        <v>2125</v>
      </c>
      <c r="Y177" s="9">
        <f t="shared" si="10"/>
        <v>0</v>
      </c>
      <c r="AD177" s="4" t="s">
        <v>719</v>
      </c>
      <c r="AE177" s="4" t="s">
        <v>720</v>
      </c>
      <c r="AF177" s="4" t="s">
        <v>654</v>
      </c>
    </row>
    <row r="178" spans="1:35" ht="18" x14ac:dyDescent="0.35">
      <c r="A178" s="10" t="s">
        <v>721</v>
      </c>
      <c r="B178" s="10" t="s">
        <v>722</v>
      </c>
      <c r="C178" s="11" t="s">
        <v>723</v>
      </c>
      <c r="D178" s="12"/>
      <c r="E178" s="12"/>
      <c r="F178" s="12" t="s">
        <v>93</v>
      </c>
      <c r="G178" s="13">
        <v>1</v>
      </c>
      <c r="H178" s="13"/>
      <c r="I178" s="13">
        <v>0</v>
      </c>
      <c r="J178" s="14">
        <v>1687.5</v>
      </c>
      <c r="K178" s="15">
        <v>915</v>
      </c>
      <c r="L178" s="14">
        <f>J178+ROUND(K178, 2)</f>
        <v>2602.5</v>
      </c>
      <c r="M178" s="14">
        <v>0</v>
      </c>
      <c r="N178" s="14">
        <v>0</v>
      </c>
      <c r="O178" s="14">
        <f>M178+N178</f>
        <v>0</v>
      </c>
      <c r="P178" s="14">
        <v>1687.5</v>
      </c>
      <c r="Q178" s="15">
        <v>915</v>
      </c>
      <c r="R178" s="14">
        <f>P178+ROUND(Q178, 2)</f>
        <v>2602.5</v>
      </c>
      <c r="S178" s="14">
        <v>0</v>
      </c>
      <c r="T178" s="14">
        <v>0</v>
      </c>
      <c r="U178" s="14">
        <f>S178+T178</f>
        <v>0</v>
      </c>
      <c r="V178" s="9">
        <f>ROUND(P178 / 1.2, 2)</f>
        <v>1406.25</v>
      </c>
      <c r="W178" s="9">
        <f>ROUND(Q178 / 1.2, 2)</f>
        <v>762.5</v>
      </c>
      <c r="X178" s="9">
        <f>ROUND(R178 / 1.2, 2)</f>
        <v>2168.75</v>
      </c>
      <c r="Y178" s="9">
        <f t="shared" si="10"/>
        <v>0</v>
      </c>
      <c r="Z178" s="9">
        <f>ROUND(T178 / 1.2, 2)</f>
        <v>0</v>
      </c>
      <c r="AA178" s="9">
        <f>Y178+Z178</f>
        <v>0</v>
      </c>
      <c r="AD178" s="4">
        <v>305116960</v>
      </c>
      <c r="AE178" s="4">
        <v>20926508</v>
      </c>
      <c r="AG178" s="4" t="s">
        <v>724</v>
      </c>
      <c r="AH178" s="4" t="s">
        <v>725</v>
      </c>
      <c r="AI178" s="4" t="s">
        <v>467</v>
      </c>
    </row>
    <row r="179" spans="1:35" ht="18" x14ac:dyDescent="0.35">
      <c r="A179" s="10" t="s">
        <v>727</v>
      </c>
      <c r="B179" s="10"/>
      <c r="C179" s="28" t="s">
        <v>728</v>
      </c>
      <c r="D179" s="12"/>
      <c r="E179" s="12"/>
      <c r="F179" s="29" t="s">
        <v>498</v>
      </c>
      <c r="G179" s="30">
        <v>225</v>
      </c>
      <c r="H179" s="30"/>
      <c r="I179" s="30">
        <v>0</v>
      </c>
      <c r="J179" s="31">
        <v>7.5</v>
      </c>
      <c r="M179" s="32">
        <f>ROUND(ROUND(J179, 2)*I179, 2)</f>
        <v>0</v>
      </c>
      <c r="P179" s="31">
        <v>7.5</v>
      </c>
      <c r="S179" s="32">
        <f>ROUND(ROUND(P179, 2)*I179, 2)</f>
        <v>0</v>
      </c>
      <c r="V179" s="9">
        <f>ROUND(ROUND(P179, 2)/1.2, 2)</f>
        <v>6.25</v>
      </c>
      <c r="Y179" s="9">
        <f t="shared" si="10"/>
        <v>0</v>
      </c>
      <c r="AD179" s="4" t="s">
        <v>729</v>
      </c>
      <c r="AE179" s="4" t="s">
        <v>730</v>
      </c>
      <c r="AF179" s="4" t="s">
        <v>731</v>
      </c>
    </row>
    <row r="180" spans="1:35" ht="18" x14ac:dyDescent="0.35">
      <c r="A180" s="10" t="s">
        <v>734</v>
      </c>
      <c r="B180" s="10" t="s">
        <v>722</v>
      </c>
      <c r="C180" s="11" t="s">
        <v>723</v>
      </c>
      <c r="D180" s="12"/>
      <c r="E180" s="12"/>
      <c r="F180" s="12" t="s">
        <v>93</v>
      </c>
      <c r="G180" s="13">
        <v>1</v>
      </c>
      <c r="H180" s="13"/>
      <c r="I180" s="13">
        <v>0</v>
      </c>
      <c r="J180" s="14">
        <f>IFERROR(ROUND(SUM(M181)/I180, 2),0)</f>
        <v>0</v>
      </c>
      <c r="K180" s="15">
        <v>915</v>
      </c>
      <c r="L180" s="14">
        <f>J180+ROUND(K180, 2)</f>
        <v>915</v>
      </c>
      <c r="M180" s="14">
        <f>ROUND(J180*I180, 2)</f>
        <v>0</v>
      </c>
      <c r="N180" s="14">
        <f>ROUND(I180*ROUND(K180, 2), 2)</f>
        <v>0</v>
      </c>
      <c r="O180" s="14">
        <f>M180+N180</f>
        <v>0</v>
      </c>
      <c r="P180" s="14">
        <f>IFERROR(ROUND(SUM(S181)/I180, 2),0)</f>
        <v>0</v>
      </c>
      <c r="Q180" s="16">
        <v>1372.5</v>
      </c>
      <c r="R180" s="14">
        <f>P180+ROUND(Q180, 2)</f>
        <v>1372.5</v>
      </c>
      <c r="S180" s="14">
        <f>ROUND(P180*I180, 2)</f>
        <v>0</v>
      </c>
      <c r="T180" s="14">
        <f>ROUND(I180*ROUND(Q180, 2), 2)</f>
        <v>0</v>
      </c>
      <c r="U180" s="14">
        <f>S180+T180</f>
        <v>0</v>
      </c>
      <c r="V180" s="9">
        <f>ROUND(P180 / 1.2, 2)</f>
        <v>0</v>
      </c>
      <c r="W180" s="9">
        <f>ROUND(Q180 / 1.2, 2)</f>
        <v>1143.75</v>
      </c>
      <c r="X180" s="9">
        <f>ROUND(R180 / 1.2, 2)</f>
        <v>1143.75</v>
      </c>
      <c r="Y180" s="9">
        <f t="shared" si="10"/>
        <v>0</v>
      </c>
      <c r="Z180" s="9">
        <f>ROUND(T180 / 1.2, 2)</f>
        <v>0</v>
      </c>
      <c r="AA180" s="9">
        <f>Y180+Z180</f>
        <v>0</v>
      </c>
      <c r="AD180" s="4">
        <v>305117035</v>
      </c>
      <c r="AE180" s="4">
        <v>22135659</v>
      </c>
      <c r="AG180" s="4" t="s">
        <v>724</v>
      </c>
      <c r="AH180" s="4" t="s">
        <v>725</v>
      </c>
      <c r="AI180" s="4" t="s">
        <v>467</v>
      </c>
    </row>
    <row r="181" spans="1:35" ht="18" x14ac:dyDescent="0.35">
      <c r="A181" s="10" t="s">
        <v>735</v>
      </c>
      <c r="B181" s="10"/>
      <c r="C181" s="28" t="s">
        <v>728</v>
      </c>
      <c r="D181" s="12"/>
      <c r="E181" s="12"/>
      <c r="F181" s="29" t="s">
        <v>498</v>
      </c>
      <c r="G181" s="30">
        <v>225</v>
      </c>
      <c r="H181" s="30"/>
      <c r="I181" s="30">
        <v>0</v>
      </c>
      <c r="J181" s="31">
        <v>7.5</v>
      </c>
      <c r="M181" s="32">
        <f>ROUND(ROUND(J181, 2)*I181, 2)</f>
        <v>0</v>
      </c>
      <c r="P181" s="33">
        <v>7.5</v>
      </c>
      <c r="S181" s="32">
        <f>ROUND(ROUND(P181, 2)*I181, 2)</f>
        <v>0</v>
      </c>
      <c r="V181" s="9">
        <f>ROUND(ROUND(P181, 2)/1.2, 2)</f>
        <v>6.25</v>
      </c>
      <c r="Y181" s="9">
        <f t="shared" si="10"/>
        <v>0</v>
      </c>
      <c r="AD181" s="4" t="s">
        <v>736</v>
      </c>
      <c r="AE181" s="4" t="s">
        <v>737</v>
      </c>
      <c r="AF181" s="4" t="s">
        <v>731</v>
      </c>
    </row>
    <row r="182" spans="1:35" ht="17" customHeight="1" x14ac:dyDescent="0.35">
      <c r="A182" s="10" t="s">
        <v>738</v>
      </c>
      <c r="B182" s="10" t="s">
        <v>739</v>
      </c>
      <c r="C182" s="174" t="s">
        <v>740</v>
      </c>
      <c r="D182" s="175"/>
      <c r="E182" s="175"/>
      <c r="F182" s="175"/>
      <c r="G182" s="175"/>
      <c r="H182" s="175"/>
      <c r="I182" s="176"/>
      <c r="M182" s="6">
        <f>SUM(M183,M188,M192,M197,M201,M204,M207,M212,M217,M222,M227,M232,M237,M242,M247,M252,M257,M262,M267,M272,M277,M282)</f>
        <v>0</v>
      </c>
      <c r="N182" s="6">
        <f>SUM(N183,N188,N192,N197,N201,N204,N207,N212,N217,N222,N227,N232,N237,N242,N247,N252,N257,N262,N267,N272,N277,N282)</f>
        <v>0</v>
      </c>
      <c r="O182" s="6">
        <f>SUM(O183,O188,O192,O197,O201,O204,O207,O212,O217,O222,O227,O232,O237,O242,O247,O252,O257,O262,O267,O272,O277,O282)</f>
        <v>0</v>
      </c>
      <c r="S182" s="6">
        <f>SUM(S183,S188,S192,S197,S201,S204,S207,S212,S217,S222,S227,S232,S237,S242,S247,S252,S257,S262,S267,S272,S277,S282)</f>
        <v>0</v>
      </c>
      <c r="T182" s="6">
        <f>SUM(T183,T188,T192,T197,T201,T204,T207,T212,T217,T222,T227,T232,T237,T242,T247,T252,T257,T262,T267,T272,T277,T282)</f>
        <v>0</v>
      </c>
      <c r="U182" s="6">
        <f>SUM(U183,U188,U192,U197,U201,U204,U207,U212,U217,U222,U227,U232,U237,U242,U247,U252,U257,U262,U267,U272,U277,U282)</f>
        <v>0</v>
      </c>
      <c r="Y182" s="9">
        <f>SUM(Y183,Y188,Y192,Y197,Y201,Y204,Y207,Y212,Y217,Y222,Y227,Y232,Y237,Y242,Y247,Y252,Y257,Y262,Y267,Y272,Y277,Y282)</f>
        <v>0</v>
      </c>
      <c r="Z182" s="9">
        <f>SUM(Z183,Z188,Z192,Z197,Z201,Z204,Z207,Z212,Z217,Z222,Z227,Z232,Z237,Z242,Z247,Z252,Z257,Z262,Z267,Z272,Z277,Z282)</f>
        <v>0</v>
      </c>
      <c r="AA182" s="9">
        <f>SUM(AA183,AA188,AA192,AA197,AA201,AA204,AA207,AA212,AA217,AA222,AA227,AA232,AA237,AA242,AA247,AA252,AA257,AA262,AA267,AA272,AA277,AA282)</f>
        <v>0</v>
      </c>
      <c r="AD182" s="4">
        <v>305116961</v>
      </c>
      <c r="AE182" s="4">
        <v>20926512</v>
      </c>
    </row>
    <row r="183" spans="1:35" ht="18" x14ac:dyDescent="0.35">
      <c r="A183" s="10" t="s">
        <v>741</v>
      </c>
      <c r="B183" s="10" t="s">
        <v>742</v>
      </c>
      <c r="C183" s="11" t="s">
        <v>743</v>
      </c>
      <c r="D183" s="12" t="s">
        <v>744</v>
      </c>
      <c r="E183" s="12"/>
      <c r="F183" s="12" t="s">
        <v>63</v>
      </c>
      <c r="G183" s="13">
        <v>1</v>
      </c>
      <c r="H183" s="13"/>
      <c r="I183" s="13">
        <v>0</v>
      </c>
      <c r="J183" s="14">
        <v>127.26</v>
      </c>
      <c r="K183" s="15">
        <v>556</v>
      </c>
      <c r="L183" s="14">
        <f>J183+ROUND(K183, 2)</f>
        <v>683.26</v>
      </c>
      <c r="M183" s="14">
        <v>0</v>
      </c>
      <c r="N183" s="14">
        <v>0</v>
      </c>
      <c r="O183" s="14">
        <f>M183+N183</f>
        <v>0</v>
      </c>
      <c r="P183" s="14">
        <v>5416.76</v>
      </c>
      <c r="Q183" s="15">
        <v>556</v>
      </c>
      <c r="R183" s="14">
        <f>P183+ROUND(Q183, 2)</f>
        <v>5972.76</v>
      </c>
      <c r="S183" s="14">
        <v>0</v>
      </c>
      <c r="T183" s="14">
        <v>0</v>
      </c>
      <c r="U183" s="14">
        <f>S183+T183</f>
        <v>0</v>
      </c>
      <c r="V183" s="9">
        <f>ROUND(P183 / 1.2, 2)</f>
        <v>4513.97</v>
      </c>
      <c r="W183" s="9">
        <f>ROUND(Q183 / 1.2, 2)</f>
        <v>463.33</v>
      </c>
      <c r="X183" s="9">
        <f>ROUND(R183 / 1.2, 2)</f>
        <v>4977.3</v>
      </c>
      <c r="Y183" s="9">
        <f>ROUND(S183 / 1.2, 2)</f>
        <v>0</v>
      </c>
      <c r="Z183" s="9">
        <f>ROUND(T183 / 1.2, 2)</f>
        <v>0</v>
      </c>
      <c r="AA183" s="9">
        <f>Y183+Z183</f>
        <v>0</v>
      </c>
      <c r="AD183" s="4">
        <v>305116963</v>
      </c>
      <c r="AE183" s="4">
        <v>20926764</v>
      </c>
      <c r="AG183" s="4" t="s">
        <v>745</v>
      </c>
      <c r="AH183" s="4" t="s">
        <v>746</v>
      </c>
      <c r="AI183" s="4" t="s">
        <v>467</v>
      </c>
    </row>
    <row r="184" spans="1:35" ht="18" x14ac:dyDescent="0.35">
      <c r="A184" s="10" t="s">
        <v>749</v>
      </c>
      <c r="B184" s="10"/>
      <c r="C184" s="28" t="s">
        <v>750</v>
      </c>
      <c r="D184" s="12"/>
      <c r="E184" s="12"/>
      <c r="F184" s="29" t="s">
        <v>498</v>
      </c>
      <c r="G184" s="30">
        <v>0.3</v>
      </c>
      <c r="H184" s="30"/>
      <c r="I184" s="30">
        <v>0</v>
      </c>
      <c r="J184" s="31">
        <v>220</v>
      </c>
      <c r="M184" s="32">
        <f>ROUND(ROUND(J184, 2)*I184, 2)</f>
        <v>0</v>
      </c>
      <c r="P184" s="31">
        <v>545</v>
      </c>
      <c r="S184" s="32">
        <f>ROUND(ROUND(P184, 2)*I184, 2)</f>
        <v>0</v>
      </c>
      <c r="V184" s="9">
        <f>ROUND(ROUND(P184, 2)/1.2, 2)</f>
        <v>454.17</v>
      </c>
      <c r="Y184" s="9">
        <f t="shared" ref="Y184:Y215" si="11">ROUND(S184 / 1.2, 2)</f>
        <v>0</v>
      </c>
      <c r="AD184" s="4" t="s">
        <v>751</v>
      </c>
      <c r="AE184" s="4" t="s">
        <v>752</v>
      </c>
      <c r="AF184" s="4" t="s">
        <v>753</v>
      </c>
    </row>
    <row r="185" spans="1:35" ht="36" x14ac:dyDescent="0.35">
      <c r="A185" s="10" t="s">
        <v>757</v>
      </c>
      <c r="B185" s="10"/>
      <c r="C185" s="28" t="s">
        <v>758</v>
      </c>
      <c r="D185" s="12"/>
      <c r="E185" s="12"/>
      <c r="F185" s="29" t="s">
        <v>498</v>
      </c>
      <c r="G185" s="30">
        <v>0.15</v>
      </c>
      <c r="H185" s="30"/>
      <c r="I185" s="30">
        <v>0</v>
      </c>
      <c r="J185" s="31">
        <v>68.400000000000006</v>
      </c>
      <c r="M185" s="32">
        <f>ROUND(ROUND(J185, 2)*I185, 2)</f>
        <v>0</v>
      </c>
      <c r="P185" s="31">
        <v>68.400000000000006</v>
      </c>
      <c r="S185" s="32">
        <f>ROUND(ROUND(P185, 2)*I185, 2)</f>
        <v>0</v>
      </c>
      <c r="V185" s="9">
        <f>ROUND(ROUND(P185, 2)/1.2, 2)</f>
        <v>57</v>
      </c>
      <c r="Y185" s="9">
        <f t="shared" si="11"/>
        <v>0</v>
      </c>
      <c r="AD185" s="4" t="s">
        <v>759</v>
      </c>
      <c r="AE185" s="4" t="s">
        <v>760</v>
      </c>
      <c r="AF185" s="4" t="s">
        <v>761</v>
      </c>
    </row>
    <row r="186" spans="1:35" ht="72" x14ac:dyDescent="0.35">
      <c r="A186" s="10" t="s">
        <v>764</v>
      </c>
      <c r="B186" s="10"/>
      <c r="C186" s="47" t="s">
        <v>765</v>
      </c>
      <c r="D186" s="12"/>
      <c r="E186" s="12"/>
      <c r="F186" s="29" t="s">
        <v>78</v>
      </c>
      <c r="G186" s="30">
        <v>1</v>
      </c>
      <c r="H186" s="49"/>
      <c r="I186" s="49">
        <v>0</v>
      </c>
      <c r="J186" s="31">
        <v>51</v>
      </c>
      <c r="M186" s="32">
        <f>ROUND(ROUND(J186, 2)*I186, 2)</f>
        <v>0</v>
      </c>
      <c r="P186" s="31">
        <v>51</v>
      </c>
      <c r="S186" s="32">
        <f>ROUND(ROUND(P186, 2)*I186, 2)</f>
        <v>0</v>
      </c>
      <c r="V186" s="9">
        <f>ROUND(ROUND(P186, 2)/1.2, 2)</f>
        <v>42.5</v>
      </c>
      <c r="Y186" s="9">
        <f t="shared" si="11"/>
        <v>0</v>
      </c>
      <c r="AD186" s="4" t="s">
        <v>766</v>
      </c>
      <c r="AE186" s="4" t="s">
        <v>767</v>
      </c>
      <c r="AF186" s="4" t="s">
        <v>768</v>
      </c>
    </row>
    <row r="187" spans="1:35" ht="36" x14ac:dyDescent="0.35">
      <c r="A187" s="10" t="s">
        <v>771</v>
      </c>
      <c r="B187" s="10"/>
      <c r="C187" s="28" t="s">
        <v>772</v>
      </c>
      <c r="D187" s="12"/>
      <c r="E187" s="12"/>
      <c r="F187" s="29" t="s">
        <v>63</v>
      </c>
      <c r="G187" s="30">
        <v>1.1000000000000001</v>
      </c>
      <c r="H187" s="49"/>
      <c r="I187" s="49">
        <v>0</v>
      </c>
      <c r="J187" s="31">
        <v>0</v>
      </c>
      <c r="M187" s="32">
        <f>ROUND(ROUND(J187, 2)*I187, 2)</f>
        <v>0</v>
      </c>
      <c r="P187" s="31">
        <v>4720</v>
      </c>
      <c r="S187" s="32">
        <f>ROUND(ROUND(P187, 2)*I187, 2)</f>
        <v>0</v>
      </c>
      <c r="V187" s="9">
        <f>ROUND(ROUND(P187, 2)/1.2, 2)</f>
        <v>3933.33</v>
      </c>
      <c r="Y187" s="9">
        <f t="shared" si="11"/>
        <v>0</v>
      </c>
      <c r="AD187" s="4" t="s">
        <v>773</v>
      </c>
      <c r="AE187" s="4" t="s">
        <v>774</v>
      </c>
      <c r="AF187" s="4" t="s">
        <v>775</v>
      </c>
    </row>
    <row r="188" spans="1:35" ht="18" x14ac:dyDescent="0.35">
      <c r="A188" s="10" t="s">
        <v>779</v>
      </c>
      <c r="B188" s="10" t="s">
        <v>742</v>
      </c>
      <c r="C188" s="11" t="s">
        <v>743</v>
      </c>
      <c r="D188" s="12" t="s">
        <v>744</v>
      </c>
      <c r="E188" s="12"/>
      <c r="F188" s="12" t="s">
        <v>63</v>
      </c>
      <c r="G188" s="13">
        <v>1</v>
      </c>
      <c r="H188" s="13"/>
      <c r="I188" s="13">
        <v>0</v>
      </c>
      <c r="J188" s="14">
        <v>117</v>
      </c>
      <c r="K188" s="15">
        <v>556</v>
      </c>
      <c r="L188" s="14">
        <f>J188+ROUND(K188, 2)</f>
        <v>673</v>
      </c>
      <c r="M188" s="14">
        <v>0</v>
      </c>
      <c r="N188" s="14">
        <v>0</v>
      </c>
      <c r="O188" s="14">
        <f>M188+N188</f>
        <v>0</v>
      </c>
      <c r="P188" s="14">
        <v>5406.5</v>
      </c>
      <c r="Q188" s="15">
        <v>556</v>
      </c>
      <c r="R188" s="14">
        <f>P188+ROUND(Q188, 2)</f>
        <v>5962.5</v>
      </c>
      <c r="S188" s="14">
        <v>0</v>
      </c>
      <c r="T188" s="14">
        <v>0</v>
      </c>
      <c r="U188" s="14">
        <f>S188+T188</f>
        <v>0</v>
      </c>
      <c r="V188" s="9">
        <f>ROUND(P188 / 1.2, 2)</f>
        <v>4505.42</v>
      </c>
      <c r="W188" s="9">
        <f>ROUND(Q188 / 1.2, 2)</f>
        <v>463.33</v>
      </c>
      <c r="X188" s="9">
        <f>ROUND(R188 / 1.2, 2)</f>
        <v>4968.75</v>
      </c>
      <c r="Y188" s="9">
        <f t="shared" si="11"/>
        <v>0</v>
      </c>
      <c r="Z188" s="9">
        <f>ROUND(T188 / 1.2, 2)</f>
        <v>0</v>
      </c>
      <c r="AA188" s="9">
        <f>Y188+Z188</f>
        <v>0</v>
      </c>
      <c r="AD188" s="4">
        <v>305117036</v>
      </c>
      <c r="AE188" s="4">
        <v>20926763</v>
      </c>
      <c r="AG188" s="4" t="s">
        <v>745</v>
      </c>
      <c r="AH188" s="4" t="s">
        <v>746</v>
      </c>
      <c r="AI188" s="4" t="s">
        <v>467</v>
      </c>
    </row>
    <row r="189" spans="1:35" ht="36" x14ac:dyDescent="0.35">
      <c r="A189" s="10" t="s">
        <v>782</v>
      </c>
      <c r="B189" s="10"/>
      <c r="C189" s="28" t="s">
        <v>772</v>
      </c>
      <c r="D189" s="12"/>
      <c r="E189" s="12"/>
      <c r="F189" s="29" t="s">
        <v>63</v>
      </c>
      <c r="G189" s="30">
        <v>1.1000000000000001</v>
      </c>
      <c r="H189" s="49"/>
      <c r="I189" s="49">
        <v>0</v>
      </c>
      <c r="J189" s="31">
        <v>0</v>
      </c>
      <c r="M189" s="32">
        <f>ROUND(ROUND(J189, 2)*I189, 2)</f>
        <v>0</v>
      </c>
      <c r="P189" s="31">
        <v>4720</v>
      </c>
      <c r="S189" s="32">
        <f>ROUND(ROUND(P189, 2)*I189, 2)</f>
        <v>0</v>
      </c>
      <c r="V189" s="9">
        <f>ROUND(ROUND(P189, 2)/1.2, 2)</f>
        <v>3933.33</v>
      </c>
      <c r="Y189" s="9">
        <f t="shared" si="11"/>
        <v>0</v>
      </c>
      <c r="AD189" s="4" t="s">
        <v>783</v>
      </c>
      <c r="AE189" s="4" t="s">
        <v>784</v>
      </c>
      <c r="AF189" s="4" t="s">
        <v>775</v>
      </c>
    </row>
    <row r="190" spans="1:35" ht="72" x14ac:dyDescent="0.35">
      <c r="A190" s="10" t="s">
        <v>788</v>
      </c>
      <c r="B190" s="10"/>
      <c r="C190" s="47" t="s">
        <v>765</v>
      </c>
      <c r="D190" s="12"/>
      <c r="E190" s="12"/>
      <c r="F190" s="29" t="s">
        <v>78</v>
      </c>
      <c r="G190" s="30">
        <v>1</v>
      </c>
      <c r="H190" s="49"/>
      <c r="I190" s="49">
        <v>0</v>
      </c>
      <c r="J190" s="31">
        <v>51</v>
      </c>
      <c r="M190" s="32">
        <f>ROUND(ROUND(J190, 2)*I190, 2)</f>
        <v>0</v>
      </c>
      <c r="P190" s="31">
        <v>51</v>
      </c>
      <c r="S190" s="32">
        <f>ROUND(ROUND(P190, 2)*I190, 2)</f>
        <v>0</v>
      </c>
      <c r="V190" s="9">
        <f>ROUND(ROUND(P190, 2)/1.2, 2)</f>
        <v>42.5</v>
      </c>
      <c r="Y190" s="9">
        <f t="shared" si="11"/>
        <v>0</v>
      </c>
      <c r="AD190" s="4" t="s">
        <v>789</v>
      </c>
      <c r="AE190" s="4" t="s">
        <v>790</v>
      </c>
      <c r="AF190" s="4" t="s">
        <v>768</v>
      </c>
    </row>
    <row r="191" spans="1:35" ht="18" x14ac:dyDescent="0.35">
      <c r="A191" s="10" t="s">
        <v>793</v>
      </c>
      <c r="B191" s="10"/>
      <c r="C191" s="28" t="s">
        <v>750</v>
      </c>
      <c r="D191" s="12"/>
      <c r="E191" s="12"/>
      <c r="F191" s="29" t="s">
        <v>498</v>
      </c>
      <c r="G191" s="30">
        <v>0.3</v>
      </c>
      <c r="H191" s="30"/>
      <c r="I191" s="30">
        <v>0</v>
      </c>
      <c r="J191" s="31">
        <v>220</v>
      </c>
      <c r="M191" s="32">
        <f>ROUND(ROUND(J191, 2)*I191, 2)</f>
        <v>0</v>
      </c>
      <c r="P191" s="31">
        <v>545</v>
      </c>
      <c r="S191" s="32">
        <f>ROUND(ROUND(P191, 2)*I191, 2)</f>
        <v>0</v>
      </c>
      <c r="V191" s="9">
        <f>ROUND(ROUND(P191, 2)/1.2, 2)</f>
        <v>454.17</v>
      </c>
      <c r="Y191" s="9">
        <f t="shared" si="11"/>
        <v>0</v>
      </c>
      <c r="AD191" s="4" t="s">
        <v>794</v>
      </c>
      <c r="AE191" s="4" t="s">
        <v>795</v>
      </c>
      <c r="AF191" s="4" t="s">
        <v>753</v>
      </c>
    </row>
    <row r="192" spans="1:35" ht="36" x14ac:dyDescent="0.35">
      <c r="A192" s="10" t="s">
        <v>798</v>
      </c>
      <c r="B192" s="10" t="s">
        <v>742</v>
      </c>
      <c r="C192" s="11" t="s">
        <v>743</v>
      </c>
      <c r="D192" s="12" t="s">
        <v>744</v>
      </c>
      <c r="E192" s="12" t="s">
        <v>748</v>
      </c>
      <c r="F192" s="12" t="s">
        <v>63</v>
      </c>
      <c r="G192" s="13">
        <v>1</v>
      </c>
      <c r="H192" s="13"/>
      <c r="I192" s="13">
        <v>0</v>
      </c>
      <c r="J192" s="14">
        <f>IFERROR(ROUND(SUM(M193,M194,M195,M196)/I192, 2),0)</f>
        <v>0</v>
      </c>
      <c r="K192" s="15">
        <v>556</v>
      </c>
      <c r="L192" s="14">
        <f>J192+ROUND(K192, 2)</f>
        <v>556</v>
      </c>
      <c r="M192" s="14">
        <f>ROUND(J192*I192, 2)</f>
        <v>0</v>
      </c>
      <c r="N192" s="14">
        <f>ROUND(I192*ROUND(K192, 2), 2)</f>
        <v>0</v>
      </c>
      <c r="O192" s="14">
        <f>M192+N192</f>
        <v>0</v>
      </c>
      <c r="P192" s="14">
        <f>IFERROR(ROUND(SUM(S193,S194,S195,S196)/I192, 2),0)</f>
        <v>0</v>
      </c>
      <c r="Q192" s="16">
        <v>834</v>
      </c>
      <c r="R192" s="14">
        <f>P192+ROUND(Q192, 2)</f>
        <v>834</v>
      </c>
      <c r="S192" s="14">
        <f>ROUND(P192*I192, 2)</f>
        <v>0</v>
      </c>
      <c r="T192" s="14">
        <f>ROUND(I192*ROUND(Q192, 2), 2)</f>
        <v>0</v>
      </c>
      <c r="U192" s="14">
        <f>S192+T192</f>
        <v>0</v>
      </c>
      <c r="V192" s="9">
        <f>ROUND(P192 / 1.2, 2)</f>
        <v>0</v>
      </c>
      <c r="W192" s="9">
        <f>ROUND(Q192 / 1.2, 2)</f>
        <v>695</v>
      </c>
      <c r="X192" s="9">
        <f>ROUND(R192 / 1.2, 2)</f>
        <v>695</v>
      </c>
      <c r="Y192" s="9">
        <f t="shared" si="11"/>
        <v>0</v>
      </c>
      <c r="Z192" s="9">
        <f>ROUND(T192 / 1.2, 2)</f>
        <v>0</v>
      </c>
      <c r="AA192" s="9">
        <f>Y192+Z192</f>
        <v>0</v>
      </c>
      <c r="AD192" s="4">
        <v>305117037</v>
      </c>
      <c r="AE192" s="4">
        <v>22135719</v>
      </c>
      <c r="AG192" s="4" t="s">
        <v>745</v>
      </c>
      <c r="AH192" s="4" t="s">
        <v>746</v>
      </c>
      <c r="AI192" s="4" t="s">
        <v>467</v>
      </c>
    </row>
    <row r="193" spans="1:35" ht="18" x14ac:dyDescent="0.35">
      <c r="A193" s="10" t="s">
        <v>799</v>
      </c>
      <c r="B193" s="10"/>
      <c r="C193" s="28" t="s">
        <v>750</v>
      </c>
      <c r="D193" s="12"/>
      <c r="E193" s="12" t="s">
        <v>755</v>
      </c>
      <c r="F193" s="29" t="s">
        <v>498</v>
      </c>
      <c r="G193" s="30">
        <v>0.3</v>
      </c>
      <c r="H193" s="30"/>
      <c r="I193" s="30">
        <v>0</v>
      </c>
      <c r="J193" s="31">
        <v>220</v>
      </c>
      <c r="M193" s="32">
        <f>ROUND(ROUND(J193, 2)*I193, 2)</f>
        <v>0</v>
      </c>
      <c r="P193" s="33">
        <v>220</v>
      </c>
      <c r="S193" s="32">
        <f>ROUND(ROUND(P193, 2)*I193, 2)</f>
        <v>0</v>
      </c>
      <c r="V193" s="9">
        <f>ROUND(ROUND(P193, 2)/1.2, 2)</f>
        <v>183.33</v>
      </c>
      <c r="Y193" s="9">
        <f t="shared" si="11"/>
        <v>0</v>
      </c>
      <c r="AD193" s="4" t="s">
        <v>800</v>
      </c>
      <c r="AE193" s="4" t="s">
        <v>801</v>
      </c>
      <c r="AF193" s="4" t="s">
        <v>753</v>
      </c>
    </row>
    <row r="194" spans="1:35" ht="36" x14ac:dyDescent="0.35">
      <c r="A194" s="10" t="s">
        <v>802</v>
      </c>
      <c r="B194" s="10"/>
      <c r="C194" s="28" t="s">
        <v>758</v>
      </c>
      <c r="D194" s="12"/>
      <c r="E194" s="12"/>
      <c r="F194" s="29" t="s">
        <v>498</v>
      </c>
      <c r="G194" s="30">
        <v>0.15</v>
      </c>
      <c r="H194" s="30"/>
      <c r="I194" s="30">
        <v>0</v>
      </c>
      <c r="J194" s="31">
        <v>68.400000000000006</v>
      </c>
      <c r="M194" s="32">
        <f>ROUND(ROUND(J194, 2)*I194, 2)</f>
        <v>0</v>
      </c>
      <c r="P194" s="33">
        <v>68.400000000000006</v>
      </c>
      <c r="S194" s="32">
        <f>ROUND(ROUND(P194, 2)*I194, 2)</f>
        <v>0</v>
      </c>
      <c r="V194" s="9">
        <f>ROUND(ROUND(P194, 2)/1.2, 2)</f>
        <v>57</v>
      </c>
      <c r="Y194" s="9">
        <f t="shared" si="11"/>
        <v>0</v>
      </c>
      <c r="AD194" s="4" t="s">
        <v>803</v>
      </c>
      <c r="AE194" s="4" t="s">
        <v>804</v>
      </c>
      <c r="AF194" s="4" t="s">
        <v>761</v>
      </c>
    </row>
    <row r="195" spans="1:35" ht="72" x14ac:dyDescent="0.35">
      <c r="A195" s="10" t="s">
        <v>805</v>
      </c>
      <c r="B195" s="10"/>
      <c r="C195" s="47" t="s">
        <v>765</v>
      </c>
      <c r="D195" s="12"/>
      <c r="E195" s="12"/>
      <c r="F195" s="29" t="s">
        <v>78</v>
      </c>
      <c r="G195" s="30">
        <v>1</v>
      </c>
      <c r="H195" s="49"/>
      <c r="I195" s="49">
        <v>427.37</v>
      </c>
      <c r="J195" s="31">
        <v>51</v>
      </c>
      <c r="M195" s="32">
        <f>ROUND(ROUND(J195, 2)*I195, 2)</f>
        <v>21795.87</v>
      </c>
      <c r="P195" s="33">
        <v>51</v>
      </c>
      <c r="S195" s="32">
        <f>ROUND(ROUND(P195, 2)*I195, 2)</f>
        <v>21795.87</v>
      </c>
      <c r="V195" s="9">
        <f>ROUND(ROUND(P195, 2)/1.2, 2)</f>
        <v>42.5</v>
      </c>
      <c r="Y195" s="9">
        <f t="shared" si="11"/>
        <v>18163.23</v>
      </c>
      <c r="AD195" s="4" t="s">
        <v>806</v>
      </c>
      <c r="AE195" s="4" t="s">
        <v>807</v>
      </c>
      <c r="AF195" s="4" t="s">
        <v>768</v>
      </c>
    </row>
    <row r="196" spans="1:35" ht="54" x14ac:dyDescent="0.35">
      <c r="A196" s="10" t="s">
        <v>808</v>
      </c>
      <c r="B196" s="10"/>
      <c r="C196" s="28" t="s">
        <v>772</v>
      </c>
      <c r="D196" s="12"/>
      <c r="E196" s="12" t="s">
        <v>777</v>
      </c>
      <c r="F196" s="29" t="s">
        <v>63</v>
      </c>
      <c r="G196" s="30">
        <v>1.1000000000000001</v>
      </c>
      <c r="H196" s="49"/>
      <c r="I196" s="49">
        <v>470.10700000000003</v>
      </c>
      <c r="J196" s="31">
        <v>0</v>
      </c>
      <c r="M196" s="32">
        <f>ROUND(ROUND(J196, 2)*I196, 2)</f>
        <v>0</v>
      </c>
      <c r="P196" s="33">
        <v>0</v>
      </c>
      <c r="S196" s="32">
        <f>ROUND(ROUND(P196, 2)*I196, 2)</f>
        <v>0</v>
      </c>
      <c r="V196" s="9">
        <f>ROUND(ROUND(P196, 2)/1.2, 2)</f>
        <v>0</v>
      </c>
      <c r="Y196" s="9">
        <f t="shared" si="11"/>
        <v>0</v>
      </c>
      <c r="AD196" s="4" t="s">
        <v>809</v>
      </c>
      <c r="AE196" s="4" t="s">
        <v>810</v>
      </c>
      <c r="AF196" s="4" t="s">
        <v>775</v>
      </c>
    </row>
    <row r="197" spans="1:35" ht="18" x14ac:dyDescent="0.35">
      <c r="A197" s="10" t="s">
        <v>811</v>
      </c>
      <c r="B197" s="10" t="s">
        <v>742</v>
      </c>
      <c r="C197" s="11" t="s">
        <v>743</v>
      </c>
      <c r="D197" s="12" t="s">
        <v>744</v>
      </c>
      <c r="E197" s="12" t="s">
        <v>781</v>
      </c>
      <c r="F197" s="12" t="s">
        <v>63</v>
      </c>
      <c r="G197" s="13">
        <v>1</v>
      </c>
      <c r="H197" s="13"/>
      <c r="I197" s="13">
        <v>0</v>
      </c>
      <c r="J197" s="14">
        <f>IFERROR(ROUND(SUM(M198,M199,M200)/I197, 2),0)</f>
        <v>0</v>
      </c>
      <c r="K197" s="15">
        <v>556</v>
      </c>
      <c r="L197" s="14">
        <f>J197+ROUND(K197, 2)</f>
        <v>556</v>
      </c>
      <c r="M197" s="14">
        <f>ROUND(J197*I197, 2)</f>
        <v>0</v>
      </c>
      <c r="N197" s="14">
        <f>ROUND(I197*ROUND(K197, 2), 2)</f>
        <v>0</v>
      </c>
      <c r="O197" s="14">
        <f>M197+N197</f>
        <v>0</v>
      </c>
      <c r="P197" s="14">
        <f>IFERROR(ROUND(SUM(S198,S199,S200)/I197, 2),0)</f>
        <v>0</v>
      </c>
      <c r="Q197" s="16">
        <v>834</v>
      </c>
      <c r="R197" s="14">
        <f>P197+ROUND(Q197, 2)</f>
        <v>834</v>
      </c>
      <c r="S197" s="14">
        <f>ROUND(P197*I197, 2)</f>
        <v>0</v>
      </c>
      <c r="T197" s="14">
        <f>ROUND(I197*ROUND(Q197, 2), 2)</f>
        <v>0</v>
      </c>
      <c r="U197" s="14">
        <f>S197+T197</f>
        <v>0</v>
      </c>
      <c r="V197" s="9">
        <f>ROUND(P197 / 1.2, 2)</f>
        <v>0</v>
      </c>
      <c r="W197" s="9">
        <f>ROUND(Q197 / 1.2, 2)</f>
        <v>695</v>
      </c>
      <c r="X197" s="9">
        <f>ROUND(R197 / 1.2, 2)</f>
        <v>695</v>
      </c>
      <c r="Y197" s="9">
        <f t="shared" si="11"/>
        <v>0</v>
      </c>
      <c r="Z197" s="9">
        <f>ROUND(T197 / 1.2, 2)</f>
        <v>0</v>
      </c>
      <c r="AA197" s="9">
        <f>Y197+Z197</f>
        <v>0</v>
      </c>
      <c r="AD197" s="4">
        <v>305117038</v>
      </c>
      <c r="AE197" s="4">
        <v>22135686</v>
      </c>
      <c r="AG197" s="4" t="s">
        <v>745</v>
      </c>
      <c r="AH197" s="4" t="s">
        <v>746</v>
      </c>
      <c r="AI197" s="4" t="s">
        <v>467</v>
      </c>
    </row>
    <row r="198" spans="1:35" ht="54" x14ac:dyDescent="0.35">
      <c r="A198" s="10" t="s">
        <v>812</v>
      </c>
      <c r="B198" s="10"/>
      <c r="C198" s="28" t="s">
        <v>772</v>
      </c>
      <c r="D198" s="12"/>
      <c r="E198" s="12" t="s">
        <v>786</v>
      </c>
      <c r="F198" s="29" t="s">
        <v>63</v>
      </c>
      <c r="G198" s="30">
        <v>1.1000000000000001</v>
      </c>
      <c r="H198" s="49"/>
      <c r="I198" s="49">
        <v>171.941</v>
      </c>
      <c r="J198" s="31">
        <v>0</v>
      </c>
      <c r="M198" s="32">
        <f>ROUND(ROUND(J198, 2)*I198, 2)</f>
        <v>0</v>
      </c>
      <c r="P198" s="33">
        <v>0</v>
      </c>
      <c r="S198" s="32">
        <f>ROUND(ROUND(P198, 2)*I198, 2)</f>
        <v>0</v>
      </c>
      <c r="V198" s="9">
        <f>ROUND(ROUND(P198, 2)/1.2, 2)</f>
        <v>0</v>
      </c>
      <c r="Y198" s="9">
        <f t="shared" si="11"/>
        <v>0</v>
      </c>
      <c r="AD198" s="4" t="s">
        <v>813</v>
      </c>
      <c r="AE198" s="4" t="s">
        <v>814</v>
      </c>
      <c r="AF198" s="4" t="s">
        <v>775</v>
      </c>
    </row>
    <row r="199" spans="1:35" ht="72" x14ac:dyDescent="0.35">
      <c r="A199" s="10" t="s">
        <v>815</v>
      </c>
      <c r="B199" s="10"/>
      <c r="C199" s="47" t="s">
        <v>765</v>
      </c>
      <c r="D199" s="12"/>
      <c r="E199" s="12"/>
      <c r="F199" s="29" t="s">
        <v>78</v>
      </c>
      <c r="G199" s="30">
        <v>1</v>
      </c>
      <c r="H199" s="49"/>
      <c r="I199" s="49">
        <v>156.31</v>
      </c>
      <c r="J199" s="31">
        <v>51</v>
      </c>
      <c r="M199" s="32">
        <f>ROUND(ROUND(J199, 2)*I199, 2)</f>
        <v>7971.81</v>
      </c>
      <c r="P199" s="33">
        <v>51</v>
      </c>
      <c r="S199" s="32">
        <f>ROUND(ROUND(P199, 2)*I199, 2)</f>
        <v>7971.81</v>
      </c>
      <c r="V199" s="9">
        <f>ROUND(ROUND(P199, 2)/1.2, 2)</f>
        <v>42.5</v>
      </c>
      <c r="Y199" s="9">
        <f t="shared" si="11"/>
        <v>6643.18</v>
      </c>
      <c r="AD199" s="4" t="s">
        <v>816</v>
      </c>
      <c r="AE199" s="4" t="s">
        <v>817</v>
      </c>
      <c r="AF199" s="4" t="s">
        <v>768</v>
      </c>
    </row>
    <row r="200" spans="1:35" ht="18" x14ac:dyDescent="0.35">
      <c r="A200" s="10" t="s">
        <v>818</v>
      </c>
      <c r="B200" s="10"/>
      <c r="C200" s="28" t="s">
        <v>750</v>
      </c>
      <c r="D200" s="12"/>
      <c r="E200" s="12" t="s">
        <v>755</v>
      </c>
      <c r="F200" s="29" t="s">
        <v>498</v>
      </c>
      <c r="G200" s="30">
        <v>0.3</v>
      </c>
      <c r="H200" s="30"/>
      <c r="I200" s="30">
        <v>0</v>
      </c>
      <c r="J200" s="31">
        <v>220</v>
      </c>
      <c r="M200" s="32">
        <f>ROUND(ROUND(J200, 2)*I200, 2)</f>
        <v>0</v>
      </c>
      <c r="P200" s="33">
        <v>220</v>
      </c>
      <c r="S200" s="32">
        <f>ROUND(ROUND(P200, 2)*I200, 2)</f>
        <v>0</v>
      </c>
      <c r="V200" s="9">
        <f>ROUND(ROUND(P200, 2)/1.2, 2)</f>
        <v>183.33</v>
      </c>
      <c r="Y200" s="9">
        <f t="shared" si="11"/>
        <v>0</v>
      </c>
      <c r="AD200" s="4" t="s">
        <v>819</v>
      </c>
      <c r="AE200" s="4" t="s">
        <v>820</v>
      </c>
      <c r="AF200" s="4" t="s">
        <v>753</v>
      </c>
    </row>
    <row r="201" spans="1:35" ht="36" x14ac:dyDescent="0.35">
      <c r="A201" s="10" t="s">
        <v>821</v>
      </c>
      <c r="B201" s="10" t="s">
        <v>822</v>
      </c>
      <c r="C201" s="11" t="s">
        <v>823</v>
      </c>
      <c r="D201" s="12"/>
      <c r="E201" s="12"/>
      <c r="F201" s="12" t="s">
        <v>78</v>
      </c>
      <c r="G201" s="13">
        <v>1</v>
      </c>
      <c r="H201" s="13"/>
      <c r="I201" s="13">
        <v>0</v>
      </c>
      <c r="J201" s="14">
        <v>0</v>
      </c>
      <c r="K201" s="15">
        <v>201</v>
      </c>
      <c r="L201" s="14">
        <f>J201+ROUND(K201, 2)</f>
        <v>201</v>
      </c>
      <c r="M201" s="14">
        <v>0</v>
      </c>
      <c r="N201" s="14">
        <v>0</v>
      </c>
      <c r="O201" s="14">
        <f>M201+N201</f>
        <v>0</v>
      </c>
      <c r="P201" s="14">
        <v>471.05</v>
      </c>
      <c r="Q201" s="15">
        <v>201</v>
      </c>
      <c r="R201" s="14">
        <f>P201+ROUND(Q201, 2)</f>
        <v>672.05</v>
      </c>
      <c r="S201" s="14">
        <v>0</v>
      </c>
      <c r="T201" s="14">
        <v>0</v>
      </c>
      <c r="U201" s="14">
        <f>S201+T201</f>
        <v>0</v>
      </c>
      <c r="V201" s="9">
        <f>ROUND(P201 / 1.2, 2)</f>
        <v>392.54</v>
      </c>
      <c r="W201" s="9">
        <f>ROUND(Q201 / 1.2, 2)</f>
        <v>167.5</v>
      </c>
      <c r="X201" s="9">
        <f>ROUND(R201 / 1.2, 2)</f>
        <v>560.04</v>
      </c>
      <c r="Y201" s="9">
        <f t="shared" si="11"/>
        <v>0</v>
      </c>
      <c r="Z201" s="9">
        <f>ROUND(T201 / 1.2, 2)</f>
        <v>0</v>
      </c>
      <c r="AA201" s="9">
        <f>Y201+Z201</f>
        <v>0</v>
      </c>
      <c r="AD201" s="4">
        <v>305116965</v>
      </c>
      <c r="AE201" s="4">
        <v>20926736</v>
      </c>
      <c r="AG201" s="4" t="s">
        <v>824</v>
      </c>
      <c r="AH201" s="4" t="s">
        <v>825</v>
      </c>
      <c r="AI201" s="4" t="s">
        <v>467</v>
      </c>
    </row>
    <row r="202" spans="1:35" ht="36" x14ac:dyDescent="0.35">
      <c r="A202" s="10" t="s">
        <v>828</v>
      </c>
      <c r="B202" s="10"/>
      <c r="C202" s="28" t="s">
        <v>829</v>
      </c>
      <c r="D202" s="12"/>
      <c r="E202" s="12"/>
      <c r="F202" s="29" t="s">
        <v>78</v>
      </c>
      <c r="G202" s="30">
        <v>1.1000000000000001</v>
      </c>
      <c r="H202" s="30"/>
      <c r="I202" s="30">
        <v>0</v>
      </c>
      <c r="J202" s="31">
        <v>0</v>
      </c>
      <c r="M202" s="32">
        <f>ROUND(ROUND(J202, 2)*I202, 2)</f>
        <v>0</v>
      </c>
      <c r="P202" s="31">
        <v>378.5</v>
      </c>
      <c r="S202" s="32">
        <f>ROUND(ROUND(P202, 2)*I202, 2)</f>
        <v>0</v>
      </c>
      <c r="V202" s="9">
        <f>ROUND(ROUND(P202, 2)/1.2, 2)</f>
        <v>315.42</v>
      </c>
      <c r="Y202" s="9">
        <f t="shared" si="11"/>
        <v>0</v>
      </c>
      <c r="AD202" s="4" t="s">
        <v>830</v>
      </c>
      <c r="AE202" s="4" t="s">
        <v>831</v>
      </c>
      <c r="AF202" s="4" t="s">
        <v>832</v>
      </c>
    </row>
    <row r="203" spans="1:35" ht="36" x14ac:dyDescent="0.35">
      <c r="A203" s="10" t="s">
        <v>835</v>
      </c>
      <c r="B203" s="10"/>
      <c r="C203" s="28" t="s">
        <v>836</v>
      </c>
      <c r="D203" s="12"/>
      <c r="E203" s="12"/>
      <c r="F203" s="29" t="s">
        <v>490</v>
      </c>
      <c r="G203" s="30">
        <v>1</v>
      </c>
      <c r="H203" s="49"/>
      <c r="I203" s="49">
        <v>0</v>
      </c>
      <c r="J203" s="31">
        <v>0</v>
      </c>
      <c r="M203" s="32">
        <f>ROUND(ROUND(J203, 2)*I203, 2)</f>
        <v>0</v>
      </c>
      <c r="P203" s="31">
        <v>54.7</v>
      </c>
      <c r="S203" s="32">
        <f>ROUND(ROUND(P203, 2)*I203, 2)</f>
        <v>0</v>
      </c>
      <c r="V203" s="9">
        <f>ROUND(ROUND(P203, 2)/1.2, 2)</f>
        <v>45.58</v>
      </c>
      <c r="Y203" s="9">
        <f t="shared" si="11"/>
        <v>0</v>
      </c>
      <c r="AD203" s="4" t="s">
        <v>837</v>
      </c>
      <c r="AE203" s="4" t="s">
        <v>838</v>
      </c>
      <c r="AF203" s="4" t="s">
        <v>839</v>
      </c>
    </row>
    <row r="204" spans="1:35" ht="72" x14ac:dyDescent="0.35">
      <c r="A204" s="10" t="s">
        <v>842</v>
      </c>
      <c r="B204" s="10" t="s">
        <v>822</v>
      </c>
      <c r="C204" s="11" t="s">
        <v>823</v>
      </c>
      <c r="D204" s="12"/>
      <c r="E204" s="12" t="s">
        <v>843</v>
      </c>
      <c r="F204" s="12" t="s">
        <v>78</v>
      </c>
      <c r="G204" s="13">
        <v>1</v>
      </c>
      <c r="H204" s="13"/>
      <c r="I204" s="13">
        <v>0</v>
      </c>
      <c r="J204" s="14">
        <f>IFERROR(ROUND(SUM(M205,M206)/I204, 2),0)</f>
        <v>0</v>
      </c>
      <c r="K204" s="15">
        <v>201</v>
      </c>
      <c r="L204" s="14">
        <f>J204+ROUND(K204, 2)</f>
        <v>201</v>
      </c>
      <c r="M204" s="14">
        <f>ROUND(J204*I204, 2)</f>
        <v>0</v>
      </c>
      <c r="N204" s="14">
        <f>ROUND(I204*ROUND(K204, 2), 2)</f>
        <v>0</v>
      </c>
      <c r="O204" s="14">
        <f>M204+N204</f>
        <v>0</v>
      </c>
      <c r="P204" s="14">
        <f>IFERROR(ROUND(SUM(S205,S206)/I204, 2),0)</f>
        <v>0</v>
      </c>
      <c r="Q204" s="16">
        <v>301.5</v>
      </c>
      <c r="R204" s="14">
        <f>P204+ROUND(Q204, 2)</f>
        <v>301.5</v>
      </c>
      <c r="S204" s="14">
        <f>ROUND(P204*I204, 2)</f>
        <v>0</v>
      </c>
      <c r="T204" s="14">
        <f>ROUND(I204*ROUND(Q204, 2), 2)</f>
        <v>0</v>
      </c>
      <c r="U204" s="14">
        <f>S204+T204</f>
        <v>0</v>
      </c>
      <c r="V204" s="9">
        <f>ROUND(P204 / 1.2, 2)</f>
        <v>0</v>
      </c>
      <c r="W204" s="9">
        <f>ROUND(Q204 / 1.2, 2)</f>
        <v>251.25</v>
      </c>
      <c r="X204" s="9">
        <f>ROUND(R204 / 1.2, 2)</f>
        <v>251.25</v>
      </c>
      <c r="Y204" s="9">
        <f t="shared" si="11"/>
        <v>0</v>
      </c>
      <c r="Z204" s="9">
        <f>ROUND(T204 / 1.2, 2)</f>
        <v>0</v>
      </c>
      <c r="AA204" s="9">
        <f>Y204+Z204</f>
        <v>0</v>
      </c>
      <c r="AD204" s="4">
        <v>305117039</v>
      </c>
      <c r="AE204" s="4">
        <v>22135717</v>
      </c>
      <c r="AG204" s="4" t="s">
        <v>824</v>
      </c>
      <c r="AH204" s="4" t="s">
        <v>825</v>
      </c>
      <c r="AI204" s="4" t="s">
        <v>467</v>
      </c>
    </row>
    <row r="205" spans="1:35" ht="36" x14ac:dyDescent="0.35">
      <c r="A205" s="10" t="s">
        <v>844</v>
      </c>
      <c r="B205" s="10"/>
      <c r="C205" s="28" t="s">
        <v>836</v>
      </c>
      <c r="D205" s="12"/>
      <c r="E205" s="12"/>
      <c r="F205" s="29" t="s">
        <v>490</v>
      </c>
      <c r="G205" s="30">
        <v>1</v>
      </c>
      <c r="H205" s="49"/>
      <c r="I205" s="49">
        <v>544.5</v>
      </c>
      <c r="J205" s="31">
        <v>0</v>
      </c>
      <c r="M205" s="32">
        <f>ROUND(ROUND(J205, 2)*I205, 2)</f>
        <v>0</v>
      </c>
      <c r="P205" s="33">
        <v>0</v>
      </c>
      <c r="S205" s="32">
        <f>ROUND(ROUND(P205, 2)*I205, 2)</f>
        <v>0</v>
      </c>
      <c r="V205" s="9">
        <f>ROUND(ROUND(P205, 2)/1.2, 2)</f>
        <v>0</v>
      </c>
      <c r="Y205" s="9">
        <f t="shared" si="11"/>
        <v>0</v>
      </c>
      <c r="AD205" s="4" t="s">
        <v>845</v>
      </c>
      <c r="AE205" s="4" t="s">
        <v>846</v>
      </c>
      <c r="AF205" s="4" t="s">
        <v>839</v>
      </c>
    </row>
    <row r="206" spans="1:35" ht="36" x14ac:dyDescent="0.35">
      <c r="A206" s="10" t="s">
        <v>847</v>
      </c>
      <c r="B206" s="10"/>
      <c r="C206" s="28" t="s">
        <v>829</v>
      </c>
      <c r="D206" s="12"/>
      <c r="E206" s="12"/>
      <c r="F206" s="29" t="s">
        <v>78</v>
      </c>
      <c r="G206" s="30">
        <v>1.1000000000000001</v>
      </c>
      <c r="H206" s="30"/>
      <c r="I206" s="30">
        <v>0</v>
      </c>
      <c r="J206" s="31">
        <v>0</v>
      </c>
      <c r="M206" s="32">
        <f>ROUND(ROUND(J206, 2)*I206, 2)</f>
        <v>0</v>
      </c>
      <c r="P206" s="33">
        <v>0</v>
      </c>
      <c r="S206" s="32">
        <f>ROUND(ROUND(P206, 2)*I206, 2)</f>
        <v>0</v>
      </c>
      <c r="V206" s="9">
        <f>ROUND(ROUND(P206, 2)/1.2, 2)</f>
        <v>0</v>
      </c>
      <c r="Y206" s="9">
        <f t="shared" si="11"/>
        <v>0</v>
      </c>
      <c r="AD206" s="4" t="s">
        <v>848</v>
      </c>
      <c r="AE206" s="4" t="s">
        <v>849</v>
      </c>
      <c r="AF206" s="4" t="s">
        <v>832</v>
      </c>
    </row>
    <row r="207" spans="1:35" ht="36" x14ac:dyDescent="0.35">
      <c r="A207" s="10" t="s">
        <v>850</v>
      </c>
      <c r="B207" s="10" t="s">
        <v>851</v>
      </c>
      <c r="C207" s="11" t="s">
        <v>852</v>
      </c>
      <c r="D207" s="12"/>
      <c r="E207" s="12"/>
      <c r="F207" s="12" t="s">
        <v>63</v>
      </c>
      <c r="G207" s="13">
        <v>1</v>
      </c>
      <c r="H207" s="13"/>
      <c r="I207" s="13">
        <v>0</v>
      </c>
      <c r="J207" s="14">
        <v>4447.13</v>
      </c>
      <c r="K207" s="15">
        <v>2310</v>
      </c>
      <c r="L207" s="14">
        <f>J207+ROUND(K207, 2)</f>
        <v>6757.13</v>
      </c>
      <c r="M207" s="14">
        <v>0</v>
      </c>
      <c r="N207" s="14">
        <v>0</v>
      </c>
      <c r="O207" s="14">
        <f>M207+N207</f>
        <v>0</v>
      </c>
      <c r="P207" s="14">
        <v>4447.13</v>
      </c>
      <c r="Q207" s="15">
        <v>2310</v>
      </c>
      <c r="R207" s="14">
        <f>P207+ROUND(Q207, 2)</f>
        <v>6757.13</v>
      </c>
      <c r="S207" s="14">
        <v>0</v>
      </c>
      <c r="T207" s="14">
        <v>0</v>
      </c>
      <c r="U207" s="14">
        <f>S207+T207</f>
        <v>0</v>
      </c>
      <c r="V207" s="9">
        <f>ROUND(P207 / 1.2, 2)</f>
        <v>3705.94</v>
      </c>
      <c r="W207" s="9">
        <f>ROUND(Q207 / 1.2, 2)</f>
        <v>1925</v>
      </c>
      <c r="X207" s="9">
        <f>ROUND(R207 / 1.2, 2)</f>
        <v>5630.94</v>
      </c>
      <c r="Y207" s="9">
        <f t="shared" si="11"/>
        <v>0</v>
      </c>
      <c r="Z207" s="9">
        <f>ROUND(T207 / 1.2, 2)</f>
        <v>0</v>
      </c>
      <c r="AA207" s="9">
        <f>Y207+Z207</f>
        <v>0</v>
      </c>
      <c r="AD207" s="4">
        <v>305116967</v>
      </c>
      <c r="AE207" s="4">
        <v>20926553</v>
      </c>
      <c r="AG207" s="4" t="s">
        <v>853</v>
      </c>
      <c r="AH207" s="4" t="s">
        <v>854</v>
      </c>
      <c r="AI207" s="4" t="s">
        <v>467</v>
      </c>
    </row>
    <row r="208" spans="1:35" ht="36" x14ac:dyDescent="0.35">
      <c r="A208" s="10" t="s">
        <v>857</v>
      </c>
      <c r="B208" s="10"/>
      <c r="C208" s="47" t="s">
        <v>858</v>
      </c>
      <c r="D208" s="12"/>
      <c r="E208" s="12"/>
      <c r="F208" s="29" t="s">
        <v>490</v>
      </c>
      <c r="G208" s="30">
        <v>4</v>
      </c>
      <c r="H208" s="30"/>
      <c r="I208" s="30">
        <v>0</v>
      </c>
      <c r="J208" s="31">
        <v>1100.4000000000001</v>
      </c>
      <c r="M208" s="32">
        <f>ROUND(ROUND(J208, 2)*I208, 2)</f>
        <v>0</v>
      </c>
      <c r="P208" s="31">
        <v>1100.4000000000001</v>
      </c>
      <c r="S208" s="32">
        <f>ROUND(ROUND(P208, 2)*I208, 2)</f>
        <v>0</v>
      </c>
      <c r="V208" s="9">
        <f>ROUND(ROUND(P208, 2)/1.2, 2)</f>
        <v>917</v>
      </c>
      <c r="Y208" s="9">
        <f t="shared" si="11"/>
        <v>0</v>
      </c>
      <c r="AD208" s="4" t="s">
        <v>859</v>
      </c>
      <c r="AE208" s="4" t="s">
        <v>860</v>
      </c>
      <c r="AF208" s="4" t="s">
        <v>861</v>
      </c>
    </row>
    <row r="209" spans="1:35" ht="36" x14ac:dyDescent="0.35">
      <c r="A209" s="10" t="s">
        <v>865</v>
      </c>
      <c r="B209" s="10"/>
      <c r="C209" s="47" t="s">
        <v>866</v>
      </c>
      <c r="D209" s="12"/>
      <c r="E209" s="12"/>
      <c r="F209" s="29" t="s">
        <v>498</v>
      </c>
      <c r="G209" s="30">
        <v>1.2</v>
      </c>
      <c r="H209" s="49"/>
      <c r="I209" s="49">
        <v>0</v>
      </c>
      <c r="J209" s="31">
        <v>16.96</v>
      </c>
      <c r="M209" s="32">
        <f>ROUND(ROUND(J209, 2)*I209, 2)</f>
        <v>0</v>
      </c>
      <c r="P209" s="31">
        <v>16.96</v>
      </c>
      <c r="S209" s="32">
        <f>ROUND(ROUND(P209, 2)*I209, 2)</f>
        <v>0</v>
      </c>
      <c r="V209" s="9">
        <f>ROUND(ROUND(P209, 2)/1.2, 2)</f>
        <v>14.13</v>
      </c>
      <c r="Y209" s="9">
        <f t="shared" si="11"/>
        <v>0</v>
      </c>
      <c r="AD209" s="4" t="s">
        <v>867</v>
      </c>
      <c r="AE209" s="4" t="s">
        <v>868</v>
      </c>
      <c r="AF209" s="4" t="s">
        <v>869</v>
      </c>
    </row>
    <row r="210" spans="1:35" ht="18" x14ac:dyDescent="0.35">
      <c r="A210" s="10" t="s">
        <v>872</v>
      </c>
      <c r="B210" s="10"/>
      <c r="C210" s="28" t="s">
        <v>873</v>
      </c>
      <c r="D210" s="12"/>
      <c r="E210" s="12"/>
      <c r="F210" s="29" t="s">
        <v>498</v>
      </c>
      <c r="G210" s="30">
        <v>0.25</v>
      </c>
      <c r="H210" s="30"/>
      <c r="I210" s="30">
        <v>0</v>
      </c>
      <c r="J210" s="31">
        <v>47.44</v>
      </c>
      <c r="M210" s="32">
        <f>ROUND(ROUND(J210, 2)*I210, 2)</f>
        <v>0</v>
      </c>
      <c r="P210" s="31">
        <v>47.44</v>
      </c>
      <c r="S210" s="32">
        <f>ROUND(ROUND(P210, 2)*I210, 2)</f>
        <v>0</v>
      </c>
      <c r="V210" s="9">
        <f>ROUND(ROUND(P210, 2)/1.2, 2)</f>
        <v>39.53</v>
      </c>
      <c r="Y210" s="9">
        <f t="shared" si="11"/>
        <v>0</v>
      </c>
      <c r="AD210" s="4" t="s">
        <v>874</v>
      </c>
      <c r="AE210" s="4" t="s">
        <v>875</v>
      </c>
      <c r="AF210" s="4" t="s">
        <v>876</v>
      </c>
    </row>
    <row r="211" spans="1:35" ht="36" x14ac:dyDescent="0.35">
      <c r="A211" s="10" t="s">
        <v>879</v>
      </c>
      <c r="B211" s="10"/>
      <c r="C211" s="28" t="s">
        <v>544</v>
      </c>
      <c r="D211" s="12"/>
      <c r="E211" s="12"/>
      <c r="F211" s="29" t="s">
        <v>498</v>
      </c>
      <c r="G211" s="30">
        <v>0.15</v>
      </c>
      <c r="H211" s="30"/>
      <c r="I211" s="30">
        <v>0</v>
      </c>
      <c r="J211" s="31">
        <v>88.8</v>
      </c>
      <c r="M211" s="32">
        <f>ROUND(ROUND(J211, 2)*I211, 2)</f>
        <v>0</v>
      </c>
      <c r="P211" s="31">
        <v>88.8</v>
      </c>
      <c r="S211" s="32">
        <f>ROUND(ROUND(P211, 2)*I211, 2)</f>
        <v>0</v>
      </c>
      <c r="V211" s="9">
        <f>ROUND(ROUND(P211, 2)/1.2, 2)</f>
        <v>74</v>
      </c>
      <c r="Y211" s="9">
        <f t="shared" si="11"/>
        <v>0</v>
      </c>
      <c r="AD211" s="4" t="s">
        <v>880</v>
      </c>
      <c r="AE211" s="4" t="s">
        <v>881</v>
      </c>
      <c r="AF211" s="4" t="s">
        <v>547</v>
      </c>
    </row>
    <row r="212" spans="1:35" ht="36" x14ac:dyDescent="0.35">
      <c r="A212" s="10" t="s">
        <v>884</v>
      </c>
      <c r="B212" s="10" t="s">
        <v>851</v>
      </c>
      <c r="C212" s="11" t="s">
        <v>852</v>
      </c>
      <c r="D212" s="12"/>
      <c r="E212" s="12" t="s">
        <v>856</v>
      </c>
      <c r="F212" s="12" t="s">
        <v>63</v>
      </c>
      <c r="G212" s="13">
        <v>1</v>
      </c>
      <c r="H212" s="13"/>
      <c r="I212" s="13">
        <v>0</v>
      </c>
      <c r="J212" s="14">
        <f>IFERROR(ROUND(SUM(M213,M214,M215,M216)/I212, 2),0)</f>
        <v>0</v>
      </c>
      <c r="K212" s="15">
        <v>2310</v>
      </c>
      <c r="L212" s="14">
        <f>J212+ROUND(K212, 2)</f>
        <v>2310</v>
      </c>
      <c r="M212" s="14">
        <f>ROUND(J212*I212, 2)</f>
        <v>0</v>
      </c>
      <c r="N212" s="14">
        <f>ROUND(I212*ROUND(K212, 2), 2)</f>
        <v>0</v>
      </c>
      <c r="O212" s="14">
        <f>M212+N212</f>
        <v>0</v>
      </c>
      <c r="P212" s="14">
        <f>IFERROR(ROUND(SUM(S213,S214,S215,S216)/I212, 2),0)</f>
        <v>0</v>
      </c>
      <c r="Q212" s="16">
        <v>3465</v>
      </c>
      <c r="R212" s="14">
        <f>P212+ROUND(Q212, 2)</f>
        <v>3465</v>
      </c>
      <c r="S212" s="14">
        <f>ROUND(P212*I212, 2)</f>
        <v>0</v>
      </c>
      <c r="T212" s="14">
        <f>ROUND(I212*ROUND(Q212, 2), 2)</f>
        <v>0</v>
      </c>
      <c r="U212" s="14">
        <f>S212+T212</f>
        <v>0</v>
      </c>
      <c r="V212" s="9">
        <f>ROUND(P212 / 1.2, 2)</f>
        <v>0</v>
      </c>
      <c r="W212" s="9">
        <f>ROUND(Q212 / 1.2, 2)</f>
        <v>2887.5</v>
      </c>
      <c r="X212" s="9">
        <f>ROUND(R212 / 1.2, 2)</f>
        <v>2887.5</v>
      </c>
      <c r="Y212" s="9">
        <f t="shared" si="11"/>
        <v>0</v>
      </c>
      <c r="Z212" s="9">
        <f>ROUND(T212 / 1.2, 2)</f>
        <v>0</v>
      </c>
      <c r="AA212" s="9">
        <f>Y212+Z212</f>
        <v>0</v>
      </c>
      <c r="AD212" s="4">
        <v>305117040</v>
      </c>
      <c r="AE212" s="4">
        <v>22135725</v>
      </c>
      <c r="AG212" s="4" t="s">
        <v>853</v>
      </c>
      <c r="AH212" s="4" t="s">
        <v>854</v>
      </c>
      <c r="AI212" s="4" t="s">
        <v>467</v>
      </c>
    </row>
    <row r="213" spans="1:35" ht="36" x14ac:dyDescent="0.35">
      <c r="A213" s="10" t="s">
        <v>885</v>
      </c>
      <c r="B213" s="10"/>
      <c r="C213" s="28" t="s">
        <v>544</v>
      </c>
      <c r="D213" s="12"/>
      <c r="E213" s="12"/>
      <c r="F213" s="29" t="s">
        <v>498</v>
      </c>
      <c r="G213" s="30">
        <v>0.15</v>
      </c>
      <c r="H213" s="30"/>
      <c r="I213" s="30">
        <v>0</v>
      </c>
      <c r="J213" s="31">
        <v>88.8</v>
      </c>
      <c r="M213" s="32">
        <f>ROUND(ROUND(J213, 2)*I213, 2)</f>
        <v>0</v>
      </c>
      <c r="P213" s="33">
        <v>88.8</v>
      </c>
      <c r="S213" s="32">
        <f>ROUND(ROUND(P213, 2)*I213, 2)</f>
        <v>0</v>
      </c>
      <c r="V213" s="9">
        <f>ROUND(ROUND(P213, 2)/1.2, 2)</f>
        <v>74</v>
      </c>
      <c r="Y213" s="9">
        <f t="shared" si="11"/>
        <v>0</v>
      </c>
      <c r="AD213" s="4" t="s">
        <v>886</v>
      </c>
      <c r="AE213" s="4" t="s">
        <v>887</v>
      </c>
      <c r="AF213" s="4" t="s">
        <v>547</v>
      </c>
    </row>
    <row r="214" spans="1:35" ht="18" x14ac:dyDescent="0.35">
      <c r="A214" s="10" t="s">
        <v>888</v>
      </c>
      <c r="B214" s="10"/>
      <c r="C214" s="28" t="s">
        <v>873</v>
      </c>
      <c r="D214" s="12"/>
      <c r="E214" s="12"/>
      <c r="F214" s="29" t="s">
        <v>498</v>
      </c>
      <c r="G214" s="30">
        <v>0.25</v>
      </c>
      <c r="H214" s="30"/>
      <c r="I214" s="30">
        <v>0</v>
      </c>
      <c r="J214" s="31">
        <v>47.44</v>
      </c>
      <c r="M214" s="32">
        <f>ROUND(ROUND(J214, 2)*I214, 2)</f>
        <v>0</v>
      </c>
      <c r="P214" s="33">
        <v>47.44</v>
      </c>
      <c r="S214" s="32">
        <f>ROUND(ROUND(P214, 2)*I214, 2)</f>
        <v>0</v>
      </c>
      <c r="V214" s="9">
        <f>ROUND(ROUND(P214, 2)/1.2, 2)</f>
        <v>39.53</v>
      </c>
      <c r="Y214" s="9">
        <f t="shared" si="11"/>
        <v>0</v>
      </c>
      <c r="AD214" s="4" t="s">
        <v>889</v>
      </c>
      <c r="AE214" s="4" t="s">
        <v>890</v>
      </c>
      <c r="AF214" s="4" t="s">
        <v>876</v>
      </c>
    </row>
    <row r="215" spans="1:35" ht="36" x14ac:dyDescent="0.35">
      <c r="A215" s="10" t="s">
        <v>891</v>
      </c>
      <c r="B215" s="10"/>
      <c r="C215" s="47" t="s">
        <v>866</v>
      </c>
      <c r="D215" s="12"/>
      <c r="E215" s="12"/>
      <c r="F215" s="29" t="s">
        <v>498</v>
      </c>
      <c r="G215" s="30">
        <v>1.2</v>
      </c>
      <c r="H215" s="49"/>
      <c r="I215" s="49">
        <v>331.75200000000001</v>
      </c>
      <c r="J215" s="31">
        <v>16.12</v>
      </c>
      <c r="M215" s="32">
        <f>ROUND(ROUND(J215, 2)*I215, 2)</f>
        <v>5347.84</v>
      </c>
      <c r="P215" s="33">
        <v>16.11</v>
      </c>
      <c r="S215" s="32">
        <f>ROUND(ROUND(P215, 2)*I215, 2)</f>
        <v>5344.52</v>
      </c>
      <c r="V215" s="9">
        <f>ROUND(ROUND(P215, 2)/1.2, 2)</f>
        <v>13.43</v>
      </c>
      <c r="Y215" s="9">
        <f t="shared" si="11"/>
        <v>4453.7700000000004</v>
      </c>
      <c r="AD215" s="4" t="s">
        <v>892</v>
      </c>
      <c r="AE215" s="4" t="s">
        <v>893</v>
      </c>
      <c r="AF215" s="4" t="s">
        <v>869</v>
      </c>
    </row>
    <row r="216" spans="1:35" ht="72" x14ac:dyDescent="0.35">
      <c r="A216" s="10" t="s">
        <v>894</v>
      </c>
      <c r="B216" s="10"/>
      <c r="C216" s="47" t="s">
        <v>858</v>
      </c>
      <c r="D216" s="12"/>
      <c r="E216" s="12" t="s">
        <v>863</v>
      </c>
      <c r="F216" s="29" t="s">
        <v>490</v>
      </c>
      <c r="G216" s="30">
        <v>4</v>
      </c>
      <c r="H216" s="30"/>
      <c r="I216" s="30">
        <v>0</v>
      </c>
      <c r="J216" s="31">
        <v>1100.4000000000001</v>
      </c>
      <c r="M216" s="32">
        <f>ROUND(ROUND(J216, 2)*I216, 2)</f>
        <v>0</v>
      </c>
      <c r="P216" s="33">
        <v>1100.4000000000001</v>
      </c>
      <c r="S216" s="32">
        <f>ROUND(ROUND(P216, 2)*I216, 2)</f>
        <v>0</v>
      </c>
      <c r="V216" s="9">
        <f>ROUND(ROUND(P216, 2)/1.2, 2)</f>
        <v>917</v>
      </c>
      <c r="Y216" s="9">
        <f t="shared" ref="Y216:Y247" si="12">ROUND(S216 / 1.2, 2)</f>
        <v>0</v>
      </c>
      <c r="AD216" s="4" t="s">
        <v>895</v>
      </c>
      <c r="AE216" s="4" t="s">
        <v>896</v>
      </c>
      <c r="AF216" s="4" t="s">
        <v>861</v>
      </c>
    </row>
    <row r="217" spans="1:35" ht="36" x14ac:dyDescent="0.35">
      <c r="A217" s="10" t="s">
        <v>897</v>
      </c>
      <c r="B217" s="10" t="s">
        <v>898</v>
      </c>
      <c r="C217" s="11" t="s">
        <v>899</v>
      </c>
      <c r="D217" s="12"/>
      <c r="E217" s="12"/>
      <c r="F217" s="12" t="s">
        <v>78</v>
      </c>
      <c r="G217" s="13">
        <v>1</v>
      </c>
      <c r="H217" s="13"/>
      <c r="I217" s="13">
        <v>0</v>
      </c>
      <c r="J217" s="14">
        <v>844.85</v>
      </c>
      <c r="K217" s="15">
        <v>473</v>
      </c>
      <c r="L217" s="14">
        <f>J217+ROUND(K217, 2)</f>
        <v>1317.85</v>
      </c>
      <c r="M217" s="14">
        <v>0</v>
      </c>
      <c r="N217" s="14">
        <v>0</v>
      </c>
      <c r="O217" s="14">
        <f>M217+N217</f>
        <v>0</v>
      </c>
      <c r="P217" s="14">
        <v>844.85</v>
      </c>
      <c r="Q217" s="15">
        <v>473</v>
      </c>
      <c r="R217" s="14">
        <f>P217+ROUND(Q217, 2)</f>
        <v>1317.85</v>
      </c>
      <c r="S217" s="14">
        <v>0</v>
      </c>
      <c r="T217" s="14">
        <v>0</v>
      </c>
      <c r="U217" s="14">
        <f>S217+T217</f>
        <v>0</v>
      </c>
      <c r="V217" s="9">
        <f>ROUND(P217 / 1.2, 2)</f>
        <v>704.04</v>
      </c>
      <c r="W217" s="9">
        <f>ROUND(Q217 / 1.2, 2)</f>
        <v>394.17</v>
      </c>
      <c r="X217" s="9">
        <f>ROUND(R217 / 1.2, 2)</f>
        <v>1098.21</v>
      </c>
      <c r="Y217" s="9">
        <f t="shared" si="12"/>
        <v>0</v>
      </c>
      <c r="Z217" s="9">
        <f>ROUND(T217 / 1.2, 2)</f>
        <v>0</v>
      </c>
      <c r="AA217" s="9">
        <f>Y217+Z217</f>
        <v>0</v>
      </c>
      <c r="AD217" s="4">
        <v>305116969</v>
      </c>
      <c r="AE217" s="4">
        <v>20926570</v>
      </c>
      <c r="AG217" s="4" t="s">
        <v>900</v>
      </c>
      <c r="AH217" s="4" t="s">
        <v>901</v>
      </c>
      <c r="AI217" s="4" t="s">
        <v>467</v>
      </c>
    </row>
    <row r="218" spans="1:35" ht="36" x14ac:dyDescent="0.35">
      <c r="A218" s="10" t="s">
        <v>904</v>
      </c>
      <c r="B218" s="10"/>
      <c r="C218" s="47" t="s">
        <v>905</v>
      </c>
      <c r="D218" s="12"/>
      <c r="E218" s="12"/>
      <c r="F218" s="29" t="s">
        <v>498</v>
      </c>
      <c r="G218" s="30">
        <v>0.7</v>
      </c>
      <c r="H218" s="49"/>
      <c r="I218" s="49">
        <v>0</v>
      </c>
      <c r="J218" s="31">
        <v>16.96</v>
      </c>
      <c r="M218" s="32">
        <f>ROUND(ROUND(J218, 2)*I218, 2)</f>
        <v>0</v>
      </c>
      <c r="P218" s="31">
        <v>16.96</v>
      </c>
      <c r="S218" s="32">
        <f>ROUND(ROUND(P218, 2)*I218, 2)</f>
        <v>0</v>
      </c>
      <c r="V218" s="9">
        <f>ROUND(ROUND(P218, 2)/1.2, 2)</f>
        <v>14.13</v>
      </c>
      <c r="Y218" s="9">
        <f t="shared" si="12"/>
        <v>0</v>
      </c>
      <c r="AD218" s="4" t="s">
        <v>906</v>
      </c>
      <c r="AE218" s="4" t="s">
        <v>907</v>
      </c>
      <c r="AF218" s="4" t="s">
        <v>908</v>
      </c>
    </row>
    <row r="219" spans="1:35" ht="36" x14ac:dyDescent="0.35">
      <c r="A219" s="10" t="s">
        <v>911</v>
      </c>
      <c r="B219" s="10"/>
      <c r="C219" s="28" t="s">
        <v>912</v>
      </c>
      <c r="D219" s="12"/>
      <c r="E219" s="12"/>
      <c r="F219" s="29" t="s">
        <v>490</v>
      </c>
      <c r="G219" s="30">
        <v>1.84</v>
      </c>
      <c r="H219" s="49"/>
      <c r="I219" s="49">
        <v>0</v>
      </c>
      <c r="J219" s="31">
        <v>450.95</v>
      </c>
      <c r="M219" s="32">
        <f>ROUND(ROUND(J219, 2)*I219, 2)</f>
        <v>0</v>
      </c>
      <c r="P219" s="31">
        <v>450.95</v>
      </c>
      <c r="S219" s="32">
        <f>ROUND(ROUND(P219, 2)*I219, 2)</f>
        <v>0</v>
      </c>
      <c r="V219" s="9">
        <f>ROUND(ROUND(P219, 2)/1.2, 2)</f>
        <v>375.79</v>
      </c>
      <c r="Y219" s="9">
        <f t="shared" si="12"/>
        <v>0</v>
      </c>
      <c r="AD219" s="4" t="s">
        <v>913</v>
      </c>
      <c r="AE219" s="4" t="s">
        <v>914</v>
      </c>
      <c r="AF219" s="4" t="s">
        <v>915</v>
      </c>
    </row>
    <row r="220" spans="1:35" ht="18" x14ac:dyDescent="0.35">
      <c r="A220" s="10" t="s">
        <v>919</v>
      </c>
      <c r="B220" s="10"/>
      <c r="C220" s="28" t="s">
        <v>873</v>
      </c>
      <c r="D220" s="12"/>
      <c r="E220" s="12"/>
      <c r="F220" s="29" t="s">
        <v>498</v>
      </c>
      <c r="G220" s="30">
        <v>0.04</v>
      </c>
      <c r="H220" s="30"/>
      <c r="I220" s="30">
        <v>0</v>
      </c>
      <c r="J220" s="31">
        <v>47.44</v>
      </c>
      <c r="M220" s="32">
        <f>ROUND(ROUND(J220, 2)*I220, 2)</f>
        <v>0</v>
      </c>
      <c r="P220" s="31">
        <v>47.44</v>
      </c>
      <c r="S220" s="32">
        <f>ROUND(ROUND(P220, 2)*I220, 2)</f>
        <v>0</v>
      </c>
      <c r="V220" s="9">
        <f>ROUND(ROUND(P220, 2)/1.2, 2)</f>
        <v>39.53</v>
      </c>
      <c r="Y220" s="9">
        <f t="shared" si="12"/>
        <v>0</v>
      </c>
      <c r="AD220" s="4" t="s">
        <v>920</v>
      </c>
      <c r="AE220" s="4" t="s">
        <v>921</v>
      </c>
      <c r="AF220" s="4" t="s">
        <v>876</v>
      </c>
    </row>
    <row r="221" spans="1:35" ht="36" x14ac:dyDescent="0.35">
      <c r="A221" s="10" t="s">
        <v>924</v>
      </c>
      <c r="B221" s="10"/>
      <c r="C221" s="28" t="s">
        <v>925</v>
      </c>
      <c r="D221" s="12"/>
      <c r="E221" s="12"/>
      <c r="F221" s="29" t="s">
        <v>498</v>
      </c>
      <c r="G221" s="30">
        <v>1.4999999999999999E-2</v>
      </c>
      <c r="H221" s="30"/>
      <c r="I221" s="30">
        <v>0</v>
      </c>
      <c r="J221" s="31">
        <v>88.8</v>
      </c>
      <c r="M221" s="32">
        <f>ROUND(ROUND(J221, 2)*I221, 2)</f>
        <v>0</v>
      </c>
      <c r="P221" s="31">
        <v>88.8</v>
      </c>
      <c r="S221" s="32">
        <f>ROUND(ROUND(P221, 2)*I221, 2)</f>
        <v>0</v>
      </c>
      <c r="V221" s="9">
        <f>ROUND(ROUND(P221, 2)/1.2, 2)</f>
        <v>74</v>
      </c>
      <c r="Y221" s="9">
        <f t="shared" si="12"/>
        <v>0</v>
      </c>
      <c r="AD221" s="4" t="s">
        <v>926</v>
      </c>
      <c r="AE221" s="4" t="s">
        <v>927</v>
      </c>
      <c r="AF221" s="4" t="s">
        <v>928</v>
      </c>
    </row>
    <row r="222" spans="1:35" ht="36" x14ac:dyDescent="0.35">
      <c r="A222" s="10" t="s">
        <v>931</v>
      </c>
      <c r="B222" s="10" t="s">
        <v>898</v>
      </c>
      <c r="C222" s="11" t="s">
        <v>899</v>
      </c>
      <c r="D222" s="12"/>
      <c r="E222" s="12"/>
      <c r="F222" s="12" t="s">
        <v>78</v>
      </c>
      <c r="G222" s="13">
        <v>1</v>
      </c>
      <c r="H222" s="13"/>
      <c r="I222" s="13">
        <v>0</v>
      </c>
      <c r="J222" s="14">
        <v>844.85</v>
      </c>
      <c r="K222" s="15">
        <v>473</v>
      </c>
      <c r="L222" s="14">
        <f>J222+ROUND(K222, 2)</f>
        <v>1317.85</v>
      </c>
      <c r="M222" s="14">
        <v>0</v>
      </c>
      <c r="N222" s="14">
        <v>0</v>
      </c>
      <c r="O222" s="14">
        <f>M222+N222</f>
        <v>0</v>
      </c>
      <c r="P222" s="14">
        <v>844.85</v>
      </c>
      <c r="Q222" s="15">
        <v>473</v>
      </c>
      <c r="R222" s="14">
        <f>P222+ROUND(Q222, 2)</f>
        <v>1317.85</v>
      </c>
      <c r="S222" s="14">
        <v>0</v>
      </c>
      <c r="T222" s="14">
        <v>0</v>
      </c>
      <c r="U222" s="14">
        <f>S222+T222</f>
        <v>0</v>
      </c>
      <c r="V222" s="9">
        <f>ROUND(P222 / 1.2, 2)</f>
        <v>704.04</v>
      </c>
      <c r="W222" s="9">
        <f>ROUND(Q222 / 1.2, 2)</f>
        <v>394.17</v>
      </c>
      <c r="X222" s="9">
        <f>ROUND(R222 / 1.2, 2)</f>
        <v>1098.21</v>
      </c>
      <c r="Y222" s="9">
        <f t="shared" si="12"/>
        <v>0</v>
      </c>
      <c r="Z222" s="9">
        <f>ROUND(T222 / 1.2, 2)</f>
        <v>0</v>
      </c>
      <c r="AA222" s="9">
        <f>Y222+Z222</f>
        <v>0</v>
      </c>
      <c r="AD222" s="4">
        <v>305117041</v>
      </c>
      <c r="AE222" s="4">
        <v>20926571</v>
      </c>
      <c r="AG222" s="4" t="s">
        <v>900</v>
      </c>
      <c r="AH222" s="4" t="s">
        <v>901</v>
      </c>
      <c r="AI222" s="4" t="s">
        <v>467</v>
      </c>
    </row>
    <row r="223" spans="1:35" ht="36" x14ac:dyDescent="0.35">
      <c r="A223" s="10" t="s">
        <v>934</v>
      </c>
      <c r="B223" s="10"/>
      <c r="C223" s="28" t="s">
        <v>925</v>
      </c>
      <c r="D223" s="12"/>
      <c r="E223" s="12"/>
      <c r="F223" s="29" t="s">
        <v>498</v>
      </c>
      <c r="G223" s="30">
        <v>1.4999999999999999E-2</v>
      </c>
      <c r="H223" s="30"/>
      <c r="I223" s="30">
        <v>0</v>
      </c>
      <c r="J223" s="31">
        <v>88.8</v>
      </c>
      <c r="M223" s="32">
        <f>ROUND(ROUND(J223, 2)*I223, 2)</f>
        <v>0</v>
      </c>
      <c r="P223" s="31">
        <v>88.8</v>
      </c>
      <c r="S223" s="32">
        <f>ROUND(ROUND(P223, 2)*I223, 2)</f>
        <v>0</v>
      </c>
      <c r="V223" s="9">
        <f>ROUND(ROUND(P223, 2)/1.2, 2)</f>
        <v>74</v>
      </c>
      <c r="Y223" s="9">
        <f t="shared" si="12"/>
        <v>0</v>
      </c>
      <c r="AD223" s="4" t="s">
        <v>935</v>
      </c>
      <c r="AE223" s="4" t="s">
        <v>936</v>
      </c>
      <c r="AF223" s="4" t="s">
        <v>928</v>
      </c>
    </row>
    <row r="224" spans="1:35" ht="18" x14ac:dyDescent="0.35">
      <c r="A224" s="10" t="s">
        <v>939</v>
      </c>
      <c r="B224" s="10"/>
      <c r="C224" s="28" t="s">
        <v>873</v>
      </c>
      <c r="D224" s="12"/>
      <c r="E224" s="12"/>
      <c r="F224" s="29" t="s">
        <v>498</v>
      </c>
      <c r="G224" s="30">
        <v>0.04</v>
      </c>
      <c r="H224" s="30"/>
      <c r="I224" s="30">
        <v>0</v>
      </c>
      <c r="J224" s="31">
        <v>47.44</v>
      </c>
      <c r="M224" s="32">
        <f>ROUND(ROUND(J224, 2)*I224, 2)</f>
        <v>0</v>
      </c>
      <c r="P224" s="31">
        <v>47.44</v>
      </c>
      <c r="S224" s="32">
        <f>ROUND(ROUND(P224, 2)*I224, 2)</f>
        <v>0</v>
      </c>
      <c r="V224" s="9">
        <f>ROUND(ROUND(P224, 2)/1.2, 2)</f>
        <v>39.53</v>
      </c>
      <c r="Y224" s="9">
        <f t="shared" si="12"/>
        <v>0</v>
      </c>
      <c r="AD224" s="4" t="s">
        <v>940</v>
      </c>
      <c r="AE224" s="4" t="s">
        <v>941</v>
      </c>
      <c r="AF224" s="4" t="s">
        <v>876</v>
      </c>
    </row>
    <row r="225" spans="1:35" ht="36" x14ac:dyDescent="0.35">
      <c r="A225" s="10" t="s">
        <v>944</v>
      </c>
      <c r="B225" s="10"/>
      <c r="C225" s="28" t="s">
        <v>912</v>
      </c>
      <c r="D225" s="12"/>
      <c r="E225" s="12"/>
      <c r="F225" s="29" t="s">
        <v>490</v>
      </c>
      <c r="G225" s="30">
        <v>1.84</v>
      </c>
      <c r="H225" s="49"/>
      <c r="I225" s="49">
        <v>0</v>
      </c>
      <c r="J225" s="31">
        <v>450.95</v>
      </c>
      <c r="M225" s="32">
        <f>ROUND(ROUND(J225, 2)*I225, 2)</f>
        <v>0</v>
      </c>
      <c r="P225" s="31">
        <v>450.95</v>
      </c>
      <c r="S225" s="32">
        <f>ROUND(ROUND(P225, 2)*I225, 2)</f>
        <v>0</v>
      </c>
      <c r="V225" s="9">
        <f>ROUND(ROUND(P225, 2)/1.2, 2)</f>
        <v>375.79</v>
      </c>
      <c r="Y225" s="9">
        <f t="shared" si="12"/>
        <v>0</v>
      </c>
      <c r="AD225" s="4" t="s">
        <v>945</v>
      </c>
      <c r="AE225" s="4" t="s">
        <v>946</v>
      </c>
      <c r="AF225" s="4" t="s">
        <v>915</v>
      </c>
    </row>
    <row r="226" spans="1:35" ht="36" x14ac:dyDescent="0.35">
      <c r="A226" s="10" t="s">
        <v>950</v>
      </c>
      <c r="B226" s="10"/>
      <c r="C226" s="47" t="s">
        <v>905</v>
      </c>
      <c r="D226" s="12"/>
      <c r="E226" s="12"/>
      <c r="F226" s="29" t="s">
        <v>498</v>
      </c>
      <c r="G226" s="30">
        <v>0.7</v>
      </c>
      <c r="H226" s="49"/>
      <c r="I226" s="49">
        <v>0</v>
      </c>
      <c r="J226" s="31">
        <v>16.96</v>
      </c>
      <c r="M226" s="32">
        <f>ROUND(ROUND(J226, 2)*I226, 2)</f>
        <v>0</v>
      </c>
      <c r="P226" s="31">
        <v>16.96</v>
      </c>
      <c r="S226" s="32">
        <f>ROUND(ROUND(P226, 2)*I226, 2)</f>
        <v>0</v>
      </c>
      <c r="V226" s="9">
        <f>ROUND(ROUND(P226, 2)/1.2, 2)</f>
        <v>14.13</v>
      </c>
      <c r="Y226" s="9">
        <f t="shared" si="12"/>
        <v>0</v>
      </c>
      <c r="AD226" s="4" t="s">
        <v>951</v>
      </c>
      <c r="AE226" s="4" t="s">
        <v>952</v>
      </c>
      <c r="AF226" s="4" t="s">
        <v>908</v>
      </c>
    </row>
    <row r="227" spans="1:35" ht="36" x14ac:dyDescent="0.35">
      <c r="A227" s="10" t="s">
        <v>955</v>
      </c>
      <c r="B227" s="10" t="s">
        <v>898</v>
      </c>
      <c r="C227" s="11" t="s">
        <v>899</v>
      </c>
      <c r="D227" s="12"/>
      <c r="E227" s="12"/>
      <c r="F227" s="12" t="s">
        <v>78</v>
      </c>
      <c r="G227" s="13">
        <v>1</v>
      </c>
      <c r="H227" s="13"/>
      <c r="I227" s="13">
        <v>0</v>
      </c>
      <c r="J227" s="14">
        <v>375.74</v>
      </c>
      <c r="K227" s="15">
        <v>473</v>
      </c>
      <c r="L227" s="14">
        <f>J227+ROUND(K227, 2)</f>
        <v>848.74</v>
      </c>
      <c r="M227" s="14">
        <v>0</v>
      </c>
      <c r="N227" s="14">
        <v>0</v>
      </c>
      <c r="O227" s="14">
        <f>M227+N227</f>
        <v>0</v>
      </c>
      <c r="P227" s="14">
        <v>375.74</v>
      </c>
      <c r="Q227" s="15">
        <v>473</v>
      </c>
      <c r="R227" s="14">
        <f>P227+ROUND(Q227, 2)</f>
        <v>848.74</v>
      </c>
      <c r="S227" s="14">
        <v>0</v>
      </c>
      <c r="T227" s="14">
        <v>0</v>
      </c>
      <c r="U227" s="14">
        <f>S227+T227</f>
        <v>0</v>
      </c>
      <c r="V227" s="9">
        <f>ROUND(P227 / 1.2, 2)</f>
        <v>313.12</v>
      </c>
      <c r="W227" s="9">
        <f>ROUND(Q227 / 1.2, 2)</f>
        <v>394.17</v>
      </c>
      <c r="X227" s="9">
        <f>ROUND(R227 / 1.2, 2)</f>
        <v>707.28</v>
      </c>
      <c r="Y227" s="9">
        <f t="shared" si="12"/>
        <v>0</v>
      </c>
      <c r="Z227" s="9">
        <f>ROUND(T227 / 1.2, 2)</f>
        <v>0</v>
      </c>
      <c r="AA227" s="9">
        <f>Y227+Z227</f>
        <v>0</v>
      </c>
      <c r="AD227" s="4">
        <v>305117042</v>
      </c>
      <c r="AE227" s="4">
        <v>20926623</v>
      </c>
      <c r="AG227" s="4" t="s">
        <v>900</v>
      </c>
      <c r="AH227" s="4" t="s">
        <v>901</v>
      </c>
      <c r="AI227" s="4" t="s">
        <v>467</v>
      </c>
    </row>
    <row r="228" spans="1:35" ht="36" x14ac:dyDescent="0.35">
      <c r="A228" s="10" t="s">
        <v>958</v>
      </c>
      <c r="B228" s="10"/>
      <c r="C228" s="47" t="s">
        <v>905</v>
      </c>
      <c r="D228" s="12"/>
      <c r="E228" s="12"/>
      <c r="F228" s="29" t="s">
        <v>498</v>
      </c>
      <c r="G228" s="30">
        <v>0.7</v>
      </c>
      <c r="H228" s="49"/>
      <c r="I228" s="49">
        <v>0</v>
      </c>
      <c r="J228" s="31">
        <v>16.96</v>
      </c>
      <c r="M228" s="32">
        <f>ROUND(ROUND(J228, 2)*I228, 2)</f>
        <v>0</v>
      </c>
      <c r="P228" s="31">
        <v>16.96</v>
      </c>
      <c r="S228" s="32">
        <f>ROUND(ROUND(P228, 2)*I228, 2)</f>
        <v>0</v>
      </c>
      <c r="V228" s="9">
        <f>ROUND(ROUND(P228, 2)/1.2, 2)</f>
        <v>14.13</v>
      </c>
      <c r="Y228" s="9">
        <f t="shared" si="12"/>
        <v>0</v>
      </c>
      <c r="AD228" s="4" t="s">
        <v>959</v>
      </c>
      <c r="AE228" s="4" t="s">
        <v>960</v>
      </c>
      <c r="AF228" s="4" t="s">
        <v>908</v>
      </c>
    </row>
    <row r="229" spans="1:35" ht="36" x14ac:dyDescent="0.35">
      <c r="A229" s="10" t="s">
        <v>963</v>
      </c>
      <c r="B229" s="10"/>
      <c r="C229" s="28" t="s">
        <v>964</v>
      </c>
      <c r="D229" s="12"/>
      <c r="E229" s="12"/>
      <c r="F229" s="29" t="s">
        <v>490</v>
      </c>
      <c r="G229" s="30">
        <v>1.84</v>
      </c>
      <c r="H229" s="49"/>
      <c r="I229" s="49">
        <v>0</v>
      </c>
      <c r="J229" s="31">
        <v>196</v>
      </c>
      <c r="M229" s="32">
        <f>ROUND(ROUND(J229, 2)*I229, 2)</f>
        <v>0</v>
      </c>
      <c r="P229" s="31">
        <v>196</v>
      </c>
      <c r="S229" s="32">
        <f>ROUND(ROUND(P229, 2)*I229, 2)</f>
        <v>0</v>
      </c>
      <c r="V229" s="9">
        <f>ROUND(ROUND(P229, 2)/1.2, 2)</f>
        <v>163.33000000000001</v>
      </c>
      <c r="Y229" s="9">
        <f t="shared" si="12"/>
        <v>0</v>
      </c>
      <c r="AD229" s="4" t="s">
        <v>965</v>
      </c>
      <c r="AE229" s="4" t="s">
        <v>966</v>
      </c>
      <c r="AF229" s="4" t="s">
        <v>967</v>
      </c>
    </row>
    <row r="230" spans="1:35" ht="18" x14ac:dyDescent="0.35">
      <c r="A230" s="10" t="s">
        <v>971</v>
      </c>
      <c r="B230" s="10"/>
      <c r="C230" s="28" t="s">
        <v>873</v>
      </c>
      <c r="D230" s="12"/>
      <c r="E230" s="12"/>
      <c r="F230" s="29" t="s">
        <v>498</v>
      </c>
      <c r="G230" s="30">
        <v>0.04</v>
      </c>
      <c r="H230" s="30"/>
      <c r="I230" s="30">
        <v>0</v>
      </c>
      <c r="J230" s="31">
        <v>47.44</v>
      </c>
      <c r="M230" s="32">
        <f>ROUND(ROUND(J230, 2)*I230, 2)</f>
        <v>0</v>
      </c>
      <c r="P230" s="31">
        <v>47.44</v>
      </c>
      <c r="S230" s="32">
        <f>ROUND(ROUND(P230, 2)*I230, 2)</f>
        <v>0</v>
      </c>
      <c r="V230" s="9">
        <f>ROUND(ROUND(P230, 2)/1.2, 2)</f>
        <v>39.53</v>
      </c>
      <c r="Y230" s="9">
        <f t="shared" si="12"/>
        <v>0</v>
      </c>
      <c r="AD230" s="4" t="s">
        <v>972</v>
      </c>
      <c r="AE230" s="4" t="s">
        <v>973</v>
      </c>
      <c r="AF230" s="4" t="s">
        <v>876</v>
      </c>
    </row>
    <row r="231" spans="1:35" ht="36" x14ac:dyDescent="0.35">
      <c r="A231" s="10" t="s">
        <v>976</v>
      </c>
      <c r="B231" s="10"/>
      <c r="C231" s="28" t="s">
        <v>925</v>
      </c>
      <c r="D231" s="12"/>
      <c r="E231" s="12"/>
      <c r="F231" s="29" t="s">
        <v>498</v>
      </c>
      <c r="G231" s="30">
        <v>1.4999999999999999E-2</v>
      </c>
      <c r="H231" s="30"/>
      <c r="I231" s="30">
        <v>0</v>
      </c>
      <c r="J231" s="31">
        <v>88.8</v>
      </c>
      <c r="M231" s="32">
        <f>ROUND(ROUND(J231, 2)*I231, 2)</f>
        <v>0</v>
      </c>
      <c r="P231" s="31">
        <v>88.8</v>
      </c>
      <c r="S231" s="32">
        <f>ROUND(ROUND(P231, 2)*I231, 2)</f>
        <v>0</v>
      </c>
      <c r="V231" s="9">
        <f>ROUND(ROUND(P231, 2)/1.2, 2)</f>
        <v>74</v>
      </c>
      <c r="Y231" s="9">
        <f t="shared" si="12"/>
        <v>0</v>
      </c>
      <c r="AD231" s="4" t="s">
        <v>977</v>
      </c>
      <c r="AE231" s="4" t="s">
        <v>978</v>
      </c>
      <c r="AF231" s="4" t="s">
        <v>928</v>
      </c>
    </row>
    <row r="232" spans="1:35" ht="36" x14ac:dyDescent="0.35">
      <c r="A232" s="10" t="s">
        <v>981</v>
      </c>
      <c r="B232" s="10" t="s">
        <v>898</v>
      </c>
      <c r="C232" s="11" t="s">
        <v>899</v>
      </c>
      <c r="D232" s="12"/>
      <c r="E232" s="12" t="s">
        <v>903</v>
      </c>
      <c r="F232" s="12" t="s">
        <v>78</v>
      </c>
      <c r="G232" s="13">
        <v>1</v>
      </c>
      <c r="H232" s="13"/>
      <c r="I232" s="13">
        <v>0</v>
      </c>
      <c r="J232" s="14">
        <f>IFERROR(ROUND(SUM(M233,M234,M235,M236)/I232, 2),0)</f>
        <v>0</v>
      </c>
      <c r="K232" s="15">
        <v>473</v>
      </c>
      <c r="L232" s="14">
        <f>J232+ROUND(K232, 2)</f>
        <v>473</v>
      </c>
      <c r="M232" s="14">
        <f>ROUND(J232*I232, 2)</f>
        <v>0</v>
      </c>
      <c r="N232" s="14">
        <f>ROUND(I232*ROUND(K232, 2), 2)</f>
        <v>0</v>
      </c>
      <c r="O232" s="14">
        <f>M232+N232</f>
        <v>0</v>
      </c>
      <c r="P232" s="14">
        <f>IFERROR(ROUND(SUM(S233,S234,S235,S236)/I232, 2),0)</f>
        <v>0</v>
      </c>
      <c r="Q232" s="16">
        <v>709.5</v>
      </c>
      <c r="R232" s="14">
        <f>P232+ROUND(Q232, 2)</f>
        <v>709.5</v>
      </c>
      <c r="S232" s="14">
        <f>ROUND(P232*I232, 2)</f>
        <v>0</v>
      </c>
      <c r="T232" s="14">
        <f>ROUND(I232*ROUND(Q232, 2), 2)</f>
        <v>0</v>
      </c>
      <c r="U232" s="14">
        <f>S232+T232</f>
        <v>0</v>
      </c>
      <c r="V232" s="9">
        <f>ROUND(P232 / 1.2, 2)</f>
        <v>0</v>
      </c>
      <c r="W232" s="9">
        <f>ROUND(Q232 / 1.2, 2)</f>
        <v>591.25</v>
      </c>
      <c r="X232" s="9">
        <f>ROUND(R232 / 1.2, 2)</f>
        <v>591.25</v>
      </c>
      <c r="Y232" s="9">
        <f t="shared" si="12"/>
        <v>0</v>
      </c>
      <c r="Z232" s="9">
        <f>ROUND(T232 / 1.2, 2)</f>
        <v>0</v>
      </c>
      <c r="AA232" s="9">
        <f>Y232+Z232</f>
        <v>0</v>
      </c>
      <c r="AD232" s="4">
        <v>305117043</v>
      </c>
      <c r="AE232" s="4">
        <v>22135704</v>
      </c>
      <c r="AG232" s="4" t="s">
        <v>900</v>
      </c>
      <c r="AH232" s="4" t="s">
        <v>901</v>
      </c>
      <c r="AI232" s="4" t="s">
        <v>467</v>
      </c>
    </row>
    <row r="233" spans="1:35" ht="36" x14ac:dyDescent="0.35">
      <c r="A233" s="10" t="s">
        <v>982</v>
      </c>
      <c r="B233" s="10"/>
      <c r="C233" s="28" t="s">
        <v>925</v>
      </c>
      <c r="D233" s="12"/>
      <c r="E233" s="12"/>
      <c r="F233" s="29" t="s">
        <v>498</v>
      </c>
      <c r="G233" s="30">
        <v>1.4999999999999999E-2</v>
      </c>
      <c r="H233" s="30"/>
      <c r="I233" s="30">
        <v>0</v>
      </c>
      <c r="J233" s="31">
        <v>88.8</v>
      </c>
      <c r="M233" s="32">
        <f>ROUND(ROUND(J233, 2)*I233, 2)</f>
        <v>0</v>
      </c>
      <c r="P233" s="33">
        <v>88.8</v>
      </c>
      <c r="S233" s="32">
        <f>ROUND(ROUND(P233, 2)*I233, 2)</f>
        <v>0</v>
      </c>
      <c r="V233" s="9">
        <f>ROUND(ROUND(P233, 2)/1.2, 2)</f>
        <v>74</v>
      </c>
      <c r="Y233" s="9">
        <f t="shared" si="12"/>
        <v>0</v>
      </c>
      <c r="AD233" s="4" t="s">
        <v>983</v>
      </c>
      <c r="AE233" s="4" t="s">
        <v>984</v>
      </c>
      <c r="AF233" s="4" t="s">
        <v>928</v>
      </c>
    </row>
    <row r="234" spans="1:35" ht="18" x14ac:dyDescent="0.35">
      <c r="A234" s="10" t="s">
        <v>985</v>
      </c>
      <c r="B234" s="10"/>
      <c r="C234" s="28" t="s">
        <v>873</v>
      </c>
      <c r="D234" s="12"/>
      <c r="E234" s="12"/>
      <c r="F234" s="29" t="s">
        <v>498</v>
      </c>
      <c r="G234" s="30">
        <v>0.04</v>
      </c>
      <c r="H234" s="30"/>
      <c r="I234" s="30">
        <v>0</v>
      </c>
      <c r="J234" s="31">
        <v>47.44</v>
      </c>
      <c r="M234" s="32">
        <f>ROUND(ROUND(J234, 2)*I234, 2)</f>
        <v>0</v>
      </c>
      <c r="P234" s="33">
        <v>47.44</v>
      </c>
      <c r="S234" s="32">
        <f>ROUND(ROUND(P234, 2)*I234, 2)</f>
        <v>0</v>
      </c>
      <c r="V234" s="9">
        <f>ROUND(ROUND(P234, 2)/1.2, 2)</f>
        <v>39.53</v>
      </c>
      <c r="Y234" s="9">
        <f t="shared" si="12"/>
        <v>0</v>
      </c>
      <c r="AD234" s="4" t="s">
        <v>986</v>
      </c>
      <c r="AE234" s="4" t="s">
        <v>987</v>
      </c>
      <c r="AF234" s="4" t="s">
        <v>876</v>
      </c>
    </row>
    <row r="235" spans="1:35" ht="72" x14ac:dyDescent="0.35">
      <c r="A235" s="10" t="s">
        <v>988</v>
      </c>
      <c r="B235" s="10"/>
      <c r="C235" s="28" t="s">
        <v>912</v>
      </c>
      <c r="D235" s="12"/>
      <c r="E235" s="12" t="s">
        <v>917</v>
      </c>
      <c r="F235" s="29" t="s">
        <v>490</v>
      </c>
      <c r="G235" s="30">
        <v>1.84</v>
      </c>
      <c r="H235" s="49"/>
      <c r="I235" s="49">
        <v>6123.7039999999997</v>
      </c>
      <c r="J235" s="31">
        <v>450.95</v>
      </c>
      <c r="M235" s="32">
        <f>ROUND(ROUND(J235, 2)*I235, 2)</f>
        <v>2761484.32</v>
      </c>
      <c r="P235" s="33">
        <v>450.95</v>
      </c>
      <c r="S235" s="32">
        <f>ROUND(ROUND(P235, 2)*I235, 2)</f>
        <v>2761484.32</v>
      </c>
      <c r="V235" s="9">
        <f>ROUND(ROUND(P235, 2)/1.2, 2)</f>
        <v>375.79</v>
      </c>
      <c r="Y235" s="9">
        <f t="shared" si="12"/>
        <v>2301236.9300000002</v>
      </c>
      <c r="AD235" s="4" t="s">
        <v>989</v>
      </c>
      <c r="AE235" s="4" t="s">
        <v>990</v>
      </c>
      <c r="AF235" s="4" t="s">
        <v>915</v>
      </c>
    </row>
    <row r="236" spans="1:35" ht="36" x14ac:dyDescent="0.35">
      <c r="A236" s="10" t="s">
        <v>991</v>
      </c>
      <c r="B236" s="10"/>
      <c r="C236" s="47" t="s">
        <v>905</v>
      </c>
      <c r="D236" s="12"/>
      <c r="E236" s="12"/>
      <c r="F236" s="29" t="s">
        <v>498</v>
      </c>
      <c r="G236" s="30">
        <v>0.7</v>
      </c>
      <c r="H236" s="49"/>
      <c r="I236" s="49">
        <v>2329.67</v>
      </c>
      <c r="J236" s="31">
        <v>16.12</v>
      </c>
      <c r="M236" s="32">
        <f>ROUND(ROUND(J236, 2)*I236, 2)</f>
        <v>37554.28</v>
      </c>
      <c r="P236" s="33">
        <v>16.11</v>
      </c>
      <c r="S236" s="32">
        <f>ROUND(ROUND(P236, 2)*I236, 2)</f>
        <v>37530.980000000003</v>
      </c>
      <c r="V236" s="9">
        <f>ROUND(ROUND(P236, 2)/1.2, 2)</f>
        <v>13.43</v>
      </c>
      <c r="Y236" s="9">
        <f t="shared" si="12"/>
        <v>31275.82</v>
      </c>
      <c r="AD236" s="4" t="s">
        <v>992</v>
      </c>
      <c r="AE236" s="4" t="s">
        <v>993</v>
      </c>
      <c r="AF236" s="4" t="s">
        <v>908</v>
      </c>
    </row>
    <row r="237" spans="1:35" ht="36" x14ac:dyDescent="0.35">
      <c r="A237" s="10" t="s">
        <v>994</v>
      </c>
      <c r="B237" s="10" t="s">
        <v>898</v>
      </c>
      <c r="C237" s="11" t="s">
        <v>899</v>
      </c>
      <c r="D237" s="12"/>
      <c r="E237" s="12" t="s">
        <v>933</v>
      </c>
      <c r="F237" s="12" t="s">
        <v>78</v>
      </c>
      <c r="G237" s="13">
        <v>1</v>
      </c>
      <c r="H237" s="13"/>
      <c r="I237" s="13">
        <v>0</v>
      </c>
      <c r="J237" s="14">
        <f>IFERROR(ROUND(SUM(M238,M239,M240,M241)/I237, 2),0)</f>
        <v>0</v>
      </c>
      <c r="K237" s="15">
        <v>473</v>
      </c>
      <c r="L237" s="14">
        <f>J237+ROUND(K237, 2)</f>
        <v>473</v>
      </c>
      <c r="M237" s="14">
        <f>ROUND(J237*I237, 2)</f>
        <v>0</v>
      </c>
      <c r="N237" s="14">
        <f>ROUND(I237*ROUND(K237, 2), 2)</f>
        <v>0</v>
      </c>
      <c r="O237" s="14">
        <f>M237+N237</f>
        <v>0</v>
      </c>
      <c r="P237" s="14">
        <f>IFERROR(ROUND(SUM(S238,S239,S240,S241)/I237, 2),0)</f>
        <v>0</v>
      </c>
      <c r="Q237" s="16">
        <v>709.5</v>
      </c>
      <c r="R237" s="14">
        <f>P237+ROUND(Q237, 2)</f>
        <v>709.5</v>
      </c>
      <c r="S237" s="14">
        <f>ROUND(P237*I237, 2)</f>
        <v>0</v>
      </c>
      <c r="T237" s="14">
        <f>ROUND(I237*ROUND(Q237, 2), 2)</f>
        <v>0</v>
      </c>
      <c r="U237" s="14">
        <f>S237+T237</f>
        <v>0</v>
      </c>
      <c r="V237" s="9">
        <f>ROUND(P237 / 1.2, 2)</f>
        <v>0</v>
      </c>
      <c r="W237" s="9">
        <f>ROUND(Q237 / 1.2, 2)</f>
        <v>591.25</v>
      </c>
      <c r="X237" s="9">
        <f>ROUND(R237 / 1.2, 2)</f>
        <v>591.25</v>
      </c>
      <c r="Y237" s="9">
        <f t="shared" si="12"/>
        <v>0</v>
      </c>
      <c r="Z237" s="9">
        <f>ROUND(T237 / 1.2, 2)</f>
        <v>0</v>
      </c>
      <c r="AA237" s="9">
        <f>Y237+Z237</f>
        <v>0</v>
      </c>
      <c r="AD237" s="4">
        <v>305117044</v>
      </c>
      <c r="AE237" s="4">
        <v>22135711</v>
      </c>
      <c r="AG237" s="4" t="s">
        <v>900</v>
      </c>
      <c r="AH237" s="4" t="s">
        <v>901</v>
      </c>
      <c r="AI237" s="4" t="s">
        <v>467</v>
      </c>
    </row>
    <row r="238" spans="1:35" ht="36" x14ac:dyDescent="0.35">
      <c r="A238" s="10" t="s">
        <v>995</v>
      </c>
      <c r="B238" s="10"/>
      <c r="C238" s="47" t="s">
        <v>905</v>
      </c>
      <c r="D238" s="12"/>
      <c r="E238" s="12"/>
      <c r="F238" s="29" t="s">
        <v>498</v>
      </c>
      <c r="G238" s="30">
        <v>0.7</v>
      </c>
      <c r="H238" s="49"/>
      <c r="I238" s="49">
        <v>1626.87</v>
      </c>
      <c r="J238" s="31">
        <v>16.12</v>
      </c>
      <c r="M238" s="32">
        <f>ROUND(ROUND(J238, 2)*I238, 2)</f>
        <v>26225.14</v>
      </c>
      <c r="P238" s="33">
        <v>16.11</v>
      </c>
      <c r="S238" s="32">
        <f>ROUND(ROUND(P238, 2)*I238, 2)</f>
        <v>26208.880000000001</v>
      </c>
      <c r="V238" s="9">
        <f>ROUND(ROUND(P238, 2)/1.2, 2)</f>
        <v>13.43</v>
      </c>
      <c r="Y238" s="9">
        <f t="shared" si="12"/>
        <v>21840.73</v>
      </c>
      <c r="AD238" s="4" t="s">
        <v>996</v>
      </c>
      <c r="AE238" s="4" t="s">
        <v>997</v>
      </c>
      <c r="AF238" s="4" t="s">
        <v>908</v>
      </c>
    </row>
    <row r="239" spans="1:35" ht="72" x14ac:dyDescent="0.35">
      <c r="A239" s="10" t="s">
        <v>998</v>
      </c>
      <c r="B239" s="10"/>
      <c r="C239" s="28" t="s">
        <v>912</v>
      </c>
      <c r="D239" s="12"/>
      <c r="E239" s="12" t="s">
        <v>948</v>
      </c>
      <c r="F239" s="29" t="s">
        <v>490</v>
      </c>
      <c r="G239" s="30">
        <v>1.84</v>
      </c>
      <c r="H239" s="49"/>
      <c r="I239" s="49">
        <v>4276.3440000000001</v>
      </c>
      <c r="J239" s="31">
        <v>450.95</v>
      </c>
      <c r="M239" s="32">
        <f>ROUND(ROUND(J239, 2)*I239, 2)</f>
        <v>1928417.33</v>
      </c>
      <c r="P239" s="33">
        <v>450.95</v>
      </c>
      <c r="S239" s="32">
        <f>ROUND(ROUND(P239, 2)*I239, 2)</f>
        <v>1928417.33</v>
      </c>
      <c r="V239" s="9">
        <f>ROUND(ROUND(P239, 2)/1.2, 2)</f>
        <v>375.79</v>
      </c>
      <c r="Y239" s="9">
        <f t="shared" si="12"/>
        <v>1607014.44</v>
      </c>
      <c r="AD239" s="4" t="s">
        <v>999</v>
      </c>
      <c r="AE239" s="4" t="s">
        <v>1000</v>
      </c>
      <c r="AF239" s="4" t="s">
        <v>915</v>
      </c>
    </row>
    <row r="240" spans="1:35" ht="18" x14ac:dyDescent="0.35">
      <c r="A240" s="10" t="s">
        <v>1001</v>
      </c>
      <c r="B240" s="10"/>
      <c r="C240" s="28" t="s">
        <v>873</v>
      </c>
      <c r="D240" s="12"/>
      <c r="E240" s="12"/>
      <c r="F240" s="29" t="s">
        <v>498</v>
      </c>
      <c r="G240" s="30">
        <v>0.04</v>
      </c>
      <c r="H240" s="30"/>
      <c r="I240" s="30">
        <v>0</v>
      </c>
      <c r="J240" s="31">
        <v>47.44</v>
      </c>
      <c r="M240" s="32">
        <f>ROUND(ROUND(J240, 2)*I240, 2)</f>
        <v>0</v>
      </c>
      <c r="P240" s="33">
        <v>47.44</v>
      </c>
      <c r="S240" s="32">
        <f>ROUND(ROUND(P240, 2)*I240, 2)</f>
        <v>0</v>
      </c>
      <c r="V240" s="9">
        <f>ROUND(ROUND(P240, 2)/1.2, 2)</f>
        <v>39.53</v>
      </c>
      <c r="Y240" s="9">
        <f t="shared" si="12"/>
        <v>0</v>
      </c>
      <c r="AD240" s="4" t="s">
        <v>1002</v>
      </c>
      <c r="AE240" s="4" t="s">
        <v>1003</v>
      </c>
      <c r="AF240" s="4" t="s">
        <v>876</v>
      </c>
    </row>
    <row r="241" spans="1:35" ht="36" x14ac:dyDescent="0.35">
      <c r="A241" s="10" t="s">
        <v>1004</v>
      </c>
      <c r="B241" s="10"/>
      <c r="C241" s="28" t="s">
        <v>925</v>
      </c>
      <c r="D241" s="12"/>
      <c r="E241" s="12"/>
      <c r="F241" s="29" t="s">
        <v>498</v>
      </c>
      <c r="G241" s="30">
        <v>1.4999999999999999E-2</v>
      </c>
      <c r="H241" s="30"/>
      <c r="I241" s="30">
        <v>0</v>
      </c>
      <c r="J241" s="31">
        <v>88.8</v>
      </c>
      <c r="M241" s="32">
        <f>ROUND(ROUND(J241, 2)*I241, 2)</f>
        <v>0</v>
      </c>
      <c r="P241" s="33">
        <v>88.8</v>
      </c>
      <c r="S241" s="32">
        <f>ROUND(ROUND(P241, 2)*I241, 2)</f>
        <v>0</v>
      </c>
      <c r="V241" s="9">
        <f>ROUND(ROUND(P241, 2)/1.2, 2)</f>
        <v>74</v>
      </c>
      <c r="Y241" s="9">
        <f t="shared" si="12"/>
        <v>0</v>
      </c>
      <c r="AD241" s="4" t="s">
        <v>1005</v>
      </c>
      <c r="AE241" s="4" t="s">
        <v>1006</v>
      </c>
      <c r="AF241" s="4" t="s">
        <v>928</v>
      </c>
    </row>
    <row r="242" spans="1:35" ht="36" x14ac:dyDescent="0.35">
      <c r="A242" s="10" t="s">
        <v>1007</v>
      </c>
      <c r="B242" s="10" t="s">
        <v>898</v>
      </c>
      <c r="C242" s="11" t="s">
        <v>899</v>
      </c>
      <c r="D242" s="12"/>
      <c r="E242" s="12" t="s">
        <v>957</v>
      </c>
      <c r="F242" s="12" t="s">
        <v>78</v>
      </c>
      <c r="G242" s="13">
        <v>1</v>
      </c>
      <c r="H242" s="13"/>
      <c r="I242" s="13">
        <v>0</v>
      </c>
      <c r="J242" s="14">
        <f>IFERROR(ROUND(SUM(M243,M244,M245,M246)/I242, 2),0)</f>
        <v>0</v>
      </c>
      <c r="K242" s="15">
        <v>473</v>
      </c>
      <c r="L242" s="14">
        <f>J242+ROUND(K242, 2)</f>
        <v>473</v>
      </c>
      <c r="M242" s="14">
        <f>ROUND(J242*I242, 2)</f>
        <v>0</v>
      </c>
      <c r="N242" s="14">
        <f>ROUND(I242*ROUND(K242, 2), 2)</f>
        <v>0</v>
      </c>
      <c r="O242" s="14">
        <f>M242+N242</f>
        <v>0</v>
      </c>
      <c r="P242" s="14">
        <f>IFERROR(ROUND(SUM(S243,S244,S245,S246)/I242, 2),0)</f>
        <v>0</v>
      </c>
      <c r="Q242" s="16">
        <v>709.5</v>
      </c>
      <c r="R242" s="14">
        <f>P242+ROUND(Q242, 2)</f>
        <v>709.5</v>
      </c>
      <c r="S242" s="14">
        <f>ROUND(P242*I242, 2)</f>
        <v>0</v>
      </c>
      <c r="T242" s="14">
        <f>ROUND(I242*ROUND(Q242, 2), 2)</f>
        <v>0</v>
      </c>
      <c r="U242" s="14">
        <f>S242+T242</f>
        <v>0</v>
      </c>
      <c r="V242" s="9">
        <f>ROUND(P242 / 1.2, 2)</f>
        <v>0</v>
      </c>
      <c r="W242" s="9">
        <f>ROUND(Q242 / 1.2, 2)</f>
        <v>591.25</v>
      </c>
      <c r="X242" s="9">
        <f>ROUND(R242 / 1.2, 2)</f>
        <v>591.25</v>
      </c>
      <c r="Y242" s="9">
        <f t="shared" si="12"/>
        <v>0</v>
      </c>
      <c r="Z242" s="9">
        <f>ROUND(T242 / 1.2, 2)</f>
        <v>0</v>
      </c>
      <c r="AA242" s="9">
        <f>Y242+Z242</f>
        <v>0</v>
      </c>
      <c r="AD242" s="4">
        <v>305117045</v>
      </c>
      <c r="AE242" s="4">
        <v>22135729</v>
      </c>
      <c r="AG242" s="4" t="s">
        <v>900</v>
      </c>
      <c r="AH242" s="4" t="s">
        <v>901</v>
      </c>
      <c r="AI242" s="4" t="s">
        <v>467</v>
      </c>
    </row>
    <row r="243" spans="1:35" ht="36" x14ac:dyDescent="0.35">
      <c r="A243" s="10" t="s">
        <v>1008</v>
      </c>
      <c r="B243" s="10"/>
      <c r="C243" s="28" t="s">
        <v>925</v>
      </c>
      <c r="D243" s="12"/>
      <c r="E243" s="12"/>
      <c r="F243" s="29" t="s">
        <v>498</v>
      </c>
      <c r="G243" s="30">
        <v>1.4999999999999999E-2</v>
      </c>
      <c r="H243" s="30"/>
      <c r="I243" s="30">
        <v>0</v>
      </c>
      <c r="J243" s="31">
        <v>88.8</v>
      </c>
      <c r="M243" s="32">
        <f>ROUND(ROUND(J243, 2)*I243, 2)</f>
        <v>0</v>
      </c>
      <c r="P243" s="33">
        <v>88.8</v>
      </c>
      <c r="S243" s="32">
        <f>ROUND(ROUND(P243, 2)*I243, 2)</f>
        <v>0</v>
      </c>
      <c r="V243" s="9">
        <f>ROUND(ROUND(P243, 2)/1.2, 2)</f>
        <v>74</v>
      </c>
      <c r="Y243" s="9">
        <f t="shared" si="12"/>
        <v>0</v>
      </c>
      <c r="AD243" s="4" t="s">
        <v>1009</v>
      </c>
      <c r="AE243" s="4" t="s">
        <v>1010</v>
      </c>
      <c r="AF243" s="4" t="s">
        <v>928</v>
      </c>
    </row>
    <row r="244" spans="1:35" ht="18" x14ac:dyDescent="0.35">
      <c r="A244" s="10" t="s">
        <v>1011</v>
      </c>
      <c r="B244" s="10"/>
      <c r="C244" s="28" t="s">
        <v>873</v>
      </c>
      <c r="D244" s="12"/>
      <c r="E244" s="12"/>
      <c r="F244" s="29" t="s">
        <v>498</v>
      </c>
      <c r="G244" s="30">
        <v>0.04</v>
      </c>
      <c r="H244" s="30"/>
      <c r="I244" s="30">
        <v>0</v>
      </c>
      <c r="J244" s="31">
        <v>47.44</v>
      </c>
      <c r="M244" s="32">
        <f>ROUND(ROUND(J244, 2)*I244, 2)</f>
        <v>0</v>
      </c>
      <c r="P244" s="33">
        <v>47.44</v>
      </c>
      <c r="S244" s="32">
        <f>ROUND(ROUND(P244, 2)*I244, 2)</f>
        <v>0</v>
      </c>
      <c r="V244" s="9">
        <f>ROUND(ROUND(P244, 2)/1.2, 2)</f>
        <v>39.53</v>
      </c>
      <c r="Y244" s="9">
        <f t="shared" si="12"/>
        <v>0</v>
      </c>
      <c r="AD244" s="4" t="s">
        <v>1012</v>
      </c>
      <c r="AE244" s="4" t="s">
        <v>1013</v>
      </c>
      <c r="AF244" s="4" t="s">
        <v>876</v>
      </c>
    </row>
    <row r="245" spans="1:35" ht="54" x14ac:dyDescent="0.35">
      <c r="A245" s="10" t="s">
        <v>1014</v>
      </c>
      <c r="B245" s="10"/>
      <c r="C245" s="28" t="s">
        <v>912</v>
      </c>
      <c r="D245" s="12"/>
      <c r="E245" s="12" t="s">
        <v>969</v>
      </c>
      <c r="F245" s="29" t="s">
        <v>490</v>
      </c>
      <c r="G245" s="30">
        <v>1.84</v>
      </c>
      <c r="H245" s="49"/>
      <c r="I245" s="49">
        <v>1641.4639999999999</v>
      </c>
      <c r="J245" s="31">
        <v>450.95</v>
      </c>
      <c r="M245" s="32">
        <f>ROUND(ROUND(J245, 2)*I245, 2)</f>
        <v>740218.19</v>
      </c>
      <c r="P245" s="33">
        <v>450.95</v>
      </c>
      <c r="S245" s="32">
        <f>ROUND(ROUND(P245, 2)*I245, 2)</f>
        <v>740218.19</v>
      </c>
      <c r="V245" s="9">
        <f>ROUND(ROUND(P245, 2)/1.2, 2)</f>
        <v>375.79</v>
      </c>
      <c r="Y245" s="9">
        <f t="shared" si="12"/>
        <v>616848.49</v>
      </c>
      <c r="AD245" s="4" t="s">
        <v>1015</v>
      </c>
      <c r="AE245" s="4" t="s">
        <v>1016</v>
      </c>
      <c r="AF245" s="4" t="s">
        <v>915</v>
      </c>
    </row>
    <row r="246" spans="1:35" ht="36" x14ac:dyDescent="0.35">
      <c r="A246" s="10" t="s">
        <v>1017</v>
      </c>
      <c r="B246" s="10"/>
      <c r="C246" s="47" t="s">
        <v>905</v>
      </c>
      <c r="D246" s="12"/>
      <c r="E246" s="12"/>
      <c r="F246" s="29" t="s">
        <v>498</v>
      </c>
      <c r="G246" s="30">
        <v>0.7</v>
      </c>
      <c r="H246" s="49"/>
      <c r="I246" s="49">
        <v>624.47</v>
      </c>
      <c r="J246" s="31">
        <v>16.12</v>
      </c>
      <c r="M246" s="32">
        <f>ROUND(ROUND(J246, 2)*I246, 2)</f>
        <v>10066.459999999999</v>
      </c>
      <c r="P246" s="33">
        <v>16.11</v>
      </c>
      <c r="S246" s="32">
        <f>ROUND(ROUND(P246, 2)*I246, 2)</f>
        <v>10060.209999999999</v>
      </c>
      <c r="V246" s="9">
        <f>ROUND(ROUND(P246, 2)/1.2, 2)</f>
        <v>13.43</v>
      </c>
      <c r="Y246" s="9">
        <f t="shared" si="12"/>
        <v>8383.51</v>
      </c>
      <c r="AD246" s="4" t="s">
        <v>1018</v>
      </c>
      <c r="AE246" s="4" t="s">
        <v>1019</v>
      </c>
      <c r="AF246" s="4" t="s">
        <v>908</v>
      </c>
    </row>
    <row r="247" spans="1:35" ht="54" x14ac:dyDescent="0.35">
      <c r="A247" s="10" t="s">
        <v>1020</v>
      </c>
      <c r="B247" s="10" t="s">
        <v>1021</v>
      </c>
      <c r="C247" s="11" t="s">
        <v>1022</v>
      </c>
      <c r="D247" s="12"/>
      <c r="E247" s="12"/>
      <c r="F247" s="12" t="s">
        <v>63</v>
      </c>
      <c r="G247" s="13">
        <v>1</v>
      </c>
      <c r="H247" s="13"/>
      <c r="I247" s="13">
        <v>0</v>
      </c>
      <c r="J247" s="14">
        <v>2347.08</v>
      </c>
      <c r="K247" s="15">
        <v>1655</v>
      </c>
      <c r="L247" s="14">
        <f>J247+ROUND(K247, 2)</f>
        <v>4002.08</v>
      </c>
      <c r="M247" s="14">
        <v>0</v>
      </c>
      <c r="N247" s="14">
        <v>0</v>
      </c>
      <c r="O247" s="14">
        <f>M247+N247</f>
        <v>0</v>
      </c>
      <c r="P247" s="14">
        <v>2347.08</v>
      </c>
      <c r="Q247" s="15">
        <v>1655</v>
      </c>
      <c r="R247" s="14">
        <f>P247+ROUND(Q247, 2)</f>
        <v>4002.08</v>
      </c>
      <c r="S247" s="14">
        <v>0</v>
      </c>
      <c r="T247" s="14">
        <v>0</v>
      </c>
      <c r="U247" s="14">
        <f>S247+T247</f>
        <v>0</v>
      </c>
      <c r="V247" s="9">
        <f>ROUND(P247 / 1.2, 2)</f>
        <v>1955.9</v>
      </c>
      <c r="W247" s="9">
        <f>ROUND(Q247 / 1.2, 2)</f>
        <v>1379.17</v>
      </c>
      <c r="X247" s="9">
        <f>ROUND(R247 / 1.2, 2)</f>
        <v>3335.07</v>
      </c>
      <c r="Y247" s="9">
        <f t="shared" si="12"/>
        <v>0</v>
      </c>
      <c r="Z247" s="9">
        <f>ROUND(T247 / 1.2, 2)</f>
        <v>0</v>
      </c>
      <c r="AA247" s="9">
        <f>Y247+Z247</f>
        <v>0</v>
      </c>
      <c r="AD247" s="4">
        <v>305116971</v>
      </c>
      <c r="AE247" s="4">
        <v>20926518</v>
      </c>
      <c r="AG247" s="4" t="s">
        <v>1023</v>
      </c>
      <c r="AH247" s="4" t="s">
        <v>1024</v>
      </c>
      <c r="AI247" s="4" t="s">
        <v>467</v>
      </c>
    </row>
    <row r="248" spans="1:35" ht="18" x14ac:dyDescent="0.35">
      <c r="A248" s="10" t="s">
        <v>1026</v>
      </c>
      <c r="B248" s="10"/>
      <c r="C248" s="28" t="s">
        <v>1027</v>
      </c>
      <c r="D248" s="12"/>
      <c r="E248" s="12"/>
      <c r="F248" s="29" t="s">
        <v>63</v>
      </c>
      <c r="G248" s="30">
        <v>1.07</v>
      </c>
      <c r="H248" s="49"/>
      <c r="I248" s="49">
        <v>0</v>
      </c>
      <c r="J248" s="31">
        <v>2059.0500000000002</v>
      </c>
      <c r="M248" s="32">
        <f>ROUND(ROUND(J248, 2)*I248, 2)</f>
        <v>0</v>
      </c>
      <c r="P248" s="31">
        <v>2059.0500000000002</v>
      </c>
      <c r="S248" s="32">
        <f>ROUND(ROUND(P248, 2)*I248, 2)</f>
        <v>0</v>
      </c>
      <c r="V248" s="9">
        <f>ROUND(ROUND(P248, 2)/1.2, 2)</f>
        <v>1715.88</v>
      </c>
      <c r="Y248" s="9">
        <f t="shared" ref="Y248:Y279" si="13">ROUND(S248 / 1.2, 2)</f>
        <v>0</v>
      </c>
      <c r="AD248" s="4" t="s">
        <v>1028</v>
      </c>
      <c r="AE248" s="4" t="s">
        <v>1029</v>
      </c>
      <c r="AF248" s="4" t="s">
        <v>1030</v>
      </c>
    </row>
    <row r="249" spans="1:35" ht="36" x14ac:dyDescent="0.35">
      <c r="A249" s="10" t="s">
        <v>1034</v>
      </c>
      <c r="B249" s="10"/>
      <c r="C249" s="47" t="s">
        <v>1035</v>
      </c>
      <c r="D249" s="12"/>
      <c r="E249" s="12"/>
      <c r="F249" s="29" t="s">
        <v>498</v>
      </c>
      <c r="G249" s="30">
        <v>7</v>
      </c>
      <c r="H249" s="30"/>
      <c r="I249" s="30">
        <v>0</v>
      </c>
      <c r="J249" s="31">
        <v>16.96</v>
      </c>
      <c r="M249" s="32">
        <f>ROUND(ROUND(J249, 2)*I249, 2)</f>
        <v>0</v>
      </c>
      <c r="P249" s="31">
        <v>16.96</v>
      </c>
      <c r="S249" s="32">
        <f>ROUND(ROUND(P249, 2)*I249, 2)</f>
        <v>0</v>
      </c>
      <c r="V249" s="9">
        <f>ROUND(ROUND(P249, 2)/1.2, 2)</f>
        <v>14.13</v>
      </c>
      <c r="Y249" s="9">
        <f t="shared" si="13"/>
        <v>0</v>
      </c>
      <c r="AD249" s="4" t="s">
        <v>1036</v>
      </c>
      <c r="AE249" s="4" t="s">
        <v>1037</v>
      </c>
      <c r="AF249" s="4" t="s">
        <v>1038</v>
      </c>
    </row>
    <row r="250" spans="1:35" ht="18" x14ac:dyDescent="0.35">
      <c r="A250" s="10" t="s">
        <v>1041</v>
      </c>
      <c r="B250" s="10"/>
      <c r="C250" s="28" t="s">
        <v>873</v>
      </c>
      <c r="D250" s="12"/>
      <c r="E250" s="12"/>
      <c r="F250" s="29" t="s">
        <v>498</v>
      </c>
      <c r="G250" s="30">
        <v>0.25</v>
      </c>
      <c r="H250" s="49"/>
      <c r="I250" s="49">
        <v>0</v>
      </c>
      <c r="J250" s="31">
        <v>47.44</v>
      </c>
      <c r="M250" s="32">
        <f>ROUND(ROUND(J250, 2)*I250, 2)</f>
        <v>0</v>
      </c>
      <c r="P250" s="31">
        <v>47.44</v>
      </c>
      <c r="S250" s="32">
        <f>ROUND(ROUND(P250, 2)*I250, 2)</f>
        <v>0</v>
      </c>
      <c r="V250" s="9">
        <f>ROUND(ROUND(P250, 2)/1.2, 2)</f>
        <v>39.53</v>
      </c>
      <c r="Y250" s="9">
        <f t="shared" si="13"/>
        <v>0</v>
      </c>
      <c r="AD250" s="4" t="s">
        <v>1042</v>
      </c>
      <c r="AE250" s="4" t="s">
        <v>1043</v>
      </c>
      <c r="AF250" s="4" t="s">
        <v>876</v>
      </c>
    </row>
    <row r="251" spans="1:35" ht="36" x14ac:dyDescent="0.35">
      <c r="A251" s="10" t="s">
        <v>1046</v>
      </c>
      <c r="B251" s="10"/>
      <c r="C251" s="28" t="s">
        <v>925</v>
      </c>
      <c r="D251" s="12"/>
      <c r="E251" s="12"/>
      <c r="F251" s="29" t="s">
        <v>498</v>
      </c>
      <c r="G251" s="30">
        <v>0.15</v>
      </c>
      <c r="H251" s="30"/>
      <c r="I251" s="30">
        <v>0</v>
      </c>
      <c r="J251" s="31">
        <v>88.8</v>
      </c>
      <c r="M251" s="32">
        <f>ROUND(ROUND(J251, 2)*I251, 2)</f>
        <v>0</v>
      </c>
      <c r="P251" s="31">
        <v>88.8</v>
      </c>
      <c r="S251" s="32">
        <f>ROUND(ROUND(P251, 2)*I251, 2)</f>
        <v>0</v>
      </c>
      <c r="V251" s="9">
        <f>ROUND(ROUND(P251, 2)/1.2, 2)</f>
        <v>74</v>
      </c>
      <c r="Y251" s="9">
        <f t="shared" si="13"/>
        <v>0</v>
      </c>
      <c r="AD251" s="4" t="s">
        <v>1047</v>
      </c>
      <c r="AE251" s="4" t="s">
        <v>1048</v>
      </c>
      <c r="AF251" s="4" t="s">
        <v>928</v>
      </c>
    </row>
    <row r="252" spans="1:35" ht="54" x14ac:dyDescent="0.35">
      <c r="A252" s="10" t="s">
        <v>1051</v>
      </c>
      <c r="B252" s="10" t="s">
        <v>1021</v>
      </c>
      <c r="C252" s="11" t="s">
        <v>1022</v>
      </c>
      <c r="D252" s="12"/>
      <c r="E252" s="12"/>
      <c r="F252" s="12" t="s">
        <v>63</v>
      </c>
      <c r="G252" s="13">
        <v>1</v>
      </c>
      <c r="H252" s="13"/>
      <c r="I252" s="13">
        <v>0</v>
      </c>
      <c r="J252" s="14">
        <v>2347.08</v>
      </c>
      <c r="K252" s="15">
        <v>1655</v>
      </c>
      <c r="L252" s="14">
        <f>J252+ROUND(K252, 2)</f>
        <v>4002.08</v>
      </c>
      <c r="M252" s="14">
        <v>0</v>
      </c>
      <c r="N252" s="14">
        <v>0</v>
      </c>
      <c r="O252" s="14">
        <f>M252+N252</f>
        <v>0</v>
      </c>
      <c r="P252" s="14">
        <v>2347.08</v>
      </c>
      <c r="Q252" s="15">
        <v>1655</v>
      </c>
      <c r="R252" s="14">
        <f>P252+ROUND(Q252, 2)</f>
        <v>4002.08</v>
      </c>
      <c r="S252" s="14">
        <v>0</v>
      </c>
      <c r="T252" s="14">
        <v>0</v>
      </c>
      <c r="U252" s="14">
        <f>S252+T252</f>
        <v>0</v>
      </c>
      <c r="V252" s="9">
        <f>ROUND(P252 / 1.2, 2)</f>
        <v>1955.9</v>
      </c>
      <c r="W252" s="9">
        <f>ROUND(Q252 / 1.2, 2)</f>
        <v>1379.17</v>
      </c>
      <c r="X252" s="9">
        <f>ROUND(R252 / 1.2, 2)</f>
        <v>3335.07</v>
      </c>
      <c r="Y252" s="9">
        <f t="shared" si="13"/>
        <v>0</v>
      </c>
      <c r="Z252" s="9">
        <f>ROUND(T252 / 1.2, 2)</f>
        <v>0</v>
      </c>
      <c r="AA252" s="9">
        <f>Y252+Z252</f>
        <v>0</v>
      </c>
      <c r="AD252" s="4">
        <v>305117046</v>
      </c>
      <c r="AE252" s="4">
        <v>20926526</v>
      </c>
      <c r="AG252" s="4" t="s">
        <v>1023</v>
      </c>
      <c r="AH252" s="4" t="s">
        <v>1024</v>
      </c>
      <c r="AI252" s="4" t="s">
        <v>467</v>
      </c>
    </row>
    <row r="253" spans="1:35" ht="36" x14ac:dyDescent="0.35">
      <c r="A253" s="10" t="s">
        <v>1054</v>
      </c>
      <c r="B253" s="10"/>
      <c r="C253" s="28" t="s">
        <v>925</v>
      </c>
      <c r="D253" s="12"/>
      <c r="E253" s="12"/>
      <c r="F253" s="29" t="s">
        <v>498</v>
      </c>
      <c r="G253" s="30">
        <v>0.15</v>
      </c>
      <c r="H253" s="30"/>
      <c r="I253" s="30">
        <v>0</v>
      </c>
      <c r="J253" s="31">
        <v>88.8</v>
      </c>
      <c r="M253" s="32">
        <f>ROUND(ROUND(J253, 2)*I253, 2)</f>
        <v>0</v>
      </c>
      <c r="P253" s="31">
        <v>88.8</v>
      </c>
      <c r="S253" s="32">
        <f>ROUND(ROUND(P253, 2)*I253, 2)</f>
        <v>0</v>
      </c>
      <c r="V253" s="9">
        <f>ROUND(ROUND(P253, 2)/1.2, 2)</f>
        <v>74</v>
      </c>
      <c r="Y253" s="9">
        <f t="shared" si="13"/>
        <v>0</v>
      </c>
      <c r="AD253" s="4" t="s">
        <v>1055</v>
      </c>
      <c r="AE253" s="4" t="s">
        <v>1056</v>
      </c>
      <c r="AF253" s="4" t="s">
        <v>928</v>
      </c>
    </row>
    <row r="254" spans="1:35" ht="18" x14ac:dyDescent="0.35">
      <c r="A254" s="10" t="s">
        <v>1059</v>
      </c>
      <c r="B254" s="10"/>
      <c r="C254" s="28" t="s">
        <v>873</v>
      </c>
      <c r="D254" s="12"/>
      <c r="E254" s="12"/>
      <c r="F254" s="29" t="s">
        <v>498</v>
      </c>
      <c r="G254" s="30">
        <v>0.25</v>
      </c>
      <c r="H254" s="49"/>
      <c r="I254" s="49">
        <v>0</v>
      </c>
      <c r="J254" s="31">
        <v>47.44</v>
      </c>
      <c r="M254" s="32">
        <f>ROUND(ROUND(J254, 2)*I254, 2)</f>
        <v>0</v>
      </c>
      <c r="P254" s="31">
        <v>47.44</v>
      </c>
      <c r="S254" s="32">
        <f>ROUND(ROUND(P254, 2)*I254, 2)</f>
        <v>0</v>
      </c>
      <c r="V254" s="9">
        <f>ROUND(ROUND(P254, 2)/1.2, 2)</f>
        <v>39.53</v>
      </c>
      <c r="Y254" s="9">
        <f t="shared" si="13"/>
        <v>0</v>
      </c>
      <c r="AD254" s="4" t="s">
        <v>1060</v>
      </c>
      <c r="AE254" s="4" t="s">
        <v>1061</v>
      </c>
      <c r="AF254" s="4" t="s">
        <v>876</v>
      </c>
    </row>
    <row r="255" spans="1:35" ht="36" x14ac:dyDescent="0.35">
      <c r="A255" s="10" t="s">
        <v>1064</v>
      </c>
      <c r="B255" s="10"/>
      <c r="C255" s="47" t="s">
        <v>1035</v>
      </c>
      <c r="D255" s="12"/>
      <c r="E255" s="12"/>
      <c r="F255" s="29" t="s">
        <v>498</v>
      </c>
      <c r="G255" s="30">
        <v>7</v>
      </c>
      <c r="H255" s="30"/>
      <c r="I255" s="30">
        <v>0</v>
      </c>
      <c r="J255" s="31">
        <v>16.96</v>
      </c>
      <c r="M255" s="32">
        <f>ROUND(ROUND(J255, 2)*I255, 2)</f>
        <v>0</v>
      </c>
      <c r="P255" s="31">
        <v>16.96</v>
      </c>
      <c r="S255" s="32">
        <f>ROUND(ROUND(P255, 2)*I255, 2)</f>
        <v>0</v>
      </c>
      <c r="V255" s="9">
        <f>ROUND(ROUND(P255, 2)/1.2, 2)</f>
        <v>14.13</v>
      </c>
      <c r="Y255" s="9">
        <f t="shared" si="13"/>
        <v>0</v>
      </c>
      <c r="AD255" s="4" t="s">
        <v>1065</v>
      </c>
      <c r="AE255" s="4" t="s">
        <v>1066</v>
      </c>
      <c r="AF255" s="4" t="s">
        <v>1038</v>
      </c>
    </row>
    <row r="256" spans="1:35" ht="18" x14ac:dyDescent="0.35">
      <c r="A256" s="10" t="s">
        <v>1069</v>
      </c>
      <c r="B256" s="10"/>
      <c r="C256" s="28" t="s">
        <v>1027</v>
      </c>
      <c r="D256" s="12"/>
      <c r="E256" s="12"/>
      <c r="F256" s="29" t="s">
        <v>63</v>
      </c>
      <c r="G256" s="30">
        <v>1.07</v>
      </c>
      <c r="H256" s="49"/>
      <c r="I256" s="49">
        <v>0</v>
      </c>
      <c r="J256" s="31">
        <v>2059.0500000000002</v>
      </c>
      <c r="M256" s="32">
        <f>ROUND(ROUND(J256, 2)*I256, 2)</f>
        <v>0</v>
      </c>
      <c r="P256" s="31">
        <v>2059.0500000000002</v>
      </c>
      <c r="S256" s="32">
        <f>ROUND(ROUND(P256, 2)*I256, 2)</f>
        <v>0</v>
      </c>
      <c r="V256" s="9">
        <f>ROUND(ROUND(P256, 2)/1.2, 2)</f>
        <v>1715.88</v>
      </c>
      <c r="Y256" s="9">
        <f t="shared" si="13"/>
        <v>0</v>
      </c>
      <c r="AD256" s="4" t="s">
        <v>1070</v>
      </c>
      <c r="AE256" s="4" t="s">
        <v>1071</v>
      </c>
      <c r="AF256" s="4" t="s">
        <v>1030</v>
      </c>
    </row>
    <row r="257" spans="1:35" ht="54" x14ac:dyDescent="0.35">
      <c r="A257" s="10" t="s">
        <v>1074</v>
      </c>
      <c r="B257" s="10" t="s">
        <v>1021</v>
      </c>
      <c r="C257" s="11" t="s">
        <v>1022</v>
      </c>
      <c r="D257" s="12"/>
      <c r="E257" s="12" t="s">
        <v>903</v>
      </c>
      <c r="F257" s="12" t="s">
        <v>63</v>
      </c>
      <c r="G257" s="13">
        <v>1</v>
      </c>
      <c r="H257" s="13"/>
      <c r="I257" s="13">
        <v>0</v>
      </c>
      <c r="J257" s="14">
        <f>IFERROR(ROUND(SUM(M258,M259,M260,M261)/I257, 2),0)</f>
        <v>0</v>
      </c>
      <c r="K257" s="15">
        <v>1655</v>
      </c>
      <c r="L257" s="14">
        <f>J257+ROUND(K257, 2)</f>
        <v>1655</v>
      </c>
      <c r="M257" s="14">
        <f>ROUND(J257*I257, 2)</f>
        <v>0</v>
      </c>
      <c r="N257" s="14">
        <f>ROUND(I257*ROUND(K257, 2), 2)</f>
        <v>0</v>
      </c>
      <c r="O257" s="14">
        <f>M257+N257</f>
        <v>0</v>
      </c>
      <c r="P257" s="14">
        <f>IFERROR(ROUND(SUM(S258,S259,S260,S261)/I257, 2),0)</f>
        <v>0</v>
      </c>
      <c r="Q257" s="16">
        <v>2482.5</v>
      </c>
      <c r="R257" s="14">
        <f>P257+ROUND(Q257, 2)</f>
        <v>2482.5</v>
      </c>
      <c r="S257" s="14">
        <f>ROUND(P257*I257, 2)</f>
        <v>0</v>
      </c>
      <c r="T257" s="14">
        <f>ROUND(I257*ROUND(Q257, 2), 2)</f>
        <v>0</v>
      </c>
      <c r="U257" s="14">
        <f>S257+T257</f>
        <v>0</v>
      </c>
      <c r="V257" s="9">
        <f>ROUND(P257 / 1.2, 2)</f>
        <v>0</v>
      </c>
      <c r="W257" s="9">
        <f>ROUND(Q257 / 1.2, 2)</f>
        <v>2068.75</v>
      </c>
      <c r="X257" s="9">
        <f>ROUND(R257 / 1.2, 2)</f>
        <v>2068.75</v>
      </c>
      <c r="Y257" s="9">
        <f t="shared" si="13"/>
        <v>0</v>
      </c>
      <c r="Z257" s="9">
        <f>ROUND(T257 / 1.2, 2)</f>
        <v>0</v>
      </c>
      <c r="AA257" s="9">
        <f>Y257+Z257</f>
        <v>0</v>
      </c>
      <c r="AD257" s="4">
        <v>305117047</v>
      </c>
      <c r="AE257" s="4">
        <v>22135703</v>
      </c>
      <c r="AG257" s="4" t="s">
        <v>1023</v>
      </c>
      <c r="AH257" s="4" t="s">
        <v>1024</v>
      </c>
      <c r="AI257" s="4" t="s">
        <v>467</v>
      </c>
    </row>
    <row r="258" spans="1:35" ht="54" x14ac:dyDescent="0.35">
      <c r="A258" s="10" t="s">
        <v>1075</v>
      </c>
      <c r="B258" s="10"/>
      <c r="C258" s="28" t="s">
        <v>1027</v>
      </c>
      <c r="D258" s="12"/>
      <c r="E258" s="12" t="s">
        <v>1032</v>
      </c>
      <c r="F258" s="29" t="s">
        <v>63</v>
      </c>
      <c r="G258" s="30">
        <v>1.07</v>
      </c>
      <c r="H258" s="49"/>
      <c r="I258" s="49">
        <v>4092.0120000000002</v>
      </c>
      <c r="J258" s="31">
        <v>2059.06</v>
      </c>
      <c r="M258" s="32">
        <f>ROUND(ROUND(J258, 2)*I258, 2)</f>
        <v>8425698.2300000004</v>
      </c>
      <c r="P258" s="33">
        <v>2059.0500000000002</v>
      </c>
      <c r="S258" s="32">
        <f>ROUND(ROUND(P258, 2)*I258, 2)</f>
        <v>8425657.3100000005</v>
      </c>
      <c r="V258" s="9">
        <f>ROUND(ROUND(P258, 2)/1.2, 2)</f>
        <v>1715.88</v>
      </c>
      <c r="Y258" s="9">
        <f t="shared" si="13"/>
        <v>7021381.0899999999</v>
      </c>
      <c r="AD258" s="4" t="s">
        <v>1076</v>
      </c>
      <c r="AE258" s="4" t="s">
        <v>1077</v>
      </c>
      <c r="AF258" s="4" t="s">
        <v>1030</v>
      </c>
    </row>
    <row r="259" spans="1:35" ht="36" x14ac:dyDescent="0.35">
      <c r="A259" s="10" t="s">
        <v>1078</v>
      </c>
      <c r="B259" s="10"/>
      <c r="C259" s="47" t="s">
        <v>1035</v>
      </c>
      <c r="D259" s="12"/>
      <c r="E259" s="12"/>
      <c r="F259" s="29" t="s">
        <v>498</v>
      </c>
      <c r="G259" s="30">
        <v>7</v>
      </c>
      <c r="H259" s="30"/>
      <c r="I259" s="30">
        <v>0</v>
      </c>
      <c r="J259" s="31">
        <v>16.12</v>
      </c>
      <c r="M259" s="32">
        <f>ROUND(ROUND(J259, 2)*I259, 2)</f>
        <v>0</v>
      </c>
      <c r="P259" s="33">
        <v>16.11</v>
      </c>
      <c r="S259" s="32">
        <f>ROUND(ROUND(P259, 2)*I259, 2)</f>
        <v>0</v>
      </c>
      <c r="V259" s="9">
        <f>ROUND(ROUND(P259, 2)/1.2, 2)</f>
        <v>13.43</v>
      </c>
      <c r="Y259" s="9">
        <f t="shared" si="13"/>
        <v>0</v>
      </c>
      <c r="AD259" s="4" t="s">
        <v>1079</v>
      </c>
      <c r="AE259" s="4" t="s">
        <v>1080</v>
      </c>
      <c r="AF259" s="4" t="s">
        <v>1038</v>
      </c>
    </row>
    <row r="260" spans="1:35" ht="18" x14ac:dyDescent="0.35">
      <c r="A260" s="10" t="s">
        <v>1081</v>
      </c>
      <c r="B260" s="10"/>
      <c r="C260" s="28" t="s">
        <v>873</v>
      </c>
      <c r="D260" s="12"/>
      <c r="E260" s="12"/>
      <c r="F260" s="29" t="s">
        <v>498</v>
      </c>
      <c r="G260" s="30">
        <v>0.25</v>
      </c>
      <c r="H260" s="49"/>
      <c r="I260" s="49">
        <v>956.07799999999997</v>
      </c>
      <c r="J260" s="31">
        <v>47.44</v>
      </c>
      <c r="M260" s="32">
        <f>ROUND(ROUND(J260, 2)*I260, 2)</f>
        <v>45356.34</v>
      </c>
      <c r="P260" s="33">
        <v>47.44</v>
      </c>
      <c r="S260" s="32">
        <f>ROUND(ROUND(P260, 2)*I260, 2)</f>
        <v>45356.34</v>
      </c>
      <c r="V260" s="9">
        <f>ROUND(ROUND(P260, 2)/1.2, 2)</f>
        <v>39.53</v>
      </c>
      <c r="Y260" s="9">
        <f t="shared" si="13"/>
        <v>37796.949999999997</v>
      </c>
      <c r="AD260" s="4" t="s">
        <v>1082</v>
      </c>
      <c r="AE260" s="4" t="s">
        <v>1083</v>
      </c>
      <c r="AF260" s="4" t="s">
        <v>876</v>
      </c>
    </row>
    <row r="261" spans="1:35" ht="36" x14ac:dyDescent="0.35">
      <c r="A261" s="10" t="s">
        <v>1084</v>
      </c>
      <c r="B261" s="10"/>
      <c r="C261" s="28" t="s">
        <v>925</v>
      </c>
      <c r="D261" s="12"/>
      <c r="E261" s="12"/>
      <c r="F261" s="29" t="s">
        <v>498</v>
      </c>
      <c r="G261" s="30">
        <v>0.15</v>
      </c>
      <c r="H261" s="30"/>
      <c r="I261" s="30">
        <v>0</v>
      </c>
      <c r="J261" s="31">
        <v>88.8</v>
      </c>
      <c r="M261" s="32">
        <f>ROUND(ROUND(J261, 2)*I261, 2)</f>
        <v>0</v>
      </c>
      <c r="P261" s="33">
        <v>88.8</v>
      </c>
      <c r="S261" s="32">
        <f>ROUND(ROUND(P261, 2)*I261, 2)</f>
        <v>0</v>
      </c>
      <c r="V261" s="9">
        <f>ROUND(ROUND(P261, 2)/1.2, 2)</f>
        <v>74</v>
      </c>
      <c r="Y261" s="9">
        <f t="shared" si="13"/>
        <v>0</v>
      </c>
      <c r="AD261" s="4" t="s">
        <v>1085</v>
      </c>
      <c r="AE261" s="4" t="s">
        <v>1086</v>
      </c>
      <c r="AF261" s="4" t="s">
        <v>928</v>
      </c>
    </row>
    <row r="262" spans="1:35" ht="72" x14ac:dyDescent="0.35">
      <c r="A262" s="10" t="s">
        <v>1087</v>
      </c>
      <c r="B262" s="10" t="s">
        <v>1021</v>
      </c>
      <c r="C262" s="11" t="s">
        <v>1022</v>
      </c>
      <c r="D262" s="12"/>
      <c r="E262" s="12" t="s">
        <v>1088</v>
      </c>
      <c r="F262" s="12" t="s">
        <v>63</v>
      </c>
      <c r="G262" s="13">
        <v>1</v>
      </c>
      <c r="H262" s="13"/>
      <c r="I262" s="13">
        <v>0</v>
      </c>
      <c r="J262" s="14">
        <f>IFERROR(ROUND(SUM(M263,M264,M265,M266)/I262, 2),0)</f>
        <v>0</v>
      </c>
      <c r="K262" s="15">
        <v>1655</v>
      </c>
      <c r="L262" s="14">
        <f>J262+ROUND(K262, 2)</f>
        <v>1655</v>
      </c>
      <c r="M262" s="14">
        <f>ROUND(J262*I262, 2)</f>
        <v>0</v>
      </c>
      <c r="N262" s="14">
        <f>ROUND(I262*ROUND(K262, 2), 2)</f>
        <v>0</v>
      </c>
      <c r="O262" s="14">
        <f>M262+N262</f>
        <v>0</v>
      </c>
      <c r="P262" s="14">
        <f>IFERROR(ROUND(SUM(S263,S264,S265,S266)/I262, 2),0)</f>
        <v>0</v>
      </c>
      <c r="Q262" s="16">
        <v>2482.5</v>
      </c>
      <c r="R262" s="14">
        <f>P262+ROUND(Q262, 2)</f>
        <v>2482.5</v>
      </c>
      <c r="S262" s="14">
        <f>ROUND(P262*I262, 2)</f>
        <v>0</v>
      </c>
      <c r="T262" s="14">
        <f>ROUND(I262*ROUND(Q262, 2), 2)</f>
        <v>0</v>
      </c>
      <c r="U262" s="14">
        <f>S262+T262</f>
        <v>0</v>
      </c>
      <c r="V262" s="9">
        <f>ROUND(P262 / 1.2, 2)</f>
        <v>0</v>
      </c>
      <c r="W262" s="9">
        <f>ROUND(Q262 / 1.2, 2)</f>
        <v>2068.75</v>
      </c>
      <c r="X262" s="9">
        <f>ROUND(R262 / 1.2, 2)</f>
        <v>2068.75</v>
      </c>
      <c r="Y262" s="9">
        <f t="shared" si="13"/>
        <v>0</v>
      </c>
      <c r="Z262" s="9">
        <f>ROUND(T262 / 1.2, 2)</f>
        <v>0</v>
      </c>
      <c r="AA262" s="9">
        <f>Y262+Z262</f>
        <v>0</v>
      </c>
      <c r="AD262" s="4">
        <v>305117048</v>
      </c>
      <c r="AE262" s="4">
        <v>22135692</v>
      </c>
      <c r="AG262" s="4" t="s">
        <v>1023</v>
      </c>
      <c r="AH262" s="4" t="s">
        <v>1024</v>
      </c>
      <c r="AI262" s="4" t="s">
        <v>467</v>
      </c>
    </row>
    <row r="263" spans="1:35" ht="36" x14ac:dyDescent="0.35">
      <c r="A263" s="10" t="s">
        <v>1089</v>
      </c>
      <c r="B263" s="10"/>
      <c r="C263" s="28" t="s">
        <v>925</v>
      </c>
      <c r="D263" s="12"/>
      <c r="E263" s="12"/>
      <c r="F263" s="29" t="s">
        <v>498</v>
      </c>
      <c r="G263" s="30">
        <v>0.15</v>
      </c>
      <c r="H263" s="30"/>
      <c r="I263" s="30">
        <v>0</v>
      </c>
      <c r="J263" s="31">
        <v>88.8</v>
      </c>
      <c r="M263" s="32">
        <f>ROUND(ROUND(J263, 2)*I263, 2)</f>
        <v>0</v>
      </c>
      <c r="P263" s="33">
        <v>88.8</v>
      </c>
      <c r="S263" s="32">
        <f>ROUND(ROUND(P263, 2)*I263, 2)</f>
        <v>0</v>
      </c>
      <c r="V263" s="9">
        <f>ROUND(ROUND(P263, 2)/1.2, 2)</f>
        <v>74</v>
      </c>
      <c r="Y263" s="9">
        <f t="shared" si="13"/>
        <v>0</v>
      </c>
      <c r="AD263" s="4" t="s">
        <v>1090</v>
      </c>
      <c r="AE263" s="4" t="s">
        <v>1091</v>
      </c>
      <c r="AF263" s="4" t="s">
        <v>928</v>
      </c>
    </row>
    <row r="264" spans="1:35" ht="18" x14ac:dyDescent="0.35">
      <c r="A264" s="10" t="s">
        <v>1092</v>
      </c>
      <c r="B264" s="10"/>
      <c r="C264" s="28" t="s">
        <v>873</v>
      </c>
      <c r="D264" s="12"/>
      <c r="E264" s="12"/>
      <c r="F264" s="29" t="s">
        <v>498</v>
      </c>
      <c r="G264" s="30">
        <v>0.25</v>
      </c>
      <c r="H264" s="49"/>
      <c r="I264" s="49">
        <v>21.8</v>
      </c>
      <c r="J264" s="31">
        <v>47.44</v>
      </c>
      <c r="M264" s="32">
        <f>ROUND(ROUND(J264, 2)*I264, 2)</f>
        <v>1034.19</v>
      </c>
      <c r="P264" s="33">
        <v>47.44</v>
      </c>
      <c r="S264" s="32">
        <f>ROUND(ROUND(P264, 2)*I264, 2)</f>
        <v>1034.19</v>
      </c>
      <c r="V264" s="9">
        <f>ROUND(ROUND(P264, 2)/1.2, 2)</f>
        <v>39.53</v>
      </c>
      <c r="Y264" s="9">
        <f t="shared" si="13"/>
        <v>861.83</v>
      </c>
      <c r="AD264" s="4" t="s">
        <v>1093</v>
      </c>
      <c r="AE264" s="4" t="s">
        <v>1094</v>
      </c>
      <c r="AF264" s="4" t="s">
        <v>876</v>
      </c>
    </row>
    <row r="265" spans="1:35" ht="36" x14ac:dyDescent="0.35">
      <c r="A265" s="10" t="s">
        <v>1095</v>
      </c>
      <c r="B265" s="10"/>
      <c r="C265" s="47" t="s">
        <v>1035</v>
      </c>
      <c r="D265" s="12"/>
      <c r="E265" s="12"/>
      <c r="F265" s="29" t="s">
        <v>498</v>
      </c>
      <c r="G265" s="30">
        <v>7</v>
      </c>
      <c r="H265" s="30"/>
      <c r="I265" s="30">
        <v>0</v>
      </c>
      <c r="J265" s="31">
        <v>16.12</v>
      </c>
      <c r="M265" s="32">
        <f>ROUND(ROUND(J265, 2)*I265, 2)</f>
        <v>0</v>
      </c>
      <c r="P265" s="33">
        <v>16.11</v>
      </c>
      <c r="S265" s="32">
        <f>ROUND(ROUND(P265, 2)*I265, 2)</f>
        <v>0</v>
      </c>
      <c r="V265" s="9">
        <f>ROUND(ROUND(P265, 2)/1.2, 2)</f>
        <v>13.43</v>
      </c>
      <c r="Y265" s="9">
        <f t="shared" si="13"/>
        <v>0</v>
      </c>
      <c r="AD265" s="4" t="s">
        <v>1096</v>
      </c>
      <c r="AE265" s="4" t="s">
        <v>1097</v>
      </c>
      <c r="AF265" s="4" t="s">
        <v>1038</v>
      </c>
    </row>
    <row r="266" spans="1:35" ht="18" x14ac:dyDescent="0.35">
      <c r="A266" s="10" t="s">
        <v>1098</v>
      </c>
      <c r="B266" s="10"/>
      <c r="C266" s="28" t="s">
        <v>1027</v>
      </c>
      <c r="D266" s="12"/>
      <c r="E266" s="12"/>
      <c r="F266" s="29" t="s">
        <v>63</v>
      </c>
      <c r="G266" s="30">
        <v>1.07</v>
      </c>
      <c r="H266" s="49"/>
      <c r="I266" s="49">
        <v>93.304000000000002</v>
      </c>
      <c r="J266" s="31">
        <v>2059.06</v>
      </c>
      <c r="M266" s="32">
        <f>ROUND(ROUND(J266, 2)*I266, 2)</f>
        <v>192118.53</v>
      </c>
      <c r="P266" s="33">
        <v>2059.0500000000002</v>
      </c>
      <c r="S266" s="32">
        <f>ROUND(ROUND(P266, 2)*I266, 2)</f>
        <v>192117.6</v>
      </c>
      <c r="V266" s="9">
        <f>ROUND(ROUND(P266, 2)/1.2, 2)</f>
        <v>1715.88</v>
      </c>
      <c r="Y266" s="9">
        <f t="shared" si="13"/>
        <v>160098</v>
      </c>
      <c r="AD266" s="4" t="s">
        <v>1099</v>
      </c>
      <c r="AE266" s="4" t="s">
        <v>1100</v>
      </c>
      <c r="AF266" s="4" t="s">
        <v>1030</v>
      </c>
    </row>
    <row r="267" spans="1:35" ht="54" x14ac:dyDescent="0.35">
      <c r="A267" s="10" t="s">
        <v>1101</v>
      </c>
      <c r="B267" s="10" t="s">
        <v>1102</v>
      </c>
      <c r="C267" s="11" t="s">
        <v>1103</v>
      </c>
      <c r="D267" s="12"/>
      <c r="E267" s="12"/>
      <c r="F267" s="12" t="s">
        <v>63</v>
      </c>
      <c r="G267" s="13">
        <v>1</v>
      </c>
      <c r="H267" s="13"/>
      <c r="I267" s="13">
        <v>0</v>
      </c>
      <c r="J267" s="14">
        <v>2552.44</v>
      </c>
      <c r="K267" s="15">
        <v>2785</v>
      </c>
      <c r="L267" s="14">
        <f>J267+ROUND(K267, 2)</f>
        <v>5337.4400000000005</v>
      </c>
      <c r="M267" s="14">
        <v>0</v>
      </c>
      <c r="N267" s="14">
        <v>0</v>
      </c>
      <c r="O267" s="14">
        <f>M267+N267</f>
        <v>0</v>
      </c>
      <c r="P267" s="14">
        <v>2552.44</v>
      </c>
      <c r="Q267" s="15">
        <v>2785</v>
      </c>
      <c r="R267" s="14">
        <f>P267+ROUND(Q267, 2)</f>
        <v>5337.4400000000005</v>
      </c>
      <c r="S267" s="14">
        <v>0</v>
      </c>
      <c r="T267" s="14">
        <v>0</v>
      </c>
      <c r="U267" s="14">
        <f>S267+T267</f>
        <v>0</v>
      </c>
      <c r="V267" s="9">
        <f>ROUND(P267 / 1.2, 2)</f>
        <v>2127.0300000000002</v>
      </c>
      <c r="W267" s="9">
        <f>ROUND(Q267 / 1.2, 2)</f>
        <v>2320.83</v>
      </c>
      <c r="X267" s="9">
        <f>ROUND(R267 / 1.2, 2)</f>
        <v>4447.87</v>
      </c>
      <c r="Y267" s="9">
        <f t="shared" si="13"/>
        <v>0</v>
      </c>
      <c r="Z267" s="9">
        <f>ROUND(T267 / 1.2, 2)</f>
        <v>0</v>
      </c>
      <c r="AA267" s="9">
        <f>Y267+Z267</f>
        <v>0</v>
      </c>
      <c r="AD267" s="4">
        <v>305116972</v>
      </c>
      <c r="AE267" s="4">
        <v>20926527</v>
      </c>
      <c r="AG267" s="4" t="s">
        <v>1104</v>
      </c>
      <c r="AH267" s="4" t="s">
        <v>1105</v>
      </c>
      <c r="AI267" s="4" t="s">
        <v>467</v>
      </c>
    </row>
    <row r="268" spans="1:35" ht="36" x14ac:dyDescent="0.35">
      <c r="A268" s="10" t="s">
        <v>1107</v>
      </c>
      <c r="B268" s="10"/>
      <c r="C268" s="47" t="s">
        <v>1108</v>
      </c>
      <c r="D268" s="12"/>
      <c r="E268" s="12"/>
      <c r="F268" s="29" t="s">
        <v>498</v>
      </c>
      <c r="G268" s="30">
        <v>1.2</v>
      </c>
      <c r="H268" s="49"/>
      <c r="I268" s="49">
        <v>0</v>
      </c>
      <c r="J268" s="31">
        <v>16.96</v>
      </c>
      <c r="M268" s="32">
        <f>ROUND(ROUND(J268, 2)*I268, 2)</f>
        <v>0</v>
      </c>
      <c r="P268" s="31">
        <v>16.96</v>
      </c>
      <c r="S268" s="32">
        <f>ROUND(ROUND(P268, 2)*I268, 2)</f>
        <v>0</v>
      </c>
      <c r="V268" s="9">
        <f>ROUND(ROUND(P268, 2)/1.2, 2)</f>
        <v>14.13</v>
      </c>
      <c r="Y268" s="9">
        <f t="shared" si="13"/>
        <v>0</v>
      </c>
      <c r="AD268" s="4" t="s">
        <v>1109</v>
      </c>
      <c r="AE268" s="4" t="s">
        <v>1110</v>
      </c>
      <c r="AF268" s="4" t="s">
        <v>1111</v>
      </c>
    </row>
    <row r="269" spans="1:35" ht="36" x14ac:dyDescent="0.35">
      <c r="A269" s="10" t="s">
        <v>1114</v>
      </c>
      <c r="B269" s="10"/>
      <c r="C269" s="28" t="s">
        <v>1115</v>
      </c>
      <c r="D269" s="12"/>
      <c r="E269" s="12"/>
      <c r="F269" s="29" t="s">
        <v>63</v>
      </c>
      <c r="G269" s="30">
        <v>1.2</v>
      </c>
      <c r="H269" s="49"/>
      <c r="I269" s="49">
        <v>0</v>
      </c>
      <c r="J269" s="31">
        <v>2021.25</v>
      </c>
      <c r="M269" s="32">
        <f>ROUND(ROUND(J269, 2)*I269, 2)</f>
        <v>0</v>
      </c>
      <c r="P269" s="31">
        <v>2021.25</v>
      </c>
      <c r="S269" s="32">
        <f>ROUND(ROUND(P269, 2)*I269, 2)</f>
        <v>0</v>
      </c>
      <c r="V269" s="9">
        <f>ROUND(ROUND(P269, 2)/1.2, 2)</f>
        <v>1684.38</v>
      </c>
      <c r="Y269" s="9">
        <f t="shared" si="13"/>
        <v>0</v>
      </c>
      <c r="AD269" s="4" t="s">
        <v>1116</v>
      </c>
      <c r="AE269" s="4" t="s">
        <v>1117</v>
      </c>
      <c r="AF269" s="4" t="s">
        <v>1118</v>
      </c>
    </row>
    <row r="270" spans="1:35" ht="18" x14ac:dyDescent="0.35">
      <c r="A270" s="10" t="s">
        <v>1122</v>
      </c>
      <c r="B270" s="10"/>
      <c r="C270" s="28" t="s">
        <v>873</v>
      </c>
      <c r="D270" s="12"/>
      <c r="E270" s="12"/>
      <c r="F270" s="29" t="s">
        <v>498</v>
      </c>
      <c r="G270" s="30">
        <v>0.25</v>
      </c>
      <c r="H270" s="49"/>
      <c r="I270" s="49">
        <v>0</v>
      </c>
      <c r="J270" s="31">
        <v>47.44</v>
      </c>
      <c r="M270" s="32">
        <f>ROUND(ROUND(J270, 2)*I270, 2)</f>
        <v>0</v>
      </c>
      <c r="P270" s="31">
        <v>47.44</v>
      </c>
      <c r="S270" s="32">
        <f>ROUND(ROUND(P270, 2)*I270, 2)</f>
        <v>0</v>
      </c>
      <c r="V270" s="9">
        <f>ROUND(ROUND(P270, 2)/1.2, 2)</f>
        <v>39.53</v>
      </c>
      <c r="Y270" s="9">
        <f t="shared" si="13"/>
        <v>0</v>
      </c>
      <c r="AD270" s="4" t="s">
        <v>1123</v>
      </c>
      <c r="AE270" s="4" t="s">
        <v>1124</v>
      </c>
      <c r="AF270" s="4" t="s">
        <v>876</v>
      </c>
    </row>
    <row r="271" spans="1:35" ht="36" x14ac:dyDescent="0.35">
      <c r="A271" s="10" t="s">
        <v>1127</v>
      </c>
      <c r="B271" s="10"/>
      <c r="C271" s="28" t="s">
        <v>925</v>
      </c>
      <c r="D271" s="12"/>
      <c r="E271" s="12"/>
      <c r="F271" s="29" t="s">
        <v>498</v>
      </c>
      <c r="G271" s="30">
        <v>0.15</v>
      </c>
      <c r="H271" s="30"/>
      <c r="I271" s="30">
        <v>0</v>
      </c>
      <c r="J271" s="31">
        <v>88.8</v>
      </c>
      <c r="M271" s="32">
        <f>ROUND(ROUND(J271, 2)*I271, 2)</f>
        <v>0</v>
      </c>
      <c r="P271" s="31">
        <v>88.8</v>
      </c>
      <c r="S271" s="32">
        <f>ROUND(ROUND(P271, 2)*I271, 2)</f>
        <v>0</v>
      </c>
      <c r="V271" s="9">
        <f>ROUND(ROUND(P271, 2)/1.2, 2)</f>
        <v>74</v>
      </c>
      <c r="Y271" s="9">
        <f t="shared" si="13"/>
        <v>0</v>
      </c>
      <c r="AD271" s="4" t="s">
        <v>1128</v>
      </c>
      <c r="AE271" s="4" t="s">
        <v>1129</v>
      </c>
      <c r="AF271" s="4" t="s">
        <v>928</v>
      </c>
    </row>
    <row r="272" spans="1:35" ht="54" x14ac:dyDescent="0.35">
      <c r="A272" s="10" t="s">
        <v>1132</v>
      </c>
      <c r="B272" s="10" t="s">
        <v>1102</v>
      </c>
      <c r="C272" s="11" t="s">
        <v>1103</v>
      </c>
      <c r="D272" s="12"/>
      <c r="E272" s="12"/>
      <c r="F272" s="12" t="s">
        <v>63</v>
      </c>
      <c r="G272" s="13">
        <v>1</v>
      </c>
      <c r="H272" s="13"/>
      <c r="I272" s="13">
        <v>0</v>
      </c>
      <c r="J272" s="14">
        <v>2552.44</v>
      </c>
      <c r="K272" s="15">
        <v>2785</v>
      </c>
      <c r="L272" s="14">
        <f>J272+ROUND(K272, 2)</f>
        <v>5337.4400000000005</v>
      </c>
      <c r="M272" s="14">
        <v>0</v>
      </c>
      <c r="N272" s="14">
        <v>0</v>
      </c>
      <c r="O272" s="14">
        <f>M272+N272</f>
        <v>0</v>
      </c>
      <c r="P272" s="14">
        <v>2552.44</v>
      </c>
      <c r="Q272" s="15">
        <v>2785</v>
      </c>
      <c r="R272" s="14">
        <f>P272+ROUND(Q272, 2)</f>
        <v>5337.4400000000005</v>
      </c>
      <c r="S272" s="14">
        <v>0</v>
      </c>
      <c r="T272" s="14">
        <v>0</v>
      </c>
      <c r="U272" s="14">
        <f>S272+T272</f>
        <v>0</v>
      </c>
      <c r="V272" s="9">
        <f>ROUND(P272 / 1.2, 2)</f>
        <v>2127.0300000000002</v>
      </c>
      <c r="W272" s="9">
        <f>ROUND(Q272 / 1.2, 2)</f>
        <v>2320.83</v>
      </c>
      <c r="X272" s="9">
        <f>ROUND(R272 / 1.2, 2)</f>
        <v>4447.87</v>
      </c>
      <c r="Y272" s="9">
        <f t="shared" si="13"/>
        <v>0</v>
      </c>
      <c r="Z272" s="9">
        <f>ROUND(T272 / 1.2, 2)</f>
        <v>0</v>
      </c>
      <c r="AA272" s="9">
        <f>Y272+Z272</f>
        <v>0</v>
      </c>
      <c r="AD272" s="4">
        <v>305117049</v>
      </c>
      <c r="AE272" s="4">
        <v>20926528</v>
      </c>
      <c r="AG272" s="4" t="s">
        <v>1104</v>
      </c>
      <c r="AH272" s="4" t="s">
        <v>1105</v>
      </c>
      <c r="AI272" s="4" t="s">
        <v>467</v>
      </c>
    </row>
    <row r="273" spans="1:35" ht="36" x14ac:dyDescent="0.35">
      <c r="A273" s="10" t="s">
        <v>1134</v>
      </c>
      <c r="B273" s="10"/>
      <c r="C273" s="28" t="s">
        <v>925</v>
      </c>
      <c r="D273" s="12"/>
      <c r="E273" s="12"/>
      <c r="F273" s="29" t="s">
        <v>498</v>
      </c>
      <c r="G273" s="30">
        <v>0.15</v>
      </c>
      <c r="H273" s="30"/>
      <c r="I273" s="30">
        <v>0</v>
      </c>
      <c r="J273" s="31">
        <v>88.8</v>
      </c>
      <c r="M273" s="32">
        <f>ROUND(ROUND(J273, 2)*I273, 2)</f>
        <v>0</v>
      </c>
      <c r="P273" s="31">
        <v>88.8</v>
      </c>
      <c r="S273" s="32">
        <f>ROUND(ROUND(P273, 2)*I273, 2)</f>
        <v>0</v>
      </c>
      <c r="V273" s="9">
        <f>ROUND(ROUND(P273, 2)/1.2, 2)</f>
        <v>74</v>
      </c>
      <c r="Y273" s="9">
        <f t="shared" si="13"/>
        <v>0</v>
      </c>
      <c r="AD273" s="4" t="s">
        <v>1135</v>
      </c>
      <c r="AE273" s="4" t="s">
        <v>1136</v>
      </c>
      <c r="AF273" s="4" t="s">
        <v>928</v>
      </c>
    </row>
    <row r="274" spans="1:35" ht="18" x14ac:dyDescent="0.35">
      <c r="A274" s="10" t="s">
        <v>1139</v>
      </c>
      <c r="B274" s="10"/>
      <c r="C274" s="28" t="s">
        <v>873</v>
      </c>
      <c r="D274" s="12"/>
      <c r="E274" s="12"/>
      <c r="F274" s="29" t="s">
        <v>498</v>
      </c>
      <c r="G274" s="30">
        <v>0.25</v>
      </c>
      <c r="H274" s="49"/>
      <c r="I274" s="49">
        <v>0</v>
      </c>
      <c r="J274" s="31">
        <v>47.44</v>
      </c>
      <c r="M274" s="32">
        <f>ROUND(ROUND(J274, 2)*I274, 2)</f>
        <v>0</v>
      </c>
      <c r="P274" s="31">
        <v>47.44</v>
      </c>
      <c r="S274" s="32">
        <f>ROUND(ROUND(P274, 2)*I274, 2)</f>
        <v>0</v>
      </c>
      <c r="V274" s="9">
        <f>ROUND(ROUND(P274, 2)/1.2, 2)</f>
        <v>39.53</v>
      </c>
      <c r="Y274" s="9">
        <f t="shared" si="13"/>
        <v>0</v>
      </c>
      <c r="AD274" s="4" t="s">
        <v>1140</v>
      </c>
      <c r="AE274" s="4" t="s">
        <v>1141</v>
      </c>
      <c r="AF274" s="4" t="s">
        <v>876</v>
      </c>
    </row>
    <row r="275" spans="1:35" ht="36" x14ac:dyDescent="0.35">
      <c r="A275" s="10" t="s">
        <v>1144</v>
      </c>
      <c r="B275" s="10"/>
      <c r="C275" s="28" t="s">
        <v>1115</v>
      </c>
      <c r="D275" s="12"/>
      <c r="E275" s="12"/>
      <c r="F275" s="29" t="s">
        <v>63</v>
      </c>
      <c r="G275" s="30">
        <v>1.2</v>
      </c>
      <c r="H275" s="49"/>
      <c r="I275" s="49">
        <v>0</v>
      </c>
      <c r="J275" s="31">
        <v>2021.25</v>
      </c>
      <c r="M275" s="32">
        <f>ROUND(ROUND(J275, 2)*I275, 2)</f>
        <v>0</v>
      </c>
      <c r="P275" s="31">
        <v>2021.25</v>
      </c>
      <c r="S275" s="32">
        <f>ROUND(ROUND(P275, 2)*I275, 2)</f>
        <v>0</v>
      </c>
      <c r="V275" s="9">
        <f>ROUND(ROUND(P275, 2)/1.2, 2)</f>
        <v>1684.38</v>
      </c>
      <c r="Y275" s="9">
        <f t="shared" si="13"/>
        <v>0</v>
      </c>
      <c r="AD275" s="4" t="s">
        <v>1145</v>
      </c>
      <c r="AE275" s="4" t="s">
        <v>1146</v>
      </c>
      <c r="AF275" s="4" t="s">
        <v>1118</v>
      </c>
    </row>
    <row r="276" spans="1:35" ht="36" x14ac:dyDescent="0.35">
      <c r="A276" s="10" t="s">
        <v>1150</v>
      </c>
      <c r="B276" s="10"/>
      <c r="C276" s="47" t="s">
        <v>1108</v>
      </c>
      <c r="D276" s="12"/>
      <c r="E276" s="12"/>
      <c r="F276" s="29" t="s">
        <v>498</v>
      </c>
      <c r="G276" s="30">
        <v>1.2</v>
      </c>
      <c r="H276" s="49"/>
      <c r="I276" s="49">
        <v>0</v>
      </c>
      <c r="J276" s="31">
        <v>16.96</v>
      </c>
      <c r="M276" s="32">
        <f>ROUND(ROUND(J276, 2)*I276, 2)</f>
        <v>0</v>
      </c>
      <c r="P276" s="31">
        <v>16.96</v>
      </c>
      <c r="S276" s="32">
        <f>ROUND(ROUND(P276, 2)*I276, 2)</f>
        <v>0</v>
      </c>
      <c r="V276" s="9">
        <f>ROUND(ROUND(P276, 2)/1.2, 2)</f>
        <v>14.13</v>
      </c>
      <c r="Y276" s="9">
        <f t="shared" si="13"/>
        <v>0</v>
      </c>
      <c r="AD276" s="4" t="s">
        <v>1151</v>
      </c>
      <c r="AE276" s="4" t="s">
        <v>1152</v>
      </c>
      <c r="AF276" s="4" t="s">
        <v>1111</v>
      </c>
    </row>
    <row r="277" spans="1:35" ht="54" x14ac:dyDescent="0.35">
      <c r="A277" s="10" t="s">
        <v>1155</v>
      </c>
      <c r="B277" s="10" t="s">
        <v>1102</v>
      </c>
      <c r="C277" s="11" t="s">
        <v>1103</v>
      </c>
      <c r="D277" s="12"/>
      <c r="E277" s="12" t="s">
        <v>933</v>
      </c>
      <c r="F277" s="12" t="s">
        <v>63</v>
      </c>
      <c r="G277" s="13">
        <v>1</v>
      </c>
      <c r="H277" s="13"/>
      <c r="I277" s="13">
        <v>0</v>
      </c>
      <c r="J277" s="14">
        <f>IFERROR(ROUND(SUM(M278,M279,M280,M281)/I277, 2),0)</f>
        <v>0</v>
      </c>
      <c r="K277" s="15">
        <v>2785</v>
      </c>
      <c r="L277" s="14">
        <f>J277+ROUND(K277, 2)</f>
        <v>2785</v>
      </c>
      <c r="M277" s="14">
        <f>ROUND(J277*I277, 2)</f>
        <v>0</v>
      </c>
      <c r="N277" s="14">
        <f>ROUND(I277*ROUND(K277, 2), 2)</f>
        <v>0</v>
      </c>
      <c r="O277" s="14">
        <f>M277+N277</f>
        <v>0</v>
      </c>
      <c r="P277" s="14">
        <f>IFERROR(ROUND(SUM(S278,S279,S280,S281)/I277, 2),0)</f>
        <v>0</v>
      </c>
      <c r="Q277" s="16">
        <v>4177.5</v>
      </c>
      <c r="R277" s="14">
        <f>P277+ROUND(Q277, 2)</f>
        <v>4177.5</v>
      </c>
      <c r="S277" s="14">
        <f>ROUND(P277*I277, 2)</f>
        <v>0</v>
      </c>
      <c r="T277" s="14">
        <f>ROUND(I277*ROUND(Q277, 2), 2)</f>
        <v>0</v>
      </c>
      <c r="U277" s="14">
        <f>S277+T277</f>
        <v>0</v>
      </c>
      <c r="V277" s="9">
        <f>ROUND(P277 / 1.2, 2)</f>
        <v>0</v>
      </c>
      <c r="W277" s="9">
        <f>ROUND(Q277 / 1.2, 2)</f>
        <v>3481.25</v>
      </c>
      <c r="X277" s="9">
        <f>ROUND(R277 / 1.2, 2)</f>
        <v>3481.25</v>
      </c>
      <c r="Y277" s="9">
        <f t="shared" si="13"/>
        <v>0</v>
      </c>
      <c r="Z277" s="9">
        <f>ROUND(T277 / 1.2, 2)</f>
        <v>0</v>
      </c>
      <c r="AA277" s="9">
        <f>Y277+Z277</f>
        <v>0</v>
      </c>
      <c r="AD277" s="4">
        <v>305117050</v>
      </c>
      <c r="AE277" s="4">
        <v>22135712</v>
      </c>
      <c r="AG277" s="4" t="s">
        <v>1104</v>
      </c>
      <c r="AH277" s="4" t="s">
        <v>1105</v>
      </c>
      <c r="AI277" s="4" t="s">
        <v>467</v>
      </c>
    </row>
    <row r="278" spans="1:35" ht="36" x14ac:dyDescent="0.35">
      <c r="A278" s="10" t="s">
        <v>1156</v>
      </c>
      <c r="B278" s="10"/>
      <c r="C278" s="47" t="s">
        <v>1108</v>
      </c>
      <c r="D278" s="12"/>
      <c r="E278" s="12"/>
      <c r="F278" s="29" t="s">
        <v>498</v>
      </c>
      <c r="G278" s="30">
        <v>1.2</v>
      </c>
      <c r="H278" s="49"/>
      <c r="I278" s="49">
        <v>2674.3919999999998</v>
      </c>
      <c r="J278" s="31">
        <v>16.12</v>
      </c>
      <c r="M278" s="32">
        <f>ROUND(ROUND(J278, 2)*I278, 2)</f>
        <v>43111.199999999997</v>
      </c>
      <c r="P278" s="33">
        <v>16.11</v>
      </c>
      <c r="S278" s="32">
        <f>ROUND(ROUND(P278, 2)*I278, 2)</f>
        <v>43084.46</v>
      </c>
      <c r="V278" s="9">
        <f>ROUND(ROUND(P278, 2)/1.2, 2)</f>
        <v>13.43</v>
      </c>
      <c r="Y278" s="9">
        <f t="shared" si="13"/>
        <v>35903.72</v>
      </c>
      <c r="AD278" s="4" t="s">
        <v>1157</v>
      </c>
      <c r="AE278" s="4" t="s">
        <v>1158</v>
      </c>
      <c r="AF278" s="4" t="s">
        <v>1111</v>
      </c>
    </row>
    <row r="279" spans="1:35" ht="54" x14ac:dyDescent="0.35">
      <c r="A279" s="10" t="s">
        <v>1159</v>
      </c>
      <c r="B279" s="10"/>
      <c r="C279" s="28" t="s">
        <v>1115</v>
      </c>
      <c r="D279" s="12"/>
      <c r="E279" s="12" t="s">
        <v>1120</v>
      </c>
      <c r="F279" s="29" t="s">
        <v>63</v>
      </c>
      <c r="G279" s="30">
        <v>1.2</v>
      </c>
      <c r="H279" s="49"/>
      <c r="I279" s="49">
        <v>2674.3919999999998</v>
      </c>
      <c r="J279" s="31">
        <v>2021.26</v>
      </c>
      <c r="M279" s="32">
        <f>ROUND(ROUND(J279, 2)*I279, 2)</f>
        <v>5405641.5700000003</v>
      </c>
      <c r="P279" s="33">
        <v>2021.25</v>
      </c>
      <c r="S279" s="32">
        <f>ROUND(ROUND(P279, 2)*I279, 2)</f>
        <v>5405614.8300000001</v>
      </c>
      <c r="V279" s="9">
        <f>ROUND(ROUND(P279, 2)/1.2, 2)</f>
        <v>1684.38</v>
      </c>
      <c r="Y279" s="9">
        <f t="shared" si="13"/>
        <v>4504679.03</v>
      </c>
      <c r="AD279" s="4" t="s">
        <v>1160</v>
      </c>
      <c r="AE279" s="4" t="s">
        <v>1161</v>
      </c>
      <c r="AF279" s="4" t="s">
        <v>1118</v>
      </c>
    </row>
    <row r="280" spans="1:35" ht="18" x14ac:dyDescent="0.35">
      <c r="A280" s="10" t="s">
        <v>1162</v>
      </c>
      <c r="B280" s="10"/>
      <c r="C280" s="28" t="s">
        <v>873</v>
      </c>
      <c r="D280" s="12"/>
      <c r="E280" s="12"/>
      <c r="F280" s="29" t="s">
        <v>498</v>
      </c>
      <c r="G280" s="30">
        <v>0.25</v>
      </c>
      <c r="H280" s="49"/>
      <c r="I280" s="49">
        <v>557.16499999999996</v>
      </c>
      <c r="J280" s="31">
        <v>47.44</v>
      </c>
      <c r="M280" s="32">
        <f>ROUND(ROUND(J280, 2)*I280, 2)</f>
        <v>26431.91</v>
      </c>
      <c r="P280" s="33">
        <v>47.44</v>
      </c>
      <c r="S280" s="32">
        <f>ROUND(ROUND(P280, 2)*I280, 2)</f>
        <v>26431.91</v>
      </c>
      <c r="V280" s="9">
        <f>ROUND(ROUND(P280, 2)/1.2, 2)</f>
        <v>39.53</v>
      </c>
      <c r="Y280" s="9">
        <f t="shared" ref="Y280:Y286" si="14">ROUND(S280 / 1.2, 2)</f>
        <v>22026.59</v>
      </c>
      <c r="AD280" s="4" t="s">
        <v>1163</v>
      </c>
      <c r="AE280" s="4" t="s">
        <v>1164</v>
      </c>
      <c r="AF280" s="4" t="s">
        <v>876</v>
      </c>
    </row>
    <row r="281" spans="1:35" ht="36" x14ac:dyDescent="0.35">
      <c r="A281" s="10" t="s">
        <v>1165</v>
      </c>
      <c r="B281" s="10"/>
      <c r="C281" s="28" t="s">
        <v>925</v>
      </c>
      <c r="D281" s="12"/>
      <c r="E281" s="12"/>
      <c r="F281" s="29" t="s">
        <v>498</v>
      </c>
      <c r="G281" s="30">
        <v>0.15</v>
      </c>
      <c r="H281" s="30"/>
      <c r="I281" s="30">
        <v>0</v>
      </c>
      <c r="J281" s="31">
        <v>88.8</v>
      </c>
      <c r="M281" s="32">
        <f>ROUND(ROUND(J281, 2)*I281, 2)</f>
        <v>0</v>
      </c>
      <c r="P281" s="33">
        <v>88.8</v>
      </c>
      <c r="S281" s="32">
        <f>ROUND(ROUND(P281, 2)*I281, 2)</f>
        <v>0</v>
      </c>
      <c r="V281" s="9">
        <f>ROUND(ROUND(P281, 2)/1.2, 2)</f>
        <v>74</v>
      </c>
      <c r="Y281" s="9">
        <f t="shared" si="14"/>
        <v>0</v>
      </c>
      <c r="AD281" s="4" t="s">
        <v>1166</v>
      </c>
      <c r="AE281" s="4" t="s">
        <v>1167</v>
      </c>
      <c r="AF281" s="4" t="s">
        <v>928</v>
      </c>
    </row>
    <row r="282" spans="1:35" ht="54" x14ac:dyDescent="0.35">
      <c r="A282" s="10" t="s">
        <v>1168</v>
      </c>
      <c r="B282" s="10" t="s">
        <v>1102</v>
      </c>
      <c r="C282" s="11" t="s">
        <v>1103</v>
      </c>
      <c r="D282" s="12"/>
      <c r="E282" s="12" t="s">
        <v>957</v>
      </c>
      <c r="F282" s="12" t="s">
        <v>63</v>
      </c>
      <c r="G282" s="13">
        <v>1</v>
      </c>
      <c r="H282" s="13"/>
      <c r="I282" s="13">
        <v>0</v>
      </c>
      <c r="J282" s="14">
        <f>IFERROR(ROUND(SUM(M283,M284,M285,M286)/I282, 2),0)</f>
        <v>0</v>
      </c>
      <c r="K282" s="15">
        <v>2785</v>
      </c>
      <c r="L282" s="14">
        <f>J282+ROUND(K282, 2)</f>
        <v>2785</v>
      </c>
      <c r="M282" s="14">
        <f>ROUND(J282*I282, 2)</f>
        <v>0</v>
      </c>
      <c r="N282" s="14">
        <f>ROUND(I282*ROUND(K282, 2), 2)</f>
        <v>0</v>
      </c>
      <c r="O282" s="14">
        <f>M282+N282</f>
        <v>0</v>
      </c>
      <c r="P282" s="14">
        <f>IFERROR(ROUND(SUM(S283,S284,S285,S286)/I282, 2),0)</f>
        <v>0</v>
      </c>
      <c r="Q282" s="16">
        <v>4177.5</v>
      </c>
      <c r="R282" s="14">
        <f>P282+ROUND(Q282, 2)</f>
        <v>4177.5</v>
      </c>
      <c r="S282" s="14">
        <f>ROUND(P282*I282, 2)</f>
        <v>0</v>
      </c>
      <c r="T282" s="14">
        <f>ROUND(I282*ROUND(Q282, 2), 2)</f>
        <v>0</v>
      </c>
      <c r="U282" s="14">
        <f>S282+T282</f>
        <v>0</v>
      </c>
      <c r="V282" s="9">
        <f>ROUND(P282 / 1.2, 2)</f>
        <v>0</v>
      </c>
      <c r="W282" s="9">
        <f>ROUND(Q282 / 1.2, 2)</f>
        <v>3481.25</v>
      </c>
      <c r="X282" s="9">
        <f>ROUND(R282 / 1.2, 2)</f>
        <v>3481.25</v>
      </c>
      <c r="Y282" s="9">
        <f t="shared" si="14"/>
        <v>0</v>
      </c>
      <c r="Z282" s="9">
        <f>ROUND(T282 / 1.2, 2)</f>
        <v>0</v>
      </c>
      <c r="AA282" s="9">
        <f>Y282+Z282</f>
        <v>0</v>
      </c>
      <c r="AD282" s="4">
        <v>305117051</v>
      </c>
      <c r="AE282" s="4">
        <v>22135730</v>
      </c>
      <c r="AG282" s="4" t="s">
        <v>1104</v>
      </c>
      <c r="AH282" s="4" t="s">
        <v>1105</v>
      </c>
      <c r="AI282" s="4" t="s">
        <v>467</v>
      </c>
    </row>
    <row r="283" spans="1:35" ht="36" x14ac:dyDescent="0.35">
      <c r="A283" s="10" t="s">
        <v>1169</v>
      </c>
      <c r="B283" s="10"/>
      <c r="C283" s="28" t="s">
        <v>925</v>
      </c>
      <c r="D283" s="12"/>
      <c r="E283" s="12"/>
      <c r="F283" s="29" t="s">
        <v>498</v>
      </c>
      <c r="G283" s="30">
        <v>0.15</v>
      </c>
      <c r="H283" s="30"/>
      <c r="I283" s="30">
        <v>0</v>
      </c>
      <c r="J283" s="31">
        <v>88.8</v>
      </c>
      <c r="M283" s="32">
        <f>ROUND(ROUND(J283, 2)*I283, 2)</f>
        <v>0</v>
      </c>
      <c r="P283" s="33">
        <v>88.8</v>
      </c>
      <c r="S283" s="32">
        <f>ROUND(ROUND(P283, 2)*I283, 2)</f>
        <v>0</v>
      </c>
      <c r="V283" s="9">
        <f>ROUND(ROUND(P283, 2)/1.2, 2)</f>
        <v>74</v>
      </c>
      <c r="Y283" s="9">
        <f t="shared" si="14"/>
        <v>0</v>
      </c>
      <c r="AD283" s="4" t="s">
        <v>1170</v>
      </c>
      <c r="AE283" s="4" t="s">
        <v>1171</v>
      </c>
      <c r="AF283" s="4" t="s">
        <v>928</v>
      </c>
    </row>
    <row r="284" spans="1:35" ht="18" x14ac:dyDescent="0.35">
      <c r="A284" s="10" t="s">
        <v>1172</v>
      </c>
      <c r="B284" s="10"/>
      <c r="C284" s="28" t="s">
        <v>873</v>
      </c>
      <c r="D284" s="12"/>
      <c r="E284" s="12"/>
      <c r="F284" s="29" t="s">
        <v>498</v>
      </c>
      <c r="G284" s="30">
        <v>0.25</v>
      </c>
      <c r="H284" s="49"/>
      <c r="I284" s="49">
        <v>288.05799999999999</v>
      </c>
      <c r="J284" s="31">
        <v>47.44</v>
      </c>
      <c r="M284" s="32">
        <f>ROUND(ROUND(J284, 2)*I284, 2)</f>
        <v>13665.47</v>
      </c>
      <c r="P284" s="33">
        <v>47.44</v>
      </c>
      <c r="S284" s="32">
        <f>ROUND(ROUND(P284, 2)*I284, 2)</f>
        <v>13665.47</v>
      </c>
      <c r="V284" s="9">
        <f>ROUND(ROUND(P284, 2)/1.2, 2)</f>
        <v>39.53</v>
      </c>
      <c r="Y284" s="9">
        <f t="shared" si="14"/>
        <v>11387.89</v>
      </c>
      <c r="AD284" s="4" t="s">
        <v>1173</v>
      </c>
      <c r="AE284" s="4" t="s">
        <v>1174</v>
      </c>
      <c r="AF284" s="4" t="s">
        <v>876</v>
      </c>
    </row>
    <row r="285" spans="1:35" ht="72" x14ac:dyDescent="0.35">
      <c r="A285" s="10" t="s">
        <v>1175</v>
      </c>
      <c r="B285" s="10"/>
      <c r="C285" s="28" t="s">
        <v>1115</v>
      </c>
      <c r="D285" s="12"/>
      <c r="E285" s="12" t="s">
        <v>1148</v>
      </c>
      <c r="F285" s="29" t="s">
        <v>63</v>
      </c>
      <c r="G285" s="30">
        <v>1.2</v>
      </c>
      <c r="H285" s="49"/>
      <c r="I285" s="49">
        <v>1382.6759999999999</v>
      </c>
      <c r="J285" s="31">
        <v>2021.26</v>
      </c>
      <c r="M285" s="32">
        <f>ROUND(ROUND(J285, 2)*I285, 2)</f>
        <v>2794747.69</v>
      </c>
      <c r="P285" s="33">
        <v>2021.25</v>
      </c>
      <c r="S285" s="32">
        <f>ROUND(ROUND(P285, 2)*I285, 2)</f>
        <v>2794733.87</v>
      </c>
      <c r="V285" s="9">
        <f>ROUND(ROUND(P285, 2)/1.2, 2)</f>
        <v>1684.38</v>
      </c>
      <c r="Y285" s="9">
        <f t="shared" si="14"/>
        <v>2328944.89</v>
      </c>
      <c r="AD285" s="4" t="s">
        <v>1176</v>
      </c>
      <c r="AE285" s="4" t="s">
        <v>1177</v>
      </c>
      <c r="AF285" s="4" t="s">
        <v>1118</v>
      </c>
    </row>
    <row r="286" spans="1:35" ht="36" x14ac:dyDescent="0.35">
      <c r="A286" s="10" t="s">
        <v>1178</v>
      </c>
      <c r="B286" s="10"/>
      <c r="C286" s="47" t="s">
        <v>1108</v>
      </c>
      <c r="D286" s="12"/>
      <c r="E286" s="12"/>
      <c r="F286" s="29" t="s">
        <v>498</v>
      </c>
      <c r="G286" s="30">
        <v>1.2</v>
      </c>
      <c r="H286" s="49"/>
      <c r="I286" s="49">
        <v>1382.6759999999999</v>
      </c>
      <c r="J286" s="31">
        <v>16.12</v>
      </c>
      <c r="M286" s="32">
        <f>ROUND(ROUND(J286, 2)*I286, 2)</f>
        <v>22288.74</v>
      </c>
      <c r="P286" s="33">
        <v>16.11</v>
      </c>
      <c r="S286" s="32">
        <f>ROUND(ROUND(P286, 2)*I286, 2)</f>
        <v>22274.91</v>
      </c>
      <c r="V286" s="9">
        <f>ROUND(ROUND(P286, 2)/1.2, 2)</f>
        <v>13.43</v>
      </c>
      <c r="Y286" s="9">
        <f t="shared" si="14"/>
        <v>18562.43</v>
      </c>
      <c r="AD286" s="4" t="s">
        <v>1179</v>
      </c>
      <c r="AE286" s="4" t="s">
        <v>1180</v>
      </c>
      <c r="AF286" s="4" t="s">
        <v>1111</v>
      </c>
    </row>
    <row r="287" spans="1:35" ht="17" customHeight="1" x14ac:dyDescent="0.35">
      <c r="A287" s="10" t="s">
        <v>1181</v>
      </c>
      <c r="B287" s="10" t="s">
        <v>1182</v>
      </c>
      <c r="C287" s="174" t="s">
        <v>1183</v>
      </c>
      <c r="D287" s="175"/>
      <c r="E287" s="175"/>
      <c r="F287" s="175"/>
      <c r="G287" s="175"/>
      <c r="H287" s="175"/>
      <c r="I287" s="176"/>
      <c r="M287" s="6">
        <f>SUM(M288,M299)</f>
        <v>0</v>
      </c>
      <c r="N287" s="6">
        <f>SUM(N288,N299)</f>
        <v>0</v>
      </c>
      <c r="O287" s="6">
        <f>SUM(O288,O299)</f>
        <v>0</v>
      </c>
      <c r="S287" s="6">
        <f>SUM(S288,S299)</f>
        <v>0</v>
      </c>
      <c r="T287" s="6">
        <f>SUM(T288,T299)</f>
        <v>0</v>
      </c>
      <c r="U287" s="6">
        <f>SUM(U288,U299)</f>
        <v>0</v>
      </c>
      <c r="Y287" s="9">
        <f>SUM(Y288,Y299)</f>
        <v>0</v>
      </c>
      <c r="Z287" s="9">
        <f>SUM(Z288,Z299)</f>
        <v>0</v>
      </c>
      <c r="AA287" s="9">
        <f>SUM(AA288,AA299)</f>
        <v>0</v>
      </c>
      <c r="AD287" s="4">
        <v>305116973</v>
      </c>
      <c r="AE287" s="4">
        <v>20927071</v>
      </c>
    </row>
    <row r="288" spans="1:35" ht="17" customHeight="1" x14ac:dyDescent="0.35">
      <c r="A288" s="10" t="s">
        <v>1184</v>
      </c>
      <c r="B288" s="10" t="s">
        <v>1185</v>
      </c>
      <c r="C288" s="174" t="s">
        <v>1186</v>
      </c>
      <c r="D288" s="175"/>
      <c r="E288" s="175"/>
      <c r="F288" s="175"/>
      <c r="G288" s="175"/>
      <c r="H288" s="175"/>
      <c r="I288" s="176"/>
      <c r="M288" s="6">
        <f>SUM(M289,M294)</f>
        <v>0</v>
      </c>
      <c r="N288" s="6">
        <f>SUM(N289,N294)</f>
        <v>0</v>
      </c>
      <c r="O288" s="6">
        <f>SUM(O289,O294)</f>
        <v>0</v>
      </c>
      <c r="S288" s="6">
        <f>SUM(S289,S294)</f>
        <v>0</v>
      </c>
      <c r="T288" s="6">
        <f>SUM(T289,T294)</f>
        <v>0</v>
      </c>
      <c r="U288" s="6">
        <f>SUM(U289,U294)</f>
        <v>0</v>
      </c>
      <c r="Y288" s="9">
        <f>SUM(Y289,Y294)</f>
        <v>0</v>
      </c>
      <c r="Z288" s="9">
        <f>SUM(Z289,Z294)</f>
        <v>0</v>
      </c>
      <c r="AA288" s="9">
        <f>SUM(AA289,AA294)</f>
        <v>0</v>
      </c>
      <c r="AD288" s="4">
        <v>305116974</v>
      </c>
      <c r="AE288" s="4">
        <v>20927074</v>
      </c>
    </row>
    <row r="289" spans="1:35" ht="72" x14ac:dyDescent="0.35">
      <c r="A289" s="10" t="s">
        <v>1187</v>
      </c>
      <c r="B289" s="10" t="s">
        <v>1188</v>
      </c>
      <c r="C289" s="11" t="s">
        <v>1189</v>
      </c>
      <c r="D289" s="12" t="s">
        <v>1190</v>
      </c>
      <c r="E289" s="12"/>
      <c r="F289" s="12" t="s">
        <v>63</v>
      </c>
      <c r="G289" s="13">
        <v>1</v>
      </c>
      <c r="H289" s="13"/>
      <c r="I289" s="13">
        <v>0</v>
      </c>
      <c r="J289" s="14">
        <v>281.27999999999997</v>
      </c>
      <c r="K289" s="15">
        <v>954</v>
      </c>
      <c r="L289" s="14">
        <f>J289+ROUND(K289, 2)</f>
        <v>1235.28</v>
      </c>
      <c r="M289" s="14">
        <v>0</v>
      </c>
      <c r="N289" s="14">
        <v>0</v>
      </c>
      <c r="O289" s="14">
        <f>M289+N289</f>
        <v>0</v>
      </c>
      <c r="P289" s="14">
        <v>281.27999999999997</v>
      </c>
      <c r="Q289" s="15">
        <v>954</v>
      </c>
      <c r="R289" s="14">
        <f>P289+ROUND(Q289, 2)</f>
        <v>1235.28</v>
      </c>
      <c r="S289" s="14">
        <v>0</v>
      </c>
      <c r="T289" s="14">
        <v>0</v>
      </c>
      <c r="U289" s="14">
        <f>S289+T289</f>
        <v>0</v>
      </c>
      <c r="V289" s="9">
        <f>ROUND(P289 / 1.2, 2)</f>
        <v>234.4</v>
      </c>
      <c r="W289" s="9">
        <f>ROUND(Q289 / 1.2, 2)</f>
        <v>795</v>
      </c>
      <c r="X289" s="9">
        <f>ROUND(R289 / 1.2, 2)</f>
        <v>1029.4000000000001</v>
      </c>
      <c r="Y289" s="9">
        <f>ROUND(S289 / 1.2, 2)</f>
        <v>0</v>
      </c>
      <c r="Z289" s="9">
        <f>ROUND(T289 / 1.2, 2)</f>
        <v>0</v>
      </c>
      <c r="AA289" s="9">
        <f>Y289+Z289</f>
        <v>0</v>
      </c>
      <c r="AD289" s="4">
        <v>305116976</v>
      </c>
      <c r="AE289" s="4">
        <v>20940565</v>
      </c>
      <c r="AG289" s="4" t="s">
        <v>1191</v>
      </c>
      <c r="AH289" s="4" t="s">
        <v>1192</v>
      </c>
      <c r="AI289" s="4" t="s">
        <v>467</v>
      </c>
    </row>
    <row r="290" spans="1:35" ht="18" x14ac:dyDescent="0.35">
      <c r="A290" s="10" t="s">
        <v>1195</v>
      </c>
      <c r="B290" s="10"/>
      <c r="C290" s="28" t="s">
        <v>1196</v>
      </c>
      <c r="D290" s="12"/>
      <c r="E290" s="12"/>
      <c r="F290" s="29" t="s">
        <v>498</v>
      </c>
      <c r="G290" s="30">
        <v>1.3</v>
      </c>
      <c r="H290" s="49"/>
      <c r="I290" s="49">
        <v>0</v>
      </c>
      <c r="J290" s="31">
        <v>8.6</v>
      </c>
      <c r="M290" s="32">
        <f>ROUND(ROUND(J290, 2)*I290, 2)</f>
        <v>0</v>
      </c>
      <c r="P290" s="31">
        <v>8.6</v>
      </c>
      <c r="S290" s="32">
        <f>ROUND(ROUND(P290, 2)*I290, 2)</f>
        <v>0</v>
      </c>
      <c r="V290" s="9">
        <f>ROUND(ROUND(P290, 2)/1.2, 2)</f>
        <v>7.17</v>
      </c>
      <c r="Y290" s="9">
        <f t="shared" ref="Y290:Y298" si="15">ROUND(S290 / 1.2, 2)</f>
        <v>0</v>
      </c>
      <c r="AD290" s="4" t="s">
        <v>1197</v>
      </c>
      <c r="AE290" s="4" t="s">
        <v>1198</v>
      </c>
      <c r="AF290" s="4" t="s">
        <v>1199</v>
      </c>
    </row>
    <row r="291" spans="1:35" ht="18" x14ac:dyDescent="0.35">
      <c r="A291" s="10" t="s">
        <v>1202</v>
      </c>
      <c r="B291" s="10"/>
      <c r="C291" s="28" t="s">
        <v>1203</v>
      </c>
      <c r="D291" s="12"/>
      <c r="E291" s="12"/>
      <c r="F291" s="29" t="s">
        <v>63</v>
      </c>
      <c r="G291" s="30">
        <v>1.1000000000000001</v>
      </c>
      <c r="H291" s="30"/>
      <c r="I291" s="30">
        <v>0</v>
      </c>
      <c r="J291" s="31">
        <v>26</v>
      </c>
      <c r="M291" s="32">
        <f>ROUND(ROUND(J291, 2)*I291, 2)</f>
        <v>0</v>
      </c>
      <c r="P291" s="31">
        <v>26</v>
      </c>
      <c r="S291" s="32">
        <f>ROUND(ROUND(P291, 2)*I291, 2)</f>
        <v>0</v>
      </c>
      <c r="V291" s="9">
        <f>ROUND(ROUND(P291, 2)/1.2, 2)</f>
        <v>21.67</v>
      </c>
      <c r="Y291" s="9">
        <f t="shared" si="15"/>
        <v>0</v>
      </c>
      <c r="AD291" s="4" t="s">
        <v>1204</v>
      </c>
      <c r="AE291" s="4" t="s">
        <v>1205</v>
      </c>
      <c r="AF291" s="4" t="s">
        <v>1206</v>
      </c>
    </row>
    <row r="292" spans="1:35" ht="18" x14ac:dyDescent="0.35">
      <c r="A292" s="10" t="s">
        <v>1209</v>
      </c>
      <c r="B292" s="10"/>
      <c r="C292" s="28" t="s">
        <v>1210</v>
      </c>
      <c r="D292" s="12"/>
      <c r="E292" s="12"/>
      <c r="F292" s="29" t="s">
        <v>78</v>
      </c>
      <c r="G292" s="30">
        <v>1</v>
      </c>
      <c r="H292" s="49"/>
      <c r="I292" s="49">
        <v>0</v>
      </c>
      <c r="J292" s="31">
        <v>15.76</v>
      </c>
      <c r="M292" s="32">
        <f>ROUND(ROUND(J292, 2)*I292, 2)</f>
        <v>0</v>
      </c>
      <c r="P292" s="31">
        <v>15.76</v>
      </c>
      <c r="S292" s="32">
        <f>ROUND(ROUND(P292, 2)*I292, 2)</f>
        <v>0</v>
      </c>
      <c r="V292" s="9">
        <f>ROUND(ROUND(P292, 2)/1.2, 2)</f>
        <v>13.13</v>
      </c>
      <c r="Y292" s="9">
        <f t="shared" si="15"/>
        <v>0</v>
      </c>
      <c r="AD292" s="4" t="s">
        <v>1211</v>
      </c>
      <c r="AE292" s="4" t="s">
        <v>1212</v>
      </c>
      <c r="AF292" s="4" t="s">
        <v>1213</v>
      </c>
    </row>
    <row r="293" spans="1:35" ht="36" x14ac:dyDescent="0.35">
      <c r="A293" s="10" t="s">
        <v>1216</v>
      </c>
      <c r="B293" s="10"/>
      <c r="C293" s="28" t="s">
        <v>925</v>
      </c>
      <c r="D293" s="12"/>
      <c r="E293" s="12"/>
      <c r="F293" s="29" t="s">
        <v>498</v>
      </c>
      <c r="G293" s="30">
        <v>0.15</v>
      </c>
      <c r="H293" s="30"/>
      <c r="I293" s="30">
        <v>0</v>
      </c>
      <c r="J293" s="31">
        <v>88.8</v>
      </c>
      <c r="M293" s="32">
        <f>ROUND(ROUND(J293, 2)*I293, 2)</f>
        <v>0</v>
      </c>
      <c r="P293" s="31">
        <v>88.8</v>
      </c>
      <c r="S293" s="32">
        <f>ROUND(ROUND(P293, 2)*I293, 2)</f>
        <v>0</v>
      </c>
      <c r="V293" s="9">
        <f>ROUND(ROUND(P293, 2)/1.2, 2)</f>
        <v>74</v>
      </c>
      <c r="Y293" s="9">
        <f t="shared" si="15"/>
        <v>0</v>
      </c>
      <c r="AD293" s="4" t="s">
        <v>1217</v>
      </c>
      <c r="AE293" s="4" t="s">
        <v>1218</v>
      </c>
      <c r="AF293" s="4" t="s">
        <v>928</v>
      </c>
    </row>
    <row r="294" spans="1:35" ht="72" x14ac:dyDescent="0.35">
      <c r="A294" s="10" t="s">
        <v>1221</v>
      </c>
      <c r="B294" s="10" t="s">
        <v>1188</v>
      </c>
      <c r="C294" s="11" t="s">
        <v>1189</v>
      </c>
      <c r="D294" s="12" t="s">
        <v>1190</v>
      </c>
      <c r="E294" s="12" t="s">
        <v>1194</v>
      </c>
      <c r="F294" s="12" t="s">
        <v>63</v>
      </c>
      <c r="G294" s="13">
        <v>1</v>
      </c>
      <c r="H294" s="13"/>
      <c r="I294" s="13">
        <v>0</v>
      </c>
      <c r="J294" s="14">
        <f>IFERROR(ROUND(SUM(M295,M296,M297,M298)/I294, 2),0)</f>
        <v>0</v>
      </c>
      <c r="K294" s="15">
        <v>954</v>
      </c>
      <c r="L294" s="14">
        <f>J294+ROUND(K294, 2)</f>
        <v>954</v>
      </c>
      <c r="M294" s="14">
        <f>ROUND(J294*I294, 2)</f>
        <v>0</v>
      </c>
      <c r="N294" s="14">
        <f>ROUND(I294*ROUND(K294, 2), 2)</f>
        <v>0</v>
      </c>
      <c r="O294" s="14">
        <f>M294+N294</f>
        <v>0</v>
      </c>
      <c r="P294" s="14">
        <f>IFERROR(ROUND(SUM(S295,S296,S297,S298)/I294, 2),0)</f>
        <v>0</v>
      </c>
      <c r="Q294" s="16">
        <v>1431</v>
      </c>
      <c r="R294" s="14">
        <f>P294+ROUND(Q294, 2)</f>
        <v>1431</v>
      </c>
      <c r="S294" s="14">
        <f>ROUND(P294*I294, 2)</f>
        <v>0</v>
      </c>
      <c r="T294" s="14">
        <f>ROUND(I294*ROUND(Q294, 2), 2)</f>
        <v>0</v>
      </c>
      <c r="U294" s="14">
        <f>S294+T294</f>
        <v>0</v>
      </c>
      <c r="V294" s="9">
        <f>ROUND(P294 / 1.2, 2)</f>
        <v>0</v>
      </c>
      <c r="W294" s="9">
        <f>ROUND(Q294 / 1.2, 2)</f>
        <v>1192.5</v>
      </c>
      <c r="X294" s="9">
        <f>ROUND(R294 / 1.2, 2)</f>
        <v>1192.5</v>
      </c>
      <c r="Y294" s="9">
        <f t="shared" si="15"/>
        <v>0</v>
      </c>
      <c r="Z294" s="9">
        <f>ROUND(T294 / 1.2, 2)</f>
        <v>0</v>
      </c>
      <c r="AA294" s="9">
        <f>Y294+Z294</f>
        <v>0</v>
      </c>
      <c r="AD294" s="4">
        <v>305117052</v>
      </c>
      <c r="AE294" s="4">
        <v>22135687</v>
      </c>
      <c r="AG294" s="4" t="s">
        <v>1191</v>
      </c>
      <c r="AH294" s="4" t="s">
        <v>1192</v>
      </c>
      <c r="AI294" s="4" t="s">
        <v>467</v>
      </c>
    </row>
    <row r="295" spans="1:35" ht="36" x14ac:dyDescent="0.35">
      <c r="A295" s="10" t="s">
        <v>1222</v>
      </c>
      <c r="B295" s="10"/>
      <c r="C295" s="28" t="s">
        <v>925</v>
      </c>
      <c r="D295" s="12"/>
      <c r="E295" s="12"/>
      <c r="F295" s="29" t="s">
        <v>498</v>
      </c>
      <c r="G295" s="30">
        <v>0.15</v>
      </c>
      <c r="H295" s="30"/>
      <c r="I295" s="30">
        <v>0</v>
      </c>
      <c r="J295" s="31">
        <v>88.8</v>
      </c>
      <c r="M295" s="32">
        <f>ROUND(ROUND(J295, 2)*I295, 2)</f>
        <v>0</v>
      </c>
      <c r="P295" s="33">
        <v>88.8</v>
      </c>
      <c r="S295" s="32">
        <f>ROUND(ROUND(P295, 2)*I295, 2)</f>
        <v>0</v>
      </c>
      <c r="V295" s="9">
        <f>ROUND(ROUND(P295, 2)/1.2, 2)</f>
        <v>74</v>
      </c>
      <c r="Y295" s="9">
        <f t="shared" si="15"/>
        <v>0</v>
      </c>
      <c r="AD295" s="4" t="s">
        <v>1223</v>
      </c>
      <c r="AE295" s="4" t="s">
        <v>1224</v>
      </c>
      <c r="AF295" s="4" t="s">
        <v>928</v>
      </c>
    </row>
    <row r="296" spans="1:35" ht="18" x14ac:dyDescent="0.35">
      <c r="A296" s="10" t="s">
        <v>1225</v>
      </c>
      <c r="B296" s="10"/>
      <c r="C296" s="28" t="s">
        <v>1210</v>
      </c>
      <c r="D296" s="12"/>
      <c r="E296" s="12"/>
      <c r="F296" s="29" t="s">
        <v>78</v>
      </c>
      <c r="G296" s="30">
        <v>1</v>
      </c>
      <c r="H296" s="49"/>
      <c r="I296" s="49">
        <v>7659.9</v>
      </c>
      <c r="J296" s="31">
        <v>15.76</v>
      </c>
      <c r="M296" s="32">
        <f>ROUND(ROUND(J296, 2)*I296, 2)</f>
        <v>120720.02</v>
      </c>
      <c r="P296" s="33">
        <v>15.76</v>
      </c>
      <c r="S296" s="32">
        <f>ROUND(ROUND(P296, 2)*I296, 2)</f>
        <v>120720.02</v>
      </c>
      <c r="V296" s="9">
        <f>ROUND(ROUND(P296, 2)/1.2, 2)</f>
        <v>13.13</v>
      </c>
      <c r="Y296" s="9">
        <f t="shared" si="15"/>
        <v>100600.02</v>
      </c>
      <c r="AD296" s="4" t="s">
        <v>1226</v>
      </c>
      <c r="AE296" s="4" t="s">
        <v>1227</v>
      </c>
      <c r="AF296" s="4" t="s">
        <v>1213</v>
      </c>
    </row>
    <row r="297" spans="1:35" ht="18" x14ac:dyDescent="0.35">
      <c r="A297" s="10" t="s">
        <v>1228</v>
      </c>
      <c r="B297" s="10"/>
      <c r="C297" s="28" t="s">
        <v>1203</v>
      </c>
      <c r="D297" s="12"/>
      <c r="E297" s="12"/>
      <c r="F297" s="29" t="s">
        <v>63</v>
      </c>
      <c r="G297" s="30">
        <v>1.1000000000000001</v>
      </c>
      <c r="H297" s="30"/>
      <c r="I297" s="30">
        <v>0</v>
      </c>
      <c r="J297" s="31">
        <v>26</v>
      </c>
      <c r="M297" s="32">
        <f>ROUND(ROUND(J297, 2)*I297, 2)</f>
        <v>0</v>
      </c>
      <c r="P297" s="33">
        <v>26</v>
      </c>
      <c r="S297" s="32">
        <f>ROUND(ROUND(P297, 2)*I297, 2)</f>
        <v>0</v>
      </c>
      <c r="V297" s="9">
        <f>ROUND(ROUND(P297, 2)/1.2, 2)</f>
        <v>21.67</v>
      </c>
      <c r="Y297" s="9">
        <f t="shared" si="15"/>
        <v>0</v>
      </c>
      <c r="AD297" s="4" t="s">
        <v>1229</v>
      </c>
      <c r="AE297" s="4" t="s">
        <v>1230</v>
      </c>
      <c r="AF297" s="4" t="s">
        <v>1206</v>
      </c>
    </row>
    <row r="298" spans="1:35" ht="18" x14ac:dyDescent="0.35">
      <c r="A298" s="10" t="s">
        <v>1231</v>
      </c>
      <c r="B298" s="10"/>
      <c r="C298" s="28" t="s">
        <v>1196</v>
      </c>
      <c r="D298" s="12"/>
      <c r="E298" s="12"/>
      <c r="F298" s="29" t="s">
        <v>498</v>
      </c>
      <c r="G298" s="30">
        <v>1.3</v>
      </c>
      <c r="H298" s="49"/>
      <c r="I298" s="49">
        <v>199157.4</v>
      </c>
      <c r="J298" s="31">
        <v>8.6</v>
      </c>
      <c r="M298" s="32">
        <f>ROUND(ROUND(J298, 2)*I298, 2)</f>
        <v>1712753.64</v>
      </c>
      <c r="P298" s="33">
        <v>8.6</v>
      </c>
      <c r="S298" s="32">
        <f>ROUND(ROUND(P298, 2)*I298, 2)</f>
        <v>1712753.64</v>
      </c>
      <c r="V298" s="9">
        <f>ROUND(ROUND(P298, 2)/1.2, 2)</f>
        <v>7.17</v>
      </c>
      <c r="Y298" s="9">
        <f t="shared" si="15"/>
        <v>1427294.7</v>
      </c>
      <c r="AD298" s="4" t="s">
        <v>1232</v>
      </c>
      <c r="AE298" s="4" t="s">
        <v>1233</v>
      </c>
      <c r="AF298" s="4" t="s">
        <v>1199</v>
      </c>
    </row>
    <row r="299" spans="1:35" ht="17" customHeight="1" x14ac:dyDescent="0.35">
      <c r="A299" s="10" t="s">
        <v>1234</v>
      </c>
      <c r="B299" s="10" t="s">
        <v>1235</v>
      </c>
      <c r="C299" s="174" t="s">
        <v>1236</v>
      </c>
      <c r="D299" s="175"/>
      <c r="E299" s="175"/>
      <c r="F299" s="175"/>
      <c r="G299" s="175"/>
      <c r="H299" s="175"/>
      <c r="I299" s="176"/>
      <c r="M299" s="6">
        <f>SUM(M300,M302,M304,M307,M310,M313,M316,M321)</f>
        <v>0</v>
      </c>
      <c r="N299" s="6">
        <f>SUM(N300,N302,N304,N307,N310,N313,N316,N321)</f>
        <v>0</v>
      </c>
      <c r="O299" s="6">
        <f>SUM(O300,O302,O304,O307,O310,O313,O316,O321)</f>
        <v>0</v>
      </c>
      <c r="S299" s="6">
        <f>SUM(S300,S302,S304,S307,S310,S313,S316,S321)</f>
        <v>0</v>
      </c>
      <c r="T299" s="6">
        <f>SUM(T300,T302,T304,T307,T310,T313,T316,T321)</f>
        <v>0</v>
      </c>
      <c r="U299" s="6">
        <f>SUM(U300,U302,U304,U307,U310,U313,U316,U321)</f>
        <v>0</v>
      </c>
      <c r="Y299" s="9">
        <f>SUM(Y300,Y302,Y304,Y307,Y310,Y313,Y316,Y321)</f>
        <v>0</v>
      </c>
      <c r="Z299" s="9">
        <f>SUM(Z300,Z302,Z304,Z307,Z310,Z313,Z316,Z321)</f>
        <v>0</v>
      </c>
      <c r="AA299" s="9">
        <f>SUM(AA300,AA302,AA304,AA307,AA310,AA313,AA316,AA321)</f>
        <v>0</v>
      </c>
      <c r="AD299" s="4">
        <v>305116977</v>
      </c>
      <c r="AE299" s="4">
        <v>20927095</v>
      </c>
    </row>
    <row r="300" spans="1:35" ht="18" x14ac:dyDescent="0.35">
      <c r="A300" s="10" t="s">
        <v>1237</v>
      </c>
      <c r="B300" s="10" t="s">
        <v>1238</v>
      </c>
      <c r="C300" s="11" t="s">
        <v>1239</v>
      </c>
      <c r="D300" s="12"/>
      <c r="E300" s="12"/>
      <c r="F300" s="12" t="s">
        <v>63</v>
      </c>
      <c r="G300" s="13">
        <v>1</v>
      </c>
      <c r="H300" s="13"/>
      <c r="I300" s="13">
        <v>0</v>
      </c>
      <c r="J300" s="14">
        <v>418</v>
      </c>
      <c r="K300" s="15">
        <v>1010</v>
      </c>
      <c r="L300" s="14">
        <f>J300+ROUND(K300, 2)</f>
        <v>1428</v>
      </c>
      <c r="M300" s="14">
        <v>0</v>
      </c>
      <c r="N300" s="14">
        <v>0</v>
      </c>
      <c r="O300" s="14">
        <f>M300+N300</f>
        <v>0</v>
      </c>
      <c r="P300" s="14">
        <v>418</v>
      </c>
      <c r="Q300" s="15">
        <v>1010</v>
      </c>
      <c r="R300" s="14">
        <f>P300+ROUND(Q300, 2)</f>
        <v>1428</v>
      </c>
      <c r="S300" s="14">
        <v>0</v>
      </c>
      <c r="T300" s="14">
        <v>0</v>
      </c>
      <c r="U300" s="14">
        <f>S300+T300</f>
        <v>0</v>
      </c>
      <c r="V300" s="9">
        <f>ROUND(P300 / 1.2, 2)</f>
        <v>348.33</v>
      </c>
      <c r="W300" s="9">
        <f>ROUND(Q300 / 1.2, 2)</f>
        <v>841.67</v>
      </c>
      <c r="X300" s="9">
        <f>ROUND(R300 / 1.2, 2)</f>
        <v>1190</v>
      </c>
      <c r="Y300" s="9">
        <f>ROUND(S300 / 1.2, 2)</f>
        <v>0</v>
      </c>
      <c r="Z300" s="9">
        <f>ROUND(T300 / 1.2, 2)</f>
        <v>0</v>
      </c>
      <c r="AA300" s="9">
        <f>Y300+Z300</f>
        <v>0</v>
      </c>
      <c r="AD300" s="4">
        <v>305116979</v>
      </c>
      <c r="AE300" s="4">
        <v>20927367</v>
      </c>
      <c r="AG300" s="4" t="s">
        <v>1240</v>
      </c>
      <c r="AH300" s="4" t="s">
        <v>1241</v>
      </c>
      <c r="AI300" s="4" t="s">
        <v>467</v>
      </c>
    </row>
    <row r="301" spans="1:35" ht="18" x14ac:dyDescent="0.35">
      <c r="A301" s="10" t="s">
        <v>1244</v>
      </c>
      <c r="B301" s="10"/>
      <c r="C301" s="28" t="s">
        <v>1245</v>
      </c>
      <c r="D301" s="12"/>
      <c r="E301" s="12"/>
      <c r="F301" s="29" t="s">
        <v>490</v>
      </c>
      <c r="G301" s="30">
        <v>1</v>
      </c>
      <c r="H301" s="30"/>
      <c r="I301" s="30">
        <v>0</v>
      </c>
      <c r="J301" s="31">
        <v>418</v>
      </c>
      <c r="M301" s="32">
        <f>ROUND(ROUND(J301, 2)*I301, 2)</f>
        <v>0</v>
      </c>
      <c r="P301" s="31">
        <v>418</v>
      </c>
      <c r="S301" s="32">
        <f>ROUND(ROUND(P301, 2)*I301, 2)</f>
        <v>0</v>
      </c>
      <c r="V301" s="9">
        <f>ROUND(ROUND(P301, 2)/1.2, 2)</f>
        <v>348.33</v>
      </c>
      <c r="Y301" s="9">
        <f t="shared" ref="Y301:Y325" si="16">ROUND(S301 / 1.2, 2)</f>
        <v>0</v>
      </c>
      <c r="AD301" s="4" t="s">
        <v>1246</v>
      </c>
      <c r="AE301" s="4" t="s">
        <v>1247</v>
      </c>
      <c r="AF301" s="4" t="s">
        <v>1248</v>
      </c>
    </row>
    <row r="302" spans="1:35" ht="54" x14ac:dyDescent="0.35">
      <c r="A302" s="10" t="s">
        <v>1251</v>
      </c>
      <c r="B302" s="10" t="s">
        <v>1238</v>
      </c>
      <c r="C302" s="11" t="s">
        <v>1239</v>
      </c>
      <c r="D302" s="12"/>
      <c r="E302" s="12" t="s">
        <v>1243</v>
      </c>
      <c r="F302" s="12" t="s">
        <v>63</v>
      </c>
      <c r="G302" s="13">
        <v>1</v>
      </c>
      <c r="H302" s="13"/>
      <c r="I302" s="13">
        <v>0</v>
      </c>
      <c r="J302" s="14">
        <f>IFERROR(ROUND(SUM(M303)/I302, 2),0)</f>
        <v>0</v>
      </c>
      <c r="K302" s="15">
        <v>1010</v>
      </c>
      <c r="L302" s="14">
        <f>J302+ROUND(K302, 2)</f>
        <v>1010</v>
      </c>
      <c r="M302" s="14">
        <f>ROUND(J302*I302, 2)</f>
        <v>0</v>
      </c>
      <c r="N302" s="14">
        <f>ROUND(I302*ROUND(K302, 2), 2)</f>
        <v>0</v>
      </c>
      <c r="O302" s="14">
        <f>M302+N302</f>
        <v>0</v>
      </c>
      <c r="P302" s="14">
        <f>IFERROR(ROUND(SUM(S303)/I302, 2),0)</f>
        <v>0</v>
      </c>
      <c r="Q302" s="16">
        <v>1515</v>
      </c>
      <c r="R302" s="14">
        <f>P302+ROUND(Q302, 2)</f>
        <v>1515</v>
      </c>
      <c r="S302" s="14">
        <f>ROUND(P302*I302, 2)</f>
        <v>0</v>
      </c>
      <c r="T302" s="14">
        <f>ROUND(I302*ROUND(Q302, 2), 2)</f>
        <v>0</v>
      </c>
      <c r="U302" s="14">
        <f>S302+T302</f>
        <v>0</v>
      </c>
      <c r="V302" s="9">
        <f>ROUND(P302 / 1.2, 2)</f>
        <v>0</v>
      </c>
      <c r="W302" s="9">
        <f>ROUND(Q302 / 1.2, 2)</f>
        <v>1262.5</v>
      </c>
      <c r="X302" s="9">
        <f>ROUND(R302 / 1.2, 2)</f>
        <v>1262.5</v>
      </c>
      <c r="Y302" s="9">
        <f t="shared" si="16"/>
        <v>0</v>
      </c>
      <c r="Z302" s="9">
        <f>ROUND(T302 / 1.2, 2)</f>
        <v>0</v>
      </c>
      <c r="AA302" s="9">
        <f>Y302+Z302</f>
        <v>0</v>
      </c>
      <c r="AD302" s="4">
        <v>305117053</v>
      </c>
      <c r="AE302" s="4">
        <v>22135682</v>
      </c>
      <c r="AG302" s="4" t="s">
        <v>1240</v>
      </c>
      <c r="AH302" s="4" t="s">
        <v>1241</v>
      </c>
      <c r="AI302" s="4" t="s">
        <v>467</v>
      </c>
    </row>
    <row r="303" spans="1:35" ht="18" x14ac:dyDescent="0.35">
      <c r="A303" s="10" t="s">
        <v>1252</v>
      </c>
      <c r="B303" s="10"/>
      <c r="C303" s="28" t="s">
        <v>1245</v>
      </c>
      <c r="D303" s="12"/>
      <c r="E303" s="12"/>
      <c r="F303" s="29" t="s">
        <v>490</v>
      </c>
      <c r="G303" s="30">
        <v>1</v>
      </c>
      <c r="H303" s="30"/>
      <c r="I303" s="30">
        <v>0</v>
      </c>
      <c r="J303" s="31">
        <v>418</v>
      </c>
      <c r="M303" s="32">
        <f>ROUND(ROUND(J303, 2)*I303, 2)</f>
        <v>0</v>
      </c>
      <c r="P303" s="33">
        <v>418</v>
      </c>
      <c r="S303" s="32">
        <f>ROUND(ROUND(P303, 2)*I303, 2)</f>
        <v>0</v>
      </c>
      <c r="V303" s="9">
        <f>ROUND(ROUND(P303, 2)/1.2, 2)</f>
        <v>348.33</v>
      </c>
      <c r="Y303" s="9">
        <f t="shared" si="16"/>
        <v>0</v>
      </c>
      <c r="AD303" s="4" t="s">
        <v>1253</v>
      </c>
      <c r="AE303" s="4" t="s">
        <v>1254</v>
      </c>
      <c r="AF303" s="4" t="s">
        <v>1248</v>
      </c>
    </row>
    <row r="304" spans="1:35" ht="36" x14ac:dyDescent="0.35">
      <c r="A304" s="10" t="s">
        <v>1255</v>
      </c>
      <c r="B304" s="10" t="s">
        <v>1256</v>
      </c>
      <c r="C304" s="11" t="s">
        <v>1257</v>
      </c>
      <c r="D304" s="12"/>
      <c r="E304" s="12"/>
      <c r="F304" s="12" t="s">
        <v>63</v>
      </c>
      <c r="G304" s="13">
        <v>1</v>
      </c>
      <c r="H304" s="13"/>
      <c r="I304" s="13">
        <v>0</v>
      </c>
      <c r="J304" s="14">
        <v>499.92</v>
      </c>
      <c r="K304" s="15">
        <v>428</v>
      </c>
      <c r="L304" s="14">
        <f>J304+ROUND(K304, 2)</f>
        <v>927.92000000000007</v>
      </c>
      <c r="M304" s="14">
        <v>0</v>
      </c>
      <c r="N304" s="14">
        <v>0</v>
      </c>
      <c r="O304" s="14">
        <f>M304+N304</f>
        <v>0</v>
      </c>
      <c r="P304" s="14">
        <v>58.11</v>
      </c>
      <c r="Q304" s="15">
        <v>428</v>
      </c>
      <c r="R304" s="14">
        <f>P304+ROUND(Q304, 2)</f>
        <v>486.11</v>
      </c>
      <c r="S304" s="14">
        <v>0</v>
      </c>
      <c r="T304" s="14">
        <v>0</v>
      </c>
      <c r="U304" s="14">
        <f>S304+T304</f>
        <v>0</v>
      </c>
      <c r="V304" s="9">
        <f>ROUND(P304 / 1.2, 2)</f>
        <v>48.43</v>
      </c>
      <c r="W304" s="9">
        <f>ROUND(Q304 / 1.2, 2)</f>
        <v>356.67</v>
      </c>
      <c r="X304" s="9">
        <f>ROUND(R304 / 1.2, 2)</f>
        <v>405.09</v>
      </c>
      <c r="Y304" s="9">
        <f t="shared" si="16"/>
        <v>0</v>
      </c>
      <c r="Z304" s="9">
        <f>ROUND(T304 / 1.2, 2)</f>
        <v>0</v>
      </c>
      <c r="AA304" s="9">
        <f>Y304+Z304</f>
        <v>0</v>
      </c>
      <c r="AD304" s="4">
        <v>305116981</v>
      </c>
      <c r="AE304" s="4">
        <v>20927097</v>
      </c>
      <c r="AG304" s="4" t="s">
        <v>1258</v>
      </c>
      <c r="AH304" s="4" t="s">
        <v>1259</v>
      </c>
      <c r="AI304" s="4" t="s">
        <v>467</v>
      </c>
    </row>
    <row r="305" spans="1:35" ht="36" x14ac:dyDescent="0.35">
      <c r="A305" s="10" t="s">
        <v>1262</v>
      </c>
      <c r="B305" s="10"/>
      <c r="C305" s="28" t="s">
        <v>925</v>
      </c>
      <c r="D305" s="12"/>
      <c r="E305" s="12"/>
      <c r="F305" s="29" t="s">
        <v>498</v>
      </c>
      <c r="G305" s="30">
        <v>0.15</v>
      </c>
      <c r="H305" s="30"/>
      <c r="I305" s="30">
        <v>0</v>
      </c>
      <c r="J305" s="31">
        <v>88.8</v>
      </c>
      <c r="M305" s="32">
        <f>ROUND(ROUND(J305, 2)*I305, 2)</f>
        <v>0</v>
      </c>
      <c r="P305" s="31">
        <v>88.8</v>
      </c>
      <c r="S305" s="32">
        <f>ROUND(ROUND(P305, 2)*I305, 2)</f>
        <v>0</v>
      </c>
      <c r="V305" s="9">
        <f>ROUND(ROUND(P305, 2)/1.2, 2)</f>
        <v>74</v>
      </c>
      <c r="Y305" s="9">
        <f t="shared" si="16"/>
        <v>0</v>
      </c>
      <c r="AD305" s="4" t="s">
        <v>1263</v>
      </c>
      <c r="AE305" s="4" t="s">
        <v>1264</v>
      </c>
      <c r="AF305" s="4" t="s">
        <v>928</v>
      </c>
    </row>
    <row r="306" spans="1:35" ht="18" x14ac:dyDescent="0.35">
      <c r="A306" s="10" t="s">
        <v>1267</v>
      </c>
      <c r="B306" s="10"/>
      <c r="C306" s="28" t="s">
        <v>1268</v>
      </c>
      <c r="D306" s="12"/>
      <c r="E306" s="12"/>
      <c r="F306" s="29" t="s">
        <v>498</v>
      </c>
      <c r="G306" s="30">
        <v>0.3</v>
      </c>
      <c r="H306" s="30"/>
      <c r="I306" s="30">
        <v>0</v>
      </c>
      <c r="J306" s="31">
        <v>1622</v>
      </c>
      <c r="M306" s="32">
        <f>ROUND(ROUND(J306, 2)*I306, 2)</f>
        <v>0</v>
      </c>
      <c r="P306" s="31">
        <v>149.31</v>
      </c>
      <c r="S306" s="32">
        <f>ROUND(ROUND(P306, 2)*I306, 2)</f>
        <v>0</v>
      </c>
      <c r="V306" s="9">
        <f>ROUND(ROUND(P306, 2)/1.2, 2)</f>
        <v>124.43</v>
      </c>
      <c r="Y306" s="9">
        <f t="shared" si="16"/>
        <v>0</v>
      </c>
      <c r="AD306" s="4" t="s">
        <v>1269</v>
      </c>
      <c r="AE306" s="4" t="s">
        <v>1270</v>
      </c>
      <c r="AF306" s="4" t="s">
        <v>1271</v>
      </c>
    </row>
    <row r="307" spans="1:35" ht="36" x14ac:dyDescent="0.35">
      <c r="A307" s="10" t="s">
        <v>1275</v>
      </c>
      <c r="B307" s="10" t="s">
        <v>1256</v>
      </c>
      <c r="C307" s="11" t="s">
        <v>1257</v>
      </c>
      <c r="D307" s="12"/>
      <c r="E307" s="12"/>
      <c r="F307" s="12" t="s">
        <v>63</v>
      </c>
      <c r="G307" s="13">
        <v>1</v>
      </c>
      <c r="H307" s="13"/>
      <c r="I307" s="13">
        <v>0</v>
      </c>
      <c r="J307" s="14">
        <v>499.92</v>
      </c>
      <c r="K307" s="15">
        <v>428</v>
      </c>
      <c r="L307" s="14">
        <f>J307+ROUND(K307, 2)</f>
        <v>927.92000000000007</v>
      </c>
      <c r="M307" s="14">
        <v>0</v>
      </c>
      <c r="N307" s="14">
        <v>0</v>
      </c>
      <c r="O307" s="14">
        <f>M307+N307</f>
        <v>0</v>
      </c>
      <c r="P307" s="14">
        <v>58.11</v>
      </c>
      <c r="Q307" s="15">
        <v>428</v>
      </c>
      <c r="R307" s="14">
        <f>P307+ROUND(Q307, 2)</f>
        <v>486.11</v>
      </c>
      <c r="S307" s="14">
        <v>0</v>
      </c>
      <c r="T307" s="14">
        <v>0</v>
      </c>
      <c r="U307" s="14">
        <f>S307+T307</f>
        <v>0</v>
      </c>
      <c r="V307" s="9">
        <f>ROUND(P307 / 1.2, 2)</f>
        <v>48.43</v>
      </c>
      <c r="W307" s="9">
        <f>ROUND(Q307 / 1.2, 2)</f>
        <v>356.67</v>
      </c>
      <c r="X307" s="9">
        <f>ROUND(R307 / 1.2, 2)</f>
        <v>405.09</v>
      </c>
      <c r="Y307" s="9">
        <f t="shared" si="16"/>
        <v>0</v>
      </c>
      <c r="Z307" s="9">
        <f>ROUND(T307 / 1.2, 2)</f>
        <v>0</v>
      </c>
      <c r="AA307" s="9">
        <f>Y307+Z307</f>
        <v>0</v>
      </c>
      <c r="AD307" s="4">
        <v>305117054</v>
      </c>
      <c r="AE307" s="4">
        <v>20927144</v>
      </c>
      <c r="AG307" s="4" t="s">
        <v>1258</v>
      </c>
      <c r="AH307" s="4" t="s">
        <v>1259</v>
      </c>
      <c r="AI307" s="4" t="s">
        <v>467</v>
      </c>
    </row>
    <row r="308" spans="1:35" ht="18" x14ac:dyDescent="0.35">
      <c r="A308" s="10" t="s">
        <v>1278</v>
      </c>
      <c r="B308" s="10"/>
      <c r="C308" s="28" t="s">
        <v>1268</v>
      </c>
      <c r="D308" s="12"/>
      <c r="E308" s="12"/>
      <c r="F308" s="29" t="s">
        <v>498</v>
      </c>
      <c r="G308" s="30">
        <v>0.3</v>
      </c>
      <c r="H308" s="30"/>
      <c r="I308" s="30">
        <v>0</v>
      </c>
      <c r="J308" s="31">
        <v>1622</v>
      </c>
      <c r="M308" s="32">
        <f>ROUND(ROUND(J308, 2)*I308, 2)</f>
        <v>0</v>
      </c>
      <c r="P308" s="31">
        <v>149.31</v>
      </c>
      <c r="S308" s="32">
        <f>ROUND(ROUND(P308, 2)*I308, 2)</f>
        <v>0</v>
      </c>
      <c r="V308" s="9">
        <f>ROUND(ROUND(P308, 2)/1.2, 2)</f>
        <v>124.43</v>
      </c>
      <c r="Y308" s="9">
        <f t="shared" si="16"/>
        <v>0</v>
      </c>
      <c r="AD308" s="4" t="s">
        <v>1279</v>
      </c>
      <c r="AE308" s="4" t="s">
        <v>1280</v>
      </c>
      <c r="AF308" s="4" t="s">
        <v>1271</v>
      </c>
    </row>
    <row r="309" spans="1:35" ht="36" x14ac:dyDescent="0.35">
      <c r="A309" s="10" t="s">
        <v>1284</v>
      </c>
      <c r="B309" s="10"/>
      <c r="C309" s="28" t="s">
        <v>925</v>
      </c>
      <c r="D309" s="12"/>
      <c r="E309" s="12"/>
      <c r="F309" s="29" t="s">
        <v>498</v>
      </c>
      <c r="G309" s="30">
        <v>0.15</v>
      </c>
      <c r="H309" s="30"/>
      <c r="I309" s="30">
        <v>0</v>
      </c>
      <c r="J309" s="31">
        <v>88.8</v>
      </c>
      <c r="M309" s="32">
        <f>ROUND(ROUND(J309, 2)*I309, 2)</f>
        <v>0</v>
      </c>
      <c r="P309" s="31">
        <v>88.8</v>
      </c>
      <c r="S309" s="32">
        <f>ROUND(ROUND(P309, 2)*I309, 2)</f>
        <v>0</v>
      </c>
      <c r="V309" s="9">
        <f>ROUND(ROUND(P309, 2)/1.2, 2)</f>
        <v>74</v>
      </c>
      <c r="Y309" s="9">
        <f t="shared" si="16"/>
        <v>0</v>
      </c>
      <c r="AD309" s="4" t="s">
        <v>1285</v>
      </c>
      <c r="AE309" s="4" t="s">
        <v>1286</v>
      </c>
      <c r="AF309" s="4" t="s">
        <v>928</v>
      </c>
    </row>
    <row r="310" spans="1:35" ht="108" x14ac:dyDescent="0.35">
      <c r="A310" s="10" t="s">
        <v>1289</v>
      </c>
      <c r="B310" s="10" t="s">
        <v>1256</v>
      </c>
      <c r="C310" s="11" t="s">
        <v>1257</v>
      </c>
      <c r="D310" s="12"/>
      <c r="E310" s="12" t="s">
        <v>1261</v>
      </c>
      <c r="F310" s="12" t="s">
        <v>63</v>
      </c>
      <c r="G310" s="13">
        <v>1</v>
      </c>
      <c r="H310" s="13"/>
      <c r="I310" s="13">
        <v>0</v>
      </c>
      <c r="J310" s="14">
        <f>IFERROR(ROUND(SUM(M311,M312)/I310, 2),0)</f>
        <v>0</v>
      </c>
      <c r="K310" s="15">
        <v>428</v>
      </c>
      <c r="L310" s="14">
        <f>J310+ROUND(K310, 2)</f>
        <v>428</v>
      </c>
      <c r="M310" s="14">
        <f>ROUND(J310*I310, 2)</f>
        <v>0</v>
      </c>
      <c r="N310" s="14">
        <f>ROUND(I310*ROUND(K310, 2), 2)</f>
        <v>0</v>
      </c>
      <c r="O310" s="14">
        <f>M310+N310</f>
        <v>0</v>
      </c>
      <c r="P310" s="14">
        <f>IFERROR(ROUND(SUM(S311,S312)/I310, 2),0)</f>
        <v>0</v>
      </c>
      <c r="Q310" s="16">
        <v>642</v>
      </c>
      <c r="R310" s="14">
        <f>P310+ROUND(Q310, 2)</f>
        <v>642</v>
      </c>
      <c r="S310" s="14">
        <f>ROUND(P310*I310, 2)</f>
        <v>0</v>
      </c>
      <c r="T310" s="14">
        <f>ROUND(I310*ROUND(Q310, 2), 2)</f>
        <v>0</v>
      </c>
      <c r="U310" s="14">
        <f>S310+T310</f>
        <v>0</v>
      </c>
      <c r="V310" s="9">
        <f>ROUND(P310 / 1.2, 2)</f>
        <v>0</v>
      </c>
      <c r="W310" s="9">
        <f>ROUND(Q310 / 1.2, 2)</f>
        <v>535</v>
      </c>
      <c r="X310" s="9">
        <f>ROUND(R310 / 1.2, 2)</f>
        <v>535</v>
      </c>
      <c r="Y310" s="9">
        <f t="shared" si="16"/>
        <v>0</v>
      </c>
      <c r="Z310" s="9">
        <f>ROUND(T310 / 1.2, 2)</f>
        <v>0</v>
      </c>
      <c r="AA310" s="9">
        <f>Y310+Z310</f>
        <v>0</v>
      </c>
      <c r="AD310" s="4">
        <v>305117055</v>
      </c>
      <c r="AE310" s="4">
        <v>22135710</v>
      </c>
      <c r="AG310" s="4" t="s">
        <v>1258</v>
      </c>
      <c r="AH310" s="4" t="s">
        <v>1259</v>
      </c>
      <c r="AI310" s="4" t="s">
        <v>467</v>
      </c>
    </row>
    <row r="311" spans="1:35" ht="36" x14ac:dyDescent="0.35">
      <c r="A311" s="10" t="s">
        <v>1290</v>
      </c>
      <c r="B311" s="10"/>
      <c r="C311" s="28" t="s">
        <v>925</v>
      </c>
      <c r="D311" s="12"/>
      <c r="E311" s="12"/>
      <c r="F311" s="29" t="s">
        <v>498</v>
      </c>
      <c r="G311" s="30">
        <v>0.15</v>
      </c>
      <c r="H311" s="30"/>
      <c r="I311" s="30">
        <v>0</v>
      </c>
      <c r="J311" s="31">
        <v>88.8</v>
      </c>
      <c r="M311" s="32">
        <f>ROUND(ROUND(J311, 2)*I311, 2)</f>
        <v>0</v>
      </c>
      <c r="P311" s="33">
        <v>88.8</v>
      </c>
      <c r="S311" s="32">
        <f>ROUND(ROUND(P311, 2)*I311, 2)</f>
        <v>0</v>
      </c>
      <c r="V311" s="9">
        <f>ROUND(ROUND(P311, 2)/1.2, 2)</f>
        <v>74</v>
      </c>
      <c r="Y311" s="9">
        <f t="shared" si="16"/>
        <v>0</v>
      </c>
      <c r="AD311" s="4" t="s">
        <v>1291</v>
      </c>
      <c r="AE311" s="4" t="s">
        <v>1292</v>
      </c>
      <c r="AF311" s="4" t="s">
        <v>928</v>
      </c>
    </row>
    <row r="312" spans="1:35" ht="90" x14ac:dyDescent="0.35">
      <c r="A312" s="10" t="s">
        <v>1293</v>
      </c>
      <c r="B312" s="10"/>
      <c r="C312" s="28" t="s">
        <v>1268</v>
      </c>
      <c r="D312" s="12"/>
      <c r="E312" s="12" t="s">
        <v>1273</v>
      </c>
      <c r="F312" s="29" t="s">
        <v>498</v>
      </c>
      <c r="G312" s="30">
        <v>0.3</v>
      </c>
      <c r="H312" s="30"/>
      <c r="I312" s="30">
        <v>0</v>
      </c>
      <c r="J312" s="31">
        <v>1622</v>
      </c>
      <c r="M312" s="32">
        <f>ROUND(ROUND(J312, 2)*I312, 2)</f>
        <v>0</v>
      </c>
      <c r="P312" s="33">
        <v>1622</v>
      </c>
      <c r="S312" s="32">
        <f>ROUND(ROUND(P312, 2)*I312, 2)</f>
        <v>0</v>
      </c>
      <c r="V312" s="9">
        <f>ROUND(ROUND(P312, 2)/1.2, 2)</f>
        <v>1351.67</v>
      </c>
      <c r="Y312" s="9">
        <f t="shared" si="16"/>
        <v>0</v>
      </c>
      <c r="AD312" s="4" t="s">
        <v>1294</v>
      </c>
      <c r="AE312" s="4" t="s">
        <v>1295</v>
      </c>
      <c r="AF312" s="4" t="s">
        <v>1271</v>
      </c>
    </row>
    <row r="313" spans="1:35" ht="90" x14ac:dyDescent="0.35">
      <c r="A313" s="10" t="s">
        <v>1296</v>
      </c>
      <c r="B313" s="10" t="s">
        <v>1256</v>
      </c>
      <c r="C313" s="11" t="s">
        <v>1257</v>
      </c>
      <c r="D313" s="12"/>
      <c r="E313" s="12" t="s">
        <v>1277</v>
      </c>
      <c r="F313" s="12" t="s">
        <v>63</v>
      </c>
      <c r="G313" s="13">
        <v>1</v>
      </c>
      <c r="H313" s="13"/>
      <c r="I313" s="13">
        <v>0</v>
      </c>
      <c r="J313" s="14">
        <f>IFERROR(ROUND(SUM(M314,M315)/I313, 2),0)</f>
        <v>0</v>
      </c>
      <c r="K313" s="15">
        <v>428</v>
      </c>
      <c r="L313" s="14">
        <f>J313+ROUND(K313, 2)</f>
        <v>428</v>
      </c>
      <c r="M313" s="14">
        <f>ROUND(J313*I313, 2)</f>
        <v>0</v>
      </c>
      <c r="N313" s="14">
        <f>ROUND(I313*ROUND(K313, 2), 2)</f>
        <v>0</v>
      </c>
      <c r="O313" s="14">
        <f>M313+N313</f>
        <v>0</v>
      </c>
      <c r="P313" s="14">
        <f>IFERROR(ROUND(SUM(S314,S315)/I313, 2),0)</f>
        <v>0</v>
      </c>
      <c r="Q313" s="16">
        <v>642</v>
      </c>
      <c r="R313" s="14">
        <f>P313+ROUND(Q313, 2)</f>
        <v>642</v>
      </c>
      <c r="S313" s="14">
        <f>ROUND(P313*I313, 2)</f>
        <v>0</v>
      </c>
      <c r="T313" s="14">
        <f>ROUND(I313*ROUND(Q313, 2), 2)</f>
        <v>0</v>
      </c>
      <c r="U313" s="14">
        <f>S313+T313</f>
        <v>0</v>
      </c>
      <c r="V313" s="9">
        <f>ROUND(P313 / 1.2, 2)</f>
        <v>0</v>
      </c>
      <c r="W313" s="9">
        <f>ROUND(Q313 / 1.2, 2)</f>
        <v>535</v>
      </c>
      <c r="X313" s="9">
        <f>ROUND(R313 / 1.2, 2)</f>
        <v>535</v>
      </c>
      <c r="Y313" s="9">
        <f t="shared" si="16"/>
        <v>0</v>
      </c>
      <c r="Z313" s="9">
        <f>ROUND(T313 / 1.2, 2)</f>
        <v>0</v>
      </c>
      <c r="AA313" s="9">
        <f>Y313+Z313</f>
        <v>0</v>
      </c>
      <c r="AD313" s="4">
        <v>305117056</v>
      </c>
      <c r="AE313" s="4">
        <v>22135713</v>
      </c>
      <c r="AG313" s="4" t="s">
        <v>1258</v>
      </c>
      <c r="AH313" s="4" t="s">
        <v>1259</v>
      </c>
      <c r="AI313" s="4" t="s">
        <v>467</v>
      </c>
    </row>
    <row r="314" spans="1:35" ht="90" x14ac:dyDescent="0.35">
      <c r="A314" s="10" t="s">
        <v>1297</v>
      </c>
      <c r="B314" s="10"/>
      <c r="C314" s="28" t="s">
        <v>1268</v>
      </c>
      <c r="D314" s="12"/>
      <c r="E314" s="12" t="s">
        <v>1282</v>
      </c>
      <c r="F314" s="29" t="s">
        <v>498</v>
      </c>
      <c r="G314" s="30">
        <v>0.3</v>
      </c>
      <c r="H314" s="30"/>
      <c r="I314" s="30">
        <v>0</v>
      </c>
      <c r="J314" s="31">
        <v>1622</v>
      </c>
      <c r="M314" s="32">
        <f>ROUND(ROUND(J314, 2)*I314, 2)</f>
        <v>0</v>
      </c>
      <c r="P314" s="33">
        <v>1622</v>
      </c>
      <c r="S314" s="32">
        <f>ROUND(ROUND(P314, 2)*I314, 2)</f>
        <v>0</v>
      </c>
      <c r="V314" s="9">
        <f>ROUND(ROUND(P314, 2)/1.2, 2)</f>
        <v>1351.67</v>
      </c>
      <c r="Y314" s="9">
        <f t="shared" si="16"/>
        <v>0</v>
      </c>
      <c r="AD314" s="4" t="s">
        <v>1298</v>
      </c>
      <c r="AE314" s="4" t="s">
        <v>1299</v>
      </c>
      <c r="AF314" s="4" t="s">
        <v>1271</v>
      </c>
    </row>
    <row r="315" spans="1:35" ht="36" x14ac:dyDescent="0.35">
      <c r="A315" s="10" t="s">
        <v>1300</v>
      </c>
      <c r="B315" s="10"/>
      <c r="C315" s="28" t="s">
        <v>925</v>
      </c>
      <c r="D315" s="12"/>
      <c r="E315" s="12"/>
      <c r="F315" s="29" t="s">
        <v>498</v>
      </c>
      <c r="G315" s="30">
        <v>0.15</v>
      </c>
      <c r="H315" s="30"/>
      <c r="I315" s="30">
        <v>0</v>
      </c>
      <c r="J315" s="31">
        <v>88.8</v>
      </c>
      <c r="M315" s="32">
        <f>ROUND(ROUND(J315, 2)*I315, 2)</f>
        <v>0</v>
      </c>
      <c r="P315" s="33">
        <v>88.8</v>
      </c>
      <c r="S315" s="32">
        <f>ROUND(ROUND(P315, 2)*I315, 2)</f>
        <v>0</v>
      </c>
      <c r="V315" s="9">
        <f>ROUND(ROUND(P315, 2)/1.2, 2)</f>
        <v>74</v>
      </c>
      <c r="Y315" s="9">
        <f t="shared" si="16"/>
        <v>0</v>
      </c>
      <c r="AD315" s="4" t="s">
        <v>1301</v>
      </c>
      <c r="AE315" s="4" t="s">
        <v>1302</v>
      </c>
      <c r="AF315" s="4" t="s">
        <v>928</v>
      </c>
    </row>
    <row r="316" spans="1:35" ht="54" x14ac:dyDescent="0.35">
      <c r="A316" s="10" t="s">
        <v>1303</v>
      </c>
      <c r="B316" s="10" t="s">
        <v>1304</v>
      </c>
      <c r="C316" s="11" t="s">
        <v>1305</v>
      </c>
      <c r="D316" s="12"/>
      <c r="E316" s="12"/>
      <c r="F316" s="12" t="s">
        <v>63</v>
      </c>
      <c r="G316" s="13">
        <v>1</v>
      </c>
      <c r="H316" s="13"/>
      <c r="I316" s="13">
        <v>0</v>
      </c>
      <c r="J316" s="14">
        <v>1603.98</v>
      </c>
      <c r="K316" s="15">
        <v>2364</v>
      </c>
      <c r="L316" s="14">
        <f>J316+ROUND(K316, 2)</f>
        <v>3967.98</v>
      </c>
      <c r="M316" s="14">
        <v>0</v>
      </c>
      <c r="N316" s="14">
        <v>0</v>
      </c>
      <c r="O316" s="14">
        <f>M316+N316</f>
        <v>0</v>
      </c>
      <c r="P316" s="14">
        <v>1603.98</v>
      </c>
      <c r="Q316" s="15">
        <v>2364</v>
      </c>
      <c r="R316" s="14">
        <f>P316+ROUND(Q316, 2)</f>
        <v>3967.98</v>
      </c>
      <c r="S316" s="14">
        <v>0</v>
      </c>
      <c r="T316" s="14">
        <v>0</v>
      </c>
      <c r="U316" s="14">
        <f>S316+T316</f>
        <v>0</v>
      </c>
      <c r="V316" s="9">
        <f>ROUND(P316 / 1.2, 2)</f>
        <v>1336.65</v>
      </c>
      <c r="W316" s="9">
        <f>ROUND(Q316 / 1.2, 2)</f>
        <v>1970</v>
      </c>
      <c r="X316" s="9">
        <f>ROUND(R316 / 1.2, 2)</f>
        <v>3306.65</v>
      </c>
      <c r="Y316" s="9">
        <f t="shared" si="16"/>
        <v>0</v>
      </c>
      <c r="Z316" s="9">
        <f>ROUND(T316 / 1.2, 2)</f>
        <v>0</v>
      </c>
      <c r="AA316" s="9">
        <f>Y316+Z316</f>
        <v>0</v>
      </c>
      <c r="AD316" s="4">
        <v>305116983</v>
      </c>
      <c r="AE316" s="4">
        <v>20927264</v>
      </c>
      <c r="AG316" s="4" t="s">
        <v>1306</v>
      </c>
      <c r="AH316" s="4" t="s">
        <v>1307</v>
      </c>
      <c r="AI316" s="4" t="s">
        <v>467</v>
      </c>
    </row>
    <row r="317" spans="1:35" ht="18" x14ac:dyDescent="0.35">
      <c r="A317" s="10" t="s">
        <v>1310</v>
      </c>
      <c r="B317" s="10"/>
      <c r="C317" s="28" t="s">
        <v>1311</v>
      </c>
      <c r="D317" s="12"/>
      <c r="E317" s="12"/>
      <c r="F317" s="29" t="s">
        <v>498</v>
      </c>
      <c r="G317" s="30">
        <v>0.25</v>
      </c>
      <c r="H317" s="49"/>
      <c r="I317" s="49">
        <v>0</v>
      </c>
      <c r="J317" s="31">
        <v>40.270000000000003</v>
      </c>
      <c r="M317" s="32">
        <f>ROUND(ROUND(J317, 2)*I317, 2)</f>
        <v>0</v>
      </c>
      <c r="P317" s="31">
        <v>40.270000000000003</v>
      </c>
      <c r="S317" s="32">
        <f>ROUND(ROUND(P317, 2)*I317, 2)</f>
        <v>0</v>
      </c>
      <c r="V317" s="9">
        <f>ROUND(ROUND(P317, 2)/1.2, 2)</f>
        <v>33.56</v>
      </c>
      <c r="Y317" s="9">
        <f t="shared" si="16"/>
        <v>0</v>
      </c>
      <c r="AD317" s="4" t="s">
        <v>1312</v>
      </c>
      <c r="AE317" s="4" t="s">
        <v>1313</v>
      </c>
      <c r="AF317" s="4" t="s">
        <v>1314</v>
      </c>
    </row>
    <row r="318" spans="1:35" ht="36" x14ac:dyDescent="0.35">
      <c r="A318" s="10" t="s">
        <v>1317</v>
      </c>
      <c r="B318" s="10"/>
      <c r="C318" s="28" t="s">
        <v>758</v>
      </c>
      <c r="D318" s="12"/>
      <c r="E318" s="12"/>
      <c r="F318" s="29" t="s">
        <v>498</v>
      </c>
      <c r="G318" s="30">
        <v>0.15</v>
      </c>
      <c r="H318" s="30"/>
      <c r="I318" s="30">
        <v>0</v>
      </c>
      <c r="J318" s="31">
        <v>68.400000000000006</v>
      </c>
      <c r="M318" s="32">
        <f>ROUND(ROUND(J318, 2)*I318, 2)</f>
        <v>0</v>
      </c>
      <c r="P318" s="31">
        <v>68.400000000000006</v>
      </c>
      <c r="S318" s="32">
        <f>ROUND(ROUND(P318, 2)*I318, 2)</f>
        <v>0</v>
      </c>
      <c r="V318" s="9">
        <f>ROUND(ROUND(P318, 2)/1.2, 2)</f>
        <v>57</v>
      </c>
      <c r="Y318" s="9">
        <f t="shared" si="16"/>
        <v>0</v>
      </c>
      <c r="AD318" s="4" t="s">
        <v>1318</v>
      </c>
      <c r="AE318" s="4" t="s">
        <v>1319</v>
      </c>
      <c r="AF318" s="4" t="s">
        <v>761</v>
      </c>
    </row>
    <row r="319" spans="1:35" ht="36" x14ac:dyDescent="0.35">
      <c r="A319" s="10" t="s">
        <v>1322</v>
      </c>
      <c r="B319" s="10"/>
      <c r="C319" s="47" t="s">
        <v>1108</v>
      </c>
      <c r="D319" s="12"/>
      <c r="E319" s="12"/>
      <c r="F319" s="29" t="s">
        <v>498</v>
      </c>
      <c r="G319" s="30">
        <v>1.2</v>
      </c>
      <c r="H319" s="49"/>
      <c r="I319" s="49">
        <v>0</v>
      </c>
      <c r="J319" s="31">
        <v>16.96</v>
      </c>
      <c r="M319" s="32">
        <f>ROUND(ROUND(J319, 2)*I319, 2)</f>
        <v>0</v>
      </c>
      <c r="P319" s="31">
        <v>16.96</v>
      </c>
      <c r="S319" s="32">
        <f>ROUND(ROUND(P319, 2)*I319, 2)</f>
        <v>0</v>
      </c>
      <c r="V319" s="9">
        <f>ROUND(ROUND(P319, 2)/1.2, 2)</f>
        <v>14.13</v>
      </c>
      <c r="Y319" s="9">
        <f t="shared" si="16"/>
        <v>0</v>
      </c>
      <c r="AD319" s="4" t="s">
        <v>1323</v>
      </c>
      <c r="AE319" s="4" t="s">
        <v>1324</v>
      </c>
      <c r="AF319" s="4" t="s">
        <v>1111</v>
      </c>
    </row>
    <row r="320" spans="1:35" ht="36" x14ac:dyDescent="0.35">
      <c r="A320" s="10" t="s">
        <v>1327</v>
      </c>
      <c r="B320" s="10"/>
      <c r="C320" s="47" t="s">
        <v>1328</v>
      </c>
      <c r="D320" s="12"/>
      <c r="E320" s="12"/>
      <c r="F320" s="29" t="s">
        <v>63</v>
      </c>
      <c r="G320" s="30">
        <v>1.07</v>
      </c>
      <c r="H320" s="49"/>
      <c r="I320" s="49">
        <v>0</v>
      </c>
      <c r="J320" s="31">
        <v>1384.95</v>
      </c>
      <c r="M320" s="32">
        <f>ROUND(ROUND(J320, 2)*I320, 2)</f>
        <v>0</v>
      </c>
      <c r="P320" s="31">
        <v>1384.95</v>
      </c>
      <c r="S320" s="32">
        <f>ROUND(ROUND(P320, 2)*I320, 2)</f>
        <v>0</v>
      </c>
      <c r="V320" s="9">
        <f>ROUND(ROUND(P320, 2)/1.2, 2)</f>
        <v>1154.1300000000001</v>
      </c>
      <c r="Y320" s="9">
        <f t="shared" si="16"/>
        <v>0</v>
      </c>
      <c r="AD320" s="4" t="s">
        <v>1329</v>
      </c>
      <c r="AE320" s="4" t="s">
        <v>1330</v>
      </c>
      <c r="AF320" s="4" t="s">
        <v>1331</v>
      </c>
    </row>
    <row r="321" spans="1:35" ht="54" x14ac:dyDescent="0.35">
      <c r="A321" s="10" t="s">
        <v>1335</v>
      </c>
      <c r="B321" s="10" t="s">
        <v>1304</v>
      </c>
      <c r="C321" s="11" t="s">
        <v>1305</v>
      </c>
      <c r="D321" s="12"/>
      <c r="E321" s="12" t="s">
        <v>1309</v>
      </c>
      <c r="F321" s="12" t="s">
        <v>63</v>
      </c>
      <c r="G321" s="13">
        <v>1</v>
      </c>
      <c r="H321" s="13"/>
      <c r="I321" s="13">
        <v>0</v>
      </c>
      <c r="J321" s="14">
        <f>IFERROR(ROUND(SUM(M322,M323,M324,M325)/I321, 2),0)</f>
        <v>0</v>
      </c>
      <c r="K321" s="15">
        <v>2364</v>
      </c>
      <c r="L321" s="14">
        <f>J321+ROUND(K321, 2)</f>
        <v>2364</v>
      </c>
      <c r="M321" s="14">
        <f>ROUND(J321*I321, 2)</f>
        <v>0</v>
      </c>
      <c r="N321" s="14">
        <f>ROUND(I321*ROUND(K321, 2), 2)</f>
        <v>0</v>
      </c>
      <c r="O321" s="14">
        <f>M321+N321</f>
        <v>0</v>
      </c>
      <c r="P321" s="14">
        <f>IFERROR(ROUND(SUM(S322,S323,S324,S325)/I321, 2),0)</f>
        <v>0</v>
      </c>
      <c r="Q321" s="16">
        <v>3546</v>
      </c>
      <c r="R321" s="14">
        <f>P321+ROUND(Q321, 2)</f>
        <v>3546</v>
      </c>
      <c r="S321" s="14">
        <f>ROUND(P321*I321, 2)</f>
        <v>0</v>
      </c>
      <c r="T321" s="14">
        <f>ROUND(I321*ROUND(Q321, 2), 2)</f>
        <v>0</v>
      </c>
      <c r="U321" s="14">
        <f>S321+T321</f>
        <v>0</v>
      </c>
      <c r="V321" s="9">
        <f>ROUND(P321 / 1.2, 2)</f>
        <v>0</v>
      </c>
      <c r="W321" s="9">
        <f>ROUND(Q321 / 1.2, 2)</f>
        <v>2955</v>
      </c>
      <c r="X321" s="9">
        <f>ROUND(R321 / 1.2, 2)</f>
        <v>2955</v>
      </c>
      <c r="Y321" s="9">
        <f t="shared" si="16"/>
        <v>0</v>
      </c>
      <c r="Z321" s="9">
        <f>ROUND(T321 / 1.2, 2)</f>
        <v>0</v>
      </c>
      <c r="AA321" s="9">
        <f>Y321+Z321</f>
        <v>0</v>
      </c>
      <c r="AD321" s="4">
        <v>305117057</v>
      </c>
      <c r="AE321" s="4">
        <v>22135718</v>
      </c>
      <c r="AG321" s="4" t="s">
        <v>1306</v>
      </c>
      <c r="AH321" s="4" t="s">
        <v>1307</v>
      </c>
      <c r="AI321" s="4" t="s">
        <v>467</v>
      </c>
    </row>
    <row r="322" spans="1:35" ht="72" x14ac:dyDescent="0.35">
      <c r="A322" s="10" t="s">
        <v>1336</v>
      </c>
      <c r="B322" s="10"/>
      <c r="C322" s="47" t="s">
        <v>1328</v>
      </c>
      <c r="D322" s="12"/>
      <c r="E322" s="12" t="s">
        <v>1333</v>
      </c>
      <c r="F322" s="29" t="s">
        <v>63</v>
      </c>
      <c r="G322" s="30">
        <v>1.07</v>
      </c>
      <c r="H322" s="49"/>
      <c r="I322" s="49">
        <v>4290.4859999999999</v>
      </c>
      <c r="J322" s="31">
        <v>1384.96</v>
      </c>
      <c r="M322" s="32">
        <f>ROUND(ROUND(J322, 2)*I322, 2)</f>
        <v>5942151.4900000002</v>
      </c>
      <c r="P322" s="33">
        <v>1384.95</v>
      </c>
      <c r="S322" s="32">
        <f>ROUND(ROUND(P322, 2)*I322, 2)</f>
        <v>5942108.5899999999</v>
      </c>
      <c r="V322" s="9">
        <f>ROUND(ROUND(P322, 2)/1.2, 2)</f>
        <v>1154.1300000000001</v>
      </c>
      <c r="Y322" s="9">
        <f t="shared" si="16"/>
        <v>4951757.16</v>
      </c>
      <c r="AD322" s="4" t="s">
        <v>1337</v>
      </c>
      <c r="AE322" s="4" t="s">
        <v>1338</v>
      </c>
      <c r="AF322" s="4" t="s">
        <v>1331</v>
      </c>
    </row>
    <row r="323" spans="1:35" ht="36" x14ac:dyDescent="0.35">
      <c r="A323" s="10" t="s">
        <v>1339</v>
      </c>
      <c r="B323" s="10"/>
      <c r="C323" s="47" t="s">
        <v>1108</v>
      </c>
      <c r="D323" s="12"/>
      <c r="E323" s="12"/>
      <c r="F323" s="29" t="s">
        <v>498</v>
      </c>
      <c r="G323" s="30">
        <v>1.2</v>
      </c>
      <c r="H323" s="49"/>
      <c r="I323" s="49">
        <v>24058.799999999999</v>
      </c>
      <c r="J323" s="31">
        <v>16.12</v>
      </c>
      <c r="M323" s="32">
        <f>ROUND(ROUND(J323, 2)*I323, 2)</f>
        <v>387827.86</v>
      </c>
      <c r="P323" s="33">
        <v>16.11</v>
      </c>
      <c r="S323" s="32">
        <f>ROUND(ROUND(P323, 2)*I323, 2)</f>
        <v>387587.27</v>
      </c>
      <c r="V323" s="9">
        <f>ROUND(ROUND(P323, 2)/1.2, 2)</f>
        <v>13.43</v>
      </c>
      <c r="Y323" s="9">
        <f t="shared" si="16"/>
        <v>322989.39</v>
      </c>
      <c r="AD323" s="4" t="s">
        <v>1340</v>
      </c>
      <c r="AE323" s="4" t="s">
        <v>1341</v>
      </c>
      <c r="AF323" s="4" t="s">
        <v>1111</v>
      </c>
    </row>
    <row r="324" spans="1:35" ht="36" x14ac:dyDescent="0.35">
      <c r="A324" s="10" t="s">
        <v>1342</v>
      </c>
      <c r="B324" s="10"/>
      <c r="C324" s="28" t="s">
        <v>758</v>
      </c>
      <c r="D324" s="12"/>
      <c r="E324" s="12"/>
      <c r="F324" s="29" t="s">
        <v>498</v>
      </c>
      <c r="G324" s="30">
        <v>0.15</v>
      </c>
      <c r="H324" s="30"/>
      <c r="I324" s="30">
        <v>0</v>
      </c>
      <c r="J324" s="31">
        <v>68.400000000000006</v>
      </c>
      <c r="M324" s="32">
        <f>ROUND(ROUND(J324, 2)*I324, 2)</f>
        <v>0</v>
      </c>
      <c r="P324" s="33">
        <v>68.400000000000006</v>
      </c>
      <c r="S324" s="32">
        <f>ROUND(ROUND(P324, 2)*I324, 2)</f>
        <v>0</v>
      </c>
      <c r="V324" s="9">
        <f>ROUND(ROUND(P324, 2)/1.2, 2)</f>
        <v>57</v>
      </c>
      <c r="Y324" s="9">
        <f t="shared" si="16"/>
        <v>0</v>
      </c>
      <c r="AD324" s="4" t="s">
        <v>1343</v>
      </c>
      <c r="AE324" s="4" t="s">
        <v>1344</v>
      </c>
      <c r="AF324" s="4" t="s">
        <v>761</v>
      </c>
    </row>
    <row r="325" spans="1:35" ht="18" x14ac:dyDescent="0.35">
      <c r="A325" s="10" t="s">
        <v>1345</v>
      </c>
      <c r="B325" s="10"/>
      <c r="C325" s="28" t="s">
        <v>1311</v>
      </c>
      <c r="D325" s="12"/>
      <c r="E325" s="12"/>
      <c r="F325" s="29" t="s">
        <v>498</v>
      </c>
      <c r="G325" s="30">
        <v>0.25</v>
      </c>
      <c r="H325" s="49"/>
      <c r="I325" s="49">
        <v>1002.45</v>
      </c>
      <c r="J325" s="31">
        <v>40.270000000000003</v>
      </c>
      <c r="M325" s="32">
        <f>ROUND(ROUND(J325, 2)*I325, 2)</f>
        <v>40368.660000000003</v>
      </c>
      <c r="P325" s="33">
        <v>40.270000000000003</v>
      </c>
      <c r="S325" s="32">
        <f>ROUND(ROUND(P325, 2)*I325, 2)</f>
        <v>40368.660000000003</v>
      </c>
      <c r="V325" s="9">
        <f>ROUND(ROUND(P325, 2)/1.2, 2)</f>
        <v>33.56</v>
      </c>
      <c r="Y325" s="9">
        <f t="shared" si="16"/>
        <v>33640.550000000003</v>
      </c>
      <c r="AD325" s="4" t="s">
        <v>1346</v>
      </c>
      <c r="AE325" s="4" t="s">
        <v>1347</v>
      </c>
      <c r="AF325" s="4" t="s">
        <v>1314</v>
      </c>
    </row>
    <row r="326" spans="1:35" ht="17" customHeight="1" x14ac:dyDescent="0.35">
      <c r="A326" s="10" t="s">
        <v>1348</v>
      </c>
      <c r="B326" s="10" t="s">
        <v>1349</v>
      </c>
      <c r="C326" s="174" t="s">
        <v>1350</v>
      </c>
      <c r="D326" s="175"/>
      <c r="E326" s="175"/>
      <c r="F326" s="175"/>
      <c r="G326" s="175"/>
      <c r="H326" s="175"/>
      <c r="I326" s="176"/>
      <c r="M326" s="6">
        <f>SUM(M327,M344)</f>
        <v>0</v>
      </c>
      <c r="N326" s="6">
        <f>SUM(N327,N344)</f>
        <v>0</v>
      </c>
      <c r="O326" s="6">
        <f>SUM(O327,O344)</f>
        <v>0</v>
      </c>
      <c r="S326" s="6">
        <f>SUM(S327,S344)</f>
        <v>0</v>
      </c>
      <c r="T326" s="6">
        <f>SUM(T327,T344)</f>
        <v>0</v>
      </c>
      <c r="U326" s="6">
        <f>SUM(U327,U344)</f>
        <v>0</v>
      </c>
      <c r="Y326" s="9">
        <f>SUM(Y327,Y344)</f>
        <v>0</v>
      </c>
      <c r="Z326" s="9">
        <f>SUM(Z327,Z344)</f>
        <v>0</v>
      </c>
      <c r="AA326" s="9">
        <f>SUM(AA327,AA344)</f>
        <v>0</v>
      </c>
      <c r="AD326" s="4">
        <v>305116984</v>
      </c>
      <c r="AE326" s="4">
        <v>20942113</v>
      </c>
    </row>
    <row r="327" spans="1:35" ht="17" customHeight="1" x14ac:dyDescent="0.35">
      <c r="A327" s="10" t="s">
        <v>1351</v>
      </c>
      <c r="B327" s="10" t="s">
        <v>1352</v>
      </c>
      <c r="C327" s="174" t="s">
        <v>1353</v>
      </c>
      <c r="D327" s="175"/>
      <c r="E327" s="175"/>
      <c r="F327" s="175"/>
      <c r="G327" s="175"/>
      <c r="H327" s="175"/>
      <c r="I327" s="176"/>
      <c r="M327" s="6">
        <f>SUM(M328,M333,M338,M341)</f>
        <v>0</v>
      </c>
      <c r="N327" s="6">
        <f>SUM(N328,N333,N338,N341)</f>
        <v>0</v>
      </c>
      <c r="O327" s="6">
        <f>SUM(O328,O333,O338,O341)</f>
        <v>0</v>
      </c>
      <c r="S327" s="6">
        <f>SUM(S328,S333,S338,S341)</f>
        <v>0</v>
      </c>
      <c r="T327" s="6">
        <f>SUM(T328,T333,T338,T341)</f>
        <v>0</v>
      </c>
      <c r="U327" s="6">
        <f>SUM(U328,U333,U338,U341)</f>
        <v>0</v>
      </c>
      <c r="Y327" s="9">
        <f>SUM(Y328,Y333,Y338,Y341)</f>
        <v>0</v>
      </c>
      <c r="Z327" s="9">
        <f>SUM(Z328,Z333,Z338,Z341)</f>
        <v>0</v>
      </c>
      <c r="AA327" s="9">
        <f>SUM(AA328,AA333,AA338,AA341)</f>
        <v>0</v>
      </c>
      <c r="AD327" s="4">
        <v>305116985</v>
      </c>
      <c r="AE327" s="4">
        <v>20942116</v>
      </c>
    </row>
    <row r="328" spans="1:35" ht="72" x14ac:dyDescent="0.35">
      <c r="A328" s="10" t="s">
        <v>1354</v>
      </c>
      <c r="B328" s="10" t="s">
        <v>1355</v>
      </c>
      <c r="C328" s="11" t="s">
        <v>1356</v>
      </c>
      <c r="D328" s="12"/>
      <c r="E328" s="12"/>
      <c r="F328" s="12" t="s">
        <v>63</v>
      </c>
      <c r="G328" s="13">
        <v>1</v>
      </c>
      <c r="H328" s="13"/>
      <c r="I328" s="13">
        <v>0</v>
      </c>
      <c r="J328" s="14">
        <v>170.27</v>
      </c>
      <c r="K328" s="15">
        <v>853</v>
      </c>
      <c r="L328" s="14">
        <f>J328+ROUND(K328, 2)</f>
        <v>1023.27</v>
      </c>
      <c r="M328" s="14">
        <v>0</v>
      </c>
      <c r="N328" s="14">
        <v>0</v>
      </c>
      <c r="O328" s="14">
        <f>M328+N328</f>
        <v>0</v>
      </c>
      <c r="P328" s="14">
        <v>170.27</v>
      </c>
      <c r="Q328" s="15">
        <v>853</v>
      </c>
      <c r="R328" s="14">
        <f>P328+ROUND(Q328, 2)</f>
        <v>1023.27</v>
      </c>
      <c r="S328" s="14">
        <v>0</v>
      </c>
      <c r="T328" s="14">
        <v>0</v>
      </c>
      <c r="U328" s="14">
        <f>S328+T328</f>
        <v>0</v>
      </c>
      <c r="V328" s="9">
        <f>ROUND(P328 / 1.2, 2)</f>
        <v>141.88999999999999</v>
      </c>
      <c r="W328" s="9">
        <f>ROUND(Q328 / 1.2, 2)</f>
        <v>710.83</v>
      </c>
      <c r="X328" s="9">
        <f>ROUND(R328 / 1.2, 2)</f>
        <v>852.73</v>
      </c>
      <c r="Y328" s="9">
        <f>ROUND(S328 / 1.2, 2)</f>
        <v>0</v>
      </c>
      <c r="Z328" s="9">
        <f>ROUND(T328 / 1.2, 2)</f>
        <v>0</v>
      </c>
      <c r="AA328" s="9">
        <f>Y328+Z328</f>
        <v>0</v>
      </c>
      <c r="AD328" s="4">
        <v>305116987</v>
      </c>
      <c r="AE328" s="4">
        <v>20944432</v>
      </c>
      <c r="AG328" s="4" t="s">
        <v>1357</v>
      </c>
      <c r="AH328" s="4" t="s">
        <v>1358</v>
      </c>
      <c r="AI328" s="4" t="s">
        <v>467</v>
      </c>
    </row>
    <row r="329" spans="1:35" ht="18" x14ac:dyDescent="0.35">
      <c r="A329" s="10" t="s">
        <v>1361</v>
      </c>
      <c r="B329" s="10"/>
      <c r="C329" s="28" t="s">
        <v>1196</v>
      </c>
      <c r="D329" s="12"/>
      <c r="E329" s="12"/>
      <c r="F329" s="29" t="s">
        <v>498</v>
      </c>
      <c r="G329" s="30">
        <v>1.3</v>
      </c>
      <c r="H329" s="49"/>
      <c r="I329" s="49">
        <v>0</v>
      </c>
      <c r="J329" s="31">
        <v>8.6</v>
      </c>
      <c r="M329" s="32">
        <f>ROUND(ROUND(J329, 2)*I329, 2)</f>
        <v>0</v>
      </c>
      <c r="P329" s="31">
        <v>8.6</v>
      </c>
      <c r="S329" s="32">
        <f>ROUND(ROUND(P329, 2)*I329, 2)</f>
        <v>0</v>
      </c>
      <c r="V329" s="9">
        <f>ROUND(ROUND(P329, 2)/1.2, 2)</f>
        <v>7.17</v>
      </c>
      <c r="Y329" s="9">
        <f t="shared" ref="Y329:Y343" si="17">ROUND(S329 / 1.2, 2)</f>
        <v>0</v>
      </c>
      <c r="AD329" s="4" t="s">
        <v>1362</v>
      </c>
      <c r="AE329" s="4" t="s">
        <v>1363</v>
      </c>
      <c r="AF329" s="4" t="s">
        <v>1199</v>
      </c>
    </row>
    <row r="330" spans="1:35" ht="18" x14ac:dyDescent="0.35">
      <c r="A330" s="10" t="s">
        <v>1366</v>
      </c>
      <c r="B330" s="10"/>
      <c r="C330" s="28" t="s">
        <v>1203</v>
      </c>
      <c r="D330" s="12"/>
      <c r="E330" s="12"/>
      <c r="F330" s="29" t="s">
        <v>63</v>
      </c>
      <c r="G330" s="30">
        <v>1.1000000000000001</v>
      </c>
      <c r="H330" s="49"/>
      <c r="I330" s="49">
        <v>0</v>
      </c>
      <c r="J330" s="31">
        <v>26</v>
      </c>
      <c r="M330" s="32">
        <f>ROUND(ROUND(J330, 2)*I330, 2)</f>
        <v>0</v>
      </c>
      <c r="P330" s="31">
        <v>26</v>
      </c>
      <c r="S330" s="32">
        <f>ROUND(ROUND(P330, 2)*I330, 2)</f>
        <v>0</v>
      </c>
      <c r="V330" s="9">
        <f>ROUND(ROUND(P330, 2)/1.2, 2)</f>
        <v>21.67</v>
      </c>
      <c r="Y330" s="9">
        <f t="shared" si="17"/>
        <v>0</v>
      </c>
      <c r="AD330" s="4" t="s">
        <v>1367</v>
      </c>
      <c r="AE330" s="4" t="s">
        <v>1368</v>
      </c>
      <c r="AF330" s="4" t="s">
        <v>1206</v>
      </c>
    </row>
    <row r="331" spans="1:35" ht="18" x14ac:dyDescent="0.35">
      <c r="A331" s="10" t="s">
        <v>1371</v>
      </c>
      <c r="B331" s="10"/>
      <c r="C331" s="28" t="s">
        <v>1210</v>
      </c>
      <c r="D331" s="12"/>
      <c r="E331" s="12"/>
      <c r="F331" s="29" t="s">
        <v>78</v>
      </c>
      <c r="G331" s="30">
        <v>1.05</v>
      </c>
      <c r="H331" s="49"/>
      <c r="I331" s="49">
        <v>0</v>
      </c>
      <c r="J331" s="31">
        <v>15.76</v>
      </c>
      <c r="M331" s="32">
        <f>ROUND(ROUND(J331, 2)*I331, 2)</f>
        <v>0</v>
      </c>
      <c r="P331" s="31">
        <v>15.76</v>
      </c>
      <c r="S331" s="32">
        <f>ROUND(ROUND(P331, 2)*I331, 2)</f>
        <v>0</v>
      </c>
      <c r="V331" s="9">
        <f>ROUND(ROUND(P331, 2)/1.2, 2)</f>
        <v>13.13</v>
      </c>
      <c r="Y331" s="9">
        <f t="shared" si="17"/>
        <v>0</v>
      </c>
      <c r="AD331" s="4" t="s">
        <v>1372</v>
      </c>
      <c r="AE331" s="4" t="s">
        <v>1373</v>
      </c>
      <c r="AF331" s="4" t="s">
        <v>1213</v>
      </c>
    </row>
    <row r="332" spans="1:35" ht="36" x14ac:dyDescent="0.35">
      <c r="A332" s="10" t="s">
        <v>1376</v>
      </c>
      <c r="B332" s="10"/>
      <c r="C332" s="28" t="s">
        <v>544</v>
      </c>
      <c r="D332" s="12"/>
      <c r="E332" s="12"/>
      <c r="F332" s="29" t="s">
        <v>498</v>
      </c>
      <c r="G332" s="30">
        <v>0.15</v>
      </c>
      <c r="H332" s="30"/>
      <c r="I332" s="30">
        <v>0</v>
      </c>
      <c r="J332" s="31">
        <v>88.8</v>
      </c>
      <c r="M332" s="32">
        <f>ROUND(ROUND(J332, 2)*I332, 2)</f>
        <v>0</v>
      </c>
      <c r="P332" s="31">
        <v>88.8</v>
      </c>
      <c r="S332" s="32">
        <f>ROUND(ROUND(P332, 2)*I332, 2)</f>
        <v>0</v>
      </c>
      <c r="V332" s="9">
        <f>ROUND(ROUND(P332, 2)/1.2, 2)</f>
        <v>74</v>
      </c>
      <c r="Y332" s="9">
        <f t="shared" si="17"/>
        <v>0</v>
      </c>
      <c r="AD332" s="4" t="s">
        <v>1377</v>
      </c>
      <c r="AE332" s="4" t="s">
        <v>1378</v>
      </c>
      <c r="AF332" s="4" t="s">
        <v>547</v>
      </c>
    </row>
    <row r="333" spans="1:35" ht="72" x14ac:dyDescent="0.35">
      <c r="A333" s="10" t="s">
        <v>1381</v>
      </c>
      <c r="B333" s="10" t="s">
        <v>1355</v>
      </c>
      <c r="C333" s="11" t="s">
        <v>1356</v>
      </c>
      <c r="D333" s="12"/>
      <c r="E333" s="12" t="s">
        <v>1360</v>
      </c>
      <c r="F333" s="12" t="s">
        <v>63</v>
      </c>
      <c r="G333" s="13">
        <v>1</v>
      </c>
      <c r="H333" s="13"/>
      <c r="I333" s="13">
        <v>0</v>
      </c>
      <c r="J333" s="14">
        <f>IFERROR(ROUND(SUM(M334,M335,M336,M337)/I333, 2),0)</f>
        <v>0</v>
      </c>
      <c r="K333" s="15">
        <v>853</v>
      </c>
      <c r="L333" s="14">
        <f>J333+ROUND(K333, 2)</f>
        <v>853</v>
      </c>
      <c r="M333" s="14">
        <f>ROUND(J333*I333, 2)</f>
        <v>0</v>
      </c>
      <c r="N333" s="14">
        <f>ROUND(I333*ROUND(K333, 2), 2)</f>
        <v>0</v>
      </c>
      <c r="O333" s="14">
        <f>M333+N333</f>
        <v>0</v>
      </c>
      <c r="P333" s="14">
        <f>IFERROR(ROUND(SUM(S334,S335,S336,S337)/I333, 2),0)</f>
        <v>0</v>
      </c>
      <c r="Q333" s="16">
        <v>1279.5</v>
      </c>
      <c r="R333" s="14">
        <f>P333+ROUND(Q333, 2)</f>
        <v>1279.5</v>
      </c>
      <c r="S333" s="14">
        <f>ROUND(P333*I333, 2)</f>
        <v>0</v>
      </c>
      <c r="T333" s="14">
        <f>ROUND(I333*ROUND(Q333, 2), 2)</f>
        <v>0</v>
      </c>
      <c r="U333" s="14">
        <f>S333+T333</f>
        <v>0</v>
      </c>
      <c r="V333" s="9">
        <f>ROUND(P333 / 1.2, 2)</f>
        <v>0</v>
      </c>
      <c r="W333" s="9">
        <f>ROUND(Q333 / 1.2, 2)</f>
        <v>1066.25</v>
      </c>
      <c r="X333" s="9">
        <f>ROUND(R333 / 1.2, 2)</f>
        <v>1066.25</v>
      </c>
      <c r="Y333" s="9">
        <f t="shared" si="17"/>
        <v>0</v>
      </c>
      <c r="Z333" s="9">
        <f>ROUND(T333 / 1.2, 2)</f>
        <v>0</v>
      </c>
      <c r="AA333" s="9">
        <f>Y333+Z333</f>
        <v>0</v>
      </c>
      <c r="AD333" s="4">
        <v>305117058</v>
      </c>
      <c r="AE333" s="4">
        <v>22135700</v>
      </c>
      <c r="AG333" s="4" t="s">
        <v>1357</v>
      </c>
      <c r="AH333" s="4" t="s">
        <v>1358</v>
      </c>
      <c r="AI333" s="4" t="s">
        <v>467</v>
      </c>
    </row>
    <row r="334" spans="1:35" ht="36" x14ac:dyDescent="0.35">
      <c r="A334" s="10" t="s">
        <v>1382</v>
      </c>
      <c r="B334" s="10"/>
      <c r="C334" s="28" t="s">
        <v>544</v>
      </c>
      <c r="D334" s="12"/>
      <c r="E334" s="12"/>
      <c r="F334" s="29" t="s">
        <v>498</v>
      </c>
      <c r="G334" s="30">
        <v>0.15</v>
      </c>
      <c r="H334" s="30"/>
      <c r="I334" s="30">
        <v>0</v>
      </c>
      <c r="J334" s="31">
        <v>88.8</v>
      </c>
      <c r="M334" s="32">
        <f>ROUND(ROUND(J334, 2)*I334, 2)</f>
        <v>0</v>
      </c>
      <c r="P334" s="33">
        <v>88.8</v>
      </c>
      <c r="S334" s="32">
        <f>ROUND(ROUND(P334, 2)*I334, 2)</f>
        <v>0</v>
      </c>
      <c r="V334" s="9">
        <f>ROUND(ROUND(P334, 2)/1.2, 2)</f>
        <v>74</v>
      </c>
      <c r="Y334" s="9">
        <f t="shared" si="17"/>
        <v>0</v>
      </c>
      <c r="AD334" s="4" t="s">
        <v>1383</v>
      </c>
      <c r="AE334" s="4" t="s">
        <v>1384</v>
      </c>
      <c r="AF334" s="4" t="s">
        <v>547</v>
      </c>
    </row>
    <row r="335" spans="1:35" ht="18" x14ac:dyDescent="0.35">
      <c r="A335" s="10" t="s">
        <v>1385</v>
      </c>
      <c r="B335" s="10"/>
      <c r="C335" s="28" t="s">
        <v>1210</v>
      </c>
      <c r="D335" s="12"/>
      <c r="E335" s="12"/>
      <c r="F335" s="29" t="s">
        <v>78</v>
      </c>
      <c r="G335" s="30">
        <v>1.05</v>
      </c>
      <c r="H335" s="49"/>
      <c r="I335" s="49">
        <v>1575.7349999999999</v>
      </c>
      <c r="J335" s="31">
        <v>15.76</v>
      </c>
      <c r="M335" s="32">
        <f>ROUND(ROUND(J335, 2)*I335, 2)</f>
        <v>24833.58</v>
      </c>
      <c r="P335" s="33">
        <v>15.76</v>
      </c>
      <c r="S335" s="32">
        <f>ROUND(ROUND(P335, 2)*I335, 2)</f>
        <v>24833.58</v>
      </c>
      <c r="V335" s="9">
        <f>ROUND(ROUND(P335, 2)/1.2, 2)</f>
        <v>13.13</v>
      </c>
      <c r="Y335" s="9">
        <f t="shared" si="17"/>
        <v>20694.650000000001</v>
      </c>
      <c r="AD335" s="4" t="s">
        <v>1386</v>
      </c>
      <c r="AE335" s="4" t="s">
        <v>1387</v>
      </c>
      <c r="AF335" s="4" t="s">
        <v>1213</v>
      </c>
    </row>
    <row r="336" spans="1:35" ht="18" x14ac:dyDescent="0.35">
      <c r="A336" s="10" t="s">
        <v>1388</v>
      </c>
      <c r="B336" s="10"/>
      <c r="C336" s="28" t="s">
        <v>1203</v>
      </c>
      <c r="D336" s="12"/>
      <c r="E336" s="12"/>
      <c r="F336" s="29" t="s">
        <v>63</v>
      </c>
      <c r="G336" s="30">
        <v>1.1000000000000001</v>
      </c>
      <c r="H336" s="49"/>
      <c r="I336" s="49">
        <v>1650.77</v>
      </c>
      <c r="J336" s="31">
        <v>26</v>
      </c>
      <c r="M336" s="32">
        <f>ROUND(ROUND(J336, 2)*I336, 2)</f>
        <v>42920.02</v>
      </c>
      <c r="P336" s="33">
        <v>26</v>
      </c>
      <c r="S336" s="32">
        <f>ROUND(ROUND(P336, 2)*I336, 2)</f>
        <v>42920.02</v>
      </c>
      <c r="V336" s="9">
        <f>ROUND(ROUND(P336, 2)/1.2, 2)</f>
        <v>21.67</v>
      </c>
      <c r="Y336" s="9">
        <f t="shared" si="17"/>
        <v>35766.68</v>
      </c>
      <c r="AD336" s="4" t="s">
        <v>1389</v>
      </c>
      <c r="AE336" s="4" t="s">
        <v>1390</v>
      </c>
      <c r="AF336" s="4" t="s">
        <v>1206</v>
      </c>
    </row>
    <row r="337" spans="1:35" ht="18" x14ac:dyDescent="0.35">
      <c r="A337" s="10" t="s">
        <v>1391</v>
      </c>
      <c r="B337" s="10"/>
      <c r="C337" s="28" t="s">
        <v>1196</v>
      </c>
      <c r="D337" s="12"/>
      <c r="E337" s="12"/>
      <c r="F337" s="29" t="s">
        <v>498</v>
      </c>
      <c r="G337" s="30">
        <v>1.3</v>
      </c>
      <c r="H337" s="49"/>
      <c r="I337" s="49">
        <v>19509.099999999999</v>
      </c>
      <c r="J337" s="31">
        <v>8.6</v>
      </c>
      <c r="M337" s="32">
        <f>ROUND(ROUND(J337, 2)*I337, 2)</f>
        <v>167778.26</v>
      </c>
      <c r="P337" s="33">
        <v>8.6</v>
      </c>
      <c r="S337" s="32">
        <f>ROUND(ROUND(P337, 2)*I337, 2)</f>
        <v>167778.26</v>
      </c>
      <c r="V337" s="9">
        <f>ROUND(ROUND(P337, 2)/1.2, 2)</f>
        <v>7.17</v>
      </c>
      <c r="Y337" s="9">
        <f t="shared" si="17"/>
        <v>139815.22</v>
      </c>
      <c r="AD337" s="4" t="s">
        <v>1392</v>
      </c>
      <c r="AE337" s="4" t="s">
        <v>1393</v>
      </c>
      <c r="AF337" s="4" t="s">
        <v>1199</v>
      </c>
    </row>
    <row r="338" spans="1:35" ht="36" x14ac:dyDescent="0.35">
      <c r="A338" s="10" t="s">
        <v>1394</v>
      </c>
      <c r="B338" s="10" t="s">
        <v>1395</v>
      </c>
      <c r="C338" s="11" t="s">
        <v>1396</v>
      </c>
      <c r="D338" s="12"/>
      <c r="E338" s="12"/>
      <c r="F338" s="12" t="s">
        <v>63</v>
      </c>
      <c r="G338" s="13">
        <v>1</v>
      </c>
      <c r="H338" s="13"/>
      <c r="I338" s="13">
        <v>0</v>
      </c>
      <c r="J338" s="14">
        <v>36.18</v>
      </c>
      <c r="K338" s="15">
        <v>546</v>
      </c>
      <c r="L338" s="14">
        <f>J338+ROUND(K338, 2)</f>
        <v>582.17999999999995</v>
      </c>
      <c r="M338" s="14">
        <v>0</v>
      </c>
      <c r="N338" s="14">
        <v>0</v>
      </c>
      <c r="O338" s="14">
        <f>M338+N338</f>
        <v>0</v>
      </c>
      <c r="P338" s="14">
        <v>36.18</v>
      </c>
      <c r="Q338" s="15">
        <v>546</v>
      </c>
      <c r="R338" s="14">
        <f>P338+ROUND(Q338, 2)</f>
        <v>582.17999999999995</v>
      </c>
      <c r="S338" s="14">
        <v>0</v>
      </c>
      <c r="T338" s="14">
        <v>0</v>
      </c>
      <c r="U338" s="14">
        <f>S338+T338</f>
        <v>0</v>
      </c>
      <c r="V338" s="9">
        <f>ROUND(P338 / 1.2, 2)</f>
        <v>30.15</v>
      </c>
      <c r="W338" s="9">
        <f>ROUND(Q338 / 1.2, 2)</f>
        <v>455</v>
      </c>
      <c r="X338" s="9">
        <f>ROUND(R338 / 1.2, 2)</f>
        <v>485.15</v>
      </c>
      <c r="Y338" s="9">
        <f t="shared" si="17"/>
        <v>0</v>
      </c>
      <c r="Z338" s="9">
        <f>ROUND(T338 / 1.2, 2)</f>
        <v>0</v>
      </c>
      <c r="AA338" s="9">
        <f>Y338+Z338</f>
        <v>0</v>
      </c>
      <c r="AD338" s="4">
        <v>305116989</v>
      </c>
      <c r="AE338" s="4">
        <v>20944431</v>
      </c>
      <c r="AG338" s="4" t="s">
        <v>1397</v>
      </c>
      <c r="AH338" s="4" t="s">
        <v>1398</v>
      </c>
      <c r="AI338" s="4" t="s">
        <v>467</v>
      </c>
    </row>
    <row r="339" spans="1:35" ht="54" x14ac:dyDescent="0.35">
      <c r="A339" s="10" t="s">
        <v>1400</v>
      </c>
      <c r="B339" s="10"/>
      <c r="C339" s="47" t="s">
        <v>1401</v>
      </c>
      <c r="D339" s="12"/>
      <c r="E339" s="12"/>
      <c r="F339" s="29" t="s">
        <v>498</v>
      </c>
      <c r="G339" s="30">
        <v>1.8</v>
      </c>
      <c r="H339" s="30"/>
      <c r="I339" s="30">
        <v>0</v>
      </c>
      <c r="J339" s="31">
        <v>12.7</v>
      </c>
      <c r="M339" s="32">
        <f>ROUND(ROUND(J339, 2)*I339, 2)</f>
        <v>0</v>
      </c>
      <c r="P339" s="31">
        <v>12.7</v>
      </c>
      <c r="S339" s="32">
        <f>ROUND(ROUND(P339, 2)*I339, 2)</f>
        <v>0</v>
      </c>
      <c r="V339" s="9">
        <f>ROUND(ROUND(P339, 2)/1.2, 2)</f>
        <v>10.58</v>
      </c>
      <c r="Y339" s="9">
        <f t="shared" si="17"/>
        <v>0</v>
      </c>
      <c r="AD339" s="4" t="s">
        <v>1402</v>
      </c>
      <c r="AE339" s="4" t="s">
        <v>1403</v>
      </c>
      <c r="AF339" s="4" t="s">
        <v>1404</v>
      </c>
    </row>
    <row r="340" spans="1:35" ht="36" x14ac:dyDescent="0.35">
      <c r="A340" s="10" t="s">
        <v>1407</v>
      </c>
      <c r="B340" s="10"/>
      <c r="C340" s="28" t="s">
        <v>544</v>
      </c>
      <c r="D340" s="12"/>
      <c r="E340" s="12"/>
      <c r="F340" s="29" t="s">
        <v>498</v>
      </c>
      <c r="G340" s="30">
        <v>0.15</v>
      </c>
      <c r="H340" s="30"/>
      <c r="I340" s="30">
        <v>0</v>
      </c>
      <c r="J340" s="31">
        <v>88.8</v>
      </c>
      <c r="M340" s="32">
        <f>ROUND(ROUND(J340, 2)*I340, 2)</f>
        <v>0</v>
      </c>
      <c r="P340" s="31">
        <v>88.8</v>
      </c>
      <c r="S340" s="32">
        <f>ROUND(ROUND(P340, 2)*I340, 2)</f>
        <v>0</v>
      </c>
      <c r="V340" s="9">
        <f>ROUND(ROUND(P340, 2)/1.2, 2)</f>
        <v>74</v>
      </c>
      <c r="Y340" s="9">
        <f t="shared" si="17"/>
        <v>0</v>
      </c>
      <c r="AD340" s="4" t="s">
        <v>1408</v>
      </c>
      <c r="AE340" s="4" t="s">
        <v>1409</v>
      </c>
      <c r="AF340" s="4" t="s">
        <v>547</v>
      </c>
    </row>
    <row r="341" spans="1:35" ht="36" x14ac:dyDescent="0.35">
      <c r="A341" s="10" t="s">
        <v>1412</v>
      </c>
      <c r="B341" s="10" t="s">
        <v>1395</v>
      </c>
      <c r="C341" s="11" t="s">
        <v>1396</v>
      </c>
      <c r="D341" s="12"/>
      <c r="E341" s="12" t="s">
        <v>1360</v>
      </c>
      <c r="F341" s="12" t="s">
        <v>63</v>
      </c>
      <c r="G341" s="13">
        <v>1</v>
      </c>
      <c r="H341" s="13"/>
      <c r="I341" s="13">
        <v>0</v>
      </c>
      <c r="J341" s="14">
        <f>IFERROR(ROUND(SUM(M342,M343)/I341, 2),0)</f>
        <v>0</v>
      </c>
      <c r="K341" s="15">
        <v>546</v>
      </c>
      <c r="L341" s="14">
        <f>J341+ROUND(K341, 2)</f>
        <v>546</v>
      </c>
      <c r="M341" s="14">
        <f>ROUND(J341*I341, 2)</f>
        <v>0</v>
      </c>
      <c r="N341" s="14">
        <f>ROUND(I341*ROUND(K341, 2), 2)</f>
        <v>0</v>
      </c>
      <c r="O341" s="14">
        <f>M341+N341</f>
        <v>0</v>
      </c>
      <c r="P341" s="14">
        <f>IFERROR(ROUND(SUM(S342,S343)/I341, 2),0)</f>
        <v>0</v>
      </c>
      <c r="Q341" s="16">
        <v>819</v>
      </c>
      <c r="R341" s="14">
        <f>P341+ROUND(Q341, 2)</f>
        <v>819</v>
      </c>
      <c r="S341" s="14">
        <f>ROUND(P341*I341, 2)</f>
        <v>0</v>
      </c>
      <c r="T341" s="14">
        <f>ROUND(I341*ROUND(Q341, 2), 2)</f>
        <v>0</v>
      </c>
      <c r="U341" s="14">
        <f>S341+T341</f>
        <v>0</v>
      </c>
      <c r="V341" s="9">
        <f>ROUND(P341 / 1.2, 2)</f>
        <v>0</v>
      </c>
      <c r="W341" s="9">
        <f>ROUND(Q341 / 1.2, 2)</f>
        <v>682.5</v>
      </c>
      <c r="X341" s="9">
        <f>ROUND(R341 / 1.2, 2)</f>
        <v>682.5</v>
      </c>
      <c r="Y341" s="9">
        <f t="shared" si="17"/>
        <v>0</v>
      </c>
      <c r="Z341" s="9">
        <f>ROUND(T341 / 1.2, 2)</f>
        <v>0</v>
      </c>
      <c r="AA341" s="9">
        <f>Y341+Z341</f>
        <v>0</v>
      </c>
      <c r="AD341" s="4">
        <v>305117059</v>
      </c>
      <c r="AE341" s="4">
        <v>22135699</v>
      </c>
      <c r="AG341" s="4" t="s">
        <v>1397</v>
      </c>
      <c r="AH341" s="4" t="s">
        <v>1398</v>
      </c>
      <c r="AI341" s="4" t="s">
        <v>467</v>
      </c>
    </row>
    <row r="342" spans="1:35" ht="36" x14ac:dyDescent="0.35">
      <c r="A342" s="10" t="s">
        <v>1413</v>
      </c>
      <c r="B342" s="10"/>
      <c r="C342" s="28" t="s">
        <v>544</v>
      </c>
      <c r="D342" s="12"/>
      <c r="E342" s="12"/>
      <c r="F342" s="29" t="s">
        <v>498</v>
      </c>
      <c r="G342" s="30">
        <v>0.15</v>
      </c>
      <c r="H342" s="30"/>
      <c r="I342" s="30">
        <v>0</v>
      </c>
      <c r="J342" s="31">
        <v>88.8</v>
      </c>
      <c r="M342" s="32">
        <f>ROUND(ROUND(J342, 2)*I342, 2)</f>
        <v>0</v>
      </c>
      <c r="P342" s="33">
        <v>88.8</v>
      </c>
      <c r="S342" s="32">
        <f>ROUND(ROUND(P342, 2)*I342, 2)</f>
        <v>0</v>
      </c>
      <c r="V342" s="9">
        <f>ROUND(ROUND(P342, 2)/1.2, 2)</f>
        <v>74</v>
      </c>
      <c r="Y342" s="9">
        <f t="shared" si="17"/>
        <v>0</v>
      </c>
      <c r="AD342" s="4" t="s">
        <v>1414</v>
      </c>
      <c r="AE342" s="4" t="s">
        <v>1415</v>
      </c>
      <c r="AF342" s="4" t="s">
        <v>547</v>
      </c>
    </row>
    <row r="343" spans="1:35" ht="54" x14ac:dyDescent="0.35">
      <c r="A343" s="10" t="s">
        <v>1416</v>
      </c>
      <c r="B343" s="10"/>
      <c r="C343" s="47" t="s">
        <v>1401</v>
      </c>
      <c r="D343" s="12"/>
      <c r="E343" s="12"/>
      <c r="F343" s="29" t="s">
        <v>498</v>
      </c>
      <c r="G343" s="30">
        <v>1.8</v>
      </c>
      <c r="H343" s="30"/>
      <c r="I343" s="30">
        <v>0</v>
      </c>
      <c r="J343" s="31">
        <v>12.06</v>
      </c>
      <c r="M343" s="32">
        <f>ROUND(ROUND(J343, 2)*I343, 2)</f>
        <v>0</v>
      </c>
      <c r="P343" s="33">
        <v>12.07</v>
      </c>
      <c r="S343" s="32">
        <f>ROUND(ROUND(P343, 2)*I343, 2)</f>
        <v>0</v>
      </c>
      <c r="V343" s="9">
        <f>ROUND(ROUND(P343, 2)/1.2, 2)</f>
        <v>10.06</v>
      </c>
      <c r="Y343" s="9">
        <f t="shared" si="17"/>
        <v>0</v>
      </c>
      <c r="AD343" s="4" t="s">
        <v>1417</v>
      </c>
      <c r="AE343" s="4" t="s">
        <v>1418</v>
      </c>
      <c r="AF343" s="4" t="s">
        <v>1404</v>
      </c>
    </row>
    <row r="344" spans="1:35" ht="17" customHeight="1" x14ac:dyDescent="0.35">
      <c r="A344" s="10" t="s">
        <v>1419</v>
      </c>
      <c r="B344" s="10" t="s">
        <v>1420</v>
      </c>
      <c r="C344" s="174" t="s">
        <v>1421</v>
      </c>
      <c r="D344" s="175"/>
      <c r="E344" s="175"/>
      <c r="F344" s="175"/>
      <c r="G344" s="175"/>
      <c r="H344" s="175"/>
      <c r="I344" s="176"/>
      <c r="M344" s="6">
        <f>SUM(M345,M348,M351,M354,M357,M360,M363,M366)</f>
        <v>0</v>
      </c>
      <c r="N344" s="6">
        <f>SUM(N345,N348,N351,N354,N357,N360,N363,N366)</f>
        <v>0</v>
      </c>
      <c r="O344" s="6">
        <f>SUM(O345,O348,O351,O354,O357,O360,O363,O366)</f>
        <v>0</v>
      </c>
      <c r="S344" s="6">
        <f>SUM(S345,S348,S351,S354,S357,S360,S363,S366)</f>
        <v>0</v>
      </c>
      <c r="T344" s="6">
        <f>SUM(T345,T348,T351,T354,T357,T360,T363,T366)</f>
        <v>0</v>
      </c>
      <c r="U344" s="6">
        <f>SUM(U345,U348,U351,U354,U357,U360,U363,U366)</f>
        <v>0</v>
      </c>
      <c r="Y344" s="9">
        <f>SUM(Y345,Y348,Y351,Y354,Y357,Y360,Y363,Y366)</f>
        <v>0</v>
      </c>
      <c r="Z344" s="9">
        <f>SUM(Z345,Z348,Z351,Z354,Z357,Z360,Z363,Z366)</f>
        <v>0</v>
      </c>
      <c r="AA344" s="9">
        <f>SUM(AA345,AA348,AA351,AA354,AA357,AA360,AA363,AA366)</f>
        <v>0</v>
      </c>
      <c r="AD344" s="4">
        <v>305116990</v>
      </c>
      <c r="AE344" s="4">
        <v>20944425</v>
      </c>
    </row>
    <row r="345" spans="1:35" ht="36" x14ac:dyDescent="0.35">
      <c r="A345" s="10" t="s">
        <v>1422</v>
      </c>
      <c r="B345" s="10" t="s">
        <v>1423</v>
      </c>
      <c r="C345" s="11" t="s">
        <v>1424</v>
      </c>
      <c r="D345" s="12"/>
      <c r="E345" s="12"/>
      <c r="F345" s="12" t="s">
        <v>63</v>
      </c>
      <c r="G345" s="13">
        <v>1</v>
      </c>
      <c r="H345" s="13"/>
      <c r="I345" s="13">
        <v>0</v>
      </c>
      <c r="J345" s="14">
        <v>13.32</v>
      </c>
      <c r="K345" s="15">
        <v>464</v>
      </c>
      <c r="L345" s="14">
        <f>J345+ROUND(K345, 2)</f>
        <v>477.32</v>
      </c>
      <c r="M345" s="14">
        <v>0</v>
      </c>
      <c r="N345" s="14">
        <v>0</v>
      </c>
      <c r="O345" s="14">
        <f>M345+N345</f>
        <v>0</v>
      </c>
      <c r="P345" s="14">
        <v>73.040000000000006</v>
      </c>
      <c r="Q345" s="15">
        <v>464</v>
      </c>
      <c r="R345" s="14">
        <f>P345+ROUND(Q345, 2)</f>
        <v>537.04</v>
      </c>
      <c r="S345" s="14">
        <v>0</v>
      </c>
      <c r="T345" s="14">
        <v>0</v>
      </c>
      <c r="U345" s="14">
        <f>S345+T345</f>
        <v>0</v>
      </c>
      <c r="V345" s="9">
        <f>ROUND(P345 / 1.2, 2)</f>
        <v>60.87</v>
      </c>
      <c r="W345" s="9">
        <f>ROUND(Q345 / 1.2, 2)</f>
        <v>386.67</v>
      </c>
      <c r="X345" s="9">
        <f>ROUND(R345 / 1.2, 2)</f>
        <v>447.53</v>
      </c>
      <c r="Y345" s="9">
        <f>ROUND(S345 / 1.2, 2)</f>
        <v>0</v>
      </c>
      <c r="Z345" s="9">
        <f>ROUND(T345 / 1.2, 2)</f>
        <v>0</v>
      </c>
      <c r="AA345" s="9">
        <f>Y345+Z345</f>
        <v>0</v>
      </c>
      <c r="AD345" s="4">
        <v>305116992</v>
      </c>
      <c r="AE345" s="4">
        <v>20944429</v>
      </c>
      <c r="AG345" s="4" t="s">
        <v>1425</v>
      </c>
      <c r="AH345" s="4" t="s">
        <v>1426</v>
      </c>
      <c r="AI345" s="4" t="s">
        <v>467</v>
      </c>
    </row>
    <row r="346" spans="1:35" ht="36" x14ac:dyDescent="0.35">
      <c r="A346" s="10" t="s">
        <v>1429</v>
      </c>
      <c r="B346" s="10"/>
      <c r="C346" s="28" t="s">
        <v>1430</v>
      </c>
      <c r="D346" s="12"/>
      <c r="E346" s="12"/>
      <c r="F346" s="29" t="s">
        <v>498</v>
      </c>
      <c r="G346" s="30">
        <v>0.4</v>
      </c>
      <c r="H346" s="30"/>
      <c r="I346" s="30">
        <v>0</v>
      </c>
      <c r="J346" s="31">
        <v>0</v>
      </c>
      <c r="M346" s="32">
        <f>ROUND(ROUND(J346, 2)*I346, 2)</f>
        <v>0</v>
      </c>
      <c r="P346" s="31">
        <v>149.31</v>
      </c>
      <c r="S346" s="32">
        <f>ROUND(ROUND(P346, 2)*I346, 2)</f>
        <v>0</v>
      </c>
      <c r="V346" s="9">
        <f>ROUND(ROUND(P346, 2)/1.2, 2)</f>
        <v>124.43</v>
      </c>
      <c r="Y346" s="9">
        <f t="shared" ref="Y346:Y368" si="18">ROUND(S346 / 1.2, 2)</f>
        <v>0</v>
      </c>
      <c r="AD346" s="4" t="s">
        <v>1431</v>
      </c>
      <c r="AE346" s="4" t="s">
        <v>1432</v>
      </c>
      <c r="AF346" s="4" t="s">
        <v>1433</v>
      </c>
    </row>
    <row r="347" spans="1:35" ht="36" x14ac:dyDescent="0.35">
      <c r="A347" s="10" t="s">
        <v>1437</v>
      </c>
      <c r="B347" s="10"/>
      <c r="C347" s="28" t="s">
        <v>925</v>
      </c>
      <c r="D347" s="12"/>
      <c r="E347" s="12"/>
      <c r="F347" s="29" t="s">
        <v>498</v>
      </c>
      <c r="G347" s="30">
        <v>0.15</v>
      </c>
      <c r="H347" s="30"/>
      <c r="I347" s="30">
        <v>0</v>
      </c>
      <c r="J347" s="31">
        <v>88.8</v>
      </c>
      <c r="M347" s="32">
        <f>ROUND(ROUND(J347, 2)*I347, 2)</f>
        <v>0</v>
      </c>
      <c r="P347" s="31">
        <v>88.8</v>
      </c>
      <c r="S347" s="32">
        <f>ROUND(ROUND(P347, 2)*I347, 2)</f>
        <v>0</v>
      </c>
      <c r="V347" s="9">
        <f>ROUND(ROUND(P347, 2)/1.2, 2)</f>
        <v>74</v>
      </c>
      <c r="Y347" s="9">
        <f t="shared" si="18"/>
        <v>0</v>
      </c>
      <c r="AD347" s="4" t="s">
        <v>1438</v>
      </c>
      <c r="AE347" s="4" t="s">
        <v>1439</v>
      </c>
      <c r="AF347" s="4" t="s">
        <v>928</v>
      </c>
    </row>
    <row r="348" spans="1:35" ht="36" x14ac:dyDescent="0.35">
      <c r="A348" s="10" t="s">
        <v>1442</v>
      </c>
      <c r="B348" s="10" t="s">
        <v>1423</v>
      </c>
      <c r="C348" s="11" t="s">
        <v>1424</v>
      </c>
      <c r="D348" s="12"/>
      <c r="E348" s="12"/>
      <c r="F348" s="12" t="s">
        <v>63</v>
      </c>
      <c r="G348" s="13">
        <v>1</v>
      </c>
      <c r="H348" s="13"/>
      <c r="I348" s="13">
        <v>0</v>
      </c>
      <c r="J348" s="14">
        <v>13.32</v>
      </c>
      <c r="K348" s="15">
        <v>464</v>
      </c>
      <c r="L348" s="14">
        <f>J348+ROUND(K348, 2)</f>
        <v>477.32</v>
      </c>
      <c r="M348" s="14">
        <v>0</v>
      </c>
      <c r="N348" s="14">
        <v>0</v>
      </c>
      <c r="O348" s="14">
        <f>M348+N348</f>
        <v>0</v>
      </c>
      <c r="P348" s="14">
        <v>73.040000000000006</v>
      </c>
      <c r="Q348" s="15">
        <v>464</v>
      </c>
      <c r="R348" s="14">
        <f>P348+ROUND(Q348, 2)</f>
        <v>537.04</v>
      </c>
      <c r="S348" s="14">
        <v>0</v>
      </c>
      <c r="T348" s="14">
        <v>0</v>
      </c>
      <c r="U348" s="14">
        <f>S348+T348</f>
        <v>0</v>
      </c>
      <c r="V348" s="9">
        <f>ROUND(P348 / 1.2, 2)</f>
        <v>60.87</v>
      </c>
      <c r="W348" s="9">
        <f>ROUND(Q348 / 1.2, 2)</f>
        <v>386.67</v>
      </c>
      <c r="X348" s="9">
        <f>ROUND(R348 / 1.2, 2)</f>
        <v>447.53</v>
      </c>
      <c r="Y348" s="9">
        <f t="shared" si="18"/>
        <v>0</v>
      </c>
      <c r="Z348" s="9">
        <f>ROUND(T348 / 1.2, 2)</f>
        <v>0</v>
      </c>
      <c r="AA348" s="9">
        <f>Y348+Z348</f>
        <v>0</v>
      </c>
      <c r="AD348" s="4">
        <v>305117060</v>
      </c>
      <c r="AE348" s="4">
        <v>20944430</v>
      </c>
      <c r="AG348" s="4" t="s">
        <v>1425</v>
      </c>
      <c r="AH348" s="4" t="s">
        <v>1426</v>
      </c>
      <c r="AI348" s="4" t="s">
        <v>467</v>
      </c>
    </row>
    <row r="349" spans="1:35" ht="36" x14ac:dyDescent="0.35">
      <c r="A349" s="10" t="s">
        <v>1445</v>
      </c>
      <c r="B349" s="10"/>
      <c r="C349" s="28" t="s">
        <v>925</v>
      </c>
      <c r="D349" s="12"/>
      <c r="E349" s="12"/>
      <c r="F349" s="29" t="s">
        <v>498</v>
      </c>
      <c r="G349" s="30">
        <v>0.15</v>
      </c>
      <c r="H349" s="30"/>
      <c r="I349" s="30">
        <v>0</v>
      </c>
      <c r="J349" s="31">
        <v>88.8</v>
      </c>
      <c r="M349" s="32">
        <f>ROUND(ROUND(J349, 2)*I349, 2)</f>
        <v>0</v>
      </c>
      <c r="P349" s="31">
        <v>88.8</v>
      </c>
      <c r="S349" s="32">
        <f>ROUND(ROUND(P349, 2)*I349, 2)</f>
        <v>0</v>
      </c>
      <c r="V349" s="9">
        <f>ROUND(ROUND(P349, 2)/1.2, 2)</f>
        <v>74</v>
      </c>
      <c r="Y349" s="9">
        <f t="shared" si="18"/>
        <v>0</v>
      </c>
      <c r="AD349" s="4" t="s">
        <v>1446</v>
      </c>
      <c r="AE349" s="4" t="s">
        <v>1447</v>
      </c>
      <c r="AF349" s="4" t="s">
        <v>928</v>
      </c>
    </row>
    <row r="350" spans="1:35" ht="36" x14ac:dyDescent="0.35">
      <c r="A350" s="10" t="s">
        <v>1450</v>
      </c>
      <c r="B350" s="10"/>
      <c r="C350" s="28" t="s">
        <v>1430</v>
      </c>
      <c r="D350" s="12"/>
      <c r="E350" s="12"/>
      <c r="F350" s="29" t="s">
        <v>498</v>
      </c>
      <c r="G350" s="30">
        <v>0.4</v>
      </c>
      <c r="H350" s="30"/>
      <c r="I350" s="30">
        <v>0</v>
      </c>
      <c r="J350" s="31">
        <v>0</v>
      </c>
      <c r="M350" s="32">
        <f>ROUND(ROUND(J350, 2)*I350, 2)</f>
        <v>0</v>
      </c>
      <c r="P350" s="31">
        <v>149.31</v>
      </c>
      <c r="S350" s="32">
        <f>ROUND(ROUND(P350, 2)*I350, 2)</f>
        <v>0</v>
      </c>
      <c r="V350" s="9">
        <f>ROUND(ROUND(P350, 2)/1.2, 2)</f>
        <v>124.43</v>
      </c>
      <c r="Y350" s="9">
        <f t="shared" si="18"/>
        <v>0</v>
      </c>
      <c r="AD350" s="4" t="s">
        <v>1451</v>
      </c>
      <c r="AE350" s="4" t="s">
        <v>1452</v>
      </c>
      <c r="AF350" s="4" t="s">
        <v>1433</v>
      </c>
    </row>
    <row r="351" spans="1:35" ht="36" x14ac:dyDescent="0.35">
      <c r="A351" s="10" t="s">
        <v>1456</v>
      </c>
      <c r="B351" s="10" t="s">
        <v>1423</v>
      </c>
      <c r="C351" s="11" t="s">
        <v>1424</v>
      </c>
      <c r="D351" s="12"/>
      <c r="E351" s="12"/>
      <c r="F351" s="12" t="s">
        <v>63</v>
      </c>
      <c r="G351" s="13">
        <v>1</v>
      </c>
      <c r="H351" s="13"/>
      <c r="I351" s="13">
        <v>0</v>
      </c>
      <c r="J351" s="14">
        <v>13.32</v>
      </c>
      <c r="K351" s="15">
        <v>464</v>
      </c>
      <c r="L351" s="14">
        <f>J351+ROUND(K351, 2)</f>
        <v>477.32</v>
      </c>
      <c r="M351" s="14">
        <v>0</v>
      </c>
      <c r="N351" s="14">
        <v>0</v>
      </c>
      <c r="O351" s="14">
        <f>M351+N351</f>
        <v>0</v>
      </c>
      <c r="P351" s="14">
        <v>73.040000000000006</v>
      </c>
      <c r="Q351" s="15">
        <v>464</v>
      </c>
      <c r="R351" s="14">
        <f>P351+ROUND(Q351, 2)</f>
        <v>537.04</v>
      </c>
      <c r="S351" s="14">
        <v>0</v>
      </c>
      <c r="T351" s="14">
        <v>0</v>
      </c>
      <c r="U351" s="14">
        <f>S351+T351</f>
        <v>0</v>
      </c>
      <c r="V351" s="9">
        <f>ROUND(P351 / 1.2, 2)</f>
        <v>60.87</v>
      </c>
      <c r="W351" s="9">
        <f>ROUND(Q351 / 1.2, 2)</f>
        <v>386.67</v>
      </c>
      <c r="X351" s="9">
        <f>ROUND(R351 / 1.2, 2)</f>
        <v>447.53</v>
      </c>
      <c r="Y351" s="9">
        <f t="shared" si="18"/>
        <v>0</v>
      </c>
      <c r="Z351" s="9">
        <f>ROUND(T351 / 1.2, 2)</f>
        <v>0</v>
      </c>
      <c r="AA351" s="9">
        <f>Y351+Z351</f>
        <v>0</v>
      </c>
      <c r="AD351" s="4">
        <v>305117061</v>
      </c>
      <c r="AE351" s="4">
        <v>20944433</v>
      </c>
      <c r="AG351" s="4" t="s">
        <v>1425</v>
      </c>
      <c r="AH351" s="4" t="s">
        <v>1426</v>
      </c>
      <c r="AI351" s="4" t="s">
        <v>467</v>
      </c>
    </row>
    <row r="352" spans="1:35" ht="36" x14ac:dyDescent="0.35">
      <c r="A352" s="10" t="s">
        <v>1459</v>
      </c>
      <c r="B352" s="10"/>
      <c r="C352" s="28" t="s">
        <v>1430</v>
      </c>
      <c r="D352" s="12"/>
      <c r="E352" s="12"/>
      <c r="F352" s="29" t="s">
        <v>498</v>
      </c>
      <c r="G352" s="30">
        <v>0.4</v>
      </c>
      <c r="H352" s="30"/>
      <c r="I352" s="30">
        <v>0</v>
      </c>
      <c r="J352" s="31">
        <v>0</v>
      </c>
      <c r="M352" s="32">
        <f>ROUND(ROUND(J352, 2)*I352, 2)</f>
        <v>0</v>
      </c>
      <c r="P352" s="31">
        <v>149.31</v>
      </c>
      <c r="S352" s="32">
        <f>ROUND(ROUND(P352, 2)*I352, 2)</f>
        <v>0</v>
      </c>
      <c r="V352" s="9">
        <f>ROUND(ROUND(P352, 2)/1.2, 2)</f>
        <v>124.43</v>
      </c>
      <c r="Y352" s="9">
        <f t="shared" si="18"/>
        <v>0</v>
      </c>
      <c r="AD352" s="4" t="s">
        <v>1460</v>
      </c>
      <c r="AE352" s="4" t="s">
        <v>1461</v>
      </c>
      <c r="AF352" s="4" t="s">
        <v>1433</v>
      </c>
    </row>
    <row r="353" spans="1:35" ht="36" x14ac:dyDescent="0.35">
      <c r="A353" s="10" t="s">
        <v>1465</v>
      </c>
      <c r="B353" s="10"/>
      <c r="C353" s="28" t="s">
        <v>925</v>
      </c>
      <c r="D353" s="12"/>
      <c r="E353" s="12"/>
      <c r="F353" s="29" t="s">
        <v>498</v>
      </c>
      <c r="G353" s="30">
        <v>0.15</v>
      </c>
      <c r="H353" s="30"/>
      <c r="I353" s="30">
        <v>0</v>
      </c>
      <c r="J353" s="31">
        <v>88.8</v>
      </c>
      <c r="M353" s="32">
        <f>ROUND(ROUND(J353, 2)*I353, 2)</f>
        <v>0</v>
      </c>
      <c r="P353" s="31">
        <v>88.8</v>
      </c>
      <c r="S353" s="32">
        <f>ROUND(ROUND(P353, 2)*I353, 2)</f>
        <v>0</v>
      </c>
      <c r="V353" s="9">
        <f>ROUND(ROUND(P353, 2)/1.2, 2)</f>
        <v>74</v>
      </c>
      <c r="Y353" s="9">
        <f t="shared" si="18"/>
        <v>0</v>
      </c>
      <c r="AD353" s="4" t="s">
        <v>1466</v>
      </c>
      <c r="AE353" s="4" t="s">
        <v>1467</v>
      </c>
      <c r="AF353" s="4" t="s">
        <v>928</v>
      </c>
    </row>
    <row r="354" spans="1:35" ht="36" x14ac:dyDescent="0.35">
      <c r="A354" s="10" t="s">
        <v>1470</v>
      </c>
      <c r="B354" s="10" t="s">
        <v>1423</v>
      </c>
      <c r="C354" s="11" t="s">
        <v>1424</v>
      </c>
      <c r="D354" s="12"/>
      <c r="E354" s="12"/>
      <c r="F354" s="12" t="s">
        <v>63</v>
      </c>
      <c r="G354" s="13">
        <v>1</v>
      </c>
      <c r="H354" s="13"/>
      <c r="I354" s="13">
        <v>0</v>
      </c>
      <c r="J354" s="14">
        <v>13.32</v>
      </c>
      <c r="K354" s="15">
        <v>464</v>
      </c>
      <c r="L354" s="14">
        <f>J354+ROUND(K354, 2)</f>
        <v>477.32</v>
      </c>
      <c r="M354" s="14">
        <v>0</v>
      </c>
      <c r="N354" s="14">
        <v>0</v>
      </c>
      <c r="O354" s="14">
        <f>M354+N354</f>
        <v>0</v>
      </c>
      <c r="P354" s="14">
        <v>73.040000000000006</v>
      </c>
      <c r="Q354" s="15">
        <v>464</v>
      </c>
      <c r="R354" s="14">
        <f>P354+ROUND(Q354, 2)</f>
        <v>537.04</v>
      </c>
      <c r="S354" s="14">
        <v>0</v>
      </c>
      <c r="T354" s="14">
        <v>0</v>
      </c>
      <c r="U354" s="14">
        <f>S354+T354</f>
        <v>0</v>
      </c>
      <c r="V354" s="9">
        <f>ROUND(P354 / 1.2, 2)</f>
        <v>60.87</v>
      </c>
      <c r="W354" s="9">
        <f>ROUND(Q354 / 1.2, 2)</f>
        <v>386.67</v>
      </c>
      <c r="X354" s="9">
        <f>ROUND(R354 / 1.2, 2)</f>
        <v>447.53</v>
      </c>
      <c r="Y354" s="9">
        <f t="shared" si="18"/>
        <v>0</v>
      </c>
      <c r="Z354" s="9">
        <f>ROUND(T354 / 1.2, 2)</f>
        <v>0</v>
      </c>
      <c r="AA354" s="9">
        <f>Y354+Z354</f>
        <v>0</v>
      </c>
      <c r="AD354" s="4">
        <v>305117062</v>
      </c>
      <c r="AE354" s="4">
        <v>20944434</v>
      </c>
      <c r="AG354" s="4" t="s">
        <v>1425</v>
      </c>
      <c r="AH354" s="4" t="s">
        <v>1426</v>
      </c>
      <c r="AI354" s="4" t="s">
        <v>467</v>
      </c>
    </row>
    <row r="355" spans="1:35" ht="36" x14ac:dyDescent="0.35">
      <c r="A355" s="10" t="s">
        <v>1473</v>
      </c>
      <c r="B355" s="10"/>
      <c r="C355" s="28" t="s">
        <v>925</v>
      </c>
      <c r="D355" s="12"/>
      <c r="E355" s="12"/>
      <c r="F355" s="29" t="s">
        <v>498</v>
      </c>
      <c r="G355" s="30">
        <v>0.15</v>
      </c>
      <c r="H355" s="30"/>
      <c r="I355" s="30">
        <v>0</v>
      </c>
      <c r="J355" s="31">
        <v>88.8</v>
      </c>
      <c r="M355" s="32">
        <f>ROUND(ROUND(J355, 2)*I355, 2)</f>
        <v>0</v>
      </c>
      <c r="P355" s="31">
        <v>88.8</v>
      </c>
      <c r="S355" s="32">
        <f>ROUND(ROUND(P355, 2)*I355, 2)</f>
        <v>0</v>
      </c>
      <c r="V355" s="9">
        <f>ROUND(ROUND(P355, 2)/1.2, 2)</f>
        <v>74</v>
      </c>
      <c r="Y355" s="9">
        <f t="shared" si="18"/>
        <v>0</v>
      </c>
      <c r="AD355" s="4" t="s">
        <v>1474</v>
      </c>
      <c r="AE355" s="4" t="s">
        <v>1475</v>
      </c>
      <c r="AF355" s="4" t="s">
        <v>928</v>
      </c>
    </row>
    <row r="356" spans="1:35" ht="36" x14ac:dyDescent="0.35">
      <c r="A356" s="10" t="s">
        <v>1478</v>
      </c>
      <c r="B356" s="10"/>
      <c r="C356" s="28" t="s">
        <v>1430</v>
      </c>
      <c r="D356" s="12"/>
      <c r="E356" s="12"/>
      <c r="F356" s="29" t="s">
        <v>498</v>
      </c>
      <c r="G356" s="30">
        <v>0.4</v>
      </c>
      <c r="H356" s="30"/>
      <c r="I356" s="30">
        <v>0</v>
      </c>
      <c r="J356" s="31">
        <v>0</v>
      </c>
      <c r="M356" s="32">
        <f>ROUND(ROUND(J356, 2)*I356, 2)</f>
        <v>0</v>
      </c>
      <c r="P356" s="31">
        <v>149.31</v>
      </c>
      <c r="S356" s="32">
        <f>ROUND(ROUND(P356, 2)*I356, 2)</f>
        <v>0</v>
      </c>
      <c r="V356" s="9">
        <f>ROUND(ROUND(P356, 2)/1.2, 2)</f>
        <v>124.43</v>
      </c>
      <c r="Y356" s="9">
        <f t="shared" si="18"/>
        <v>0</v>
      </c>
      <c r="AD356" s="4" t="s">
        <v>1479</v>
      </c>
      <c r="AE356" s="4" t="s">
        <v>1480</v>
      </c>
      <c r="AF356" s="4" t="s">
        <v>1433</v>
      </c>
    </row>
    <row r="357" spans="1:35" ht="36" x14ac:dyDescent="0.35">
      <c r="A357" s="10" t="s">
        <v>1484</v>
      </c>
      <c r="B357" s="10" t="s">
        <v>1423</v>
      </c>
      <c r="C357" s="11" t="s">
        <v>1424</v>
      </c>
      <c r="D357" s="12"/>
      <c r="E357" s="12" t="s">
        <v>1428</v>
      </c>
      <c r="F357" s="12" t="s">
        <v>63</v>
      </c>
      <c r="G357" s="13">
        <v>1</v>
      </c>
      <c r="H357" s="13"/>
      <c r="I357" s="13">
        <v>0</v>
      </c>
      <c r="J357" s="14">
        <f>IFERROR(ROUND(SUM(M358,M359)/I357, 2),0)</f>
        <v>0</v>
      </c>
      <c r="K357" s="15">
        <v>464</v>
      </c>
      <c r="L357" s="14">
        <f>J357+ROUND(K357, 2)</f>
        <v>464</v>
      </c>
      <c r="M357" s="14">
        <f>ROUND(J357*I357, 2)</f>
        <v>0</v>
      </c>
      <c r="N357" s="14">
        <f>ROUND(I357*ROUND(K357, 2), 2)</f>
        <v>0</v>
      </c>
      <c r="O357" s="14">
        <f>M357+N357</f>
        <v>0</v>
      </c>
      <c r="P357" s="14">
        <f>IFERROR(ROUND(SUM(S358,S359)/I357, 2),0)</f>
        <v>0</v>
      </c>
      <c r="Q357" s="16">
        <v>696</v>
      </c>
      <c r="R357" s="14">
        <f>P357+ROUND(Q357, 2)</f>
        <v>696</v>
      </c>
      <c r="S357" s="14">
        <f>ROUND(P357*I357, 2)</f>
        <v>0</v>
      </c>
      <c r="T357" s="14">
        <f>ROUND(I357*ROUND(Q357, 2), 2)</f>
        <v>0</v>
      </c>
      <c r="U357" s="14">
        <f>S357+T357</f>
        <v>0</v>
      </c>
      <c r="V357" s="9">
        <f>ROUND(P357 / 1.2, 2)</f>
        <v>0</v>
      </c>
      <c r="W357" s="9">
        <f>ROUND(Q357 / 1.2, 2)</f>
        <v>580</v>
      </c>
      <c r="X357" s="9">
        <f>ROUND(R357 / 1.2, 2)</f>
        <v>580</v>
      </c>
      <c r="Y357" s="9">
        <f t="shared" si="18"/>
        <v>0</v>
      </c>
      <c r="Z357" s="9">
        <f>ROUND(T357 / 1.2, 2)</f>
        <v>0</v>
      </c>
      <c r="AA357" s="9">
        <f>Y357+Z357</f>
        <v>0</v>
      </c>
      <c r="AD357" s="4">
        <v>305117063</v>
      </c>
      <c r="AE357" s="4">
        <v>22135694</v>
      </c>
      <c r="AG357" s="4" t="s">
        <v>1425</v>
      </c>
      <c r="AH357" s="4" t="s">
        <v>1426</v>
      </c>
      <c r="AI357" s="4" t="s">
        <v>467</v>
      </c>
    </row>
    <row r="358" spans="1:35" ht="162" x14ac:dyDescent="0.35">
      <c r="A358" s="10" t="s">
        <v>1485</v>
      </c>
      <c r="B358" s="10"/>
      <c r="C358" s="28" t="s">
        <v>1430</v>
      </c>
      <c r="D358" s="12"/>
      <c r="E358" s="12" t="s">
        <v>1435</v>
      </c>
      <c r="F358" s="29" t="s">
        <v>498</v>
      </c>
      <c r="G358" s="30">
        <v>0.4</v>
      </c>
      <c r="H358" s="30"/>
      <c r="I358" s="30">
        <v>0</v>
      </c>
      <c r="J358" s="31">
        <v>0</v>
      </c>
      <c r="M358" s="32">
        <f>ROUND(ROUND(J358, 2)*I358, 2)</f>
        <v>0</v>
      </c>
      <c r="P358" s="33">
        <v>0</v>
      </c>
      <c r="S358" s="32">
        <f>ROUND(ROUND(P358, 2)*I358, 2)</f>
        <v>0</v>
      </c>
      <c r="V358" s="9">
        <f>ROUND(ROUND(P358, 2)/1.2, 2)</f>
        <v>0</v>
      </c>
      <c r="Y358" s="9">
        <f t="shared" si="18"/>
        <v>0</v>
      </c>
      <c r="AD358" s="4" t="s">
        <v>1486</v>
      </c>
      <c r="AE358" s="4" t="s">
        <v>1487</v>
      </c>
      <c r="AF358" s="4" t="s">
        <v>1433</v>
      </c>
    </row>
    <row r="359" spans="1:35" ht="36" x14ac:dyDescent="0.35">
      <c r="A359" s="10" t="s">
        <v>1488</v>
      </c>
      <c r="B359" s="10"/>
      <c r="C359" s="28" t="s">
        <v>925</v>
      </c>
      <c r="D359" s="12"/>
      <c r="E359" s="12"/>
      <c r="F359" s="29" t="s">
        <v>498</v>
      </c>
      <c r="G359" s="30">
        <v>0.15</v>
      </c>
      <c r="H359" s="30"/>
      <c r="I359" s="30">
        <v>0</v>
      </c>
      <c r="J359" s="31">
        <v>88.8</v>
      </c>
      <c r="M359" s="32">
        <f>ROUND(ROUND(J359, 2)*I359, 2)</f>
        <v>0</v>
      </c>
      <c r="P359" s="33">
        <v>88.8</v>
      </c>
      <c r="S359" s="32">
        <f>ROUND(ROUND(P359, 2)*I359, 2)</f>
        <v>0</v>
      </c>
      <c r="V359" s="9">
        <f>ROUND(ROUND(P359, 2)/1.2, 2)</f>
        <v>74</v>
      </c>
      <c r="Y359" s="9">
        <f t="shared" si="18"/>
        <v>0</v>
      </c>
      <c r="AD359" s="4" t="s">
        <v>1489</v>
      </c>
      <c r="AE359" s="4" t="s">
        <v>1490</v>
      </c>
      <c r="AF359" s="4" t="s">
        <v>928</v>
      </c>
    </row>
    <row r="360" spans="1:35" ht="36" x14ac:dyDescent="0.35">
      <c r="A360" s="10" t="s">
        <v>1491</v>
      </c>
      <c r="B360" s="10" t="s">
        <v>1423</v>
      </c>
      <c r="C360" s="11" t="s">
        <v>1424</v>
      </c>
      <c r="D360" s="12"/>
      <c r="E360" s="12" t="s">
        <v>1444</v>
      </c>
      <c r="F360" s="12" t="s">
        <v>63</v>
      </c>
      <c r="G360" s="13">
        <v>1</v>
      </c>
      <c r="H360" s="13"/>
      <c r="I360" s="13">
        <v>0</v>
      </c>
      <c r="J360" s="14">
        <f>IFERROR(ROUND(SUM(M361,M362)/I360, 2),0)</f>
        <v>0</v>
      </c>
      <c r="K360" s="15">
        <v>464</v>
      </c>
      <c r="L360" s="14">
        <f>J360+ROUND(K360, 2)</f>
        <v>464</v>
      </c>
      <c r="M360" s="14">
        <f>ROUND(J360*I360, 2)</f>
        <v>0</v>
      </c>
      <c r="N360" s="14">
        <f>ROUND(I360*ROUND(K360, 2), 2)</f>
        <v>0</v>
      </c>
      <c r="O360" s="14">
        <f>M360+N360</f>
        <v>0</v>
      </c>
      <c r="P360" s="14">
        <f>IFERROR(ROUND(SUM(S361,S362)/I360, 2),0)</f>
        <v>0</v>
      </c>
      <c r="Q360" s="16">
        <v>696</v>
      </c>
      <c r="R360" s="14">
        <f>P360+ROUND(Q360, 2)</f>
        <v>696</v>
      </c>
      <c r="S360" s="14">
        <f>ROUND(P360*I360, 2)</f>
        <v>0</v>
      </c>
      <c r="T360" s="14">
        <f>ROUND(I360*ROUND(Q360, 2), 2)</f>
        <v>0</v>
      </c>
      <c r="U360" s="14">
        <f>S360+T360</f>
        <v>0</v>
      </c>
      <c r="V360" s="9">
        <f>ROUND(P360 / 1.2, 2)</f>
        <v>0</v>
      </c>
      <c r="W360" s="9">
        <f>ROUND(Q360 / 1.2, 2)</f>
        <v>580</v>
      </c>
      <c r="X360" s="9">
        <f>ROUND(R360 / 1.2, 2)</f>
        <v>580</v>
      </c>
      <c r="Y360" s="9">
        <f t="shared" si="18"/>
        <v>0</v>
      </c>
      <c r="Z360" s="9">
        <f>ROUND(T360 / 1.2, 2)</f>
        <v>0</v>
      </c>
      <c r="AA360" s="9">
        <f>Y360+Z360</f>
        <v>0</v>
      </c>
      <c r="AD360" s="4">
        <v>305117064</v>
      </c>
      <c r="AE360" s="4">
        <v>22135696</v>
      </c>
      <c r="AG360" s="4" t="s">
        <v>1425</v>
      </c>
      <c r="AH360" s="4" t="s">
        <v>1426</v>
      </c>
      <c r="AI360" s="4" t="s">
        <v>467</v>
      </c>
    </row>
    <row r="361" spans="1:35" ht="36" x14ac:dyDescent="0.35">
      <c r="A361" s="10" t="s">
        <v>1492</v>
      </c>
      <c r="B361" s="10"/>
      <c r="C361" s="28" t="s">
        <v>925</v>
      </c>
      <c r="D361" s="12"/>
      <c r="E361" s="12"/>
      <c r="F361" s="29" t="s">
        <v>498</v>
      </c>
      <c r="G361" s="30">
        <v>0.15</v>
      </c>
      <c r="H361" s="30"/>
      <c r="I361" s="30">
        <v>0</v>
      </c>
      <c r="J361" s="31">
        <v>88.8</v>
      </c>
      <c r="M361" s="32">
        <f>ROUND(ROUND(J361, 2)*I361, 2)</f>
        <v>0</v>
      </c>
      <c r="P361" s="33">
        <v>88.8</v>
      </c>
      <c r="S361" s="32">
        <f>ROUND(ROUND(P361, 2)*I361, 2)</f>
        <v>0</v>
      </c>
      <c r="V361" s="9">
        <f>ROUND(ROUND(P361, 2)/1.2, 2)</f>
        <v>74</v>
      </c>
      <c r="Y361" s="9">
        <f t="shared" si="18"/>
        <v>0</v>
      </c>
      <c r="AD361" s="4" t="s">
        <v>1493</v>
      </c>
      <c r="AE361" s="4" t="s">
        <v>1494</v>
      </c>
      <c r="AF361" s="4" t="s">
        <v>928</v>
      </c>
    </row>
    <row r="362" spans="1:35" ht="90" x14ac:dyDescent="0.35">
      <c r="A362" s="10" t="s">
        <v>1495</v>
      </c>
      <c r="B362" s="10"/>
      <c r="C362" s="28" t="s">
        <v>1430</v>
      </c>
      <c r="D362" s="12"/>
      <c r="E362" s="12" t="s">
        <v>1454</v>
      </c>
      <c r="F362" s="29" t="s">
        <v>498</v>
      </c>
      <c r="G362" s="30">
        <v>0.4</v>
      </c>
      <c r="H362" s="30"/>
      <c r="I362" s="30">
        <v>0</v>
      </c>
      <c r="J362" s="31">
        <v>0</v>
      </c>
      <c r="M362" s="32">
        <f>ROUND(ROUND(J362, 2)*I362, 2)</f>
        <v>0</v>
      </c>
      <c r="P362" s="33">
        <v>0</v>
      </c>
      <c r="S362" s="32">
        <f>ROUND(ROUND(P362, 2)*I362, 2)</f>
        <v>0</v>
      </c>
      <c r="V362" s="9">
        <f>ROUND(ROUND(P362, 2)/1.2, 2)</f>
        <v>0</v>
      </c>
      <c r="Y362" s="9">
        <f t="shared" si="18"/>
        <v>0</v>
      </c>
      <c r="AD362" s="4" t="s">
        <v>1496</v>
      </c>
      <c r="AE362" s="4" t="s">
        <v>1497</v>
      </c>
      <c r="AF362" s="4" t="s">
        <v>1433</v>
      </c>
    </row>
    <row r="363" spans="1:35" ht="36" x14ac:dyDescent="0.35">
      <c r="A363" s="10" t="s">
        <v>1498</v>
      </c>
      <c r="B363" s="10" t="s">
        <v>1423</v>
      </c>
      <c r="C363" s="11" t="s">
        <v>1424</v>
      </c>
      <c r="D363" s="12"/>
      <c r="E363" s="12" t="s">
        <v>1458</v>
      </c>
      <c r="F363" s="12" t="s">
        <v>63</v>
      </c>
      <c r="G363" s="13">
        <v>1</v>
      </c>
      <c r="H363" s="13"/>
      <c r="I363" s="13">
        <v>0</v>
      </c>
      <c r="J363" s="14">
        <f>IFERROR(ROUND(SUM(M364,M365)/I363, 2),0)</f>
        <v>0</v>
      </c>
      <c r="K363" s="15">
        <v>464</v>
      </c>
      <c r="L363" s="14">
        <f>J363+ROUND(K363, 2)</f>
        <v>464</v>
      </c>
      <c r="M363" s="14">
        <f>ROUND(J363*I363, 2)</f>
        <v>0</v>
      </c>
      <c r="N363" s="14">
        <f>ROUND(I363*ROUND(K363, 2), 2)</f>
        <v>0</v>
      </c>
      <c r="O363" s="14">
        <f>M363+N363</f>
        <v>0</v>
      </c>
      <c r="P363" s="14">
        <f>IFERROR(ROUND(SUM(S364,S365)/I363, 2),0)</f>
        <v>0</v>
      </c>
      <c r="Q363" s="16">
        <v>696</v>
      </c>
      <c r="R363" s="14">
        <f>P363+ROUND(Q363, 2)</f>
        <v>696</v>
      </c>
      <c r="S363" s="14">
        <f>ROUND(P363*I363, 2)</f>
        <v>0</v>
      </c>
      <c r="T363" s="14">
        <f>ROUND(I363*ROUND(Q363, 2), 2)</f>
        <v>0</v>
      </c>
      <c r="U363" s="14">
        <f>S363+T363</f>
        <v>0</v>
      </c>
      <c r="V363" s="9">
        <f>ROUND(P363 / 1.2, 2)</f>
        <v>0</v>
      </c>
      <c r="W363" s="9">
        <f>ROUND(Q363 / 1.2, 2)</f>
        <v>580</v>
      </c>
      <c r="X363" s="9">
        <f>ROUND(R363 / 1.2, 2)</f>
        <v>580</v>
      </c>
      <c r="Y363" s="9">
        <f t="shared" si="18"/>
        <v>0</v>
      </c>
      <c r="Z363" s="9">
        <f>ROUND(T363 / 1.2, 2)</f>
        <v>0</v>
      </c>
      <c r="AA363" s="9">
        <f>Y363+Z363</f>
        <v>0</v>
      </c>
      <c r="AD363" s="4">
        <v>305117065</v>
      </c>
      <c r="AE363" s="4">
        <v>22135701</v>
      </c>
      <c r="AG363" s="4" t="s">
        <v>1425</v>
      </c>
      <c r="AH363" s="4" t="s">
        <v>1426</v>
      </c>
      <c r="AI363" s="4" t="s">
        <v>467</v>
      </c>
    </row>
    <row r="364" spans="1:35" ht="72" x14ac:dyDescent="0.35">
      <c r="A364" s="10" t="s">
        <v>1499</v>
      </c>
      <c r="B364" s="10"/>
      <c r="C364" s="28" t="s">
        <v>1430</v>
      </c>
      <c r="D364" s="12"/>
      <c r="E364" s="12" t="s">
        <v>1463</v>
      </c>
      <c r="F364" s="29" t="s">
        <v>498</v>
      </c>
      <c r="G364" s="30">
        <v>0.4</v>
      </c>
      <c r="H364" s="30"/>
      <c r="I364" s="30">
        <v>0</v>
      </c>
      <c r="J364" s="31">
        <v>0</v>
      </c>
      <c r="M364" s="32">
        <f>ROUND(ROUND(J364, 2)*I364, 2)</f>
        <v>0</v>
      </c>
      <c r="P364" s="33">
        <v>0</v>
      </c>
      <c r="S364" s="32">
        <f>ROUND(ROUND(P364, 2)*I364, 2)</f>
        <v>0</v>
      </c>
      <c r="V364" s="9">
        <f>ROUND(ROUND(P364, 2)/1.2, 2)</f>
        <v>0</v>
      </c>
      <c r="Y364" s="9">
        <f t="shared" si="18"/>
        <v>0</v>
      </c>
      <c r="AD364" s="4" t="s">
        <v>1500</v>
      </c>
      <c r="AE364" s="4" t="s">
        <v>1501</v>
      </c>
      <c r="AF364" s="4" t="s">
        <v>1433</v>
      </c>
    </row>
    <row r="365" spans="1:35" ht="36" x14ac:dyDescent="0.35">
      <c r="A365" s="10" t="s">
        <v>1502</v>
      </c>
      <c r="B365" s="10"/>
      <c r="C365" s="28" t="s">
        <v>925</v>
      </c>
      <c r="D365" s="12"/>
      <c r="E365" s="12"/>
      <c r="F365" s="29" t="s">
        <v>498</v>
      </c>
      <c r="G365" s="30">
        <v>0.15</v>
      </c>
      <c r="H365" s="30"/>
      <c r="I365" s="30">
        <v>0</v>
      </c>
      <c r="J365" s="31">
        <v>88.8</v>
      </c>
      <c r="M365" s="32">
        <f>ROUND(ROUND(J365, 2)*I365, 2)</f>
        <v>0</v>
      </c>
      <c r="P365" s="33">
        <v>88.8</v>
      </c>
      <c r="S365" s="32">
        <f>ROUND(ROUND(P365, 2)*I365, 2)</f>
        <v>0</v>
      </c>
      <c r="V365" s="9">
        <f>ROUND(ROUND(P365, 2)/1.2, 2)</f>
        <v>74</v>
      </c>
      <c r="Y365" s="9">
        <f t="shared" si="18"/>
        <v>0</v>
      </c>
      <c r="AD365" s="4" t="s">
        <v>1503</v>
      </c>
      <c r="AE365" s="4" t="s">
        <v>1504</v>
      </c>
      <c r="AF365" s="4" t="s">
        <v>928</v>
      </c>
    </row>
    <row r="366" spans="1:35" ht="36" x14ac:dyDescent="0.35">
      <c r="A366" s="10" t="s">
        <v>1505</v>
      </c>
      <c r="B366" s="10" t="s">
        <v>1423</v>
      </c>
      <c r="C366" s="11" t="s">
        <v>1424</v>
      </c>
      <c r="D366" s="12"/>
      <c r="E366" s="12" t="s">
        <v>1472</v>
      </c>
      <c r="F366" s="12" t="s">
        <v>63</v>
      </c>
      <c r="G366" s="13">
        <v>1</v>
      </c>
      <c r="H366" s="13"/>
      <c r="I366" s="13">
        <v>0</v>
      </c>
      <c r="J366" s="14">
        <f>IFERROR(ROUND(SUM(M367,M368)/I366, 2),0)</f>
        <v>0</v>
      </c>
      <c r="K366" s="15">
        <v>464</v>
      </c>
      <c r="L366" s="14">
        <f>J366+ROUND(K366, 2)</f>
        <v>464</v>
      </c>
      <c r="M366" s="14">
        <f>ROUND(J366*I366, 2)</f>
        <v>0</v>
      </c>
      <c r="N366" s="14">
        <f>ROUND(I366*ROUND(K366, 2), 2)</f>
        <v>0</v>
      </c>
      <c r="O366" s="14">
        <f>M366+N366</f>
        <v>0</v>
      </c>
      <c r="P366" s="14">
        <f>IFERROR(ROUND(SUM(S367,S368)/I366, 2),0)</f>
        <v>0</v>
      </c>
      <c r="Q366" s="16">
        <v>696</v>
      </c>
      <c r="R366" s="14">
        <f>P366+ROUND(Q366, 2)</f>
        <v>696</v>
      </c>
      <c r="S366" s="14">
        <f>ROUND(P366*I366, 2)</f>
        <v>0</v>
      </c>
      <c r="T366" s="14">
        <f>ROUND(I366*ROUND(Q366, 2), 2)</f>
        <v>0</v>
      </c>
      <c r="U366" s="14">
        <f>S366+T366</f>
        <v>0</v>
      </c>
      <c r="V366" s="9">
        <f>ROUND(P366 / 1.2, 2)</f>
        <v>0</v>
      </c>
      <c r="W366" s="9">
        <f>ROUND(Q366 / 1.2, 2)</f>
        <v>580</v>
      </c>
      <c r="X366" s="9">
        <f>ROUND(R366 / 1.2, 2)</f>
        <v>580</v>
      </c>
      <c r="Y366" s="9">
        <f t="shared" si="18"/>
        <v>0</v>
      </c>
      <c r="Z366" s="9">
        <f>ROUND(T366 / 1.2, 2)</f>
        <v>0</v>
      </c>
      <c r="AA366" s="9">
        <f>Y366+Z366</f>
        <v>0</v>
      </c>
      <c r="AD366" s="4">
        <v>305117066</v>
      </c>
      <c r="AE366" s="4">
        <v>22135702</v>
      </c>
      <c r="AG366" s="4" t="s">
        <v>1425</v>
      </c>
      <c r="AH366" s="4" t="s">
        <v>1426</v>
      </c>
      <c r="AI366" s="4" t="s">
        <v>467</v>
      </c>
    </row>
    <row r="367" spans="1:35" ht="36" x14ac:dyDescent="0.35">
      <c r="A367" s="10" t="s">
        <v>1506</v>
      </c>
      <c r="B367" s="10"/>
      <c r="C367" s="28" t="s">
        <v>925</v>
      </c>
      <c r="D367" s="12"/>
      <c r="E367" s="12"/>
      <c r="F367" s="29" t="s">
        <v>498</v>
      </c>
      <c r="G367" s="30">
        <v>0.15</v>
      </c>
      <c r="H367" s="30"/>
      <c r="I367" s="30">
        <v>0</v>
      </c>
      <c r="J367" s="31">
        <v>88.8</v>
      </c>
      <c r="M367" s="32">
        <f>ROUND(ROUND(J367, 2)*I367, 2)</f>
        <v>0</v>
      </c>
      <c r="P367" s="33">
        <v>88.8</v>
      </c>
      <c r="S367" s="32">
        <f>ROUND(ROUND(P367, 2)*I367, 2)</f>
        <v>0</v>
      </c>
      <c r="V367" s="9">
        <f>ROUND(ROUND(P367, 2)/1.2, 2)</f>
        <v>74</v>
      </c>
      <c r="Y367" s="9">
        <f t="shared" si="18"/>
        <v>0</v>
      </c>
      <c r="AD367" s="4" t="s">
        <v>1507</v>
      </c>
      <c r="AE367" s="4" t="s">
        <v>1508</v>
      </c>
      <c r="AF367" s="4" t="s">
        <v>928</v>
      </c>
    </row>
    <row r="368" spans="1:35" ht="72" x14ac:dyDescent="0.35">
      <c r="A368" s="10" t="s">
        <v>1509</v>
      </c>
      <c r="B368" s="10"/>
      <c r="C368" s="28" t="s">
        <v>1430</v>
      </c>
      <c r="D368" s="12"/>
      <c r="E368" s="12" t="s">
        <v>1482</v>
      </c>
      <c r="F368" s="29" t="s">
        <v>498</v>
      </c>
      <c r="G368" s="30">
        <v>0.4</v>
      </c>
      <c r="H368" s="30"/>
      <c r="I368" s="30">
        <v>0</v>
      </c>
      <c r="J368" s="31">
        <v>0</v>
      </c>
      <c r="M368" s="32">
        <f>ROUND(ROUND(J368, 2)*I368, 2)</f>
        <v>0</v>
      </c>
      <c r="P368" s="33">
        <v>0</v>
      </c>
      <c r="S368" s="32">
        <f>ROUND(ROUND(P368, 2)*I368, 2)</f>
        <v>0</v>
      </c>
      <c r="V368" s="9">
        <f>ROUND(ROUND(P368, 2)/1.2, 2)</f>
        <v>0</v>
      </c>
      <c r="Y368" s="9">
        <f t="shared" si="18"/>
        <v>0</v>
      </c>
      <c r="AD368" s="4" t="s">
        <v>1510</v>
      </c>
      <c r="AE368" s="4" t="s">
        <v>1511</v>
      </c>
      <c r="AF368" s="4" t="s">
        <v>1433</v>
      </c>
    </row>
    <row r="369" spans="1:35" ht="17" customHeight="1" x14ac:dyDescent="0.35">
      <c r="A369" s="10" t="s">
        <v>1512</v>
      </c>
      <c r="B369" s="10" t="s">
        <v>1513</v>
      </c>
      <c r="C369" s="174" t="s">
        <v>1514</v>
      </c>
      <c r="D369" s="175"/>
      <c r="E369" s="175"/>
      <c r="F369" s="175"/>
      <c r="G369" s="175"/>
      <c r="H369" s="175"/>
      <c r="I369" s="176"/>
      <c r="M369" s="6">
        <f>SUM(M370,M372,M374,M376,M378,M379,M380,M391,M402,M413,M424,M435,M445,M447)</f>
        <v>0</v>
      </c>
      <c r="N369" s="6">
        <f>SUM(N370,N372,N374,N376,N378,N379,N380,N391,N402,N413,N424,N435,N445,N447)</f>
        <v>0</v>
      </c>
      <c r="O369" s="6">
        <f>SUM(O370,O372,O374,O376,O378,O379,O380,O391,O402,O413,O424,O435,O445,O447)</f>
        <v>0</v>
      </c>
      <c r="S369" s="6">
        <f>SUM(S370,S372,S374,S376,S378,S379,S380,S391,S402,S413,S424,S435,S445,S447)</f>
        <v>0</v>
      </c>
      <c r="T369" s="6">
        <f>SUM(T370,T372,T374,T376,T378,T379,T380,T391,T402,T413,T424,T435,T445,T447)</f>
        <v>0</v>
      </c>
      <c r="U369" s="6">
        <f>SUM(U370,U372,U374,U376,U378,U379,U380,U391,U402,U413,U424,U435,U445,U447)</f>
        <v>0</v>
      </c>
      <c r="Y369" s="9">
        <f>SUM(Y370,Y372,Y374,Y376,Y378,Y379,Y380,Y391,Y402,Y413,Y424,Y435,Y445,Y447)</f>
        <v>0</v>
      </c>
      <c r="Z369" s="9">
        <f>SUM(Z370,Z372,Z374,Z376,Z378,Z379,Z380,Z391,Z402,Z413,Z424,Z435,Z445,Z447)</f>
        <v>0</v>
      </c>
      <c r="AA369" s="9">
        <f>SUM(AA370,AA372,AA374,AA376,AA378,AA379,AA380,AA391,AA402,AA413,AA424,AA435,AA445,AA447)</f>
        <v>0</v>
      </c>
      <c r="AD369" s="4">
        <v>305116993</v>
      </c>
      <c r="AE369" s="4">
        <v>20945563</v>
      </c>
    </row>
    <row r="370" spans="1:35" ht="36" x14ac:dyDescent="0.35">
      <c r="A370" s="10" t="s">
        <v>1515</v>
      </c>
      <c r="B370" s="10" t="s">
        <v>1516</v>
      </c>
      <c r="C370" s="11" t="s">
        <v>1517</v>
      </c>
      <c r="D370" s="12"/>
      <c r="E370" s="12"/>
      <c r="F370" s="12" t="s">
        <v>63</v>
      </c>
      <c r="G370" s="13">
        <v>1</v>
      </c>
      <c r="H370" s="13"/>
      <c r="I370" s="13">
        <v>0</v>
      </c>
      <c r="J370" s="14">
        <v>7126.9</v>
      </c>
      <c r="K370" s="15">
        <v>837</v>
      </c>
      <c r="L370" s="14">
        <f>J370+ROUND(K370, 2)</f>
        <v>7963.9</v>
      </c>
      <c r="M370" s="14">
        <v>0</v>
      </c>
      <c r="N370" s="14">
        <v>0</v>
      </c>
      <c r="O370" s="14">
        <f>M370+N370</f>
        <v>0</v>
      </c>
      <c r="P370" s="14">
        <v>7126.9</v>
      </c>
      <c r="Q370" s="15">
        <v>837</v>
      </c>
      <c r="R370" s="14">
        <f>P370+ROUND(Q370, 2)</f>
        <v>7963.9</v>
      </c>
      <c r="S370" s="14">
        <v>0</v>
      </c>
      <c r="T370" s="14">
        <v>0</v>
      </c>
      <c r="U370" s="14">
        <f>S370+T370</f>
        <v>0</v>
      </c>
      <c r="V370" s="9">
        <f>ROUND(P370 / 1.2, 2)</f>
        <v>5939.08</v>
      </c>
      <c r="W370" s="9">
        <f>ROUND(Q370 / 1.2, 2)</f>
        <v>697.5</v>
      </c>
      <c r="X370" s="9">
        <f>ROUND(R370 / 1.2, 2)</f>
        <v>6636.58</v>
      </c>
      <c r="Y370" s="9">
        <f>ROUND(S370 / 1.2, 2)</f>
        <v>0</v>
      </c>
      <c r="Z370" s="9">
        <f>ROUND(T370 / 1.2, 2)</f>
        <v>0</v>
      </c>
      <c r="AA370" s="9">
        <f>Y370+Z370</f>
        <v>0</v>
      </c>
      <c r="AD370" s="4">
        <v>305116995</v>
      </c>
      <c r="AE370" s="4">
        <v>20953806</v>
      </c>
      <c r="AG370" s="4" t="s">
        <v>1518</v>
      </c>
      <c r="AH370" s="4" t="s">
        <v>1519</v>
      </c>
      <c r="AI370" s="4" t="s">
        <v>467</v>
      </c>
    </row>
    <row r="371" spans="1:35" ht="36" x14ac:dyDescent="0.35">
      <c r="A371" s="10" t="s">
        <v>1522</v>
      </c>
      <c r="B371" s="10"/>
      <c r="C371" s="28" t="s">
        <v>1523</v>
      </c>
      <c r="D371" s="12"/>
      <c r="E371" s="12"/>
      <c r="F371" s="29" t="s">
        <v>63</v>
      </c>
      <c r="G371" s="30">
        <v>1.1000000000000001</v>
      </c>
      <c r="H371" s="49"/>
      <c r="I371" s="49">
        <v>0</v>
      </c>
      <c r="J371" s="31">
        <v>6479</v>
      </c>
      <c r="M371" s="32">
        <f>ROUND(ROUND(J371, 2)*I371, 2)</f>
        <v>0</v>
      </c>
      <c r="P371" s="31">
        <v>6479</v>
      </c>
      <c r="S371" s="32">
        <f>ROUND(ROUND(P371, 2)*I371, 2)</f>
        <v>0</v>
      </c>
      <c r="V371" s="9">
        <f>ROUND(ROUND(P371, 2)/1.2, 2)</f>
        <v>5399.17</v>
      </c>
      <c r="Y371" s="9">
        <f t="shared" ref="Y371:Y377" si="19">ROUND(S371 / 1.2, 2)</f>
        <v>0</v>
      </c>
      <c r="AD371" s="4" t="s">
        <v>1524</v>
      </c>
      <c r="AE371" s="4" t="s">
        <v>1525</v>
      </c>
      <c r="AF371" s="4" t="s">
        <v>1526</v>
      </c>
    </row>
    <row r="372" spans="1:35" ht="36" x14ac:dyDescent="0.35">
      <c r="A372" s="10" t="s">
        <v>1529</v>
      </c>
      <c r="B372" s="10" t="s">
        <v>1516</v>
      </c>
      <c r="C372" s="11" t="s">
        <v>1517</v>
      </c>
      <c r="D372" s="12"/>
      <c r="E372" s="12"/>
      <c r="F372" s="12" t="s">
        <v>63</v>
      </c>
      <c r="G372" s="13">
        <v>1</v>
      </c>
      <c r="H372" s="13"/>
      <c r="I372" s="13">
        <v>0</v>
      </c>
      <c r="J372" s="14">
        <v>1280.4000000000001</v>
      </c>
      <c r="K372" s="15">
        <v>837</v>
      </c>
      <c r="L372" s="14">
        <f>J372+ROUND(K372, 2)</f>
        <v>2117.4</v>
      </c>
      <c r="M372" s="14">
        <v>0</v>
      </c>
      <c r="N372" s="14">
        <v>0</v>
      </c>
      <c r="O372" s="14">
        <f>M372+N372</f>
        <v>0</v>
      </c>
      <c r="P372" s="14">
        <v>1280.4000000000001</v>
      </c>
      <c r="Q372" s="15">
        <v>837</v>
      </c>
      <c r="R372" s="14">
        <f>P372+ROUND(Q372, 2)</f>
        <v>2117.4</v>
      </c>
      <c r="S372" s="14">
        <v>0</v>
      </c>
      <c r="T372" s="14">
        <v>0</v>
      </c>
      <c r="U372" s="14">
        <f>S372+T372</f>
        <v>0</v>
      </c>
      <c r="V372" s="9">
        <f>ROUND(P372 / 1.2, 2)</f>
        <v>1067</v>
      </c>
      <c r="W372" s="9">
        <f>ROUND(Q372 / 1.2, 2)</f>
        <v>697.5</v>
      </c>
      <c r="X372" s="9">
        <f>ROUND(R372 / 1.2, 2)</f>
        <v>1764.5</v>
      </c>
      <c r="Y372" s="9">
        <f t="shared" si="19"/>
        <v>0</v>
      </c>
      <c r="Z372" s="9">
        <f>ROUND(T372 / 1.2, 2)</f>
        <v>0</v>
      </c>
      <c r="AA372" s="9">
        <f>Y372+Z372</f>
        <v>0</v>
      </c>
      <c r="AD372" s="4">
        <v>305117067</v>
      </c>
      <c r="AE372" s="4">
        <v>20953807</v>
      </c>
      <c r="AG372" s="4" t="s">
        <v>1518</v>
      </c>
      <c r="AH372" s="4" t="s">
        <v>1519</v>
      </c>
      <c r="AI372" s="4" t="s">
        <v>467</v>
      </c>
    </row>
    <row r="373" spans="1:35" ht="18" x14ac:dyDescent="0.35">
      <c r="A373" s="10" t="s">
        <v>1532</v>
      </c>
      <c r="B373" s="10"/>
      <c r="C373" s="28" t="s">
        <v>1533</v>
      </c>
      <c r="D373" s="12"/>
      <c r="E373" s="12"/>
      <c r="F373" s="29" t="s">
        <v>63</v>
      </c>
      <c r="G373" s="30">
        <v>1.1000000000000001</v>
      </c>
      <c r="H373" s="49"/>
      <c r="I373" s="49">
        <v>0</v>
      </c>
      <c r="J373" s="31">
        <v>1164</v>
      </c>
      <c r="M373" s="32">
        <f>ROUND(ROUND(J373, 2)*I373, 2)</f>
        <v>0</v>
      </c>
      <c r="P373" s="31">
        <v>1164</v>
      </c>
      <c r="S373" s="32">
        <f>ROUND(ROUND(P373, 2)*I373, 2)</f>
        <v>0</v>
      </c>
      <c r="V373" s="9">
        <f>ROUND(ROUND(P373, 2)/1.2, 2)</f>
        <v>970</v>
      </c>
      <c r="Y373" s="9">
        <f t="shared" si="19"/>
        <v>0</v>
      </c>
      <c r="AD373" s="4" t="s">
        <v>1534</v>
      </c>
      <c r="AE373" s="4" t="s">
        <v>1535</v>
      </c>
      <c r="AF373" s="4" t="s">
        <v>1536</v>
      </c>
    </row>
    <row r="374" spans="1:35" ht="126" x14ac:dyDescent="0.35">
      <c r="A374" s="10" t="s">
        <v>1539</v>
      </c>
      <c r="B374" s="10" t="s">
        <v>1516</v>
      </c>
      <c r="C374" s="11" t="s">
        <v>1517</v>
      </c>
      <c r="D374" s="12"/>
      <c r="E374" s="12" t="s">
        <v>1521</v>
      </c>
      <c r="F374" s="12" t="s">
        <v>63</v>
      </c>
      <c r="G374" s="13">
        <v>1</v>
      </c>
      <c r="H374" s="13"/>
      <c r="I374" s="13">
        <v>0</v>
      </c>
      <c r="J374" s="14">
        <f>IFERROR(ROUND(SUM(M375)/I374, 2),0)</f>
        <v>0</v>
      </c>
      <c r="K374" s="15">
        <v>837</v>
      </c>
      <c r="L374" s="14">
        <f>J374+ROUND(K374, 2)</f>
        <v>837</v>
      </c>
      <c r="M374" s="14">
        <f>ROUND(J374*I374, 2)</f>
        <v>0</v>
      </c>
      <c r="N374" s="14">
        <f>ROUND(I374*ROUND(K374, 2), 2)</f>
        <v>0</v>
      </c>
      <c r="O374" s="14">
        <f>M374+N374</f>
        <v>0</v>
      </c>
      <c r="P374" s="14">
        <f>IFERROR(ROUND(SUM(S375)/I374, 2),0)</f>
        <v>0</v>
      </c>
      <c r="Q374" s="16">
        <v>1255.5</v>
      </c>
      <c r="R374" s="14">
        <f>P374+ROUND(Q374, 2)</f>
        <v>1255.5</v>
      </c>
      <c r="S374" s="14">
        <f>ROUND(P374*I374, 2)</f>
        <v>0</v>
      </c>
      <c r="T374" s="14">
        <f>ROUND(I374*ROUND(Q374, 2), 2)</f>
        <v>0</v>
      </c>
      <c r="U374" s="14">
        <f>S374+T374</f>
        <v>0</v>
      </c>
      <c r="V374" s="9">
        <f>ROUND(P374 / 1.2, 2)</f>
        <v>0</v>
      </c>
      <c r="W374" s="9">
        <f>ROUND(Q374 / 1.2, 2)</f>
        <v>1046.25</v>
      </c>
      <c r="X374" s="9">
        <f>ROUND(R374 / 1.2, 2)</f>
        <v>1046.25</v>
      </c>
      <c r="Y374" s="9">
        <f t="shared" si="19"/>
        <v>0</v>
      </c>
      <c r="Z374" s="9">
        <f>ROUND(T374 / 1.2, 2)</f>
        <v>0</v>
      </c>
      <c r="AA374" s="9">
        <f>Y374+Z374</f>
        <v>0</v>
      </c>
      <c r="AD374" s="4">
        <v>305117068</v>
      </c>
      <c r="AE374" s="4">
        <v>22135697</v>
      </c>
      <c r="AG374" s="4" t="s">
        <v>1518</v>
      </c>
      <c r="AH374" s="4" t="s">
        <v>1519</v>
      </c>
      <c r="AI374" s="4" t="s">
        <v>467</v>
      </c>
    </row>
    <row r="375" spans="1:35" ht="36" x14ac:dyDescent="0.35">
      <c r="A375" s="10" t="s">
        <v>1540</v>
      </c>
      <c r="B375" s="10"/>
      <c r="C375" s="28" t="s">
        <v>1523</v>
      </c>
      <c r="D375" s="12"/>
      <c r="E375" s="12"/>
      <c r="F375" s="29" t="s">
        <v>63</v>
      </c>
      <c r="G375" s="30">
        <v>1.1000000000000001</v>
      </c>
      <c r="H375" s="49"/>
      <c r="I375" s="49">
        <v>1137.95</v>
      </c>
      <c r="J375" s="31">
        <v>6479</v>
      </c>
      <c r="M375" s="32">
        <f>ROUND(ROUND(J375, 2)*I375, 2)</f>
        <v>7372778.0499999998</v>
      </c>
      <c r="P375" s="33">
        <v>6479</v>
      </c>
      <c r="S375" s="32">
        <f>ROUND(ROUND(P375, 2)*I375, 2)</f>
        <v>7372778.0499999998</v>
      </c>
      <c r="V375" s="9">
        <f>ROUND(ROUND(P375, 2)/1.2, 2)</f>
        <v>5399.17</v>
      </c>
      <c r="Y375" s="9">
        <f t="shared" si="19"/>
        <v>6143981.71</v>
      </c>
      <c r="AD375" s="4" t="s">
        <v>1541</v>
      </c>
      <c r="AE375" s="4" t="s">
        <v>1542</v>
      </c>
      <c r="AF375" s="4" t="s">
        <v>1526</v>
      </c>
    </row>
    <row r="376" spans="1:35" ht="144" x14ac:dyDescent="0.35">
      <c r="A376" s="10" t="s">
        <v>1543</v>
      </c>
      <c r="B376" s="10" t="s">
        <v>1516</v>
      </c>
      <c r="C376" s="11" t="s">
        <v>1517</v>
      </c>
      <c r="D376" s="12"/>
      <c r="E376" s="12" t="s">
        <v>1531</v>
      </c>
      <c r="F376" s="12" t="s">
        <v>63</v>
      </c>
      <c r="G376" s="13">
        <v>1</v>
      </c>
      <c r="H376" s="13"/>
      <c r="I376" s="13">
        <v>0</v>
      </c>
      <c r="J376" s="14">
        <f>IFERROR(ROUND(SUM(M377)/I376, 2),0)</f>
        <v>0</v>
      </c>
      <c r="K376" s="15">
        <v>837</v>
      </c>
      <c r="L376" s="14">
        <f>J376+ROUND(K376, 2)</f>
        <v>837</v>
      </c>
      <c r="M376" s="14">
        <f>ROUND(J376*I376, 2)</f>
        <v>0</v>
      </c>
      <c r="N376" s="14">
        <f>ROUND(I376*ROUND(K376, 2), 2)</f>
        <v>0</v>
      </c>
      <c r="O376" s="14">
        <f>M376+N376</f>
        <v>0</v>
      </c>
      <c r="P376" s="14">
        <f>IFERROR(ROUND(SUM(S377)/I376, 2),0)</f>
        <v>0</v>
      </c>
      <c r="Q376" s="16">
        <v>1255.5</v>
      </c>
      <c r="R376" s="14">
        <f>P376+ROUND(Q376, 2)</f>
        <v>1255.5</v>
      </c>
      <c r="S376" s="14">
        <f>ROUND(P376*I376, 2)</f>
        <v>0</v>
      </c>
      <c r="T376" s="14">
        <f>ROUND(I376*ROUND(Q376, 2), 2)</f>
        <v>0</v>
      </c>
      <c r="U376" s="14">
        <f>S376+T376</f>
        <v>0</v>
      </c>
      <c r="V376" s="9">
        <f>ROUND(P376 / 1.2, 2)</f>
        <v>0</v>
      </c>
      <c r="W376" s="9">
        <f>ROUND(Q376 / 1.2, 2)</f>
        <v>1046.25</v>
      </c>
      <c r="X376" s="9">
        <f>ROUND(R376 / 1.2, 2)</f>
        <v>1046.25</v>
      </c>
      <c r="Y376" s="9">
        <f t="shared" si="19"/>
        <v>0</v>
      </c>
      <c r="Z376" s="9">
        <f>ROUND(T376 / 1.2, 2)</f>
        <v>0</v>
      </c>
      <c r="AA376" s="9">
        <f>Y376+Z376</f>
        <v>0</v>
      </c>
      <c r="AD376" s="4">
        <v>305117069</v>
      </c>
      <c r="AE376" s="4">
        <v>22135727</v>
      </c>
      <c r="AG376" s="4" t="s">
        <v>1518</v>
      </c>
      <c r="AH376" s="4" t="s">
        <v>1519</v>
      </c>
      <c r="AI376" s="4" t="s">
        <v>467</v>
      </c>
    </row>
    <row r="377" spans="1:35" ht="18" x14ac:dyDescent="0.35">
      <c r="A377" s="10" t="s">
        <v>1544</v>
      </c>
      <c r="B377" s="10"/>
      <c r="C377" s="28" t="s">
        <v>1533</v>
      </c>
      <c r="D377" s="12"/>
      <c r="E377" s="12"/>
      <c r="F377" s="29" t="s">
        <v>63</v>
      </c>
      <c r="G377" s="30">
        <v>1.1000000000000001</v>
      </c>
      <c r="H377" s="49"/>
      <c r="I377" s="49">
        <v>198.22</v>
      </c>
      <c r="J377" s="31">
        <v>1164</v>
      </c>
      <c r="M377" s="32">
        <f>ROUND(ROUND(J377, 2)*I377, 2)</f>
        <v>230728.08</v>
      </c>
      <c r="P377" s="33">
        <v>1164</v>
      </c>
      <c r="S377" s="32">
        <f>ROUND(ROUND(P377, 2)*I377, 2)</f>
        <v>230728.08</v>
      </c>
      <c r="V377" s="9">
        <f>ROUND(ROUND(P377, 2)/1.2, 2)</f>
        <v>970</v>
      </c>
      <c r="Y377" s="9">
        <f t="shared" si="19"/>
        <v>192273.4</v>
      </c>
      <c r="AD377" s="4" t="s">
        <v>1545</v>
      </c>
      <c r="AE377" s="4" t="s">
        <v>1546</v>
      </c>
      <c r="AF377" s="4" t="s">
        <v>1536</v>
      </c>
    </row>
    <row r="378" spans="1:35" ht="54" x14ac:dyDescent="0.35">
      <c r="A378" s="10" t="s">
        <v>1547</v>
      </c>
      <c r="B378" s="10" t="s">
        <v>1548</v>
      </c>
      <c r="C378" s="11" t="s">
        <v>1549</v>
      </c>
      <c r="D378" s="12"/>
      <c r="E378" s="12"/>
      <c r="F378" s="12" t="s">
        <v>63</v>
      </c>
      <c r="G378" s="13">
        <v>1</v>
      </c>
      <c r="H378" s="13"/>
      <c r="I378" s="13">
        <v>0</v>
      </c>
      <c r="J378" s="14">
        <v>0</v>
      </c>
      <c r="K378" s="15">
        <v>121</v>
      </c>
      <c r="L378" s="14">
        <f>J378+ROUND(K378, 2)</f>
        <v>121</v>
      </c>
      <c r="M378" s="14">
        <v>0</v>
      </c>
      <c r="N378" s="14">
        <v>0</v>
      </c>
      <c r="O378" s="14">
        <f>M378+N378</f>
        <v>0</v>
      </c>
      <c r="P378" s="14">
        <v>0</v>
      </c>
      <c r="Q378" s="15">
        <v>121</v>
      </c>
      <c r="R378" s="14">
        <f>P378+ROUND(Q378, 2)</f>
        <v>121</v>
      </c>
      <c r="S378" s="14">
        <v>0</v>
      </c>
      <c r="T378" s="14">
        <v>0</v>
      </c>
      <c r="U378" s="14">
        <f>S378+T378</f>
        <v>0</v>
      </c>
      <c r="V378" s="9"/>
      <c r="W378" s="9">
        <f t="shared" ref="W378:X380" si="20">ROUND(Q378 / 1.2, 2)</f>
        <v>100.83</v>
      </c>
      <c r="X378" s="9">
        <f t="shared" si="20"/>
        <v>100.83</v>
      </c>
      <c r="Y378" s="9"/>
      <c r="Z378" s="9">
        <f>ROUND(T378 / 1.2, 2)</f>
        <v>0</v>
      </c>
      <c r="AA378" s="9">
        <f>Y378+Z378</f>
        <v>0</v>
      </c>
      <c r="AD378" s="4">
        <v>305116997</v>
      </c>
      <c r="AE378" s="4">
        <v>20945565</v>
      </c>
      <c r="AG378" s="4" t="s">
        <v>1550</v>
      </c>
      <c r="AH378" s="4" t="s">
        <v>1551</v>
      </c>
      <c r="AI378" s="4" t="s">
        <v>467</v>
      </c>
    </row>
    <row r="379" spans="1:35" ht="54" x14ac:dyDescent="0.35">
      <c r="A379" s="10" t="s">
        <v>1554</v>
      </c>
      <c r="B379" s="10" t="s">
        <v>1548</v>
      </c>
      <c r="C379" s="11" t="s">
        <v>1549</v>
      </c>
      <c r="D379" s="12"/>
      <c r="E379" s="12" t="s">
        <v>1553</v>
      </c>
      <c r="F379" s="12" t="s">
        <v>63</v>
      </c>
      <c r="G379" s="13">
        <v>1</v>
      </c>
      <c r="H379" s="13"/>
      <c r="I379" s="13">
        <v>0</v>
      </c>
      <c r="J379" s="14">
        <v>0</v>
      </c>
      <c r="K379" s="15">
        <v>121</v>
      </c>
      <c r="L379" s="14">
        <f>J379+ROUND(K379, 2)</f>
        <v>121</v>
      </c>
      <c r="M379" s="14">
        <v>0</v>
      </c>
      <c r="N379" s="14">
        <f>ROUND(I379*ROUND(K379, 2), 2)</f>
        <v>0</v>
      </c>
      <c r="O379" s="14">
        <f>M379+N379</f>
        <v>0</v>
      </c>
      <c r="P379" s="14">
        <v>0</v>
      </c>
      <c r="Q379" s="16">
        <v>181.5</v>
      </c>
      <c r="R379" s="14">
        <f>P379+ROUND(Q379, 2)</f>
        <v>181.5</v>
      </c>
      <c r="S379" s="14">
        <v>0</v>
      </c>
      <c r="T379" s="14">
        <f>ROUND(I379*ROUND(Q379, 2), 2)</f>
        <v>0</v>
      </c>
      <c r="U379" s="14">
        <f>S379+T379</f>
        <v>0</v>
      </c>
      <c r="V379" s="9"/>
      <c r="W379" s="9">
        <f t="shared" si="20"/>
        <v>151.25</v>
      </c>
      <c r="X379" s="9">
        <f t="shared" si="20"/>
        <v>151.25</v>
      </c>
      <c r="Y379" s="9"/>
      <c r="Z379" s="9">
        <f>ROUND(T379 / 1.2, 2)</f>
        <v>0</v>
      </c>
      <c r="AA379" s="9">
        <f>Y379+Z379</f>
        <v>0</v>
      </c>
      <c r="AD379" s="4">
        <v>305117070</v>
      </c>
      <c r="AE379" s="4">
        <v>22135693</v>
      </c>
      <c r="AG379" s="4" t="s">
        <v>1550</v>
      </c>
      <c r="AH379" s="4" t="s">
        <v>1551</v>
      </c>
      <c r="AI379" s="4" t="s">
        <v>467</v>
      </c>
    </row>
    <row r="380" spans="1:35" ht="36" x14ac:dyDescent="0.35">
      <c r="A380" s="10" t="s">
        <v>1555</v>
      </c>
      <c r="B380" s="10" t="s">
        <v>1556</v>
      </c>
      <c r="C380" s="11" t="s">
        <v>1557</v>
      </c>
      <c r="D380" s="12"/>
      <c r="E380" s="12"/>
      <c r="F380" s="12" t="s">
        <v>63</v>
      </c>
      <c r="G380" s="13">
        <v>1</v>
      </c>
      <c r="H380" s="13"/>
      <c r="I380" s="13">
        <v>0</v>
      </c>
      <c r="J380" s="14">
        <v>584.54999999999995</v>
      </c>
      <c r="K380" s="15">
        <v>1379</v>
      </c>
      <c r="L380" s="14">
        <f>J380+ROUND(K380, 2)</f>
        <v>1963.55</v>
      </c>
      <c r="M380" s="14">
        <v>0</v>
      </c>
      <c r="N380" s="14">
        <v>0</v>
      </c>
      <c r="O380" s="14">
        <f>M380+N380</f>
        <v>0</v>
      </c>
      <c r="P380" s="14">
        <v>584.54999999999995</v>
      </c>
      <c r="Q380" s="15">
        <v>1379</v>
      </c>
      <c r="R380" s="14">
        <f>P380+ROUND(Q380, 2)</f>
        <v>1963.55</v>
      </c>
      <c r="S380" s="14">
        <v>0</v>
      </c>
      <c r="T380" s="14">
        <v>0</v>
      </c>
      <c r="U380" s="14">
        <f>S380+T380</f>
        <v>0</v>
      </c>
      <c r="V380" s="9">
        <f>ROUND(P380 / 1.2, 2)</f>
        <v>487.13</v>
      </c>
      <c r="W380" s="9">
        <f t="shared" si="20"/>
        <v>1149.17</v>
      </c>
      <c r="X380" s="9">
        <f t="shared" si="20"/>
        <v>1636.29</v>
      </c>
      <c r="Y380" s="9">
        <f t="shared" ref="Y380:Y411" si="21">ROUND(S380 / 1.2, 2)</f>
        <v>0</v>
      </c>
      <c r="Z380" s="9">
        <f>ROUND(T380 / 1.2, 2)</f>
        <v>0</v>
      </c>
      <c r="AA380" s="9">
        <f>Y380+Z380</f>
        <v>0</v>
      </c>
      <c r="AD380" s="4">
        <v>305116999</v>
      </c>
      <c r="AE380" s="4">
        <v>20958867</v>
      </c>
      <c r="AG380" s="4" t="s">
        <v>1558</v>
      </c>
      <c r="AH380" s="4" t="s">
        <v>1559</v>
      </c>
      <c r="AI380" s="4" t="s">
        <v>467</v>
      </c>
    </row>
    <row r="381" spans="1:35" ht="18" x14ac:dyDescent="0.35">
      <c r="A381" s="10" t="s">
        <v>1562</v>
      </c>
      <c r="B381" s="10"/>
      <c r="C381" s="28" t="s">
        <v>1563</v>
      </c>
      <c r="D381" s="12"/>
      <c r="E381" s="12"/>
      <c r="F381" s="29" t="s">
        <v>490</v>
      </c>
      <c r="G381" s="30">
        <v>15</v>
      </c>
      <c r="H381" s="30"/>
      <c r="I381" s="30">
        <v>0</v>
      </c>
      <c r="J381" s="31">
        <v>0.95</v>
      </c>
      <c r="M381" s="32">
        <f t="shared" ref="M381:M390" si="22">ROUND(ROUND(J381, 2)*I381, 2)</f>
        <v>0</v>
      </c>
      <c r="P381" s="31">
        <v>0.95</v>
      </c>
      <c r="S381" s="32">
        <f t="shared" ref="S381:S390" si="23">ROUND(ROUND(P381, 2)*I381, 2)</f>
        <v>0</v>
      </c>
      <c r="V381" s="9">
        <f t="shared" ref="V381:V390" si="24">ROUND(ROUND(P381, 2)/1.2, 2)</f>
        <v>0.79</v>
      </c>
      <c r="Y381" s="9">
        <f t="shared" si="21"/>
        <v>0</v>
      </c>
      <c r="AD381" s="4" t="s">
        <v>1564</v>
      </c>
      <c r="AE381" s="4" t="s">
        <v>1565</v>
      </c>
      <c r="AF381" s="4" t="s">
        <v>1566</v>
      </c>
    </row>
    <row r="382" spans="1:35" ht="18" x14ac:dyDescent="0.35">
      <c r="A382" s="10" t="s">
        <v>1569</v>
      </c>
      <c r="B382" s="10"/>
      <c r="C382" s="28" t="s">
        <v>1570</v>
      </c>
      <c r="D382" s="12"/>
      <c r="E382" s="12"/>
      <c r="F382" s="29" t="s">
        <v>498</v>
      </c>
      <c r="G382" s="30">
        <v>0.35</v>
      </c>
      <c r="H382" s="30"/>
      <c r="I382" s="30">
        <v>0</v>
      </c>
      <c r="J382" s="31">
        <v>55</v>
      </c>
      <c r="M382" s="32">
        <f t="shared" si="22"/>
        <v>0</v>
      </c>
      <c r="P382" s="31">
        <v>55</v>
      </c>
      <c r="S382" s="32">
        <f t="shared" si="23"/>
        <v>0</v>
      </c>
      <c r="V382" s="9">
        <f t="shared" si="24"/>
        <v>45.83</v>
      </c>
      <c r="Y382" s="9">
        <f t="shared" si="21"/>
        <v>0</v>
      </c>
      <c r="AD382" s="4" t="s">
        <v>1571</v>
      </c>
      <c r="AE382" s="4" t="s">
        <v>1572</v>
      </c>
      <c r="AF382" s="4" t="s">
        <v>1573</v>
      </c>
    </row>
    <row r="383" spans="1:35" ht="18" x14ac:dyDescent="0.35">
      <c r="A383" s="10" t="s">
        <v>1576</v>
      </c>
      <c r="B383" s="10"/>
      <c r="C383" s="28" t="s">
        <v>1577</v>
      </c>
      <c r="D383" s="12"/>
      <c r="E383" s="12"/>
      <c r="F383" s="29" t="s">
        <v>490</v>
      </c>
      <c r="G383" s="30">
        <v>0.3</v>
      </c>
      <c r="H383" s="30"/>
      <c r="I383" s="30">
        <v>0</v>
      </c>
      <c r="J383" s="31">
        <v>5.6</v>
      </c>
      <c r="M383" s="32">
        <f t="shared" si="22"/>
        <v>0</v>
      </c>
      <c r="P383" s="31">
        <v>5.6</v>
      </c>
      <c r="S383" s="32">
        <f t="shared" si="23"/>
        <v>0</v>
      </c>
      <c r="V383" s="9">
        <f t="shared" si="24"/>
        <v>4.67</v>
      </c>
      <c r="Y383" s="9">
        <f t="shared" si="21"/>
        <v>0</v>
      </c>
      <c r="AD383" s="4" t="s">
        <v>1578</v>
      </c>
      <c r="AE383" s="4" t="s">
        <v>1579</v>
      </c>
      <c r="AF383" s="4" t="s">
        <v>1580</v>
      </c>
    </row>
    <row r="384" spans="1:35" ht="36" x14ac:dyDescent="0.35">
      <c r="A384" s="10" t="s">
        <v>1583</v>
      </c>
      <c r="B384" s="10"/>
      <c r="C384" s="47" t="s">
        <v>1584</v>
      </c>
      <c r="D384" s="12"/>
      <c r="E384" s="12"/>
      <c r="F384" s="29" t="s">
        <v>490</v>
      </c>
      <c r="G384" s="30">
        <v>3.6</v>
      </c>
      <c r="H384" s="30"/>
      <c r="I384" s="30">
        <v>0</v>
      </c>
      <c r="J384" s="31">
        <v>15.9</v>
      </c>
      <c r="M384" s="32">
        <f t="shared" si="22"/>
        <v>0</v>
      </c>
      <c r="P384" s="31">
        <v>15.9</v>
      </c>
      <c r="S384" s="32">
        <f t="shared" si="23"/>
        <v>0</v>
      </c>
      <c r="V384" s="9">
        <f t="shared" si="24"/>
        <v>13.25</v>
      </c>
      <c r="Y384" s="9">
        <f t="shared" si="21"/>
        <v>0</v>
      </c>
      <c r="AD384" s="4" t="s">
        <v>1585</v>
      </c>
      <c r="AE384" s="4" t="s">
        <v>1586</v>
      </c>
      <c r="AF384" s="4" t="s">
        <v>1587</v>
      </c>
    </row>
    <row r="385" spans="1:35" ht="18" x14ac:dyDescent="0.35">
      <c r="A385" s="10" t="s">
        <v>1590</v>
      </c>
      <c r="B385" s="10"/>
      <c r="C385" s="28" t="s">
        <v>1591</v>
      </c>
      <c r="D385" s="12"/>
      <c r="E385" s="12"/>
      <c r="F385" s="29" t="s">
        <v>78</v>
      </c>
      <c r="G385" s="30">
        <v>1.2</v>
      </c>
      <c r="H385" s="30"/>
      <c r="I385" s="30">
        <v>0</v>
      </c>
      <c r="J385" s="31">
        <v>22.82</v>
      </c>
      <c r="M385" s="32">
        <f t="shared" si="22"/>
        <v>0</v>
      </c>
      <c r="P385" s="31">
        <v>22.82</v>
      </c>
      <c r="S385" s="32">
        <f t="shared" si="23"/>
        <v>0</v>
      </c>
      <c r="V385" s="9">
        <f t="shared" si="24"/>
        <v>19.02</v>
      </c>
      <c r="Y385" s="9">
        <f t="shared" si="21"/>
        <v>0</v>
      </c>
      <c r="AD385" s="4" t="s">
        <v>1592</v>
      </c>
      <c r="AE385" s="4" t="s">
        <v>1593</v>
      </c>
      <c r="AF385" s="4" t="s">
        <v>1594</v>
      </c>
    </row>
    <row r="386" spans="1:35" ht="18" x14ac:dyDescent="0.35">
      <c r="A386" s="10" t="s">
        <v>1597</v>
      </c>
      <c r="B386" s="10"/>
      <c r="C386" s="28" t="s">
        <v>1598</v>
      </c>
      <c r="D386" s="12"/>
      <c r="E386" s="12"/>
      <c r="F386" s="29" t="s">
        <v>78</v>
      </c>
      <c r="G386" s="30">
        <v>4.7</v>
      </c>
      <c r="H386" s="30"/>
      <c r="I386" s="30">
        <v>0</v>
      </c>
      <c r="J386" s="31">
        <v>66.98</v>
      </c>
      <c r="M386" s="32">
        <f t="shared" si="22"/>
        <v>0</v>
      </c>
      <c r="P386" s="31">
        <v>66.98</v>
      </c>
      <c r="S386" s="32">
        <f t="shared" si="23"/>
        <v>0</v>
      </c>
      <c r="V386" s="9">
        <f t="shared" si="24"/>
        <v>55.82</v>
      </c>
      <c r="Y386" s="9">
        <f t="shared" si="21"/>
        <v>0</v>
      </c>
      <c r="AD386" s="4" t="s">
        <v>1599</v>
      </c>
      <c r="AE386" s="4" t="s">
        <v>1600</v>
      </c>
      <c r="AF386" s="4" t="s">
        <v>1601</v>
      </c>
    </row>
    <row r="387" spans="1:35" ht="18" x14ac:dyDescent="0.35">
      <c r="A387" s="10" t="s">
        <v>1604</v>
      </c>
      <c r="B387" s="10"/>
      <c r="C387" s="28" t="s">
        <v>1605</v>
      </c>
      <c r="D387" s="12"/>
      <c r="E387" s="12"/>
      <c r="F387" s="29" t="s">
        <v>78</v>
      </c>
      <c r="G387" s="30">
        <v>1.05</v>
      </c>
      <c r="H387" s="30"/>
      <c r="I387" s="30">
        <v>0</v>
      </c>
      <c r="J387" s="31">
        <v>4.5999999999999996</v>
      </c>
      <c r="M387" s="32">
        <f t="shared" si="22"/>
        <v>0</v>
      </c>
      <c r="P387" s="31">
        <v>4.5999999999999996</v>
      </c>
      <c r="S387" s="32">
        <f t="shared" si="23"/>
        <v>0</v>
      </c>
      <c r="V387" s="9">
        <f t="shared" si="24"/>
        <v>3.83</v>
      </c>
      <c r="Y387" s="9">
        <f t="shared" si="21"/>
        <v>0</v>
      </c>
      <c r="AD387" s="4" t="s">
        <v>1606</v>
      </c>
      <c r="AE387" s="4" t="s">
        <v>1607</v>
      </c>
      <c r="AF387" s="4" t="s">
        <v>1608</v>
      </c>
    </row>
    <row r="388" spans="1:35" ht="18" x14ac:dyDescent="0.35">
      <c r="A388" s="10" t="s">
        <v>1611</v>
      </c>
      <c r="B388" s="10"/>
      <c r="C388" s="28" t="s">
        <v>1612</v>
      </c>
      <c r="D388" s="12"/>
      <c r="E388" s="12"/>
      <c r="F388" s="29" t="s">
        <v>78</v>
      </c>
      <c r="G388" s="30">
        <v>0.25</v>
      </c>
      <c r="H388" s="30"/>
      <c r="I388" s="30">
        <v>0</v>
      </c>
      <c r="J388" s="31">
        <v>2.8</v>
      </c>
      <c r="M388" s="32">
        <f t="shared" si="22"/>
        <v>0</v>
      </c>
      <c r="P388" s="31">
        <v>2.8</v>
      </c>
      <c r="S388" s="32">
        <f t="shared" si="23"/>
        <v>0</v>
      </c>
      <c r="V388" s="9">
        <f t="shared" si="24"/>
        <v>2.33</v>
      </c>
      <c r="Y388" s="9">
        <f t="shared" si="21"/>
        <v>0</v>
      </c>
      <c r="AD388" s="4" t="s">
        <v>1613</v>
      </c>
      <c r="AE388" s="4" t="s">
        <v>1614</v>
      </c>
      <c r="AF388" s="4" t="s">
        <v>1615</v>
      </c>
    </row>
    <row r="389" spans="1:35" ht="36" x14ac:dyDescent="0.35">
      <c r="A389" s="10" t="s">
        <v>1618</v>
      </c>
      <c r="B389" s="10"/>
      <c r="C389" s="28" t="s">
        <v>1619</v>
      </c>
      <c r="D389" s="12"/>
      <c r="E389" s="12"/>
      <c r="F389" s="29" t="s">
        <v>63</v>
      </c>
      <c r="G389" s="30">
        <v>1.05</v>
      </c>
      <c r="H389" s="30"/>
      <c r="I389" s="30">
        <v>0</v>
      </c>
      <c r="J389" s="31">
        <v>135.53</v>
      </c>
      <c r="M389" s="32">
        <f t="shared" si="22"/>
        <v>0</v>
      </c>
      <c r="P389" s="31">
        <v>135.53</v>
      </c>
      <c r="S389" s="32">
        <f t="shared" si="23"/>
        <v>0</v>
      </c>
      <c r="V389" s="9">
        <f t="shared" si="24"/>
        <v>112.94</v>
      </c>
      <c r="Y389" s="9">
        <f t="shared" si="21"/>
        <v>0</v>
      </c>
      <c r="AD389" s="4" t="s">
        <v>1620</v>
      </c>
      <c r="AE389" s="4" t="s">
        <v>1621</v>
      </c>
      <c r="AF389" s="4" t="s">
        <v>1622</v>
      </c>
    </row>
    <row r="390" spans="1:35" ht="18" x14ac:dyDescent="0.35">
      <c r="A390" s="10" t="s">
        <v>1625</v>
      </c>
      <c r="B390" s="10"/>
      <c r="C390" s="28" t="s">
        <v>1626</v>
      </c>
      <c r="D390" s="12"/>
      <c r="E390" s="12"/>
      <c r="F390" s="29" t="s">
        <v>490</v>
      </c>
      <c r="G390" s="30">
        <v>0.75</v>
      </c>
      <c r="H390" s="30"/>
      <c r="I390" s="30">
        <v>0</v>
      </c>
      <c r="J390" s="31">
        <v>2.8</v>
      </c>
      <c r="M390" s="32">
        <f t="shared" si="22"/>
        <v>0</v>
      </c>
      <c r="P390" s="31">
        <v>2.8</v>
      </c>
      <c r="S390" s="32">
        <f t="shared" si="23"/>
        <v>0</v>
      </c>
      <c r="V390" s="9">
        <f t="shared" si="24"/>
        <v>2.33</v>
      </c>
      <c r="Y390" s="9">
        <f t="shared" si="21"/>
        <v>0</v>
      </c>
      <c r="AD390" s="4" t="s">
        <v>1627</v>
      </c>
      <c r="AE390" s="4" t="s">
        <v>1628</v>
      </c>
      <c r="AF390" s="4" t="s">
        <v>1629</v>
      </c>
    </row>
    <row r="391" spans="1:35" ht="36" x14ac:dyDescent="0.35">
      <c r="A391" s="10" t="s">
        <v>1632</v>
      </c>
      <c r="B391" s="10" t="s">
        <v>1556</v>
      </c>
      <c r="C391" s="11" t="s">
        <v>1557</v>
      </c>
      <c r="D391" s="12"/>
      <c r="E391" s="12"/>
      <c r="F391" s="12" t="s">
        <v>63</v>
      </c>
      <c r="G391" s="13">
        <v>1</v>
      </c>
      <c r="H391" s="13"/>
      <c r="I391" s="13">
        <v>0</v>
      </c>
      <c r="J391" s="14">
        <v>584.54999999999995</v>
      </c>
      <c r="K391" s="15">
        <v>1379</v>
      </c>
      <c r="L391" s="14">
        <f>J391+ROUND(K391, 2)</f>
        <v>1963.55</v>
      </c>
      <c r="M391" s="14">
        <v>0</v>
      </c>
      <c r="N391" s="14">
        <v>0</v>
      </c>
      <c r="O391" s="14">
        <f>M391+N391</f>
        <v>0</v>
      </c>
      <c r="P391" s="14">
        <v>584.54999999999995</v>
      </c>
      <c r="Q391" s="15">
        <v>1379</v>
      </c>
      <c r="R391" s="14">
        <f>P391+ROUND(Q391, 2)</f>
        <v>1963.55</v>
      </c>
      <c r="S391" s="14">
        <v>0</v>
      </c>
      <c r="T391" s="14">
        <v>0</v>
      </c>
      <c r="U391" s="14">
        <f>S391+T391</f>
        <v>0</v>
      </c>
      <c r="V391" s="9">
        <f>ROUND(P391 / 1.2, 2)</f>
        <v>487.13</v>
      </c>
      <c r="W391" s="9">
        <f>ROUND(Q391 / 1.2, 2)</f>
        <v>1149.17</v>
      </c>
      <c r="X391" s="9">
        <f>ROUND(R391 / 1.2, 2)</f>
        <v>1636.29</v>
      </c>
      <c r="Y391" s="9">
        <f t="shared" si="21"/>
        <v>0</v>
      </c>
      <c r="Z391" s="9">
        <f>ROUND(T391 / 1.2, 2)</f>
        <v>0</v>
      </c>
      <c r="AA391" s="9">
        <f>Y391+Z391</f>
        <v>0</v>
      </c>
      <c r="AD391" s="4">
        <v>305117071</v>
      </c>
      <c r="AE391" s="4">
        <v>20958866</v>
      </c>
      <c r="AG391" s="4" t="s">
        <v>1558</v>
      </c>
      <c r="AH391" s="4" t="s">
        <v>1559</v>
      </c>
      <c r="AI391" s="4" t="s">
        <v>467</v>
      </c>
    </row>
    <row r="392" spans="1:35" ht="18" x14ac:dyDescent="0.35">
      <c r="A392" s="10" t="s">
        <v>1635</v>
      </c>
      <c r="B392" s="10"/>
      <c r="C392" s="28" t="s">
        <v>1626</v>
      </c>
      <c r="D392" s="12"/>
      <c r="E392" s="12"/>
      <c r="F392" s="29" t="s">
        <v>490</v>
      </c>
      <c r="G392" s="30">
        <v>0.75</v>
      </c>
      <c r="H392" s="30"/>
      <c r="I392" s="30">
        <v>0</v>
      </c>
      <c r="J392" s="31">
        <v>2.8</v>
      </c>
      <c r="M392" s="32">
        <f t="shared" ref="M392:M401" si="25">ROUND(ROUND(J392, 2)*I392, 2)</f>
        <v>0</v>
      </c>
      <c r="P392" s="31">
        <v>2.8</v>
      </c>
      <c r="S392" s="32">
        <f t="shared" ref="S392:S401" si="26">ROUND(ROUND(P392, 2)*I392, 2)</f>
        <v>0</v>
      </c>
      <c r="V392" s="9">
        <f t="shared" ref="V392:V401" si="27">ROUND(ROUND(P392, 2)/1.2, 2)</f>
        <v>2.33</v>
      </c>
      <c r="Y392" s="9">
        <f t="shared" si="21"/>
        <v>0</v>
      </c>
      <c r="AD392" s="4" t="s">
        <v>1636</v>
      </c>
      <c r="AE392" s="4" t="s">
        <v>1637</v>
      </c>
      <c r="AF392" s="4" t="s">
        <v>1629</v>
      </c>
    </row>
    <row r="393" spans="1:35" ht="36" x14ac:dyDescent="0.35">
      <c r="A393" s="10" t="s">
        <v>1640</v>
      </c>
      <c r="B393" s="10"/>
      <c r="C393" s="28" t="s">
        <v>100</v>
      </c>
      <c r="D393" s="12"/>
      <c r="E393" s="12"/>
      <c r="F393" s="29" t="s">
        <v>63</v>
      </c>
      <c r="G393" s="30">
        <v>1.05</v>
      </c>
      <c r="H393" s="30"/>
      <c r="I393" s="30">
        <v>0</v>
      </c>
      <c r="J393" s="31">
        <v>135.53</v>
      </c>
      <c r="M393" s="32">
        <f t="shared" si="25"/>
        <v>0</v>
      </c>
      <c r="P393" s="31">
        <v>135.53</v>
      </c>
      <c r="S393" s="32">
        <f t="shared" si="26"/>
        <v>0</v>
      </c>
      <c r="V393" s="9">
        <f t="shared" si="27"/>
        <v>112.94</v>
      </c>
      <c r="Y393" s="9">
        <f t="shared" si="21"/>
        <v>0</v>
      </c>
      <c r="AD393" s="4" t="s">
        <v>1641</v>
      </c>
      <c r="AE393" s="4" t="s">
        <v>1642</v>
      </c>
      <c r="AF393" s="4" t="s">
        <v>103</v>
      </c>
    </row>
    <row r="394" spans="1:35" ht="18" x14ac:dyDescent="0.35">
      <c r="A394" s="10" t="s">
        <v>1645</v>
      </c>
      <c r="B394" s="10"/>
      <c r="C394" s="28" t="s">
        <v>1612</v>
      </c>
      <c r="D394" s="12"/>
      <c r="E394" s="12"/>
      <c r="F394" s="29" t="s">
        <v>78</v>
      </c>
      <c r="G394" s="30">
        <v>0.25</v>
      </c>
      <c r="H394" s="30"/>
      <c r="I394" s="30">
        <v>0</v>
      </c>
      <c r="J394" s="31">
        <v>2.8</v>
      </c>
      <c r="M394" s="32">
        <f t="shared" si="25"/>
        <v>0</v>
      </c>
      <c r="P394" s="31">
        <v>2.8</v>
      </c>
      <c r="S394" s="32">
        <f t="shared" si="26"/>
        <v>0</v>
      </c>
      <c r="V394" s="9">
        <f t="shared" si="27"/>
        <v>2.33</v>
      </c>
      <c r="Y394" s="9">
        <f t="shared" si="21"/>
        <v>0</v>
      </c>
      <c r="AD394" s="4" t="s">
        <v>1646</v>
      </c>
      <c r="AE394" s="4" t="s">
        <v>1647</v>
      </c>
      <c r="AF394" s="4" t="s">
        <v>1615</v>
      </c>
    </row>
    <row r="395" spans="1:35" ht="18" x14ac:dyDescent="0.35">
      <c r="A395" s="10" t="s">
        <v>1650</v>
      </c>
      <c r="B395" s="10"/>
      <c r="C395" s="28" t="s">
        <v>1605</v>
      </c>
      <c r="D395" s="12"/>
      <c r="E395" s="12"/>
      <c r="F395" s="29" t="s">
        <v>78</v>
      </c>
      <c r="G395" s="30">
        <v>1.05</v>
      </c>
      <c r="H395" s="30"/>
      <c r="I395" s="30">
        <v>0</v>
      </c>
      <c r="J395" s="31">
        <v>4.5999999999999996</v>
      </c>
      <c r="M395" s="32">
        <f t="shared" si="25"/>
        <v>0</v>
      </c>
      <c r="P395" s="31">
        <v>4.5999999999999996</v>
      </c>
      <c r="S395" s="32">
        <f t="shared" si="26"/>
        <v>0</v>
      </c>
      <c r="V395" s="9">
        <f t="shared" si="27"/>
        <v>3.83</v>
      </c>
      <c r="Y395" s="9">
        <f t="shared" si="21"/>
        <v>0</v>
      </c>
      <c r="AD395" s="4" t="s">
        <v>1651</v>
      </c>
      <c r="AE395" s="4" t="s">
        <v>1652</v>
      </c>
      <c r="AF395" s="4" t="s">
        <v>1608</v>
      </c>
    </row>
    <row r="396" spans="1:35" ht="18" x14ac:dyDescent="0.35">
      <c r="A396" s="10" t="s">
        <v>1655</v>
      </c>
      <c r="B396" s="10"/>
      <c r="C396" s="28" t="s">
        <v>1591</v>
      </c>
      <c r="D396" s="12"/>
      <c r="E396" s="12"/>
      <c r="F396" s="29" t="s">
        <v>78</v>
      </c>
      <c r="G396" s="30">
        <v>1.2</v>
      </c>
      <c r="H396" s="30"/>
      <c r="I396" s="30">
        <v>0</v>
      </c>
      <c r="J396" s="31">
        <v>22.82</v>
      </c>
      <c r="M396" s="32">
        <f t="shared" si="25"/>
        <v>0</v>
      </c>
      <c r="P396" s="31">
        <v>22.82</v>
      </c>
      <c r="S396" s="32">
        <f t="shared" si="26"/>
        <v>0</v>
      </c>
      <c r="V396" s="9">
        <f t="shared" si="27"/>
        <v>19.02</v>
      </c>
      <c r="Y396" s="9">
        <f t="shared" si="21"/>
        <v>0</v>
      </c>
      <c r="AD396" s="4" t="s">
        <v>1656</v>
      </c>
      <c r="AE396" s="4" t="s">
        <v>1657</v>
      </c>
      <c r="AF396" s="4" t="s">
        <v>1594</v>
      </c>
    </row>
    <row r="397" spans="1:35" ht="18" x14ac:dyDescent="0.35">
      <c r="A397" s="10" t="s">
        <v>1660</v>
      </c>
      <c r="B397" s="10"/>
      <c r="C397" s="28" t="s">
        <v>1598</v>
      </c>
      <c r="D397" s="12"/>
      <c r="E397" s="12"/>
      <c r="F397" s="29" t="s">
        <v>78</v>
      </c>
      <c r="G397" s="30">
        <v>4.7</v>
      </c>
      <c r="H397" s="30"/>
      <c r="I397" s="30">
        <v>0</v>
      </c>
      <c r="J397" s="31">
        <v>66.98</v>
      </c>
      <c r="M397" s="32">
        <f t="shared" si="25"/>
        <v>0</v>
      </c>
      <c r="P397" s="31">
        <v>66.98</v>
      </c>
      <c r="S397" s="32">
        <f t="shared" si="26"/>
        <v>0</v>
      </c>
      <c r="V397" s="9">
        <f t="shared" si="27"/>
        <v>55.82</v>
      </c>
      <c r="Y397" s="9">
        <f t="shared" si="21"/>
        <v>0</v>
      </c>
      <c r="AD397" s="4" t="s">
        <v>1661</v>
      </c>
      <c r="AE397" s="4" t="s">
        <v>1662</v>
      </c>
      <c r="AF397" s="4" t="s">
        <v>1601</v>
      </c>
    </row>
    <row r="398" spans="1:35" ht="36" x14ac:dyDescent="0.35">
      <c r="A398" s="10" t="s">
        <v>1665</v>
      </c>
      <c r="B398" s="10"/>
      <c r="C398" s="47" t="s">
        <v>1584</v>
      </c>
      <c r="D398" s="12"/>
      <c r="E398" s="12"/>
      <c r="F398" s="29" t="s">
        <v>490</v>
      </c>
      <c r="G398" s="30">
        <v>3.6</v>
      </c>
      <c r="H398" s="30"/>
      <c r="I398" s="30">
        <v>0</v>
      </c>
      <c r="J398" s="31">
        <v>15.9</v>
      </c>
      <c r="M398" s="32">
        <f t="shared" si="25"/>
        <v>0</v>
      </c>
      <c r="P398" s="31">
        <v>15.9</v>
      </c>
      <c r="S398" s="32">
        <f t="shared" si="26"/>
        <v>0</v>
      </c>
      <c r="V398" s="9">
        <f t="shared" si="27"/>
        <v>13.25</v>
      </c>
      <c r="Y398" s="9">
        <f t="shared" si="21"/>
        <v>0</v>
      </c>
      <c r="AD398" s="4" t="s">
        <v>1666</v>
      </c>
      <c r="AE398" s="4" t="s">
        <v>1667</v>
      </c>
      <c r="AF398" s="4" t="s">
        <v>1587</v>
      </c>
    </row>
    <row r="399" spans="1:35" ht="18" x14ac:dyDescent="0.35">
      <c r="A399" s="10" t="s">
        <v>1670</v>
      </c>
      <c r="B399" s="10"/>
      <c r="C399" s="28" t="s">
        <v>1577</v>
      </c>
      <c r="D399" s="12"/>
      <c r="E399" s="12"/>
      <c r="F399" s="29" t="s">
        <v>490</v>
      </c>
      <c r="G399" s="30">
        <v>0.3</v>
      </c>
      <c r="H399" s="30"/>
      <c r="I399" s="30">
        <v>0</v>
      </c>
      <c r="J399" s="31">
        <v>5.6</v>
      </c>
      <c r="M399" s="32">
        <f t="shared" si="25"/>
        <v>0</v>
      </c>
      <c r="P399" s="31">
        <v>5.6</v>
      </c>
      <c r="S399" s="32">
        <f t="shared" si="26"/>
        <v>0</v>
      </c>
      <c r="V399" s="9">
        <f t="shared" si="27"/>
        <v>4.67</v>
      </c>
      <c r="Y399" s="9">
        <f t="shared" si="21"/>
        <v>0</v>
      </c>
      <c r="AD399" s="4" t="s">
        <v>1671</v>
      </c>
      <c r="AE399" s="4" t="s">
        <v>1672</v>
      </c>
      <c r="AF399" s="4" t="s">
        <v>1580</v>
      </c>
    </row>
    <row r="400" spans="1:35" ht="18" x14ac:dyDescent="0.35">
      <c r="A400" s="10" t="s">
        <v>1675</v>
      </c>
      <c r="B400" s="10"/>
      <c r="C400" s="28" t="s">
        <v>1570</v>
      </c>
      <c r="D400" s="12"/>
      <c r="E400" s="12"/>
      <c r="F400" s="29" t="s">
        <v>498</v>
      </c>
      <c r="G400" s="30">
        <v>0.35</v>
      </c>
      <c r="H400" s="30"/>
      <c r="I400" s="30">
        <v>0</v>
      </c>
      <c r="J400" s="31">
        <v>55</v>
      </c>
      <c r="M400" s="32">
        <f t="shared" si="25"/>
        <v>0</v>
      </c>
      <c r="P400" s="31">
        <v>55</v>
      </c>
      <c r="S400" s="32">
        <f t="shared" si="26"/>
        <v>0</v>
      </c>
      <c r="V400" s="9">
        <f t="shared" si="27"/>
        <v>45.83</v>
      </c>
      <c r="Y400" s="9">
        <f t="shared" si="21"/>
        <v>0</v>
      </c>
      <c r="AD400" s="4" t="s">
        <v>1676</v>
      </c>
      <c r="AE400" s="4" t="s">
        <v>1677</v>
      </c>
      <c r="AF400" s="4" t="s">
        <v>1573</v>
      </c>
    </row>
    <row r="401" spans="1:35" ht="18" x14ac:dyDescent="0.35">
      <c r="A401" s="10" t="s">
        <v>1680</v>
      </c>
      <c r="B401" s="10"/>
      <c r="C401" s="28" t="s">
        <v>1563</v>
      </c>
      <c r="D401" s="12"/>
      <c r="E401" s="12"/>
      <c r="F401" s="29" t="s">
        <v>490</v>
      </c>
      <c r="G401" s="30">
        <v>15</v>
      </c>
      <c r="H401" s="30"/>
      <c r="I401" s="30">
        <v>0</v>
      </c>
      <c r="J401" s="31">
        <v>0.95</v>
      </c>
      <c r="M401" s="32">
        <f t="shared" si="25"/>
        <v>0</v>
      </c>
      <c r="P401" s="31">
        <v>0.95</v>
      </c>
      <c r="S401" s="32">
        <f t="shared" si="26"/>
        <v>0</v>
      </c>
      <c r="V401" s="9">
        <f t="shared" si="27"/>
        <v>0.79</v>
      </c>
      <c r="Y401" s="9">
        <f t="shared" si="21"/>
        <v>0</v>
      </c>
      <c r="AD401" s="4" t="s">
        <v>1681</v>
      </c>
      <c r="AE401" s="4" t="s">
        <v>1682</v>
      </c>
      <c r="AF401" s="4" t="s">
        <v>1566</v>
      </c>
    </row>
    <row r="402" spans="1:35" ht="36" x14ac:dyDescent="0.35">
      <c r="A402" s="10" t="s">
        <v>1685</v>
      </c>
      <c r="B402" s="10" t="s">
        <v>1556</v>
      </c>
      <c r="C402" s="11" t="s">
        <v>1557</v>
      </c>
      <c r="D402" s="12"/>
      <c r="E402" s="12"/>
      <c r="F402" s="12" t="s">
        <v>63</v>
      </c>
      <c r="G402" s="13">
        <v>1</v>
      </c>
      <c r="H402" s="13"/>
      <c r="I402" s="13">
        <v>0</v>
      </c>
      <c r="J402" s="14">
        <v>442.24</v>
      </c>
      <c r="K402" s="15">
        <v>1379</v>
      </c>
      <c r="L402" s="14">
        <f>J402+ROUND(K402, 2)</f>
        <v>1821.24</v>
      </c>
      <c r="M402" s="14">
        <v>0</v>
      </c>
      <c r="N402" s="14">
        <v>0</v>
      </c>
      <c r="O402" s="14">
        <f>M402+N402</f>
        <v>0</v>
      </c>
      <c r="P402" s="14">
        <v>2038.59</v>
      </c>
      <c r="Q402" s="15">
        <v>1379</v>
      </c>
      <c r="R402" s="14">
        <f>P402+ROUND(Q402, 2)</f>
        <v>3417.59</v>
      </c>
      <c r="S402" s="14">
        <v>0</v>
      </c>
      <c r="T402" s="14">
        <v>0</v>
      </c>
      <c r="U402" s="14">
        <f>S402+T402</f>
        <v>0</v>
      </c>
      <c r="V402" s="9">
        <f>ROUND(P402 / 1.2, 2)</f>
        <v>1698.83</v>
      </c>
      <c r="W402" s="9">
        <f>ROUND(Q402 / 1.2, 2)</f>
        <v>1149.17</v>
      </c>
      <c r="X402" s="9">
        <f>ROUND(R402 / 1.2, 2)</f>
        <v>2847.99</v>
      </c>
      <c r="Y402" s="9">
        <f t="shared" si="21"/>
        <v>0</v>
      </c>
      <c r="Z402" s="9">
        <f>ROUND(T402 / 1.2, 2)</f>
        <v>0</v>
      </c>
      <c r="AA402" s="9">
        <f>Y402+Z402</f>
        <v>0</v>
      </c>
      <c r="AD402" s="4">
        <v>305117072</v>
      </c>
      <c r="AE402" s="4">
        <v>20958869</v>
      </c>
      <c r="AG402" s="4" t="s">
        <v>1558</v>
      </c>
      <c r="AH402" s="4" t="s">
        <v>1559</v>
      </c>
      <c r="AI402" s="4" t="s">
        <v>467</v>
      </c>
    </row>
    <row r="403" spans="1:35" ht="18" x14ac:dyDescent="0.35">
      <c r="A403" s="10" t="s">
        <v>1688</v>
      </c>
      <c r="B403" s="10"/>
      <c r="C403" s="28" t="s">
        <v>1563</v>
      </c>
      <c r="D403" s="12"/>
      <c r="E403" s="12"/>
      <c r="F403" s="29" t="s">
        <v>490</v>
      </c>
      <c r="G403" s="30">
        <v>15</v>
      </c>
      <c r="H403" s="30"/>
      <c r="I403" s="30">
        <v>0</v>
      </c>
      <c r="J403" s="31">
        <v>0.95</v>
      </c>
      <c r="M403" s="32">
        <f t="shared" ref="M403:M412" si="28">ROUND(ROUND(J403, 2)*I403, 2)</f>
        <v>0</v>
      </c>
      <c r="P403" s="31">
        <v>0.95</v>
      </c>
      <c r="S403" s="32">
        <f t="shared" ref="S403:S412" si="29">ROUND(ROUND(P403, 2)*I403, 2)</f>
        <v>0</v>
      </c>
      <c r="V403" s="9">
        <f t="shared" ref="V403:V412" si="30">ROUND(ROUND(P403, 2)/1.2, 2)</f>
        <v>0.79</v>
      </c>
      <c r="Y403" s="9">
        <f t="shared" si="21"/>
        <v>0</v>
      </c>
      <c r="AD403" s="4" t="s">
        <v>1689</v>
      </c>
      <c r="AE403" s="4" t="s">
        <v>1690</v>
      </c>
      <c r="AF403" s="4" t="s">
        <v>1566</v>
      </c>
    </row>
    <row r="404" spans="1:35" ht="18" x14ac:dyDescent="0.35">
      <c r="A404" s="10" t="s">
        <v>1693</v>
      </c>
      <c r="B404" s="10"/>
      <c r="C404" s="28" t="s">
        <v>1570</v>
      </c>
      <c r="D404" s="12"/>
      <c r="E404" s="12"/>
      <c r="F404" s="29" t="s">
        <v>498</v>
      </c>
      <c r="G404" s="30">
        <v>0.35</v>
      </c>
      <c r="H404" s="30"/>
      <c r="I404" s="30">
        <v>0</v>
      </c>
      <c r="J404" s="31">
        <v>55</v>
      </c>
      <c r="M404" s="32">
        <f t="shared" si="28"/>
        <v>0</v>
      </c>
      <c r="P404" s="31">
        <v>55</v>
      </c>
      <c r="S404" s="32">
        <f t="shared" si="29"/>
        <v>0</v>
      </c>
      <c r="V404" s="9">
        <f t="shared" si="30"/>
        <v>45.83</v>
      </c>
      <c r="Y404" s="9">
        <f t="shared" si="21"/>
        <v>0</v>
      </c>
      <c r="AD404" s="4" t="s">
        <v>1694</v>
      </c>
      <c r="AE404" s="4" t="s">
        <v>1695</v>
      </c>
      <c r="AF404" s="4" t="s">
        <v>1573</v>
      </c>
    </row>
    <row r="405" spans="1:35" ht="18" x14ac:dyDescent="0.35">
      <c r="A405" s="10" t="s">
        <v>1698</v>
      </c>
      <c r="B405" s="10"/>
      <c r="C405" s="28" t="s">
        <v>1577</v>
      </c>
      <c r="D405" s="12"/>
      <c r="E405" s="12"/>
      <c r="F405" s="29" t="s">
        <v>490</v>
      </c>
      <c r="G405" s="30">
        <v>0.3</v>
      </c>
      <c r="H405" s="30"/>
      <c r="I405" s="30">
        <v>0</v>
      </c>
      <c r="J405" s="31">
        <v>5.6</v>
      </c>
      <c r="M405" s="32">
        <f t="shared" si="28"/>
        <v>0</v>
      </c>
      <c r="P405" s="31">
        <v>5.6</v>
      </c>
      <c r="S405" s="32">
        <f t="shared" si="29"/>
        <v>0</v>
      </c>
      <c r="V405" s="9">
        <f t="shared" si="30"/>
        <v>4.67</v>
      </c>
      <c r="Y405" s="9">
        <f t="shared" si="21"/>
        <v>0</v>
      </c>
      <c r="AD405" s="4" t="s">
        <v>1699</v>
      </c>
      <c r="AE405" s="4" t="s">
        <v>1700</v>
      </c>
      <c r="AF405" s="4" t="s">
        <v>1580</v>
      </c>
    </row>
    <row r="406" spans="1:35" ht="36" x14ac:dyDescent="0.35">
      <c r="A406" s="10" t="s">
        <v>1703</v>
      </c>
      <c r="B406" s="10"/>
      <c r="C406" s="47" t="s">
        <v>1584</v>
      </c>
      <c r="D406" s="12"/>
      <c r="E406" s="12"/>
      <c r="F406" s="29" t="s">
        <v>490</v>
      </c>
      <c r="G406" s="30">
        <v>3.6</v>
      </c>
      <c r="H406" s="30"/>
      <c r="I406" s="30">
        <v>0</v>
      </c>
      <c r="J406" s="31">
        <v>15.9</v>
      </c>
      <c r="M406" s="32">
        <f t="shared" si="28"/>
        <v>0</v>
      </c>
      <c r="P406" s="31">
        <v>15.9</v>
      </c>
      <c r="S406" s="32">
        <f t="shared" si="29"/>
        <v>0</v>
      </c>
      <c r="V406" s="9">
        <f t="shared" si="30"/>
        <v>13.25</v>
      </c>
      <c r="Y406" s="9">
        <f t="shared" si="21"/>
        <v>0</v>
      </c>
      <c r="AD406" s="4" t="s">
        <v>1704</v>
      </c>
      <c r="AE406" s="4" t="s">
        <v>1705</v>
      </c>
      <c r="AF406" s="4" t="s">
        <v>1587</v>
      </c>
    </row>
    <row r="407" spans="1:35" ht="18" x14ac:dyDescent="0.35">
      <c r="A407" s="10" t="s">
        <v>1708</v>
      </c>
      <c r="B407" s="10"/>
      <c r="C407" s="28" t="s">
        <v>1591</v>
      </c>
      <c r="D407" s="12"/>
      <c r="E407" s="12"/>
      <c r="F407" s="29" t="s">
        <v>78</v>
      </c>
      <c r="G407" s="30">
        <v>1.2</v>
      </c>
      <c r="H407" s="30"/>
      <c r="I407" s="30">
        <v>0</v>
      </c>
      <c r="J407" s="31">
        <v>22.82</v>
      </c>
      <c r="M407" s="32">
        <f t="shared" si="28"/>
        <v>0</v>
      </c>
      <c r="P407" s="31">
        <v>22.82</v>
      </c>
      <c r="S407" s="32">
        <f t="shared" si="29"/>
        <v>0</v>
      </c>
      <c r="V407" s="9">
        <f t="shared" si="30"/>
        <v>19.02</v>
      </c>
      <c r="Y407" s="9">
        <f t="shared" si="21"/>
        <v>0</v>
      </c>
      <c r="AD407" s="4" t="s">
        <v>1709</v>
      </c>
      <c r="AE407" s="4" t="s">
        <v>1710</v>
      </c>
      <c r="AF407" s="4" t="s">
        <v>1594</v>
      </c>
    </row>
    <row r="408" spans="1:35" ht="18" x14ac:dyDescent="0.35">
      <c r="A408" s="10" t="s">
        <v>1713</v>
      </c>
      <c r="B408" s="10"/>
      <c r="C408" s="28" t="s">
        <v>1598</v>
      </c>
      <c r="D408" s="12"/>
      <c r="E408" s="12"/>
      <c r="F408" s="29" t="s">
        <v>78</v>
      </c>
      <c r="G408" s="30">
        <v>4.7</v>
      </c>
      <c r="H408" s="30"/>
      <c r="I408" s="30">
        <v>0</v>
      </c>
      <c r="J408" s="31">
        <v>66.98</v>
      </c>
      <c r="M408" s="32">
        <f t="shared" si="28"/>
        <v>0</v>
      </c>
      <c r="P408" s="31">
        <v>66.98</v>
      </c>
      <c r="S408" s="32">
        <f t="shared" si="29"/>
        <v>0</v>
      </c>
      <c r="V408" s="9">
        <f t="shared" si="30"/>
        <v>55.82</v>
      </c>
      <c r="Y408" s="9">
        <f t="shared" si="21"/>
        <v>0</v>
      </c>
      <c r="AD408" s="4" t="s">
        <v>1714</v>
      </c>
      <c r="AE408" s="4" t="s">
        <v>1715</v>
      </c>
      <c r="AF408" s="4" t="s">
        <v>1601</v>
      </c>
    </row>
    <row r="409" spans="1:35" ht="18" x14ac:dyDescent="0.35">
      <c r="A409" s="10" t="s">
        <v>1718</v>
      </c>
      <c r="B409" s="10"/>
      <c r="C409" s="28" t="s">
        <v>1719</v>
      </c>
      <c r="D409" s="12"/>
      <c r="E409" s="12"/>
      <c r="F409" s="29" t="s">
        <v>63</v>
      </c>
      <c r="G409" s="30">
        <v>1.05</v>
      </c>
      <c r="H409" s="30"/>
      <c r="I409" s="30">
        <v>0</v>
      </c>
      <c r="J409" s="31">
        <v>0</v>
      </c>
      <c r="M409" s="32">
        <f t="shared" si="28"/>
        <v>0</v>
      </c>
      <c r="P409" s="31">
        <v>1520.33</v>
      </c>
      <c r="S409" s="32">
        <f t="shared" si="29"/>
        <v>0</v>
      </c>
      <c r="V409" s="9">
        <f t="shared" si="30"/>
        <v>1266.94</v>
      </c>
      <c r="Y409" s="9">
        <f t="shared" si="21"/>
        <v>0</v>
      </c>
      <c r="AD409" s="4" t="s">
        <v>1720</v>
      </c>
      <c r="AE409" s="4" t="s">
        <v>1721</v>
      </c>
      <c r="AF409" s="4" t="s">
        <v>1722</v>
      </c>
    </row>
    <row r="410" spans="1:35" ht="18" x14ac:dyDescent="0.35">
      <c r="A410" s="10" t="s">
        <v>1725</v>
      </c>
      <c r="B410" s="10"/>
      <c r="C410" s="28" t="s">
        <v>1605</v>
      </c>
      <c r="D410" s="12"/>
      <c r="E410" s="12"/>
      <c r="F410" s="29" t="s">
        <v>78</v>
      </c>
      <c r="G410" s="30">
        <v>1.05</v>
      </c>
      <c r="H410" s="30"/>
      <c r="I410" s="30">
        <v>0</v>
      </c>
      <c r="J410" s="31">
        <v>4.5999999999999996</v>
      </c>
      <c r="M410" s="32">
        <f t="shared" si="28"/>
        <v>0</v>
      </c>
      <c r="P410" s="31">
        <v>4.5999999999999996</v>
      </c>
      <c r="S410" s="32">
        <f t="shared" si="29"/>
        <v>0</v>
      </c>
      <c r="V410" s="9">
        <f t="shared" si="30"/>
        <v>3.83</v>
      </c>
      <c r="Y410" s="9">
        <f t="shared" si="21"/>
        <v>0</v>
      </c>
      <c r="AD410" s="4" t="s">
        <v>1726</v>
      </c>
      <c r="AE410" s="4" t="s">
        <v>1727</v>
      </c>
      <c r="AF410" s="4" t="s">
        <v>1608</v>
      </c>
    </row>
    <row r="411" spans="1:35" ht="18" x14ac:dyDescent="0.35">
      <c r="A411" s="10" t="s">
        <v>1730</v>
      </c>
      <c r="B411" s="10"/>
      <c r="C411" s="28" t="s">
        <v>1612</v>
      </c>
      <c r="D411" s="12"/>
      <c r="E411" s="12"/>
      <c r="F411" s="29" t="s">
        <v>78</v>
      </c>
      <c r="G411" s="30">
        <v>0.25</v>
      </c>
      <c r="H411" s="30"/>
      <c r="I411" s="30">
        <v>0</v>
      </c>
      <c r="J411" s="31">
        <v>2.8</v>
      </c>
      <c r="M411" s="32">
        <f t="shared" si="28"/>
        <v>0</v>
      </c>
      <c r="P411" s="31">
        <v>2.8</v>
      </c>
      <c r="S411" s="32">
        <f t="shared" si="29"/>
        <v>0</v>
      </c>
      <c r="V411" s="9">
        <f t="shared" si="30"/>
        <v>2.33</v>
      </c>
      <c r="Y411" s="9">
        <f t="shared" si="21"/>
        <v>0</v>
      </c>
      <c r="AD411" s="4" t="s">
        <v>1731</v>
      </c>
      <c r="AE411" s="4" t="s">
        <v>1732</v>
      </c>
      <c r="AF411" s="4" t="s">
        <v>1615</v>
      </c>
    </row>
    <row r="412" spans="1:35" ht="18" x14ac:dyDescent="0.35">
      <c r="A412" s="10" t="s">
        <v>1735</v>
      </c>
      <c r="B412" s="10"/>
      <c r="C412" s="28" t="s">
        <v>1626</v>
      </c>
      <c r="D412" s="12"/>
      <c r="E412" s="12"/>
      <c r="F412" s="29" t="s">
        <v>490</v>
      </c>
      <c r="G412" s="30">
        <v>0.75</v>
      </c>
      <c r="H412" s="30"/>
      <c r="I412" s="30">
        <v>0</v>
      </c>
      <c r="J412" s="31">
        <v>2.8</v>
      </c>
      <c r="M412" s="32">
        <f t="shared" si="28"/>
        <v>0</v>
      </c>
      <c r="P412" s="31">
        <v>2.8</v>
      </c>
      <c r="S412" s="32">
        <f t="shared" si="29"/>
        <v>0</v>
      </c>
      <c r="V412" s="9">
        <f t="shared" si="30"/>
        <v>2.33</v>
      </c>
      <c r="Y412" s="9">
        <f t="shared" ref="Y412:Y448" si="31">ROUND(S412 / 1.2, 2)</f>
        <v>0</v>
      </c>
      <c r="AD412" s="4" t="s">
        <v>1736</v>
      </c>
      <c r="AE412" s="4" t="s">
        <v>1737</v>
      </c>
      <c r="AF412" s="4" t="s">
        <v>1629</v>
      </c>
    </row>
    <row r="413" spans="1:35" ht="90" x14ac:dyDescent="0.35">
      <c r="A413" s="10" t="s">
        <v>1740</v>
      </c>
      <c r="B413" s="10" t="s">
        <v>1556</v>
      </c>
      <c r="C413" s="11" t="s">
        <v>1557</v>
      </c>
      <c r="D413" s="12"/>
      <c r="E413" s="12" t="s">
        <v>1561</v>
      </c>
      <c r="F413" s="12" t="s">
        <v>63</v>
      </c>
      <c r="G413" s="13">
        <v>1</v>
      </c>
      <c r="H413" s="13"/>
      <c r="I413" s="13">
        <v>0</v>
      </c>
      <c r="J413" s="14">
        <f>IFERROR(ROUND(SUM(M414,M415,M416,M417,M418,M419,M420,M421,M422,M423)/I413, 2),0)</f>
        <v>0</v>
      </c>
      <c r="K413" s="15">
        <v>1379</v>
      </c>
      <c r="L413" s="14">
        <f>J413+ROUND(K413, 2)</f>
        <v>1379</v>
      </c>
      <c r="M413" s="14">
        <f>ROUND(J413*I413, 2)</f>
        <v>0</v>
      </c>
      <c r="N413" s="14">
        <f>ROUND(I413*ROUND(K413, 2), 2)</f>
        <v>0</v>
      </c>
      <c r="O413" s="14">
        <f>M413+N413</f>
        <v>0</v>
      </c>
      <c r="P413" s="14">
        <f>IFERROR(ROUND(SUM(S414,S415,S416,S417,S418,S419,S420,S421,S422,S423)/I413, 2),0)</f>
        <v>0</v>
      </c>
      <c r="Q413" s="16">
        <v>2068.5</v>
      </c>
      <c r="R413" s="14">
        <f>P413+ROUND(Q413, 2)</f>
        <v>2068.5</v>
      </c>
      <c r="S413" s="14">
        <f>ROUND(P413*I413, 2)</f>
        <v>0</v>
      </c>
      <c r="T413" s="14">
        <f>ROUND(I413*ROUND(Q413, 2), 2)</f>
        <v>0</v>
      </c>
      <c r="U413" s="14">
        <f>S413+T413</f>
        <v>0</v>
      </c>
      <c r="V413" s="9">
        <f>ROUND(P413 / 1.2, 2)</f>
        <v>0</v>
      </c>
      <c r="W413" s="9">
        <f>ROUND(Q413 / 1.2, 2)</f>
        <v>1723.75</v>
      </c>
      <c r="X413" s="9">
        <f>ROUND(R413 / 1.2, 2)</f>
        <v>1723.75</v>
      </c>
      <c r="Y413" s="9">
        <f t="shared" si="31"/>
        <v>0</v>
      </c>
      <c r="Z413" s="9">
        <f>ROUND(T413 / 1.2, 2)</f>
        <v>0</v>
      </c>
      <c r="AA413" s="9">
        <f>Y413+Z413</f>
        <v>0</v>
      </c>
      <c r="AD413" s="4">
        <v>305117073</v>
      </c>
      <c r="AE413" s="4">
        <v>22135695</v>
      </c>
      <c r="AG413" s="4" t="s">
        <v>1558</v>
      </c>
      <c r="AH413" s="4" t="s">
        <v>1559</v>
      </c>
      <c r="AI413" s="4" t="s">
        <v>467</v>
      </c>
    </row>
    <row r="414" spans="1:35" ht="18" x14ac:dyDescent="0.35">
      <c r="A414" s="10" t="s">
        <v>1741</v>
      </c>
      <c r="B414" s="10"/>
      <c r="C414" s="28" t="s">
        <v>1626</v>
      </c>
      <c r="D414" s="12"/>
      <c r="E414" s="12"/>
      <c r="F414" s="29" t="s">
        <v>490</v>
      </c>
      <c r="G414" s="30">
        <v>0.75</v>
      </c>
      <c r="H414" s="30"/>
      <c r="I414" s="30">
        <v>0</v>
      </c>
      <c r="J414" s="31">
        <v>2.8</v>
      </c>
      <c r="M414" s="32">
        <f t="shared" ref="M414:M423" si="32">ROUND(ROUND(J414, 2)*I414, 2)</f>
        <v>0</v>
      </c>
      <c r="P414" s="33">
        <v>2.8</v>
      </c>
      <c r="S414" s="32">
        <f t="shared" ref="S414:S423" si="33">ROUND(ROUND(P414, 2)*I414, 2)</f>
        <v>0</v>
      </c>
      <c r="V414" s="9">
        <f t="shared" ref="V414:V423" si="34">ROUND(ROUND(P414, 2)/1.2, 2)</f>
        <v>2.33</v>
      </c>
      <c r="Y414" s="9">
        <f t="shared" si="31"/>
        <v>0</v>
      </c>
      <c r="AD414" s="4" t="s">
        <v>1742</v>
      </c>
      <c r="AE414" s="4" t="s">
        <v>1743</v>
      </c>
      <c r="AF414" s="4" t="s">
        <v>1629</v>
      </c>
    </row>
    <row r="415" spans="1:35" ht="36" x14ac:dyDescent="0.35">
      <c r="A415" s="10" t="s">
        <v>1744</v>
      </c>
      <c r="B415" s="10"/>
      <c r="C415" s="28" t="s">
        <v>1619</v>
      </c>
      <c r="D415" s="12"/>
      <c r="E415" s="12"/>
      <c r="F415" s="29" t="s">
        <v>63</v>
      </c>
      <c r="G415" s="30">
        <v>1.05</v>
      </c>
      <c r="H415" s="30"/>
      <c r="I415" s="30">
        <v>0</v>
      </c>
      <c r="J415" s="31">
        <v>135.53</v>
      </c>
      <c r="M415" s="32">
        <f t="shared" si="32"/>
        <v>0</v>
      </c>
      <c r="P415" s="33">
        <v>135.53</v>
      </c>
      <c r="S415" s="32">
        <f t="shared" si="33"/>
        <v>0</v>
      </c>
      <c r="V415" s="9">
        <f t="shared" si="34"/>
        <v>112.94</v>
      </c>
      <c r="Y415" s="9">
        <f t="shared" si="31"/>
        <v>0</v>
      </c>
      <c r="AD415" s="4" t="s">
        <v>1745</v>
      </c>
      <c r="AE415" s="4" t="s">
        <v>1746</v>
      </c>
      <c r="AF415" s="4" t="s">
        <v>1622</v>
      </c>
    </row>
    <row r="416" spans="1:35" ht="18" x14ac:dyDescent="0.35">
      <c r="A416" s="10" t="s">
        <v>1747</v>
      </c>
      <c r="B416" s="10"/>
      <c r="C416" s="28" t="s">
        <v>1612</v>
      </c>
      <c r="D416" s="12"/>
      <c r="E416" s="12"/>
      <c r="F416" s="29" t="s">
        <v>78</v>
      </c>
      <c r="G416" s="30">
        <v>0.25</v>
      </c>
      <c r="H416" s="30"/>
      <c r="I416" s="30">
        <v>0</v>
      </c>
      <c r="J416" s="31">
        <v>2.8</v>
      </c>
      <c r="M416" s="32">
        <f t="shared" si="32"/>
        <v>0</v>
      </c>
      <c r="P416" s="33">
        <v>2.8</v>
      </c>
      <c r="S416" s="32">
        <f t="shared" si="33"/>
        <v>0</v>
      </c>
      <c r="V416" s="9">
        <f t="shared" si="34"/>
        <v>2.33</v>
      </c>
      <c r="Y416" s="9">
        <f t="shared" si="31"/>
        <v>0</v>
      </c>
      <c r="AD416" s="4" t="s">
        <v>1748</v>
      </c>
      <c r="AE416" s="4" t="s">
        <v>1749</v>
      </c>
      <c r="AF416" s="4" t="s">
        <v>1615</v>
      </c>
    </row>
    <row r="417" spans="1:35" ht="18" x14ac:dyDescent="0.35">
      <c r="A417" s="10" t="s">
        <v>1750</v>
      </c>
      <c r="B417" s="10"/>
      <c r="C417" s="28" t="s">
        <v>1605</v>
      </c>
      <c r="D417" s="12"/>
      <c r="E417" s="12"/>
      <c r="F417" s="29" t="s">
        <v>78</v>
      </c>
      <c r="G417" s="30">
        <v>1.05</v>
      </c>
      <c r="H417" s="30"/>
      <c r="I417" s="30">
        <v>0</v>
      </c>
      <c r="J417" s="31">
        <v>4.5999999999999996</v>
      </c>
      <c r="M417" s="32">
        <f t="shared" si="32"/>
        <v>0</v>
      </c>
      <c r="P417" s="33">
        <v>4.5999999999999996</v>
      </c>
      <c r="S417" s="32">
        <f t="shared" si="33"/>
        <v>0</v>
      </c>
      <c r="V417" s="9">
        <f t="shared" si="34"/>
        <v>3.83</v>
      </c>
      <c r="Y417" s="9">
        <f t="shared" si="31"/>
        <v>0</v>
      </c>
      <c r="AD417" s="4" t="s">
        <v>1751</v>
      </c>
      <c r="AE417" s="4" t="s">
        <v>1752</v>
      </c>
      <c r="AF417" s="4" t="s">
        <v>1608</v>
      </c>
    </row>
    <row r="418" spans="1:35" ht="18" x14ac:dyDescent="0.35">
      <c r="A418" s="10" t="s">
        <v>1753</v>
      </c>
      <c r="B418" s="10"/>
      <c r="C418" s="28" t="s">
        <v>1591</v>
      </c>
      <c r="D418" s="12"/>
      <c r="E418" s="12"/>
      <c r="F418" s="29" t="s">
        <v>78</v>
      </c>
      <c r="G418" s="30">
        <v>1.2</v>
      </c>
      <c r="H418" s="30"/>
      <c r="I418" s="30">
        <v>0</v>
      </c>
      <c r="J418" s="31">
        <v>22.82</v>
      </c>
      <c r="M418" s="32">
        <f t="shared" si="32"/>
        <v>0</v>
      </c>
      <c r="P418" s="33">
        <v>22.82</v>
      </c>
      <c r="S418" s="32">
        <f t="shared" si="33"/>
        <v>0</v>
      </c>
      <c r="V418" s="9">
        <f t="shared" si="34"/>
        <v>19.02</v>
      </c>
      <c r="Y418" s="9">
        <f t="shared" si="31"/>
        <v>0</v>
      </c>
      <c r="AD418" s="4" t="s">
        <v>1754</v>
      </c>
      <c r="AE418" s="4" t="s">
        <v>1755</v>
      </c>
      <c r="AF418" s="4" t="s">
        <v>1594</v>
      </c>
    </row>
    <row r="419" spans="1:35" ht="18" x14ac:dyDescent="0.35">
      <c r="A419" s="10" t="s">
        <v>1756</v>
      </c>
      <c r="B419" s="10"/>
      <c r="C419" s="28" t="s">
        <v>1598</v>
      </c>
      <c r="D419" s="12"/>
      <c r="E419" s="12"/>
      <c r="F419" s="29" t="s">
        <v>78</v>
      </c>
      <c r="G419" s="30">
        <v>4.7</v>
      </c>
      <c r="H419" s="30"/>
      <c r="I419" s="30">
        <v>0</v>
      </c>
      <c r="J419" s="31">
        <v>66.98</v>
      </c>
      <c r="M419" s="32">
        <f t="shared" si="32"/>
        <v>0</v>
      </c>
      <c r="P419" s="33">
        <v>66.98</v>
      </c>
      <c r="S419" s="32">
        <f t="shared" si="33"/>
        <v>0</v>
      </c>
      <c r="V419" s="9">
        <f t="shared" si="34"/>
        <v>55.82</v>
      </c>
      <c r="Y419" s="9">
        <f t="shared" si="31"/>
        <v>0</v>
      </c>
      <c r="AD419" s="4" t="s">
        <v>1757</v>
      </c>
      <c r="AE419" s="4" t="s">
        <v>1758</v>
      </c>
      <c r="AF419" s="4" t="s">
        <v>1601</v>
      </c>
    </row>
    <row r="420" spans="1:35" ht="36" x14ac:dyDescent="0.35">
      <c r="A420" s="10" t="s">
        <v>1759</v>
      </c>
      <c r="B420" s="10"/>
      <c r="C420" s="47" t="s">
        <v>1584</v>
      </c>
      <c r="D420" s="12"/>
      <c r="E420" s="12"/>
      <c r="F420" s="29" t="s">
        <v>490</v>
      </c>
      <c r="G420" s="30">
        <v>3.6</v>
      </c>
      <c r="H420" s="30"/>
      <c r="I420" s="30">
        <v>0</v>
      </c>
      <c r="J420" s="31">
        <v>15.9</v>
      </c>
      <c r="M420" s="32">
        <f t="shared" si="32"/>
        <v>0</v>
      </c>
      <c r="P420" s="33">
        <v>15.9</v>
      </c>
      <c r="S420" s="32">
        <f t="shared" si="33"/>
        <v>0</v>
      </c>
      <c r="V420" s="9">
        <f t="shared" si="34"/>
        <v>13.25</v>
      </c>
      <c r="Y420" s="9">
        <f t="shared" si="31"/>
        <v>0</v>
      </c>
      <c r="AD420" s="4" t="s">
        <v>1760</v>
      </c>
      <c r="AE420" s="4" t="s">
        <v>1761</v>
      </c>
      <c r="AF420" s="4" t="s">
        <v>1587</v>
      </c>
    </row>
    <row r="421" spans="1:35" ht="18" x14ac:dyDescent="0.35">
      <c r="A421" s="10" t="s">
        <v>1762</v>
      </c>
      <c r="B421" s="10"/>
      <c r="C421" s="28" t="s">
        <v>1577</v>
      </c>
      <c r="D421" s="12"/>
      <c r="E421" s="12"/>
      <c r="F421" s="29" t="s">
        <v>490</v>
      </c>
      <c r="G421" s="30">
        <v>0.3</v>
      </c>
      <c r="H421" s="30"/>
      <c r="I421" s="30">
        <v>0</v>
      </c>
      <c r="J421" s="31">
        <v>5.6</v>
      </c>
      <c r="M421" s="32">
        <f t="shared" si="32"/>
        <v>0</v>
      </c>
      <c r="P421" s="33">
        <v>5.6</v>
      </c>
      <c r="S421" s="32">
        <f t="shared" si="33"/>
        <v>0</v>
      </c>
      <c r="V421" s="9">
        <f t="shared" si="34"/>
        <v>4.67</v>
      </c>
      <c r="Y421" s="9">
        <f t="shared" si="31"/>
        <v>0</v>
      </c>
      <c r="AD421" s="4" t="s">
        <v>1763</v>
      </c>
      <c r="AE421" s="4" t="s">
        <v>1764</v>
      </c>
      <c r="AF421" s="4" t="s">
        <v>1580</v>
      </c>
    </row>
    <row r="422" spans="1:35" ht="18" x14ac:dyDescent="0.35">
      <c r="A422" s="10" t="s">
        <v>1765</v>
      </c>
      <c r="B422" s="10"/>
      <c r="C422" s="28" t="s">
        <v>1570</v>
      </c>
      <c r="D422" s="12"/>
      <c r="E422" s="12"/>
      <c r="F422" s="29" t="s">
        <v>498</v>
      </c>
      <c r="G422" s="30">
        <v>0.35</v>
      </c>
      <c r="H422" s="30"/>
      <c r="I422" s="30">
        <v>0</v>
      </c>
      <c r="J422" s="31">
        <v>55</v>
      </c>
      <c r="M422" s="32">
        <f t="shared" si="32"/>
        <v>0</v>
      </c>
      <c r="P422" s="33">
        <v>55</v>
      </c>
      <c r="S422" s="32">
        <f t="shared" si="33"/>
        <v>0</v>
      </c>
      <c r="V422" s="9">
        <f t="shared" si="34"/>
        <v>45.83</v>
      </c>
      <c r="Y422" s="9">
        <f t="shared" si="31"/>
        <v>0</v>
      </c>
      <c r="AD422" s="4" t="s">
        <v>1766</v>
      </c>
      <c r="AE422" s="4" t="s">
        <v>1767</v>
      </c>
      <c r="AF422" s="4" t="s">
        <v>1573</v>
      </c>
    </row>
    <row r="423" spans="1:35" ht="18" x14ac:dyDescent="0.35">
      <c r="A423" s="10" t="s">
        <v>1768</v>
      </c>
      <c r="B423" s="10"/>
      <c r="C423" s="28" t="s">
        <v>1563</v>
      </c>
      <c r="D423" s="12"/>
      <c r="E423" s="12"/>
      <c r="F423" s="29" t="s">
        <v>490</v>
      </c>
      <c r="G423" s="30">
        <v>15</v>
      </c>
      <c r="H423" s="30"/>
      <c r="I423" s="30">
        <v>0</v>
      </c>
      <c r="J423" s="31">
        <v>0.95</v>
      </c>
      <c r="M423" s="32">
        <f t="shared" si="32"/>
        <v>0</v>
      </c>
      <c r="P423" s="33">
        <v>0.95</v>
      </c>
      <c r="S423" s="32">
        <f t="shared" si="33"/>
        <v>0</v>
      </c>
      <c r="V423" s="9">
        <f t="shared" si="34"/>
        <v>0.79</v>
      </c>
      <c r="Y423" s="9">
        <f t="shared" si="31"/>
        <v>0</v>
      </c>
      <c r="AD423" s="4" t="s">
        <v>1769</v>
      </c>
      <c r="AE423" s="4" t="s">
        <v>1770</v>
      </c>
      <c r="AF423" s="4" t="s">
        <v>1566</v>
      </c>
    </row>
    <row r="424" spans="1:35" ht="72" x14ac:dyDescent="0.35">
      <c r="A424" s="10" t="s">
        <v>1771</v>
      </c>
      <c r="B424" s="10" t="s">
        <v>1556</v>
      </c>
      <c r="C424" s="11" t="s">
        <v>1557</v>
      </c>
      <c r="D424" s="12"/>
      <c r="E424" s="12" t="s">
        <v>1634</v>
      </c>
      <c r="F424" s="12" t="s">
        <v>63</v>
      </c>
      <c r="G424" s="13">
        <v>1</v>
      </c>
      <c r="H424" s="13"/>
      <c r="I424" s="13">
        <v>0</v>
      </c>
      <c r="J424" s="14">
        <f>IFERROR(ROUND(SUM(M425,M426,M427,M428,M429,M430,M431,M432,M433,M434)/I424, 2),0)</f>
        <v>0</v>
      </c>
      <c r="K424" s="15">
        <v>1379</v>
      </c>
      <c r="L424" s="14">
        <f>J424+ROUND(K424, 2)</f>
        <v>1379</v>
      </c>
      <c r="M424" s="14">
        <f>ROUND(J424*I424, 2)</f>
        <v>0</v>
      </c>
      <c r="N424" s="14">
        <f>ROUND(I424*ROUND(K424, 2), 2)</f>
        <v>0</v>
      </c>
      <c r="O424" s="14">
        <f>M424+N424</f>
        <v>0</v>
      </c>
      <c r="P424" s="14">
        <f>IFERROR(ROUND(SUM(S425,S426,S427,S428,S429,S430,S431,S432,S433,S434)/I424, 2),0)</f>
        <v>0</v>
      </c>
      <c r="Q424" s="16">
        <v>2068.5</v>
      </c>
      <c r="R424" s="14">
        <f>P424+ROUND(Q424, 2)</f>
        <v>2068.5</v>
      </c>
      <c r="S424" s="14">
        <f>ROUND(P424*I424, 2)</f>
        <v>0</v>
      </c>
      <c r="T424" s="14">
        <f>ROUND(I424*ROUND(Q424, 2), 2)</f>
        <v>0</v>
      </c>
      <c r="U424" s="14">
        <f>S424+T424</f>
        <v>0</v>
      </c>
      <c r="V424" s="9">
        <f>ROUND(P424 / 1.2, 2)</f>
        <v>0</v>
      </c>
      <c r="W424" s="9">
        <f>ROUND(Q424 / 1.2, 2)</f>
        <v>1723.75</v>
      </c>
      <c r="X424" s="9">
        <f>ROUND(R424 / 1.2, 2)</f>
        <v>1723.75</v>
      </c>
      <c r="Y424" s="9">
        <f t="shared" si="31"/>
        <v>0</v>
      </c>
      <c r="Z424" s="9">
        <f>ROUND(T424 / 1.2, 2)</f>
        <v>0</v>
      </c>
      <c r="AA424" s="9">
        <f>Y424+Z424</f>
        <v>0</v>
      </c>
      <c r="AD424" s="4">
        <v>305117074</v>
      </c>
      <c r="AE424" s="4">
        <v>22135684</v>
      </c>
      <c r="AG424" s="4" t="s">
        <v>1558</v>
      </c>
      <c r="AH424" s="4" t="s">
        <v>1559</v>
      </c>
      <c r="AI424" s="4" t="s">
        <v>467</v>
      </c>
    </row>
    <row r="425" spans="1:35" ht="18" x14ac:dyDescent="0.35">
      <c r="A425" s="10" t="s">
        <v>1772</v>
      </c>
      <c r="B425" s="10"/>
      <c r="C425" s="28" t="s">
        <v>1563</v>
      </c>
      <c r="D425" s="12"/>
      <c r="E425" s="12"/>
      <c r="F425" s="29" t="s">
        <v>490</v>
      </c>
      <c r="G425" s="30">
        <v>15</v>
      </c>
      <c r="H425" s="30"/>
      <c r="I425" s="30">
        <v>0</v>
      </c>
      <c r="J425" s="31">
        <v>0.95</v>
      </c>
      <c r="M425" s="32">
        <f t="shared" ref="M425:M434" si="35">ROUND(ROUND(J425, 2)*I425, 2)</f>
        <v>0</v>
      </c>
      <c r="P425" s="33">
        <v>0.95</v>
      </c>
      <c r="S425" s="32">
        <f t="shared" ref="S425:S434" si="36">ROUND(ROUND(P425, 2)*I425, 2)</f>
        <v>0</v>
      </c>
      <c r="V425" s="9">
        <f t="shared" ref="V425:V434" si="37">ROUND(ROUND(P425, 2)/1.2, 2)</f>
        <v>0.79</v>
      </c>
      <c r="Y425" s="9">
        <f t="shared" si="31"/>
        <v>0</v>
      </c>
      <c r="AD425" s="4" t="s">
        <v>1773</v>
      </c>
      <c r="AE425" s="4" t="s">
        <v>1774</v>
      </c>
      <c r="AF425" s="4" t="s">
        <v>1566</v>
      </c>
    </row>
    <row r="426" spans="1:35" ht="18" x14ac:dyDescent="0.35">
      <c r="A426" s="10" t="s">
        <v>1775</v>
      </c>
      <c r="B426" s="10"/>
      <c r="C426" s="28" t="s">
        <v>1570</v>
      </c>
      <c r="D426" s="12"/>
      <c r="E426" s="12"/>
      <c r="F426" s="29" t="s">
        <v>498</v>
      </c>
      <c r="G426" s="30">
        <v>0.35</v>
      </c>
      <c r="H426" s="30"/>
      <c r="I426" s="30">
        <v>0</v>
      </c>
      <c r="J426" s="31">
        <v>55</v>
      </c>
      <c r="M426" s="32">
        <f t="shared" si="35"/>
        <v>0</v>
      </c>
      <c r="P426" s="33">
        <v>55</v>
      </c>
      <c r="S426" s="32">
        <f t="shared" si="36"/>
        <v>0</v>
      </c>
      <c r="V426" s="9">
        <f t="shared" si="37"/>
        <v>45.83</v>
      </c>
      <c r="Y426" s="9">
        <f t="shared" si="31"/>
        <v>0</v>
      </c>
      <c r="AD426" s="4" t="s">
        <v>1776</v>
      </c>
      <c r="AE426" s="4" t="s">
        <v>1777</v>
      </c>
      <c r="AF426" s="4" t="s">
        <v>1573</v>
      </c>
    </row>
    <row r="427" spans="1:35" ht="18" x14ac:dyDescent="0.35">
      <c r="A427" s="10" t="s">
        <v>1778</v>
      </c>
      <c r="B427" s="10"/>
      <c r="C427" s="28" t="s">
        <v>1577</v>
      </c>
      <c r="D427" s="12"/>
      <c r="E427" s="12"/>
      <c r="F427" s="29" t="s">
        <v>490</v>
      </c>
      <c r="G427" s="30">
        <v>0.3</v>
      </c>
      <c r="H427" s="30"/>
      <c r="I427" s="30">
        <v>0</v>
      </c>
      <c r="J427" s="31">
        <v>5.6</v>
      </c>
      <c r="M427" s="32">
        <f t="shared" si="35"/>
        <v>0</v>
      </c>
      <c r="P427" s="33">
        <v>5.6</v>
      </c>
      <c r="S427" s="32">
        <f t="shared" si="36"/>
        <v>0</v>
      </c>
      <c r="V427" s="9">
        <f t="shared" si="37"/>
        <v>4.67</v>
      </c>
      <c r="Y427" s="9">
        <f t="shared" si="31"/>
        <v>0</v>
      </c>
      <c r="AD427" s="4" t="s">
        <v>1779</v>
      </c>
      <c r="AE427" s="4" t="s">
        <v>1780</v>
      </c>
      <c r="AF427" s="4" t="s">
        <v>1580</v>
      </c>
    </row>
    <row r="428" spans="1:35" ht="36" x14ac:dyDescent="0.35">
      <c r="A428" s="10" t="s">
        <v>1781</v>
      </c>
      <c r="B428" s="10"/>
      <c r="C428" s="47" t="s">
        <v>1584</v>
      </c>
      <c r="D428" s="12"/>
      <c r="E428" s="12"/>
      <c r="F428" s="29" t="s">
        <v>490</v>
      </c>
      <c r="G428" s="30">
        <v>3.6</v>
      </c>
      <c r="H428" s="30"/>
      <c r="I428" s="30">
        <v>0</v>
      </c>
      <c r="J428" s="31">
        <v>15.9</v>
      </c>
      <c r="M428" s="32">
        <f t="shared" si="35"/>
        <v>0</v>
      </c>
      <c r="P428" s="33">
        <v>15.9</v>
      </c>
      <c r="S428" s="32">
        <f t="shared" si="36"/>
        <v>0</v>
      </c>
      <c r="V428" s="9">
        <f t="shared" si="37"/>
        <v>13.25</v>
      </c>
      <c r="Y428" s="9">
        <f t="shared" si="31"/>
        <v>0</v>
      </c>
      <c r="AD428" s="4" t="s">
        <v>1782</v>
      </c>
      <c r="AE428" s="4" t="s">
        <v>1783</v>
      </c>
      <c r="AF428" s="4" t="s">
        <v>1587</v>
      </c>
    </row>
    <row r="429" spans="1:35" ht="18" x14ac:dyDescent="0.35">
      <c r="A429" s="10" t="s">
        <v>1784</v>
      </c>
      <c r="B429" s="10"/>
      <c r="C429" s="28" t="s">
        <v>1591</v>
      </c>
      <c r="D429" s="12"/>
      <c r="E429" s="12"/>
      <c r="F429" s="29" t="s">
        <v>78</v>
      </c>
      <c r="G429" s="30">
        <v>1.2</v>
      </c>
      <c r="H429" s="30"/>
      <c r="I429" s="30">
        <v>0</v>
      </c>
      <c r="J429" s="31">
        <v>22.82</v>
      </c>
      <c r="M429" s="32">
        <f t="shared" si="35"/>
        <v>0</v>
      </c>
      <c r="P429" s="33">
        <v>22.82</v>
      </c>
      <c r="S429" s="32">
        <f t="shared" si="36"/>
        <v>0</v>
      </c>
      <c r="V429" s="9">
        <f t="shared" si="37"/>
        <v>19.02</v>
      </c>
      <c r="Y429" s="9">
        <f t="shared" si="31"/>
        <v>0</v>
      </c>
      <c r="AD429" s="4" t="s">
        <v>1785</v>
      </c>
      <c r="AE429" s="4" t="s">
        <v>1786</v>
      </c>
      <c r="AF429" s="4" t="s">
        <v>1594</v>
      </c>
    </row>
    <row r="430" spans="1:35" ht="18" x14ac:dyDescent="0.35">
      <c r="A430" s="10" t="s">
        <v>1787</v>
      </c>
      <c r="B430" s="10"/>
      <c r="C430" s="28" t="s">
        <v>1598</v>
      </c>
      <c r="D430" s="12"/>
      <c r="E430" s="12"/>
      <c r="F430" s="29" t="s">
        <v>78</v>
      </c>
      <c r="G430" s="30">
        <v>4.7</v>
      </c>
      <c r="H430" s="30"/>
      <c r="I430" s="30">
        <v>0</v>
      </c>
      <c r="J430" s="31">
        <v>66.98</v>
      </c>
      <c r="M430" s="32">
        <f t="shared" si="35"/>
        <v>0</v>
      </c>
      <c r="P430" s="33">
        <v>66.98</v>
      </c>
      <c r="S430" s="32">
        <f t="shared" si="36"/>
        <v>0</v>
      </c>
      <c r="V430" s="9">
        <f t="shared" si="37"/>
        <v>55.82</v>
      </c>
      <c r="Y430" s="9">
        <f t="shared" si="31"/>
        <v>0</v>
      </c>
      <c r="AD430" s="4" t="s">
        <v>1788</v>
      </c>
      <c r="AE430" s="4" t="s">
        <v>1789</v>
      </c>
      <c r="AF430" s="4" t="s">
        <v>1601</v>
      </c>
    </row>
    <row r="431" spans="1:35" ht="18" x14ac:dyDescent="0.35">
      <c r="A431" s="10" t="s">
        <v>1790</v>
      </c>
      <c r="B431" s="10"/>
      <c r="C431" s="28" t="s">
        <v>1605</v>
      </c>
      <c r="D431" s="12"/>
      <c r="E431" s="12"/>
      <c r="F431" s="29" t="s">
        <v>78</v>
      </c>
      <c r="G431" s="30">
        <v>1.05</v>
      </c>
      <c r="H431" s="30"/>
      <c r="I431" s="30">
        <v>0</v>
      </c>
      <c r="J431" s="31">
        <v>4.5999999999999996</v>
      </c>
      <c r="M431" s="32">
        <f t="shared" si="35"/>
        <v>0</v>
      </c>
      <c r="P431" s="33">
        <v>4.5999999999999996</v>
      </c>
      <c r="S431" s="32">
        <f t="shared" si="36"/>
        <v>0</v>
      </c>
      <c r="V431" s="9">
        <f t="shared" si="37"/>
        <v>3.83</v>
      </c>
      <c r="Y431" s="9">
        <f t="shared" si="31"/>
        <v>0</v>
      </c>
      <c r="AD431" s="4" t="s">
        <v>1791</v>
      </c>
      <c r="AE431" s="4" t="s">
        <v>1792</v>
      </c>
      <c r="AF431" s="4" t="s">
        <v>1608</v>
      </c>
    </row>
    <row r="432" spans="1:35" ht="18" x14ac:dyDescent="0.35">
      <c r="A432" s="10" t="s">
        <v>1793</v>
      </c>
      <c r="B432" s="10"/>
      <c r="C432" s="28" t="s">
        <v>1612</v>
      </c>
      <c r="D432" s="12"/>
      <c r="E432" s="12"/>
      <c r="F432" s="29" t="s">
        <v>78</v>
      </c>
      <c r="G432" s="30">
        <v>0.25</v>
      </c>
      <c r="H432" s="30"/>
      <c r="I432" s="30">
        <v>0</v>
      </c>
      <c r="J432" s="31">
        <v>2.8</v>
      </c>
      <c r="M432" s="32">
        <f t="shared" si="35"/>
        <v>0</v>
      </c>
      <c r="P432" s="33">
        <v>2.8</v>
      </c>
      <c r="S432" s="32">
        <f t="shared" si="36"/>
        <v>0</v>
      </c>
      <c r="V432" s="9">
        <f t="shared" si="37"/>
        <v>2.33</v>
      </c>
      <c r="Y432" s="9">
        <f t="shared" si="31"/>
        <v>0</v>
      </c>
      <c r="AD432" s="4" t="s">
        <v>1794</v>
      </c>
      <c r="AE432" s="4" t="s">
        <v>1795</v>
      </c>
      <c r="AF432" s="4" t="s">
        <v>1615</v>
      </c>
    </row>
    <row r="433" spans="1:35" ht="36" x14ac:dyDescent="0.35">
      <c r="A433" s="10" t="s">
        <v>1796</v>
      </c>
      <c r="B433" s="10"/>
      <c r="C433" s="28" t="s">
        <v>100</v>
      </c>
      <c r="D433" s="12"/>
      <c r="E433" s="12"/>
      <c r="F433" s="29" t="s">
        <v>63</v>
      </c>
      <c r="G433" s="30">
        <v>1.05</v>
      </c>
      <c r="H433" s="30"/>
      <c r="I433" s="30">
        <v>0</v>
      </c>
      <c r="J433" s="31">
        <v>135.53</v>
      </c>
      <c r="M433" s="32">
        <f t="shared" si="35"/>
        <v>0</v>
      </c>
      <c r="P433" s="33">
        <v>135.53</v>
      </c>
      <c r="S433" s="32">
        <f t="shared" si="36"/>
        <v>0</v>
      </c>
      <c r="V433" s="9">
        <f t="shared" si="37"/>
        <v>112.94</v>
      </c>
      <c r="Y433" s="9">
        <f t="shared" si="31"/>
        <v>0</v>
      </c>
      <c r="AD433" s="4" t="s">
        <v>1797</v>
      </c>
      <c r="AE433" s="4" t="s">
        <v>1798</v>
      </c>
      <c r="AF433" s="4" t="s">
        <v>103</v>
      </c>
    </row>
    <row r="434" spans="1:35" ht="18" x14ac:dyDescent="0.35">
      <c r="A434" s="10" t="s">
        <v>1799</v>
      </c>
      <c r="B434" s="10"/>
      <c r="C434" s="28" t="s">
        <v>1626</v>
      </c>
      <c r="D434" s="12"/>
      <c r="E434" s="12"/>
      <c r="F434" s="29" t="s">
        <v>490</v>
      </c>
      <c r="G434" s="30">
        <v>0.75</v>
      </c>
      <c r="H434" s="30"/>
      <c r="I434" s="30">
        <v>0</v>
      </c>
      <c r="J434" s="31">
        <v>2.8</v>
      </c>
      <c r="M434" s="32">
        <f t="shared" si="35"/>
        <v>0</v>
      </c>
      <c r="P434" s="33">
        <v>2.8</v>
      </c>
      <c r="S434" s="32">
        <f t="shared" si="36"/>
        <v>0</v>
      </c>
      <c r="V434" s="9">
        <f t="shared" si="37"/>
        <v>2.33</v>
      </c>
      <c r="Y434" s="9">
        <f t="shared" si="31"/>
        <v>0</v>
      </c>
      <c r="AD434" s="4" t="s">
        <v>1800</v>
      </c>
      <c r="AE434" s="4" t="s">
        <v>1801</v>
      </c>
      <c r="AF434" s="4" t="s">
        <v>1629</v>
      </c>
    </row>
    <row r="435" spans="1:35" ht="54" x14ac:dyDescent="0.35">
      <c r="A435" s="10" t="s">
        <v>1802</v>
      </c>
      <c r="B435" s="10" t="s">
        <v>1556</v>
      </c>
      <c r="C435" s="11" t="s">
        <v>1557</v>
      </c>
      <c r="D435" s="12"/>
      <c r="E435" s="12" t="s">
        <v>1687</v>
      </c>
      <c r="F435" s="12" t="s">
        <v>63</v>
      </c>
      <c r="G435" s="13">
        <v>1</v>
      </c>
      <c r="H435" s="13"/>
      <c r="I435" s="13">
        <v>0</v>
      </c>
      <c r="J435" s="14">
        <f>IFERROR(ROUND(SUM(M436,M437,M438,M439,M440,M441,M442,M443,M444)/I435, 2),0)</f>
        <v>0</v>
      </c>
      <c r="K435" s="15">
        <v>1379</v>
      </c>
      <c r="L435" s="14">
        <f>J435+ROUND(K435, 2)</f>
        <v>1379</v>
      </c>
      <c r="M435" s="14">
        <f>ROUND(J435*I435, 2)</f>
        <v>0</v>
      </c>
      <c r="N435" s="14">
        <f>ROUND(I435*ROUND(K435, 2), 2)</f>
        <v>0</v>
      </c>
      <c r="O435" s="14">
        <f>M435+N435</f>
        <v>0</v>
      </c>
      <c r="P435" s="14">
        <f>IFERROR(ROUND(SUM(S436,S437,S438,S439,S440,S441,S442,S443,S444)/I435, 2),0)</f>
        <v>0</v>
      </c>
      <c r="Q435" s="16">
        <v>2068.5</v>
      </c>
      <c r="R435" s="14">
        <f>P435+ROUND(Q435, 2)</f>
        <v>2068.5</v>
      </c>
      <c r="S435" s="14">
        <f>ROUND(P435*I435, 2)</f>
        <v>0</v>
      </c>
      <c r="T435" s="14">
        <f>ROUND(I435*ROUND(Q435, 2), 2)</f>
        <v>0</v>
      </c>
      <c r="U435" s="14">
        <f>S435+T435</f>
        <v>0</v>
      </c>
      <c r="V435" s="9">
        <f>ROUND(P435 / 1.2, 2)</f>
        <v>0</v>
      </c>
      <c r="W435" s="9">
        <f>ROUND(Q435 / 1.2, 2)</f>
        <v>1723.75</v>
      </c>
      <c r="X435" s="9">
        <f>ROUND(R435 / 1.2, 2)</f>
        <v>1723.75</v>
      </c>
      <c r="Y435" s="9">
        <f t="shared" si="31"/>
        <v>0</v>
      </c>
      <c r="Z435" s="9">
        <f>ROUND(T435 / 1.2, 2)</f>
        <v>0</v>
      </c>
      <c r="AA435" s="9">
        <f>Y435+Z435</f>
        <v>0</v>
      </c>
      <c r="AD435" s="4">
        <v>305117075</v>
      </c>
      <c r="AE435" s="4">
        <v>22135726</v>
      </c>
      <c r="AG435" s="4" t="s">
        <v>1558</v>
      </c>
      <c r="AH435" s="4" t="s">
        <v>1559</v>
      </c>
      <c r="AI435" s="4" t="s">
        <v>467</v>
      </c>
    </row>
    <row r="436" spans="1:35" ht="18" x14ac:dyDescent="0.35">
      <c r="A436" s="10" t="s">
        <v>1803</v>
      </c>
      <c r="B436" s="10"/>
      <c r="C436" s="28" t="s">
        <v>1626</v>
      </c>
      <c r="D436" s="12"/>
      <c r="E436" s="12"/>
      <c r="F436" s="29" t="s">
        <v>490</v>
      </c>
      <c r="G436" s="30">
        <v>0.75</v>
      </c>
      <c r="H436" s="30"/>
      <c r="I436" s="30">
        <v>0</v>
      </c>
      <c r="J436" s="31">
        <v>2.8</v>
      </c>
      <c r="M436" s="32">
        <f t="shared" ref="M436:M444" si="38">ROUND(ROUND(J436, 2)*I436, 2)</f>
        <v>0</v>
      </c>
      <c r="P436" s="33">
        <v>2.8</v>
      </c>
      <c r="S436" s="32">
        <f t="shared" ref="S436:S444" si="39">ROUND(ROUND(P436, 2)*I436, 2)</f>
        <v>0</v>
      </c>
      <c r="V436" s="9">
        <f t="shared" ref="V436:V444" si="40">ROUND(ROUND(P436, 2)/1.2, 2)</f>
        <v>2.33</v>
      </c>
      <c r="Y436" s="9">
        <f t="shared" si="31"/>
        <v>0</v>
      </c>
      <c r="AD436" s="4" t="s">
        <v>1804</v>
      </c>
      <c r="AE436" s="4" t="s">
        <v>1805</v>
      </c>
      <c r="AF436" s="4" t="s">
        <v>1629</v>
      </c>
    </row>
    <row r="437" spans="1:35" ht="18" x14ac:dyDescent="0.35">
      <c r="A437" s="10" t="s">
        <v>1806</v>
      </c>
      <c r="B437" s="10"/>
      <c r="C437" s="28" t="s">
        <v>1612</v>
      </c>
      <c r="D437" s="12"/>
      <c r="E437" s="12"/>
      <c r="F437" s="29" t="s">
        <v>78</v>
      </c>
      <c r="G437" s="30">
        <v>0.25</v>
      </c>
      <c r="H437" s="30"/>
      <c r="I437" s="30">
        <v>0</v>
      </c>
      <c r="J437" s="31">
        <v>2.8</v>
      </c>
      <c r="M437" s="32">
        <f t="shared" si="38"/>
        <v>0</v>
      </c>
      <c r="P437" s="33">
        <v>2.8</v>
      </c>
      <c r="S437" s="32">
        <f t="shared" si="39"/>
        <v>0</v>
      </c>
      <c r="V437" s="9">
        <f t="shared" si="40"/>
        <v>2.33</v>
      </c>
      <c r="Y437" s="9">
        <f t="shared" si="31"/>
        <v>0</v>
      </c>
      <c r="AD437" s="4" t="s">
        <v>1807</v>
      </c>
      <c r="AE437" s="4" t="s">
        <v>1808</v>
      </c>
      <c r="AF437" s="4" t="s">
        <v>1615</v>
      </c>
    </row>
    <row r="438" spans="1:35" ht="18" x14ac:dyDescent="0.35">
      <c r="A438" s="10" t="s">
        <v>1809</v>
      </c>
      <c r="B438" s="10"/>
      <c r="C438" s="28" t="s">
        <v>1605</v>
      </c>
      <c r="D438" s="12"/>
      <c r="E438" s="12"/>
      <c r="F438" s="29" t="s">
        <v>78</v>
      </c>
      <c r="G438" s="30">
        <v>1.05</v>
      </c>
      <c r="H438" s="30"/>
      <c r="I438" s="30">
        <v>0</v>
      </c>
      <c r="J438" s="31">
        <v>4.5999999999999996</v>
      </c>
      <c r="M438" s="32">
        <f t="shared" si="38"/>
        <v>0</v>
      </c>
      <c r="P438" s="33">
        <v>4.5999999999999996</v>
      </c>
      <c r="S438" s="32">
        <f t="shared" si="39"/>
        <v>0</v>
      </c>
      <c r="V438" s="9">
        <f t="shared" si="40"/>
        <v>3.83</v>
      </c>
      <c r="Y438" s="9">
        <f t="shared" si="31"/>
        <v>0</v>
      </c>
      <c r="AD438" s="4" t="s">
        <v>1810</v>
      </c>
      <c r="AE438" s="4" t="s">
        <v>1811</v>
      </c>
      <c r="AF438" s="4" t="s">
        <v>1608</v>
      </c>
    </row>
    <row r="439" spans="1:35" ht="18" x14ac:dyDescent="0.35">
      <c r="A439" s="10" t="s">
        <v>1812</v>
      </c>
      <c r="B439" s="10"/>
      <c r="C439" s="28" t="s">
        <v>1719</v>
      </c>
      <c r="D439" s="12"/>
      <c r="E439" s="12"/>
      <c r="F439" s="29" t="s">
        <v>63</v>
      </c>
      <c r="G439" s="30">
        <v>1.05</v>
      </c>
      <c r="H439" s="30"/>
      <c r="I439" s="30">
        <v>0</v>
      </c>
      <c r="J439" s="31">
        <v>0</v>
      </c>
      <c r="M439" s="32">
        <f t="shared" si="38"/>
        <v>0</v>
      </c>
      <c r="P439" s="33">
        <v>0</v>
      </c>
      <c r="S439" s="32">
        <f t="shared" si="39"/>
        <v>0</v>
      </c>
      <c r="V439" s="9">
        <f t="shared" si="40"/>
        <v>0</v>
      </c>
      <c r="Y439" s="9">
        <f t="shared" si="31"/>
        <v>0</v>
      </c>
      <c r="AD439" s="4" t="s">
        <v>1813</v>
      </c>
      <c r="AE439" s="4" t="s">
        <v>1814</v>
      </c>
      <c r="AF439" s="4" t="s">
        <v>1722</v>
      </c>
    </row>
    <row r="440" spans="1:35" ht="18" x14ac:dyDescent="0.35">
      <c r="A440" s="10" t="s">
        <v>1815</v>
      </c>
      <c r="B440" s="10"/>
      <c r="C440" s="28" t="s">
        <v>1591</v>
      </c>
      <c r="D440" s="12"/>
      <c r="E440" s="12"/>
      <c r="F440" s="29" t="s">
        <v>78</v>
      </c>
      <c r="G440" s="30">
        <v>1.2</v>
      </c>
      <c r="H440" s="30"/>
      <c r="I440" s="30">
        <v>0</v>
      </c>
      <c r="J440" s="31">
        <v>22.82</v>
      </c>
      <c r="M440" s="32">
        <f t="shared" si="38"/>
        <v>0</v>
      </c>
      <c r="P440" s="33">
        <v>22.82</v>
      </c>
      <c r="S440" s="32">
        <f t="shared" si="39"/>
        <v>0</v>
      </c>
      <c r="V440" s="9">
        <f t="shared" si="40"/>
        <v>19.02</v>
      </c>
      <c r="Y440" s="9">
        <f t="shared" si="31"/>
        <v>0</v>
      </c>
      <c r="AD440" s="4" t="s">
        <v>1816</v>
      </c>
      <c r="AE440" s="4" t="s">
        <v>1817</v>
      </c>
      <c r="AF440" s="4" t="s">
        <v>1594</v>
      </c>
    </row>
    <row r="441" spans="1:35" ht="18" x14ac:dyDescent="0.35">
      <c r="A441" s="10" t="s">
        <v>1818</v>
      </c>
      <c r="B441" s="10"/>
      <c r="C441" s="28" t="s">
        <v>1598</v>
      </c>
      <c r="D441" s="12"/>
      <c r="E441" s="12"/>
      <c r="F441" s="29" t="s">
        <v>78</v>
      </c>
      <c r="G441" s="30">
        <v>4.7</v>
      </c>
      <c r="H441" s="30"/>
      <c r="I441" s="30">
        <v>0</v>
      </c>
      <c r="J441" s="31">
        <v>66.98</v>
      </c>
      <c r="M441" s="32">
        <f t="shared" si="38"/>
        <v>0</v>
      </c>
      <c r="P441" s="33">
        <v>66.98</v>
      </c>
      <c r="S441" s="32">
        <f t="shared" si="39"/>
        <v>0</v>
      </c>
      <c r="V441" s="9">
        <f t="shared" si="40"/>
        <v>55.82</v>
      </c>
      <c r="Y441" s="9">
        <f t="shared" si="31"/>
        <v>0</v>
      </c>
      <c r="AD441" s="4" t="s">
        <v>1819</v>
      </c>
      <c r="AE441" s="4" t="s">
        <v>1820</v>
      </c>
      <c r="AF441" s="4" t="s">
        <v>1601</v>
      </c>
    </row>
    <row r="442" spans="1:35" ht="36" x14ac:dyDescent="0.35">
      <c r="A442" s="10" t="s">
        <v>1821</v>
      </c>
      <c r="B442" s="10"/>
      <c r="C442" s="47" t="s">
        <v>1584</v>
      </c>
      <c r="D442" s="12"/>
      <c r="E442" s="12"/>
      <c r="F442" s="29" t="s">
        <v>490</v>
      </c>
      <c r="G442" s="30">
        <v>3.6</v>
      </c>
      <c r="H442" s="30"/>
      <c r="I442" s="30">
        <v>0</v>
      </c>
      <c r="J442" s="31">
        <v>15.9</v>
      </c>
      <c r="M442" s="32">
        <f t="shared" si="38"/>
        <v>0</v>
      </c>
      <c r="P442" s="33">
        <v>15.9</v>
      </c>
      <c r="S442" s="32">
        <f t="shared" si="39"/>
        <v>0</v>
      </c>
      <c r="V442" s="9">
        <f t="shared" si="40"/>
        <v>13.25</v>
      </c>
      <c r="Y442" s="9">
        <f t="shared" si="31"/>
        <v>0</v>
      </c>
      <c r="AD442" s="4" t="s">
        <v>1822</v>
      </c>
      <c r="AE442" s="4" t="s">
        <v>1823</v>
      </c>
      <c r="AF442" s="4" t="s">
        <v>1587</v>
      </c>
    </row>
    <row r="443" spans="1:35" ht="18" x14ac:dyDescent="0.35">
      <c r="A443" s="10" t="s">
        <v>1824</v>
      </c>
      <c r="B443" s="10"/>
      <c r="C443" s="28" t="s">
        <v>1570</v>
      </c>
      <c r="D443" s="12"/>
      <c r="E443" s="12"/>
      <c r="F443" s="29" t="s">
        <v>498</v>
      </c>
      <c r="G443" s="30">
        <v>0.35</v>
      </c>
      <c r="H443" s="30"/>
      <c r="I443" s="30">
        <v>0</v>
      </c>
      <c r="J443" s="31">
        <v>55</v>
      </c>
      <c r="M443" s="32">
        <f t="shared" si="38"/>
        <v>0</v>
      </c>
      <c r="P443" s="33">
        <v>55</v>
      </c>
      <c r="S443" s="32">
        <f t="shared" si="39"/>
        <v>0</v>
      </c>
      <c r="V443" s="9">
        <f t="shared" si="40"/>
        <v>45.83</v>
      </c>
      <c r="Y443" s="9">
        <f t="shared" si="31"/>
        <v>0</v>
      </c>
      <c r="AD443" s="4" t="s">
        <v>1825</v>
      </c>
      <c r="AE443" s="4" t="s">
        <v>1826</v>
      </c>
      <c r="AF443" s="4" t="s">
        <v>1573</v>
      </c>
    </row>
    <row r="444" spans="1:35" ht="18" x14ac:dyDescent="0.35">
      <c r="A444" s="10" t="s">
        <v>1827</v>
      </c>
      <c r="B444" s="10"/>
      <c r="C444" s="28" t="s">
        <v>1563</v>
      </c>
      <c r="D444" s="12"/>
      <c r="E444" s="12"/>
      <c r="F444" s="29" t="s">
        <v>490</v>
      </c>
      <c r="G444" s="30">
        <v>15</v>
      </c>
      <c r="H444" s="30"/>
      <c r="I444" s="30">
        <v>0</v>
      </c>
      <c r="J444" s="31">
        <v>0.95</v>
      </c>
      <c r="M444" s="32">
        <f t="shared" si="38"/>
        <v>0</v>
      </c>
      <c r="P444" s="33">
        <v>0.95</v>
      </c>
      <c r="S444" s="32">
        <f t="shared" si="39"/>
        <v>0</v>
      </c>
      <c r="V444" s="9">
        <f t="shared" si="40"/>
        <v>0.79</v>
      </c>
      <c r="Y444" s="9">
        <f t="shared" si="31"/>
        <v>0</v>
      </c>
      <c r="AD444" s="4" t="s">
        <v>1828</v>
      </c>
      <c r="AE444" s="4" t="s">
        <v>1829</v>
      </c>
      <c r="AF444" s="4" t="s">
        <v>1566</v>
      </c>
    </row>
    <row r="445" spans="1:35" ht="36" x14ac:dyDescent="0.35">
      <c r="A445" s="10" t="s">
        <v>1830</v>
      </c>
      <c r="B445" s="10" t="s">
        <v>1831</v>
      </c>
      <c r="C445" s="11" t="s">
        <v>1832</v>
      </c>
      <c r="D445" s="12"/>
      <c r="E445" s="12"/>
      <c r="F445" s="12" t="s">
        <v>63</v>
      </c>
      <c r="G445" s="13">
        <v>1</v>
      </c>
      <c r="H445" s="13"/>
      <c r="I445" s="13">
        <v>0</v>
      </c>
      <c r="J445" s="14">
        <v>855.89</v>
      </c>
      <c r="K445" s="15">
        <v>963</v>
      </c>
      <c r="L445" s="14">
        <f>J445+ROUND(K445, 2)</f>
        <v>1818.8899999999999</v>
      </c>
      <c r="M445" s="14">
        <v>0</v>
      </c>
      <c r="N445" s="14">
        <v>0</v>
      </c>
      <c r="O445" s="14">
        <f>M445+N445</f>
        <v>0</v>
      </c>
      <c r="P445" s="14">
        <v>855.89</v>
      </c>
      <c r="Q445" s="15">
        <v>963</v>
      </c>
      <c r="R445" s="14">
        <f>P445+ROUND(Q445, 2)</f>
        <v>1818.8899999999999</v>
      </c>
      <c r="S445" s="14">
        <v>0</v>
      </c>
      <c r="T445" s="14">
        <v>0</v>
      </c>
      <c r="U445" s="14">
        <f>S445+T445</f>
        <v>0</v>
      </c>
      <c r="V445" s="9">
        <f>ROUND(P445 / 1.2, 2)</f>
        <v>713.24</v>
      </c>
      <c r="W445" s="9">
        <f>ROUND(Q445 / 1.2, 2)</f>
        <v>802.5</v>
      </c>
      <c r="X445" s="9">
        <f>ROUND(R445 / 1.2, 2)</f>
        <v>1515.74</v>
      </c>
      <c r="Y445" s="9">
        <f t="shared" si="31"/>
        <v>0</v>
      </c>
      <c r="Z445" s="9">
        <f>ROUND(T445 / 1.2, 2)</f>
        <v>0</v>
      </c>
      <c r="AA445" s="9">
        <f>Y445+Z445</f>
        <v>0</v>
      </c>
      <c r="AD445" s="4">
        <v>305117000</v>
      </c>
      <c r="AE445" s="4">
        <v>20958868</v>
      </c>
      <c r="AG445" s="4" t="s">
        <v>1833</v>
      </c>
      <c r="AH445" s="4" t="s">
        <v>1834</v>
      </c>
      <c r="AI445" s="4" t="s">
        <v>467</v>
      </c>
    </row>
    <row r="446" spans="1:35" ht="18" x14ac:dyDescent="0.35">
      <c r="A446" s="10" t="s">
        <v>1837</v>
      </c>
      <c r="B446" s="10"/>
      <c r="C446" s="47" t="s">
        <v>1838</v>
      </c>
      <c r="D446" s="12"/>
      <c r="E446" s="12"/>
      <c r="F446" s="29" t="s">
        <v>63</v>
      </c>
      <c r="G446" s="30">
        <v>1.1000000000000001</v>
      </c>
      <c r="H446" s="49"/>
      <c r="I446" s="49">
        <v>0</v>
      </c>
      <c r="J446" s="31">
        <v>778.08</v>
      </c>
      <c r="M446" s="32">
        <f>ROUND(ROUND(J446, 2)*I446, 2)</f>
        <v>0</v>
      </c>
      <c r="P446" s="31">
        <v>778.08</v>
      </c>
      <c r="S446" s="32">
        <f>ROUND(ROUND(P446, 2)*I446, 2)</f>
        <v>0</v>
      </c>
      <c r="V446" s="9">
        <f>ROUND(ROUND(P446, 2)/1.2, 2)</f>
        <v>648.4</v>
      </c>
      <c r="Y446" s="9">
        <f t="shared" si="31"/>
        <v>0</v>
      </c>
      <c r="AD446" s="4" t="s">
        <v>1839</v>
      </c>
      <c r="AE446" s="4" t="s">
        <v>1840</v>
      </c>
      <c r="AF446" s="4" t="s">
        <v>1841</v>
      </c>
    </row>
    <row r="447" spans="1:35" ht="108" x14ac:dyDescent="0.35">
      <c r="A447" s="10" t="s">
        <v>1844</v>
      </c>
      <c r="B447" s="10" t="s">
        <v>1831</v>
      </c>
      <c r="C447" s="11" t="s">
        <v>1832</v>
      </c>
      <c r="D447" s="12"/>
      <c r="E447" s="12" t="s">
        <v>1836</v>
      </c>
      <c r="F447" s="12" t="s">
        <v>63</v>
      </c>
      <c r="G447" s="13">
        <v>1</v>
      </c>
      <c r="H447" s="13"/>
      <c r="I447" s="13">
        <v>0</v>
      </c>
      <c r="J447" s="14">
        <f>IFERROR(ROUND(SUM(M448)/I447, 2),0)</f>
        <v>0</v>
      </c>
      <c r="K447" s="15">
        <v>963</v>
      </c>
      <c r="L447" s="14">
        <f>J447+ROUND(K447, 2)</f>
        <v>963</v>
      </c>
      <c r="M447" s="14">
        <f>ROUND(J447*I447, 2)</f>
        <v>0</v>
      </c>
      <c r="N447" s="14">
        <f>ROUND(I447*ROUND(K447, 2), 2)</f>
        <v>0</v>
      </c>
      <c r="O447" s="14">
        <f>M447+N447</f>
        <v>0</v>
      </c>
      <c r="P447" s="14">
        <f>IFERROR(ROUND(SUM(S448)/I447, 2),0)</f>
        <v>0</v>
      </c>
      <c r="Q447" s="16">
        <v>1444.5</v>
      </c>
      <c r="R447" s="14">
        <f>P447+ROUND(Q447, 2)</f>
        <v>1444.5</v>
      </c>
      <c r="S447" s="14">
        <f>ROUND(P447*I447, 2)</f>
        <v>0</v>
      </c>
      <c r="T447" s="14">
        <f>ROUND(I447*ROUND(Q447, 2), 2)</f>
        <v>0</v>
      </c>
      <c r="U447" s="14">
        <f>S447+T447</f>
        <v>0</v>
      </c>
      <c r="V447" s="9">
        <f>ROUND(P447 / 1.2, 2)</f>
        <v>0</v>
      </c>
      <c r="W447" s="9">
        <f>ROUND(Q447 / 1.2, 2)</f>
        <v>1203.75</v>
      </c>
      <c r="X447" s="9">
        <f>ROUND(R447 / 1.2, 2)</f>
        <v>1203.75</v>
      </c>
      <c r="Y447" s="9">
        <f t="shared" si="31"/>
        <v>0</v>
      </c>
      <c r="Z447" s="9">
        <f>ROUND(T447 / 1.2, 2)</f>
        <v>0</v>
      </c>
      <c r="AA447" s="9">
        <f>Y447+Z447</f>
        <v>0</v>
      </c>
      <c r="AD447" s="4">
        <v>305117076</v>
      </c>
      <c r="AE447" s="4">
        <v>22135698</v>
      </c>
      <c r="AG447" s="4" t="s">
        <v>1833</v>
      </c>
      <c r="AH447" s="4" t="s">
        <v>1834</v>
      </c>
      <c r="AI447" s="4" t="s">
        <v>467</v>
      </c>
    </row>
    <row r="448" spans="1:35" ht="18" x14ac:dyDescent="0.35">
      <c r="A448" s="10" t="s">
        <v>1845</v>
      </c>
      <c r="B448" s="10"/>
      <c r="C448" s="47" t="s">
        <v>1838</v>
      </c>
      <c r="D448" s="12"/>
      <c r="E448" s="12"/>
      <c r="F448" s="29" t="s">
        <v>63</v>
      </c>
      <c r="G448" s="30">
        <v>1.1000000000000001</v>
      </c>
      <c r="H448" s="49"/>
      <c r="I448" s="49">
        <v>187.66</v>
      </c>
      <c r="J448" s="31">
        <v>778.08</v>
      </c>
      <c r="M448" s="32">
        <f>ROUND(ROUND(J448, 2)*I448, 2)</f>
        <v>146014.49</v>
      </c>
      <c r="P448" s="33">
        <v>778.08</v>
      </c>
      <c r="S448" s="32">
        <f>ROUND(ROUND(P448, 2)*I448, 2)</f>
        <v>146014.49</v>
      </c>
      <c r="V448" s="9">
        <f>ROUND(ROUND(P448, 2)/1.2, 2)</f>
        <v>648.4</v>
      </c>
      <c r="Y448" s="9">
        <f t="shared" si="31"/>
        <v>121678.74</v>
      </c>
      <c r="AD448" s="4" t="s">
        <v>1846</v>
      </c>
      <c r="AE448" s="4" t="s">
        <v>1847</v>
      </c>
      <c r="AF448" s="4" t="s">
        <v>1841</v>
      </c>
    </row>
    <row r="449" spans="1:35" ht="17" customHeight="1" x14ac:dyDescent="0.35">
      <c r="A449" s="10" t="s">
        <v>1848</v>
      </c>
      <c r="B449" s="10" t="s">
        <v>1849</v>
      </c>
      <c r="C449" s="174" t="s">
        <v>1850</v>
      </c>
      <c r="D449" s="175"/>
      <c r="E449" s="175"/>
      <c r="F449" s="175"/>
      <c r="G449" s="175"/>
      <c r="H449" s="175"/>
      <c r="I449" s="176"/>
      <c r="M449" s="6">
        <f>SUM(M450,M451)</f>
        <v>0</v>
      </c>
      <c r="N449" s="6">
        <f>SUM(N450,N451)</f>
        <v>0</v>
      </c>
      <c r="O449" s="6">
        <f>SUM(O450,O451)</f>
        <v>0</v>
      </c>
      <c r="S449" s="6">
        <f>SUM(S450,S451)</f>
        <v>0</v>
      </c>
      <c r="T449" s="6">
        <f>SUM(T450,T451)</f>
        <v>0</v>
      </c>
      <c r="U449" s="6">
        <f>SUM(U450,U451)</f>
        <v>0</v>
      </c>
      <c r="Y449" s="9">
        <f>SUM(Y450,Y451)</f>
        <v>0</v>
      </c>
      <c r="Z449" s="9">
        <f>SUM(Z450,Z451)</f>
        <v>0</v>
      </c>
      <c r="AA449" s="9">
        <f>SUM(AA450,AA451)</f>
        <v>0</v>
      </c>
      <c r="AD449" s="4">
        <v>305117001</v>
      </c>
      <c r="AE449" s="4">
        <v>20956521</v>
      </c>
    </row>
    <row r="450" spans="1:35" ht="54" x14ac:dyDescent="0.35">
      <c r="A450" s="10" t="s">
        <v>1851</v>
      </c>
      <c r="B450" s="10" t="s">
        <v>1852</v>
      </c>
      <c r="C450" s="11" t="s">
        <v>1853</v>
      </c>
      <c r="D450" s="12" t="s">
        <v>1854</v>
      </c>
      <c r="E450" s="12"/>
      <c r="F450" s="12" t="s">
        <v>1855</v>
      </c>
      <c r="G450" s="13">
        <v>1</v>
      </c>
      <c r="H450" s="13"/>
      <c r="I450" s="13">
        <v>0</v>
      </c>
      <c r="J450" s="14">
        <v>0</v>
      </c>
      <c r="K450" s="15">
        <v>169189</v>
      </c>
      <c r="L450" s="14">
        <f>J450+ROUND(K450, 2)</f>
        <v>169189</v>
      </c>
      <c r="M450" s="14">
        <v>0</v>
      </c>
      <c r="N450" s="14">
        <v>0</v>
      </c>
      <c r="O450" s="14">
        <f>M450+N450</f>
        <v>0</v>
      </c>
      <c r="P450" s="14">
        <v>0</v>
      </c>
      <c r="Q450" s="15">
        <v>169189</v>
      </c>
      <c r="R450" s="14">
        <f>P450+ROUND(Q450, 2)</f>
        <v>169189</v>
      </c>
      <c r="S450" s="14">
        <v>0</v>
      </c>
      <c r="T450" s="14">
        <v>0</v>
      </c>
      <c r="U450" s="14">
        <f>S450+T450</f>
        <v>0</v>
      </c>
      <c r="V450" s="9"/>
      <c r="W450" s="9">
        <f>ROUND(Q450 / 1.2, 2)</f>
        <v>140990.82999999999</v>
      </c>
      <c r="X450" s="9">
        <f>ROUND(R450 / 1.2, 2)</f>
        <v>140990.82999999999</v>
      </c>
      <c r="Y450" s="9"/>
      <c r="Z450" s="9">
        <f>ROUND(T450 / 1.2, 2)</f>
        <v>0</v>
      </c>
      <c r="AA450" s="9">
        <f>Y450+Z450</f>
        <v>0</v>
      </c>
      <c r="AD450" s="4">
        <v>305117003</v>
      </c>
      <c r="AE450" s="4">
        <v>21274623</v>
      </c>
      <c r="AG450" s="4" t="s">
        <v>1856</v>
      </c>
      <c r="AH450" s="4" t="s">
        <v>1857</v>
      </c>
      <c r="AI450" s="4" t="s">
        <v>467</v>
      </c>
    </row>
    <row r="451" spans="1:35" ht="54" x14ac:dyDescent="0.35">
      <c r="A451" s="10" t="s">
        <v>1859</v>
      </c>
      <c r="B451" s="10" t="s">
        <v>1852</v>
      </c>
      <c r="C451" s="11" t="s">
        <v>1853</v>
      </c>
      <c r="D451" s="12" t="s">
        <v>1854</v>
      </c>
      <c r="E451" s="12"/>
      <c r="F451" s="12" t="s">
        <v>1855</v>
      </c>
      <c r="G451" s="13">
        <v>1</v>
      </c>
      <c r="H451" s="13"/>
      <c r="I451" s="13">
        <v>0</v>
      </c>
      <c r="J451" s="14">
        <v>0</v>
      </c>
      <c r="K451" s="15">
        <v>169189</v>
      </c>
      <c r="L451" s="14">
        <f>J451+ROUND(K451, 2)</f>
        <v>169189</v>
      </c>
      <c r="M451" s="14">
        <v>0</v>
      </c>
      <c r="N451" s="14">
        <f>ROUND(I451*ROUND(K451, 2), 2)</f>
        <v>0</v>
      </c>
      <c r="O451" s="14">
        <f>M451+N451</f>
        <v>0</v>
      </c>
      <c r="P451" s="14">
        <v>0</v>
      </c>
      <c r="Q451" s="16">
        <v>253783.5</v>
      </c>
      <c r="R451" s="14">
        <f>P451+ROUND(Q451, 2)</f>
        <v>253783.5</v>
      </c>
      <c r="S451" s="14">
        <v>0</v>
      </c>
      <c r="T451" s="14">
        <f>ROUND(I451*ROUND(Q451, 2), 2)</f>
        <v>0</v>
      </c>
      <c r="U451" s="14">
        <f>S451+T451</f>
        <v>0</v>
      </c>
      <c r="V451" s="9"/>
      <c r="W451" s="9">
        <f>ROUND(Q451 / 1.2, 2)</f>
        <v>211486.25</v>
      </c>
      <c r="X451" s="9">
        <f>ROUND(R451 / 1.2, 2)</f>
        <v>211486.25</v>
      </c>
      <c r="Y451" s="9"/>
      <c r="Z451" s="9">
        <f>ROUND(T451 / 1.2, 2)</f>
        <v>0</v>
      </c>
      <c r="AA451" s="9">
        <f>Y451+Z451</f>
        <v>0</v>
      </c>
      <c r="AD451" s="4">
        <v>305117077</v>
      </c>
      <c r="AE451" s="4">
        <v>22135606</v>
      </c>
      <c r="AG451" s="4" t="s">
        <v>1856</v>
      </c>
      <c r="AH451" s="4" t="s">
        <v>1857</v>
      </c>
      <c r="AI451" s="4" t="s">
        <v>467</v>
      </c>
    </row>
    <row r="452" spans="1:35" ht="30" customHeight="1" x14ac:dyDescent="0.35">
      <c r="A452" s="171" t="s">
        <v>1860</v>
      </c>
      <c r="B452" s="172"/>
      <c r="C452" s="172"/>
      <c r="D452" s="172"/>
      <c r="E452" s="172"/>
      <c r="F452" s="172"/>
      <c r="G452" s="172"/>
      <c r="H452" s="172"/>
      <c r="I452" s="173"/>
      <c r="J452" s="7"/>
      <c r="K452" s="7"/>
      <c r="L452" s="7"/>
      <c r="M452" s="8">
        <f>SUM(M453)</f>
        <v>65084872.160000004</v>
      </c>
      <c r="N452" s="8">
        <f>SUM(N453)</f>
        <v>85694697.920000002</v>
      </c>
      <c r="O452" s="8">
        <f>SUM(O453)</f>
        <v>150779570.08000001</v>
      </c>
      <c r="P452" s="7"/>
      <c r="Q452" s="7"/>
      <c r="R452" s="7"/>
      <c r="S452" s="8">
        <f>SUM(S453)</f>
        <v>65084872.160000004</v>
      </c>
      <c r="T452" s="8">
        <f>SUM(T453)</f>
        <v>128127932.99000001</v>
      </c>
      <c r="U452" s="8">
        <f>SUM(U453)</f>
        <v>193212805.15000001</v>
      </c>
      <c r="Y452" s="9">
        <f>SUM(Y453)</f>
        <v>54237393.520000003</v>
      </c>
      <c r="Z452" s="9">
        <f>SUM(Z453)</f>
        <v>106773277.51000001</v>
      </c>
      <c r="AA452" s="9">
        <f>SUM(AA453)</f>
        <v>161010671.03</v>
      </c>
      <c r="AC452" s="4" t="s">
        <v>1861</v>
      </c>
    </row>
    <row r="453" spans="1:35" ht="17" customHeight="1" x14ac:dyDescent="0.35">
      <c r="A453" s="10" t="s">
        <v>1862</v>
      </c>
      <c r="B453" s="10" t="s">
        <v>41</v>
      </c>
      <c r="C453" s="174" t="s">
        <v>42</v>
      </c>
      <c r="D453" s="175"/>
      <c r="E453" s="175"/>
      <c r="F453" s="175"/>
      <c r="G453" s="175"/>
      <c r="H453" s="175"/>
      <c r="I453" s="176"/>
      <c r="M453" s="6">
        <f>SUM(M454,M507)</f>
        <v>65084872.160000004</v>
      </c>
      <c r="N453" s="6">
        <f>SUM(N454,N507)</f>
        <v>85694697.920000002</v>
      </c>
      <c r="O453" s="6">
        <f>SUM(O454,O507)</f>
        <v>150779570.08000001</v>
      </c>
      <c r="S453" s="6">
        <f>SUM(S454,S507)</f>
        <v>65084872.160000004</v>
      </c>
      <c r="T453" s="6">
        <f>SUM(T454,T507)</f>
        <v>128127932.99000001</v>
      </c>
      <c r="U453" s="6">
        <f>SUM(U454,U507)</f>
        <v>193212805.15000001</v>
      </c>
      <c r="Y453" s="9">
        <f>SUM(Y454,Y507)</f>
        <v>54237393.520000003</v>
      </c>
      <c r="Z453" s="9">
        <f>SUM(Z454,Z507)</f>
        <v>106773277.51000001</v>
      </c>
      <c r="AA453" s="9">
        <f>SUM(AA454,AA507)</f>
        <v>161010671.03</v>
      </c>
      <c r="AD453" s="4">
        <v>295859902</v>
      </c>
      <c r="AE453" s="4">
        <v>22502012</v>
      </c>
    </row>
    <row r="454" spans="1:35" ht="17" customHeight="1" x14ac:dyDescent="0.35">
      <c r="A454" s="10" t="s">
        <v>1863</v>
      </c>
      <c r="B454" s="10" t="s">
        <v>44</v>
      </c>
      <c r="C454" s="174" t="s">
        <v>45</v>
      </c>
      <c r="D454" s="175"/>
      <c r="E454" s="175"/>
      <c r="F454" s="175"/>
      <c r="G454" s="175"/>
      <c r="H454" s="175"/>
      <c r="I454" s="176"/>
      <c r="M454" s="6">
        <f t="shared" ref="M454:O457" si="41">SUM(M455)</f>
        <v>10611394.960000001</v>
      </c>
      <c r="N454" s="6">
        <f t="shared" si="41"/>
        <v>18104800.700000003</v>
      </c>
      <c r="O454" s="6">
        <f t="shared" si="41"/>
        <v>28716195.66</v>
      </c>
      <c r="S454" s="6">
        <f t="shared" ref="S454:U457" si="42">SUM(S455)</f>
        <v>10611394.960000001</v>
      </c>
      <c r="T454" s="6">
        <f t="shared" si="42"/>
        <v>26048948.800000004</v>
      </c>
      <c r="U454" s="6">
        <f t="shared" si="42"/>
        <v>36660343.759999998</v>
      </c>
      <c r="Y454" s="9">
        <f t="shared" ref="Y454:AA457" si="43">SUM(Y455)</f>
        <v>8842829.1400000006</v>
      </c>
      <c r="Z454" s="9">
        <f t="shared" si="43"/>
        <v>21707457.34</v>
      </c>
      <c r="AA454" s="9">
        <f t="shared" si="43"/>
        <v>30550286.480000004</v>
      </c>
      <c r="AD454" s="4">
        <v>295859903</v>
      </c>
      <c r="AE454" s="4">
        <v>22502052</v>
      </c>
    </row>
    <row r="455" spans="1:35" ht="17" customHeight="1" x14ac:dyDescent="0.35">
      <c r="A455" s="10" t="s">
        <v>1864</v>
      </c>
      <c r="B455" s="10" t="s">
        <v>47</v>
      </c>
      <c r="C455" s="174" t="s">
        <v>48</v>
      </c>
      <c r="D455" s="175"/>
      <c r="E455" s="175"/>
      <c r="F455" s="175"/>
      <c r="G455" s="175"/>
      <c r="H455" s="175"/>
      <c r="I455" s="176"/>
      <c r="M455" s="6">
        <f t="shared" si="41"/>
        <v>10611394.960000001</v>
      </c>
      <c r="N455" s="6">
        <f t="shared" si="41"/>
        <v>18104800.700000003</v>
      </c>
      <c r="O455" s="6">
        <f t="shared" si="41"/>
        <v>28716195.66</v>
      </c>
      <c r="S455" s="6">
        <f t="shared" si="42"/>
        <v>10611394.960000001</v>
      </c>
      <c r="T455" s="6">
        <f t="shared" si="42"/>
        <v>26048948.800000004</v>
      </c>
      <c r="U455" s="6">
        <f t="shared" si="42"/>
        <v>36660343.759999998</v>
      </c>
      <c r="Y455" s="9">
        <f t="shared" si="43"/>
        <v>8842829.1400000006</v>
      </c>
      <c r="Z455" s="9">
        <f t="shared" si="43"/>
        <v>21707457.34</v>
      </c>
      <c r="AA455" s="9">
        <f t="shared" si="43"/>
        <v>30550286.480000004</v>
      </c>
      <c r="AD455" s="4">
        <v>295859904</v>
      </c>
      <c r="AE455" s="4">
        <v>22502023</v>
      </c>
    </row>
    <row r="456" spans="1:35" ht="17" customHeight="1" x14ac:dyDescent="0.35">
      <c r="A456" s="10" t="s">
        <v>1865</v>
      </c>
      <c r="B456" s="10" t="s">
        <v>50</v>
      </c>
      <c r="C456" s="174" t="s">
        <v>51</v>
      </c>
      <c r="D456" s="175"/>
      <c r="E456" s="175"/>
      <c r="F456" s="175"/>
      <c r="G456" s="175"/>
      <c r="H456" s="175"/>
      <c r="I456" s="176"/>
      <c r="M456" s="6">
        <f t="shared" si="41"/>
        <v>10611394.960000001</v>
      </c>
      <c r="N456" s="6">
        <f t="shared" si="41"/>
        <v>18104800.700000003</v>
      </c>
      <c r="O456" s="6">
        <f t="shared" si="41"/>
        <v>28716195.66</v>
      </c>
      <c r="S456" s="6">
        <f t="shared" si="42"/>
        <v>10611394.960000001</v>
      </c>
      <c r="T456" s="6">
        <f t="shared" si="42"/>
        <v>26048948.800000004</v>
      </c>
      <c r="U456" s="6">
        <f t="shared" si="42"/>
        <v>36660343.759999998</v>
      </c>
      <c r="Y456" s="9">
        <f t="shared" si="43"/>
        <v>8842829.1400000006</v>
      </c>
      <c r="Z456" s="9">
        <f t="shared" si="43"/>
        <v>21707457.34</v>
      </c>
      <c r="AA456" s="9">
        <f t="shared" si="43"/>
        <v>30550286.480000004</v>
      </c>
      <c r="AD456" s="4">
        <v>295859905</v>
      </c>
      <c r="AE456" s="4">
        <v>22502013</v>
      </c>
    </row>
    <row r="457" spans="1:35" ht="17" customHeight="1" x14ac:dyDescent="0.35">
      <c r="A457" s="10" t="s">
        <v>1866</v>
      </c>
      <c r="B457" s="10" t="s">
        <v>53</v>
      </c>
      <c r="C457" s="174" t="s">
        <v>54</v>
      </c>
      <c r="D457" s="175"/>
      <c r="E457" s="175"/>
      <c r="F457" s="175"/>
      <c r="G457" s="175"/>
      <c r="H457" s="175"/>
      <c r="I457" s="176"/>
      <c r="M457" s="6">
        <f t="shared" si="41"/>
        <v>10611394.960000001</v>
      </c>
      <c r="N457" s="6">
        <f t="shared" si="41"/>
        <v>18104800.700000003</v>
      </c>
      <c r="O457" s="6">
        <f t="shared" si="41"/>
        <v>28716195.66</v>
      </c>
      <c r="S457" s="6">
        <f t="shared" si="42"/>
        <v>10611394.960000001</v>
      </c>
      <c r="T457" s="6">
        <f t="shared" si="42"/>
        <v>26048948.800000004</v>
      </c>
      <c r="U457" s="6">
        <f t="shared" si="42"/>
        <v>36660343.759999998</v>
      </c>
      <c r="Y457" s="9">
        <f t="shared" si="43"/>
        <v>8842829.1400000006</v>
      </c>
      <c r="Z457" s="9">
        <f t="shared" si="43"/>
        <v>21707457.34</v>
      </c>
      <c r="AA457" s="9">
        <f t="shared" si="43"/>
        <v>30550286.480000004</v>
      </c>
      <c r="AD457" s="4">
        <v>295859906</v>
      </c>
      <c r="AE457" s="4">
        <v>22502025</v>
      </c>
    </row>
    <row r="458" spans="1:35" ht="17" customHeight="1" x14ac:dyDescent="0.35">
      <c r="A458" s="10" t="s">
        <v>1867</v>
      </c>
      <c r="B458" s="10" t="s">
        <v>56</v>
      </c>
      <c r="C458" s="174" t="s">
        <v>57</v>
      </c>
      <c r="D458" s="175"/>
      <c r="E458" s="175"/>
      <c r="F458" s="175"/>
      <c r="G458" s="175"/>
      <c r="H458" s="175"/>
      <c r="I458" s="176"/>
      <c r="M458" s="6">
        <f>SUM(M459,M465,M471,M477,M483,M489,M495,M501)</f>
        <v>10611394.960000001</v>
      </c>
      <c r="N458" s="6">
        <f>SUM(N459,N465,N471,N477,N483,N489,N495,N501)</f>
        <v>18104800.700000003</v>
      </c>
      <c r="O458" s="6">
        <f>SUM(O459,O465,O471,O477,O483,O489,O495,O501)</f>
        <v>28716195.66</v>
      </c>
      <c r="S458" s="6">
        <f>SUM(S459,S465,S471,S477,S483,S489,S495,S501)</f>
        <v>10611394.960000001</v>
      </c>
      <c r="T458" s="6">
        <f>SUM(T459,T465,T471,T477,T483,T489,T495,T501)</f>
        <v>26048948.800000004</v>
      </c>
      <c r="U458" s="6">
        <f>SUM(U459,U465,U471,U477,U483,U489,U495,U501)</f>
        <v>36660343.759999998</v>
      </c>
      <c r="Y458" s="9">
        <f>SUM(Y459,Y465,Y471,Y477,Y483,Y489,Y495,Y501)</f>
        <v>8842829.1400000006</v>
      </c>
      <c r="Z458" s="9">
        <f>SUM(Z459,Z465,Z471,Z477,Z483,Z489,Z495,Z501)</f>
        <v>21707457.34</v>
      </c>
      <c r="AA458" s="9">
        <f>SUM(AA459,AA465,AA471,AA477,AA483,AA489,AA495,AA501)</f>
        <v>30550286.480000004</v>
      </c>
      <c r="AD458" s="4">
        <v>295859907</v>
      </c>
      <c r="AE458" s="4">
        <v>22502014</v>
      </c>
    </row>
    <row r="459" spans="1:35" ht="252" x14ac:dyDescent="0.35">
      <c r="A459" s="10" t="s">
        <v>1868</v>
      </c>
      <c r="B459" s="10" t="s">
        <v>59</v>
      </c>
      <c r="C459" s="11" t="s">
        <v>60</v>
      </c>
      <c r="D459" s="12" t="s">
        <v>61</v>
      </c>
      <c r="E459" s="12" t="s">
        <v>62</v>
      </c>
      <c r="F459" s="12" t="s">
        <v>63</v>
      </c>
      <c r="G459" s="13">
        <v>1</v>
      </c>
      <c r="H459" s="13"/>
      <c r="I459" s="13">
        <v>6610.5</v>
      </c>
      <c r="J459" s="14">
        <f>IFERROR(ROUND(SUM(M460,M461,M462,M463,M464)/I459, 2),0)</f>
        <v>1117.5999999999999</v>
      </c>
      <c r="K459" s="15">
        <v>1991</v>
      </c>
      <c r="L459" s="14">
        <f>J459+ROUND(K459, 2)</f>
        <v>3108.6</v>
      </c>
      <c r="M459" s="14">
        <f>ROUND(J459*I459, 2)</f>
        <v>7387894.7999999998</v>
      </c>
      <c r="N459" s="14">
        <f>ROUND(I459*ROUND(K459, 2), 2)</f>
        <v>13161505.5</v>
      </c>
      <c r="O459" s="14">
        <f>M459+N459</f>
        <v>20549400.300000001</v>
      </c>
      <c r="P459" s="14">
        <f>IFERROR(ROUND(SUM(S460,S461,S462,S463,S464)/I459, 2),0)</f>
        <v>1117.5999999999999</v>
      </c>
      <c r="Q459" s="16">
        <v>2877</v>
      </c>
      <c r="R459" s="14">
        <f>P459+ROUND(Q459, 2)</f>
        <v>3994.6</v>
      </c>
      <c r="S459" s="14">
        <f>ROUND(P459*I459, 2)</f>
        <v>7387894.7999999998</v>
      </c>
      <c r="T459" s="14">
        <f>ROUND(I459*ROUND(Q459, 2), 2)</f>
        <v>19018408.5</v>
      </c>
      <c r="U459" s="14">
        <f>S459+T459</f>
        <v>26406303.300000001</v>
      </c>
      <c r="V459" s="9">
        <f>ROUND(P459 / 1.2, 2)</f>
        <v>931.33</v>
      </c>
      <c r="W459" s="9">
        <f>ROUND(Q459 / 1.2, 2)</f>
        <v>2397.5</v>
      </c>
      <c r="X459" s="9">
        <f>ROUND(R459 / 1.2, 2)</f>
        <v>3328.83</v>
      </c>
      <c r="Y459" s="9">
        <f>ROUND(S459 / 1.2, 2)</f>
        <v>6156579</v>
      </c>
      <c r="Z459" s="9">
        <f>ROUND(T459 / 1.2, 2)</f>
        <v>15848673.75</v>
      </c>
      <c r="AA459" s="9">
        <f>Y459+Z459</f>
        <v>22005252.75</v>
      </c>
      <c r="AD459" s="4">
        <v>295859909</v>
      </c>
      <c r="AE459" s="4">
        <v>22502056</v>
      </c>
      <c r="AG459" s="4" t="s">
        <v>64</v>
      </c>
      <c r="AH459" s="4" t="s">
        <v>65</v>
      </c>
      <c r="AI459" s="4" t="s">
        <v>66</v>
      </c>
    </row>
    <row r="460" spans="1:35" ht="54" x14ac:dyDescent="0.35">
      <c r="A460" s="10" t="s">
        <v>1869</v>
      </c>
      <c r="B460" s="10"/>
      <c r="C460" s="28" t="s">
        <v>69</v>
      </c>
      <c r="D460" s="12"/>
      <c r="E460" s="12"/>
      <c r="F460" s="29" t="s">
        <v>70</v>
      </c>
      <c r="G460" s="30">
        <v>1</v>
      </c>
      <c r="H460" s="30"/>
      <c r="I460" s="30">
        <v>6610.5</v>
      </c>
      <c r="J460" s="31">
        <v>88.35</v>
      </c>
      <c r="M460" s="32">
        <f>ROUND(ROUND(J460, 2)*I460, 2)</f>
        <v>584037.68000000005</v>
      </c>
      <c r="P460" s="33">
        <v>88.35</v>
      </c>
      <c r="S460" s="32">
        <f>ROUND(ROUND(P460, 2)*I460, 2)</f>
        <v>584037.68000000005</v>
      </c>
      <c r="V460" s="9">
        <f>ROUND(ROUND(P460, 2)/1.2, 2)</f>
        <v>73.63</v>
      </c>
      <c r="Y460" s="9">
        <f t="shared" ref="Y460:Y506" si="44">ROUND(S460 / 1.2, 2)</f>
        <v>486698.07</v>
      </c>
      <c r="AD460" s="4" t="s">
        <v>1870</v>
      </c>
      <c r="AE460" s="4" t="s">
        <v>1871</v>
      </c>
      <c r="AF460" s="4" t="s">
        <v>73</v>
      </c>
    </row>
    <row r="461" spans="1:35" ht="18" x14ac:dyDescent="0.35">
      <c r="A461" s="10" t="s">
        <v>1872</v>
      </c>
      <c r="B461" s="10"/>
      <c r="C461" s="47" t="s">
        <v>77</v>
      </c>
      <c r="D461" s="12"/>
      <c r="E461" s="12"/>
      <c r="F461" s="29" t="s">
        <v>78</v>
      </c>
      <c r="G461" s="30">
        <v>0.8</v>
      </c>
      <c r="H461" s="49"/>
      <c r="I461" s="49">
        <v>5288.4</v>
      </c>
      <c r="J461" s="31">
        <v>63.73</v>
      </c>
      <c r="M461" s="32">
        <f>ROUND(ROUND(J461, 2)*I461, 2)</f>
        <v>337029.73</v>
      </c>
      <c r="P461" s="33">
        <v>63.73</v>
      </c>
      <c r="S461" s="32">
        <f>ROUND(ROUND(P461, 2)*I461, 2)</f>
        <v>337029.73</v>
      </c>
      <c r="V461" s="9">
        <f>ROUND(ROUND(P461, 2)/1.2, 2)</f>
        <v>53.11</v>
      </c>
      <c r="Y461" s="9">
        <f t="shared" si="44"/>
        <v>280858.11</v>
      </c>
      <c r="AD461" s="4" t="s">
        <v>1873</v>
      </c>
      <c r="AE461" s="4" t="s">
        <v>1874</v>
      </c>
      <c r="AF461" s="4" t="s">
        <v>81</v>
      </c>
    </row>
    <row r="462" spans="1:35" ht="18" x14ac:dyDescent="0.35">
      <c r="A462" s="10" t="s">
        <v>1875</v>
      </c>
      <c r="B462" s="10"/>
      <c r="C462" s="47" t="s">
        <v>85</v>
      </c>
      <c r="D462" s="12"/>
      <c r="E462" s="12"/>
      <c r="F462" s="29" t="s">
        <v>78</v>
      </c>
      <c r="G462" s="30">
        <v>2.1</v>
      </c>
      <c r="H462" s="49"/>
      <c r="I462" s="49">
        <v>13882.05</v>
      </c>
      <c r="J462" s="31">
        <v>95.07</v>
      </c>
      <c r="M462" s="32">
        <f>ROUND(ROUND(J462, 2)*I462, 2)</f>
        <v>1319766.49</v>
      </c>
      <c r="P462" s="33">
        <v>95.07</v>
      </c>
      <c r="S462" s="32">
        <f>ROUND(ROUND(P462, 2)*I462, 2)</f>
        <v>1319766.49</v>
      </c>
      <c r="V462" s="9">
        <f>ROUND(ROUND(P462, 2)/1.2, 2)</f>
        <v>79.23</v>
      </c>
      <c r="Y462" s="9">
        <f t="shared" si="44"/>
        <v>1099805.4099999999</v>
      </c>
      <c r="AD462" s="4" t="s">
        <v>1876</v>
      </c>
      <c r="AE462" s="4" t="s">
        <v>1877</v>
      </c>
      <c r="AF462" s="4" t="s">
        <v>88</v>
      </c>
    </row>
    <row r="463" spans="1:35" ht="36" x14ac:dyDescent="0.35">
      <c r="A463" s="10" t="s">
        <v>1878</v>
      </c>
      <c r="B463" s="10"/>
      <c r="C463" s="47" t="s">
        <v>92</v>
      </c>
      <c r="D463" s="12"/>
      <c r="E463" s="12"/>
      <c r="F463" s="29" t="s">
        <v>93</v>
      </c>
      <c r="G463" s="30">
        <v>5.1999999999999998E-2</v>
      </c>
      <c r="H463" s="30"/>
      <c r="I463" s="30">
        <v>343.74599999999998</v>
      </c>
      <c r="J463" s="31">
        <v>4026.8</v>
      </c>
      <c r="M463" s="32">
        <f>ROUND(ROUND(J463, 2)*I463, 2)</f>
        <v>1384196.39</v>
      </c>
      <c r="P463" s="33">
        <v>4026.8</v>
      </c>
      <c r="S463" s="32">
        <f>ROUND(ROUND(P463, 2)*I463, 2)</f>
        <v>1384196.39</v>
      </c>
      <c r="V463" s="9">
        <f>ROUND(ROUND(P463, 2)/1.2, 2)</f>
        <v>3355.67</v>
      </c>
      <c r="Y463" s="9">
        <f t="shared" si="44"/>
        <v>1153496.99</v>
      </c>
      <c r="AD463" s="4" t="s">
        <v>1879</v>
      </c>
      <c r="AE463" s="4" t="s">
        <v>1880</v>
      </c>
      <c r="AF463" s="4" t="s">
        <v>96</v>
      </c>
    </row>
    <row r="464" spans="1:35" ht="36" x14ac:dyDescent="0.35">
      <c r="A464" s="10" t="s">
        <v>1881</v>
      </c>
      <c r="B464" s="10"/>
      <c r="C464" s="28" t="s">
        <v>100</v>
      </c>
      <c r="D464" s="12"/>
      <c r="E464" s="12"/>
      <c r="F464" s="29" t="s">
        <v>63</v>
      </c>
      <c r="G464" s="30">
        <v>4.2</v>
      </c>
      <c r="H464" s="30"/>
      <c r="I464" s="30">
        <v>27764.1</v>
      </c>
      <c r="J464" s="31">
        <v>135.53</v>
      </c>
      <c r="M464" s="32">
        <f>ROUND(ROUND(J464, 2)*I464, 2)</f>
        <v>3762868.47</v>
      </c>
      <c r="P464" s="33">
        <v>135.53</v>
      </c>
      <c r="S464" s="32">
        <f>ROUND(ROUND(P464, 2)*I464, 2)</f>
        <v>3762868.47</v>
      </c>
      <c r="V464" s="9">
        <f>ROUND(ROUND(P464, 2)/1.2, 2)</f>
        <v>112.94</v>
      </c>
      <c r="Y464" s="9">
        <f t="shared" si="44"/>
        <v>3135723.73</v>
      </c>
      <c r="AD464" s="4" t="s">
        <v>1882</v>
      </c>
      <c r="AE464" s="4" t="s">
        <v>1883</v>
      </c>
      <c r="AF464" s="4" t="s">
        <v>103</v>
      </c>
    </row>
    <row r="465" spans="1:35" ht="270" x14ac:dyDescent="0.35">
      <c r="A465" s="10" t="s">
        <v>1884</v>
      </c>
      <c r="B465" s="10" t="s">
        <v>123</v>
      </c>
      <c r="C465" s="11" t="s">
        <v>124</v>
      </c>
      <c r="D465" s="12" t="s">
        <v>61</v>
      </c>
      <c r="E465" s="12" t="s">
        <v>128</v>
      </c>
      <c r="F465" s="12" t="s">
        <v>63</v>
      </c>
      <c r="G465" s="13">
        <v>1</v>
      </c>
      <c r="H465" s="13"/>
      <c r="I465" s="13">
        <v>162.4</v>
      </c>
      <c r="J465" s="14">
        <f>IFERROR(ROUND(SUM(M466,M467,M468,M469,M470)/I465, 2),0)</f>
        <v>1039.98</v>
      </c>
      <c r="K465" s="15">
        <v>1991</v>
      </c>
      <c r="L465" s="14">
        <f>J465+ROUND(K465, 2)</f>
        <v>3030.98</v>
      </c>
      <c r="M465" s="14">
        <f>ROUND(J465*I465, 2)</f>
        <v>168892.75</v>
      </c>
      <c r="N465" s="14">
        <f>ROUND(I465*ROUND(K465, 2), 2)</f>
        <v>323338.40000000002</v>
      </c>
      <c r="O465" s="14">
        <f>M465+N465</f>
        <v>492231.15</v>
      </c>
      <c r="P465" s="14">
        <f>IFERROR(ROUND(SUM(S466,S467,S468,S469,S470)/I465, 2),0)</f>
        <v>1039.98</v>
      </c>
      <c r="Q465" s="16">
        <v>2877</v>
      </c>
      <c r="R465" s="14">
        <f>P465+ROUND(Q465, 2)</f>
        <v>3916.98</v>
      </c>
      <c r="S465" s="14">
        <f>ROUND(P465*I465, 2)</f>
        <v>168892.75</v>
      </c>
      <c r="T465" s="14">
        <f>ROUND(I465*ROUND(Q465, 2), 2)</f>
        <v>467224.8</v>
      </c>
      <c r="U465" s="14">
        <f>S465+T465</f>
        <v>636117.55000000005</v>
      </c>
      <c r="V465" s="9">
        <f>ROUND(P465 / 1.2, 2)</f>
        <v>866.65</v>
      </c>
      <c r="W465" s="9">
        <f>ROUND(Q465 / 1.2, 2)</f>
        <v>2397.5</v>
      </c>
      <c r="X465" s="9">
        <f>ROUND(R465 / 1.2, 2)</f>
        <v>3264.15</v>
      </c>
      <c r="Y465" s="9">
        <f t="shared" si="44"/>
        <v>140743.96</v>
      </c>
      <c r="Z465" s="9">
        <f>ROUND(T465 / 1.2, 2)</f>
        <v>389354</v>
      </c>
      <c r="AA465" s="9">
        <f>Y465+Z465</f>
        <v>530097.96</v>
      </c>
      <c r="AD465" s="4">
        <v>295859910</v>
      </c>
      <c r="AE465" s="4">
        <v>22502060</v>
      </c>
      <c r="AG465" s="4" t="s">
        <v>125</v>
      </c>
      <c r="AH465" s="4" t="s">
        <v>126</v>
      </c>
      <c r="AI465" s="4" t="s">
        <v>66</v>
      </c>
    </row>
    <row r="466" spans="1:35" ht="54" x14ac:dyDescent="0.35">
      <c r="A466" s="10" t="s">
        <v>1885</v>
      </c>
      <c r="B466" s="10"/>
      <c r="C466" s="28" t="s">
        <v>69</v>
      </c>
      <c r="D466" s="12"/>
      <c r="E466" s="12"/>
      <c r="F466" s="29" t="s">
        <v>70</v>
      </c>
      <c r="G466" s="30">
        <v>1</v>
      </c>
      <c r="H466" s="30"/>
      <c r="I466" s="30">
        <v>162.4</v>
      </c>
      <c r="J466" s="31">
        <v>88.35</v>
      </c>
      <c r="M466" s="32">
        <f>ROUND(ROUND(J466, 2)*I466, 2)</f>
        <v>14348.04</v>
      </c>
      <c r="P466" s="33">
        <v>88.35</v>
      </c>
      <c r="S466" s="32">
        <f>ROUND(ROUND(P466, 2)*I466, 2)</f>
        <v>14348.04</v>
      </c>
      <c r="V466" s="9">
        <f>ROUND(ROUND(P466, 2)/1.2, 2)</f>
        <v>73.63</v>
      </c>
      <c r="Y466" s="9">
        <f t="shared" si="44"/>
        <v>11956.7</v>
      </c>
      <c r="AD466" s="4" t="s">
        <v>1886</v>
      </c>
      <c r="AE466" s="4" t="s">
        <v>1887</v>
      </c>
      <c r="AF466" s="4" t="s">
        <v>73</v>
      </c>
    </row>
    <row r="467" spans="1:35" ht="18" x14ac:dyDescent="0.35">
      <c r="A467" s="10" t="s">
        <v>1888</v>
      </c>
      <c r="B467" s="10"/>
      <c r="C467" s="47" t="s">
        <v>135</v>
      </c>
      <c r="D467" s="12"/>
      <c r="E467" s="12"/>
      <c r="F467" s="29" t="s">
        <v>78</v>
      </c>
      <c r="G467" s="30">
        <v>2.04</v>
      </c>
      <c r="H467" s="49"/>
      <c r="I467" s="49">
        <v>331.29599999999999</v>
      </c>
      <c r="J467" s="31">
        <v>64.56</v>
      </c>
      <c r="M467" s="32">
        <f>ROUND(ROUND(J467, 2)*I467, 2)</f>
        <v>21388.47</v>
      </c>
      <c r="P467" s="33">
        <v>64.56</v>
      </c>
      <c r="S467" s="32">
        <f>ROUND(ROUND(P467, 2)*I467, 2)</f>
        <v>21388.47</v>
      </c>
      <c r="V467" s="9">
        <f>ROUND(ROUND(P467, 2)/1.2, 2)</f>
        <v>53.8</v>
      </c>
      <c r="Y467" s="9">
        <f t="shared" si="44"/>
        <v>17823.73</v>
      </c>
      <c r="AD467" s="4" t="s">
        <v>1889</v>
      </c>
      <c r="AE467" s="4" t="s">
        <v>1890</v>
      </c>
      <c r="AF467" s="4" t="s">
        <v>138</v>
      </c>
    </row>
    <row r="468" spans="1:35" ht="18" x14ac:dyDescent="0.35">
      <c r="A468" s="10" t="s">
        <v>1891</v>
      </c>
      <c r="B468" s="10"/>
      <c r="C468" s="47" t="s">
        <v>142</v>
      </c>
      <c r="D468" s="12"/>
      <c r="E468" s="12"/>
      <c r="F468" s="29" t="s">
        <v>78</v>
      </c>
      <c r="G468" s="30">
        <v>0.8</v>
      </c>
      <c r="H468" s="49"/>
      <c r="I468" s="49">
        <v>129.91999999999999</v>
      </c>
      <c r="J468" s="31">
        <v>51.63</v>
      </c>
      <c r="M468" s="32">
        <f>ROUND(ROUND(J468, 2)*I468, 2)</f>
        <v>6707.77</v>
      </c>
      <c r="P468" s="33">
        <v>51.63</v>
      </c>
      <c r="S468" s="32">
        <f>ROUND(ROUND(P468, 2)*I468, 2)</f>
        <v>6707.77</v>
      </c>
      <c r="V468" s="9">
        <f>ROUND(ROUND(P468, 2)/1.2, 2)</f>
        <v>43.03</v>
      </c>
      <c r="Y468" s="9">
        <f t="shared" si="44"/>
        <v>5589.81</v>
      </c>
      <c r="AD468" s="4" t="s">
        <v>1892</v>
      </c>
      <c r="AE468" s="4" t="s">
        <v>1893</v>
      </c>
      <c r="AF468" s="4" t="s">
        <v>145</v>
      </c>
    </row>
    <row r="469" spans="1:35" ht="36" x14ac:dyDescent="0.35">
      <c r="A469" s="10" t="s">
        <v>1894</v>
      </c>
      <c r="B469" s="10"/>
      <c r="C469" s="47" t="s">
        <v>92</v>
      </c>
      <c r="D469" s="12"/>
      <c r="E469" s="12"/>
      <c r="F469" s="29" t="s">
        <v>93</v>
      </c>
      <c r="G469" s="30">
        <v>5.1999999999999998E-2</v>
      </c>
      <c r="H469" s="30"/>
      <c r="I469" s="30">
        <v>8.4450000000000003</v>
      </c>
      <c r="J469" s="31">
        <v>4026.8</v>
      </c>
      <c r="M469" s="32">
        <f>ROUND(ROUND(J469, 2)*I469, 2)</f>
        <v>34006.33</v>
      </c>
      <c r="P469" s="33">
        <v>4026.8</v>
      </c>
      <c r="S469" s="32">
        <f>ROUND(ROUND(P469, 2)*I469, 2)</f>
        <v>34006.33</v>
      </c>
      <c r="V469" s="9">
        <f>ROUND(ROUND(P469, 2)/1.2, 2)</f>
        <v>3355.67</v>
      </c>
      <c r="Y469" s="9">
        <f t="shared" si="44"/>
        <v>28338.61</v>
      </c>
      <c r="AD469" s="4" t="s">
        <v>1895</v>
      </c>
      <c r="AE469" s="4" t="s">
        <v>1896</v>
      </c>
      <c r="AF469" s="4" t="s">
        <v>96</v>
      </c>
    </row>
    <row r="470" spans="1:35" ht="36" x14ac:dyDescent="0.35">
      <c r="A470" s="10" t="s">
        <v>1897</v>
      </c>
      <c r="B470" s="10"/>
      <c r="C470" s="28" t="s">
        <v>100</v>
      </c>
      <c r="D470" s="12"/>
      <c r="E470" s="12" t="s">
        <v>157</v>
      </c>
      <c r="F470" s="29" t="s">
        <v>63</v>
      </c>
      <c r="G470" s="30">
        <v>4.2</v>
      </c>
      <c r="H470" s="30"/>
      <c r="I470" s="30">
        <v>682.08</v>
      </c>
      <c r="J470" s="31">
        <v>135.53</v>
      </c>
      <c r="M470" s="32">
        <f>ROUND(ROUND(J470, 2)*I470, 2)</f>
        <v>92442.3</v>
      </c>
      <c r="P470" s="33">
        <v>135.53</v>
      </c>
      <c r="S470" s="32">
        <f>ROUND(ROUND(P470, 2)*I470, 2)</f>
        <v>92442.3</v>
      </c>
      <c r="V470" s="9">
        <f>ROUND(ROUND(P470, 2)/1.2, 2)</f>
        <v>112.94</v>
      </c>
      <c r="Y470" s="9">
        <f t="shared" si="44"/>
        <v>77035.25</v>
      </c>
      <c r="AD470" s="4" t="s">
        <v>1898</v>
      </c>
      <c r="AE470" s="4" t="s">
        <v>1899</v>
      </c>
      <c r="AF470" s="4" t="s">
        <v>103</v>
      </c>
    </row>
    <row r="471" spans="1:35" ht="216" x14ac:dyDescent="0.35">
      <c r="A471" s="10" t="s">
        <v>1900</v>
      </c>
      <c r="B471" s="10" t="s">
        <v>123</v>
      </c>
      <c r="C471" s="11" t="s">
        <v>124</v>
      </c>
      <c r="D471" s="12" t="s">
        <v>61</v>
      </c>
      <c r="E471" s="12" t="s">
        <v>161</v>
      </c>
      <c r="F471" s="12" t="s">
        <v>63</v>
      </c>
      <c r="G471" s="13">
        <v>1</v>
      </c>
      <c r="H471" s="13"/>
      <c r="I471" s="13">
        <v>59.8</v>
      </c>
      <c r="J471" s="14">
        <f>IFERROR(ROUND(SUM(M472,M473,M474,M475,M476)/I471, 2),0)</f>
        <v>1040</v>
      </c>
      <c r="K471" s="15">
        <v>1991</v>
      </c>
      <c r="L471" s="14">
        <f>J471+ROUND(K471, 2)</f>
        <v>3031</v>
      </c>
      <c r="M471" s="14">
        <f>ROUND(J471*I471, 2)</f>
        <v>62192</v>
      </c>
      <c r="N471" s="14">
        <f>ROUND(I471*ROUND(K471, 2), 2)</f>
        <v>119061.8</v>
      </c>
      <c r="O471" s="14">
        <f>M471+N471</f>
        <v>181253.8</v>
      </c>
      <c r="P471" s="14">
        <f>IFERROR(ROUND(SUM(S472,S473,S474,S475,S476)/I471, 2),0)</f>
        <v>1040</v>
      </c>
      <c r="Q471" s="16">
        <v>2877</v>
      </c>
      <c r="R471" s="14">
        <f>P471+ROUND(Q471, 2)</f>
        <v>3917</v>
      </c>
      <c r="S471" s="14">
        <f>ROUND(P471*I471, 2)</f>
        <v>62192</v>
      </c>
      <c r="T471" s="14">
        <f>ROUND(I471*ROUND(Q471, 2), 2)</f>
        <v>172044.6</v>
      </c>
      <c r="U471" s="14">
        <f>S471+T471</f>
        <v>234236.6</v>
      </c>
      <c r="V471" s="9">
        <f>ROUND(P471 / 1.2, 2)</f>
        <v>866.67</v>
      </c>
      <c r="W471" s="9">
        <f>ROUND(Q471 / 1.2, 2)</f>
        <v>2397.5</v>
      </c>
      <c r="X471" s="9">
        <f>ROUND(R471 / 1.2, 2)</f>
        <v>3264.17</v>
      </c>
      <c r="Y471" s="9">
        <f t="shared" si="44"/>
        <v>51826.67</v>
      </c>
      <c r="Z471" s="9">
        <f>ROUND(T471 / 1.2, 2)</f>
        <v>143370.5</v>
      </c>
      <c r="AA471" s="9">
        <f>Y471+Z471</f>
        <v>195197.16999999998</v>
      </c>
      <c r="AD471" s="4">
        <v>295859980</v>
      </c>
      <c r="AE471" s="4">
        <v>22502058</v>
      </c>
      <c r="AG471" s="4" t="s">
        <v>125</v>
      </c>
      <c r="AH471" s="4" t="s">
        <v>126</v>
      </c>
      <c r="AI471" s="4" t="s">
        <v>66</v>
      </c>
    </row>
    <row r="472" spans="1:35" ht="36" x14ac:dyDescent="0.35">
      <c r="A472" s="10" t="s">
        <v>1901</v>
      </c>
      <c r="B472" s="10"/>
      <c r="C472" s="28" t="s">
        <v>100</v>
      </c>
      <c r="D472" s="12"/>
      <c r="E472" s="12"/>
      <c r="F472" s="29" t="s">
        <v>63</v>
      </c>
      <c r="G472" s="30">
        <v>4.2</v>
      </c>
      <c r="H472" s="30"/>
      <c r="I472" s="30">
        <v>251.16</v>
      </c>
      <c r="J472" s="31">
        <v>135.53</v>
      </c>
      <c r="M472" s="32">
        <f>ROUND(ROUND(J472, 2)*I472, 2)</f>
        <v>34039.71</v>
      </c>
      <c r="P472" s="33">
        <v>135.53</v>
      </c>
      <c r="S472" s="32">
        <f>ROUND(ROUND(P472, 2)*I472, 2)</f>
        <v>34039.71</v>
      </c>
      <c r="V472" s="9">
        <f>ROUND(ROUND(P472, 2)/1.2, 2)</f>
        <v>112.94</v>
      </c>
      <c r="Y472" s="9">
        <f t="shared" si="44"/>
        <v>28366.43</v>
      </c>
      <c r="AD472" s="4" t="s">
        <v>1902</v>
      </c>
      <c r="AE472" s="4" t="s">
        <v>1903</v>
      </c>
      <c r="AF472" s="4" t="s">
        <v>103</v>
      </c>
    </row>
    <row r="473" spans="1:35" ht="36" x14ac:dyDescent="0.35">
      <c r="A473" s="10" t="s">
        <v>1904</v>
      </c>
      <c r="B473" s="10"/>
      <c r="C473" s="47" t="s">
        <v>92</v>
      </c>
      <c r="D473" s="12"/>
      <c r="E473" s="12"/>
      <c r="F473" s="29" t="s">
        <v>93</v>
      </c>
      <c r="G473" s="30">
        <v>5.1999999999999998E-2</v>
      </c>
      <c r="H473" s="30"/>
      <c r="I473" s="30">
        <v>3.11</v>
      </c>
      <c r="J473" s="31">
        <v>4026.8</v>
      </c>
      <c r="M473" s="32">
        <f>ROUND(ROUND(J473, 2)*I473, 2)</f>
        <v>12523.35</v>
      </c>
      <c r="P473" s="33">
        <v>4026.8</v>
      </c>
      <c r="S473" s="32">
        <f>ROUND(ROUND(P473, 2)*I473, 2)</f>
        <v>12523.35</v>
      </c>
      <c r="V473" s="9">
        <f>ROUND(ROUND(P473, 2)/1.2, 2)</f>
        <v>3355.67</v>
      </c>
      <c r="Y473" s="9">
        <f t="shared" si="44"/>
        <v>10436.129999999999</v>
      </c>
      <c r="AD473" s="4" t="s">
        <v>1905</v>
      </c>
      <c r="AE473" s="4" t="s">
        <v>1906</v>
      </c>
      <c r="AF473" s="4" t="s">
        <v>96</v>
      </c>
    </row>
    <row r="474" spans="1:35" ht="18" x14ac:dyDescent="0.35">
      <c r="A474" s="10" t="s">
        <v>1907</v>
      </c>
      <c r="B474" s="10"/>
      <c r="C474" s="47" t="s">
        <v>135</v>
      </c>
      <c r="D474" s="12"/>
      <c r="E474" s="12"/>
      <c r="F474" s="29" t="s">
        <v>78</v>
      </c>
      <c r="G474" s="30">
        <v>2.04</v>
      </c>
      <c r="H474" s="49"/>
      <c r="I474" s="49">
        <v>121.992</v>
      </c>
      <c r="J474" s="31">
        <v>64.56</v>
      </c>
      <c r="M474" s="32">
        <f>ROUND(ROUND(J474, 2)*I474, 2)</f>
        <v>7875.8</v>
      </c>
      <c r="P474" s="33">
        <v>64.56</v>
      </c>
      <c r="S474" s="32">
        <f>ROUND(ROUND(P474, 2)*I474, 2)</f>
        <v>7875.8</v>
      </c>
      <c r="V474" s="9">
        <f>ROUND(ROUND(P474, 2)/1.2, 2)</f>
        <v>53.8</v>
      </c>
      <c r="Y474" s="9">
        <f t="shared" si="44"/>
        <v>6563.17</v>
      </c>
      <c r="AD474" s="4" t="s">
        <v>1908</v>
      </c>
      <c r="AE474" s="4" t="s">
        <v>1909</v>
      </c>
      <c r="AF474" s="4" t="s">
        <v>138</v>
      </c>
    </row>
    <row r="475" spans="1:35" ht="18" x14ac:dyDescent="0.35">
      <c r="A475" s="10" t="s">
        <v>1910</v>
      </c>
      <c r="B475" s="10"/>
      <c r="C475" s="47" t="s">
        <v>142</v>
      </c>
      <c r="D475" s="12"/>
      <c r="E475" s="12"/>
      <c r="F475" s="29" t="s">
        <v>78</v>
      </c>
      <c r="G475" s="30">
        <v>0.8</v>
      </c>
      <c r="H475" s="49"/>
      <c r="I475" s="49">
        <v>47.84</v>
      </c>
      <c r="J475" s="31">
        <v>51.63</v>
      </c>
      <c r="M475" s="32">
        <f>ROUND(ROUND(J475, 2)*I475, 2)</f>
        <v>2469.98</v>
      </c>
      <c r="P475" s="33">
        <v>51.63</v>
      </c>
      <c r="S475" s="32">
        <f>ROUND(ROUND(P475, 2)*I475, 2)</f>
        <v>2469.98</v>
      </c>
      <c r="V475" s="9">
        <f>ROUND(ROUND(P475, 2)/1.2, 2)</f>
        <v>43.03</v>
      </c>
      <c r="Y475" s="9">
        <f t="shared" si="44"/>
        <v>2058.3200000000002</v>
      </c>
      <c r="AD475" s="4" t="s">
        <v>1911</v>
      </c>
      <c r="AE475" s="4" t="s">
        <v>1912</v>
      </c>
      <c r="AF475" s="4" t="s">
        <v>145</v>
      </c>
    </row>
    <row r="476" spans="1:35" ht="54" x14ac:dyDescent="0.35">
      <c r="A476" s="10" t="s">
        <v>1913</v>
      </c>
      <c r="B476" s="10"/>
      <c r="C476" s="28" t="s">
        <v>69</v>
      </c>
      <c r="D476" s="12"/>
      <c r="E476" s="12"/>
      <c r="F476" s="29" t="s">
        <v>70</v>
      </c>
      <c r="G476" s="30">
        <v>1</v>
      </c>
      <c r="H476" s="30"/>
      <c r="I476" s="30">
        <v>59.8</v>
      </c>
      <c r="J476" s="31">
        <v>88.35</v>
      </c>
      <c r="M476" s="32">
        <f>ROUND(ROUND(J476, 2)*I476, 2)</f>
        <v>5283.33</v>
      </c>
      <c r="P476" s="33">
        <v>88.35</v>
      </c>
      <c r="S476" s="32">
        <f>ROUND(ROUND(P476, 2)*I476, 2)</f>
        <v>5283.33</v>
      </c>
      <c r="V476" s="9">
        <f>ROUND(ROUND(P476, 2)/1.2, 2)</f>
        <v>73.63</v>
      </c>
      <c r="Y476" s="9">
        <f t="shared" si="44"/>
        <v>4402.78</v>
      </c>
      <c r="AD476" s="4" t="s">
        <v>1914</v>
      </c>
      <c r="AE476" s="4" t="s">
        <v>1915</v>
      </c>
      <c r="AF476" s="4" t="s">
        <v>73</v>
      </c>
    </row>
    <row r="477" spans="1:35" ht="288" x14ac:dyDescent="0.35">
      <c r="A477" s="10" t="s">
        <v>1916</v>
      </c>
      <c r="B477" s="10" t="s">
        <v>215</v>
      </c>
      <c r="C477" s="11" t="s">
        <v>216</v>
      </c>
      <c r="D477" s="12" t="s">
        <v>61</v>
      </c>
      <c r="E477" s="12" t="s">
        <v>1917</v>
      </c>
      <c r="F477" s="12" t="s">
        <v>63</v>
      </c>
      <c r="G477" s="13">
        <v>1</v>
      </c>
      <c r="H477" s="13"/>
      <c r="I477" s="13">
        <v>783.6</v>
      </c>
      <c r="J477" s="14">
        <f>IFERROR(ROUND(SUM(M478,M479,M480,M481,M482)/I477, 2),0)</f>
        <v>805.05</v>
      </c>
      <c r="K477" s="15">
        <v>1225</v>
      </c>
      <c r="L477" s="14">
        <f>J477+ROUND(K477, 2)</f>
        <v>2030.05</v>
      </c>
      <c r="M477" s="14">
        <f>ROUND(J477*I477, 2)</f>
        <v>630837.18000000005</v>
      </c>
      <c r="N477" s="14">
        <f>ROUND(I477*ROUND(K477, 2), 2)</f>
        <v>959910</v>
      </c>
      <c r="O477" s="14">
        <f>M477+N477</f>
        <v>1590747.1800000002</v>
      </c>
      <c r="P477" s="14">
        <f>IFERROR(ROUND(SUM(S478,S479,S480,S481,S482)/I477, 2),0)</f>
        <v>805.05</v>
      </c>
      <c r="Q477" s="16">
        <v>1739.5</v>
      </c>
      <c r="R477" s="14">
        <f>P477+ROUND(Q477, 2)</f>
        <v>2544.5500000000002</v>
      </c>
      <c r="S477" s="14">
        <f>ROUND(P477*I477, 2)</f>
        <v>630837.18000000005</v>
      </c>
      <c r="T477" s="14">
        <f>ROUND(I477*ROUND(Q477, 2), 2)</f>
        <v>1363072.2</v>
      </c>
      <c r="U477" s="14">
        <f>S477+T477</f>
        <v>1993909.38</v>
      </c>
      <c r="V477" s="9">
        <f>ROUND(P477 / 1.2, 2)</f>
        <v>670.88</v>
      </c>
      <c r="W477" s="9">
        <f>ROUND(Q477 / 1.2, 2)</f>
        <v>1449.58</v>
      </c>
      <c r="X477" s="9">
        <f>ROUND(R477 / 1.2, 2)</f>
        <v>2120.46</v>
      </c>
      <c r="Y477" s="9">
        <f t="shared" si="44"/>
        <v>525697.65</v>
      </c>
      <c r="Z477" s="9">
        <f>ROUND(T477 / 1.2, 2)</f>
        <v>1135893.5</v>
      </c>
      <c r="AA477" s="9">
        <f>Y477+Z477</f>
        <v>1661591.15</v>
      </c>
      <c r="AD477" s="4">
        <v>295859912</v>
      </c>
      <c r="AE477" s="4">
        <v>22502063</v>
      </c>
      <c r="AG477" s="4" t="s">
        <v>217</v>
      </c>
      <c r="AH477" s="4" t="s">
        <v>218</v>
      </c>
      <c r="AI477" s="4" t="s">
        <v>66</v>
      </c>
    </row>
    <row r="478" spans="1:35" ht="54" x14ac:dyDescent="0.35">
      <c r="A478" s="10" t="s">
        <v>1918</v>
      </c>
      <c r="B478" s="10"/>
      <c r="C478" s="28" t="s">
        <v>222</v>
      </c>
      <c r="D478" s="12"/>
      <c r="E478" s="12"/>
      <c r="F478" s="29" t="s">
        <v>70</v>
      </c>
      <c r="G478" s="30">
        <v>1</v>
      </c>
      <c r="H478" s="30"/>
      <c r="I478" s="30">
        <v>783.6</v>
      </c>
      <c r="J478" s="31">
        <v>111.15</v>
      </c>
      <c r="M478" s="32">
        <f>ROUND(ROUND(J478, 2)*I478, 2)</f>
        <v>87097.14</v>
      </c>
      <c r="P478" s="33">
        <v>111.15</v>
      </c>
      <c r="S478" s="32">
        <f>ROUND(ROUND(P478, 2)*I478, 2)</f>
        <v>87097.14</v>
      </c>
      <c r="V478" s="9">
        <f>ROUND(ROUND(P478, 2)/1.2, 2)</f>
        <v>92.63</v>
      </c>
      <c r="Y478" s="9">
        <f t="shared" si="44"/>
        <v>72580.95</v>
      </c>
      <c r="AD478" s="4" t="s">
        <v>1919</v>
      </c>
      <c r="AE478" s="4" t="s">
        <v>1920</v>
      </c>
      <c r="AF478" s="4" t="s">
        <v>225</v>
      </c>
    </row>
    <row r="479" spans="1:35" ht="18" x14ac:dyDescent="0.35">
      <c r="A479" s="10" t="s">
        <v>1921</v>
      </c>
      <c r="B479" s="10"/>
      <c r="C479" s="47" t="s">
        <v>77</v>
      </c>
      <c r="D479" s="12"/>
      <c r="E479" s="12"/>
      <c r="F479" s="29" t="s">
        <v>78</v>
      </c>
      <c r="G479" s="30">
        <v>0.86</v>
      </c>
      <c r="H479" s="49"/>
      <c r="I479" s="49">
        <v>673.89599999999996</v>
      </c>
      <c r="J479" s="31">
        <v>63.73</v>
      </c>
      <c r="M479" s="32">
        <f>ROUND(ROUND(J479, 2)*I479, 2)</f>
        <v>42947.39</v>
      </c>
      <c r="P479" s="33">
        <v>63.73</v>
      </c>
      <c r="S479" s="32">
        <f>ROUND(ROUND(P479, 2)*I479, 2)</f>
        <v>42947.39</v>
      </c>
      <c r="V479" s="9">
        <f>ROUND(ROUND(P479, 2)/1.2, 2)</f>
        <v>53.11</v>
      </c>
      <c r="Y479" s="9">
        <f t="shared" si="44"/>
        <v>35789.49</v>
      </c>
      <c r="AD479" s="4" t="s">
        <v>1922</v>
      </c>
      <c r="AE479" s="4" t="s">
        <v>1923</v>
      </c>
      <c r="AF479" s="4" t="s">
        <v>81</v>
      </c>
    </row>
    <row r="480" spans="1:35" ht="18" x14ac:dyDescent="0.35">
      <c r="A480" s="10" t="s">
        <v>1924</v>
      </c>
      <c r="B480" s="10"/>
      <c r="C480" s="47" t="s">
        <v>85</v>
      </c>
      <c r="D480" s="12"/>
      <c r="E480" s="12"/>
      <c r="F480" s="29" t="s">
        <v>78</v>
      </c>
      <c r="G480" s="30">
        <v>2.1</v>
      </c>
      <c r="H480" s="49"/>
      <c r="I480" s="49">
        <v>1645.56</v>
      </c>
      <c r="J480" s="31">
        <v>95.07</v>
      </c>
      <c r="M480" s="32">
        <f>ROUND(ROUND(J480, 2)*I480, 2)</f>
        <v>156443.39000000001</v>
      </c>
      <c r="P480" s="33">
        <v>95.07</v>
      </c>
      <c r="S480" s="32">
        <f>ROUND(ROUND(P480, 2)*I480, 2)</f>
        <v>156443.39000000001</v>
      </c>
      <c r="V480" s="9">
        <f>ROUND(ROUND(P480, 2)/1.2, 2)</f>
        <v>79.23</v>
      </c>
      <c r="Y480" s="9">
        <f t="shared" si="44"/>
        <v>130369.49</v>
      </c>
      <c r="AD480" s="4" t="s">
        <v>1925</v>
      </c>
      <c r="AE480" s="4" t="s">
        <v>1926</v>
      </c>
      <c r="AF480" s="4" t="s">
        <v>88</v>
      </c>
    </row>
    <row r="481" spans="1:35" ht="36" x14ac:dyDescent="0.35">
      <c r="A481" s="10" t="s">
        <v>1927</v>
      </c>
      <c r="B481" s="10"/>
      <c r="C481" s="47" t="s">
        <v>92</v>
      </c>
      <c r="D481" s="12"/>
      <c r="E481" s="12"/>
      <c r="F481" s="29" t="s">
        <v>93</v>
      </c>
      <c r="G481" s="30">
        <v>5.1999999999999998E-2</v>
      </c>
      <c r="H481" s="30"/>
      <c r="I481" s="30">
        <v>40.747</v>
      </c>
      <c r="J481" s="31">
        <v>4026.8</v>
      </c>
      <c r="M481" s="32">
        <f>ROUND(ROUND(J481, 2)*I481, 2)</f>
        <v>164080.01999999999</v>
      </c>
      <c r="P481" s="33">
        <v>4026.8</v>
      </c>
      <c r="S481" s="32">
        <f>ROUND(ROUND(P481, 2)*I481, 2)</f>
        <v>164080.01999999999</v>
      </c>
      <c r="V481" s="9">
        <f>ROUND(ROUND(P481, 2)/1.2, 2)</f>
        <v>3355.67</v>
      </c>
      <c r="Y481" s="9">
        <f t="shared" si="44"/>
        <v>136733.35</v>
      </c>
      <c r="AD481" s="4" t="s">
        <v>1928</v>
      </c>
      <c r="AE481" s="4" t="s">
        <v>1929</v>
      </c>
      <c r="AF481" s="4" t="s">
        <v>96</v>
      </c>
    </row>
    <row r="482" spans="1:35" ht="36" x14ac:dyDescent="0.35">
      <c r="A482" s="10" t="s">
        <v>1930</v>
      </c>
      <c r="B482" s="10"/>
      <c r="C482" s="47" t="s">
        <v>244</v>
      </c>
      <c r="D482" s="12"/>
      <c r="E482" s="12"/>
      <c r="F482" s="29" t="s">
        <v>63</v>
      </c>
      <c r="G482" s="30">
        <v>2.2000000000000002</v>
      </c>
      <c r="H482" s="30"/>
      <c r="I482" s="30">
        <v>1723.92</v>
      </c>
      <c r="J482" s="31">
        <v>104.57</v>
      </c>
      <c r="M482" s="32">
        <f>ROUND(ROUND(J482, 2)*I482, 2)</f>
        <v>180270.31</v>
      </c>
      <c r="P482" s="33">
        <v>104.57</v>
      </c>
      <c r="S482" s="32">
        <f>ROUND(ROUND(P482, 2)*I482, 2)</f>
        <v>180270.31</v>
      </c>
      <c r="V482" s="9">
        <f>ROUND(ROUND(P482, 2)/1.2, 2)</f>
        <v>87.14</v>
      </c>
      <c r="Y482" s="9">
        <f t="shared" si="44"/>
        <v>150225.26</v>
      </c>
      <c r="AD482" s="4" t="s">
        <v>1931</v>
      </c>
      <c r="AE482" s="4" t="s">
        <v>1932</v>
      </c>
      <c r="AF482" s="4" t="s">
        <v>247</v>
      </c>
    </row>
    <row r="483" spans="1:35" ht="288" x14ac:dyDescent="0.35">
      <c r="A483" s="10" t="s">
        <v>1933</v>
      </c>
      <c r="B483" s="10" t="s">
        <v>215</v>
      </c>
      <c r="C483" s="11" t="s">
        <v>216</v>
      </c>
      <c r="D483" s="12" t="s">
        <v>61</v>
      </c>
      <c r="E483" s="12" t="s">
        <v>339</v>
      </c>
      <c r="F483" s="12" t="s">
        <v>63</v>
      </c>
      <c r="G483" s="13">
        <v>1</v>
      </c>
      <c r="H483" s="13"/>
      <c r="I483" s="13">
        <v>95.8</v>
      </c>
      <c r="J483" s="14">
        <f>IFERROR(ROUND(SUM(M484,M485,M486,M487,M488)/I483, 2),0)</f>
        <v>1269.23</v>
      </c>
      <c r="K483" s="15">
        <v>1225</v>
      </c>
      <c r="L483" s="14">
        <f>J483+ROUND(K483, 2)</f>
        <v>2494.23</v>
      </c>
      <c r="M483" s="14">
        <f>ROUND(J483*I483, 2)</f>
        <v>121592.23</v>
      </c>
      <c r="N483" s="14">
        <f>ROUND(I483*ROUND(K483, 2), 2)</f>
        <v>117355</v>
      </c>
      <c r="O483" s="14">
        <f>M483+N483</f>
        <v>238947.22999999998</v>
      </c>
      <c r="P483" s="14">
        <f>IFERROR(ROUND(SUM(S484,S485,S486,S487,S488)/I483, 2),0)</f>
        <v>1269.23</v>
      </c>
      <c r="Q483" s="16">
        <v>1739.5</v>
      </c>
      <c r="R483" s="14">
        <f>P483+ROUND(Q483, 2)</f>
        <v>3008.73</v>
      </c>
      <c r="S483" s="14">
        <f>ROUND(P483*I483, 2)</f>
        <v>121592.23</v>
      </c>
      <c r="T483" s="14">
        <f>ROUND(I483*ROUND(Q483, 2), 2)</f>
        <v>166644.1</v>
      </c>
      <c r="U483" s="14">
        <f>S483+T483</f>
        <v>288236.33</v>
      </c>
      <c r="V483" s="9">
        <f>ROUND(P483 / 1.2, 2)</f>
        <v>1057.69</v>
      </c>
      <c r="W483" s="9">
        <f>ROUND(Q483 / 1.2, 2)</f>
        <v>1449.58</v>
      </c>
      <c r="X483" s="9">
        <f>ROUND(R483 / 1.2, 2)</f>
        <v>2507.2800000000002</v>
      </c>
      <c r="Y483" s="9">
        <f t="shared" si="44"/>
        <v>101326.86</v>
      </c>
      <c r="Z483" s="9">
        <f>ROUND(T483 / 1.2, 2)</f>
        <v>138870.07999999999</v>
      </c>
      <c r="AA483" s="9">
        <f>Y483+Z483</f>
        <v>240196.94</v>
      </c>
      <c r="AD483" s="4">
        <v>295859981</v>
      </c>
      <c r="AE483" s="4">
        <v>22502057</v>
      </c>
      <c r="AG483" s="4" t="s">
        <v>217</v>
      </c>
      <c r="AH483" s="4" t="s">
        <v>218</v>
      </c>
      <c r="AI483" s="4" t="s">
        <v>66</v>
      </c>
    </row>
    <row r="484" spans="1:35" ht="18" x14ac:dyDescent="0.35">
      <c r="A484" s="10" t="s">
        <v>1934</v>
      </c>
      <c r="B484" s="10"/>
      <c r="C484" s="47" t="s">
        <v>361</v>
      </c>
      <c r="D484" s="12"/>
      <c r="E484" s="12"/>
      <c r="F484" s="29" t="s">
        <v>63</v>
      </c>
      <c r="G484" s="30">
        <v>2.2000000000000002</v>
      </c>
      <c r="H484" s="30"/>
      <c r="I484" s="30">
        <v>210.76</v>
      </c>
      <c r="J484" s="31">
        <v>315.55</v>
      </c>
      <c r="M484" s="32">
        <f>ROUND(ROUND(J484, 2)*I484, 2)</f>
        <v>66505.320000000007</v>
      </c>
      <c r="P484" s="33">
        <v>315.55</v>
      </c>
      <c r="S484" s="32">
        <f>ROUND(ROUND(P484, 2)*I484, 2)</f>
        <v>66505.320000000007</v>
      </c>
      <c r="V484" s="9">
        <f>ROUND(ROUND(P484, 2)/1.2, 2)</f>
        <v>262.95999999999998</v>
      </c>
      <c r="Y484" s="9">
        <f t="shared" si="44"/>
        <v>55421.1</v>
      </c>
      <c r="AD484" s="4" t="s">
        <v>1935</v>
      </c>
      <c r="AE484" s="4" t="s">
        <v>1936</v>
      </c>
      <c r="AF484" s="4" t="s">
        <v>364</v>
      </c>
    </row>
    <row r="485" spans="1:35" ht="36" x14ac:dyDescent="0.35">
      <c r="A485" s="10" t="s">
        <v>1937</v>
      </c>
      <c r="B485" s="10"/>
      <c r="C485" s="47" t="s">
        <v>92</v>
      </c>
      <c r="D485" s="12"/>
      <c r="E485" s="12"/>
      <c r="F485" s="29" t="s">
        <v>93</v>
      </c>
      <c r="G485" s="30">
        <v>5.1999999999999998E-2</v>
      </c>
      <c r="H485" s="30"/>
      <c r="I485" s="30">
        <v>4.9820000000000002</v>
      </c>
      <c r="J485" s="31">
        <v>4026.8</v>
      </c>
      <c r="M485" s="32">
        <f>ROUND(ROUND(J485, 2)*I485, 2)</f>
        <v>20061.52</v>
      </c>
      <c r="P485" s="33">
        <v>4026.8</v>
      </c>
      <c r="S485" s="32">
        <f>ROUND(ROUND(P485, 2)*I485, 2)</f>
        <v>20061.52</v>
      </c>
      <c r="V485" s="9">
        <f>ROUND(ROUND(P485, 2)/1.2, 2)</f>
        <v>3355.67</v>
      </c>
      <c r="Y485" s="9">
        <f t="shared" si="44"/>
        <v>16717.93</v>
      </c>
      <c r="AD485" s="4" t="s">
        <v>1938</v>
      </c>
      <c r="AE485" s="4" t="s">
        <v>1939</v>
      </c>
      <c r="AF485" s="4" t="s">
        <v>96</v>
      </c>
    </row>
    <row r="486" spans="1:35" ht="18" x14ac:dyDescent="0.35">
      <c r="A486" s="10" t="s">
        <v>1940</v>
      </c>
      <c r="B486" s="10"/>
      <c r="C486" s="47" t="s">
        <v>77</v>
      </c>
      <c r="D486" s="12"/>
      <c r="E486" s="12"/>
      <c r="F486" s="29" t="s">
        <v>78</v>
      </c>
      <c r="G486" s="30">
        <v>0.86</v>
      </c>
      <c r="H486" s="49"/>
      <c r="I486" s="49">
        <v>82.388000000000005</v>
      </c>
      <c r="J486" s="31">
        <v>63.73</v>
      </c>
      <c r="M486" s="32">
        <f>ROUND(ROUND(J486, 2)*I486, 2)</f>
        <v>5250.59</v>
      </c>
      <c r="P486" s="33">
        <v>63.73</v>
      </c>
      <c r="S486" s="32">
        <f>ROUND(ROUND(P486, 2)*I486, 2)</f>
        <v>5250.59</v>
      </c>
      <c r="V486" s="9">
        <f>ROUND(ROUND(P486, 2)/1.2, 2)</f>
        <v>53.11</v>
      </c>
      <c r="Y486" s="9">
        <f t="shared" si="44"/>
        <v>4375.49</v>
      </c>
      <c r="AD486" s="4" t="s">
        <v>1941</v>
      </c>
      <c r="AE486" s="4" t="s">
        <v>1942</v>
      </c>
      <c r="AF486" s="4" t="s">
        <v>81</v>
      </c>
    </row>
    <row r="487" spans="1:35" ht="18" x14ac:dyDescent="0.35">
      <c r="A487" s="10" t="s">
        <v>1943</v>
      </c>
      <c r="B487" s="10"/>
      <c r="C487" s="47" t="s">
        <v>85</v>
      </c>
      <c r="D487" s="12"/>
      <c r="E487" s="12"/>
      <c r="F487" s="29" t="s">
        <v>78</v>
      </c>
      <c r="G487" s="30">
        <v>2.1</v>
      </c>
      <c r="H487" s="49"/>
      <c r="I487" s="49">
        <v>201.18</v>
      </c>
      <c r="J487" s="31">
        <v>95.07</v>
      </c>
      <c r="M487" s="32">
        <f>ROUND(ROUND(J487, 2)*I487, 2)</f>
        <v>19126.18</v>
      </c>
      <c r="P487" s="33">
        <v>95.07</v>
      </c>
      <c r="S487" s="32">
        <f>ROUND(ROUND(P487, 2)*I487, 2)</f>
        <v>19126.18</v>
      </c>
      <c r="V487" s="9">
        <f>ROUND(ROUND(P487, 2)/1.2, 2)</f>
        <v>79.23</v>
      </c>
      <c r="Y487" s="9">
        <f t="shared" si="44"/>
        <v>15938.48</v>
      </c>
      <c r="AD487" s="4" t="s">
        <v>1944</v>
      </c>
      <c r="AE487" s="4" t="s">
        <v>1945</v>
      </c>
      <c r="AF487" s="4" t="s">
        <v>88</v>
      </c>
    </row>
    <row r="488" spans="1:35" ht="54" x14ac:dyDescent="0.35">
      <c r="A488" s="10" t="s">
        <v>1946</v>
      </c>
      <c r="B488" s="10"/>
      <c r="C488" s="28" t="s">
        <v>222</v>
      </c>
      <c r="D488" s="12"/>
      <c r="E488" s="12"/>
      <c r="F488" s="29" t="s">
        <v>70</v>
      </c>
      <c r="G488" s="30">
        <v>1</v>
      </c>
      <c r="H488" s="30"/>
      <c r="I488" s="30">
        <v>95.8</v>
      </c>
      <c r="J488" s="31">
        <v>111.15</v>
      </c>
      <c r="M488" s="32">
        <f>ROUND(ROUND(J488, 2)*I488, 2)</f>
        <v>10648.17</v>
      </c>
      <c r="P488" s="33">
        <v>111.15</v>
      </c>
      <c r="S488" s="32">
        <f>ROUND(ROUND(P488, 2)*I488, 2)</f>
        <v>10648.17</v>
      </c>
      <c r="V488" s="9">
        <f>ROUND(ROUND(P488, 2)/1.2, 2)</f>
        <v>92.63</v>
      </c>
      <c r="Y488" s="9">
        <f t="shared" si="44"/>
        <v>8873.48</v>
      </c>
      <c r="AD488" s="4" t="s">
        <v>1947</v>
      </c>
      <c r="AE488" s="4" t="s">
        <v>1948</v>
      </c>
      <c r="AF488" s="4" t="s">
        <v>225</v>
      </c>
    </row>
    <row r="489" spans="1:35" ht="288" x14ac:dyDescent="0.35">
      <c r="A489" s="10" t="s">
        <v>1949</v>
      </c>
      <c r="B489" s="10" t="s">
        <v>215</v>
      </c>
      <c r="C489" s="11" t="s">
        <v>216</v>
      </c>
      <c r="D489" s="12" t="s">
        <v>61</v>
      </c>
      <c r="E489" s="12" t="s">
        <v>310</v>
      </c>
      <c r="F489" s="12" t="s">
        <v>63</v>
      </c>
      <c r="G489" s="13">
        <v>1</v>
      </c>
      <c r="H489" s="13"/>
      <c r="I489" s="13">
        <v>128.5</v>
      </c>
      <c r="J489" s="14">
        <f>IFERROR(ROUND(SUM(M490,M491,M492,M493,M494)/I489, 2),0)</f>
        <v>727.48</v>
      </c>
      <c r="K489" s="15">
        <v>1225</v>
      </c>
      <c r="L489" s="14">
        <f>J489+ROUND(K489, 2)</f>
        <v>1952.48</v>
      </c>
      <c r="M489" s="14">
        <f>ROUND(J489*I489, 2)</f>
        <v>93481.18</v>
      </c>
      <c r="N489" s="14">
        <f>ROUND(I489*ROUND(K489, 2), 2)</f>
        <v>157412.5</v>
      </c>
      <c r="O489" s="14">
        <f>M489+N489</f>
        <v>250893.68</v>
      </c>
      <c r="P489" s="14">
        <f>IFERROR(ROUND(SUM(S490,S491,S492,S493,S494)/I489, 2),0)</f>
        <v>727.48</v>
      </c>
      <c r="Q489" s="16">
        <v>1739.5</v>
      </c>
      <c r="R489" s="14">
        <f>P489+ROUND(Q489, 2)</f>
        <v>2466.98</v>
      </c>
      <c r="S489" s="14">
        <f>ROUND(P489*I489, 2)</f>
        <v>93481.18</v>
      </c>
      <c r="T489" s="14">
        <f>ROUND(I489*ROUND(Q489, 2), 2)</f>
        <v>223525.75</v>
      </c>
      <c r="U489" s="14">
        <f>S489+T489</f>
        <v>317006.93</v>
      </c>
      <c r="V489" s="9">
        <f>ROUND(P489 / 1.2, 2)</f>
        <v>606.23</v>
      </c>
      <c r="W489" s="9">
        <f>ROUND(Q489 / 1.2, 2)</f>
        <v>1449.58</v>
      </c>
      <c r="X489" s="9">
        <f>ROUND(R489 / 1.2, 2)</f>
        <v>2055.8200000000002</v>
      </c>
      <c r="Y489" s="9">
        <f t="shared" si="44"/>
        <v>77900.98</v>
      </c>
      <c r="Z489" s="9">
        <f>ROUND(T489 / 1.2, 2)</f>
        <v>186271.46</v>
      </c>
      <c r="AA489" s="9">
        <f>Y489+Z489</f>
        <v>264172.44</v>
      </c>
      <c r="AD489" s="4">
        <v>295859982</v>
      </c>
      <c r="AE489" s="4">
        <v>22502066</v>
      </c>
      <c r="AG489" s="4" t="s">
        <v>217</v>
      </c>
      <c r="AH489" s="4" t="s">
        <v>218</v>
      </c>
      <c r="AI489" s="4" t="s">
        <v>66</v>
      </c>
    </row>
    <row r="490" spans="1:35" ht="54" x14ac:dyDescent="0.35">
      <c r="A490" s="10" t="s">
        <v>1950</v>
      </c>
      <c r="B490" s="10"/>
      <c r="C490" s="28" t="s">
        <v>222</v>
      </c>
      <c r="D490" s="12"/>
      <c r="E490" s="12"/>
      <c r="F490" s="29" t="s">
        <v>70</v>
      </c>
      <c r="G490" s="30">
        <v>1</v>
      </c>
      <c r="H490" s="30"/>
      <c r="I490" s="30">
        <v>128.5</v>
      </c>
      <c r="J490" s="31">
        <v>111.15</v>
      </c>
      <c r="M490" s="32">
        <f>ROUND(ROUND(J490, 2)*I490, 2)</f>
        <v>14282.78</v>
      </c>
      <c r="P490" s="33">
        <v>111.15</v>
      </c>
      <c r="S490" s="32">
        <f>ROUND(ROUND(P490, 2)*I490, 2)</f>
        <v>14282.78</v>
      </c>
      <c r="V490" s="9">
        <f>ROUND(ROUND(P490, 2)/1.2, 2)</f>
        <v>92.63</v>
      </c>
      <c r="Y490" s="9">
        <f t="shared" si="44"/>
        <v>11902.32</v>
      </c>
      <c r="AD490" s="4" t="s">
        <v>1951</v>
      </c>
      <c r="AE490" s="4" t="s">
        <v>1952</v>
      </c>
      <c r="AF490" s="4" t="s">
        <v>225</v>
      </c>
    </row>
    <row r="491" spans="1:35" ht="18" x14ac:dyDescent="0.35">
      <c r="A491" s="10" t="s">
        <v>1953</v>
      </c>
      <c r="B491" s="10"/>
      <c r="C491" s="47" t="s">
        <v>135</v>
      </c>
      <c r="D491" s="12"/>
      <c r="E491" s="12"/>
      <c r="F491" s="29" t="s">
        <v>78</v>
      </c>
      <c r="G491" s="30">
        <v>2.1</v>
      </c>
      <c r="H491" s="30"/>
      <c r="I491" s="30">
        <v>269.85000000000002</v>
      </c>
      <c r="J491" s="31">
        <v>64.56</v>
      </c>
      <c r="M491" s="32">
        <f>ROUND(ROUND(J491, 2)*I491, 2)</f>
        <v>17421.52</v>
      </c>
      <c r="P491" s="33">
        <v>64.56</v>
      </c>
      <c r="S491" s="32">
        <f>ROUND(ROUND(P491, 2)*I491, 2)</f>
        <v>17421.52</v>
      </c>
      <c r="V491" s="9">
        <f>ROUND(ROUND(P491, 2)/1.2, 2)</f>
        <v>53.8</v>
      </c>
      <c r="Y491" s="9">
        <f t="shared" si="44"/>
        <v>14517.93</v>
      </c>
      <c r="AD491" s="4" t="s">
        <v>1954</v>
      </c>
      <c r="AE491" s="4" t="s">
        <v>1955</v>
      </c>
      <c r="AF491" s="4" t="s">
        <v>138</v>
      </c>
    </row>
    <row r="492" spans="1:35" ht="18" x14ac:dyDescent="0.35">
      <c r="A492" s="10" t="s">
        <v>1956</v>
      </c>
      <c r="B492" s="10"/>
      <c r="C492" s="47" t="s">
        <v>142</v>
      </c>
      <c r="D492" s="12"/>
      <c r="E492" s="12"/>
      <c r="F492" s="29" t="s">
        <v>78</v>
      </c>
      <c r="G492" s="30">
        <v>0.8</v>
      </c>
      <c r="H492" s="30"/>
      <c r="I492" s="30">
        <v>102.8</v>
      </c>
      <c r="J492" s="31">
        <v>51.63</v>
      </c>
      <c r="M492" s="32">
        <f>ROUND(ROUND(J492, 2)*I492, 2)</f>
        <v>5307.56</v>
      </c>
      <c r="P492" s="33">
        <v>51.63</v>
      </c>
      <c r="S492" s="32">
        <f>ROUND(ROUND(P492, 2)*I492, 2)</f>
        <v>5307.56</v>
      </c>
      <c r="V492" s="9">
        <f>ROUND(ROUND(P492, 2)/1.2, 2)</f>
        <v>43.03</v>
      </c>
      <c r="Y492" s="9">
        <f t="shared" si="44"/>
        <v>4422.97</v>
      </c>
      <c r="AD492" s="4" t="s">
        <v>1957</v>
      </c>
      <c r="AE492" s="4" t="s">
        <v>1958</v>
      </c>
      <c r="AF492" s="4" t="s">
        <v>145</v>
      </c>
    </row>
    <row r="493" spans="1:35" ht="36" x14ac:dyDescent="0.35">
      <c r="A493" s="10" t="s">
        <v>1959</v>
      </c>
      <c r="B493" s="10"/>
      <c r="C493" s="47" t="s">
        <v>92</v>
      </c>
      <c r="D493" s="12"/>
      <c r="E493" s="12"/>
      <c r="F493" s="29" t="s">
        <v>93</v>
      </c>
      <c r="G493" s="30">
        <v>5.1999999999999998E-2</v>
      </c>
      <c r="H493" s="30"/>
      <c r="I493" s="30">
        <v>6.6820000000000004</v>
      </c>
      <c r="J493" s="31">
        <v>4026.8</v>
      </c>
      <c r="M493" s="32">
        <f>ROUND(ROUND(J493, 2)*I493, 2)</f>
        <v>26907.08</v>
      </c>
      <c r="P493" s="33">
        <v>4026.8</v>
      </c>
      <c r="S493" s="32">
        <f>ROUND(ROUND(P493, 2)*I493, 2)</f>
        <v>26907.08</v>
      </c>
      <c r="V493" s="9">
        <f>ROUND(ROUND(P493, 2)/1.2, 2)</f>
        <v>3355.67</v>
      </c>
      <c r="Y493" s="9">
        <f t="shared" si="44"/>
        <v>22422.57</v>
      </c>
      <c r="AD493" s="4" t="s">
        <v>1960</v>
      </c>
      <c r="AE493" s="4" t="s">
        <v>1961</v>
      </c>
      <c r="AF493" s="4" t="s">
        <v>96</v>
      </c>
    </row>
    <row r="494" spans="1:35" ht="36" x14ac:dyDescent="0.35">
      <c r="A494" s="10" t="s">
        <v>1962</v>
      </c>
      <c r="B494" s="10"/>
      <c r="C494" s="47" t="s">
        <v>254</v>
      </c>
      <c r="D494" s="12"/>
      <c r="E494" s="12" t="s">
        <v>315</v>
      </c>
      <c r="F494" s="29" t="s">
        <v>63</v>
      </c>
      <c r="G494" s="30">
        <v>2.2000000000000002</v>
      </c>
      <c r="H494" s="30"/>
      <c r="I494" s="30">
        <v>282.7</v>
      </c>
      <c r="J494" s="31">
        <v>104.57</v>
      </c>
      <c r="M494" s="32">
        <f>ROUND(ROUND(J494, 2)*I494, 2)</f>
        <v>29561.94</v>
      </c>
      <c r="P494" s="33">
        <v>104.57</v>
      </c>
      <c r="S494" s="32">
        <f>ROUND(ROUND(P494, 2)*I494, 2)</f>
        <v>29561.94</v>
      </c>
      <c r="V494" s="9">
        <f>ROUND(ROUND(P494, 2)/1.2, 2)</f>
        <v>87.14</v>
      </c>
      <c r="Y494" s="9">
        <f t="shared" si="44"/>
        <v>24634.95</v>
      </c>
      <c r="AD494" s="4" t="s">
        <v>1963</v>
      </c>
      <c r="AE494" s="4" t="s">
        <v>1964</v>
      </c>
      <c r="AF494" s="4" t="s">
        <v>257</v>
      </c>
    </row>
    <row r="495" spans="1:35" ht="378" x14ac:dyDescent="0.35">
      <c r="A495" s="10" t="s">
        <v>1965</v>
      </c>
      <c r="B495" s="10" t="s">
        <v>215</v>
      </c>
      <c r="C495" s="11" t="s">
        <v>216</v>
      </c>
      <c r="D495" s="12" t="s">
        <v>61</v>
      </c>
      <c r="E495" s="12" t="s">
        <v>282</v>
      </c>
      <c r="F495" s="12" t="s">
        <v>63</v>
      </c>
      <c r="G495" s="13">
        <v>1</v>
      </c>
      <c r="H495" s="13"/>
      <c r="I495" s="13">
        <v>185.6</v>
      </c>
      <c r="J495" s="14">
        <f>IFERROR(ROUND(SUM(M496,M497,M498,M499,M500)/I495, 2),0)</f>
        <v>805.05</v>
      </c>
      <c r="K495" s="15">
        <v>1225</v>
      </c>
      <c r="L495" s="14">
        <f>J495+ROUND(K495, 2)</f>
        <v>2030.05</v>
      </c>
      <c r="M495" s="14">
        <f>ROUND(J495*I495, 2)</f>
        <v>149417.28</v>
      </c>
      <c r="N495" s="14">
        <f>ROUND(I495*ROUND(K495, 2), 2)</f>
        <v>227360</v>
      </c>
      <c r="O495" s="14">
        <f>M495+N495</f>
        <v>376777.28</v>
      </c>
      <c r="P495" s="14">
        <f>IFERROR(ROUND(SUM(S496,S497,S498,S499,S500)/I495, 2),0)</f>
        <v>805.05</v>
      </c>
      <c r="Q495" s="16">
        <v>1739.5</v>
      </c>
      <c r="R495" s="14">
        <f>P495+ROUND(Q495, 2)</f>
        <v>2544.5500000000002</v>
      </c>
      <c r="S495" s="14">
        <f>ROUND(P495*I495, 2)</f>
        <v>149417.28</v>
      </c>
      <c r="T495" s="14">
        <f>ROUND(I495*ROUND(Q495, 2), 2)</f>
        <v>322851.20000000001</v>
      </c>
      <c r="U495" s="14">
        <f>S495+T495</f>
        <v>472268.48</v>
      </c>
      <c r="V495" s="9">
        <f>ROUND(P495 / 1.2, 2)</f>
        <v>670.88</v>
      </c>
      <c r="W495" s="9">
        <f>ROUND(Q495 / 1.2, 2)</f>
        <v>1449.58</v>
      </c>
      <c r="X495" s="9">
        <f>ROUND(R495 / 1.2, 2)</f>
        <v>2120.46</v>
      </c>
      <c r="Y495" s="9">
        <f t="shared" si="44"/>
        <v>124514.4</v>
      </c>
      <c r="Z495" s="9">
        <f>ROUND(T495 / 1.2, 2)</f>
        <v>269042.67</v>
      </c>
      <c r="AA495" s="9">
        <f>Y495+Z495</f>
        <v>393557.06999999995</v>
      </c>
      <c r="AD495" s="4">
        <v>295859983</v>
      </c>
      <c r="AE495" s="4">
        <v>22502065</v>
      </c>
      <c r="AG495" s="4" t="s">
        <v>217</v>
      </c>
      <c r="AH495" s="4" t="s">
        <v>218</v>
      </c>
      <c r="AI495" s="4" t="s">
        <v>66</v>
      </c>
    </row>
    <row r="496" spans="1:35" ht="36" x14ac:dyDescent="0.35">
      <c r="A496" s="10" t="s">
        <v>1966</v>
      </c>
      <c r="B496" s="10"/>
      <c r="C496" s="47" t="s">
        <v>254</v>
      </c>
      <c r="D496" s="12"/>
      <c r="E496" s="12"/>
      <c r="F496" s="29" t="s">
        <v>63</v>
      </c>
      <c r="G496" s="30">
        <v>2.2000000000000002</v>
      </c>
      <c r="H496" s="30"/>
      <c r="I496" s="30">
        <v>408.32</v>
      </c>
      <c r="J496" s="31">
        <v>104.57</v>
      </c>
      <c r="M496" s="32">
        <f>ROUND(ROUND(J496, 2)*I496, 2)</f>
        <v>42698.02</v>
      </c>
      <c r="P496" s="33">
        <v>104.57</v>
      </c>
      <c r="S496" s="32">
        <f>ROUND(ROUND(P496, 2)*I496, 2)</f>
        <v>42698.02</v>
      </c>
      <c r="V496" s="9">
        <f>ROUND(ROUND(P496, 2)/1.2, 2)</f>
        <v>87.14</v>
      </c>
      <c r="Y496" s="9">
        <f t="shared" si="44"/>
        <v>35581.68</v>
      </c>
      <c r="AD496" s="4" t="s">
        <v>1967</v>
      </c>
      <c r="AE496" s="4" t="s">
        <v>1968</v>
      </c>
      <c r="AF496" s="4" t="s">
        <v>257</v>
      </c>
    </row>
    <row r="497" spans="1:35" ht="36" x14ac:dyDescent="0.35">
      <c r="A497" s="10" t="s">
        <v>1969</v>
      </c>
      <c r="B497" s="10"/>
      <c r="C497" s="47" t="s">
        <v>92</v>
      </c>
      <c r="D497" s="12"/>
      <c r="E497" s="12"/>
      <c r="F497" s="29" t="s">
        <v>93</v>
      </c>
      <c r="G497" s="30">
        <v>5.1999999999999998E-2</v>
      </c>
      <c r="H497" s="30"/>
      <c r="I497" s="30">
        <v>9.6509999999999998</v>
      </c>
      <c r="J497" s="31">
        <v>4026.8</v>
      </c>
      <c r="M497" s="32">
        <f>ROUND(ROUND(J497, 2)*I497, 2)</f>
        <v>38862.65</v>
      </c>
      <c r="P497" s="33">
        <v>4026.8</v>
      </c>
      <c r="S497" s="32">
        <f>ROUND(ROUND(P497, 2)*I497, 2)</f>
        <v>38862.65</v>
      </c>
      <c r="V497" s="9">
        <f>ROUND(ROUND(P497, 2)/1.2, 2)</f>
        <v>3355.67</v>
      </c>
      <c r="Y497" s="9">
        <f t="shared" si="44"/>
        <v>32385.54</v>
      </c>
      <c r="AD497" s="4" t="s">
        <v>1970</v>
      </c>
      <c r="AE497" s="4" t="s">
        <v>1971</v>
      </c>
      <c r="AF497" s="4" t="s">
        <v>96</v>
      </c>
    </row>
    <row r="498" spans="1:35" ht="18" x14ac:dyDescent="0.35">
      <c r="A498" s="10" t="s">
        <v>1972</v>
      </c>
      <c r="B498" s="10"/>
      <c r="C498" s="47" t="s">
        <v>77</v>
      </c>
      <c r="D498" s="12"/>
      <c r="E498" s="12"/>
      <c r="F498" s="29" t="s">
        <v>78</v>
      </c>
      <c r="G498" s="30">
        <v>0.86</v>
      </c>
      <c r="H498" s="49"/>
      <c r="I498" s="49">
        <v>159.61600000000001</v>
      </c>
      <c r="J498" s="31">
        <v>63.73</v>
      </c>
      <c r="M498" s="32">
        <f>ROUND(ROUND(J498, 2)*I498, 2)</f>
        <v>10172.33</v>
      </c>
      <c r="P498" s="33">
        <v>63.73</v>
      </c>
      <c r="S498" s="32">
        <f>ROUND(ROUND(P498, 2)*I498, 2)</f>
        <v>10172.33</v>
      </c>
      <c r="V498" s="9">
        <f>ROUND(ROUND(P498, 2)/1.2, 2)</f>
        <v>53.11</v>
      </c>
      <c r="Y498" s="9">
        <f t="shared" si="44"/>
        <v>8476.94</v>
      </c>
      <c r="AD498" s="4" t="s">
        <v>1973</v>
      </c>
      <c r="AE498" s="4" t="s">
        <v>1974</v>
      </c>
      <c r="AF498" s="4" t="s">
        <v>81</v>
      </c>
    </row>
    <row r="499" spans="1:35" ht="18" x14ac:dyDescent="0.35">
      <c r="A499" s="10" t="s">
        <v>1975</v>
      </c>
      <c r="B499" s="10"/>
      <c r="C499" s="47" t="s">
        <v>85</v>
      </c>
      <c r="D499" s="12"/>
      <c r="E499" s="12"/>
      <c r="F499" s="29" t="s">
        <v>78</v>
      </c>
      <c r="G499" s="30">
        <v>2.1</v>
      </c>
      <c r="H499" s="49"/>
      <c r="I499" s="49">
        <v>389.76</v>
      </c>
      <c r="J499" s="31">
        <v>95.07</v>
      </c>
      <c r="M499" s="32">
        <f>ROUND(ROUND(J499, 2)*I499, 2)</f>
        <v>37054.480000000003</v>
      </c>
      <c r="P499" s="33">
        <v>95.07</v>
      </c>
      <c r="S499" s="32">
        <f>ROUND(ROUND(P499, 2)*I499, 2)</f>
        <v>37054.480000000003</v>
      </c>
      <c r="V499" s="9">
        <f>ROUND(ROUND(P499, 2)/1.2, 2)</f>
        <v>79.23</v>
      </c>
      <c r="Y499" s="9">
        <f t="shared" si="44"/>
        <v>30878.73</v>
      </c>
      <c r="AD499" s="4" t="s">
        <v>1976</v>
      </c>
      <c r="AE499" s="4" t="s">
        <v>1977</v>
      </c>
      <c r="AF499" s="4" t="s">
        <v>88</v>
      </c>
    </row>
    <row r="500" spans="1:35" ht="54" x14ac:dyDescent="0.35">
      <c r="A500" s="10" t="s">
        <v>1978</v>
      </c>
      <c r="B500" s="10"/>
      <c r="C500" s="28" t="s">
        <v>222</v>
      </c>
      <c r="D500" s="12"/>
      <c r="E500" s="12"/>
      <c r="F500" s="29" t="s">
        <v>70</v>
      </c>
      <c r="G500" s="30">
        <v>1</v>
      </c>
      <c r="H500" s="30"/>
      <c r="I500" s="30">
        <v>185.6</v>
      </c>
      <c r="J500" s="31">
        <v>111.15</v>
      </c>
      <c r="M500" s="32">
        <f>ROUND(ROUND(J500, 2)*I500, 2)</f>
        <v>20629.439999999999</v>
      </c>
      <c r="P500" s="33">
        <v>111.15</v>
      </c>
      <c r="S500" s="32">
        <f>ROUND(ROUND(P500, 2)*I500, 2)</f>
        <v>20629.439999999999</v>
      </c>
      <c r="V500" s="9">
        <f>ROUND(ROUND(P500, 2)/1.2, 2)</f>
        <v>92.63</v>
      </c>
      <c r="Y500" s="9">
        <f t="shared" si="44"/>
        <v>17191.2</v>
      </c>
      <c r="AD500" s="4" t="s">
        <v>1979</v>
      </c>
      <c r="AE500" s="4" t="s">
        <v>1980</v>
      </c>
      <c r="AF500" s="4" t="s">
        <v>225</v>
      </c>
    </row>
    <row r="501" spans="1:35" ht="306" x14ac:dyDescent="0.35">
      <c r="A501" s="10" t="s">
        <v>1981</v>
      </c>
      <c r="B501" s="10" t="s">
        <v>215</v>
      </c>
      <c r="C501" s="11" t="s">
        <v>216</v>
      </c>
      <c r="D501" s="12" t="s">
        <v>61</v>
      </c>
      <c r="E501" s="12" t="s">
        <v>252</v>
      </c>
      <c r="F501" s="12" t="s">
        <v>63</v>
      </c>
      <c r="G501" s="13">
        <v>1</v>
      </c>
      <c r="H501" s="13"/>
      <c r="I501" s="13">
        <v>2480.6999999999998</v>
      </c>
      <c r="J501" s="14">
        <f>IFERROR(ROUND(SUM(M502,M503,M504,M505,M506)/I501, 2),0)</f>
        <v>805.05</v>
      </c>
      <c r="K501" s="15">
        <v>1225</v>
      </c>
      <c r="L501" s="14">
        <f>J501+ROUND(K501, 2)</f>
        <v>2030.05</v>
      </c>
      <c r="M501" s="14">
        <f>ROUND(J501*I501, 2)</f>
        <v>1997087.54</v>
      </c>
      <c r="N501" s="14">
        <f>ROUND(I501*ROUND(K501, 2), 2)</f>
        <v>3038857.5</v>
      </c>
      <c r="O501" s="14">
        <f>M501+N501</f>
        <v>5035945.04</v>
      </c>
      <c r="P501" s="14">
        <f>IFERROR(ROUND(SUM(S502,S503,S504,S505,S506)/I501, 2),0)</f>
        <v>805.05</v>
      </c>
      <c r="Q501" s="16">
        <v>1739.5</v>
      </c>
      <c r="R501" s="14">
        <f>P501+ROUND(Q501, 2)</f>
        <v>2544.5500000000002</v>
      </c>
      <c r="S501" s="14">
        <f>ROUND(P501*I501, 2)</f>
        <v>1997087.54</v>
      </c>
      <c r="T501" s="14">
        <f>ROUND(I501*ROUND(Q501, 2), 2)</f>
        <v>4315177.6500000004</v>
      </c>
      <c r="U501" s="14">
        <f>S501+T501</f>
        <v>6312265.1900000004</v>
      </c>
      <c r="V501" s="9">
        <f>ROUND(P501 / 1.2, 2)</f>
        <v>670.88</v>
      </c>
      <c r="W501" s="9">
        <f>ROUND(Q501 / 1.2, 2)</f>
        <v>1449.58</v>
      </c>
      <c r="X501" s="9">
        <f>ROUND(R501 / 1.2, 2)</f>
        <v>2120.46</v>
      </c>
      <c r="Y501" s="9">
        <f t="shared" si="44"/>
        <v>1664239.62</v>
      </c>
      <c r="Z501" s="9">
        <f>ROUND(T501 / 1.2, 2)</f>
        <v>3595981.38</v>
      </c>
      <c r="AA501" s="9">
        <f>Y501+Z501</f>
        <v>5260221</v>
      </c>
      <c r="AD501" s="4">
        <v>295859984</v>
      </c>
      <c r="AE501" s="4">
        <v>22502064</v>
      </c>
      <c r="AG501" s="4" t="s">
        <v>217</v>
      </c>
      <c r="AH501" s="4" t="s">
        <v>218</v>
      </c>
      <c r="AI501" s="4" t="s">
        <v>66</v>
      </c>
    </row>
    <row r="502" spans="1:35" ht="54" x14ac:dyDescent="0.35">
      <c r="A502" s="10" t="s">
        <v>1982</v>
      </c>
      <c r="B502" s="10"/>
      <c r="C502" s="28" t="s">
        <v>222</v>
      </c>
      <c r="D502" s="12"/>
      <c r="E502" s="12"/>
      <c r="F502" s="29" t="s">
        <v>70</v>
      </c>
      <c r="G502" s="30">
        <v>1</v>
      </c>
      <c r="H502" s="30"/>
      <c r="I502" s="30">
        <v>2480.6999999999998</v>
      </c>
      <c r="J502" s="31">
        <v>111.15</v>
      </c>
      <c r="M502" s="32">
        <f>ROUND(ROUND(J502, 2)*I502, 2)</f>
        <v>275729.81</v>
      </c>
      <c r="P502" s="33">
        <v>111.15</v>
      </c>
      <c r="S502" s="32">
        <f>ROUND(ROUND(P502, 2)*I502, 2)</f>
        <v>275729.81</v>
      </c>
      <c r="V502" s="9">
        <f>ROUND(ROUND(P502, 2)/1.2, 2)</f>
        <v>92.63</v>
      </c>
      <c r="Y502" s="9">
        <f t="shared" si="44"/>
        <v>229774.84</v>
      </c>
      <c r="AD502" s="4" t="s">
        <v>1983</v>
      </c>
      <c r="AE502" s="4" t="s">
        <v>1984</v>
      </c>
      <c r="AF502" s="4" t="s">
        <v>225</v>
      </c>
    </row>
    <row r="503" spans="1:35" ht="18" x14ac:dyDescent="0.35">
      <c r="A503" s="10" t="s">
        <v>1985</v>
      </c>
      <c r="B503" s="10"/>
      <c r="C503" s="47" t="s">
        <v>77</v>
      </c>
      <c r="D503" s="12"/>
      <c r="E503" s="12"/>
      <c r="F503" s="29" t="s">
        <v>78</v>
      </c>
      <c r="G503" s="30">
        <v>0.86</v>
      </c>
      <c r="H503" s="49"/>
      <c r="I503" s="49">
        <v>2133.402</v>
      </c>
      <c r="J503" s="31">
        <v>63.73</v>
      </c>
      <c r="M503" s="32">
        <f>ROUND(ROUND(J503, 2)*I503, 2)</f>
        <v>135961.71</v>
      </c>
      <c r="P503" s="33">
        <v>63.73</v>
      </c>
      <c r="S503" s="32">
        <f>ROUND(ROUND(P503, 2)*I503, 2)</f>
        <v>135961.71</v>
      </c>
      <c r="V503" s="9">
        <f>ROUND(ROUND(P503, 2)/1.2, 2)</f>
        <v>53.11</v>
      </c>
      <c r="Y503" s="9">
        <f t="shared" si="44"/>
        <v>113301.43</v>
      </c>
      <c r="AD503" s="4" t="s">
        <v>1986</v>
      </c>
      <c r="AE503" s="4" t="s">
        <v>1987</v>
      </c>
      <c r="AF503" s="4" t="s">
        <v>81</v>
      </c>
    </row>
    <row r="504" spans="1:35" ht="18" x14ac:dyDescent="0.35">
      <c r="A504" s="10" t="s">
        <v>1988</v>
      </c>
      <c r="B504" s="10"/>
      <c r="C504" s="47" t="s">
        <v>85</v>
      </c>
      <c r="D504" s="12"/>
      <c r="E504" s="12"/>
      <c r="F504" s="29" t="s">
        <v>78</v>
      </c>
      <c r="G504" s="30">
        <v>2.1</v>
      </c>
      <c r="H504" s="49"/>
      <c r="I504" s="49">
        <v>5209.47</v>
      </c>
      <c r="J504" s="31">
        <v>95.07</v>
      </c>
      <c r="M504" s="32">
        <f>ROUND(ROUND(J504, 2)*I504, 2)</f>
        <v>495264.31</v>
      </c>
      <c r="P504" s="33">
        <v>95.07</v>
      </c>
      <c r="S504" s="32">
        <f>ROUND(ROUND(P504, 2)*I504, 2)</f>
        <v>495264.31</v>
      </c>
      <c r="V504" s="9">
        <f>ROUND(ROUND(P504, 2)/1.2, 2)</f>
        <v>79.23</v>
      </c>
      <c r="Y504" s="9">
        <f t="shared" si="44"/>
        <v>412720.26</v>
      </c>
      <c r="AD504" s="4" t="s">
        <v>1989</v>
      </c>
      <c r="AE504" s="4" t="s">
        <v>1990</v>
      </c>
      <c r="AF504" s="4" t="s">
        <v>88</v>
      </c>
    </row>
    <row r="505" spans="1:35" ht="36" x14ac:dyDescent="0.35">
      <c r="A505" s="10" t="s">
        <v>1991</v>
      </c>
      <c r="B505" s="10"/>
      <c r="C505" s="47" t="s">
        <v>92</v>
      </c>
      <c r="D505" s="12"/>
      <c r="E505" s="12"/>
      <c r="F505" s="29" t="s">
        <v>93</v>
      </c>
      <c r="G505" s="30">
        <v>5.1999999999999998E-2</v>
      </c>
      <c r="H505" s="30"/>
      <c r="I505" s="30">
        <v>128.99600000000001</v>
      </c>
      <c r="J505" s="31">
        <v>4026.8</v>
      </c>
      <c r="M505" s="32">
        <f>ROUND(ROUND(J505, 2)*I505, 2)</f>
        <v>519441.09</v>
      </c>
      <c r="P505" s="33">
        <v>4026.8</v>
      </c>
      <c r="S505" s="32">
        <f>ROUND(ROUND(P505, 2)*I505, 2)</f>
        <v>519441.09</v>
      </c>
      <c r="V505" s="9">
        <f>ROUND(ROUND(P505, 2)/1.2, 2)</f>
        <v>3355.67</v>
      </c>
      <c r="Y505" s="9">
        <f t="shared" si="44"/>
        <v>432867.58</v>
      </c>
      <c r="AD505" s="4" t="s">
        <v>1992</v>
      </c>
      <c r="AE505" s="4" t="s">
        <v>1993</v>
      </c>
      <c r="AF505" s="4" t="s">
        <v>96</v>
      </c>
    </row>
    <row r="506" spans="1:35" ht="36" x14ac:dyDescent="0.35">
      <c r="A506" s="10" t="s">
        <v>1994</v>
      </c>
      <c r="B506" s="10"/>
      <c r="C506" s="47" t="s">
        <v>254</v>
      </c>
      <c r="D506" s="12"/>
      <c r="E506" s="12"/>
      <c r="F506" s="29" t="s">
        <v>63</v>
      </c>
      <c r="G506" s="30">
        <v>2.2000000000000002</v>
      </c>
      <c r="H506" s="30"/>
      <c r="I506" s="30">
        <v>5457.54</v>
      </c>
      <c r="J506" s="31">
        <v>104.57</v>
      </c>
      <c r="M506" s="32">
        <f>ROUND(ROUND(J506, 2)*I506, 2)</f>
        <v>570694.96</v>
      </c>
      <c r="P506" s="33">
        <v>104.57</v>
      </c>
      <c r="S506" s="32">
        <f>ROUND(ROUND(P506, 2)*I506, 2)</f>
        <v>570694.96</v>
      </c>
      <c r="V506" s="9">
        <f>ROUND(ROUND(P506, 2)/1.2, 2)</f>
        <v>87.14</v>
      </c>
      <c r="Y506" s="9">
        <f t="shared" si="44"/>
        <v>475579.13</v>
      </c>
      <c r="AD506" s="4" t="s">
        <v>1995</v>
      </c>
      <c r="AE506" s="4" t="s">
        <v>1996</v>
      </c>
      <c r="AF506" s="4" t="s">
        <v>257</v>
      </c>
    </row>
    <row r="507" spans="1:35" ht="17" customHeight="1" x14ac:dyDescent="0.35">
      <c r="A507" s="10" t="s">
        <v>1997</v>
      </c>
      <c r="B507" s="10" t="s">
        <v>448</v>
      </c>
      <c r="C507" s="174" t="s">
        <v>449</v>
      </c>
      <c r="D507" s="175"/>
      <c r="E507" s="175"/>
      <c r="F507" s="175"/>
      <c r="G507" s="175"/>
      <c r="H507" s="175"/>
      <c r="I507" s="176"/>
      <c r="M507" s="6">
        <f t="shared" ref="M507:O508" si="45">SUM(M508)</f>
        <v>54473477.200000003</v>
      </c>
      <c r="N507" s="6">
        <f t="shared" si="45"/>
        <v>67589897.219999999</v>
      </c>
      <c r="O507" s="6">
        <f t="shared" si="45"/>
        <v>122063374.42</v>
      </c>
      <c r="S507" s="6">
        <f t="shared" ref="S507:U508" si="46">SUM(S508)</f>
        <v>54473477.200000003</v>
      </c>
      <c r="T507" s="6">
        <f t="shared" si="46"/>
        <v>102078984.19</v>
      </c>
      <c r="U507" s="6">
        <f t="shared" si="46"/>
        <v>156552461.39000002</v>
      </c>
      <c r="Y507" s="9">
        <f t="shared" ref="Y507:AA508" si="47">SUM(Y508)</f>
        <v>45394564.380000003</v>
      </c>
      <c r="Z507" s="9">
        <f t="shared" si="47"/>
        <v>85065820.170000002</v>
      </c>
      <c r="AA507" s="9">
        <f t="shared" si="47"/>
        <v>130460384.55</v>
      </c>
      <c r="AD507" s="4">
        <v>295859913</v>
      </c>
      <c r="AE507" s="4">
        <v>22502021</v>
      </c>
    </row>
    <row r="508" spans="1:35" ht="17" customHeight="1" x14ac:dyDescent="0.35">
      <c r="A508" s="10" t="s">
        <v>1998</v>
      </c>
      <c r="B508" s="10" t="s">
        <v>451</v>
      </c>
      <c r="C508" s="174" t="s">
        <v>452</v>
      </c>
      <c r="D508" s="175"/>
      <c r="E508" s="175"/>
      <c r="F508" s="175"/>
      <c r="G508" s="175"/>
      <c r="H508" s="175"/>
      <c r="I508" s="176"/>
      <c r="M508" s="6">
        <f t="shared" si="45"/>
        <v>54473477.200000003</v>
      </c>
      <c r="N508" s="6">
        <f t="shared" si="45"/>
        <v>67589897.219999999</v>
      </c>
      <c r="O508" s="6">
        <f t="shared" si="45"/>
        <v>122063374.42</v>
      </c>
      <c r="S508" s="6">
        <f t="shared" si="46"/>
        <v>54473477.200000003</v>
      </c>
      <c r="T508" s="6">
        <f t="shared" si="46"/>
        <v>102078984.19</v>
      </c>
      <c r="U508" s="6">
        <f t="shared" si="46"/>
        <v>156552461.39000002</v>
      </c>
      <c r="Y508" s="9">
        <f t="shared" si="47"/>
        <v>45394564.380000003</v>
      </c>
      <c r="Z508" s="9">
        <f t="shared" si="47"/>
        <v>85065820.170000002</v>
      </c>
      <c r="AA508" s="9">
        <f t="shared" si="47"/>
        <v>130460384.55</v>
      </c>
      <c r="AD508" s="4">
        <v>295859914</v>
      </c>
      <c r="AE508" s="4">
        <v>22502026</v>
      </c>
    </row>
    <row r="509" spans="1:35" ht="17" customHeight="1" x14ac:dyDescent="0.35">
      <c r="A509" s="10" t="s">
        <v>1999</v>
      </c>
      <c r="B509" s="10" t="s">
        <v>454</v>
      </c>
      <c r="C509" s="174" t="s">
        <v>455</v>
      </c>
      <c r="D509" s="175"/>
      <c r="E509" s="175"/>
      <c r="F509" s="175"/>
      <c r="G509" s="175"/>
      <c r="H509" s="175"/>
      <c r="I509" s="176"/>
      <c r="M509" s="6">
        <f>SUM(M510,M598,M619,M642,M682)</f>
        <v>54473477.200000003</v>
      </c>
      <c r="N509" s="6">
        <f>SUM(N510,N598,N619,N642,N682)</f>
        <v>67589897.219999999</v>
      </c>
      <c r="O509" s="6">
        <f>SUM(O510,O598,O619,O642,O682)</f>
        <v>122063374.42</v>
      </c>
      <c r="S509" s="6">
        <f>SUM(S510,S598,S619,S642,S682)</f>
        <v>54473477.200000003</v>
      </c>
      <c r="T509" s="6">
        <f>SUM(T510,T598,T619,T642,T682)</f>
        <v>102078984.19</v>
      </c>
      <c r="U509" s="6">
        <f>SUM(U510,U598,U619,U642,U682)</f>
        <v>156552461.39000002</v>
      </c>
      <c r="Y509" s="9">
        <f>SUM(Y510,Y598,Y619,Y642,Y682)</f>
        <v>45394564.380000003</v>
      </c>
      <c r="Z509" s="9">
        <f>SUM(Z510,Z598,Z619,Z642,Z682)</f>
        <v>85065820.170000002</v>
      </c>
      <c r="AA509" s="9">
        <f>SUM(AA510,AA598,AA619,AA642,AA682)</f>
        <v>130460384.55</v>
      </c>
      <c r="AD509" s="4">
        <v>295859915</v>
      </c>
      <c r="AE509" s="4">
        <v>22502047</v>
      </c>
    </row>
    <row r="510" spans="1:35" ht="17" customHeight="1" x14ac:dyDescent="0.35">
      <c r="A510" s="10" t="s">
        <v>2000</v>
      </c>
      <c r="B510" s="10" t="s">
        <v>457</v>
      </c>
      <c r="C510" s="174" t="s">
        <v>458</v>
      </c>
      <c r="D510" s="175"/>
      <c r="E510" s="175"/>
      <c r="F510" s="175"/>
      <c r="G510" s="175"/>
      <c r="H510" s="175"/>
      <c r="I510" s="176"/>
      <c r="M510" s="6">
        <f>SUM(M511,M523,M546)</f>
        <v>27686647.390000001</v>
      </c>
      <c r="N510" s="6">
        <f>SUM(N511,N523,N546)</f>
        <v>30700014.319999997</v>
      </c>
      <c r="O510" s="6">
        <f>SUM(O511,O523,O546)</f>
        <v>58386661.709999993</v>
      </c>
      <c r="S510" s="6">
        <f>SUM(S511,S523,S546)</f>
        <v>27686647.390000001</v>
      </c>
      <c r="T510" s="6">
        <f>SUM(T511,T523,T546)</f>
        <v>43594020.350000001</v>
      </c>
      <c r="U510" s="6">
        <f>SUM(U511,U523,U546)</f>
        <v>71280667.74000001</v>
      </c>
      <c r="Y510" s="9">
        <f>SUM(Y511,Y523,Y546)</f>
        <v>23072206.190000001</v>
      </c>
      <c r="Z510" s="9">
        <f>SUM(Z511,Z523,Z546)</f>
        <v>36328350.290000007</v>
      </c>
      <c r="AA510" s="9">
        <f>SUM(AA511,AA523,AA546)</f>
        <v>59400556.480000004</v>
      </c>
      <c r="AD510" s="4">
        <v>295859916</v>
      </c>
      <c r="AE510" s="4">
        <v>22502051</v>
      </c>
    </row>
    <row r="511" spans="1:35" ht="17" customHeight="1" x14ac:dyDescent="0.35">
      <c r="A511" s="10" t="s">
        <v>2001</v>
      </c>
      <c r="B511" s="10" t="s">
        <v>460</v>
      </c>
      <c r="C511" s="174" t="s">
        <v>461</v>
      </c>
      <c r="D511" s="175"/>
      <c r="E511" s="175"/>
      <c r="F511" s="175"/>
      <c r="G511" s="175"/>
      <c r="H511" s="175"/>
      <c r="I511" s="176"/>
      <c r="M511" s="6">
        <f>SUM(M512,M514,M519)</f>
        <v>1283835.6700000002</v>
      </c>
      <c r="N511" s="6">
        <f>SUM(N512,N514,N519)</f>
        <v>7086703.3000000007</v>
      </c>
      <c r="O511" s="6">
        <f>SUM(O512,O514,O519)</f>
        <v>8370538.9700000007</v>
      </c>
      <c r="S511" s="6">
        <f>SUM(S512,S514,S519)</f>
        <v>1283835.6700000002</v>
      </c>
      <c r="T511" s="6">
        <f>SUM(T512,T514,T519)</f>
        <v>10063118.689999999</v>
      </c>
      <c r="U511" s="6">
        <f>SUM(U512,U514,U519)</f>
        <v>11346954.360000001</v>
      </c>
      <c r="Y511" s="9">
        <f>SUM(Y512,Y514,Y519)</f>
        <v>1069863.06</v>
      </c>
      <c r="Z511" s="9">
        <f>SUM(Z512,Z514,Z519)</f>
        <v>8385932.2400000012</v>
      </c>
      <c r="AA511" s="9">
        <f>SUM(AA512,AA514,AA519)</f>
        <v>9455795.3000000007</v>
      </c>
      <c r="AD511" s="4">
        <v>295859917</v>
      </c>
      <c r="AE511" s="4">
        <v>22502043</v>
      </c>
    </row>
    <row r="512" spans="1:35" ht="36" x14ac:dyDescent="0.35">
      <c r="A512" s="10" t="s">
        <v>2002</v>
      </c>
      <c r="B512" s="10" t="s">
        <v>463</v>
      </c>
      <c r="C512" s="11" t="s">
        <v>464</v>
      </c>
      <c r="D512" s="12"/>
      <c r="E512" s="12" t="s">
        <v>469</v>
      </c>
      <c r="F512" s="12" t="s">
        <v>63</v>
      </c>
      <c r="G512" s="13">
        <v>1</v>
      </c>
      <c r="H512" s="13"/>
      <c r="I512" s="13">
        <v>22.6</v>
      </c>
      <c r="J512" s="14">
        <f>IFERROR(ROUND(SUM(M513)/I512, 2),0)</f>
        <v>51.44</v>
      </c>
      <c r="K512" s="15">
        <v>40</v>
      </c>
      <c r="L512" s="14">
        <f>J512+ROUND(K512, 2)</f>
        <v>91.44</v>
      </c>
      <c r="M512" s="14">
        <f>ROUND(J512*I512, 2)</f>
        <v>1162.54</v>
      </c>
      <c r="N512" s="14">
        <f>ROUND(I512*ROUND(K512, 2), 2)</f>
        <v>904</v>
      </c>
      <c r="O512" s="14">
        <f>M512+N512</f>
        <v>2066.54</v>
      </c>
      <c r="P512" s="14">
        <f>IFERROR(ROUND(SUM(S513)/I512, 2),0)</f>
        <v>51.44</v>
      </c>
      <c r="Q512" s="16">
        <v>56.8</v>
      </c>
      <c r="R512" s="14">
        <f>P512+ROUND(Q512, 2)</f>
        <v>108.24</v>
      </c>
      <c r="S512" s="14">
        <f>ROUND(P512*I512, 2)</f>
        <v>1162.54</v>
      </c>
      <c r="T512" s="14">
        <f>ROUND(I512*ROUND(Q512, 2), 2)</f>
        <v>1283.68</v>
      </c>
      <c r="U512" s="14">
        <f>S512+T512</f>
        <v>2446.2200000000003</v>
      </c>
      <c r="V512" s="9">
        <f>ROUND(P512 / 1.2, 2)</f>
        <v>42.87</v>
      </c>
      <c r="W512" s="9">
        <f>ROUND(Q512 / 1.2, 2)</f>
        <v>47.33</v>
      </c>
      <c r="X512" s="9">
        <f>ROUND(R512 / 1.2, 2)</f>
        <v>90.2</v>
      </c>
      <c r="Y512" s="9">
        <f>ROUND(S512 / 1.2, 2)</f>
        <v>968.78</v>
      </c>
      <c r="Z512" s="9">
        <f>ROUND(T512 / 1.2, 2)</f>
        <v>1069.73</v>
      </c>
      <c r="AA512" s="9">
        <f>Y512+Z512</f>
        <v>2038.51</v>
      </c>
      <c r="AD512" s="4">
        <v>295859919</v>
      </c>
      <c r="AE512" s="4">
        <v>22502098</v>
      </c>
      <c r="AG512" s="4" t="s">
        <v>465</v>
      </c>
      <c r="AH512" s="4" t="s">
        <v>466</v>
      </c>
      <c r="AI512" s="4" t="s">
        <v>467</v>
      </c>
    </row>
    <row r="513" spans="1:35" ht="18" x14ac:dyDescent="0.35">
      <c r="A513" s="10" t="s">
        <v>2003</v>
      </c>
      <c r="B513" s="10"/>
      <c r="C513" s="28" t="s">
        <v>471</v>
      </c>
      <c r="D513" s="12"/>
      <c r="E513" s="12"/>
      <c r="F513" s="29" t="s">
        <v>63</v>
      </c>
      <c r="G513" s="30">
        <v>1.1000000000000001</v>
      </c>
      <c r="H513" s="30"/>
      <c r="I513" s="30">
        <v>24.86</v>
      </c>
      <c r="J513" s="31">
        <v>46.76</v>
      </c>
      <c r="M513" s="32">
        <f>ROUND(ROUND(J513, 2)*I513, 2)</f>
        <v>1162.45</v>
      </c>
      <c r="P513" s="33">
        <v>46.76</v>
      </c>
      <c r="S513" s="32">
        <f>ROUND(ROUND(P513, 2)*I513, 2)</f>
        <v>1162.45</v>
      </c>
      <c r="V513" s="9">
        <f>ROUND(ROUND(P513, 2)/1.2, 2)</f>
        <v>38.97</v>
      </c>
      <c r="Y513" s="9">
        <f t="shared" ref="Y513:Y522" si="48">ROUND(S513 / 1.2, 2)</f>
        <v>968.71</v>
      </c>
      <c r="AD513" s="4" t="s">
        <v>2004</v>
      </c>
      <c r="AE513" s="4" t="s">
        <v>2005</v>
      </c>
      <c r="AF513" s="4" t="s">
        <v>474</v>
      </c>
    </row>
    <row r="514" spans="1:35" ht="36" x14ac:dyDescent="0.35">
      <c r="A514" s="10" t="s">
        <v>2006</v>
      </c>
      <c r="B514" s="10" t="s">
        <v>482</v>
      </c>
      <c r="C514" s="11" t="s">
        <v>483</v>
      </c>
      <c r="D514" s="12"/>
      <c r="E514" s="12" t="s">
        <v>487</v>
      </c>
      <c r="F514" s="12" t="s">
        <v>63</v>
      </c>
      <c r="G514" s="13">
        <v>1</v>
      </c>
      <c r="H514" s="13"/>
      <c r="I514" s="13">
        <v>7788.8</v>
      </c>
      <c r="J514" s="14">
        <f>IFERROR(ROUND(SUM(M515,M516,M517,M518)/I514, 2),0)</f>
        <v>151.97999999999999</v>
      </c>
      <c r="K514" s="15">
        <v>868</v>
      </c>
      <c r="L514" s="14">
        <f>J514+ROUND(K514, 2)</f>
        <v>1019.98</v>
      </c>
      <c r="M514" s="14">
        <f>ROUND(J514*I514, 2)</f>
        <v>1183741.82</v>
      </c>
      <c r="N514" s="14">
        <f>ROUND(I514*ROUND(K514, 2), 2)</f>
        <v>6760678.4000000004</v>
      </c>
      <c r="O514" s="14">
        <f>M514+N514</f>
        <v>7944420.2200000007</v>
      </c>
      <c r="P514" s="14">
        <f>IFERROR(ROUND(SUM(S515,S516,S517,S518)/I514, 2),0)</f>
        <v>151.97999999999999</v>
      </c>
      <c r="Q514" s="16">
        <v>1232.56</v>
      </c>
      <c r="R514" s="14">
        <f>P514+ROUND(Q514, 2)</f>
        <v>1384.54</v>
      </c>
      <c r="S514" s="14">
        <f>ROUND(P514*I514, 2)</f>
        <v>1183741.82</v>
      </c>
      <c r="T514" s="14">
        <f>ROUND(I514*ROUND(Q514, 2), 2)</f>
        <v>9600163.3300000001</v>
      </c>
      <c r="U514" s="14">
        <f>S514+T514</f>
        <v>10783905.15</v>
      </c>
      <c r="V514" s="9">
        <f>ROUND(P514 / 1.2, 2)</f>
        <v>126.65</v>
      </c>
      <c r="W514" s="9">
        <f>ROUND(Q514 / 1.2, 2)</f>
        <v>1027.1300000000001</v>
      </c>
      <c r="X514" s="9">
        <f>ROUND(R514 / 1.2, 2)</f>
        <v>1153.78</v>
      </c>
      <c r="Y514" s="9">
        <f t="shared" si="48"/>
        <v>986451.52</v>
      </c>
      <c r="Z514" s="9">
        <f>ROUND(T514 / 1.2, 2)</f>
        <v>8000136.1100000003</v>
      </c>
      <c r="AA514" s="9">
        <f>Y514+Z514</f>
        <v>8986587.6300000008</v>
      </c>
      <c r="AD514" s="4">
        <v>295859921</v>
      </c>
      <c r="AE514" s="4">
        <v>22502078</v>
      </c>
      <c r="AG514" s="4" t="s">
        <v>484</v>
      </c>
      <c r="AH514" s="4" t="s">
        <v>485</v>
      </c>
      <c r="AI514" s="4" t="s">
        <v>467</v>
      </c>
    </row>
    <row r="515" spans="1:35" ht="18" x14ac:dyDescent="0.35">
      <c r="A515" s="10" t="s">
        <v>2007</v>
      </c>
      <c r="B515" s="10"/>
      <c r="C515" s="28" t="s">
        <v>489</v>
      </c>
      <c r="D515" s="12"/>
      <c r="E515" s="12"/>
      <c r="F515" s="29" t="s">
        <v>490</v>
      </c>
      <c r="G515" s="30">
        <v>8</v>
      </c>
      <c r="H515" s="49"/>
      <c r="I515" s="49">
        <v>62310.400000000001</v>
      </c>
      <c r="J515" s="31">
        <v>2.5</v>
      </c>
      <c r="M515" s="32">
        <f>ROUND(ROUND(J515, 2)*I515, 2)</f>
        <v>155776</v>
      </c>
      <c r="P515" s="33">
        <v>2.5</v>
      </c>
      <c r="S515" s="32">
        <f>ROUND(ROUND(P515, 2)*I515, 2)</f>
        <v>155776</v>
      </c>
      <c r="V515" s="9">
        <f>ROUND(ROUND(P515, 2)/1.2, 2)</f>
        <v>2.08</v>
      </c>
      <c r="Y515" s="9">
        <f t="shared" si="48"/>
        <v>129813.33</v>
      </c>
      <c r="AD515" s="4" t="s">
        <v>2008</v>
      </c>
      <c r="AE515" s="4" t="s">
        <v>2009</v>
      </c>
      <c r="AF515" s="4" t="s">
        <v>493</v>
      </c>
    </row>
    <row r="516" spans="1:35" ht="18" x14ac:dyDescent="0.35">
      <c r="A516" s="10" t="s">
        <v>2010</v>
      </c>
      <c r="B516" s="10"/>
      <c r="C516" s="28" t="s">
        <v>512</v>
      </c>
      <c r="D516" s="12"/>
      <c r="E516" s="12"/>
      <c r="F516" s="29" t="s">
        <v>78</v>
      </c>
      <c r="G516" s="30">
        <v>1</v>
      </c>
      <c r="H516" s="49"/>
      <c r="I516" s="49">
        <v>6544</v>
      </c>
      <c r="J516" s="31">
        <v>10.4</v>
      </c>
      <c r="M516" s="32">
        <f>ROUND(ROUND(J516, 2)*I516, 2)</f>
        <v>68057.600000000006</v>
      </c>
      <c r="P516" s="33">
        <v>10.4</v>
      </c>
      <c r="S516" s="32">
        <f>ROUND(ROUND(P516, 2)*I516, 2)</f>
        <v>68057.600000000006</v>
      </c>
      <c r="V516" s="9">
        <f>ROUND(ROUND(P516, 2)/1.2, 2)</f>
        <v>8.67</v>
      </c>
      <c r="Y516" s="9">
        <f t="shared" si="48"/>
        <v>56714.67</v>
      </c>
      <c r="AD516" s="4" t="s">
        <v>2011</v>
      </c>
      <c r="AE516" s="4" t="s">
        <v>2012</v>
      </c>
      <c r="AF516" s="4" t="s">
        <v>515</v>
      </c>
    </row>
    <row r="517" spans="1:35" ht="18" x14ac:dyDescent="0.35">
      <c r="A517" s="10" t="s">
        <v>2013</v>
      </c>
      <c r="B517" s="10"/>
      <c r="C517" s="28" t="s">
        <v>497</v>
      </c>
      <c r="D517" s="12"/>
      <c r="E517" s="12"/>
      <c r="F517" s="29" t="s">
        <v>498</v>
      </c>
      <c r="G517" s="30">
        <v>1.8</v>
      </c>
      <c r="H517" s="49"/>
      <c r="I517" s="49">
        <v>14019.84</v>
      </c>
      <c r="J517" s="31">
        <v>6.17</v>
      </c>
      <c r="M517" s="32">
        <f>ROUND(ROUND(J517, 2)*I517, 2)</f>
        <v>86502.41</v>
      </c>
      <c r="P517" s="33">
        <v>6.17</v>
      </c>
      <c r="S517" s="32">
        <f>ROUND(ROUND(P517, 2)*I517, 2)</f>
        <v>86502.41</v>
      </c>
      <c r="V517" s="9">
        <f>ROUND(ROUND(P517, 2)/1.2, 2)</f>
        <v>5.14</v>
      </c>
      <c r="Y517" s="9">
        <f t="shared" si="48"/>
        <v>72085.34</v>
      </c>
      <c r="AD517" s="4" t="s">
        <v>2014</v>
      </c>
      <c r="AE517" s="4" t="s">
        <v>2015</v>
      </c>
      <c r="AF517" s="4" t="s">
        <v>501</v>
      </c>
    </row>
    <row r="518" spans="1:35" ht="18" x14ac:dyDescent="0.35">
      <c r="A518" s="10" t="s">
        <v>2016</v>
      </c>
      <c r="B518" s="10"/>
      <c r="C518" s="28" t="s">
        <v>505</v>
      </c>
      <c r="D518" s="12"/>
      <c r="E518" s="12"/>
      <c r="F518" s="29" t="s">
        <v>63</v>
      </c>
      <c r="G518" s="30">
        <v>1.1000000000000001</v>
      </c>
      <c r="H518" s="49"/>
      <c r="I518" s="49">
        <v>8567.68</v>
      </c>
      <c r="J518" s="31">
        <v>101.94</v>
      </c>
      <c r="M518" s="32">
        <f>ROUND(ROUND(J518, 2)*I518, 2)</f>
        <v>873389.3</v>
      </c>
      <c r="P518" s="33">
        <v>101.94</v>
      </c>
      <c r="S518" s="32">
        <f>ROUND(ROUND(P518, 2)*I518, 2)</f>
        <v>873389.3</v>
      </c>
      <c r="V518" s="9">
        <f>ROUND(ROUND(P518, 2)/1.2, 2)</f>
        <v>84.95</v>
      </c>
      <c r="Y518" s="9">
        <f t="shared" si="48"/>
        <v>727824.42</v>
      </c>
      <c r="AD518" s="4" t="s">
        <v>2017</v>
      </c>
      <c r="AE518" s="4" t="s">
        <v>2018</v>
      </c>
      <c r="AF518" s="4" t="s">
        <v>508</v>
      </c>
    </row>
    <row r="519" spans="1:35" ht="54" x14ac:dyDescent="0.35">
      <c r="A519" s="10" t="s">
        <v>2019</v>
      </c>
      <c r="B519" s="10" t="s">
        <v>532</v>
      </c>
      <c r="C519" s="11" t="s">
        <v>533</v>
      </c>
      <c r="D519" s="12"/>
      <c r="E519" s="12" t="s">
        <v>537</v>
      </c>
      <c r="F519" s="12" t="s">
        <v>63</v>
      </c>
      <c r="G519" s="13">
        <v>1</v>
      </c>
      <c r="H519" s="13"/>
      <c r="I519" s="13">
        <v>583.70000000000005</v>
      </c>
      <c r="J519" s="14">
        <f>IFERROR(ROUND(SUM(M520,M521,M522)/I519, 2),0)</f>
        <v>169.49</v>
      </c>
      <c r="K519" s="15">
        <v>557</v>
      </c>
      <c r="L519" s="14">
        <f>J519+ROUND(K519, 2)</f>
        <v>726.49</v>
      </c>
      <c r="M519" s="14">
        <f>ROUND(J519*I519, 2)</f>
        <v>98931.31</v>
      </c>
      <c r="N519" s="14">
        <f>ROUND(I519*ROUND(K519, 2), 2)</f>
        <v>325120.90000000002</v>
      </c>
      <c r="O519" s="14">
        <f>M519+N519</f>
        <v>424052.21</v>
      </c>
      <c r="P519" s="14">
        <f>IFERROR(ROUND(SUM(S520,S521,S522)/I519, 2),0)</f>
        <v>169.49</v>
      </c>
      <c r="Q519" s="16">
        <v>790.94</v>
      </c>
      <c r="R519" s="14">
        <f>P519+ROUND(Q519, 2)</f>
        <v>960.43000000000006</v>
      </c>
      <c r="S519" s="14">
        <f>ROUND(P519*I519, 2)</f>
        <v>98931.31</v>
      </c>
      <c r="T519" s="14">
        <f>ROUND(I519*ROUND(Q519, 2), 2)</f>
        <v>461671.67999999999</v>
      </c>
      <c r="U519" s="14">
        <f>S519+T519</f>
        <v>560602.99</v>
      </c>
      <c r="V519" s="9">
        <f>ROUND(P519 / 1.2, 2)</f>
        <v>141.24</v>
      </c>
      <c r="W519" s="9">
        <f>ROUND(Q519 / 1.2, 2)</f>
        <v>659.12</v>
      </c>
      <c r="X519" s="9">
        <f>ROUND(R519 / 1.2, 2)</f>
        <v>800.36</v>
      </c>
      <c r="Y519" s="9">
        <f t="shared" si="48"/>
        <v>82442.759999999995</v>
      </c>
      <c r="Z519" s="9">
        <f>ROUND(T519 / 1.2, 2)</f>
        <v>384726.4</v>
      </c>
      <c r="AA519" s="9">
        <f>Y519+Z519</f>
        <v>467169.16000000003</v>
      </c>
      <c r="AD519" s="4">
        <v>295859923</v>
      </c>
      <c r="AE519" s="4">
        <v>22502085</v>
      </c>
      <c r="AG519" s="4" t="s">
        <v>534</v>
      </c>
      <c r="AH519" s="4" t="s">
        <v>535</v>
      </c>
      <c r="AI519" s="4" t="s">
        <v>467</v>
      </c>
    </row>
    <row r="520" spans="1:35" ht="18" x14ac:dyDescent="0.35">
      <c r="A520" s="10" t="s">
        <v>2020</v>
      </c>
      <c r="B520" s="10"/>
      <c r="C520" s="28" t="s">
        <v>512</v>
      </c>
      <c r="D520" s="12"/>
      <c r="E520" s="12"/>
      <c r="F520" s="29" t="s">
        <v>78</v>
      </c>
      <c r="G520" s="30">
        <v>1</v>
      </c>
      <c r="H520" s="49"/>
      <c r="I520" s="49">
        <v>96.64</v>
      </c>
      <c r="J520" s="31">
        <v>10.4</v>
      </c>
      <c r="M520" s="32">
        <f>ROUND(ROUND(J520, 2)*I520, 2)</f>
        <v>1005.06</v>
      </c>
      <c r="P520" s="33">
        <v>10.4</v>
      </c>
      <c r="S520" s="32">
        <f>ROUND(ROUND(P520, 2)*I520, 2)</f>
        <v>1005.06</v>
      </c>
      <c r="V520" s="9">
        <f>ROUND(ROUND(P520, 2)/1.2, 2)</f>
        <v>8.67</v>
      </c>
      <c r="Y520" s="9">
        <f t="shared" si="48"/>
        <v>837.55</v>
      </c>
      <c r="AD520" s="4" t="s">
        <v>2021</v>
      </c>
      <c r="AE520" s="4" t="s">
        <v>2022</v>
      </c>
      <c r="AF520" s="4" t="s">
        <v>515</v>
      </c>
    </row>
    <row r="521" spans="1:35" ht="36" x14ac:dyDescent="0.35">
      <c r="A521" s="10" t="s">
        <v>2023</v>
      </c>
      <c r="B521" s="10"/>
      <c r="C521" s="28" t="s">
        <v>544</v>
      </c>
      <c r="D521" s="12"/>
      <c r="E521" s="12"/>
      <c r="F521" s="29" t="s">
        <v>498</v>
      </c>
      <c r="G521" s="30">
        <v>0.255</v>
      </c>
      <c r="H521" s="30"/>
      <c r="I521" s="30">
        <v>148.84399999999999</v>
      </c>
      <c r="J521" s="31">
        <v>88.8</v>
      </c>
      <c r="M521" s="32">
        <f>ROUND(ROUND(J521, 2)*I521, 2)</f>
        <v>13217.35</v>
      </c>
      <c r="P521" s="33">
        <v>88.8</v>
      </c>
      <c r="S521" s="32">
        <f>ROUND(ROUND(P521, 2)*I521, 2)</f>
        <v>13217.35</v>
      </c>
      <c r="V521" s="9">
        <f>ROUND(ROUND(P521, 2)/1.2, 2)</f>
        <v>74</v>
      </c>
      <c r="Y521" s="9">
        <f t="shared" si="48"/>
        <v>11014.46</v>
      </c>
      <c r="AD521" s="4" t="s">
        <v>2024</v>
      </c>
      <c r="AE521" s="4" t="s">
        <v>2025</v>
      </c>
      <c r="AF521" s="4" t="s">
        <v>547</v>
      </c>
    </row>
    <row r="522" spans="1:35" ht="36" x14ac:dyDescent="0.35">
      <c r="A522" s="10" t="s">
        <v>2026</v>
      </c>
      <c r="B522" s="10"/>
      <c r="C522" s="47" t="s">
        <v>551</v>
      </c>
      <c r="D522" s="12"/>
      <c r="E522" s="12"/>
      <c r="F522" s="29" t="s">
        <v>498</v>
      </c>
      <c r="G522" s="30">
        <v>1.6</v>
      </c>
      <c r="H522" s="49"/>
      <c r="I522" s="49">
        <v>9339.2000000000007</v>
      </c>
      <c r="J522" s="31">
        <v>9.07</v>
      </c>
      <c r="M522" s="32">
        <f>ROUND(ROUND(J522, 2)*I522, 2)</f>
        <v>84706.54</v>
      </c>
      <c r="P522" s="33">
        <v>9.07</v>
      </c>
      <c r="S522" s="32">
        <f>ROUND(ROUND(P522, 2)*I522, 2)</f>
        <v>84706.54</v>
      </c>
      <c r="V522" s="9">
        <f>ROUND(ROUND(P522, 2)/1.2, 2)</f>
        <v>7.56</v>
      </c>
      <c r="Y522" s="9">
        <f t="shared" si="48"/>
        <v>70588.78</v>
      </c>
      <c r="AD522" s="4" t="s">
        <v>2027</v>
      </c>
      <c r="AE522" s="4" t="s">
        <v>2028</v>
      </c>
      <c r="AF522" s="4" t="s">
        <v>554</v>
      </c>
    </row>
    <row r="523" spans="1:35" ht="17" customHeight="1" x14ac:dyDescent="0.35">
      <c r="A523" s="10" t="s">
        <v>2029</v>
      </c>
      <c r="B523" s="10" t="s">
        <v>568</v>
      </c>
      <c r="C523" s="174" t="s">
        <v>569</v>
      </c>
      <c r="D523" s="175"/>
      <c r="E523" s="175"/>
      <c r="F523" s="175"/>
      <c r="G523" s="175"/>
      <c r="H523" s="175"/>
      <c r="I523" s="176"/>
      <c r="M523" s="6">
        <f>SUM(M524,M526,M528,M530,M532,M534,M536,M538,M540,M542,M544)</f>
        <v>4197714.66</v>
      </c>
      <c r="N523" s="6">
        <f>SUM(N524,N526,N528,N530,N532,N534,N536,N538,N540,N542,N544)</f>
        <v>3555936.2399999993</v>
      </c>
      <c r="O523" s="6">
        <f>SUM(O524,O526,O528,O530,O532,O534,O536,O538,O540,O542,O544)</f>
        <v>7753650.8999999994</v>
      </c>
      <c r="S523" s="6">
        <f>SUM(S524,S526,S528,S530,S532,S534,S536,S538,S540,S542,S544)</f>
        <v>4197714.66</v>
      </c>
      <c r="T523" s="6">
        <f>SUM(T524,T526,T528,T530,T532,T534,T536,T538,T540,T542,T544)</f>
        <v>5049429.47</v>
      </c>
      <c r="U523" s="6">
        <f>SUM(U524,U526,U528,U530,U532,U534,U536,U538,U540,U542,U544)</f>
        <v>9247144.129999999</v>
      </c>
      <c r="Y523" s="9">
        <f>SUM(Y524,Y526,Y528,Y530,Y532,Y534,Y536,Y538,Y540,Y542,Y544)</f>
        <v>3498095.56</v>
      </c>
      <c r="Z523" s="9">
        <f>SUM(Z524,Z526,Z528,Z530,Z532,Z534,Z536,Z538,Z540,Z542,Z544)</f>
        <v>4207857.8900000006</v>
      </c>
      <c r="AA523" s="9">
        <f>SUM(AA524,AA526,AA528,AA530,AA532,AA534,AA536,AA538,AA540,AA542,AA544)</f>
        <v>7705953.4500000011</v>
      </c>
      <c r="AD523" s="4">
        <v>295859924</v>
      </c>
      <c r="AE523" s="4">
        <v>22502036</v>
      </c>
    </row>
    <row r="524" spans="1:35" ht="54" x14ac:dyDescent="0.35">
      <c r="A524" s="10" t="s">
        <v>2030</v>
      </c>
      <c r="B524" s="10" t="s">
        <v>571</v>
      </c>
      <c r="C524" s="11" t="s">
        <v>572</v>
      </c>
      <c r="D524" s="12"/>
      <c r="E524" s="12" t="s">
        <v>576</v>
      </c>
      <c r="F524" s="12" t="s">
        <v>63</v>
      </c>
      <c r="G524" s="13">
        <v>1</v>
      </c>
      <c r="H524" s="13"/>
      <c r="I524" s="13">
        <v>168.4</v>
      </c>
      <c r="J524" s="14">
        <f>IFERROR(ROUND(SUM(M525)/I524, 2),0)</f>
        <v>997.82</v>
      </c>
      <c r="K524" s="15">
        <v>162</v>
      </c>
      <c r="L524" s="14">
        <f>J524+ROUND(K524, 2)</f>
        <v>1159.8200000000002</v>
      </c>
      <c r="M524" s="14">
        <f>ROUND(J524*I524, 2)</f>
        <v>168032.89</v>
      </c>
      <c r="N524" s="14">
        <f>ROUND(I524*ROUND(K524, 2), 2)</f>
        <v>27280.799999999999</v>
      </c>
      <c r="O524" s="14">
        <f>M524+N524</f>
        <v>195313.69</v>
      </c>
      <c r="P524" s="14">
        <f>IFERROR(ROUND(SUM(S525)/I524, 2),0)</f>
        <v>997.82</v>
      </c>
      <c r="Q524" s="16">
        <v>230.04</v>
      </c>
      <c r="R524" s="14">
        <f>P524+ROUND(Q524, 2)</f>
        <v>1227.8600000000001</v>
      </c>
      <c r="S524" s="14">
        <f>ROUND(P524*I524, 2)</f>
        <v>168032.89</v>
      </c>
      <c r="T524" s="14">
        <f>ROUND(I524*ROUND(Q524, 2), 2)</f>
        <v>38738.74</v>
      </c>
      <c r="U524" s="14">
        <f>S524+T524</f>
        <v>206771.63</v>
      </c>
      <c r="V524" s="9">
        <f>ROUND(P524 / 1.2, 2)</f>
        <v>831.52</v>
      </c>
      <c r="W524" s="9">
        <f>ROUND(Q524 / 1.2, 2)</f>
        <v>191.7</v>
      </c>
      <c r="X524" s="9">
        <f>ROUND(R524 / 1.2, 2)</f>
        <v>1023.22</v>
      </c>
      <c r="Y524" s="9">
        <f>ROUND(S524 / 1.2, 2)</f>
        <v>140027.41</v>
      </c>
      <c r="Z524" s="9">
        <f>ROUND(T524 / 1.2, 2)</f>
        <v>32282.28</v>
      </c>
      <c r="AA524" s="9">
        <f>Y524+Z524</f>
        <v>172309.69</v>
      </c>
      <c r="AD524" s="4">
        <v>295859926</v>
      </c>
      <c r="AE524" s="4">
        <v>22502096</v>
      </c>
      <c r="AG524" s="4" t="s">
        <v>573</v>
      </c>
      <c r="AH524" s="4" t="s">
        <v>574</v>
      </c>
      <c r="AI524" s="4" t="s">
        <v>467</v>
      </c>
    </row>
    <row r="525" spans="1:35" ht="36" x14ac:dyDescent="0.35">
      <c r="A525" s="10" t="s">
        <v>2031</v>
      </c>
      <c r="B525" s="10"/>
      <c r="C525" s="28" t="s">
        <v>578</v>
      </c>
      <c r="D525" s="12"/>
      <c r="E525" s="12"/>
      <c r="F525" s="29" t="s">
        <v>498</v>
      </c>
      <c r="G525" s="30">
        <v>1</v>
      </c>
      <c r="H525" s="30"/>
      <c r="I525" s="30">
        <v>168.4</v>
      </c>
      <c r="J525" s="31">
        <v>997.82</v>
      </c>
      <c r="M525" s="32">
        <f>ROUND(ROUND(J525, 2)*I525, 2)</f>
        <v>168032.89</v>
      </c>
      <c r="P525" s="33">
        <v>997.82</v>
      </c>
      <c r="S525" s="32">
        <f>ROUND(ROUND(P525, 2)*I525, 2)</f>
        <v>168032.89</v>
      </c>
      <c r="V525" s="9">
        <f>ROUND(ROUND(P525, 2)/1.2, 2)</f>
        <v>831.52</v>
      </c>
      <c r="Y525" s="9">
        <f t="shared" ref="Y525:Y545" si="49">ROUND(S525 / 1.2, 2)</f>
        <v>140027.41</v>
      </c>
      <c r="AD525" s="4" t="s">
        <v>2032</v>
      </c>
      <c r="AE525" s="4" t="s">
        <v>2033</v>
      </c>
      <c r="AF525" s="4" t="s">
        <v>581</v>
      </c>
    </row>
    <row r="526" spans="1:35" ht="54" x14ac:dyDescent="0.35">
      <c r="A526" s="10" t="s">
        <v>2034</v>
      </c>
      <c r="B526" s="10" t="s">
        <v>589</v>
      </c>
      <c r="C526" s="11" t="s">
        <v>590</v>
      </c>
      <c r="D526" s="12"/>
      <c r="E526" s="12" t="s">
        <v>2035</v>
      </c>
      <c r="F526" s="12" t="s">
        <v>63</v>
      </c>
      <c r="G526" s="13">
        <v>1</v>
      </c>
      <c r="H526" s="13"/>
      <c r="I526" s="13">
        <v>549.6</v>
      </c>
      <c r="J526" s="14">
        <f>IFERROR(ROUND(SUM(M527)/I526, 2),0)</f>
        <v>420.76</v>
      </c>
      <c r="K526" s="15">
        <v>324</v>
      </c>
      <c r="L526" s="14">
        <f>J526+ROUND(K526, 2)</f>
        <v>744.76</v>
      </c>
      <c r="M526" s="14">
        <f>ROUND(J526*I526, 2)</f>
        <v>231249.7</v>
      </c>
      <c r="N526" s="14">
        <f>ROUND(I526*ROUND(K526, 2), 2)</f>
        <v>178070.39999999999</v>
      </c>
      <c r="O526" s="14">
        <f>M526+N526</f>
        <v>409320.1</v>
      </c>
      <c r="P526" s="14">
        <f>IFERROR(ROUND(SUM(S527)/I526, 2),0)</f>
        <v>420.76</v>
      </c>
      <c r="Q526" s="16">
        <v>460.08</v>
      </c>
      <c r="R526" s="14">
        <f>P526+ROUND(Q526, 2)</f>
        <v>880.83999999999992</v>
      </c>
      <c r="S526" s="14">
        <f>ROUND(P526*I526, 2)</f>
        <v>231249.7</v>
      </c>
      <c r="T526" s="14">
        <f>ROUND(I526*ROUND(Q526, 2), 2)</f>
        <v>252859.97</v>
      </c>
      <c r="U526" s="14">
        <f>S526+T526</f>
        <v>484109.67000000004</v>
      </c>
      <c r="V526" s="9">
        <f>ROUND(P526 / 1.2, 2)</f>
        <v>350.63</v>
      </c>
      <c r="W526" s="9">
        <f>ROUND(Q526 / 1.2, 2)</f>
        <v>383.4</v>
      </c>
      <c r="X526" s="9">
        <f>ROUND(R526 / 1.2, 2)</f>
        <v>734.03</v>
      </c>
      <c r="Y526" s="9">
        <f t="shared" si="49"/>
        <v>192708.08</v>
      </c>
      <c r="Z526" s="9">
        <f>ROUND(T526 / 1.2, 2)</f>
        <v>210716.64</v>
      </c>
      <c r="AA526" s="9">
        <f>Y526+Z526</f>
        <v>403424.72</v>
      </c>
      <c r="AD526" s="4">
        <v>295859927</v>
      </c>
      <c r="AE526" s="4">
        <v>22502055</v>
      </c>
      <c r="AG526" s="4" t="s">
        <v>591</v>
      </c>
      <c r="AH526" s="4" t="s">
        <v>592</v>
      </c>
      <c r="AI526" s="4" t="s">
        <v>467</v>
      </c>
    </row>
    <row r="527" spans="1:35" ht="18" x14ac:dyDescent="0.35">
      <c r="A527" s="10" t="s">
        <v>2036</v>
      </c>
      <c r="B527" s="10"/>
      <c r="C527" s="28" t="s">
        <v>596</v>
      </c>
      <c r="D527" s="12"/>
      <c r="E527" s="12"/>
      <c r="F527" s="29" t="s">
        <v>498</v>
      </c>
      <c r="G527" s="30">
        <v>4.3</v>
      </c>
      <c r="H527" s="30"/>
      <c r="I527" s="30">
        <v>2363.2800000000002</v>
      </c>
      <c r="J527" s="31">
        <v>97.85</v>
      </c>
      <c r="M527" s="32">
        <f>ROUND(ROUND(J527, 2)*I527, 2)</f>
        <v>231246.95</v>
      </c>
      <c r="P527" s="33">
        <v>97.85</v>
      </c>
      <c r="S527" s="32">
        <f>ROUND(ROUND(P527, 2)*I527, 2)</f>
        <v>231246.95</v>
      </c>
      <c r="V527" s="9">
        <f>ROUND(ROUND(P527, 2)/1.2, 2)</f>
        <v>81.540000000000006</v>
      </c>
      <c r="Y527" s="9">
        <f t="shared" si="49"/>
        <v>192705.79</v>
      </c>
      <c r="AD527" s="4" t="s">
        <v>2037</v>
      </c>
      <c r="AE527" s="4" t="s">
        <v>2038</v>
      </c>
      <c r="AF527" s="4" t="s">
        <v>599</v>
      </c>
    </row>
    <row r="528" spans="1:35" ht="54" x14ac:dyDescent="0.35">
      <c r="A528" s="10" t="s">
        <v>2039</v>
      </c>
      <c r="B528" s="10" t="s">
        <v>607</v>
      </c>
      <c r="C528" s="11" t="s">
        <v>608</v>
      </c>
      <c r="D528" s="12"/>
      <c r="E528" s="12" t="s">
        <v>612</v>
      </c>
      <c r="F528" s="12" t="s">
        <v>63</v>
      </c>
      <c r="G528" s="13">
        <v>1</v>
      </c>
      <c r="H528" s="13"/>
      <c r="I528" s="13">
        <v>1430.4</v>
      </c>
      <c r="J528" s="14">
        <f>IFERROR(ROUND(SUM(M529)/I528, 2),0)</f>
        <v>276.93</v>
      </c>
      <c r="K528" s="15">
        <v>580</v>
      </c>
      <c r="L528" s="14">
        <f>J528+ROUND(K528, 2)</f>
        <v>856.93000000000006</v>
      </c>
      <c r="M528" s="14">
        <f>ROUND(J528*I528, 2)</f>
        <v>396120.67</v>
      </c>
      <c r="N528" s="14">
        <f>ROUND(I528*ROUND(K528, 2), 2)</f>
        <v>829632</v>
      </c>
      <c r="O528" s="14">
        <f>M528+N528</f>
        <v>1225752.67</v>
      </c>
      <c r="P528" s="14">
        <f>IFERROR(ROUND(SUM(S529)/I528, 2),0)</f>
        <v>276.93</v>
      </c>
      <c r="Q528" s="16">
        <v>823.6</v>
      </c>
      <c r="R528" s="14">
        <f>P528+ROUND(Q528, 2)</f>
        <v>1100.53</v>
      </c>
      <c r="S528" s="14">
        <f>ROUND(P528*I528, 2)</f>
        <v>396120.67</v>
      </c>
      <c r="T528" s="14">
        <f>ROUND(I528*ROUND(Q528, 2), 2)</f>
        <v>1178077.44</v>
      </c>
      <c r="U528" s="14">
        <f>S528+T528</f>
        <v>1574198.1099999999</v>
      </c>
      <c r="V528" s="9">
        <f>ROUND(P528 / 1.2, 2)</f>
        <v>230.78</v>
      </c>
      <c r="W528" s="9">
        <f>ROUND(Q528 / 1.2, 2)</f>
        <v>686.33</v>
      </c>
      <c r="X528" s="9">
        <f>ROUND(R528 / 1.2, 2)</f>
        <v>917.11</v>
      </c>
      <c r="Y528" s="9">
        <f t="shared" si="49"/>
        <v>330100.56</v>
      </c>
      <c r="Z528" s="9">
        <f>ROUND(T528 / 1.2, 2)</f>
        <v>981731.2</v>
      </c>
      <c r="AA528" s="9">
        <f>Y528+Z528</f>
        <v>1311831.76</v>
      </c>
      <c r="AD528" s="4">
        <v>295859929</v>
      </c>
      <c r="AE528" s="4">
        <v>22502090</v>
      </c>
      <c r="AG528" s="4" t="s">
        <v>609</v>
      </c>
      <c r="AH528" s="4" t="s">
        <v>610</v>
      </c>
      <c r="AI528" s="4" t="s">
        <v>467</v>
      </c>
    </row>
    <row r="529" spans="1:35" ht="18" x14ac:dyDescent="0.35">
      <c r="A529" s="10" t="s">
        <v>2040</v>
      </c>
      <c r="B529" s="10"/>
      <c r="C529" s="47" t="s">
        <v>614</v>
      </c>
      <c r="D529" s="12"/>
      <c r="E529" s="12"/>
      <c r="F529" s="29" t="s">
        <v>63</v>
      </c>
      <c r="G529" s="30">
        <v>1.1000000000000001</v>
      </c>
      <c r="H529" s="49"/>
      <c r="I529" s="49">
        <v>1573.44</v>
      </c>
      <c r="J529" s="31">
        <v>251.75</v>
      </c>
      <c r="M529" s="32">
        <f>ROUND(ROUND(J529, 2)*I529, 2)</f>
        <v>396113.52</v>
      </c>
      <c r="P529" s="33">
        <v>251.75</v>
      </c>
      <c r="S529" s="32">
        <f>ROUND(ROUND(P529, 2)*I529, 2)</f>
        <v>396113.52</v>
      </c>
      <c r="V529" s="9">
        <f>ROUND(ROUND(P529, 2)/1.2, 2)</f>
        <v>209.79</v>
      </c>
      <c r="Y529" s="9">
        <f t="shared" si="49"/>
        <v>330094.59999999998</v>
      </c>
      <c r="AD529" s="4" t="s">
        <v>2041</v>
      </c>
      <c r="AE529" s="4" t="s">
        <v>2042</v>
      </c>
      <c r="AF529" s="4" t="s">
        <v>617</v>
      </c>
    </row>
    <row r="530" spans="1:35" ht="36" x14ac:dyDescent="0.35">
      <c r="A530" s="10" t="s">
        <v>2043</v>
      </c>
      <c r="B530" s="10" t="s">
        <v>625</v>
      </c>
      <c r="C530" s="11" t="s">
        <v>626</v>
      </c>
      <c r="D530" s="12"/>
      <c r="E530" s="12" t="s">
        <v>630</v>
      </c>
      <c r="F530" s="12" t="s">
        <v>63</v>
      </c>
      <c r="G530" s="13">
        <v>1</v>
      </c>
      <c r="H530" s="13"/>
      <c r="I530" s="13">
        <v>220.5</v>
      </c>
      <c r="J530" s="14">
        <f>IFERROR(ROUND(SUM(M531)/I530, 2),0)</f>
        <v>681.45</v>
      </c>
      <c r="K530" s="15">
        <v>868</v>
      </c>
      <c r="L530" s="14">
        <f>J530+ROUND(K530, 2)</f>
        <v>1549.45</v>
      </c>
      <c r="M530" s="14">
        <f>ROUND(J530*I530, 2)</f>
        <v>150259.73000000001</v>
      </c>
      <c r="N530" s="14">
        <f>ROUND(I530*ROUND(K530, 2), 2)</f>
        <v>191394</v>
      </c>
      <c r="O530" s="14">
        <f>M530+N530</f>
        <v>341653.73</v>
      </c>
      <c r="P530" s="14">
        <f>IFERROR(ROUND(SUM(S531)/I530, 2),0)</f>
        <v>681.45</v>
      </c>
      <c r="Q530" s="16">
        <v>1232.56</v>
      </c>
      <c r="R530" s="14">
        <f>P530+ROUND(Q530, 2)</f>
        <v>1914.01</v>
      </c>
      <c r="S530" s="14">
        <f>ROUND(P530*I530, 2)</f>
        <v>150259.73000000001</v>
      </c>
      <c r="T530" s="14">
        <f>ROUND(I530*ROUND(Q530, 2), 2)</f>
        <v>271779.48</v>
      </c>
      <c r="U530" s="14">
        <f>S530+T530</f>
        <v>422039.20999999996</v>
      </c>
      <c r="V530" s="9">
        <f>ROUND(P530 / 1.2, 2)</f>
        <v>567.88</v>
      </c>
      <c r="W530" s="9">
        <f>ROUND(Q530 / 1.2, 2)</f>
        <v>1027.1300000000001</v>
      </c>
      <c r="X530" s="9">
        <f>ROUND(R530 / 1.2, 2)</f>
        <v>1595.01</v>
      </c>
      <c r="Y530" s="9">
        <f t="shared" si="49"/>
        <v>125216.44</v>
      </c>
      <c r="Z530" s="9">
        <f>ROUND(T530 / 1.2, 2)</f>
        <v>226482.9</v>
      </c>
      <c r="AA530" s="9">
        <f>Y530+Z530</f>
        <v>351699.33999999997</v>
      </c>
      <c r="AD530" s="4">
        <v>295859930</v>
      </c>
      <c r="AE530" s="4">
        <v>22502091</v>
      </c>
      <c r="AG530" s="4" t="s">
        <v>627</v>
      </c>
      <c r="AH530" s="4" t="s">
        <v>628</v>
      </c>
      <c r="AI530" s="4" t="s">
        <v>467</v>
      </c>
    </row>
    <row r="531" spans="1:35" ht="18" x14ac:dyDescent="0.35">
      <c r="A531" s="10" t="s">
        <v>2044</v>
      </c>
      <c r="B531" s="10"/>
      <c r="C531" s="47" t="s">
        <v>632</v>
      </c>
      <c r="D531" s="12"/>
      <c r="E531" s="12"/>
      <c r="F531" s="29" t="s">
        <v>63</v>
      </c>
      <c r="G531" s="30">
        <v>2.1</v>
      </c>
      <c r="H531" s="49"/>
      <c r="I531" s="49">
        <v>463.05</v>
      </c>
      <c r="J531" s="31">
        <v>324.5</v>
      </c>
      <c r="M531" s="32">
        <f>ROUND(ROUND(J531, 2)*I531, 2)</f>
        <v>150259.73000000001</v>
      </c>
      <c r="P531" s="33">
        <v>324.5</v>
      </c>
      <c r="S531" s="32">
        <f>ROUND(ROUND(P531, 2)*I531, 2)</f>
        <v>150259.73000000001</v>
      </c>
      <c r="V531" s="9">
        <f>ROUND(ROUND(P531, 2)/1.2, 2)</f>
        <v>270.42</v>
      </c>
      <c r="Y531" s="9">
        <f t="shared" si="49"/>
        <v>125216.44</v>
      </c>
      <c r="AD531" s="4" t="s">
        <v>2045</v>
      </c>
      <c r="AE531" s="4" t="s">
        <v>2046</v>
      </c>
      <c r="AF531" s="4" t="s">
        <v>635</v>
      </c>
    </row>
    <row r="532" spans="1:35" ht="36" x14ac:dyDescent="0.35">
      <c r="A532" s="10" t="s">
        <v>2047</v>
      </c>
      <c r="B532" s="10" t="s">
        <v>644</v>
      </c>
      <c r="C532" s="11" t="s">
        <v>645</v>
      </c>
      <c r="D532" s="12"/>
      <c r="E532" s="12" t="s">
        <v>649</v>
      </c>
      <c r="F532" s="12" t="s">
        <v>93</v>
      </c>
      <c r="G532" s="13">
        <v>1</v>
      </c>
      <c r="H532" s="13"/>
      <c r="I532" s="13">
        <v>14.77</v>
      </c>
      <c r="J532" s="14">
        <f>IFERROR(ROUND(SUM(M533)/I532, 2),0)</f>
        <v>2600.9299999999998</v>
      </c>
      <c r="K532" s="15">
        <v>2157</v>
      </c>
      <c r="L532" s="14">
        <f>J532+ROUND(K532, 2)</f>
        <v>4757.93</v>
      </c>
      <c r="M532" s="14">
        <f>ROUND(J532*I532, 2)</f>
        <v>38415.74</v>
      </c>
      <c r="N532" s="14">
        <f>ROUND(I532*ROUND(K532, 2), 2)</f>
        <v>31858.89</v>
      </c>
      <c r="O532" s="14">
        <f>M532+N532</f>
        <v>70274.63</v>
      </c>
      <c r="P532" s="14">
        <f>IFERROR(ROUND(SUM(S533)/I532, 2),0)</f>
        <v>2600.9299999999998</v>
      </c>
      <c r="Q532" s="16">
        <v>3062.94</v>
      </c>
      <c r="R532" s="14">
        <f>P532+ROUND(Q532, 2)</f>
        <v>5663.87</v>
      </c>
      <c r="S532" s="14">
        <f>ROUND(P532*I532, 2)</f>
        <v>38415.74</v>
      </c>
      <c r="T532" s="14">
        <f>ROUND(I532*ROUND(Q532, 2), 2)</f>
        <v>45239.62</v>
      </c>
      <c r="U532" s="14">
        <f>S532+T532</f>
        <v>83655.360000000001</v>
      </c>
      <c r="V532" s="9">
        <f>ROUND(P532 / 1.2, 2)</f>
        <v>2167.44</v>
      </c>
      <c r="W532" s="9">
        <f>ROUND(Q532 / 1.2, 2)</f>
        <v>2552.4499999999998</v>
      </c>
      <c r="X532" s="9">
        <f>ROUND(R532 / 1.2, 2)</f>
        <v>4719.8900000000003</v>
      </c>
      <c r="Y532" s="9">
        <f t="shared" si="49"/>
        <v>32013.119999999999</v>
      </c>
      <c r="Z532" s="9">
        <f>ROUND(T532 / 1.2, 2)</f>
        <v>37699.68</v>
      </c>
      <c r="AA532" s="9">
        <f>Y532+Z532</f>
        <v>69712.800000000003</v>
      </c>
      <c r="AD532" s="4">
        <v>295859932</v>
      </c>
      <c r="AE532" s="4">
        <v>22502089</v>
      </c>
      <c r="AG532" s="4" t="s">
        <v>646</v>
      </c>
      <c r="AH532" s="4" t="s">
        <v>647</v>
      </c>
      <c r="AI532" s="4" t="s">
        <v>467</v>
      </c>
    </row>
    <row r="533" spans="1:35" ht="18" x14ac:dyDescent="0.35">
      <c r="A533" s="10" t="s">
        <v>2048</v>
      </c>
      <c r="B533" s="10"/>
      <c r="C533" s="28" t="s">
        <v>651</v>
      </c>
      <c r="D533" s="12"/>
      <c r="E533" s="12"/>
      <c r="F533" s="29" t="s">
        <v>93</v>
      </c>
      <c r="G533" s="30">
        <v>1.02</v>
      </c>
      <c r="H533" s="30"/>
      <c r="I533" s="30">
        <v>15.065</v>
      </c>
      <c r="J533" s="31">
        <v>2550</v>
      </c>
      <c r="M533" s="32">
        <f>ROUND(ROUND(J533, 2)*I533, 2)</f>
        <v>38415.75</v>
      </c>
      <c r="P533" s="33">
        <v>2550</v>
      </c>
      <c r="S533" s="32">
        <f>ROUND(ROUND(P533, 2)*I533, 2)</f>
        <v>38415.75</v>
      </c>
      <c r="V533" s="9">
        <f>ROUND(ROUND(P533, 2)/1.2, 2)</f>
        <v>2125</v>
      </c>
      <c r="Y533" s="9">
        <f t="shared" si="49"/>
        <v>32013.13</v>
      </c>
      <c r="AD533" s="4" t="s">
        <v>2049</v>
      </c>
      <c r="AE533" s="4" t="s">
        <v>2050</v>
      </c>
      <c r="AF533" s="4" t="s">
        <v>654</v>
      </c>
    </row>
    <row r="534" spans="1:35" ht="36" x14ac:dyDescent="0.35">
      <c r="A534" s="10" t="s">
        <v>2051</v>
      </c>
      <c r="B534" s="10" t="s">
        <v>644</v>
      </c>
      <c r="C534" s="11" t="s">
        <v>645</v>
      </c>
      <c r="D534" s="12"/>
      <c r="E534" s="12" t="s">
        <v>691</v>
      </c>
      <c r="F534" s="12" t="s">
        <v>93</v>
      </c>
      <c r="G534" s="13">
        <v>1</v>
      </c>
      <c r="H534" s="13"/>
      <c r="I534" s="13">
        <v>6.57</v>
      </c>
      <c r="J534" s="14">
        <f>IFERROR(ROUND(SUM(M535)/I534, 2),0)</f>
        <v>2600.84</v>
      </c>
      <c r="K534" s="15">
        <v>2157</v>
      </c>
      <c r="L534" s="14">
        <f>J534+ROUND(K534, 2)</f>
        <v>4757.84</v>
      </c>
      <c r="M534" s="14">
        <f>ROUND(J534*I534, 2)</f>
        <v>17087.52</v>
      </c>
      <c r="N534" s="14">
        <f>ROUND(I534*ROUND(K534, 2), 2)</f>
        <v>14171.49</v>
      </c>
      <c r="O534" s="14">
        <f>M534+N534</f>
        <v>31259.010000000002</v>
      </c>
      <c r="P534" s="14">
        <f>IFERROR(ROUND(SUM(S535)/I534, 2),0)</f>
        <v>2600.84</v>
      </c>
      <c r="Q534" s="16">
        <v>3062.94</v>
      </c>
      <c r="R534" s="14">
        <f>P534+ROUND(Q534, 2)</f>
        <v>5663.7800000000007</v>
      </c>
      <c r="S534" s="14">
        <f>ROUND(P534*I534, 2)</f>
        <v>17087.52</v>
      </c>
      <c r="T534" s="14">
        <f>ROUND(I534*ROUND(Q534, 2), 2)</f>
        <v>20123.52</v>
      </c>
      <c r="U534" s="14">
        <f>S534+T534</f>
        <v>37211.040000000001</v>
      </c>
      <c r="V534" s="9">
        <f>ROUND(P534 / 1.2, 2)</f>
        <v>2167.37</v>
      </c>
      <c r="W534" s="9">
        <f>ROUND(Q534 / 1.2, 2)</f>
        <v>2552.4499999999998</v>
      </c>
      <c r="X534" s="9">
        <f>ROUND(R534 / 1.2, 2)</f>
        <v>4719.82</v>
      </c>
      <c r="Y534" s="9">
        <f t="shared" si="49"/>
        <v>14239.6</v>
      </c>
      <c r="Z534" s="9">
        <f>ROUND(T534 / 1.2, 2)</f>
        <v>16769.599999999999</v>
      </c>
      <c r="AA534" s="9">
        <f>Y534+Z534</f>
        <v>31009.199999999997</v>
      </c>
      <c r="AD534" s="4">
        <v>295859985</v>
      </c>
      <c r="AE534" s="4">
        <v>22502080</v>
      </c>
      <c r="AG534" s="4" t="s">
        <v>646</v>
      </c>
      <c r="AH534" s="4" t="s">
        <v>647</v>
      </c>
      <c r="AI534" s="4" t="s">
        <v>467</v>
      </c>
    </row>
    <row r="535" spans="1:35" ht="18" x14ac:dyDescent="0.35">
      <c r="A535" s="10" t="s">
        <v>2052</v>
      </c>
      <c r="B535" s="10"/>
      <c r="C535" s="28" t="s">
        <v>651</v>
      </c>
      <c r="D535" s="12"/>
      <c r="E535" s="12"/>
      <c r="F535" s="29" t="s">
        <v>93</v>
      </c>
      <c r="G535" s="30">
        <v>1.02</v>
      </c>
      <c r="H535" s="30"/>
      <c r="I535" s="30">
        <v>6.7009999999999996</v>
      </c>
      <c r="J535" s="31">
        <v>2550</v>
      </c>
      <c r="M535" s="32">
        <f>ROUND(ROUND(J535, 2)*I535, 2)</f>
        <v>17087.55</v>
      </c>
      <c r="P535" s="33">
        <v>2550</v>
      </c>
      <c r="S535" s="32">
        <f>ROUND(ROUND(P535, 2)*I535, 2)</f>
        <v>17087.55</v>
      </c>
      <c r="V535" s="9">
        <f>ROUND(ROUND(P535, 2)/1.2, 2)</f>
        <v>2125</v>
      </c>
      <c r="Y535" s="9">
        <f t="shared" si="49"/>
        <v>14239.63</v>
      </c>
      <c r="AD535" s="4" t="s">
        <v>2053</v>
      </c>
      <c r="AE535" s="4" t="s">
        <v>2054</v>
      </c>
      <c r="AF535" s="4" t="s">
        <v>654</v>
      </c>
    </row>
    <row r="536" spans="1:35" ht="54" x14ac:dyDescent="0.35">
      <c r="A536" s="10" t="s">
        <v>2055</v>
      </c>
      <c r="B536" s="10" t="s">
        <v>644</v>
      </c>
      <c r="C536" s="11" t="s">
        <v>645</v>
      </c>
      <c r="D536" s="12"/>
      <c r="E536" s="12" t="s">
        <v>683</v>
      </c>
      <c r="F536" s="12" t="s">
        <v>93</v>
      </c>
      <c r="G536" s="13">
        <v>1</v>
      </c>
      <c r="H536" s="13"/>
      <c r="I536" s="13">
        <v>159.52000000000001</v>
      </c>
      <c r="J536" s="14">
        <f>IFERROR(ROUND(SUM(M537)/I536, 2),0)</f>
        <v>2600.9899999999998</v>
      </c>
      <c r="K536" s="15">
        <v>2157</v>
      </c>
      <c r="L536" s="14">
        <f>J536+ROUND(K536, 2)</f>
        <v>4757.99</v>
      </c>
      <c r="M536" s="14">
        <f>ROUND(J536*I536, 2)</f>
        <v>414909.92</v>
      </c>
      <c r="N536" s="14">
        <f>ROUND(I536*ROUND(K536, 2), 2)</f>
        <v>344084.64</v>
      </c>
      <c r="O536" s="14">
        <f>M536+N536</f>
        <v>758994.56</v>
      </c>
      <c r="P536" s="14">
        <f>IFERROR(ROUND(SUM(S537)/I536, 2),0)</f>
        <v>2600.9899999999998</v>
      </c>
      <c r="Q536" s="16">
        <v>3062.94</v>
      </c>
      <c r="R536" s="14">
        <f>P536+ROUND(Q536, 2)</f>
        <v>5663.93</v>
      </c>
      <c r="S536" s="14">
        <f>ROUND(P536*I536, 2)</f>
        <v>414909.92</v>
      </c>
      <c r="T536" s="14">
        <f>ROUND(I536*ROUND(Q536, 2), 2)</f>
        <v>488600.19</v>
      </c>
      <c r="U536" s="14">
        <f>S536+T536</f>
        <v>903510.11</v>
      </c>
      <c r="V536" s="9">
        <f>ROUND(P536 / 1.2, 2)</f>
        <v>2167.4899999999998</v>
      </c>
      <c r="W536" s="9">
        <f>ROUND(Q536 / 1.2, 2)</f>
        <v>2552.4499999999998</v>
      </c>
      <c r="X536" s="9">
        <f>ROUND(R536 / 1.2, 2)</f>
        <v>4719.9399999999996</v>
      </c>
      <c r="Y536" s="9">
        <f t="shared" si="49"/>
        <v>345758.27</v>
      </c>
      <c r="Z536" s="9">
        <f>ROUND(T536 / 1.2, 2)</f>
        <v>407166.83</v>
      </c>
      <c r="AA536" s="9">
        <f>Y536+Z536</f>
        <v>752925.10000000009</v>
      </c>
      <c r="AD536" s="4">
        <v>295859986</v>
      </c>
      <c r="AE536" s="4">
        <v>22502092</v>
      </c>
      <c r="AG536" s="4" t="s">
        <v>646</v>
      </c>
      <c r="AH536" s="4" t="s">
        <v>647</v>
      </c>
      <c r="AI536" s="4" t="s">
        <v>467</v>
      </c>
    </row>
    <row r="537" spans="1:35" ht="18" x14ac:dyDescent="0.35">
      <c r="A537" s="10" t="s">
        <v>2056</v>
      </c>
      <c r="B537" s="10"/>
      <c r="C537" s="28" t="s">
        <v>651</v>
      </c>
      <c r="D537" s="12"/>
      <c r="E537" s="12"/>
      <c r="F537" s="29" t="s">
        <v>93</v>
      </c>
      <c r="G537" s="30">
        <v>1.02</v>
      </c>
      <c r="H537" s="30"/>
      <c r="I537" s="30">
        <v>162.71</v>
      </c>
      <c r="J537" s="31">
        <v>2550</v>
      </c>
      <c r="M537" s="32">
        <f>ROUND(ROUND(J537, 2)*I537, 2)</f>
        <v>414910.5</v>
      </c>
      <c r="P537" s="33">
        <v>2550</v>
      </c>
      <c r="S537" s="32">
        <f>ROUND(ROUND(P537, 2)*I537, 2)</f>
        <v>414910.5</v>
      </c>
      <c r="V537" s="9">
        <f>ROUND(ROUND(P537, 2)/1.2, 2)</f>
        <v>2125</v>
      </c>
      <c r="Y537" s="9">
        <f t="shared" si="49"/>
        <v>345758.75</v>
      </c>
      <c r="AD537" s="4" t="s">
        <v>2057</v>
      </c>
      <c r="AE537" s="4" t="s">
        <v>2058</v>
      </c>
      <c r="AF537" s="4" t="s">
        <v>654</v>
      </c>
    </row>
    <row r="538" spans="1:35" ht="36" x14ac:dyDescent="0.35">
      <c r="A538" s="10" t="s">
        <v>2059</v>
      </c>
      <c r="B538" s="10" t="s">
        <v>644</v>
      </c>
      <c r="C538" s="11" t="s">
        <v>645</v>
      </c>
      <c r="D538" s="12"/>
      <c r="E538" s="12" t="s">
        <v>674</v>
      </c>
      <c r="F538" s="12" t="s">
        <v>93</v>
      </c>
      <c r="G538" s="13">
        <v>1</v>
      </c>
      <c r="H538" s="13"/>
      <c r="I538" s="13">
        <v>2.71</v>
      </c>
      <c r="J538" s="14">
        <f>IFERROR(ROUND(SUM(M539)/I538, 2),0)</f>
        <v>2600.81</v>
      </c>
      <c r="K538" s="15">
        <v>2157</v>
      </c>
      <c r="L538" s="14">
        <f>J538+ROUND(K538, 2)</f>
        <v>4757.8099999999995</v>
      </c>
      <c r="M538" s="14">
        <f>ROUND(J538*I538, 2)</f>
        <v>7048.2</v>
      </c>
      <c r="N538" s="14">
        <f>ROUND(I538*ROUND(K538, 2), 2)</f>
        <v>5845.47</v>
      </c>
      <c r="O538" s="14">
        <f>M538+N538</f>
        <v>12893.67</v>
      </c>
      <c r="P538" s="14">
        <f>IFERROR(ROUND(SUM(S539)/I538, 2),0)</f>
        <v>2600.81</v>
      </c>
      <c r="Q538" s="16">
        <v>3062.94</v>
      </c>
      <c r="R538" s="14">
        <f>P538+ROUND(Q538, 2)</f>
        <v>5663.75</v>
      </c>
      <c r="S538" s="14">
        <f>ROUND(P538*I538, 2)</f>
        <v>7048.2</v>
      </c>
      <c r="T538" s="14">
        <f>ROUND(I538*ROUND(Q538, 2), 2)</f>
        <v>8300.57</v>
      </c>
      <c r="U538" s="14">
        <f>S538+T538</f>
        <v>15348.77</v>
      </c>
      <c r="V538" s="9">
        <f>ROUND(P538 / 1.2, 2)</f>
        <v>2167.34</v>
      </c>
      <c r="W538" s="9">
        <f>ROUND(Q538 / 1.2, 2)</f>
        <v>2552.4499999999998</v>
      </c>
      <c r="X538" s="9">
        <f>ROUND(R538 / 1.2, 2)</f>
        <v>4719.79</v>
      </c>
      <c r="Y538" s="9">
        <f t="shared" si="49"/>
        <v>5873.5</v>
      </c>
      <c r="Z538" s="9">
        <f>ROUND(T538 / 1.2, 2)</f>
        <v>6917.14</v>
      </c>
      <c r="AA538" s="9">
        <f>Y538+Z538</f>
        <v>12790.64</v>
      </c>
      <c r="AD538" s="4">
        <v>295859987</v>
      </c>
      <c r="AE538" s="4">
        <v>22502079</v>
      </c>
      <c r="AG538" s="4" t="s">
        <v>646</v>
      </c>
      <c r="AH538" s="4" t="s">
        <v>647</v>
      </c>
      <c r="AI538" s="4" t="s">
        <v>467</v>
      </c>
    </row>
    <row r="539" spans="1:35" ht="18" x14ac:dyDescent="0.35">
      <c r="A539" s="10" t="s">
        <v>2060</v>
      </c>
      <c r="B539" s="10"/>
      <c r="C539" s="28" t="s">
        <v>651</v>
      </c>
      <c r="D539" s="12"/>
      <c r="E539" s="12"/>
      <c r="F539" s="29" t="s">
        <v>93</v>
      </c>
      <c r="G539" s="30">
        <v>1.02</v>
      </c>
      <c r="H539" s="30"/>
      <c r="I539" s="30">
        <v>2.7639999999999998</v>
      </c>
      <c r="J539" s="31">
        <v>2550</v>
      </c>
      <c r="M539" s="32">
        <f>ROUND(ROUND(J539, 2)*I539, 2)</f>
        <v>7048.2</v>
      </c>
      <c r="P539" s="33">
        <v>2550</v>
      </c>
      <c r="S539" s="32">
        <f>ROUND(ROUND(P539, 2)*I539, 2)</f>
        <v>7048.2</v>
      </c>
      <c r="V539" s="9">
        <f>ROUND(ROUND(P539, 2)/1.2, 2)</f>
        <v>2125</v>
      </c>
      <c r="Y539" s="9">
        <f t="shared" si="49"/>
        <v>5873.5</v>
      </c>
      <c r="AD539" s="4" t="s">
        <v>2061</v>
      </c>
      <c r="AE539" s="4" t="s">
        <v>2062</v>
      </c>
      <c r="AF539" s="4" t="s">
        <v>654</v>
      </c>
    </row>
    <row r="540" spans="1:35" ht="36" x14ac:dyDescent="0.35">
      <c r="A540" s="10" t="s">
        <v>2063</v>
      </c>
      <c r="B540" s="10" t="s">
        <v>644</v>
      </c>
      <c r="C540" s="11" t="s">
        <v>645</v>
      </c>
      <c r="D540" s="12"/>
      <c r="E540" s="12" t="s">
        <v>666</v>
      </c>
      <c r="F540" s="12" t="s">
        <v>93</v>
      </c>
      <c r="G540" s="13">
        <v>1</v>
      </c>
      <c r="H540" s="13"/>
      <c r="I540" s="13">
        <v>53.99</v>
      </c>
      <c r="J540" s="14">
        <f>IFERROR(ROUND(SUM(M541)/I540, 2),0)</f>
        <v>2601.0100000000002</v>
      </c>
      <c r="K540" s="15">
        <v>2157</v>
      </c>
      <c r="L540" s="14">
        <f>J540+ROUND(K540, 2)</f>
        <v>4758.01</v>
      </c>
      <c r="M540" s="14">
        <f>ROUND(J540*I540, 2)</f>
        <v>140428.53</v>
      </c>
      <c r="N540" s="14">
        <f>ROUND(I540*ROUND(K540, 2), 2)</f>
        <v>116456.43</v>
      </c>
      <c r="O540" s="14">
        <f>M540+N540</f>
        <v>256884.96</v>
      </c>
      <c r="P540" s="14">
        <f>IFERROR(ROUND(SUM(S541)/I540, 2),0)</f>
        <v>2601.0100000000002</v>
      </c>
      <c r="Q540" s="16">
        <v>3062.94</v>
      </c>
      <c r="R540" s="14">
        <f>P540+ROUND(Q540, 2)</f>
        <v>5663.9500000000007</v>
      </c>
      <c r="S540" s="14">
        <f>ROUND(P540*I540, 2)</f>
        <v>140428.53</v>
      </c>
      <c r="T540" s="14">
        <f>ROUND(I540*ROUND(Q540, 2), 2)</f>
        <v>165368.13</v>
      </c>
      <c r="U540" s="14">
        <f>S540+T540</f>
        <v>305796.66000000003</v>
      </c>
      <c r="V540" s="9">
        <f>ROUND(P540 / 1.2, 2)</f>
        <v>2167.5100000000002</v>
      </c>
      <c r="W540" s="9">
        <f>ROUND(Q540 / 1.2, 2)</f>
        <v>2552.4499999999998</v>
      </c>
      <c r="X540" s="9">
        <f>ROUND(R540 / 1.2, 2)</f>
        <v>4719.96</v>
      </c>
      <c r="Y540" s="9">
        <f t="shared" si="49"/>
        <v>117023.78</v>
      </c>
      <c r="Z540" s="9">
        <f>ROUND(T540 / 1.2, 2)</f>
        <v>137806.78</v>
      </c>
      <c r="AA540" s="9">
        <f>Y540+Z540</f>
        <v>254830.56</v>
      </c>
      <c r="AD540" s="4">
        <v>295859988</v>
      </c>
      <c r="AE540" s="4">
        <v>22502084</v>
      </c>
      <c r="AG540" s="4" t="s">
        <v>646</v>
      </c>
      <c r="AH540" s="4" t="s">
        <v>647</v>
      </c>
      <c r="AI540" s="4" t="s">
        <v>467</v>
      </c>
    </row>
    <row r="541" spans="1:35" ht="18" x14ac:dyDescent="0.35">
      <c r="A541" s="10" t="s">
        <v>2064</v>
      </c>
      <c r="B541" s="10"/>
      <c r="C541" s="28" t="s">
        <v>651</v>
      </c>
      <c r="D541" s="12"/>
      <c r="E541" s="12"/>
      <c r="F541" s="29" t="s">
        <v>93</v>
      </c>
      <c r="G541" s="30">
        <v>1.02</v>
      </c>
      <c r="H541" s="30"/>
      <c r="I541" s="30">
        <v>55.07</v>
      </c>
      <c r="J541" s="31">
        <v>2550</v>
      </c>
      <c r="M541" s="32">
        <f>ROUND(ROUND(J541, 2)*I541, 2)</f>
        <v>140428.5</v>
      </c>
      <c r="P541" s="33">
        <v>2550</v>
      </c>
      <c r="S541" s="32">
        <f>ROUND(ROUND(P541, 2)*I541, 2)</f>
        <v>140428.5</v>
      </c>
      <c r="V541" s="9">
        <f>ROUND(ROUND(P541, 2)/1.2, 2)</f>
        <v>2125</v>
      </c>
      <c r="Y541" s="9">
        <f t="shared" si="49"/>
        <v>117023.75</v>
      </c>
      <c r="AD541" s="4" t="s">
        <v>2065</v>
      </c>
      <c r="AE541" s="4" t="s">
        <v>2066</v>
      </c>
      <c r="AF541" s="4" t="s">
        <v>654</v>
      </c>
    </row>
    <row r="542" spans="1:35" ht="36" x14ac:dyDescent="0.35">
      <c r="A542" s="10" t="s">
        <v>2067</v>
      </c>
      <c r="B542" s="10" t="s">
        <v>644</v>
      </c>
      <c r="C542" s="11" t="s">
        <v>645</v>
      </c>
      <c r="D542" s="12"/>
      <c r="E542" s="12" t="s">
        <v>659</v>
      </c>
      <c r="F542" s="12" t="s">
        <v>93</v>
      </c>
      <c r="G542" s="13">
        <v>1</v>
      </c>
      <c r="H542" s="13"/>
      <c r="I542" s="13">
        <v>520.76</v>
      </c>
      <c r="J542" s="14">
        <f>IFERROR(ROUND(SUM(M543)/I542, 2),0)</f>
        <v>2601</v>
      </c>
      <c r="K542" s="15">
        <v>2157</v>
      </c>
      <c r="L542" s="14">
        <f>J542+ROUND(K542, 2)</f>
        <v>4758</v>
      </c>
      <c r="M542" s="14">
        <f>ROUND(J542*I542, 2)</f>
        <v>1354496.76</v>
      </c>
      <c r="N542" s="14">
        <f>ROUND(I542*ROUND(K542, 2), 2)</f>
        <v>1123279.32</v>
      </c>
      <c r="O542" s="14">
        <f>M542+N542</f>
        <v>2477776.08</v>
      </c>
      <c r="P542" s="14">
        <f>IFERROR(ROUND(SUM(S543)/I542, 2),0)</f>
        <v>2601</v>
      </c>
      <c r="Q542" s="16">
        <v>3062.94</v>
      </c>
      <c r="R542" s="14">
        <f>P542+ROUND(Q542, 2)</f>
        <v>5663.9400000000005</v>
      </c>
      <c r="S542" s="14">
        <f>ROUND(P542*I542, 2)</f>
        <v>1354496.76</v>
      </c>
      <c r="T542" s="14">
        <f>ROUND(I542*ROUND(Q542, 2), 2)</f>
        <v>1595056.63</v>
      </c>
      <c r="U542" s="14">
        <f>S542+T542</f>
        <v>2949553.3899999997</v>
      </c>
      <c r="V542" s="9">
        <f>ROUND(P542 / 1.2, 2)</f>
        <v>2167.5</v>
      </c>
      <c r="W542" s="9">
        <f>ROUND(Q542 / 1.2, 2)</f>
        <v>2552.4499999999998</v>
      </c>
      <c r="X542" s="9">
        <f>ROUND(R542 / 1.2, 2)</f>
        <v>4719.95</v>
      </c>
      <c r="Y542" s="9">
        <f t="shared" si="49"/>
        <v>1128747.3</v>
      </c>
      <c r="Z542" s="9">
        <f>ROUND(T542 / 1.2, 2)</f>
        <v>1329213.8600000001</v>
      </c>
      <c r="AA542" s="9">
        <f>Y542+Z542</f>
        <v>2457961.16</v>
      </c>
      <c r="AD542" s="4">
        <v>295859989</v>
      </c>
      <c r="AE542" s="4">
        <v>22502077</v>
      </c>
      <c r="AG542" s="4" t="s">
        <v>646</v>
      </c>
      <c r="AH542" s="4" t="s">
        <v>647</v>
      </c>
      <c r="AI542" s="4" t="s">
        <v>467</v>
      </c>
    </row>
    <row r="543" spans="1:35" ht="18" x14ac:dyDescent="0.35">
      <c r="A543" s="10" t="s">
        <v>2068</v>
      </c>
      <c r="B543" s="10"/>
      <c r="C543" s="28" t="s">
        <v>651</v>
      </c>
      <c r="D543" s="12"/>
      <c r="E543" s="12"/>
      <c r="F543" s="29" t="s">
        <v>93</v>
      </c>
      <c r="G543" s="30">
        <v>1.02</v>
      </c>
      <c r="H543" s="30"/>
      <c r="I543" s="30">
        <v>531.17499999999995</v>
      </c>
      <c r="J543" s="31">
        <v>2550</v>
      </c>
      <c r="M543" s="32">
        <f>ROUND(ROUND(J543, 2)*I543, 2)</f>
        <v>1354496.25</v>
      </c>
      <c r="P543" s="33">
        <v>2550</v>
      </c>
      <c r="S543" s="32">
        <f>ROUND(ROUND(P543, 2)*I543, 2)</f>
        <v>1354496.25</v>
      </c>
      <c r="V543" s="9">
        <f>ROUND(ROUND(P543, 2)/1.2, 2)</f>
        <v>2125</v>
      </c>
      <c r="Y543" s="9">
        <f t="shared" si="49"/>
        <v>1128746.8799999999</v>
      </c>
      <c r="AD543" s="4" t="s">
        <v>2069</v>
      </c>
      <c r="AE543" s="4" t="s">
        <v>2070</v>
      </c>
      <c r="AF543" s="4" t="s">
        <v>654</v>
      </c>
    </row>
    <row r="544" spans="1:35" ht="18" x14ac:dyDescent="0.35">
      <c r="A544" s="10" t="s">
        <v>2071</v>
      </c>
      <c r="B544" s="10" t="s">
        <v>722</v>
      </c>
      <c r="C544" s="11" t="s">
        <v>723</v>
      </c>
      <c r="D544" s="12"/>
      <c r="E544" s="12"/>
      <c r="F544" s="12" t="s">
        <v>93</v>
      </c>
      <c r="G544" s="13">
        <v>1</v>
      </c>
      <c r="H544" s="13"/>
      <c r="I544" s="13">
        <v>758.32</v>
      </c>
      <c r="J544" s="14">
        <f>IFERROR(ROUND(SUM(M545)/I544, 2),0)</f>
        <v>1687.5</v>
      </c>
      <c r="K544" s="15">
        <v>915</v>
      </c>
      <c r="L544" s="14">
        <f>J544+ROUND(K544, 2)</f>
        <v>2602.5</v>
      </c>
      <c r="M544" s="14">
        <f>ROUND(J544*I544, 2)</f>
        <v>1279665</v>
      </c>
      <c r="N544" s="14">
        <f>ROUND(I544*ROUND(K544, 2), 2)</f>
        <v>693862.8</v>
      </c>
      <c r="O544" s="14">
        <f>M544+N544</f>
        <v>1973527.8</v>
      </c>
      <c r="P544" s="14">
        <f>IFERROR(ROUND(SUM(S545)/I544, 2),0)</f>
        <v>1687.5</v>
      </c>
      <c r="Q544" s="16">
        <v>1299.3</v>
      </c>
      <c r="R544" s="14">
        <f>P544+ROUND(Q544, 2)</f>
        <v>2986.8</v>
      </c>
      <c r="S544" s="14">
        <f>ROUND(P544*I544, 2)</f>
        <v>1279665</v>
      </c>
      <c r="T544" s="14">
        <f>ROUND(I544*ROUND(Q544, 2), 2)</f>
        <v>985285.18</v>
      </c>
      <c r="U544" s="14">
        <f>S544+T544</f>
        <v>2264950.1800000002</v>
      </c>
      <c r="V544" s="9">
        <f>ROUND(P544 / 1.2, 2)</f>
        <v>1406.25</v>
      </c>
      <c r="W544" s="9">
        <f>ROUND(Q544 / 1.2, 2)</f>
        <v>1082.75</v>
      </c>
      <c r="X544" s="9">
        <f>ROUND(R544 / 1.2, 2)</f>
        <v>2489</v>
      </c>
      <c r="Y544" s="9">
        <f t="shared" si="49"/>
        <v>1066387.5</v>
      </c>
      <c r="Z544" s="9">
        <f>ROUND(T544 / 1.2, 2)</f>
        <v>821070.98</v>
      </c>
      <c r="AA544" s="9">
        <f>Y544+Z544</f>
        <v>1887458.48</v>
      </c>
      <c r="AD544" s="4">
        <v>295859934</v>
      </c>
      <c r="AE544" s="4">
        <v>22502041</v>
      </c>
      <c r="AG544" s="4" t="s">
        <v>724</v>
      </c>
      <c r="AH544" s="4" t="s">
        <v>725</v>
      </c>
      <c r="AI544" s="4" t="s">
        <v>467</v>
      </c>
    </row>
    <row r="545" spans="1:35" ht="18" x14ac:dyDescent="0.35">
      <c r="A545" s="10" t="s">
        <v>2072</v>
      </c>
      <c r="B545" s="10"/>
      <c r="C545" s="28" t="s">
        <v>728</v>
      </c>
      <c r="D545" s="12"/>
      <c r="E545" s="12"/>
      <c r="F545" s="29" t="s">
        <v>498</v>
      </c>
      <c r="G545" s="30">
        <v>225</v>
      </c>
      <c r="H545" s="30"/>
      <c r="I545" s="30">
        <v>170622</v>
      </c>
      <c r="J545" s="31">
        <v>7.5</v>
      </c>
      <c r="M545" s="32">
        <f>ROUND(ROUND(J545, 2)*I545, 2)</f>
        <v>1279665</v>
      </c>
      <c r="P545" s="33">
        <v>7.5</v>
      </c>
      <c r="S545" s="32">
        <f>ROUND(ROUND(P545, 2)*I545, 2)</f>
        <v>1279665</v>
      </c>
      <c r="V545" s="9">
        <f>ROUND(ROUND(P545, 2)/1.2, 2)</f>
        <v>6.25</v>
      </c>
      <c r="Y545" s="9">
        <f t="shared" si="49"/>
        <v>1066387.5</v>
      </c>
      <c r="AD545" s="4" t="s">
        <v>2073</v>
      </c>
      <c r="AE545" s="4" t="s">
        <v>2074</v>
      </c>
      <c r="AF545" s="4" t="s">
        <v>731</v>
      </c>
    </row>
    <row r="546" spans="1:35" ht="17" customHeight="1" x14ac:dyDescent="0.35">
      <c r="A546" s="10" t="s">
        <v>2075</v>
      </c>
      <c r="B546" s="10" t="s">
        <v>739</v>
      </c>
      <c r="C546" s="174" t="s">
        <v>740</v>
      </c>
      <c r="D546" s="175"/>
      <c r="E546" s="175"/>
      <c r="F546" s="175"/>
      <c r="G546" s="175"/>
      <c r="H546" s="175"/>
      <c r="I546" s="176"/>
      <c r="M546" s="6">
        <f>SUM(M547,M551,M555,M558,M563,M568,M573,M578,M583,M588,M593)</f>
        <v>22205097.059999999</v>
      </c>
      <c r="N546" s="6">
        <f>SUM(N547,N551,N555,N558,N563,N568,N573,N578,N583,N588,N593)</f>
        <v>20057374.779999997</v>
      </c>
      <c r="O546" s="6">
        <f>SUM(O547,O551,O555,O558,O563,O568,O573,O578,O583,O588,O593)</f>
        <v>42262471.839999989</v>
      </c>
      <c r="S546" s="6">
        <f>SUM(S547,S551,S555,S558,S563,S568,S573,S578,S583,S588,S593)</f>
        <v>22205097.059999999</v>
      </c>
      <c r="T546" s="6">
        <f>SUM(T547,T551,T555,T558,T563,T568,T573,T578,T583,T588,T593)</f>
        <v>28481472.190000001</v>
      </c>
      <c r="U546" s="6">
        <f>SUM(U547,U551,U555,U558,U563,U568,U573,U578,U583,U588,U593)</f>
        <v>50686569.25</v>
      </c>
      <c r="Y546" s="9">
        <f>SUM(Y547,Y551,Y555,Y558,Y563,Y568,Y573,Y578,Y583,Y588,Y593)</f>
        <v>18504247.57</v>
      </c>
      <c r="Z546" s="9">
        <f>SUM(Z547,Z551,Z555,Z558,Z563,Z568,Z573,Z578,Z583,Z588,Z593)</f>
        <v>23734560.16</v>
      </c>
      <c r="AA546" s="9">
        <f>SUM(AA547,AA551,AA555,AA558,AA563,AA568,AA573,AA578,AA583,AA588,AA593)</f>
        <v>42238807.730000004</v>
      </c>
      <c r="AD546" s="4">
        <v>295859935</v>
      </c>
      <c r="AE546" s="4">
        <v>22502011</v>
      </c>
    </row>
    <row r="547" spans="1:35" ht="36" x14ac:dyDescent="0.35">
      <c r="A547" s="10" t="s">
        <v>2076</v>
      </c>
      <c r="B547" s="10" t="s">
        <v>742</v>
      </c>
      <c r="C547" s="11" t="s">
        <v>743</v>
      </c>
      <c r="D547" s="12" t="s">
        <v>744</v>
      </c>
      <c r="E547" s="12" t="s">
        <v>748</v>
      </c>
      <c r="F547" s="12" t="s">
        <v>63</v>
      </c>
      <c r="G547" s="13">
        <v>1</v>
      </c>
      <c r="H547" s="13"/>
      <c r="I547" s="13">
        <v>427.37</v>
      </c>
      <c r="J547" s="14">
        <f>IFERROR(ROUND(SUM(M548,M549,M550)/I547, 2),0)</f>
        <v>127.26</v>
      </c>
      <c r="K547" s="15">
        <v>556</v>
      </c>
      <c r="L547" s="14">
        <f>J547+ROUND(K547, 2)</f>
        <v>683.26</v>
      </c>
      <c r="M547" s="14">
        <f>ROUND(J547*I547, 2)</f>
        <v>54387.11</v>
      </c>
      <c r="N547" s="14">
        <f>ROUND(I547*ROUND(K547, 2), 2)</f>
        <v>237617.72</v>
      </c>
      <c r="O547" s="14">
        <f>M547+N547</f>
        <v>292004.83</v>
      </c>
      <c r="P547" s="14">
        <f>IFERROR(ROUND(SUM(S548,S549,S550)/I547, 2),0)</f>
        <v>127.26</v>
      </c>
      <c r="Q547" s="16">
        <v>789.52</v>
      </c>
      <c r="R547" s="14">
        <f>P547+ROUND(Q547, 2)</f>
        <v>916.78</v>
      </c>
      <c r="S547" s="14">
        <f>ROUND(P547*I547, 2)</f>
        <v>54387.11</v>
      </c>
      <c r="T547" s="14">
        <f>ROUND(I547*ROUND(Q547, 2), 2)</f>
        <v>337417.16</v>
      </c>
      <c r="U547" s="14">
        <f>S547+T547</f>
        <v>391804.26999999996</v>
      </c>
      <c r="V547" s="9">
        <f>ROUND(P547 / 1.2, 2)</f>
        <v>106.05</v>
      </c>
      <c r="W547" s="9">
        <f>ROUND(Q547 / 1.2, 2)</f>
        <v>657.93</v>
      </c>
      <c r="X547" s="9">
        <f>ROUND(R547 / 1.2, 2)</f>
        <v>763.98</v>
      </c>
      <c r="Y547" s="9">
        <f>ROUND(S547 / 1.2, 2)</f>
        <v>45322.59</v>
      </c>
      <c r="Z547" s="9">
        <f>ROUND(T547 / 1.2, 2)</f>
        <v>281180.96999999997</v>
      </c>
      <c r="AA547" s="9">
        <f>Y547+Z547</f>
        <v>326503.55999999994</v>
      </c>
      <c r="AD547" s="4">
        <v>295859937</v>
      </c>
      <c r="AE547" s="4">
        <v>22502088</v>
      </c>
      <c r="AG547" s="4" t="s">
        <v>745</v>
      </c>
      <c r="AH547" s="4" t="s">
        <v>746</v>
      </c>
      <c r="AI547" s="4" t="s">
        <v>467</v>
      </c>
    </row>
    <row r="548" spans="1:35" ht="18" x14ac:dyDescent="0.35">
      <c r="A548" s="10" t="s">
        <v>2077</v>
      </c>
      <c r="B548" s="10"/>
      <c r="C548" s="28" t="s">
        <v>750</v>
      </c>
      <c r="D548" s="12"/>
      <c r="E548" s="12"/>
      <c r="F548" s="29" t="s">
        <v>498</v>
      </c>
      <c r="G548" s="30">
        <v>0.3</v>
      </c>
      <c r="H548" s="30"/>
      <c r="I548" s="30">
        <v>128.21100000000001</v>
      </c>
      <c r="J548" s="31">
        <v>220</v>
      </c>
      <c r="M548" s="32">
        <f>ROUND(ROUND(J548, 2)*I548, 2)</f>
        <v>28206.42</v>
      </c>
      <c r="P548" s="33">
        <v>220</v>
      </c>
      <c r="S548" s="32">
        <f>ROUND(ROUND(P548, 2)*I548, 2)</f>
        <v>28206.42</v>
      </c>
      <c r="V548" s="9">
        <f>ROUND(ROUND(P548, 2)/1.2, 2)</f>
        <v>183.33</v>
      </c>
      <c r="Y548" s="9">
        <f t="shared" ref="Y548:Y579" si="50">ROUND(S548 / 1.2, 2)</f>
        <v>23505.35</v>
      </c>
      <c r="AD548" s="4" t="s">
        <v>2078</v>
      </c>
      <c r="AE548" s="4" t="s">
        <v>2079</v>
      </c>
      <c r="AF548" s="4" t="s">
        <v>753</v>
      </c>
    </row>
    <row r="549" spans="1:35" ht="36" x14ac:dyDescent="0.35">
      <c r="A549" s="10" t="s">
        <v>2080</v>
      </c>
      <c r="B549" s="10"/>
      <c r="C549" s="28" t="s">
        <v>758</v>
      </c>
      <c r="D549" s="12"/>
      <c r="E549" s="12"/>
      <c r="F549" s="29" t="s">
        <v>498</v>
      </c>
      <c r="G549" s="30">
        <v>0.15</v>
      </c>
      <c r="H549" s="30"/>
      <c r="I549" s="30">
        <v>64.105999999999995</v>
      </c>
      <c r="J549" s="31">
        <v>68.400000000000006</v>
      </c>
      <c r="M549" s="32">
        <f>ROUND(ROUND(J549, 2)*I549, 2)</f>
        <v>4384.8500000000004</v>
      </c>
      <c r="P549" s="33">
        <v>68.400000000000006</v>
      </c>
      <c r="S549" s="32">
        <f>ROUND(ROUND(P549, 2)*I549, 2)</f>
        <v>4384.8500000000004</v>
      </c>
      <c r="V549" s="9">
        <f>ROUND(ROUND(P549, 2)/1.2, 2)</f>
        <v>57</v>
      </c>
      <c r="Y549" s="9">
        <f t="shared" si="50"/>
        <v>3654.04</v>
      </c>
      <c r="AD549" s="4" t="s">
        <v>2081</v>
      </c>
      <c r="AE549" s="4" t="s">
        <v>2082</v>
      </c>
      <c r="AF549" s="4" t="s">
        <v>761</v>
      </c>
    </row>
    <row r="550" spans="1:35" ht="72" x14ac:dyDescent="0.35">
      <c r="A550" s="10" t="s">
        <v>2083</v>
      </c>
      <c r="B550" s="10"/>
      <c r="C550" s="47" t="s">
        <v>765</v>
      </c>
      <c r="D550" s="12"/>
      <c r="E550" s="12"/>
      <c r="F550" s="29" t="s">
        <v>78</v>
      </c>
      <c r="G550" s="30">
        <v>1</v>
      </c>
      <c r="H550" s="49"/>
      <c r="I550" s="49">
        <v>427.37</v>
      </c>
      <c r="J550" s="31">
        <v>51</v>
      </c>
      <c r="M550" s="32">
        <f>ROUND(ROUND(J550, 2)*I550, 2)</f>
        <v>21795.87</v>
      </c>
      <c r="P550" s="33">
        <v>51</v>
      </c>
      <c r="S550" s="32">
        <f>ROUND(ROUND(P550, 2)*I550, 2)</f>
        <v>21795.87</v>
      </c>
      <c r="V550" s="9">
        <f>ROUND(ROUND(P550, 2)/1.2, 2)</f>
        <v>42.5</v>
      </c>
      <c r="Y550" s="9">
        <f t="shared" si="50"/>
        <v>18163.23</v>
      </c>
      <c r="AD550" s="4" t="s">
        <v>2084</v>
      </c>
      <c r="AE550" s="4" t="s">
        <v>2085</v>
      </c>
      <c r="AF550" s="4" t="s">
        <v>768</v>
      </c>
    </row>
    <row r="551" spans="1:35" ht="18" x14ac:dyDescent="0.35">
      <c r="A551" s="10" t="s">
        <v>2086</v>
      </c>
      <c r="B551" s="10" t="s">
        <v>742</v>
      </c>
      <c r="C551" s="11" t="s">
        <v>743</v>
      </c>
      <c r="D551" s="12" t="s">
        <v>744</v>
      </c>
      <c r="E551" s="12" t="s">
        <v>781</v>
      </c>
      <c r="F551" s="12" t="s">
        <v>63</v>
      </c>
      <c r="G551" s="13">
        <v>1</v>
      </c>
      <c r="H551" s="13"/>
      <c r="I551" s="13">
        <v>156.31</v>
      </c>
      <c r="J551" s="14">
        <f>IFERROR(ROUND(SUM(M552,M553,M554)/I551, 2),0)</f>
        <v>117</v>
      </c>
      <c r="K551" s="15">
        <v>556</v>
      </c>
      <c r="L551" s="14">
        <f>J551+ROUND(K551, 2)</f>
        <v>673</v>
      </c>
      <c r="M551" s="14">
        <f>ROUND(J551*I551, 2)</f>
        <v>18288.27</v>
      </c>
      <c r="N551" s="14">
        <f>ROUND(I551*ROUND(K551, 2), 2)</f>
        <v>86908.36</v>
      </c>
      <c r="O551" s="14">
        <f>M551+N551</f>
        <v>105196.63</v>
      </c>
      <c r="P551" s="14">
        <f>IFERROR(ROUND(SUM(S552,S553,S554)/I551, 2),0)</f>
        <v>117</v>
      </c>
      <c r="Q551" s="16">
        <v>789.52</v>
      </c>
      <c r="R551" s="14">
        <f>P551+ROUND(Q551, 2)</f>
        <v>906.52</v>
      </c>
      <c r="S551" s="14">
        <f>ROUND(P551*I551, 2)</f>
        <v>18288.27</v>
      </c>
      <c r="T551" s="14">
        <f>ROUND(I551*ROUND(Q551, 2), 2)</f>
        <v>123409.87</v>
      </c>
      <c r="U551" s="14">
        <f>S551+T551</f>
        <v>141698.13999999998</v>
      </c>
      <c r="V551" s="9">
        <f>ROUND(P551 / 1.2, 2)</f>
        <v>97.5</v>
      </c>
      <c r="W551" s="9">
        <f>ROUND(Q551 / 1.2, 2)</f>
        <v>657.93</v>
      </c>
      <c r="X551" s="9">
        <f>ROUND(R551 / 1.2, 2)</f>
        <v>755.43</v>
      </c>
      <c r="Y551" s="9">
        <f t="shared" si="50"/>
        <v>15240.23</v>
      </c>
      <c r="Z551" s="9">
        <f>ROUND(T551 / 1.2, 2)</f>
        <v>102841.56</v>
      </c>
      <c r="AA551" s="9">
        <f>Y551+Z551</f>
        <v>118081.79</v>
      </c>
      <c r="AD551" s="4">
        <v>295859990</v>
      </c>
      <c r="AE551" s="4">
        <v>22502061</v>
      </c>
      <c r="AG551" s="4" t="s">
        <v>745</v>
      </c>
      <c r="AH551" s="4" t="s">
        <v>746</v>
      </c>
      <c r="AI551" s="4" t="s">
        <v>467</v>
      </c>
    </row>
    <row r="552" spans="1:35" ht="54" x14ac:dyDescent="0.35">
      <c r="A552" s="10" t="s">
        <v>2087</v>
      </c>
      <c r="B552" s="10"/>
      <c r="C552" s="28" t="s">
        <v>772</v>
      </c>
      <c r="D552" s="12"/>
      <c r="E552" s="12" t="s">
        <v>786</v>
      </c>
      <c r="F552" s="29" t="s">
        <v>63</v>
      </c>
      <c r="G552" s="30">
        <v>1.1000000000000001</v>
      </c>
      <c r="H552" s="49"/>
      <c r="I552" s="49">
        <v>171.941</v>
      </c>
      <c r="J552" s="31">
        <v>0</v>
      </c>
      <c r="M552" s="32">
        <f>ROUND(ROUND(J552, 2)*I552, 2)</f>
        <v>0</v>
      </c>
      <c r="P552" s="33">
        <v>0</v>
      </c>
      <c r="S552" s="32">
        <f>ROUND(ROUND(P552, 2)*I552, 2)</f>
        <v>0</v>
      </c>
      <c r="V552" s="9">
        <f>ROUND(ROUND(P552, 2)/1.2, 2)</f>
        <v>0</v>
      </c>
      <c r="Y552" s="9">
        <f t="shared" si="50"/>
        <v>0</v>
      </c>
      <c r="AD552" s="4" t="s">
        <v>2088</v>
      </c>
      <c r="AE552" s="4" t="s">
        <v>2089</v>
      </c>
      <c r="AF552" s="4" t="s">
        <v>775</v>
      </c>
    </row>
    <row r="553" spans="1:35" ht="72" x14ac:dyDescent="0.35">
      <c r="A553" s="10" t="s">
        <v>2090</v>
      </c>
      <c r="B553" s="10"/>
      <c r="C553" s="47" t="s">
        <v>765</v>
      </c>
      <c r="D553" s="12"/>
      <c r="E553" s="12"/>
      <c r="F553" s="29" t="s">
        <v>78</v>
      </c>
      <c r="G553" s="30">
        <v>1</v>
      </c>
      <c r="H553" s="49"/>
      <c r="I553" s="49">
        <v>156.31</v>
      </c>
      <c r="J553" s="31">
        <v>51</v>
      </c>
      <c r="M553" s="32">
        <f>ROUND(ROUND(J553, 2)*I553, 2)</f>
        <v>7971.81</v>
      </c>
      <c r="P553" s="33">
        <v>51</v>
      </c>
      <c r="S553" s="32">
        <f>ROUND(ROUND(P553, 2)*I553, 2)</f>
        <v>7971.81</v>
      </c>
      <c r="V553" s="9">
        <f>ROUND(ROUND(P553, 2)/1.2, 2)</f>
        <v>42.5</v>
      </c>
      <c r="Y553" s="9">
        <f t="shared" si="50"/>
        <v>6643.18</v>
      </c>
      <c r="AD553" s="4" t="s">
        <v>2091</v>
      </c>
      <c r="AE553" s="4" t="s">
        <v>2092</v>
      </c>
      <c r="AF553" s="4" t="s">
        <v>768</v>
      </c>
    </row>
    <row r="554" spans="1:35" ht="18" x14ac:dyDescent="0.35">
      <c r="A554" s="10" t="s">
        <v>2093</v>
      </c>
      <c r="B554" s="10"/>
      <c r="C554" s="28" t="s">
        <v>750</v>
      </c>
      <c r="D554" s="12"/>
      <c r="E554" s="12"/>
      <c r="F554" s="29" t="s">
        <v>498</v>
      </c>
      <c r="G554" s="30">
        <v>0.3</v>
      </c>
      <c r="H554" s="30"/>
      <c r="I554" s="30">
        <v>46.893000000000001</v>
      </c>
      <c r="J554" s="31">
        <v>220</v>
      </c>
      <c r="M554" s="32">
        <f>ROUND(ROUND(J554, 2)*I554, 2)</f>
        <v>10316.459999999999</v>
      </c>
      <c r="P554" s="33">
        <v>220</v>
      </c>
      <c r="S554" s="32">
        <f>ROUND(ROUND(P554, 2)*I554, 2)</f>
        <v>10316.459999999999</v>
      </c>
      <c r="V554" s="9">
        <f>ROUND(ROUND(P554, 2)/1.2, 2)</f>
        <v>183.33</v>
      </c>
      <c r="Y554" s="9">
        <f t="shared" si="50"/>
        <v>8597.0499999999993</v>
      </c>
      <c r="AD554" s="4" t="s">
        <v>2094</v>
      </c>
      <c r="AE554" s="4" t="s">
        <v>2095</v>
      </c>
      <c r="AF554" s="4" t="s">
        <v>753</v>
      </c>
    </row>
    <row r="555" spans="1:35" ht="72" x14ac:dyDescent="0.35">
      <c r="A555" s="10" t="s">
        <v>2096</v>
      </c>
      <c r="B555" s="10" t="s">
        <v>822</v>
      </c>
      <c r="C555" s="11" t="s">
        <v>823</v>
      </c>
      <c r="D555" s="12"/>
      <c r="E555" s="12" t="s">
        <v>843</v>
      </c>
      <c r="F555" s="12" t="s">
        <v>78</v>
      </c>
      <c r="G555" s="13">
        <v>1</v>
      </c>
      <c r="H555" s="13"/>
      <c r="I555" s="13">
        <v>544.5</v>
      </c>
      <c r="J555" s="14">
        <f>IFERROR(ROUND(SUM(M556,M557)/I555, 2),0)</f>
        <v>0</v>
      </c>
      <c r="K555" s="15">
        <v>201</v>
      </c>
      <c r="L555" s="14">
        <f>J555+ROUND(K555, 2)</f>
        <v>201</v>
      </c>
      <c r="M555" s="14">
        <f>ROUND(J555*I555, 2)</f>
        <v>0</v>
      </c>
      <c r="N555" s="14">
        <f>ROUND(I555*ROUND(K555, 2), 2)</f>
        <v>109444.5</v>
      </c>
      <c r="O555" s="14">
        <f>M555+N555</f>
        <v>109444.5</v>
      </c>
      <c r="P555" s="14">
        <f>IFERROR(ROUND(SUM(S556,S557)/I555, 2),0)</f>
        <v>0</v>
      </c>
      <c r="Q555" s="16">
        <v>285.42</v>
      </c>
      <c r="R555" s="14">
        <f>P555+ROUND(Q555, 2)</f>
        <v>285.42</v>
      </c>
      <c r="S555" s="14">
        <f>ROUND(P555*I555, 2)</f>
        <v>0</v>
      </c>
      <c r="T555" s="14">
        <f>ROUND(I555*ROUND(Q555, 2), 2)</f>
        <v>155411.19</v>
      </c>
      <c r="U555" s="14">
        <f>S555+T555</f>
        <v>155411.19</v>
      </c>
      <c r="V555" s="9">
        <f>ROUND(P555 / 1.2, 2)</f>
        <v>0</v>
      </c>
      <c r="W555" s="9">
        <f>ROUND(Q555 / 1.2, 2)</f>
        <v>237.85</v>
      </c>
      <c r="X555" s="9">
        <f>ROUND(R555 / 1.2, 2)</f>
        <v>237.85</v>
      </c>
      <c r="Y555" s="9">
        <f t="shared" si="50"/>
        <v>0</v>
      </c>
      <c r="Z555" s="9">
        <f>ROUND(T555 / 1.2, 2)</f>
        <v>129509.33</v>
      </c>
      <c r="AA555" s="9">
        <f>Y555+Z555</f>
        <v>129509.33</v>
      </c>
      <c r="AD555" s="4">
        <v>295859939</v>
      </c>
      <c r="AE555" s="4">
        <v>22502086</v>
      </c>
      <c r="AG555" s="4" t="s">
        <v>824</v>
      </c>
      <c r="AH555" s="4" t="s">
        <v>825</v>
      </c>
      <c r="AI555" s="4" t="s">
        <v>467</v>
      </c>
    </row>
    <row r="556" spans="1:35" ht="36" x14ac:dyDescent="0.35">
      <c r="A556" s="10" t="s">
        <v>2097</v>
      </c>
      <c r="B556" s="10"/>
      <c r="C556" s="28" t="s">
        <v>829</v>
      </c>
      <c r="D556" s="12"/>
      <c r="E556" s="12"/>
      <c r="F556" s="29" t="s">
        <v>78</v>
      </c>
      <c r="G556" s="30">
        <v>1.1000000000000001</v>
      </c>
      <c r="H556" s="30"/>
      <c r="I556" s="30">
        <v>598.95000000000005</v>
      </c>
      <c r="J556" s="31">
        <v>0</v>
      </c>
      <c r="M556" s="32">
        <f>ROUND(ROUND(J556, 2)*I556, 2)</f>
        <v>0</v>
      </c>
      <c r="P556" s="33">
        <v>0</v>
      </c>
      <c r="S556" s="32">
        <f>ROUND(ROUND(P556, 2)*I556, 2)</f>
        <v>0</v>
      </c>
      <c r="V556" s="9">
        <f>ROUND(ROUND(P556, 2)/1.2, 2)</f>
        <v>0</v>
      </c>
      <c r="Y556" s="9">
        <f t="shared" si="50"/>
        <v>0</v>
      </c>
      <c r="AD556" s="4" t="s">
        <v>2098</v>
      </c>
      <c r="AE556" s="4" t="s">
        <v>2099</v>
      </c>
      <c r="AF556" s="4" t="s">
        <v>832</v>
      </c>
    </row>
    <row r="557" spans="1:35" ht="36" x14ac:dyDescent="0.35">
      <c r="A557" s="10" t="s">
        <v>2100</v>
      </c>
      <c r="B557" s="10"/>
      <c r="C557" s="28" t="s">
        <v>836</v>
      </c>
      <c r="D557" s="12"/>
      <c r="E557" s="12"/>
      <c r="F557" s="29" t="s">
        <v>490</v>
      </c>
      <c r="G557" s="30">
        <v>1</v>
      </c>
      <c r="H557" s="49"/>
      <c r="I557" s="49">
        <v>544.5</v>
      </c>
      <c r="J557" s="31">
        <v>0</v>
      </c>
      <c r="M557" s="32">
        <f>ROUND(ROUND(J557, 2)*I557, 2)</f>
        <v>0</v>
      </c>
      <c r="P557" s="33">
        <v>0</v>
      </c>
      <c r="S557" s="32">
        <f>ROUND(ROUND(P557, 2)*I557, 2)</f>
        <v>0</v>
      </c>
      <c r="V557" s="9">
        <f>ROUND(ROUND(P557, 2)/1.2, 2)</f>
        <v>0</v>
      </c>
      <c r="Y557" s="9">
        <f t="shared" si="50"/>
        <v>0</v>
      </c>
      <c r="AD557" s="4" t="s">
        <v>2101</v>
      </c>
      <c r="AE557" s="4" t="s">
        <v>2102</v>
      </c>
      <c r="AF557" s="4" t="s">
        <v>839</v>
      </c>
    </row>
    <row r="558" spans="1:35" ht="36" x14ac:dyDescent="0.35">
      <c r="A558" s="10" t="s">
        <v>2103</v>
      </c>
      <c r="B558" s="10" t="s">
        <v>851</v>
      </c>
      <c r="C558" s="11" t="s">
        <v>852</v>
      </c>
      <c r="D558" s="12"/>
      <c r="E558" s="12" t="s">
        <v>856</v>
      </c>
      <c r="F558" s="12" t="s">
        <v>63</v>
      </c>
      <c r="G558" s="13">
        <v>1</v>
      </c>
      <c r="H558" s="13"/>
      <c r="I558" s="13">
        <v>276.45999999999998</v>
      </c>
      <c r="J558" s="14">
        <f>IFERROR(ROUND(SUM(M559,M560,M561,M562)/I558, 2),0)</f>
        <v>4446.1099999999997</v>
      </c>
      <c r="K558" s="15">
        <v>2310</v>
      </c>
      <c r="L558" s="14">
        <f>J558+ROUND(K558, 2)</f>
        <v>6756.11</v>
      </c>
      <c r="M558" s="14">
        <f>ROUND(J558*I558, 2)</f>
        <v>1229171.57</v>
      </c>
      <c r="N558" s="14">
        <f>ROUND(I558*ROUND(K558, 2), 2)</f>
        <v>638622.6</v>
      </c>
      <c r="O558" s="14">
        <f>M558+N558</f>
        <v>1867794.17</v>
      </c>
      <c r="P558" s="14">
        <f>IFERROR(ROUND(SUM(S559,S560,S561,S562)/I558, 2),0)</f>
        <v>4446.1099999999997</v>
      </c>
      <c r="Q558" s="16">
        <v>3280.2</v>
      </c>
      <c r="R558" s="14">
        <f>P558+ROUND(Q558, 2)</f>
        <v>7726.3099999999995</v>
      </c>
      <c r="S558" s="14">
        <f>ROUND(P558*I558, 2)</f>
        <v>1229171.57</v>
      </c>
      <c r="T558" s="14">
        <f>ROUND(I558*ROUND(Q558, 2), 2)</f>
        <v>906844.09</v>
      </c>
      <c r="U558" s="14">
        <f>S558+T558</f>
        <v>2136015.66</v>
      </c>
      <c r="V558" s="9">
        <f>ROUND(P558 / 1.2, 2)</f>
        <v>3705.09</v>
      </c>
      <c r="W558" s="9">
        <f>ROUND(Q558 / 1.2, 2)</f>
        <v>2733.5</v>
      </c>
      <c r="X558" s="9">
        <f>ROUND(R558 / 1.2, 2)</f>
        <v>6438.59</v>
      </c>
      <c r="Y558" s="9">
        <f t="shared" si="50"/>
        <v>1024309.64</v>
      </c>
      <c r="Z558" s="9">
        <f>ROUND(T558 / 1.2, 2)</f>
        <v>755703.41</v>
      </c>
      <c r="AA558" s="9">
        <f>Y558+Z558</f>
        <v>1780013.05</v>
      </c>
      <c r="AD558" s="4">
        <v>295859941</v>
      </c>
      <c r="AE558" s="4">
        <v>22502093</v>
      </c>
      <c r="AG558" s="4" t="s">
        <v>853</v>
      </c>
      <c r="AH558" s="4" t="s">
        <v>854</v>
      </c>
      <c r="AI558" s="4" t="s">
        <v>467</v>
      </c>
    </row>
    <row r="559" spans="1:35" ht="72" x14ac:dyDescent="0.35">
      <c r="A559" s="10" t="s">
        <v>2104</v>
      </c>
      <c r="B559" s="10"/>
      <c r="C559" s="47" t="s">
        <v>858</v>
      </c>
      <c r="D559" s="12"/>
      <c r="E559" s="12" t="s">
        <v>863</v>
      </c>
      <c r="F559" s="29" t="s">
        <v>490</v>
      </c>
      <c r="G559" s="30">
        <v>4</v>
      </c>
      <c r="H559" s="30"/>
      <c r="I559" s="30">
        <v>1105.8399999999999</v>
      </c>
      <c r="J559" s="31">
        <v>1100.4000000000001</v>
      </c>
      <c r="M559" s="32">
        <f>ROUND(ROUND(J559, 2)*I559, 2)</f>
        <v>1216866.3400000001</v>
      </c>
      <c r="P559" s="33">
        <v>1100.4000000000001</v>
      </c>
      <c r="S559" s="32">
        <f>ROUND(ROUND(P559, 2)*I559, 2)</f>
        <v>1216866.3400000001</v>
      </c>
      <c r="V559" s="9">
        <f>ROUND(ROUND(P559, 2)/1.2, 2)</f>
        <v>917</v>
      </c>
      <c r="Y559" s="9">
        <f t="shared" si="50"/>
        <v>1014055.28</v>
      </c>
      <c r="AD559" s="4" t="s">
        <v>2105</v>
      </c>
      <c r="AE559" s="4" t="s">
        <v>2106</v>
      </c>
      <c r="AF559" s="4" t="s">
        <v>861</v>
      </c>
    </row>
    <row r="560" spans="1:35" ht="36" x14ac:dyDescent="0.35">
      <c r="A560" s="10" t="s">
        <v>2107</v>
      </c>
      <c r="B560" s="10"/>
      <c r="C560" s="47" t="s">
        <v>866</v>
      </c>
      <c r="D560" s="12"/>
      <c r="E560" s="12"/>
      <c r="F560" s="29" t="s">
        <v>498</v>
      </c>
      <c r="G560" s="30">
        <v>1.2</v>
      </c>
      <c r="H560" s="49"/>
      <c r="I560" s="49">
        <v>331.75200000000001</v>
      </c>
      <c r="J560" s="31">
        <v>16.11</v>
      </c>
      <c r="M560" s="32">
        <f>ROUND(ROUND(J560, 2)*I560, 2)</f>
        <v>5344.52</v>
      </c>
      <c r="P560" s="33">
        <v>16.11</v>
      </c>
      <c r="S560" s="32">
        <f>ROUND(ROUND(P560, 2)*I560, 2)</f>
        <v>5344.52</v>
      </c>
      <c r="V560" s="9">
        <f>ROUND(ROUND(P560, 2)/1.2, 2)</f>
        <v>13.43</v>
      </c>
      <c r="Y560" s="9">
        <f t="shared" si="50"/>
        <v>4453.7700000000004</v>
      </c>
      <c r="AD560" s="4" t="s">
        <v>2108</v>
      </c>
      <c r="AE560" s="4" t="s">
        <v>2109</v>
      </c>
      <c r="AF560" s="4" t="s">
        <v>869</v>
      </c>
    </row>
    <row r="561" spans="1:35" ht="18" x14ac:dyDescent="0.35">
      <c r="A561" s="10" t="s">
        <v>2110</v>
      </c>
      <c r="B561" s="10"/>
      <c r="C561" s="28" t="s">
        <v>873</v>
      </c>
      <c r="D561" s="12"/>
      <c r="E561" s="12"/>
      <c r="F561" s="29" t="s">
        <v>498</v>
      </c>
      <c r="G561" s="30">
        <v>0.25</v>
      </c>
      <c r="H561" s="30"/>
      <c r="I561" s="30">
        <v>69.114999999999995</v>
      </c>
      <c r="J561" s="31">
        <v>47.44</v>
      </c>
      <c r="M561" s="32">
        <f>ROUND(ROUND(J561, 2)*I561, 2)</f>
        <v>3278.82</v>
      </c>
      <c r="P561" s="33">
        <v>47.44</v>
      </c>
      <c r="S561" s="32">
        <f>ROUND(ROUND(P561, 2)*I561, 2)</f>
        <v>3278.82</v>
      </c>
      <c r="V561" s="9">
        <f>ROUND(ROUND(P561, 2)/1.2, 2)</f>
        <v>39.53</v>
      </c>
      <c r="Y561" s="9">
        <f t="shared" si="50"/>
        <v>2732.35</v>
      </c>
      <c r="AD561" s="4" t="s">
        <v>2111</v>
      </c>
      <c r="AE561" s="4" t="s">
        <v>2112</v>
      </c>
      <c r="AF561" s="4" t="s">
        <v>876</v>
      </c>
    </row>
    <row r="562" spans="1:35" ht="36" x14ac:dyDescent="0.35">
      <c r="A562" s="10" t="s">
        <v>2113</v>
      </c>
      <c r="B562" s="10"/>
      <c r="C562" s="28" t="s">
        <v>544</v>
      </c>
      <c r="D562" s="12"/>
      <c r="E562" s="12"/>
      <c r="F562" s="29" t="s">
        <v>498</v>
      </c>
      <c r="G562" s="30">
        <v>0.15</v>
      </c>
      <c r="H562" s="30"/>
      <c r="I562" s="30">
        <v>41.469000000000001</v>
      </c>
      <c r="J562" s="31">
        <v>88.8</v>
      </c>
      <c r="M562" s="32">
        <f>ROUND(ROUND(J562, 2)*I562, 2)</f>
        <v>3682.45</v>
      </c>
      <c r="P562" s="33">
        <v>88.8</v>
      </c>
      <c r="S562" s="32">
        <f>ROUND(ROUND(P562, 2)*I562, 2)</f>
        <v>3682.45</v>
      </c>
      <c r="V562" s="9">
        <f>ROUND(ROUND(P562, 2)/1.2, 2)</f>
        <v>74</v>
      </c>
      <c r="Y562" s="9">
        <f t="shared" si="50"/>
        <v>3068.71</v>
      </c>
      <c r="AD562" s="4" t="s">
        <v>2114</v>
      </c>
      <c r="AE562" s="4" t="s">
        <v>2115</v>
      </c>
      <c r="AF562" s="4" t="s">
        <v>547</v>
      </c>
    </row>
    <row r="563" spans="1:35" ht="36" x14ac:dyDescent="0.35">
      <c r="A563" s="10" t="s">
        <v>2116</v>
      </c>
      <c r="B563" s="10" t="s">
        <v>898</v>
      </c>
      <c r="C563" s="11" t="s">
        <v>899</v>
      </c>
      <c r="D563" s="12"/>
      <c r="E563" s="12" t="s">
        <v>903</v>
      </c>
      <c r="F563" s="12" t="s">
        <v>78</v>
      </c>
      <c r="G563" s="13">
        <v>1</v>
      </c>
      <c r="H563" s="13"/>
      <c r="I563" s="13">
        <v>3328.1</v>
      </c>
      <c r="J563" s="14">
        <f>IFERROR(ROUND(SUM(M564,M565,M566,M567)/I563, 2),0)</f>
        <v>844.25</v>
      </c>
      <c r="K563" s="15">
        <v>473</v>
      </c>
      <c r="L563" s="14">
        <f>J563+ROUND(K563, 2)</f>
        <v>1317.25</v>
      </c>
      <c r="M563" s="14">
        <f>ROUND(J563*I563, 2)</f>
        <v>2809748.43</v>
      </c>
      <c r="N563" s="14">
        <f>ROUND(I563*ROUND(K563, 2), 2)</f>
        <v>1574191.3</v>
      </c>
      <c r="O563" s="14">
        <f>M563+N563</f>
        <v>4383939.7300000004</v>
      </c>
      <c r="P563" s="14">
        <f>IFERROR(ROUND(SUM(S564,S565,S566,S567)/I563, 2),0)</f>
        <v>844.25</v>
      </c>
      <c r="Q563" s="16">
        <v>671.66</v>
      </c>
      <c r="R563" s="14">
        <f>P563+ROUND(Q563, 2)</f>
        <v>1515.9099999999999</v>
      </c>
      <c r="S563" s="14">
        <f>ROUND(P563*I563, 2)</f>
        <v>2809748.43</v>
      </c>
      <c r="T563" s="14">
        <f>ROUND(I563*ROUND(Q563, 2), 2)</f>
        <v>2235351.65</v>
      </c>
      <c r="U563" s="14">
        <f>S563+T563</f>
        <v>5045100.08</v>
      </c>
      <c r="V563" s="9">
        <f>ROUND(P563 / 1.2, 2)</f>
        <v>703.54</v>
      </c>
      <c r="W563" s="9">
        <f>ROUND(Q563 / 1.2, 2)</f>
        <v>559.72</v>
      </c>
      <c r="X563" s="9">
        <f>ROUND(R563 / 1.2, 2)</f>
        <v>1263.26</v>
      </c>
      <c r="Y563" s="9">
        <f t="shared" si="50"/>
        <v>2341457.0299999998</v>
      </c>
      <c r="Z563" s="9">
        <f>ROUND(T563 / 1.2, 2)</f>
        <v>1862793.04</v>
      </c>
      <c r="AA563" s="9">
        <f>Y563+Z563</f>
        <v>4204250.07</v>
      </c>
      <c r="AD563" s="4">
        <v>295859943</v>
      </c>
      <c r="AE563" s="4">
        <v>22502076</v>
      </c>
      <c r="AG563" s="4" t="s">
        <v>900</v>
      </c>
      <c r="AH563" s="4" t="s">
        <v>901</v>
      </c>
      <c r="AI563" s="4" t="s">
        <v>467</v>
      </c>
    </row>
    <row r="564" spans="1:35" ht="72" x14ac:dyDescent="0.35">
      <c r="A564" s="10" t="s">
        <v>2117</v>
      </c>
      <c r="B564" s="10"/>
      <c r="C564" s="28" t="s">
        <v>912</v>
      </c>
      <c r="D564" s="12"/>
      <c r="E564" s="12" t="s">
        <v>917</v>
      </c>
      <c r="F564" s="29" t="s">
        <v>490</v>
      </c>
      <c r="G564" s="30">
        <v>1.84</v>
      </c>
      <c r="H564" s="49"/>
      <c r="I564" s="49">
        <v>6123.7039999999997</v>
      </c>
      <c r="J564" s="31">
        <v>450.95</v>
      </c>
      <c r="M564" s="32">
        <f>ROUND(ROUND(J564, 2)*I564, 2)</f>
        <v>2761484.32</v>
      </c>
      <c r="P564" s="33">
        <v>450.95</v>
      </c>
      <c r="S564" s="32">
        <f>ROUND(ROUND(P564, 2)*I564, 2)</f>
        <v>2761484.32</v>
      </c>
      <c r="V564" s="9">
        <f>ROUND(ROUND(P564, 2)/1.2, 2)</f>
        <v>375.79</v>
      </c>
      <c r="Y564" s="9">
        <f t="shared" si="50"/>
        <v>2301236.9300000002</v>
      </c>
      <c r="AD564" s="4" t="s">
        <v>2118</v>
      </c>
      <c r="AE564" s="4" t="s">
        <v>2119</v>
      </c>
      <c r="AF564" s="4" t="s">
        <v>915</v>
      </c>
    </row>
    <row r="565" spans="1:35" ht="36" x14ac:dyDescent="0.35">
      <c r="A565" s="10" t="s">
        <v>2120</v>
      </c>
      <c r="B565" s="10"/>
      <c r="C565" s="47" t="s">
        <v>905</v>
      </c>
      <c r="D565" s="12"/>
      <c r="E565" s="12"/>
      <c r="F565" s="29" t="s">
        <v>498</v>
      </c>
      <c r="G565" s="30">
        <v>0.7</v>
      </c>
      <c r="H565" s="49"/>
      <c r="I565" s="49">
        <v>2329.67</v>
      </c>
      <c r="J565" s="31">
        <v>16.11</v>
      </c>
      <c r="M565" s="32">
        <f>ROUND(ROUND(J565, 2)*I565, 2)</f>
        <v>37530.980000000003</v>
      </c>
      <c r="P565" s="33">
        <v>16.11</v>
      </c>
      <c r="S565" s="32">
        <f>ROUND(ROUND(P565, 2)*I565, 2)</f>
        <v>37530.980000000003</v>
      </c>
      <c r="V565" s="9">
        <f>ROUND(ROUND(P565, 2)/1.2, 2)</f>
        <v>13.43</v>
      </c>
      <c r="Y565" s="9">
        <f t="shared" si="50"/>
        <v>31275.82</v>
      </c>
      <c r="AD565" s="4" t="s">
        <v>2121</v>
      </c>
      <c r="AE565" s="4" t="s">
        <v>2122</v>
      </c>
      <c r="AF565" s="4" t="s">
        <v>908</v>
      </c>
    </row>
    <row r="566" spans="1:35" ht="18" x14ac:dyDescent="0.35">
      <c r="A566" s="10" t="s">
        <v>2123</v>
      </c>
      <c r="B566" s="10"/>
      <c r="C566" s="28" t="s">
        <v>873</v>
      </c>
      <c r="D566" s="12"/>
      <c r="E566" s="12"/>
      <c r="F566" s="29" t="s">
        <v>498</v>
      </c>
      <c r="G566" s="30">
        <v>0.04</v>
      </c>
      <c r="H566" s="30"/>
      <c r="I566" s="30">
        <v>133.124</v>
      </c>
      <c r="J566" s="31">
        <v>47.44</v>
      </c>
      <c r="M566" s="32">
        <f>ROUND(ROUND(J566, 2)*I566, 2)</f>
        <v>6315.4</v>
      </c>
      <c r="P566" s="33">
        <v>47.44</v>
      </c>
      <c r="S566" s="32">
        <f>ROUND(ROUND(P566, 2)*I566, 2)</f>
        <v>6315.4</v>
      </c>
      <c r="V566" s="9">
        <f>ROUND(ROUND(P566, 2)/1.2, 2)</f>
        <v>39.53</v>
      </c>
      <c r="Y566" s="9">
        <f t="shared" si="50"/>
        <v>5262.83</v>
      </c>
      <c r="AD566" s="4" t="s">
        <v>2124</v>
      </c>
      <c r="AE566" s="4" t="s">
        <v>2125</v>
      </c>
      <c r="AF566" s="4" t="s">
        <v>876</v>
      </c>
    </row>
    <row r="567" spans="1:35" ht="36" x14ac:dyDescent="0.35">
      <c r="A567" s="10" t="s">
        <v>2126</v>
      </c>
      <c r="B567" s="10"/>
      <c r="C567" s="28" t="s">
        <v>925</v>
      </c>
      <c r="D567" s="12"/>
      <c r="E567" s="12"/>
      <c r="F567" s="29" t="s">
        <v>498</v>
      </c>
      <c r="G567" s="30">
        <v>1.4999999999999999E-2</v>
      </c>
      <c r="H567" s="30"/>
      <c r="I567" s="30">
        <v>49.921999999999997</v>
      </c>
      <c r="J567" s="31">
        <v>88.8</v>
      </c>
      <c r="M567" s="32">
        <f>ROUND(ROUND(J567, 2)*I567, 2)</f>
        <v>4433.07</v>
      </c>
      <c r="P567" s="33">
        <v>88.8</v>
      </c>
      <c r="S567" s="32">
        <f>ROUND(ROUND(P567, 2)*I567, 2)</f>
        <v>4433.07</v>
      </c>
      <c r="V567" s="9">
        <f>ROUND(ROUND(P567, 2)/1.2, 2)</f>
        <v>74</v>
      </c>
      <c r="Y567" s="9">
        <f t="shared" si="50"/>
        <v>3694.23</v>
      </c>
      <c r="AD567" s="4" t="s">
        <v>2127</v>
      </c>
      <c r="AE567" s="4" t="s">
        <v>2128</v>
      </c>
      <c r="AF567" s="4" t="s">
        <v>928</v>
      </c>
    </row>
    <row r="568" spans="1:35" ht="36" x14ac:dyDescent="0.35">
      <c r="A568" s="10" t="s">
        <v>2129</v>
      </c>
      <c r="B568" s="10" t="s">
        <v>898</v>
      </c>
      <c r="C568" s="11" t="s">
        <v>899</v>
      </c>
      <c r="D568" s="12"/>
      <c r="E568" s="12" t="s">
        <v>957</v>
      </c>
      <c r="F568" s="12" t="s">
        <v>78</v>
      </c>
      <c r="G568" s="13">
        <v>1</v>
      </c>
      <c r="H568" s="13"/>
      <c r="I568" s="13">
        <v>892.1</v>
      </c>
      <c r="J568" s="14">
        <f>IFERROR(ROUND(SUM(M569,M570,M571,M572)/I568, 2),0)</f>
        <v>844.25</v>
      </c>
      <c r="K568" s="15">
        <v>473</v>
      </c>
      <c r="L568" s="14">
        <f>J568+ROUND(K568, 2)</f>
        <v>1317.25</v>
      </c>
      <c r="M568" s="14">
        <f>ROUND(J568*I568, 2)</f>
        <v>753155.43</v>
      </c>
      <c r="N568" s="14">
        <f>ROUND(I568*ROUND(K568, 2), 2)</f>
        <v>421963.3</v>
      </c>
      <c r="O568" s="14">
        <f>M568+N568</f>
        <v>1175118.73</v>
      </c>
      <c r="P568" s="14">
        <f>IFERROR(ROUND(SUM(S569,S570,S571,S572)/I568, 2),0)</f>
        <v>844.25</v>
      </c>
      <c r="Q568" s="16">
        <v>671.66</v>
      </c>
      <c r="R568" s="14">
        <f>P568+ROUND(Q568, 2)</f>
        <v>1515.9099999999999</v>
      </c>
      <c r="S568" s="14">
        <f>ROUND(P568*I568, 2)</f>
        <v>753155.43</v>
      </c>
      <c r="T568" s="14">
        <f>ROUND(I568*ROUND(Q568, 2), 2)</f>
        <v>599187.89</v>
      </c>
      <c r="U568" s="14">
        <f>S568+T568</f>
        <v>1352343.32</v>
      </c>
      <c r="V568" s="9">
        <f>ROUND(P568 / 1.2, 2)</f>
        <v>703.54</v>
      </c>
      <c r="W568" s="9">
        <f>ROUND(Q568 / 1.2, 2)</f>
        <v>559.72</v>
      </c>
      <c r="X568" s="9">
        <f>ROUND(R568 / 1.2, 2)</f>
        <v>1263.26</v>
      </c>
      <c r="Y568" s="9">
        <f t="shared" si="50"/>
        <v>627629.53</v>
      </c>
      <c r="Z568" s="9">
        <f>ROUND(T568 / 1.2, 2)</f>
        <v>499323.24</v>
      </c>
      <c r="AA568" s="9">
        <f>Y568+Z568</f>
        <v>1126952.77</v>
      </c>
      <c r="AD568" s="4">
        <v>295859991</v>
      </c>
      <c r="AE568" s="4">
        <v>22502097</v>
      </c>
      <c r="AG568" s="4" t="s">
        <v>900</v>
      </c>
      <c r="AH568" s="4" t="s">
        <v>901</v>
      </c>
      <c r="AI568" s="4" t="s">
        <v>467</v>
      </c>
    </row>
    <row r="569" spans="1:35" ht="36" x14ac:dyDescent="0.35">
      <c r="A569" s="10" t="s">
        <v>2130</v>
      </c>
      <c r="B569" s="10"/>
      <c r="C569" s="28" t="s">
        <v>925</v>
      </c>
      <c r="D569" s="12"/>
      <c r="E569" s="12"/>
      <c r="F569" s="29" t="s">
        <v>498</v>
      </c>
      <c r="G569" s="30">
        <v>1.4999999999999999E-2</v>
      </c>
      <c r="H569" s="30"/>
      <c r="I569" s="30">
        <v>13.382</v>
      </c>
      <c r="J569" s="31">
        <v>88.8</v>
      </c>
      <c r="M569" s="32">
        <f>ROUND(ROUND(J569, 2)*I569, 2)</f>
        <v>1188.32</v>
      </c>
      <c r="P569" s="33">
        <v>88.8</v>
      </c>
      <c r="S569" s="32">
        <f>ROUND(ROUND(P569, 2)*I569, 2)</f>
        <v>1188.32</v>
      </c>
      <c r="V569" s="9">
        <f>ROUND(ROUND(P569, 2)/1.2, 2)</f>
        <v>74</v>
      </c>
      <c r="Y569" s="9">
        <f t="shared" si="50"/>
        <v>990.27</v>
      </c>
      <c r="AD569" s="4" t="s">
        <v>2131</v>
      </c>
      <c r="AE569" s="4" t="s">
        <v>2132</v>
      </c>
      <c r="AF569" s="4" t="s">
        <v>928</v>
      </c>
    </row>
    <row r="570" spans="1:35" ht="18" x14ac:dyDescent="0.35">
      <c r="A570" s="10" t="s">
        <v>2133</v>
      </c>
      <c r="B570" s="10"/>
      <c r="C570" s="28" t="s">
        <v>873</v>
      </c>
      <c r="D570" s="12"/>
      <c r="E570" s="12"/>
      <c r="F570" s="29" t="s">
        <v>498</v>
      </c>
      <c r="G570" s="30">
        <v>0.04</v>
      </c>
      <c r="H570" s="30"/>
      <c r="I570" s="30">
        <v>35.683999999999997</v>
      </c>
      <c r="J570" s="31">
        <v>47.44</v>
      </c>
      <c r="M570" s="32">
        <f>ROUND(ROUND(J570, 2)*I570, 2)</f>
        <v>1692.85</v>
      </c>
      <c r="P570" s="33">
        <v>47.44</v>
      </c>
      <c r="S570" s="32">
        <f>ROUND(ROUND(P570, 2)*I570, 2)</f>
        <v>1692.85</v>
      </c>
      <c r="V570" s="9">
        <f>ROUND(ROUND(P570, 2)/1.2, 2)</f>
        <v>39.53</v>
      </c>
      <c r="Y570" s="9">
        <f t="shared" si="50"/>
        <v>1410.71</v>
      </c>
      <c r="AD570" s="4" t="s">
        <v>2134</v>
      </c>
      <c r="AE570" s="4" t="s">
        <v>2135</v>
      </c>
      <c r="AF570" s="4" t="s">
        <v>876</v>
      </c>
    </row>
    <row r="571" spans="1:35" ht="36" x14ac:dyDescent="0.35">
      <c r="A571" s="10" t="s">
        <v>2136</v>
      </c>
      <c r="B571" s="10"/>
      <c r="C571" s="47" t="s">
        <v>905</v>
      </c>
      <c r="D571" s="12"/>
      <c r="E571" s="12"/>
      <c r="F571" s="29" t="s">
        <v>498</v>
      </c>
      <c r="G571" s="30">
        <v>0.7</v>
      </c>
      <c r="H571" s="49"/>
      <c r="I571" s="49">
        <v>624.47</v>
      </c>
      <c r="J571" s="31">
        <v>16.11</v>
      </c>
      <c r="M571" s="32">
        <f>ROUND(ROUND(J571, 2)*I571, 2)</f>
        <v>10060.209999999999</v>
      </c>
      <c r="P571" s="33">
        <v>16.11</v>
      </c>
      <c r="S571" s="32">
        <f>ROUND(ROUND(P571, 2)*I571, 2)</f>
        <v>10060.209999999999</v>
      </c>
      <c r="V571" s="9">
        <f>ROUND(ROUND(P571, 2)/1.2, 2)</f>
        <v>13.43</v>
      </c>
      <c r="Y571" s="9">
        <f t="shared" si="50"/>
        <v>8383.51</v>
      </c>
      <c r="AD571" s="4" t="s">
        <v>2137</v>
      </c>
      <c r="AE571" s="4" t="s">
        <v>2138</v>
      </c>
      <c r="AF571" s="4" t="s">
        <v>908</v>
      </c>
    </row>
    <row r="572" spans="1:35" ht="54" x14ac:dyDescent="0.35">
      <c r="A572" s="10" t="s">
        <v>2139</v>
      </c>
      <c r="B572" s="10"/>
      <c r="C572" s="28" t="s">
        <v>912</v>
      </c>
      <c r="D572" s="12"/>
      <c r="E572" s="12" t="s">
        <v>969</v>
      </c>
      <c r="F572" s="29" t="s">
        <v>490</v>
      </c>
      <c r="G572" s="30">
        <v>1.84</v>
      </c>
      <c r="H572" s="49"/>
      <c r="I572" s="49">
        <v>1641.4639999999999</v>
      </c>
      <c r="J572" s="31">
        <v>450.95</v>
      </c>
      <c r="M572" s="32">
        <f>ROUND(ROUND(J572, 2)*I572, 2)</f>
        <v>740218.19</v>
      </c>
      <c r="P572" s="33">
        <v>450.95</v>
      </c>
      <c r="S572" s="32">
        <f>ROUND(ROUND(P572, 2)*I572, 2)</f>
        <v>740218.19</v>
      </c>
      <c r="V572" s="9">
        <f>ROUND(ROUND(P572, 2)/1.2, 2)</f>
        <v>375.79</v>
      </c>
      <c r="Y572" s="9">
        <f t="shared" si="50"/>
        <v>616848.49</v>
      </c>
      <c r="AD572" s="4" t="s">
        <v>2140</v>
      </c>
      <c r="AE572" s="4" t="s">
        <v>2141</v>
      </c>
      <c r="AF572" s="4" t="s">
        <v>915</v>
      </c>
    </row>
    <row r="573" spans="1:35" ht="36" x14ac:dyDescent="0.35">
      <c r="A573" s="10" t="s">
        <v>2142</v>
      </c>
      <c r="B573" s="10" t="s">
        <v>898</v>
      </c>
      <c r="C573" s="11" t="s">
        <v>899</v>
      </c>
      <c r="D573" s="12"/>
      <c r="E573" s="12" t="s">
        <v>933</v>
      </c>
      <c r="F573" s="12" t="s">
        <v>78</v>
      </c>
      <c r="G573" s="13">
        <v>1</v>
      </c>
      <c r="H573" s="13"/>
      <c r="I573" s="13">
        <v>2324.1</v>
      </c>
      <c r="J573" s="14">
        <f>IFERROR(ROUND(SUM(M574,M575,M576,M577)/I573, 2),0)</f>
        <v>844.25</v>
      </c>
      <c r="K573" s="15">
        <v>473</v>
      </c>
      <c r="L573" s="14">
        <f>J573+ROUND(K573, 2)</f>
        <v>1317.25</v>
      </c>
      <c r="M573" s="14">
        <f>ROUND(J573*I573, 2)</f>
        <v>1962121.43</v>
      </c>
      <c r="N573" s="14">
        <f>ROUND(I573*ROUND(K573, 2), 2)</f>
        <v>1099299.3</v>
      </c>
      <c r="O573" s="14">
        <f>M573+N573</f>
        <v>3061420.73</v>
      </c>
      <c r="P573" s="14">
        <f>IFERROR(ROUND(SUM(S574,S575,S576,S577)/I573, 2),0)</f>
        <v>844.25</v>
      </c>
      <c r="Q573" s="16">
        <v>671.66</v>
      </c>
      <c r="R573" s="14">
        <f>P573+ROUND(Q573, 2)</f>
        <v>1515.9099999999999</v>
      </c>
      <c r="S573" s="14">
        <f>ROUND(P573*I573, 2)</f>
        <v>1962121.43</v>
      </c>
      <c r="T573" s="14">
        <f>ROUND(I573*ROUND(Q573, 2), 2)</f>
        <v>1561005.01</v>
      </c>
      <c r="U573" s="14">
        <f>S573+T573</f>
        <v>3523126.44</v>
      </c>
      <c r="V573" s="9">
        <f>ROUND(P573 / 1.2, 2)</f>
        <v>703.54</v>
      </c>
      <c r="W573" s="9">
        <f>ROUND(Q573 / 1.2, 2)</f>
        <v>559.72</v>
      </c>
      <c r="X573" s="9">
        <f>ROUND(R573 / 1.2, 2)</f>
        <v>1263.26</v>
      </c>
      <c r="Y573" s="9">
        <f t="shared" si="50"/>
        <v>1635101.19</v>
      </c>
      <c r="Z573" s="9">
        <f>ROUND(T573 / 1.2, 2)</f>
        <v>1300837.51</v>
      </c>
      <c r="AA573" s="9">
        <f>Y573+Z573</f>
        <v>2935938.7</v>
      </c>
      <c r="AD573" s="4">
        <v>295859992</v>
      </c>
      <c r="AE573" s="4">
        <v>22502082</v>
      </c>
      <c r="AG573" s="4" t="s">
        <v>900</v>
      </c>
      <c r="AH573" s="4" t="s">
        <v>901</v>
      </c>
      <c r="AI573" s="4" t="s">
        <v>467</v>
      </c>
    </row>
    <row r="574" spans="1:35" ht="72" x14ac:dyDescent="0.35">
      <c r="A574" s="10" t="s">
        <v>2143</v>
      </c>
      <c r="B574" s="10"/>
      <c r="C574" s="28" t="s">
        <v>912</v>
      </c>
      <c r="D574" s="12"/>
      <c r="E574" s="12" t="s">
        <v>948</v>
      </c>
      <c r="F574" s="29" t="s">
        <v>490</v>
      </c>
      <c r="G574" s="30">
        <v>1.84</v>
      </c>
      <c r="H574" s="49"/>
      <c r="I574" s="49">
        <v>4276.3440000000001</v>
      </c>
      <c r="J574" s="31">
        <v>450.95</v>
      </c>
      <c r="M574" s="32">
        <f>ROUND(ROUND(J574, 2)*I574, 2)</f>
        <v>1928417.33</v>
      </c>
      <c r="P574" s="33">
        <v>450.95</v>
      </c>
      <c r="S574" s="32">
        <f>ROUND(ROUND(P574, 2)*I574, 2)</f>
        <v>1928417.33</v>
      </c>
      <c r="V574" s="9">
        <f>ROUND(ROUND(P574, 2)/1.2, 2)</f>
        <v>375.79</v>
      </c>
      <c r="Y574" s="9">
        <f t="shared" si="50"/>
        <v>1607014.44</v>
      </c>
      <c r="AD574" s="4" t="s">
        <v>2144</v>
      </c>
      <c r="AE574" s="4" t="s">
        <v>2145</v>
      </c>
      <c r="AF574" s="4" t="s">
        <v>915</v>
      </c>
    </row>
    <row r="575" spans="1:35" ht="36" x14ac:dyDescent="0.35">
      <c r="A575" s="10" t="s">
        <v>2146</v>
      </c>
      <c r="B575" s="10"/>
      <c r="C575" s="47" t="s">
        <v>905</v>
      </c>
      <c r="D575" s="12"/>
      <c r="E575" s="12"/>
      <c r="F575" s="29" t="s">
        <v>498</v>
      </c>
      <c r="G575" s="30">
        <v>0.7</v>
      </c>
      <c r="H575" s="49"/>
      <c r="I575" s="49">
        <v>1626.87</v>
      </c>
      <c r="J575" s="31">
        <v>16.11</v>
      </c>
      <c r="M575" s="32">
        <f>ROUND(ROUND(J575, 2)*I575, 2)</f>
        <v>26208.880000000001</v>
      </c>
      <c r="P575" s="33">
        <v>16.11</v>
      </c>
      <c r="S575" s="32">
        <f>ROUND(ROUND(P575, 2)*I575, 2)</f>
        <v>26208.880000000001</v>
      </c>
      <c r="V575" s="9">
        <f>ROUND(ROUND(P575, 2)/1.2, 2)</f>
        <v>13.43</v>
      </c>
      <c r="Y575" s="9">
        <f t="shared" si="50"/>
        <v>21840.73</v>
      </c>
      <c r="AD575" s="4" t="s">
        <v>2147</v>
      </c>
      <c r="AE575" s="4" t="s">
        <v>2148</v>
      </c>
      <c r="AF575" s="4" t="s">
        <v>908</v>
      </c>
    </row>
    <row r="576" spans="1:35" ht="18" x14ac:dyDescent="0.35">
      <c r="A576" s="10" t="s">
        <v>2149</v>
      </c>
      <c r="B576" s="10"/>
      <c r="C576" s="28" t="s">
        <v>873</v>
      </c>
      <c r="D576" s="12"/>
      <c r="E576" s="12"/>
      <c r="F576" s="29" t="s">
        <v>498</v>
      </c>
      <c r="G576" s="30">
        <v>0.04</v>
      </c>
      <c r="H576" s="30"/>
      <c r="I576" s="30">
        <v>92.963999999999999</v>
      </c>
      <c r="J576" s="31">
        <v>47.44</v>
      </c>
      <c r="M576" s="32">
        <f>ROUND(ROUND(J576, 2)*I576, 2)</f>
        <v>4410.21</v>
      </c>
      <c r="P576" s="33">
        <v>47.44</v>
      </c>
      <c r="S576" s="32">
        <f>ROUND(ROUND(P576, 2)*I576, 2)</f>
        <v>4410.21</v>
      </c>
      <c r="V576" s="9">
        <f>ROUND(ROUND(P576, 2)/1.2, 2)</f>
        <v>39.53</v>
      </c>
      <c r="Y576" s="9">
        <f t="shared" si="50"/>
        <v>3675.18</v>
      </c>
      <c r="AD576" s="4" t="s">
        <v>2150</v>
      </c>
      <c r="AE576" s="4" t="s">
        <v>2151</v>
      </c>
      <c r="AF576" s="4" t="s">
        <v>876</v>
      </c>
    </row>
    <row r="577" spans="1:35" ht="36" x14ac:dyDescent="0.35">
      <c r="A577" s="10" t="s">
        <v>2152</v>
      </c>
      <c r="B577" s="10"/>
      <c r="C577" s="28" t="s">
        <v>925</v>
      </c>
      <c r="D577" s="12"/>
      <c r="E577" s="12"/>
      <c r="F577" s="29" t="s">
        <v>498</v>
      </c>
      <c r="G577" s="30">
        <v>1.4999999999999999E-2</v>
      </c>
      <c r="H577" s="30"/>
      <c r="I577" s="30">
        <v>34.862000000000002</v>
      </c>
      <c r="J577" s="31">
        <v>88.8</v>
      </c>
      <c r="M577" s="32">
        <f>ROUND(ROUND(J577, 2)*I577, 2)</f>
        <v>3095.75</v>
      </c>
      <c r="P577" s="33">
        <v>88.8</v>
      </c>
      <c r="S577" s="32">
        <f>ROUND(ROUND(P577, 2)*I577, 2)</f>
        <v>3095.75</v>
      </c>
      <c r="V577" s="9">
        <f>ROUND(ROUND(P577, 2)/1.2, 2)</f>
        <v>74</v>
      </c>
      <c r="Y577" s="9">
        <f t="shared" si="50"/>
        <v>2579.79</v>
      </c>
      <c r="AD577" s="4" t="s">
        <v>2153</v>
      </c>
      <c r="AE577" s="4" t="s">
        <v>2154</v>
      </c>
      <c r="AF577" s="4" t="s">
        <v>928</v>
      </c>
    </row>
    <row r="578" spans="1:35" ht="54" x14ac:dyDescent="0.35">
      <c r="A578" s="10" t="s">
        <v>2155</v>
      </c>
      <c r="B578" s="10" t="s">
        <v>1021</v>
      </c>
      <c r="C578" s="11" t="s">
        <v>1022</v>
      </c>
      <c r="D578" s="12"/>
      <c r="E578" s="12" t="s">
        <v>903</v>
      </c>
      <c r="F578" s="12" t="s">
        <v>63</v>
      </c>
      <c r="G578" s="13">
        <v>1</v>
      </c>
      <c r="H578" s="13"/>
      <c r="I578" s="13">
        <v>3824.31</v>
      </c>
      <c r="J578" s="14">
        <f>IFERROR(ROUND(SUM(M579,M580,M581,M582)/I578, 2),0)</f>
        <v>2341.13</v>
      </c>
      <c r="K578" s="15">
        <v>1655</v>
      </c>
      <c r="L578" s="14">
        <f>J578+ROUND(K578, 2)</f>
        <v>3996.13</v>
      </c>
      <c r="M578" s="14">
        <f>ROUND(J578*I578, 2)</f>
        <v>8953206.8699999992</v>
      </c>
      <c r="N578" s="14">
        <f>ROUND(I578*ROUND(K578, 2), 2)</f>
        <v>6329233.0499999998</v>
      </c>
      <c r="O578" s="14">
        <f>M578+N578</f>
        <v>15282439.919999998</v>
      </c>
      <c r="P578" s="14">
        <f>IFERROR(ROUND(SUM(S579,S580,S581,S582)/I578, 2),0)</f>
        <v>2341.13</v>
      </c>
      <c r="Q578" s="16">
        <v>2350.1</v>
      </c>
      <c r="R578" s="14">
        <f>P578+ROUND(Q578, 2)</f>
        <v>4691.2299999999996</v>
      </c>
      <c r="S578" s="14">
        <f>ROUND(P578*I578, 2)</f>
        <v>8953206.8699999992</v>
      </c>
      <c r="T578" s="14">
        <f>ROUND(I578*ROUND(Q578, 2), 2)</f>
        <v>8987510.9299999997</v>
      </c>
      <c r="U578" s="14">
        <f>S578+T578</f>
        <v>17940717.799999997</v>
      </c>
      <c r="V578" s="9">
        <f>ROUND(P578 / 1.2, 2)</f>
        <v>1950.94</v>
      </c>
      <c r="W578" s="9">
        <f>ROUND(Q578 / 1.2, 2)</f>
        <v>1958.42</v>
      </c>
      <c r="X578" s="9">
        <f>ROUND(R578 / 1.2, 2)</f>
        <v>3909.36</v>
      </c>
      <c r="Y578" s="9">
        <f t="shared" si="50"/>
        <v>7461005.7300000004</v>
      </c>
      <c r="Z578" s="9">
        <f>ROUND(T578 / 1.2, 2)</f>
        <v>7489592.4400000004</v>
      </c>
      <c r="AA578" s="9">
        <f>Y578+Z578</f>
        <v>14950598.170000002</v>
      </c>
      <c r="AD578" s="4">
        <v>295859945</v>
      </c>
      <c r="AE578" s="4">
        <v>22502616</v>
      </c>
      <c r="AG578" s="4" t="s">
        <v>1023</v>
      </c>
      <c r="AH578" s="4" t="s">
        <v>1024</v>
      </c>
      <c r="AI578" s="4" t="s">
        <v>467</v>
      </c>
    </row>
    <row r="579" spans="1:35" ht="18" x14ac:dyDescent="0.35">
      <c r="A579" s="10" t="s">
        <v>2156</v>
      </c>
      <c r="B579" s="10"/>
      <c r="C579" s="28" t="s">
        <v>873</v>
      </c>
      <c r="D579" s="12"/>
      <c r="E579" s="12"/>
      <c r="F579" s="29" t="s">
        <v>498</v>
      </c>
      <c r="G579" s="30">
        <v>0.25</v>
      </c>
      <c r="H579" s="49"/>
      <c r="I579" s="49">
        <v>956.07799999999997</v>
      </c>
      <c r="J579" s="31">
        <v>47.44</v>
      </c>
      <c r="M579" s="32">
        <f>ROUND(ROUND(J579, 2)*I579, 2)</f>
        <v>45356.34</v>
      </c>
      <c r="P579" s="33">
        <v>47.44</v>
      </c>
      <c r="S579" s="32">
        <f>ROUND(ROUND(P579, 2)*I579, 2)</f>
        <v>45356.34</v>
      </c>
      <c r="V579" s="9">
        <f>ROUND(ROUND(P579, 2)/1.2, 2)</f>
        <v>39.53</v>
      </c>
      <c r="Y579" s="9">
        <f t="shared" si="50"/>
        <v>37796.949999999997</v>
      </c>
      <c r="AD579" s="4" t="s">
        <v>2157</v>
      </c>
      <c r="AE579" s="4" t="s">
        <v>2158</v>
      </c>
      <c r="AF579" s="4" t="s">
        <v>876</v>
      </c>
    </row>
    <row r="580" spans="1:35" ht="54" x14ac:dyDescent="0.35">
      <c r="A580" s="10" t="s">
        <v>2159</v>
      </c>
      <c r="B580" s="10"/>
      <c r="C580" s="28" t="s">
        <v>1027</v>
      </c>
      <c r="D580" s="12"/>
      <c r="E580" s="12" t="s">
        <v>1032</v>
      </c>
      <c r="F580" s="29" t="s">
        <v>63</v>
      </c>
      <c r="G580" s="30">
        <v>1.07</v>
      </c>
      <c r="H580" s="49"/>
      <c r="I580" s="49">
        <v>4092.0120000000002</v>
      </c>
      <c r="J580" s="31">
        <v>2059.0500000000002</v>
      </c>
      <c r="M580" s="32">
        <f>ROUND(ROUND(J580, 2)*I580, 2)</f>
        <v>8425657.3100000005</v>
      </c>
      <c r="P580" s="33">
        <v>2059.0500000000002</v>
      </c>
      <c r="S580" s="32">
        <f>ROUND(ROUND(P580, 2)*I580, 2)</f>
        <v>8425657.3100000005</v>
      </c>
      <c r="V580" s="9">
        <f>ROUND(ROUND(P580, 2)/1.2, 2)</f>
        <v>1715.88</v>
      </c>
      <c r="Y580" s="9">
        <f t="shared" ref="Y580:Y597" si="51">ROUND(S580 / 1.2, 2)</f>
        <v>7021381.0899999999</v>
      </c>
      <c r="AD580" s="4" t="s">
        <v>2160</v>
      </c>
      <c r="AE580" s="4" t="s">
        <v>2161</v>
      </c>
      <c r="AF580" s="4" t="s">
        <v>1030</v>
      </c>
    </row>
    <row r="581" spans="1:35" ht="36" x14ac:dyDescent="0.35">
      <c r="A581" s="10" t="s">
        <v>2162</v>
      </c>
      <c r="B581" s="10"/>
      <c r="C581" s="47" t="s">
        <v>1035</v>
      </c>
      <c r="D581" s="12"/>
      <c r="E581" s="12"/>
      <c r="F581" s="29" t="s">
        <v>498</v>
      </c>
      <c r="G581" s="30">
        <v>7</v>
      </c>
      <c r="H581" s="30"/>
      <c r="I581" s="30">
        <v>26770.17</v>
      </c>
      <c r="J581" s="31">
        <v>16.11</v>
      </c>
      <c r="M581" s="32">
        <f>ROUND(ROUND(J581, 2)*I581, 2)</f>
        <v>431267.44</v>
      </c>
      <c r="P581" s="33">
        <v>16.11</v>
      </c>
      <c r="S581" s="32">
        <f>ROUND(ROUND(P581, 2)*I581, 2)</f>
        <v>431267.44</v>
      </c>
      <c r="V581" s="9">
        <f>ROUND(ROUND(P581, 2)/1.2, 2)</f>
        <v>13.43</v>
      </c>
      <c r="Y581" s="9">
        <f t="shared" si="51"/>
        <v>359389.53</v>
      </c>
      <c r="AD581" s="4" t="s">
        <v>2163</v>
      </c>
      <c r="AE581" s="4" t="s">
        <v>2164</v>
      </c>
      <c r="AF581" s="4" t="s">
        <v>1038</v>
      </c>
    </row>
    <row r="582" spans="1:35" ht="36" x14ac:dyDescent="0.35">
      <c r="A582" s="10" t="s">
        <v>2165</v>
      </c>
      <c r="B582" s="10"/>
      <c r="C582" s="28" t="s">
        <v>925</v>
      </c>
      <c r="D582" s="12"/>
      <c r="E582" s="12"/>
      <c r="F582" s="29" t="s">
        <v>498</v>
      </c>
      <c r="G582" s="30">
        <v>0.15</v>
      </c>
      <c r="H582" s="30"/>
      <c r="I582" s="30">
        <v>573.64700000000005</v>
      </c>
      <c r="J582" s="31">
        <v>88.8</v>
      </c>
      <c r="M582" s="32">
        <f>ROUND(ROUND(J582, 2)*I582, 2)</f>
        <v>50939.85</v>
      </c>
      <c r="P582" s="33">
        <v>88.8</v>
      </c>
      <c r="S582" s="32">
        <f>ROUND(ROUND(P582, 2)*I582, 2)</f>
        <v>50939.85</v>
      </c>
      <c r="V582" s="9">
        <f>ROUND(ROUND(P582, 2)/1.2, 2)</f>
        <v>74</v>
      </c>
      <c r="Y582" s="9">
        <f t="shared" si="51"/>
        <v>42449.88</v>
      </c>
      <c r="AD582" s="4" t="s">
        <v>2166</v>
      </c>
      <c r="AE582" s="4" t="s">
        <v>2167</v>
      </c>
      <c r="AF582" s="4" t="s">
        <v>928</v>
      </c>
    </row>
    <row r="583" spans="1:35" ht="72" x14ac:dyDescent="0.35">
      <c r="A583" s="10" t="s">
        <v>2168</v>
      </c>
      <c r="B583" s="10" t="s">
        <v>1021</v>
      </c>
      <c r="C583" s="11" t="s">
        <v>1022</v>
      </c>
      <c r="D583" s="12"/>
      <c r="E583" s="12" t="s">
        <v>1088</v>
      </c>
      <c r="F583" s="12" t="s">
        <v>63</v>
      </c>
      <c r="G583" s="13">
        <v>1</v>
      </c>
      <c r="H583" s="13"/>
      <c r="I583" s="13">
        <v>87.2</v>
      </c>
      <c r="J583" s="14">
        <f>IFERROR(ROUND(SUM(M584,M585,M586,M587)/I583, 2),0)</f>
        <v>2341.13</v>
      </c>
      <c r="K583" s="15">
        <v>1655</v>
      </c>
      <c r="L583" s="14">
        <f>J583+ROUND(K583, 2)</f>
        <v>3996.13</v>
      </c>
      <c r="M583" s="14">
        <f>ROUND(J583*I583, 2)</f>
        <v>204146.54</v>
      </c>
      <c r="N583" s="14">
        <f>ROUND(I583*ROUND(K583, 2), 2)</f>
        <v>144316</v>
      </c>
      <c r="O583" s="14">
        <f>M583+N583</f>
        <v>348462.54000000004</v>
      </c>
      <c r="P583" s="14">
        <f>IFERROR(ROUND(SUM(S584,S585,S586,S587)/I583, 2),0)</f>
        <v>2341.13</v>
      </c>
      <c r="Q583" s="16">
        <v>2350.1</v>
      </c>
      <c r="R583" s="14">
        <f>P583+ROUND(Q583, 2)</f>
        <v>4691.2299999999996</v>
      </c>
      <c r="S583" s="14">
        <f>ROUND(P583*I583, 2)</f>
        <v>204146.54</v>
      </c>
      <c r="T583" s="14">
        <f>ROUND(I583*ROUND(Q583, 2), 2)</f>
        <v>204928.72</v>
      </c>
      <c r="U583" s="14">
        <f>S583+T583</f>
        <v>409075.26</v>
      </c>
      <c r="V583" s="9">
        <f>ROUND(P583 / 1.2, 2)</f>
        <v>1950.94</v>
      </c>
      <c r="W583" s="9">
        <f>ROUND(Q583 / 1.2, 2)</f>
        <v>1958.42</v>
      </c>
      <c r="X583" s="9">
        <f>ROUND(R583 / 1.2, 2)</f>
        <v>3909.36</v>
      </c>
      <c r="Y583" s="9">
        <f t="shared" si="51"/>
        <v>170122.12</v>
      </c>
      <c r="Z583" s="9">
        <f>ROUND(T583 / 1.2, 2)</f>
        <v>170773.93</v>
      </c>
      <c r="AA583" s="9">
        <f>Y583+Z583</f>
        <v>340896.05</v>
      </c>
      <c r="AD583" s="4">
        <v>295859993</v>
      </c>
      <c r="AE583" s="4">
        <v>22502614</v>
      </c>
      <c r="AG583" s="4" t="s">
        <v>1023</v>
      </c>
      <c r="AH583" s="4" t="s">
        <v>1024</v>
      </c>
      <c r="AI583" s="4" t="s">
        <v>467</v>
      </c>
    </row>
    <row r="584" spans="1:35" ht="36" x14ac:dyDescent="0.35">
      <c r="A584" s="10" t="s">
        <v>2169</v>
      </c>
      <c r="B584" s="10"/>
      <c r="C584" s="28" t="s">
        <v>925</v>
      </c>
      <c r="D584" s="12"/>
      <c r="E584" s="12"/>
      <c r="F584" s="29" t="s">
        <v>498</v>
      </c>
      <c r="G584" s="30">
        <v>0.15</v>
      </c>
      <c r="H584" s="30"/>
      <c r="I584" s="30">
        <v>13.08</v>
      </c>
      <c r="J584" s="31">
        <v>88.8</v>
      </c>
      <c r="M584" s="32">
        <f>ROUND(ROUND(J584, 2)*I584, 2)</f>
        <v>1161.5</v>
      </c>
      <c r="P584" s="33">
        <v>88.8</v>
      </c>
      <c r="S584" s="32">
        <f>ROUND(ROUND(P584, 2)*I584, 2)</f>
        <v>1161.5</v>
      </c>
      <c r="V584" s="9">
        <f>ROUND(ROUND(P584, 2)/1.2, 2)</f>
        <v>74</v>
      </c>
      <c r="Y584" s="9">
        <f t="shared" si="51"/>
        <v>967.92</v>
      </c>
      <c r="AD584" s="4" t="s">
        <v>2170</v>
      </c>
      <c r="AE584" s="4" t="s">
        <v>2171</v>
      </c>
      <c r="AF584" s="4" t="s">
        <v>928</v>
      </c>
    </row>
    <row r="585" spans="1:35" ht="36" x14ac:dyDescent="0.35">
      <c r="A585" s="10" t="s">
        <v>2172</v>
      </c>
      <c r="B585" s="10"/>
      <c r="C585" s="47" t="s">
        <v>1035</v>
      </c>
      <c r="D585" s="12"/>
      <c r="E585" s="12"/>
      <c r="F585" s="29" t="s">
        <v>498</v>
      </c>
      <c r="G585" s="30">
        <v>7</v>
      </c>
      <c r="H585" s="30"/>
      <c r="I585" s="30">
        <v>610.4</v>
      </c>
      <c r="J585" s="31">
        <v>16.11</v>
      </c>
      <c r="M585" s="32">
        <f>ROUND(ROUND(J585, 2)*I585, 2)</f>
        <v>9833.5400000000009</v>
      </c>
      <c r="P585" s="33">
        <v>16.11</v>
      </c>
      <c r="S585" s="32">
        <f>ROUND(ROUND(P585, 2)*I585, 2)</f>
        <v>9833.5400000000009</v>
      </c>
      <c r="V585" s="9">
        <f>ROUND(ROUND(P585, 2)/1.2, 2)</f>
        <v>13.43</v>
      </c>
      <c r="Y585" s="9">
        <f t="shared" si="51"/>
        <v>8194.6200000000008</v>
      </c>
      <c r="AD585" s="4" t="s">
        <v>2173</v>
      </c>
      <c r="AE585" s="4" t="s">
        <v>2174</v>
      </c>
      <c r="AF585" s="4" t="s">
        <v>1038</v>
      </c>
    </row>
    <row r="586" spans="1:35" ht="18" x14ac:dyDescent="0.35">
      <c r="A586" s="10" t="s">
        <v>2175</v>
      </c>
      <c r="B586" s="10"/>
      <c r="C586" s="28" t="s">
        <v>1027</v>
      </c>
      <c r="D586" s="12"/>
      <c r="E586" s="12"/>
      <c r="F586" s="29" t="s">
        <v>63</v>
      </c>
      <c r="G586" s="30">
        <v>1.07</v>
      </c>
      <c r="H586" s="49"/>
      <c r="I586" s="49">
        <v>93.304000000000002</v>
      </c>
      <c r="J586" s="31">
        <v>2059.0500000000002</v>
      </c>
      <c r="M586" s="32">
        <f>ROUND(ROUND(J586, 2)*I586, 2)</f>
        <v>192117.6</v>
      </c>
      <c r="P586" s="33">
        <v>2059.0500000000002</v>
      </c>
      <c r="S586" s="32">
        <f>ROUND(ROUND(P586, 2)*I586, 2)</f>
        <v>192117.6</v>
      </c>
      <c r="V586" s="9">
        <f>ROUND(ROUND(P586, 2)/1.2, 2)</f>
        <v>1715.88</v>
      </c>
      <c r="Y586" s="9">
        <f t="shared" si="51"/>
        <v>160098</v>
      </c>
      <c r="AD586" s="4" t="s">
        <v>2176</v>
      </c>
      <c r="AE586" s="4" t="s">
        <v>2177</v>
      </c>
      <c r="AF586" s="4" t="s">
        <v>1030</v>
      </c>
    </row>
    <row r="587" spans="1:35" ht="18" x14ac:dyDescent="0.35">
      <c r="A587" s="10" t="s">
        <v>2178</v>
      </c>
      <c r="B587" s="10"/>
      <c r="C587" s="28" t="s">
        <v>873</v>
      </c>
      <c r="D587" s="12"/>
      <c r="E587" s="12"/>
      <c r="F587" s="29" t="s">
        <v>498</v>
      </c>
      <c r="G587" s="30">
        <v>0.25</v>
      </c>
      <c r="H587" s="49"/>
      <c r="I587" s="49">
        <v>21.8</v>
      </c>
      <c r="J587" s="31">
        <v>47.44</v>
      </c>
      <c r="M587" s="32">
        <f>ROUND(ROUND(J587, 2)*I587, 2)</f>
        <v>1034.19</v>
      </c>
      <c r="P587" s="33">
        <v>47.44</v>
      </c>
      <c r="S587" s="32">
        <f>ROUND(ROUND(P587, 2)*I587, 2)</f>
        <v>1034.19</v>
      </c>
      <c r="V587" s="9">
        <f>ROUND(ROUND(P587, 2)/1.2, 2)</f>
        <v>39.53</v>
      </c>
      <c r="Y587" s="9">
        <f t="shared" si="51"/>
        <v>861.83</v>
      </c>
      <c r="AD587" s="4" t="s">
        <v>2179</v>
      </c>
      <c r="AE587" s="4" t="s">
        <v>2180</v>
      </c>
      <c r="AF587" s="4" t="s">
        <v>876</v>
      </c>
    </row>
    <row r="588" spans="1:35" ht="54" x14ac:dyDescent="0.35">
      <c r="A588" s="10" t="s">
        <v>2181</v>
      </c>
      <c r="B588" s="10" t="s">
        <v>1102</v>
      </c>
      <c r="C588" s="11" t="s">
        <v>1103</v>
      </c>
      <c r="D588" s="12"/>
      <c r="E588" s="12" t="s">
        <v>933</v>
      </c>
      <c r="F588" s="12" t="s">
        <v>63</v>
      </c>
      <c r="G588" s="13">
        <v>1</v>
      </c>
      <c r="H588" s="13"/>
      <c r="I588" s="13">
        <v>2228.66</v>
      </c>
      <c r="J588" s="14">
        <f>IFERROR(ROUND(SUM(M589,M590,M591,M592)/I588, 2),0)</f>
        <v>1840.01</v>
      </c>
      <c r="K588" s="15">
        <v>2785</v>
      </c>
      <c r="L588" s="14">
        <f>J588+ROUND(K588, 2)</f>
        <v>4625.01</v>
      </c>
      <c r="M588" s="14">
        <f>ROUND(J588*I588, 2)</f>
        <v>4100756.69</v>
      </c>
      <c r="N588" s="14">
        <f>ROUND(I588*ROUND(K588, 2), 2)</f>
        <v>6206818.0999999996</v>
      </c>
      <c r="O588" s="14">
        <f>M588+N588</f>
        <v>10307574.789999999</v>
      </c>
      <c r="P588" s="14">
        <f>IFERROR(ROUND(SUM(S589,S590,S591,S592)/I588, 2),0)</f>
        <v>1840.01</v>
      </c>
      <c r="Q588" s="16">
        <v>3954.7</v>
      </c>
      <c r="R588" s="14">
        <f>P588+ROUND(Q588, 2)</f>
        <v>5794.71</v>
      </c>
      <c r="S588" s="14">
        <f>ROUND(P588*I588, 2)</f>
        <v>4100756.69</v>
      </c>
      <c r="T588" s="14">
        <f>ROUND(I588*ROUND(Q588, 2), 2)</f>
        <v>8813681.6999999993</v>
      </c>
      <c r="U588" s="14">
        <f>S588+T588</f>
        <v>12914438.389999999</v>
      </c>
      <c r="V588" s="9">
        <f>ROUND(P588 / 1.2, 2)</f>
        <v>1533.34</v>
      </c>
      <c r="W588" s="9">
        <f>ROUND(Q588 / 1.2, 2)</f>
        <v>3295.58</v>
      </c>
      <c r="X588" s="9">
        <f>ROUND(R588 / 1.2, 2)</f>
        <v>4828.93</v>
      </c>
      <c r="Y588" s="9">
        <f t="shared" si="51"/>
        <v>3417297.24</v>
      </c>
      <c r="Z588" s="9">
        <f>ROUND(T588 / 1.2, 2)</f>
        <v>7344734.75</v>
      </c>
      <c r="AA588" s="9">
        <f>Y588+Z588</f>
        <v>10762031.99</v>
      </c>
      <c r="AD588" s="4">
        <v>295859946</v>
      </c>
      <c r="AE588" s="4">
        <v>22502620</v>
      </c>
      <c r="AG588" s="4" t="s">
        <v>1104</v>
      </c>
      <c r="AH588" s="4" t="s">
        <v>1105</v>
      </c>
      <c r="AI588" s="4" t="s">
        <v>467</v>
      </c>
    </row>
    <row r="589" spans="1:35" ht="36" x14ac:dyDescent="0.35">
      <c r="A589" s="10" t="s">
        <v>2182</v>
      </c>
      <c r="B589" s="10"/>
      <c r="C589" s="47" t="s">
        <v>1108</v>
      </c>
      <c r="D589" s="12"/>
      <c r="E589" s="12"/>
      <c r="F589" s="29" t="s">
        <v>498</v>
      </c>
      <c r="G589" s="30">
        <v>1.2</v>
      </c>
      <c r="H589" s="49"/>
      <c r="I589" s="49">
        <v>2674.3919999999998</v>
      </c>
      <c r="J589" s="31">
        <v>16.11</v>
      </c>
      <c r="M589" s="32">
        <f>ROUND(ROUND(J589, 2)*I589, 2)</f>
        <v>43084.46</v>
      </c>
      <c r="P589" s="33">
        <v>16.11</v>
      </c>
      <c r="S589" s="32">
        <f>ROUND(ROUND(P589, 2)*I589, 2)</f>
        <v>43084.46</v>
      </c>
      <c r="V589" s="9">
        <f>ROUND(ROUND(P589, 2)/1.2, 2)</f>
        <v>13.43</v>
      </c>
      <c r="Y589" s="9">
        <f t="shared" si="51"/>
        <v>35903.72</v>
      </c>
      <c r="AD589" s="4" t="s">
        <v>2183</v>
      </c>
      <c r="AE589" s="4" t="s">
        <v>2184</v>
      </c>
      <c r="AF589" s="4" t="s">
        <v>1111</v>
      </c>
    </row>
    <row r="590" spans="1:35" ht="54" x14ac:dyDescent="0.35">
      <c r="A590" s="10" t="s">
        <v>2185</v>
      </c>
      <c r="B590" s="10"/>
      <c r="C590" s="28" t="s">
        <v>2186</v>
      </c>
      <c r="D590" s="12"/>
      <c r="E590" s="12" t="s">
        <v>1120</v>
      </c>
      <c r="F590" s="29" t="s">
        <v>63</v>
      </c>
      <c r="G590" s="30">
        <v>1.2</v>
      </c>
      <c r="H590" s="49"/>
      <c r="I590" s="49">
        <v>2674.3919999999998</v>
      </c>
      <c r="J590" s="31">
        <v>1496.25</v>
      </c>
      <c r="M590" s="32">
        <f>ROUND(ROUND(J590, 2)*I590, 2)</f>
        <v>4001559.03</v>
      </c>
      <c r="P590" s="33">
        <v>1496.25</v>
      </c>
      <c r="S590" s="32">
        <f>ROUND(ROUND(P590, 2)*I590, 2)</f>
        <v>4001559.03</v>
      </c>
      <c r="V590" s="9">
        <f>ROUND(ROUND(P590, 2)/1.2, 2)</f>
        <v>1246.8800000000001</v>
      </c>
      <c r="Y590" s="9">
        <f t="shared" si="51"/>
        <v>3334632.53</v>
      </c>
      <c r="AD590" s="4" t="s">
        <v>2187</v>
      </c>
      <c r="AE590" s="4" t="s">
        <v>2188</v>
      </c>
      <c r="AF590" s="4" t="s">
        <v>2189</v>
      </c>
    </row>
    <row r="591" spans="1:35" ht="36" x14ac:dyDescent="0.35">
      <c r="A591" s="10" t="s">
        <v>2190</v>
      </c>
      <c r="B591" s="10"/>
      <c r="C591" s="28" t="s">
        <v>925</v>
      </c>
      <c r="D591" s="12"/>
      <c r="E591" s="12"/>
      <c r="F591" s="29" t="s">
        <v>498</v>
      </c>
      <c r="G591" s="30">
        <v>0.15</v>
      </c>
      <c r="H591" s="30"/>
      <c r="I591" s="30">
        <v>334.29899999999998</v>
      </c>
      <c r="J591" s="31">
        <v>88.8</v>
      </c>
      <c r="M591" s="32">
        <f>ROUND(ROUND(J591, 2)*I591, 2)</f>
        <v>29685.75</v>
      </c>
      <c r="P591" s="33">
        <v>88.8</v>
      </c>
      <c r="S591" s="32">
        <f>ROUND(ROUND(P591, 2)*I591, 2)</f>
        <v>29685.75</v>
      </c>
      <c r="V591" s="9">
        <f>ROUND(ROUND(P591, 2)/1.2, 2)</f>
        <v>74</v>
      </c>
      <c r="Y591" s="9">
        <f t="shared" si="51"/>
        <v>24738.13</v>
      </c>
      <c r="AD591" s="4" t="s">
        <v>2191</v>
      </c>
      <c r="AE591" s="4" t="s">
        <v>2192</v>
      </c>
      <c r="AF591" s="4" t="s">
        <v>928</v>
      </c>
    </row>
    <row r="592" spans="1:35" ht="18" x14ac:dyDescent="0.35">
      <c r="A592" s="10" t="s">
        <v>2193</v>
      </c>
      <c r="B592" s="10"/>
      <c r="C592" s="28" t="s">
        <v>873</v>
      </c>
      <c r="D592" s="12"/>
      <c r="E592" s="12"/>
      <c r="F592" s="29" t="s">
        <v>498</v>
      </c>
      <c r="G592" s="30">
        <v>0.25</v>
      </c>
      <c r="H592" s="49"/>
      <c r="I592" s="49">
        <v>557.16499999999996</v>
      </c>
      <c r="J592" s="31">
        <v>47.44</v>
      </c>
      <c r="M592" s="32">
        <f>ROUND(ROUND(J592, 2)*I592, 2)</f>
        <v>26431.91</v>
      </c>
      <c r="P592" s="33">
        <v>47.44</v>
      </c>
      <c r="S592" s="32">
        <f>ROUND(ROUND(P592, 2)*I592, 2)</f>
        <v>26431.91</v>
      </c>
      <c r="V592" s="9">
        <f>ROUND(ROUND(P592, 2)/1.2, 2)</f>
        <v>39.53</v>
      </c>
      <c r="Y592" s="9">
        <f t="shared" si="51"/>
        <v>22026.59</v>
      </c>
      <c r="AD592" s="4" t="s">
        <v>2194</v>
      </c>
      <c r="AE592" s="4" t="s">
        <v>2195</v>
      </c>
      <c r="AF592" s="4" t="s">
        <v>876</v>
      </c>
    </row>
    <row r="593" spans="1:35" ht="54" x14ac:dyDescent="0.35">
      <c r="A593" s="10" t="s">
        <v>2196</v>
      </c>
      <c r="B593" s="10" t="s">
        <v>1102</v>
      </c>
      <c r="C593" s="11" t="s">
        <v>1103</v>
      </c>
      <c r="D593" s="12"/>
      <c r="E593" s="12" t="s">
        <v>957</v>
      </c>
      <c r="F593" s="12" t="s">
        <v>63</v>
      </c>
      <c r="G593" s="13">
        <v>1</v>
      </c>
      <c r="H593" s="13"/>
      <c r="I593" s="13">
        <v>1152.23</v>
      </c>
      <c r="J593" s="14">
        <f>IFERROR(ROUND(SUM(M594,M595,M596,M597)/I593, 2),0)</f>
        <v>1840.01</v>
      </c>
      <c r="K593" s="15">
        <v>2785</v>
      </c>
      <c r="L593" s="14">
        <f>J593+ROUND(K593, 2)</f>
        <v>4625.01</v>
      </c>
      <c r="M593" s="14">
        <f>ROUND(J593*I593, 2)</f>
        <v>2120114.7200000002</v>
      </c>
      <c r="N593" s="14">
        <f>ROUND(I593*ROUND(K593, 2), 2)</f>
        <v>3208960.55</v>
      </c>
      <c r="O593" s="14">
        <f>M593+N593</f>
        <v>5329075.2699999996</v>
      </c>
      <c r="P593" s="14">
        <f>IFERROR(ROUND(SUM(S594,S595,S596,S597)/I593, 2),0)</f>
        <v>1840.01</v>
      </c>
      <c r="Q593" s="16">
        <v>3954.7</v>
      </c>
      <c r="R593" s="14">
        <f>P593+ROUND(Q593, 2)</f>
        <v>5794.71</v>
      </c>
      <c r="S593" s="14">
        <f>ROUND(P593*I593, 2)</f>
        <v>2120114.7200000002</v>
      </c>
      <c r="T593" s="14">
        <f>ROUND(I593*ROUND(Q593, 2), 2)</f>
        <v>4556723.9800000004</v>
      </c>
      <c r="U593" s="14">
        <f>S593+T593</f>
        <v>6676838.7000000011</v>
      </c>
      <c r="V593" s="9">
        <f>ROUND(P593 / 1.2, 2)</f>
        <v>1533.34</v>
      </c>
      <c r="W593" s="9">
        <f>ROUND(Q593 / 1.2, 2)</f>
        <v>3295.58</v>
      </c>
      <c r="X593" s="9">
        <f>ROUND(R593 / 1.2, 2)</f>
        <v>4828.93</v>
      </c>
      <c r="Y593" s="9">
        <f t="shared" si="51"/>
        <v>1766762.27</v>
      </c>
      <c r="Z593" s="9">
        <f>ROUND(T593 / 1.2, 2)</f>
        <v>3797269.98</v>
      </c>
      <c r="AA593" s="9">
        <f>Y593+Z593</f>
        <v>5564032.25</v>
      </c>
      <c r="AD593" s="4">
        <v>295859994</v>
      </c>
      <c r="AE593" s="4">
        <v>22502623</v>
      </c>
      <c r="AG593" s="4" t="s">
        <v>1104</v>
      </c>
      <c r="AH593" s="4" t="s">
        <v>1105</v>
      </c>
      <c r="AI593" s="4" t="s">
        <v>467</v>
      </c>
    </row>
    <row r="594" spans="1:35" ht="18" x14ac:dyDescent="0.35">
      <c r="A594" s="10" t="s">
        <v>2197</v>
      </c>
      <c r="B594" s="10"/>
      <c r="C594" s="28" t="s">
        <v>873</v>
      </c>
      <c r="D594" s="12"/>
      <c r="E594" s="12"/>
      <c r="F594" s="29" t="s">
        <v>498</v>
      </c>
      <c r="G594" s="30">
        <v>0.25</v>
      </c>
      <c r="H594" s="49"/>
      <c r="I594" s="49">
        <v>288.05799999999999</v>
      </c>
      <c r="J594" s="31">
        <v>47.44</v>
      </c>
      <c r="M594" s="32">
        <f>ROUND(ROUND(J594, 2)*I594, 2)</f>
        <v>13665.47</v>
      </c>
      <c r="P594" s="33">
        <v>47.44</v>
      </c>
      <c r="S594" s="32">
        <f>ROUND(ROUND(P594, 2)*I594, 2)</f>
        <v>13665.47</v>
      </c>
      <c r="V594" s="9">
        <f>ROUND(ROUND(P594, 2)/1.2, 2)</f>
        <v>39.53</v>
      </c>
      <c r="Y594" s="9">
        <f t="shared" si="51"/>
        <v>11387.89</v>
      </c>
      <c r="AD594" s="4" t="s">
        <v>2198</v>
      </c>
      <c r="AE594" s="4" t="s">
        <v>2199</v>
      </c>
      <c r="AF594" s="4" t="s">
        <v>876</v>
      </c>
    </row>
    <row r="595" spans="1:35" ht="36" x14ac:dyDescent="0.35">
      <c r="A595" s="10" t="s">
        <v>2200</v>
      </c>
      <c r="B595" s="10"/>
      <c r="C595" s="28" t="s">
        <v>925</v>
      </c>
      <c r="D595" s="12"/>
      <c r="E595" s="12"/>
      <c r="F595" s="29" t="s">
        <v>498</v>
      </c>
      <c r="G595" s="30">
        <v>0.15</v>
      </c>
      <c r="H595" s="30"/>
      <c r="I595" s="30">
        <v>172.83500000000001</v>
      </c>
      <c r="J595" s="31">
        <v>88.8</v>
      </c>
      <c r="M595" s="32">
        <f>ROUND(ROUND(J595, 2)*I595, 2)</f>
        <v>15347.75</v>
      </c>
      <c r="P595" s="33">
        <v>88.8</v>
      </c>
      <c r="S595" s="32">
        <f>ROUND(ROUND(P595, 2)*I595, 2)</f>
        <v>15347.75</v>
      </c>
      <c r="V595" s="9">
        <f>ROUND(ROUND(P595, 2)/1.2, 2)</f>
        <v>74</v>
      </c>
      <c r="Y595" s="9">
        <f t="shared" si="51"/>
        <v>12789.79</v>
      </c>
      <c r="AD595" s="4" t="s">
        <v>2201</v>
      </c>
      <c r="AE595" s="4" t="s">
        <v>2202</v>
      </c>
      <c r="AF595" s="4" t="s">
        <v>928</v>
      </c>
    </row>
    <row r="596" spans="1:35" ht="72" x14ac:dyDescent="0.35">
      <c r="A596" s="10" t="s">
        <v>2203</v>
      </c>
      <c r="B596" s="10"/>
      <c r="C596" s="28" t="s">
        <v>2186</v>
      </c>
      <c r="D596" s="12"/>
      <c r="E596" s="12" t="s">
        <v>1148</v>
      </c>
      <c r="F596" s="29" t="s">
        <v>63</v>
      </c>
      <c r="G596" s="30">
        <v>1.2</v>
      </c>
      <c r="H596" s="49"/>
      <c r="I596" s="49">
        <v>1382.6759999999999</v>
      </c>
      <c r="J596" s="31">
        <v>1496.25</v>
      </c>
      <c r="M596" s="32">
        <f>ROUND(ROUND(J596, 2)*I596, 2)</f>
        <v>2068828.97</v>
      </c>
      <c r="P596" s="33">
        <v>1496.25</v>
      </c>
      <c r="S596" s="32">
        <f>ROUND(ROUND(P596, 2)*I596, 2)</f>
        <v>2068828.97</v>
      </c>
      <c r="V596" s="9">
        <f>ROUND(ROUND(P596, 2)/1.2, 2)</f>
        <v>1246.8800000000001</v>
      </c>
      <c r="Y596" s="9">
        <f t="shared" si="51"/>
        <v>1724024.14</v>
      </c>
      <c r="AD596" s="4" t="s">
        <v>2204</v>
      </c>
      <c r="AE596" s="4" t="s">
        <v>2205</v>
      </c>
      <c r="AF596" s="4" t="s">
        <v>2189</v>
      </c>
    </row>
    <row r="597" spans="1:35" ht="36" x14ac:dyDescent="0.35">
      <c r="A597" s="10" t="s">
        <v>2206</v>
      </c>
      <c r="B597" s="10"/>
      <c r="C597" s="47" t="s">
        <v>1108</v>
      </c>
      <c r="D597" s="12"/>
      <c r="E597" s="12"/>
      <c r="F597" s="29" t="s">
        <v>498</v>
      </c>
      <c r="G597" s="30">
        <v>1.2</v>
      </c>
      <c r="H597" s="49"/>
      <c r="I597" s="49">
        <v>1382.6759999999999</v>
      </c>
      <c r="J597" s="31">
        <v>16.11</v>
      </c>
      <c r="M597" s="32">
        <f>ROUND(ROUND(J597, 2)*I597, 2)</f>
        <v>22274.91</v>
      </c>
      <c r="P597" s="33">
        <v>16.11</v>
      </c>
      <c r="S597" s="32">
        <f>ROUND(ROUND(P597, 2)*I597, 2)</f>
        <v>22274.91</v>
      </c>
      <c r="V597" s="9">
        <f>ROUND(ROUND(P597, 2)/1.2, 2)</f>
        <v>13.43</v>
      </c>
      <c r="Y597" s="9">
        <f t="shared" si="51"/>
        <v>18562.43</v>
      </c>
      <c r="AD597" s="4" t="s">
        <v>2207</v>
      </c>
      <c r="AE597" s="4" t="s">
        <v>2208</v>
      </c>
      <c r="AF597" s="4" t="s">
        <v>1111</v>
      </c>
    </row>
    <row r="598" spans="1:35" ht="17" customHeight="1" x14ac:dyDescent="0.35">
      <c r="A598" s="10" t="s">
        <v>2209</v>
      </c>
      <c r="B598" s="10" t="s">
        <v>1182</v>
      </c>
      <c r="C598" s="174" t="s">
        <v>1183</v>
      </c>
      <c r="D598" s="175"/>
      <c r="E598" s="175"/>
      <c r="F598" s="175"/>
      <c r="G598" s="175"/>
      <c r="H598" s="175"/>
      <c r="I598" s="176"/>
      <c r="M598" s="6">
        <f>SUM(M599,M605)</f>
        <v>16998814.34</v>
      </c>
      <c r="N598" s="6">
        <f>SUM(N599,N605)</f>
        <v>25554268</v>
      </c>
      <c r="O598" s="6">
        <f>SUM(O599,O605)</f>
        <v>42553082.340000004</v>
      </c>
      <c r="S598" s="6">
        <f>SUM(S599,S605)</f>
        <v>16998814.34</v>
      </c>
      <c r="T598" s="6">
        <f>SUM(T599,T605)</f>
        <v>36287060.549999997</v>
      </c>
      <c r="U598" s="6">
        <f>SUM(U599,U605)</f>
        <v>53285874.890000001</v>
      </c>
      <c r="Y598" s="9">
        <f>SUM(Y599,Y605)</f>
        <v>14165678.619999999</v>
      </c>
      <c r="Z598" s="9">
        <f>SUM(Z599,Z605)</f>
        <v>30239217.129999999</v>
      </c>
      <c r="AA598" s="9">
        <f>SUM(AA599,AA605)</f>
        <v>44404895.75</v>
      </c>
      <c r="AD598" s="4">
        <v>295859947</v>
      </c>
      <c r="AE598" s="4">
        <v>22502008</v>
      </c>
    </row>
    <row r="599" spans="1:35" ht="17" customHeight="1" x14ac:dyDescent="0.35">
      <c r="A599" s="10" t="s">
        <v>2210</v>
      </c>
      <c r="B599" s="10" t="s">
        <v>1185</v>
      </c>
      <c r="C599" s="174" t="s">
        <v>1186</v>
      </c>
      <c r="D599" s="175"/>
      <c r="E599" s="175"/>
      <c r="F599" s="175"/>
      <c r="G599" s="175"/>
      <c r="H599" s="175"/>
      <c r="I599" s="176"/>
      <c r="M599" s="6">
        <f>SUM(M600)</f>
        <v>2154576.67</v>
      </c>
      <c r="N599" s="6">
        <f>SUM(N600)</f>
        <v>7307544.5999999996</v>
      </c>
      <c r="O599" s="6">
        <f>SUM(O600)</f>
        <v>9462121.2699999996</v>
      </c>
      <c r="S599" s="6">
        <f>SUM(S600)</f>
        <v>2154576.67</v>
      </c>
      <c r="T599" s="6">
        <f>SUM(T600)</f>
        <v>10376713.33</v>
      </c>
      <c r="U599" s="6">
        <f>SUM(U600)</f>
        <v>12531290</v>
      </c>
      <c r="Y599" s="9">
        <f>SUM(Y600)</f>
        <v>1795480.56</v>
      </c>
      <c r="Z599" s="9">
        <f>SUM(Z600)</f>
        <v>8647261.1099999994</v>
      </c>
      <c r="AA599" s="9">
        <f>SUM(AA600)</f>
        <v>10442741.67</v>
      </c>
      <c r="AD599" s="4">
        <v>295859948</v>
      </c>
      <c r="AE599" s="4">
        <v>22502024</v>
      </c>
    </row>
    <row r="600" spans="1:35" ht="72" x14ac:dyDescent="0.35">
      <c r="A600" s="10" t="s">
        <v>2211</v>
      </c>
      <c r="B600" s="10" t="s">
        <v>1188</v>
      </c>
      <c r="C600" s="11" t="s">
        <v>1189</v>
      </c>
      <c r="D600" s="12" t="s">
        <v>1190</v>
      </c>
      <c r="E600" s="12" t="s">
        <v>1194</v>
      </c>
      <c r="F600" s="12" t="s">
        <v>63</v>
      </c>
      <c r="G600" s="13">
        <v>1</v>
      </c>
      <c r="H600" s="13"/>
      <c r="I600" s="13">
        <v>7659.9</v>
      </c>
      <c r="J600" s="14">
        <f>IFERROR(ROUND(SUM(M601,M602,M603,M604)/I600, 2),0)</f>
        <v>281.27999999999997</v>
      </c>
      <c r="K600" s="15">
        <v>954</v>
      </c>
      <c r="L600" s="14">
        <f>J600+ROUND(K600, 2)</f>
        <v>1235.28</v>
      </c>
      <c r="M600" s="14">
        <f>ROUND(J600*I600, 2)</f>
        <v>2154576.67</v>
      </c>
      <c r="N600" s="14">
        <f>ROUND(I600*ROUND(K600, 2), 2)</f>
        <v>7307544.5999999996</v>
      </c>
      <c r="O600" s="14">
        <f>M600+N600</f>
        <v>9462121.2699999996</v>
      </c>
      <c r="P600" s="14">
        <f>IFERROR(ROUND(SUM(S601,S602,S603,S604)/I600, 2),0)</f>
        <v>281.27999999999997</v>
      </c>
      <c r="Q600" s="16">
        <v>1354.68</v>
      </c>
      <c r="R600" s="14">
        <f>P600+ROUND(Q600, 2)</f>
        <v>1635.96</v>
      </c>
      <c r="S600" s="14">
        <f>ROUND(P600*I600, 2)</f>
        <v>2154576.67</v>
      </c>
      <c r="T600" s="14">
        <f>ROUND(I600*ROUND(Q600, 2), 2)</f>
        <v>10376713.33</v>
      </c>
      <c r="U600" s="14">
        <f>S600+T600</f>
        <v>12531290</v>
      </c>
      <c r="V600" s="9">
        <f>ROUND(P600 / 1.2, 2)</f>
        <v>234.4</v>
      </c>
      <c r="W600" s="9">
        <f>ROUND(Q600 / 1.2, 2)</f>
        <v>1128.9000000000001</v>
      </c>
      <c r="X600" s="9">
        <f>ROUND(R600 / 1.2, 2)</f>
        <v>1363.3</v>
      </c>
      <c r="Y600" s="9">
        <f>ROUND(S600 / 1.2, 2)</f>
        <v>1795480.56</v>
      </c>
      <c r="Z600" s="9">
        <f>ROUND(T600 / 1.2, 2)</f>
        <v>8647261.1099999994</v>
      </c>
      <c r="AA600" s="9">
        <f>Y600+Z600</f>
        <v>10442741.67</v>
      </c>
      <c r="AD600" s="4">
        <v>295859950</v>
      </c>
      <c r="AE600" s="4">
        <v>22502062</v>
      </c>
      <c r="AG600" s="4" t="s">
        <v>1191</v>
      </c>
      <c r="AH600" s="4" t="s">
        <v>1192</v>
      </c>
      <c r="AI600" s="4" t="s">
        <v>467</v>
      </c>
    </row>
    <row r="601" spans="1:35" ht="18" x14ac:dyDescent="0.35">
      <c r="A601" s="10" t="s">
        <v>2212</v>
      </c>
      <c r="B601" s="10"/>
      <c r="C601" s="28" t="s">
        <v>1196</v>
      </c>
      <c r="D601" s="12"/>
      <c r="E601" s="12"/>
      <c r="F601" s="29" t="s">
        <v>498</v>
      </c>
      <c r="G601" s="30">
        <v>1.3</v>
      </c>
      <c r="H601" s="49"/>
      <c r="I601" s="49">
        <v>199157.4</v>
      </c>
      <c r="J601" s="31">
        <v>8.6</v>
      </c>
      <c r="M601" s="32">
        <f>ROUND(ROUND(J601, 2)*I601, 2)</f>
        <v>1712753.64</v>
      </c>
      <c r="P601" s="33">
        <v>8.6</v>
      </c>
      <c r="S601" s="32">
        <f>ROUND(ROUND(P601, 2)*I601, 2)</f>
        <v>1712753.64</v>
      </c>
      <c r="V601" s="9">
        <f>ROUND(ROUND(P601, 2)/1.2, 2)</f>
        <v>7.17</v>
      </c>
      <c r="Y601" s="9">
        <f>ROUND(S601 / 1.2, 2)</f>
        <v>1427294.7</v>
      </c>
      <c r="AD601" s="4" t="s">
        <v>2213</v>
      </c>
      <c r="AE601" s="4" t="s">
        <v>2214</v>
      </c>
      <c r="AF601" s="4" t="s">
        <v>1199</v>
      </c>
    </row>
    <row r="602" spans="1:35" ht="18" x14ac:dyDescent="0.35">
      <c r="A602" s="10" t="s">
        <v>2215</v>
      </c>
      <c r="B602" s="10"/>
      <c r="C602" s="28" t="s">
        <v>1203</v>
      </c>
      <c r="D602" s="12"/>
      <c r="E602" s="12"/>
      <c r="F602" s="29" t="s">
        <v>63</v>
      </c>
      <c r="G602" s="30">
        <v>1.1000000000000001</v>
      </c>
      <c r="H602" s="30"/>
      <c r="I602" s="30">
        <v>8425.89</v>
      </c>
      <c r="J602" s="31">
        <v>26</v>
      </c>
      <c r="M602" s="32">
        <f>ROUND(ROUND(J602, 2)*I602, 2)</f>
        <v>219073.14</v>
      </c>
      <c r="P602" s="33">
        <v>26</v>
      </c>
      <c r="S602" s="32">
        <f>ROUND(ROUND(P602, 2)*I602, 2)</f>
        <v>219073.14</v>
      </c>
      <c r="V602" s="9">
        <f>ROUND(ROUND(P602, 2)/1.2, 2)</f>
        <v>21.67</v>
      </c>
      <c r="Y602" s="9">
        <f>ROUND(S602 / 1.2, 2)</f>
        <v>182560.95</v>
      </c>
      <c r="AD602" s="4" t="s">
        <v>2216</v>
      </c>
      <c r="AE602" s="4" t="s">
        <v>2217</v>
      </c>
      <c r="AF602" s="4" t="s">
        <v>1206</v>
      </c>
    </row>
    <row r="603" spans="1:35" ht="18" x14ac:dyDescent="0.35">
      <c r="A603" s="10" t="s">
        <v>2218</v>
      </c>
      <c r="B603" s="10"/>
      <c r="C603" s="28" t="s">
        <v>1210</v>
      </c>
      <c r="D603" s="12"/>
      <c r="E603" s="12"/>
      <c r="F603" s="29" t="s">
        <v>78</v>
      </c>
      <c r="G603" s="30">
        <v>1</v>
      </c>
      <c r="H603" s="49"/>
      <c r="I603" s="49">
        <v>7659.9</v>
      </c>
      <c r="J603" s="31">
        <v>15.76</v>
      </c>
      <c r="M603" s="32">
        <f>ROUND(ROUND(J603, 2)*I603, 2)</f>
        <v>120720.02</v>
      </c>
      <c r="P603" s="33">
        <v>15.76</v>
      </c>
      <c r="S603" s="32">
        <f>ROUND(ROUND(P603, 2)*I603, 2)</f>
        <v>120720.02</v>
      </c>
      <c r="V603" s="9">
        <f>ROUND(ROUND(P603, 2)/1.2, 2)</f>
        <v>13.13</v>
      </c>
      <c r="Y603" s="9">
        <f>ROUND(S603 / 1.2, 2)</f>
        <v>100600.02</v>
      </c>
      <c r="AD603" s="4" t="s">
        <v>2219</v>
      </c>
      <c r="AE603" s="4" t="s">
        <v>2220</v>
      </c>
      <c r="AF603" s="4" t="s">
        <v>1213</v>
      </c>
    </row>
    <row r="604" spans="1:35" ht="36" x14ac:dyDescent="0.35">
      <c r="A604" s="10" t="s">
        <v>2221</v>
      </c>
      <c r="B604" s="10"/>
      <c r="C604" s="28" t="s">
        <v>925</v>
      </c>
      <c r="D604" s="12"/>
      <c r="E604" s="12"/>
      <c r="F604" s="29" t="s">
        <v>498</v>
      </c>
      <c r="G604" s="30">
        <v>0.15</v>
      </c>
      <c r="H604" s="30"/>
      <c r="I604" s="30">
        <v>1148.9849999999999</v>
      </c>
      <c r="J604" s="31">
        <v>88.8</v>
      </c>
      <c r="M604" s="32">
        <f>ROUND(ROUND(J604, 2)*I604, 2)</f>
        <v>102029.87</v>
      </c>
      <c r="P604" s="33">
        <v>88.8</v>
      </c>
      <c r="S604" s="32">
        <f>ROUND(ROUND(P604, 2)*I604, 2)</f>
        <v>102029.87</v>
      </c>
      <c r="V604" s="9">
        <f>ROUND(ROUND(P604, 2)/1.2, 2)</f>
        <v>74</v>
      </c>
      <c r="Y604" s="9">
        <f>ROUND(S604 / 1.2, 2)</f>
        <v>85024.89</v>
      </c>
      <c r="AD604" s="4" t="s">
        <v>2222</v>
      </c>
      <c r="AE604" s="4" t="s">
        <v>2223</v>
      </c>
      <c r="AF604" s="4" t="s">
        <v>928</v>
      </c>
    </row>
    <row r="605" spans="1:35" ht="17" customHeight="1" x14ac:dyDescent="0.35">
      <c r="A605" s="10" t="s">
        <v>2224</v>
      </c>
      <c r="B605" s="10" t="s">
        <v>1235</v>
      </c>
      <c r="C605" s="174" t="s">
        <v>1236</v>
      </c>
      <c r="D605" s="175"/>
      <c r="E605" s="175"/>
      <c r="F605" s="175"/>
      <c r="G605" s="175"/>
      <c r="H605" s="175"/>
      <c r="I605" s="176"/>
      <c r="M605" s="6">
        <f>SUM(M606,M608,M611,M614)</f>
        <v>14844237.67</v>
      </c>
      <c r="N605" s="6">
        <f>SUM(N606,N608,N611,N614)</f>
        <v>18246723.399999999</v>
      </c>
      <c r="O605" s="6">
        <f>SUM(O606,O608,O611,O614)</f>
        <v>33090961.07</v>
      </c>
      <c r="S605" s="6">
        <f>SUM(S606,S608,S611,S614)</f>
        <v>14844237.67</v>
      </c>
      <c r="T605" s="6">
        <f>SUM(T606,T608,T611,T614)</f>
        <v>25910347.219999999</v>
      </c>
      <c r="U605" s="6">
        <f>SUM(U606,U608,U611,U614)</f>
        <v>40754584.890000001</v>
      </c>
      <c r="Y605" s="9">
        <f>SUM(Y606,Y608,Y611,Y614)</f>
        <v>12370198.059999999</v>
      </c>
      <c r="Z605" s="9">
        <f>SUM(Z606,Z608,Z611,Z614)</f>
        <v>21591956.02</v>
      </c>
      <c r="AA605" s="9">
        <f>SUM(AA606,AA608,AA611,AA614)</f>
        <v>33962154.079999998</v>
      </c>
      <c r="AD605" s="4">
        <v>295859951</v>
      </c>
      <c r="AE605" s="4">
        <v>22502049</v>
      </c>
    </row>
    <row r="606" spans="1:35" ht="18" x14ac:dyDescent="0.35">
      <c r="A606" s="10" t="s">
        <v>2225</v>
      </c>
      <c r="B606" s="10" t="s">
        <v>1238</v>
      </c>
      <c r="C606" s="11" t="s">
        <v>1239</v>
      </c>
      <c r="D606" s="12"/>
      <c r="E606" s="12"/>
      <c r="F606" s="12" t="s">
        <v>63</v>
      </c>
      <c r="G606" s="13">
        <v>1</v>
      </c>
      <c r="H606" s="13"/>
      <c r="I606" s="13">
        <v>2373.3000000000002</v>
      </c>
      <c r="J606" s="14">
        <f>IFERROR(ROUND(SUM(M607)/I606, 2),0)</f>
        <v>418</v>
      </c>
      <c r="K606" s="15">
        <v>1010</v>
      </c>
      <c r="L606" s="14">
        <f>J606+ROUND(K606, 2)</f>
        <v>1428</v>
      </c>
      <c r="M606" s="14">
        <f>ROUND(J606*I606, 2)</f>
        <v>992039.4</v>
      </c>
      <c r="N606" s="14">
        <f>ROUND(I606*ROUND(K606, 2), 2)</f>
        <v>2397033</v>
      </c>
      <c r="O606" s="14">
        <f>M606+N606</f>
        <v>3389072.4</v>
      </c>
      <c r="P606" s="14">
        <f>IFERROR(ROUND(SUM(S607)/I606, 2),0)</f>
        <v>418</v>
      </c>
      <c r="Q606" s="16">
        <v>1434.2</v>
      </c>
      <c r="R606" s="14">
        <f>P606+ROUND(Q606, 2)</f>
        <v>1852.2</v>
      </c>
      <c r="S606" s="14">
        <f>ROUND(P606*I606, 2)</f>
        <v>992039.4</v>
      </c>
      <c r="T606" s="14">
        <f>ROUND(I606*ROUND(Q606, 2), 2)</f>
        <v>3403786.86</v>
      </c>
      <c r="U606" s="14">
        <f>S606+T606</f>
        <v>4395826.26</v>
      </c>
      <c r="V606" s="9">
        <f>ROUND(P606 / 1.2, 2)</f>
        <v>348.33</v>
      </c>
      <c r="W606" s="9">
        <f>ROUND(Q606 / 1.2, 2)</f>
        <v>1195.17</v>
      </c>
      <c r="X606" s="9">
        <f>ROUND(R606 / 1.2, 2)</f>
        <v>1543.5</v>
      </c>
      <c r="Y606" s="9">
        <f>ROUND(S606 / 1.2, 2)</f>
        <v>826699.5</v>
      </c>
      <c r="Z606" s="9">
        <f>ROUND(T606 / 1.2, 2)</f>
        <v>2836489.05</v>
      </c>
      <c r="AA606" s="9">
        <f>Y606+Z606</f>
        <v>3663188.55</v>
      </c>
      <c r="AD606" s="4">
        <v>295859953</v>
      </c>
      <c r="AE606" s="4">
        <v>22502040</v>
      </c>
      <c r="AG606" s="4" t="s">
        <v>1240</v>
      </c>
      <c r="AH606" s="4" t="s">
        <v>1241</v>
      </c>
      <c r="AI606" s="4" t="s">
        <v>467</v>
      </c>
    </row>
    <row r="607" spans="1:35" ht="18" x14ac:dyDescent="0.35">
      <c r="A607" s="10" t="s">
        <v>2226</v>
      </c>
      <c r="B607" s="10"/>
      <c r="C607" s="28" t="s">
        <v>1245</v>
      </c>
      <c r="D607" s="12"/>
      <c r="E607" s="12"/>
      <c r="F607" s="29" t="s">
        <v>490</v>
      </c>
      <c r="G607" s="30">
        <v>1</v>
      </c>
      <c r="H607" s="30"/>
      <c r="I607" s="30">
        <v>2373.3000000000002</v>
      </c>
      <c r="J607" s="31">
        <v>418</v>
      </c>
      <c r="M607" s="32">
        <f>ROUND(ROUND(J607, 2)*I607, 2)</f>
        <v>992039.4</v>
      </c>
      <c r="P607" s="33">
        <v>418</v>
      </c>
      <c r="S607" s="32">
        <f>ROUND(ROUND(P607, 2)*I607, 2)</f>
        <v>992039.4</v>
      </c>
      <c r="V607" s="9">
        <f>ROUND(ROUND(P607, 2)/1.2, 2)</f>
        <v>348.33</v>
      </c>
      <c r="Y607" s="9">
        <f t="shared" ref="Y607:Y618" si="52">ROUND(S607 / 1.2, 2)</f>
        <v>826699.5</v>
      </c>
      <c r="AD607" s="4" t="s">
        <v>2227</v>
      </c>
      <c r="AE607" s="4" t="s">
        <v>2228</v>
      </c>
      <c r="AF607" s="4" t="s">
        <v>1248</v>
      </c>
    </row>
    <row r="608" spans="1:35" ht="90" x14ac:dyDescent="0.35">
      <c r="A608" s="10" t="s">
        <v>2229</v>
      </c>
      <c r="B608" s="10" t="s">
        <v>1256</v>
      </c>
      <c r="C608" s="11" t="s">
        <v>1257</v>
      </c>
      <c r="D608" s="12"/>
      <c r="E608" s="12" t="s">
        <v>2230</v>
      </c>
      <c r="F608" s="12" t="s">
        <v>63</v>
      </c>
      <c r="G608" s="13">
        <v>1</v>
      </c>
      <c r="H608" s="13"/>
      <c r="I608" s="13">
        <v>11850.4</v>
      </c>
      <c r="J608" s="14">
        <f>IFERROR(ROUND(SUM(M609,M610)/I608, 2),0)</f>
        <v>499.92</v>
      </c>
      <c r="K608" s="15">
        <v>428</v>
      </c>
      <c r="L608" s="14">
        <f>J608+ROUND(K608, 2)</f>
        <v>927.92000000000007</v>
      </c>
      <c r="M608" s="14">
        <f>ROUND(J608*I608, 2)</f>
        <v>5924251.9699999997</v>
      </c>
      <c r="N608" s="14">
        <f>ROUND(I608*ROUND(K608, 2), 2)</f>
        <v>5071971.2</v>
      </c>
      <c r="O608" s="14">
        <f>M608+N608</f>
        <v>10996223.17</v>
      </c>
      <c r="P608" s="14">
        <f>IFERROR(ROUND(SUM(S609,S610)/I608, 2),0)</f>
        <v>499.92</v>
      </c>
      <c r="Q608" s="16">
        <v>607.76</v>
      </c>
      <c r="R608" s="14">
        <f>P608+ROUND(Q608, 2)</f>
        <v>1107.68</v>
      </c>
      <c r="S608" s="14">
        <f>ROUND(P608*I608, 2)</f>
        <v>5924251.9699999997</v>
      </c>
      <c r="T608" s="14">
        <f>ROUND(I608*ROUND(Q608, 2), 2)</f>
        <v>7202199.0999999996</v>
      </c>
      <c r="U608" s="14">
        <f>S608+T608</f>
        <v>13126451.07</v>
      </c>
      <c r="V608" s="9">
        <f>ROUND(P608 / 1.2, 2)</f>
        <v>416.6</v>
      </c>
      <c r="W608" s="9">
        <f>ROUND(Q608 / 1.2, 2)</f>
        <v>506.47</v>
      </c>
      <c r="X608" s="9">
        <f>ROUND(R608 / 1.2, 2)</f>
        <v>923.07</v>
      </c>
      <c r="Y608" s="9">
        <f t="shared" si="52"/>
        <v>4936876.6399999997</v>
      </c>
      <c r="Z608" s="9">
        <f>ROUND(T608 / 1.2, 2)</f>
        <v>6001832.5800000001</v>
      </c>
      <c r="AA608" s="9">
        <f>Y608+Z608</f>
        <v>10938709.219999999</v>
      </c>
      <c r="AD608" s="4">
        <v>295859955</v>
      </c>
      <c r="AE608" s="4">
        <v>22502081</v>
      </c>
      <c r="AG608" s="4" t="s">
        <v>1258</v>
      </c>
      <c r="AH608" s="4" t="s">
        <v>1259</v>
      </c>
      <c r="AI608" s="4" t="s">
        <v>467</v>
      </c>
    </row>
    <row r="609" spans="1:35" ht="36" x14ac:dyDescent="0.35">
      <c r="A609" s="10" t="s">
        <v>2231</v>
      </c>
      <c r="B609" s="10"/>
      <c r="C609" s="28" t="s">
        <v>925</v>
      </c>
      <c r="D609" s="12"/>
      <c r="E609" s="12"/>
      <c r="F609" s="29" t="s">
        <v>498</v>
      </c>
      <c r="G609" s="30">
        <v>0.15</v>
      </c>
      <c r="H609" s="30"/>
      <c r="I609" s="30">
        <v>1777.56</v>
      </c>
      <c r="J609" s="31">
        <v>88.8</v>
      </c>
      <c r="M609" s="32">
        <f>ROUND(ROUND(J609, 2)*I609, 2)</f>
        <v>157847.32999999999</v>
      </c>
      <c r="P609" s="33">
        <v>88.8</v>
      </c>
      <c r="S609" s="32">
        <f>ROUND(ROUND(P609, 2)*I609, 2)</f>
        <v>157847.32999999999</v>
      </c>
      <c r="V609" s="9">
        <f>ROUND(ROUND(P609, 2)/1.2, 2)</f>
        <v>74</v>
      </c>
      <c r="Y609" s="9">
        <f t="shared" si="52"/>
        <v>131539.44</v>
      </c>
      <c r="AD609" s="4" t="s">
        <v>2232</v>
      </c>
      <c r="AE609" s="4" t="s">
        <v>2233</v>
      </c>
      <c r="AF609" s="4" t="s">
        <v>928</v>
      </c>
    </row>
    <row r="610" spans="1:35" ht="90" x14ac:dyDescent="0.35">
      <c r="A610" s="10" t="s">
        <v>2234</v>
      </c>
      <c r="B610" s="10"/>
      <c r="C610" s="28" t="s">
        <v>1268</v>
      </c>
      <c r="D610" s="12"/>
      <c r="E610" s="12" t="s">
        <v>1273</v>
      </c>
      <c r="F610" s="29" t="s">
        <v>498</v>
      </c>
      <c r="G610" s="30">
        <v>0.3</v>
      </c>
      <c r="H610" s="30"/>
      <c r="I610" s="30">
        <v>3555.12</v>
      </c>
      <c r="J610" s="31">
        <v>1622</v>
      </c>
      <c r="M610" s="32">
        <f>ROUND(ROUND(J610, 2)*I610, 2)</f>
        <v>5766404.6399999997</v>
      </c>
      <c r="P610" s="33">
        <v>1622</v>
      </c>
      <c r="S610" s="32">
        <f>ROUND(ROUND(P610, 2)*I610, 2)</f>
        <v>5766404.6399999997</v>
      </c>
      <c r="V610" s="9">
        <f>ROUND(ROUND(P610, 2)/1.2, 2)</f>
        <v>1351.67</v>
      </c>
      <c r="Y610" s="9">
        <f t="shared" si="52"/>
        <v>4805337.2</v>
      </c>
      <c r="AD610" s="4" t="s">
        <v>2235</v>
      </c>
      <c r="AE610" s="4" t="s">
        <v>2236</v>
      </c>
      <c r="AF610" s="4" t="s">
        <v>1271</v>
      </c>
    </row>
    <row r="611" spans="1:35" ht="90" x14ac:dyDescent="0.35">
      <c r="A611" s="10" t="s">
        <v>2237</v>
      </c>
      <c r="B611" s="10" t="s">
        <v>1256</v>
      </c>
      <c r="C611" s="11" t="s">
        <v>1257</v>
      </c>
      <c r="D611" s="12"/>
      <c r="E611" s="12" t="s">
        <v>1277</v>
      </c>
      <c r="F611" s="12" t="s">
        <v>63</v>
      </c>
      <c r="G611" s="13">
        <v>1</v>
      </c>
      <c r="H611" s="13"/>
      <c r="I611" s="13">
        <v>3034</v>
      </c>
      <c r="J611" s="14">
        <f>IFERROR(ROUND(SUM(M612,M613)/I611, 2),0)</f>
        <v>499.92</v>
      </c>
      <c r="K611" s="15">
        <v>428</v>
      </c>
      <c r="L611" s="14">
        <f>J611+ROUND(K611, 2)</f>
        <v>927.92000000000007</v>
      </c>
      <c r="M611" s="14">
        <f>ROUND(J611*I611, 2)</f>
        <v>1516757.28</v>
      </c>
      <c r="N611" s="14">
        <f>ROUND(I611*ROUND(K611, 2), 2)</f>
        <v>1298552</v>
      </c>
      <c r="O611" s="14">
        <f>M611+N611</f>
        <v>2815309.2800000003</v>
      </c>
      <c r="P611" s="14">
        <f>IFERROR(ROUND(SUM(S612,S613)/I611, 2),0)</f>
        <v>499.92</v>
      </c>
      <c r="Q611" s="16">
        <v>607.76</v>
      </c>
      <c r="R611" s="14">
        <f>P611+ROUND(Q611, 2)</f>
        <v>1107.68</v>
      </c>
      <c r="S611" s="14">
        <f>ROUND(P611*I611, 2)</f>
        <v>1516757.28</v>
      </c>
      <c r="T611" s="14">
        <f>ROUND(I611*ROUND(Q611, 2), 2)</f>
        <v>1843943.84</v>
      </c>
      <c r="U611" s="14">
        <f>S611+T611</f>
        <v>3360701.12</v>
      </c>
      <c r="V611" s="9">
        <f>ROUND(P611 / 1.2, 2)</f>
        <v>416.6</v>
      </c>
      <c r="W611" s="9">
        <f>ROUND(Q611 / 1.2, 2)</f>
        <v>506.47</v>
      </c>
      <c r="X611" s="9">
        <f>ROUND(R611 / 1.2, 2)</f>
        <v>923.07</v>
      </c>
      <c r="Y611" s="9">
        <f t="shared" si="52"/>
        <v>1263964.3999999999</v>
      </c>
      <c r="Z611" s="9">
        <f>ROUND(T611 / 1.2, 2)</f>
        <v>1536619.87</v>
      </c>
      <c r="AA611" s="9">
        <f>Y611+Z611</f>
        <v>2800584.27</v>
      </c>
      <c r="AD611" s="4">
        <v>295859995</v>
      </c>
      <c r="AE611" s="4">
        <v>22502083</v>
      </c>
      <c r="AG611" s="4" t="s">
        <v>1258</v>
      </c>
      <c r="AH611" s="4" t="s">
        <v>1259</v>
      </c>
      <c r="AI611" s="4" t="s">
        <v>467</v>
      </c>
    </row>
    <row r="612" spans="1:35" ht="90" x14ac:dyDescent="0.35">
      <c r="A612" s="10" t="s">
        <v>2238</v>
      </c>
      <c r="B612" s="10"/>
      <c r="C612" s="28" t="s">
        <v>1268</v>
      </c>
      <c r="D612" s="12"/>
      <c r="E612" s="12" t="s">
        <v>1282</v>
      </c>
      <c r="F612" s="29" t="s">
        <v>498</v>
      </c>
      <c r="G612" s="30">
        <v>0.3</v>
      </c>
      <c r="H612" s="30"/>
      <c r="I612" s="30">
        <v>910.2</v>
      </c>
      <c r="J612" s="31">
        <v>1622</v>
      </c>
      <c r="M612" s="32">
        <f>ROUND(ROUND(J612, 2)*I612, 2)</f>
        <v>1476344.4</v>
      </c>
      <c r="P612" s="33">
        <v>1622</v>
      </c>
      <c r="S612" s="32">
        <f>ROUND(ROUND(P612, 2)*I612, 2)</f>
        <v>1476344.4</v>
      </c>
      <c r="V612" s="9">
        <f>ROUND(ROUND(P612, 2)/1.2, 2)</f>
        <v>1351.67</v>
      </c>
      <c r="Y612" s="9">
        <f t="shared" si="52"/>
        <v>1230287</v>
      </c>
      <c r="AD612" s="4" t="s">
        <v>2239</v>
      </c>
      <c r="AE612" s="4" t="s">
        <v>2240</v>
      </c>
      <c r="AF612" s="4" t="s">
        <v>1271</v>
      </c>
    </row>
    <row r="613" spans="1:35" ht="36" x14ac:dyDescent="0.35">
      <c r="A613" s="10" t="s">
        <v>2241</v>
      </c>
      <c r="B613" s="10"/>
      <c r="C613" s="28" t="s">
        <v>925</v>
      </c>
      <c r="D613" s="12"/>
      <c r="E613" s="12"/>
      <c r="F613" s="29" t="s">
        <v>498</v>
      </c>
      <c r="G613" s="30">
        <v>0.15</v>
      </c>
      <c r="H613" s="30"/>
      <c r="I613" s="30">
        <v>455.1</v>
      </c>
      <c r="J613" s="31">
        <v>88.8</v>
      </c>
      <c r="M613" s="32">
        <f>ROUND(ROUND(J613, 2)*I613, 2)</f>
        <v>40412.879999999997</v>
      </c>
      <c r="P613" s="33">
        <v>88.8</v>
      </c>
      <c r="S613" s="32">
        <f>ROUND(ROUND(P613, 2)*I613, 2)</f>
        <v>40412.879999999997</v>
      </c>
      <c r="V613" s="9">
        <f>ROUND(ROUND(P613, 2)/1.2, 2)</f>
        <v>74</v>
      </c>
      <c r="Y613" s="9">
        <f t="shared" si="52"/>
        <v>33677.4</v>
      </c>
      <c r="AD613" s="4" t="s">
        <v>2242</v>
      </c>
      <c r="AE613" s="4" t="s">
        <v>2243</v>
      </c>
      <c r="AF613" s="4" t="s">
        <v>928</v>
      </c>
    </row>
    <row r="614" spans="1:35" ht="54" x14ac:dyDescent="0.35">
      <c r="A614" s="10" t="s">
        <v>2244</v>
      </c>
      <c r="B614" s="10" t="s">
        <v>1304</v>
      </c>
      <c r="C614" s="11" t="s">
        <v>1305</v>
      </c>
      <c r="D614" s="12"/>
      <c r="E614" s="12" t="s">
        <v>1309</v>
      </c>
      <c r="F614" s="12" t="s">
        <v>63</v>
      </c>
      <c r="G614" s="13">
        <v>1</v>
      </c>
      <c r="H614" s="13"/>
      <c r="I614" s="13">
        <v>4009.8</v>
      </c>
      <c r="J614" s="14">
        <f>IFERROR(ROUND(SUM(M615,M616,M617,M618)/I614, 2),0)</f>
        <v>1598.88</v>
      </c>
      <c r="K614" s="15">
        <v>2364</v>
      </c>
      <c r="L614" s="14">
        <f>J614+ROUND(K614, 2)</f>
        <v>3962.88</v>
      </c>
      <c r="M614" s="14">
        <f>ROUND(J614*I614, 2)</f>
        <v>6411189.0199999996</v>
      </c>
      <c r="N614" s="14">
        <f>ROUND(I614*ROUND(K614, 2), 2)</f>
        <v>9479167.1999999993</v>
      </c>
      <c r="O614" s="14">
        <f>M614+N614</f>
        <v>15890356.219999999</v>
      </c>
      <c r="P614" s="14">
        <f>IFERROR(ROUND(SUM(S615,S616,S617,S618)/I614, 2),0)</f>
        <v>1598.88</v>
      </c>
      <c r="Q614" s="16">
        <v>3356.88</v>
      </c>
      <c r="R614" s="14">
        <f>P614+ROUND(Q614, 2)</f>
        <v>4955.76</v>
      </c>
      <c r="S614" s="14">
        <f>ROUND(P614*I614, 2)</f>
        <v>6411189.0199999996</v>
      </c>
      <c r="T614" s="14">
        <f>ROUND(I614*ROUND(Q614, 2), 2)</f>
        <v>13460417.42</v>
      </c>
      <c r="U614" s="14">
        <f>S614+T614</f>
        <v>19871606.439999998</v>
      </c>
      <c r="V614" s="9">
        <f>ROUND(P614 / 1.2, 2)</f>
        <v>1332.4</v>
      </c>
      <c r="W614" s="9">
        <f>ROUND(Q614 / 1.2, 2)</f>
        <v>2797.4</v>
      </c>
      <c r="X614" s="9">
        <f>ROUND(R614 / 1.2, 2)</f>
        <v>4129.8</v>
      </c>
      <c r="Y614" s="9">
        <f t="shared" si="52"/>
        <v>5342657.5199999996</v>
      </c>
      <c r="Z614" s="9">
        <f>ROUND(T614 / 1.2, 2)</f>
        <v>11217014.52</v>
      </c>
      <c r="AA614" s="9">
        <f>Y614+Z614</f>
        <v>16559672.039999999</v>
      </c>
      <c r="AD614" s="4">
        <v>295859957</v>
      </c>
      <c r="AE614" s="4">
        <v>22502087</v>
      </c>
      <c r="AG614" s="4" t="s">
        <v>1306</v>
      </c>
      <c r="AH614" s="4" t="s">
        <v>1307</v>
      </c>
      <c r="AI614" s="4" t="s">
        <v>467</v>
      </c>
    </row>
    <row r="615" spans="1:35" ht="18" x14ac:dyDescent="0.35">
      <c r="A615" s="10" t="s">
        <v>2245</v>
      </c>
      <c r="B615" s="10"/>
      <c r="C615" s="28" t="s">
        <v>1311</v>
      </c>
      <c r="D615" s="12"/>
      <c r="E615" s="12"/>
      <c r="F615" s="29" t="s">
        <v>498</v>
      </c>
      <c r="G615" s="30">
        <v>0.25</v>
      </c>
      <c r="H615" s="49"/>
      <c r="I615" s="49">
        <v>1002.45</v>
      </c>
      <c r="J615" s="31">
        <v>40.270000000000003</v>
      </c>
      <c r="M615" s="32">
        <f>ROUND(ROUND(J615, 2)*I615, 2)</f>
        <v>40368.660000000003</v>
      </c>
      <c r="P615" s="33">
        <v>40.270000000000003</v>
      </c>
      <c r="S615" s="32">
        <f>ROUND(ROUND(P615, 2)*I615, 2)</f>
        <v>40368.660000000003</v>
      </c>
      <c r="V615" s="9">
        <f>ROUND(ROUND(P615, 2)/1.2, 2)</f>
        <v>33.56</v>
      </c>
      <c r="Y615" s="9">
        <f t="shared" si="52"/>
        <v>33640.550000000003</v>
      </c>
      <c r="AD615" s="4" t="s">
        <v>2246</v>
      </c>
      <c r="AE615" s="4" t="s">
        <v>2247</v>
      </c>
      <c r="AF615" s="4" t="s">
        <v>1314</v>
      </c>
    </row>
    <row r="616" spans="1:35" ht="36" x14ac:dyDescent="0.35">
      <c r="A616" s="10" t="s">
        <v>2248</v>
      </c>
      <c r="B616" s="10"/>
      <c r="C616" s="28" t="s">
        <v>758</v>
      </c>
      <c r="D616" s="12"/>
      <c r="E616" s="12"/>
      <c r="F616" s="29" t="s">
        <v>498</v>
      </c>
      <c r="G616" s="30">
        <v>0.15</v>
      </c>
      <c r="H616" s="30"/>
      <c r="I616" s="30">
        <v>601.47</v>
      </c>
      <c r="J616" s="31">
        <v>68.400000000000006</v>
      </c>
      <c r="M616" s="32">
        <f>ROUND(ROUND(J616, 2)*I616, 2)</f>
        <v>41140.550000000003</v>
      </c>
      <c r="P616" s="33">
        <v>68.400000000000006</v>
      </c>
      <c r="S616" s="32">
        <f>ROUND(ROUND(P616, 2)*I616, 2)</f>
        <v>41140.550000000003</v>
      </c>
      <c r="V616" s="9">
        <f>ROUND(ROUND(P616, 2)/1.2, 2)</f>
        <v>57</v>
      </c>
      <c r="Y616" s="9">
        <f t="shared" si="52"/>
        <v>34283.79</v>
      </c>
      <c r="AD616" s="4" t="s">
        <v>2249</v>
      </c>
      <c r="AE616" s="4" t="s">
        <v>2250</v>
      </c>
      <c r="AF616" s="4" t="s">
        <v>761</v>
      </c>
    </row>
    <row r="617" spans="1:35" ht="36" x14ac:dyDescent="0.35">
      <c r="A617" s="10" t="s">
        <v>2251</v>
      </c>
      <c r="B617" s="10"/>
      <c r="C617" s="47" t="s">
        <v>1108</v>
      </c>
      <c r="D617" s="12"/>
      <c r="E617" s="12"/>
      <c r="F617" s="29" t="s">
        <v>498</v>
      </c>
      <c r="G617" s="30">
        <v>1.2</v>
      </c>
      <c r="H617" s="49"/>
      <c r="I617" s="49">
        <v>24058.799999999999</v>
      </c>
      <c r="J617" s="31">
        <v>16.11</v>
      </c>
      <c r="M617" s="32">
        <f>ROUND(ROUND(J617, 2)*I617, 2)</f>
        <v>387587.27</v>
      </c>
      <c r="P617" s="33">
        <v>16.11</v>
      </c>
      <c r="S617" s="32">
        <f>ROUND(ROUND(P617, 2)*I617, 2)</f>
        <v>387587.27</v>
      </c>
      <c r="V617" s="9">
        <f>ROUND(ROUND(P617, 2)/1.2, 2)</f>
        <v>13.43</v>
      </c>
      <c r="Y617" s="9">
        <f t="shared" si="52"/>
        <v>322989.39</v>
      </c>
      <c r="AD617" s="4" t="s">
        <v>2252</v>
      </c>
      <c r="AE617" s="4" t="s">
        <v>2253</v>
      </c>
      <c r="AF617" s="4" t="s">
        <v>1111</v>
      </c>
    </row>
    <row r="618" spans="1:35" ht="72" x14ac:dyDescent="0.35">
      <c r="A618" s="10" t="s">
        <v>2254</v>
      </c>
      <c r="B618" s="10"/>
      <c r="C618" s="47" t="s">
        <v>1328</v>
      </c>
      <c r="D618" s="12"/>
      <c r="E618" s="12" t="s">
        <v>1333</v>
      </c>
      <c r="F618" s="29" t="s">
        <v>63</v>
      </c>
      <c r="G618" s="30">
        <v>1.07</v>
      </c>
      <c r="H618" s="49"/>
      <c r="I618" s="49">
        <v>4290.4859999999999</v>
      </c>
      <c r="J618" s="31">
        <v>1384.95</v>
      </c>
      <c r="M618" s="32">
        <f>ROUND(ROUND(J618, 2)*I618, 2)</f>
        <v>5942108.5899999999</v>
      </c>
      <c r="P618" s="33">
        <v>1384.95</v>
      </c>
      <c r="S618" s="32">
        <f>ROUND(ROUND(P618, 2)*I618, 2)</f>
        <v>5942108.5899999999</v>
      </c>
      <c r="V618" s="9">
        <f>ROUND(ROUND(P618, 2)/1.2, 2)</f>
        <v>1154.1300000000001</v>
      </c>
      <c r="Y618" s="9">
        <f t="shared" si="52"/>
        <v>4951757.16</v>
      </c>
      <c r="AD618" s="4" t="s">
        <v>2255</v>
      </c>
      <c r="AE618" s="4" t="s">
        <v>2256</v>
      </c>
      <c r="AF618" s="4" t="s">
        <v>1331</v>
      </c>
    </row>
    <row r="619" spans="1:35" ht="17" customHeight="1" x14ac:dyDescent="0.35">
      <c r="A619" s="10" t="s">
        <v>2257</v>
      </c>
      <c r="B619" s="10" t="s">
        <v>1349</v>
      </c>
      <c r="C619" s="174" t="s">
        <v>1350</v>
      </c>
      <c r="D619" s="175"/>
      <c r="E619" s="175"/>
      <c r="F619" s="175"/>
      <c r="G619" s="175"/>
      <c r="H619" s="175"/>
      <c r="I619" s="176"/>
      <c r="M619" s="6">
        <f>SUM(M620,M629)</f>
        <v>366557.24</v>
      </c>
      <c r="N619" s="6">
        <f>SUM(N620,N629)</f>
        <v>4135000.9</v>
      </c>
      <c r="O619" s="6">
        <f>SUM(O620,O629)</f>
        <v>4501558.1400000006</v>
      </c>
      <c r="S619" s="6">
        <f>SUM(S620,S629)</f>
        <v>366557.24</v>
      </c>
      <c r="T619" s="6">
        <f>SUM(T620,T629)</f>
        <v>5871701.2699999996</v>
      </c>
      <c r="U619" s="6">
        <f>SUM(U620,U629)</f>
        <v>6238258.5099999998</v>
      </c>
      <c r="Y619" s="9">
        <f>SUM(Y620,Y629)</f>
        <v>305464.37</v>
      </c>
      <c r="Z619" s="9">
        <f>SUM(Z620,Z629)</f>
        <v>4893084.4000000004</v>
      </c>
      <c r="AA619" s="9">
        <f>SUM(AA620,AA629)</f>
        <v>5198548.7699999996</v>
      </c>
      <c r="AD619" s="4">
        <v>295859958</v>
      </c>
      <c r="AE619" s="4">
        <v>22502019</v>
      </c>
    </row>
    <row r="620" spans="1:35" ht="17" customHeight="1" x14ac:dyDescent="0.35">
      <c r="A620" s="10" t="s">
        <v>2258</v>
      </c>
      <c r="B620" s="10" t="s">
        <v>1352</v>
      </c>
      <c r="C620" s="174" t="s">
        <v>1353</v>
      </c>
      <c r="D620" s="175"/>
      <c r="E620" s="175"/>
      <c r="F620" s="175"/>
      <c r="G620" s="175"/>
      <c r="H620" s="175"/>
      <c r="I620" s="176"/>
      <c r="M620" s="6">
        <f>SUM(M621,M626)</f>
        <v>308123.73</v>
      </c>
      <c r="N620" s="6">
        <f>SUM(N621,N626)</f>
        <v>2099479.2999999998</v>
      </c>
      <c r="O620" s="6">
        <f>SUM(O621,O626)</f>
        <v>2407603.0300000003</v>
      </c>
      <c r="S620" s="6">
        <f>SUM(S621,S626)</f>
        <v>308123.73</v>
      </c>
      <c r="T620" s="6">
        <f>SUM(T621,T626)</f>
        <v>2981260.5999999996</v>
      </c>
      <c r="U620" s="6">
        <f>SUM(U621,U626)</f>
        <v>3289384.33</v>
      </c>
      <c r="Y620" s="9">
        <f>SUM(Y621,Y626)</f>
        <v>256769.77999999997</v>
      </c>
      <c r="Z620" s="9">
        <f>SUM(Z621,Z626)</f>
        <v>2484383.84</v>
      </c>
      <c r="AA620" s="9">
        <f>SUM(AA621,AA626)</f>
        <v>2741153.62</v>
      </c>
      <c r="AD620" s="4">
        <v>295859959</v>
      </c>
      <c r="AE620" s="4">
        <v>22502039</v>
      </c>
    </row>
    <row r="621" spans="1:35" ht="72" x14ac:dyDescent="0.35">
      <c r="A621" s="10" t="s">
        <v>2259</v>
      </c>
      <c r="B621" s="10" t="s">
        <v>1355</v>
      </c>
      <c r="C621" s="11" t="s">
        <v>1356</v>
      </c>
      <c r="D621" s="12"/>
      <c r="E621" s="12" t="s">
        <v>1360</v>
      </c>
      <c r="F621" s="12" t="s">
        <v>63</v>
      </c>
      <c r="G621" s="13">
        <v>1</v>
      </c>
      <c r="H621" s="13"/>
      <c r="I621" s="13">
        <v>1500.7</v>
      </c>
      <c r="J621" s="14">
        <f>IFERROR(ROUND(SUM(M622,M623,M624,M625)/I621, 2),0)</f>
        <v>170.27</v>
      </c>
      <c r="K621" s="15">
        <v>853</v>
      </c>
      <c r="L621" s="14">
        <f>J621+ROUND(K621, 2)</f>
        <v>1023.27</v>
      </c>
      <c r="M621" s="14">
        <f>ROUND(J621*I621, 2)</f>
        <v>255524.19</v>
      </c>
      <c r="N621" s="14">
        <f>ROUND(I621*ROUND(K621, 2), 2)</f>
        <v>1280097.1000000001</v>
      </c>
      <c r="O621" s="14">
        <f>M621+N621</f>
        <v>1535621.29</v>
      </c>
      <c r="P621" s="14">
        <f>IFERROR(ROUND(SUM(S622,S623,S624,S625)/I621, 2),0)</f>
        <v>170.27</v>
      </c>
      <c r="Q621" s="16">
        <v>1211.26</v>
      </c>
      <c r="R621" s="14">
        <f>P621+ROUND(Q621, 2)</f>
        <v>1381.53</v>
      </c>
      <c r="S621" s="14">
        <f>ROUND(P621*I621, 2)</f>
        <v>255524.19</v>
      </c>
      <c r="T621" s="14">
        <f>ROUND(I621*ROUND(Q621, 2), 2)</f>
        <v>1817737.88</v>
      </c>
      <c r="U621" s="14">
        <f>S621+T621</f>
        <v>2073262.0699999998</v>
      </c>
      <c r="V621" s="9">
        <f>ROUND(P621 / 1.2, 2)</f>
        <v>141.88999999999999</v>
      </c>
      <c r="W621" s="9">
        <f>ROUND(Q621 / 1.2, 2)</f>
        <v>1009.38</v>
      </c>
      <c r="X621" s="9">
        <f>ROUND(R621 / 1.2, 2)</f>
        <v>1151.28</v>
      </c>
      <c r="Y621" s="9">
        <f>ROUND(S621 / 1.2, 2)</f>
        <v>212936.83</v>
      </c>
      <c r="Z621" s="9">
        <f>ROUND(T621 / 1.2, 2)</f>
        <v>1514781.57</v>
      </c>
      <c r="AA621" s="9">
        <f>Y621+Z621</f>
        <v>1727718.4000000001</v>
      </c>
      <c r="AD621" s="4">
        <v>295859961</v>
      </c>
      <c r="AE621" s="4">
        <v>22502073</v>
      </c>
      <c r="AG621" s="4" t="s">
        <v>1357</v>
      </c>
      <c r="AH621" s="4" t="s">
        <v>1358</v>
      </c>
      <c r="AI621" s="4" t="s">
        <v>467</v>
      </c>
    </row>
    <row r="622" spans="1:35" ht="18" x14ac:dyDescent="0.35">
      <c r="A622" s="10" t="s">
        <v>2260</v>
      </c>
      <c r="B622" s="10"/>
      <c r="C622" s="28" t="s">
        <v>1196</v>
      </c>
      <c r="D622" s="12"/>
      <c r="E622" s="12"/>
      <c r="F622" s="29" t="s">
        <v>498</v>
      </c>
      <c r="G622" s="30">
        <v>1.3</v>
      </c>
      <c r="H622" s="49"/>
      <c r="I622" s="49">
        <v>19509.099999999999</v>
      </c>
      <c r="J622" s="31">
        <v>8.6</v>
      </c>
      <c r="M622" s="32">
        <f>ROUND(ROUND(J622, 2)*I622, 2)</f>
        <v>167778.26</v>
      </c>
      <c r="P622" s="33">
        <v>8.6</v>
      </c>
      <c r="S622" s="32">
        <f>ROUND(ROUND(P622, 2)*I622, 2)</f>
        <v>167778.26</v>
      </c>
      <c r="V622" s="9">
        <f>ROUND(ROUND(P622, 2)/1.2, 2)</f>
        <v>7.17</v>
      </c>
      <c r="Y622" s="9">
        <f t="shared" ref="Y622:Y628" si="53">ROUND(S622 / 1.2, 2)</f>
        <v>139815.22</v>
      </c>
      <c r="AD622" s="4" t="s">
        <v>2261</v>
      </c>
      <c r="AE622" s="4" t="s">
        <v>2262</v>
      </c>
      <c r="AF622" s="4" t="s">
        <v>1199</v>
      </c>
    </row>
    <row r="623" spans="1:35" ht="18" x14ac:dyDescent="0.35">
      <c r="A623" s="10" t="s">
        <v>2263</v>
      </c>
      <c r="B623" s="10"/>
      <c r="C623" s="28" t="s">
        <v>1203</v>
      </c>
      <c r="D623" s="12"/>
      <c r="E623" s="12"/>
      <c r="F623" s="29" t="s">
        <v>63</v>
      </c>
      <c r="G623" s="30">
        <v>1.1000000000000001</v>
      </c>
      <c r="H623" s="49"/>
      <c r="I623" s="49">
        <v>1650.77</v>
      </c>
      <c r="J623" s="31">
        <v>26</v>
      </c>
      <c r="M623" s="32">
        <f>ROUND(ROUND(J623, 2)*I623, 2)</f>
        <v>42920.02</v>
      </c>
      <c r="P623" s="33">
        <v>26</v>
      </c>
      <c r="S623" s="32">
        <f>ROUND(ROUND(P623, 2)*I623, 2)</f>
        <v>42920.02</v>
      </c>
      <c r="V623" s="9">
        <f>ROUND(ROUND(P623, 2)/1.2, 2)</f>
        <v>21.67</v>
      </c>
      <c r="Y623" s="9">
        <f t="shared" si="53"/>
        <v>35766.68</v>
      </c>
      <c r="AD623" s="4" t="s">
        <v>2264</v>
      </c>
      <c r="AE623" s="4" t="s">
        <v>2265</v>
      </c>
      <c r="AF623" s="4" t="s">
        <v>1206</v>
      </c>
    </row>
    <row r="624" spans="1:35" ht="18" x14ac:dyDescent="0.35">
      <c r="A624" s="10" t="s">
        <v>2266</v>
      </c>
      <c r="B624" s="10"/>
      <c r="C624" s="28" t="s">
        <v>1210</v>
      </c>
      <c r="D624" s="12"/>
      <c r="E624" s="12"/>
      <c r="F624" s="29" t="s">
        <v>78</v>
      </c>
      <c r="G624" s="30">
        <v>1.05</v>
      </c>
      <c r="H624" s="49"/>
      <c r="I624" s="49">
        <v>1575.7349999999999</v>
      </c>
      <c r="J624" s="31">
        <v>15.76</v>
      </c>
      <c r="M624" s="32">
        <f>ROUND(ROUND(J624, 2)*I624, 2)</f>
        <v>24833.58</v>
      </c>
      <c r="P624" s="33">
        <v>15.76</v>
      </c>
      <c r="S624" s="32">
        <f>ROUND(ROUND(P624, 2)*I624, 2)</f>
        <v>24833.58</v>
      </c>
      <c r="V624" s="9">
        <f>ROUND(ROUND(P624, 2)/1.2, 2)</f>
        <v>13.13</v>
      </c>
      <c r="Y624" s="9">
        <f t="shared" si="53"/>
        <v>20694.650000000001</v>
      </c>
      <c r="AD624" s="4" t="s">
        <v>2267</v>
      </c>
      <c r="AE624" s="4" t="s">
        <v>2268</v>
      </c>
      <c r="AF624" s="4" t="s">
        <v>1213</v>
      </c>
    </row>
    <row r="625" spans="1:35" ht="36" x14ac:dyDescent="0.35">
      <c r="A625" s="10" t="s">
        <v>2269</v>
      </c>
      <c r="B625" s="10"/>
      <c r="C625" s="28" t="s">
        <v>544</v>
      </c>
      <c r="D625" s="12"/>
      <c r="E625" s="12"/>
      <c r="F625" s="29" t="s">
        <v>498</v>
      </c>
      <c r="G625" s="30">
        <v>0.15</v>
      </c>
      <c r="H625" s="30"/>
      <c r="I625" s="30">
        <v>225.10499999999999</v>
      </c>
      <c r="J625" s="31">
        <v>88.8</v>
      </c>
      <c r="M625" s="32">
        <f>ROUND(ROUND(J625, 2)*I625, 2)</f>
        <v>19989.32</v>
      </c>
      <c r="P625" s="33">
        <v>88.8</v>
      </c>
      <c r="S625" s="32">
        <f>ROUND(ROUND(P625, 2)*I625, 2)</f>
        <v>19989.32</v>
      </c>
      <c r="V625" s="9">
        <f>ROUND(ROUND(P625, 2)/1.2, 2)</f>
        <v>74</v>
      </c>
      <c r="Y625" s="9">
        <f t="shared" si="53"/>
        <v>16657.77</v>
      </c>
      <c r="AD625" s="4" t="s">
        <v>2270</v>
      </c>
      <c r="AE625" s="4" t="s">
        <v>2271</v>
      </c>
      <c r="AF625" s="4" t="s">
        <v>547</v>
      </c>
    </row>
    <row r="626" spans="1:35" ht="36" x14ac:dyDescent="0.35">
      <c r="A626" s="10" t="s">
        <v>2272</v>
      </c>
      <c r="B626" s="10" t="s">
        <v>1395</v>
      </c>
      <c r="C626" s="11" t="s">
        <v>1396</v>
      </c>
      <c r="D626" s="12"/>
      <c r="E626" s="12" t="s">
        <v>1360</v>
      </c>
      <c r="F626" s="12" t="s">
        <v>63</v>
      </c>
      <c r="G626" s="13">
        <v>1</v>
      </c>
      <c r="H626" s="13"/>
      <c r="I626" s="13">
        <v>1500.7</v>
      </c>
      <c r="J626" s="14">
        <f>IFERROR(ROUND(SUM(M627,M628)/I626, 2),0)</f>
        <v>35.049999999999997</v>
      </c>
      <c r="K626" s="15">
        <v>546</v>
      </c>
      <c r="L626" s="14">
        <f>J626+ROUND(K626, 2)</f>
        <v>581.04999999999995</v>
      </c>
      <c r="M626" s="14">
        <f>ROUND(J626*I626, 2)</f>
        <v>52599.54</v>
      </c>
      <c r="N626" s="14">
        <f>ROUND(I626*ROUND(K626, 2), 2)</f>
        <v>819382.2</v>
      </c>
      <c r="O626" s="14">
        <f>M626+N626</f>
        <v>871981.74</v>
      </c>
      <c r="P626" s="14">
        <f>IFERROR(ROUND(SUM(S627,S628)/I626, 2),0)</f>
        <v>35.049999999999997</v>
      </c>
      <c r="Q626" s="16">
        <v>775.32</v>
      </c>
      <c r="R626" s="14">
        <f>P626+ROUND(Q626, 2)</f>
        <v>810.37</v>
      </c>
      <c r="S626" s="14">
        <f>ROUND(P626*I626, 2)</f>
        <v>52599.54</v>
      </c>
      <c r="T626" s="14">
        <f>ROUND(I626*ROUND(Q626, 2), 2)</f>
        <v>1163522.72</v>
      </c>
      <c r="U626" s="14">
        <f>S626+T626</f>
        <v>1216122.26</v>
      </c>
      <c r="V626" s="9">
        <f>ROUND(P626 / 1.2, 2)</f>
        <v>29.21</v>
      </c>
      <c r="W626" s="9">
        <f>ROUND(Q626 / 1.2, 2)</f>
        <v>646.1</v>
      </c>
      <c r="X626" s="9">
        <f>ROUND(R626 / 1.2, 2)</f>
        <v>675.31</v>
      </c>
      <c r="Y626" s="9">
        <f t="shared" si="53"/>
        <v>43832.95</v>
      </c>
      <c r="Z626" s="9">
        <f>ROUND(T626 / 1.2, 2)</f>
        <v>969602.27</v>
      </c>
      <c r="AA626" s="9">
        <f>Y626+Z626</f>
        <v>1013435.22</v>
      </c>
      <c r="AD626" s="4">
        <v>295859963</v>
      </c>
      <c r="AE626" s="4">
        <v>22502072</v>
      </c>
      <c r="AG626" s="4" t="s">
        <v>1397</v>
      </c>
      <c r="AH626" s="4" t="s">
        <v>1398</v>
      </c>
      <c r="AI626" s="4" t="s">
        <v>467</v>
      </c>
    </row>
    <row r="627" spans="1:35" ht="54" x14ac:dyDescent="0.35">
      <c r="A627" s="10" t="s">
        <v>2273</v>
      </c>
      <c r="B627" s="10"/>
      <c r="C627" s="47" t="s">
        <v>1401</v>
      </c>
      <c r="D627" s="12"/>
      <c r="E627" s="12"/>
      <c r="F627" s="29" t="s">
        <v>498</v>
      </c>
      <c r="G627" s="30">
        <v>1.8</v>
      </c>
      <c r="H627" s="30"/>
      <c r="I627" s="30">
        <v>2701.26</v>
      </c>
      <c r="J627" s="31">
        <v>12.07</v>
      </c>
      <c r="M627" s="32">
        <f>ROUND(ROUND(J627, 2)*I627, 2)</f>
        <v>32604.21</v>
      </c>
      <c r="P627" s="33">
        <v>12.07</v>
      </c>
      <c r="S627" s="32">
        <f>ROUND(ROUND(P627, 2)*I627, 2)</f>
        <v>32604.21</v>
      </c>
      <c r="V627" s="9">
        <f>ROUND(ROUND(P627, 2)/1.2, 2)</f>
        <v>10.06</v>
      </c>
      <c r="Y627" s="9">
        <f t="shared" si="53"/>
        <v>27170.18</v>
      </c>
      <c r="AD627" s="4" t="s">
        <v>2274</v>
      </c>
      <c r="AE627" s="4" t="s">
        <v>2275</v>
      </c>
      <c r="AF627" s="4" t="s">
        <v>1404</v>
      </c>
    </row>
    <row r="628" spans="1:35" ht="36" x14ac:dyDescent="0.35">
      <c r="A628" s="10" t="s">
        <v>2276</v>
      </c>
      <c r="B628" s="10"/>
      <c r="C628" s="28" t="s">
        <v>544</v>
      </c>
      <c r="D628" s="12"/>
      <c r="E628" s="12"/>
      <c r="F628" s="29" t="s">
        <v>498</v>
      </c>
      <c r="G628" s="30">
        <v>0.15</v>
      </c>
      <c r="H628" s="30"/>
      <c r="I628" s="30">
        <v>225.10499999999999</v>
      </c>
      <c r="J628" s="31">
        <v>88.8</v>
      </c>
      <c r="M628" s="32">
        <f>ROUND(ROUND(J628, 2)*I628, 2)</f>
        <v>19989.32</v>
      </c>
      <c r="P628" s="33">
        <v>88.8</v>
      </c>
      <c r="S628" s="32">
        <f>ROUND(ROUND(P628, 2)*I628, 2)</f>
        <v>19989.32</v>
      </c>
      <c r="V628" s="9">
        <f>ROUND(ROUND(P628, 2)/1.2, 2)</f>
        <v>74</v>
      </c>
      <c r="Y628" s="9">
        <f t="shared" si="53"/>
        <v>16657.77</v>
      </c>
      <c r="AD628" s="4" t="s">
        <v>2277</v>
      </c>
      <c r="AE628" s="4" t="s">
        <v>2278</v>
      </c>
      <c r="AF628" s="4" t="s">
        <v>547</v>
      </c>
    </row>
    <row r="629" spans="1:35" ht="17" customHeight="1" x14ac:dyDescent="0.35">
      <c r="A629" s="10" t="s">
        <v>2279</v>
      </c>
      <c r="B629" s="10" t="s">
        <v>1420</v>
      </c>
      <c r="C629" s="174" t="s">
        <v>1421</v>
      </c>
      <c r="D629" s="175"/>
      <c r="E629" s="175"/>
      <c r="F629" s="175"/>
      <c r="G629" s="175"/>
      <c r="H629" s="175"/>
      <c r="I629" s="176"/>
      <c r="M629" s="6">
        <f>SUM(M630,M633,M636,M639)</f>
        <v>58433.51</v>
      </c>
      <c r="N629" s="6">
        <f>SUM(N630,N633,N636,N639)</f>
        <v>2035521.6</v>
      </c>
      <c r="O629" s="6">
        <f>SUM(O630,O633,O636,O639)</f>
        <v>2093955.1099999999</v>
      </c>
      <c r="S629" s="6">
        <f>SUM(S630,S633,S636,S639)</f>
        <v>58433.51</v>
      </c>
      <c r="T629" s="6">
        <f>SUM(T630,T633,T636,T639)</f>
        <v>2890440.67</v>
      </c>
      <c r="U629" s="6">
        <f>SUM(U630,U633,U636,U639)</f>
        <v>2948874.18</v>
      </c>
      <c r="Y629" s="9">
        <f>SUM(Y630,Y633,Y636,Y639)</f>
        <v>48694.59</v>
      </c>
      <c r="Z629" s="9">
        <f>SUM(Z630,Z633,Z636,Z639)</f>
        <v>2408700.56</v>
      </c>
      <c r="AA629" s="9">
        <f>SUM(AA630,AA633,AA636,AA639)</f>
        <v>2457395.15</v>
      </c>
      <c r="AD629" s="4">
        <v>295859964</v>
      </c>
      <c r="AE629" s="4">
        <v>22502044</v>
      </c>
    </row>
    <row r="630" spans="1:35" ht="36" x14ac:dyDescent="0.35">
      <c r="A630" s="10" t="s">
        <v>2280</v>
      </c>
      <c r="B630" s="10" t="s">
        <v>1423</v>
      </c>
      <c r="C630" s="11" t="s">
        <v>1424</v>
      </c>
      <c r="D630" s="12"/>
      <c r="E630" s="12" t="s">
        <v>1428</v>
      </c>
      <c r="F630" s="12" t="s">
        <v>63</v>
      </c>
      <c r="G630" s="13">
        <v>1</v>
      </c>
      <c r="H630" s="13"/>
      <c r="I630" s="13">
        <v>2326.3000000000002</v>
      </c>
      <c r="J630" s="14">
        <f>IFERROR(ROUND(SUM(M631,M632)/I630, 2),0)</f>
        <v>13.32</v>
      </c>
      <c r="K630" s="15">
        <v>464</v>
      </c>
      <c r="L630" s="14">
        <f>J630+ROUND(K630, 2)</f>
        <v>477.32</v>
      </c>
      <c r="M630" s="14">
        <f>ROUND(J630*I630, 2)</f>
        <v>30986.32</v>
      </c>
      <c r="N630" s="14">
        <f>ROUND(I630*ROUND(K630, 2), 2)</f>
        <v>1079403.2</v>
      </c>
      <c r="O630" s="14">
        <f>M630+N630</f>
        <v>1110389.52</v>
      </c>
      <c r="P630" s="14">
        <f>IFERROR(ROUND(SUM(S631,S632)/I630, 2),0)</f>
        <v>13.32</v>
      </c>
      <c r="Q630" s="16">
        <v>658.88</v>
      </c>
      <c r="R630" s="14">
        <f>P630+ROUND(Q630, 2)</f>
        <v>672.2</v>
      </c>
      <c r="S630" s="14">
        <f>ROUND(P630*I630, 2)</f>
        <v>30986.32</v>
      </c>
      <c r="T630" s="14">
        <f>ROUND(I630*ROUND(Q630, 2), 2)</f>
        <v>1532752.54</v>
      </c>
      <c r="U630" s="14">
        <f>S630+T630</f>
        <v>1563738.86</v>
      </c>
      <c r="V630" s="9">
        <f>ROUND(P630 / 1.2, 2)</f>
        <v>11.1</v>
      </c>
      <c r="W630" s="9">
        <f>ROUND(Q630 / 1.2, 2)</f>
        <v>549.07000000000005</v>
      </c>
      <c r="X630" s="9">
        <f>ROUND(R630 / 1.2, 2)</f>
        <v>560.16999999999996</v>
      </c>
      <c r="Y630" s="9">
        <f>ROUND(S630 / 1.2, 2)</f>
        <v>25821.93</v>
      </c>
      <c r="Z630" s="9">
        <f>ROUND(T630 / 1.2, 2)</f>
        <v>1277293.78</v>
      </c>
      <c r="AA630" s="9">
        <f>Y630+Z630</f>
        <v>1303115.71</v>
      </c>
      <c r="AD630" s="4">
        <v>295859966</v>
      </c>
      <c r="AE630" s="4">
        <v>22502067</v>
      </c>
      <c r="AG630" s="4" t="s">
        <v>1425</v>
      </c>
      <c r="AH630" s="4" t="s">
        <v>1426</v>
      </c>
      <c r="AI630" s="4" t="s">
        <v>467</v>
      </c>
    </row>
    <row r="631" spans="1:35" ht="162" x14ac:dyDescent="0.35">
      <c r="A631" s="10" t="s">
        <v>2281</v>
      </c>
      <c r="B631" s="10"/>
      <c r="C631" s="28" t="s">
        <v>1430</v>
      </c>
      <c r="D631" s="12"/>
      <c r="E631" s="12" t="s">
        <v>1435</v>
      </c>
      <c r="F631" s="29" t="s">
        <v>498</v>
      </c>
      <c r="G631" s="30">
        <v>0.4</v>
      </c>
      <c r="H631" s="30"/>
      <c r="I631" s="30">
        <v>930.52</v>
      </c>
      <c r="J631" s="31">
        <v>0</v>
      </c>
      <c r="M631" s="32">
        <f>ROUND(ROUND(J631, 2)*I631, 2)</f>
        <v>0</v>
      </c>
      <c r="P631" s="33">
        <v>0</v>
      </c>
      <c r="S631" s="32">
        <f>ROUND(ROUND(P631, 2)*I631, 2)</f>
        <v>0</v>
      </c>
      <c r="V631" s="9">
        <f>ROUND(ROUND(P631, 2)/1.2, 2)</f>
        <v>0</v>
      </c>
      <c r="Y631" s="9">
        <f t="shared" ref="Y631:Y641" si="54">ROUND(S631 / 1.2, 2)</f>
        <v>0</v>
      </c>
      <c r="AD631" s="4" t="s">
        <v>2282</v>
      </c>
      <c r="AE631" s="4" t="s">
        <v>2283</v>
      </c>
      <c r="AF631" s="4" t="s">
        <v>1433</v>
      </c>
    </row>
    <row r="632" spans="1:35" ht="36" x14ac:dyDescent="0.35">
      <c r="A632" s="10" t="s">
        <v>2284</v>
      </c>
      <c r="B632" s="10"/>
      <c r="C632" s="28" t="s">
        <v>925</v>
      </c>
      <c r="D632" s="12"/>
      <c r="E632" s="12"/>
      <c r="F632" s="29" t="s">
        <v>498</v>
      </c>
      <c r="G632" s="30">
        <v>0.15</v>
      </c>
      <c r="H632" s="30"/>
      <c r="I632" s="30">
        <v>348.94499999999999</v>
      </c>
      <c r="J632" s="31">
        <v>88.8</v>
      </c>
      <c r="M632" s="32">
        <f>ROUND(ROUND(J632, 2)*I632, 2)</f>
        <v>30986.32</v>
      </c>
      <c r="P632" s="33">
        <v>88.8</v>
      </c>
      <c r="S632" s="32">
        <f>ROUND(ROUND(P632, 2)*I632, 2)</f>
        <v>30986.32</v>
      </c>
      <c r="V632" s="9">
        <f>ROUND(ROUND(P632, 2)/1.2, 2)</f>
        <v>74</v>
      </c>
      <c r="Y632" s="9">
        <f t="shared" si="54"/>
        <v>25821.93</v>
      </c>
      <c r="AD632" s="4" t="s">
        <v>2285</v>
      </c>
      <c r="AE632" s="4" t="s">
        <v>2286</v>
      </c>
      <c r="AF632" s="4" t="s">
        <v>928</v>
      </c>
    </row>
    <row r="633" spans="1:35" ht="36" x14ac:dyDescent="0.35">
      <c r="A633" s="10" t="s">
        <v>2287</v>
      </c>
      <c r="B633" s="10" t="s">
        <v>1423</v>
      </c>
      <c r="C633" s="11" t="s">
        <v>1424</v>
      </c>
      <c r="D633" s="12"/>
      <c r="E633" s="12" t="s">
        <v>1472</v>
      </c>
      <c r="F633" s="12" t="s">
        <v>63</v>
      </c>
      <c r="G633" s="13">
        <v>1</v>
      </c>
      <c r="H633" s="13"/>
      <c r="I633" s="13">
        <v>932.2</v>
      </c>
      <c r="J633" s="14">
        <f>IFERROR(ROUND(SUM(M634,M635)/I633, 2),0)</f>
        <v>13.32</v>
      </c>
      <c r="K633" s="15">
        <v>464</v>
      </c>
      <c r="L633" s="14">
        <f>J633+ROUND(K633, 2)</f>
        <v>477.32</v>
      </c>
      <c r="M633" s="14">
        <f>ROUND(J633*I633, 2)</f>
        <v>12416.9</v>
      </c>
      <c r="N633" s="14">
        <f>ROUND(I633*ROUND(K633, 2), 2)</f>
        <v>432540.8</v>
      </c>
      <c r="O633" s="14">
        <f>M633+N633</f>
        <v>444957.7</v>
      </c>
      <c r="P633" s="14">
        <f>IFERROR(ROUND(SUM(S634,S635)/I633, 2),0)</f>
        <v>13.32</v>
      </c>
      <c r="Q633" s="16">
        <v>658.88</v>
      </c>
      <c r="R633" s="14">
        <f>P633+ROUND(Q633, 2)</f>
        <v>672.2</v>
      </c>
      <c r="S633" s="14">
        <f>ROUND(P633*I633, 2)</f>
        <v>12416.9</v>
      </c>
      <c r="T633" s="14">
        <f>ROUND(I633*ROUND(Q633, 2), 2)</f>
        <v>614207.93999999994</v>
      </c>
      <c r="U633" s="14">
        <f>S633+T633</f>
        <v>626624.84</v>
      </c>
      <c r="V633" s="9">
        <f>ROUND(P633 / 1.2, 2)</f>
        <v>11.1</v>
      </c>
      <c r="W633" s="9">
        <f>ROUND(Q633 / 1.2, 2)</f>
        <v>549.07000000000005</v>
      </c>
      <c r="X633" s="9">
        <f>ROUND(R633 / 1.2, 2)</f>
        <v>560.16999999999996</v>
      </c>
      <c r="Y633" s="9">
        <f t="shared" si="54"/>
        <v>10347.42</v>
      </c>
      <c r="Z633" s="9">
        <f>ROUND(T633 / 1.2, 2)</f>
        <v>511839.95</v>
      </c>
      <c r="AA633" s="9">
        <f>Y633+Z633</f>
        <v>522187.37</v>
      </c>
      <c r="AD633" s="4">
        <v>295859996</v>
      </c>
      <c r="AE633" s="4">
        <v>22502075</v>
      </c>
      <c r="AG633" s="4" t="s">
        <v>1425</v>
      </c>
      <c r="AH633" s="4" t="s">
        <v>1426</v>
      </c>
      <c r="AI633" s="4" t="s">
        <v>467</v>
      </c>
    </row>
    <row r="634" spans="1:35" ht="36" x14ac:dyDescent="0.35">
      <c r="A634" s="10" t="s">
        <v>2288</v>
      </c>
      <c r="B634" s="10"/>
      <c r="C634" s="28" t="s">
        <v>925</v>
      </c>
      <c r="D634" s="12"/>
      <c r="E634" s="12"/>
      <c r="F634" s="29" t="s">
        <v>498</v>
      </c>
      <c r="G634" s="30">
        <v>0.15</v>
      </c>
      <c r="H634" s="30"/>
      <c r="I634" s="30">
        <v>139.83000000000001</v>
      </c>
      <c r="J634" s="31">
        <v>88.8</v>
      </c>
      <c r="M634" s="32">
        <f>ROUND(ROUND(J634, 2)*I634, 2)</f>
        <v>12416.9</v>
      </c>
      <c r="P634" s="33">
        <v>88.8</v>
      </c>
      <c r="S634" s="32">
        <f>ROUND(ROUND(P634, 2)*I634, 2)</f>
        <v>12416.9</v>
      </c>
      <c r="V634" s="9">
        <f>ROUND(ROUND(P634, 2)/1.2, 2)</f>
        <v>74</v>
      </c>
      <c r="Y634" s="9">
        <f t="shared" si="54"/>
        <v>10347.42</v>
      </c>
      <c r="AD634" s="4" t="s">
        <v>2289</v>
      </c>
      <c r="AE634" s="4" t="s">
        <v>2290</v>
      </c>
      <c r="AF634" s="4" t="s">
        <v>928</v>
      </c>
    </row>
    <row r="635" spans="1:35" ht="72" x14ac:dyDescent="0.35">
      <c r="A635" s="10" t="s">
        <v>2291</v>
      </c>
      <c r="B635" s="10"/>
      <c r="C635" s="28" t="s">
        <v>1430</v>
      </c>
      <c r="D635" s="12"/>
      <c r="E635" s="12" t="s">
        <v>1482</v>
      </c>
      <c r="F635" s="29" t="s">
        <v>498</v>
      </c>
      <c r="G635" s="30">
        <v>0.4</v>
      </c>
      <c r="H635" s="30"/>
      <c r="I635" s="30">
        <v>372.88</v>
      </c>
      <c r="J635" s="31">
        <v>0</v>
      </c>
      <c r="M635" s="32">
        <f>ROUND(ROUND(J635, 2)*I635, 2)</f>
        <v>0</v>
      </c>
      <c r="P635" s="33">
        <v>0</v>
      </c>
      <c r="S635" s="32">
        <f>ROUND(ROUND(P635, 2)*I635, 2)</f>
        <v>0</v>
      </c>
      <c r="V635" s="9">
        <f>ROUND(ROUND(P635, 2)/1.2, 2)</f>
        <v>0</v>
      </c>
      <c r="Y635" s="9">
        <f t="shared" si="54"/>
        <v>0</v>
      </c>
      <c r="AD635" s="4" t="s">
        <v>2292</v>
      </c>
      <c r="AE635" s="4" t="s">
        <v>2293</v>
      </c>
      <c r="AF635" s="4" t="s">
        <v>1433</v>
      </c>
    </row>
    <row r="636" spans="1:35" ht="36" x14ac:dyDescent="0.35">
      <c r="A636" s="10" t="s">
        <v>2294</v>
      </c>
      <c r="B636" s="10" t="s">
        <v>1423</v>
      </c>
      <c r="C636" s="11" t="s">
        <v>1424</v>
      </c>
      <c r="D636" s="12"/>
      <c r="E636" s="12" t="s">
        <v>1458</v>
      </c>
      <c r="F636" s="12" t="s">
        <v>63</v>
      </c>
      <c r="G636" s="13">
        <v>1</v>
      </c>
      <c r="H636" s="13"/>
      <c r="I636" s="13">
        <v>568.5</v>
      </c>
      <c r="J636" s="14">
        <f>IFERROR(ROUND(SUM(M637,M638)/I636, 2),0)</f>
        <v>13.32</v>
      </c>
      <c r="K636" s="15">
        <v>464</v>
      </c>
      <c r="L636" s="14">
        <f>J636+ROUND(K636, 2)</f>
        <v>477.32</v>
      </c>
      <c r="M636" s="14">
        <f>ROUND(J636*I636, 2)</f>
        <v>7572.42</v>
      </c>
      <c r="N636" s="14">
        <f>ROUND(I636*ROUND(K636, 2), 2)</f>
        <v>263784</v>
      </c>
      <c r="O636" s="14">
        <f>M636+N636</f>
        <v>271356.42</v>
      </c>
      <c r="P636" s="14">
        <f>IFERROR(ROUND(SUM(S637,S638)/I636, 2),0)</f>
        <v>13.32</v>
      </c>
      <c r="Q636" s="16">
        <v>658.88</v>
      </c>
      <c r="R636" s="14">
        <f>P636+ROUND(Q636, 2)</f>
        <v>672.2</v>
      </c>
      <c r="S636" s="14">
        <f>ROUND(P636*I636, 2)</f>
        <v>7572.42</v>
      </c>
      <c r="T636" s="14">
        <f>ROUND(I636*ROUND(Q636, 2), 2)</f>
        <v>374573.28</v>
      </c>
      <c r="U636" s="14">
        <f>S636+T636</f>
        <v>382145.7</v>
      </c>
      <c r="V636" s="9">
        <f>ROUND(P636 / 1.2, 2)</f>
        <v>11.1</v>
      </c>
      <c r="W636" s="9">
        <f>ROUND(Q636 / 1.2, 2)</f>
        <v>549.07000000000005</v>
      </c>
      <c r="X636" s="9">
        <f>ROUND(R636 / 1.2, 2)</f>
        <v>560.16999999999996</v>
      </c>
      <c r="Y636" s="9">
        <f t="shared" si="54"/>
        <v>6310.35</v>
      </c>
      <c r="Z636" s="9">
        <f>ROUND(T636 / 1.2, 2)</f>
        <v>312144.40000000002</v>
      </c>
      <c r="AA636" s="9">
        <f>Y636+Z636</f>
        <v>318454.75</v>
      </c>
      <c r="AD636" s="4">
        <v>295859997</v>
      </c>
      <c r="AE636" s="4">
        <v>22502074</v>
      </c>
      <c r="AG636" s="4" t="s">
        <v>1425</v>
      </c>
      <c r="AH636" s="4" t="s">
        <v>1426</v>
      </c>
      <c r="AI636" s="4" t="s">
        <v>467</v>
      </c>
    </row>
    <row r="637" spans="1:35" ht="72" x14ac:dyDescent="0.35">
      <c r="A637" s="10" t="s">
        <v>2295</v>
      </c>
      <c r="B637" s="10"/>
      <c r="C637" s="28" t="s">
        <v>1430</v>
      </c>
      <c r="D637" s="12"/>
      <c r="E637" s="12" t="s">
        <v>1463</v>
      </c>
      <c r="F637" s="29" t="s">
        <v>498</v>
      </c>
      <c r="G637" s="30">
        <v>0.4</v>
      </c>
      <c r="H637" s="30"/>
      <c r="I637" s="30">
        <v>227.4</v>
      </c>
      <c r="J637" s="31">
        <v>0</v>
      </c>
      <c r="M637" s="32">
        <f>ROUND(ROUND(J637, 2)*I637, 2)</f>
        <v>0</v>
      </c>
      <c r="P637" s="33">
        <v>0</v>
      </c>
      <c r="S637" s="32">
        <f>ROUND(ROUND(P637, 2)*I637, 2)</f>
        <v>0</v>
      </c>
      <c r="V637" s="9">
        <f>ROUND(ROUND(P637, 2)/1.2, 2)</f>
        <v>0</v>
      </c>
      <c r="Y637" s="9">
        <f t="shared" si="54"/>
        <v>0</v>
      </c>
      <c r="AD637" s="4" t="s">
        <v>2296</v>
      </c>
      <c r="AE637" s="4" t="s">
        <v>2297</v>
      </c>
      <c r="AF637" s="4" t="s">
        <v>1433</v>
      </c>
    </row>
    <row r="638" spans="1:35" ht="36" x14ac:dyDescent="0.35">
      <c r="A638" s="10" t="s">
        <v>2298</v>
      </c>
      <c r="B638" s="10"/>
      <c r="C638" s="28" t="s">
        <v>925</v>
      </c>
      <c r="D638" s="12"/>
      <c r="E638" s="12"/>
      <c r="F638" s="29" t="s">
        <v>498</v>
      </c>
      <c r="G638" s="30">
        <v>0.15</v>
      </c>
      <c r="H638" s="30"/>
      <c r="I638" s="30">
        <v>85.275000000000006</v>
      </c>
      <c r="J638" s="31">
        <v>88.8</v>
      </c>
      <c r="M638" s="32">
        <f>ROUND(ROUND(J638, 2)*I638, 2)</f>
        <v>7572.42</v>
      </c>
      <c r="P638" s="33">
        <v>88.8</v>
      </c>
      <c r="S638" s="32">
        <f>ROUND(ROUND(P638, 2)*I638, 2)</f>
        <v>7572.42</v>
      </c>
      <c r="V638" s="9">
        <f>ROUND(ROUND(P638, 2)/1.2, 2)</f>
        <v>74</v>
      </c>
      <c r="Y638" s="9">
        <f t="shared" si="54"/>
        <v>6310.35</v>
      </c>
      <c r="AD638" s="4" t="s">
        <v>2299</v>
      </c>
      <c r="AE638" s="4" t="s">
        <v>2300</v>
      </c>
      <c r="AF638" s="4" t="s">
        <v>928</v>
      </c>
    </row>
    <row r="639" spans="1:35" ht="36" x14ac:dyDescent="0.35">
      <c r="A639" s="10" t="s">
        <v>2301</v>
      </c>
      <c r="B639" s="10" t="s">
        <v>1423</v>
      </c>
      <c r="C639" s="11" t="s">
        <v>1424</v>
      </c>
      <c r="D639" s="12"/>
      <c r="E639" s="12" t="s">
        <v>1444</v>
      </c>
      <c r="F639" s="12" t="s">
        <v>63</v>
      </c>
      <c r="G639" s="13">
        <v>1</v>
      </c>
      <c r="H639" s="13"/>
      <c r="I639" s="13">
        <v>559.9</v>
      </c>
      <c r="J639" s="14">
        <f>IFERROR(ROUND(SUM(M640,M641)/I639, 2),0)</f>
        <v>13.32</v>
      </c>
      <c r="K639" s="15">
        <v>464</v>
      </c>
      <c r="L639" s="14">
        <f>J639+ROUND(K639, 2)</f>
        <v>477.32</v>
      </c>
      <c r="M639" s="14">
        <f>ROUND(J639*I639, 2)</f>
        <v>7457.87</v>
      </c>
      <c r="N639" s="14">
        <f>ROUND(I639*ROUND(K639, 2), 2)</f>
        <v>259793.6</v>
      </c>
      <c r="O639" s="14">
        <f>M639+N639</f>
        <v>267251.47000000003</v>
      </c>
      <c r="P639" s="14">
        <f>IFERROR(ROUND(SUM(S640,S641)/I639, 2),0)</f>
        <v>13.32</v>
      </c>
      <c r="Q639" s="16">
        <v>658.88</v>
      </c>
      <c r="R639" s="14">
        <f>P639+ROUND(Q639, 2)</f>
        <v>672.2</v>
      </c>
      <c r="S639" s="14">
        <f>ROUND(P639*I639, 2)</f>
        <v>7457.87</v>
      </c>
      <c r="T639" s="14">
        <f>ROUND(I639*ROUND(Q639, 2), 2)</f>
        <v>368906.91</v>
      </c>
      <c r="U639" s="14">
        <f>S639+T639</f>
        <v>376364.77999999997</v>
      </c>
      <c r="V639" s="9">
        <f>ROUND(P639 / 1.2, 2)</f>
        <v>11.1</v>
      </c>
      <c r="W639" s="9">
        <f>ROUND(Q639 / 1.2, 2)</f>
        <v>549.07000000000005</v>
      </c>
      <c r="X639" s="9">
        <f>ROUND(R639 / 1.2, 2)</f>
        <v>560.16999999999996</v>
      </c>
      <c r="Y639" s="9">
        <f t="shared" si="54"/>
        <v>6214.89</v>
      </c>
      <c r="Z639" s="9">
        <f>ROUND(T639 / 1.2, 2)</f>
        <v>307422.43</v>
      </c>
      <c r="AA639" s="9">
        <f>Y639+Z639</f>
        <v>313637.32</v>
      </c>
      <c r="AD639" s="4">
        <v>295859998</v>
      </c>
      <c r="AE639" s="4">
        <v>22502069</v>
      </c>
      <c r="AG639" s="4" t="s">
        <v>1425</v>
      </c>
      <c r="AH639" s="4" t="s">
        <v>1426</v>
      </c>
      <c r="AI639" s="4" t="s">
        <v>467</v>
      </c>
    </row>
    <row r="640" spans="1:35" ht="36" x14ac:dyDescent="0.35">
      <c r="A640" s="10" t="s">
        <v>2302</v>
      </c>
      <c r="B640" s="10"/>
      <c r="C640" s="28" t="s">
        <v>925</v>
      </c>
      <c r="D640" s="12"/>
      <c r="E640" s="12"/>
      <c r="F640" s="29" t="s">
        <v>498</v>
      </c>
      <c r="G640" s="30">
        <v>0.15</v>
      </c>
      <c r="H640" s="30"/>
      <c r="I640" s="30">
        <v>83.984999999999999</v>
      </c>
      <c r="J640" s="31">
        <v>88.8</v>
      </c>
      <c r="M640" s="32">
        <f>ROUND(ROUND(J640, 2)*I640, 2)</f>
        <v>7457.87</v>
      </c>
      <c r="P640" s="33">
        <v>88.8</v>
      </c>
      <c r="S640" s="32">
        <f>ROUND(ROUND(P640, 2)*I640, 2)</f>
        <v>7457.87</v>
      </c>
      <c r="V640" s="9">
        <f>ROUND(ROUND(P640, 2)/1.2, 2)</f>
        <v>74</v>
      </c>
      <c r="Y640" s="9">
        <f t="shared" si="54"/>
        <v>6214.89</v>
      </c>
      <c r="AD640" s="4" t="s">
        <v>2303</v>
      </c>
      <c r="AE640" s="4" t="s">
        <v>2304</v>
      </c>
      <c r="AF640" s="4" t="s">
        <v>928</v>
      </c>
    </row>
    <row r="641" spans="1:35" ht="90" x14ac:dyDescent="0.35">
      <c r="A641" s="10" t="s">
        <v>2305</v>
      </c>
      <c r="B641" s="10"/>
      <c r="C641" s="28" t="s">
        <v>1430</v>
      </c>
      <c r="D641" s="12"/>
      <c r="E641" s="12" t="s">
        <v>1454</v>
      </c>
      <c r="F641" s="29" t="s">
        <v>498</v>
      </c>
      <c r="G641" s="30">
        <v>0.4</v>
      </c>
      <c r="H641" s="30"/>
      <c r="I641" s="30">
        <v>223.96</v>
      </c>
      <c r="J641" s="31">
        <v>0</v>
      </c>
      <c r="M641" s="32">
        <f>ROUND(ROUND(J641, 2)*I641, 2)</f>
        <v>0</v>
      </c>
      <c r="P641" s="33">
        <v>0</v>
      </c>
      <c r="S641" s="32">
        <f>ROUND(ROUND(P641, 2)*I641, 2)</f>
        <v>0</v>
      </c>
      <c r="V641" s="9">
        <f>ROUND(ROUND(P641, 2)/1.2, 2)</f>
        <v>0</v>
      </c>
      <c r="Y641" s="9">
        <f t="shared" si="54"/>
        <v>0</v>
      </c>
      <c r="AD641" s="4" t="s">
        <v>2306</v>
      </c>
      <c r="AE641" s="4" t="s">
        <v>2307</v>
      </c>
      <c r="AF641" s="4" t="s">
        <v>1433</v>
      </c>
    </row>
    <row r="642" spans="1:35" ht="17" customHeight="1" x14ac:dyDescent="0.35">
      <c r="A642" s="10" t="s">
        <v>2308</v>
      </c>
      <c r="B642" s="10" t="s">
        <v>1513</v>
      </c>
      <c r="C642" s="174" t="s">
        <v>1514</v>
      </c>
      <c r="D642" s="175"/>
      <c r="E642" s="175"/>
      <c r="F642" s="175"/>
      <c r="G642" s="175"/>
      <c r="H642" s="175"/>
      <c r="I642" s="176"/>
      <c r="M642" s="6">
        <f>SUM(M643,M645,M647,M648,M659,M669,M680)</f>
        <v>9421458.2300000004</v>
      </c>
      <c r="N642" s="6">
        <f>SUM(N643,N645,N647,N648,N659,N669,N680)</f>
        <v>5677912.9999999991</v>
      </c>
      <c r="O642" s="6">
        <f>SUM(O643,O645,O647,O648,O659,O669,O680)</f>
        <v>15099371.229999999</v>
      </c>
      <c r="S642" s="6">
        <f>SUM(S643,S645,S647,S648,S659,S669,S680)</f>
        <v>9421458.2300000004</v>
      </c>
      <c r="T642" s="6">
        <f>SUM(T643,T645,T647,T648,T659,T669,T680)</f>
        <v>8062636.46</v>
      </c>
      <c r="U642" s="6">
        <f>SUM(U643,U645,U647,U648,U659,U669,U680)</f>
        <v>17484094.690000005</v>
      </c>
      <c r="Y642" s="9">
        <f>SUM(Y643,Y645,Y647,Y648,Y659,Y669,Y680)</f>
        <v>7851215.2000000002</v>
      </c>
      <c r="Z642" s="9">
        <f>SUM(Z643,Z645,Z647,Z648,Z659,Z669,Z680)</f>
        <v>6718863.7200000007</v>
      </c>
      <c r="AA642" s="9">
        <f>SUM(AA643,AA645,AA647,AA648,AA659,AA669,AA680)</f>
        <v>14570078.92</v>
      </c>
      <c r="AD642" s="4">
        <v>295859967</v>
      </c>
      <c r="AE642" s="4">
        <v>22502046</v>
      </c>
    </row>
    <row r="643" spans="1:35" ht="108" x14ac:dyDescent="0.35">
      <c r="A643" s="10" t="s">
        <v>2309</v>
      </c>
      <c r="B643" s="10" t="s">
        <v>1516</v>
      </c>
      <c r="C643" s="11" t="s">
        <v>1517</v>
      </c>
      <c r="D643" s="12"/>
      <c r="E643" s="12" t="s">
        <v>2310</v>
      </c>
      <c r="F643" s="12" t="s">
        <v>63</v>
      </c>
      <c r="G643" s="13">
        <v>1</v>
      </c>
      <c r="H643" s="13"/>
      <c r="I643" s="13">
        <v>1034.5</v>
      </c>
      <c r="J643" s="14">
        <f>IFERROR(ROUND(SUM(M644)/I643, 2),0)</f>
        <v>7126.9</v>
      </c>
      <c r="K643" s="15">
        <v>837</v>
      </c>
      <c r="L643" s="14">
        <f>J643+ROUND(K643, 2)</f>
        <v>7963.9</v>
      </c>
      <c r="M643" s="14">
        <f>ROUND(J643*I643, 2)</f>
        <v>7372778.0499999998</v>
      </c>
      <c r="N643" s="14">
        <f>ROUND(I643*ROUND(K643, 2), 2)</f>
        <v>865876.5</v>
      </c>
      <c r="O643" s="14">
        <f>M643+N643</f>
        <v>8238654.5499999998</v>
      </c>
      <c r="P643" s="14">
        <f>IFERROR(ROUND(SUM(S644)/I643, 2),0)</f>
        <v>7126.9</v>
      </c>
      <c r="Q643" s="16">
        <v>1188.54</v>
      </c>
      <c r="R643" s="14">
        <f>P643+ROUND(Q643, 2)</f>
        <v>8315.4399999999987</v>
      </c>
      <c r="S643" s="14">
        <f>ROUND(P643*I643, 2)</f>
        <v>7372778.0499999998</v>
      </c>
      <c r="T643" s="14">
        <f>ROUND(I643*ROUND(Q643, 2), 2)</f>
        <v>1229544.6299999999</v>
      </c>
      <c r="U643" s="14">
        <f>S643+T643</f>
        <v>8602322.6799999997</v>
      </c>
      <c r="V643" s="9">
        <f>ROUND(P643 / 1.2, 2)</f>
        <v>5939.08</v>
      </c>
      <c r="W643" s="9">
        <f>ROUND(Q643 / 1.2, 2)</f>
        <v>990.45</v>
      </c>
      <c r="X643" s="9">
        <f>ROUND(R643 / 1.2, 2)</f>
        <v>6929.53</v>
      </c>
      <c r="Y643" s="9">
        <f>ROUND(S643 / 1.2, 2)</f>
        <v>6143981.71</v>
      </c>
      <c r="Z643" s="9">
        <f>ROUND(T643 / 1.2, 2)</f>
        <v>1024620.53</v>
      </c>
      <c r="AA643" s="9">
        <f>Y643+Z643</f>
        <v>7168602.2400000002</v>
      </c>
      <c r="AD643" s="4">
        <v>295859969</v>
      </c>
      <c r="AE643" s="4">
        <v>22502070</v>
      </c>
      <c r="AG643" s="4" t="s">
        <v>1518</v>
      </c>
      <c r="AH643" s="4" t="s">
        <v>1519</v>
      </c>
      <c r="AI643" s="4" t="s">
        <v>467</v>
      </c>
    </row>
    <row r="644" spans="1:35" ht="36" x14ac:dyDescent="0.35">
      <c r="A644" s="10" t="s">
        <v>2311</v>
      </c>
      <c r="B644" s="10"/>
      <c r="C644" s="28" t="s">
        <v>1523</v>
      </c>
      <c r="D644" s="12"/>
      <c r="E644" s="12"/>
      <c r="F644" s="29" t="s">
        <v>63</v>
      </c>
      <c r="G644" s="30">
        <v>1.1000000000000001</v>
      </c>
      <c r="H644" s="49"/>
      <c r="I644" s="49">
        <v>1137.95</v>
      </c>
      <c r="J644" s="31">
        <v>6479</v>
      </c>
      <c r="M644" s="32">
        <f>ROUND(ROUND(J644, 2)*I644, 2)</f>
        <v>7372778.0499999998</v>
      </c>
      <c r="P644" s="33">
        <v>6479</v>
      </c>
      <c r="S644" s="32">
        <f>ROUND(ROUND(P644, 2)*I644, 2)</f>
        <v>7372778.0499999998</v>
      </c>
      <c r="V644" s="9">
        <f>ROUND(ROUND(P644, 2)/1.2, 2)</f>
        <v>5399.17</v>
      </c>
      <c r="Y644" s="9">
        <f>ROUND(S644 / 1.2, 2)</f>
        <v>6143981.71</v>
      </c>
      <c r="AD644" s="4" t="s">
        <v>2312</v>
      </c>
      <c r="AE644" s="4" t="s">
        <v>2313</v>
      </c>
      <c r="AF644" s="4" t="s">
        <v>1526</v>
      </c>
    </row>
    <row r="645" spans="1:35" ht="144" x14ac:dyDescent="0.35">
      <c r="A645" s="10" t="s">
        <v>2314</v>
      </c>
      <c r="B645" s="10" t="s">
        <v>1516</v>
      </c>
      <c r="C645" s="11" t="s">
        <v>1517</v>
      </c>
      <c r="D645" s="12"/>
      <c r="E645" s="12" t="s">
        <v>1531</v>
      </c>
      <c r="F645" s="12" t="s">
        <v>63</v>
      </c>
      <c r="G645" s="13">
        <v>1</v>
      </c>
      <c r="H645" s="13"/>
      <c r="I645" s="13">
        <v>180.2</v>
      </c>
      <c r="J645" s="14">
        <f>IFERROR(ROUND(SUM(M646)/I645, 2),0)</f>
        <v>1280.4000000000001</v>
      </c>
      <c r="K645" s="15">
        <v>837</v>
      </c>
      <c r="L645" s="14">
        <f>J645+ROUND(K645, 2)</f>
        <v>2117.4</v>
      </c>
      <c r="M645" s="14">
        <f>ROUND(J645*I645, 2)</f>
        <v>230728.08</v>
      </c>
      <c r="N645" s="14">
        <f>ROUND(I645*ROUND(K645, 2), 2)</f>
        <v>150827.4</v>
      </c>
      <c r="O645" s="14">
        <f>M645+N645</f>
        <v>381555.48</v>
      </c>
      <c r="P645" s="14">
        <f>IFERROR(ROUND(SUM(S646)/I645, 2),0)</f>
        <v>1280.4000000000001</v>
      </c>
      <c r="Q645" s="16">
        <v>1188.54</v>
      </c>
      <c r="R645" s="14">
        <f>P645+ROUND(Q645, 2)</f>
        <v>2468.94</v>
      </c>
      <c r="S645" s="14">
        <f>ROUND(P645*I645, 2)</f>
        <v>230728.08</v>
      </c>
      <c r="T645" s="14">
        <f>ROUND(I645*ROUND(Q645, 2), 2)</f>
        <v>214174.91</v>
      </c>
      <c r="U645" s="14">
        <f>S645+T645</f>
        <v>444902.99</v>
      </c>
      <c r="V645" s="9">
        <f>ROUND(P645 / 1.2, 2)</f>
        <v>1067</v>
      </c>
      <c r="W645" s="9">
        <f>ROUND(Q645 / 1.2, 2)</f>
        <v>990.45</v>
      </c>
      <c r="X645" s="9">
        <f>ROUND(R645 / 1.2, 2)</f>
        <v>2057.4499999999998</v>
      </c>
      <c r="Y645" s="9">
        <f>ROUND(S645 / 1.2, 2)</f>
        <v>192273.4</v>
      </c>
      <c r="Z645" s="9">
        <f>ROUND(T645 / 1.2, 2)</f>
        <v>178479.09</v>
      </c>
      <c r="AA645" s="9">
        <f>Y645+Z645</f>
        <v>370752.49</v>
      </c>
      <c r="AD645" s="4">
        <v>295859999</v>
      </c>
      <c r="AE645" s="4">
        <v>22502095</v>
      </c>
      <c r="AG645" s="4" t="s">
        <v>1518</v>
      </c>
      <c r="AH645" s="4" t="s">
        <v>1519</v>
      </c>
      <c r="AI645" s="4" t="s">
        <v>467</v>
      </c>
    </row>
    <row r="646" spans="1:35" ht="18" x14ac:dyDescent="0.35">
      <c r="A646" s="10" t="s">
        <v>2315</v>
      </c>
      <c r="B646" s="10"/>
      <c r="C646" s="28" t="s">
        <v>1533</v>
      </c>
      <c r="D646" s="12"/>
      <c r="E646" s="12"/>
      <c r="F646" s="29" t="s">
        <v>63</v>
      </c>
      <c r="G646" s="30">
        <v>1.1000000000000001</v>
      </c>
      <c r="H646" s="49"/>
      <c r="I646" s="49">
        <v>198.22</v>
      </c>
      <c r="J646" s="31">
        <v>1164</v>
      </c>
      <c r="M646" s="32">
        <f>ROUND(ROUND(J646, 2)*I646, 2)</f>
        <v>230728.08</v>
      </c>
      <c r="P646" s="33">
        <v>1164</v>
      </c>
      <c r="S646" s="32">
        <f>ROUND(ROUND(P646, 2)*I646, 2)</f>
        <v>230728.08</v>
      </c>
      <c r="V646" s="9">
        <f>ROUND(ROUND(P646, 2)/1.2, 2)</f>
        <v>970</v>
      </c>
      <c r="Y646" s="9">
        <f>ROUND(S646 / 1.2, 2)</f>
        <v>192273.4</v>
      </c>
      <c r="AD646" s="4" t="s">
        <v>2316</v>
      </c>
      <c r="AE646" s="4" t="s">
        <v>2317</v>
      </c>
      <c r="AF646" s="4" t="s">
        <v>1536</v>
      </c>
    </row>
    <row r="647" spans="1:35" ht="54" x14ac:dyDescent="0.35">
      <c r="A647" s="10" t="s">
        <v>2318</v>
      </c>
      <c r="B647" s="10" t="s">
        <v>1548</v>
      </c>
      <c r="C647" s="11" t="s">
        <v>1549</v>
      </c>
      <c r="D647" s="12"/>
      <c r="E647" s="12"/>
      <c r="F647" s="12" t="s">
        <v>63</v>
      </c>
      <c r="G647" s="13">
        <v>1</v>
      </c>
      <c r="H647" s="13"/>
      <c r="I647" s="13">
        <v>4271.5</v>
      </c>
      <c r="J647" s="14">
        <v>0</v>
      </c>
      <c r="K647" s="15">
        <v>121</v>
      </c>
      <c r="L647" s="14">
        <f>J647+ROUND(K647, 2)</f>
        <v>121</v>
      </c>
      <c r="M647" s="14">
        <v>0</v>
      </c>
      <c r="N647" s="14">
        <f>ROUND(I647*ROUND(K647, 2), 2)</f>
        <v>516851.5</v>
      </c>
      <c r="O647" s="14">
        <f>M647+N647</f>
        <v>516851.5</v>
      </c>
      <c r="P647" s="14">
        <v>0</v>
      </c>
      <c r="Q647" s="16">
        <v>171.82</v>
      </c>
      <c r="R647" s="14">
        <f>P647+ROUND(Q647, 2)</f>
        <v>171.82</v>
      </c>
      <c r="S647" s="14">
        <v>0</v>
      </c>
      <c r="T647" s="14">
        <f>ROUND(I647*ROUND(Q647, 2), 2)</f>
        <v>733929.13</v>
      </c>
      <c r="U647" s="14">
        <f>S647+T647</f>
        <v>733929.13</v>
      </c>
      <c r="V647" s="9"/>
      <c r="W647" s="9">
        <f>ROUND(Q647 / 1.2, 2)</f>
        <v>143.18</v>
      </c>
      <c r="X647" s="9">
        <f>ROUND(R647 / 1.2, 2)</f>
        <v>143.18</v>
      </c>
      <c r="Y647" s="9"/>
      <c r="Z647" s="9">
        <f>ROUND(T647 / 1.2, 2)</f>
        <v>611607.61</v>
      </c>
      <c r="AA647" s="9">
        <f>Y647+Z647</f>
        <v>611607.61</v>
      </c>
      <c r="AD647" s="4">
        <v>295859971</v>
      </c>
      <c r="AE647" s="4">
        <v>22502032</v>
      </c>
      <c r="AG647" s="4" t="s">
        <v>1550</v>
      </c>
      <c r="AH647" s="4" t="s">
        <v>1551</v>
      </c>
      <c r="AI647" s="4" t="s">
        <v>467</v>
      </c>
    </row>
    <row r="648" spans="1:35" ht="90" x14ac:dyDescent="0.35">
      <c r="A648" s="10" t="s">
        <v>2319</v>
      </c>
      <c r="B648" s="10" t="s">
        <v>1556</v>
      </c>
      <c r="C648" s="11" t="s">
        <v>1557</v>
      </c>
      <c r="D648" s="12"/>
      <c r="E648" s="12" t="s">
        <v>1561</v>
      </c>
      <c r="F648" s="12" t="s">
        <v>63</v>
      </c>
      <c r="G648" s="13">
        <v>1</v>
      </c>
      <c r="H648" s="13"/>
      <c r="I648" s="13">
        <v>2326.3000000000002</v>
      </c>
      <c r="J648" s="14">
        <f>IFERROR(ROUND(SUM(M649,M650,M651,M652,M653,M654,M655,M656,M657,M658)/I648, 2),0)</f>
        <v>584.54999999999995</v>
      </c>
      <c r="K648" s="15">
        <v>1379</v>
      </c>
      <c r="L648" s="14">
        <f>J648+ROUND(K648, 2)</f>
        <v>1963.55</v>
      </c>
      <c r="M648" s="14">
        <f>ROUND(J648*I648, 2)</f>
        <v>1359838.67</v>
      </c>
      <c r="N648" s="14">
        <f>ROUND(I648*ROUND(K648, 2), 2)</f>
        <v>3207967.7</v>
      </c>
      <c r="O648" s="14">
        <f>M648+N648</f>
        <v>4567806.37</v>
      </c>
      <c r="P648" s="14">
        <f>IFERROR(ROUND(SUM(S649,S650,S651,S652,S653,S654,S655,S656,S657,S658)/I648, 2),0)</f>
        <v>584.54999999999995</v>
      </c>
      <c r="Q648" s="16">
        <v>1958.18</v>
      </c>
      <c r="R648" s="14">
        <f>P648+ROUND(Q648, 2)</f>
        <v>2542.73</v>
      </c>
      <c r="S648" s="14">
        <f>ROUND(P648*I648, 2)</f>
        <v>1359838.67</v>
      </c>
      <c r="T648" s="14">
        <f>ROUND(I648*ROUND(Q648, 2), 2)</f>
        <v>4555314.13</v>
      </c>
      <c r="U648" s="14">
        <f>S648+T648</f>
        <v>5915152.7999999998</v>
      </c>
      <c r="V648" s="9">
        <f>ROUND(P648 / 1.2, 2)</f>
        <v>487.13</v>
      </c>
      <c r="W648" s="9">
        <f>ROUND(Q648 / 1.2, 2)</f>
        <v>1631.82</v>
      </c>
      <c r="X648" s="9">
        <f>ROUND(R648 / 1.2, 2)</f>
        <v>2118.94</v>
      </c>
      <c r="Y648" s="9">
        <f t="shared" ref="Y648:Y681" si="55">ROUND(S648 / 1.2, 2)</f>
        <v>1133198.8899999999</v>
      </c>
      <c r="Z648" s="9">
        <f>ROUND(T648 / 1.2, 2)</f>
        <v>3796095.11</v>
      </c>
      <c r="AA648" s="9">
        <f>Y648+Z648</f>
        <v>4929294</v>
      </c>
      <c r="AD648" s="4">
        <v>295859973</v>
      </c>
      <c r="AE648" s="4">
        <v>22502068</v>
      </c>
      <c r="AG648" s="4" t="s">
        <v>1558</v>
      </c>
      <c r="AH648" s="4" t="s">
        <v>1559</v>
      </c>
      <c r="AI648" s="4" t="s">
        <v>467</v>
      </c>
    </row>
    <row r="649" spans="1:35" ht="18" x14ac:dyDescent="0.35">
      <c r="A649" s="10" t="s">
        <v>2320</v>
      </c>
      <c r="B649" s="10"/>
      <c r="C649" s="28" t="s">
        <v>1577</v>
      </c>
      <c r="D649" s="12"/>
      <c r="E649" s="12"/>
      <c r="F649" s="29" t="s">
        <v>490</v>
      </c>
      <c r="G649" s="30">
        <v>0.3</v>
      </c>
      <c r="H649" s="30"/>
      <c r="I649" s="30">
        <v>697.89</v>
      </c>
      <c r="J649" s="31">
        <v>5.6</v>
      </c>
      <c r="M649" s="32">
        <f t="shared" ref="M649:M658" si="56">ROUND(ROUND(J649, 2)*I649, 2)</f>
        <v>3908.18</v>
      </c>
      <c r="P649" s="33">
        <v>5.6</v>
      </c>
      <c r="S649" s="32">
        <f t="shared" ref="S649:S658" si="57">ROUND(ROUND(P649, 2)*I649, 2)</f>
        <v>3908.18</v>
      </c>
      <c r="V649" s="9">
        <f t="shared" ref="V649:V658" si="58">ROUND(ROUND(P649, 2)/1.2, 2)</f>
        <v>4.67</v>
      </c>
      <c r="Y649" s="9">
        <f t="shared" si="55"/>
        <v>3256.82</v>
      </c>
      <c r="AD649" s="4" t="s">
        <v>2321</v>
      </c>
      <c r="AE649" s="4" t="s">
        <v>2322</v>
      </c>
      <c r="AF649" s="4" t="s">
        <v>1580</v>
      </c>
    </row>
    <row r="650" spans="1:35" ht="36" x14ac:dyDescent="0.35">
      <c r="A650" s="10" t="s">
        <v>2323</v>
      </c>
      <c r="B650" s="10"/>
      <c r="C650" s="47" t="s">
        <v>1584</v>
      </c>
      <c r="D650" s="12"/>
      <c r="E650" s="12"/>
      <c r="F650" s="29" t="s">
        <v>490</v>
      </c>
      <c r="G650" s="30">
        <v>3.6</v>
      </c>
      <c r="H650" s="30"/>
      <c r="I650" s="30">
        <v>8374.68</v>
      </c>
      <c r="J650" s="31">
        <v>15.9</v>
      </c>
      <c r="M650" s="32">
        <f t="shared" si="56"/>
        <v>133157.41</v>
      </c>
      <c r="P650" s="33">
        <v>15.9</v>
      </c>
      <c r="S650" s="32">
        <f t="shared" si="57"/>
        <v>133157.41</v>
      </c>
      <c r="V650" s="9">
        <f t="shared" si="58"/>
        <v>13.25</v>
      </c>
      <c r="Y650" s="9">
        <f t="shared" si="55"/>
        <v>110964.51</v>
      </c>
      <c r="AD650" s="4" t="s">
        <v>2324</v>
      </c>
      <c r="AE650" s="4" t="s">
        <v>2325</v>
      </c>
      <c r="AF650" s="4" t="s">
        <v>1587</v>
      </c>
    </row>
    <row r="651" spans="1:35" ht="18" x14ac:dyDescent="0.35">
      <c r="A651" s="10" t="s">
        <v>2326</v>
      </c>
      <c r="B651" s="10"/>
      <c r="C651" s="28" t="s">
        <v>1563</v>
      </c>
      <c r="D651" s="12"/>
      <c r="E651" s="12"/>
      <c r="F651" s="29" t="s">
        <v>490</v>
      </c>
      <c r="G651" s="30">
        <v>15</v>
      </c>
      <c r="H651" s="30"/>
      <c r="I651" s="30">
        <v>34894.5</v>
      </c>
      <c r="J651" s="31">
        <v>0.95</v>
      </c>
      <c r="M651" s="32">
        <f t="shared" si="56"/>
        <v>33149.78</v>
      </c>
      <c r="P651" s="33">
        <v>0.95</v>
      </c>
      <c r="S651" s="32">
        <f t="shared" si="57"/>
        <v>33149.78</v>
      </c>
      <c r="V651" s="9">
        <f t="shared" si="58"/>
        <v>0.79</v>
      </c>
      <c r="Y651" s="9">
        <f t="shared" si="55"/>
        <v>27624.82</v>
      </c>
      <c r="AD651" s="4" t="s">
        <v>2327</v>
      </c>
      <c r="AE651" s="4" t="s">
        <v>2328</v>
      </c>
      <c r="AF651" s="4" t="s">
        <v>1566</v>
      </c>
    </row>
    <row r="652" spans="1:35" ht="18" x14ac:dyDescent="0.35">
      <c r="A652" s="10" t="s">
        <v>2329</v>
      </c>
      <c r="B652" s="10"/>
      <c r="C652" s="28" t="s">
        <v>1570</v>
      </c>
      <c r="D652" s="12"/>
      <c r="E652" s="12"/>
      <c r="F652" s="29" t="s">
        <v>498</v>
      </c>
      <c r="G652" s="30">
        <v>0.35</v>
      </c>
      <c r="H652" s="30"/>
      <c r="I652" s="30">
        <v>814.20500000000004</v>
      </c>
      <c r="J652" s="31">
        <v>55</v>
      </c>
      <c r="M652" s="32">
        <f t="shared" si="56"/>
        <v>44781.279999999999</v>
      </c>
      <c r="P652" s="33">
        <v>55</v>
      </c>
      <c r="S652" s="32">
        <f t="shared" si="57"/>
        <v>44781.279999999999</v>
      </c>
      <c r="V652" s="9">
        <f t="shared" si="58"/>
        <v>45.83</v>
      </c>
      <c r="Y652" s="9">
        <f t="shared" si="55"/>
        <v>37317.730000000003</v>
      </c>
      <c r="AD652" s="4" t="s">
        <v>2330</v>
      </c>
      <c r="AE652" s="4" t="s">
        <v>2331</v>
      </c>
      <c r="AF652" s="4" t="s">
        <v>1573</v>
      </c>
    </row>
    <row r="653" spans="1:35" ht="18" x14ac:dyDescent="0.35">
      <c r="A653" s="10" t="s">
        <v>2332</v>
      </c>
      <c r="B653" s="10"/>
      <c r="C653" s="28" t="s">
        <v>1612</v>
      </c>
      <c r="D653" s="12"/>
      <c r="E653" s="12"/>
      <c r="F653" s="29" t="s">
        <v>78</v>
      </c>
      <c r="G653" s="30">
        <v>0.25</v>
      </c>
      <c r="H653" s="30"/>
      <c r="I653" s="30">
        <v>581.57500000000005</v>
      </c>
      <c r="J653" s="31">
        <v>2.8</v>
      </c>
      <c r="M653" s="32">
        <f t="shared" si="56"/>
        <v>1628.41</v>
      </c>
      <c r="P653" s="33">
        <v>2.8</v>
      </c>
      <c r="S653" s="32">
        <f t="shared" si="57"/>
        <v>1628.41</v>
      </c>
      <c r="V653" s="9">
        <f t="shared" si="58"/>
        <v>2.33</v>
      </c>
      <c r="Y653" s="9">
        <f t="shared" si="55"/>
        <v>1357.01</v>
      </c>
      <c r="AD653" s="4" t="s">
        <v>2333</v>
      </c>
      <c r="AE653" s="4" t="s">
        <v>2334</v>
      </c>
      <c r="AF653" s="4" t="s">
        <v>1615</v>
      </c>
    </row>
    <row r="654" spans="1:35" ht="18" x14ac:dyDescent="0.35">
      <c r="A654" s="10" t="s">
        <v>2335</v>
      </c>
      <c r="B654" s="10"/>
      <c r="C654" s="28" t="s">
        <v>1591</v>
      </c>
      <c r="D654" s="12"/>
      <c r="E654" s="12"/>
      <c r="F654" s="29" t="s">
        <v>78</v>
      </c>
      <c r="G654" s="30">
        <v>1.2</v>
      </c>
      <c r="H654" s="30"/>
      <c r="I654" s="30">
        <v>2791.56</v>
      </c>
      <c r="J654" s="31">
        <v>22.82</v>
      </c>
      <c r="M654" s="32">
        <f t="shared" si="56"/>
        <v>63703.4</v>
      </c>
      <c r="P654" s="33">
        <v>22.82</v>
      </c>
      <c r="S654" s="32">
        <f t="shared" si="57"/>
        <v>63703.4</v>
      </c>
      <c r="V654" s="9">
        <f t="shared" si="58"/>
        <v>19.02</v>
      </c>
      <c r="Y654" s="9">
        <f t="shared" si="55"/>
        <v>53086.17</v>
      </c>
      <c r="AD654" s="4" t="s">
        <v>2336</v>
      </c>
      <c r="AE654" s="4" t="s">
        <v>2337</v>
      </c>
      <c r="AF654" s="4" t="s">
        <v>1594</v>
      </c>
    </row>
    <row r="655" spans="1:35" ht="18" x14ac:dyDescent="0.35">
      <c r="A655" s="10" t="s">
        <v>2338</v>
      </c>
      <c r="B655" s="10"/>
      <c r="C655" s="28" t="s">
        <v>1598</v>
      </c>
      <c r="D655" s="12"/>
      <c r="E655" s="12"/>
      <c r="F655" s="29" t="s">
        <v>78</v>
      </c>
      <c r="G655" s="30">
        <v>4.7</v>
      </c>
      <c r="H655" s="30"/>
      <c r="I655" s="30">
        <v>10933.61</v>
      </c>
      <c r="J655" s="31">
        <v>66.98</v>
      </c>
      <c r="M655" s="32">
        <f t="shared" si="56"/>
        <v>732333.2</v>
      </c>
      <c r="P655" s="33">
        <v>66.98</v>
      </c>
      <c r="S655" s="32">
        <f t="shared" si="57"/>
        <v>732333.2</v>
      </c>
      <c r="V655" s="9">
        <f t="shared" si="58"/>
        <v>55.82</v>
      </c>
      <c r="Y655" s="9">
        <f t="shared" si="55"/>
        <v>610277.67000000004</v>
      </c>
      <c r="AD655" s="4" t="s">
        <v>2339</v>
      </c>
      <c r="AE655" s="4" t="s">
        <v>2340</v>
      </c>
      <c r="AF655" s="4" t="s">
        <v>1601</v>
      </c>
    </row>
    <row r="656" spans="1:35" ht="18" x14ac:dyDescent="0.35">
      <c r="A656" s="10" t="s">
        <v>2341</v>
      </c>
      <c r="B656" s="10"/>
      <c r="C656" s="28" t="s">
        <v>1605</v>
      </c>
      <c r="D656" s="12"/>
      <c r="E656" s="12"/>
      <c r="F656" s="29" t="s">
        <v>78</v>
      </c>
      <c r="G656" s="30">
        <v>1.05</v>
      </c>
      <c r="H656" s="30"/>
      <c r="I656" s="30">
        <v>2442.6149999999998</v>
      </c>
      <c r="J656" s="31">
        <v>4.5999999999999996</v>
      </c>
      <c r="M656" s="32">
        <f t="shared" si="56"/>
        <v>11236.03</v>
      </c>
      <c r="P656" s="33">
        <v>4.5999999999999996</v>
      </c>
      <c r="S656" s="32">
        <f t="shared" si="57"/>
        <v>11236.03</v>
      </c>
      <c r="V656" s="9">
        <f t="shared" si="58"/>
        <v>3.83</v>
      </c>
      <c r="Y656" s="9">
        <f t="shared" si="55"/>
        <v>9363.36</v>
      </c>
      <c r="AD656" s="4" t="s">
        <v>2342</v>
      </c>
      <c r="AE656" s="4" t="s">
        <v>2343</v>
      </c>
      <c r="AF656" s="4" t="s">
        <v>1608</v>
      </c>
    </row>
    <row r="657" spans="1:35" ht="36" x14ac:dyDescent="0.35">
      <c r="A657" s="10" t="s">
        <v>2344</v>
      </c>
      <c r="B657" s="10"/>
      <c r="C657" s="28" t="s">
        <v>1619</v>
      </c>
      <c r="D657" s="12"/>
      <c r="E657" s="12"/>
      <c r="F657" s="29" t="s">
        <v>63</v>
      </c>
      <c r="G657" s="30">
        <v>1.05</v>
      </c>
      <c r="H657" s="30"/>
      <c r="I657" s="30">
        <v>2442.6149999999998</v>
      </c>
      <c r="J657" s="31">
        <v>135.53</v>
      </c>
      <c r="M657" s="32">
        <f t="shared" si="56"/>
        <v>331047.61</v>
      </c>
      <c r="P657" s="33">
        <v>135.53</v>
      </c>
      <c r="S657" s="32">
        <f t="shared" si="57"/>
        <v>331047.61</v>
      </c>
      <c r="V657" s="9">
        <f t="shared" si="58"/>
        <v>112.94</v>
      </c>
      <c r="Y657" s="9">
        <f t="shared" si="55"/>
        <v>275873.01</v>
      </c>
      <c r="AD657" s="4" t="s">
        <v>2345</v>
      </c>
      <c r="AE657" s="4" t="s">
        <v>2346</v>
      </c>
      <c r="AF657" s="4" t="s">
        <v>1622</v>
      </c>
    </row>
    <row r="658" spans="1:35" ht="18" x14ac:dyDescent="0.35">
      <c r="A658" s="10" t="s">
        <v>2347</v>
      </c>
      <c r="B658" s="10"/>
      <c r="C658" s="28" t="s">
        <v>1626</v>
      </c>
      <c r="D658" s="12"/>
      <c r="E658" s="12"/>
      <c r="F658" s="29" t="s">
        <v>490</v>
      </c>
      <c r="G658" s="30">
        <v>0.75</v>
      </c>
      <c r="H658" s="30"/>
      <c r="I658" s="30">
        <v>1744.7249999999999</v>
      </c>
      <c r="J658" s="31">
        <v>2.8</v>
      </c>
      <c r="M658" s="32">
        <f t="shared" si="56"/>
        <v>4885.2299999999996</v>
      </c>
      <c r="P658" s="33">
        <v>2.8</v>
      </c>
      <c r="S658" s="32">
        <f t="shared" si="57"/>
        <v>4885.2299999999996</v>
      </c>
      <c r="V658" s="9">
        <f t="shared" si="58"/>
        <v>2.33</v>
      </c>
      <c r="Y658" s="9">
        <f t="shared" si="55"/>
        <v>4071.03</v>
      </c>
      <c r="AD658" s="4" t="s">
        <v>2348</v>
      </c>
      <c r="AE658" s="4" t="s">
        <v>2349</v>
      </c>
      <c r="AF658" s="4" t="s">
        <v>1629</v>
      </c>
    </row>
    <row r="659" spans="1:35" ht="54" x14ac:dyDescent="0.35">
      <c r="A659" s="10" t="s">
        <v>2350</v>
      </c>
      <c r="B659" s="10" t="s">
        <v>1556</v>
      </c>
      <c r="C659" s="11" t="s">
        <v>1557</v>
      </c>
      <c r="D659" s="12"/>
      <c r="E659" s="12" t="s">
        <v>1687</v>
      </c>
      <c r="F659" s="12" t="s">
        <v>63</v>
      </c>
      <c r="G659" s="13">
        <v>1</v>
      </c>
      <c r="H659" s="13"/>
      <c r="I659" s="13">
        <v>105.5</v>
      </c>
      <c r="J659" s="14">
        <f>IFERROR(ROUND(SUM(M660,M661,M662,M663,M664,M665,M666,M667,M668)/I659, 2),0)</f>
        <v>440.56</v>
      </c>
      <c r="K659" s="15">
        <v>1379</v>
      </c>
      <c r="L659" s="14">
        <f>J659+ROUND(K659, 2)</f>
        <v>1819.56</v>
      </c>
      <c r="M659" s="14">
        <f>ROUND(J659*I659, 2)</f>
        <v>46479.08</v>
      </c>
      <c r="N659" s="14">
        <f>ROUND(I659*ROUND(K659, 2), 2)</f>
        <v>145484.5</v>
      </c>
      <c r="O659" s="14">
        <f>M659+N659</f>
        <v>191963.58000000002</v>
      </c>
      <c r="P659" s="14">
        <f>IFERROR(ROUND(SUM(S660,S661,S662,S663,S664,S665,S666,S667,S668)/I659, 2),0)</f>
        <v>440.56</v>
      </c>
      <c r="Q659" s="16">
        <v>1958.18</v>
      </c>
      <c r="R659" s="14">
        <f>P659+ROUND(Q659, 2)</f>
        <v>2398.7400000000002</v>
      </c>
      <c r="S659" s="14">
        <f>ROUND(P659*I659, 2)</f>
        <v>46479.08</v>
      </c>
      <c r="T659" s="14">
        <f>ROUND(I659*ROUND(Q659, 2), 2)</f>
        <v>206587.99</v>
      </c>
      <c r="U659" s="14">
        <f>S659+T659</f>
        <v>253067.07</v>
      </c>
      <c r="V659" s="9">
        <f>ROUND(P659 / 1.2, 2)</f>
        <v>367.13</v>
      </c>
      <c r="W659" s="9">
        <f>ROUND(Q659 / 1.2, 2)</f>
        <v>1631.82</v>
      </c>
      <c r="X659" s="9">
        <f>ROUND(R659 / 1.2, 2)</f>
        <v>1998.95</v>
      </c>
      <c r="Y659" s="9">
        <f t="shared" si="55"/>
        <v>38732.57</v>
      </c>
      <c r="Z659" s="9">
        <f>ROUND(T659 / 1.2, 2)</f>
        <v>172156.66</v>
      </c>
      <c r="AA659" s="9">
        <f>Y659+Z659</f>
        <v>210889.23</v>
      </c>
      <c r="AD659" s="4">
        <v>295860000</v>
      </c>
      <c r="AE659" s="4">
        <v>22502094</v>
      </c>
      <c r="AG659" s="4" t="s">
        <v>1558</v>
      </c>
      <c r="AH659" s="4" t="s">
        <v>1559</v>
      </c>
      <c r="AI659" s="4" t="s">
        <v>467</v>
      </c>
    </row>
    <row r="660" spans="1:35" ht="18" x14ac:dyDescent="0.35">
      <c r="A660" s="10" t="s">
        <v>2351</v>
      </c>
      <c r="B660" s="10"/>
      <c r="C660" s="28" t="s">
        <v>1626</v>
      </c>
      <c r="D660" s="12"/>
      <c r="E660" s="12"/>
      <c r="F660" s="29" t="s">
        <v>490</v>
      </c>
      <c r="G660" s="30">
        <v>0.75</v>
      </c>
      <c r="H660" s="30"/>
      <c r="I660" s="30">
        <v>79.125</v>
      </c>
      <c r="J660" s="31">
        <v>2.8</v>
      </c>
      <c r="M660" s="32">
        <f t="shared" ref="M660:M668" si="59">ROUND(ROUND(J660, 2)*I660, 2)</f>
        <v>221.55</v>
      </c>
      <c r="P660" s="33">
        <v>2.8</v>
      </c>
      <c r="S660" s="32">
        <f t="shared" ref="S660:S668" si="60">ROUND(ROUND(P660, 2)*I660, 2)</f>
        <v>221.55</v>
      </c>
      <c r="V660" s="9">
        <f t="shared" ref="V660:V668" si="61">ROUND(ROUND(P660, 2)/1.2, 2)</f>
        <v>2.33</v>
      </c>
      <c r="Y660" s="9">
        <f t="shared" si="55"/>
        <v>184.63</v>
      </c>
      <c r="AD660" s="4" t="s">
        <v>2352</v>
      </c>
      <c r="AE660" s="4" t="s">
        <v>2353</v>
      </c>
      <c r="AF660" s="4" t="s">
        <v>1629</v>
      </c>
    </row>
    <row r="661" spans="1:35" ht="18" x14ac:dyDescent="0.35">
      <c r="A661" s="10" t="s">
        <v>2354</v>
      </c>
      <c r="B661" s="10"/>
      <c r="C661" s="28" t="s">
        <v>1605</v>
      </c>
      <c r="D661" s="12"/>
      <c r="E661" s="12"/>
      <c r="F661" s="29" t="s">
        <v>78</v>
      </c>
      <c r="G661" s="30">
        <v>1.05</v>
      </c>
      <c r="H661" s="30"/>
      <c r="I661" s="30">
        <v>110.77500000000001</v>
      </c>
      <c r="J661" s="31">
        <v>4.5999999999999996</v>
      </c>
      <c r="M661" s="32">
        <f t="shared" si="59"/>
        <v>509.57</v>
      </c>
      <c r="P661" s="33">
        <v>4.5999999999999996</v>
      </c>
      <c r="S661" s="32">
        <f t="shared" si="60"/>
        <v>509.57</v>
      </c>
      <c r="V661" s="9">
        <f t="shared" si="61"/>
        <v>3.83</v>
      </c>
      <c r="Y661" s="9">
        <f t="shared" si="55"/>
        <v>424.64</v>
      </c>
      <c r="AD661" s="4" t="s">
        <v>2355</v>
      </c>
      <c r="AE661" s="4" t="s">
        <v>2356</v>
      </c>
      <c r="AF661" s="4" t="s">
        <v>1608</v>
      </c>
    </row>
    <row r="662" spans="1:35" ht="18" x14ac:dyDescent="0.35">
      <c r="A662" s="10" t="s">
        <v>2357</v>
      </c>
      <c r="B662" s="10"/>
      <c r="C662" s="28" t="s">
        <v>1719</v>
      </c>
      <c r="D662" s="12"/>
      <c r="E662" s="12"/>
      <c r="F662" s="29" t="s">
        <v>63</v>
      </c>
      <c r="G662" s="30">
        <v>1.05</v>
      </c>
      <c r="H662" s="30"/>
      <c r="I662" s="30">
        <v>110.77500000000001</v>
      </c>
      <c r="J662" s="31">
        <v>0</v>
      </c>
      <c r="M662" s="32">
        <f t="shared" si="59"/>
        <v>0</v>
      </c>
      <c r="P662" s="33">
        <v>0</v>
      </c>
      <c r="S662" s="32">
        <f t="shared" si="60"/>
        <v>0</v>
      </c>
      <c r="V662" s="9">
        <f t="shared" si="61"/>
        <v>0</v>
      </c>
      <c r="Y662" s="9">
        <f t="shared" si="55"/>
        <v>0</v>
      </c>
      <c r="AD662" s="4" t="s">
        <v>2358</v>
      </c>
      <c r="AE662" s="4" t="s">
        <v>2359</v>
      </c>
      <c r="AF662" s="4" t="s">
        <v>1722</v>
      </c>
    </row>
    <row r="663" spans="1:35" ht="18" x14ac:dyDescent="0.35">
      <c r="A663" s="10" t="s">
        <v>2360</v>
      </c>
      <c r="B663" s="10"/>
      <c r="C663" s="28" t="s">
        <v>1591</v>
      </c>
      <c r="D663" s="12"/>
      <c r="E663" s="12"/>
      <c r="F663" s="29" t="s">
        <v>78</v>
      </c>
      <c r="G663" s="30">
        <v>1.2</v>
      </c>
      <c r="H663" s="30"/>
      <c r="I663" s="30">
        <v>126.6</v>
      </c>
      <c r="J663" s="31">
        <v>22.82</v>
      </c>
      <c r="M663" s="32">
        <f t="shared" si="59"/>
        <v>2889.01</v>
      </c>
      <c r="P663" s="33">
        <v>22.82</v>
      </c>
      <c r="S663" s="32">
        <f t="shared" si="60"/>
        <v>2889.01</v>
      </c>
      <c r="V663" s="9">
        <f t="shared" si="61"/>
        <v>19.02</v>
      </c>
      <c r="Y663" s="9">
        <f t="shared" si="55"/>
        <v>2407.5100000000002</v>
      </c>
      <c r="AD663" s="4" t="s">
        <v>2361</v>
      </c>
      <c r="AE663" s="4" t="s">
        <v>2362</v>
      </c>
      <c r="AF663" s="4" t="s">
        <v>1594</v>
      </c>
    </row>
    <row r="664" spans="1:35" ht="18" x14ac:dyDescent="0.35">
      <c r="A664" s="10" t="s">
        <v>2363</v>
      </c>
      <c r="B664" s="10"/>
      <c r="C664" s="28" t="s">
        <v>1598</v>
      </c>
      <c r="D664" s="12"/>
      <c r="E664" s="12"/>
      <c r="F664" s="29" t="s">
        <v>78</v>
      </c>
      <c r="G664" s="30">
        <v>4.7</v>
      </c>
      <c r="H664" s="30"/>
      <c r="I664" s="30">
        <v>495.85</v>
      </c>
      <c r="J664" s="31">
        <v>66.98</v>
      </c>
      <c r="M664" s="32">
        <f t="shared" si="59"/>
        <v>33212.03</v>
      </c>
      <c r="P664" s="33">
        <v>66.98</v>
      </c>
      <c r="S664" s="32">
        <f t="shared" si="60"/>
        <v>33212.03</v>
      </c>
      <c r="V664" s="9">
        <f t="shared" si="61"/>
        <v>55.82</v>
      </c>
      <c r="Y664" s="9">
        <f t="shared" si="55"/>
        <v>27676.69</v>
      </c>
      <c r="AD664" s="4" t="s">
        <v>2364</v>
      </c>
      <c r="AE664" s="4" t="s">
        <v>2365</v>
      </c>
      <c r="AF664" s="4" t="s">
        <v>1601</v>
      </c>
    </row>
    <row r="665" spans="1:35" ht="18" x14ac:dyDescent="0.35">
      <c r="A665" s="10" t="s">
        <v>2366</v>
      </c>
      <c r="B665" s="10"/>
      <c r="C665" s="28" t="s">
        <v>1612</v>
      </c>
      <c r="D665" s="12"/>
      <c r="E665" s="12"/>
      <c r="F665" s="29" t="s">
        <v>78</v>
      </c>
      <c r="G665" s="30">
        <v>0.25</v>
      </c>
      <c r="H665" s="30"/>
      <c r="I665" s="30">
        <v>26.375</v>
      </c>
      <c r="J665" s="31">
        <v>2.8</v>
      </c>
      <c r="M665" s="32">
        <f t="shared" si="59"/>
        <v>73.849999999999994</v>
      </c>
      <c r="P665" s="33">
        <v>2.8</v>
      </c>
      <c r="S665" s="32">
        <f t="shared" si="60"/>
        <v>73.849999999999994</v>
      </c>
      <c r="V665" s="9">
        <f t="shared" si="61"/>
        <v>2.33</v>
      </c>
      <c r="Y665" s="9">
        <f t="shared" si="55"/>
        <v>61.54</v>
      </c>
      <c r="AD665" s="4" t="s">
        <v>2367</v>
      </c>
      <c r="AE665" s="4" t="s">
        <v>2368</v>
      </c>
      <c r="AF665" s="4" t="s">
        <v>1615</v>
      </c>
    </row>
    <row r="666" spans="1:35" ht="18" x14ac:dyDescent="0.35">
      <c r="A666" s="10" t="s">
        <v>2369</v>
      </c>
      <c r="B666" s="10"/>
      <c r="C666" s="28" t="s">
        <v>1570</v>
      </c>
      <c r="D666" s="12"/>
      <c r="E666" s="12"/>
      <c r="F666" s="29" t="s">
        <v>498</v>
      </c>
      <c r="G666" s="30">
        <v>0.35</v>
      </c>
      <c r="H666" s="30"/>
      <c r="I666" s="30">
        <v>36.924999999999997</v>
      </c>
      <c r="J666" s="31">
        <v>55</v>
      </c>
      <c r="M666" s="32">
        <f t="shared" si="59"/>
        <v>2030.88</v>
      </c>
      <c r="P666" s="33">
        <v>55</v>
      </c>
      <c r="S666" s="32">
        <f t="shared" si="60"/>
        <v>2030.88</v>
      </c>
      <c r="V666" s="9">
        <f t="shared" si="61"/>
        <v>45.83</v>
      </c>
      <c r="Y666" s="9">
        <f t="shared" si="55"/>
        <v>1692.4</v>
      </c>
      <c r="AD666" s="4" t="s">
        <v>2370</v>
      </c>
      <c r="AE666" s="4" t="s">
        <v>2371</v>
      </c>
      <c r="AF666" s="4" t="s">
        <v>1573</v>
      </c>
    </row>
    <row r="667" spans="1:35" ht="18" x14ac:dyDescent="0.35">
      <c r="A667" s="10" t="s">
        <v>2372</v>
      </c>
      <c r="B667" s="10"/>
      <c r="C667" s="28" t="s">
        <v>1563</v>
      </c>
      <c r="D667" s="12"/>
      <c r="E667" s="12"/>
      <c r="F667" s="29" t="s">
        <v>490</v>
      </c>
      <c r="G667" s="30">
        <v>15</v>
      </c>
      <c r="H667" s="30"/>
      <c r="I667" s="30">
        <v>1582.5</v>
      </c>
      <c r="J667" s="31">
        <v>0.95</v>
      </c>
      <c r="M667" s="32">
        <f t="shared" si="59"/>
        <v>1503.38</v>
      </c>
      <c r="P667" s="33">
        <v>0.95</v>
      </c>
      <c r="S667" s="32">
        <f t="shared" si="60"/>
        <v>1503.38</v>
      </c>
      <c r="V667" s="9">
        <f t="shared" si="61"/>
        <v>0.79</v>
      </c>
      <c r="Y667" s="9">
        <f t="shared" si="55"/>
        <v>1252.82</v>
      </c>
      <c r="AD667" s="4" t="s">
        <v>2373</v>
      </c>
      <c r="AE667" s="4" t="s">
        <v>2374</v>
      </c>
      <c r="AF667" s="4" t="s">
        <v>1566</v>
      </c>
    </row>
    <row r="668" spans="1:35" ht="36" x14ac:dyDescent="0.35">
      <c r="A668" s="10" t="s">
        <v>2375</v>
      </c>
      <c r="B668" s="10"/>
      <c r="C668" s="47" t="s">
        <v>1584</v>
      </c>
      <c r="D668" s="12"/>
      <c r="E668" s="12"/>
      <c r="F668" s="29" t="s">
        <v>490</v>
      </c>
      <c r="G668" s="30">
        <v>3.6</v>
      </c>
      <c r="H668" s="30"/>
      <c r="I668" s="30">
        <v>379.8</v>
      </c>
      <c r="J668" s="31">
        <v>15.9</v>
      </c>
      <c r="M668" s="32">
        <f t="shared" si="59"/>
        <v>6038.82</v>
      </c>
      <c r="P668" s="33">
        <v>15.9</v>
      </c>
      <c r="S668" s="32">
        <f t="shared" si="60"/>
        <v>6038.82</v>
      </c>
      <c r="V668" s="9">
        <f t="shared" si="61"/>
        <v>13.25</v>
      </c>
      <c r="Y668" s="9">
        <f t="shared" si="55"/>
        <v>5032.3500000000004</v>
      </c>
      <c r="AD668" s="4" t="s">
        <v>2376</v>
      </c>
      <c r="AE668" s="4" t="s">
        <v>2377</v>
      </c>
      <c r="AF668" s="4" t="s">
        <v>1587</v>
      </c>
    </row>
    <row r="669" spans="1:35" ht="72" x14ac:dyDescent="0.35">
      <c r="A669" s="10" t="s">
        <v>2378</v>
      </c>
      <c r="B669" s="10" t="s">
        <v>1556</v>
      </c>
      <c r="C669" s="11" t="s">
        <v>1557</v>
      </c>
      <c r="D669" s="12"/>
      <c r="E669" s="12" t="s">
        <v>1634</v>
      </c>
      <c r="F669" s="12" t="s">
        <v>63</v>
      </c>
      <c r="G669" s="13">
        <v>1</v>
      </c>
      <c r="H669" s="13"/>
      <c r="I669" s="13">
        <v>454.4</v>
      </c>
      <c r="J669" s="14">
        <f>IFERROR(ROUND(SUM(M670,M671,M672,M673,M674,M675,M676,M677,M678,M679)/I669, 2),0)</f>
        <v>584.54999999999995</v>
      </c>
      <c r="K669" s="15">
        <v>1379</v>
      </c>
      <c r="L669" s="14">
        <f>J669+ROUND(K669, 2)</f>
        <v>1963.55</v>
      </c>
      <c r="M669" s="14">
        <f>ROUND(J669*I669, 2)</f>
        <v>265619.52</v>
      </c>
      <c r="N669" s="14">
        <f>ROUND(I669*ROUND(K669, 2), 2)</f>
        <v>626617.59999999998</v>
      </c>
      <c r="O669" s="14">
        <f>M669+N669</f>
        <v>892237.12</v>
      </c>
      <c r="P669" s="14">
        <f>IFERROR(ROUND(SUM(S670,S671,S672,S673,S674,S675,S676,S677,S678,S679)/I669, 2),0)</f>
        <v>584.54999999999995</v>
      </c>
      <c r="Q669" s="16">
        <v>1958.18</v>
      </c>
      <c r="R669" s="14">
        <f>P669+ROUND(Q669, 2)</f>
        <v>2542.73</v>
      </c>
      <c r="S669" s="14">
        <f>ROUND(P669*I669, 2)</f>
        <v>265619.52</v>
      </c>
      <c r="T669" s="14">
        <f>ROUND(I669*ROUND(Q669, 2), 2)</f>
        <v>889796.99</v>
      </c>
      <c r="U669" s="14">
        <f>S669+T669</f>
        <v>1155416.51</v>
      </c>
      <c r="V669" s="9">
        <f>ROUND(P669 / 1.2, 2)</f>
        <v>487.13</v>
      </c>
      <c r="W669" s="9">
        <f>ROUND(Q669 / 1.2, 2)</f>
        <v>1631.82</v>
      </c>
      <c r="X669" s="9">
        <f>ROUND(R669 / 1.2, 2)</f>
        <v>2118.94</v>
      </c>
      <c r="Y669" s="9">
        <f t="shared" si="55"/>
        <v>221349.6</v>
      </c>
      <c r="Z669" s="9">
        <f>ROUND(T669 / 1.2, 2)</f>
        <v>741497.49</v>
      </c>
      <c r="AA669" s="9">
        <f>Y669+Z669</f>
        <v>962847.09</v>
      </c>
      <c r="AD669" s="4">
        <v>295860001</v>
      </c>
      <c r="AE669" s="4">
        <v>22502059</v>
      </c>
      <c r="AG669" s="4" t="s">
        <v>1558</v>
      </c>
      <c r="AH669" s="4" t="s">
        <v>1559</v>
      </c>
      <c r="AI669" s="4" t="s">
        <v>467</v>
      </c>
    </row>
    <row r="670" spans="1:35" ht="18" x14ac:dyDescent="0.35">
      <c r="A670" s="10" t="s">
        <v>2379</v>
      </c>
      <c r="B670" s="10"/>
      <c r="C670" s="28" t="s">
        <v>1577</v>
      </c>
      <c r="D670" s="12"/>
      <c r="E670" s="12"/>
      <c r="F670" s="29" t="s">
        <v>490</v>
      </c>
      <c r="G670" s="30">
        <v>0.3</v>
      </c>
      <c r="H670" s="30"/>
      <c r="I670" s="30">
        <v>136.32</v>
      </c>
      <c r="J670" s="31">
        <v>5.6</v>
      </c>
      <c r="M670" s="32">
        <f t="shared" ref="M670:M679" si="62">ROUND(ROUND(J670, 2)*I670, 2)</f>
        <v>763.39</v>
      </c>
      <c r="P670" s="33">
        <v>5.6</v>
      </c>
      <c r="S670" s="32">
        <f t="shared" ref="S670:S679" si="63">ROUND(ROUND(P670, 2)*I670, 2)</f>
        <v>763.39</v>
      </c>
      <c r="V670" s="9">
        <f t="shared" ref="V670:V679" si="64">ROUND(ROUND(P670, 2)/1.2, 2)</f>
        <v>4.67</v>
      </c>
      <c r="Y670" s="9">
        <f t="shared" si="55"/>
        <v>636.16</v>
      </c>
      <c r="AD670" s="4" t="s">
        <v>2380</v>
      </c>
      <c r="AE670" s="4" t="s">
        <v>2381</v>
      </c>
      <c r="AF670" s="4" t="s">
        <v>1580</v>
      </c>
    </row>
    <row r="671" spans="1:35" ht="36" x14ac:dyDescent="0.35">
      <c r="A671" s="10" t="s">
        <v>2382</v>
      </c>
      <c r="B671" s="10"/>
      <c r="C671" s="47" t="s">
        <v>1584</v>
      </c>
      <c r="D671" s="12"/>
      <c r="E671" s="12"/>
      <c r="F671" s="29" t="s">
        <v>490</v>
      </c>
      <c r="G671" s="30">
        <v>3.6</v>
      </c>
      <c r="H671" s="30"/>
      <c r="I671" s="30">
        <v>1635.84</v>
      </c>
      <c r="J671" s="31">
        <v>15.9</v>
      </c>
      <c r="M671" s="32">
        <f t="shared" si="62"/>
        <v>26009.86</v>
      </c>
      <c r="P671" s="33">
        <v>15.9</v>
      </c>
      <c r="S671" s="32">
        <f t="shared" si="63"/>
        <v>26009.86</v>
      </c>
      <c r="V671" s="9">
        <f t="shared" si="64"/>
        <v>13.25</v>
      </c>
      <c r="Y671" s="9">
        <f t="shared" si="55"/>
        <v>21674.880000000001</v>
      </c>
      <c r="AD671" s="4" t="s">
        <v>2383</v>
      </c>
      <c r="AE671" s="4" t="s">
        <v>2384</v>
      </c>
      <c r="AF671" s="4" t="s">
        <v>1587</v>
      </c>
    </row>
    <row r="672" spans="1:35" ht="18" x14ac:dyDescent="0.35">
      <c r="A672" s="10" t="s">
        <v>2385</v>
      </c>
      <c r="B672" s="10"/>
      <c r="C672" s="28" t="s">
        <v>1563</v>
      </c>
      <c r="D672" s="12"/>
      <c r="E672" s="12"/>
      <c r="F672" s="29" t="s">
        <v>490</v>
      </c>
      <c r="G672" s="30">
        <v>15</v>
      </c>
      <c r="H672" s="30"/>
      <c r="I672" s="30">
        <v>6816</v>
      </c>
      <c r="J672" s="31">
        <v>0.95</v>
      </c>
      <c r="M672" s="32">
        <f t="shared" si="62"/>
        <v>6475.2</v>
      </c>
      <c r="P672" s="33">
        <v>0.95</v>
      </c>
      <c r="S672" s="32">
        <f t="shared" si="63"/>
        <v>6475.2</v>
      </c>
      <c r="V672" s="9">
        <f t="shared" si="64"/>
        <v>0.79</v>
      </c>
      <c r="Y672" s="9">
        <f t="shared" si="55"/>
        <v>5396</v>
      </c>
      <c r="AD672" s="4" t="s">
        <v>2386</v>
      </c>
      <c r="AE672" s="4" t="s">
        <v>2387</v>
      </c>
      <c r="AF672" s="4" t="s">
        <v>1566</v>
      </c>
    </row>
    <row r="673" spans="1:35" ht="18" x14ac:dyDescent="0.35">
      <c r="A673" s="10" t="s">
        <v>2388</v>
      </c>
      <c r="B673" s="10"/>
      <c r="C673" s="28" t="s">
        <v>1570</v>
      </c>
      <c r="D673" s="12"/>
      <c r="E673" s="12"/>
      <c r="F673" s="29" t="s">
        <v>498</v>
      </c>
      <c r="G673" s="30">
        <v>0.35</v>
      </c>
      <c r="H673" s="30"/>
      <c r="I673" s="30">
        <v>159.04</v>
      </c>
      <c r="J673" s="31">
        <v>55</v>
      </c>
      <c r="M673" s="32">
        <f t="shared" si="62"/>
        <v>8747.2000000000007</v>
      </c>
      <c r="P673" s="33">
        <v>55</v>
      </c>
      <c r="S673" s="32">
        <f t="shared" si="63"/>
        <v>8747.2000000000007</v>
      </c>
      <c r="V673" s="9">
        <f t="shared" si="64"/>
        <v>45.83</v>
      </c>
      <c r="Y673" s="9">
        <f t="shared" si="55"/>
        <v>7289.33</v>
      </c>
      <c r="AD673" s="4" t="s">
        <v>2389</v>
      </c>
      <c r="AE673" s="4" t="s">
        <v>2390</v>
      </c>
      <c r="AF673" s="4" t="s">
        <v>1573</v>
      </c>
    </row>
    <row r="674" spans="1:35" ht="18" x14ac:dyDescent="0.35">
      <c r="A674" s="10" t="s">
        <v>2391</v>
      </c>
      <c r="B674" s="10"/>
      <c r="C674" s="28" t="s">
        <v>1612</v>
      </c>
      <c r="D674" s="12"/>
      <c r="E674" s="12"/>
      <c r="F674" s="29" t="s">
        <v>78</v>
      </c>
      <c r="G674" s="30">
        <v>0.25</v>
      </c>
      <c r="H674" s="30"/>
      <c r="I674" s="30">
        <v>113.6</v>
      </c>
      <c r="J674" s="31">
        <v>2.8</v>
      </c>
      <c r="M674" s="32">
        <f t="shared" si="62"/>
        <v>318.08</v>
      </c>
      <c r="P674" s="33">
        <v>2.8</v>
      </c>
      <c r="S674" s="32">
        <f t="shared" si="63"/>
        <v>318.08</v>
      </c>
      <c r="V674" s="9">
        <f t="shared" si="64"/>
        <v>2.33</v>
      </c>
      <c r="Y674" s="9">
        <f t="shared" si="55"/>
        <v>265.07</v>
      </c>
      <c r="AD674" s="4" t="s">
        <v>2392</v>
      </c>
      <c r="AE674" s="4" t="s">
        <v>2393</v>
      </c>
      <c r="AF674" s="4" t="s">
        <v>1615</v>
      </c>
    </row>
    <row r="675" spans="1:35" ht="18" x14ac:dyDescent="0.35">
      <c r="A675" s="10" t="s">
        <v>2394</v>
      </c>
      <c r="B675" s="10"/>
      <c r="C675" s="28" t="s">
        <v>1591</v>
      </c>
      <c r="D675" s="12"/>
      <c r="E675" s="12"/>
      <c r="F675" s="29" t="s">
        <v>78</v>
      </c>
      <c r="G675" s="30">
        <v>1.2</v>
      </c>
      <c r="H675" s="30"/>
      <c r="I675" s="30">
        <v>545.28</v>
      </c>
      <c r="J675" s="31">
        <v>22.82</v>
      </c>
      <c r="M675" s="32">
        <f t="shared" si="62"/>
        <v>12443.29</v>
      </c>
      <c r="P675" s="33">
        <v>22.82</v>
      </c>
      <c r="S675" s="32">
        <f t="shared" si="63"/>
        <v>12443.29</v>
      </c>
      <c r="V675" s="9">
        <f t="shared" si="64"/>
        <v>19.02</v>
      </c>
      <c r="Y675" s="9">
        <f t="shared" si="55"/>
        <v>10369.41</v>
      </c>
      <c r="AD675" s="4" t="s">
        <v>2395</v>
      </c>
      <c r="AE675" s="4" t="s">
        <v>2396</v>
      </c>
      <c r="AF675" s="4" t="s">
        <v>1594</v>
      </c>
    </row>
    <row r="676" spans="1:35" ht="18" x14ac:dyDescent="0.35">
      <c r="A676" s="10" t="s">
        <v>2397</v>
      </c>
      <c r="B676" s="10"/>
      <c r="C676" s="28" t="s">
        <v>1598</v>
      </c>
      <c r="D676" s="12"/>
      <c r="E676" s="12"/>
      <c r="F676" s="29" t="s">
        <v>78</v>
      </c>
      <c r="G676" s="30">
        <v>4.7</v>
      </c>
      <c r="H676" s="30"/>
      <c r="I676" s="30">
        <v>2135.6799999999998</v>
      </c>
      <c r="J676" s="31">
        <v>66.98</v>
      </c>
      <c r="M676" s="32">
        <f t="shared" si="62"/>
        <v>143047.85</v>
      </c>
      <c r="P676" s="33">
        <v>66.98</v>
      </c>
      <c r="S676" s="32">
        <f t="shared" si="63"/>
        <v>143047.85</v>
      </c>
      <c r="V676" s="9">
        <f t="shared" si="64"/>
        <v>55.82</v>
      </c>
      <c r="Y676" s="9">
        <f t="shared" si="55"/>
        <v>119206.54</v>
      </c>
      <c r="AD676" s="4" t="s">
        <v>2398</v>
      </c>
      <c r="AE676" s="4" t="s">
        <v>2399</v>
      </c>
      <c r="AF676" s="4" t="s">
        <v>1601</v>
      </c>
    </row>
    <row r="677" spans="1:35" ht="18" x14ac:dyDescent="0.35">
      <c r="A677" s="10" t="s">
        <v>2400</v>
      </c>
      <c r="B677" s="10"/>
      <c r="C677" s="28" t="s">
        <v>1605</v>
      </c>
      <c r="D677" s="12"/>
      <c r="E677" s="12"/>
      <c r="F677" s="29" t="s">
        <v>78</v>
      </c>
      <c r="G677" s="30">
        <v>1.05</v>
      </c>
      <c r="H677" s="30"/>
      <c r="I677" s="30">
        <v>477.12</v>
      </c>
      <c r="J677" s="31">
        <v>4.5999999999999996</v>
      </c>
      <c r="M677" s="32">
        <f t="shared" si="62"/>
        <v>2194.75</v>
      </c>
      <c r="P677" s="33">
        <v>4.5999999999999996</v>
      </c>
      <c r="S677" s="32">
        <f t="shared" si="63"/>
        <v>2194.75</v>
      </c>
      <c r="V677" s="9">
        <f t="shared" si="64"/>
        <v>3.83</v>
      </c>
      <c r="Y677" s="9">
        <f t="shared" si="55"/>
        <v>1828.96</v>
      </c>
      <c r="AD677" s="4" t="s">
        <v>2401</v>
      </c>
      <c r="AE677" s="4" t="s">
        <v>2402</v>
      </c>
      <c r="AF677" s="4" t="s">
        <v>1608</v>
      </c>
    </row>
    <row r="678" spans="1:35" ht="36" x14ac:dyDescent="0.35">
      <c r="A678" s="10" t="s">
        <v>2403</v>
      </c>
      <c r="B678" s="10"/>
      <c r="C678" s="28" t="s">
        <v>100</v>
      </c>
      <c r="D678" s="12"/>
      <c r="E678" s="12"/>
      <c r="F678" s="29" t="s">
        <v>63</v>
      </c>
      <c r="G678" s="30">
        <v>1.05</v>
      </c>
      <c r="H678" s="30"/>
      <c r="I678" s="30">
        <v>477.12</v>
      </c>
      <c r="J678" s="31">
        <v>135.53</v>
      </c>
      <c r="M678" s="32">
        <f t="shared" si="62"/>
        <v>64664.07</v>
      </c>
      <c r="P678" s="33">
        <v>135.53</v>
      </c>
      <c r="S678" s="32">
        <f t="shared" si="63"/>
        <v>64664.07</v>
      </c>
      <c r="V678" s="9">
        <f t="shared" si="64"/>
        <v>112.94</v>
      </c>
      <c r="Y678" s="9">
        <f t="shared" si="55"/>
        <v>53886.73</v>
      </c>
      <c r="AD678" s="4" t="s">
        <v>2404</v>
      </c>
      <c r="AE678" s="4" t="s">
        <v>2405</v>
      </c>
      <c r="AF678" s="4" t="s">
        <v>103</v>
      </c>
    </row>
    <row r="679" spans="1:35" ht="18" x14ac:dyDescent="0.35">
      <c r="A679" s="10" t="s">
        <v>2406</v>
      </c>
      <c r="B679" s="10"/>
      <c r="C679" s="28" t="s">
        <v>1626</v>
      </c>
      <c r="D679" s="12"/>
      <c r="E679" s="12"/>
      <c r="F679" s="29" t="s">
        <v>490</v>
      </c>
      <c r="G679" s="30">
        <v>0.75</v>
      </c>
      <c r="H679" s="30"/>
      <c r="I679" s="30">
        <v>340.8</v>
      </c>
      <c r="J679" s="31">
        <v>2.8</v>
      </c>
      <c r="M679" s="32">
        <f t="shared" si="62"/>
        <v>954.24</v>
      </c>
      <c r="P679" s="33">
        <v>2.8</v>
      </c>
      <c r="S679" s="32">
        <f t="shared" si="63"/>
        <v>954.24</v>
      </c>
      <c r="V679" s="9">
        <f t="shared" si="64"/>
        <v>2.33</v>
      </c>
      <c r="Y679" s="9">
        <f t="shared" si="55"/>
        <v>795.2</v>
      </c>
      <c r="AD679" s="4" t="s">
        <v>2407</v>
      </c>
      <c r="AE679" s="4" t="s">
        <v>2408</v>
      </c>
      <c r="AF679" s="4" t="s">
        <v>1629</v>
      </c>
    </row>
    <row r="680" spans="1:35" ht="108" x14ac:dyDescent="0.35">
      <c r="A680" s="10" t="s">
        <v>2409</v>
      </c>
      <c r="B680" s="10" t="s">
        <v>1831</v>
      </c>
      <c r="C680" s="11" t="s">
        <v>1832</v>
      </c>
      <c r="D680" s="12"/>
      <c r="E680" s="12" t="s">
        <v>1836</v>
      </c>
      <c r="F680" s="12" t="s">
        <v>63</v>
      </c>
      <c r="G680" s="13">
        <v>1</v>
      </c>
      <c r="H680" s="13"/>
      <c r="I680" s="13">
        <v>170.6</v>
      </c>
      <c r="J680" s="14">
        <f>IFERROR(ROUND(SUM(M681)/I680, 2),0)</f>
        <v>855.89</v>
      </c>
      <c r="K680" s="15">
        <v>963</v>
      </c>
      <c r="L680" s="14">
        <f>J680+ROUND(K680, 2)</f>
        <v>1818.8899999999999</v>
      </c>
      <c r="M680" s="14">
        <f>ROUND(J680*I680, 2)</f>
        <v>146014.82999999999</v>
      </c>
      <c r="N680" s="14">
        <f>ROUND(I680*ROUND(K680, 2), 2)</f>
        <v>164287.79999999999</v>
      </c>
      <c r="O680" s="14">
        <f>M680+N680</f>
        <v>310302.63</v>
      </c>
      <c r="P680" s="14">
        <f>IFERROR(ROUND(SUM(S681)/I680, 2),0)</f>
        <v>855.89</v>
      </c>
      <c r="Q680" s="16">
        <v>1367.46</v>
      </c>
      <c r="R680" s="14">
        <f>P680+ROUND(Q680, 2)</f>
        <v>2223.35</v>
      </c>
      <c r="S680" s="14">
        <f>ROUND(P680*I680, 2)</f>
        <v>146014.82999999999</v>
      </c>
      <c r="T680" s="14">
        <f>ROUND(I680*ROUND(Q680, 2), 2)</f>
        <v>233288.68</v>
      </c>
      <c r="U680" s="14">
        <f>S680+T680</f>
        <v>379303.51</v>
      </c>
      <c r="V680" s="9">
        <f>ROUND(P680 / 1.2, 2)</f>
        <v>713.24</v>
      </c>
      <c r="W680" s="9">
        <f>ROUND(Q680 / 1.2, 2)</f>
        <v>1139.55</v>
      </c>
      <c r="X680" s="9">
        <f>ROUND(R680 / 1.2, 2)</f>
        <v>1852.79</v>
      </c>
      <c r="Y680" s="9">
        <f t="shared" si="55"/>
        <v>121679.03</v>
      </c>
      <c r="Z680" s="9">
        <f>ROUND(T680 / 1.2, 2)</f>
        <v>194407.23</v>
      </c>
      <c r="AA680" s="9">
        <f>Y680+Z680</f>
        <v>316086.26</v>
      </c>
      <c r="AD680" s="4">
        <v>295859974</v>
      </c>
      <c r="AE680" s="4">
        <v>22502071</v>
      </c>
      <c r="AG680" s="4" t="s">
        <v>1833</v>
      </c>
      <c r="AH680" s="4" t="s">
        <v>1834</v>
      </c>
      <c r="AI680" s="4" t="s">
        <v>467</v>
      </c>
    </row>
    <row r="681" spans="1:35" ht="18" x14ac:dyDescent="0.35">
      <c r="A681" s="10" t="s">
        <v>2410</v>
      </c>
      <c r="B681" s="10"/>
      <c r="C681" s="47" t="s">
        <v>1838</v>
      </c>
      <c r="D681" s="12"/>
      <c r="E681" s="12"/>
      <c r="F681" s="29" t="s">
        <v>63</v>
      </c>
      <c r="G681" s="30">
        <v>1.1000000000000001</v>
      </c>
      <c r="H681" s="49"/>
      <c r="I681" s="49">
        <v>187.66</v>
      </c>
      <c r="J681" s="31">
        <v>778.08</v>
      </c>
      <c r="M681" s="32">
        <f>ROUND(ROUND(J681, 2)*I681, 2)</f>
        <v>146014.49</v>
      </c>
      <c r="P681" s="33">
        <v>778.08</v>
      </c>
      <c r="S681" s="32">
        <f>ROUND(ROUND(P681, 2)*I681, 2)</f>
        <v>146014.49</v>
      </c>
      <c r="V681" s="9">
        <f>ROUND(ROUND(P681, 2)/1.2, 2)</f>
        <v>648.4</v>
      </c>
      <c r="Y681" s="9">
        <f t="shared" si="55"/>
        <v>121678.74</v>
      </c>
      <c r="AD681" s="4" t="s">
        <v>2411</v>
      </c>
      <c r="AE681" s="4" t="s">
        <v>2412</v>
      </c>
      <c r="AF681" s="4" t="s">
        <v>1841</v>
      </c>
    </row>
    <row r="682" spans="1:35" ht="17" customHeight="1" x14ac:dyDescent="0.35">
      <c r="A682" s="10" t="s">
        <v>2413</v>
      </c>
      <c r="B682" s="10" t="s">
        <v>1849</v>
      </c>
      <c r="C682" s="174" t="s">
        <v>1850</v>
      </c>
      <c r="D682" s="175"/>
      <c r="E682" s="175"/>
      <c r="F682" s="175"/>
      <c r="G682" s="175"/>
      <c r="H682" s="175"/>
      <c r="I682" s="176"/>
      <c r="M682" s="6">
        <f>SUM(M683,M684)</f>
        <v>0</v>
      </c>
      <c r="N682" s="6">
        <f>SUM(N683,N684)</f>
        <v>1522701</v>
      </c>
      <c r="O682" s="6">
        <f>SUM(O683,O684)</f>
        <v>1522701</v>
      </c>
      <c r="S682" s="6">
        <f>SUM(S683,S684)</f>
        <v>0</v>
      </c>
      <c r="T682" s="6">
        <f>SUM(T683,T684)</f>
        <v>8263565.5599999996</v>
      </c>
      <c r="U682" s="6">
        <f>SUM(U683,U684)</f>
        <v>8263565.5599999996</v>
      </c>
      <c r="Y682" s="9">
        <f>SUM(Y683,Y684)</f>
        <v>0</v>
      </c>
      <c r="Z682" s="9">
        <f>SUM(Z683,Z684)</f>
        <v>6886304.6300000008</v>
      </c>
      <c r="AA682" s="9">
        <f>SUM(AA683,AA684)</f>
        <v>6886304.6300000008</v>
      </c>
      <c r="AD682" s="4">
        <v>295859975</v>
      </c>
      <c r="AE682" s="4">
        <v>22502006</v>
      </c>
    </row>
    <row r="683" spans="1:35" ht="54" x14ac:dyDescent="0.35">
      <c r="A683" s="10" t="s">
        <v>2414</v>
      </c>
      <c r="B683" s="10" t="s">
        <v>1852</v>
      </c>
      <c r="C683" s="11" t="s">
        <v>1853</v>
      </c>
      <c r="D683" s="12" t="s">
        <v>1854</v>
      </c>
      <c r="E683" s="12"/>
      <c r="F683" s="12" t="s">
        <v>1855</v>
      </c>
      <c r="G683" s="13">
        <v>1</v>
      </c>
      <c r="H683" s="13"/>
      <c r="I683" s="13">
        <v>9</v>
      </c>
      <c r="J683" s="14">
        <v>0</v>
      </c>
      <c r="K683" s="15">
        <v>169189</v>
      </c>
      <c r="L683" s="14">
        <f>J683+ROUND(K683, 2)</f>
        <v>169189</v>
      </c>
      <c r="M683" s="14">
        <v>0</v>
      </c>
      <c r="N683" s="14">
        <f>ROUND(I683*ROUND(K683, 2), 2)</f>
        <v>1522701</v>
      </c>
      <c r="O683" s="14">
        <f>M683+N683</f>
        <v>1522701</v>
      </c>
      <c r="P683" s="14">
        <v>0</v>
      </c>
      <c r="Q683" s="16">
        <v>240248.38</v>
      </c>
      <c r="R683" s="14">
        <f>P683+ROUND(Q683, 2)</f>
        <v>240248.38</v>
      </c>
      <c r="S683" s="14">
        <v>0</v>
      </c>
      <c r="T683" s="14">
        <f>ROUND(I683*ROUND(Q683, 2), 2)</f>
        <v>2162235.42</v>
      </c>
      <c r="U683" s="14">
        <f>S683+T683</f>
        <v>2162235.42</v>
      </c>
      <c r="V683" s="9"/>
      <c r="W683" s="9">
        <f>ROUND(Q683 / 1.2, 2)</f>
        <v>200206.98</v>
      </c>
      <c r="X683" s="9">
        <f>ROUND(R683 / 1.2, 2)</f>
        <v>200206.98</v>
      </c>
      <c r="Y683" s="9"/>
      <c r="Z683" s="9">
        <f>ROUND(T683 / 1.2, 2)</f>
        <v>1801862.85</v>
      </c>
      <c r="AA683" s="9">
        <f>Y683+Z683</f>
        <v>1801862.85</v>
      </c>
      <c r="AD683" s="4">
        <v>295859977</v>
      </c>
      <c r="AE683" s="4">
        <v>22502015</v>
      </c>
      <c r="AG683" s="4" t="s">
        <v>1856</v>
      </c>
      <c r="AH683" s="4" t="s">
        <v>1857</v>
      </c>
      <c r="AI683" s="4" t="s">
        <v>467</v>
      </c>
    </row>
    <row r="684" spans="1:35" ht="36" x14ac:dyDescent="0.35">
      <c r="A684" s="10" t="s">
        <v>2415</v>
      </c>
      <c r="B684" s="10" t="s">
        <v>2416</v>
      </c>
      <c r="C684" s="11" t="s">
        <v>2417</v>
      </c>
      <c r="D684" s="12" t="s">
        <v>2418</v>
      </c>
      <c r="E684" s="12"/>
      <c r="F684" s="12" t="s">
        <v>2419</v>
      </c>
      <c r="G684" s="13">
        <v>1</v>
      </c>
      <c r="H684" s="13"/>
      <c r="I684" s="13">
        <v>1</v>
      </c>
      <c r="J684" s="14">
        <v>0</v>
      </c>
      <c r="K684" s="15">
        <v>0</v>
      </c>
      <c r="L684" s="14">
        <f>J684+ROUND(K684, 2)</f>
        <v>0</v>
      </c>
      <c r="M684" s="14">
        <v>0</v>
      </c>
      <c r="N684" s="14">
        <f>ROUND(I684*ROUND(K684, 2), 2)</f>
        <v>0</v>
      </c>
      <c r="O684" s="14">
        <f>M684+N684</f>
        <v>0</v>
      </c>
      <c r="P684" s="14">
        <v>0</v>
      </c>
      <c r="Q684" s="16">
        <v>6101330.1399999997</v>
      </c>
      <c r="R684" s="14">
        <f>P684+ROUND(Q684, 2)</f>
        <v>6101330.1399999997</v>
      </c>
      <c r="S684" s="14">
        <v>0</v>
      </c>
      <c r="T684" s="14">
        <f>ROUND(I684*ROUND(Q684, 2), 2)</f>
        <v>6101330.1399999997</v>
      </c>
      <c r="U684" s="14">
        <f>S684+T684</f>
        <v>6101330.1399999997</v>
      </c>
      <c r="V684" s="9"/>
      <c r="W684" s="9">
        <f>ROUND(Q684 / 1.2, 2)</f>
        <v>5084441.78</v>
      </c>
      <c r="X684" s="9">
        <f>ROUND(R684 / 1.2, 2)</f>
        <v>5084441.78</v>
      </c>
      <c r="Y684" s="9"/>
      <c r="Z684" s="9">
        <f>ROUND(T684 / 1.2, 2)</f>
        <v>5084441.78</v>
      </c>
      <c r="AA684" s="9">
        <f>Y684+Z684</f>
        <v>5084441.78</v>
      </c>
      <c r="AD684" s="4">
        <v>295859979</v>
      </c>
      <c r="AE684" s="4">
        <v>22599661</v>
      </c>
      <c r="AG684" s="4" t="s">
        <v>2420</v>
      </c>
      <c r="AH684" s="4" t="s">
        <v>2421</v>
      </c>
      <c r="AI684" s="4" t="s">
        <v>467</v>
      </c>
    </row>
    <row r="685" spans="1:35" ht="24" customHeight="1" x14ac:dyDescent="0.35">
      <c r="A685" s="64"/>
      <c r="B685" s="64"/>
      <c r="C685" s="64"/>
      <c r="D685" s="65" t="s">
        <v>2422</v>
      </c>
      <c r="E685" s="64"/>
      <c r="F685" s="64"/>
      <c r="G685" s="64"/>
      <c r="H685" s="64"/>
      <c r="I685" s="64"/>
      <c r="J685" s="64"/>
      <c r="K685" s="64"/>
      <c r="L685" s="64"/>
      <c r="M685" s="66">
        <f>SUM(M8,M452)</f>
        <v>65084872.160000004</v>
      </c>
      <c r="N685" s="66">
        <f>SUM(N8,N452)</f>
        <v>85694697.920000002</v>
      </c>
      <c r="O685" s="66">
        <f>M685+N685</f>
        <v>150779570.08000001</v>
      </c>
      <c r="P685" s="64"/>
      <c r="Q685" s="64"/>
      <c r="R685" s="64"/>
      <c r="S685" s="66">
        <f>SUM(S8,S452)</f>
        <v>65084872.160000004</v>
      </c>
      <c r="T685" s="66">
        <f>SUM(T8,T452)</f>
        <v>128127932.99000001</v>
      </c>
      <c r="U685" s="66">
        <f>S685+T685</f>
        <v>193212805.15000001</v>
      </c>
      <c r="Y685" s="9">
        <f>SUM(Y8,Y452)</f>
        <v>54237393.520000003</v>
      </c>
      <c r="Z685" s="9">
        <f>SUM(Z8,Z452)</f>
        <v>106773277.51000001</v>
      </c>
      <c r="AA685" s="9">
        <f>Y685+Z685</f>
        <v>161010671.03</v>
      </c>
    </row>
    <row r="686" spans="1:35" ht="22.5" x14ac:dyDescent="0.35">
      <c r="A686" s="171" t="s">
        <v>2430</v>
      </c>
      <c r="B686" s="172"/>
      <c r="C686" s="172"/>
      <c r="D686" s="172"/>
      <c r="E686" s="172"/>
      <c r="F686" s="172"/>
      <c r="G686" s="172"/>
      <c r="H686" s="172"/>
      <c r="I686" s="172"/>
      <c r="J686" s="172"/>
      <c r="K686" s="172"/>
      <c r="L686" s="172"/>
      <c r="M686" s="172"/>
      <c r="N686" s="172"/>
      <c r="O686" s="172"/>
      <c r="P686" s="172"/>
      <c r="Q686" s="172"/>
      <c r="R686" s="172"/>
      <c r="S686" s="172"/>
      <c r="T686" s="172"/>
      <c r="U686" s="173"/>
    </row>
    <row r="687" spans="1:35" ht="15.5" x14ac:dyDescent="0.35">
      <c r="A687" s="68"/>
      <c r="B687" s="5" t="s">
        <v>2431</v>
      </c>
      <c r="C687" s="67" t="s">
        <v>2432</v>
      </c>
      <c r="D687" s="67" t="s">
        <v>2433</v>
      </c>
      <c r="E687" s="69"/>
      <c r="F687" s="69"/>
      <c r="G687" s="69"/>
      <c r="H687" s="169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70"/>
    </row>
    <row r="688" spans="1:35" ht="15.5" x14ac:dyDescent="0.35">
      <c r="A688" s="68"/>
      <c r="B688" s="5" t="s">
        <v>2434</v>
      </c>
      <c r="C688" s="67" t="s">
        <v>2435</v>
      </c>
      <c r="D688" s="67" t="s">
        <v>2436</v>
      </c>
      <c r="E688" s="69"/>
      <c r="F688" s="69"/>
      <c r="G688" s="69"/>
      <c r="H688" s="169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70"/>
    </row>
    <row r="689" spans="1:21" ht="31" x14ac:dyDescent="0.35">
      <c r="A689" s="68"/>
      <c r="B689" s="5" t="s">
        <v>2437</v>
      </c>
      <c r="C689" s="67" t="s">
        <v>2438</v>
      </c>
      <c r="D689" s="67" t="s">
        <v>2439</v>
      </c>
      <c r="E689" s="69"/>
      <c r="F689" s="69"/>
      <c r="G689" s="69"/>
      <c r="H689" s="169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70"/>
    </row>
    <row r="690" spans="1:21" ht="15.5" x14ac:dyDescent="0.35">
      <c r="A690" s="68"/>
      <c r="B690" s="5" t="s">
        <v>2440</v>
      </c>
      <c r="C690" s="67" t="s">
        <v>2441</v>
      </c>
      <c r="D690" s="67" t="s">
        <v>2442</v>
      </c>
      <c r="E690" s="69"/>
      <c r="F690" s="69"/>
      <c r="G690" s="69"/>
      <c r="H690" s="169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70"/>
    </row>
    <row r="691" spans="1:21" ht="15.5" x14ac:dyDescent="0.35">
      <c r="A691" s="68"/>
      <c r="B691" s="5" t="s">
        <v>2443</v>
      </c>
      <c r="C691" s="67" t="s">
        <v>2444</v>
      </c>
      <c r="D691" s="67" t="s">
        <v>2436</v>
      </c>
      <c r="E691" s="69"/>
      <c r="F691" s="69"/>
      <c r="G691" s="69"/>
      <c r="H691" s="169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70"/>
    </row>
    <row r="692" spans="1:21" ht="31" x14ac:dyDescent="0.35">
      <c r="A692" s="68"/>
      <c r="B692" s="5" t="s">
        <v>2445</v>
      </c>
      <c r="C692" s="67" t="s">
        <v>2446</v>
      </c>
      <c r="D692" s="67" t="s">
        <v>2447</v>
      </c>
      <c r="E692" s="69"/>
      <c r="F692" s="69"/>
      <c r="G692" s="69"/>
      <c r="H692" s="169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70"/>
    </row>
    <row r="693" spans="1:21" ht="31" x14ac:dyDescent="0.35">
      <c r="A693" s="68"/>
      <c r="B693" s="5" t="s">
        <v>2448</v>
      </c>
      <c r="C693" s="67" t="s">
        <v>2449</v>
      </c>
      <c r="D693" s="67" t="s">
        <v>2450</v>
      </c>
      <c r="E693" s="69"/>
      <c r="F693" s="69"/>
      <c r="G693" s="69"/>
      <c r="H693" s="169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70"/>
    </row>
    <row r="694" spans="1:21" ht="15.5" x14ac:dyDescent="0.35">
      <c r="A694" s="68"/>
      <c r="B694" s="5" t="s">
        <v>2451</v>
      </c>
      <c r="C694" s="67" t="s">
        <v>2452</v>
      </c>
      <c r="D694" s="67" t="s">
        <v>2453</v>
      </c>
      <c r="E694" s="69"/>
      <c r="F694" s="69"/>
      <c r="G694" s="69"/>
      <c r="H694" s="169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70"/>
    </row>
    <row r="695" spans="1:21" ht="15.5" x14ac:dyDescent="0.35">
      <c r="A695" s="68"/>
      <c r="B695" s="5" t="s">
        <v>2454</v>
      </c>
      <c r="C695" s="67" t="s">
        <v>2455</v>
      </c>
      <c r="D695" s="67" t="s">
        <v>2456</v>
      </c>
      <c r="E695" s="69"/>
      <c r="F695" s="69"/>
      <c r="G695" s="69"/>
      <c r="H695" s="169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70"/>
    </row>
    <row r="696" spans="1:21" ht="31" x14ac:dyDescent="0.35">
      <c r="A696" s="68"/>
      <c r="B696" s="5" t="s">
        <v>2457</v>
      </c>
      <c r="C696" s="67" t="s">
        <v>2458</v>
      </c>
      <c r="D696" s="67" t="s">
        <v>2459</v>
      </c>
      <c r="E696" s="69"/>
      <c r="F696" s="69"/>
      <c r="G696" s="69"/>
      <c r="H696" s="169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70"/>
    </row>
    <row r="697" spans="1:21" ht="46.5" x14ac:dyDescent="0.35">
      <c r="A697" s="68"/>
      <c r="B697" s="5" t="s">
        <v>2460</v>
      </c>
      <c r="C697" s="67" t="s">
        <v>2461</v>
      </c>
      <c r="D697" s="67" t="s">
        <v>2462</v>
      </c>
      <c r="E697" s="69"/>
      <c r="F697" s="69"/>
      <c r="G697" s="69"/>
      <c r="H697" s="169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70"/>
    </row>
    <row r="698" spans="1:21" ht="31" x14ac:dyDescent="0.35">
      <c r="A698" s="68"/>
      <c r="B698" s="5" t="s">
        <v>2463</v>
      </c>
      <c r="C698" s="67" t="s">
        <v>2464</v>
      </c>
      <c r="D698" s="67" t="s">
        <v>2465</v>
      </c>
      <c r="E698" s="69"/>
      <c r="F698" s="69"/>
      <c r="G698" s="69"/>
      <c r="H698" s="169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70"/>
    </row>
    <row r="699" spans="1:21" ht="15.5" x14ac:dyDescent="0.35">
      <c r="A699" s="68"/>
      <c r="B699" s="5" t="s">
        <v>2466</v>
      </c>
      <c r="C699" s="67" t="s">
        <v>2467</v>
      </c>
      <c r="D699" s="67" t="s">
        <v>2468</v>
      </c>
      <c r="E699" s="69"/>
      <c r="F699" s="69"/>
      <c r="G699" s="69"/>
      <c r="H699" s="169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70"/>
    </row>
    <row r="700" spans="1:21" ht="48" customHeight="1" x14ac:dyDescent="0.35">
      <c r="A700" s="68"/>
      <c r="B700" s="5" t="s">
        <v>2469</v>
      </c>
      <c r="C700" s="67" t="s">
        <v>2470</v>
      </c>
      <c r="D700" s="67" t="s">
        <v>2471</v>
      </c>
      <c r="E700" s="69"/>
      <c r="F700" s="69"/>
      <c r="G700" s="69"/>
      <c r="H700" s="169" t="s">
        <v>2472</v>
      </c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70"/>
    </row>
    <row r="701" spans="1:21" ht="15.5" x14ac:dyDescent="0.35">
      <c r="A701" s="68"/>
      <c r="B701" s="5" t="s">
        <v>2473</v>
      </c>
      <c r="C701" s="67" t="s">
        <v>2474</v>
      </c>
      <c r="D701" s="67" t="s">
        <v>2475</v>
      </c>
      <c r="E701" s="69"/>
      <c r="F701" s="69"/>
      <c r="G701" s="69"/>
      <c r="H701" s="169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70"/>
    </row>
    <row r="702" spans="1:21" ht="15.5" x14ac:dyDescent="0.35">
      <c r="A702" s="68"/>
      <c r="B702" s="5" t="s">
        <v>2476</v>
      </c>
      <c r="C702" s="67" t="s">
        <v>2477</v>
      </c>
      <c r="D702" s="69"/>
      <c r="E702" s="69"/>
      <c r="F702" s="69"/>
      <c r="G702" s="69"/>
      <c r="H702" s="169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70"/>
    </row>
    <row r="703" spans="1:21" ht="15.5" x14ac:dyDescent="0.35">
      <c r="A703" s="68"/>
      <c r="B703" s="5" t="s">
        <v>2478</v>
      </c>
      <c r="C703" s="67" t="s">
        <v>2479</v>
      </c>
      <c r="D703" s="69"/>
      <c r="E703" s="69"/>
      <c r="F703" s="69"/>
      <c r="G703" s="69"/>
      <c r="H703" s="169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70"/>
    </row>
    <row r="704" spans="1:21" ht="15.5" x14ac:dyDescent="0.35">
      <c r="A704" s="68"/>
      <c r="B704" s="5" t="s">
        <v>2480</v>
      </c>
      <c r="C704" s="67" t="s">
        <v>2481</v>
      </c>
      <c r="D704" s="69"/>
      <c r="E704" s="69"/>
      <c r="F704" s="69"/>
      <c r="G704" s="69"/>
      <c r="H704" s="169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70"/>
    </row>
  </sheetData>
  <sheetProtection password="C644" sheet="1" formatColumns="0" autoFilter="0"/>
  <autoFilter ref="A7:U7" xr:uid="{00000000-0009-0000-0000-000001000000}"/>
  <mergeCells count="86">
    <mergeCell ref="H700:U700"/>
    <mergeCell ref="H701:U701"/>
    <mergeCell ref="H702:U702"/>
    <mergeCell ref="H703:U703"/>
    <mergeCell ref="H704:U704"/>
    <mergeCell ref="H695:U695"/>
    <mergeCell ref="H696:U696"/>
    <mergeCell ref="H697:U697"/>
    <mergeCell ref="H698:U698"/>
    <mergeCell ref="H699:U699"/>
    <mergeCell ref="H690:U690"/>
    <mergeCell ref="H691:U691"/>
    <mergeCell ref="H692:U692"/>
    <mergeCell ref="H693:U693"/>
    <mergeCell ref="H694:U694"/>
    <mergeCell ref="C682:I682"/>
    <mergeCell ref="A686:U686"/>
    <mergeCell ref="H687:U687"/>
    <mergeCell ref="H688:U688"/>
    <mergeCell ref="H689:U689"/>
    <mergeCell ref="C605:I605"/>
    <mergeCell ref="C619:I619"/>
    <mergeCell ref="C620:I620"/>
    <mergeCell ref="C629:I629"/>
    <mergeCell ref="C642:I642"/>
    <mergeCell ref="C511:I511"/>
    <mergeCell ref="C523:I523"/>
    <mergeCell ref="C546:I546"/>
    <mergeCell ref="C598:I598"/>
    <mergeCell ref="C599:I599"/>
    <mergeCell ref="C458:I458"/>
    <mergeCell ref="C507:I507"/>
    <mergeCell ref="C508:I508"/>
    <mergeCell ref="C509:I509"/>
    <mergeCell ref="C510:I510"/>
    <mergeCell ref="C453:I453"/>
    <mergeCell ref="C454:I454"/>
    <mergeCell ref="C455:I455"/>
    <mergeCell ref="C456:I456"/>
    <mergeCell ref="C457:I457"/>
    <mergeCell ref="C327:I327"/>
    <mergeCell ref="C344:I344"/>
    <mergeCell ref="C369:I369"/>
    <mergeCell ref="C449:I449"/>
    <mergeCell ref="A452:I452"/>
    <mergeCell ref="C182:I182"/>
    <mergeCell ref="C287:I287"/>
    <mergeCell ref="C288:I288"/>
    <mergeCell ref="C299:I299"/>
    <mergeCell ref="C326:I326"/>
    <mergeCell ref="C111:I111"/>
    <mergeCell ref="C112:I112"/>
    <mergeCell ref="C113:I113"/>
    <mergeCell ref="C114:I114"/>
    <mergeCell ref="C137:I137"/>
    <mergeCell ref="C11:I11"/>
    <mergeCell ref="C12:I12"/>
    <mergeCell ref="C13:I13"/>
    <mergeCell ref="C14:I14"/>
    <mergeCell ref="C110:I110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6C72-46CC-4301-9CAB-395B71B6D289}">
  <sheetPr>
    <tabColor rgb="FF00B050"/>
  </sheetPr>
  <dimension ref="A1:U687"/>
  <sheetViews>
    <sheetView tabSelected="1" view="pageBreakPreview" zoomScale="34" zoomScaleNormal="42" zoomScaleSheetLayoutView="34" workbookViewId="0">
      <selection activeCell="M459" sqref="M459"/>
    </sheetView>
  </sheetViews>
  <sheetFormatPr defaultRowHeight="14.5" x14ac:dyDescent="0.35"/>
  <cols>
    <col min="1" max="1" width="20" customWidth="1"/>
    <col min="2" max="2" width="21.7265625" bestFit="1" customWidth="1"/>
    <col min="3" max="3" width="56.7265625" customWidth="1"/>
    <col min="4" max="4" width="32.36328125" customWidth="1"/>
    <col min="5" max="5" width="43.08984375" customWidth="1"/>
    <col min="6" max="7" width="16.453125" customWidth="1"/>
    <col min="8" max="8" width="16" customWidth="1"/>
    <col min="9" max="9" width="16.81640625" customWidth="1"/>
    <col min="10" max="10" width="22.54296875" customWidth="1"/>
    <col min="11" max="11" width="17" customWidth="1"/>
    <col min="12" max="12" width="17.6328125" customWidth="1"/>
    <col min="13" max="13" width="24.36328125" customWidth="1"/>
    <col min="14" max="14" width="18.81640625" customWidth="1"/>
    <col min="15" max="15" width="23.6328125" customWidth="1"/>
    <col min="16" max="16" width="16" customWidth="1"/>
    <col min="17" max="17" width="20.26953125" customWidth="1"/>
    <col min="18" max="18" width="26.08984375" customWidth="1"/>
    <col min="19" max="19" width="22.7265625" customWidth="1"/>
    <col min="20" max="20" width="23.90625" customWidth="1"/>
    <col min="21" max="21" width="31.08984375" customWidth="1"/>
  </cols>
  <sheetData>
    <row r="1" spans="1:21" ht="15" customHeight="1" x14ac:dyDescent="0.35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2423</v>
      </c>
      <c r="H1" s="2" t="s">
        <v>2424</v>
      </c>
      <c r="I1" s="2" t="s">
        <v>2425</v>
      </c>
      <c r="J1" s="2" t="s">
        <v>2426</v>
      </c>
      <c r="K1" s="2" t="s">
        <v>2427</v>
      </c>
      <c r="L1" s="2" t="s">
        <v>2428</v>
      </c>
      <c r="M1" s="2" t="s">
        <v>2429</v>
      </c>
      <c r="N1" s="3"/>
      <c r="O1" s="3"/>
      <c r="P1" s="3"/>
      <c r="Q1" s="3"/>
      <c r="R1" s="3"/>
      <c r="S1" s="3"/>
      <c r="T1" s="3"/>
      <c r="U1" s="3"/>
    </row>
    <row r="2" spans="1:21" ht="30.75" customHeight="1" x14ac:dyDescent="0.35">
      <c r="A2" s="157" t="s">
        <v>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</row>
    <row r="3" spans="1:21" ht="15" customHeight="1" x14ac:dyDescent="0.35">
      <c r="A3" s="158" t="s">
        <v>5</v>
      </c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</row>
    <row r="4" spans="1:21" ht="15" customHeight="1" thickBot="1" x14ac:dyDescent="0.4">
      <c r="A4" s="159" t="s">
        <v>6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</row>
    <row r="5" spans="1:21" ht="40.75" customHeight="1" thickBot="1" x14ac:dyDescent="0.4">
      <c r="A5" s="166" t="s">
        <v>24</v>
      </c>
      <c r="B5" s="166" t="s">
        <v>25</v>
      </c>
      <c r="C5" s="166" t="s">
        <v>26</v>
      </c>
      <c r="D5" s="166" t="s">
        <v>27</v>
      </c>
      <c r="E5" s="166" t="s">
        <v>28</v>
      </c>
      <c r="F5" s="166" t="s">
        <v>29</v>
      </c>
      <c r="G5" s="166" t="s">
        <v>30</v>
      </c>
      <c r="H5" s="166" t="s">
        <v>31</v>
      </c>
      <c r="I5" s="166" t="s">
        <v>32</v>
      </c>
      <c r="J5" s="160"/>
      <c r="K5" s="161"/>
      <c r="L5" s="161"/>
      <c r="M5" s="161"/>
      <c r="N5" s="161"/>
      <c r="O5" s="161"/>
      <c r="P5" s="196" t="s">
        <v>8</v>
      </c>
      <c r="Q5" s="197"/>
      <c r="R5" s="198"/>
      <c r="S5" s="164" t="s">
        <v>9</v>
      </c>
      <c r="T5" s="164"/>
      <c r="U5" s="165"/>
    </row>
    <row r="6" spans="1:21" ht="15.75" customHeight="1" x14ac:dyDescent="0.35">
      <c r="A6" s="167"/>
      <c r="B6" s="167"/>
      <c r="C6" s="167"/>
      <c r="D6" s="167"/>
      <c r="E6" s="167"/>
      <c r="F6" s="167"/>
      <c r="G6" s="167"/>
      <c r="H6" s="167"/>
      <c r="I6" s="167"/>
      <c r="J6" s="169"/>
      <c r="K6" s="170"/>
      <c r="L6" s="166"/>
      <c r="M6" s="169"/>
      <c r="N6" s="170"/>
      <c r="O6" s="201"/>
      <c r="P6" s="203" t="s">
        <v>33</v>
      </c>
      <c r="Q6" s="183"/>
      <c r="R6" s="199" t="s">
        <v>33</v>
      </c>
      <c r="S6" s="183" t="s">
        <v>36</v>
      </c>
      <c r="T6" s="170"/>
      <c r="U6" s="166" t="s">
        <v>37</v>
      </c>
    </row>
    <row r="7" spans="1:21" ht="31.25" customHeight="1" x14ac:dyDescent="0.35">
      <c r="A7" s="168"/>
      <c r="B7" s="168"/>
      <c r="C7" s="168"/>
      <c r="D7" s="168"/>
      <c r="E7" s="168"/>
      <c r="F7" s="168"/>
      <c r="G7" s="168"/>
      <c r="H7" s="168"/>
      <c r="I7" s="168"/>
      <c r="J7" s="5"/>
      <c r="K7" s="5"/>
      <c r="L7" s="168"/>
      <c r="M7" s="5"/>
      <c r="N7" s="5"/>
      <c r="O7" s="202"/>
      <c r="P7" s="79" t="s">
        <v>34</v>
      </c>
      <c r="Q7" s="70" t="s">
        <v>35</v>
      </c>
      <c r="R7" s="200"/>
      <c r="S7" s="71" t="s">
        <v>34</v>
      </c>
      <c r="T7" s="5" t="s">
        <v>35</v>
      </c>
      <c r="U7" s="168"/>
    </row>
    <row r="8" spans="1:21" ht="30" customHeight="1" x14ac:dyDescent="0.5">
      <c r="A8" s="171" t="s">
        <v>38</v>
      </c>
      <c r="B8" s="172"/>
      <c r="C8" s="172"/>
      <c r="D8" s="172"/>
      <c r="E8" s="172"/>
      <c r="F8" s="172"/>
      <c r="G8" s="172"/>
      <c r="H8" s="172"/>
      <c r="I8" s="173"/>
      <c r="J8" s="7"/>
      <c r="K8" s="7"/>
      <c r="L8" s="7"/>
      <c r="M8" s="8"/>
      <c r="N8" s="8"/>
      <c r="O8" s="72"/>
      <c r="P8" s="80"/>
      <c r="Q8" s="7"/>
      <c r="R8" s="88"/>
      <c r="S8" s="75">
        <f>SUM(S9)</f>
        <v>0</v>
      </c>
      <c r="T8" s="8">
        <f>SUM(T9)</f>
        <v>0</v>
      </c>
      <c r="U8" s="8">
        <f>SUM(U9)</f>
        <v>0</v>
      </c>
    </row>
    <row r="9" spans="1:21" ht="17" customHeight="1" x14ac:dyDescent="0.5">
      <c r="A9" s="10" t="s">
        <v>40</v>
      </c>
      <c r="B9" s="10" t="s">
        <v>41</v>
      </c>
      <c r="C9" s="174" t="s">
        <v>42</v>
      </c>
      <c r="D9" s="175"/>
      <c r="E9" s="175"/>
      <c r="F9" s="175"/>
      <c r="G9" s="175"/>
      <c r="H9" s="175"/>
      <c r="I9" s="176"/>
      <c r="M9" s="6"/>
      <c r="N9" s="6"/>
      <c r="O9" s="73"/>
      <c r="P9" s="81"/>
      <c r="R9" s="89"/>
      <c r="S9" s="76">
        <f>SUM(S10,S110)</f>
        <v>0</v>
      </c>
      <c r="T9" s="6">
        <f>SUM(T10,T110)</f>
        <v>0</v>
      </c>
      <c r="U9" s="6">
        <f>SUM(U10,U110)</f>
        <v>0</v>
      </c>
    </row>
    <row r="10" spans="1:21" ht="17" customHeight="1" x14ac:dyDescent="0.5">
      <c r="A10" s="10" t="s">
        <v>43</v>
      </c>
      <c r="B10" s="10" t="s">
        <v>44</v>
      </c>
      <c r="C10" s="174" t="s">
        <v>45</v>
      </c>
      <c r="D10" s="175"/>
      <c r="E10" s="175"/>
      <c r="F10" s="175"/>
      <c r="G10" s="175"/>
      <c r="H10" s="175"/>
      <c r="I10" s="176"/>
      <c r="M10" s="6"/>
      <c r="N10" s="6"/>
      <c r="O10" s="73"/>
      <c r="P10" s="81"/>
      <c r="R10" s="89"/>
      <c r="S10" s="76">
        <f t="shared" ref="S10:U13" si="0">SUM(S11)</f>
        <v>0</v>
      </c>
      <c r="T10" s="6">
        <f t="shared" si="0"/>
        <v>0</v>
      </c>
      <c r="U10" s="6">
        <f t="shared" si="0"/>
        <v>0</v>
      </c>
    </row>
    <row r="11" spans="1:21" ht="17" customHeight="1" x14ac:dyDescent="0.5">
      <c r="A11" s="10" t="s">
        <v>46</v>
      </c>
      <c r="B11" s="10" t="s">
        <v>47</v>
      </c>
      <c r="C11" s="174" t="s">
        <v>48</v>
      </c>
      <c r="D11" s="175"/>
      <c r="E11" s="175"/>
      <c r="F11" s="175"/>
      <c r="G11" s="175"/>
      <c r="H11" s="175"/>
      <c r="I11" s="176"/>
      <c r="M11" s="6"/>
      <c r="N11" s="6"/>
      <c r="O11" s="73"/>
      <c r="P11" s="81"/>
      <c r="R11" s="89"/>
      <c r="S11" s="76">
        <f t="shared" si="0"/>
        <v>0</v>
      </c>
      <c r="T11" s="6">
        <f t="shared" si="0"/>
        <v>0</v>
      </c>
      <c r="U11" s="6">
        <f t="shared" si="0"/>
        <v>0</v>
      </c>
    </row>
    <row r="12" spans="1:21" ht="17" customHeight="1" x14ac:dyDescent="0.5">
      <c r="A12" s="10" t="s">
        <v>49</v>
      </c>
      <c r="B12" s="10" t="s">
        <v>50</v>
      </c>
      <c r="C12" s="174" t="s">
        <v>51</v>
      </c>
      <c r="D12" s="175"/>
      <c r="E12" s="175"/>
      <c r="F12" s="175"/>
      <c r="G12" s="175"/>
      <c r="H12" s="175"/>
      <c r="I12" s="176"/>
      <c r="M12" s="6"/>
      <c r="N12" s="6"/>
      <c r="O12" s="73"/>
      <c r="P12" s="81"/>
      <c r="R12" s="89"/>
      <c r="S12" s="76">
        <f t="shared" si="0"/>
        <v>0</v>
      </c>
      <c r="T12" s="6">
        <f t="shared" si="0"/>
        <v>0</v>
      </c>
      <c r="U12" s="6">
        <f t="shared" si="0"/>
        <v>0</v>
      </c>
    </row>
    <row r="13" spans="1:21" ht="17" customHeight="1" x14ac:dyDescent="0.5">
      <c r="A13" s="10" t="s">
        <v>52</v>
      </c>
      <c r="B13" s="10" t="s">
        <v>53</v>
      </c>
      <c r="C13" s="174" t="s">
        <v>54</v>
      </c>
      <c r="D13" s="175"/>
      <c r="E13" s="175"/>
      <c r="F13" s="175"/>
      <c r="G13" s="175"/>
      <c r="H13" s="175"/>
      <c r="I13" s="176"/>
      <c r="M13" s="6"/>
      <c r="N13" s="6"/>
      <c r="O13" s="73"/>
      <c r="P13" s="81"/>
      <c r="R13" s="89"/>
      <c r="S13" s="76">
        <f t="shared" si="0"/>
        <v>0</v>
      </c>
      <c r="T13" s="6">
        <f t="shared" si="0"/>
        <v>0</v>
      </c>
      <c r="U13" s="6">
        <f t="shared" si="0"/>
        <v>0</v>
      </c>
    </row>
    <row r="14" spans="1:21" ht="25" customHeight="1" x14ac:dyDescent="0.5">
      <c r="A14" s="10" t="s">
        <v>55</v>
      </c>
      <c r="B14" s="10" t="s">
        <v>56</v>
      </c>
      <c r="C14" s="174" t="s">
        <v>57</v>
      </c>
      <c r="D14" s="175"/>
      <c r="E14" s="175"/>
      <c r="F14" s="175"/>
      <c r="G14" s="175"/>
      <c r="H14" s="175"/>
      <c r="I14" s="176"/>
      <c r="M14" s="6"/>
      <c r="N14" s="6"/>
      <c r="O14" s="73"/>
      <c r="P14" s="81"/>
      <c r="R14" s="89"/>
      <c r="S14" s="76">
        <f>SUM(S15,S21,S27,S33,S38,S44,S50,S56,S62,S68,S74,S80,S86,S92,S98,S104)</f>
        <v>0</v>
      </c>
      <c r="T14" s="6">
        <f>SUM(T15,T21,T27,T33,T38,T44,T50,T56,T62,T68,T74,T80,T86,T92,T98,T104)</f>
        <v>0</v>
      </c>
      <c r="U14" s="6">
        <f>SUM(U15,U21,U27,U33,U38,U44,U50,U56,U62,U68,U74,U80,U86,U92,U98,U104)</f>
        <v>0</v>
      </c>
    </row>
    <row r="15" spans="1:21" ht="198" hidden="1" x14ac:dyDescent="0.35">
      <c r="A15" s="10" t="s">
        <v>58</v>
      </c>
      <c r="B15" s="10" t="s">
        <v>59</v>
      </c>
      <c r="C15" s="11" t="s">
        <v>60</v>
      </c>
      <c r="D15" s="12" t="s">
        <v>61</v>
      </c>
      <c r="E15" s="12" t="s">
        <v>62</v>
      </c>
      <c r="F15" s="12" t="s">
        <v>63</v>
      </c>
      <c r="G15" s="13">
        <v>1</v>
      </c>
      <c r="H15" s="13"/>
      <c r="I15" s="13">
        <v>0</v>
      </c>
      <c r="J15" s="14">
        <v>1117.5999999999999</v>
      </c>
      <c r="K15" s="15">
        <v>1991</v>
      </c>
      <c r="L15" s="14">
        <f>J15+ROUND(K15, 2)</f>
        <v>3108.6</v>
      </c>
      <c r="M15" s="14"/>
      <c r="N15" s="14"/>
      <c r="O15" s="74"/>
      <c r="P15" s="82">
        <v>1117.5999999999999</v>
      </c>
      <c r="Q15" s="85">
        <v>1991</v>
      </c>
      <c r="R15" s="90">
        <f>P15+ROUND(Q15, 2)</f>
        <v>3108.6</v>
      </c>
      <c r="S15" s="77">
        <v>0</v>
      </c>
      <c r="T15" s="14">
        <v>0</v>
      </c>
      <c r="U15" s="14">
        <f>S15+T15</f>
        <v>0</v>
      </c>
    </row>
    <row r="16" spans="1:21" ht="28.5" hidden="1" customHeight="1" x14ac:dyDescent="0.5">
      <c r="A16" s="10" t="s">
        <v>68</v>
      </c>
      <c r="B16" s="10"/>
      <c r="C16" s="28" t="s">
        <v>69</v>
      </c>
      <c r="D16" s="12"/>
      <c r="E16" s="12"/>
      <c r="F16" s="29" t="s">
        <v>70</v>
      </c>
      <c r="G16" s="30">
        <v>1</v>
      </c>
      <c r="H16" s="30"/>
      <c r="I16" s="30">
        <v>0</v>
      </c>
      <c r="J16" s="31">
        <v>88.35</v>
      </c>
      <c r="M16" s="32"/>
      <c r="P16" s="83">
        <v>88.35</v>
      </c>
      <c r="R16" s="89"/>
      <c r="S16" s="78">
        <f>ROUND(ROUND(P16, 2)*I16, 2)</f>
        <v>0</v>
      </c>
    </row>
    <row r="17" spans="1:21" ht="21" hidden="1" x14ac:dyDescent="0.5">
      <c r="A17" s="10" t="s">
        <v>76</v>
      </c>
      <c r="B17" s="10"/>
      <c r="C17" s="47" t="s">
        <v>77</v>
      </c>
      <c r="D17" s="12"/>
      <c r="E17" s="12"/>
      <c r="F17" s="29" t="s">
        <v>78</v>
      </c>
      <c r="G17" s="30">
        <v>0.8</v>
      </c>
      <c r="H17" s="49"/>
      <c r="I17" s="49">
        <v>0</v>
      </c>
      <c r="J17" s="31">
        <v>63.73</v>
      </c>
      <c r="M17" s="32"/>
      <c r="P17" s="83">
        <v>63.73</v>
      </c>
      <c r="R17" s="89"/>
      <c r="S17" s="78">
        <f>ROUND(ROUND(P17, 2)*I17, 2)</f>
        <v>0</v>
      </c>
    </row>
    <row r="18" spans="1:21" ht="21" hidden="1" x14ac:dyDescent="0.5">
      <c r="A18" s="10" t="s">
        <v>84</v>
      </c>
      <c r="B18" s="10"/>
      <c r="C18" s="47" t="s">
        <v>85</v>
      </c>
      <c r="D18" s="12"/>
      <c r="E18" s="12"/>
      <c r="F18" s="29" t="s">
        <v>78</v>
      </c>
      <c r="G18" s="30">
        <v>2.1</v>
      </c>
      <c r="H18" s="49"/>
      <c r="I18" s="49">
        <v>0</v>
      </c>
      <c r="J18" s="31">
        <v>95.07</v>
      </c>
      <c r="M18" s="32"/>
      <c r="P18" s="83">
        <v>95.07</v>
      </c>
      <c r="R18" s="89"/>
      <c r="S18" s="78">
        <f>ROUND(ROUND(P18, 2)*I18, 2)</f>
        <v>0</v>
      </c>
    </row>
    <row r="19" spans="1:21" ht="36" hidden="1" x14ac:dyDescent="0.5">
      <c r="A19" s="10" t="s">
        <v>91</v>
      </c>
      <c r="B19" s="10"/>
      <c r="C19" s="47" t="s">
        <v>92</v>
      </c>
      <c r="D19" s="12"/>
      <c r="E19" s="12"/>
      <c r="F19" s="29" t="s">
        <v>93</v>
      </c>
      <c r="G19" s="30">
        <v>5.1999999999999998E-2</v>
      </c>
      <c r="H19" s="30"/>
      <c r="I19" s="30">
        <v>0</v>
      </c>
      <c r="J19" s="31">
        <v>4026.8</v>
      </c>
      <c r="M19" s="32"/>
      <c r="P19" s="83">
        <v>4026.8</v>
      </c>
      <c r="R19" s="89"/>
      <c r="S19" s="78">
        <f>ROUND(ROUND(P19, 2)*I19, 2)</f>
        <v>0</v>
      </c>
    </row>
    <row r="20" spans="1:21" ht="36" hidden="1" x14ac:dyDescent="0.5">
      <c r="A20" s="10" t="s">
        <v>99</v>
      </c>
      <c r="B20" s="10"/>
      <c r="C20" s="28" t="s">
        <v>100</v>
      </c>
      <c r="D20" s="12"/>
      <c r="E20" s="12"/>
      <c r="F20" s="29" t="s">
        <v>63</v>
      </c>
      <c r="G20" s="30">
        <v>4.2</v>
      </c>
      <c r="H20" s="30"/>
      <c r="I20" s="30">
        <v>0</v>
      </c>
      <c r="J20" s="31">
        <v>135.53</v>
      </c>
      <c r="M20" s="32"/>
      <c r="P20" s="83">
        <v>135.53</v>
      </c>
      <c r="R20" s="89"/>
      <c r="S20" s="78">
        <f>ROUND(ROUND(P20, 2)*I20, 2)</f>
        <v>0</v>
      </c>
    </row>
    <row r="21" spans="1:21" ht="54" hidden="1" x14ac:dyDescent="0.35">
      <c r="A21" s="10" t="s">
        <v>106</v>
      </c>
      <c r="B21" s="10" t="s">
        <v>59</v>
      </c>
      <c r="C21" s="11" t="s">
        <v>60</v>
      </c>
      <c r="D21" s="12" t="s">
        <v>61</v>
      </c>
      <c r="E21" s="12"/>
      <c r="F21" s="12" t="s">
        <v>63</v>
      </c>
      <c r="G21" s="13">
        <v>1</v>
      </c>
      <c r="H21" s="13"/>
      <c r="I21" s="13">
        <v>0</v>
      </c>
      <c r="J21" s="14">
        <f>IFERROR(ROUND(SUM(M22,M23,M24,M25,M26)/I21, 2),0)</f>
        <v>0</v>
      </c>
      <c r="K21" s="15">
        <v>1991</v>
      </c>
      <c r="L21" s="14">
        <f>J21+ROUND(K21, 2)</f>
        <v>1991</v>
      </c>
      <c r="M21" s="14"/>
      <c r="N21" s="14"/>
      <c r="O21" s="74"/>
      <c r="P21" s="82">
        <f>IFERROR(ROUND(SUM(S22,S23,S24,S25,S26)/I21, 2),0)</f>
        <v>0</v>
      </c>
      <c r="Q21" s="86">
        <v>2986.5</v>
      </c>
      <c r="R21" s="90">
        <f>P21+ROUND(Q21, 2)</f>
        <v>2986.5</v>
      </c>
      <c r="S21" s="77">
        <f>ROUND(P21*I21, 2)</f>
        <v>0</v>
      </c>
      <c r="T21" s="14">
        <f>ROUND(I21*ROUND(Q21, 2), 2)</f>
        <v>0</v>
      </c>
      <c r="U21" s="14">
        <f>S21+T21</f>
        <v>0</v>
      </c>
    </row>
    <row r="22" spans="1:21" ht="36" hidden="1" x14ac:dyDescent="0.5">
      <c r="A22" s="10" t="s">
        <v>107</v>
      </c>
      <c r="B22" s="10"/>
      <c r="C22" s="28" t="s">
        <v>100</v>
      </c>
      <c r="D22" s="12"/>
      <c r="E22" s="12"/>
      <c r="F22" s="29" t="s">
        <v>63</v>
      </c>
      <c r="G22" s="30">
        <v>4.2</v>
      </c>
      <c r="H22" s="30"/>
      <c r="I22" s="30">
        <v>0</v>
      </c>
      <c r="J22" s="31">
        <v>135.53</v>
      </c>
      <c r="M22" s="32"/>
      <c r="P22" s="84">
        <v>135.53</v>
      </c>
      <c r="R22" s="89"/>
      <c r="S22" s="78">
        <f>ROUND(ROUND(P22, 2)*I22, 2)</f>
        <v>0</v>
      </c>
    </row>
    <row r="23" spans="1:21" ht="36" hidden="1" x14ac:dyDescent="0.5">
      <c r="A23" s="10" t="s">
        <v>110</v>
      </c>
      <c r="B23" s="10"/>
      <c r="C23" s="47" t="s">
        <v>92</v>
      </c>
      <c r="D23" s="12"/>
      <c r="E23" s="12"/>
      <c r="F23" s="29" t="s">
        <v>93</v>
      </c>
      <c r="G23" s="30">
        <v>5.1999999999999998E-2</v>
      </c>
      <c r="H23" s="30"/>
      <c r="I23" s="30">
        <v>0</v>
      </c>
      <c r="J23" s="31">
        <v>4026.8</v>
      </c>
      <c r="M23" s="32"/>
      <c r="P23" s="84">
        <v>4026.8</v>
      </c>
      <c r="R23" s="89"/>
      <c r="S23" s="78">
        <f>ROUND(ROUND(P23, 2)*I23, 2)</f>
        <v>0</v>
      </c>
    </row>
    <row r="24" spans="1:21" ht="21" hidden="1" x14ac:dyDescent="0.5">
      <c r="A24" s="10" t="s">
        <v>113</v>
      </c>
      <c r="B24" s="10"/>
      <c r="C24" s="47" t="s">
        <v>77</v>
      </c>
      <c r="D24" s="12"/>
      <c r="E24" s="12"/>
      <c r="F24" s="29" t="s">
        <v>78</v>
      </c>
      <c r="G24" s="30">
        <v>0.8</v>
      </c>
      <c r="H24" s="49"/>
      <c r="I24" s="49">
        <v>5288.4</v>
      </c>
      <c r="J24" s="31">
        <v>63.72</v>
      </c>
      <c r="M24" s="32"/>
      <c r="P24" s="84">
        <v>63.73</v>
      </c>
      <c r="R24" s="89"/>
      <c r="S24" s="78">
        <f>ROUND(ROUND(P24, 2)*I24, 2)</f>
        <v>337029.73</v>
      </c>
    </row>
    <row r="25" spans="1:21" ht="21" hidden="1" x14ac:dyDescent="0.5">
      <c r="A25" s="10" t="s">
        <v>116</v>
      </c>
      <c r="B25" s="10"/>
      <c r="C25" s="47" t="s">
        <v>85</v>
      </c>
      <c r="D25" s="12"/>
      <c r="E25" s="12"/>
      <c r="F25" s="29" t="s">
        <v>78</v>
      </c>
      <c r="G25" s="30">
        <v>2.1</v>
      </c>
      <c r="H25" s="49"/>
      <c r="I25" s="49">
        <v>13882.05</v>
      </c>
      <c r="J25" s="31">
        <v>95.08</v>
      </c>
      <c r="M25" s="32"/>
      <c r="P25" s="84">
        <v>95.07</v>
      </c>
      <c r="R25" s="89"/>
      <c r="S25" s="78">
        <f>ROUND(ROUND(P25, 2)*I25, 2)</f>
        <v>1319766.49</v>
      </c>
    </row>
    <row r="26" spans="1:21" ht="5.5" hidden="1" customHeight="1" x14ac:dyDescent="0.5">
      <c r="A26" s="10" t="s">
        <v>119</v>
      </c>
      <c r="B26" s="10"/>
      <c r="C26" s="28" t="s">
        <v>69</v>
      </c>
      <c r="D26" s="12"/>
      <c r="E26" s="12"/>
      <c r="F26" s="29" t="s">
        <v>70</v>
      </c>
      <c r="G26" s="30">
        <v>1</v>
      </c>
      <c r="H26" s="30"/>
      <c r="I26" s="30">
        <v>0</v>
      </c>
      <c r="J26" s="31">
        <v>88.36</v>
      </c>
      <c r="M26" s="32"/>
      <c r="P26" s="84">
        <v>88.35</v>
      </c>
      <c r="R26" s="89"/>
      <c r="S26" s="78">
        <f>ROUND(ROUND(P26, 2)*I26, 2)</f>
        <v>0</v>
      </c>
    </row>
    <row r="27" spans="1:21" ht="36" hidden="1" x14ac:dyDescent="0.35">
      <c r="A27" s="10" t="s">
        <v>122</v>
      </c>
      <c r="B27" s="10" t="s">
        <v>123</v>
      </c>
      <c r="C27" s="11" t="s">
        <v>124</v>
      </c>
      <c r="D27" s="12" t="s">
        <v>61</v>
      </c>
      <c r="E27" s="12"/>
      <c r="F27" s="12" t="s">
        <v>63</v>
      </c>
      <c r="G27" s="13">
        <v>1</v>
      </c>
      <c r="H27" s="13"/>
      <c r="I27" s="13">
        <v>0</v>
      </c>
      <c r="J27" s="14">
        <v>1039.98</v>
      </c>
      <c r="K27" s="15">
        <v>1991</v>
      </c>
      <c r="L27" s="14">
        <f>J27+ROUND(K27, 2)</f>
        <v>3030.98</v>
      </c>
      <c r="M27" s="14"/>
      <c r="N27" s="14"/>
      <c r="O27" s="74"/>
      <c r="P27" s="82">
        <v>6856.14</v>
      </c>
      <c r="Q27" s="85">
        <v>1991</v>
      </c>
      <c r="R27" s="90">
        <f>P27+ROUND(Q27, 2)</f>
        <v>8847.14</v>
      </c>
      <c r="S27" s="77">
        <v>0</v>
      </c>
      <c r="T27" s="14">
        <v>0</v>
      </c>
      <c r="U27" s="14">
        <f>S27+T27</f>
        <v>0</v>
      </c>
    </row>
    <row r="28" spans="1:21" ht="54" hidden="1" x14ac:dyDescent="0.5">
      <c r="A28" s="10" t="s">
        <v>129</v>
      </c>
      <c r="B28" s="10"/>
      <c r="C28" s="28" t="s">
        <v>69</v>
      </c>
      <c r="D28" s="12"/>
      <c r="E28" s="12"/>
      <c r="F28" s="29" t="s">
        <v>70</v>
      </c>
      <c r="G28" s="30">
        <v>1</v>
      </c>
      <c r="H28" s="30"/>
      <c r="I28" s="30">
        <v>0</v>
      </c>
      <c r="J28" s="31">
        <v>88.35</v>
      </c>
      <c r="M28" s="32"/>
      <c r="P28" s="83">
        <v>88.35</v>
      </c>
      <c r="R28" s="89"/>
      <c r="S28" s="78">
        <f>ROUND(ROUND(P28, 2)*I28, 2)</f>
        <v>0</v>
      </c>
    </row>
    <row r="29" spans="1:21" ht="21" hidden="1" x14ac:dyDescent="0.5">
      <c r="A29" s="10" t="s">
        <v>134</v>
      </c>
      <c r="B29" s="10"/>
      <c r="C29" s="47" t="s">
        <v>135</v>
      </c>
      <c r="D29" s="12"/>
      <c r="E29" s="12"/>
      <c r="F29" s="29" t="s">
        <v>78</v>
      </c>
      <c r="G29" s="30">
        <v>2.04</v>
      </c>
      <c r="H29" s="49"/>
      <c r="I29" s="49">
        <v>0</v>
      </c>
      <c r="J29" s="31">
        <v>64.56</v>
      </c>
      <c r="M29" s="32"/>
      <c r="P29" s="83">
        <v>64.56</v>
      </c>
      <c r="R29" s="89"/>
      <c r="S29" s="78">
        <f>ROUND(ROUND(P29, 2)*I29, 2)</f>
        <v>0</v>
      </c>
    </row>
    <row r="30" spans="1:21" ht="21" hidden="1" x14ac:dyDescent="0.5">
      <c r="A30" s="10" t="s">
        <v>141</v>
      </c>
      <c r="B30" s="10"/>
      <c r="C30" s="47" t="s">
        <v>142</v>
      </c>
      <c r="D30" s="12"/>
      <c r="E30" s="12"/>
      <c r="F30" s="29" t="s">
        <v>78</v>
      </c>
      <c r="G30" s="30">
        <v>0.8</v>
      </c>
      <c r="H30" s="49"/>
      <c r="I30" s="49">
        <v>0</v>
      </c>
      <c r="J30" s="31">
        <v>51.63</v>
      </c>
      <c r="M30" s="32"/>
      <c r="P30" s="83">
        <v>51.63</v>
      </c>
      <c r="R30" s="89"/>
      <c r="S30" s="78">
        <f>ROUND(ROUND(P30, 2)*I30, 2)</f>
        <v>0</v>
      </c>
    </row>
    <row r="31" spans="1:21" ht="36" hidden="1" x14ac:dyDescent="0.5">
      <c r="A31" s="10" t="s">
        <v>148</v>
      </c>
      <c r="B31" s="10"/>
      <c r="C31" s="47" t="s">
        <v>92</v>
      </c>
      <c r="D31" s="12"/>
      <c r="E31" s="12"/>
      <c r="F31" s="29" t="s">
        <v>93</v>
      </c>
      <c r="G31" s="30">
        <v>5.1999999999999998E-2</v>
      </c>
      <c r="H31" s="30"/>
      <c r="I31" s="30">
        <v>0</v>
      </c>
      <c r="J31" s="31">
        <v>4026.8</v>
      </c>
      <c r="M31" s="32"/>
      <c r="P31" s="83">
        <v>4026.8</v>
      </c>
      <c r="R31" s="89"/>
      <c r="S31" s="78">
        <f>ROUND(ROUND(P31, 2)*I31, 2)</f>
        <v>0</v>
      </c>
    </row>
    <row r="32" spans="1:21" ht="36" hidden="1" x14ac:dyDescent="0.5">
      <c r="A32" s="10" t="s">
        <v>153</v>
      </c>
      <c r="B32" s="10"/>
      <c r="C32" s="28" t="s">
        <v>100</v>
      </c>
      <c r="D32" s="12"/>
      <c r="E32" s="12"/>
      <c r="F32" s="29" t="s">
        <v>63</v>
      </c>
      <c r="G32" s="30">
        <v>4.2</v>
      </c>
      <c r="H32" s="30"/>
      <c r="I32" s="30">
        <v>0</v>
      </c>
      <c r="J32" s="31">
        <v>135.53</v>
      </c>
      <c r="M32" s="32"/>
      <c r="P32" s="83">
        <v>1520.33</v>
      </c>
      <c r="R32" s="89"/>
      <c r="S32" s="78">
        <f>ROUND(ROUND(P32, 2)*I32, 2)</f>
        <v>0</v>
      </c>
    </row>
    <row r="33" spans="1:21" ht="36" hidden="1" x14ac:dyDescent="0.35">
      <c r="A33" s="10" t="s">
        <v>159</v>
      </c>
      <c r="B33" s="10" t="s">
        <v>123</v>
      </c>
      <c r="C33" s="11" t="s">
        <v>124</v>
      </c>
      <c r="D33" s="12" t="s">
        <v>61</v>
      </c>
      <c r="E33" s="12"/>
      <c r="F33" s="12" t="s">
        <v>63</v>
      </c>
      <c r="G33" s="13">
        <v>1</v>
      </c>
      <c r="H33" s="13"/>
      <c r="I33" s="13">
        <v>0</v>
      </c>
      <c r="J33" s="14">
        <v>951.65</v>
      </c>
      <c r="K33" s="15">
        <v>1991</v>
      </c>
      <c r="L33" s="14">
        <f>J33+ROUND(K33, 2)</f>
        <v>2942.65</v>
      </c>
      <c r="M33" s="14"/>
      <c r="N33" s="14"/>
      <c r="O33" s="74"/>
      <c r="P33" s="82">
        <v>951.65</v>
      </c>
      <c r="Q33" s="85">
        <v>1991</v>
      </c>
      <c r="R33" s="90">
        <f>P33+ROUND(Q33, 2)</f>
        <v>2942.65</v>
      </c>
      <c r="S33" s="77">
        <v>0</v>
      </c>
      <c r="T33" s="14">
        <v>0</v>
      </c>
      <c r="U33" s="14">
        <f>S33+T33</f>
        <v>0</v>
      </c>
    </row>
    <row r="34" spans="1:21" ht="14" hidden="1" customHeight="1" x14ac:dyDescent="0.5">
      <c r="A34" s="10" t="s">
        <v>162</v>
      </c>
      <c r="B34" s="10"/>
      <c r="C34" s="28" t="s">
        <v>100</v>
      </c>
      <c r="D34" s="12"/>
      <c r="E34" s="12"/>
      <c r="F34" s="29" t="s">
        <v>63</v>
      </c>
      <c r="G34" s="30">
        <v>4.2</v>
      </c>
      <c r="H34" s="30"/>
      <c r="I34" s="30">
        <v>0</v>
      </c>
      <c r="J34" s="31">
        <v>135.53</v>
      </c>
      <c r="M34" s="32"/>
      <c r="P34" s="83">
        <v>135.53</v>
      </c>
      <c r="R34" s="89"/>
      <c r="S34" s="78">
        <f>ROUND(ROUND(P34, 2)*I34, 2)</f>
        <v>0</v>
      </c>
    </row>
    <row r="35" spans="1:21" ht="36" hidden="1" x14ac:dyDescent="0.5">
      <c r="A35" s="10" t="s">
        <v>167</v>
      </c>
      <c r="B35" s="10"/>
      <c r="C35" s="47" t="s">
        <v>92</v>
      </c>
      <c r="D35" s="12"/>
      <c r="E35" s="12"/>
      <c r="F35" s="29" t="s">
        <v>93</v>
      </c>
      <c r="G35" s="30">
        <v>5.1999999999999998E-2</v>
      </c>
      <c r="H35" s="30"/>
      <c r="I35" s="30">
        <v>0</v>
      </c>
      <c r="J35" s="31">
        <v>4026.8</v>
      </c>
      <c r="M35" s="32"/>
      <c r="P35" s="83">
        <v>4026.8</v>
      </c>
      <c r="R35" s="89"/>
      <c r="S35" s="78">
        <f>ROUND(ROUND(P35, 2)*I35, 2)</f>
        <v>0</v>
      </c>
    </row>
    <row r="36" spans="1:21" ht="21" hidden="1" x14ac:dyDescent="0.5">
      <c r="A36" s="10" t="s">
        <v>172</v>
      </c>
      <c r="B36" s="10"/>
      <c r="C36" s="47" t="s">
        <v>135</v>
      </c>
      <c r="D36" s="12"/>
      <c r="E36" s="12"/>
      <c r="F36" s="29" t="s">
        <v>78</v>
      </c>
      <c r="G36" s="30">
        <v>2.04</v>
      </c>
      <c r="H36" s="49"/>
      <c r="I36" s="49">
        <v>0</v>
      </c>
      <c r="J36" s="31">
        <v>64.56</v>
      </c>
      <c r="M36" s="32"/>
      <c r="P36" s="83">
        <v>64.56</v>
      </c>
      <c r="R36" s="89"/>
      <c r="S36" s="78">
        <f>ROUND(ROUND(P36, 2)*I36, 2)</f>
        <v>0</v>
      </c>
    </row>
    <row r="37" spans="1:21" ht="21" hidden="1" x14ac:dyDescent="0.5">
      <c r="A37" s="10" t="s">
        <v>177</v>
      </c>
      <c r="B37" s="10"/>
      <c r="C37" s="47" t="s">
        <v>142</v>
      </c>
      <c r="D37" s="12"/>
      <c r="E37" s="12"/>
      <c r="F37" s="29" t="s">
        <v>78</v>
      </c>
      <c r="G37" s="30">
        <v>0.8</v>
      </c>
      <c r="H37" s="49"/>
      <c r="I37" s="49">
        <v>0</v>
      </c>
      <c r="J37" s="31">
        <v>51.63</v>
      </c>
      <c r="M37" s="32"/>
      <c r="P37" s="83">
        <v>51.63</v>
      </c>
      <c r="R37" s="89"/>
      <c r="S37" s="78">
        <f>ROUND(ROUND(P37, 2)*I37, 2)</f>
        <v>0</v>
      </c>
    </row>
    <row r="38" spans="1:21" ht="234" hidden="1" x14ac:dyDescent="0.35">
      <c r="A38" s="10" t="s">
        <v>182</v>
      </c>
      <c r="B38" s="10" t="s">
        <v>123</v>
      </c>
      <c r="C38" s="11" t="s">
        <v>124</v>
      </c>
      <c r="D38" s="12" t="s">
        <v>61</v>
      </c>
      <c r="E38" s="12" t="s">
        <v>128</v>
      </c>
      <c r="F38" s="12" t="s">
        <v>63</v>
      </c>
      <c r="G38" s="13">
        <v>1</v>
      </c>
      <c r="H38" s="13"/>
      <c r="I38" s="13">
        <v>0</v>
      </c>
      <c r="J38" s="14">
        <f>IFERROR(ROUND(SUM(M39,M40,M41,M42,M43)/I38, 2),0)</f>
        <v>0</v>
      </c>
      <c r="K38" s="15">
        <v>1991</v>
      </c>
      <c r="L38" s="14">
        <f>J38+ROUND(K38, 2)</f>
        <v>1991</v>
      </c>
      <c r="M38" s="14"/>
      <c r="N38" s="14"/>
      <c r="O38" s="74"/>
      <c r="P38" s="82">
        <f>IFERROR(ROUND(SUM(S39,S40,S41,S42,S43)/I38, 2),0)</f>
        <v>0</v>
      </c>
      <c r="Q38" s="86">
        <v>2986.5</v>
      </c>
      <c r="R38" s="90">
        <f>P38+ROUND(Q38, 2)</f>
        <v>2986.5</v>
      </c>
      <c r="S38" s="77">
        <f>ROUND(P38*I38, 2)</f>
        <v>0</v>
      </c>
      <c r="T38" s="14">
        <f>ROUND(I38*ROUND(Q38, 2), 2)</f>
        <v>0</v>
      </c>
      <c r="U38" s="14">
        <f>S38+T38</f>
        <v>0</v>
      </c>
    </row>
    <row r="39" spans="1:21" ht="54" hidden="1" x14ac:dyDescent="0.5">
      <c r="A39" s="10" t="s">
        <v>183</v>
      </c>
      <c r="B39" s="10"/>
      <c r="C39" s="28" t="s">
        <v>69</v>
      </c>
      <c r="D39" s="12"/>
      <c r="E39" s="12"/>
      <c r="F39" s="29" t="s">
        <v>70</v>
      </c>
      <c r="G39" s="30">
        <v>1</v>
      </c>
      <c r="H39" s="30"/>
      <c r="I39" s="30">
        <v>0</v>
      </c>
      <c r="J39" s="31">
        <v>88.36</v>
      </c>
      <c r="M39" s="32"/>
      <c r="P39" s="84">
        <v>88.35</v>
      </c>
      <c r="R39" s="89"/>
      <c r="S39" s="78">
        <f>ROUND(ROUND(P39, 2)*I39, 2)</f>
        <v>0</v>
      </c>
    </row>
    <row r="40" spans="1:21" ht="3" hidden="1" customHeight="1" x14ac:dyDescent="0.5">
      <c r="A40" s="10" t="s">
        <v>186</v>
      </c>
      <c r="B40" s="10"/>
      <c r="C40" s="47" t="s">
        <v>135</v>
      </c>
      <c r="D40" s="12"/>
      <c r="E40" s="12"/>
      <c r="F40" s="29" t="s">
        <v>78</v>
      </c>
      <c r="G40" s="30">
        <v>2.04</v>
      </c>
      <c r="H40" s="49"/>
      <c r="I40" s="49">
        <v>331.29599999999999</v>
      </c>
      <c r="J40" s="31">
        <v>64.56</v>
      </c>
      <c r="M40" s="32"/>
      <c r="P40" s="84">
        <v>64.56</v>
      </c>
      <c r="R40" s="89"/>
      <c r="S40" s="78">
        <f>ROUND(ROUND(P40, 2)*I40, 2)</f>
        <v>21388.47</v>
      </c>
    </row>
    <row r="41" spans="1:21" ht="21" hidden="1" x14ac:dyDescent="0.5">
      <c r="A41" s="10" t="s">
        <v>189</v>
      </c>
      <c r="B41" s="10"/>
      <c r="C41" s="47" t="s">
        <v>142</v>
      </c>
      <c r="D41" s="12"/>
      <c r="E41" s="12"/>
      <c r="F41" s="29" t="s">
        <v>78</v>
      </c>
      <c r="G41" s="30">
        <v>0.8</v>
      </c>
      <c r="H41" s="49"/>
      <c r="I41" s="49">
        <v>129.91999999999999</v>
      </c>
      <c r="J41" s="31">
        <v>51.64</v>
      </c>
      <c r="M41" s="32"/>
      <c r="P41" s="84">
        <v>51.63</v>
      </c>
      <c r="R41" s="89"/>
      <c r="S41" s="78">
        <f>ROUND(ROUND(P41, 2)*I41, 2)</f>
        <v>6707.77</v>
      </c>
    </row>
    <row r="42" spans="1:21" ht="36" hidden="1" x14ac:dyDescent="0.5">
      <c r="A42" s="10" t="s">
        <v>192</v>
      </c>
      <c r="B42" s="10"/>
      <c r="C42" s="47" t="s">
        <v>92</v>
      </c>
      <c r="D42" s="12"/>
      <c r="E42" s="12"/>
      <c r="F42" s="29" t="s">
        <v>93</v>
      </c>
      <c r="G42" s="30">
        <v>5.1999999999999998E-2</v>
      </c>
      <c r="H42" s="30"/>
      <c r="I42" s="30">
        <v>0</v>
      </c>
      <c r="J42" s="31">
        <v>4026.8</v>
      </c>
      <c r="M42" s="32"/>
      <c r="P42" s="84">
        <v>4026.8</v>
      </c>
      <c r="R42" s="89"/>
      <c r="S42" s="78">
        <f>ROUND(ROUND(P42, 2)*I42, 2)</f>
        <v>0</v>
      </c>
    </row>
    <row r="43" spans="1:21" ht="36" hidden="1" x14ac:dyDescent="0.5">
      <c r="A43" s="10" t="s">
        <v>195</v>
      </c>
      <c r="B43" s="10"/>
      <c r="C43" s="28" t="s">
        <v>100</v>
      </c>
      <c r="D43" s="12"/>
      <c r="E43" s="12" t="s">
        <v>157</v>
      </c>
      <c r="F43" s="29" t="s">
        <v>63</v>
      </c>
      <c r="G43" s="30">
        <v>4.2</v>
      </c>
      <c r="H43" s="30"/>
      <c r="I43" s="30">
        <v>0</v>
      </c>
      <c r="J43" s="31">
        <v>135.53</v>
      </c>
      <c r="M43" s="32"/>
      <c r="P43" s="84">
        <v>135.53</v>
      </c>
      <c r="R43" s="89"/>
      <c r="S43" s="78">
        <f>ROUND(ROUND(P43, 2)*I43, 2)</f>
        <v>0</v>
      </c>
    </row>
    <row r="44" spans="1:21" ht="180" hidden="1" x14ac:dyDescent="0.35">
      <c r="A44" s="10" t="s">
        <v>198</v>
      </c>
      <c r="B44" s="10" t="s">
        <v>123</v>
      </c>
      <c r="C44" s="11" t="s">
        <v>124</v>
      </c>
      <c r="D44" s="12" t="s">
        <v>61</v>
      </c>
      <c r="E44" s="12" t="s">
        <v>161</v>
      </c>
      <c r="F44" s="12" t="s">
        <v>63</v>
      </c>
      <c r="G44" s="13">
        <v>1</v>
      </c>
      <c r="H44" s="13"/>
      <c r="I44" s="13">
        <v>0</v>
      </c>
      <c r="J44" s="14">
        <f>IFERROR(ROUND(SUM(M45,M46,M47,M48,M49)/I44, 2),0)</f>
        <v>0</v>
      </c>
      <c r="K44" s="15">
        <v>1991</v>
      </c>
      <c r="L44" s="14">
        <f>J44+ROUND(K44, 2)</f>
        <v>1991</v>
      </c>
      <c r="M44" s="14"/>
      <c r="N44" s="14"/>
      <c r="O44" s="74"/>
      <c r="P44" s="82">
        <f>IFERROR(ROUND(SUM(S45,S46,S47,S48,S49)/I44, 2),0)</f>
        <v>0</v>
      </c>
      <c r="Q44" s="86">
        <v>2986.5</v>
      </c>
      <c r="R44" s="90">
        <f>P44+ROUND(Q44, 2)</f>
        <v>2986.5</v>
      </c>
      <c r="S44" s="77">
        <f>ROUND(P44*I44, 2)</f>
        <v>0</v>
      </c>
      <c r="T44" s="14">
        <f>ROUND(I44*ROUND(Q44, 2), 2)</f>
        <v>0</v>
      </c>
      <c r="U44" s="14">
        <f>S44+T44</f>
        <v>0</v>
      </c>
    </row>
    <row r="45" spans="1:21" ht="36" hidden="1" x14ac:dyDescent="0.5">
      <c r="A45" s="10" t="s">
        <v>199</v>
      </c>
      <c r="B45" s="10"/>
      <c r="C45" s="28" t="s">
        <v>100</v>
      </c>
      <c r="D45" s="12"/>
      <c r="E45" s="12"/>
      <c r="F45" s="29" t="s">
        <v>63</v>
      </c>
      <c r="G45" s="30">
        <v>4.2</v>
      </c>
      <c r="H45" s="30"/>
      <c r="I45" s="30">
        <v>0</v>
      </c>
      <c r="J45" s="31">
        <v>135.53</v>
      </c>
      <c r="M45" s="32"/>
      <c r="P45" s="84">
        <v>135.53</v>
      </c>
      <c r="R45" s="89"/>
      <c r="S45" s="78">
        <f>ROUND(ROUND(P45, 2)*I45, 2)</f>
        <v>0</v>
      </c>
    </row>
    <row r="46" spans="1:21" ht="36" hidden="1" x14ac:dyDescent="0.5">
      <c r="A46" s="10" t="s">
        <v>202</v>
      </c>
      <c r="B46" s="10"/>
      <c r="C46" s="47" t="s">
        <v>92</v>
      </c>
      <c r="D46" s="12"/>
      <c r="E46" s="12"/>
      <c r="F46" s="29" t="s">
        <v>93</v>
      </c>
      <c r="G46" s="30">
        <v>5.1999999999999998E-2</v>
      </c>
      <c r="H46" s="30"/>
      <c r="I46" s="30">
        <v>0</v>
      </c>
      <c r="J46" s="31">
        <v>4026.8</v>
      </c>
      <c r="M46" s="32"/>
      <c r="P46" s="84">
        <v>4026.8</v>
      </c>
      <c r="R46" s="89"/>
      <c r="S46" s="78">
        <f>ROUND(ROUND(P46, 2)*I46, 2)</f>
        <v>0</v>
      </c>
    </row>
    <row r="47" spans="1:21" ht="21" hidden="1" x14ac:dyDescent="0.5">
      <c r="A47" s="10" t="s">
        <v>205</v>
      </c>
      <c r="B47" s="10"/>
      <c r="C47" s="47" t="s">
        <v>135</v>
      </c>
      <c r="D47" s="12"/>
      <c r="E47" s="12"/>
      <c r="F47" s="29" t="s">
        <v>78</v>
      </c>
      <c r="G47" s="30">
        <v>2.04</v>
      </c>
      <c r="H47" s="49"/>
      <c r="I47" s="49">
        <v>121.992</v>
      </c>
      <c r="J47" s="31">
        <v>64.56</v>
      </c>
      <c r="M47" s="32"/>
      <c r="P47" s="84">
        <v>64.56</v>
      </c>
      <c r="R47" s="89"/>
      <c r="S47" s="78">
        <f>ROUND(ROUND(P47, 2)*I47, 2)</f>
        <v>7875.8</v>
      </c>
    </row>
    <row r="48" spans="1:21" ht="21" hidden="1" x14ac:dyDescent="0.5">
      <c r="A48" s="10" t="s">
        <v>208</v>
      </c>
      <c r="B48" s="10"/>
      <c r="C48" s="47" t="s">
        <v>142</v>
      </c>
      <c r="D48" s="12"/>
      <c r="E48" s="12"/>
      <c r="F48" s="29" t="s">
        <v>78</v>
      </c>
      <c r="G48" s="30">
        <v>0.8</v>
      </c>
      <c r="H48" s="49"/>
      <c r="I48" s="49">
        <v>47.84</v>
      </c>
      <c r="J48" s="31">
        <v>51.64</v>
      </c>
      <c r="M48" s="32"/>
      <c r="P48" s="84">
        <v>51.63</v>
      </c>
      <c r="R48" s="89"/>
      <c r="S48" s="78">
        <f>ROUND(ROUND(P48, 2)*I48, 2)</f>
        <v>2469.98</v>
      </c>
    </row>
    <row r="49" spans="1:21" ht="44.5" hidden="1" customHeight="1" x14ac:dyDescent="0.5">
      <c r="A49" s="10" t="s">
        <v>211</v>
      </c>
      <c r="B49" s="10"/>
      <c r="C49" s="28" t="s">
        <v>69</v>
      </c>
      <c r="D49" s="12"/>
      <c r="E49" s="12"/>
      <c r="F49" s="29" t="s">
        <v>70</v>
      </c>
      <c r="G49" s="30">
        <v>1</v>
      </c>
      <c r="H49" s="30"/>
      <c r="I49" s="30">
        <v>0</v>
      </c>
      <c r="J49" s="31">
        <v>88.36</v>
      </c>
      <c r="M49" s="32"/>
      <c r="P49" s="84">
        <v>88.35</v>
      </c>
      <c r="R49" s="89"/>
      <c r="S49" s="78">
        <f>ROUND(ROUND(P49, 2)*I49, 2)</f>
        <v>0</v>
      </c>
    </row>
    <row r="50" spans="1:21" ht="36" hidden="1" x14ac:dyDescent="0.35">
      <c r="A50" s="10" t="s">
        <v>214</v>
      </c>
      <c r="B50" s="10" t="s">
        <v>215</v>
      </c>
      <c r="C50" s="11" t="s">
        <v>216</v>
      </c>
      <c r="D50" s="12" t="s">
        <v>61</v>
      </c>
      <c r="E50" s="12"/>
      <c r="F50" s="12" t="s">
        <v>63</v>
      </c>
      <c r="G50" s="13">
        <v>1</v>
      </c>
      <c r="H50" s="13"/>
      <c r="I50" s="13">
        <v>0</v>
      </c>
      <c r="J50" s="14">
        <v>805.05</v>
      </c>
      <c r="K50" s="15">
        <v>1225</v>
      </c>
      <c r="L50" s="14">
        <f>J50+ROUND(K50, 2)</f>
        <v>2030.05</v>
      </c>
      <c r="M50" s="14"/>
      <c r="N50" s="14"/>
      <c r="O50" s="74"/>
      <c r="P50" s="82">
        <v>805.05</v>
      </c>
      <c r="Q50" s="85">
        <v>1225</v>
      </c>
      <c r="R50" s="90">
        <f>P50+ROUND(Q50, 2)</f>
        <v>2030.05</v>
      </c>
      <c r="S50" s="77">
        <v>0</v>
      </c>
      <c r="T50" s="14">
        <v>0</v>
      </c>
      <c r="U50" s="14">
        <f>S50+T50</f>
        <v>0</v>
      </c>
    </row>
    <row r="51" spans="1:21" ht="54" hidden="1" x14ac:dyDescent="0.5">
      <c r="A51" s="10" t="s">
        <v>221</v>
      </c>
      <c r="B51" s="10"/>
      <c r="C51" s="28" t="s">
        <v>222</v>
      </c>
      <c r="D51" s="12"/>
      <c r="E51" s="12"/>
      <c r="F51" s="29" t="s">
        <v>70</v>
      </c>
      <c r="G51" s="30">
        <v>1</v>
      </c>
      <c r="H51" s="30"/>
      <c r="I51" s="30">
        <v>0</v>
      </c>
      <c r="J51" s="31">
        <v>111.15</v>
      </c>
      <c r="M51" s="32"/>
      <c r="P51" s="83">
        <v>111.15</v>
      </c>
      <c r="R51" s="89"/>
      <c r="S51" s="78">
        <f>ROUND(ROUND(P51, 2)*I51, 2)</f>
        <v>0</v>
      </c>
    </row>
    <row r="52" spans="1:21" ht="21" hidden="1" x14ac:dyDescent="0.5">
      <c r="A52" s="10" t="s">
        <v>228</v>
      </c>
      <c r="B52" s="10"/>
      <c r="C52" s="47" t="s">
        <v>77</v>
      </c>
      <c r="D52" s="12"/>
      <c r="E52" s="12"/>
      <c r="F52" s="29" t="s">
        <v>78</v>
      </c>
      <c r="G52" s="30">
        <v>0.86</v>
      </c>
      <c r="H52" s="49"/>
      <c r="I52" s="49">
        <v>0</v>
      </c>
      <c r="J52" s="31">
        <v>63.73</v>
      </c>
      <c r="M52" s="32"/>
      <c r="P52" s="83">
        <v>63.73</v>
      </c>
      <c r="R52" s="89"/>
      <c r="S52" s="78">
        <f>ROUND(ROUND(P52, 2)*I52, 2)</f>
        <v>0</v>
      </c>
    </row>
    <row r="53" spans="1:21" ht="21" hidden="1" x14ac:dyDescent="0.5">
      <c r="A53" s="10" t="s">
        <v>233</v>
      </c>
      <c r="B53" s="10"/>
      <c r="C53" s="47" t="s">
        <v>85</v>
      </c>
      <c r="D53" s="12"/>
      <c r="E53" s="12"/>
      <c r="F53" s="29" t="s">
        <v>78</v>
      </c>
      <c r="G53" s="30">
        <v>2.1</v>
      </c>
      <c r="H53" s="49"/>
      <c r="I53" s="49">
        <v>0</v>
      </c>
      <c r="J53" s="31">
        <v>95.07</v>
      </c>
      <c r="M53" s="32"/>
      <c r="P53" s="83">
        <v>95.07</v>
      </c>
      <c r="R53" s="89"/>
      <c r="S53" s="78">
        <f>ROUND(ROUND(P53, 2)*I53, 2)</f>
        <v>0</v>
      </c>
    </row>
    <row r="54" spans="1:21" ht="36" hidden="1" x14ac:dyDescent="0.5">
      <c r="A54" s="10" t="s">
        <v>238</v>
      </c>
      <c r="B54" s="10"/>
      <c r="C54" s="47" t="s">
        <v>92</v>
      </c>
      <c r="D54" s="12"/>
      <c r="E54" s="12"/>
      <c r="F54" s="29" t="s">
        <v>93</v>
      </c>
      <c r="G54" s="30">
        <v>5.1999999999999998E-2</v>
      </c>
      <c r="H54" s="30"/>
      <c r="I54" s="30">
        <v>0</v>
      </c>
      <c r="J54" s="31">
        <v>4026.8</v>
      </c>
      <c r="M54" s="32"/>
      <c r="P54" s="83">
        <v>4026.8</v>
      </c>
      <c r="R54" s="89"/>
      <c r="S54" s="78">
        <f>ROUND(ROUND(P54, 2)*I54, 2)</f>
        <v>0</v>
      </c>
    </row>
    <row r="55" spans="1:21" ht="36" hidden="1" x14ac:dyDescent="0.5">
      <c r="A55" s="10" t="s">
        <v>243</v>
      </c>
      <c r="B55" s="10"/>
      <c r="C55" s="47" t="s">
        <v>244</v>
      </c>
      <c r="D55" s="12"/>
      <c r="E55" s="12"/>
      <c r="F55" s="29" t="s">
        <v>63</v>
      </c>
      <c r="G55" s="30">
        <v>2.2000000000000002</v>
      </c>
      <c r="H55" s="30"/>
      <c r="I55" s="30">
        <v>0</v>
      </c>
      <c r="J55" s="31">
        <v>104.57</v>
      </c>
      <c r="M55" s="32"/>
      <c r="P55" s="83">
        <v>104.57</v>
      </c>
      <c r="R55" s="89"/>
      <c r="S55" s="78">
        <f>ROUND(ROUND(P55, 2)*I55, 2)</f>
        <v>0</v>
      </c>
    </row>
    <row r="56" spans="1:21" ht="36" hidden="1" x14ac:dyDescent="0.35">
      <c r="A56" s="10" t="s">
        <v>250</v>
      </c>
      <c r="B56" s="10" t="s">
        <v>215</v>
      </c>
      <c r="C56" s="11" t="s">
        <v>216</v>
      </c>
      <c r="D56" s="12" t="s">
        <v>61</v>
      </c>
      <c r="E56" s="12"/>
      <c r="F56" s="12" t="s">
        <v>63</v>
      </c>
      <c r="G56" s="13">
        <v>1</v>
      </c>
      <c r="H56" s="13"/>
      <c r="I56" s="13">
        <v>0</v>
      </c>
      <c r="J56" s="14">
        <v>805.05</v>
      </c>
      <c r="K56" s="15">
        <v>1225</v>
      </c>
      <c r="L56" s="14">
        <f>J56+ROUND(K56, 2)</f>
        <v>2030.05</v>
      </c>
      <c r="M56" s="14"/>
      <c r="N56" s="14"/>
      <c r="O56" s="74"/>
      <c r="P56" s="82">
        <v>805.05</v>
      </c>
      <c r="Q56" s="85">
        <v>1225</v>
      </c>
      <c r="R56" s="90">
        <f>P56+ROUND(Q56, 2)</f>
        <v>2030.05</v>
      </c>
      <c r="S56" s="77">
        <v>0</v>
      </c>
      <c r="T56" s="14">
        <v>0</v>
      </c>
      <c r="U56" s="14">
        <f>S56+T56</f>
        <v>0</v>
      </c>
    </row>
    <row r="57" spans="1:21" ht="36" hidden="1" x14ac:dyDescent="0.5">
      <c r="A57" s="10" t="s">
        <v>253</v>
      </c>
      <c r="B57" s="10"/>
      <c r="C57" s="47" t="s">
        <v>254</v>
      </c>
      <c r="D57" s="12"/>
      <c r="E57" s="12"/>
      <c r="F57" s="29" t="s">
        <v>63</v>
      </c>
      <c r="G57" s="30">
        <v>2.2000000000000002</v>
      </c>
      <c r="H57" s="30"/>
      <c r="I57" s="30">
        <v>0</v>
      </c>
      <c r="J57" s="31">
        <v>104.57</v>
      </c>
      <c r="M57" s="32"/>
      <c r="P57" s="83">
        <v>104.57</v>
      </c>
      <c r="R57" s="89"/>
      <c r="S57" s="78">
        <f>ROUND(ROUND(P57, 2)*I57, 2)</f>
        <v>0</v>
      </c>
    </row>
    <row r="58" spans="1:21" ht="36" hidden="1" x14ac:dyDescent="0.5">
      <c r="A58" s="10" t="s">
        <v>260</v>
      </c>
      <c r="B58" s="10"/>
      <c r="C58" s="47" t="s">
        <v>92</v>
      </c>
      <c r="D58" s="12"/>
      <c r="E58" s="12"/>
      <c r="F58" s="29" t="s">
        <v>93</v>
      </c>
      <c r="G58" s="30">
        <v>5.1999999999999998E-2</v>
      </c>
      <c r="H58" s="30"/>
      <c r="I58" s="30">
        <v>0</v>
      </c>
      <c r="J58" s="31">
        <v>4026.8</v>
      </c>
      <c r="M58" s="32"/>
      <c r="P58" s="83">
        <v>4026.8</v>
      </c>
      <c r="R58" s="89"/>
      <c r="S58" s="78">
        <f>ROUND(ROUND(P58, 2)*I58, 2)</f>
        <v>0</v>
      </c>
    </row>
    <row r="59" spans="1:21" ht="21" hidden="1" x14ac:dyDescent="0.5">
      <c r="A59" s="10" t="s">
        <v>265</v>
      </c>
      <c r="B59" s="10"/>
      <c r="C59" s="47" t="s">
        <v>77</v>
      </c>
      <c r="D59" s="12"/>
      <c r="E59" s="12"/>
      <c r="F59" s="29" t="s">
        <v>78</v>
      </c>
      <c r="G59" s="30">
        <v>0.86</v>
      </c>
      <c r="H59" s="49"/>
      <c r="I59" s="49">
        <v>0</v>
      </c>
      <c r="J59" s="31">
        <v>63.73</v>
      </c>
      <c r="M59" s="32"/>
      <c r="P59" s="83">
        <v>63.73</v>
      </c>
      <c r="R59" s="89"/>
      <c r="S59" s="78">
        <f>ROUND(ROUND(P59, 2)*I59, 2)</f>
        <v>0</v>
      </c>
    </row>
    <row r="60" spans="1:21" ht="21" hidden="1" x14ac:dyDescent="0.5">
      <c r="A60" s="10" t="s">
        <v>270</v>
      </c>
      <c r="B60" s="10"/>
      <c r="C60" s="47" t="s">
        <v>85</v>
      </c>
      <c r="D60" s="12"/>
      <c r="E60" s="12"/>
      <c r="F60" s="29" t="s">
        <v>78</v>
      </c>
      <c r="G60" s="30">
        <v>2.1</v>
      </c>
      <c r="H60" s="49"/>
      <c r="I60" s="49">
        <v>0</v>
      </c>
      <c r="J60" s="31">
        <v>95.07</v>
      </c>
      <c r="M60" s="32"/>
      <c r="P60" s="83">
        <v>95.07</v>
      </c>
      <c r="R60" s="89"/>
      <c r="S60" s="78">
        <f>ROUND(ROUND(P60, 2)*I60, 2)</f>
        <v>0</v>
      </c>
    </row>
    <row r="61" spans="1:21" ht="47.5" hidden="1" customHeight="1" x14ac:dyDescent="0.5">
      <c r="A61" s="10" t="s">
        <v>275</v>
      </c>
      <c r="B61" s="10"/>
      <c r="C61" s="28" t="s">
        <v>222</v>
      </c>
      <c r="D61" s="12"/>
      <c r="E61" s="12"/>
      <c r="F61" s="29" t="s">
        <v>70</v>
      </c>
      <c r="G61" s="30">
        <v>1</v>
      </c>
      <c r="H61" s="30"/>
      <c r="I61" s="30">
        <v>0</v>
      </c>
      <c r="J61" s="31">
        <v>111.15</v>
      </c>
      <c r="M61" s="32"/>
      <c r="P61" s="83">
        <v>111.15</v>
      </c>
      <c r="R61" s="89"/>
      <c r="S61" s="78">
        <f>ROUND(ROUND(P61, 2)*I61, 2)</f>
        <v>0</v>
      </c>
    </row>
    <row r="62" spans="1:21" ht="36" hidden="1" x14ac:dyDescent="0.35">
      <c r="A62" s="10" t="s">
        <v>280</v>
      </c>
      <c r="B62" s="10" t="s">
        <v>215</v>
      </c>
      <c r="C62" s="11" t="s">
        <v>216</v>
      </c>
      <c r="D62" s="12" t="s">
        <v>61</v>
      </c>
      <c r="E62" s="12"/>
      <c r="F62" s="12" t="s">
        <v>63</v>
      </c>
      <c r="G62" s="13">
        <v>1</v>
      </c>
      <c r="H62" s="13"/>
      <c r="I62" s="13">
        <v>0</v>
      </c>
      <c r="J62" s="14">
        <v>805.05</v>
      </c>
      <c r="K62" s="15">
        <v>1225</v>
      </c>
      <c r="L62" s="14">
        <f>J62+ROUND(K62, 2)</f>
        <v>2030.05</v>
      </c>
      <c r="M62" s="14"/>
      <c r="N62" s="14"/>
      <c r="O62" s="74"/>
      <c r="P62" s="82">
        <v>805.05</v>
      </c>
      <c r="Q62" s="85">
        <v>1225</v>
      </c>
      <c r="R62" s="90">
        <f>P62+ROUND(Q62, 2)</f>
        <v>2030.05</v>
      </c>
      <c r="S62" s="77">
        <v>0</v>
      </c>
      <c r="T62" s="14">
        <v>0</v>
      </c>
      <c r="U62" s="14">
        <f>S62+T62</f>
        <v>0</v>
      </c>
    </row>
    <row r="63" spans="1:21" ht="54" hidden="1" x14ac:dyDescent="0.5">
      <c r="A63" s="10" t="s">
        <v>283</v>
      </c>
      <c r="B63" s="10"/>
      <c r="C63" s="28" t="s">
        <v>222</v>
      </c>
      <c r="D63" s="12"/>
      <c r="E63" s="12"/>
      <c r="F63" s="29" t="s">
        <v>70</v>
      </c>
      <c r="G63" s="30">
        <v>1</v>
      </c>
      <c r="H63" s="30"/>
      <c r="I63" s="30">
        <v>0</v>
      </c>
      <c r="J63" s="31">
        <v>111.15</v>
      </c>
      <c r="M63" s="32"/>
      <c r="P63" s="83">
        <v>111.15</v>
      </c>
      <c r="R63" s="89"/>
      <c r="S63" s="78">
        <f>ROUND(ROUND(P63, 2)*I63, 2)</f>
        <v>0</v>
      </c>
    </row>
    <row r="64" spans="1:21" ht="21" hidden="1" x14ac:dyDescent="0.5">
      <c r="A64" s="10" t="s">
        <v>288</v>
      </c>
      <c r="B64" s="10"/>
      <c r="C64" s="47" t="s">
        <v>77</v>
      </c>
      <c r="D64" s="12"/>
      <c r="E64" s="12"/>
      <c r="F64" s="29" t="s">
        <v>78</v>
      </c>
      <c r="G64" s="30">
        <v>0.86</v>
      </c>
      <c r="H64" s="49"/>
      <c r="I64" s="49">
        <v>0</v>
      </c>
      <c r="J64" s="31">
        <v>63.73</v>
      </c>
      <c r="M64" s="32"/>
      <c r="P64" s="83">
        <v>63.73</v>
      </c>
      <c r="R64" s="89"/>
      <c r="S64" s="78">
        <f>ROUND(ROUND(P64, 2)*I64, 2)</f>
        <v>0</v>
      </c>
    </row>
    <row r="65" spans="1:21" ht="21" hidden="1" x14ac:dyDescent="0.5">
      <c r="A65" s="10" t="s">
        <v>293</v>
      </c>
      <c r="B65" s="10"/>
      <c r="C65" s="47" t="s">
        <v>85</v>
      </c>
      <c r="D65" s="12"/>
      <c r="E65" s="12"/>
      <c r="F65" s="29" t="s">
        <v>78</v>
      </c>
      <c r="G65" s="30">
        <v>2.1</v>
      </c>
      <c r="H65" s="49"/>
      <c r="I65" s="49">
        <v>0</v>
      </c>
      <c r="J65" s="31">
        <v>95.07</v>
      </c>
      <c r="M65" s="32"/>
      <c r="P65" s="83">
        <v>95.07</v>
      </c>
      <c r="R65" s="89"/>
      <c r="S65" s="78">
        <f>ROUND(ROUND(P65, 2)*I65, 2)</f>
        <v>0</v>
      </c>
    </row>
    <row r="66" spans="1:21" ht="36" hidden="1" x14ac:dyDescent="0.5">
      <c r="A66" s="10" t="s">
        <v>298</v>
      </c>
      <c r="B66" s="10"/>
      <c r="C66" s="47" t="s">
        <v>92</v>
      </c>
      <c r="D66" s="12"/>
      <c r="E66" s="12"/>
      <c r="F66" s="29" t="s">
        <v>93</v>
      </c>
      <c r="G66" s="30">
        <v>5.1999999999999998E-2</v>
      </c>
      <c r="H66" s="30"/>
      <c r="I66" s="30">
        <v>0</v>
      </c>
      <c r="J66" s="31">
        <v>4026.8</v>
      </c>
      <c r="M66" s="32"/>
      <c r="P66" s="83">
        <v>4026.8</v>
      </c>
      <c r="R66" s="89"/>
      <c r="S66" s="78">
        <f>ROUND(ROUND(P66, 2)*I66, 2)</f>
        <v>0</v>
      </c>
    </row>
    <row r="67" spans="1:21" ht="36" hidden="1" x14ac:dyDescent="0.5">
      <c r="A67" s="10" t="s">
        <v>303</v>
      </c>
      <c r="B67" s="10"/>
      <c r="C67" s="47" t="s">
        <v>254</v>
      </c>
      <c r="D67" s="12"/>
      <c r="E67" s="12"/>
      <c r="F67" s="29" t="s">
        <v>63</v>
      </c>
      <c r="G67" s="30">
        <v>2.2000000000000002</v>
      </c>
      <c r="H67" s="30"/>
      <c r="I67" s="30">
        <v>0</v>
      </c>
      <c r="J67" s="31">
        <v>104.57</v>
      </c>
      <c r="M67" s="32"/>
      <c r="P67" s="83">
        <v>104.57</v>
      </c>
      <c r="R67" s="89"/>
      <c r="S67" s="78">
        <f>ROUND(ROUND(P67, 2)*I67, 2)</f>
        <v>0</v>
      </c>
    </row>
    <row r="68" spans="1:21" ht="36" hidden="1" x14ac:dyDescent="0.35">
      <c r="A68" s="10" t="s">
        <v>308</v>
      </c>
      <c r="B68" s="10" t="s">
        <v>215</v>
      </c>
      <c r="C68" s="11" t="s">
        <v>216</v>
      </c>
      <c r="D68" s="12" t="s">
        <v>61</v>
      </c>
      <c r="E68" s="12"/>
      <c r="F68" s="12" t="s">
        <v>63</v>
      </c>
      <c r="G68" s="13">
        <v>1</v>
      </c>
      <c r="H68" s="13"/>
      <c r="I68" s="13">
        <v>0</v>
      </c>
      <c r="J68" s="14">
        <v>727.48</v>
      </c>
      <c r="K68" s="15">
        <v>1225</v>
      </c>
      <c r="L68" s="14">
        <f>J68+ROUND(K68, 2)</f>
        <v>1952.48</v>
      </c>
      <c r="M68" s="14"/>
      <c r="N68" s="14"/>
      <c r="O68" s="74"/>
      <c r="P68" s="82">
        <v>3842.15</v>
      </c>
      <c r="Q68" s="85">
        <v>1225</v>
      </c>
      <c r="R68" s="90">
        <f>P68+ROUND(Q68, 2)</f>
        <v>5067.1499999999996</v>
      </c>
      <c r="S68" s="77">
        <v>0</v>
      </c>
      <c r="T68" s="14">
        <v>0</v>
      </c>
      <c r="U68" s="14">
        <f>S68+T68</f>
        <v>0</v>
      </c>
    </row>
    <row r="69" spans="1:21" ht="36" hidden="1" x14ac:dyDescent="0.5">
      <c r="A69" s="10" t="s">
        <v>311</v>
      </c>
      <c r="B69" s="10"/>
      <c r="C69" s="47" t="s">
        <v>254</v>
      </c>
      <c r="D69" s="12"/>
      <c r="E69" s="12"/>
      <c r="F69" s="29" t="s">
        <v>63</v>
      </c>
      <c r="G69" s="30">
        <v>2.2000000000000002</v>
      </c>
      <c r="H69" s="30"/>
      <c r="I69" s="30">
        <v>0</v>
      </c>
      <c r="J69" s="31">
        <v>104.57</v>
      </c>
      <c r="M69" s="32"/>
      <c r="P69" s="83">
        <v>1520.33</v>
      </c>
      <c r="R69" s="89"/>
      <c r="S69" s="78">
        <f>ROUND(ROUND(P69, 2)*I69, 2)</f>
        <v>0</v>
      </c>
    </row>
    <row r="70" spans="1:21" ht="36" hidden="1" x14ac:dyDescent="0.5">
      <c r="A70" s="10" t="s">
        <v>317</v>
      </c>
      <c r="B70" s="10"/>
      <c r="C70" s="47" t="s">
        <v>92</v>
      </c>
      <c r="D70" s="12"/>
      <c r="E70" s="12"/>
      <c r="F70" s="29" t="s">
        <v>93</v>
      </c>
      <c r="G70" s="30">
        <v>5.1999999999999998E-2</v>
      </c>
      <c r="H70" s="30"/>
      <c r="I70" s="30">
        <v>0</v>
      </c>
      <c r="J70" s="31">
        <v>4026.8</v>
      </c>
      <c r="M70" s="32"/>
      <c r="P70" s="83">
        <v>4026.8</v>
      </c>
      <c r="R70" s="89"/>
      <c r="S70" s="78">
        <f>ROUND(ROUND(P70, 2)*I70, 2)</f>
        <v>0</v>
      </c>
    </row>
    <row r="71" spans="1:21" ht="21" hidden="1" x14ac:dyDescent="0.5">
      <c r="A71" s="10" t="s">
        <v>322</v>
      </c>
      <c r="B71" s="10"/>
      <c r="C71" s="47" t="s">
        <v>135</v>
      </c>
      <c r="D71" s="12"/>
      <c r="E71" s="12"/>
      <c r="F71" s="29" t="s">
        <v>78</v>
      </c>
      <c r="G71" s="30">
        <v>2.1</v>
      </c>
      <c r="H71" s="30"/>
      <c r="I71" s="30">
        <v>0</v>
      </c>
      <c r="J71" s="31">
        <v>64.56</v>
      </c>
      <c r="M71" s="32"/>
      <c r="P71" s="83">
        <v>64.56</v>
      </c>
      <c r="R71" s="89"/>
      <c r="S71" s="78">
        <f>ROUND(ROUND(P71, 2)*I71, 2)</f>
        <v>0</v>
      </c>
    </row>
    <row r="72" spans="1:21" ht="21" hidden="1" x14ac:dyDescent="0.5">
      <c r="A72" s="10" t="s">
        <v>327</v>
      </c>
      <c r="B72" s="10"/>
      <c r="C72" s="47" t="s">
        <v>142</v>
      </c>
      <c r="D72" s="12"/>
      <c r="E72" s="12"/>
      <c r="F72" s="29" t="s">
        <v>78</v>
      </c>
      <c r="G72" s="30">
        <v>0.8</v>
      </c>
      <c r="H72" s="30"/>
      <c r="I72" s="30">
        <v>0</v>
      </c>
      <c r="J72" s="31">
        <v>51.63</v>
      </c>
      <c r="M72" s="32"/>
      <c r="P72" s="83">
        <v>51.63</v>
      </c>
      <c r="R72" s="89"/>
      <c r="S72" s="78">
        <f>ROUND(ROUND(P72, 2)*I72, 2)</f>
        <v>0</v>
      </c>
    </row>
    <row r="73" spans="1:21" ht="54" hidden="1" x14ac:dyDescent="0.5">
      <c r="A73" s="10" t="s">
        <v>332</v>
      </c>
      <c r="B73" s="10"/>
      <c r="C73" s="28" t="s">
        <v>222</v>
      </c>
      <c r="D73" s="12"/>
      <c r="E73" s="12"/>
      <c r="F73" s="29" t="s">
        <v>70</v>
      </c>
      <c r="G73" s="30">
        <v>1</v>
      </c>
      <c r="H73" s="30"/>
      <c r="I73" s="30">
        <v>0</v>
      </c>
      <c r="J73" s="31">
        <v>111.15</v>
      </c>
      <c r="M73" s="32"/>
      <c r="P73" s="83">
        <v>111.15</v>
      </c>
      <c r="R73" s="89"/>
      <c r="S73" s="78">
        <f>ROUND(ROUND(P73, 2)*I73, 2)</f>
        <v>0</v>
      </c>
    </row>
    <row r="74" spans="1:21" ht="36" hidden="1" x14ac:dyDescent="0.35">
      <c r="A74" s="10" t="s">
        <v>337</v>
      </c>
      <c r="B74" s="10" t="s">
        <v>215</v>
      </c>
      <c r="C74" s="11" t="s">
        <v>216</v>
      </c>
      <c r="D74" s="12" t="s">
        <v>61</v>
      </c>
      <c r="E74" s="12"/>
      <c r="F74" s="12" t="s">
        <v>63</v>
      </c>
      <c r="G74" s="13">
        <v>1</v>
      </c>
      <c r="H74" s="13"/>
      <c r="I74" s="13">
        <v>0</v>
      </c>
      <c r="J74" s="14">
        <v>1269.23</v>
      </c>
      <c r="K74" s="15">
        <v>1225</v>
      </c>
      <c r="L74" s="14">
        <f>J74+ROUND(K74, 2)</f>
        <v>2494.23</v>
      </c>
      <c r="M74" s="14"/>
      <c r="N74" s="14"/>
      <c r="O74" s="74"/>
      <c r="P74" s="82">
        <v>1269.23</v>
      </c>
      <c r="Q74" s="85">
        <v>1225</v>
      </c>
      <c r="R74" s="90">
        <f>P74+ROUND(Q74, 2)</f>
        <v>2494.23</v>
      </c>
      <c r="S74" s="77">
        <v>0</v>
      </c>
      <c r="T74" s="14">
        <v>0</v>
      </c>
      <c r="U74" s="14">
        <f>S74+T74</f>
        <v>0</v>
      </c>
    </row>
    <row r="75" spans="1:21" ht="54" hidden="1" x14ac:dyDescent="0.5">
      <c r="A75" s="10" t="s">
        <v>340</v>
      </c>
      <c r="B75" s="10"/>
      <c r="C75" s="28" t="s">
        <v>222</v>
      </c>
      <c r="D75" s="12"/>
      <c r="E75" s="12"/>
      <c r="F75" s="29" t="s">
        <v>70</v>
      </c>
      <c r="G75" s="30">
        <v>1</v>
      </c>
      <c r="H75" s="30"/>
      <c r="I75" s="30">
        <v>0</v>
      </c>
      <c r="J75" s="31">
        <v>111.15</v>
      </c>
      <c r="M75" s="32"/>
      <c r="P75" s="83">
        <v>111.15</v>
      </c>
      <c r="R75" s="89"/>
      <c r="S75" s="78">
        <f>ROUND(ROUND(P75, 2)*I75, 2)</f>
        <v>0</v>
      </c>
    </row>
    <row r="76" spans="1:21" ht="21" hidden="1" x14ac:dyDescent="0.5">
      <c r="A76" s="10" t="s">
        <v>345</v>
      </c>
      <c r="B76" s="10"/>
      <c r="C76" s="47" t="s">
        <v>77</v>
      </c>
      <c r="D76" s="12"/>
      <c r="E76" s="12"/>
      <c r="F76" s="29" t="s">
        <v>78</v>
      </c>
      <c r="G76" s="30">
        <v>0.86</v>
      </c>
      <c r="H76" s="49"/>
      <c r="I76" s="49">
        <v>0</v>
      </c>
      <c r="J76" s="31">
        <v>63.73</v>
      </c>
      <c r="M76" s="32"/>
      <c r="P76" s="83">
        <v>63.73</v>
      </c>
      <c r="R76" s="89"/>
      <c r="S76" s="78">
        <f>ROUND(ROUND(P76, 2)*I76, 2)</f>
        <v>0</v>
      </c>
    </row>
    <row r="77" spans="1:21" ht="21" hidden="1" x14ac:dyDescent="0.5">
      <c r="A77" s="10" t="s">
        <v>350</v>
      </c>
      <c r="B77" s="10"/>
      <c r="C77" s="47" t="s">
        <v>85</v>
      </c>
      <c r="D77" s="12"/>
      <c r="E77" s="12"/>
      <c r="F77" s="29" t="s">
        <v>78</v>
      </c>
      <c r="G77" s="30">
        <v>2.1</v>
      </c>
      <c r="H77" s="49"/>
      <c r="I77" s="49">
        <v>0</v>
      </c>
      <c r="J77" s="31">
        <v>95.07</v>
      </c>
      <c r="M77" s="32"/>
      <c r="P77" s="83">
        <v>95.07</v>
      </c>
      <c r="R77" s="89"/>
      <c r="S77" s="78">
        <f>ROUND(ROUND(P77, 2)*I77, 2)</f>
        <v>0</v>
      </c>
    </row>
    <row r="78" spans="1:21" ht="36" hidden="1" x14ac:dyDescent="0.5">
      <c r="A78" s="10" t="s">
        <v>355</v>
      </c>
      <c r="B78" s="10"/>
      <c r="C78" s="47" t="s">
        <v>92</v>
      </c>
      <c r="D78" s="12"/>
      <c r="E78" s="12"/>
      <c r="F78" s="29" t="s">
        <v>93</v>
      </c>
      <c r="G78" s="30">
        <v>5.1999999999999998E-2</v>
      </c>
      <c r="H78" s="30"/>
      <c r="I78" s="30">
        <v>0</v>
      </c>
      <c r="J78" s="31">
        <v>4026.8</v>
      </c>
      <c r="M78" s="32"/>
      <c r="P78" s="83">
        <v>4026.8</v>
      </c>
      <c r="R78" s="89"/>
      <c r="S78" s="78">
        <f>ROUND(ROUND(P78, 2)*I78, 2)</f>
        <v>0</v>
      </c>
    </row>
    <row r="79" spans="1:21" ht="21" hidden="1" x14ac:dyDescent="0.5">
      <c r="A79" s="10" t="s">
        <v>360</v>
      </c>
      <c r="B79" s="10"/>
      <c r="C79" s="47" t="s">
        <v>361</v>
      </c>
      <c r="D79" s="12"/>
      <c r="E79" s="12"/>
      <c r="F79" s="29" t="s">
        <v>63</v>
      </c>
      <c r="G79" s="30">
        <v>2.2000000000000002</v>
      </c>
      <c r="H79" s="30"/>
      <c r="I79" s="30">
        <v>0</v>
      </c>
      <c r="J79" s="31">
        <v>315.55</v>
      </c>
      <c r="M79" s="32"/>
      <c r="P79" s="83">
        <v>315.55</v>
      </c>
      <c r="R79" s="89"/>
      <c r="S79" s="78">
        <f>ROUND(ROUND(P79, 2)*I79, 2)</f>
        <v>0</v>
      </c>
    </row>
    <row r="80" spans="1:21" ht="96" hidden="1" customHeight="1" x14ac:dyDescent="0.35">
      <c r="A80" s="10" t="s">
        <v>367</v>
      </c>
      <c r="B80" s="10" t="s">
        <v>215</v>
      </c>
      <c r="C80" s="11" t="s">
        <v>216</v>
      </c>
      <c r="D80" s="12" t="s">
        <v>61</v>
      </c>
      <c r="E80" s="12" t="s">
        <v>220</v>
      </c>
      <c r="F80" s="12" t="s">
        <v>63</v>
      </c>
      <c r="G80" s="13">
        <v>1</v>
      </c>
      <c r="H80" s="13"/>
      <c r="I80" s="13">
        <v>0</v>
      </c>
      <c r="J80" s="14">
        <f>IFERROR(ROUND(SUM(M81,M82,M83,M84,M85)/I80, 2),0)</f>
        <v>0</v>
      </c>
      <c r="K80" s="15">
        <v>1225</v>
      </c>
      <c r="L80" s="14">
        <f>J80+ROUND(K80, 2)</f>
        <v>1225</v>
      </c>
      <c r="M80" s="14"/>
      <c r="N80" s="14"/>
      <c r="O80" s="74"/>
      <c r="P80" s="82">
        <f>IFERROR(ROUND(SUM(S81,S82,S83,S84,S85)/I80, 2),0)</f>
        <v>0</v>
      </c>
      <c r="Q80" s="86">
        <v>1837.5</v>
      </c>
      <c r="R80" s="90">
        <f>P80+ROUND(Q80, 2)</f>
        <v>1837.5</v>
      </c>
      <c r="S80" s="77">
        <f>ROUND(P80*I80, 2)</f>
        <v>0</v>
      </c>
      <c r="T80" s="14">
        <f>ROUND(I80*ROUND(Q80, 2), 2)</f>
        <v>0</v>
      </c>
      <c r="U80" s="14">
        <f>S80+T80</f>
        <v>0</v>
      </c>
    </row>
    <row r="81" spans="1:21" ht="36" hidden="1" x14ac:dyDescent="0.5">
      <c r="A81" s="10" t="s">
        <v>368</v>
      </c>
      <c r="B81" s="10"/>
      <c r="C81" s="47" t="s">
        <v>244</v>
      </c>
      <c r="D81" s="12"/>
      <c r="E81" s="12"/>
      <c r="F81" s="29" t="s">
        <v>63</v>
      </c>
      <c r="G81" s="30">
        <v>2.2000000000000002</v>
      </c>
      <c r="H81" s="30"/>
      <c r="I81" s="30">
        <v>0</v>
      </c>
      <c r="J81" s="31">
        <v>104.57</v>
      </c>
      <c r="M81" s="32"/>
      <c r="P81" s="84">
        <v>104.57</v>
      </c>
      <c r="R81" s="89"/>
      <c r="S81" s="78">
        <f>ROUND(ROUND(P81, 2)*I81, 2)</f>
        <v>0</v>
      </c>
    </row>
    <row r="82" spans="1:21" ht="36" hidden="1" x14ac:dyDescent="0.5">
      <c r="A82" s="10" t="s">
        <v>371</v>
      </c>
      <c r="B82" s="10"/>
      <c r="C82" s="47" t="s">
        <v>92</v>
      </c>
      <c r="D82" s="12"/>
      <c r="E82" s="12"/>
      <c r="F82" s="29" t="s">
        <v>93</v>
      </c>
      <c r="G82" s="30">
        <v>5.1999999999999998E-2</v>
      </c>
      <c r="H82" s="30"/>
      <c r="I82" s="30">
        <v>0</v>
      </c>
      <c r="J82" s="31">
        <v>4026.8</v>
      </c>
      <c r="M82" s="32"/>
      <c r="P82" s="84">
        <v>4026.8</v>
      </c>
      <c r="R82" s="89"/>
      <c r="S82" s="78">
        <f>ROUND(ROUND(P82, 2)*I82, 2)</f>
        <v>0</v>
      </c>
    </row>
    <row r="83" spans="1:21" ht="17" hidden="1" customHeight="1" x14ac:dyDescent="0.5">
      <c r="A83" s="10" t="s">
        <v>374</v>
      </c>
      <c r="B83" s="10"/>
      <c r="C83" s="47" t="s">
        <v>77</v>
      </c>
      <c r="D83" s="12"/>
      <c r="E83" s="12"/>
      <c r="F83" s="29" t="s">
        <v>78</v>
      </c>
      <c r="G83" s="30">
        <v>0.86</v>
      </c>
      <c r="H83" s="49"/>
      <c r="I83" s="49">
        <v>673.89599999999996</v>
      </c>
      <c r="J83" s="31">
        <v>63.72</v>
      </c>
      <c r="M83" s="32"/>
      <c r="P83" s="84">
        <v>63.73</v>
      </c>
      <c r="R83" s="89"/>
      <c r="S83" s="78">
        <f>ROUND(ROUND(P83, 2)*I83, 2)</f>
        <v>42947.39</v>
      </c>
    </row>
    <row r="84" spans="1:21" ht="21" hidden="1" x14ac:dyDescent="0.5">
      <c r="A84" s="10" t="s">
        <v>377</v>
      </c>
      <c r="B84" s="10"/>
      <c r="C84" s="47" t="s">
        <v>85</v>
      </c>
      <c r="D84" s="12"/>
      <c r="E84" s="12"/>
      <c r="F84" s="29" t="s">
        <v>78</v>
      </c>
      <c r="G84" s="30">
        <v>2.1</v>
      </c>
      <c r="H84" s="49"/>
      <c r="I84" s="49">
        <v>1645.56</v>
      </c>
      <c r="J84" s="31">
        <v>95.08</v>
      </c>
      <c r="M84" s="32"/>
      <c r="P84" s="84">
        <v>95.07</v>
      </c>
      <c r="R84" s="89"/>
      <c r="S84" s="78">
        <f>ROUND(ROUND(P84, 2)*I84, 2)</f>
        <v>156443.39000000001</v>
      </c>
    </row>
    <row r="85" spans="1:21" ht="54" hidden="1" x14ac:dyDescent="0.5">
      <c r="A85" s="10" t="s">
        <v>380</v>
      </c>
      <c r="B85" s="10"/>
      <c r="C85" s="28" t="s">
        <v>222</v>
      </c>
      <c r="D85" s="12"/>
      <c r="E85" s="12"/>
      <c r="F85" s="29" t="s">
        <v>70</v>
      </c>
      <c r="G85" s="30">
        <v>1</v>
      </c>
      <c r="H85" s="30"/>
      <c r="I85" s="30">
        <v>0</v>
      </c>
      <c r="J85" s="31">
        <v>111.16</v>
      </c>
      <c r="M85" s="32"/>
      <c r="P85" s="84">
        <v>111.15</v>
      </c>
      <c r="R85" s="89"/>
      <c r="S85" s="78">
        <f>ROUND(ROUND(P85, 2)*I85, 2)</f>
        <v>0</v>
      </c>
    </row>
    <row r="86" spans="1:21" ht="288" hidden="1" x14ac:dyDescent="0.35">
      <c r="A86" s="10" t="s">
        <v>383</v>
      </c>
      <c r="B86" s="10" t="s">
        <v>215</v>
      </c>
      <c r="C86" s="11" t="s">
        <v>216</v>
      </c>
      <c r="D86" s="12" t="s">
        <v>61</v>
      </c>
      <c r="E86" s="12" t="s">
        <v>252</v>
      </c>
      <c r="F86" s="12" t="s">
        <v>63</v>
      </c>
      <c r="G86" s="13">
        <v>1</v>
      </c>
      <c r="H86" s="13"/>
      <c r="I86" s="13">
        <v>0</v>
      </c>
      <c r="J86" s="14">
        <f>IFERROR(ROUND(SUM(M87,M88,M89,M90,M91)/I86, 2),0)</f>
        <v>0</v>
      </c>
      <c r="K86" s="15">
        <v>1225</v>
      </c>
      <c r="L86" s="14">
        <f>J86+ROUND(K86, 2)</f>
        <v>1225</v>
      </c>
      <c r="M86" s="14"/>
      <c r="N86" s="14"/>
      <c r="O86" s="74"/>
      <c r="P86" s="82">
        <f>IFERROR(ROUND(SUM(S87,S88,S89,S90,S91)/I86, 2),0)</f>
        <v>0</v>
      </c>
      <c r="Q86" s="86">
        <v>1837.5</v>
      </c>
      <c r="R86" s="90">
        <f>P86+ROUND(Q86, 2)</f>
        <v>1837.5</v>
      </c>
      <c r="S86" s="77">
        <f>ROUND(P86*I86, 2)</f>
        <v>0</v>
      </c>
      <c r="T86" s="14">
        <f>ROUND(I86*ROUND(Q86, 2), 2)</f>
        <v>0</v>
      </c>
      <c r="U86" s="14">
        <f>S86+T86</f>
        <v>0</v>
      </c>
    </row>
    <row r="87" spans="1:21" ht="54" hidden="1" x14ac:dyDescent="0.5">
      <c r="A87" s="10" t="s">
        <v>384</v>
      </c>
      <c r="B87" s="10"/>
      <c r="C87" s="28" t="s">
        <v>222</v>
      </c>
      <c r="D87" s="12"/>
      <c r="E87" s="12"/>
      <c r="F87" s="29" t="s">
        <v>70</v>
      </c>
      <c r="G87" s="30">
        <v>1</v>
      </c>
      <c r="H87" s="30"/>
      <c r="I87" s="30">
        <v>0</v>
      </c>
      <c r="J87" s="31">
        <v>111.16</v>
      </c>
      <c r="M87" s="32"/>
      <c r="P87" s="84">
        <v>111.15</v>
      </c>
      <c r="R87" s="89"/>
      <c r="S87" s="78">
        <f>ROUND(ROUND(P87, 2)*I87, 2)</f>
        <v>0</v>
      </c>
    </row>
    <row r="88" spans="1:21" ht="21" hidden="1" x14ac:dyDescent="0.5">
      <c r="A88" s="10" t="s">
        <v>387</v>
      </c>
      <c r="B88" s="10"/>
      <c r="C88" s="47" t="s">
        <v>77</v>
      </c>
      <c r="D88" s="12"/>
      <c r="E88" s="12"/>
      <c r="F88" s="29" t="s">
        <v>78</v>
      </c>
      <c r="G88" s="30">
        <v>0.86</v>
      </c>
      <c r="H88" s="49"/>
      <c r="I88" s="49">
        <v>2133.402</v>
      </c>
      <c r="J88" s="31">
        <v>63.72</v>
      </c>
      <c r="M88" s="32"/>
      <c r="P88" s="84">
        <v>63.73</v>
      </c>
      <c r="R88" s="89"/>
      <c r="S88" s="78">
        <f>ROUND(ROUND(P88, 2)*I88, 2)</f>
        <v>135961.71</v>
      </c>
    </row>
    <row r="89" spans="1:21" ht="21" hidden="1" x14ac:dyDescent="0.5">
      <c r="A89" s="10" t="s">
        <v>390</v>
      </c>
      <c r="B89" s="10"/>
      <c r="C89" s="47" t="s">
        <v>85</v>
      </c>
      <c r="D89" s="12"/>
      <c r="E89" s="12"/>
      <c r="F89" s="29" t="s">
        <v>78</v>
      </c>
      <c r="G89" s="30">
        <v>2.1</v>
      </c>
      <c r="H89" s="49"/>
      <c r="I89" s="49">
        <v>5209.47</v>
      </c>
      <c r="J89" s="31">
        <v>95.08</v>
      </c>
      <c r="M89" s="32"/>
      <c r="P89" s="84">
        <v>95.07</v>
      </c>
      <c r="R89" s="89"/>
      <c r="S89" s="78">
        <f>ROUND(ROUND(P89, 2)*I89, 2)</f>
        <v>495264.31</v>
      </c>
    </row>
    <row r="90" spans="1:21" ht="22" hidden="1" customHeight="1" x14ac:dyDescent="0.5">
      <c r="A90" s="10" t="s">
        <v>393</v>
      </c>
      <c r="B90" s="10"/>
      <c r="C90" s="47" t="s">
        <v>92</v>
      </c>
      <c r="D90" s="12"/>
      <c r="E90" s="12"/>
      <c r="F90" s="29" t="s">
        <v>93</v>
      </c>
      <c r="G90" s="30">
        <v>5.1999999999999998E-2</v>
      </c>
      <c r="H90" s="30"/>
      <c r="I90" s="30">
        <v>0</v>
      </c>
      <c r="J90" s="31">
        <v>4026.8</v>
      </c>
      <c r="M90" s="32"/>
      <c r="P90" s="84">
        <v>4026.8</v>
      </c>
      <c r="R90" s="89"/>
      <c r="S90" s="78">
        <f>ROUND(ROUND(P90, 2)*I90, 2)</f>
        <v>0</v>
      </c>
    </row>
    <row r="91" spans="1:21" ht="36" hidden="1" x14ac:dyDescent="0.5">
      <c r="A91" s="10" t="s">
        <v>396</v>
      </c>
      <c r="B91" s="10"/>
      <c r="C91" s="47" t="s">
        <v>254</v>
      </c>
      <c r="D91" s="12"/>
      <c r="E91" s="12"/>
      <c r="F91" s="29" t="s">
        <v>63</v>
      </c>
      <c r="G91" s="30">
        <v>2.2000000000000002</v>
      </c>
      <c r="H91" s="30"/>
      <c r="I91" s="30">
        <v>0</v>
      </c>
      <c r="J91" s="31">
        <v>104.57</v>
      </c>
      <c r="M91" s="32"/>
      <c r="P91" s="84">
        <v>104.57</v>
      </c>
      <c r="R91" s="89"/>
      <c r="S91" s="78">
        <f>ROUND(ROUND(P91, 2)*I91, 2)</f>
        <v>0</v>
      </c>
    </row>
    <row r="92" spans="1:21" ht="342" hidden="1" x14ac:dyDescent="0.35">
      <c r="A92" s="10" t="s">
        <v>399</v>
      </c>
      <c r="B92" s="10" t="s">
        <v>215</v>
      </c>
      <c r="C92" s="11" t="s">
        <v>216</v>
      </c>
      <c r="D92" s="12" t="s">
        <v>61</v>
      </c>
      <c r="E92" s="12" t="s">
        <v>282</v>
      </c>
      <c r="F92" s="12" t="s">
        <v>63</v>
      </c>
      <c r="G92" s="13">
        <v>1</v>
      </c>
      <c r="H92" s="13"/>
      <c r="I92" s="13">
        <v>0</v>
      </c>
      <c r="J92" s="14">
        <f>IFERROR(ROUND(SUM(M93,M94,M95,M96,M97)/I92, 2),0)</f>
        <v>0</v>
      </c>
      <c r="K92" s="15">
        <v>1225</v>
      </c>
      <c r="L92" s="14">
        <f>J92+ROUND(K92, 2)</f>
        <v>1225</v>
      </c>
      <c r="M92" s="14"/>
      <c r="N92" s="14"/>
      <c r="O92" s="74"/>
      <c r="P92" s="82">
        <f>IFERROR(ROUND(SUM(S93,S94,S95,S96,S97)/I92, 2),0)</f>
        <v>0</v>
      </c>
      <c r="Q92" s="86">
        <v>1837.5</v>
      </c>
      <c r="R92" s="90">
        <f>P92+ROUND(Q92, 2)</f>
        <v>1837.5</v>
      </c>
      <c r="S92" s="77">
        <f>ROUND(P92*I92, 2)</f>
        <v>0</v>
      </c>
      <c r="T92" s="14">
        <f>ROUND(I92*ROUND(Q92, 2), 2)</f>
        <v>0</v>
      </c>
      <c r="U92" s="14">
        <f>S92+T92</f>
        <v>0</v>
      </c>
    </row>
    <row r="93" spans="1:21" ht="36" hidden="1" x14ac:dyDescent="0.5">
      <c r="A93" s="10" t="s">
        <v>400</v>
      </c>
      <c r="B93" s="10"/>
      <c r="C93" s="47" t="s">
        <v>254</v>
      </c>
      <c r="D93" s="12"/>
      <c r="E93" s="12"/>
      <c r="F93" s="29" t="s">
        <v>63</v>
      </c>
      <c r="G93" s="30">
        <v>2.2000000000000002</v>
      </c>
      <c r="H93" s="30"/>
      <c r="I93" s="30">
        <v>0</v>
      </c>
      <c r="J93" s="31">
        <v>104.57</v>
      </c>
      <c r="M93" s="32"/>
      <c r="P93" s="84">
        <v>104.57</v>
      </c>
      <c r="R93" s="89"/>
      <c r="S93" s="78">
        <f>ROUND(ROUND(P93, 2)*I93, 2)</f>
        <v>0</v>
      </c>
    </row>
    <row r="94" spans="1:21" ht="36" hidden="1" x14ac:dyDescent="0.5">
      <c r="A94" s="10" t="s">
        <v>403</v>
      </c>
      <c r="B94" s="10"/>
      <c r="C94" s="47" t="s">
        <v>92</v>
      </c>
      <c r="D94" s="12"/>
      <c r="E94" s="12"/>
      <c r="F94" s="29" t="s">
        <v>93</v>
      </c>
      <c r="G94" s="30">
        <v>5.1999999999999998E-2</v>
      </c>
      <c r="H94" s="30"/>
      <c r="I94" s="30">
        <v>0</v>
      </c>
      <c r="J94" s="31">
        <v>4026.8</v>
      </c>
      <c r="M94" s="32"/>
      <c r="P94" s="84">
        <v>4026.8</v>
      </c>
      <c r="R94" s="89"/>
      <c r="S94" s="78">
        <f>ROUND(ROUND(P94, 2)*I94, 2)</f>
        <v>0</v>
      </c>
    </row>
    <row r="95" spans="1:21" ht="21" hidden="1" x14ac:dyDescent="0.5">
      <c r="A95" s="10" t="s">
        <v>406</v>
      </c>
      <c r="B95" s="10"/>
      <c r="C95" s="47" t="s">
        <v>77</v>
      </c>
      <c r="D95" s="12"/>
      <c r="E95" s="12"/>
      <c r="F95" s="29" t="s">
        <v>78</v>
      </c>
      <c r="G95" s="30">
        <v>0.86</v>
      </c>
      <c r="H95" s="49"/>
      <c r="I95" s="49">
        <v>159.61600000000001</v>
      </c>
      <c r="J95" s="31">
        <v>63.72</v>
      </c>
      <c r="M95" s="32"/>
      <c r="P95" s="84">
        <v>63.73</v>
      </c>
      <c r="R95" s="89"/>
      <c r="S95" s="78">
        <f>ROUND(ROUND(P95, 2)*I95, 2)</f>
        <v>10172.33</v>
      </c>
    </row>
    <row r="96" spans="1:21" ht="21" hidden="1" x14ac:dyDescent="0.5">
      <c r="A96" s="10" t="s">
        <v>409</v>
      </c>
      <c r="B96" s="10"/>
      <c r="C96" s="47" t="s">
        <v>85</v>
      </c>
      <c r="D96" s="12"/>
      <c r="E96" s="12"/>
      <c r="F96" s="29" t="s">
        <v>78</v>
      </c>
      <c r="G96" s="30">
        <v>2.1</v>
      </c>
      <c r="H96" s="49"/>
      <c r="I96" s="49">
        <v>389.76</v>
      </c>
      <c r="J96" s="31">
        <v>95.08</v>
      </c>
      <c r="M96" s="32"/>
      <c r="P96" s="84">
        <v>95.07</v>
      </c>
      <c r="R96" s="89"/>
      <c r="S96" s="78">
        <f>ROUND(ROUND(P96, 2)*I96, 2)</f>
        <v>37054.480000000003</v>
      </c>
    </row>
    <row r="97" spans="1:21" ht="36.5" hidden="1" customHeight="1" x14ac:dyDescent="0.5">
      <c r="A97" s="10" t="s">
        <v>412</v>
      </c>
      <c r="B97" s="10"/>
      <c r="C97" s="28" t="s">
        <v>222</v>
      </c>
      <c r="D97" s="12"/>
      <c r="E97" s="12"/>
      <c r="F97" s="29" t="s">
        <v>70</v>
      </c>
      <c r="G97" s="30">
        <v>1</v>
      </c>
      <c r="H97" s="30"/>
      <c r="I97" s="30">
        <v>0</v>
      </c>
      <c r="J97" s="31">
        <v>111.16</v>
      </c>
      <c r="M97" s="32"/>
      <c r="P97" s="84">
        <v>111.15</v>
      </c>
      <c r="R97" s="89"/>
      <c r="S97" s="78">
        <f>ROUND(ROUND(P97, 2)*I97, 2)</f>
        <v>0</v>
      </c>
    </row>
    <row r="98" spans="1:21" ht="234" hidden="1" x14ac:dyDescent="0.35">
      <c r="A98" s="10" t="s">
        <v>415</v>
      </c>
      <c r="B98" s="10" t="s">
        <v>215</v>
      </c>
      <c r="C98" s="11" t="s">
        <v>216</v>
      </c>
      <c r="D98" s="12" t="s">
        <v>61</v>
      </c>
      <c r="E98" s="12" t="s">
        <v>310</v>
      </c>
      <c r="F98" s="12" t="s">
        <v>63</v>
      </c>
      <c r="G98" s="13">
        <v>1</v>
      </c>
      <c r="H98" s="13"/>
      <c r="I98" s="13">
        <v>0</v>
      </c>
      <c r="J98" s="14">
        <f>IFERROR(ROUND(SUM(M99,M100,M101,M102,M103)/I98, 2),0)</f>
        <v>0</v>
      </c>
      <c r="K98" s="15">
        <v>1225</v>
      </c>
      <c r="L98" s="14">
        <f>J98+ROUND(K98, 2)</f>
        <v>1225</v>
      </c>
      <c r="M98" s="14"/>
      <c r="N98" s="14"/>
      <c r="O98" s="74"/>
      <c r="P98" s="82">
        <f>IFERROR(ROUND(SUM(S99,S100,S101,S102,S103)/I98, 2),0)</f>
        <v>0</v>
      </c>
      <c r="Q98" s="86">
        <v>1837.5</v>
      </c>
      <c r="R98" s="90">
        <f>P98+ROUND(Q98, 2)</f>
        <v>1837.5</v>
      </c>
      <c r="S98" s="77">
        <f>ROUND(P98*I98, 2)</f>
        <v>0</v>
      </c>
      <c r="T98" s="14">
        <f>ROUND(I98*ROUND(Q98, 2), 2)</f>
        <v>0</v>
      </c>
      <c r="U98" s="14">
        <f>S98+T98</f>
        <v>0</v>
      </c>
    </row>
    <row r="99" spans="1:21" ht="54" hidden="1" x14ac:dyDescent="0.5">
      <c r="A99" s="10" t="s">
        <v>416</v>
      </c>
      <c r="B99" s="10"/>
      <c r="C99" s="28" t="s">
        <v>222</v>
      </c>
      <c r="D99" s="12"/>
      <c r="E99" s="12"/>
      <c r="F99" s="29" t="s">
        <v>70</v>
      </c>
      <c r="G99" s="30">
        <v>1</v>
      </c>
      <c r="H99" s="30"/>
      <c r="I99" s="30">
        <v>0</v>
      </c>
      <c r="J99" s="31">
        <v>111.16</v>
      </c>
      <c r="M99" s="32"/>
      <c r="P99" s="84">
        <v>111.15</v>
      </c>
      <c r="R99" s="89"/>
      <c r="S99" s="78">
        <f>ROUND(ROUND(P99, 2)*I99, 2)</f>
        <v>0</v>
      </c>
    </row>
    <row r="100" spans="1:21" ht="21" hidden="1" x14ac:dyDescent="0.5">
      <c r="A100" s="10" t="s">
        <v>419</v>
      </c>
      <c r="B100" s="10"/>
      <c r="C100" s="47" t="s">
        <v>135</v>
      </c>
      <c r="D100" s="12"/>
      <c r="E100" s="12"/>
      <c r="F100" s="29" t="s">
        <v>78</v>
      </c>
      <c r="G100" s="30">
        <v>2.1</v>
      </c>
      <c r="H100" s="30"/>
      <c r="I100" s="30">
        <v>0</v>
      </c>
      <c r="J100" s="31">
        <v>64.56</v>
      </c>
      <c r="M100" s="32"/>
      <c r="P100" s="84">
        <v>64.56</v>
      </c>
      <c r="R100" s="89"/>
      <c r="S100" s="78">
        <f>ROUND(ROUND(P100, 2)*I100, 2)</f>
        <v>0</v>
      </c>
    </row>
    <row r="101" spans="1:21" ht="21" hidden="1" x14ac:dyDescent="0.5">
      <c r="A101" s="10" t="s">
        <v>422</v>
      </c>
      <c r="B101" s="10"/>
      <c r="C101" s="47" t="s">
        <v>142</v>
      </c>
      <c r="D101" s="12"/>
      <c r="E101" s="12"/>
      <c r="F101" s="29" t="s">
        <v>78</v>
      </c>
      <c r="G101" s="30">
        <v>0.8</v>
      </c>
      <c r="H101" s="30"/>
      <c r="I101" s="30">
        <v>0</v>
      </c>
      <c r="J101" s="31">
        <v>51.64</v>
      </c>
      <c r="M101" s="32"/>
      <c r="P101" s="84">
        <v>51.63</v>
      </c>
      <c r="R101" s="89"/>
      <c r="S101" s="78">
        <f>ROUND(ROUND(P101, 2)*I101, 2)</f>
        <v>0</v>
      </c>
    </row>
    <row r="102" spans="1:21" ht="36" hidden="1" x14ac:dyDescent="0.5">
      <c r="A102" s="10" t="s">
        <v>425</v>
      </c>
      <c r="B102" s="10"/>
      <c r="C102" s="47" t="s">
        <v>92</v>
      </c>
      <c r="D102" s="12"/>
      <c r="E102" s="12"/>
      <c r="F102" s="29" t="s">
        <v>93</v>
      </c>
      <c r="G102" s="30">
        <v>5.1999999999999998E-2</v>
      </c>
      <c r="H102" s="30"/>
      <c r="I102" s="30">
        <v>0</v>
      </c>
      <c r="J102" s="31">
        <v>4026.8</v>
      </c>
      <c r="M102" s="32"/>
      <c r="P102" s="84">
        <v>4026.8</v>
      </c>
      <c r="R102" s="89"/>
      <c r="S102" s="78">
        <f>ROUND(ROUND(P102, 2)*I102, 2)</f>
        <v>0</v>
      </c>
    </row>
    <row r="103" spans="1:21" ht="36" hidden="1" x14ac:dyDescent="0.5">
      <c r="A103" s="10" t="s">
        <v>428</v>
      </c>
      <c r="B103" s="10"/>
      <c r="C103" s="47" t="s">
        <v>254</v>
      </c>
      <c r="D103" s="12"/>
      <c r="E103" s="12" t="s">
        <v>315</v>
      </c>
      <c r="F103" s="29" t="s">
        <v>63</v>
      </c>
      <c r="G103" s="30">
        <v>2.2000000000000002</v>
      </c>
      <c r="H103" s="30"/>
      <c r="I103" s="30">
        <v>0</v>
      </c>
      <c r="J103" s="31">
        <v>104.57</v>
      </c>
      <c r="M103" s="32"/>
      <c r="P103" s="84">
        <v>104.57</v>
      </c>
      <c r="R103" s="89"/>
      <c r="S103" s="78">
        <f>ROUND(ROUND(P103, 2)*I103, 2)</f>
        <v>0</v>
      </c>
    </row>
    <row r="104" spans="1:21" ht="234" hidden="1" x14ac:dyDescent="0.35">
      <c r="A104" s="10" t="s">
        <v>431</v>
      </c>
      <c r="B104" s="10" t="s">
        <v>215</v>
      </c>
      <c r="C104" s="11" t="s">
        <v>216</v>
      </c>
      <c r="D104" s="12" t="s">
        <v>61</v>
      </c>
      <c r="E104" s="12" t="s">
        <v>339</v>
      </c>
      <c r="F104" s="12" t="s">
        <v>63</v>
      </c>
      <c r="G104" s="13">
        <v>1</v>
      </c>
      <c r="H104" s="13"/>
      <c r="I104" s="13">
        <v>0</v>
      </c>
      <c r="J104" s="14">
        <f>IFERROR(ROUND(SUM(M105,M106,M107,M108,M109)/I104, 2),0)</f>
        <v>0</v>
      </c>
      <c r="K104" s="15">
        <v>1225</v>
      </c>
      <c r="L104" s="14">
        <f>J104+ROUND(K104, 2)</f>
        <v>1225</v>
      </c>
      <c r="M104" s="14"/>
      <c r="N104" s="14"/>
      <c r="O104" s="74"/>
      <c r="P104" s="82">
        <f>IFERROR(ROUND(SUM(S105,S106,S107,S108,S109)/I104, 2),0)</f>
        <v>0</v>
      </c>
      <c r="Q104" s="86">
        <v>1837.5</v>
      </c>
      <c r="R104" s="90">
        <f>P104+ROUND(Q104, 2)</f>
        <v>1837.5</v>
      </c>
      <c r="S104" s="77">
        <f>ROUND(P104*I104, 2)</f>
        <v>0</v>
      </c>
      <c r="T104" s="14">
        <f>ROUND(I104*ROUND(Q104, 2), 2)</f>
        <v>0</v>
      </c>
      <c r="U104" s="14">
        <f>S104+T104</f>
        <v>0</v>
      </c>
    </row>
    <row r="105" spans="1:21" ht="21" hidden="1" x14ac:dyDescent="0.5">
      <c r="A105" s="10" t="s">
        <v>432</v>
      </c>
      <c r="B105" s="10"/>
      <c r="C105" s="47" t="s">
        <v>361</v>
      </c>
      <c r="D105" s="12"/>
      <c r="E105" s="12"/>
      <c r="F105" s="29" t="s">
        <v>63</v>
      </c>
      <c r="G105" s="30">
        <v>2.2000000000000002</v>
      </c>
      <c r="H105" s="30"/>
      <c r="I105" s="30">
        <v>0</v>
      </c>
      <c r="J105" s="31">
        <v>315.55</v>
      </c>
      <c r="M105" s="32"/>
      <c r="P105" s="84">
        <v>315.55</v>
      </c>
      <c r="R105" s="89"/>
      <c r="S105" s="78">
        <f>ROUND(ROUND(P105, 2)*I105, 2)</f>
        <v>0</v>
      </c>
    </row>
    <row r="106" spans="1:21" ht="33" hidden="1" customHeight="1" x14ac:dyDescent="0.5">
      <c r="A106" s="10" t="s">
        <v>435</v>
      </c>
      <c r="B106" s="10"/>
      <c r="C106" s="47" t="s">
        <v>92</v>
      </c>
      <c r="D106" s="12"/>
      <c r="E106" s="12"/>
      <c r="F106" s="29" t="s">
        <v>93</v>
      </c>
      <c r="G106" s="30">
        <v>5.1999999999999998E-2</v>
      </c>
      <c r="H106" s="30"/>
      <c r="I106" s="30">
        <v>0</v>
      </c>
      <c r="J106" s="31">
        <v>4026.8</v>
      </c>
      <c r="M106" s="32"/>
      <c r="P106" s="84">
        <v>4026.8</v>
      </c>
      <c r="R106" s="89"/>
      <c r="S106" s="78">
        <f>ROUND(ROUND(P106, 2)*I106, 2)</f>
        <v>0</v>
      </c>
    </row>
    <row r="107" spans="1:21" ht="21" hidden="1" x14ac:dyDescent="0.5">
      <c r="A107" s="10" t="s">
        <v>438</v>
      </c>
      <c r="B107" s="10"/>
      <c r="C107" s="47" t="s">
        <v>77</v>
      </c>
      <c r="D107" s="12"/>
      <c r="E107" s="12"/>
      <c r="F107" s="29" t="s">
        <v>78</v>
      </c>
      <c r="G107" s="30">
        <v>0.86</v>
      </c>
      <c r="H107" s="49"/>
      <c r="I107" s="49">
        <v>82.388000000000005</v>
      </c>
      <c r="J107" s="31">
        <v>63.72</v>
      </c>
      <c r="M107" s="32"/>
      <c r="P107" s="84">
        <v>63.73</v>
      </c>
      <c r="R107" s="89"/>
      <c r="S107" s="78">
        <f>ROUND(ROUND(P107, 2)*I107, 2)</f>
        <v>5250.59</v>
      </c>
    </row>
    <row r="108" spans="1:21" ht="21" hidden="1" x14ac:dyDescent="0.5">
      <c r="A108" s="10" t="s">
        <v>441</v>
      </c>
      <c r="B108" s="10"/>
      <c r="C108" s="47" t="s">
        <v>85</v>
      </c>
      <c r="D108" s="12"/>
      <c r="E108" s="12"/>
      <c r="F108" s="29" t="s">
        <v>78</v>
      </c>
      <c r="G108" s="30">
        <v>2.1</v>
      </c>
      <c r="H108" s="49"/>
      <c r="I108" s="49">
        <v>201.18</v>
      </c>
      <c r="J108" s="31">
        <v>95.08</v>
      </c>
      <c r="M108" s="32"/>
      <c r="P108" s="84">
        <v>95.07</v>
      </c>
      <c r="R108" s="89"/>
      <c r="S108" s="78">
        <f>ROUND(ROUND(P108, 2)*I108, 2)</f>
        <v>19126.18</v>
      </c>
    </row>
    <row r="109" spans="1:21" ht="54" hidden="1" x14ac:dyDescent="0.5">
      <c r="A109" s="10" t="s">
        <v>444</v>
      </c>
      <c r="B109" s="10"/>
      <c r="C109" s="28" t="s">
        <v>222</v>
      </c>
      <c r="D109" s="12"/>
      <c r="E109" s="12"/>
      <c r="F109" s="29" t="s">
        <v>70</v>
      </c>
      <c r="G109" s="30">
        <v>1</v>
      </c>
      <c r="H109" s="30"/>
      <c r="I109" s="30">
        <v>0</v>
      </c>
      <c r="J109" s="31">
        <v>111.16</v>
      </c>
      <c r="M109" s="32"/>
      <c r="P109" s="84">
        <v>111.15</v>
      </c>
      <c r="R109" s="89"/>
      <c r="S109" s="78">
        <f>ROUND(ROUND(P109, 2)*I109, 2)</f>
        <v>0</v>
      </c>
    </row>
    <row r="110" spans="1:21" ht="17" hidden="1" customHeight="1" x14ac:dyDescent="0.5">
      <c r="A110" s="10" t="s">
        <v>447</v>
      </c>
      <c r="B110" s="10" t="s">
        <v>448</v>
      </c>
      <c r="C110" s="174" t="s">
        <v>449</v>
      </c>
      <c r="D110" s="175"/>
      <c r="E110" s="175"/>
      <c r="F110" s="175"/>
      <c r="G110" s="175"/>
      <c r="H110" s="175"/>
      <c r="I110" s="176"/>
      <c r="M110" s="6"/>
      <c r="N110" s="6"/>
      <c r="O110" s="73"/>
      <c r="P110" s="81"/>
      <c r="R110" s="89"/>
      <c r="S110" s="76">
        <f t="shared" ref="S110:U111" si="1">SUM(S111)</f>
        <v>0</v>
      </c>
      <c r="T110" s="6">
        <f t="shared" si="1"/>
        <v>0</v>
      </c>
      <c r="U110" s="6">
        <f t="shared" si="1"/>
        <v>0</v>
      </c>
    </row>
    <row r="111" spans="1:21" ht="17" hidden="1" customHeight="1" x14ac:dyDescent="0.5">
      <c r="A111" s="10" t="s">
        <v>450</v>
      </c>
      <c r="B111" s="10" t="s">
        <v>451</v>
      </c>
      <c r="C111" s="174" t="s">
        <v>452</v>
      </c>
      <c r="D111" s="175"/>
      <c r="E111" s="175"/>
      <c r="F111" s="175"/>
      <c r="G111" s="175"/>
      <c r="H111" s="175"/>
      <c r="I111" s="176"/>
      <c r="M111" s="6"/>
      <c r="N111" s="6"/>
      <c r="O111" s="73"/>
      <c r="P111" s="81"/>
      <c r="R111" s="89"/>
      <c r="S111" s="76">
        <f t="shared" si="1"/>
        <v>0</v>
      </c>
      <c r="T111" s="6">
        <f t="shared" si="1"/>
        <v>0</v>
      </c>
      <c r="U111" s="6">
        <f t="shared" si="1"/>
        <v>0</v>
      </c>
    </row>
    <row r="112" spans="1:21" ht="17" hidden="1" customHeight="1" x14ac:dyDescent="0.5">
      <c r="A112" s="10" t="s">
        <v>453</v>
      </c>
      <c r="B112" s="10" t="s">
        <v>454</v>
      </c>
      <c r="C112" s="174" t="s">
        <v>455</v>
      </c>
      <c r="D112" s="175"/>
      <c r="E112" s="175"/>
      <c r="F112" s="175"/>
      <c r="G112" s="175"/>
      <c r="H112" s="175"/>
      <c r="I112" s="176"/>
      <c r="M112" s="6"/>
      <c r="N112" s="6"/>
      <c r="O112" s="73"/>
      <c r="P112" s="81"/>
      <c r="R112" s="89"/>
      <c r="S112" s="76">
        <f>SUM(S113,S287,S326,S369,S449)</f>
        <v>0</v>
      </c>
      <c r="T112" s="6">
        <f>SUM(T113,T287,T326,T369,T449)</f>
        <v>0</v>
      </c>
      <c r="U112" s="6">
        <f>SUM(U113,U287,U326,U369,U449)</f>
        <v>0</v>
      </c>
    </row>
    <row r="113" spans="1:21" ht="17" hidden="1" customHeight="1" x14ac:dyDescent="0.5">
      <c r="A113" s="10" t="s">
        <v>456</v>
      </c>
      <c r="B113" s="10" t="s">
        <v>457</v>
      </c>
      <c r="C113" s="174" t="s">
        <v>458</v>
      </c>
      <c r="D113" s="175"/>
      <c r="E113" s="175"/>
      <c r="F113" s="175"/>
      <c r="G113" s="175"/>
      <c r="H113" s="175"/>
      <c r="I113" s="176"/>
      <c r="M113" s="6"/>
      <c r="N113" s="6"/>
      <c r="O113" s="73"/>
      <c r="P113" s="81"/>
      <c r="R113" s="89"/>
      <c r="S113" s="76">
        <f>SUM(S114,S137,S182)</f>
        <v>0</v>
      </c>
      <c r="T113" s="6">
        <f>SUM(T114,T137,T182)</f>
        <v>0</v>
      </c>
      <c r="U113" s="6">
        <f>SUM(U114,U137,U182)</f>
        <v>0</v>
      </c>
    </row>
    <row r="114" spans="1:21" ht="17" hidden="1" customHeight="1" x14ac:dyDescent="0.5">
      <c r="A114" s="10" t="s">
        <v>459</v>
      </c>
      <c r="B114" s="10" t="s">
        <v>460</v>
      </c>
      <c r="C114" s="174" t="s">
        <v>461</v>
      </c>
      <c r="D114" s="175"/>
      <c r="E114" s="175"/>
      <c r="F114" s="175"/>
      <c r="G114" s="175"/>
      <c r="H114" s="175"/>
      <c r="I114" s="176"/>
      <c r="M114" s="6"/>
      <c r="N114" s="6"/>
      <c r="O114" s="73"/>
      <c r="P114" s="81"/>
      <c r="R114" s="89"/>
      <c r="S114" s="76">
        <f>SUM(S115,S117,S119,S124,S129,S133)</f>
        <v>0</v>
      </c>
      <c r="T114" s="6">
        <f>SUM(T115,T117,T119,T124,T129,T133)</f>
        <v>0</v>
      </c>
      <c r="U114" s="6">
        <f>SUM(U115,U117,U119,U124,U129,U133)</f>
        <v>0</v>
      </c>
    </row>
    <row r="115" spans="1:21" ht="2" hidden="1" customHeight="1" x14ac:dyDescent="0.35">
      <c r="A115" s="10" t="s">
        <v>462</v>
      </c>
      <c r="B115" s="10" t="s">
        <v>463</v>
      </c>
      <c r="C115" s="11" t="s">
        <v>464</v>
      </c>
      <c r="D115" s="12"/>
      <c r="E115" s="12"/>
      <c r="F115" s="12" t="s">
        <v>63</v>
      </c>
      <c r="G115" s="13">
        <v>1</v>
      </c>
      <c r="H115" s="13"/>
      <c r="I115" s="13">
        <v>0</v>
      </c>
      <c r="J115" s="14">
        <v>51.44</v>
      </c>
      <c r="K115" s="15">
        <v>40</v>
      </c>
      <c r="L115" s="14">
        <f>J115+ROUND(K115, 2)</f>
        <v>91.44</v>
      </c>
      <c r="M115" s="14"/>
      <c r="N115" s="14"/>
      <c r="O115" s="74"/>
      <c r="P115" s="82">
        <v>51.44</v>
      </c>
      <c r="Q115" s="85">
        <v>40</v>
      </c>
      <c r="R115" s="90">
        <f>P115+ROUND(Q115, 2)</f>
        <v>91.44</v>
      </c>
      <c r="S115" s="77">
        <v>0</v>
      </c>
      <c r="T115" s="14">
        <v>0</v>
      </c>
      <c r="U115" s="14">
        <f>S115+T115</f>
        <v>0</v>
      </c>
    </row>
    <row r="116" spans="1:21" ht="21" hidden="1" x14ac:dyDescent="0.5">
      <c r="A116" s="10" t="s">
        <v>470</v>
      </c>
      <c r="B116" s="10"/>
      <c r="C116" s="28" t="s">
        <v>471</v>
      </c>
      <c r="D116" s="12"/>
      <c r="E116" s="12"/>
      <c r="F116" s="29" t="s">
        <v>63</v>
      </c>
      <c r="G116" s="30">
        <v>1.1000000000000001</v>
      </c>
      <c r="H116" s="30"/>
      <c r="I116" s="30">
        <v>0</v>
      </c>
      <c r="J116" s="31">
        <v>46.76</v>
      </c>
      <c r="M116" s="32"/>
      <c r="P116" s="83">
        <v>46.76</v>
      </c>
      <c r="R116" s="89"/>
      <c r="S116" s="78">
        <f>ROUND(ROUND(P116, 2)*I116, 2)</f>
        <v>0</v>
      </c>
    </row>
    <row r="117" spans="1:21" ht="36" hidden="1" x14ac:dyDescent="0.35">
      <c r="A117" s="10" t="s">
        <v>477</v>
      </c>
      <c r="B117" s="10" t="s">
        <v>463</v>
      </c>
      <c r="C117" s="11" t="s">
        <v>464</v>
      </c>
      <c r="D117" s="12"/>
      <c r="E117" s="12" t="s">
        <v>469</v>
      </c>
      <c r="F117" s="12" t="s">
        <v>63</v>
      </c>
      <c r="G117" s="13">
        <v>1</v>
      </c>
      <c r="H117" s="13"/>
      <c r="I117" s="13">
        <v>0</v>
      </c>
      <c r="J117" s="14">
        <f>IFERROR(ROUND(SUM(M118)/I117, 2),0)</f>
        <v>0</v>
      </c>
      <c r="K117" s="15">
        <v>40</v>
      </c>
      <c r="L117" s="14">
        <f>J117+ROUND(K117, 2)</f>
        <v>40</v>
      </c>
      <c r="M117" s="14"/>
      <c r="N117" s="14"/>
      <c r="O117" s="74"/>
      <c r="P117" s="82">
        <f>IFERROR(ROUND(SUM(S118)/I117, 2),0)</f>
        <v>0</v>
      </c>
      <c r="Q117" s="86">
        <v>60</v>
      </c>
      <c r="R117" s="90">
        <f>P117+ROUND(Q117, 2)</f>
        <v>60</v>
      </c>
      <c r="S117" s="77">
        <f>ROUND(P117*I117, 2)</f>
        <v>0</v>
      </c>
      <c r="T117" s="14">
        <f>ROUND(I117*ROUND(Q117, 2), 2)</f>
        <v>0</v>
      </c>
      <c r="U117" s="14">
        <f>S117+T117</f>
        <v>0</v>
      </c>
    </row>
    <row r="118" spans="1:21" ht="21" hidden="1" x14ac:dyDescent="0.5">
      <c r="A118" s="10" t="s">
        <v>478</v>
      </c>
      <c r="B118" s="10"/>
      <c r="C118" s="28" t="s">
        <v>471</v>
      </c>
      <c r="D118" s="12"/>
      <c r="E118" s="12"/>
      <c r="F118" s="29" t="s">
        <v>63</v>
      </c>
      <c r="G118" s="30">
        <v>1.1000000000000001</v>
      </c>
      <c r="H118" s="30"/>
      <c r="I118" s="30">
        <v>0</v>
      </c>
      <c r="J118" s="31">
        <v>46.76</v>
      </c>
      <c r="M118" s="32"/>
      <c r="P118" s="84">
        <v>46.76</v>
      </c>
      <c r="R118" s="89"/>
      <c r="S118" s="78">
        <f>ROUND(ROUND(P118, 2)*I118, 2)</f>
        <v>0</v>
      </c>
    </row>
    <row r="119" spans="1:21" ht="36" hidden="1" x14ac:dyDescent="0.35">
      <c r="A119" s="10" t="s">
        <v>481</v>
      </c>
      <c r="B119" s="10" t="s">
        <v>482</v>
      </c>
      <c r="C119" s="11" t="s">
        <v>483</v>
      </c>
      <c r="D119" s="12"/>
      <c r="E119" s="12"/>
      <c r="F119" s="12" t="s">
        <v>63</v>
      </c>
      <c r="G119" s="13">
        <v>1</v>
      </c>
      <c r="H119" s="13"/>
      <c r="I119" s="13">
        <v>0</v>
      </c>
      <c r="J119" s="14">
        <v>585.11</v>
      </c>
      <c r="K119" s="15">
        <v>868</v>
      </c>
      <c r="L119" s="14">
        <f>J119+ROUND(K119, 2)</f>
        <v>1453.1100000000001</v>
      </c>
      <c r="M119" s="14"/>
      <c r="N119" s="14"/>
      <c r="O119" s="74"/>
      <c r="P119" s="82">
        <v>585.11</v>
      </c>
      <c r="Q119" s="85">
        <v>868</v>
      </c>
      <c r="R119" s="90">
        <f>P119+ROUND(Q119, 2)</f>
        <v>1453.1100000000001</v>
      </c>
      <c r="S119" s="77">
        <v>0</v>
      </c>
      <c r="T119" s="14">
        <v>0</v>
      </c>
      <c r="U119" s="14">
        <f>S119+T119</f>
        <v>0</v>
      </c>
    </row>
    <row r="120" spans="1:21" ht="21" hidden="1" x14ac:dyDescent="0.5">
      <c r="A120" s="10" t="s">
        <v>488</v>
      </c>
      <c r="B120" s="10"/>
      <c r="C120" s="28" t="s">
        <v>489</v>
      </c>
      <c r="D120" s="12"/>
      <c r="E120" s="12"/>
      <c r="F120" s="29" t="s">
        <v>490</v>
      </c>
      <c r="G120" s="30">
        <v>8</v>
      </c>
      <c r="H120" s="49"/>
      <c r="I120" s="49">
        <v>0</v>
      </c>
      <c r="J120" s="31">
        <v>2.5</v>
      </c>
      <c r="M120" s="32"/>
      <c r="P120" s="83">
        <v>2.5</v>
      </c>
      <c r="R120" s="89"/>
      <c r="S120" s="78">
        <f>ROUND(ROUND(P120, 2)*I120, 2)</f>
        <v>0</v>
      </c>
    </row>
    <row r="121" spans="1:21" ht="21" hidden="1" x14ac:dyDescent="0.5">
      <c r="A121" s="10" t="s">
        <v>496</v>
      </c>
      <c r="B121" s="10"/>
      <c r="C121" s="28" t="s">
        <v>497</v>
      </c>
      <c r="D121" s="12"/>
      <c r="E121" s="12"/>
      <c r="F121" s="29" t="s">
        <v>498</v>
      </c>
      <c r="G121" s="30">
        <v>1.8</v>
      </c>
      <c r="H121" s="49"/>
      <c r="I121" s="49">
        <v>0</v>
      </c>
      <c r="J121" s="31">
        <v>6.17</v>
      </c>
      <c r="M121" s="32"/>
      <c r="P121" s="83">
        <v>6.17</v>
      </c>
      <c r="R121" s="89"/>
      <c r="S121" s="78">
        <f>ROUND(ROUND(P121, 2)*I121, 2)</f>
        <v>0</v>
      </c>
    </row>
    <row r="122" spans="1:21" ht="21" hidden="1" x14ac:dyDescent="0.5">
      <c r="A122" s="10" t="s">
        <v>504</v>
      </c>
      <c r="B122" s="10"/>
      <c r="C122" s="28" t="s">
        <v>505</v>
      </c>
      <c r="D122" s="12"/>
      <c r="E122" s="12"/>
      <c r="F122" s="29" t="s">
        <v>63</v>
      </c>
      <c r="G122" s="30">
        <v>1.1000000000000001</v>
      </c>
      <c r="H122" s="49"/>
      <c r="I122" s="49">
        <v>0</v>
      </c>
      <c r="J122" s="31">
        <v>101.94</v>
      </c>
      <c r="M122" s="32"/>
      <c r="P122" s="83">
        <v>101.94</v>
      </c>
      <c r="R122" s="89"/>
      <c r="S122" s="78">
        <f>ROUND(ROUND(P122, 2)*I122, 2)</f>
        <v>0</v>
      </c>
    </row>
    <row r="123" spans="1:21" ht="21" hidden="1" x14ac:dyDescent="0.5">
      <c r="A123" s="10" t="s">
        <v>511</v>
      </c>
      <c r="B123" s="10"/>
      <c r="C123" s="28" t="s">
        <v>512</v>
      </c>
      <c r="D123" s="12"/>
      <c r="E123" s="12"/>
      <c r="F123" s="29" t="s">
        <v>78</v>
      </c>
      <c r="G123" s="30">
        <v>1</v>
      </c>
      <c r="H123" s="49"/>
      <c r="I123" s="49">
        <v>0</v>
      </c>
      <c r="J123" s="31">
        <v>10.4</v>
      </c>
      <c r="M123" s="32"/>
      <c r="P123" s="83">
        <v>10.4</v>
      </c>
      <c r="R123" s="89"/>
      <c r="S123" s="78">
        <f>ROUND(ROUND(P123, 2)*I123, 2)</f>
        <v>0</v>
      </c>
    </row>
    <row r="124" spans="1:21" ht="36" hidden="1" x14ac:dyDescent="0.35">
      <c r="A124" s="10" t="s">
        <v>518</v>
      </c>
      <c r="B124" s="10" t="s">
        <v>482</v>
      </c>
      <c r="C124" s="11" t="s">
        <v>483</v>
      </c>
      <c r="D124" s="12"/>
      <c r="E124" s="12" t="s">
        <v>487</v>
      </c>
      <c r="F124" s="12" t="s">
        <v>63</v>
      </c>
      <c r="G124" s="13">
        <v>1</v>
      </c>
      <c r="H124" s="13"/>
      <c r="I124" s="13">
        <v>0</v>
      </c>
      <c r="J124" s="14">
        <f>IFERROR(ROUND(SUM(M125,M126,M127,M128)/I124, 2),0)</f>
        <v>0</v>
      </c>
      <c r="K124" s="15">
        <v>868</v>
      </c>
      <c r="L124" s="14">
        <f>J124+ROUND(K124, 2)</f>
        <v>868</v>
      </c>
      <c r="M124" s="14"/>
      <c r="N124" s="14"/>
      <c r="O124" s="74"/>
      <c r="P124" s="82">
        <f>IFERROR(ROUND(SUM(S125,S126,S127,S128)/I124, 2),0)</f>
        <v>0</v>
      </c>
      <c r="Q124" s="86">
        <v>1302</v>
      </c>
      <c r="R124" s="90">
        <f>P124+ROUND(Q124, 2)</f>
        <v>1302</v>
      </c>
      <c r="S124" s="77">
        <f>ROUND(P124*I124, 2)</f>
        <v>0</v>
      </c>
      <c r="T124" s="14">
        <f>ROUND(I124*ROUND(Q124, 2), 2)</f>
        <v>0</v>
      </c>
      <c r="U124" s="14">
        <f>S124+T124</f>
        <v>0</v>
      </c>
    </row>
    <row r="125" spans="1:21" ht="21" hidden="1" x14ac:dyDescent="0.5">
      <c r="A125" s="10" t="s">
        <v>519</v>
      </c>
      <c r="B125" s="10"/>
      <c r="C125" s="28" t="s">
        <v>512</v>
      </c>
      <c r="D125" s="12"/>
      <c r="E125" s="12"/>
      <c r="F125" s="29" t="s">
        <v>78</v>
      </c>
      <c r="G125" s="30">
        <v>1</v>
      </c>
      <c r="H125" s="49"/>
      <c r="I125" s="49">
        <v>6544</v>
      </c>
      <c r="J125" s="31">
        <v>10.4</v>
      </c>
      <c r="M125" s="32"/>
      <c r="P125" s="84">
        <v>10.4</v>
      </c>
      <c r="R125" s="89"/>
      <c r="S125" s="78">
        <f>ROUND(ROUND(P125, 2)*I125, 2)</f>
        <v>68057.600000000006</v>
      </c>
    </row>
    <row r="126" spans="1:21" ht="21" hidden="1" x14ac:dyDescent="0.5">
      <c r="A126" s="10" t="s">
        <v>522</v>
      </c>
      <c r="B126" s="10"/>
      <c r="C126" s="28" t="s">
        <v>505</v>
      </c>
      <c r="D126" s="12"/>
      <c r="E126" s="12"/>
      <c r="F126" s="29" t="s">
        <v>63</v>
      </c>
      <c r="G126" s="30">
        <v>1.1000000000000001</v>
      </c>
      <c r="H126" s="49"/>
      <c r="I126" s="49">
        <v>8567.68</v>
      </c>
      <c r="J126" s="31">
        <v>101.94</v>
      </c>
      <c r="M126" s="32"/>
      <c r="P126" s="84">
        <v>101.94</v>
      </c>
      <c r="R126" s="89"/>
      <c r="S126" s="78">
        <f>ROUND(ROUND(P126, 2)*I126, 2)</f>
        <v>873389.3</v>
      </c>
    </row>
    <row r="127" spans="1:21" ht="21" hidden="1" x14ac:dyDescent="0.5">
      <c r="A127" s="10" t="s">
        <v>525</v>
      </c>
      <c r="B127" s="10"/>
      <c r="C127" s="28" t="s">
        <v>497</v>
      </c>
      <c r="D127" s="12"/>
      <c r="E127" s="12"/>
      <c r="F127" s="29" t="s">
        <v>498</v>
      </c>
      <c r="G127" s="30">
        <v>1.8</v>
      </c>
      <c r="H127" s="49"/>
      <c r="I127" s="49">
        <v>14019.84</v>
      </c>
      <c r="J127" s="31">
        <v>6.17</v>
      </c>
      <c r="M127" s="32"/>
      <c r="P127" s="84">
        <v>6.17</v>
      </c>
      <c r="R127" s="89"/>
      <c r="S127" s="78">
        <f>ROUND(ROUND(P127, 2)*I127, 2)</f>
        <v>86502.41</v>
      </c>
    </row>
    <row r="128" spans="1:21" ht="17" hidden="1" customHeight="1" x14ac:dyDescent="0.5">
      <c r="A128" s="10" t="s">
        <v>528</v>
      </c>
      <c r="B128" s="10"/>
      <c r="C128" s="28" t="s">
        <v>489</v>
      </c>
      <c r="D128" s="12"/>
      <c r="E128" s="12"/>
      <c r="F128" s="29" t="s">
        <v>490</v>
      </c>
      <c r="G128" s="30">
        <v>8</v>
      </c>
      <c r="H128" s="49"/>
      <c r="I128" s="49">
        <v>62310.400000000001</v>
      </c>
      <c r="J128" s="31">
        <v>2.5</v>
      </c>
      <c r="M128" s="32"/>
      <c r="P128" s="84">
        <v>2.5</v>
      </c>
      <c r="R128" s="89"/>
      <c r="S128" s="78">
        <f>ROUND(ROUND(P128, 2)*I128, 2)</f>
        <v>155776</v>
      </c>
    </row>
    <row r="129" spans="1:21" ht="36" hidden="1" x14ac:dyDescent="0.35">
      <c r="A129" s="10" t="s">
        <v>531</v>
      </c>
      <c r="B129" s="10" t="s">
        <v>532</v>
      </c>
      <c r="C129" s="11" t="s">
        <v>533</v>
      </c>
      <c r="D129" s="12"/>
      <c r="E129" s="12"/>
      <c r="F129" s="12" t="s">
        <v>63</v>
      </c>
      <c r="G129" s="13">
        <v>1</v>
      </c>
      <c r="H129" s="13"/>
      <c r="I129" s="13">
        <v>0</v>
      </c>
      <c r="J129" s="14">
        <v>177.17</v>
      </c>
      <c r="K129" s="15">
        <v>557</v>
      </c>
      <c r="L129" s="14">
        <f>J129+ROUND(K129, 2)</f>
        <v>734.17</v>
      </c>
      <c r="M129" s="14"/>
      <c r="N129" s="14"/>
      <c r="O129" s="74"/>
      <c r="P129" s="82">
        <v>177.17</v>
      </c>
      <c r="Q129" s="85">
        <v>557</v>
      </c>
      <c r="R129" s="90">
        <f>P129+ROUND(Q129, 2)</f>
        <v>734.17</v>
      </c>
      <c r="S129" s="77">
        <v>0</v>
      </c>
      <c r="T129" s="14">
        <v>0</v>
      </c>
      <c r="U129" s="14">
        <f>S129+T129</f>
        <v>0</v>
      </c>
    </row>
    <row r="130" spans="1:21" ht="21" hidden="1" x14ac:dyDescent="0.5">
      <c r="A130" s="10" t="s">
        <v>538</v>
      </c>
      <c r="B130" s="10"/>
      <c r="C130" s="28" t="s">
        <v>512</v>
      </c>
      <c r="D130" s="12"/>
      <c r="E130" s="12"/>
      <c r="F130" s="29" t="s">
        <v>78</v>
      </c>
      <c r="G130" s="30">
        <v>1</v>
      </c>
      <c r="H130" s="49"/>
      <c r="I130" s="49">
        <v>0</v>
      </c>
      <c r="J130" s="31">
        <v>10.4</v>
      </c>
      <c r="M130" s="32"/>
      <c r="P130" s="83">
        <v>10.4</v>
      </c>
      <c r="R130" s="89"/>
      <c r="S130" s="78">
        <f>ROUND(ROUND(P130, 2)*I130, 2)</f>
        <v>0</v>
      </c>
    </row>
    <row r="131" spans="1:21" ht="36" hidden="1" x14ac:dyDescent="0.5">
      <c r="A131" s="10" t="s">
        <v>543</v>
      </c>
      <c r="B131" s="10"/>
      <c r="C131" s="28" t="s">
        <v>544</v>
      </c>
      <c r="D131" s="12"/>
      <c r="E131" s="12"/>
      <c r="F131" s="29" t="s">
        <v>498</v>
      </c>
      <c r="G131" s="30">
        <v>0.255</v>
      </c>
      <c r="H131" s="30"/>
      <c r="I131" s="30">
        <v>0</v>
      </c>
      <c r="J131" s="31">
        <v>88.8</v>
      </c>
      <c r="M131" s="32"/>
      <c r="P131" s="83">
        <v>88.8</v>
      </c>
      <c r="R131" s="89"/>
      <c r="S131" s="78">
        <f>ROUND(ROUND(P131, 2)*I131, 2)</f>
        <v>0</v>
      </c>
    </row>
    <row r="132" spans="1:21" ht="36" hidden="1" x14ac:dyDescent="0.5">
      <c r="A132" s="10" t="s">
        <v>550</v>
      </c>
      <c r="B132" s="10"/>
      <c r="C132" s="47" t="s">
        <v>551</v>
      </c>
      <c r="D132" s="12"/>
      <c r="E132" s="12"/>
      <c r="F132" s="29" t="s">
        <v>498</v>
      </c>
      <c r="G132" s="30">
        <v>1.6</v>
      </c>
      <c r="H132" s="49"/>
      <c r="I132" s="49">
        <v>0</v>
      </c>
      <c r="J132" s="31">
        <v>9.5500000000000007</v>
      </c>
      <c r="M132" s="32"/>
      <c r="P132" s="83">
        <v>9.5500000000000007</v>
      </c>
      <c r="R132" s="89"/>
      <c r="S132" s="78">
        <f>ROUND(ROUND(P132, 2)*I132, 2)</f>
        <v>0</v>
      </c>
    </row>
    <row r="133" spans="1:21" ht="36" hidden="1" x14ac:dyDescent="0.35">
      <c r="A133" s="10" t="s">
        <v>557</v>
      </c>
      <c r="B133" s="10" t="s">
        <v>532</v>
      </c>
      <c r="C133" s="11" t="s">
        <v>533</v>
      </c>
      <c r="D133" s="12"/>
      <c r="E133" s="12" t="s">
        <v>537</v>
      </c>
      <c r="F133" s="12" t="s">
        <v>63</v>
      </c>
      <c r="G133" s="13">
        <v>1</v>
      </c>
      <c r="H133" s="13"/>
      <c r="I133" s="13">
        <v>0</v>
      </c>
      <c r="J133" s="14">
        <f>IFERROR(ROUND(SUM(M134,M135,M136)/I133, 2),0)</f>
        <v>0</v>
      </c>
      <c r="K133" s="15">
        <v>557</v>
      </c>
      <c r="L133" s="14">
        <f>J133+ROUND(K133, 2)</f>
        <v>557</v>
      </c>
      <c r="M133" s="14"/>
      <c r="N133" s="14"/>
      <c r="O133" s="74"/>
      <c r="P133" s="82">
        <f>IFERROR(ROUND(SUM(S134,S135,S136)/I133, 2),0)</f>
        <v>0</v>
      </c>
      <c r="Q133" s="86">
        <v>835.5</v>
      </c>
      <c r="R133" s="90">
        <f>P133+ROUND(Q133, 2)</f>
        <v>835.5</v>
      </c>
      <c r="S133" s="77">
        <f>ROUND(P133*I133, 2)</f>
        <v>0</v>
      </c>
      <c r="T133" s="14">
        <f>ROUND(I133*ROUND(Q133, 2), 2)</f>
        <v>0</v>
      </c>
      <c r="U133" s="14">
        <f>S133+T133</f>
        <v>0</v>
      </c>
    </row>
    <row r="134" spans="1:21" ht="36" hidden="1" x14ac:dyDescent="0.5">
      <c r="A134" s="10" t="s">
        <v>558</v>
      </c>
      <c r="B134" s="10"/>
      <c r="C134" s="47" t="s">
        <v>551</v>
      </c>
      <c r="D134" s="12"/>
      <c r="E134" s="12"/>
      <c r="F134" s="29" t="s">
        <v>498</v>
      </c>
      <c r="G134" s="30">
        <v>1.6</v>
      </c>
      <c r="H134" s="49"/>
      <c r="I134" s="49">
        <v>9339.2000000000007</v>
      </c>
      <c r="J134" s="31">
        <v>9.07</v>
      </c>
      <c r="M134" s="32"/>
      <c r="P134" s="84">
        <v>9.07</v>
      </c>
      <c r="R134" s="89"/>
      <c r="S134" s="78">
        <f>ROUND(ROUND(P134, 2)*I134, 2)</f>
        <v>84706.54</v>
      </c>
    </row>
    <row r="135" spans="1:21" ht="36" hidden="1" x14ac:dyDescent="0.5">
      <c r="A135" s="10" t="s">
        <v>561</v>
      </c>
      <c r="B135" s="10"/>
      <c r="C135" s="28" t="s">
        <v>544</v>
      </c>
      <c r="D135" s="12"/>
      <c r="E135" s="12"/>
      <c r="F135" s="29" t="s">
        <v>498</v>
      </c>
      <c r="G135" s="30">
        <v>0.255</v>
      </c>
      <c r="H135" s="30"/>
      <c r="I135" s="30">
        <v>0</v>
      </c>
      <c r="J135" s="31">
        <v>88.8</v>
      </c>
      <c r="M135" s="32"/>
      <c r="P135" s="84">
        <v>88.8</v>
      </c>
      <c r="R135" s="89"/>
      <c r="S135" s="78">
        <f>ROUND(ROUND(P135, 2)*I135, 2)</f>
        <v>0</v>
      </c>
    </row>
    <row r="136" spans="1:21" ht="21" hidden="1" x14ac:dyDescent="0.5">
      <c r="A136" s="10" t="s">
        <v>564</v>
      </c>
      <c r="B136" s="10"/>
      <c r="C136" s="28" t="s">
        <v>512</v>
      </c>
      <c r="D136" s="12"/>
      <c r="E136" s="12"/>
      <c r="F136" s="29" t="s">
        <v>78</v>
      </c>
      <c r="G136" s="30">
        <v>1</v>
      </c>
      <c r="H136" s="49"/>
      <c r="I136" s="49">
        <v>96.64</v>
      </c>
      <c r="J136" s="31">
        <v>10.4</v>
      </c>
      <c r="M136" s="32"/>
      <c r="P136" s="84">
        <v>10.4</v>
      </c>
      <c r="R136" s="89"/>
      <c r="S136" s="78">
        <f>ROUND(ROUND(P136, 2)*I136, 2)</f>
        <v>1005.06</v>
      </c>
    </row>
    <row r="137" spans="1:21" ht="17" hidden="1" customHeight="1" x14ac:dyDescent="0.5">
      <c r="A137" s="10" t="s">
        <v>567</v>
      </c>
      <c r="B137" s="10" t="s">
        <v>568</v>
      </c>
      <c r="C137" s="174" t="s">
        <v>569</v>
      </c>
      <c r="D137" s="175"/>
      <c r="E137" s="175"/>
      <c r="F137" s="175"/>
      <c r="G137" s="175"/>
      <c r="H137" s="175"/>
      <c r="I137" s="176"/>
      <c r="M137" s="6"/>
      <c r="N137" s="6"/>
      <c r="O137" s="73"/>
      <c r="P137" s="81"/>
      <c r="R137" s="89"/>
      <c r="S137" s="76">
        <f>SUM(S138,S140,S142,S144,S146,S148,S150,S152,S154,S156,S158,S160,S162,S164,S166,S168,S170,S172,S174,S176,S178,S180)</f>
        <v>0</v>
      </c>
      <c r="T137" s="6">
        <f>SUM(T138,T140,T142,T144,T146,T148,T150,T152,T154,T156,T158,T160,T162,T164,T166,T168,T170,T172,T174,T176,T178,T180)</f>
        <v>0</v>
      </c>
      <c r="U137" s="6">
        <f>SUM(U138,U140,U142,U144,U146,U148,U150,U152,U154,U156,U158,U160,U162,U164,U166,U168,U170,U172,U174,U176,U178,U180)</f>
        <v>0</v>
      </c>
    </row>
    <row r="138" spans="1:21" ht="38" hidden="1" customHeight="1" x14ac:dyDescent="0.35">
      <c r="A138" s="10" t="s">
        <v>570</v>
      </c>
      <c r="B138" s="10" t="s">
        <v>571</v>
      </c>
      <c r="C138" s="11" t="s">
        <v>572</v>
      </c>
      <c r="D138" s="12"/>
      <c r="E138" s="12"/>
      <c r="F138" s="12" t="s">
        <v>63</v>
      </c>
      <c r="G138" s="13">
        <v>1</v>
      </c>
      <c r="H138" s="13"/>
      <c r="I138" s="13">
        <v>0</v>
      </c>
      <c r="J138" s="14">
        <v>997.82</v>
      </c>
      <c r="K138" s="15">
        <v>162</v>
      </c>
      <c r="L138" s="14">
        <f>J138+ROUND(K138, 2)</f>
        <v>1159.8200000000002</v>
      </c>
      <c r="M138" s="14"/>
      <c r="N138" s="14"/>
      <c r="O138" s="74"/>
      <c r="P138" s="82">
        <v>997.82</v>
      </c>
      <c r="Q138" s="85">
        <v>162</v>
      </c>
      <c r="R138" s="90">
        <f>P138+ROUND(Q138, 2)</f>
        <v>1159.8200000000002</v>
      </c>
      <c r="S138" s="77">
        <v>0</v>
      </c>
      <c r="T138" s="14">
        <v>0</v>
      </c>
      <c r="U138" s="14">
        <f>S138+T138</f>
        <v>0</v>
      </c>
    </row>
    <row r="139" spans="1:21" ht="36" hidden="1" x14ac:dyDescent="0.5">
      <c r="A139" s="10" t="s">
        <v>577</v>
      </c>
      <c r="B139" s="10"/>
      <c r="C139" s="28" t="s">
        <v>578</v>
      </c>
      <c r="D139" s="12"/>
      <c r="E139" s="12"/>
      <c r="F139" s="29" t="s">
        <v>498</v>
      </c>
      <c r="G139" s="30">
        <v>1</v>
      </c>
      <c r="H139" s="30"/>
      <c r="I139" s="30">
        <v>0</v>
      </c>
      <c r="J139" s="31">
        <v>997.82</v>
      </c>
      <c r="M139" s="32"/>
      <c r="P139" s="83">
        <v>997.82</v>
      </c>
      <c r="R139" s="89"/>
      <c r="S139" s="78">
        <f>ROUND(ROUND(P139, 2)*I139, 2)</f>
        <v>0</v>
      </c>
    </row>
    <row r="140" spans="1:21" ht="54" hidden="1" x14ac:dyDescent="0.35">
      <c r="A140" s="10" t="s">
        <v>584</v>
      </c>
      <c r="B140" s="10" t="s">
        <v>571</v>
      </c>
      <c r="C140" s="11" t="s">
        <v>572</v>
      </c>
      <c r="D140" s="12"/>
      <c r="E140" s="12" t="s">
        <v>576</v>
      </c>
      <c r="F140" s="12" t="s">
        <v>63</v>
      </c>
      <c r="G140" s="13">
        <v>1</v>
      </c>
      <c r="H140" s="13"/>
      <c r="I140" s="13">
        <v>0</v>
      </c>
      <c r="J140" s="14">
        <f>IFERROR(ROUND(SUM(M141)/I140, 2),0)</f>
        <v>0</v>
      </c>
      <c r="K140" s="15">
        <v>162</v>
      </c>
      <c r="L140" s="14">
        <f>J140+ROUND(K140, 2)</f>
        <v>162</v>
      </c>
      <c r="M140" s="14"/>
      <c r="N140" s="14"/>
      <c r="O140" s="74"/>
      <c r="P140" s="82">
        <f>IFERROR(ROUND(SUM(S141)/I140, 2),0)</f>
        <v>0</v>
      </c>
      <c r="Q140" s="86">
        <v>243</v>
      </c>
      <c r="R140" s="90">
        <f>P140+ROUND(Q140, 2)</f>
        <v>243</v>
      </c>
      <c r="S140" s="77">
        <f>ROUND(P140*I140, 2)</f>
        <v>0</v>
      </c>
      <c r="T140" s="14">
        <f>ROUND(I140*ROUND(Q140, 2), 2)</f>
        <v>0</v>
      </c>
      <c r="U140" s="14">
        <f>S140+T140</f>
        <v>0</v>
      </c>
    </row>
    <row r="141" spans="1:21" ht="36" hidden="1" x14ac:dyDescent="0.5">
      <c r="A141" s="10" t="s">
        <v>585</v>
      </c>
      <c r="B141" s="10"/>
      <c r="C141" s="28" t="s">
        <v>578</v>
      </c>
      <c r="D141" s="12"/>
      <c r="E141" s="12"/>
      <c r="F141" s="29" t="s">
        <v>498</v>
      </c>
      <c r="G141" s="30">
        <v>1</v>
      </c>
      <c r="H141" s="30"/>
      <c r="I141" s="30">
        <v>0</v>
      </c>
      <c r="J141" s="31">
        <v>997.81</v>
      </c>
      <c r="M141" s="32"/>
      <c r="P141" s="84">
        <v>997.82</v>
      </c>
      <c r="R141" s="89"/>
      <c r="S141" s="78">
        <f>ROUND(ROUND(P141, 2)*I141, 2)</f>
        <v>0</v>
      </c>
    </row>
    <row r="142" spans="1:21" ht="54" hidden="1" x14ac:dyDescent="0.35">
      <c r="A142" s="10" t="s">
        <v>588</v>
      </c>
      <c r="B142" s="10" t="s">
        <v>589</v>
      </c>
      <c r="C142" s="11" t="s">
        <v>590</v>
      </c>
      <c r="D142" s="12"/>
      <c r="E142" s="12"/>
      <c r="F142" s="12" t="s">
        <v>63</v>
      </c>
      <c r="G142" s="13">
        <v>1</v>
      </c>
      <c r="H142" s="13"/>
      <c r="I142" s="13">
        <v>0</v>
      </c>
      <c r="J142" s="14">
        <v>420.76</v>
      </c>
      <c r="K142" s="15">
        <v>324</v>
      </c>
      <c r="L142" s="14">
        <f>J142+ROUND(K142, 2)</f>
        <v>744.76</v>
      </c>
      <c r="M142" s="14"/>
      <c r="N142" s="14"/>
      <c r="O142" s="74"/>
      <c r="P142" s="82">
        <v>420.76</v>
      </c>
      <c r="Q142" s="85">
        <v>324</v>
      </c>
      <c r="R142" s="90">
        <f>P142+ROUND(Q142, 2)</f>
        <v>744.76</v>
      </c>
      <c r="S142" s="77">
        <v>0</v>
      </c>
      <c r="T142" s="14">
        <v>0</v>
      </c>
      <c r="U142" s="14">
        <f>S142+T142</f>
        <v>0</v>
      </c>
    </row>
    <row r="143" spans="1:21" ht="21" hidden="1" x14ac:dyDescent="0.5">
      <c r="A143" s="10" t="s">
        <v>595</v>
      </c>
      <c r="B143" s="10"/>
      <c r="C143" s="28" t="s">
        <v>596</v>
      </c>
      <c r="D143" s="12"/>
      <c r="E143" s="12"/>
      <c r="F143" s="29" t="s">
        <v>498</v>
      </c>
      <c r="G143" s="30">
        <v>4.3</v>
      </c>
      <c r="H143" s="30"/>
      <c r="I143" s="30">
        <v>0</v>
      </c>
      <c r="J143" s="31">
        <v>97.85</v>
      </c>
      <c r="M143" s="32"/>
      <c r="P143" s="83">
        <v>97.85</v>
      </c>
      <c r="R143" s="89"/>
      <c r="S143" s="78">
        <f>ROUND(ROUND(P143, 2)*I143, 2)</f>
        <v>0</v>
      </c>
    </row>
    <row r="144" spans="1:21" ht="54" hidden="1" x14ac:dyDescent="0.35">
      <c r="A144" s="10" t="s">
        <v>602</v>
      </c>
      <c r="B144" s="10" t="s">
        <v>589</v>
      </c>
      <c r="C144" s="11" t="s">
        <v>590</v>
      </c>
      <c r="D144" s="12"/>
      <c r="E144" s="12" t="s">
        <v>594</v>
      </c>
      <c r="F144" s="12" t="s">
        <v>63</v>
      </c>
      <c r="G144" s="13">
        <v>1</v>
      </c>
      <c r="H144" s="13"/>
      <c r="I144" s="13">
        <v>0</v>
      </c>
      <c r="J144" s="14">
        <f>IFERROR(ROUND(SUM(M145)/I144, 2),0)</f>
        <v>0</v>
      </c>
      <c r="K144" s="15">
        <v>324</v>
      </c>
      <c r="L144" s="14">
        <f>J144+ROUND(K144, 2)</f>
        <v>324</v>
      </c>
      <c r="M144" s="14"/>
      <c r="N144" s="14"/>
      <c r="O144" s="74"/>
      <c r="P144" s="82">
        <f>IFERROR(ROUND(SUM(S145)/I144, 2),0)</f>
        <v>0</v>
      </c>
      <c r="Q144" s="86">
        <v>486</v>
      </c>
      <c r="R144" s="90">
        <f>P144+ROUND(Q144, 2)</f>
        <v>486</v>
      </c>
      <c r="S144" s="77">
        <f>ROUND(P144*I144, 2)</f>
        <v>0</v>
      </c>
      <c r="T144" s="14">
        <f>ROUND(I144*ROUND(Q144, 2), 2)</f>
        <v>0</v>
      </c>
      <c r="U144" s="14">
        <f>S144+T144</f>
        <v>0</v>
      </c>
    </row>
    <row r="145" spans="1:21" ht="21" hidden="1" x14ac:dyDescent="0.5">
      <c r="A145" s="10" t="s">
        <v>603</v>
      </c>
      <c r="B145" s="10"/>
      <c r="C145" s="28" t="s">
        <v>596</v>
      </c>
      <c r="D145" s="12"/>
      <c r="E145" s="12"/>
      <c r="F145" s="29" t="s">
        <v>498</v>
      </c>
      <c r="G145" s="30">
        <v>4.3</v>
      </c>
      <c r="H145" s="30"/>
      <c r="I145" s="30">
        <v>0</v>
      </c>
      <c r="J145" s="31">
        <v>97.85</v>
      </c>
      <c r="M145" s="32"/>
      <c r="P145" s="84">
        <v>97.85</v>
      </c>
      <c r="R145" s="89"/>
      <c r="S145" s="78">
        <f>ROUND(ROUND(P145, 2)*I145, 2)</f>
        <v>0</v>
      </c>
    </row>
    <row r="146" spans="1:21" ht="30" hidden="1" customHeight="1" x14ac:dyDescent="0.35">
      <c r="A146" s="10" t="s">
        <v>606</v>
      </c>
      <c r="B146" s="10" t="s">
        <v>607</v>
      </c>
      <c r="C146" s="11" t="s">
        <v>608</v>
      </c>
      <c r="D146" s="12"/>
      <c r="E146" s="12"/>
      <c r="F146" s="12" t="s">
        <v>63</v>
      </c>
      <c r="G146" s="13">
        <v>1</v>
      </c>
      <c r="H146" s="13"/>
      <c r="I146" s="13">
        <v>0</v>
      </c>
      <c r="J146" s="14">
        <v>291.5</v>
      </c>
      <c r="K146" s="15">
        <v>580</v>
      </c>
      <c r="L146" s="14">
        <f>J146+ROUND(K146, 2)</f>
        <v>871.5</v>
      </c>
      <c r="M146" s="14"/>
      <c r="N146" s="14"/>
      <c r="O146" s="74"/>
      <c r="P146" s="82">
        <v>291.5</v>
      </c>
      <c r="Q146" s="85">
        <v>580</v>
      </c>
      <c r="R146" s="90">
        <f>P146+ROUND(Q146, 2)</f>
        <v>871.5</v>
      </c>
      <c r="S146" s="77">
        <v>0</v>
      </c>
      <c r="T146" s="14">
        <v>0</v>
      </c>
      <c r="U146" s="14">
        <f>S146+T146</f>
        <v>0</v>
      </c>
    </row>
    <row r="147" spans="1:21" ht="21" hidden="1" x14ac:dyDescent="0.5">
      <c r="A147" s="10" t="s">
        <v>613</v>
      </c>
      <c r="B147" s="10"/>
      <c r="C147" s="47" t="s">
        <v>614</v>
      </c>
      <c r="D147" s="12"/>
      <c r="E147" s="12"/>
      <c r="F147" s="29" t="s">
        <v>63</v>
      </c>
      <c r="G147" s="30">
        <v>1.1000000000000001</v>
      </c>
      <c r="H147" s="49"/>
      <c r="I147" s="49">
        <v>0</v>
      </c>
      <c r="J147" s="31">
        <v>265</v>
      </c>
      <c r="M147" s="32"/>
      <c r="P147" s="83">
        <v>265</v>
      </c>
      <c r="R147" s="89"/>
      <c r="S147" s="78">
        <f>ROUND(ROUND(P147, 2)*I147, 2)</f>
        <v>0</v>
      </c>
    </row>
    <row r="148" spans="1:21" ht="36" hidden="1" x14ac:dyDescent="0.35">
      <c r="A148" s="10" t="s">
        <v>620</v>
      </c>
      <c r="B148" s="10" t="s">
        <v>607</v>
      </c>
      <c r="C148" s="11" t="s">
        <v>608</v>
      </c>
      <c r="D148" s="12"/>
      <c r="E148" s="12" t="s">
        <v>612</v>
      </c>
      <c r="F148" s="12" t="s">
        <v>63</v>
      </c>
      <c r="G148" s="13">
        <v>1</v>
      </c>
      <c r="H148" s="13"/>
      <c r="I148" s="13">
        <v>0</v>
      </c>
      <c r="J148" s="14">
        <f>IFERROR(ROUND(SUM(M149)/I148, 2),0)</f>
        <v>0</v>
      </c>
      <c r="K148" s="15">
        <v>580</v>
      </c>
      <c r="L148" s="14">
        <f>J148+ROUND(K148, 2)</f>
        <v>580</v>
      </c>
      <c r="M148" s="14"/>
      <c r="N148" s="14"/>
      <c r="O148" s="74"/>
      <c r="P148" s="82">
        <f>IFERROR(ROUND(SUM(S149)/I148, 2),0)</f>
        <v>0</v>
      </c>
      <c r="Q148" s="86">
        <v>870</v>
      </c>
      <c r="R148" s="90">
        <f>P148+ROUND(Q148, 2)</f>
        <v>870</v>
      </c>
      <c r="S148" s="77">
        <f>ROUND(P148*I148, 2)</f>
        <v>0</v>
      </c>
      <c r="T148" s="14">
        <f>ROUND(I148*ROUND(Q148, 2), 2)</f>
        <v>0</v>
      </c>
      <c r="U148" s="14">
        <f>S148+T148</f>
        <v>0</v>
      </c>
    </row>
    <row r="149" spans="1:21" ht="21" hidden="1" x14ac:dyDescent="0.5">
      <c r="A149" s="10" t="s">
        <v>621</v>
      </c>
      <c r="B149" s="10"/>
      <c r="C149" s="47" t="s">
        <v>614</v>
      </c>
      <c r="D149" s="12"/>
      <c r="E149" s="12"/>
      <c r="F149" s="29" t="s">
        <v>63</v>
      </c>
      <c r="G149" s="30">
        <v>1.1000000000000001</v>
      </c>
      <c r="H149" s="49"/>
      <c r="I149" s="49">
        <v>1573.44</v>
      </c>
      <c r="J149" s="31">
        <v>251.75</v>
      </c>
      <c r="M149" s="32"/>
      <c r="P149" s="84">
        <v>251.75</v>
      </c>
      <c r="R149" s="89"/>
      <c r="S149" s="78">
        <f>ROUND(ROUND(P149, 2)*I149, 2)</f>
        <v>396113.52</v>
      </c>
    </row>
    <row r="150" spans="1:21" ht="36" hidden="1" x14ac:dyDescent="0.35">
      <c r="A150" s="10" t="s">
        <v>624</v>
      </c>
      <c r="B150" s="10" t="s">
        <v>625</v>
      </c>
      <c r="C150" s="11" t="s">
        <v>626</v>
      </c>
      <c r="D150" s="12"/>
      <c r="E150" s="12"/>
      <c r="F150" s="12" t="s">
        <v>63</v>
      </c>
      <c r="G150" s="13">
        <v>1</v>
      </c>
      <c r="H150" s="13"/>
      <c r="I150" s="13">
        <v>0</v>
      </c>
      <c r="J150" s="14">
        <v>681.45</v>
      </c>
      <c r="K150" s="15">
        <v>868</v>
      </c>
      <c r="L150" s="14">
        <f>J150+ROUND(K150, 2)</f>
        <v>1549.45</v>
      </c>
      <c r="M150" s="14"/>
      <c r="N150" s="14"/>
      <c r="O150" s="74"/>
      <c r="P150" s="82">
        <v>681.45</v>
      </c>
      <c r="Q150" s="85">
        <v>868</v>
      </c>
      <c r="R150" s="90">
        <f>P150+ROUND(Q150, 2)</f>
        <v>1549.45</v>
      </c>
      <c r="S150" s="77">
        <v>0</v>
      </c>
      <c r="T150" s="14">
        <v>0</v>
      </c>
      <c r="U150" s="14">
        <f>S150+T150</f>
        <v>0</v>
      </c>
    </row>
    <row r="151" spans="1:21" ht="21" hidden="1" x14ac:dyDescent="0.5">
      <c r="A151" s="10" t="s">
        <v>631</v>
      </c>
      <c r="B151" s="10"/>
      <c r="C151" s="47" t="s">
        <v>632</v>
      </c>
      <c r="D151" s="12"/>
      <c r="E151" s="12"/>
      <c r="F151" s="29" t="s">
        <v>63</v>
      </c>
      <c r="G151" s="30">
        <v>2.1</v>
      </c>
      <c r="H151" s="49"/>
      <c r="I151" s="49">
        <v>0</v>
      </c>
      <c r="J151" s="31">
        <v>324.5</v>
      </c>
      <c r="M151" s="32"/>
      <c r="P151" s="83">
        <v>324.5</v>
      </c>
      <c r="R151" s="89"/>
      <c r="S151" s="78">
        <f>ROUND(ROUND(P151, 2)*I151, 2)</f>
        <v>0</v>
      </c>
    </row>
    <row r="152" spans="1:21" ht="36" hidden="1" x14ac:dyDescent="0.35">
      <c r="A152" s="10" t="s">
        <v>639</v>
      </c>
      <c r="B152" s="10" t="s">
        <v>625</v>
      </c>
      <c r="C152" s="11" t="s">
        <v>626</v>
      </c>
      <c r="D152" s="12"/>
      <c r="E152" s="12" t="s">
        <v>630</v>
      </c>
      <c r="F152" s="12" t="s">
        <v>63</v>
      </c>
      <c r="G152" s="13">
        <v>1</v>
      </c>
      <c r="H152" s="13"/>
      <c r="I152" s="13">
        <v>0</v>
      </c>
      <c r="J152" s="14">
        <f>IFERROR(ROUND(SUM(M153)/I152, 2),0)</f>
        <v>0</v>
      </c>
      <c r="K152" s="15">
        <v>868</v>
      </c>
      <c r="L152" s="14">
        <f>J152+ROUND(K152, 2)</f>
        <v>868</v>
      </c>
      <c r="M152" s="14"/>
      <c r="N152" s="14"/>
      <c r="O152" s="74"/>
      <c r="P152" s="82">
        <f>IFERROR(ROUND(SUM(S153)/I152, 2),0)</f>
        <v>0</v>
      </c>
      <c r="Q152" s="86">
        <v>1302</v>
      </c>
      <c r="R152" s="90">
        <f>P152+ROUND(Q152, 2)</f>
        <v>1302</v>
      </c>
      <c r="S152" s="77">
        <f>ROUND(P152*I152, 2)</f>
        <v>0</v>
      </c>
      <c r="T152" s="14">
        <f>ROUND(I152*ROUND(Q152, 2), 2)</f>
        <v>0</v>
      </c>
      <c r="U152" s="14">
        <f>S152+T152</f>
        <v>0</v>
      </c>
    </row>
    <row r="153" spans="1:21" ht="21" hidden="1" x14ac:dyDescent="0.5">
      <c r="A153" s="10" t="s">
        <v>640</v>
      </c>
      <c r="B153" s="10"/>
      <c r="C153" s="47" t="s">
        <v>632</v>
      </c>
      <c r="D153" s="12"/>
      <c r="E153" s="12" t="s">
        <v>637</v>
      </c>
      <c r="F153" s="29" t="s">
        <v>63</v>
      </c>
      <c r="G153" s="30">
        <v>2.1</v>
      </c>
      <c r="H153" s="49"/>
      <c r="I153" s="49">
        <v>463.05</v>
      </c>
      <c r="J153" s="31">
        <v>324.5</v>
      </c>
      <c r="M153" s="32"/>
      <c r="P153" s="84">
        <v>324.5</v>
      </c>
      <c r="R153" s="89"/>
      <c r="S153" s="78">
        <f>ROUND(ROUND(P153, 2)*I153, 2)</f>
        <v>150259.73000000001</v>
      </c>
    </row>
    <row r="154" spans="1:21" ht="20" hidden="1" x14ac:dyDescent="0.35">
      <c r="A154" s="10" t="s">
        <v>643</v>
      </c>
      <c r="B154" s="10" t="s">
        <v>644</v>
      </c>
      <c r="C154" s="11" t="s">
        <v>645</v>
      </c>
      <c r="D154" s="12"/>
      <c r="E154" s="12"/>
      <c r="F154" s="12" t="s">
        <v>93</v>
      </c>
      <c r="G154" s="13">
        <v>1</v>
      </c>
      <c r="H154" s="13"/>
      <c r="I154" s="13">
        <v>0</v>
      </c>
      <c r="J154" s="14">
        <v>2600.9299999999998</v>
      </c>
      <c r="K154" s="15">
        <v>2157</v>
      </c>
      <c r="L154" s="14">
        <f>J154+ROUND(K154, 2)</f>
        <v>4757.93</v>
      </c>
      <c r="M154" s="14"/>
      <c r="N154" s="14"/>
      <c r="O154" s="74"/>
      <c r="P154" s="82">
        <v>2600.9299999999998</v>
      </c>
      <c r="Q154" s="85">
        <v>2157</v>
      </c>
      <c r="R154" s="90">
        <f>P154+ROUND(Q154, 2)</f>
        <v>4757.93</v>
      </c>
      <c r="S154" s="77">
        <v>0</v>
      </c>
      <c r="T154" s="14">
        <v>0</v>
      </c>
      <c r="U154" s="14">
        <f>S154+T154</f>
        <v>0</v>
      </c>
    </row>
    <row r="155" spans="1:21" ht="21" hidden="1" x14ac:dyDescent="0.5">
      <c r="A155" s="10" t="s">
        <v>650</v>
      </c>
      <c r="B155" s="10"/>
      <c r="C155" s="28" t="s">
        <v>651</v>
      </c>
      <c r="D155" s="12"/>
      <c r="E155" s="12"/>
      <c r="F155" s="29" t="s">
        <v>93</v>
      </c>
      <c r="G155" s="30">
        <v>1.02</v>
      </c>
      <c r="H155" s="30"/>
      <c r="I155" s="30">
        <v>0</v>
      </c>
      <c r="J155" s="31">
        <v>2550</v>
      </c>
      <c r="M155" s="32"/>
      <c r="P155" s="83">
        <v>2550</v>
      </c>
      <c r="R155" s="89"/>
      <c r="S155" s="78">
        <f>ROUND(ROUND(P155, 2)*I155, 2)</f>
        <v>0</v>
      </c>
    </row>
    <row r="156" spans="1:21" ht="20" hidden="1" x14ac:dyDescent="0.35">
      <c r="A156" s="10" t="s">
        <v>657</v>
      </c>
      <c r="B156" s="10" t="s">
        <v>644</v>
      </c>
      <c r="C156" s="11" t="s">
        <v>645</v>
      </c>
      <c r="D156" s="12"/>
      <c r="E156" s="12"/>
      <c r="F156" s="12" t="s">
        <v>93</v>
      </c>
      <c r="G156" s="13">
        <v>1</v>
      </c>
      <c r="H156" s="13"/>
      <c r="I156" s="13">
        <v>0</v>
      </c>
      <c r="J156" s="14">
        <v>2601</v>
      </c>
      <c r="K156" s="15">
        <v>2157</v>
      </c>
      <c r="L156" s="14">
        <f>J156+ROUND(K156, 2)</f>
        <v>4758</v>
      </c>
      <c r="M156" s="14"/>
      <c r="N156" s="14"/>
      <c r="O156" s="74"/>
      <c r="P156" s="82">
        <v>2601</v>
      </c>
      <c r="Q156" s="85">
        <v>2157</v>
      </c>
      <c r="R156" s="90">
        <f>P156+ROUND(Q156, 2)</f>
        <v>4758</v>
      </c>
      <c r="S156" s="77">
        <v>0</v>
      </c>
      <c r="T156" s="14">
        <v>0</v>
      </c>
      <c r="U156" s="14">
        <f>S156+T156</f>
        <v>0</v>
      </c>
    </row>
    <row r="157" spans="1:21" ht="21" hidden="1" x14ac:dyDescent="0.5">
      <c r="A157" s="10" t="s">
        <v>660</v>
      </c>
      <c r="B157" s="10"/>
      <c r="C157" s="28" t="s">
        <v>651</v>
      </c>
      <c r="D157" s="12"/>
      <c r="E157" s="12"/>
      <c r="F157" s="29" t="s">
        <v>93</v>
      </c>
      <c r="G157" s="30">
        <v>1.02</v>
      </c>
      <c r="H157" s="30"/>
      <c r="I157" s="30">
        <v>0</v>
      </c>
      <c r="J157" s="31">
        <v>2550</v>
      </c>
      <c r="M157" s="32"/>
      <c r="P157" s="83">
        <v>2550</v>
      </c>
      <c r="R157" s="89"/>
      <c r="S157" s="78">
        <f>ROUND(ROUND(P157, 2)*I157, 2)</f>
        <v>0</v>
      </c>
    </row>
    <row r="158" spans="1:21" ht="36" hidden="1" x14ac:dyDescent="0.35">
      <c r="A158" s="10" t="s">
        <v>665</v>
      </c>
      <c r="B158" s="10" t="s">
        <v>644</v>
      </c>
      <c r="C158" s="11" t="s">
        <v>645</v>
      </c>
      <c r="D158" s="12"/>
      <c r="E158" s="12" t="s">
        <v>666</v>
      </c>
      <c r="F158" s="12" t="s">
        <v>93</v>
      </c>
      <c r="G158" s="13">
        <v>1</v>
      </c>
      <c r="H158" s="13"/>
      <c r="I158" s="13">
        <v>0</v>
      </c>
      <c r="J158" s="14">
        <v>2601.0100000000002</v>
      </c>
      <c r="K158" s="15">
        <v>2157</v>
      </c>
      <c r="L158" s="14">
        <f>J158+ROUND(K158, 2)</f>
        <v>4758.01</v>
      </c>
      <c r="M158" s="14"/>
      <c r="N158" s="14"/>
      <c r="O158" s="74"/>
      <c r="P158" s="82">
        <v>2601.0100000000002</v>
      </c>
      <c r="Q158" s="85">
        <v>2157</v>
      </c>
      <c r="R158" s="90">
        <f>P158+ROUND(Q158, 2)</f>
        <v>4758.01</v>
      </c>
      <c r="S158" s="77">
        <v>0</v>
      </c>
      <c r="T158" s="14">
        <v>0</v>
      </c>
      <c r="U158" s="14">
        <f>S158+T158</f>
        <v>0</v>
      </c>
    </row>
    <row r="159" spans="1:21" ht="21" hidden="1" x14ac:dyDescent="0.5">
      <c r="A159" s="10" t="s">
        <v>668</v>
      </c>
      <c r="B159" s="10"/>
      <c r="C159" s="28" t="s">
        <v>651</v>
      </c>
      <c r="D159" s="12"/>
      <c r="E159" s="12"/>
      <c r="F159" s="29" t="s">
        <v>93</v>
      </c>
      <c r="G159" s="30">
        <v>1.02</v>
      </c>
      <c r="H159" s="30"/>
      <c r="I159" s="30">
        <v>0</v>
      </c>
      <c r="J159" s="31">
        <v>2550</v>
      </c>
      <c r="M159" s="32"/>
      <c r="P159" s="83">
        <v>2550</v>
      </c>
      <c r="R159" s="89"/>
      <c r="S159" s="78">
        <f>ROUND(ROUND(P159, 2)*I159, 2)</f>
        <v>0</v>
      </c>
    </row>
    <row r="160" spans="1:21" ht="28.5" hidden="1" customHeight="1" x14ac:dyDescent="0.35">
      <c r="A160" s="10" t="s">
        <v>673</v>
      </c>
      <c r="B160" s="10" t="s">
        <v>644</v>
      </c>
      <c r="C160" s="11" t="s">
        <v>645</v>
      </c>
      <c r="D160" s="12"/>
      <c r="E160" s="12" t="s">
        <v>674</v>
      </c>
      <c r="F160" s="12" t="s">
        <v>93</v>
      </c>
      <c r="G160" s="13">
        <v>1</v>
      </c>
      <c r="H160" s="13"/>
      <c r="I160" s="13">
        <v>0</v>
      </c>
      <c r="J160" s="14">
        <v>2600.81</v>
      </c>
      <c r="K160" s="15">
        <v>2157</v>
      </c>
      <c r="L160" s="14">
        <f>J160+ROUND(K160, 2)</f>
        <v>4757.8099999999995</v>
      </c>
      <c r="M160" s="14"/>
      <c r="N160" s="14"/>
      <c r="O160" s="74"/>
      <c r="P160" s="82">
        <v>2600.81</v>
      </c>
      <c r="Q160" s="85">
        <v>2157</v>
      </c>
      <c r="R160" s="90">
        <f>P160+ROUND(Q160, 2)</f>
        <v>4757.8099999999995</v>
      </c>
      <c r="S160" s="77">
        <v>0</v>
      </c>
      <c r="T160" s="14">
        <v>0</v>
      </c>
      <c r="U160" s="14">
        <f>S160+T160</f>
        <v>0</v>
      </c>
    </row>
    <row r="161" spans="1:21" ht="21" hidden="1" x14ac:dyDescent="0.5">
      <c r="A161" s="10" t="s">
        <v>676</v>
      </c>
      <c r="B161" s="10"/>
      <c r="C161" s="28" t="s">
        <v>651</v>
      </c>
      <c r="D161" s="12"/>
      <c r="E161" s="12"/>
      <c r="F161" s="29" t="s">
        <v>93</v>
      </c>
      <c r="G161" s="30">
        <v>1.02</v>
      </c>
      <c r="H161" s="30"/>
      <c r="I161" s="30">
        <v>0</v>
      </c>
      <c r="J161" s="31">
        <v>2550</v>
      </c>
      <c r="M161" s="32"/>
      <c r="P161" s="83">
        <v>2550</v>
      </c>
      <c r="R161" s="89"/>
      <c r="S161" s="78">
        <f>ROUND(ROUND(P161, 2)*I161, 2)</f>
        <v>0</v>
      </c>
    </row>
    <row r="162" spans="1:21" ht="20" hidden="1" x14ac:dyDescent="0.35">
      <c r="A162" s="10" t="s">
        <v>681</v>
      </c>
      <c r="B162" s="10" t="s">
        <v>644</v>
      </c>
      <c r="C162" s="11" t="s">
        <v>645</v>
      </c>
      <c r="D162" s="12"/>
      <c r="E162" s="12"/>
      <c r="F162" s="12" t="s">
        <v>93</v>
      </c>
      <c r="G162" s="13">
        <v>1</v>
      </c>
      <c r="H162" s="13"/>
      <c r="I162" s="13">
        <v>0</v>
      </c>
      <c r="J162" s="14">
        <v>2600.9899999999998</v>
      </c>
      <c r="K162" s="15">
        <v>2157</v>
      </c>
      <c r="L162" s="14">
        <f>J162+ROUND(K162, 2)</f>
        <v>4757.99</v>
      </c>
      <c r="M162" s="14"/>
      <c r="N162" s="14"/>
      <c r="O162" s="74"/>
      <c r="P162" s="82">
        <v>2600.9899999999998</v>
      </c>
      <c r="Q162" s="85">
        <v>2157</v>
      </c>
      <c r="R162" s="90">
        <f>P162+ROUND(Q162, 2)</f>
        <v>4757.99</v>
      </c>
      <c r="S162" s="77">
        <v>0</v>
      </c>
      <c r="T162" s="14">
        <v>0</v>
      </c>
      <c r="U162" s="14">
        <f>S162+T162</f>
        <v>0</v>
      </c>
    </row>
    <row r="163" spans="1:21" ht="21" hidden="1" x14ac:dyDescent="0.5">
      <c r="A163" s="10" t="s">
        <v>684</v>
      </c>
      <c r="B163" s="10"/>
      <c r="C163" s="28" t="s">
        <v>651</v>
      </c>
      <c r="D163" s="12"/>
      <c r="E163" s="12"/>
      <c r="F163" s="29" t="s">
        <v>93</v>
      </c>
      <c r="G163" s="30">
        <v>1.02</v>
      </c>
      <c r="H163" s="30"/>
      <c r="I163" s="30">
        <v>0</v>
      </c>
      <c r="J163" s="31">
        <v>2550</v>
      </c>
      <c r="M163" s="32"/>
      <c r="P163" s="83">
        <v>2550</v>
      </c>
      <c r="R163" s="89"/>
      <c r="S163" s="78">
        <f>ROUND(ROUND(P163, 2)*I163, 2)</f>
        <v>0</v>
      </c>
    </row>
    <row r="164" spans="1:21" ht="20" hidden="1" x14ac:dyDescent="0.35">
      <c r="A164" s="10" t="s">
        <v>689</v>
      </c>
      <c r="B164" s="10" t="s">
        <v>644</v>
      </c>
      <c r="C164" s="11" t="s">
        <v>645</v>
      </c>
      <c r="D164" s="12"/>
      <c r="E164" s="12"/>
      <c r="F164" s="12" t="s">
        <v>93</v>
      </c>
      <c r="G164" s="13">
        <v>1</v>
      </c>
      <c r="H164" s="13"/>
      <c r="I164" s="13">
        <v>0</v>
      </c>
      <c r="J164" s="14">
        <v>2600.84</v>
      </c>
      <c r="K164" s="15">
        <v>2157</v>
      </c>
      <c r="L164" s="14">
        <f>J164+ROUND(K164, 2)</f>
        <v>4757.84</v>
      </c>
      <c r="M164" s="14"/>
      <c r="N164" s="14"/>
      <c r="O164" s="74"/>
      <c r="P164" s="82">
        <v>2600.84</v>
      </c>
      <c r="Q164" s="85">
        <v>2157</v>
      </c>
      <c r="R164" s="90">
        <f>P164+ROUND(Q164, 2)</f>
        <v>4757.84</v>
      </c>
      <c r="S164" s="77">
        <v>0</v>
      </c>
      <c r="T164" s="14">
        <v>0</v>
      </c>
      <c r="U164" s="14">
        <f>S164+T164</f>
        <v>0</v>
      </c>
    </row>
    <row r="165" spans="1:21" ht="21" hidden="1" x14ac:dyDescent="0.5">
      <c r="A165" s="10" t="s">
        <v>692</v>
      </c>
      <c r="B165" s="10"/>
      <c r="C165" s="28" t="s">
        <v>651</v>
      </c>
      <c r="D165" s="12"/>
      <c r="E165" s="12"/>
      <c r="F165" s="29" t="s">
        <v>93</v>
      </c>
      <c r="G165" s="30">
        <v>1.02</v>
      </c>
      <c r="H165" s="30"/>
      <c r="I165" s="30">
        <v>0</v>
      </c>
      <c r="J165" s="31">
        <v>2550</v>
      </c>
      <c r="M165" s="32"/>
      <c r="P165" s="83">
        <v>2550</v>
      </c>
      <c r="R165" s="89"/>
      <c r="S165" s="78">
        <f>ROUND(ROUND(P165, 2)*I165, 2)</f>
        <v>0</v>
      </c>
    </row>
    <row r="166" spans="1:21" ht="36" hidden="1" x14ac:dyDescent="0.35">
      <c r="A166" s="10" t="s">
        <v>697</v>
      </c>
      <c r="B166" s="10" t="s">
        <v>644</v>
      </c>
      <c r="C166" s="11" t="s">
        <v>645</v>
      </c>
      <c r="D166" s="12"/>
      <c r="E166" s="12" t="s">
        <v>649</v>
      </c>
      <c r="F166" s="12" t="s">
        <v>93</v>
      </c>
      <c r="G166" s="13">
        <v>1</v>
      </c>
      <c r="H166" s="13"/>
      <c r="I166" s="13">
        <v>0</v>
      </c>
      <c r="J166" s="14">
        <f>IFERROR(ROUND(SUM(M167)/I166, 2),0)</f>
        <v>0</v>
      </c>
      <c r="K166" s="15">
        <v>2157</v>
      </c>
      <c r="L166" s="14">
        <f>J166+ROUND(K166, 2)</f>
        <v>2157</v>
      </c>
      <c r="M166" s="14"/>
      <c r="N166" s="14"/>
      <c r="O166" s="74"/>
      <c r="P166" s="82">
        <f>IFERROR(ROUND(SUM(S167)/I166, 2),0)</f>
        <v>0</v>
      </c>
      <c r="Q166" s="86">
        <v>3235.5</v>
      </c>
      <c r="R166" s="90">
        <f>P166+ROUND(Q166, 2)</f>
        <v>3235.5</v>
      </c>
      <c r="S166" s="77">
        <f>ROUND(P166*I166, 2)</f>
        <v>0</v>
      </c>
      <c r="T166" s="14">
        <f>ROUND(I166*ROUND(Q166, 2), 2)</f>
        <v>0</v>
      </c>
      <c r="U166" s="14">
        <f>S166+T166</f>
        <v>0</v>
      </c>
    </row>
    <row r="167" spans="1:21" ht="21" hidden="1" x14ac:dyDescent="0.5">
      <c r="A167" s="10" t="s">
        <v>698</v>
      </c>
      <c r="B167" s="10"/>
      <c r="C167" s="28" t="s">
        <v>651</v>
      </c>
      <c r="D167" s="12"/>
      <c r="E167" s="12"/>
      <c r="F167" s="29" t="s">
        <v>93</v>
      </c>
      <c r="G167" s="30">
        <v>1.02</v>
      </c>
      <c r="H167" s="30"/>
      <c r="I167" s="30">
        <v>0</v>
      </c>
      <c r="J167" s="31">
        <v>2550</v>
      </c>
      <c r="M167" s="32"/>
      <c r="P167" s="84">
        <v>2550</v>
      </c>
      <c r="R167" s="89"/>
      <c r="S167" s="78">
        <f>ROUND(ROUND(P167, 2)*I167, 2)</f>
        <v>0</v>
      </c>
    </row>
    <row r="168" spans="1:21" ht="36" hidden="1" x14ac:dyDescent="0.35">
      <c r="A168" s="10" t="s">
        <v>701</v>
      </c>
      <c r="B168" s="10" t="s">
        <v>644</v>
      </c>
      <c r="C168" s="11" t="s">
        <v>645</v>
      </c>
      <c r="D168" s="12"/>
      <c r="E168" s="12" t="s">
        <v>659</v>
      </c>
      <c r="F168" s="12" t="s">
        <v>93</v>
      </c>
      <c r="G168" s="13">
        <v>1</v>
      </c>
      <c r="H168" s="13"/>
      <c r="I168" s="13">
        <v>0</v>
      </c>
      <c r="J168" s="14">
        <f>IFERROR(ROUND(SUM(M169)/I168, 2),0)</f>
        <v>0</v>
      </c>
      <c r="K168" s="15">
        <v>2157</v>
      </c>
      <c r="L168" s="14">
        <f>J168+ROUND(K168, 2)</f>
        <v>2157</v>
      </c>
      <c r="M168" s="14"/>
      <c r="N168" s="14"/>
      <c r="O168" s="74"/>
      <c r="P168" s="82">
        <f>IFERROR(ROUND(SUM(S169)/I168, 2),0)</f>
        <v>0</v>
      </c>
      <c r="Q168" s="86">
        <v>3235.5</v>
      </c>
      <c r="R168" s="90">
        <f>P168+ROUND(Q168, 2)</f>
        <v>3235.5</v>
      </c>
      <c r="S168" s="77">
        <f>ROUND(P168*I168, 2)</f>
        <v>0</v>
      </c>
      <c r="T168" s="14">
        <f>ROUND(I168*ROUND(Q168, 2), 2)</f>
        <v>0</v>
      </c>
      <c r="U168" s="14">
        <f>S168+T168</f>
        <v>0</v>
      </c>
    </row>
    <row r="169" spans="1:21" ht="21" hidden="1" x14ac:dyDescent="0.5">
      <c r="A169" s="10" t="s">
        <v>702</v>
      </c>
      <c r="B169" s="10"/>
      <c r="C169" s="28" t="s">
        <v>651</v>
      </c>
      <c r="D169" s="12"/>
      <c r="E169" s="12"/>
      <c r="F169" s="29" t="s">
        <v>93</v>
      </c>
      <c r="G169" s="30">
        <v>1.02</v>
      </c>
      <c r="H169" s="30"/>
      <c r="I169" s="30">
        <v>0</v>
      </c>
      <c r="J169" s="31">
        <v>2550</v>
      </c>
      <c r="M169" s="32"/>
      <c r="P169" s="84">
        <v>2550</v>
      </c>
      <c r="R169" s="89"/>
      <c r="S169" s="78">
        <f>ROUND(ROUND(P169, 2)*I169, 2)</f>
        <v>0</v>
      </c>
    </row>
    <row r="170" spans="1:21" ht="31" hidden="1" customHeight="1" x14ac:dyDescent="0.35">
      <c r="A170" s="10" t="s">
        <v>705</v>
      </c>
      <c r="B170" s="10" t="s">
        <v>644</v>
      </c>
      <c r="C170" s="11" t="s">
        <v>645</v>
      </c>
      <c r="D170" s="12"/>
      <c r="E170" s="12" t="s">
        <v>666</v>
      </c>
      <c r="F170" s="12" t="s">
        <v>93</v>
      </c>
      <c r="G170" s="13">
        <v>1</v>
      </c>
      <c r="H170" s="13"/>
      <c r="I170" s="13">
        <v>0</v>
      </c>
      <c r="J170" s="14">
        <f>IFERROR(ROUND(SUM(M171)/I170, 2),0)</f>
        <v>0</v>
      </c>
      <c r="K170" s="15">
        <v>2157</v>
      </c>
      <c r="L170" s="14">
        <f>J170+ROUND(K170, 2)</f>
        <v>2157</v>
      </c>
      <c r="M170" s="14"/>
      <c r="N170" s="14"/>
      <c r="O170" s="74"/>
      <c r="P170" s="82">
        <f>IFERROR(ROUND(SUM(S171)/I170, 2),0)</f>
        <v>0</v>
      </c>
      <c r="Q170" s="86">
        <v>3235.5</v>
      </c>
      <c r="R170" s="90">
        <f>P170+ROUND(Q170, 2)</f>
        <v>3235.5</v>
      </c>
      <c r="S170" s="77">
        <f>ROUND(P170*I170, 2)</f>
        <v>0</v>
      </c>
      <c r="T170" s="14">
        <f>ROUND(I170*ROUND(Q170, 2), 2)</f>
        <v>0</v>
      </c>
      <c r="U170" s="14">
        <f>S170+T170</f>
        <v>0</v>
      </c>
    </row>
    <row r="171" spans="1:21" ht="21" hidden="1" x14ac:dyDescent="0.5">
      <c r="A171" s="10" t="s">
        <v>706</v>
      </c>
      <c r="B171" s="10"/>
      <c r="C171" s="28" t="s">
        <v>651</v>
      </c>
      <c r="D171" s="12"/>
      <c r="E171" s="12"/>
      <c r="F171" s="29" t="s">
        <v>93</v>
      </c>
      <c r="G171" s="30">
        <v>1.02</v>
      </c>
      <c r="H171" s="30"/>
      <c r="I171" s="30">
        <v>0</v>
      </c>
      <c r="J171" s="31">
        <v>2550</v>
      </c>
      <c r="M171" s="32"/>
      <c r="P171" s="84">
        <v>2550</v>
      </c>
      <c r="R171" s="89"/>
      <c r="S171" s="78">
        <f>ROUND(ROUND(P171, 2)*I171, 2)</f>
        <v>0</v>
      </c>
    </row>
    <row r="172" spans="1:21" ht="36" hidden="1" x14ac:dyDescent="0.35">
      <c r="A172" s="10" t="s">
        <v>709</v>
      </c>
      <c r="B172" s="10" t="s">
        <v>644</v>
      </c>
      <c r="C172" s="11" t="s">
        <v>645</v>
      </c>
      <c r="D172" s="12"/>
      <c r="E172" s="12" t="s">
        <v>674</v>
      </c>
      <c r="F172" s="12" t="s">
        <v>93</v>
      </c>
      <c r="G172" s="13">
        <v>1</v>
      </c>
      <c r="H172" s="13"/>
      <c r="I172" s="13">
        <v>0</v>
      </c>
      <c r="J172" s="14">
        <f>IFERROR(ROUND(SUM(M173)/I172, 2),0)</f>
        <v>0</v>
      </c>
      <c r="K172" s="15">
        <v>2157</v>
      </c>
      <c r="L172" s="14">
        <f>J172+ROUND(K172, 2)</f>
        <v>2157</v>
      </c>
      <c r="M172" s="14"/>
      <c r="N172" s="14"/>
      <c r="O172" s="74"/>
      <c r="P172" s="82">
        <f>IFERROR(ROUND(SUM(S173)/I172, 2),0)</f>
        <v>0</v>
      </c>
      <c r="Q172" s="86">
        <v>3235.5</v>
      </c>
      <c r="R172" s="90">
        <f>P172+ROUND(Q172, 2)</f>
        <v>3235.5</v>
      </c>
      <c r="S172" s="77">
        <f>ROUND(P172*I172, 2)</f>
        <v>0</v>
      </c>
      <c r="T172" s="14">
        <f>ROUND(I172*ROUND(Q172, 2), 2)</f>
        <v>0</v>
      </c>
      <c r="U172" s="14">
        <f>S172+T172</f>
        <v>0</v>
      </c>
    </row>
    <row r="173" spans="1:21" ht="21" hidden="1" x14ac:dyDescent="0.5">
      <c r="A173" s="10" t="s">
        <v>710</v>
      </c>
      <c r="B173" s="10"/>
      <c r="C173" s="28" t="s">
        <v>651</v>
      </c>
      <c r="D173" s="12"/>
      <c r="E173" s="12"/>
      <c r="F173" s="29" t="s">
        <v>93</v>
      </c>
      <c r="G173" s="30">
        <v>1.02</v>
      </c>
      <c r="H173" s="30"/>
      <c r="I173" s="30">
        <v>0</v>
      </c>
      <c r="J173" s="31">
        <v>2550</v>
      </c>
      <c r="M173" s="32"/>
      <c r="P173" s="84">
        <v>2550</v>
      </c>
      <c r="R173" s="89"/>
      <c r="S173" s="78">
        <f>ROUND(ROUND(P173, 2)*I173, 2)</f>
        <v>0</v>
      </c>
    </row>
    <row r="174" spans="1:21" ht="36" hidden="1" x14ac:dyDescent="0.35">
      <c r="A174" s="10" t="s">
        <v>713</v>
      </c>
      <c r="B174" s="10" t="s">
        <v>644</v>
      </c>
      <c r="C174" s="11" t="s">
        <v>645</v>
      </c>
      <c r="D174" s="12"/>
      <c r="E174" s="12" t="s">
        <v>683</v>
      </c>
      <c r="F174" s="12" t="s">
        <v>93</v>
      </c>
      <c r="G174" s="13">
        <v>1</v>
      </c>
      <c r="H174" s="13"/>
      <c r="I174" s="13">
        <v>0</v>
      </c>
      <c r="J174" s="14">
        <f>IFERROR(ROUND(SUM(M175)/I174, 2),0)</f>
        <v>0</v>
      </c>
      <c r="K174" s="15">
        <v>2157</v>
      </c>
      <c r="L174" s="14">
        <f>J174+ROUND(K174, 2)</f>
        <v>2157</v>
      </c>
      <c r="M174" s="14"/>
      <c r="N174" s="14"/>
      <c r="O174" s="74"/>
      <c r="P174" s="82">
        <f>IFERROR(ROUND(SUM(S175)/I174, 2),0)</f>
        <v>0</v>
      </c>
      <c r="Q174" s="86">
        <v>3235.5</v>
      </c>
      <c r="R174" s="90">
        <f>P174+ROUND(Q174, 2)</f>
        <v>3235.5</v>
      </c>
      <c r="S174" s="77">
        <f>ROUND(P174*I174, 2)</f>
        <v>0</v>
      </c>
      <c r="T174" s="14">
        <f>ROUND(I174*ROUND(Q174, 2), 2)</f>
        <v>0</v>
      </c>
      <c r="U174" s="14">
        <f>S174+T174</f>
        <v>0</v>
      </c>
    </row>
    <row r="175" spans="1:21" ht="21" hidden="1" x14ac:dyDescent="0.5">
      <c r="A175" s="10" t="s">
        <v>714</v>
      </c>
      <c r="B175" s="10"/>
      <c r="C175" s="28" t="s">
        <v>651</v>
      </c>
      <c r="D175" s="12"/>
      <c r="E175" s="12"/>
      <c r="F175" s="29" t="s">
        <v>93</v>
      </c>
      <c r="G175" s="30">
        <v>1.02</v>
      </c>
      <c r="H175" s="30"/>
      <c r="I175" s="30">
        <v>0</v>
      </c>
      <c r="J175" s="31">
        <v>2550</v>
      </c>
      <c r="M175" s="32"/>
      <c r="P175" s="84">
        <v>2550</v>
      </c>
      <c r="R175" s="89"/>
      <c r="S175" s="78">
        <f>ROUND(ROUND(P175, 2)*I175, 2)</f>
        <v>0</v>
      </c>
    </row>
    <row r="176" spans="1:21" ht="36" hidden="1" x14ac:dyDescent="0.35">
      <c r="A176" s="10" t="s">
        <v>717</v>
      </c>
      <c r="B176" s="10" t="s">
        <v>644</v>
      </c>
      <c r="C176" s="11" t="s">
        <v>645</v>
      </c>
      <c r="D176" s="12"/>
      <c r="E176" s="12" t="s">
        <v>691</v>
      </c>
      <c r="F176" s="12" t="s">
        <v>93</v>
      </c>
      <c r="G176" s="13">
        <v>1</v>
      </c>
      <c r="H176" s="13"/>
      <c r="I176" s="13">
        <v>0</v>
      </c>
      <c r="J176" s="14">
        <f>IFERROR(ROUND(SUM(M177)/I176, 2),0)</f>
        <v>0</v>
      </c>
      <c r="K176" s="15">
        <v>2157</v>
      </c>
      <c r="L176" s="14">
        <f>J176+ROUND(K176, 2)</f>
        <v>2157</v>
      </c>
      <c r="M176" s="14"/>
      <c r="N176" s="14"/>
      <c r="O176" s="74"/>
      <c r="P176" s="82">
        <f>IFERROR(ROUND(SUM(S177)/I176, 2),0)</f>
        <v>0</v>
      </c>
      <c r="Q176" s="86">
        <v>3235.5</v>
      </c>
      <c r="R176" s="90">
        <f>P176+ROUND(Q176, 2)</f>
        <v>3235.5</v>
      </c>
      <c r="S176" s="77">
        <f>ROUND(P176*I176, 2)</f>
        <v>0</v>
      </c>
      <c r="T176" s="14">
        <f>ROUND(I176*ROUND(Q176, 2), 2)</f>
        <v>0</v>
      </c>
      <c r="U176" s="14">
        <f>S176+T176</f>
        <v>0</v>
      </c>
    </row>
    <row r="177" spans="1:21" ht="21" hidden="1" x14ac:dyDescent="0.5">
      <c r="A177" s="10" t="s">
        <v>718</v>
      </c>
      <c r="B177" s="10"/>
      <c r="C177" s="28" t="s">
        <v>651</v>
      </c>
      <c r="D177" s="12"/>
      <c r="E177" s="12"/>
      <c r="F177" s="29" t="s">
        <v>93</v>
      </c>
      <c r="G177" s="30">
        <v>1.02</v>
      </c>
      <c r="H177" s="30"/>
      <c r="I177" s="30">
        <v>0</v>
      </c>
      <c r="J177" s="31">
        <v>2550</v>
      </c>
      <c r="M177" s="32"/>
      <c r="P177" s="84">
        <v>2550</v>
      </c>
      <c r="R177" s="89"/>
      <c r="S177" s="78">
        <f>ROUND(ROUND(P177, 2)*I177, 2)</f>
        <v>0</v>
      </c>
    </row>
    <row r="178" spans="1:21" ht="20" hidden="1" x14ac:dyDescent="0.35">
      <c r="A178" s="10" t="s">
        <v>721</v>
      </c>
      <c r="B178" s="10" t="s">
        <v>722</v>
      </c>
      <c r="C178" s="11" t="s">
        <v>723</v>
      </c>
      <c r="D178" s="12"/>
      <c r="E178" s="12"/>
      <c r="F178" s="12" t="s">
        <v>93</v>
      </c>
      <c r="G178" s="13">
        <v>1</v>
      </c>
      <c r="H178" s="13"/>
      <c r="I178" s="13">
        <v>0</v>
      </c>
      <c r="J178" s="14">
        <v>1687.5</v>
      </c>
      <c r="K178" s="15">
        <v>915</v>
      </c>
      <c r="L178" s="14">
        <f>J178+ROUND(K178, 2)</f>
        <v>2602.5</v>
      </c>
      <c r="M178" s="14"/>
      <c r="N178" s="14"/>
      <c r="O178" s="74"/>
      <c r="P178" s="82">
        <v>1687.5</v>
      </c>
      <c r="Q178" s="85">
        <v>915</v>
      </c>
      <c r="R178" s="90">
        <f>P178+ROUND(Q178, 2)</f>
        <v>2602.5</v>
      </c>
      <c r="S178" s="77">
        <v>0</v>
      </c>
      <c r="T178" s="14">
        <v>0</v>
      </c>
      <c r="U178" s="14">
        <f>S178+T178</f>
        <v>0</v>
      </c>
    </row>
    <row r="179" spans="1:21" ht="21" hidden="1" x14ac:dyDescent="0.5">
      <c r="A179" s="10" t="s">
        <v>727</v>
      </c>
      <c r="B179" s="10"/>
      <c r="C179" s="28" t="s">
        <v>728</v>
      </c>
      <c r="D179" s="12"/>
      <c r="E179" s="12"/>
      <c r="F179" s="29" t="s">
        <v>498</v>
      </c>
      <c r="G179" s="30">
        <v>225</v>
      </c>
      <c r="H179" s="30"/>
      <c r="I179" s="30">
        <v>0</v>
      </c>
      <c r="J179" s="31">
        <v>7.5</v>
      </c>
      <c r="M179" s="32"/>
      <c r="P179" s="83">
        <v>7.5</v>
      </c>
      <c r="R179" s="89"/>
      <c r="S179" s="78">
        <f>ROUND(ROUND(P179, 2)*I179, 2)</f>
        <v>0</v>
      </c>
    </row>
    <row r="180" spans="1:21" ht="20" hidden="1" x14ac:dyDescent="0.35">
      <c r="A180" s="10" t="s">
        <v>734</v>
      </c>
      <c r="B180" s="10" t="s">
        <v>722</v>
      </c>
      <c r="C180" s="11" t="s">
        <v>723</v>
      </c>
      <c r="D180" s="12"/>
      <c r="E180" s="12"/>
      <c r="F180" s="12" t="s">
        <v>93</v>
      </c>
      <c r="G180" s="13">
        <v>1</v>
      </c>
      <c r="H180" s="13"/>
      <c r="I180" s="13">
        <v>0</v>
      </c>
      <c r="J180" s="14">
        <f>IFERROR(ROUND(SUM(M181)/I180, 2),0)</f>
        <v>0</v>
      </c>
      <c r="K180" s="15">
        <v>915</v>
      </c>
      <c r="L180" s="14">
        <f>J180+ROUND(K180, 2)</f>
        <v>915</v>
      </c>
      <c r="M180" s="14"/>
      <c r="N180" s="14"/>
      <c r="O180" s="74"/>
      <c r="P180" s="82">
        <f>IFERROR(ROUND(SUM(S181)/I180, 2),0)</f>
        <v>0</v>
      </c>
      <c r="Q180" s="86">
        <v>1372.5</v>
      </c>
      <c r="R180" s="90">
        <f>P180+ROUND(Q180, 2)</f>
        <v>1372.5</v>
      </c>
      <c r="S180" s="77">
        <f>ROUND(P180*I180, 2)</f>
        <v>0</v>
      </c>
      <c r="T180" s="14">
        <f>ROUND(I180*ROUND(Q180, 2), 2)</f>
        <v>0</v>
      </c>
      <c r="U180" s="14">
        <f>S180+T180</f>
        <v>0</v>
      </c>
    </row>
    <row r="181" spans="1:21" ht="21" hidden="1" x14ac:dyDescent="0.5">
      <c r="A181" s="10" t="s">
        <v>735</v>
      </c>
      <c r="B181" s="10"/>
      <c r="C181" s="28" t="s">
        <v>728</v>
      </c>
      <c r="D181" s="12"/>
      <c r="E181" s="12"/>
      <c r="F181" s="29" t="s">
        <v>498</v>
      </c>
      <c r="G181" s="30">
        <v>225</v>
      </c>
      <c r="H181" s="30"/>
      <c r="I181" s="30">
        <v>0</v>
      </c>
      <c r="J181" s="31">
        <v>7.5</v>
      </c>
      <c r="M181" s="32"/>
      <c r="P181" s="84">
        <v>7.5</v>
      </c>
      <c r="R181" s="89"/>
      <c r="S181" s="78">
        <f>ROUND(ROUND(P181, 2)*I181, 2)</f>
        <v>0</v>
      </c>
    </row>
    <row r="182" spans="1:21" ht="17" hidden="1" customHeight="1" x14ac:dyDescent="0.5">
      <c r="A182" s="10" t="s">
        <v>738</v>
      </c>
      <c r="B182" s="10" t="s">
        <v>739</v>
      </c>
      <c r="C182" s="174" t="s">
        <v>740</v>
      </c>
      <c r="D182" s="175"/>
      <c r="E182" s="175"/>
      <c r="F182" s="175"/>
      <c r="G182" s="175"/>
      <c r="H182" s="175"/>
      <c r="I182" s="176"/>
      <c r="M182" s="6"/>
      <c r="N182" s="6"/>
      <c r="O182" s="73"/>
      <c r="P182" s="81"/>
      <c r="R182" s="89"/>
      <c r="S182" s="76">
        <f>SUM(S183,S188,S192,S197,S201,S204,S207,S212,S217,S222,S227,S232,S237,S242,S247,S252,S257,S262,S267,S272,S277,S282)</f>
        <v>0</v>
      </c>
      <c r="T182" s="6">
        <f>SUM(T183,T188,T192,T197,T201,T204,T207,T212,T217,T222,T227,T232,T237,T242,T247,T252,T257,T262,T267,T272,T277,T282)</f>
        <v>0</v>
      </c>
      <c r="U182" s="6">
        <f>SUM(U183,U188,U192,U197,U201,U204,U207,U212,U217,U222,U227,U232,U237,U242,U247,U252,U257,U262,U267,U272,U277,U282)</f>
        <v>0</v>
      </c>
    </row>
    <row r="183" spans="1:21" ht="20" hidden="1" x14ac:dyDescent="0.35">
      <c r="A183" s="10" t="s">
        <v>741</v>
      </c>
      <c r="B183" s="10" t="s">
        <v>742</v>
      </c>
      <c r="C183" s="11" t="s">
        <v>743</v>
      </c>
      <c r="D183" s="12" t="s">
        <v>744</v>
      </c>
      <c r="E183" s="12"/>
      <c r="F183" s="12" t="s">
        <v>63</v>
      </c>
      <c r="G183" s="13">
        <v>1</v>
      </c>
      <c r="H183" s="13"/>
      <c r="I183" s="13">
        <v>0</v>
      </c>
      <c r="J183" s="14">
        <v>127.26</v>
      </c>
      <c r="K183" s="15">
        <v>556</v>
      </c>
      <c r="L183" s="14">
        <f>J183+ROUND(K183, 2)</f>
        <v>683.26</v>
      </c>
      <c r="M183" s="14"/>
      <c r="N183" s="14"/>
      <c r="O183" s="74"/>
      <c r="P183" s="82">
        <v>5416.76</v>
      </c>
      <c r="Q183" s="85">
        <v>556</v>
      </c>
      <c r="R183" s="90">
        <f>P183+ROUND(Q183, 2)</f>
        <v>5972.76</v>
      </c>
      <c r="S183" s="77">
        <v>0</v>
      </c>
      <c r="T183" s="14">
        <v>0</v>
      </c>
      <c r="U183" s="14">
        <f>S183+T183</f>
        <v>0</v>
      </c>
    </row>
    <row r="184" spans="1:21" ht="21" hidden="1" x14ac:dyDescent="0.5">
      <c r="A184" s="10" t="s">
        <v>749</v>
      </c>
      <c r="B184" s="10"/>
      <c r="C184" s="28" t="s">
        <v>750</v>
      </c>
      <c r="D184" s="12"/>
      <c r="E184" s="12"/>
      <c r="F184" s="29" t="s">
        <v>498</v>
      </c>
      <c r="G184" s="30">
        <v>0.3</v>
      </c>
      <c r="H184" s="30"/>
      <c r="I184" s="30">
        <v>0</v>
      </c>
      <c r="J184" s="31">
        <v>220</v>
      </c>
      <c r="M184" s="32"/>
      <c r="P184" s="83">
        <v>545</v>
      </c>
      <c r="R184" s="89"/>
      <c r="S184" s="78">
        <f>ROUND(ROUND(P184, 2)*I184, 2)</f>
        <v>0</v>
      </c>
    </row>
    <row r="185" spans="1:21" ht="16" hidden="1" customHeight="1" x14ac:dyDescent="0.5">
      <c r="A185" s="10" t="s">
        <v>757</v>
      </c>
      <c r="B185" s="10"/>
      <c r="C185" s="28" t="s">
        <v>758</v>
      </c>
      <c r="D185" s="12"/>
      <c r="E185" s="12"/>
      <c r="F185" s="29" t="s">
        <v>498</v>
      </c>
      <c r="G185" s="30">
        <v>0.15</v>
      </c>
      <c r="H185" s="30"/>
      <c r="I185" s="30">
        <v>0</v>
      </c>
      <c r="J185" s="31">
        <v>68.400000000000006</v>
      </c>
      <c r="M185" s="32"/>
      <c r="P185" s="83">
        <v>68.400000000000006</v>
      </c>
      <c r="R185" s="89"/>
      <c r="S185" s="78">
        <f>ROUND(ROUND(P185, 2)*I185, 2)</f>
        <v>0</v>
      </c>
    </row>
    <row r="186" spans="1:21" ht="72" hidden="1" x14ac:dyDescent="0.5">
      <c r="A186" s="10" t="s">
        <v>764</v>
      </c>
      <c r="B186" s="10"/>
      <c r="C186" s="47" t="s">
        <v>765</v>
      </c>
      <c r="D186" s="12"/>
      <c r="E186" s="12"/>
      <c r="F186" s="29" t="s">
        <v>78</v>
      </c>
      <c r="G186" s="30">
        <v>1</v>
      </c>
      <c r="H186" s="49"/>
      <c r="I186" s="49">
        <v>0</v>
      </c>
      <c r="J186" s="31">
        <v>51</v>
      </c>
      <c r="M186" s="32"/>
      <c r="P186" s="83">
        <v>51</v>
      </c>
      <c r="R186" s="89"/>
      <c r="S186" s="78">
        <f>ROUND(ROUND(P186, 2)*I186, 2)</f>
        <v>0</v>
      </c>
    </row>
    <row r="187" spans="1:21" ht="36" hidden="1" x14ac:dyDescent="0.5">
      <c r="A187" s="10" t="s">
        <v>771</v>
      </c>
      <c r="B187" s="10"/>
      <c r="C187" s="28" t="s">
        <v>772</v>
      </c>
      <c r="D187" s="12"/>
      <c r="E187" s="12"/>
      <c r="F187" s="29" t="s">
        <v>63</v>
      </c>
      <c r="G187" s="30">
        <v>1.1000000000000001</v>
      </c>
      <c r="H187" s="49"/>
      <c r="I187" s="49">
        <v>0</v>
      </c>
      <c r="J187" s="31">
        <v>0</v>
      </c>
      <c r="M187" s="32"/>
      <c r="P187" s="83">
        <v>4720</v>
      </c>
      <c r="R187" s="89"/>
      <c r="S187" s="78">
        <f>ROUND(ROUND(P187, 2)*I187, 2)</f>
        <v>0</v>
      </c>
    </row>
    <row r="188" spans="1:21" ht="20" hidden="1" x14ac:dyDescent="0.35">
      <c r="A188" s="10" t="s">
        <v>779</v>
      </c>
      <c r="B188" s="10" t="s">
        <v>742</v>
      </c>
      <c r="C188" s="11" t="s">
        <v>743</v>
      </c>
      <c r="D188" s="12" t="s">
        <v>744</v>
      </c>
      <c r="E188" s="12"/>
      <c r="F188" s="12" t="s">
        <v>63</v>
      </c>
      <c r="G188" s="13">
        <v>1</v>
      </c>
      <c r="H188" s="13"/>
      <c r="I188" s="13">
        <v>0</v>
      </c>
      <c r="J188" s="14">
        <v>117</v>
      </c>
      <c r="K188" s="15">
        <v>556</v>
      </c>
      <c r="L188" s="14">
        <f>J188+ROUND(K188, 2)</f>
        <v>673</v>
      </c>
      <c r="M188" s="14"/>
      <c r="N188" s="14"/>
      <c r="O188" s="74"/>
      <c r="P188" s="82">
        <v>5406.5</v>
      </c>
      <c r="Q188" s="85">
        <v>556</v>
      </c>
      <c r="R188" s="90">
        <f>P188+ROUND(Q188, 2)</f>
        <v>5962.5</v>
      </c>
      <c r="S188" s="77">
        <v>0</v>
      </c>
      <c r="T188" s="14">
        <v>0</v>
      </c>
      <c r="U188" s="14">
        <f>S188+T188</f>
        <v>0</v>
      </c>
    </row>
    <row r="189" spans="1:21" ht="36" hidden="1" x14ac:dyDescent="0.5">
      <c r="A189" s="10" t="s">
        <v>782</v>
      </c>
      <c r="B189" s="10"/>
      <c r="C189" s="28" t="s">
        <v>772</v>
      </c>
      <c r="D189" s="12"/>
      <c r="E189" s="12"/>
      <c r="F189" s="29" t="s">
        <v>63</v>
      </c>
      <c r="G189" s="30">
        <v>1.1000000000000001</v>
      </c>
      <c r="H189" s="49"/>
      <c r="I189" s="49">
        <v>0</v>
      </c>
      <c r="J189" s="31">
        <v>0</v>
      </c>
      <c r="M189" s="32"/>
      <c r="P189" s="83">
        <v>4720</v>
      </c>
      <c r="R189" s="89"/>
      <c r="S189" s="78">
        <f>ROUND(ROUND(P189, 2)*I189, 2)</f>
        <v>0</v>
      </c>
    </row>
    <row r="190" spans="1:21" ht="72" hidden="1" x14ac:dyDescent="0.5">
      <c r="A190" s="10" t="s">
        <v>788</v>
      </c>
      <c r="B190" s="10"/>
      <c r="C190" s="47" t="s">
        <v>765</v>
      </c>
      <c r="D190" s="12"/>
      <c r="E190" s="12"/>
      <c r="F190" s="29" t="s">
        <v>78</v>
      </c>
      <c r="G190" s="30">
        <v>1</v>
      </c>
      <c r="H190" s="49"/>
      <c r="I190" s="49">
        <v>0</v>
      </c>
      <c r="J190" s="31">
        <v>51</v>
      </c>
      <c r="M190" s="32"/>
      <c r="P190" s="83">
        <v>51</v>
      </c>
      <c r="R190" s="89"/>
      <c r="S190" s="78">
        <f>ROUND(ROUND(P190, 2)*I190, 2)</f>
        <v>0</v>
      </c>
    </row>
    <row r="191" spans="1:21" ht="21" hidden="1" x14ac:dyDescent="0.5">
      <c r="A191" s="10" t="s">
        <v>793</v>
      </c>
      <c r="B191" s="10"/>
      <c r="C191" s="28" t="s">
        <v>750</v>
      </c>
      <c r="D191" s="12"/>
      <c r="E191" s="12"/>
      <c r="F191" s="29" t="s">
        <v>498</v>
      </c>
      <c r="G191" s="30">
        <v>0.3</v>
      </c>
      <c r="H191" s="30"/>
      <c r="I191" s="30">
        <v>0</v>
      </c>
      <c r="J191" s="31">
        <v>220</v>
      </c>
      <c r="M191" s="32"/>
      <c r="P191" s="83">
        <v>545</v>
      </c>
      <c r="R191" s="89"/>
      <c r="S191" s="78">
        <f>ROUND(ROUND(P191, 2)*I191, 2)</f>
        <v>0</v>
      </c>
    </row>
    <row r="192" spans="1:21" ht="36" hidden="1" x14ac:dyDescent="0.35">
      <c r="A192" s="10" t="s">
        <v>798</v>
      </c>
      <c r="B192" s="10" t="s">
        <v>742</v>
      </c>
      <c r="C192" s="11" t="s">
        <v>743</v>
      </c>
      <c r="D192" s="12" t="s">
        <v>744</v>
      </c>
      <c r="E192" s="12" t="s">
        <v>748</v>
      </c>
      <c r="F192" s="12" t="s">
        <v>63</v>
      </c>
      <c r="G192" s="13">
        <v>1</v>
      </c>
      <c r="H192" s="13"/>
      <c r="I192" s="13">
        <v>0</v>
      </c>
      <c r="J192" s="14">
        <f>IFERROR(ROUND(SUM(M193,M194,M195,M196)/I192, 2),0)</f>
        <v>0</v>
      </c>
      <c r="K192" s="15">
        <v>556</v>
      </c>
      <c r="L192" s="14">
        <f>J192+ROUND(K192, 2)</f>
        <v>556</v>
      </c>
      <c r="M192" s="14"/>
      <c r="N192" s="14"/>
      <c r="O192" s="74"/>
      <c r="P192" s="82">
        <f>IFERROR(ROUND(SUM(S193,S194,S195,S196)/I192, 2),0)</f>
        <v>0</v>
      </c>
      <c r="Q192" s="86">
        <v>834</v>
      </c>
      <c r="R192" s="90">
        <f>P192+ROUND(Q192, 2)</f>
        <v>834</v>
      </c>
      <c r="S192" s="77">
        <f>ROUND(P192*I192, 2)</f>
        <v>0</v>
      </c>
      <c r="T192" s="14">
        <f>ROUND(I192*ROUND(Q192, 2), 2)</f>
        <v>0</v>
      </c>
      <c r="U192" s="14">
        <f>S192+T192</f>
        <v>0</v>
      </c>
    </row>
    <row r="193" spans="1:21" ht="10.5" hidden="1" customHeight="1" x14ac:dyDescent="0.5">
      <c r="A193" s="10" t="s">
        <v>799</v>
      </c>
      <c r="B193" s="10"/>
      <c r="C193" s="28" t="s">
        <v>750</v>
      </c>
      <c r="D193" s="12"/>
      <c r="E193" s="12" t="s">
        <v>755</v>
      </c>
      <c r="F193" s="29" t="s">
        <v>498</v>
      </c>
      <c r="G193" s="30">
        <v>0.3</v>
      </c>
      <c r="H193" s="30"/>
      <c r="I193" s="30">
        <v>0</v>
      </c>
      <c r="J193" s="31">
        <v>220</v>
      </c>
      <c r="M193" s="32"/>
      <c r="P193" s="84">
        <v>220</v>
      </c>
      <c r="R193" s="89"/>
      <c r="S193" s="78">
        <f>ROUND(ROUND(P193, 2)*I193, 2)</f>
        <v>0</v>
      </c>
    </row>
    <row r="194" spans="1:21" ht="36" hidden="1" x14ac:dyDescent="0.5">
      <c r="A194" s="10" t="s">
        <v>802</v>
      </c>
      <c r="B194" s="10"/>
      <c r="C194" s="28" t="s">
        <v>758</v>
      </c>
      <c r="D194" s="12"/>
      <c r="E194" s="12"/>
      <c r="F194" s="29" t="s">
        <v>498</v>
      </c>
      <c r="G194" s="30">
        <v>0.15</v>
      </c>
      <c r="H194" s="30"/>
      <c r="I194" s="30">
        <v>0</v>
      </c>
      <c r="J194" s="31">
        <v>68.400000000000006</v>
      </c>
      <c r="M194" s="32"/>
      <c r="P194" s="84">
        <v>68.400000000000006</v>
      </c>
      <c r="R194" s="89"/>
      <c r="S194" s="78">
        <f>ROUND(ROUND(P194, 2)*I194, 2)</f>
        <v>0</v>
      </c>
    </row>
    <row r="195" spans="1:21" ht="72" hidden="1" x14ac:dyDescent="0.5">
      <c r="A195" s="10" t="s">
        <v>805</v>
      </c>
      <c r="B195" s="10"/>
      <c r="C195" s="47" t="s">
        <v>765</v>
      </c>
      <c r="D195" s="12"/>
      <c r="E195" s="12"/>
      <c r="F195" s="29" t="s">
        <v>78</v>
      </c>
      <c r="G195" s="30">
        <v>1</v>
      </c>
      <c r="H195" s="49"/>
      <c r="I195" s="49">
        <v>427.37</v>
      </c>
      <c r="J195" s="31">
        <v>51</v>
      </c>
      <c r="M195" s="32"/>
      <c r="P195" s="84">
        <v>51</v>
      </c>
      <c r="R195" s="89"/>
      <c r="S195" s="78">
        <f>ROUND(ROUND(P195, 2)*I195, 2)</f>
        <v>21795.87</v>
      </c>
    </row>
    <row r="196" spans="1:21" ht="54" hidden="1" x14ac:dyDescent="0.5">
      <c r="A196" s="10" t="s">
        <v>808</v>
      </c>
      <c r="B196" s="10"/>
      <c r="C196" s="28" t="s">
        <v>772</v>
      </c>
      <c r="D196" s="12"/>
      <c r="E196" s="12" t="s">
        <v>777</v>
      </c>
      <c r="F196" s="29" t="s">
        <v>63</v>
      </c>
      <c r="G196" s="30">
        <v>1.1000000000000001</v>
      </c>
      <c r="H196" s="49"/>
      <c r="I196" s="49">
        <v>470.10700000000003</v>
      </c>
      <c r="J196" s="31">
        <v>0</v>
      </c>
      <c r="M196" s="32"/>
      <c r="P196" s="84">
        <v>0</v>
      </c>
      <c r="R196" s="89"/>
      <c r="S196" s="78">
        <f>ROUND(ROUND(P196, 2)*I196, 2)</f>
        <v>0</v>
      </c>
    </row>
    <row r="197" spans="1:21" ht="20" hidden="1" x14ac:dyDescent="0.35">
      <c r="A197" s="10" t="s">
        <v>811</v>
      </c>
      <c r="B197" s="10" t="s">
        <v>742</v>
      </c>
      <c r="C197" s="11" t="s">
        <v>743</v>
      </c>
      <c r="D197" s="12" t="s">
        <v>744</v>
      </c>
      <c r="E197" s="12" t="s">
        <v>781</v>
      </c>
      <c r="F197" s="12" t="s">
        <v>63</v>
      </c>
      <c r="G197" s="13">
        <v>1</v>
      </c>
      <c r="H197" s="13"/>
      <c r="I197" s="13">
        <v>0</v>
      </c>
      <c r="J197" s="14">
        <f>IFERROR(ROUND(SUM(M198,M199,M200)/I197, 2),0)</f>
        <v>0</v>
      </c>
      <c r="K197" s="15">
        <v>556</v>
      </c>
      <c r="L197" s="14">
        <f>J197+ROUND(K197, 2)</f>
        <v>556</v>
      </c>
      <c r="M197" s="14"/>
      <c r="N197" s="14"/>
      <c r="O197" s="74"/>
      <c r="P197" s="82">
        <f>IFERROR(ROUND(SUM(S198,S199,S200)/I197, 2),0)</f>
        <v>0</v>
      </c>
      <c r="Q197" s="86">
        <v>834</v>
      </c>
      <c r="R197" s="90">
        <f>P197+ROUND(Q197, 2)</f>
        <v>834</v>
      </c>
      <c r="S197" s="77">
        <f>ROUND(P197*I197, 2)</f>
        <v>0</v>
      </c>
      <c r="T197" s="14">
        <f>ROUND(I197*ROUND(Q197, 2), 2)</f>
        <v>0</v>
      </c>
      <c r="U197" s="14">
        <f>S197+T197</f>
        <v>0</v>
      </c>
    </row>
    <row r="198" spans="1:21" ht="54" hidden="1" x14ac:dyDescent="0.5">
      <c r="A198" s="10" t="s">
        <v>812</v>
      </c>
      <c r="B198" s="10"/>
      <c r="C198" s="28" t="s">
        <v>772</v>
      </c>
      <c r="D198" s="12"/>
      <c r="E198" s="12" t="s">
        <v>786</v>
      </c>
      <c r="F198" s="29" t="s">
        <v>63</v>
      </c>
      <c r="G198" s="30">
        <v>1.1000000000000001</v>
      </c>
      <c r="H198" s="49"/>
      <c r="I198" s="49">
        <v>171.941</v>
      </c>
      <c r="J198" s="31">
        <v>0</v>
      </c>
      <c r="M198" s="32"/>
      <c r="P198" s="84">
        <v>0</v>
      </c>
      <c r="R198" s="89"/>
      <c r="S198" s="78">
        <f>ROUND(ROUND(P198, 2)*I198, 2)</f>
        <v>0</v>
      </c>
    </row>
    <row r="199" spans="1:21" ht="72" hidden="1" x14ac:dyDescent="0.5">
      <c r="A199" s="10" t="s">
        <v>815</v>
      </c>
      <c r="B199" s="10"/>
      <c r="C199" s="47" t="s">
        <v>765</v>
      </c>
      <c r="D199" s="12"/>
      <c r="E199" s="12"/>
      <c r="F199" s="29" t="s">
        <v>78</v>
      </c>
      <c r="G199" s="30">
        <v>1</v>
      </c>
      <c r="H199" s="49"/>
      <c r="I199" s="49">
        <v>156.31</v>
      </c>
      <c r="J199" s="31">
        <v>51</v>
      </c>
      <c r="M199" s="32"/>
      <c r="P199" s="84">
        <v>51</v>
      </c>
      <c r="R199" s="89"/>
      <c r="S199" s="78">
        <f>ROUND(ROUND(P199, 2)*I199, 2)</f>
        <v>7971.81</v>
      </c>
    </row>
    <row r="200" spans="1:21" ht="21" hidden="1" x14ac:dyDescent="0.5">
      <c r="A200" s="10" t="s">
        <v>818</v>
      </c>
      <c r="B200" s="10"/>
      <c r="C200" s="28" t="s">
        <v>750</v>
      </c>
      <c r="D200" s="12"/>
      <c r="E200" s="12" t="s">
        <v>755</v>
      </c>
      <c r="F200" s="29" t="s">
        <v>498</v>
      </c>
      <c r="G200" s="30">
        <v>0.3</v>
      </c>
      <c r="H200" s="30"/>
      <c r="I200" s="30">
        <v>0</v>
      </c>
      <c r="J200" s="31">
        <v>220</v>
      </c>
      <c r="M200" s="32"/>
      <c r="P200" s="84">
        <v>220</v>
      </c>
      <c r="R200" s="89"/>
      <c r="S200" s="78">
        <f>ROUND(ROUND(P200, 2)*I200, 2)</f>
        <v>0</v>
      </c>
    </row>
    <row r="201" spans="1:21" ht="36" hidden="1" x14ac:dyDescent="0.35">
      <c r="A201" s="10" t="s">
        <v>821</v>
      </c>
      <c r="B201" s="10" t="s">
        <v>822</v>
      </c>
      <c r="C201" s="11" t="s">
        <v>823</v>
      </c>
      <c r="D201" s="12"/>
      <c r="E201" s="12"/>
      <c r="F201" s="12" t="s">
        <v>78</v>
      </c>
      <c r="G201" s="13">
        <v>1</v>
      </c>
      <c r="H201" s="13"/>
      <c r="I201" s="13">
        <v>0</v>
      </c>
      <c r="J201" s="14">
        <v>0</v>
      </c>
      <c r="K201" s="15">
        <v>201</v>
      </c>
      <c r="L201" s="14">
        <f>J201+ROUND(K201, 2)</f>
        <v>201</v>
      </c>
      <c r="M201" s="14"/>
      <c r="N201" s="14"/>
      <c r="O201" s="74"/>
      <c r="P201" s="82">
        <v>471.05</v>
      </c>
      <c r="Q201" s="85">
        <v>201</v>
      </c>
      <c r="R201" s="90">
        <f>P201+ROUND(Q201, 2)</f>
        <v>672.05</v>
      </c>
      <c r="S201" s="77">
        <v>0</v>
      </c>
      <c r="T201" s="14">
        <v>0</v>
      </c>
      <c r="U201" s="14">
        <f>S201+T201</f>
        <v>0</v>
      </c>
    </row>
    <row r="202" spans="1:21" ht="21" hidden="1" customHeight="1" x14ac:dyDescent="0.5">
      <c r="A202" s="10" t="s">
        <v>828</v>
      </c>
      <c r="B202" s="10"/>
      <c r="C202" s="28" t="s">
        <v>829</v>
      </c>
      <c r="D202" s="12"/>
      <c r="E202" s="12"/>
      <c r="F202" s="29" t="s">
        <v>78</v>
      </c>
      <c r="G202" s="30">
        <v>1.1000000000000001</v>
      </c>
      <c r="H202" s="30"/>
      <c r="I202" s="30">
        <v>0</v>
      </c>
      <c r="J202" s="31">
        <v>0</v>
      </c>
      <c r="M202" s="32"/>
      <c r="P202" s="83">
        <v>378.5</v>
      </c>
      <c r="R202" s="89"/>
      <c r="S202" s="78">
        <f>ROUND(ROUND(P202, 2)*I202, 2)</f>
        <v>0</v>
      </c>
    </row>
    <row r="203" spans="1:21" ht="36" hidden="1" x14ac:dyDescent="0.5">
      <c r="A203" s="10" t="s">
        <v>835</v>
      </c>
      <c r="B203" s="10"/>
      <c r="C203" s="28" t="s">
        <v>836</v>
      </c>
      <c r="D203" s="12"/>
      <c r="E203" s="12"/>
      <c r="F203" s="29" t="s">
        <v>490</v>
      </c>
      <c r="G203" s="30">
        <v>1</v>
      </c>
      <c r="H203" s="49"/>
      <c r="I203" s="49">
        <v>0</v>
      </c>
      <c r="J203" s="31">
        <v>0</v>
      </c>
      <c r="M203" s="32"/>
      <c r="P203" s="83">
        <v>54.7</v>
      </c>
      <c r="R203" s="89"/>
      <c r="S203" s="78">
        <f>ROUND(ROUND(P203, 2)*I203, 2)</f>
        <v>0</v>
      </c>
    </row>
    <row r="204" spans="1:21" ht="54" hidden="1" x14ac:dyDescent="0.35">
      <c r="A204" s="10" t="s">
        <v>842</v>
      </c>
      <c r="B204" s="10" t="s">
        <v>822</v>
      </c>
      <c r="C204" s="11" t="s">
        <v>823</v>
      </c>
      <c r="D204" s="12"/>
      <c r="E204" s="12" t="s">
        <v>843</v>
      </c>
      <c r="F204" s="12" t="s">
        <v>78</v>
      </c>
      <c r="G204" s="13">
        <v>1</v>
      </c>
      <c r="H204" s="13"/>
      <c r="I204" s="13">
        <v>0</v>
      </c>
      <c r="J204" s="14">
        <f>IFERROR(ROUND(SUM(M205,M206)/I204, 2),0)</f>
        <v>0</v>
      </c>
      <c r="K204" s="15">
        <v>201</v>
      </c>
      <c r="L204" s="14">
        <f>J204+ROUND(K204, 2)</f>
        <v>201</v>
      </c>
      <c r="M204" s="14"/>
      <c r="N204" s="14"/>
      <c r="O204" s="74"/>
      <c r="P204" s="82">
        <f>IFERROR(ROUND(SUM(S205,S206)/I204, 2),0)</f>
        <v>0</v>
      </c>
      <c r="Q204" s="86">
        <v>301.5</v>
      </c>
      <c r="R204" s="90">
        <f>P204+ROUND(Q204, 2)</f>
        <v>301.5</v>
      </c>
      <c r="S204" s="77">
        <f>ROUND(P204*I204, 2)</f>
        <v>0</v>
      </c>
      <c r="T204" s="14">
        <f>ROUND(I204*ROUND(Q204, 2), 2)</f>
        <v>0</v>
      </c>
      <c r="U204" s="14">
        <f>S204+T204</f>
        <v>0</v>
      </c>
    </row>
    <row r="205" spans="1:21" ht="36" hidden="1" x14ac:dyDescent="0.5">
      <c r="A205" s="10" t="s">
        <v>844</v>
      </c>
      <c r="B205" s="10"/>
      <c r="C205" s="28" t="s">
        <v>836</v>
      </c>
      <c r="D205" s="12"/>
      <c r="E205" s="12"/>
      <c r="F205" s="29" t="s">
        <v>490</v>
      </c>
      <c r="G205" s="30">
        <v>1</v>
      </c>
      <c r="H205" s="49"/>
      <c r="I205" s="49">
        <v>544.5</v>
      </c>
      <c r="J205" s="31">
        <v>0</v>
      </c>
      <c r="M205" s="32"/>
      <c r="P205" s="84">
        <v>0</v>
      </c>
      <c r="R205" s="89"/>
      <c r="S205" s="78">
        <f>ROUND(ROUND(P205, 2)*I205, 2)</f>
        <v>0</v>
      </c>
    </row>
    <row r="206" spans="1:21" ht="36" hidden="1" x14ac:dyDescent="0.5">
      <c r="A206" s="10" t="s">
        <v>847</v>
      </c>
      <c r="B206" s="10"/>
      <c r="C206" s="28" t="s">
        <v>829</v>
      </c>
      <c r="D206" s="12"/>
      <c r="E206" s="12"/>
      <c r="F206" s="29" t="s">
        <v>78</v>
      </c>
      <c r="G206" s="30">
        <v>1.1000000000000001</v>
      </c>
      <c r="H206" s="30"/>
      <c r="I206" s="30">
        <v>0</v>
      </c>
      <c r="J206" s="31">
        <v>0</v>
      </c>
      <c r="M206" s="32"/>
      <c r="P206" s="84">
        <v>0</v>
      </c>
      <c r="R206" s="89"/>
      <c r="S206" s="78">
        <f>ROUND(ROUND(P206, 2)*I206, 2)</f>
        <v>0</v>
      </c>
    </row>
    <row r="207" spans="1:21" ht="36" hidden="1" x14ac:dyDescent="0.35">
      <c r="A207" s="10" t="s">
        <v>850</v>
      </c>
      <c r="B207" s="10" t="s">
        <v>851</v>
      </c>
      <c r="C207" s="11" t="s">
        <v>852</v>
      </c>
      <c r="D207" s="12"/>
      <c r="E207" s="12"/>
      <c r="F207" s="12" t="s">
        <v>63</v>
      </c>
      <c r="G207" s="13">
        <v>1</v>
      </c>
      <c r="H207" s="13"/>
      <c r="I207" s="13">
        <v>0</v>
      </c>
      <c r="J207" s="14">
        <v>4447.13</v>
      </c>
      <c r="K207" s="15">
        <v>2310</v>
      </c>
      <c r="L207" s="14">
        <f>J207+ROUND(K207, 2)</f>
        <v>6757.13</v>
      </c>
      <c r="M207" s="14"/>
      <c r="N207" s="14"/>
      <c r="O207" s="74"/>
      <c r="P207" s="82">
        <v>4447.13</v>
      </c>
      <c r="Q207" s="85">
        <v>2310</v>
      </c>
      <c r="R207" s="90">
        <f>P207+ROUND(Q207, 2)</f>
        <v>6757.13</v>
      </c>
      <c r="S207" s="77">
        <v>0</v>
      </c>
      <c r="T207" s="14">
        <v>0</v>
      </c>
      <c r="U207" s="14">
        <f>S207+T207</f>
        <v>0</v>
      </c>
    </row>
    <row r="208" spans="1:21" ht="36" hidden="1" x14ac:dyDescent="0.5">
      <c r="A208" s="10" t="s">
        <v>857</v>
      </c>
      <c r="B208" s="10"/>
      <c r="C208" s="47" t="s">
        <v>858</v>
      </c>
      <c r="D208" s="12"/>
      <c r="E208" s="12"/>
      <c r="F208" s="29" t="s">
        <v>490</v>
      </c>
      <c r="G208" s="30">
        <v>4</v>
      </c>
      <c r="H208" s="30"/>
      <c r="I208" s="30">
        <v>0</v>
      </c>
      <c r="J208" s="31">
        <v>1100.4000000000001</v>
      </c>
      <c r="M208" s="32"/>
      <c r="P208" s="83">
        <v>1100.4000000000001</v>
      </c>
      <c r="R208" s="89"/>
      <c r="S208" s="78">
        <f>ROUND(ROUND(P208, 2)*I208, 2)</f>
        <v>0</v>
      </c>
    </row>
    <row r="209" spans="1:21" ht="36" hidden="1" x14ac:dyDescent="0.5">
      <c r="A209" s="10" t="s">
        <v>865</v>
      </c>
      <c r="B209" s="10"/>
      <c r="C209" s="47" t="s">
        <v>866</v>
      </c>
      <c r="D209" s="12"/>
      <c r="E209" s="12"/>
      <c r="F209" s="29" t="s">
        <v>498</v>
      </c>
      <c r="G209" s="30">
        <v>1.2</v>
      </c>
      <c r="H209" s="49"/>
      <c r="I209" s="49">
        <v>0</v>
      </c>
      <c r="J209" s="31">
        <v>16.96</v>
      </c>
      <c r="M209" s="32"/>
      <c r="P209" s="83">
        <v>16.96</v>
      </c>
      <c r="R209" s="89"/>
      <c r="S209" s="78">
        <f>ROUND(ROUND(P209, 2)*I209, 2)</f>
        <v>0</v>
      </c>
    </row>
    <row r="210" spans="1:21" ht="21" hidden="1" x14ac:dyDescent="0.5">
      <c r="A210" s="10" t="s">
        <v>872</v>
      </c>
      <c r="B210" s="10"/>
      <c r="C210" s="28" t="s">
        <v>873</v>
      </c>
      <c r="D210" s="12"/>
      <c r="E210" s="12"/>
      <c r="F210" s="29" t="s">
        <v>498</v>
      </c>
      <c r="G210" s="30">
        <v>0.25</v>
      </c>
      <c r="H210" s="30"/>
      <c r="I210" s="30">
        <v>0</v>
      </c>
      <c r="J210" s="31">
        <v>47.44</v>
      </c>
      <c r="M210" s="32"/>
      <c r="P210" s="83">
        <v>47.44</v>
      </c>
      <c r="R210" s="89"/>
      <c r="S210" s="78">
        <f>ROUND(ROUND(P210, 2)*I210, 2)</f>
        <v>0</v>
      </c>
    </row>
    <row r="211" spans="1:21" ht="24.5" hidden="1" customHeight="1" x14ac:dyDescent="0.5">
      <c r="A211" s="10" t="s">
        <v>879</v>
      </c>
      <c r="B211" s="10"/>
      <c r="C211" s="28" t="s">
        <v>544</v>
      </c>
      <c r="D211" s="12"/>
      <c r="E211" s="12"/>
      <c r="F211" s="29" t="s">
        <v>498</v>
      </c>
      <c r="G211" s="30">
        <v>0.15</v>
      </c>
      <c r="H211" s="30"/>
      <c r="I211" s="30">
        <v>0</v>
      </c>
      <c r="J211" s="31">
        <v>88.8</v>
      </c>
      <c r="M211" s="32"/>
      <c r="P211" s="83">
        <v>88.8</v>
      </c>
      <c r="R211" s="89"/>
      <c r="S211" s="78">
        <f>ROUND(ROUND(P211, 2)*I211, 2)</f>
        <v>0</v>
      </c>
    </row>
    <row r="212" spans="1:21" ht="36" hidden="1" x14ac:dyDescent="0.35">
      <c r="A212" s="10" t="s">
        <v>884</v>
      </c>
      <c r="B212" s="10" t="s">
        <v>851</v>
      </c>
      <c r="C212" s="11" t="s">
        <v>852</v>
      </c>
      <c r="D212" s="12"/>
      <c r="E212" s="12" t="s">
        <v>856</v>
      </c>
      <c r="F212" s="12" t="s">
        <v>63</v>
      </c>
      <c r="G212" s="13">
        <v>1</v>
      </c>
      <c r="H212" s="13"/>
      <c r="I212" s="13">
        <v>0</v>
      </c>
      <c r="J212" s="14">
        <f>IFERROR(ROUND(SUM(M213,M214,M215,M216)/I212, 2),0)</f>
        <v>0</v>
      </c>
      <c r="K212" s="15">
        <v>2310</v>
      </c>
      <c r="L212" s="14">
        <f>J212+ROUND(K212, 2)</f>
        <v>2310</v>
      </c>
      <c r="M212" s="14"/>
      <c r="N212" s="14"/>
      <c r="O212" s="74"/>
      <c r="P212" s="82">
        <f>IFERROR(ROUND(SUM(S213,S214,S215,S216)/I212, 2),0)</f>
        <v>0</v>
      </c>
      <c r="Q212" s="86">
        <v>3465</v>
      </c>
      <c r="R212" s="90">
        <f>P212+ROUND(Q212, 2)</f>
        <v>3465</v>
      </c>
      <c r="S212" s="77">
        <f>ROUND(P212*I212, 2)</f>
        <v>0</v>
      </c>
      <c r="T212" s="14">
        <f>ROUND(I212*ROUND(Q212, 2), 2)</f>
        <v>0</v>
      </c>
      <c r="U212" s="14">
        <f>S212+T212</f>
        <v>0</v>
      </c>
    </row>
    <row r="213" spans="1:21" ht="36" hidden="1" x14ac:dyDescent="0.5">
      <c r="A213" s="10" t="s">
        <v>885</v>
      </c>
      <c r="B213" s="10"/>
      <c r="C213" s="28" t="s">
        <v>544</v>
      </c>
      <c r="D213" s="12"/>
      <c r="E213" s="12"/>
      <c r="F213" s="29" t="s">
        <v>498</v>
      </c>
      <c r="G213" s="30">
        <v>0.15</v>
      </c>
      <c r="H213" s="30"/>
      <c r="I213" s="30">
        <v>0</v>
      </c>
      <c r="J213" s="31">
        <v>88.8</v>
      </c>
      <c r="M213" s="32"/>
      <c r="P213" s="84">
        <v>88.8</v>
      </c>
      <c r="R213" s="89"/>
      <c r="S213" s="78">
        <f>ROUND(ROUND(P213, 2)*I213, 2)</f>
        <v>0</v>
      </c>
    </row>
    <row r="214" spans="1:21" ht="21" hidden="1" x14ac:dyDescent="0.5">
      <c r="A214" s="10" t="s">
        <v>888</v>
      </c>
      <c r="B214" s="10"/>
      <c r="C214" s="28" t="s">
        <v>873</v>
      </c>
      <c r="D214" s="12"/>
      <c r="E214" s="12"/>
      <c r="F214" s="29" t="s">
        <v>498</v>
      </c>
      <c r="G214" s="30">
        <v>0.25</v>
      </c>
      <c r="H214" s="30"/>
      <c r="I214" s="30">
        <v>0</v>
      </c>
      <c r="J214" s="31">
        <v>47.44</v>
      </c>
      <c r="M214" s="32"/>
      <c r="P214" s="84">
        <v>47.44</v>
      </c>
      <c r="R214" s="89"/>
      <c r="S214" s="78">
        <f>ROUND(ROUND(P214, 2)*I214, 2)</f>
        <v>0</v>
      </c>
    </row>
    <row r="215" spans="1:21" ht="36" hidden="1" x14ac:dyDescent="0.5">
      <c r="A215" s="10" t="s">
        <v>891</v>
      </c>
      <c r="B215" s="10"/>
      <c r="C215" s="47" t="s">
        <v>866</v>
      </c>
      <c r="D215" s="12"/>
      <c r="E215" s="12"/>
      <c r="F215" s="29" t="s">
        <v>498</v>
      </c>
      <c r="G215" s="30">
        <v>1.2</v>
      </c>
      <c r="H215" s="49"/>
      <c r="I215" s="49">
        <v>331.75200000000001</v>
      </c>
      <c r="J215" s="31">
        <v>16.12</v>
      </c>
      <c r="M215" s="32"/>
      <c r="P215" s="84">
        <v>16.11</v>
      </c>
      <c r="R215" s="89"/>
      <c r="S215" s="78">
        <f>ROUND(ROUND(P215, 2)*I215, 2)</f>
        <v>5344.52</v>
      </c>
    </row>
    <row r="216" spans="1:21" ht="54" hidden="1" x14ac:dyDescent="0.5">
      <c r="A216" s="10" t="s">
        <v>894</v>
      </c>
      <c r="B216" s="10"/>
      <c r="C216" s="47" t="s">
        <v>858</v>
      </c>
      <c r="D216" s="12"/>
      <c r="E216" s="12" t="s">
        <v>863</v>
      </c>
      <c r="F216" s="29" t="s">
        <v>490</v>
      </c>
      <c r="G216" s="30">
        <v>4</v>
      </c>
      <c r="H216" s="30"/>
      <c r="I216" s="30">
        <v>0</v>
      </c>
      <c r="J216" s="31">
        <v>1100.4000000000001</v>
      </c>
      <c r="M216" s="32"/>
      <c r="P216" s="84">
        <v>1100.4000000000001</v>
      </c>
      <c r="R216" s="89"/>
      <c r="S216" s="78">
        <f>ROUND(ROUND(P216, 2)*I216, 2)</f>
        <v>0</v>
      </c>
    </row>
    <row r="217" spans="1:21" ht="36" hidden="1" x14ac:dyDescent="0.35">
      <c r="A217" s="10" t="s">
        <v>897</v>
      </c>
      <c r="B217" s="10" t="s">
        <v>898</v>
      </c>
      <c r="C217" s="11" t="s">
        <v>899</v>
      </c>
      <c r="D217" s="12"/>
      <c r="E217" s="12"/>
      <c r="F217" s="12" t="s">
        <v>78</v>
      </c>
      <c r="G217" s="13">
        <v>1</v>
      </c>
      <c r="H217" s="13"/>
      <c r="I217" s="13">
        <v>0</v>
      </c>
      <c r="J217" s="14">
        <v>844.85</v>
      </c>
      <c r="K217" s="15">
        <v>473</v>
      </c>
      <c r="L217" s="14">
        <f>J217+ROUND(K217, 2)</f>
        <v>1317.85</v>
      </c>
      <c r="M217" s="14"/>
      <c r="N217" s="14"/>
      <c r="O217" s="74"/>
      <c r="P217" s="82">
        <v>844.85</v>
      </c>
      <c r="Q217" s="85">
        <v>473</v>
      </c>
      <c r="R217" s="90">
        <f>P217+ROUND(Q217, 2)</f>
        <v>1317.85</v>
      </c>
      <c r="S217" s="77">
        <v>0</v>
      </c>
      <c r="T217" s="14">
        <v>0</v>
      </c>
      <c r="U217" s="14">
        <f>S217+T217</f>
        <v>0</v>
      </c>
    </row>
    <row r="218" spans="1:21" ht="36" hidden="1" x14ac:dyDescent="0.5">
      <c r="A218" s="10" t="s">
        <v>904</v>
      </c>
      <c r="B218" s="10"/>
      <c r="C218" s="47" t="s">
        <v>905</v>
      </c>
      <c r="D218" s="12"/>
      <c r="E218" s="12"/>
      <c r="F218" s="29" t="s">
        <v>498</v>
      </c>
      <c r="G218" s="30">
        <v>0.7</v>
      </c>
      <c r="H218" s="49"/>
      <c r="I218" s="49">
        <v>0</v>
      </c>
      <c r="J218" s="31">
        <v>16.96</v>
      </c>
      <c r="M218" s="32"/>
      <c r="P218" s="83">
        <v>16.96</v>
      </c>
      <c r="R218" s="89"/>
      <c r="S218" s="78">
        <f>ROUND(ROUND(P218, 2)*I218, 2)</f>
        <v>0</v>
      </c>
    </row>
    <row r="219" spans="1:21" ht="36" hidden="1" x14ac:dyDescent="0.5">
      <c r="A219" s="10" t="s">
        <v>911</v>
      </c>
      <c r="B219" s="10"/>
      <c r="C219" s="28" t="s">
        <v>912</v>
      </c>
      <c r="D219" s="12"/>
      <c r="E219" s="12"/>
      <c r="F219" s="29" t="s">
        <v>490</v>
      </c>
      <c r="G219" s="30">
        <v>1.84</v>
      </c>
      <c r="H219" s="49"/>
      <c r="I219" s="49">
        <v>0</v>
      </c>
      <c r="J219" s="31">
        <v>450.95</v>
      </c>
      <c r="M219" s="32"/>
      <c r="P219" s="83">
        <v>450.95</v>
      </c>
      <c r="R219" s="89"/>
      <c r="S219" s="78">
        <f>ROUND(ROUND(P219, 2)*I219, 2)</f>
        <v>0</v>
      </c>
    </row>
    <row r="220" spans="1:21" ht="21" hidden="1" x14ac:dyDescent="0.5">
      <c r="A220" s="10" t="s">
        <v>919</v>
      </c>
      <c r="B220" s="10"/>
      <c r="C220" s="28" t="s">
        <v>873</v>
      </c>
      <c r="D220" s="12"/>
      <c r="E220" s="12"/>
      <c r="F220" s="29" t="s">
        <v>498</v>
      </c>
      <c r="G220" s="30">
        <v>0.04</v>
      </c>
      <c r="H220" s="30"/>
      <c r="I220" s="30">
        <v>0</v>
      </c>
      <c r="J220" s="31">
        <v>47.44</v>
      </c>
      <c r="M220" s="32"/>
      <c r="P220" s="83">
        <v>47.44</v>
      </c>
      <c r="R220" s="89"/>
      <c r="S220" s="78">
        <f>ROUND(ROUND(P220, 2)*I220, 2)</f>
        <v>0</v>
      </c>
    </row>
    <row r="221" spans="1:21" ht="20.5" hidden="1" customHeight="1" x14ac:dyDescent="0.5">
      <c r="A221" s="10" t="s">
        <v>924</v>
      </c>
      <c r="B221" s="10"/>
      <c r="C221" s="28" t="s">
        <v>925</v>
      </c>
      <c r="D221" s="12"/>
      <c r="E221" s="12"/>
      <c r="F221" s="29" t="s">
        <v>498</v>
      </c>
      <c r="G221" s="30">
        <v>1.4999999999999999E-2</v>
      </c>
      <c r="H221" s="30"/>
      <c r="I221" s="30">
        <v>0</v>
      </c>
      <c r="J221" s="31">
        <v>88.8</v>
      </c>
      <c r="M221" s="32"/>
      <c r="P221" s="83">
        <v>88.8</v>
      </c>
      <c r="R221" s="89"/>
      <c r="S221" s="78">
        <f>ROUND(ROUND(P221, 2)*I221, 2)</f>
        <v>0</v>
      </c>
    </row>
    <row r="222" spans="1:21" ht="36" hidden="1" x14ac:dyDescent="0.35">
      <c r="A222" s="10" t="s">
        <v>931</v>
      </c>
      <c r="B222" s="10" t="s">
        <v>898</v>
      </c>
      <c r="C222" s="11" t="s">
        <v>899</v>
      </c>
      <c r="D222" s="12"/>
      <c r="E222" s="12"/>
      <c r="F222" s="12" t="s">
        <v>78</v>
      </c>
      <c r="G222" s="13">
        <v>1</v>
      </c>
      <c r="H222" s="13"/>
      <c r="I222" s="13">
        <v>0</v>
      </c>
      <c r="J222" s="14">
        <v>844.85</v>
      </c>
      <c r="K222" s="15">
        <v>473</v>
      </c>
      <c r="L222" s="14">
        <f>J222+ROUND(K222, 2)</f>
        <v>1317.85</v>
      </c>
      <c r="M222" s="14"/>
      <c r="N222" s="14"/>
      <c r="O222" s="74"/>
      <c r="P222" s="82">
        <v>844.85</v>
      </c>
      <c r="Q222" s="85">
        <v>473</v>
      </c>
      <c r="R222" s="90">
        <f>P222+ROUND(Q222, 2)</f>
        <v>1317.85</v>
      </c>
      <c r="S222" s="77">
        <v>0</v>
      </c>
      <c r="T222" s="14">
        <v>0</v>
      </c>
      <c r="U222" s="14">
        <f>S222+T222</f>
        <v>0</v>
      </c>
    </row>
    <row r="223" spans="1:21" ht="36" hidden="1" x14ac:dyDescent="0.5">
      <c r="A223" s="10" t="s">
        <v>934</v>
      </c>
      <c r="B223" s="10"/>
      <c r="C223" s="28" t="s">
        <v>925</v>
      </c>
      <c r="D223" s="12"/>
      <c r="E223" s="12"/>
      <c r="F223" s="29" t="s">
        <v>498</v>
      </c>
      <c r="G223" s="30">
        <v>1.4999999999999999E-2</v>
      </c>
      <c r="H223" s="30"/>
      <c r="I223" s="30">
        <v>0</v>
      </c>
      <c r="J223" s="31">
        <v>88.8</v>
      </c>
      <c r="M223" s="32"/>
      <c r="P223" s="83">
        <v>88.8</v>
      </c>
      <c r="R223" s="89"/>
      <c r="S223" s="78">
        <f>ROUND(ROUND(P223, 2)*I223, 2)</f>
        <v>0</v>
      </c>
    </row>
    <row r="224" spans="1:21" ht="21" hidden="1" x14ac:dyDescent="0.5">
      <c r="A224" s="10" t="s">
        <v>939</v>
      </c>
      <c r="B224" s="10"/>
      <c r="C224" s="28" t="s">
        <v>873</v>
      </c>
      <c r="D224" s="12"/>
      <c r="E224" s="12"/>
      <c r="F224" s="29" t="s">
        <v>498</v>
      </c>
      <c r="G224" s="30">
        <v>0.04</v>
      </c>
      <c r="H224" s="30"/>
      <c r="I224" s="30">
        <v>0</v>
      </c>
      <c r="J224" s="31">
        <v>47.44</v>
      </c>
      <c r="M224" s="32"/>
      <c r="P224" s="83">
        <v>47.44</v>
      </c>
      <c r="R224" s="89"/>
      <c r="S224" s="78">
        <f>ROUND(ROUND(P224, 2)*I224, 2)</f>
        <v>0</v>
      </c>
    </row>
    <row r="225" spans="1:21" ht="36" hidden="1" x14ac:dyDescent="0.5">
      <c r="A225" s="10" t="s">
        <v>944</v>
      </c>
      <c r="B225" s="10"/>
      <c r="C225" s="28" t="s">
        <v>912</v>
      </c>
      <c r="D225" s="12"/>
      <c r="E225" s="12"/>
      <c r="F225" s="29" t="s">
        <v>490</v>
      </c>
      <c r="G225" s="30">
        <v>1.84</v>
      </c>
      <c r="H225" s="49"/>
      <c r="I225" s="49">
        <v>0</v>
      </c>
      <c r="J225" s="31">
        <v>450.95</v>
      </c>
      <c r="M225" s="32"/>
      <c r="P225" s="83">
        <v>450.95</v>
      </c>
      <c r="R225" s="89"/>
      <c r="S225" s="78">
        <f>ROUND(ROUND(P225, 2)*I225, 2)</f>
        <v>0</v>
      </c>
    </row>
    <row r="226" spans="1:21" ht="32" hidden="1" customHeight="1" x14ac:dyDescent="0.5">
      <c r="A226" s="10" t="s">
        <v>950</v>
      </c>
      <c r="B226" s="10"/>
      <c r="C226" s="47" t="s">
        <v>905</v>
      </c>
      <c r="D226" s="12"/>
      <c r="E226" s="12"/>
      <c r="F226" s="29" t="s">
        <v>498</v>
      </c>
      <c r="G226" s="30">
        <v>0.7</v>
      </c>
      <c r="H226" s="49"/>
      <c r="I226" s="49">
        <v>0</v>
      </c>
      <c r="J226" s="31">
        <v>16.96</v>
      </c>
      <c r="M226" s="32"/>
      <c r="P226" s="83">
        <v>16.96</v>
      </c>
      <c r="R226" s="89"/>
      <c r="S226" s="78">
        <f>ROUND(ROUND(P226, 2)*I226, 2)</f>
        <v>0</v>
      </c>
    </row>
    <row r="227" spans="1:21" ht="36" hidden="1" x14ac:dyDescent="0.35">
      <c r="A227" s="10" t="s">
        <v>955</v>
      </c>
      <c r="B227" s="10" t="s">
        <v>898</v>
      </c>
      <c r="C227" s="11" t="s">
        <v>899</v>
      </c>
      <c r="D227" s="12"/>
      <c r="E227" s="12"/>
      <c r="F227" s="12" t="s">
        <v>78</v>
      </c>
      <c r="G227" s="13">
        <v>1</v>
      </c>
      <c r="H227" s="13"/>
      <c r="I227" s="13">
        <v>0</v>
      </c>
      <c r="J227" s="14">
        <v>375.74</v>
      </c>
      <c r="K227" s="15">
        <v>473</v>
      </c>
      <c r="L227" s="14">
        <f>J227+ROUND(K227, 2)</f>
        <v>848.74</v>
      </c>
      <c r="M227" s="14"/>
      <c r="N227" s="14"/>
      <c r="O227" s="74"/>
      <c r="P227" s="82">
        <v>375.74</v>
      </c>
      <c r="Q227" s="85">
        <v>473</v>
      </c>
      <c r="R227" s="90">
        <f>P227+ROUND(Q227, 2)</f>
        <v>848.74</v>
      </c>
      <c r="S227" s="77">
        <v>0</v>
      </c>
      <c r="T227" s="14">
        <v>0</v>
      </c>
      <c r="U227" s="14">
        <f>S227+T227</f>
        <v>0</v>
      </c>
    </row>
    <row r="228" spans="1:21" ht="36" hidden="1" x14ac:dyDescent="0.5">
      <c r="A228" s="10" t="s">
        <v>958</v>
      </c>
      <c r="B228" s="10"/>
      <c r="C228" s="47" t="s">
        <v>905</v>
      </c>
      <c r="D228" s="12"/>
      <c r="E228" s="12"/>
      <c r="F228" s="29" t="s">
        <v>498</v>
      </c>
      <c r="G228" s="30">
        <v>0.7</v>
      </c>
      <c r="H228" s="49"/>
      <c r="I228" s="49">
        <v>0</v>
      </c>
      <c r="J228" s="31">
        <v>16.96</v>
      </c>
      <c r="M228" s="32"/>
      <c r="P228" s="83">
        <v>16.96</v>
      </c>
      <c r="R228" s="89"/>
      <c r="S228" s="78">
        <f>ROUND(ROUND(P228, 2)*I228, 2)</f>
        <v>0</v>
      </c>
    </row>
    <row r="229" spans="1:21" ht="36" hidden="1" x14ac:dyDescent="0.5">
      <c r="A229" s="10" t="s">
        <v>963</v>
      </c>
      <c r="B229" s="10"/>
      <c r="C229" s="28" t="s">
        <v>964</v>
      </c>
      <c r="D229" s="12"/>
      <c r="E229" s="12"/>
      <c r="F229" s="29" t="s">
        <v>490</v>
      </c>
      <c r="G229" s="30">
        <v>1.84</v>
      </c>
      <c r="H229" s="49"/>
      <c r="I229" s="49">
        <v>0</v>
      </c>
      <c r="J229" s="31">
        <v>196</v>
      </c>
      <c r="M229" s="32"/>
      <c r="P229" s="83">
        <v>196</v>
      </c>
      <c r="R229" s="89"/>
      <c r="S229" s="78">
        <f>ROUND(ROUND(P229, 2)*I229, 2)</f>
        <v>0</v>
      </c>
    </row>
    <row r="230" spans="1:21" ht="21" hidden="1" x14ac:dyDescent="0.5">
      <c r="A230" s="10" t="s">
        <v>971</v>
      </c>
      <c r="B230" s="10"/>
      <c r="C230" s="28" t="s">
        <v>873</v>
      </c>
      <c r="D230" s="12"/>
      <c r="E230" s="12"/>
      <c r="F230" s="29" t="s">
        <v>498</v>
      </c>
      <c r="G230" s="30">
        <v>0.04</v>
      </c>
      <c r="H230" s="30"/>
      <c r="I230" s="30">
        <v>0</v>
      </c>
      <c r="J230" s="31">
        <v>47.44</v>
      </c>
      <c r="M230" s="32"/>
      <c r="P230" s="83">
        <v>47.44</v>
      </c>
      <c r="R230" s="89"/>
      <c r="S230" s="78">
        <f>ROUND(ROUND(P230, 2)*I230, 2)</f>
        <v>0</v>
      </c>
    </row>
    <row r="231" spans="1:21" ht="36" hidden="1" x14ac:dyDescent="0.5">
      <c r="A231" s="10" t="s">
        <v>976</v>
      </c>
      <c r="B231" s="10"/>
      <c r="C231" s="28" t="s">
        <v>925</v>
      </c>
      <c r="D231" s="12"/>
      <c r="E231" s="12"/>
      <c r="F231" s="29" t="s">
        <v>498</v>
      </c>
      <c r="G231" s="30">
        <v>1.4999999999999999E-2</v>
      </c>
      <c r="H231" s="30"/>
      <c r="I231" s="30">
        <v>0</v>
      </c>
      <c r="J231" s="31">
        <v>88.8</v>
      </c>
      <c r="M231" s="32"/>
      <c r="P231" s="83">
        <v>88.8</v>
      </c>
      <c r="R231" s="89"/>
      <c r="S231" s="78">
        <f>ROUND(ROUND(P231, 2)*I231, 2)</f>
        <v>0</v>
      </c>
    </row>
    <row r="232" spans="1:21" ht="36" hidden="1" x14ac:dyDescent="0.35">
      <c r="A232" s="10" t="s">
        <v>981</v>
      </c>
      <c r="B232" s="10" t="s">
        <v>898</v>
      </c>
      <c r="C232" s="11" t="s">
        <v>899</v>
      </c>
      <c r="D232" s="12"/>
      <c r="E232" s="12" t="s">
        <v>903</v>
      </c>
      <c r="F232" s="12" t="s">
        <v>78</v>
      </c>
      <c r="G232" s="13">
        <v>1</v>
      </c>
      <c r="H232" s="13"/>
      <c r="I232" s="13">
        <v>0</v>
      </c>
      <c r="J232" s="14">
        <f>IFERROR(ROUND(SUM(M233,M234,M235,M236)/I232, 2),0)</f>
        <v>0</v>
      </c>
      <c r="K232" s="15">
        <v>473</v>
      </c>
      <c r="L232" s="14">
        <f>J232+ROUND(K232, 2)</f>
        <v>473</v>
      </c>
      <c r="M232" s="14"/>
      <c r="N232" s="14"/>
      <c r="O232" s="74"/>
      <c r="P232" s="82">
        <f>IFERROR(ROUND(SUM(S233,S234,S235,S236)/I232, 2),0)</f>
        <v>0</v>
      </c>
      <c r="Q232" s="86">
        <v>709.5</v>
      </c>
      <c r="R232" s="90">
        <f>P232+ROUND(Q232, 2)</f>
        <v>709.5</v>
      </c>
      <c r="S232" s="77">
        <f>ROUND(P232*I232, 2)</f>
        <v>0</v>
      </c>
      <c r="T232" s="14">
        <f>ROUND(I232*ROUND(Q232, 2), 2)</f>
        <v>0</v>
      </c>
      <c r="U232" s="14">
        <f>S232+T232</f>
        <v>0</v>
      </c>
    </row>
    <row r="233" spans="1:21" ht="36" hidden="1" x14ac:dyDescent="0.5">
      <c r="A233" s="10" t="s">
        <v>982</v>
      </c>
      <c r="B233" s="10"/>
      <c r="C233" s="28" t="s">
        <v>925</v>
      </c>
      <c r="D233" s="12"/>
      <c r="E233" s="12"/>
      <c r="F233" s="29" t="s">
        <v>498</v>
      </c>
      <c r="G233" s="30">
        <v>1.4999999999999999E-2</v>
      </c>
      <c r="H233" s="30"/>
      <c r="I233" s="30">
        <v>0</v>
      </c>
      <c r="J233" s="31">
        <v>88.8</v>
      </c>
      <c r="M233" s="32"/>
      <c r="P233" s="84">
        <v>88.8</v>
      </c>
      <c r="R233" s="89"/>
      <c r="S233" s="78">
        <f>ROUND(ROUND(P233, 2)*I233, 2)</f>
        <v>0</v>
      </c>
    </row>
    <row r="234" spans="1:21" ht="21" hidden="1" x14ac:dyDescent="0.5">
      <c r="A234" s="10" t="s">
        <v>985</v>
      </c>
      <c r="B234" s="10"/>
      <c r="C234" s="28" t="s">
        <v>873</v>
      </c>
      <c r="D234" s="12"/>
      <c r="E234" s="12"/>
      <c r="F234" s="29" t="s">
        <v>498</v>
      </c>
      <c r="G234" s="30">
        <v>0.04</v>
      </c>
      <c r="H234" s="30"/>
      <c r="I234" s="30">
        <v>0</v>
      </c>
      <c r="J234" s="31">
        <v>47.44</v>
      </c>
      <c r="M234" s="32"/>
      <c r="P234" s="84">
        <v>47.44</v>
      </c>
      <c r="R234" s="89"/>
      <c r="S234" s="78">
        <f>ROUND(ROUND(P234, 2)*I234, 2)</f>
        <v>0</v>
      </c>
    </row>
    <row r="235" spans="1:21" ht="18" hidden="1" customHeight="1" x14ac:dyDescent="0.5">
      <c r="A235" s="10" t="s">
        <v>988</v>
      </c>
      <c r="B235" s="10"/>
      <c r="C235" s="28" t="s">
        <v>912</v>
      </c>
      <c r="D235" s="12"/>
      <c r="E235" s="12" t="s">
        <v>917</v>
      </c>
      <c r="F235" s="29" t="s">
        <v>490</v>
      </c>
      <c r="G235" s="30">
        <v>1.84</v>
      </c>
      <c r="H235" s="49"/>
      <c r="I235" s="49">
        <v>6123.7039999999997</v>
      </c>
      <c r="J235" s="31">
        <v>450.95</v>
      </c>
      <c r="M235" s="32"/>
      <c r="P235" s="84">
        <v>450.95</v>
      </c>
      <c r="R235" s="89"/>
      <c r="S235" s="78">
        <f>ROUND(ROUND(P235, 2)*I235, 2)</f>
        <v>2761484.32</v>
      </c>
    </row>
    <row r="236" spans="1:21" ht="36" hidden="1" x14ac:dyDescent="0.5">
      <c r="A236" s="10" t="s">
        <v>991</v>
      </c>
      <c r="B236" s="10"/>
      <c r="C236" s="47" t="s">
        <v>905</v>
      </c>
      <c r="D236" s="12"/>
      <c r="E236" s="12"/>
      <c r="F236" s="29" t="s">
        <v>498</v>
      </c>
      <c r="G236" s="30">
        <v>0.7</v>
      </c>
      <c r="H236" s="49"/>
      <c r="I236" s="49">
        <v>2329.67</v>
      </c>
      <c r="J236" s="31">
        <v>16.12</v>
      </c>
      <c r="M236" s="32"/>
      <c r="P236" s="84">
        <v>16.11</v>
      </c>
      <c r="R236" s="89"/>
      <c r="S236" s="78">
        <f>ROUND(ROUND(P236, 2)*I236, 2)</f>
        <v>37530.980000000003</v>
      </c>
    </row>
    <row r="237" spans="1:21" ht="36" hidden="1" x14ac:dyDescent="0.35">
      <c r="A237" s="10" t="s">
        <v>994</v>
      </c>
      <c r="B237" s="10" t="s">
        <v>898</v>
      </c>
      <c r="C237" s="11" t="s">
        <v>899</v>
      </c>
      <c r="D237" s="12"/>
      <c r="E237" s="12" t="s">
        <v>933</v>
      </c>
      <c r="F237" s="12" t="s">
        <v>78</v>
      </c>
      <c r="G237" s="13">
        <v>1</v>
      </c>
      <c r="H237" s="13"/>
      <c r="I237" s="13">
        <v>0</v>
      </c>
      <c r="J237" s="14">
        <f>IFERROR(ROUND(SUM(M238,M239,M240,M241)/I237, 2),0)</f>
        <v>0</v>
      </c>
      <c r="K237" s="15">
        <v>473</v>
      </c>
      <c r="L237" s="14">
        <f>J237+ROUND(K237, 2)</f>
        <v>473</v>
      </c>
      <c r="M237" s="14"/>
      <c r="N237" s="14"/>
      <c r="O237" s="74"/>
      <c r="P237" s="82">
        <f>IFERROR(ROUND(SUM(S238,S239,S240,S241)/I237, 2),0)</f>
        <v>0</v>
      </c>
      <c r="Q237" s="86">
        <v>709.5</v>
      </c>
      <c r="R237" s="90">
        <f>P237+ROUND(Q237, 2)</f>
        <v>709.5</v>
      </c>
      <c r="S237" s="77">
        <f>ROUND(P237*I237, 2)</f>
        <v>0</v>
      </c>
      <c r="T237" s="14">
        <f>ROUND(I237*ROUND(Q237, 2), 2)</f>
        <v>0</v>
      </c>
      <c r="U237" s="14">
        <f>S237+T237</f>
        <v>0</v>
      </c>
    </row>
    <row r="238" spans="1:21" ht="36" hidden="1" x14ac:dyDescent="0.5">
      <c r="A238" s="10" t="s">
        <v>995</v>
      </c>
      <c r="B238" s="10"/>
      <c r="C238" s="47" t="s">
        <v>905</v>
      </c>
      <c r="D238" s="12"/>
      <c r="E238" s="12"/>
      <c r="F238" s="29" t="s">
        <v>498</v>
      </c>
      <c r="G238" s="30">
        <v>0.7</v>
      </c>
      <c r="H238" s="49"/>
      <c r="I238" s="49">
        <v>1626.87</v>
      </c>
      <c r="J238" s="31">
        <v>16.12</v>
      </c>
      <c r="M238" s="32"/>
      <c r="P238" s="84">
        <v>16.11</v>
      </c>
      <c r="R238" s="89"/>
      <c r="S238" s="78">
        <f>ROUND(ROUND(P238, 2)*I238, 2)</f>
        <v>26208.880000000001</v>
      </c>
    </row>
    <row r="239" spans="1:21" ht="54" hidden="1" x14ac:dyDescent="0.5">
      <c r="A239" s="10" t="s">
        <v>998</v>
      </c>
      <c r="B239" s="10"/>
      <c r="C239" s="28" t="s">
        <v>912</v>
      </c>
      <c r="D239" s="12"/>
      <c r="E239" s="12" t="s">
        <v>948</v>
      </c>
      <c r="F239" s="29" t="s">
        <v>490</v>
      </c>
      <c r="G239" s="30">
        <v>1.84</v>
      </c>
      <c r="H239" s="49"/>
      <c r="I239" s="49">
        <v>4276.3440000000001</v>
      </c>
      <c r="J239" s="31">
        <v>450.95</v>
      </c>
      <c r="M239" s="32"/>
      <c r="P239" s="84">
        <v>450.95</v>
      </c>
      <c r="R239" s="89"/>
      <c r="S239" s="78">
        <f>ROUND(ROUND(P239, 2)*I239, 2)</f>
        <v>1928417.33</v>
      </c>
    </row>
    <row r="240" spans="1:21" ht="21" hidden="1" x14ac:dyDescent="0.5">
      <c r="A240" s="10" t="s">
        <v>1001</v>
      </c>
      <c r="B240" s="10"/>
      <c r="C240" s="28" t="s">
        <v>873</v>
      </c>
      <c r="D240" s="12"/>
      <c r="E240" s="12"/>
      <c r="F240" s="29" t="s">
        <v>498</v>
      </c>
      <c r="G240" s="30">
        <v>0.04</v>
      </c>
      <c r="H240" s="30"/>
      <c r="I240" s="30">
        <v>0</v>
      </c>
      <c r="J240" s="31">
        <v>47.44</v>
      </c>
      <c r="M240" s="32"/>
      <c r="P240" s="84">
        <v>47.44</v>
      </c>
      <c r="R240" s="89"/>
      <c r="S240" s="78">
        <f>ROUND(ROUND(P240, 2)*I240, 2)</f>
        <v>0</v>
      </c>
    </row>
    <row r="241" spans="1:21" ht="36" hidden="1" x14ac:dyDescent="0.5">
      <c r="A241" s="10" t="s">
        <v>1004</v>
      </c>
      <c r="B241" s="10"/>
      <c r="C241" s="28" t="s">
        <v>925</v>
      </c>
      <c r="D241" s="12"/>
      <c r="E241" s="12"/>
      <c r="F241" s="29" t="s">
        <v>498</v>
      </c>
      <c r="G241" s="30">
        <v>1.4999999999999999E-2</v>
      </c>
      <c r="H241" s="30"/>
      <c r="I241" s="30">
        <v>0</v>
      </c>
      <c r="J241" s="31">
        <v>88.8</v>
      </c>
      <c r="M241" s="32"/>
      <c r="P241" s="84">
        <v>88.8</v>
      </c>
      <c r="R241" s="89"/>
      <c r="S241" s="78">
        <f>ROUND(ROUND(P241, 2)*I241, 2)</f>
        <v>0</v>
      </c>
    </row>
    <row r="242" spans="1:21" ht="36" hidden="1" x14ac:dyDescent="0.35">
      <c r="A242" s="10" t="s">
        <v>1007</v>
      </c>
      <c r="B242" s="10" t="s">
        <v>898</v>
      </c>
      <c r="C242" s="11" t="s">
        <v>899</v>
      </c>
      <c r="D242" s="12"/>
      <c r="E242" s="12" t="s">
        <v>957</v>
      </c>
      <c r="F242" s="12" t="s">
        <v>78</v>
      </c>
      <c r="G242" s="13">
        <v>1</v>
      </c>
      <c r="H242" s="13"/>
      <c r="I242" s="13">
        <v>0</v>
      </c>
      <c r="J242" s="14">
        <f>IFERROR(ROUND(SUM(M243,M244,M245,M246)/I242, 2),0)</f>
        <v>0</v>
      </c>
      <c r="K242" s="15">
        <v>473</v>
      </c>
      <c r="L242" s="14">
        <f>J242+ROUND(K242, 2)</f>
        <v>473</v>
      </c>
      <c r="M242" s="14"/>
      <c r="N242" s="14"/>
      <c r="O242" s="74"/>
      <c r="P242" s="82">
        <f>IFERROR(ROUND(SUM(S243,S244,S245,S246)/I242, 2),0)</f>
        <v>0</v>
      </c>
      <c r="Q242" s="86">
        <v>709.5</v>
      </c>
      <c r="R242" s="90">
        <f>P242+ROUND(Q242, 2)</f>
        <v>709.5</v>
      </c>
      <c r="S242" s="77">
        <f>ROUND(P242*I242, 2)</f>
        <v>0</v>
      </c>
      <c r="T242" s="14">
        <f>ROUND(I242*ROUND(Q242, 2), 2)</f>
        <v>0</v>
      </c>
      <c r="U242" s="14">
        <f>S242+T242</f>
        <v>0</v>
      </c>
    </row>
    <row r="243" spans="1:21" ht="36" hidden="1" x14ac:dyDescent="0.5">
      <c r="A243" s="10" t="s">
        <v>1008</v>
      </c>
      <c r="B243" s="10"/>
      <c r="C243" s="28" t="s">
        <v>925</v>
      </c>
      <c r="D243" s="12"/>
      <c r="E243" s="12"/>
      <c r="F243" s="29" t="s">
        <v>498</v>
      </c>
      <c r="G243" s="30">
        <v>1.4999999999999999E-2</v>
      </c>
      <c r="H243" s="30"/>
      <c r="I243" s="30">
        <v>0</v>
      </c>
      <c r="J243" s="31">
        <v>88.8</v>
      </c>
      <c r="M243" s="32"/>
      <c r="P243" s="84">
        <v>88.8</v>
      </c>
      <c r="R243" s="89"/>
      <c r="S243" s="78">
        <f>ROUND(ROUND(P243, 2)*I243, 2)</f>
        <v>0</v>
      </c>
    </row>
    <row r="244" spans="1:21" ht="21" hidden="1" x14ac:dyDescent="0.5">
      <c r="A244" s="10" t="s">
        <v>1011</v>
      </c>
      <c r="B244" s="10"/>
      <c r="C244" s="28" t="s">
        <v>873</v>
      </c>
      <c r="D244" s="12"/>
      <c r="E244" s="12"/>
      <c r="F244" s="29" t="s">
        <v>498</v>
      </c>
      <c r="G244" s="30">
        <v>0.04</v>
      </c>
      <c r="H244" s="30"/>
      <c r="I244" s="30">
        <v>0</v>
      </c>
      <c r="J244" s="31">
        <v>47.44</v>
      </c>
      <c r="M244" s="32"/>
      <c r="P244" s="84">
        <v>47.44</v>
      </c>
      <c r="R244" s="89"/>
      <c r="S244" s="78">
        <f>ROUND(ROUND(P244, 2)*I244, 2)</f>
        <v>0</v>
      </c>
    </row>
    <row r="245" spans="1:21" ht="54" hidden="1" x14ac:dyDescent="0.5">
      <c r="A245" s="10" t="s">
        <v>1014</v>
      </c>
      <c r="B245" s="10"/>
      <c r="C245" s="28" t="s">
        <v>912</v>
      </c>
      <c r="D245" s="12"/>
      <c r="E245" s="12" t="s">
        <v>969</v>
      </c>
      <c r="F245" s="29" t="s">
        <v>490</v>
      </c>
      <c r="G245" s="30">
        <v>1.84</v>
      </c>
      <c r="H245" s="49"/>
      <c r="I245" s="49">
        <v>1641.4639999999999</v>
      </c>
      <c r="J245" s="31">
        <v>450.95</v>
      </c>
      <c r="M245" s="32"/>
      <c r="P245" s="84">
        <v>450.95</v>
      </c>
      <c r="R245" s="89"/>
      <c r="S245" s="78">
        <f>ROUND(ROUND(P245, 2)*I245, 2)</f>
        <v>740218.19</v>
      </c>
    </row>
    <row r="246" spans="1:21" ht="36" hidden="1" x14ac:dyDescent="0.5">
      <c r="A246" s="10" t="s">
        <v>1017</v>
      </c>
      <c r="B246" s="10"/>
      <c r="C246" s="47" t="s">
        <v>905</v>
      </c>
      <c r="D246" s="12"/>
      <c r="E246" s="12"/>
      <c r="F246" s="29" t="s">
        <v>498</v>
      </c>
      <c r="G246" s="30">
        <v>0.7</v>
      </c>
      <c r="H246" s="49"/>
      <c r="I246" s="49">
        <v>624.47</v>
      </c>
      <c r="J246" s="31">
        <v>16.12</v>
      </c>
      <c r="M246" s="32"/>
      <c r="P246" s="84">
        <v>16.11</v>
      </c>
      <c r="R246" s="89"/>
      <c r="S246" s="78">
        <f>ROUND(ROUND(P246, 2)*I246, 2)</f>
        <v>10060.209999999999</v>
      </c>
    </row>
    <row r="247" spans="1:21" ht="41" hidden="1" customHeight="1" x14ac:dyDescent="0.35">
      <c r="A247" s="10" t="s">
        <v>1020</v>
      </c>
      <c r="B247" s="10" t="s">
        <v>1021</v>
      </c>
      <c r="C247" s="11" t="s">
        <v>1022</v>
      </c>
      <c r="D247" s="12"/>
      <c r="E247" s="12"/>
      <c r="F247" s="12" t="s">
        <v>63</v>
      </c>
      <c r="G247" s="13">
        <v>1</v>
      </c>
      <c r="H247" s="13"/>
      <c r="I247" s="13">
        <v>0</v>
      </c>
      <c r="J247" s="14">
        <v>2347.08</v>
      </c>
      <c r="K247" s="15">
        <v>1655</v>
      </c>
      <c r="L247" s="14">
        <f>J247+ROUND(K247, 2)</f>
        <v>4002.08</v>
      </c>
      <c r="M247" s="14"/>
      <c r="N247" s="14"/>
      <c r="O247" s="74"/>
      <c r="P247" s="82">
        <v>2347.08</v>
      </c>
      <c r="Q247" s="85">
        <v>1655</v>
      </c>
      <c r="R247" s="90">
        <f>P247+ROUND(Q247, 2)</f>
        <v>4002.08</v>
      </c>
      <c r="S247" s="77">
        <v>0</v>
      </c>
      <c r="T247" s="14">
        <v>0</v>
      </c>
      <c r="U247" s="14">
        <f>S247+T247</f>
        <v>0</v>
      </c>
    </row>
    <row r="248" spans="1:21" ht="21" hidden="1" x14ac:dyDescent="0.5">
      <c r="A248" s="10" t="s">
        <v>1026</v>
      </c>
      <c r="B248" s="10"/>
      <c r="C248" s="28" t="s">
        <v>1027</v>
      </c>
      <c r="D248" s="12"/>
      <c r="E248" s="12"/>
      <c r="F248" s="29" t="s">
        <v>63</v>
      </c>
      <c r="G248" s="30">
        <v>1.07</v>
      </c>
      <c r="H248" s="49"/>
      <c r="I248" s="49">
        <v>0</v>
      </c>
      <c r="J248" s="31">
        <v>2059.0500000000002</v>
      </c>
      <c r="M248" s="32"/>
      <c r="P248" s="83">
        <v>2059.0500000000002</v>
      </c>
      <c r="R248" s="89"/>
      <c r="S248" s="78">
        <f>ROUND(ROUND(P248, 2)*I248, 2)</f>
        <v>0</v>
      </c>
    </row>
    <row r="249" spans="1:21" ht="36" hidden="1" x14ac:dyDescent="0.5">
      <c r="A249" s="10" t="s">
        <v>1034</v>
      </c>
      <c r="B249" s="10"/>
      <c r="C249" s="47" t="s">
        <v>1035</v>
      </c>
      <c r="D249" s="12"/>
      <c r="E249" s="12"/>
      <c r="F249" s="29" t="s">
        <v>498</v>
      </c>
      <c r="G249" s="30">
        <v>7</v>
      </c>
      <c r="H249" s="30"/>
      <c r="I249" s="30">
        <v>0</v>
      </c>
      <c r="J249" s="31">
        <v>16.96</v>
      </c>
      <c r="M249" s="32"/>
      <c r="P249" s="83">
        <v>16.96</v>
      </c>
      <c r="R249" s="89"/>
      <c r="S249" s="78">
        <f>ROUND(ROUND(P249, 2)*I249, 2)</f>
        <v>0</v>
      </c>
    </row>
    <row r="250" spans="1:21" ht="21" hidden="1" x14ac:dyDescent="0.5">
      <c r="A250" s="10" t="s">
        <v>1041</v>
      </c>
      <c r="B250" s="10"/>
      <c r="C250" s="28" t="s">
        <v>873</v>
      </c>
      <c r="D250" s="12"/>
      <c r="E250" s="12"/>
      <c r="F250" s="29" t="s">
        <v>498</v>
      </c>
      <c r="G250" s="30">
        <v>0.25</v>
      </c>
      <c r="H250" s="49"/>
      <c r="I250" s="49">
        <v>0</v>
      </c>
      <c r="J250" s="31">
        <v>47.44</v>
      </c>
      <c r="M250" s="32"/>
      <c r="P250" s="83">
        <v>47.44</v>
      </c>
      <c r="R250" s="89"/>
      <c r="S250" s="78">
        <f>ROUND(ROUND(P250, 2)*I250, 2)</f>
        <v>0</v>
      </c>
    </row>
    <row r="251" spans="1:21" ht="36" hidden="1" x14ac:dyDescent="0.5">
      <c r="A251" s="10" t="s">
        <v>1046</v>
      </c>
      <c r="B251" s="10"/>
      <c r="C251" s="28" t="s">
        <v>925</v>
      </c>
      <c r="D251" s="12"/>
      <c r="E251" s="12"/>
      <c r="F251" s="29" t="s">
        <v>498</v>
      </c>
      <c r="G251" s="30">
        <v>0.15</v>
      </c>
      <c r="H251" s="30"/>
      <c r="I251" s="30">
        <v>0</v>
      </c>
      <c r="J251" s="31">
        <v>88.8</v>
      </c>
      <c r="M251" s="32"/>
      <c r="P251" s="83">
        <v>88.8</v>
      </c>
      <c r="R251" s="89"/>
      <c r="S251" s="78">
        <f>ROUND(ROUND(P251, 2)*I251, 2)</f>
        <v>0</v>
      </c>
    </row>
    <row r="252" spans="1:21" ht="54" hidden="1" x14ac:dyDescent="0.35">
      <c r="A252" s="10" t="s">
        <v>1051</v>
      </c>
      <c r="B252" s="10" t="s">
        <v>1021</v>
      </c>
      <c r="C252" s="11" t="s">
        <v>1022</v>
      </c>
      <c r="D252" s="12"/>
      <c r="E252" s="12"/>
      <c r="F252" s="12" t="s">
        <v>63</v>
      </c>
      <c r="G252" s="13">
        <v>1</v>
      </c>
      <c r="H252" s="13"/>
      <c r="I252" s="13">
        <v>0</v>
      </c>
      <c r="J252" s="14">
        <v>2347.08</v>
      </c>
      <c r="K252" s="15">
        <v>1655</v>
      </c>
      <c r="L252" s="14">
        <f>J252+ROUND(K252, 2)</f>
        <v>4002.08</v>
      </c>
      <c r="M252" s="14"/>
      <c r="N252" s="14"/>
      <c r="O252" s="74"/>
      <c r="P252" s="82">
        <v>2347.08</v>
      </c>
      <c r="Q252" s="85">
        <v>1655</v>
      </c>
      <c r="R252" s="90">
        <f>P252+ROUND(Q252, 2)</f>
        <v>4002.08</v>
      </c>
      <c r="S252" s="77">
        <v>0</v>
      </c>
      <c r="T252" s="14">
        <v>0</v>
      </c>
      <c r="U252" s="14">
        <f>S252+T252</f>
        <v>0</v>
      </c>
    </row>
    <row r="253" spans="1:21" ht="36" hidden="1" x14ac:dyDescent="0.5">
      <c r="A253" s="10" t="s">
        <v>1054</v>
      </c>
      <c r="B253" s="10"/>
      <c r="C253" s="28" t="s">
        <v>925</v>
      </c>
      <c r="D253" s="12"/>
      <c r="E253" s="12"/>
      <c r="F253" s="29" t="s">
        <v>498</v>
      </c>
      <c r="G253" s="30">
        <v>0.15</v>
      </c>
      <c r="H253" s="30"/>
      <c r="I253" s="30">
        <v>0</v>
      </c>
      <c r="J253" s="31">
        <v>88.8</v>
      </c>
      <c r="M253" s="32"/>
      <c r="P253" s="83">
        <v>88.8</v>
      </c>
      <c r="R253" s="89"/>
      <c r="S253" s="78">
        <f>ROUND(ROUND(P253, 2)*I253, 2)</f>
        <v>0</v>
      </c>
    </row>
    <row r="254" spans="1:21" ht="21" hidden="1" x14ac:dyDescent="0.5">
      <c r="A254" s="10" t="s">
        <v>1059</v>
      </c>
      <c r="B254" s="10"/>
      <c r="C254" s="28" t="s">
        <v>873</v>
      </c>
      <c r="D254" s="12"/>
      <c r="E254" s="12"/>
      <c r="F254" s="29" t="s">
        <v>498</v>
      </c>
      <c r="G254" s="30">
        <v>0.25</v>
      </c>
      <c r="H254" s="49"/>
      <c r="I254" s="49">
        <v>0</v>
      </c>
      <c r="J254" s="31">
        <v>47.44</v>
      </c>
      <c r="M254" s="32"/>
      <c r="P254" s="83">
        <v>47.44</v>
      </c>
      <c r="R254" s="89"/>
      <c r="S254" s="78">
        <f>ROUND(ROUND(P254, 2)*I254, 2)</f>
        <v>0</v>
      </c>
    </row>
    <row r="255" spans="1:21" ht="36" hidden="1" x14ac:dyDescent="0.5">
      <c r="A255" s="10" t="s">
        <v>1064</v>
      </c>
      <c r="B255" s="10"/>
      <c r="C255" s="47" t="s">
        <v>1035</v>
      </c>
      <c r="D255" s="12"/>
      <c r="E255" s="12"/>
      <c r="F255" s="29" t="s">
        <v>498</v>
      </c>
      <c r="G255" s="30">
        <v>7</v>
      </c>
      <c r="H255" s="30"/>
      <c r="I255" s="30">
        <v>0</v>
      </c>
      <c r="J255" s="31">
        <v>16.96</v>
      </c>
      <c r="M255" s="32"/>
      <c r="P255" s="83">
        <v>16.96</v>
      </c>
      <c r="R255" s="89"/>
      <c r="S255" s="78">
        <f>ROUND(ROUND(P255, 2)*I255, 2)</f>
        <v>0</v>
      </c>
    </row>
    <row r="256" spans="1:21" ht="1" hidden="1" customHeight="1" x14ac:dyDescent="0.5">
      <c r="A256" s="10" t="s">
        <v>1069</v>
      </c>
      <c r="B256" s="10"/>
      <c r="C256" s="28" t="s">
        <v>1027</v>
      </c>
      <c r="D256" s="12"/>
      <c r="E256" s="12"/>
      <c r="F256" s="29" t="s">
        <v>63</v>
      </c>
      <c r="G256" s="30">
        <v>1.07</v>
      </c>
      <c r="H256" s="49"/>
      <c r="I256" s="49">
        <v>0</v>
      </c>
      <c r="J256" s="31">
        <v>2059.0500000000002</v>
      </c>
      <c r="M256" s="32"/>
      <c r="P256" s="83">
        <v>2059.0500000000002</v>
      </c>
      <c r="R256" s="89"/>
      <c r="S256" s="78">
        <f>ROUND(ROUND(P256, 2)*I256, 2)</f>
        <v>0</v>
      </c>
    </row>
    <row r="257" spans="1:21" ht="54" hidden="1" x14ac:dyDescent="0.35">
      <c r="A257" s="10" t="s">
        <v>1074</v>
      </c>
      <c r="B257" s="10" t="s">
        <v>1021</v>
      </c>
      <c r="C257" s="11" t="s">
        <v>1022</v>
      </c>
      <c r="D257" s="12"/>
      <c r="E257" s="12" t="s">
        <v>903</v>
      </c>
      <c r="F257" s="12" t="s">
        <v>63</v>
      </c>
      <c r="G257" s="13">
        <v>1</v>
      </c>
      <c r="H257" s="13"/>
      <c r="I257" s="13">
        <v>0</v>
      </c>
      <c r="J257" s="14">
        <f>IFERROR(ROUND(SUM(M258,M259,M260,M261)/I257, 2),0)</f>
        <v>0</v>
      </c>
      <c r="K257" s="15">
        <v>1655</v>
      </c>
      <c r="L257" s="14">
        <f>J257+ROUND(K257, 2)</f>
        <v>1655</v>
      </c>
      <c r="M257" s="14"/>
      <c r="N257" s="14"/>
      <c r="O257" s="74"/>
      <c r="P257" s="82">
        <f>IFERROR(ROUND(SUM(S258,S259,S260,S261)/I257, 2),0)</f>
        <v>0</v>
      </c>
      <c r="Q257" s="86">
        <v>2482.5</v>
      </c>
      <c r="R257" s="90">
        <f>P257+ROUND(Q257, 2)</f>
        <v>2482.5</v>
      </c>
      <c r="S257" s="77">
        <f>ROUND(P257*I257, 2)</f>
        <v>0</v>
      </c>
      <c r="T257" s="14">
        <f>ROUND(I257*ROUND(Q257, 2), 2)</f>
        <v>0</v>
      </c>
      <c r="U257" s="14">
        <f>S257+T257</f>
        <v>0</v>
      </c>
    </row>
    <row r="258" spans="1:21" ht="54" hidden="1" x14ac:dyDescent="0.5">
      <c r="A258" s="10" t="s">
        <v>1075</v>
      </c>
      <c r="B258" s="10"/>
      <c r="C258" s="28" t="s">
        <v>1027</v>
      </c>
      <c r="D258" s="12"/>
      <c r="E258" s="12" t="s">
        <v>1032</v>
      </c>
      <c r="F258" s="29" t="s">
        <v>63</v>
      </c>
      <c r="G258" s="30">
        <v>1.07</v>
      </c>
      <c r="H258" s="49"/>
      <c r="I258" s="49">
        <v>4092.0120000000002</v>
      </c>
      <c r="J258" s="31">
        <v>2059.06</v>
      </c>
      <c r="M258" s="32"/>
      <c r="P258" s="84">
        <v>2059.0500000000002</v>
      </c>
      <c r="R258" s="89"/>
      <c r="S258" s="78">
        <f>ROUND(ROUND(P258, 2)*I258, 2)</f>
        <v>8425657.3100000005</v>
      </c>
    </row>
    <row r="259" spans="1:21" ht="36" hidden="1" x14ac:dyDescent="0.5">
      <c r="A259" s="10" t="s">
        <v>1078</v>
      </c>
      <c r="B259" s="10"/>
      <c r="C259" s="47" t="s">
        <v>1035</v>
      </c>
      <c r="D259" s="12"/>
      <c r="E259" s="12"/>
      <c r="F259" s="29" t="s">
        <v>498</v>
      </c>
      <c r="G259" s="30">
        <v>7</v>
      </c>
      <c r="H259" s="30"/>
      <c r="I259" s="30">
        <v>0</v>
      </c>
      <c r="J259" s="31">
        <v>16.12</v>
      </c>
      <c r="M259" s="32"/>
      <c r="P259" s="84">
        <v>16.11</v>
      </c>
      <c r="R259" s="89"/>
      <c r="S259" s="78">
        <f>ROUND(ROUND(P259, 2)*I259, 2)</f>
        <v>0</v>
      </c>
    </row>
    <row r="260" spans="1:21" ht="21" hidden="1" x14ac:dyDescent="0.5">
      <c r="A260" s="10" t="s">
        <v>1081</v>
      </c>
      <c r="B260" s="10"/>
      <c r="C260" s="28" t="s">
        <v>873</v>
      </c>
      <c r="D260" s="12"/>
      <c r="E260" s="12"/>
      <c r="F260" s="29" t="s">
        <v>498</v>
      </c>
      <c r="G260" s="30">
        <v>0.25</v>
      </c>
      <c r="H260" s="49"/>
      <c r="I260" s="49">
        <v>956.07799999999997</v>
      </c>
      <c r="J260" s="31">
        <v>47.44</v>
      </c>
      <c r="M260" s="32"/>
      <c r="P260" s="84">
        <v>47.44</v>
      </c>
      <c r="R260" s="89"/>
      <c r="S260" s="78">
        <f>ROUND(ROUND(P260, 2)*I260, 2)</f>
        <v>45356.34</v>
      </c>
    </row>
    <row r="261" spans="1:21" ht="36" hidden="1" x14ac:dyDescent="0.5">
      <c r="A261" s="10" t="s">
        <v>1084</v>
      </c>
      <c r="B261" s="10"/>
      <c r="C261" s="28" t="s">
        <v>925</v>
      </c>
      <c r="D261" s="12"/>
      <c r="E261" s="12"/>
      <c r="F261" s="29" t="s">
        <v>498</v>
      </c>
      <c r="G261" s="30">
        <v>0.15</v>
      </c>
      <c r="H261" s="30"/>
      <c r="I261" s="30">
        <v>0</v>
      </c>
      <c r="J261" s="31">
        <v>88.8</v>
      </c>
      <c r="M261" s="32"/>
      <c r="P261" s="84">
        <v>88.8</v>
      </c>
      <c r="R261" s="89"/>
      <c r="S261" s="78">
        <f>ROUND(ROUND(P261, 2)*I261, 2)</f>
        <v>0</v>
      </c>
    </row>
    <row r="262" spans="1:21" ht="72" hidden="1" x14ac:dyDescent="0.35">
      <c r="A262" s="10" t="s">
        <v>1087</v>
      </c>
      <c r="B262" s="10" t="s">
        <v>1021</v>
      </c>
      <c r="C262" s="11" t="s">
        <v>1022</v>
      </c>
      <c r="D262" s="12"/>
      <c r="E262" s="12" t="s">
        <v>1088</v>
      </c>
      <c r="F262" s="12" t="s">
        <v>63</v>
      </c>
      <c r="G262" s="13">
        <v>1</v>
      </c>
      <c r="H262" s="13"/>
      <c r="I262" s="13">
        <v>0</v>
      </c>
      <c r="J262" s="14">
        <f>IFERROR(ROUND(SUM(M263,M264,M265,M266)/I262, 2),0)</f>
        <v>0</v>
      </c>
      <c r="K262" s="15">
        <v>1655</v>
      </c>
      <c r="L262" s="14">
        <f>J262+ROUND(K262, 2)</f>
        <v>1655</v>
      </c>
      <c r="M262" s="14"/>
      <c r="N262" s="14"/>
      <c r="O262" s="74"/>
      <c r="P262" s="82">
        <f>IFERROR(ROUND(SUM(S263,S264,S265,S266)/I262, 2),0)</f>
        <v>0</v>
      </c>
      <c r="Q262" s="86">
        <v>2482.5</v>
      </c>
      <c r="R262" s="90">
        <f>P262+ROUND(Q262, 2)</f>
        <v>2482.5</v>
      </c>
      <c r="S262" s="77">
        <f>ROUND(P262*I262, 2)</f>
        <v>0</v>
      </c>
      <c r="T262" s="14">
        <f>ROUND(I262*ROUND(Q262, 2), 2)</f>
        <v>0</v>
      </c>
      <c r="U262" s="14">
        <f>S262+T262</f>
        <v>0</v>
      </c>
    </row>
    <row r="263" spans="1:21" ht="36" hidden="1" x14ac:dyDescent="0.5">
      <c r="A263" s="10" t="s">
        <v>1089</v>
      </c>
      <c r="B263" s="10"/>
      <c r="C263" s="28" t="s">
        <v>925</v>
      </c>
      <c r="D263" s="12"/>
      <c r="E263" s="12"/>
      <c r="F263" s="29" t="s">
        <v>498</v>
      </c>
      <c r="G263" s="30">
        <v>0.15</v>
      </c>
      <c r="H263" s="30"/>
      <c r="I263" s="30">
        <v>0</v>
      </c>
      <c r="J263" s="31">
        <v>88.8</v>
      </c>
      <c r="M263" s="32"/>
      <c r="P263" s="84">
        <v>88.8</v>
      </c>
      <c r="R263" s="89"/>
      <c r="S263" s="78">
        <f>ROUND(ROUND(P263, 2)*I263, 2)</f>
        <v>0</v>
      </c>
    </row>
    <row r="264" spans="1:21" ht="21" hidden="1" x14ac:dyDescent="0.5">
      <c r="A264" s="10" t="s">
        <v>1092</v>
      </c>
      <c r="B264" s="10"/>
      <c r="C264" s="28" t="s">
        <v>873</v>
      </c>
      <c r="D264" s="12"/>
      <c r="E264" s="12"/>
      <c r="F264" s="29" t="s">
        <v>498</v>
      </c>
      <c r="G264" s="30">
        <v>0.25</v>
      </c>
      <c r="H264" s="49"/>
      <c r="I264" s="49">
        <v>21.8</v>
      </c>
      <c r="J264" s="31">
        <v>47.44</v>
      </c>
      <c r="M264" s="32"/>
      <c r="P264" s="84">
        <v>47.44</v>
      </c>
      <c r="R264" s="89"/>
      <c r="S264" s="78">
        <f>ROUND(ROUND(P264, 2)*I264, 2)</f>
        <v>1034.19</v>
      </c>
    </row>
    <row r="265" spans="1:21" ht="36" hidden="1" x14ac:dyDescent="0.5">
      <c r="A265" s="10" t="s">
        <v>1095</v>
      </c>
      <c r="B265" s="10"/>
      <c r="C265" s="47" t="s">
        <v>1035</v>
      </c>
      <c r="D265" s="12"/>
      <c r="E265" s="12"/>
      <c r="F265" s="29" t="s">
        <v>498</v>
      </c>
      <c r="G265" s="30">
        <v>7</v>
      </c>
      <c r="H265" s="30"/>
      <c r="I265" s="30">
        <v>0</v>
      </c>
      <c r="J265" s="31">
        <v>16.12</v>
      </c>
      <c r="M265" s="32"/>
      <c r="P265" s="84">
        <v>16.11</v>
      </c>
      <c r="R265" s="89"/>
      <c r="S265" s="78">
        <f>ROUND(ROUND(P265, 2)*I265, 2)</f>
        <v>0</v>
      </c>
    </row>
    <row r="266" spans="1:21" ht="21" hidden="1" x14ac:dyDescent="0.5">
      <c r="A266" s="10" t="s">
        <v>1098</v>
      </c>
      <c r="B266" s="10"/>
      <c r="C266" s="28" t="s">
        <v>1027</v>
      </c>
      <c r="D266" s="12"/>
      <c r="E266" s="12"/>
      <c r="F266" s="29" t="s">
        <v>63</v>
      </c>
      <c r="G266" s="30">
        <v>1.07</v>
      </c>
      <c r="H266" s="49"/>
      <c r="I266" s="49">
        <v>93.304000000000002</v>
      </c>
      <c r="J266" s="31">
        <v>2059.06</v>
      </c>
      <c r="M266" s="32"/>
      <c r="P266" s="84">
        <v>2059.0500000000002</v>
      </c>
      <c r="R266" s="89"/>
      <c r="S266" s="78">
        <f>ROUND(ROUND(P266, 2)*I266, 2)</f>
        <v>192117.6</v>
      </c>
    </row>
    <row r="267" spans="1:21" ht="47.5" hidden="1" customHeight="1" x14ac:dyDescent="0.35">
      <c r="A267" s="10" t="s">
        <v>1101</v>
      </c>
      <c r="B267" s="10" t="s">
        <v>1102</v>
      </c>
      <c r="C267" s="11" t="s">
        <v>1103</v>
      </c>
      <c r="D267" s="12"/>
      <c r="E267" s="12"/>
      <c r="F267" s="12" t="s">
        <v>63</v>
      </c>
      <c r="G267" s="13">
        <v>1</v>
      </c>
      <c r="H267" s="13"/>
      <c r="I267" s="13">
        <v>0</v>
      </c>
      <c r="J267" s="14">
        <v>2552.44</v>
      </c>
      <c r="K267" s="15">
        <v>2785</v>
      </c>
      <c r="L267" s="14">
        <f>J267+ROUND(K267, 2)</f>
        <v>5337.4400000000005</v>
      </c>
      <c r="M267" s="14"/>
      <c r="N267" s="14"/>
      <c r="O267" s="74"/>
      <c r="P267" s="82">
        <v>2552.44</v>
      </c>
      <c r="Q267" s="85">
        <v>2785</v>
      </c>
      <c r="R267" s="90">
        <f>P267+ROUND(Q267, 2)</f>
        <v>5337.4400000000005</v>
      </c>
      <c r="S267" s="77">
        <v>0</v>
      </c>
      <c r="T267" s="14">
        <v>0</v>
      </c>
      <c r="U267" s="14">
        <f>S267+T267</f>
        <v>0</v>
      </c>
    </row>
    <row r="268" spans="1:21" ht="36" hidden="1" x14ac:dyDescent="0.5">
      <c r="A268" s="10" t="s">
        <v>1107</v>
      </c>
      <c r="B268" s="10"/>
      <c r="C268" s="47" t="s">
        <v>1108</v>
      </c>
      <c r="D268" s="12"/>
      <c r="E268" s="12"/>
      <c r="F268" s="29" t="s">
        <v>498</v>
      </c>
      <c r="G268" s="30">
        <v>1.2</v>
      </c>
      <c r="H268" s="49"/>
      <c r="I268" s="49">
        <v>0</v>
      </c>
      <c r="J268" s="31">
        <v>16.96</v>
      </c>
      <c r="M268" s="32"/>
      <c r="P268" s="83">
        <v>16.96</v>
      </c>
      <c r="R268" s="89"/>
      <c r="S268" s="78">
        <f>ROUND(ROUND(P268, 2)*I268, 2)</f>
        <v>0</v>
      </c>
    </row>
    <row r="269" spans="1:21" ht="36" hidden="1" x14ac:dyDescent="0.5">
      <c r="A269" s="10" t="s">
        <v>1114</v>
      </c>
      <c r="B269" s="10"/>
      <c r="C269" s="28" t="s">
        <v>1115</v>
      </c>
      <c r="D269" s="12"/>
      <c r="E269" s="12"/>
      <c r="F269" s="29" t="s">
        <v>63</v>
      </c>
      <c r="G269" s="30">
        <v>1.2</v>
      </c>
      <c r="H269" s="49"/>
      <c r="I269" s="49">
        <v>0</v>
      </c>
      <c r="J269" s="31">
        <v>2021.25</v>
      </c>
      <c r="M269" s="32"/>
      <c r="P269" s="83">
        <v>2021.25</v>
      </c>
      <c r="R269" s="89"/>
      <c r="S269" s="78">
        <f>ROUND(ROUND(P269, 2)*I269, 2)</f>
        <v>0</v>
      </c>
    </row>
    <row r="270" spans="1:21" ht="21" hidden="1" x14ac:dyDescent="0.5">
      <c r="A270" s="10" t="s">
        <v>1122</v>
      </c>
      <c r="B270" s="10"/>
      <c r="C270" s="28" t="s">
        <v>873</v>
      </c>
      <c r="D270" s="12"/>
      <c r="E270" s="12"/>
      <c r="F270" s="29" t="s">
        <v>498</v>
      </c>
      <c r="G270" s="30">
        <v>0.25</v>
      </c>
      <c r="H270" s="49"/>
      <c r="I270" s="49">
        <v>0</v>
      </c>
      <c r="J270" s="31">
        <v>47.44</v>
      </c>
      <c r="M270" s="32"/>
      <c r="P270" s="83">
        <v>47.44</v>
      </c>
      <c r="R270" s="89"/>
      <c r="S270" s="78">
        <f>ROUND(ROUND(P270, 2)*I270, 2)</f>
        <v>0</v>
      </c>
    </row>
    <row r="271" spans="1:21" ht="36" hidden="1" x14ac:dyDescent="0.5">
      <c r="A271" s="10" t="s">
        <v>1127</v>
      </c>
      <c r="B271" s="10"/>
      <c r="C271" s="28" t="s">
        <v>925</v>
      </c>
      <c r="D271" s="12"/>
      <c r="E271" s="12"/>
      <c r="F271" s="29" t="s">
        <v>498</v>
      </c>
      <c r="G271" s="30">
        <v>0.15</v>
      </c>
      <c r="H271" s="30"/>
      <c r="I271" s="30">
        <v>0</v>
      </c>
      <c r="J271" s="31">
        <v>88.8</v>
      </c>
      <c r="M271" s="32"/>
      <c r="P271" s="83">
        <v>88.8</v>
      </c>
      <c r="R271" s="89"/>
      <c r="S271" s="78">
        <f>ROUND(ROUND(P271, 2)*I271, 2)</f>
        <v>0</v>
      </c>
    </row>
    <row r="272" spans="1:21" ht="54" hidden="1" x14ac:dyDescent="0.35">
      <c r="A272" s="10" t="s">
        <v>1132</v>
      </c>
      <c r="B272" s="10" t="s">
        <v>1102</v>
      </c>
      <c r="C272" s="11" t="s">
        <v>1103</v>
      </c>
      <c r="D272" s="12"/>
      <c r="E272" s="12"/>
      <c r="F272" s="12" t="s">
        <v>63</v>
      </c>
      <c r="G272" s="13">
        <v>1</v>
      </c>
      <c r="H272" s="13"/>
      <c r="I272" s="13">
        <v>0</v>
      </c>
      <c r="J272" s="14">
        <v>2552.44</v>
      </c>
      <c r="K272" s="15">
        <v>2785</v>
      </c>
      <c r="L272" s="14">
        <f>J272+ROUND(K272, 2)</f>
        <v>5337.4400000000005</v>
      </c>
      <c r="M272" s="14"/>
      <c r="N272" s="14"/>
      <c r="O272" s="74"/>
      <c r="P272" s="82">
        <v>2552.44</v>
      </c>
      <c r="Q272" s="85">
        <v>2785</v>
      </c>
      <c r="R272" s="90">
        <f>P272+ROUND(Q272, 2)</f>
        <v>5337.4400000000005</v>
      </c>
      <c r="S272" s="77">
        <v>0</v>
      </c>
      <c r="T272" s="14">
        <v>0</v>
      </c>
      <c r="U272" s="14">
        <f>S272+T272</f>
        <v>0</v>
      </c>
    </row>
    <row r="273" spans="1:21" ht="36" hidden="1" x14ac:dyDescent="0.5">
      <c r="A273" s="10" t="s">
        <v>1134</v>
      </c>
      <c r="B273" s="10"/>
      <c r="C273" s="28" t="s">
        <v>925</v>
      </c>
      <c r="D273" s="12"/>
      <c r="E273" s="12"/>
      <c r="F273" s="29" t="s">
        <v>498</v>
      </c>
      <c r="G273" s="30">
        <v>0.15</v>
      </c>
      <c r="H273" s="30"/>
      <c r="I273" s="30">
        <v>0</v>
      </c>
      <c r="J273" s="31">
        <v>88.8</v>
      </c>
      <c r="M273" s="32"/>
      <c r="P273" s="83">
        <v>88.8</v>
      </c>
      <c r="R273" s="89"/>
      <c r="S273" s="78">
        <f>ROUND(ROUND(P273, 2)*I273, 2)</f>
        <v>0</v>
      </c>
    </row>
    <row r="274" spans="1:21" ht="21" hidden="1" x14ac:dyDescent="0.5">
      <c r="A274" s="10" t="s">
        <v>1139</v>
      </c>
      <c r="B274" s="10"/>
      <c r="C274" s="28" t="s">
        <v>873</v>
      </c>
      <c r="D274" s="12"/>
      <c r="E274" s="12"/>
      <c r="F274" s="29" t="s">
        <v>498</v>
      </c>
      <c r="G274" s="30">
        <v>0.25</v>
      </c>
      <c r="H274" s="49"/>
      <c r="I274" s="49">
        <v>0</v>
      </c>
      <c r="J274" s="31">
        <v>47.44</v>
      </c>
      <c r="M274" s="32"/>
      <c r="P274" s="83">
        <v>47.44</v>
      </c>
      <c r="R274" s="89"/>
      <c r="S274" s="78">
        <f>ROUND(ROUND(P274, 2)*I274, 2)</f>
        <v>0</v>
      </c>
    </row>
    <row r="275" spans="1:21" ht="36" hidden="1" x14ac:dyDescent="0.5">
      <c r="A275" s="10" t="s">
        <v>1144</v>
      </c>
      <c r="B275" s="10"/>
      <c r="C275" s="28" t="s">
        <v>1115</v>
      </c>
      <c r="D275" s="12"/>
      <c r="E275" s="12"/>
      <c r="F275" s="29" t="s">
        <v>63</v>
      </c>
      <c r="G275" s="30">
        <v>1.2</v>
      </c>
      <c r="H275" s="49"/>
      <c r="I275" s="49">
        <v>0</v>
      </c>
      <c r="J275" s="31">
        <v>2021.25</v>
      </c>
      <c r="M275" s="32"/>
      <c r="P275" s="83">
        <v>2021.25</v>
      </c>
      <c r="R275" s="89"/>
      <c r="S275" s="78">
        <f>ROUND(ROUND(P275, 2)*I275, 2)</f>
        <v>0</v>
      </c>
    </row>
    <row r="276" spans="1:21" ht="36" hidden="1" x14ac:dyDescent="0.5">
      <c r="A276" s="10" t="s">
        <v>1150</v>
      </c>
      <c r="B276" s="10"/>
      <c r="C276" s="47" t="s">
        <v>1108</v>
      </c>
      <c r="D276" s="12"/>
      <c r="E276" s="12"/>
      <c r="F276" s="29" t="s">
        <v>498</v>
      </c>
      <c r="G276" s="30">
        <v>1.2</v>
      </c>
      <c r="H276" s="49"/>
      <c r="I276" s="49">
        <v>0</v>
      </c>
      <c r="J276" s="31">
        <v>16.96</v>
      </c>
      <c r="M276" s="32"/>
      <c r="P276" s="83">
        <v>16.96</v>
      </c>
      <c r="R276" s="89"/>
      <c r="S276" s="78">
        <f>ROUND(ROUND(P276, 2)*I276, 2)</f>
        <v>0</v>
      </c>
    </row>
    <row r="277" spans="1:21" ht="54" hidden="1" x14ac:dyDescent="0.35">
      <c r="A277" s="10" t="s">
        <v>1155</v>
      </c>
      <c r="B277" s="10" t="s">
        <v>1102</v>
      </c>
      <c r="C277" s="11" t="s">
        <v>1103</v>
      </c>
      <c r="D277" s="12"/>
      <c r="E277" s="12" t="s">
        <v>933</v>
      </c>
      <c r="F277" s="12" t="s">
        <v>63</v>
      </c>
      <c r="G277" s="13">
        <v>1</v>
      </c>
      <c r="H277" s="13"/>
      <c r="I277" s="13">
        <v>0</v>
      </c>
      <c r="J277" s="14">
        <f>IFERROR(ROUND(SUM(M278,M279,M280,M281)/I277, 2),0)</f>
        <v>0</v>
      </c>
      <c r="K277" s="15">
        <v>2785</v>
      </c>
      <c r="L277" s="14">
        <f>J277+ROUND(K277, 2)</f>
        <v>2785</v>
      </c>
      <c r="M277" s="14"/>
      <c r="N277" s="14"/>
      <c r="O277" s="74"/>
      <c r="P277" s="82">
        <f>IFERROR(ROUND(SUM(S278,S279,S280,S281)/I277, 2),0)</f>
        <v>0</v>
      </c>
      <c r="Q277" s="86">
        <v>4177.5</v>
      </c>
      <c r="R277" s="90">
        <f>P277+ROUND(Q277, 2)</f>
        <v>4177.5</v>
      </c>
      <c r="S277" s="77">
        <f>ROUND(P277*I277, 2)</f>
        <v>0</v>
      </c>
      <c r="T277" s="14">
        <f>ROUND(I277*ROUND(Q277, 2), 2)</f>
        <v>0</v>
      </c>
      <c r="U277" s="14">
        <f>S277+T277</f>
        <v>0</v>
      </c>
    </row>
    <row r="278" spans="1:21" ht="36" hidden="1" x14ac:dyDescent="0.5">
      <c r="A278" s="10" t="s">
        <v>1156</v>
      </c>
      <c r="B278" s="10"/>
      <c r="C278" s="47" t="s">
        <v>1108</v>
      </c>
      <c r="D278" s="12"/>
      <c r="E278" s="12"/>
      <c r="F278" s="29" t="s">
        <v>498</v>
      </c>
      <c r="G278" s="30">
        <v>1.2</v>
      </c>
      <c r="H278" s="49"/>
      <c r="I278" s="49">
        <v>2674.3919999999998</v>
      </c>
      <c r="J278" s="31">
        <v>16.12</v>
      </c>
      <c r="M278" s="32"/>
      <c r="P278" s="84">
        <v>16.11</v>
      </c>
      <c r="R278" s="89"/>
      <c r="S278" s="78">
        <f>ROUND(ROUND(P278, 2)*I278, 2)</f>
        <v>43084.46</v>
      </c>
    </row>
    <row r="279" spans="1:21" ht="38.5" hidden="1" customHeight="1" x14ac:dyDescent="0.5">
      <c r="A279" s="10" t="s">
        <v>1159</v>
      </c>
      <c r="B279" s="10"/>
      <c r="C279" s="28" t="s">
        <v>1115</v>
      </c>
      <c r="D279" s="12"/>
      <c r="E279" s="12" t="s">
        <v>1120</v>
      </c>
      <c r="F279" s="29" t="s">
        <v>63</v>
      </c>
      <c r="G279" s="30">
        <v>1.2</v>
      </c>
      <c r="H279" s="49"/>
      <c r="I279" s="49">
        <v>2674.3919999999998</v>
      </c>
      <c r="J279" s="31">
        <v>2021.26</v>
      </c>
      <c r="M279" s="32"/>
      <c r="P279" s="84">
        <v>2021.25</v>
      </c>
      <c r="R279" s="89"/>
      <c r="S279" s="78">
        <f>ROUND(ROUND(P279, 2)*I279, 2)</f>
        <v>5405614.8300000001</v>
      </c>
    </row>
    <row r="280" spans="1:21" ht="21" hidden="1" x14ac:dyDescent="0.5">
      <c r="A280" s="10" t="s">
        <v>1162</v>
      </c>
      <c r="B280" s="10"/>
      <c r="C280" s="28" t="s">
        <v>873</v>
      </c>
      <c r="D280" s="12"/>
      <c r="E280" s="12"/>
      <c r="F280" s="29" t="s">
        <v>498</v>
      </c>
      <c r="G280" s="30">
        <v>0.25</v>
      </c>
      <c r="H280" s="49"/>
      <c r="I280" s="49">
        <v>557.16499999999996</v>
      </c>
      <c r="J280" s="31">
        <v>47.44</v>
      </c>
      <c r="M280" s="32"/>
      <c r="P280" s="84">
        <v>47.44</v>
      </c>
      <c r="R280" s="89"/>
      <c r="S280" s="78">
        <f>ROUND(ROUND(P280, 2)*I280, 2)</f>
        <v>26431.91</v>
      </c>
    </row>
    <row r="281" spans="1:21" ht="36" hidden="1" x14ac:dyDescent="0.5">
      <c r="A281" s="10" t="s">
        <v>1165</v>
      </c>
      <c r="B281" s="10"/>
      <c r="C281" s="28" t="s">
        <v>925</v>
      </c>
      <c r="D281" s="12"/>
      <c r="E281" s="12"/>
      <c r="F281" s="29" t="s">
        <v>498</v>
      </c>
      <c r="G281" s="30">
        <v>0.15</v>
      </c>
      <c r="H281" s="30"/>
      <c r="I281" s="30">
        <v>0</v>
      </c>
      <c r="J281" s="31">
        <v>88.8</v>
      </c>
      <c r="M281" s="32"/>
      <c r="P281" s="84">
        <v>88.8</v>
      </c>
      <c r="R281" s="89"/>
      <c r="S281" s="78">
        <f>ROUND(ROUND(P281, 2)*I281, 2)</f>
        <v>0</v>
      </c>
    </row>
    <row r="282" spans="1:21" ht="54" hidden="1" x14ac:dyDescent="0.35">
      <c r="A282" s="10" t="s">
        <v>1168</v>
      </c>
      <c r="B282" s="10" t="s">
        <v>1102</v>
      </c>
      <c r="C282" s="11" t="s">
        <v>1103</v>
      </c>
      <c r="D282" s="12"/>
      <c r="E282" s="12" t="s">
        <v>957</v>
      </c>
      <c r="F282" s="12" t="s">
        <v>63</v>
      </c>
      <c r="G282" s="13">
        <v>1</v>
      </c>
      <c r="H282" s="13"/>
      <c r="I282" s="13">
        <v>0</v>
      </c>
      <c r="J282" s="14">
        <f>IFERROR(ROUND(SUM(M283,M284,M285,M286)/I282, 2),0)</f>
        <v>0</v>
      </c>
      <c r="K282" s="15">
        <v>2785</v>
      </c>
      <c r="L282" s="14">
        <f>J282+ROUND(K282, 2)</f>
        <v>2785</v>
      </c>
      <c r="M282" s="14"/>
      <c r="N282" s="14"/>
      <c r="O282" s="74"/>
      <c r="P282" s="82">
        <f>IFERROR(ROUND(SUM(S283,S284,S285,S286)/I282, 2),0)</f>
        <v>0</v>
      </c>
      <c r="Q282" s="86">
        <v>4177.5</v>
      </c>
      <c r="R282" s="90">
        <f>P282+ROUND(Q282, 2)</f>
        <v>4177.5</v>
      </c>
      <c r="S282" s="77">
        <f>ROUND(P282*I282, 2)</f>
        <v>0</v>
      </c>
      <c r="T282" s="14">
        <f>ROUND(I282*ROUND(Q282, 2), 2)</f>
        <v>0</v>
      </c>
      <c r="U282" s="14">
        <f>S282+T282</f>
        <v>0</v>
      </c>
    </row>
    <row r="283" spans="1:21" ht="36" hidden="1" x14ac:dyDescent="0.5">
      <c r="A283" s="10" t="s">
        <v>1169</v>
      </c>
      <c r="B283" s="10"/>
      <c r="C283" s="28" t="s">
        <v>925</v>
      </c>
      <c r="D283" s="12"/>
      <c r="E283" s="12"/>
      <c r="F283" s="29" t="s">
        <v>498</v>
      </c>
      <c r="G283" s="30">
        <v>0.15</v>
      </c>
      <c r="H283" s="30"/>
      <c r="I283" s="30">
        <v>0</v>
      </c>
      <c r="J283" s="31">
        <v>88.8</v>
      </c>
      <c r="M283" s="32"/>
      <c r="P283" s="84">
        <v>88.8</v>
      </c>
      <c r="R283" s="89"/>
      <c r="S283" s="78">
        <f>ROUND(ROUND(P283, 2)*I283, 2)</f>
        <v>0</v>
      </c>
    </row>
    <row r="284" spans="1:21" ht="21" hidden="1" x14ac:dyDescent="0.5">
      <c r="A284" s="10" t="s">
        <v>1172</v>
      </c>
      <c r="B284" s="10"/>
      <c r="C284" s="28" t="s">
        <v>873</v>
      </c>
      <c r="D284" s="12"/>
      <c r="E284" s="12"/>
      <c r="F284" s="29" t="s">
        <v>498</v>
      </c>
      <c r="G284" s="30">
        <v>0.25</v>
      </c>
      <c r="H284" s="49"/>
      <c r="I284" s="49">
        <v>288.05799999999999</v>
      </c>
      <c r="J284" s="31">
        <v>47.44</v>
      </c>
      <c r="M284" s="32"/>
      <c r="P284" s="84">
        <v>47.44</v>
      </c>
      <c r="R284" s="89"/>
      <c r="S284" s="78">
        <f>ROUND(ROUND(P284, 2)*I284, 2)</f>
        <v>13665.47</v>
      </c>
    </row>
    <row r="285" spans="1:21" ht="72" hidden="1" x14ac:dyDescent="0.5">
      <c r="A285" s="10" t="s">
        <v>1175</v>
      </c>
      <c r="B285" s="10"/>
      <c r="C285" s="28" t="s">
        <v>1115</v>
      </c>
      <c r="D285" s="12"/>
      <c r="E285" s="12" t="s">
        <v>1148</v>
      </c>
      <c r="F285" s="29" t="s">
        <v>63</v>
      </c>
      <c r="G285" s="30">
        <v>1.2</v>
      </c>
      <c r="H285" s="49"/>
      <c r="I285" s="49">
        <v>1382.6759999999999</v>
      </c>
      <c r="J285" s="31">
        <v>2021.26</v>
      </c>
      <c r="M285" s="32"/>
      <c r="P285" s="84">
        <v>2021.25</v>
      </c>
      <c r="R285" s="89"/>
      <c r="S285" s="78">
        <f>ROUND(ROUND(P285, 2)*I285, 2)</f>
        <v>2794733.87</v>
      </c>
    </row>
    <row r="286" spans="1:21" ht="36" hidden="1" x14ac:dyDescent="0.5">
      <c r="A286" s="10" t="s">
        <v>1178</v>
      </c>
      <c r="B286" s="10"/>
      <c r="C286" s="47" t="s">
        <v>1108</v>
      </c>
      <c r="D286" s="12"/>
      <c r="E286" s="12"/>
      <c r="F286" s="29" t="s">
        <v>498</v>
      </c>
      <c r="G286" s="30">
        <v>1.2</v>
      </c>
      <c r="H286" s="49"/>
      <c r="I286" s="49">
        <v>1382.6759999999999</v>
      </c>
      <c r="J286" s="31">
        <v>16.12</v>
      </c>
      <c r="M286" s="32"/>
      <c r="P286" s="84">
        <v>16.11</v>
      </c>
      <c r="R286" s="89"/>
      <c r="S286" s="78">
        <f>ROUND(ROUND(P286, 2)*I286, 2)</f>
        <v>22274.91</v>
      </c>
    </row>
    <row r="287" spans="1:21" ht="17" hidden="1" customHeight="1" x14ac:dyDescent="0.5">
      <c r="A287" s="10" t="s">
        <v>1181</v>
      </c>
      <c r="B287" s="10" t="s">
        <v>1182</v>
      </c>
      <c r="C287" s="174" t="s">
        <v>1183</v>
      </c>
      <c r="D287" s="175"/>
      <c r="E287" s="175"/>
      <c r="F287" s="175"/>
      <c r="G287" s="175"/>
      <c r="H287" s="175"/>
      <c r="I287" s="176"/>
      <c r="M287" s="6"/>
      <c r="N287" s="6"/>
      <c r="O287" s="73"/>
      <c r="P287" s="81"/>
      <c r="R287" s="89"/>
      <c r="S287" s="76">
        <f>SUM(S288,S299)</f>
        <v>0</v>
      </c>
      <c r="T287" s="6">
        <f>SUM(T288,T299)</f>
        <v>0</v>
      </c>
      <c r="U287" s="6">
        <f>SUM(U288,U299)</f>
        <v>0</v>
      </c>
    </row>
    <row r="288" spans="1:21" ht="17" hidden="1" customHeight="1" x14ac:dyDescent="0.5">
      <c r="A288" s="10" t="s">
        <v>1184</v>
      </c>
      <c r="B288" s="10" t="s">
        <v>1185</v>
      </c>
      <c r="C288" s="174" t="s">
        <v>1186</v>
      </c>
      <c r="D288" s="175"/>
      <c r="E288" s="175"/>
      <c r="F288" s="175"/>
      <c r="G288" s="175"/>
      <c r="H288" s="175"/>
      <c r="I288" s="176"/>
      <c r="M288" s="6"/>
      <c r="N288" s="6"/>
      <c r="O288" s="73"/>
      <c r="P288" s="81"/>
      <c r="R288" s="89"/>
      <c r="S288" s="76">
        <f>SUM(S289,S294)</f>
        <v>0</v>
      </c>
      <c r="T288" s="6">
        <f>SUM(T289,T294)</f>
        <v>0</v>
      </c>
      <c r="U288" s="6">
        <f>SUM(U289,U294)</f>
        <v>0</v>
      </c>
    </row>
    <row r="289" spans="1:21" ht="9.5" hidden="1" customHeight="1" x14ac:dyDescent="0.35">
      <c r="A289" s="10" t="s">
        <v>1187</v>
      </c>
      <c r="B289" s="10" t="s">
        <v>1188</v>
      </c>
      <c r="C289" s="11" t="s">
        <v>1189</v>
      </c>
      <c r="D289" s="12" t="s">
        <v>1190</v>
      </c>
      <c r="E289" s="12"/>
      <c r="F289" s="12" t="s">
        <v>63</v>
      </c>
      <c r="G289" s="13">
        <v>1</v>
      </c>
      <c r="H289" s="13"/>
      <c r="I289" s="13">
        <v>0</v>
      </c>
      <c r="J289" s="14">
        <v>281.27999999999997</v>
      </c>
      <c r="K289" s="15">
        <v>954</v>
      </c>
      <c r="L289" s="14">
        <f>J289+ROUND(K289, 2)</f>
        <v>1235.28</v>
      </c>
      <c r="M289" s="14"/>
      <c r="N289" s="14"/>
      <c r="O289" s="74"/>
      <c r="P289" s="82">
        <v>281.27999999999997</v>
      </c>
      <c r="Q289" s="85">
        <v>954</v>
      </c>
      <c r="R289" s="90">
        <f>P289+ROUND(Q289, 2)</f>
        <v>1235.28</v>
      </c>
      <c r="S289" s="77">
        <v>0</v>
      </c>
      <c r="T289" s="14">
        <v>0</v>
      </c>
      <c r="U289" s="14">
        <f>S289+T289</f>
        <v>0</v>
      </c>
    </row>
    <row r="290" spans="1:21" ht="21" hidden="1" x14ac:dyDescent="0.5">
      <c r="A290" s="10" t="s">
        <v>1195</v>
      </c>
      <c r="B290" s="10"/>
      <c r="C290" s="28" t="s">
        <v>1196</v>
      </c>
      <c r="D290" s="12"/>
      <c r="E290" s="12"/>
      <c r="F290" s="29" t="s">
        <v>498</v>
      </c>
      <c r="G290" s="30">
        <v>1.3</v>
      </c>
      <c r="H290" s="49"/>
      <c r="I290" s="49">
        <v>0</v>
      </c>
      <c r="J290" s="31">
        <v>8.6</v>
      </c>
      <c r="M290" s="32"/>
      <c r="P290" s="83">
        <v>8.6</v>
      </c>
      <c r="R290" s="89"/>
      <c r="S290" s="78">
        <f>ROUND(ROUND(P290, 2)*I290, 2)</f>
        <v>0</v>
      </c>
    </row>
    <row r="291" spans="1:21" ht="21" hidden="1" x14ac:dyDescent="0.5">
      <c r="A291" s="10" t="s">
        <v>1202</v>
      </c>
      <c r="B291" s="10"/>
      <c r="C291" s="28" t="s">
        <v>1203</v>
      </c>
      <c r="D291" s="12"/>
      <c r="E291" s="12"/>
      <c r="F291" s="29" t="s">
        <v>63</v>
      </c>
      <c r="G291" s="30">
        <v>1.1000000000000001</v>
      </c>
      <c r="H291" s="30"/>
      <c r="I291" s="30">
        <v>0</v>
      </c>
      <c r="J291" s="31">
        <v>26</v>
      </c>
      <c r="M291" s="32"/>
      <c r="P291" s="83">
        <v>26</v>
      </c>
      <c r="R291" s="89"/>
      <c r="S291" s="78">
        <f>ROUND(ROUND(P291, 2)*I291, 2)</f>
        <v>0</v>
      </c>
    </row>
    <row r="292" spans="1:21" ht="21" hidden="1" x14ac:dyDescent="0.5">
      <c r="A292" s="10" t="s">
        <v>1209</v>
      </c>
      <c r="B292" s="10"/>
      <c r="C292" s="28" t="s">
        <v>1210</v>
      </c>
      <c r="D292" s="12"/>
      <c r="E292" s="12"/>
      <c r="F292" s="29" t="s">
        <v>78</v>
      </c>
      <c r="G292" s="30">
        <v>1</v>
      </c>
      <c r="H292" s="49"/>
      <c r="I292" s="49">
        <v>0</v>
      </c>
      <c r="J292" s="31">
        <v>15.76</v>
      </c>
      <c r="M292" s="32"/>
      <c r="P292" s="83">
        <v>15.76</v>
      </c>
      <c r="R292" s="89"/>
      <c r="S292" s="78">
        <f>ROUND(ROUND(P292, 2)*I292, 2)</f>
        <v>0</v>
      </c>
    </row>
    <row r="293" spans="1:21" ht="36" hidden="1" x14ac:dyDescent="0.5">
      <c r="A293" s="10" t="s">
        <v>1216</v>
      </c>
      <c r="B293" s="10"/>
      <c r="C293" s="28" t="s">
        <v>925</v>
      </c>
      <c r="D293" s="12"/>
      <c r="E293" s="12"/>
      <c r="F293" s="29" t="s">
        <v>498</v>
      </c>
      <c r="G293" s="30">
        <v>0.15</v>
      </c>
      <c r="H293" s="30"/>
      <c r="I293" s="30">
        <v>0</v>
      </c>
      <c r="J293" s="31">
        <v>88.8</v>
      </c>
      <c r="M293" s="32"/>
      <c r="P293" s="83">
        <v>88.8</v>
      </c>
      <c r="R293" s="89"/>
      <c r="S293" s="78">
        <f>ROUND(ROUND(P293, 2)*I293, 2)</f>
        <v>0</v>
      </c>
    </row>
    <row r="294" spans="1:21" ht="72" hidden="1" x14ac:dyDescent="0.35">
      <c r="A294" s="10" t="s">
        <v>1221</v>
      </c>
      <c r="B294" s="10" t="s">
        <v>1188</v>
      </c>
      <c r="C294" s="11" t="s">
        <v>1189</v>
      </c>
      <c r="D294" s="12" t="s">
        <v>1190</v>
      </c>
      <c r="E294" s="12" t="s">
        <v>1194</v>
      </c>
      <c r="F294" s="12" t="s">
        <v>63</v>
      </c>
      <c r="G294" s="13">
        <v>1</v>
      </c>
      <c r="H294" s="13"/>
      <c r="I294" s="13">
        <v>0</v>
      </c>
      <c r="J294" s="14">
        <f>IFERROR(ROUND(SUM(M295,M296,M297,M298)/I294, 2),0)</f>
        <v>0</v>
      </c>
      <c r="K294" s="15">
        <v>954</v>
      </c>
      <c r="L294" s="14">
        <f>J294+ROUND(K294, 2)</f>
        <v>954</v>
      </c>
      <c r="M294" s="14"/>
      <c r="N294" s="14"/>
      <c r="O294" s="74"/>
      <c r="P294" s="82">
        <f>IFERROR(ROUND(SUM(S295,S296,S297,S298)/I294, 2),0)</f>
        <v>0</v>
      </c>
      <c r="Q294" s="86">
        <v>1431</v>
      </c>
      <c r="R294" s="90">
        <f>P294+ROUND(Q294, 2)</f>
        <v>1431</v>
      </c>
      <c r="S294" s="77">
        <f>ROUND(P294*I294, 2)</f>
        <v>0</v>
      </c>
      <c r="T294" s="14">
        <f>ROUND(I294*ROUND(Q294, 2), 2)</f>
        <v>0</v>
      </c>
      <c r="U294" s="14">
        <f>S294+T294</f>
        <v>0</v>
      </c>
    </row>
    <row r="295" spans="1:21" ht="36" hidden="1" x14ac:dyDescent="0.5">
      <c r="A295" s="10" t="s">
        <v>1222</v>
      </c>
      <c r="B295" s="10"/>
      <c r="C295" s="28" t="s">
        <v>925</v>
      </c>
      <c r="D295" s="12"/>
      <c r="E295" s="12"/>
      <c r="F295" s="29" t="s">
        <v>498</v>
      </c>
      <c r="G295" s="30">
        <v>0.15</v>
      </c>
      <c r="H295" s="30"/>
      <c r="I295" s="30">
        <v>0</v>
      </c>
      <c r="J295" s="31">
        <v>88.8</v>
      </c>
      <c r="M295" s="32"/>
      <c r="P295" s="84">
        <v>88.8</v>
      </c>
      <c r="R295" s="89"/>
      <c r="S295" s="78">
        <f>ROUND(ROUND(P295, 2)*I295, 2)</f>
        <v>0</v>
      </c>
    </row>
    <row r="296" spans="1:21" ht="21" hidden="1" x14ac:dyDescent="0.5">
      <c r="A296" s="10" t="s">
        <v>1225</v>
      </c>
      <c r="B296" s="10"/>
      <c r="C296" s="28" t="s">
        <v>1210</v>
      </c>
      <c r="D296" s="12"/>
      <c r="E296" s="12"/>
      <c r="F296" s="29" t="s">
        <v>78</v>
      </c>
      <c r="G296" s="30">
        <v>1</v>
      </c>
      <c r="H296" s="49"/>
      <c r="I296" s="49">
        <v>7659.9</v>
      </c>
      <c r="J296" s="31">
        <v>15.76</v>
      </c>
      <c r="M296" s="32"/>
      <c r="P296" s="84">
        <v>15.76</v>
      </c>
      <c r="R296" s="89"/>
      <c r="S296" s="78">
        <f>ROUND(ROUND(P296, 2)*I296, 2)</f>
        <v>120720.02</v>
      </c>
    </row>
    <row r="297" spans="1:21" ht="21" hidden="1" x14ac:dyDescent="0.5">
      <c r="A297" s="10" t="s">
        <v>1228</v>
      </c>
      <c r="B297" s="10"/>
      <c r="C297" s="28" t="s">
        <v>1203</v>
      </c>
      <c r="D297" s="12"/>
      <c r="E297" s="12"/>
      <c r="F297" s="29" t="s">
        <v>63</v>
      </c>
      <c r="G297" s="30">
        <v>1.1000000000000001</v>
      </c>
      <c r="H297" s="30"/>
      <c r="I297" s="30">
        <v>0</v>
      </c>
      <c r="J297" s="31">
        <v>26</v>
      </c>
      <c r="M297" s="32"/>
      <c r="P297" s="84">
        <v>26</v>
      </c>
      <c r="R297" s="89"/>
      <c r="S297" s="78">
        <f>ROUND(ROUND(P297, 2)*I297, 2)</f>
        <v>0</v>
      </c>
    </row>
    <row r="298" spans="1:21" ht="21" hidden="1" x14ac:dyDescent="0.5">
      <c r="A298" s="10" t="s">
        <v>1231</v>
      </c>
      <c r="B298" s="10"/>
      <c r="C298" s="28" t="s">
        <v>1196</v>
      </c>
      <c r="D298" s="12"/>
      <c r="E298" s="12"/>
      <c r="F298" s="29" t="s">
        <v>498</v>
      </c>
      <c r="G298" s="30">
        <v>1.3</v>
      </c>
      <c r="H298" s="49"/>
      <c r="I298" s="49">
        <v>199157.4</v>
      </c>
      <c r="J298" s="31">
        <v>8.6</v>
      </c>
      <c r="M298" s="32"/>
      <c r="P298" s="84">
        <v>8.6</v>
      </c>
      <c r="R298" s="89"/>
      <c r="S298" s="78">
        <f>ROUND(ROUND(P298, 2)*I298, 2)</f>
        <v>1712753.64</v>
      </c>
    </row>
    <row r="299" spans="1:21" ht="17" hidden="1" customHeight="1" x14ac:dyDescent="0.5">
      <c r="A299" s="10" t="s">
        <v>1234</v>
      </c>
      <c r="B299" s="10" t="s">
        <v>1235</v>
      </c>
      <c r="C299" s="174" t="s">
        <v>1236</v>
      </c>
      <c r="D299" s="175"/>
      <c r="E299" s="175"/>
      <c r="F299" s="175"/>
      <c r="G299" s="175"/>
      <c r="H299" s="175"/>
      <c r="I299" s="176"/>
      <c r="M299" s="6"/>
      <c r="N299" s="6"/>
      <c r="O299" s="73"/>
      <c r="P299" s="81"/>
      <c r="R299" s="89"/>
      <c r="S299" s="76">
        <f>SUM(S300,S302,S304,S307,S310,S313,S316,S321)</f>
        <v>0</v>
      </c>
      <c r="T299" s="6">
        <f>SUM(T300,T302,T304,T307,T310,T313,T316,T321)</f>
        <v>0</v>
      </c>
      <c r="U299" s="6">
        <f>SUM(U300,U302,U304,U307,U310,U313,U316,U321)</f>
        <v>0</v>
      </c>
    </row>
    <row r="300" spans="1:21" ht="13.5" hidden="1" customHeight="1" x14ac:dyDescent="0.35">
      <c r="A300" s="10" t="s">
        <v>1237</v>
      </c>
      <c r="B300" s="10" t="s">
        <v>1238</v>
      </c>
      <c r="C300" s="11" t="s">
        <v>1239</v>
      </c>
      <c r="D300" s="12"/>
      <c r="E300" s="12"/>
      <c r="F300" s="12" t="s">
        <v>63</v>
      </c>
      <c r="G300" s="13">
        <v>1</v>
      </c>
      <c r="H300" s="13"/>
      <c r="I300" s="13">
        <v>0</v>
      </c>
      <c r="J300" s="14">
        <v>418</v>
      </c>
      <c r="K300" s="15">
        <v>1010</v>
      </c>
      <c r="L300" s="14">
        <f>J300+ROUND(K300, 2)</f>
        <v>1428</v>
      </c>
      <c r="M300" s="14"/>
      <c r="N300" s="14"/>
      <c r="O300" s="74"/>
      <c r="P300" s="82">
        <v>418</v>
      </c>
      <c r="Q300" s="85">
        <v>1010</v>
      </c>
      <c r="R300" s="90">
        <f>P300+ROUND(Q300, 2)</f>
        <v>1428</v>
      </c>
      <c r="S300" s="77">
        <v>0</v>
      </c>
      <c r="T300" s="14">
        <v>0</v>
      </c>
      <c r="U300" s="14">
        <f>S300+T300</f>
        <v>0</v>
      </c>
    </row>
    <row r="301" spans="1:21" ht="21" hidden="1" x14ac:dyDescent="0.5">
      <c r="A301" s="10" t="s">
        <v>1244</v>
      </c>
      <c r="B301" s="10"/>
      <c r="C301" s="28" t="s">
        <v>1245</v>
      </c>
      <c r="D301" s="12"/>
      <c r="E301" s="12"/>
      <c r="F301" s="29" t="s">
        <v>490</v>
      </c>
      <c r="G301" s="30">
        <v>1</v>
      </c>
      <c r="H301" s="30"/>
      <c r="I301" s="30">
        <v>0</v>
      </c>
      <c r="J301" s="31">
        <v>418</v>
      </c>
      <c r="M301" s="32"/>
      <c r="P301" s="83">
        <v>418</v>
      </c>
      <c r="R301" s="89"/>
      <c r="S301" s="78">
        <f>ROUND(ROUND(P301, 2)*I301, 2)</f>
        <v>0</v>
      </c>
    </row>
    <row r="302" spans="1:21" ht="54" hidden="1" x14ac:dyDescent="0.35">
      <c r="A302" s="10" t="s">
        <v>1251</v>
      </c>
      <c r="B302" s="10" t="s">
        <v>1238</v>
      </c>
      <c r="C302" s="11" t="s">
        <v>1239</v>
      </c>
      <c r="D302" s="12"/>
      <c r="E302" s="12" t="s">
        <v>1243</v>
      </c>
      <c r="F302" s="12" t="s">
        <v>63</v>
      </c>
      <c r="G302" s="13">
        <v>1</v>
      </c>
      <c r="H302" s="13"/>
      <c r="I302" s="13">
        <v>0</v>
      </c>
      <c r="J302" s="14">
        <f>IFERROR(ROUND(SUM(M303)/I302, 2),0)</f>
        <v>0</v>
      </c>
      <c r="K302" s="15">
        <v>1010</v>
      </c>
      <c r="L302" s="14">
        <f>J302+ROUND(K302, 2)</f>
        <v>1010</v>
      </c>
      <c r="M302" s="14"/>
      <c r="N302" s="14"/>
      <c r="O302" s="74"/>
      <c r="P302" s="82">
        <f>IFERROR(ROUND(SUM(S303)/I302, 2),0)</f>
        <v>0</v>
      </c>
      <c r="Q302" s="86">
        <v>1515</v>
      </c>
      <c r="R302" s="90">
        <f>P302+ROUND(Q302, 2)</f>
        <v>1515</v>
      </c>
      <c r="S302" s="77">
        <f>ROUND(P302*I302, 2)</f>
        <v>0</v>
      </c>
      <c r="T302" s="14">
        <f>ROUND(I302*ROUND(Q302, 2), 2)</f>
        <v>0</v>
      </c>
      <c r="U302" s="14">
        <f>S302+T302</f>
        <v>0</v>
      </c>
    </row>
    <row r="303" spans="1:21" ht="21" hidden="1" x14ac:dyDescent="0.5">
      <c r="A303" s="10" t="s">
        <v>1252</v>
      </c>
      <c r="B303" s="10"/>
      <c r="C303" s="28" t="s">
        <v>1245</v>
      </c>
      <c r="D303" s="12"/>
      <c r="E303" s="12"/>
      <c r="F303" s="29" t="s">
        <v>490</v>
      </c>
      <c r="G303" s="30">
        <v>1</v>
      </c>
      <c r="H303" s="30"/>
      <c r="I303" s="30">
        <v>0</v>
      </c>
      <c r="J303" s="31">
        <v>418</v>
      </c>
      <c r="M303" s="32"/>
      <c r="P303" s="84">
        <v>418</v>
      </c>
      <c r="R303" s="89"/>
      <c r="S303" s="78">
        <f>ROUND(ROUND(P303, 2)*I303, 2)</f>
        <v>0</v>
      </c>
    </row>
    <row r="304" spans="1:21" ht="36" hidden="1" x14ac:dyDescent="0.35">
      <c r="A304" s="10" t="s">
        <v>1255</v>
      </c>
      <c r="B304" s="10" t="s">
        <v>1256</v>
      </c>
      <c r="C304" s="11" t="s">
        <v>1257</v>
      </c>
      <c r="D304" s="12"/>
      <c r="E304" s="12"/>
      <c r="F304" s="12" t="s">
        <v>63</v>
      </c>
      <c r="G304" s="13">
        <v>1</v>
      </c>
      <c r="H304" s="13"/>
      <c r="I304" s="13">
        <v>0</v>
      </c>
      <c r="J304" s="14">
        <v>499.92</v>
      </c>
      <c r="K304" s="15">
        <v>428</v>
      </c>
      <c r="L304" s="14">
        <f>J304+ROUND(K304, 2)</f>
        <v>927.92000000000007</v>
      </c>
      <c r="M304" s="14"/>
      <c r="N304" s="14"/>
      <c r="O304" s="74"/>
      <c r="P304" s="82">
        <v>58.11</v>
      </c>
      <c r="Q304" s="85">
        <v>428</v>
      </c>
      <c r="R304" s="90">
        <f>P304+ROUND(Q304, 2)</f>
        <v>486.11</v>
      </c>
      <c r="S304" s="77">
        <v>0</v>
      </c>
      <c r="T304" s="14">
        <v>0</v>
      </c>
      <c r="U304" s="14">
        <f>S304+T304</f>
        <v>0</v>
      </c>
    </row>
    <row r="305" spans="1:21" ht="36" hidden="1" x14ac:dyDescent="0.5">
      <c r="A305" s="10" t="s">
        <v>1262</v>
      </c>
      <c r="B305" s="10"/>
      <c r="C305" s="28" t="s">
        <v>925</v>
      </c>
      <c r="D305" s="12"/>
      <c r="E305" s="12"/>
      <c r="F305" s="29" t="s">
        <v>498</v>
      </c>
      <c r="G305" s="30">
        <v>0.15</v>
      </c>
      <c r="H305" s="30"/>
      <c r="I305" s="30">
        <v>0</v>
      </c>
      <c r="J305" s="31">
        <v>88.8</v>
      </c>
      <c r="M305" s="32"/>
      <c r="P305" s="83">
        <v>88.8</v>
      </c>
      <c r="R305" s="89"/>
      <c r="S305" s="78">
        <f>ROUND(ROUND(P305, 2)*I305, 2)</f>
        <v>0</v>
      </c>
    </row>
    <row r="306" spans="1:21" ht="21" hidden="1" x14ac:dyDescent="0.5">
      <c r="A306" s="10" t="s">
        <v>1267</v>
      </c>
      <c r="B306" s="10"/>
      <c r="C306" s="28" t="s">
        <v>1268</v>
      </c>
      <c r="D306" s="12"/>
      <c r="E306" s="12"/>
      <c r="F306" s="29" t="s">
        <v>498</v>
      </c>
      <c r="G306" s="30">
        <v>0.3</v>
      </c>
      <c r="H306" s="30"/>
      <c r="I306" s="30">
        <v>0</v>
      </c>
      <c r="J306" s="31">
        <v>1622</v>
      </c>
      <c r="M306" s="32"/>
      <c r="P306" s="83">
        <v>149.31</v>
      </c>
      <c r="R306" s="89"/>
      <c r="S306" s="78">
        <f>ROUND(ROUND(P306, 2)*I306, 2)</f>
        <v>0</v>
      </c>
    </row>
    <row r="307" spans="1:21" ht="36" hidden="1" x14ac:dyDescent="0.35">
      <c r="A307" s="10" t="s">
        <v>1275</v>
      </c>
      <c r="B307" s="10" t="s">
        <v>1256</v>
      </c>
      <c r="C307" s="11" t="s">
        <v>1257</v>
      </c>
      <c r="D307" s="12"/>
      <c r="E307" s="12"/>
      <c r="F307" s="12" t="s">
        <v>63</v>
      </c>
      <c r="G307" s="13">
        <v>1</v>
      </c>
      <c r="H307" s="13"/>
      <c r="I307" s="13">
        <v>0</v>
      </c>
      <c r="J307" s="14">
        <v>499.92</v>
      </c>
      <c r="K307" s="15">
        <v>428</v>
      </c>
      <c r="L307" s="14">
        <f>J307+ROUND(K307, 2)</f>
        <v>927.92000000000007</v>
      </c>
      <c r="M307" s="14"/>
      <c r="N307" s="14"/>
      <c r="O307" s="74"/>
      <c r="P307" s="82">
        <v>58.11</v>
      </c>
      <c r="Q307" s="85">
        <v>428</v>
      </c>
      <c r="R307" s="90">
        <f>P307+ROUND(Q307, 2)</f>
        <v>486.11</v>
      </c>
      <c r="S307" s="77">
        <v>0</v>
      </c>
      <c r="T307" s="14">
        <v>0</v>
      </c>
      <c r="U307" s="14">
        <f>S307+T307</f>
        <v>0</v>
      </c>
    </row>
    <row r="308" spans="1:21" ht="21" hidden="1" x14ac:dyDescent="0.5">
      <c r="A308" s="10" t="s">
        <v>1278</v>
      </c>
      <c r="B308" s="10"/>
      <c r="C308" s="28" t="s">
        <v>1268</v>
      </c>
      <c r="D308" s="12"/>
      <c r="E308" s="12"/>
      <c r="F308" s="29" t="s">
        <v>498</v>
      </c>
      <c r="G308" s="30">
        <v>0.3</v>
      </c>
      <c r="H308" s="30"/>
      <c r="I308" s="30">
        <v>0</v>
      </c>
      <c r="J308" s="31">
        <v>1622</v>
      </c>
      <c r="M308" s="32"/>
      <c r="P308" s="83">
        <v>149.31</v>
      </c>
      <c r="R308" s="89"/>
      <c r="S308" s="78">
        <f>ROUND(ROUND(P308, 2)*I308, 2)</f>
        <v>0</v>
      </c>
    </row>
    <row r="309" spans="1:21" ht="26.5" hidden="1" customHeight="1" x14ac:dyDescent="0.5">
      <c r="A309" s="10" t="s">
        <v>1284</v>
      </c>
      <c r="B309" s="10"/>
      <c r="C309" s="28" t="s">
        <v>925</v>
      </c>
      <c r="D309" s="12"/>
      <c r="E309" s="12"/>
      <c r="F309" s="29" t="s">
        <v>498</v>
      </c>
      <c r="G309" s="30">
        <v>0.15</v>
      </c>
      <c r="H309" s="30"/>
      <c r="I309" s="30">
        <v>0</v>
      </c>
      <c r="J309" s="31">
        <v>88.8</v>
      </c>
      <c r="M309" s="32"/>
      <c r="P309" s="83">
        <v>88.8</v>
      </c>
      <c r="R309" s="89"/>
      <c r="S309" s="78">
        <f>ROUND(ROUND(P309, 2)*I309, 2)</f>
        <v>0</v>
      </c>
    </row>
    <row r="310" spans="1:21" ht="90" hidden="1" x14ac:dyDescent="0.35">
      <c r="A310" s="10" t="s">
        <v>1289</v>
      </c>
      <c r="B310" s="10" t="s">
        <v>1256</v>
      </c>
      <c r="C310" s="11" t="s">
        <v>1257</v>
      </c>
      <c r="D310" s="12"/>
      <c r="E310" s="12" t="s">
        <v>1261</v>
      </c>
      <c r="F310" s="12" t="s">
        <v>63</v>
      </c>
      <c r="G310" s="13">
        <v>1</v>
      </c>
      <c r="H310" s="13"/>
      <c r="I310" s="13">
        <v>0</v>
      </c>
      <c r="J310" s="14">
        <f>IFERROR(ROUND(SUM(M311,M312)/I310, 2),0)</f>
        <v>0</v>
      </c>
      <c r="K310" s="15">
        <v>428</v>
      </c>
      <c r="L310" s="14">
        <f>J310+ROUND(K310, 2)</f>
        <v>428</v>
      </c>
      <c r="M310" s="14"/>
      <c r="N310" s="14"/>
      <c r="O310" s="74"/>
      <c r="P310" s="82">
        <f>IFERROR(ROUND(SUM(S311,S312)/I310, 2),0)</f>
        <v>0</v>
      </c>
      <c r="Q310" s="86">
        <v>642</v>
      </c>
      <c r="R310" s="90">
        <f>P310+ROUND(Q310, 2)</f>
        <v>642</v>
      </c>
      <c r="S310" s="77">
        <f>ROUND(P310*I310, 2)</f>
        <v>0</v>
      </c>
      <c r="T310" s="14">
        <f>ROUND(I310*ROUND(Q310, 2), 2)</f>
        <v>0</v>
      </c>
      <c r="U310" s="14">
        <f>S310+T310</f>
        <v>0</v>
      </c>
    </row>
    <row r="311" spans="1:21" ht="36" hidden="1" x14ac:dyDescent="0.5">
      <c r="A311" s="10" t="s">
        <v>1290</v>
      </c>
      <c r="B311" s="10"/>
      <c r="C311" s="28" t="s">
        <v>925</v>
      </c>
      <c r="D311" s="12"/>
      <c r="E311" s="12"/>
      <c r="F311" s="29" t="s">
        <v>498</v>
      </c>
      <c r="G311" s="30">
        <v>0.15</v>
      </c>
      <c r="H311" s="30"/>
      <c r="I311" s="30">
        <v>0</v>
      </c>
      <c r="J311" s="31">
        <v>88.8</v>
      </c>
      <c r="M311" s="32"/>
      <c r="P311" s="84">
        <v>88.8</v>
      </c>
      <c r="R311" s="89"/>
      <c r="S311" s="78">
        <f>ROUND(ROUND(P311, 2)*I311, 2)</f>
        <v>0</v>
      </c>
    </row>
    <row r="312" spans="1:21" ht="72" hidden="1" x14ac:dyDescent="0.5">
      <c r="A312" s="10" t="s">
        <v>1293</v>
      </c>
      <c r="B312" s="10"/>
      <c r="C312" s="28" t="s">
        <v>1268</v>
      </c>
      <c r="D312" s="12"/>
      <c r="E312" s="12" t="s">
        <v>1273</v>
      </c>
      <c r="F312" s="29" t="s">
        <v>498</v>
      </c>
      <c r="G312" s="30">
        <v>0.3</v>
      </c>
      <c r="H312" s="30"/>
      <c r="I312" s="30">
        <v>0</v>
      </c>
      <c r="J312" s="31">
        <v>1622</v>
      </c>
      <c r="M312" s="32"/>
      <c r="P312" s="84">
        <v>1622</v>
      </c>
      <c r="R312" s="89"/>
      <c r="S312" s="78">
        <f>ROUND(ROUND(P312, 2)*I312, 2)</f>
        <v>0</v>
      </c>
    </row>
    <row r="313" spans="1:21" ht="72" hidden="1" x14ac:dyDescent="0.35">
      <c r="A313" s="10" t="s">
        <v>1296</v>
      </c>
      <c r="B313" s="10" t="s">
        <v>1256</v>
      </c>
      <c r="C313" s="11" t="s">
        <v>1257</v>
      </c>
      <c r="D313" s="12"/>
      <c r="E313" s="12" t="s">
        <v>1277</v>
      </c>
      <c r="F313" s="12" t="s">
        <v>63</v>
      </c>
      <c r="G313" s="13">
        <v>1</v>
      </c>
      <c r="H313" s="13"/>
      <c r="I313" s="13">
        <v>0</v>
      </c>
      <c r="J313" s="14">
        <f>IFERROR(ROUND(SUM(M314,M315)/I313, 2),0)</f>
        <v>0</v>
      </c>
      <c r="K313" s="15">
        <v>428</v>
      </c>
      <c r="L313" s="14">
        <f>J313+ROUND(K313, 2)</f>
        <v>428</v>
      </c>
      <c r="M313" s="14"/>
      <c r="N313" s="14"/>
      <c r="O313" s="74"/>
      <c r="P313" s="82">
        <f>IFERROR(ROUND(SUM(S314,S315)/I313, 2),0)</f>
        <v>0</v>
      </c>
      <c r="Q313" s="86">
        <v>642</v>
      </c>
      <c r="R313" s="90">
        <f>P313+ROUND(Q313, 2)</f>
        <v>642</v>
      </c>
      <c r="S313" s="77">
        <f>ROUND(P313*I313, 2)</f>
        <v>0</v>
      </c>
      <c r="T313" s="14">
        <f>ROUND(I313*ROUND(Q313, 2), 2)</f>
        <v>0</v>
      </c>
      <c r="U313" s="14">
        <f>S313+T313</f>
        <v>0</v>
      </c>
    </row>
    <row r="314" spans="1:21" ht="72" hidden="1" x14ac:dyDescent="0.5">
      <c r="A314" s="10" t="s">
        <v>1297</v>
      </c>
      <c r="B314" s="10"/>
      <c r="C314" s="28" t="s">
        <v>1268</v>
      </c>
      <c r="D314" s="12"/>
      <c r="E314" s="12" t="s">
        <v>1282</v>
      </c>
      <c r="F314" s="29" t="s">
        <v>498</v>
      </c>
      <c r="G314" s="30">
        <v>0.3</v>
      </c>
      <c r="H314" s="30"/>
      <c r="I314" s="30">
        <v>0</v>
      </c>
      <c r="J314" s="31">
        <v>1622</v>
      </c>
      <c r="M314" s="32"/>
      <c r="P314" s="84">
        <v>1622</v>
      </c>
      <c r="R314" s="89"/>
      <c r="S314" s="78">
        <f>ROUND(ROUND(P314, 2)*I314, 2)</f>
        <v>0</v>
      </c>
    </row>
    <row r="315" spans="1:21" ht="32.5" hidden="1" customHeight="1" x14ac:dyDescent="0.5">
      <c r="A315" s="10" t="s">
        <v>1300</v>
      </c>
      <c r="B315" s="10"/>
      <c r="C315" s="28" t="s">
        <v>925</v>
      </c>
      <c r="D315" s="12"/>
      <c r="E315" s="12"/>
      <c r="F315" s="29" t="s">
        <v>498</v>
      </c>
      <c r="G315" s="30">
        <v>0.15</v>
      </c>
      <c r="H315" s="30"/>
      <c r="I315" s="30">
        <v>0</v>
      </c>
      <c r="J315" s="31">
        <v>88.8</v>
      </c>
      <c r="M315" s="32"/>
      <c r="P315" s="84">
        <v>88.8</v>
      </c>
      <c r="R315" s="89"/>
      <c r="S315" s="78">
        <f>ROUND(ROUND(P315, 2)*I315, 2)</f>
        <v>0</v>
      </c>
    </row>
    <row r="316" spans="1:21" ht="54" hidden="1" x14ac:dyDescent="0.35">
      <c r="A316" s="10" t="s">
        <v>1303</v>
      </c>
      <c r="B316" s="10" t="s">
        <v>1304</v>
      </c>
      <c r="C316" s="11" t="s">
        <v>1305</v>
      </c>
      <c r="D316" s="12"/>
      <c r="E316" s="12"/>
      <c r="F316" s="12" t="s">
        <v>63</v>
      </c>
      <c r="G316" s="13">
        <v>1</v>
      </c>
      <c r="H316" s="13"/>
      <c r="I316" s="13">
        <v>0</v>
      </c>
      <c r="J316" s="14">
        <v>1603.98</v>
      </c>
      <c r="K316" s="15">
        <v>2364</v>
      </c>
      <c r="L316" s="14">
        <f>J316+ROUND(K316, 2)</f>
        <v>3967.98</v>
      </c>
      <c r="M316" s="14"/>
      <c r="N316" s="14"/>
      <c r="O316" s="74"/>
      <c r="P316" s="82">
        <v>1603.98</v>
      </c>
      <c r="Q316" s="85">
        <v>2364</v>
      </c>
      <c r="R316" s="90">
        <f>P316+ROUND(Q316, 2)</f>
        <v>3967.98</v>
      </c>
      <c r="S316" s="77">
        <v>0</v>
      </c>
      <c r="T316" s="14">
        <v>0</v>
      </c>
      <c r="U316" s="14">
        <f>S316+T316</f>
        <v>0</v>
      </c>
    </row>
    <row r="317" spans="1:21" ht="21" hidden="1" x14ac:dyDescent="0.5">
      <c r="A317" s="10" t="s">
        <v>1310</v>
      </c>
      <c r="B317" s="10"/>
      <c r="C317" s="28" t="s">
        <v>1311</v>
      </c>
      <c r="D317" s="12"/>
      <c r="E317" s="12"/>
      <c r="F317" s="29" t="s">
        <v>498</v>
      </c>
      <c r="G317" s="30">
        <v>0.25</v>
      </c>
      <c r="H317" s="49"/>
      <c r="I317" s="49">
        <v>0</v>
      </c>
      <c r="J317" s="31">
        <v>40.270000000000003</v>
      </c>
      <c r="M317" s="32"/>
      <c r="P317" s="83">
        <v>40.270000000000003</v>
      </c>
      <c r="R317" s="89"/>
      <c r="S317" s="78">
        <f>ROUND(ROUND(P317, 2)*I317, 2)</f>
        <v>0</v>
      </c>
    </row>
    <row r="318" spans="1:21" ht="36" hidden="1" x14ac:dyDescent="0.5">
      <c r="A318" s="10" t="s">
        <v>1317</v>
      </c>
      <c r="B318" s="10"/>
      <c r="C318" s="28" t="s">
        <v>758</v>
      </c>
      <c r="D318" s="12"/>
      <c r="E318" s="12"/>
      <c r="F318" s="29" t="s">
        <v>498</v>
      </c>
      <c r="G318" s="30">
        <v>0.15</v>
      </c>
      <c r="H318" s="30"/>
      <c r="I318" s="30">
        <v>0</v>
      </c>
      <c r="J318" s="31">
        <v>68.400000000000006</v>
      </c>
      <c r="M318" s="32"/>
      <c r="P318" s="83">
        <v>68.400000000000006</v>
      </c>
      <c r="R318" s="89"/>
      <c r="S318" s="78">
        <f>ROUND(ROUND(P318, 2)*I318, 2)</f>
        <v>0</v>
      </c>
    </row>
    <row r="319" spans="1:21" ht="36" hidden="1" x14ac:dyDescent="0.5">
      <c r="A319" s="10" t="s">
        <v>1322</v>
      </c>
      <c r="B319" s="10"/>
      <c r="C319" s="47" t="s">
        <v>1108</v>
      </c>
      <c r="D319" s="12"/>
      <c r="E319" s="12"/>
      <c r="F319" s="29" t="s">
        <v>498</v>
      </c>
      <c r="G319" s="30">
        <v>1.2</v>
      </c>
      <c r="H319" s="49"/>
      <c r="I319" s="49">
        <v>0</v>
      </c>
      <c r="J319" s="31">
        <v>16.96</v>
      </c>
      <c r="M319" s="32"/>
      <c r="P319" s="83">
        <v>16.96</v>
      </c>
      <c r="R319" s="89"/>
      <c r="S319" s="78">
        <f>ROUND(ROUND(P319, 2)*I319, 2)</f>
        <v>0</v>
      </c>
    </row>
    <row r="320" spans="1:21" ht="36" hidden="1" x14ac:dyDescent="0.5">
      <c r="A320" s="10" t="s">
        <v>1327</v>
      </c>
      <c r="B320" s="10"/>
      <c r="C320" s="47" t="s">
        <v>1328</v>
      </c>
      <c r="D320" s="12"/>
      <c r="E320" s="12"/>
      <c r="F320" s="29" t="s">
        <v>63</v>
      </c>
      <c r="G320" s="30">
        <v>1.07</v>
      </c>
      <c r="H320" s="49"/>
      <c r="I320" s="49">
        <v>0</v>
      </c>
      <c r="J320" s="31">
        <v>1384.95</v>
      </c>
      <c r="M320" s="32"/>
      <c r="P320" s="83">
        <v>1384.95</v>
      </c>
      <c r="R320" s="89"/>
      <c r="S320" s="78">
        <f>ROUND(ROUND(P320, 2)*I320, 2)</f>
        <v>0</v>
      </c>
    </row>
    <row r="321" spans="1:21" ht="54" hidden="1" x14ac:dyDescent="0.35">
      <c r="A321" s="10" t="s">
        <v>1335</v>
      </c>
      <c r="B321" s="10" t="s">
        <v>1304</v>
      </c>
      <c r="C321" s="11" t="s">
        <v>1305</v>
      </c>
      <c r="D321" s="12"/>
      <c r="E321" s="12" t="s">
        <v>1309</v>
      </c>
      <c r="F321" s="12" t="s">
        <v>63</v>
      </c>
      <c r="G321" s="13">
        <v>1</v>
      </c>
      <c r="H321" s="13"/>
      <c r="I321" s="13">
        <v>0</v>
      </c>
      <c r="J321" s="14">
        <f>IFERROR(ROUND(SUM(M322,M323,M324,M325)/I321, 2),0)</f>
        <v>0</v>
      </c>
      <c r="K321" s="15">
        <v>2364</v>
      </c>
      <c r="L321" s="14">
        <f>J321+ROUND(K321, 2)</f>
        <v>2364</v>
      </c>
      <c r="M321" s="14"/>
      <c r="N321" s="14"/>
      <c r="O321" s="74"/>
      <c r="P321" s="82">
        <f>IFERROR(ROUND(SUM(S322,S323,S324,S325)/I321, 2),0)</f>
        <v>0</v>
      </c>
      <c r="Q321" s="86">
        <v>3546</v>
      </c>
      <c r="R321" s="90">
        <f>P321+ROUND(Q321, 2)</f>
        <v>3546</v>
      </c>
      <c r="S321" s="77">
        <f>ROUND(P321*I321, 2)</f>
        <v>0</v>
      </c>
      <c r="T321" s="14">
        <f>ROUND(I321*ROUND(Q321, 2), 2)</f>
        <v>0</v>
      </c>
      <c r="U321" s="14">
        <f>S321+T321</f>
        <v>0</v>
      </c>
    </row>
    <row r="322" spans="1:21" ht="72" hidden="1" x14ac:dyDescent="0.5">
      <c r="A322" s="10" t="s">
        <v>1336</v>
      </c>
      <c r="B322" s="10"/>
      <c r="C322" s="47" t="s">
        <v>1328</v>
      </c>
      <c r="D322" s="12"/>
      <c r="E322" s="12" t="s">
        <v>1333</v>
      </c>
      <c r="F322" s="29" t="s">
        <v>63</v>
      </c>
      <c r="G322" s="30">
        <v>1.07</v>
      </c>
      <c r="H322" s="49"/>
      <c r="I322" s="49">
        <v>4290.4859999999999</v>
      </c>
      <c r="J322" s="31">
        <v>1384.96</v>
      </c>
      <c r="M322" s="32"/>
      <c r="P322" s="84">
        <v>1384.95</v>
      </c>
      <c r="R322" s="89"/>
      <c r="S322" s="78">
        <f>ROUND(ROUND(P322, 2)*I322, 2)</f>
        <v>5942108.5899999999</v>
      </c>
    </row>
    <row r="323" spans="1:21" ht="36" hidden="1" x14ac:dyDescent="0.5">
      <c r="A323" s="10" t="s">
        <v>1339</v>
      </c>
      <c r="B323" s="10"/>
      <c r="C323" s="47" t="s">
        <v>1108</v>
      </c>
      <c r="D323" s="12"/>
      <c r="E323" s="12"/>
      <c r="F323" s="29" t="s">
        <v>498</v>
      </c>
      <c r="G323" s="30">
        <v>1.2</v>
      </c>
      <c r="H323" s="49"/>
      <c r="I323" s="49">
        <v>24058.799999999999</v>
      </c>
      <c r="J323" s="31">
        <v>16.12</v>
      </c>
      <c r="M323" s="32"/>
      <c r="P323" s="84">
        <v>16.11</v>
      </c>
      <c r="R323" s="89"/>
      <c r="S323" s="78">
        <f>ROUND(ROUND(P323, 2)*I323, 2)</f>
        <v>387587.27</v>
      </c>
    </row>
    <row r="324" spans="1:21" ht="36" hidden="1" x14ac:dyDescent="0.5">
      <c r="A324" s="10" t="s">
        <v>1342</v>
      </c>
      <c r="B324" s="10"/>
      <c r="C324" s="28" t="s">
        <v>758</v>
      </c>
      <c r="D324" s="12"/>
      <c r="E324" s="12"/>
      <c r="F324" s="29" t="s">
        <v>498</v>
      </c>
      <c r="G324" s="30">
        <v>0.15</v>
      </c>
      <c r="H324" s="30"/>
      <c r="I324" s="30">
        <v>0</v>
      </c>
      <c r="J324" s="31">
        <v>68.400000000000006</v>
      </c>
      <c r="M324" s="32"/>
      <c r="P324" s="84">
        <v>68.400000000000006</v>
      </c>
      <c r="R324" s="89"/>
      <c r="S324" s="78">
        <f>ROUND(ROUND(P324, 2)*I324, 2)</f>
        <v>0</v>
      </c>
    </row>
    <row r="325" spans="1:21" ht="4.5" hidden="1" customHeight="1" x14ac:dyDescent="0.5">
      <c r="A325" s="10" t="s">
        <v>1345</v>
      </c>
      <c r="B325" s="10"/>
      <c r="C325" s="28" t="s">
        <v>1311</v>
      </c>
      <c r="D325" s="12"/>
      <c r="E325" s="12"/>
      <c r="F325" s="29" t="s">
        <v>498</v>
      </c>
      <c r="G325" s="30">
        <v>0.25</v>
      </c>
      <c r="H325" s="49"/>
      <c r="I325" s="49">
        <v>1002.45</v>
      </c>
      <c r="J325" s="31">
        <v>40.270000000000003</v>
      </c>
      <c r="M325" s="32"/>
      <c r="P325" s="84">
        <v>40.270000000000003</v>
      </c>
      <c r="R325" s="89"/>
      <c r="S325" s="78">
        <f>ROUND(ROUND(P325, 2)*I325, 2)</f>
        <v>40368.660000000003</v>
      </c>
    </row>
    <row r="326" spans="1:21" ht="17" hidden="1" customHeight="1" x14ac:dyDescent="0.5">
      <c r="A326" s="10" t="s">
        <v>1348</v>
      </c>
      <c r="B326" s="10" t="s">
        <v>1349</v>
      </c>
      <c r="C326" s="174" t="s">
        <v>1350</v>
      </c>
      <c r="D326" s="175"/>
      <c r="E326" s="175"/>
      <c r="F326" s="175"/>
      <c r="G326" s="175"/>
      <c r="H326" s="175"/>
      <c r="I326" s="176"/>
      <c r="M326" s="6"/>
      <c r="N326" s="6"/>
      <c r="O326" s="73"/>
      <c r="P326" s="81"/>
      <c r="R326" s="89"/>
      <c r="S326" s="76">
        <f>SUM(S327,S344)</f>
        <v>0</v>
      </c>
      <c r="T326" s="6">
        <f>SUM(T327,T344)</f>
        <v>0</v>
      </c>
      <c r="U326" s="6">
        <f>SUM(U327,U344)</f>
        <v>0</v>
      </c>
    </row>
    <row r="327" spans="1:21" ht="17" hidden="1" customHeight="1" x14ac:dyDescent="0.5">
      <c r="A327" s="10" t="s">
        <v>1351</v>
      </c>
      <c r="B327" s="10" t="s">
        <v>1352</v>
      </c>
      <c r="C327" s="174" t="s">
        <v>1353</v>
      </c>
      <c r="D327" s="175"/>
      <c r="E327" s="175"/>
      <c r="F327" s="175"/>
      <c r="G327" s="175"/>
      <c r="H327" s="175"/>
      <c r="I327" s="176"/>
      <c r="M327" s="6"/>
      <c r="N327" s="6"/>
      <c r="O327" s="73"/>
      <c r="P327" s="81"/>
      <c r="R327" s="89"/>
      <c r="S327" s="76">
        <f>SUM(S328,S333,S338,S341)</f>
        <v>0</v>
      </c>
      <c r="T327" s="6">
        <f>SUM(T328,T333,T338,T341)</f>
        <v>0</v>
      </c>
      <c r="U327" s="6">
        <f>SUM(U328,U333,U338,U341)</f>
        <v>0</v>
      </c>
    </row>
    <row r="328" spans="1:21" ht="72" hidden="1" x14ac:dyDescent="0.35">
      <c r="A328" s="10" t="s">
        <v>1354</v>
      </c>
      <c r="B328" s="10" t="s">
        <v>1355</v>
      </c>
      <c r="C328" s="11" t="s">
        <v>1356</v>
      </c>
      <c r="D328" s="12"/>
      <c r="E328" s="12"/>
      <c r="F328" s="12" t="s">
        <v>63</v>
      </c>
      <c r="G328" s="13">
        <v>1</v>
      </c>
      <c r="H328" s="13"/>
      <c r="I328" s="13">
        <v>0</v>
      </c>
      <c r="J328" s="14">
        <v>170.27</v>
      </c>
      <c r="K328" s="15">
        <v>853</v>
      </c>
      <c r="L328" s="14">
        <f>J328+ROUND(K328, 2)</f>
        <v>1023.27</v>
      </c>
      <c r="M328" s="14"/>
      <c r="N328" s="14"/>
      <c r="O328" s="74"/>
      <c r="P328" s="82">
        <v>170.27</v>
      </c>
      <c r="Q328" s="85">
        <v>853</v>
      </c>
      <c r="R328" s="90">
        <f>P328+ROUND(Q328, 2)</f>
        <v>1023.27</v>
      </c>
      <c r="S328" s="77">
        <v>0</v>
      </c>
      <c r="T328" s="14">
        <v>0</v>
      </c>
      <c r="U328" s="14">
        <f>S328+T328</f>
        <v>0</v>
      </c>
    </row>
    <row r="329" spans="1:21" ht="21" hidden="1" x14ac:dyDescent="0.5">
      <c r="A329" s="10" t="s">
        <v>1361</v>
      </c>
      <c r="B329" s="10"/>
      <c r="C329" s="28" t="s">
        <v>1196</v>
      </c>
      <c r="D329" s="12"/>
      <c r="E329" s="12"/>
      <c r="F329" s="29" t="s">
        <v>498</v>
      </c>
      <c r="G329" s="30">
        <v>1.3</v>
      </c>
      <c r="H329" s="49"/>
      <c r="I329" s="49">
        <v>0</v>
      </c>
      <c r="J329" s="31">
        <v>8.6</v>
      </c>
      <c r="M329" s="32"/>
      <c r="P329" s="83">
        <v>8.6</v>
      </c>
      <c r="R329" s="89"/>
      <c r="S329" s="78">
        <f>ROUND(ROUND(P329, 2)*I329, 2)</f>
        <v>0</v>
      </c>
    </row>
    <row r="330" spans="1:21" ht="21" hidden="1" x14ac:dyDescent="0.5">
      <c r="A330" s="10" t="s">
        <v>1366</v>
      </c>
      <c r="B330" s="10"/>
      <c r="C330" s="28" t="s">
        <v>1203</v>
      </c>
      <c r="D330" s="12"/>
      <c r="E330" s="12"/>
      <c r="F330" s="29" t="s">
        <v>63</v>
      </c>
      <c r="G330" s="30">
        <v>1.1000000000000001</v>
      </c>
      <c r="H330" s="49"/>
      <c r="I330" s="49">
        <v>0</v>
      </c>
      <c r="J330" s="31">
        <v>26</v>
      </c>
      <c r="M330" s="32"/>
      <c r="P330" s="83">
        <v>26</v>
      </c>
      <c r="R330" s="89"/>
      <c r="S330" s="78">
        <f>ROUND(ROUND(P330, 2)*I330, 2)</f>
        <v>0</v>
      </c>
    </row>
    <row r="331" spans="1:21" ht="21" hidden="1" x14ac:dyDescent="0.5">
      <c r="A331" s="10" t="s">
        <v>1371</v>
      </c>
      <c r="B331" s="10"/>
      <c r="C331" s="28" t="s">
        <v>1210</v>
      </c>
      <c r="D331" s="12"/>
      <c r="E331" s="12"/>
      <c r="F331" s="29" t="s">
        <v>78</v>
      </c>
      <c r="G331" s="30">
        <v>1.05</v>
      </c>
      <c r="H331" s="49"/>
      <c r="I331" s="49">
        <v>0</v>
      </c>
      <c r="J331" s="31">
        <v>15.76</v>
      </c>
      <c r="M331" s="32"/>
      <c r="P331" s="83">
        <v>15.76</v>
      </c>
      <c r="R331" s="89"/>
      <c r="S331" s="78">
        <f>ROUND(ROUND(P331, 2)*I331, 2)</f>
        <v>0</v>
      </c>
    </row>
    <row r="332" spans="1:21" ht="36" hidden="1" x14ac:dyDescent="0.5">
      <c r="A332" s="10" t="s">
        <v>1376</v>
      </c>
      <c r="B332" s="10"/>
      <c r="C332" s="28" t="s">
        <v>544</v>
      </c>
      <c r="D332" s="12"/>
      <c r="E332" s="12"/>
      <c r="F332" s="29" t="s">
        <v>498</v>
      </c>
      <c r="G332" s="30">
        <v>0.15</v>
      </c>
      <c r="H332" s="30"/>
      <c r="I332" s="30">
        <v>0</v>
      </c>
      <c r="J332" s="31">
        <v>88.8</v>
      </c>
      <c r="M332" s="32"/>
      <c r="P332" s="83">
        <v>88.8</v>
      </c>
      <c r="R332" s="89"/>
      <c r="S332" s="78">
        <f>ROUND(ROUND(P332, 2)*I332, 2)</f>
        <v>0</v>
      </c>
    </row>
    <row r="333" spans="1:21" ht="72" hidden="1" x14ac:dyDescent="0.35">
      <c r="A333" s="10" t="s">
        <v>1381</v>
      </c>
      <c r="B333" s="10" t="s">
        <v>1355</v>
      </c>
      <c r="C333" s="11" t="s">
        <v>1356</v>
      </c>
      <c r="D333" s="12"/>
      <c r="E333" s="12" t="s">
        <v>1360</v>
      </c>
      <c r="F333" s="12" t="s">
        <v>63</v>
      </c>
      <c r="G333" s="13">
        <v>1</v>
      </c>
      <c r="H333" s="13"/>
      <c r="I333" s="13">
        <v>0</v>
      </c>
      <c r="J333" s="14">
        <f>IFERROR(ROUND(SUM(M334,M335,M336,M337)/I333, 2),0)</f>
        <v>0</v>
      </c>
      <c r="K333" s="15">
        <v>853</v>
      </c>
      <c r="L333" s="14">
        <f>J333+ROUND(K333, 2)</f>
        <v>853</v>
      </c>
      <c r="M333" s="14"/>
      <c r="N333" s="14"/>
      <c r="O333" s="74"/>
      <c r="P333" s="82">
        <f>IFERROR(ROUND(SUM(S334,S335,S336,S337)/I333, 2),0)</f>
        <v>0</v>
      </c>
      <c r="Q333" s="86">
        <v>1279.5</v>
      </c>
      <c r="R333" s="90">
        <f>P333+ROUND(Q333, 2)</f>
        <v>1279.5</v>
      </c>
      <c r="S333" s="77">
        <f>ROUND(P333*I333, 2)</f>
        <v>0</v>
      </c>
      <c r="T333" s="14">
        <f>ROUND(I333*ROUND(Q333, 2), 2)</f>
        <v>0</v>
      </c>
      <c r="U333" s="14">
        <f>S333+T333</f>
        <v>0</v>
      </c>
    </row>
    <row r="334" spans="1:21" ht="36" hidden="1" x14ac:dyDescent="0.5">
      <c r="A334" s="10" t="s">
        <v>1382</v>
      </c>
      <c r="B334" s="10"/>
      <c r="C334" s="28" t="s">
        <v>544</v>
      </c>
      <c r="D334" s="12"/>
      <c r="E334" s="12"/>
      <c r="F334" s="29" t="s">
        <v>498</v>
      </c>
      <c r="G334" s="30">
        <v>0.15</v>
      </c>
      <c r="H334" s="30"/>
      <c r="I334" s="30">
        <v>0</v>
      </c>
      <c r="J334" s="31">
        <v>88.8</v>
      </c>
      <c r="M334" s="32"/>
      <c r="P334" s="84">
        <v>88.8</v>
      </c>
      <c r="R334" s="89"/>
      <c r="S334" s="78">
        <f>ROUND(ROUND(P334, 2)*I334, 2)</f>
        <v>0</v>
      </c>
    </row>
    <row r="335" spans="1:21" ht="21" hidden="1" x14ac:dyDescent="0.5">
      <c r="A335" s="10" t="s">
        <v>1385</v>
      </c>
      <c r="B335" s="10"/>
      <c r="C335" s="28" t="s">
        <v>1210</v>
      </c>
      <c r="D335" s="12"/>
      <c r="E335" s="12"/>
      <c r="F335" s="29" t="s">
        <v>78</v>
      </c>
      <c r="G335" s="30">
        <v>1.05</v>
      </c>
      <c r="H335" s="49"/>
      <c r="I335" s="49">
        <v>1575.7349999999999</v>
      </c>
      <c r="J335" s="31">
        <v>15.76</v>
      </c>
      <c r="M335" s="32"/>
      <c r="P335" s="84">
        <v>15.76</v>
      </c>
      <c r="R335" s="89"/>
      <c r="S335" s="78">
        <f>ROUND(ROUND(P335, 2)*I335, 2)</f>
        <v>24833.58</v>
      </c>
    </row>
    <row r="336" spans="1:21" ht="21" hidden="1" x14ac:dyDescent="0.5">
      <c r="A336" s="10" t="s">
        <v>1388</v>
      </c>
      <c r="B336" s="10"/>
      <c r="C336" s="28" t="s">
        <v>1203</v>
      </c>
      <c r="D336" s="12"/>
      <c r="E336" s="12"/>
      <c r="F336" s="29" t="s">
        <v>63</v>
      </c>
      <c r="G336" s="30">
        <v>1.1000000000000001</v>
      </c>
      <c r="H336" s="49"/>
      <c r="I336" s="49">
        <v>1650.77</v>
      </c>
      <c r="J336" s="31">
        <v>26</v>
      </c>
      <c r="M336" s="32"/>
      <c r="P336" s="84">
        <v>26</v>
      </c>
      <c r="R336" s="89"/>
      <c r="S336" s="78">
        <f>ROUND(ROUND(P336, 2)*I336, 2)</f>
        <v>42920.02</v>
      </c>
    </row>
    <row r="337" spans="1:21" ht="21" hidden="1" x14ac:dyDescent="0.5">
      <c r="A337" s="10" t="s">
        <v>1391</v>
      </c>
      <c r="B337" s="10"/>
      <c r="C337" s="28" t="s">
        <v>1196</v>
      </c>
      <c r="D337" s="12"/>
      <c r="E337" s="12"/>
      <c r="F337" s="29" t="s">
        <v>498</v>
      </c>
      <c r="G337" s="30">
        <v>1.3</v>
      </c>
      <c r="H337" s="49"/>
      <c r="I337" s="49">
        <v>19509.099999999999</v>
      </c>
      <c r="J337" s="31">
        <v>8.6</v>
      </c>
      <c r="M337" s="32"/>
      <c r="P337" s="84">
        <v>8.6</v>
      </c>
      <c r="R337" s="89"/>
      <c r="S337" s="78">
        <f>ROUND(ROUND(P337, 2)*I337, 2)</f>
        <v>167778.26</v>
      </c>
    </row>
    <row r="338" spans="1:21" ht="36" hidden="1" x14ac:dyDescent="0.35">
      <c r="A338" s="10" t="s">
        <v>1394</v>
      </c>
      <c r="B338" s="10" t="s">
        <v>1395</v>
      </c>
      <c r="C338" s="11" t="s">
        <v>1396</v>
      </c>
      <c r="D338" s="12"/>
      <c r="E338" s="12"/>
      <c r="F338" s="12" t="s">
        <v>63</v>
      </c>
      <c r="G338" s="13">
        <v>1</v>
      </c>
      <c r="H338" s="13"/>
      <c r="I338" s="13">
        <v>0</v>
      </c>
      <c r="J338" s="14">
        <v>36.18</v>
      </c>
      <c r="K338" s="15">
        <v>546</v>
      </c>
      <c r="L338" s="14">
        <f>J338+ROUND(K338, 2)</f>
        <v>582.17999999999995</v>
      </c>
      <c r="M338" s="14"/>
      <c r="N338" s="14"/>
      <c r="O338" s="74"/>
      <c r="P338" s="82">
        <v>36.18</v>
      </c>
      <c r="Q338" s="85">
        <v>546</v>
      </c>
      <c r="R338" s="90">
        <f>P338+ROUND(Q338, 2)</f>
        <v>582.17999999999995</v>
      </c>
      <c r="S338" s="77">
        <v>0</v>
      </c>
      <c r="T338" s="14">
        <v>0</v>
      </c>
      <c r="U338" s="14">
        <f>S338+T338</f>
        <v>0</v>
      </c>
    </row>
    <row r="339" spans="1:21" ht="48.5" hidden="1" customHeight="1" x14ac:dyDescent="0.5">
      <c r="A339" s="10" t="s">
        <v>1400</v>
      </c>
      <c r="B339" s="10"/>
      <c r="C339" s="47" t="s">
        <v>1401</v>
      </c>
      <c r="D339" s="12"/>
      <c r="E339" s="12"/>
      <c r="F339" s="29" t="s">
        <v>498</v>
      </c>
      <c r="G339" s="30">
        <v>1.8</v>
      </c>
      <c r="H339" s="30"/>
      <c r="I339" s="30">
        <v>0</v>
      </c>
      <c r="J339" s="31">
        <v>12.7</v>
      </c>
      <c r="M339" s="32"/>
      <c r="P339" s="83">
        <v>12.7</v>
      </c>
      <c r="R339" s="89"/>
      <c r="S339" s="78">
        <f>ROUND(ROUND(P339, 2)*I339, 2)</f>
        <v>0</v>
      </c>
    </row>
    <row r="340" spans="1:21" ht="36" hidden="1" x14ac:dyDescent="0.5">
      <c r="A340" s="10" t="s">
        <v>1407</v>
      </c>
      <c r="B340" s="10"/>
      <c r="C340" s="28" t="s">
        <v>544</v>
      </c>
      <c r="D340" s="12"/>
      <c r="E340" s="12"/>
      <c r="F340" s="29" t="s">
        <v>498</v>
      </c>
      <c r="G340" s="30">
        <v>0.15</v>
      </c>
      <c r="H340" s="30"/>
      <c r="I340" s="30">
        <v>0</v>
      </c>
      <c r="J340" s="31">
        <v>88.8</v>
      </c>
      <c r="M340" s="32"/>
      <c r="P340" s="83">
        <v>88.8</v>
      </c>
      <c r="R340" s="89"/>
      <c r="S340" s="78">
        <f>ROUND(ROUND(P340, 2)*I340, 2)</f>
        <v>0</v>
      </c>
    </row>
    <row r="341" spans="1:21" ht="36" hidden="1" x14ac:dyDescent="0.35">
      <c r="A341" s="10" t="s">
        <v>1412</v>
      </c>
      <c r="B341" s="10" t="s">
        <v>1395</v>
      </c>
      <c r="C341" s="11" t="s">
        <v>1396</v>
      </c>
      <c r="D341" s="12"/>
      <c r="E341" s="12" t="s">
        <v>1360</v>
      </c>
      <c r="F341" s="12" t="s">
        <v>63</v>
      </c>
      <c r="G341" s="13">
        <v>1</v>
      </c>
      <c r="H341" s="13"/>
      <c r="I341" s="13">
        <v>0</v>
      </c>
      <c r="J341" s="14">
        <f>IFERROR(ROUND(SUM(M342,M343)/I341, 2),0)</f>
        <v>0</v>
      </c>
      <c r="K341" s="15">
        <v>546</v>
      </c>
      <c r="L341" s="14">
        <f>J341+ROUND(K341, 2)</f>
        <v>546</v>
      </c>
      <c r="M341" s="14"/>
      <c r="N341" s="14"/>
      <c r="O341" s="74"/>
      <c r="P341" s="82">
        <f>IFERROR(ROUND(SUM(S342,S343)/I341, 2),0)</f>
        <v>0</v>
      </c>
      <c r="Q341" s="86">
        <v>819</v>
      </c>
      <c r="R341" s="90">
        <f>P341+ROUND(Q341, 2)</f>
        <v>819</v>
      </c>
      <c r="S341" s="77">
        <f>ROUND(P341*I341, 2)</f>
        <v>0</v>
      </c>
      <c r="T341" s="14">
        <f>ROUND(I341*ROUND(Q341, 2), 2)</f>
        <v>0</v>
      </c>
      <c r="U341" s="14">
        <f>S341+T341</f>
        <v>0</v>
      </c>
    </row>
    <row r="342" spans="1:21" ht="36" hidden="1" x14ac:dyDescent="0.5">
      <c r="A342" s="10" t="s">
        <v>1413</v>
      </c>
      <c r="B342" s="10"/>
      <c r="C342" s="28" t="s">
        <v>544</v>
      </c>
      <c r="D342" s="12"/>
      <c r="E342" s="12"/>
      <c r="F342" s="29" t="s">
        <v>498</v>
      </c>
      <c r="G342" s="30">
        <v>0.15</v>
      </c>
      <c r="H342" s="30"/>
      <c r="I342" s="30">
        <v>0</v>
      </c>
      <c r="J342" s="31">
        <v>88.8</v>
      </c>
      <c r="M342" s="32"/>
      <c r="P342" s="84">
        <v>88.8</v>
      </c>
      <c r="R342" s="89"/>
      <c r="S342" s="78">
        <f>ROUND(ROUND(P342, 2)*I342, 2)</f>
        <v>0</v>
      </c>
    </row>
    <row r="343" spans="1:21" ht="54" hidden="1" x14ac:dyDescent="0.5">
      <c r="A343" s="10" t="s">
        <v>1416</v>
      </c>
      <c r="B343" s="10"/>
      <c r="C343" s="47" t="s">
        <v>1401</v>
      </c>
      <c r="D343" s="12"/>
      <c r="E343" s="12"/>
      <c r="F343" s="29" t="s">
        <v>498</v>
      </c>
      <c r="G343" s="30">
        <v>1.8</v>
      </c>
      <c r="H343" s="30"/>
      <c r="I343" s="30">
        <v>0</v>
      </c>
      <c r="J343" s="31">
        <v>12.06</v>
      </c>
      <c r="M343" s="32"/>
      <c r="P343" s="84">
        <v>12.07</v>
      </c>
      <c r="R343" s="89"/>
      <c r="S343" s="78">
        <f>ROUND(ROUND(P343, 2)*I343, 2)</f>
        <v>0</v>
      </c>
    </row>
    <row r="344" spans="1:21" ht="17" hidden="1" customHeight="1" x14ac:dyDescent="0.5">
      <c r="A344" s="10" t="s">
        <v>1419</v>
      </c>
      <c r="B344" s="10" t="s">
        <v>1420</v>
      </c>
      <c r="C344" s="174" t="s">
        <v>1421</v>
      </c>
      <c r="D344" s="175"/>
      <c r="E344" s="175"/>
      <c r="F344" s="175"/>
      <c r="G344" s="175"/>
      <c r="H344" s="175"/>
      <c r="I344" s="176"/>
      <c r="M344" s="6"/>
      <c r="N344" s="6"/>
      <c r="O344" s="73"/>
      <c r="P344" s="81"/>
      <c r="R344" s="89"/>
      <c r="S344" s="76">
        <f>SUM(S345,S348,S351,S354,S357,S360,S363,S366)</f>
        <v>0</v>
      </c>
      <c r="T344" s="6">
        <f>SUM(T345,T348,T351,T354,T357,T360,T363,T366)</f>
        <v>0</v>
      </c>
      <c r="U344" s="6">
        <f>SUM(U345,U348,U351,U354,U357,U360,U363,U366)</f>
        <v>0</v>
      </c>
    </row>
    <row r="345" spans="1:21" ht="36" hidden="1" x14ac:dyDescent="0.35">
      <c r="A345" s="10" t="s">
        <v>1422</v>
      </c>
      <c r="B345" s="10" t="s">
        <v>1423</v>
      </c>
      <c r="C345" s="11" t="s">
        <v>1424</v>
      </c>
      <c r="D345" s="12"/>
      <c r="E345" s="12"/>
      <c r="F345" s="12" t="s">
        <v>63</v>
      </c>
      <c r="G345" s="13">
        <v>1</v>
      </c>
      <c r="H345" s="13"/>
      <c r="I345" s="13">
        <v>0</v>
      </c>
      <c r="J345" s="14">
        <v>13.32</v>
      </c>
      <c r="K345" s="15">
        <v>464</v>
      </c>
      <c r="L345" s="14">
        <f>J345+ROUND(K345, 2)</f>
        <v>477.32</v>
      </c>
      <c r="M345" s="14"/>
      <c r="N345" s="14"/>
      <c r="O345" s="74"/>
      <c r="P345" s="82">
        <v>73.040000000000006</v>
      </c>
      <c r="Q345" s="85">
        <v>464</v>
      </c>
      <c r="R345" s="90">
        <f>P345+ROUND(Q345, 2)</f>
        <v>537.04</v>
      </c>
      <c r="S345" s="77">
        <v>0</v>
      </c>
      <c r="T345" s="14">
        <v>0</v>
      </c>
      <c r="U345" s="14">
        <f>S345+T345</f>
        <v>0</v>
      </c>
    </row>
    <row r="346" spans="1:21" ht="36" hidden="1" x14ac:dyDescent="0.5">
      <c r="A346" s="10" t="s">
        <v>1429</v>
      </c>
      <c r="B346" s="10"/>
      <c r="C346" s="28" t="s">
        <v>1430</v>
      </c>
      <c r="D346" s="12"/>
      <c r="E346" s="12"/>
      <c r="F346" s="29" t="s">
        <v>498</v>
      </c>
      <c r="G346" s="30">
        <v>0.4</v>
      </c>
      <c r="H346" s="30"/>
      <c r="I346" s="30">
        <v>0</v>
      </c>
      <c r="J346" s="31">
        <v>0</v>
      </c>
      <c r="M346" s="32"/>
      <c r="P346" s="83">
        <v>149.31</v>
      </c>
      <c r="R346" s="89"/>
      <c r="S346" s="78">
        <f>ROUND(ROUND(P346, 2)*I346, 2)</f>
        <v>0</v>
      </c>
    </row>
    <row r="347" spans="1:21" ht="36" hidden="1" x14ac:dyDescent="0.5">
      <c r="A347" s="10" t="s">
        <v>1437</v>
      </c>
      <c r="B347" s="10"/>
      <c r="C347" s="28" t="s">
        <v>925</v>
      </c>
      <c r="D347" s="12"/>
      <c r="E347" s="12"/>
      <c r="F347" s="29" t="s">
        <v>498</v>
      </c>
      <c r="G347" s="30">
        <v>0.15</v>
      </c>
      <c r="H347" s="30"/>
      <c r="I347" s="30">
        <v>0</v>
      </c>
      <c r="J347" s="31">
        <v>88.8</v>
      </c>
      <c r="M347" s="32"/>
      <c r="P347" s="83">
        <v>88.8</v>
      </c>
      <c r="R347" s="89"/>
      <c r="S347" s="78">
        <f>ROUND(ROUND(P347, 2)*I347, 2)</f>
        <v>0</v>
      </c>
    </row>
    <row r="348" spans="1:21" ht="21" hidden="1" customHeight="1" x14ac:dyDescent="0.35">
      <c r="A348" s="10" t="s">
        <v>1442</v>
      </c>
      <c r="B348" s="10" t="s">
        <v>1423</v>
      </c>
      <c r="C348" s="11" t="s">
        <v>1424</v>
      </c>
      <c r="D348" s="12"/>
      <c r="E348" s="12"/>
      <c r="F348" s="12" t="s">
        <v>63</v>
      </c>
      <c r="G348" s="13">
        <v>1</v>
      </c>
      <c r="H348" s="13"/>
      <c r="I348" s="13">
        <v>0</v>
      </c>
      <c r="J348" s="14">
        <v>13.32</v>
      </c>
      <c r="K348" s="15">
        <v>464</v>
      </c>
      <c r="L348" s="14">
        <f>J348+ROUND(K348, 2)</f>
        <v>477.32</v>
      </c>
      <c r="M348" s="14"/>
      <c r="N348" s="14"/>
      <c r="O348" s="74"/>
      <c r="P348" s="82">
        <v>73.040000000000006</v>
      </c>
      <c r="Q348" s="85">
        <v>464</v>
      </c>
      <c r="R348" s="90">
        <f>P348+ROUND(Q348, 2)</f>
        <v>537.04</v>
      </c>
      <c r="S348" s="77">
        <v>0</v>
      </c>
      <c r="T348" s="14">
        <v>0</v>
      </c>
      <c r="U348" s="14">
        <f>S348+T348</f>
        <v>0</v>
      </c>
    </row>
    <row r="349" spans="1:21" ht="36" hidden="1" x14ac:dyDescent="0.5">
      <c r="A349" s="10" t="s">
        <v>1445</v>
      </c>
      <c r="B349" s="10"/>
      <c r="C349" s="28" t="s">
        <v>925</v>
      </c>
      <c r="D349" s="12"/>
      <c r="E349" s="12"/>
      <c r="F349" s="29" t="s">
        <v>498</v>
      </c>
      <c r="G349" s="30">
        <v>0.15</v>
      </c>
      <c r="H349" s="30"/>
      <c r="I349" s="30">
        <v>0</v>
      </c>
      <c r="J349" s="31">
        <v>88.8</v>
      </c>
      <c r="M349" s="32"/>
      <c r="P349" s="83">
        <v>88.8</v>
      </c>
      <c r="R349" s="89"/>
      <c r="S349" s="78">
        <f>ROUND(ROUND(P349, 2)*I349, 2)</f>
        <v>0</v>
      </c>
    </row>
    <row r="350" spans="1:21" ht="36" hidden="1" x14ac:dyDescent="0.5">
      <c r="A350" s="10" t="s">
        <v>1450</v>
      </c>
      <c r="B350" s="10"/>
      <c r="C350" s="28" t="s">
        <v>1430</v>
      </c>
      <c r="D350" s="12"/>
      <c r="E350" s="12"/>
      <c r="F350" s="29" t="s">
        <v>498</v>
      </c>
      <c r="G350" s="30">
        <v>0.4</v>
      </c>
      <c r="H350" s="30"/>
      <c r="I350" s="30">
        <v>0</v>
      </c>
      <c r="J350" s="31">
        <v>0</v>
      </c>
      <c r="M350" s="32"/>
      <c r="P350" s="83">
        <v>149.31</v>
      </c>
      <c r="R350" s="89"/>
      <c r="S350" s="78">
        <f>ROUND(ROUND(P350, 2)*I350, 2)</f>
        <v>0</v>
      </c>
    </row>
    <row r="351" spans="1:21" ht="36" hidden="1" x14ac:dyDescent="0.35">
      <c r="A351" s="10" t="s">
        <v>1456</v>
      </c>
      <c r="B351" s="10" t="s">
        <v>1423</v>
      </c>
      <c r="C351" s="11" t="s">
        <v>1424</v>
      </c>
      <c r="D351" s="12"/>
      <c r="E351" s="12"/>
      <c r="F351" s="12" t="s">
        <v>63</v>
      </c>
      <c r="G351" s="13">
        <v>1</v>
      </c>
      <c r="H351" s="13"/>
      <c r="I351" s="13">
        <v>0</v>
      </c>
      <c r="J351" s="14">
        <v>13.32</v>
      </c>
      <c r="K351" s="15">
        <v>464</v>
      </c>
      <c r="L351" s="14">
        <f>J351+ROUND(K351, 2)</f>
        <v>477.32</v>
      </c>
      <c r="M351" s="14"/>
      <c r="N351" s="14"/>
      <c r="O351" s="74"/>
      <c r="P351" s="82">
        <v>73.040000000000006</v>
      </c>
      <c r="Q351" s="85">
        <v>464</v>
      </c>
      <c r="R351" s="90">
        <f>P351+ROUND(Q351, 2)</f>
        <v>537.04</v>
      </c>
      <c r="S351" s="77">
        <v>0</v>
      </c>
      <c r="T351" s="14">
        <v>0</v>
      </c>
      <c r="U351" s="14">
        <f>S351+T351</f>
        <v>0</v>
      </c>
    </row>
    <row r="352" spans="1:21" ht="36" hidden="1" x14ac:dyDescent="0.5">
      <c r="A352" s="10" t="s">
        <v>1459</v>
      </c>
      <c r="B352" s="10"/>
      <c r="C352" s="28" t="s">
        <v>1430</v>
      </c>
      <c r="D352" s="12"/>
      <c r="E352" s="12"/>
      <c r="F352" s="29" t="s">
        <v>498</v>
      </c>
      <c r="G352" s="30">
        <v>0.4</v>
      </c>
      <c r="H352" s="30"/>
      <c r="I352" s="30">
        <v>0</v>
      </c>
      <c r="J352" s="31">
        <v>0</v>
      </c>
      <c r="M352" s="32"/>
      <c r="P352" s="83">
        <v>149.31</v>
      </c>
      <c r="R352" s="89"/>
      <c r="S352" s="78">
        <f>ROUND(ROUND(P352, 2)*I352, 2)</f>
        <v>0</v>
      </c>
    </row>
    <row r="353" spans="1:21" ht="36" hidden="1" x14ac:dyDescent="0.5">
      <c r="A353" s="10" t="s">
        <v>1465</v>
      </c>
      <c r="B353" s="10"/>
      <c r="C353" s="28" t="s">
        <v>925</v>
      </c>
      <c r="D353" s="12"/>
      <c r="E353" s="12"/>
      <c r="F353" s="29" t="s">
        <v>498</v>
      </c>
      <c r="G353" s="30">
        <v>0.15</v>
      </c>
      <c r="H353" s="30"/>
      <c r="I353" s="30">
        <v>0</v>
      </c>
      <c r="J353" s="31">
        <v>88.8</v>
      </c>
      <c r="M353" s="32"/>
      <c r="P353" s="83">
        <v>88.8</v>
      </c>
      <c r="R353" s="89"/>
      <c r="S353" s="78">
        <f>ROUND(ROUND(P353, 2)*I353, 2)</f>
        <v>0</v>
      </c>
    </row>
    <row r="354" spans="1:21" ht="36" hidden="1" x14ac:dyDescent="0.35">
      <c r="A354" s="10" t="s">
        <v>1470</v>
      </c>
      <c r="B354" s="10" t="s">
        <v>1423</v>
      </c>
      <c r="C354" s="11" t="s">
        <v>1424</v>
      </c>
      <c r="D354" s="12"/>
      <c r="E354" s="12"/>
      <c r="F354" s="12" t="s">
        <v>63</v>
      </c>
      <c r="G354" s="13">
        <v>1</v>
      </c>
      <c r="H354" s="13"/>
      <c r="I354" s="13">
        <v>0</v>
      </c>
      <c r="J354" s="14">
        <v>13.32</v>
      </c>
      <c r="K354" s="15">
        <v>464</v>
      </c>
      <c r="L354" s="14">
        <f>J354+ROUND(K354, 2)</f>
        <v>477.32</v>
      </c>
      <c r="M354" s="14"/>
      <c r="N354" s="14"/>
      <c r="O354" s="74"/>
      <c r="P354" s="82">
        <v>73.040000000000006</v>
      </c>
      <c r="Q354" s="85">
        <v>464</v>
      </c>
      <c r="R354" s="90">
        <f>P354+ROUND(Q354, 2)</f>
        <v>537.04</v>
      </c>
      <c r="S354" s="77">
        <v>0</v>
      </c>
      <c r="T354" s="14">
        <v>0</v>
      </c>
      <c r="U354" s="14">
        <f>S354+T354</f>
        <v>0</v>
      </c>
    </row>
    <row r="355" spans="1:21" ht="29" hidden="1" customHeight="1" x14ac:dyDescent="0.5">
      <c r="A355" s="10" t="s">
        <v>1473</v>
      </c>
      <c r="B355" s="10"/>
      <c r="C355" s="28" t="s">
        <v>925</v>
      </c>
      <c r="D355" s="12"/>
      <c r="E355" s="12"/>
      <c r="F355" s="29" t="s">
        <v>498</v>
      </c>
      <c r="G355" s="30">
        <v>0.15</v>
      </c>
      <c r="H355" s="30"/>
      <c r="I355" s="30">
        <v>0</v>
      </c>
      <c r="J355" s="31">
        <v>88.8</v>
      </c>
      <c r="M355" s="32"/>
      <c r="P355" s="83">
        <v>88.8</v>
      </c>
      <c r="R355" s="89"/>
      <c r="S355" s="78">
        <f>ROUND(ROUND(P355, 2)*I355, 2)</f>
        <v>0</v>
      </c>
    </row>
    <row r="356" spans="1:21" ht="36" hidden="1" x14ac:dyDescent="0.5">
      <c r="A356" s="10" t="s">
        <v>1478</v>
      </c>
      <c r="B356" s="10"/>
      <c r="C356" s="28" t="s">
        <v>1430</v>
      </c>
      <c r="D356" s="12"/>
      <c r="E356" s="12"/>
      <c r="F356" s="29" t="s">
        <v>498</v>
      </c>
      <c r="G356" s="30">
        <v>0.4</v>
      </c>
      <c r="H356" s="30"/>
      <c r="I356" s="30">
        <v>0</v>
      </c>
      <c r="J356" s="31">
        <v>0</v>
      </c>
      <c r="M356" s="32"/>
      <c r="P356" s="83">
        <v>149.31</v>
      </c>
      <c r="R356" s="89"/>
      <c r="S356" s="78">
        <f>ROUND(ROUND(P356, 2)*I356, 2)</f>
        <v>0</v>
      </c>
    </row>
    <row r="357" spans="1:21" ht="36" hidden="1" x14ac:dyDescent="0.35">
      <c r="A357" s="10" t="s">
        <v>1484</v>
      </c>
      <c r="B357" s="10" t="s">
        <v>1423</v>
      </c>
      <c r="C357" s="11" t="s">
        <v>1424</v>
      </c>
      <c r="D357" s="12"/>
      <c r="E357" s="12" t="s">
        <v>1428</v>
      </c>
      <c r="F357" s="12" t="s">
        <v>63</v>
      </c>
      <c r="G357" s="13">
        <v>1</v>
      </c>
      <c r="H357" s="13"/>
      <c r="I357" s="13">
        <v>0</v>
      </c>
      <c r="J357" s="14">
        <f>IFERROR(ROUND(SUM(M358,M359)/I357, 2),0)</f>
        <v>0</v>
      </c>
      <c r="K357" s="15">
        <v>464</v>
      </c>
      <c r="L357" s="14">
        <f>J357+ROUND(K357, 2)</f>
        <v>464</v>
      </c>
      <c r="M357" s="14"/>
      <c r="N357" s="14"/>
      <c r="O357" s="74"/>
      <c r="P357" s="82">
        <f>IFERROR(ROUND(SUM(S358,S359)/I357, 2),0)</f>
        <v>0</v>
      </c>
      <c r="Q357" s="86">
        <v>696</v>
      </c>
      <c r="R357" s="90">
        <f>P357+ROUND(Q357, 2)</f>
        <v>696</v>
      </c>
      <c r="S357" s="77">
        <f>ROUND(P357*I357, 2)</f>
        <v>0</v>
      </c>
      <c r="T357" s="14">
        <f>ROUND(I357*ROUND(Q357, 2), 2)</f>
        <v>0</v>
      </c>
      <c r="U357" s="14">
        <f>S357+T357</f>
        <v>0</v>
      </c>
    </row>
    <row r="358" spans="1:21" ht="126" hidden="1" x14ac:dyDescent="0.5">
      <c r="A358" s="10" t="s">
        <v>1485</v>
      </c>
      <c r="B358" s="10"/>
      <c r="C358" s="28" t="s">
        <v>1430</v>
      </c>
      <c r="D358" s="12"/>
      <c r="E358" s="12" t="s">
        <v>1435</v>
      </c>
      <c r="F358" s="29" t="s">
        <v>498</v>
      </c>
      <c r="G358" s="30">
        <v>0.4</v>
      </c>
      <c r="H358" s="30"/>
      <c r="I358" s="30">
        <v>0</v>
      </c>
      <c r="J358" s="31">
        <v>0</v>
      </c>
      <c r="M358" s="32"/>
      <c r="P358" s="84">
        <v>0</v>
      </c>
      <c r="R358" s="89"/>
      <c r="S358" s="78">
        <f>ROUND(ROUND(P358, 2)*I358, 2)</f>
        <v>0</v>
      </c>
    </row>
    <row r="359" spans="1:21" ht="36" hidden="1" x14ac:dyDescent="0.5">
      <c r="A359" s="10" t="s">
        <v>1488</v>
      </c>
      <c r="B359" s="10"/>
      <c r="C359" s="28" t="s">
        <v>925</v>
      </c>
      <c r="D359" s="12"/>
      <c r="E359" s="12"/>
      <c r="F359" s="29" t="s">
        <v>498</v>
      </c>
      <c r="G359" s="30">
        <v>0.15</v>
      </c>
      <c r="H359" s="30"/>
      <c r="I359" s="30">
        <v>0</v>
      </c>
      <c r="J359" s="31">
        <v>88.8</v>
      </c>
      <c r="M359" s="32"/>
      <c r="P359" s="84">
        <v>88.8</v>
      </c>
      <c r="R359" s="89"/>
      <c r="S359" s="78">
        <f>ROUND(ROUND(P359, 2)*I359, 2)</f>
        <v>0</v>
      </c>
    </row>
    <row r="360" spans="1:21" ht="36" hidden="1" x14ac:dyDescent="0.35">
      <c r="A360" s="10" t="s">
        <v>1491</v>
      </c>
      <c r="B360" s="10" t="s">
        <v>1423</v>
      </c>
      <c r="C360" s="11" t="s">
        <v>1424</v>
      </c>
      <c r="D360" s="12"/>
      <c r="E360" s="12" t="s">
        <v>1444</v>
      </c>
      <c r="F360" s="12" t="s">
        <v>63</v>
      </c>
      <c r="G360" s="13">
        <v>1</v>
      </c>
      <c r="H360" s="13"/>
      <c r="I360" s="13">
        <v>0</v>
      </c>
      <c r="J360" s="14">
        <f>IFERROR(ROUND(SUM(M361,M362)/I360, 2),0)</f>
        <v>0</v>
      </c>
      <c r="K360" s="15">
        <v>464</v>
      </c>
      <c r="L360" s="14">
        <f>J360+ROUND(K360, 2)</f>
        <v>464</v>
      </c>
      <c r="M360" s="14"/>
      <c r="N360" s="14"/>
      <c r="O360" s="74"/>
      <c r="P360" s="82">
        <f>IFERROR(ROUND(SUM(S361,S362)/I360, 2),0)</f>
        <v>0</v>
      </c>
      <c r="Q360" s="86">
        <v>696</v>
      </c>
      <c r="R360" s="90">
        <f>P360+ROUND(Q360, 2)</f>
        <v>696</v>
      </c>
      <c r="S360" s="77">
        <f>ROUND(P360*I360, 2)</f>
        <v>0</v>
      </c>
      <c r="T360" s="14">
        <f>ROUND(I360*ROUND(Q360, 2), 2)</f>
        <v>0</v>
      </c>
      <c r="U360" s="14">
        <f>S360+T360</f>
        <v>0</v>
      </c>
    </row>
    <row r="361" spans="1:21" ht="36" hidden="1" x14ac:dyDescent="0.5">
      <c r="A361" s="10" t="s">
        <v>1492</v>
      </c>
      <c r="B361" s="10"/>
      <c r="C361" s="28" t="s">
        <v>925</v>
      </c>
      <c r="D361" s="12"/>
      <c r="E361" s="12"/>
      <c r="F361" s="29" t="s">
        <v>498</v>
      </c>
      <c r="G361" s="30">
        <v>0.15</v>
      </c>
      <c r="H361" s="30"/>
      <c r="I361" s="30">
        <v>0</v>
      </c>
      <c r="J361" s="31">
        <v>88.8</v>
      </c>
      <c r="M361" s="32"/>
      <c r="P361" s="84">
        <v>88.8</v>
      </c>
      <c r="R361" s="89"/>
      <c r="S361" s="78">
        <f>ROUND(ROUND(P361, 2)*I361, 2)</f>
        <v>0</v>
      </c>
    </row>
    <row r="362" spans="1:21" ht="72" hidden="1" x14ac:dyDescent="0.5">
      <c r="A362" s="10" t="s">
        <v>1495</v>
      </c>
      <c r="B362" s="10"/>
      <c r="C362" s="28" t="s">
        <v>1430</v>
      </c>
      <c r="D362" s="12"/>
      <c r="E362" s="12" t="s">
        <v>1454</v>
      </c>
      <c r="F362" s="29" t="s">
        <v>498</v>
      </c>
      <c r="G362" s="30">
        <v>0.4</v>
      </c>
      <c r="H362" s="30"/>
      <c r="I362" s="30">
        <v>0</v>
      </c>
      <c r="J362" s="31">
        <v>0</v>
      </c>
      <c r="M362" s="32"/>
      <c r="P362" s="84">
        <v>0</v>
      </c>
      <c r="R362" s="89"/>
      <c r="S362" s="78">
        <f>ROUND(ROUND(P362, 2)*I362, 2)</f>
        <v>0</v>
      </c>
    </row>
    <row r="363" spans="1:21" ht="23.5" hidden="1" customHeight="1" x14ac:dyDescent="0.35">
      <c r="A363" s="10" t="s">
        <v>1498</v>
      </c>
      <c r="B363" s="10" t="s">
        <v>1423</v>
      </c>
      <c r="C363" s="11" t="s">
        <v>1424</v>
      </c>
      <c r="D363" s="12"/>
      <c r="E363" s="12" t="s">
        <v>1458</v>
      </c>
      <c r="F363" s="12" t="s">
        <v>63</v>
      </c>
      <c r="G363" s="13">
        <v>1</v>
      </c>
      <c r="H363" s="13"/>
      <c r="I363" s="13">
        <v>0</v>
      </c>
      <c r="J363" s="14">
        <f>IFERROR(ROUND(SUM(M364,M365)/I363, 2),0)</f>
        <v>0</v>
      </c>
      <c r="K363" s="15">
        <v>464</v>
      </c>
      <c r="L363" s="14">
        <f>J363+ROUND(K363, 2)</f>
        <v>464</v>
      </c>
      <c r="M363" s="14"/>
      <c r="N363" s="14"/>
      <c r="O363" s="74"/>
      <c r="P363" s="82">
        <f>IFERROR(ROUND(SUM(S364,S365)/I363, 2),0)</f>
        <v>0</v>
      </c>
      <c r="Q363" s="86">
        <v>696</v>
      </c>
      <c r="R363" s="90">
        <f>P363+ROUND(Q363, 2)</f>
        <v>696</v>
      </c>
      <c r="S363" s="77">
        <f>ROUND(P363*I363, 2)</f>
        <v>0</v>
      </c>
      <c r="T363" s="14">
        <f>ROUND(I363*ROUND(Q363, 2), 2)</f>
        <v>0</v>
      </c>
      <c r="U363" s="14">
        <f>S363+T363</f>
        <v>0</v>
      </c>
    </row>
    <row r="364" spans="1:21" ht="72" hidden="1" x14ac:dyDescent="0.5">
      <c r="A364" s="10" t="s">
        <v>1499</v>
      </c>
      <c r="B364" s="10"/>
      <c r="C364" s="28" t="s">
        <v>1430</v>
      </c>
      <c r="D364" s="12"/>
      <c r="E364" s="12" t="s">
        <v>1463</v>
      </c>
      <c r="F364" s="29" t="s">
        <v>498</v>
      </c>
      <c r="G364" s="30">
        <v>0.4</v>
      </c>
      <c r="H364" s="30"/>
      <c r="I364" s="30">
        <v>0</v>
      </c>
      <c r="J364" s="31">
        <v>0</v>
      </c>
      <c r="M364" s="32"/>
      <c r="P364" s="84">
        <v>0</v>
      </c>
      <c r="R364" s="89"/>
      <c r="S364" s="78">
        <f>ROUND(ROUND(P364, 2)*I364, 2)</f>
        <v>0</v>
      </c>
    </row>
    <row r="365" spans="1:21" ht="36" hidden="1" x14ac:dyDescent="0.5">
      <c r="A365" s="10" t="s">
        <v>1502</v>
      </c>
      <c r="B365" s="10"/>
      <c r="C365" s="28" t="s">
        <v>925</v>
      </c>
      <c r="D365" s="12"/>
      <c r="E365" s="12"/>
      <c r="F365" s="29" t="s">
        <v>498</v>
      </c>
      <c r="G365" s="30">
        <v>0.15</v>
      </c>
      <c r="H365" s="30"/>
      <c r="I365" s="30">
        <v>0</v>
      </c>
      <c r="J365" s="31">
        <v>88.8</v>
      </c>
      <c r="M365" s="32"/>
      <c r="P365" s="84">
        <v>88.8</v>
      </c>
      <c r="R365" s="89"/>
      <c r="S365" s="78">
        <f>ROUND(ROUND(P365, 2)*I365, 2)</f>
        <v>0</v>
      </c>
    </row>
    <row r="366" spans="1:21" ht="36" hidden="1" x14ac:dyDescent="0.35">
      <c r="A366" s="10" t="s">
        <v>1505</v>
      </c>
      <c r="B366" s="10" t="s">
        <v>1423</v>
      </c>
      <c r="C366" s="11" t="s">
        <v>1424</v>
      </c>
      <c r="D366" s="12"/>
      <c r="E366" s="12" t="s">
        <v>1472</v>
      </c>
      <c r="F366" s="12" t="s">
        <v>63</v>
      </c>
      <c r="G366" s="13">
        <v>1</v>
      </c>
      <c r="H366" s="13"/>
      <c r="I366" s="13">
        <v>0</v>
      </c>
      <c r="J366" s="14">
        <f>IFERROR(ROUND(SUM(M367,M368)/I366, 2),0)</f>
        <v>0</v>
      </c>
      <c r="K366" s="15">
        <v>464</v>
      </c>
      <c r="L366" s="14">
        <f>J366+ROUND(K366, 2)</f>
        <v>464</v>
      </c>
      <c r="M366" s="14"/>
      <c r="N366" s="14"/>
      <c r="O366" s="74"/>
      <c r="P366" s="82">
        <f>IFERROR(ROUND(SUM(S367,S368)/I366, 2),0)</f>
        <v>0</v>
      </c>
      <c r="Q366" s="86">
        <v>696</v>
      </c>
      <c r="R366" s="90">
        <f>P366+ROUND(Q366, 2)</f>
        <v>696</v>
      </c>
      <c r="S366" s="77">
        <f>ROUND(P366*I366, 2)</f>
        <v>0</v>
      </c>
      <c r="T366" s="14">
        <f>ROUND(I366*ROUND(Q366, 2), 2)</f>
        <v>0</v>
      </c>
      <c r="U366" s="14">
        <f>S366+T366</f>
        <v>0</v>
      </c>
    </row>
    <row r="367" spans="1:21" ht="36" hidden="1" x14ac:dyDescent="0.5">
      <c r="A367" s="10" t="s">
        <v>1506</v>
      </c>
      <c r="B367" s="10"/>
      <c r="C367" s="28" t="s">
        <v>925</v>
      </c>
      <c r="D367" s="12"/>
      <c r="E367" s="12"/>
      <c r="F367" s="29" t="s">
        <v>498</v>
      </c>
      <c r="G367" s="30">
        <v>0.15</v>
      </c>
      <c r="H367" s="30"/>
      <c r="I367" s="30">
        <v>0</v>
      </c>
      <c r="J367" s="31">
        <v>88.8</v>
      </c>
      <c r="M367" s="32"/>
      <c r="P367" s="84">
        <v>88.8</v>
      </c>
      <c r="R367" s="89"/>
      <c r="S367" s="78">
        <f>ROUND(ROUND(P367, 2)*I367, 2)</f>
        <v>0</v>
      </c>
    </row>
    <row r="368" spans="1:21" ht="72" hidden="1" x14ac:dyDescent="0.5">
      <c r="A368" s="10" t="s">
        <v>1509</v>
      </c>
      <c r="B368" s="10"/>
      <c r="C368" s="28" t="s">
        <v>1430</v>
      </c>
      <c r="D368" s="12"/>
      <c r="E368" s="12" t="s">
        <v>1482</v>
      </c>
      <c r="F368" s="29" t="s">
        <v>498</v>
      </c>
      <c r="G368" s="30">
        <v>0.4</v>
      </c>
      <c r="H368" s="30"/>
      <c r="I368" s="30">
        <v>0</v>
      </c>
      <c r="J368" s="31">
        <v>0</v>
      </c>
      <c r="M368" s="32"/>
      <c r="P368" s="84">
        <v>0</v>
      </c>
      <c r="R368" s="89"/>
      <c r="S368" s="78">
        <f>ROUND(ROUND(P368, 2)*I368, 2)</f>
        <v>0</v>
      </c>
    </row>
    <row r="369" spans="1:21" ht="17" hidden="1" customHeight="1" x14ac:dyDescent="0.5">
      <c r="A369" s="10" t="s">
        <v>1512</v>
      </c>
      <c r="B369" s="10" t="s">
        <v>1513</v>
      </c>
      <c r="C369" s="174" t="s">
        <v>1514</v>
      </c>
      <c r="D369" s="175"/>
      <c r="E369" s="175"/>
      <c r="F369" s="175"/>
      <c r="G369" s="175"/>
      <c r="H369" s="175"/>
      <c r="I369" s="176"/>
      <c r="M369" s="6"/>
      <c r="N369" s="6"/>
      <c r="O369" s="73"/>
      <c r="P369" s="81"/>
      <c r="R369" s="89"/>
      <c r="S369" s="76">
        <f>SUM(S370,S372,S374,S376,S378,S379,S380,S391,S402,S413,S424,S435,S445,S447)</f>
        <v>0</v>
      </c>
      <c r="T369" s="6">
        <f>SUM(T370,T372,T374,T376,T378,T379,T380,T391,T402,T413,T424,T435,T445,T447)</f>
        <v>0</v>
      </c>
      <c r="U369" s="6">
        <f>SUM(U370,U372,U374,U376,U378,U379,U380,U391,U402,U413,U424,U435,U445,U447)</f>
        <v>0</v>
      </c>
    </row>
    <row r="370" spans="1:21" ht="24" hidden="1" customHeight="1" x14ac:dyDescent="0.35">
      <c r="A370" s="10" t="s">
        <v>1515</v>
      </c>
      <c r="B370" s="10" t="s">
        <v>1516</v>
      </c>
      <c r="C370" s="11" t="s">
        <v>1517</v>
      </c>
      <c r="D370" s="12"/>
      <c r="E370" s="12"/>
      <c r="F370" s="12" t="s">
        <v>63</v>
      </c>
      <c r="G370" s="13">
        <v>1</v>
      </c>
      <c r="H370" s="13"/>
      <c r="I370" s="13">
        <v>0</v>
      </c>
      <c r="J370" s="14">
        <v>7126.9</v>
      </c>
      <c r="K370" s="15">
        <v>837</v>
      </c>
      <c r="L370" s="14">
        <f>J370+ROUND(K370, 2)</f>
        <v>7963.9</v>
      </c>
      <c r="M370" s="14"/>
      <c r="N370" s="14"/>
      <c r="O370" s="74"/>
      <c r="P370" s="82">
        <v>7126.9</v>
      </c>
      <c r="Q370" s="85">
        <v>837</v>
      </c>
      <c r="R370" s="90">
        <f>P370+ROUND(Q370, 2)</f>
        <v>7963.9</v>
      </c>
      <c r="S370" s="77">
        <v>0</v>
      </c>
      <c r="T370" s="14">
        <v>0</v>
      </c>
      <c r="U370" s="14">
        <f>S370+T370</f>
        <v>0</v>
      </c>
    </row>
    <row r="371" spans="1:21" ht="36" hidden="1" x14ac:dyDescent="0.5">
      <c r="A371" s="10" t="s">
        <v>1522</v>
      </c>
      <c r="B371" s="10"/>
      <c r="C371" s="28" t="s">
        <v>1523</v>
      </c>
      <c r="D371" s="12"/>
      <c r="E371" s="12"/>
      <c r="F371" s="29" t="s">
        <v>63</v>
      </c>
      <c r="G371" s="30">
        <v>1.1000000000000001</v>
      </c>
      <c r="H371" s="49"/>
      <c r="I371" s="49">
        <v>0</v>
      </c>
      <c r="J371" s="31">
        <v>6479</v>
      </c>
      <c r="M371" s="32"/>
      <c r="P371" s="83">
        <v>6479</v>
      </c>
      <c r="R371" s="89"/>
      <c r="S371" s="78">
        <f>ROUND(ROUND(P371, 2)*I371, 2)</f>
        <v>0</v>
      </c>
    </row>
    <row r="372" spans="1:21" ht="36" hidden="1" x14ac:dyDescent="0.35">
      <c r="A372" s="10" t="s">
        <v>1529</v>
      </c>
      <c r="B372" s="10" t="s">
        <v>1516</v>
      </c>
      <c r="C372" s="11" t="s">
        <v>1517</v>
      </c>
      <c r="D372" s="12"/>
      <c r="E372" s="12"/>
      <c r="F372" s="12" t="s">
        <v>63</v>
      </c>
      <c r="G372" s="13">
        <v>1</v>
      </c>
      <c r="H372" s="13"/>
      <c r="I372" s="13">
        <v>0</v>
      </c>
      <c r="J372" s="14">
        <v>1280.4000000000001</v>
      </c>
      <c r="K372" s="15">
        <v>837</v>
      </c>
      <c r="L372" s="14">
        <f>J372+ROUND(K372, 2)</f>
        <v>2117.4</v>
      </c>
      <c r="M372" s="14"/>
      <c r="N372" s="14"/>
      <c r="O372" s="74"/>
      <c r="P372" s="82">
        <v>1280.4000000000001</v>
      </c>
      <c r="Q372" s="85">
        <v>837</v>
      </c>
      <c r="R372" s="90">
        <f>P372+ROUND(Q372, 2)</f>
        <v>2117.4</v>
      </c>
      <c r="S372" s="77">
        <v>0</v>
      </c>
      <c r="T372" s="14">
        <v>0</v>
      </c>
      <c r="U372" s="14">
        <f>S372+T372</f>
        <v>0</v>
      </c>
    </row>
    <row r="373" spans="1:21" ht="21" hidden="1" x14ac:dyDescent="0.5">
      <c r="A373" s="10" t="s">
        <v>1532</v>
      </c>
      <c r="B373" s="10"/>
      <c r="C373" s="28" t="s">
        <v>1533</v>
      </c>
      <c r="D373" s="12"/>
      <c r="E373" s="12"/>
      <c r="F373" s="29" t="s">
        <v>63</v>
      </c>
      <c r="G373" s="30">
        <v>1.1000000000000001</v>
      </c>
      <c r="H373" s="49"/>
      <c r="I373" s="49">
        <v>0</v>
      </c>
      <c r="J373" s="31">
        <v>1164</v>
      </c>
      <c r="M373" s="32"/>
      <c r="P373" s="83">
        <v>1164</v>
      </c>
      <c r="R373" s="89"/>
      <c r="S373" s="78">
        <f>ROUND(ROUND(P373, 2)*I373, 2)</f>
        <v>0</v>
      </c>
    </row>
    <row r="374" spans="1:21" ht="126" hidden="1" x14ac:dyDescent="0.35">
      <c r="A374" s="10" t="s">
        <v>1539</v>
      </c>
      <c r="B374" s="10" t="s">
        <v>1516</v>
      </c>
      <c r="C374" s="11" t="s">
        <v>1517</v>
      </c>
      <c r="D374" s="12"/>
      <c r="E374" s="12" t="s">
        <v>1521</v>
      </c>
      <c r="F374" s="12" t="s">
        <v>63</v>
      </c>
      <c r="G374" s="13">
        <v>1</v>
      </c>
      <c r="H374" s="13"/>
      <c r="I374" s="13">
        <v>0</v>
      </c>
      <c r="J374" s="14">
        <f>IFERROR(ROUND(SUM(M375)/I374, 2),0)</f>
        <v>0</v>
      </c>
      <c r="K374" s="15">
        <v>837</v>
      </c>
      <c r="L374" s="14">
        <f>J374+ROUND(K374, 2)</f>
        <v>837</v>
      </c>
      <c r="M374" s="14"/>
      <c r="N374" s="14"/>
      <c r="O374" s="74"/>
      <c r="P374" s="82">
        <f>IFERROR(ROUND(SUM(S375)/I374, 2),0)</f>
        <v>0</v>
      </c>
      <c r="Q374" s="86">
        <v>1255.5</v>
      </c>
      <c r="R374" s="90">
        <f>P374+ROUND(Q374, 2)</f>
        <v>1255.5</v>
      </c>
      <c r="S374" s="77">
        <f>ROUND(P374*I374, 2)</f>
        <v>0</v>
      </c>
      <c r="T374" s="14">
        <f>ROUND(I374*ROUND(Q374, 2), 2)</f>
        <v>0</v>
      </c>
      <c r="U374" s="14">
        <f>S374+T374</f>
        <v>0</v>
      </c>
    </row>
    <row r="375" spans="1:21" ht="36" hidden="1" x14ac:dyDescent="0.5">
      <c r="A375" s="10" t="s">
        <v>1540</v>
      </c>
      <c r="B375" s="10"/>
      <c r="C375" s="28" t="s">
        <v>1523</v>
      </c>
      <c r="D375" s="12"/>
      <c r="E375" s="12"/>
      <c r="F375" s="29" t="s">
        <v>63</v>
      </c>
      <c r="G375" s="30">
        <v>1.1000000000000001</v>
      </c>
      <c r="H375" s="49"/>
      <c r="I375" s="49">
        <v>1137.95</v>
      </c>
      <c r="J375" s="31">
        <v>6479</v>
      </c>
      <c r="M375" s="32"/>
      <c r="P375" s="84">
        <v>6479</v>
      </c>
      <c r="R375" s="89"/>
      <c r="S375" s="78">
        <f>ROUND(ROUND(P375, 2)*I375, 2)</f>
        <v>7372778.0499999998</v>
      </c>
    </row>
    <row r="376" spans="1:21" ht="108" hidden="1" x14ac:dyDescent="0.35">
      <c r="A376" s="10" t="s">
        <v>1543</v>
      </c>
      <c r="B376" s="10" t="s">
        <v>1516</v>
      </c>
      <c r="C376" s="11" t="s">
        <v>1517</v>
      </c>
      <c r="D376" s="12"/>
      <c r="E376" s="12" t="s">
        <v>1531</v>
      </c>
      <c r="F376" s="12" t="s">
        <v>63</v>
      </c>
      <c r="G376" s="13">
        <v>1</v>
      </c>
      <c r="H376" s="13"/>
      <c r="I376" s="13">
        <v>0</v>
      </c>
      <c r="J376" s="14">
        <f>IFERROR(ROUND(SUM(M377)/I376, 2),0)</f>
        <v>0</v>
      </c>
      <c r="K376" s="15">
        <v>837</v>
      </c>
      <c r="L376" s="14">
        <f>J376+ROUND(K376, 2)</f>
        <v>837</v>
      </c>
      <c r="M376" s="14"/>
      <c r="N376" s="14"/>
      <c r="O376" s="74"/>
      <c r="P376" s="82">
        <f>IFERROR(ROUND(SUM(S377)/I376, 2),0)</f>
        <v>0</v>
      </c>
      <c r="Q376" s="86">
        <v>1255.5</v>
      </c>
      <c r="R376" s="90">
        <f>P376+ROUND(Q376, 2)</f>
        <v>1255.5</v>
      </c>
      <c r="S376" s="77">
        <f>ROUND(P376*I376, 2)</f>
        <v>0</v>
      </c>
      <c r="T376" s="14">
        <f>ROUND(I376*ROUND(Q376, 2), 2)</f>
        <v>0</v>
      </c>
      <c r="U376" s="14">
        <f>S376+T376</f>
        <v>0</v>
      </c>
    </row>
    <row r="377" spans="1:21" ht="21" hidden="1" x14ac:dyDescent="0.5">
      <c r="A377" s="10" t="s">
        <v>1544</v>
      </c>
      <c r="B377" s="10"/>
      <c r="C377" s="28" t="s">
        <v>1533</v>
      </c>
      <c r="D377" s="12"/>
      <c r="E377" s="12"/>
      <c r="F377" s="29" t="s">
        <v>63</v>
      </c>
      <c r="G377" s="30">
        <v>1.1000000000000001</v>
      </c>
      <c r="H377" s="49"/>
      <c r="I377" s="49">
        <v>198.22</v>
      </c>
      <c r="J377" s="31">
        <v>1164</v>
      </c>
      <c r="M377" s="32"/>
      <c r="P377" s="84">
        <v>1164</v>
      </c>
      <c r="R377" s="89"/>
      <c r="S377" s="78">
        <f>ROUND(ROUND(P377, 2)*I377, 2)</f>
        <v>230728.08</v>
      </c>
    </row>
    <row r="378" spans="1:21" ht="44" hidden="1" customHeight="1" x14ac:dyDescent="0.35">
      <c r="A378" s="10" t="s">
        <v>1547</v>
      </c>
      <c r="B378" s="10" t="s">
        <v>1548</v>
      </c>
      <c r="C378" s="11" t="s">
        <v>1549</v>
      </c>
      <c r="D378" s="12"/>
      <c r="E378" s="12"/>
      <c r="F378" s="12" t="s">
        <v>63</v>
      </c>
      <c r="G378" s="13">
        <v>1</v>
      </c>
      <c r="H378" s="13"/>
      <c r="I378" s="13">
        <v>0</v>
      </c>
      <c r="J378" s="14">
        <v>0</v>
      </c>
      <c r="K378" s="15">
        <v>121</v>
      </c>
      <c r="L378" s="14">
        <f>J378+ROUND(K378, 2)</f>
        <v>121</v>
      </c>
      <c r="M378" s="14"/>
      <c r="N378" s="14"/>
      <c r="O378" s="74"/>
      <c r="P378" s="82">
        <v>0</v>
      </c>
      <c r="Q378" s="85">
        <v>121</v>
      </c>
      <c r="R378" s="90">
        <f>P378+ROUND(Q378, 2)</f>
        <v>121</v>
      </c>
      <c r="S378" s="77">
        <v>0</v>
      </c>
      <c r="T378" s="14">
        <v>0</v>
      </c>
      <c r="U378" s="14">
        <f>S378+T378</f>
        <v>0</v>
      </c>
    </row>
    <row r="379" spans="1:21" ht="54" hidden="1" x14ac:dyDescent="0.35">
      <c r="A379" s="10" t="s">
        <v>1554</v>
      </c>
      <c r="B379" s="10" t="s">
        <v>1548</v>
      </c>
      <c r="C379" s="11" t="s">
        <v>1549</v>
      </c>
      <c r="D379" s="12"/>
      <c r="E379" s="12" t="s">
        <v>1553</v>
      </c>
      <c r="F379" s="12" t="s">
        <v>63</v>
      </c>
      <c r="G379" s="13">
        <v>1</v>
      </c>
      <c r="H379" s="13"/>
      <c r="I379" s="13">
        <v>0</v>
      </c>
      <c r="J379" s="14">
        <v>0</v>
      </c>
      <c r="K379" s="15">
        <v>121</v>
      </c>
      <c r="L379" s="14">
        <f>J379+ROUND(K379, 2)</f>
        <v>121</v>
      </c>
      <c r="M379" s="14"/>
      <c r="N379" s="14"/>
      <c r="O379" s="74"/>
      <c r="P379" s="82">
        <v>0</v>
      </c>
      <c r="Q379" s="86">
        <v>181.5</v>
      </c>
      <c r="R379" s="90">
        <f>P379+ROUND(Q379, 2)</f>
        <v>181.5</v>
      </c>
      <c r="S379" s="77">
        <v>0</v>
      </c>
      <c r="T379" s="14">
        <f>ROUND(I379*ROUND(Q379, 2), 2)</f>
        <v>0</v>
      </c>
      <c r="U379" s="14">
        <f>S379+T379</f>
        <v>0</v>
      </c>
    </row>
    <row r="380" spans="1:21" ht="36" hidden="1" x14ac:dyDescent="0.35">
      <c r="A380" s="10" t="s">
        <v>1555</v>
      </c>
      <c r="B380" s="10" t="s">
        <v>1556</v>
      </c>
      <c r="C380" s="11" t="s">
        <v>1557</v>
      </c>
      <c r="D380" s="12"/>
      <c r="E380" s="12"/>
      <c r="F380" s="12" t="s">
        <v>63</v>
      </c>
      <c r="G380" s="13">
        <v>1</v>
      </c>
      <c r="H380" s="13"/>
      <c r="I380" s="13">
        <v>0</v>
      </c>
      <c r="J380" s="14">
        <v>584.54999999999995</v>
      </c>
      <c r="K380" s="15">
        <v>1379</v>
      </c>
      <c r="L380" s="14">
        <f>J380+ROUND(K380, 2)</f>
        <v>1963.55</v>
      </c>
      <c r="M380" s="14"/>
      <c r="N380" s="14"/>
      <c r="O380" s="74"/>
      <c r="P380" s="82">
        <v>584.54999999999995</v>
      </c>
      <c r="Q380" s="85">
        <v>1379</v>
      </c>
      <c r="R380" s="90">
        <f>P380+ROUND(Q380, 2)</f>
        <v>1963.55</v>
      </c>
      <c r="S380" s="77">
        <v>0</v>
      </c>
      <c r="T380" s="14">
        <v>0</v>
      </c>
      <c r="U380" s="14">
        <f>S380+T380</f>
        <v>0</v>
      </c>
    </row>
    <row r="381" spans="1:21" ht="21" hidden="1" x14ac:dyDescent="0.5">
      <c r="A381" s="10" t="s">
        <v>1562</v>
      </c>
      <c r="B381" s="10"/>
      <c r="C381" s="28" t="s">
        <v>1563</v>
      </c>
      <c r="D381" s="12"/>
      <c r="E381" s="12"/>
      <c r="F381" s="29" t="s">
        <v>490</v>
      </c>
      <c r="G381" s="30">
        <v>15</v>
      </c>
      <c r="H381" s="30"/>
      <c r="I381" s="30">
        <v>0</v>
      </c>
      <c r="J381" s="31">
        <v>0.95</v>
      </c>
      <c r="M381" s="32"/>
      <c r="P381" s="83">
        <v>0.95</v>
      </c>
      <c r="R381" s="89"/>
      <c r="S381" s="78">
        <f t="shared" ref="S381:S390" si="2">ROUND(ROUND(P381, 2)*I381, 2)</f>
        <v>0</v>
      </c>
    </row>
    <row r="382" spans="1:21" ht="21" hidden="1" x14ac:dyDescent="0.5">
      <c r="A382" s="10" t="s">
        <v>1569</v>
      </c>
      <c r="B382" s="10"/>
      <c r="C382" s="28" t="s">
        <v>1570</v>
      </c>
      <c r="D382" s="12"/>
      <c r="E382" s="12"/>
      <c r="F382" s="29" t="s">
        <v>498</v>
      </c>
      <c r="G382" s="30">
        <v>0.35</v>
      </c>
      <c r="H382" s="30"/>
      <c r="I382" s="30">
        <v>0</v>
      </c>
      <c r="J382" s="31">
        <v>55</v>
      </c>
      <c r="M382" s="32"/>
      <c r="P382" s="83">
        <v>55</v>
      </c>
      <c r="R382" s="89"/>
      <c r="S382" s="78">
        <f t="shared" si="2"/>
        <v>0</v>
      </c>
    </row>
    <row r="383" spans="1:21" ht="21" hidden="1" x14ac:dyDescent="0.5">
      <c r="A383" s="10" t="s">
        <v>1576</v>
      </c>
      <c r="B383" s="10"/>
      <c r="C383" s="28" t="s">
        <v>1577</v>
      </c>
      <c r="D383" s="12"/>
      <c r="E383" s="12"/>
      <c r="F383" s="29" t="s">
        <v>490</v>
      </c>
      <c r="G383" s="30">
        <v>0.3</v>
      </c>
      <c r="H383" s="30"/>
      <c r="I383" s="30">
        <v>0</v>
      </c>
      <c r="J383" s="31">
        <v>5.6</v>
      </c>
      <c r="M383" s="32"/>
      <c r="P383" s="83">
        <v>5.6</v>
      </c>
      <c r="R383" s="89"/>
      <c r="S383" s="78">
        <f t="shared" si="2"/>
        <v>0</v>
      </c>
    </row>
    <row r="384" spans="1:21" ht="36" hidden="1" x14ac:dyDescent="0.5">
      <c r="A384" s="10" t="s">
        <v>1583</v>
      </c>
      <c r="B384" s="10"/>
      <c r="C384" s="47" t="s">
        <v>1584</v>
      </c>
      <c r="D384" s="12"/>
      <c r="E384" s="12"/>
      <c r="F384" s="29" t="s">
        <v>490</v>
      </c>
      <c r="G384" s="30">
        <v>3.6</v>
      </c>
      <c r="H384" s="30"/>
      <c r="I384" s="30">
        <v>0</v>
      </c>
      <c r="J384" s="31">
        <v>15.9</v>
      </c>
      <c r="M384" s="32"/>
      <c r="P384" s="83">
        <v>15.9</v>
      </c>
      <c r="R384" s="89"/>
      <c r="S384" s="78">
        <f t="shared" si="2"/>
        <v>0</v>
      </c>
    </row>
    <row r="385" spans="1:21" ht="21" hidden="1" x14ac:dyDescent="0.5">
      <c r="A385" s="10" t="s">
        <v>1590</v>
      </c>
      <c r="B385" s="10"/>
      <c r="C385" s="28" t="s">
        <v>1591</v>
      </c>
      <c r="D385" s="12"/>
      <c r="E385" s="12"/>
      <c r="F385" s="29" t="s">
        <v>78</v>
      </c>
      <c r="G385" s="30">
        <v>1.2</v>
      </c>
      <c r="H385" s="30"/>
      <c r="I385" s="30">
        <v>0</v>
      </c>
      <c r="J385" s="31">
        <v>22.82</v>
      </c>
      <c r="M385" s="32"/>
      <c r="P385" s="83">
        <v>22.82</v>
      </c>
      <c r="R385" s="89"/>
      <c r="S385" s="78">
        <f t="shared" si="2"/>
        <v>0</v>
      </c>
    </row>
    <row r="386" spans="1:21" ht="21" hidden="1" x14ac:dyDescent="0.5">
      <c r="A386" s="10" t="s">
        <v>1597</v>
      </c>
      <c r="B386" s="10"/>
      <c r="C386" s="28" t="s">
        <v>1598</v>
      </c>
      <c r="D386" s="12"/>
      <c r="E386" s="12"/>
      <c r="F386" s="29" t="s">
        <v>78</v>
      </c>
      <c r="G386" s="30">
        <v>4.7</v>
      </c>
      <c r="H386" s="30"/>
      <c r="I386" s="30">
        <v>0</v>
      </c>
      <c r="J386" s="31">
        <v>66.98</v>
      </c>
      <c r="M386" s="32"/>
      <c r="P386" s="83">
        <v>66.98</v>
      </c>
      <c r="R386" s="89"/>
      <c r="S386" s="78">
        <f t="shared" si="2"/>
        <v>0</v>
      </c>
    </row>
    <row r="387" spans="1:21" ht="21" hidden="1" x14ac:dyDescent="0.5">
      <c r="A387" s="10" t="s">
        <v>1604</v>
      </c>
      <c r="B387" s="10"/>
      <c r="C387" s="28" t="s">
        <v>1605</v>
      </c>
      <c r="D387" s="12"/>
      <c r="E387" s="12"/>
      <c r="F387" s="29" t="s">
        <v>78</v>
      </c>
      <c r="G387" s="30">
        <v>1.05</v>
      </c>
      <c r="H387" s="30"/>
      <c r="I387" s="30">
        <v>0</v>
      </c>
      <c r="J387" s="31">
        <v>4.5999999999999996</v>
      </c>
      <c r="M387" s="32"/>
      <c r="P387" s="83">
        <v>4.5999999999999996</v>
      </c>
      <c r="R387" s="89"/>
      <c r="S387" s="78">
        <f t="shared" si="2"/>
        <v>0</v>
      </c>
    </row>
    <row r="388" spans="1:21" ht="21" hidden="1" x14ac:dyDescent="0.5">
      <c r="A388" s="10" t="s">
        <v>1611</v>
      </c>
      <c r="B388" s="10"/>
      <c r="C388" s="28" t="s">
        <v>1612</v>
      </c>
      <c r="D388" s="12"/>
      <c r="E388" s="12"/>
      <c r="F388" s="29" t="s">
        <v>78</v>
      </c>
      <c r="G388" s="30">
        <v>0.25</v>
      </c>
      <c r="H388" s="30"/>
      <c r="I388" s="30">
        <v>0</v>
      </c>
      <c r="J388" s="31">
        <v>2.8</v>
      </c>
      <c r="M388" s="32"/>
      <c r="P388" s="83">
        <v>2.8</v>
      </c>
      <c r="R388" s="89"/>
      <c r="S388" s="78">
        <f t="shared" si="2"/>
        <v>0</v>
      </c>
    </row>
    <row r="389" spans="1:21" ht="36" hidden="1" x14ac:dyDescent="0.5">
      <c r="A389" s="10" t="s">
        <v>1618</v>
      </c>
      <c r="B389" s="10"/>
      <c r="C389" s="28" t="s">
        <v>1619</v>
      </c>
      <c r="D389" s="12"/>
      <c r="E389" s="12"/>
      <c r="F389" s="29" t="s">
        <v>63</v>
      </c>
      <c r="G389" s="30">
        <v>1.05</v>
      </c>
      <c r="H389" s="30"/>
      <c r="I389" s="30">
        <v>0</v>
      </c>
      <c r="J389" s="31">
        <v>135.53</v>
      </c>
      <c r="M389" s="32"/>
      <c r="P389" s="83">
        <v>135.53</v>
      </c>
      <c r="R389" s="89"/>
      <c r="S389" s="78">
        <f t="shared" si="2"/>
        <v>0</v>
      </c>
    </row>
    <row r="390" spans="1:21" ht="21" hidden="1" x14ac:dyDescent="0.5">
      <c r="A390" s="10" t="s">
        <v>1625</v>
      </c>
      <c r="B390" s="10"/>
      <c r="C390" s="28" t="s">
        <v>1626</v>
      </c>
      <c r="D390" s="12"/>
      <c r="E390" s="12"/>
      <c r="F390" s="29" t="s">
        <v>490</v>
      </c>
      <c r="G390" s="30">
        <v>0.75</v>
      </c>
      <c r="H390" s="30"/>
      <c r="I390" s="30">
        <v>0</v>
      </c>
      <c r="J390" s="31">
        <v>2.8</v>
      </c>
      <c r="M390" s="32"/>
      <c r="P390" s="83">
        <v>2.8</v>
      </c>
      <c r="R390" s="89"/>
      <c r="S390" s="78">
        <f t="shared" si="2"/>
        <v>0</v>
      </c>
    </row>
    <row r="391" spans="1:21" ht="36" hidden="1" x14ac:dyDescent="0.35">
      <c r="A391" s="10" t="s">
        <v>1632</v>
      </c>
      <c r="B391" s="10" t="s">
        <v>1556</v>
      </c>
      <c r="C391" s="11" t="s">
        <v>1557</v>
      </c>
      <c r="D391" s="12"/>
      <c r="E391" s="12"/>
      <c r="F391" s="12" t="s">
        <v>63</v>
      </c>
      <c r="G391" s="13">
        <v>1</v>
      </c>
      <c r="H391" s="13"/>
      <c r="I391" s="13">
        <v>0</v>
      </c>
      <c r="J391" s="14">
        <v>584.54999999999995</v>
      </c>
      <c r="K391" s="15">
        <v>1379</v>
      </c>
      <c r="L391" s="14">
        <f>J391+ROUND(K391, 2)</f>
        <v>1963.55</v>
      </c>
      <c r="M391" s="14"/>
      <c r="N391" s="14"/>
      <c r="O391" s="74"/>
      <c r="P391" s="82">
        <v>584.54999999999995</v>
      </c>
      <c r="Q391" s="85">
        <v>1379</v>
      </c>
      <c r="R391" s="90">
        <f>P391+ROUND(Q391, 2)</f>
        <v>1963.55</v>
      </c>
      <c r="S391" s="77">
        <v>0</v>
      </c>
      <c r="T391" s="14">
        <v>0</v>
      </c>
      <c r="U391" s="14">
        <f>S391+T391</f>
        <v>0</v>
      </c>
    </row>
    <row r="392" spans="1:21" ht="21" hidden="1" x14ac:dyDescent="0.5">
      <c r="A392" s="10" t="s">
        <v>1635</v>
      </c>
      <c r="B392" s="10"/>
      <c r="C392" s="28" t="s">
        <v>1626</v>
      </c>
      <c r="D392" s="12"/>
      <c r="E392" s="12"/>
      <c r="F392" s="29" t="s">
        <v>490</v>
      </c>
      <c r="G392" s="30">
        <v>0.75</v>
      </c>
      <c r="H392" s="30"/>
      <c r="I392" s="30">
        <v>0</v>
      </c>
      <c r="J392" s="31">
        <v>2.8</v>
      </c>
      <c r="M392" s="32"/>
      <c r="P392" s="83">
        <v>2.8</v>
      </c>
      <c r="R392" s="89"/>
      <c r="S392" s="78">
        <f t="shared" ref="S392:S401" si="3">ROUND(ROUND(P392, 2)*I392, 2)</f>
        <v>0</v>
      </c>
    </row>
    <row r="393" spans="1:21" ht="35" hidden="1" customHeight="1" x14ac:dyDescent="0.5">
      <c r="A393" s="10" t="s">
        <v>1640</v>
      </c>
      <c r="B393" s="10"/>
      <c r="C393" s="28" t="s">
        <v>100</v>
      </c>
      <c r="D393" s="12"/>
      <c r="E393" s="12"/>
      <c r="F393" s="29" t="s">
        <v>63</v>
      </c>
      <c r="G393" s="30">
        <v>1.05</v>
      </c>
      <c r="H393" s="30"/>
      <c r="I393" s="30">
        <v>0</v>
      </c>
      <c r="J393" s="31">
        <v>135.53</v>
      </c>
      <c r="M393" s="32"/>
      <c r="P393" s="83">
        <v>135.53</v>
      </c>
      <c r="R393" s="89"/>
      <c r="S393" s="78">
        <f t="shared" si="3"/>
        <v>0</v>
      </c>
    </row>
    <row r="394" spans="1:21" ht="21" hidden="1" x14ac:dyDescent="0.5">
      <c r="A394" s="10" t="s">
        <v>1645</v>
      </c>
      <c r="B394" s="10"/>
      <c r="C394" s="28" t="s">
        <v>1612</v>
      </c>
      <c r="D394" s="12"/>
      <c r="E394" s="12"/>
      <c r="F394" s="29" t="s">
        <v>78</v>
      </c>
      <c r="G394" s="30">
        <v>0.25</v>
      </c>
      <c r="H394" s="30"/>
      <c r="I394" s="30">
        <v>0</v>
      </c>
      <c r="J394" s="31">
        <v>2.8</v>
      </c>
      <c r="M394" s="32"/>
      <c r="P394" s="83">
        <v>2.8</v>
      </c>
      <c r="R394" s="89"/>
      <c r="S394" s="78">
        <f t="shared" si="3"/>
        <v>0</v>
      </c>
    </row>
    <row r="395" spans="1:21" ht="21" hidden="1" x14ac:dyDescent="0.5">
      <c r="A395" s="10" t="s">
        <v>1650</v>
      </c>
      <c r="B395" s="10"/>
      <c r="C395" s="28" t="s">
        <v>1605</v>
      </c>
      <c r="D395" s="12"/>
      <c r="E395" s="12"/>
      <c r="F395" s="29" t="s">
        <v>78</v>
      </c>
      <c r="G395" s="30">
        <v>1.05</v>
      </c>
      <c r="H395" s="30"/>
      <c r="I395" s="30">
        <v>0</v>
      </c>
      <c r="J395" s="31">
        <v>4.5999999999999996</v>
      </c>
      <c r="M395" s="32"/>
      <c r="P395" s="83">
        <v>4.5999999999999996</v>
      </c>
      <c r="R395" s="89"/>
      <c r="S395" s="78">
        <f t="shared" si="3"/>
        <v>0</v>
      </c>
    </row>
    <row r="396" spans="1:21" ht="21" hidden="1" x14ac:dyDescent="0.5">
      <c r="A396" s="10" t="s">
        <v>1655</v>
      </c>
      <c r="B396" s="10"/>
      <c r="C396" s="28" t="s">
        <v>1591</v>
      </c>
      <c r="D396" s="12"/>
      <c r="E396" s="12"/>
      <c r="F396" s="29" t="s">
        <v>78</v>
      </c>
      <c r="G396" s="30">
        <v>1.2</v>
      </c>
      <c r="H396" s="30"/>
      <c r="I396" s="30">
        <v>0</v>
      </c>
      <c r="J396" s="31">
        <v>22.82</v>
      </c>
      <c r="M396" s="32"/>
      <c r="P396" s="83">
        <v>22.82</v>
      </c>
      <c r="R396" s="89"/>
      <c r="S396" s="78">
        <f t="shared" si="3"/>
        <v>0</v>
      </c>
    </row>
    <row r="397" spans="1:21" ht="21" hidden="1" x14ac:dyDescent="0.5">
      <c r="A397" s="10" t="s">
        <v>1660</v>
      </c>
      <c r="B397" s="10"/>
      <c r="C397" s="28" t="s">
        <v>1598</v>
      </c>
      <c r="D397" s="12"/>
      <c r="E397" s="12"/>
      <c r="F397" s="29" t="s">
        <v>78</v>
      </c>
      <c r="G397" s="30">
        <v>4.7</v>
      </c>
      <c r="H397" s="30"/>
      <c r="I397" s="30">
        <v>0</v>
      </c>
      <c r="J397" s="31">
        <v>66.98</v>
      </c>
      <c r="M397" s="32"/>
      <c r="P397" s="83">
        <v>66.98</v>
      </c>
      <c r="R397" s="89"/>
      <c r="S397" s="78">
        <f t="shared" si="3"/>
        <v>0</v>
      </c>
    </row>
    <row r="398" spans="1:21" ht="36" hidden="1" x14ac:dyDescent="0.5">
      <c r="A398" s="10" t="s">
        <v>1665</v>
      </c>
      <c r="B398" s="10"/>
      <c r="C398" s="47" t="s">
        <v>1584</v>
      </c>
      <c r="D398" s="12"/>
      <c r="E398" s="12"/>
      <c r="F398" s="29" t="s">
        <v>490</v>
      </c>
      <c r="G398" s="30">
        <v>3.6</v>
      </c>
      <c r="H398" s="30"/>
      <c r="I398" s="30">
        <v>0</v>
      </c>
      <c r="J398" s="31">
        <v>15.9</v>
      </c>
      <c r="M398" s="32"/>
      <c r="P398" s="83">
        <v>15.9</v>
      </c>
      <c r="R398" s="89"/>
      <c r="S398" s="78">
        <f t="shared" si="3"/>
        <v>0</v>
      </c>
    </row>
    <row r="399" spans="1:21" ht="21" hidden="1" x14ac:dyDescent="0.5">
      <c r="A399" s="10" t="s">
        <v>1670</v>
      </c>
      <c r="B399" s="10"/>
      <c r="C399" s="28" t="s">
        <v>1577</v>
      </c>
      <c r="D399" s="12"/>
      <c r="E399" s="12"/>
      <c r="F399" s="29" t="s">
        <v>490</v>
      </c>
      <c r="G399" s="30">
        <v>0.3</v>
      </c>
      <c r="H399" s="30"/>
      <c r="I399" s="30">
        <v>0</v>
      </c>
      <c r="J399" s="31">
        <v>5.6</v>
      </c>
      <c r="M399" s="32"/>
      <c r="P399" s="83">
        <v>5.6</v>
      </c>
      <c r="R399" s="89"/>
      <c r="S399" s="78">
        <f t="shared" si="3"/>
        <v>0</v>
      </c>
    </row>
    <row r="400" spans="1:21" ht="21" hidden="1" x14ac:dyDescent="0.5">
      <c r="A400" s="10" t="s">
        <v>1675</v>
      </c>
      <c r="B400" s="10"/>
      <c r="C400" s="28" t="s">
        <v>1570</v>
      </c>
      <c r="D400" s="12"/>
      <c r="E400" s="12"/>
      <c r="F400" s="29" t="s">
        <v>498</v>
      </c>
      <c r="G400" s="30">
        <v>0.35</v>
      </c>
      <c r="H400" s="30"/>
      <c r="I400" s="30">
        <v>0</v>
      </c>
      <c r="J400" s="31">
        <v>55</v>
      </c>
      <c r="M400" s="32"/>
      <c r="P400" s="83">
        <v>55</v>
      </c>
      <c r="R400" s="89"/>
      <c r="S400" s="78">
        <f t="shared" si="3"/>
        <v>0</v>
      </c>
    </row>
    <row r="401" spans="1:21" ht="21" hidden="1" x14ac:dyDescent="0.5">
      <c r="A401" s="10" t="s">
        <v>1680</v>
      </c>
      <c r="B401" s="10"/>
      <c r="C401" s="28" t="s">
        <v>1563</v>
      </c>
      <c r="D401" s="12"/>
      <c r="E401" s="12"/>
      <c r="F401" s="29" t="s">
        <v>490</v>
      </c>
      <c r="G401" s="30">
        <v>15</v>
      </c>
      <c r="H401" s="30"/>
      <c r="I401" s="30">
        <v>0</v>
      </c>
      <c r="J401" s="31">
        <v>0.95</v>
      </c>
      <c r="M401" s="32"/>
      <c r="P401" s="83">
        <v>0.95</v>
      </c>
      <c r="R401" s="89"/>
      <c r="S401" s="78">
        <f t="shared" si="3"/>
        <v>0</v>
      </c>
    </row>
    <row r="402" spans="1:21" ht="36" hidden="1" x14ac:dyDescent="0.35">
      <c r="A402" s="10" t="s">
        <v>1685</v>
      </c>
      <c r="B402" s="10" t="s">
        <v>1556</v>
      </c>
      <c r="C402" s="11" t="s">
        <v>1557</v>
      </c>
      <c r="D402" s="12"/>
      <c r="E402" s="12"/>
      <c r="F402" s="12" t="s">
        <v>63</v>
      </c>
      <c r="G402" s="13">
        <v>1</v>
      </c>
      <c r="H402" s="13"/>
      <c r="I402" s="13">
        <v>0</v>
      </c>
      <c r="J402" s="14">
        <v>442.24</v>
      </c>
      <c r="K402" s="15">
        <v>1379</v>
      </c>
      <c r="L402" s="14">
        <f>J402+ROUND(K402, 2)</f>
        <v>1821.24</v>
      </c>
      <c r="M402" s="14"/>
      <c r="N402" s="14"/>
      <c r="O402" s="74"/>
      <c r="P402" s="82">
        <v>2038.59</v>
      </c>
      <c r="Q402" s="85">
        <v>1379</v>
      </c>
      <c r="R402" s="90">
        <f>P402+ROUND(Q402, 2)</f>
        <v>3417.59</v>
      </c>
      <c r="S402" s="77">
        <v>0</v>
      </c>
      <c r="T402" s="14">
        <v>0</v>
      </c>
      <c r="U402" s="14">
        <f>S402+T402</f>
        <v>0</v>
      </c>
    </row>
    <row r="403" spans="1:21" ht="21" hidden="1" x14ac:dyDescent="0.5">
      <c r="A403" s="10" t="s">
        <v>1688</v>
      </c>
      <c r="B403" s="10"/>
      <c r="C403" s="28" t="s">
        <v>1563</v>
      </c>
      <c r="D403" s="12"/>
      <c r="E403" s="12"/>
      <c r="F403" s="29" t="s">
        <v>490</v>
      </c>
      <c r="G403" s="30">
        <v>15</v>
      </c>
      <c r="H403" s="30"/>
      <c r="I403" s="30">
        <v>0</v>
      </c>
      <c r="J403" s="31">
        <v>0.95</v>
      </c>
      <c r="M403" s="32"/>
      <c r="P403" s="83">
        <v>0.95</v>
      </c>
      <c r="R403" s="89"/>
      <c r="S403" s="78">
        <f t="shared" ref="S403:S412" si="4">ROUND(ROUND(P403, 2)*I403, 2)</f>
        <v>0</v>
      </c>
    </row>
    <row r="404" spans="1:21" ht="16.5" hidden="1" customHeight="1" x14ac:dyDescent="0.5">
      <c r="A404" s="10" t="s">
        <v>1693</v>
      </c>
      <c r="B404" s="10"/>
      <c r="C404" s="28" t="s">
        <v>1570</v>
      </c>
      <c r="D404" s="12"/>
      <c r="E404" s="12"/>
      <c r="F404" s="29" t="s">
        <v>498</v>
      </c>
      <c r="G404" s="30">
        <v>0.35</v>
      </c>
      <c r="H404" s="30"/>
      <c r="I404" s="30">
        <v>0</v>
      </c>
      <c r="J404" s="31">
        <v>55</v>
      </c>
      <c r="M404" s="32"/>
      <c r="P404" s="83">
        <v>55</v>
      </c>
      <c r="R404" s="89"/>
      <c r="S404" s="78">
        <f t="shared" si="4"/>
        <v>0</v>
      </c>
    </row>
    <row r="405" spans="1:21" ht="21" hidden="1" x14ac:dyDescent="0.5">
      <c r="A405" s="10" t="s">
        <v>1698</v>
      </c>
      <c r="B405" s="10"/>
      <c r="C405" s="28" t="s">
        <v>1577</v>
      </c>
      <c r="D405" s="12"/>
      <c r="E405" s="12"/>
      <c r="F405" s="29" t="s">
        <v>490</v>
      </c>
      <c r="G405" s="30">
        <v>0.3</v>
      </c>
      <c r="H405" s="30"/>
      <c r="I405" s="30">
        <v>0</v>
      </c>
      <c r="J405" s="31">
        <v>5.6</v>
      </c>
      <c r="M405" s="32"/>
      <c r="P405" s="83">
        <v>5.6</v>
      </c>
      <c r="R405" s="89"/>
      <c r="S405" s="78">
        <f t="shared" si="4"/>
        <v>0</v>
      </c>
    </row>
    <row r="406" spans="1:21" ht="36" hidden="1" x14ac:dyDescent="0.5">
      <c r="A406" s="10" t="s">
        <v>1703</v>
      </c>
      <c r="B406" s="10"/>
      <c r="C406" s="47" t="s">
        <v>1584</v>
      </c>
      <c r="D406" s="12"/>
      <c r="E406" s="12"/>
      <c r="F406" s="29" t="s">
        <v>490</v>
      </c>
      <c r="G406" s="30">
        <v>3.6</v>
      </c>
      <c r="H406" s="30"/>
      <c r="I406" s="30">
        <v>0</v>
      </c>
      <c r="J406" s="31">
        <v>15.9</v>
      </c>
      <c r="M406" s="32"/>
      <c r="P406" s="83">
        <v>15.9</v>
      </c>
      <c r="R406" s="89"/>
      <c r="S406" s="78">
        <f t="shared" si="4"/>
        <v>0</v>
      </c>
    </row>
    <row r="407" spans="1:21" ht="21" hidden="1" x14ac:dyDescent="0.5">
      <c r="A407" s="10" t="s">
        <v>1708</v>
      </c>
      <c r="B407" s="10"/>
      <c r="C407" s="28" t="s">
        <v>1591</v>
      </c>
      <c r="D407" s="12"/>
      <c r="E407" s="12"/>
      <c r="F407" s="29" t="s">
        <v>78</v>
      </c>
      <c r="G407" s="30">
        <v>1.2</v>
      </c>
      <c r="H407" s="30"/>
      <c r="I407" s="30">
        <v>0</v>
      </c>
      <c r="J407" s="31">
        <v>22.82</v>
      </c>
      <c r="M407" s="32"/>
      <c r="P407" s="83">
        <v>22.82</v>
      </c>
      <c r="R407" s="89"/>
      <c r="S407" s="78">
        <f t="shared" si="4"/>
        <v>0</v>
      </c>
    </row>
    <row r="408" spans="1:21" ht="21" hidden="1" x14ac:dyDescent="0.5">
      <c r="A408" s="10" t="s">
        <v>1713</v>
      </c>
      <c r="B408" s="10"/>
      <c r="C408" s="28" t="s">
        <v>1598</v>
      </c>
      <c r="D408" s="12"/>
      <c r="E408" s="12"/>
      <c r="F408" s="29" t="s">
        <v>78</v>
      </c>
      <c r="G408" s="30">
        <v>4.7</v>
      </c>
      <c r="H408" s="30"/>
      <c r="I408" s="30">
        <v>0</v>
      </c>
      <c r="J408" s="31">
        <v>66.98</v>
      </c>
      <c r="M408" s="32"/>
      <c r="P408" s="83">
        <v>66.98</v>
      </c>
      <c r="R408" s="89"/>
      <c r="S408" s="78">
        <f t="shared" si="4"/>
        <v>0</v>
      </c>
    </row>
    <row r="409" spans="1:21" ht="21" hidden="1" x14ac:dyDescent="0.5">
      <c r="A409" s="10" t="s">
        <v>1718</v>
      </c>
      <c r="B409" s="10"/>
      <c r="C409" s="28" t="s">
        <v>1719</v>
      </c>
      <c r="D409" s="12"/>
      <c r="E409" s="12"/>
      <c r="F409" s="29" t="s">
        <v>63</v>
      </c>
      <c r="G409" s="30">
        <v>1.05</v>
      </c>
      <c r="H409" s="30"/>
      <c r="I409" s="30">
        <v>0</v>
      </c>
      <c r="J409" s="31">
        <v>0</v>
      </c>
      <c r="M409" s="32"/>
      <c r="P409" s="83">
        <v>1520.33</v>
      </c>
      <c r="R409" s="89"/>
      <c r="S409" s="78">
        <f t="shared" si="4"/>
        <v>0</v>
      </c>
    </row>
    <row r="410" spans="1:21" ht="21" hidden="1" x14ac:dyDescent="0.5">
      <c r="A410" s="10" t="s">
        <v>1725</v>
      </c>
      <c r="B410" s="10"/>
      <c r="C410" s="28" t="s">
        <v>1605</v>
      </c>
      <c r="D410" s="12"/>
      <c r="E410" s="12"/>
      <c r="F410" s="29" t="s">
        <v>78</v>
      </c>
      <c r="G410" s="30">
        <v>1.05</v>
      </c>
      <c r="H410" s="30"/>
      <c r="I410" s="30">
        <v>0</v>
      </c>
      <c r="J410" s="31">
        <v>4.5999999999999996</v>
      </c>
      <c r="M410" s="32"/>
      <c r="P410" s="83">
        <v>4.5999999999999996</v>
      </c>
      <c r="R410" s="89"/>
      <c r="S410" s="78">
        <f t="shared" si="4"/>
        <v>0</v>
      </c>
    </row>
    <row r="411" spans="1:21" ht="21" hidden="1" x14ac:dyDescent="0.5">
      <c r="A411" s="10" t="s">
        <v>1730</v>
      </c>
      <c r="B411" s="10"/>
      <c r="C411" s="28" t="s">
        <v>1612</v>
      </c>
      <c r="D411" s="12"/>
      <c r="E411" s="12"/>
      <c r="F411" s="29" t="s">
        <v>78</v>
      </c>
      <c r="G411" s="30">
        <v>0.25</v>
      </c>
      <c r="H411" s="30"/>
      <c r="I411" s="30">
        <v>0</v>
      </c>
      <c r="J411" s="31">
        <v>2.8</v>
      </c>
      <c r="M411" s="32"/>
      <c r="P411" s="83">
        <v>2.8</v>
      </c>
      <c r="R411" s="89"/>
      <c r="S411" s="78">
        <f t="shared" si="4"/>
        <v>0</v>
      </c>
    </row>
    <row r="412" spans="1:21" ht="21" hidden="1" x14ac:dyDescent="0.5">
      <c r="A412" s="10" t="s">
        <v>1735</v>
      </c>
      <c r="B412" s="10"/>
      <c r="C412" s="28" t="s">
        <v>1626</v>
      </c>
      <c r="D412" s="12"/>
      <c r="E412" s="12"/>
      <c r="F412" s="29" t="s">
        <v>490</v>
      </c>
      <c r="G412" s="30">
        <v>0.75</v>
      </c>
      <c r="H412" s="30"/>
      <c r="I412" s="30">
        <v>0</v>
      </c>
      <c r="J412" s="31">
        <v>2.8</v>
      </c>
      <c r="M412" s="32"/>
      <c r="P412" s="83">
        <v>2.8</v>
      </c>
      <c r="R412" s="89"/>
      <c r="S412" s="78">
        <f t="shared" si="4"/>
        <v>0</v>
      </c>
    </row>
    <row r="413" spans="1:21" ht="72" hidden="1" x14ac:dyDescent="0.35">
      <c r="A413" s="10" t="s">
        <v>1740</v>
      </c>
      <c r="B413" s="10" t="s">
        <v>1556</v>
      </c>
      <c r="C413" s="11" t="s">
        <v>1557</v>
      </c>
      <c r="D413" s="12"/>
      <c r="E413" s="12" t="s">
        <v>1561</v>
      </c>
      <c r="F413" s="12" t="s">
        <v>63</v>
      </c>
      <c r="G413" s="13">
        <v>1</v>
      </c>
      <c r="H413" s="13"/>
      <c r="I413" s="13">
        <v>0</v>
      </c>
      <c r="J413" s="14">
        <f>IFERROR(ROUND(SUM(M414,M415,M416,M417,M418,M419,M420,M421,M422,M423)/I413, 2),0)</f>
        <v>0</v>
      </c>
      <c r="K413" s="15">
        <v>1379</v>
      </c>
      <c r="L413" s="14">
        <f>J413+ROUND(K413, 2)</f>
        <v>1379</v>
      </c>
      <c r="M413" s="14"/>
      <c r="N413" s="14"/>
      <c r="O413" s="74"/>
      <c r="P413" s="82">
        <f>IFERROR(ROUND(SUM(S414,S415,S416,S417,S418,S419,S420,S421,S422,S423)/I413, 2),0)</f>
        <v>0</v>
      </c>
      <c r="Q413" s="86">
        <v>2068.5</v>
      </c>
      <c r="R413" s="90">
        <f>P413+ROUND(Q413, 2)</f>
        <v>2068.5</v>
      </c>
      <c r="S413" s="77">
        <f>ROUND(P413*I413, 2)</f>
        <v>0</v>
      </c>
      <c r="T413" s="14">
        <f>ROUND(I413*ROUND(Q413, 2), 2)</f>
        <v>0</v>
      </c>
      <c r="U413" s="14">
        <f>S413+T413</f>
        <v>0</v>
      </c>
    </row>
    <row r="414" spans="1:21" ht="21" hidden="1" x14ac:dyDescent="0.5">
      <c r="A414" s="10" t="s">
        <v>1741</v>
      </c>
      <c r="B414" s="10"/>
      <c r="C414" s="28" t="s">
        <v>1626</v>
      </c>
      <c r="D414" s="12"/>
      <c r="E414" s="12"/>
      <c r="F414" s="29" t="s">
        <v>490</v>
      </c>
      <c r="G414" s="30">
        <v>0.75</v>
      </c>
      <c r="H414" s="30"/>
      <c r="I414" s="30">
        <v>0</v>
      </c>
      <c r="J414" s="31">
        <v>2.8</v>
      </c>
      <c r="M414" s="32"/>
      <c r="P414" s="84">
        <v>2.8</v>
      </c>
      <c r="R414" s="89"/>
      <c r="S414" s="78">
        <f t="shared" ref="S414:S423" si="5">ROUND(ROUND(P414, 2)*I414, 2)</f>
        <v>0</v>
      </c>
    </row>
    <row r="415" spans="1:21" ht="11" hidden="1" customHeight="1" x14ac:dyDescent="0.5">
      <c r="A415" s="10" t="s">
        <v>1744</v>
      </c>
      <c r="B415" s="10"/>
      <c r="C415" s="28" t="s">
        <v>1619</v>
      </c>
      <c r="D415" s="12"/>
      <c r="E415" s="12"/>
      <c r="F415" s="29" t="s">
        <v>63</v>
      </c>
      <c r="G415" s="30">
        <v>1.05</v>
      </c>
      <c r="H415" s="30"/>
      <c r="I415" s="30">
        <v>0</v>
      </c>
      <c r="J415" s="31">
        <v>135.53</v>
      </c>
      <c r="M415" s="32"/>
      <c r="P415" s="84">
        <v>135.53</v>
      </c>
      <c r="R415" s="89"/>
      <c r="S415" s="78">
        <f t="shared" si="5"/>
        <v>0</v>
      </c>
    </row>
    <row r="416" spans="1:21" ht="21" hidden="1" x14ac:dyDescent="0.5">
      <c r="A416" s="10" t="s">
        <v>1747</v>
      </c>
      <c r="B416" s="10"/>
      <c r="C416" s="28" t="s">
        <v>1612</v>
      </c>
      <c r="D416" s="12"/>
      <c r="E416" s="12"/>
      <c r="F416" s="29" t="s">
        <v>78</v>
      </c>
      <c r="G416" s="30">
        <v>0.25</v>
      </c>
      <c r="H416" s="30"/>
      <c r="I416" s="30">
        <v>0</v>
      </c>
      <c r="J416" s="31">
        <v>2.8</v>
      </c>
      <c r="M416" s="32"/>
      <c r="P416" s="84">
        <v>2.8</v>
      </c>
      <c r="R416" s="89"/>
      <c r="S416" s="78">
        <f t="shared" si="5"/>
        <v>0</v>
      </c>
    </row>
    <row r="417" spans="1:21" ht="21" hidden="1" x14ac:dyDescent="0.5">
      <c r="A417" s="10" t="s">
        <v>1750</v>
      </c>
      <c r="B417" s="10"/>
      <c r="C417" s="28" t="s">
        <v>1605</v>
      </c>
      <c r="D417" s="12"/>
      <c r="E417" s="12"/>
      <c r="F417" s="29" t="s">
        <v>78</v>
      </c>
      <c r="G417" s="30">
        <v>1.05</v>
      </c>
      <c r="H417" s="30"/>
      <c r="I417" s="30">
        <v>0</v>
      </c>
      <c r="J417" s="31">
        <v>4.5999999999999996</v>
      </c>
      <c r="M417" s="32"/>
      <c r="P417" s="84">
        <v>4.5999999999999996</v>
      </c>
      <c r="R417" s="89"/>
      <c r="S417" s="78">
        <f t="shared" si="5"/>
        <v>0</v>
      </c>
    </row>
    <row r="418" spans="1:21" ht="21" hidden="1" x14ac:dyDescent="0.5">
      <c r="A418" s="10" t="s">
        <v>1753</v>
      </c>
      <c r="B418" s="10"/>
      <c r="C418" s="28" t="s">
        <v>1591</v>
      </c>
      <c r="D418" s="12"/>
      <c r="E418" s="12"/>
      <c r="F418" s="29" t="s">
        <v>78</v>
      </c>
      <c r="G418" s="30">
        <v>1.2</v>
      </c>
      <c r="H418" s="30"/>
      <c r="I418" s="30">
        <v>0</v>
      </c>
      <c r="J418" s="31">
        <v>22.82</v>
      </c>
      <c r="M418" s="32"/>
      <c r="P418" s="84">
        <v>22.82</v>
      </c>
      <c r="R418" s="89"/>
      <c r="S418" s="78">
        <f t="shared" si="5"/>
        <v>0</v>
      </c>
    </row>
    <row r="419" spans="1:21" ht="21" hidden="1" x14ac:dyDescent="0.5">
      <c r="A419" s="10" t="s">
        <v>1756</v>
      </c>
      <c r="B419" s="10"/>
      <c r="C419" s="28" t="s">
        <v>1598</v>
      </c>
      <c r="D419" s="12"/>
      <c r="E419" s="12"/>
      <c r="F419" s="29" t="s">
        <v>78</v>
      </c>
      <c r="G419" s="30">
        <v>4.7</v>
      </c>
      <c r="H419" s="30"/>
      <c r="I419" s="30">
        <v>0</v>
      </c>
      <c r="J419" s="31">
        <v>66.98</v>
      </c>
      <c r="M419" s="32"/>
      <c r="P419" s="84">
        <v>66.98</v>
      </c>
      <c r="R419" s="89"/>
      <c r="S419" s="78">
        <f t="shared" si="5"/>
        <v>0</v>
      </c>
    </row>
    <row r="420" spans="1:21" ht="36" hidden="1" x14ac:dyDescent="0.5">
      <c r="A420" s="10" t="s">
        <v>1759</v>
      </c>
      <c r="B420" s="10"/>
      <c r="C420" s="47" t="s">
        <v>1584</v>
      </c>
      <c r="D420" s="12"/>
      <c r="E420" s="12"/>
      <c r="F420" s="29" t="s">
        <v>490</v>
      </c>
      <c r="G420" s="30">
        <v>3.6</v>
      </c>
      <c r="H420" s="30"/>
      <c r="I420" s="30">
        <v>0</v>
      </c>
      <c r="J420" s="31">
        <v>15.9</v>
      </c>
      <c r="M420" s="32"/>
      <c r="P420" s="84">
        <v>15.9</v>
      </c>
      <c r="R420" s="89"/>
      <c r="S420" s="78">
        <f t="shared" si="5"/>
        <v>0</v>
      </c>
    </row>
    <row r="421" spans="1:21" ht="21" hidden="1" x14ac:dyDescent="0.5">
      <c r="A421" s="10" t="s">
        <v>1762</v>
      </c>
      <c r="B421" s="10"/>
      <c r="C421" s="28" t="s">
        <v>1577</v>
      </c>
      <c r="D421" s="12"/>
      <c r="E421" s="12"/>
      <c r="F421" s="29" t="s">
        <v>490</v>
      </c>
      <c r="G421" s="30">
        <v>0.3</v>
      </c>
      <c r="H421" s="30"/>
      <c r="I421" s="30">
        <v>0</v>
      </c>
      <c r="J421" s="31">
        <v>5.6</v>
      </c>
      <c r="M421" s="32"/>
      <c r="P421" s="84">
        <v>5.6</v>
      </c>
      <c r="R421" s="89"/>
      <c r="S421" s="78">
        <f t="shared" si="5"/>
        <v>0</v>
      </c>
    </row>
    <row r="422" spans="1:21" ht="21" hidden="1" x14ac:dyDescent="0.5">
      <c r="A422" s="10" t="s">
        <v>1765</v>
      </c>
      <c r="B422" s="10"/>
      <c r="C422" s="28" t="s">
        <v>1570</v>
      </c>
      <c r="D422" s="12"/>
      <c r="E422" s="12"/>
      <c r="F422" s="29" t="s">
        <v>498</v>
      </c>
      <c r="G422" s="30">
        <v>0.35</v>
      </c>
      <c r="H422" s="30"/>
      <c r="I422" s="30">
        <v>0</v>
      </c>
      <c r="J422" s="31">
        <v>55</v>
      </c>
      <c r="M422" s="32"/>
      <c r="P422" s="84">
        <v>55</v>
      </c>
      <c r="R422" s="89"/>
      <c r="S422" s="78">
        <f t="shared" si="5"/>
        <v>0</v>
      </c>
    </row>
    <row r="423" spans="1:21" ht="21" hidden="1" x14ac:dyDescent="0.5">
      <c r="A423" s="10" t="s">
        <v>1768</v>
      </c>
      <c r="B423" s="10"/>
      <c r="C423" s="28" t="s">
        <v>1563</v>
      </c>
      <c r="D423" s="12"/>
      <c r="E423" s="12"/>
      <c r="F423" s="29" t="s">
        <v>490</v>
      </c>
      <c r="G423" s="30">
        <v>15</v>
      </c>
      <c r="H423" s="30"/>
      <c r="I423" s="30">
        <v>0</v>
      </c>
      <c r="J423" s="31">
        <v>0.95</v>
      </c>
      <c r="M423" s="32"/>
      <c r="P423" s="84">
        <v>0.95</v>
      </c>
      <c r="R423" s="89"/>
      <c r="S423" s="78">
        <f t="shared" si="5"/>
        <v>0</v>
      </c>
    </row>
    <row r="424" spans="1:21" ht="72" hidden="1" x14ac:dyDescent="0.35">
      <c r="A424" s="10" t="s">
        <v>1771</v>
      </c>
      <c r="B424" s="10" t="s">
        <v>1556</v>
      </c>
      <c r="C424" s="11" t="s">
        <v>1557</v>
      </c>
      <c r="D424" s="12"/>
      <c r="E424" s="12" t="s">
        <v>1634</v>
      </c>
      <c r="F424" s="12" t="s">
        <v>63</v>
      </c>
      <c r="G424" s="13">
        <v>1</v>
      </c>
      <c r="H424" s="13"/>
      <c r="I424" s="13">
        <v>0</v>
      </c>
      <c r="J424" s="14">
        <f>IFERROR(ROUND(SUM(M425,M426,M427,M428,M429,M430,M431,M432,M433,M434)/I424, 2),0)</f>
        <v>0</v>
      </c>
      <c r="K424" s="15">
        <v>1379</v>
      </c>
      <c r="L424" s="14">
        <f>J424+ROUND(K424, 2)</f>
        <v>1379</v>
      </c>
      <c r="M424" s="14"/>
      <c r="N424" s="14"/>
      <c r="O424" s="74"/>
      <c r="P424" s="82">
        <f>IFERROR(ROUND(SUM(S425,S426,S427,S428,S429,S430,S431,S432,S433,S434)/I424, 2),0)</f>
        <v>0</v>
      </c>
      <c r="Q424" s="86">
        <v>2068.5</v>
      </c>
      <c r="R424" s="90">
        <f>P424+ROUND(Q424, 2)</f>
        <v>2068.5</v>
      </c>
      <c r="S424" s="77">
        <f>ROUND(P424*I424, 2)</f>
        <v>0</v>
      </c>
      <c r="T424" s="14">
        <f>ROUND(I424*ROUND(Q424, 2), 2)</f>
        <v>0</v>
      </c>
      <c r="U424" s="14">
        <f>S424+T424</f>
        <v>0</v>
      </c>
    </row>
    <row r="425" spans="1:21" ht="21" hidden="1" x14ac:dyDescent="0.5">
      <c r="A425" s="10" t="s">
        <v>1772</v>
      </c>
      <c r="B425" s="10"/>
      <c r="C425" s="28" t="s">
        <v>1563</v>
      </c>
      <c r="D425" s="12"/>
      <c r="E425" s="12"/>
      <c r="F425" s="29" t="s">
        <v>490</v>
      </c>
      <c r="G425" s="30">
        <v>15</v>
      </c>
      <c r="H425" s="30"/>
      <c r="I425" s="30">
        <v>0</v>
      </c>
      <c r="J425" s="31">
        <v>0.95</v>
      </c>
      <c r="M425" s="32"/>
      <c r="P425" s="84">
        <v>0.95</v>
      </c>
      <c r="R425" s="89"/>
      <c r="S425" s="78">
        <f t="shared" ref="S425:S434" si="6">ROUND(ROUND(P425, 2)*I425, 2)</f>
        <v>0</v>
      </c>
    </row>
    <row r="426" spans="1:21" ht="21" hidden="1" x14ac:dyDescent="0.5">
      <c r="A426" s="10" t="s">
        <v>1775</v>
      </c>
      <c r="B426" s="10"/>
      <c r="C426" s="28" t="s">
        <v>1570</v>
      </c>
      <c r="D426" s="12"/>
      <c r="E426" s="12"/>
      <c r="F426" s="29" t="s">
        <v>498</v>
      </c>
      <c r="G426" s="30">
        <v>0.35</v>
      </c>
      <c r="H426" s="30"/>
      <c r="I426" s="30">
        <v>0</v>
      </c>
      <c r="J426" s="31">
        <v>55</v>
      </c>
      <c r="M426" s="32"/>
      <c r="P426" s="84">
        <v>55</v>
      </c>
      <c r="R426" s="89"/>
      <c r="S426" s="78">
        <f t="shared" si="6"/>
        <v>0</v>
      </c>
    </row>
    <row r="427" spans="1:21" ht="21" hidden="1" x14ac:dyDescent="0.5">
      <c r="A427" s="10" t="s">
        <v>1778</v>
      </c>
      <c r="B427" s="10"/>
      <c r="C427" s="28" t="s">
        <v>1577</v>
      </c>
      <c r="D427" s="12"/>
      <c r="E427" s="12"/>
      <c r="F427" s="29" t="s">
        <v>490</v>
      </c>
      <c r="G427" s="30">
        <v>0.3</v>
      </c>
      <c r="H427" s="30"/>
      <c r="I427" s="30">
        <v>0</v>
      </c>
      <c r="J427" s="31">
        <v>5.6</v>
      </c>
      <c r="M427" s="32"/>
      <c r="P427" s="84">
        <v>5.6</v>
      </c>
      <c r="R427" s="89"/>
      <c r="S427" s="78">
        <f t="shared" si="6"/>
        <v>0</v>
      </c>
    </row>
    <row r="428" spans="1:21" ht="36" hidden="1" x14ac:dyDescent="0.5">
      <c r="A428" s="10" t="s">
        <v>1781</v>
      </c>
      <c r="B428" s="10"/>
      <c r="C428" s="47" t="s">
        <v>1584</v>
      </c>
      <c r="D428" s="12"/>
      <c r="E428" s="12"/>
      <c r="F428" s="29" t="s">
        <v>490</v>
      </c>
      <c r="G428" s="30">
        <v>3.6</v>
      </c>
      <c r="H428" s="30"/>
      <c r="I428" s="30">
        <v>0</v>
      </c>
      <c r="J428" s="31">
        <v>15.9</v>
      </c>
      <c r="M428" s="32"/>
      <c r="P428" s="84">
        <v>15.9</v>
      </c>
      <c r="R428" s="89"/>
      <c r="S428" s="78">
        <f t="shared" si="6"/>
        <v>0</v>
      </c>
    </row>
    <row r="429" spans="1:21" ht="21" hidden="1" x14ac:dyDescent="0.5">
      <c r="A429" s="10" t="s">
        <v>1784</v>
      </c>
      <c r="B429" s="10"/>
      <c r="C429" s="28" t="s">
        <v>1591</v>
      </c>
      <c r="D429" s="12"/>
      <c r="E429" s="12"/>
      <c r="F429" s="29" t="s">
        <v>78</v>
      </c>
      <c r="G429" s="30">
        <v>1.2</v>
      </c>
      <c r="H429" s="30"/>
      <c r="I429" s="30">
        <v>0</v>
      </c>
      <c r="J429" s="31">
        <v>22.82</v>
      </c>
      <c r="M429" s="32"/>
      <c r="P429" s="84">
        <v>22.82</v>
      </c>
      <c r="R429" s="89"/>
      <c r="S429" s="78">
        <f t="shared" si="6"/>
        <v>0</v>
      </c>
    </row>
    <row r="430" spans="1:21" ht="10.5" hidden="1" customHeight="1" x14ac:dyDescent="0.5">
      <c r="A430" s="10" t="s">
        <v>1787</v>
      </c>
      <c r="B430" s="10"/>
      <c r="C430" s="28" t="s">
        <v>1598</v>
      </c>
      <c r="D430" s="12"/>
      <c r="E430" s="12"/>
      <c r="F430" s="29" t="s">
        <v>78</v>
      </c>
      <c r="G430" s="30">
        <v>4.7</v>
      </c>
      <c r="H430" s="30"/>
      <c r="I430" s="30">
        <v>0</v>
      </c>
      <c r="J430" s="31">
        <v>66.98</v>
      </c>
      <c r="M430" s="32"/>
      <c r="P430" s="84">
        <v>66.98</v>
      </c>
      <c r="R430" s="89"/>
      <c r="S430" s="78">
        <f t="shared" si="6"/>
        <v>0</v>
      </c>
    </row>
    <row r="431" spans="1:21" ht="21" hidden="1" x14ac:dyDescent="0.5">
      <c r="A431" s="10" t="s">
        <v>1790</v>
      </c>
      <c r="B431" s="10"/>
      <c r="C431" s="28" t="s">
        <v>1605</v>
      </c>
      <c r="D431" s="12"/>
      <c r="E431" s="12"/>
      <c r="F431" s="29" t="s">
        <v>78</v>
      </c>
      <c r="G431" s="30">
        <v>1.05</v>
      </c>
      <c r="H431" s="30"/>
      <c r="I431" s="30">
        <v>0</v>
      </c>
      <c r="J431" s="31">
        <v>4.5999999999999996</v>
      </c>
      <c r="M431" s="32"/>
      <c r="P431" s="84">
        <v>4.5999999999999996</v>
      </c>
      <c r="R431" s="89"/>
      <c r="S431" s="78">
        <f t="shared" si="6"/>
        <v>0</v>
      </c>
    </row>
    <row r="432" spans="1:21" ht="21" hidden="1" x14ac:dyDescent="0.5">
      <c r="A432" s="10" t="s">
        <v>1793</v>
      </c>
      <c r="B432" s="10"/>
      <c r="C432" s="28" t="s">
        <v>1612</v>
      </c>
      <c r="D432" s="12"/>
      <c r="E432" s="12"/>
      <c r="F432" s="29" t="s">
        <v>78</v>
      </c>
      <c r="G432" s="30">
        <v>0.25</v>
      </c>
      <c r="H432" s="30"/>
      <c r="I432" s="30">
        <v>0</v>
      </c>
      <c r="J432" s="31">
        <v>2.8</v>
      </c>
      <c r="M432" s="32"/>
      <c r="P432" s="84">
        <v>2.8</v>
      </c>
      <c r="R432" s="89"/>
      <c r="S432" s="78">
        <f t="shared" si="6"/>
        <v>0</v>
      </c>
    </row>
    <row r="433" spans="1:21" ht="36" hidden="1" x14ac:dyDescent="0.5">
      <c r="A433" s="10" t="s">
        <v>1796</v>
      </c>
      <c r="B433" s="10"/>
      <c r="C433" s="28" t="s">
        <v>100</v>
      </c>
      <c r="D433" s="12"/>
      <c r="E433" s="12"/>
      <c r="F433" s="29" t="s">
        <v>63</v>
      </c>
      <c r="G433" s="30">
        <v>1.05</v>
      </c>
      <c r="H433" s="30"/>
      <c r="I433" s="30">
        <v>0</v>
      </c>
      <c r="J433" s="31">
        <v>135.53</v>
      </c>
      <c r="M433" s="32"/>
      <c r="P433" s="84">
        <v>135.53</v>
      </c>
      <c r="R433" s="89"/>
      <c r="S433" s="78">
        <f t="shared" si="6"/>
        <v>0</v>
      </c>
    </row>
    <row r="434" spans="1:21" ht="21" hidden="1" x14ac:dyDescent="0.5">
      <c r="A434" s="10" t="s">
        <v>1799</v>
      </c>
      <c r="B434" s="10"/>
      <c r="C434" s="28" t="s">
        <v>1626</v>
      </c>
      <c r="D434" s="12"/>
      <c r="E434" s="12"/>
      <c r="F434" s="29" t="s">
        <v>490</v>
      </c>
      <c r="G434" s="30">
        <v>0.75</v>
      </c>
      <c r="H434" s="30"/>
      <c r="I434" s="30">
        <v>0</v>
      </c>
      <c r="J434" s="31">
        <v>2.8</v>
      </c>
      <c r="M434" s="32"/>
      <c r="P434" s="84">
        <v>2.8</v>
      </c>
      <c r="R434" s="89"/>
      <c r="S434" s="78">
        <f t="shared" si="6"/>
        <v>0</v>
      </c>
    </row>
    <row r="435" spans="1:21" ht="54" hidden="1" x14ac:dyDescent="0.35">
      <c r="A435" s="10" t="s">
        <v>1802</v>
      </c>
      <c r="B435" s="10" t="s">
        <v>1556</v>
      </c>
      <c r="C435" s="11" t="s">
        <v>1557</v>
      </c>
      <c r="D435" s="12"/>
      <c r="E435" s="12" t="s">
        <v>1687</v>
      </c>
      <c r="F435" s="12" t="s">
        <v>63</v>
      </c>
      <c r="G435" s="13">
        <v>1</v>
      </c>
      <c r="H435" s="13"/>
      <c r="I435" s="13">
        <v>0</v>
      </c>
      <c r="J435" s="14">
        <f>IFERROR(ROUND(SUM(M436,M437,M438,M439,M440,M441,M442,M443,M444)/I435, 2),0)</f>
        <v>0</v>
      </c>
      <c r="K435" s="15">
        <v>1379</v>
      </c>
      <c r="L435" s="14">
        <f>J435+ROUND(K435, 2)</f>
        <v>1379</v>
      </c>
      <c r="M435" s="14"/>
      <c r="N435" s="14"/>
      <c r="O435" s="74"/>
      <c r="P435" s="82">
        <f>IFERROR(ROUND(SUM(S436,S437,S438,S439,S440,S441,S442,S443,S444)/I435, 2),0)</f>
        <v>0</v>
      </c>
      <c r="Q435" s="86">
        <v>2068.5</v>
      </c>
      <c r="R435" s="90">
        <f>P435+ROUND(Q435, 2)</f>
        <v>2068.5</v>
      </c>
      <c r="S435" s="77">
        <f>ROUND(P435*I435, 2)</f>
        <v>0</v>
      </c>
      <c r="T435" s="14">
        <f>ROUND(I435*ROUND(Q435, 2), 2)</f>
        <v>0</v>
      </c>
      <c r="U435" s="14">
        <f>S435+T435</f>
        <v>0</v>
      </c>
    </row>
    <row r="436" spans="1:21" ht="21" hidden="1" x14ac:dyDescent="0.5">
      <c r="A436" s="10" t="s">
        <v>1803</v>
      </c>
      <c r="B436" s="10"/>
      <c r="C436" s="28" t="s">
        <v>1626</v>
      </c>
      <c r="D436" s="12"/>
      <c r="E436" s="12"/>
      <c r="F436" s="29" t="s">
        <v>490</v>
      </c>
      <c r="G436" s="30">
        <v>0.75</v>
      </c>
      <c r="H436" s="30"/>
      <c r="I436" s="30">
        <v>0</v>
      </c>
      <c r="J436" s="31">
        <v>2.8</v>
      </c>
      <c r="M436" s="32"/>
      <c r="P436" s="84">
        <v>2.8</v>
      </c>
      <c r="R436" s="89"/>
      <c r="S436" s="78">
        <f t="shared" ref="S436:S444" si="7">ROUND(ROUND(P436, 2)*I436, 2)</f>
        <v>0</v>
      </c>
    </row>
    <row r="437" spans="1:21" ht="21" hidden="1" x14ac:dyDescent="0.5">
      <c r="A437" s="10" t="s">
        <v>1806</v>
      </c>
      <c r="B437" s="10"/>
      <c r="C437" s="28" t="s">
        <v>1612</v>
      </c>
      <c r="D437" s="12"/>
      <c r="E437" s="12"/>
      <c r="F437" s="29" t="s">
        <v>78</v>
      </c>
      <c r="G437" s="30">
        <v>0.25</v>
      </c>
      <c r="H437" s="30"/>
      <c r="I437" s="30">
        <v>0</v>
      </c>
      <c r="J437" s="31">
        <v>2.8</v>
      </c>
      <c r="M437" s="32"/>
      <c r="P437" s="84">
        <v>2.8</v>
      </c>
      <c r="R437" s="89"/>
      <c r="S437" s="78">
        <f t="shared" si="7"/>
        <v>0</v>
      </c>
    </row>
    <row r="438" spans="1:21" ht="21" hidden="1" x14ac:dyDescent="0.5">
      <c r="A438" s="10" t="s">
        <v>1809</v>
      </c>
      <c r="B438" s="10"/>
      <c r="C438" s="28" t="s">
        <v>1605</v>
      </c>
      <c r="D438" s="12"/>
      <c r="E438" s="12"/>
      <c r="F438" s="29" t="s">
        <v>78</v>
      </c>
      <c r="G438" s="30">
        <v>1.05</v>
      </c>
      <c r="H438" s="30"/>
      <c r="I438" s="30">
        <v>0</v>
      </c>
      <c r="J438" s="31">
        <v>4.5999999999999996</v>
      </c>
      <c r="M438" s="32"/>
      <c r="P438" s="84">
        <v>4.5999999999999996</v>
      </c>
      <c r="R438" s="89"/>
      <c r="S438" s="78">
        <f t="shared" si="7"/>
        <v>0</v>
      </c>
    </row>
    <row r="439" spans="1:21" ht="21" hidden="1" x14ac:dyDescent="0.5">
      <c r="A439" s="10" t="s">
        <v>1812</v>
      </c>
      <c r="B439" s="10"/>
      <c r="C439" s="28" t="s">
        <v>1719</v>
      </c>
      <c r="D439" s="12"/>
      <c r="E439" s="12"/>
      <c r="F439" s="29" t="s">
        <v>63</v>
      </c>
      <c r="G439" s="30">
        <v>1.05</v>
      </c>
      <c r="H439" s="30"/>
      <c r="I439" s="30">
        <v>0</v>
      </c>
      <c r="J439" s="31">
        <v>0</v>
      </c>
      <c r="M439" s="32"/>
      <c r="P439" s="84">
        <v>0</v>
      </c>
      <c r="R439" s="89"/>
      <c r="S439" s="78">
        <f t="shared" si="7"/>
        <v>0</v>
      </c>
    </row>
    <row r="440" spans="1:21" ht="21" hidden="1" x14ac:dyDescent="0.5">
      <c r="A440" s="10" t="s">
        <v>1815</v>
      </c>
      <c r="B440" s="10"/>
      <c r="C440" s="28" t="s">
        <v>1591</v>
      </c>
      <c r="D440" s="12"/>
      <c r="E440" s="12"/>
      <c r="F440" s="29" t="s">
        <v>78</v>
      </c>
      <c r="G440" s="30">
        <v>1.2</v>
      </c>
      <c r="H440" s="30"/>
      <c r="I440" s="30">
        <v>0</v>
      </c>
      <c r="J440" s="31">
        <v>22.82</v>
      </c>
      <c r="M440" s="32"/>
      <c r="P440" s="84">
        <v>22.82</v>
      </c>
      <c r="R440" s="89"/>
      <c r="S440" s="78">
        <f t="shared" si="7"/>
        <v>0</v>
      </c>
    </row>
    <row r="441" spans="1:21" ht="21" hidden="1" x14ac:dyDescent="0.5">
      <c r="A441" s="10" t="s">
        <v>1818</v>
      </c>
      <c r="B441" s="10"/>
      <c r="C441" s="28" t="s">
        <v>1598</v>
      </c>
      <c r="D441" s="12"/>
      <c r="E441" s="12"/>
      <c r="F441" s="29" t="s">
        <v>78</v>
      </c>
      <c r="G441" s="30">
        <v>4.7</v>
      </c>
      <c r="H441" s="30"/>
      <c r="I441" s="30">
        <v>0</v>
      </c>
      <c r="J441" s="31">
        <v>66.98</v>
      </c>
      <c r="M441" s="32"/>
      <c r="P441" s="84">
        <v>66.98</v>
      </c>
      <c r="R441" s="89"/>
      <c r="S441" s="78">
        <f t="shared" si="7"/>
        <v>0</v>
      </c>
    </row>
    <row r="442" spans="1:21" ht="34.5" hidden="1" customHeight="1" x14ac:dyDescent="0.5">
      <c r="A442" s="10" t="s">
        <v>1821</v>
      </c>
      <c r="B442" s="10"/>
      <c r="C442" s="47" t="s">
        <v>1584</v>
      </c>
      <c r="D442" s="12"/>
      <c r="E442" s="12"/>
      <c r="F442" s="29" t="s">
        <v>490</v>
      </c>
      <c r="G442" s="30">
        <v>3.6</v>
      </c>
      <c r="H442" s="30"/>
      <c r="I442" s="30">
        <v>0</v>
      </c>
      <c r="J442" s="31">
        <v>15.9</v>
      </c>
      <c r="M442" s="32"/>
      <c r="P442" s="84">
        <v>15.9</v>
      </c>
      <c r="R442" s="89"/>
      <c r="S442" s="78">
        <f t="shared" si="7"/>
        <v>0</v>
      </c>
    </row>
    <row r="443" spans="1:21" ht="21" hidden="1" x14ac:dyDescent="0.5">
      <c r="A443" s="10" t="s">
        <v>1824</v>
      </c>
      <c r="B443" s="10"/>
      <c r="C443" s="28" t="s">
        <v>1570</v>
      </c>
      <c r="D443" s="12"/>
      <c r="E443" s="12"/>
      <c r="F443" s="29" t="s">
        <v>498</v>
      </c>
      <c r="G443" s="30">
        <v>0.35</v>
      </c>
      <c r="H443" s="30"/>
      <c r="I443" s="30">
        <v>0</v>
      </c>
      <c r="J443" s="31">
        <v>55</v>
      </c>
      <c r="M443" s="32"/>
      <c r="P443" s="84">
        <v>55</v>
      </c>
      <c r="R443" s="89"/>
      <c r="S443" s="78">
        <f t="shared" si="7"/>
        <v>0</v>
      </c>
    </row>
    <row r="444" spans="1:21" ht="21" hidden="1" x14ac:dyDescent="0.5">
      <c r="A444" s="10" t="s">
        <v>1827</v>
      </c>
      <c r="B444" s="10"/>
      <c r="C444" s="28" t="s">
        <v>1563</v>
      </c>
      <c r="D444" s="12"/>
      <c r="E444" s="12"/>
      <c r="F444" s="29" t="s">
        <v>490</v>
      </c>
      <c r="G444" s="30">
        <v>15</v>
      </c>
      <c r="H444" s="30"/>
      <c r="I444" s="30">
        <v>0</v>
      </c>
      <c r="J444" s="31">
        <v>0.95</v>
      </c>
      <c r="M444" s="32"/>
      <c r="P444" s="84">
        <v>0.95</v>
      </c>
      <c r="R444" s="89"/>
      <c r="S444" s="78">
        <f t="shared" si="7"/>
        <v>0</v>
      </c>
    </row>
    <row r="445" spans="1:21" ht="36" hidden="1" x14ac:dyDescent="0.35">
      <c r="A445" s="10" t="s">
        <v>1830</v>
      </c>
      <c r="B445" s="10" t="s">
        <v>1831</v>
      </c>
      <c r="C445" s="11" t="s">
        <v>1832</v>
      </c>
      <c r="D445" s="12"/>
      <c r="E445" s="12"/>
      <c r="F445" s="12" t="s">
        <v>63</v>
      </c>
      <c r="G445" s="13">
        <v>1</v>
      </c>
      <c r="H445" s="13"/>
      <c r="I445" s="13">
        <v>0</v>
      </c>
      <c r="J445" s="14">
        <v>855.89</v>
      </c>
      <c r="K445" s="15">
        <v>963</v>
      </c>
      <c r="L445" s="14">
        <f>J445+ROUND(K445, 2)</f>
        <v>1818.8899999999999</v>
      </c>
      <c r="M445" s="14"/>
      <c r="N445" s="14"/>
      <c r="O445" s="74"/>
      <c r="P445" s="82">
        <v>855.89</v>
      </c>
      <c r="Q445" s="85">
        <v>963</v>
      </c>
      <c r="R445" s="90">
        <f>P445+ROUND(Q445, 2)</f>
        <v>1818.8899999999999</v>
      </c>
      <c r="S445" s="77">
        <v>0</v>
      </c>
      <c r="T445" s="14">
        <v>0</v>
      </c>
      <c r="U445" s="14">
        <f>S445+T445</f>
        <v>0</v>
      </c>
    </row>
    <row r="446" spans="1:21" ht="21" hidden="1" x14ac:dyDescent="0.5">
      <c r="A446" s="10" t="s">
        <v>1837</v>
      </c>
      <c r="B446" s="10"/>
      <c r="C446" s="47" t="s">
        <v>1838</v>
      </c>
      <c r="D446" s="12"/>
      <c r="E446" s="12"/>
      <c r="F446" s="29" t="s">
        <v>63</v>
      </c>
      <c r="G446" s="30">
        <v>1.1000000000000001</v>
      </c>
      <c r="H446" s="49"/>
      <c r="I446" s="49">
        <v>0</v>
      </c>
      <c r="J446" s="31">
        <v>778.08</v>
      </c>
      <c r="M446" s="32"/>
      <c r="P446" s="83">
        <v>778.08</v>
      </c>
      <c r="R446" s="89"/>
      <c r="S446" s="78">
        <f>ROUND(ROUND(P446, 2)*I446, 2)</f>
        <v>0</v>
      </c>
    </row>
    <row r="447" spans="1:21" ht="108" hidden="1" x14ac:dyDescent="0.35">
      <c r="A447" s="10" t="s">
        <v>1844</v>
      </c>
      <c r="B447" s="10" t="s">
        <v>1831</v>
      </c>
      <c r="C447" s="11" t="s">
        <v>1832</v>
      </c>
      <c r="D447" s="12"/>
      <c r="E447" s="12" t="s">
        <v>1836</v>
      </c>
      <c r="F447" s="12" t="s">
        <v>63</v>
      </c>
      <c r="G447" s="13">
        <v>1</v>
      </c>
      <c r="H447" s="13"/>
      <c r="I447" s="13">
        <v>0</v>
      </c>
      <c r="J447" s="14">
        <f>IFERROR(ROUND(SUM(M448)/I447, 2),0)</f>
        <v>0</v>
      </c>
      <c r="K447" s="15">
        <v>963</v>
      </c>
      <c r="L447" s="14">
        <f>J447+ROUND(K447, 2)</f>
        <v>963</v>
      </c>
      <c r="M447" s="14"/>
      <c r="N447" s="14"/>
      <c r="O447" s="74"/>
      <c r="P447" s="82">
        <f>IFERROR(ROUND(SUM(S448)/I447, 2),0)</f>
        <v>0</v>
      </c>
      <c r="Q447" s="86">
        <v>1444.5</v>
      </c>
      <c r="R447" s="90">
        <f>P447+ROUND(Q447, 2)</f>
        <v>1444.5</v>
      </c>
      <c r="S447" s="77">
        <f>ROUND(P447*I447, 2)</f>
        <v>0</v>
      </c>
      <c r="T447" s="14">
        <f>ROUND(I447*ROUND(Q447, 2), 2)</f>
        <v>0</v>
      </c>
      <c r="U447" s="14">
        <f>S447+T447</f>
        <v>0</v>
      </c>
    </row>
    <row r="448" spans="1:21" ht="21" hidden="1" x14ac:dyDescent="0.5">
      <c r="A448" s="10" t="s">
        <v>1845</v>
      </c>
      <c r="B448" s="10"/>
      <c r="C448" s="47" t="s">
        <v>1838</v>
      </c>
      <c r="D448" s="12"/>
      <c r="E448" s="12"/>
      <c r="F448" s="29" t="s">
        <v>63</v>
      </c>
      <c r="G448" s="30">
        <v>1.1000000000000001</v>
      </c>
      <c r="H448" s="49"/>
      <c r="I448" s="49">
        <v>187.66</v>
      </c>
      <c r="J448" s="31">
        <v>778.08</v>
      </c>
      <c r="M448" s="32"/>
      <c r="P448" s="84">
        <v>778.08</v>
      </c>
      <c r="R448" s="89"/>
      <c r="S448" s="78">
        <f>ROUND(ROUND(P448, 2)*I448, 2)</f>
        <v>146014.49</v>
      </c>
    </row>
    <row r="449" spans="1:21" ht="17" hidden="1" customHeight="1" x14ac:dyDescent="0.5">
      <c r="A449" s="10" t="s">
        <v>1848</v>
      </c>
      <c r="B449" s="10" t="s">
        <v>1849</v>
      </c>
      <c r="C449" s="174" t="s">
        <v>1850</v>
      </c>
      <c r="D449" s="175"/>
      <c r="E449" s="175"/>
      <c r="F449" s="175"/>
      <c r="G449" s="175"/>
      <c r="H449" s="175"/>
      <c r="I449" s="176"/>
      <c r="M449" s="6"/>
      <c r="N449" s="6"/>
      <c r="O449" s="73"/>
      <c r="P449" s="81"/>
      <c r="R449" s="89"/>
      <c r="S449" s="76">
        <f>SUM(S450,S451)</f>
        <v>0</v>
      </c>
      <c r="T449" s="6">
        <f>SUM(T450,T451)</f>
        <v>0</v>
      </c>
      <c r="U449" s="6">
        <f>SUM(U450,U451)</f>
        <v>0</v>
      </c>
    </row>
    <row r="450" spans="1:21" ht="54" hidden="1" x14ac:dyDescent="0.35">
      <c r="A450" s="10" t="s">
        <v>1851</v>
      </c>
      <c r="B450" s="10" t="s">
        <v>1852</v>
      </c>
      <c r="C450" s="11" t="s">
        <v>1853</v>
      </c>
      <c r="D450" s="12" t="s">
        <v>1854</v>
      </c>
      <c r="E450" s="12"/>
      <c r="F450" s="12" t="s">
        <v>1855</v>
      </c>
      <c r="G450" s="13">
        <v>1</v>
      </c>
      <c r="H450" s="13"/>
      <c r="I450" s="13">
        <v>0</v>
      </c>
      <c r="J450" s="14">
        <v>0</v>
      </c>
      <c r="K450" s="15">
        <v>169189</v>
      </c>
      <c r="L450" s="14">
        <f>J450+ROUND(K450, 2)</f>
        <v>169189</v>
      </c>
      <c r="M450" s="14"/>
      <c r="N450" s="14"/>
      <c r="O450" s="74"/>
      <c r="P450" s="82">
        <v>0</v>
      </c>
      <c r="Q450" s="85">
        <v>169189</v>
      </c>
      <c r="R450" s="90">
        <f>P450+ROUND(Q450, 2)</f>
        <v>169189</v>
      </c>
      <c r="S450" s="77">
        <v>0</v>
      </c>
      <c r="T450" s="14">
        <v>0</v>
      </c>
      <c r="U450" s="14">
        <f>S450+T450</f>
        <v>0</v>
      </c>
    </row>
    <row r="451" spans="1:21" ht="6" hidden="1" customHeight="1" x14ac:dyDescent="0.35">
      <c r="A451" s="10" t="s">
        <v>1859</v>
      </c>
      <c r="B451" s="10" t="s">
        <v>1852</v>
      </c>
      <c r="C451" s="11" t="s">
        <v>1853</v>
      </c>
      <c r="D451" s="12" t="s">
        <v>1854</v>
      </c>
      <c r="E451" s="12"/>
      <c r="F451" s="12" t="s">
        <v>1855</v>
      </c>
      <c r="G451" s="13">
        <v>1</v>
      </c>
      <c r="H451" s="13"/>
      <c r="I451" s="13">
        <v>0</v>
      </c>
      <c r="J451" s="14">
        <v>0</v>
      </c>
      <c r="K451" s="15">
        <v>169189</v>
      </c>
      <c r="L451" s="14">
        <f>J451+ROUND(K451, 2)</f>
        <v>169189</v>
      </c>
      <c r="M451" s="14"/>
      <c r="N451" s="14"/>
      <c r="O451" s="74"/>
      <c r="P451" s="82">
        <v>0</v>
      </c>
      <c r="Q451" s="86">
        <v>253783.5</v>
      </c>
      <c r="R451" s="90">
        <f>P451+ROUND(Q451, 2)</f>
        <v>253783.5</v>
      </c>
      <c r="S451" s="77">
        <v>0</v>
      </c>
      <c r="T451" s="14">
        <f>ROUND(I451*ROUND(Q451, 2), 2)</f>
        <v>0</v>
      </c>
      <c r="U451" s="14">
        <f>S451+T451</f>
        <v>0</v>
      </c>
    </row>
    <row r="452" spans="1:21" ht="65" customHeight="1" x14ac:dyDescent="0.6">
      <c r="A452" s="193" t="s">
        <v>1860</v>
      </c>
      <c r="B452" s="194"/>
      <c r="C452" s="194"/>
      <c r="D452" s="194"/>
      <c r="E452" s="194"/>
      <c r="F452" s="194"/>
      <c r="G452" s="194"/>
      <c r="H452" s="194"/>
      <c r="I452" s="195"/>
      <c r="J452" s="137"/>
      <c r="K452" s="137"/>
      <c r="L452" s="137"/>
      <c r="M452" s="138"/>
      <c r="N452" s="138"/>
      <c r="O452" s="139"/>
      <c r="P452" s="140"/>
      <c r="Q452" s="137"/>
      <c r="R452" s="141"/>
      <c r="S452" s="142">
        <f>SUM(S453)</f>
        <v>65084872.160000004</v>
      </c>
      <c r="T452" s="138">
        <f>SUM(T453)</f>
        <v>128127932.99000001</v>
      </c>
      <c r="U452" s="138">
        <f>SUM(U453)</f>
        <v>193212805.15000001</v>
      </c>
    </row>
    <row r="453" spans="1:21" ht="17" customHeight="1" x14ac:dyDescent="0.5">
      <c r="A453" s="10" t="s">
        <v>1862</v>
      </c>
      <c r="B453" s="10" t="s">
        <v>41</v>
      </c>
      <c r="C453" s="174" t="s">
        <v>42</v>
      </c>
      <c r="D453" s="175"/>
      <c r="E453" s="175"/>
      <c r="F453" s="175"/>
      <c r="G453" s="175"/>
      <c r="H453" s="175"/>
      <c r="I453" s="176"/>
      <c r="M453" s="6"/>
      <c r="N453" s="6"/>
      <c r="O453" s="73"/>
      <c r="P453" s="81"/>
      <c r="R453" s="89"/>
      <c r="S453" s="76">
        <f>SUM(S454,S507)</f>
        <v>65084872.160000004</v>
      </c>
      <c r="T453" s="6">
        <f>SUM(T454,T507)</f>
        <v>128127932.99000001</v>
      </c>
      <c r="U453" s="6">
        <f>SUM(U454,U507)</f>
        <v>193212805.15000001</v>
      </c>
    </row>
    <row r="454" spans="1:21" ht="17" customHeight="1" x14ac:dyDescent="0.5">
      <c r="A454" s="10" t="s">
        <v>1863</v>
      </c>
      <c r="B454" s="10" t="s">
        <v>44</v>
      </c>
      <c r="C454" s="174" t="s">
        <v>45</v>
      </c>
      <c r="D454" s="175"/>
      <c r="E454" s="175"/>
      <c r="F454" s="175"/>
      <c r="G454" s="175"/>
      <c r="H454" s="175"/>
      <c r="I454" s="176"/>
      <c r="M454" s="6"/>
      <c r="N454" s="6"/>
      <c r="O454" s="73"/>
      <c r="P454" s="81"/>
      <c r="R454" s="89"/>
      <c r="S454" s="76">
        <f t="shared" ref="S454:U457" si="8">SUM(S455)</f>
        <v>10611394.960000001</v>
      </c>
      <c r="T454" s="6">
        <f t="shared" si="8"/>
        <v>26048948.800000004</v>
      </c>
      <c r="U454" s="6">
        <f t="shared" si="8"/>
        <v>36660343.759999998</v>
      </c>
    </row>
    <row r="455" spans="1:21" ht="17" customHeight="1" x14ac:dyDescent="0.5">
      <c r="A455" s="10" t="s">
        <v>1864</v>
      </c>
      <c r="B455" s="10" t="s">
        <v>47</v>
      </c>
      <c r="C455" s="174" t="s">
        <v>48</v>
      </c>
      <c r="D455" s="175"/>
      <c r="E455" s="175"/>
      <c r="F455" s="175"/>
      <c r="G455" s="175"/>
      <c r="H455" s="175"/>
      <c r="I455" s="176"/>
      <c r="M455" s="6"/>
      <c r="N455" s="6"/>
      <c r="O455" s="73"/>
      <c r="P455" s="81"/>
      <c r="R455" s="89"/>
      <c r="S455" s="76">
        <f t="shared" si="8"/>
        <v>10611394.960000001</v>
      </c>
      <c r="T455" s="6">
        <f t="shared" si="8"/>
        <v>26048948.800000004</v>
      </c>
      <c r="U455" s="6">
        <f t="shared" si="8"/>
        <v>36660343.759999998</v>
      </c>
    </row>
    <row r="456" spans="1:21" ht="17" customHeight="1" x14ac:dyDescent="0.5">
      <c r="A456" s="10" t="s">
        <v>1865</v>
      </c>
      <c r="B456" s="10" t="s">
        <v>50</v>
      </c>
      <c r="C456" s="174" t="s">
        <v>51</v>
      </c>
      <c r="D456" s="175"/>
      <c r="E456" s="175"/>
      <c r="F456" s="175"/>
      <c r="G456" s="175"/>
      <c r="H456" s="175"/>
      <c r="I456" s="176"/>
      <c r="M456" s="6"/>
      <c r="N456" s="6"/>
      <c r="O456" s="73"/>
      <c r="P456" s="81"/>
      <c r="R456" s="89"/>
      <c r="S456" s="76">
        <f t="shared" si="8"/>
        <v>10611394.960000001</v>
      </c>
      <c r="T456" s="6">
        <f t="shared" si="8"/>
        <v>26048948.800000004</v>
      </c>
      <c r="U456" s="6">
        <f t="shared" si="8"/>
        <v>36660343.759999998</v>
      </c>
    </row>
    <row r="457" spans="1:21" ht="17" customHeight="1" x14ac:dyDescent="0.5">
      <c r="A457" s="10" t="s">
        <v>1866</v>
      </c>
      <c r="B457" s="10" t="s">
        <v>53</v>
      </c>
      <c r="C457" s="174" t="s">
        <v>54</v>
      </c>
      <c r="D457" s="175"/>
      <c r="E457" s="175"/>
      <c r="F457" s="175"/>
      <c r="G457" s="175"/>
      <c r="H457" s="175"/>
      <c r="I457" s="176"/>
      <c r="M457" s="6"/>
      <c r="N457" s="6"/>
      <c r="O457" s="73"/>
      <c r="P457" s="81"/>
      <c r="R457" s="89"/>
      <c r="S457" s="76">
        <f t="shared" si="8"/>
        <v>10611394.960000001</v>
      </c>
      <c r="T457" s="6">
        <f t="shared" si="8"/>
        <v>26048948.800000004</v>
      </c>
      <c r="U457" s="6">
        <f t="shared" si="8"/>
        <v>36660343.759999998</v>
      </c>
    </row>
    <row r="458" spans="1:21" ht="35.5" customHeight="1" x14ac:dyDescent="0.5">
      <c r="A458" s="143" t="s">
        <v>1867</v>
      </c>
      <c r="B458" s="143" t="s">
        <v>56</v>
      </c>
      <c r="C458" s="190" t="s">
        <v>57</v>
      </c>
      <c r="D458" s="191"/>
      <c r="E458" s="191"/>
      <c r="F458" s="191"/>
      <c r="G458" s="191"/>
      <c r="H458" s="191"/>
      <c r="I458" s="192"/>
      <c r="J458" s="144"/>
      <c r="K458" s="144"/>
      <c r="L458" s="144"/>
      <c r="M458" s="145"/>
      <c r="N458" s="145"/>
      <c r="O458" s="146"/>
      <c r="P458" s="147"/>
      <c r="Q458" s="144"/>
      <c r="R458" s="89"/>
      <c r="S458" s="148">
        <f>SUM(S459,S465,S471,S477,S483,S489,S495,S501)</f>
        <v>10611394.960000001</v>
      </c>
      <c r="T458" s="145">
        <f>SUM(T459,T465,T471,T477,T483,T489,T495,T501)</f>
        <v>26048948.800000004</v>
      </c>
      <c r="U458" s="145">
        <f>SUM(U459,U465,U471,U477,U483,U489,U495,U501)</f>
        <v>36660343.759999998</v>
      </c>
    </row>
    <row r="459" spans="1:21" ht="203" customHeight="1" x14ac:dyDescent="0.35">
      <c r="A459" s="100" t="s">
        <v>1868</v>
      </c>
      <c r="B459" s="100" t="s">
        <v>59</v>
      </c>
      <c r="C459" s="101" t="s">
        <v>60</v>
      </c>
      <c r="D459" s="102" t="s">
        <v>61</v>
      </c>
      <c r="E459" s="102" t="s">
        <v>62</v>
      </c>
      <c r="F459" s="102" t="s">
        <v>63</v>
      </c>
      <c r="G459" s="103">
        <v>1</v>
      </c>
      <c r="H459" s="103"/>
      <c r="I459" s="103">
        <v>6610.5</v>
      </c>
      <c r="J459" s="136" t="s">
        <v>2482</v>
      </c>
      <c r="K459" s="204"/>
      <c r="L459" s="104"/>
      <c r="M459" s="135"/>
      <c r="N459" s="104"/>
      <c r="O459" s="105"/>
      <c r="P459" s="106">
        <f>IFERROR(ROUND(SUM(S460,S461,S462,S463,S464)/I459, 2),0)</f>
        <v>1117.5999999999999</v>
      </c>
      <c r="Q459" s="107">
        <v>2877</v>
      </c>
      <c r="R459" s="90">
        <f>P459+ROUND(Q459, 2)</f>
        <v>3994.6</v>
      </c>
      <c r="S459" s="108">
        <f>ROUND(P459*I459, 2)</f>
        <v>7387894.7999999998</v>
      </c>
      <c r="T459" s="104">
        <f>ROUND(I459*ROUND(Q459, 2), 2)</f>
        <v>19018408.5</v>
      </c>
      <c r="U459" s="104">
        <f>S459+T459</f>
        <v>26406303.300000001</v>
      </c>
    </row>
    <row r="460" spans="1:21" ht="54" hidden="1" x14ac:dyDescent="0.5">
      <c r="A460" s="10" t="s">
        <v>1869</v>
      </c>
      <c r="B460" s="10"/>
      <c r="C460" s="28" t="s">
        <v>69</v>
      </c>
      <c r="D460" s="12"/>
      <c r="E460" s="12"/>
      <c r="F460" s="29" t="s">
        <v>70</v>
      </c>
      <c r="G460" s="30">
        <v>1</v>
      </c>
      <c r="H460" s="30"/>
      <c r="I460" s="30">
        <v>6610.5</v>
      </c>
      <c r="J460" s="31"/>
      <c r="K460" s="205"/>
      <c r="M460" s="32"/>
      <c r="P460" s="84">
        <v>88.35</v>
      </c>
      <c r="R460" s="89"/>
      <c r="S460" s="78">
        <f>ROUND(ROUND(P460, 2)*I460, 2)</f>
        <v>584037.68000000005</v>
      </c>
    </row>
    <row r="461" spans="1:21" ht="21" hidden="1" x14ac:dyDescent="0.5">
      <c r="A461" s="10" t="s">
        <v>1872</v>
      </c>
      <c r="B461" s="10"/>
      <c r="C461" s="47" t="s">
        <v>77</v>
      </c>
      <c r="D461" s="12"/>
      <c r="E461" s="12"/>
      <c r="F461" s="29" t="s">
        <v>78</v>
      </c>
      <c r="G461" s="30">
        <v>0.8</v>
      </c>
      <c r="H461" s="49"/>
      <c r="I461" s="49">
        <v>5288.4</v>
      </c>
      <c r="J461" s="31"/>
      <c r="K461" s="205"/>
      <c r="M461" s="32"/>
      <c r="P461" s="84">
        <v>63.73</v>
      </c>
      <c r="R461" s="89"/>
      <c r="S461" s="78">
        <f>ROUND(ROUND(P461, 2)*I461, 2)</f>
        <v>337029.73</v>
      </c>
    </row>
    <row r="462" spans="1:21" ht="21" hidden="1" x14ac:dyDescent="0.5">
      <c r="A462" s="10" t="s">
        <v>1875</v>
      </c>
      <c r="B462" s="10"/>
      <c r="C462" s="47" t="s">
        <v>85</v>
      </c>
      <c r="D462" s="12"/>
      <c r="E462" s="12"/>
      <c r="F462" s="29" t="s">
        <v>78</v>
      </c>
      <c r="G462" s="30">
        <v>2.1</v>
      </c>
      <c r="H462" s="49"/>
      <c r="I462" s="49">
        <v>13882.05</v>
      </c>
      <c r="J462" s="31"/>
      <c r="K462" s="205"/>
      <c r="M462" s="32"/>
      <c r="P462" s="84">
        <v>95.07</v>
      </c>
      <c r="R462" s="89"/>
      <c r="S462" s="78">
        <f>ROUND(ROUND(P462, 2)*I462, 2)</f>
        <v>1319766.49</v>
      </c>
    </row>
    <row r="463" spans="1:21" ht="36" hidden="1" x14ac:dyDescent="0.5">
      <c r="A463" s="10" t="s">
        <v>1878</v>
      </c>
      <c r="B463" s="10"/>
      <c r="C463" s="47" t="s">
        <v>92</v>
      </c>
      <c r="D463" s="12"/>
      <c r="E463" s="12"/>
      <c r="F463" s="29" t="s">
        <v>93</v>
      </c>
      <c r="G463" s="30">
        <v>5.1999999999999998E-2</v>
      </c>
      <c r="H463" s="30"/>
      <c r="I463" s="30">
        <v>343.74599999999998</v>
      </c>
      <c r="J463" s="31"/>
      <c r="K463" s="205"/>
      <c r="M463" s="32"/>
      <c r="P463" s="84">
        <v>4026.8</v>
      </c>
      <c r="R463" s="89"/>
      <c r="S463" s="78">
        <f>ROUND(ROUND(P463, 2)*I463, 2)</f>
        <v>1384196.39</v>
      </c>
    </row>
    <row r="464" spans="1:21" ht="36" hidden="1" x14ac:dyDescent="0.5">
      <c r="A464" s="10" t="s">
        <v>1881</v>
      </c>
      <c r="B464" s="10"/>
      <c r="C464" s="28" t="s">
        <v>100</v>
      </c>
      <c r="D464" s="12"/>
      <c r="E464" s="12"/>
      <c r="F464" s="29" t="s">
        <v>63</v>
      </c>
      <c r="G464" s="30">
        <v>4.2</v>
      </c>
      <c r="H464" s="30"/>
      <c r="I464" s="30">
        <v>27764.1</v>
      </c>
      <c r="J464" s="31"/>
      <c r="K464" s="205"/>
      <c r="M464" s="32"/>
      <c r="P464" s="84">
        <v>135.53</v>
      </c>
      <c r="R464" s="89"/>
      <c r="S464" s="78">
        <f>ROUND(ROUND(P464, 2)*I464, 2)</f>
        <v>3762868.47</v>
      </c>
    </row>
    <row r="465" spans="1:21" ht="150" customHeight="1" x14ac:dyDescent="0.35">
      <c r="A465" s="109" t="s">
        <v>1884</v>
      </c>
      <c r="B465" s="109" t="s">
        <v>123</v>
      </c>
      <c r="C465" s="92" t="s">
        <v>124</v>
      </c>
      <c r="D465" s="93" t="s">
        <v>61</v>
      </c>
      <c r="E465" s="93" t="s">
        <v>128</v>
      </c>
      <c r="F465" s="93" t="s">
        <v>63</v>
      </c>
      <c r="G465" s="94">
        <v>1</v>
      </c>
      <c r="H465" s="94"/>
      <c r="I465" s="94">
        <v>162.4</v>
      </c>
      <c r="J465" s="136" t="s">
        <v>2482</v>
      </c>
      <c r="K465" s="206"/>
      <c r="L465" s="95"/>
      <c r="M465" s="95"/>
      <c r="N465" s="95"/>
      <c r="O465" s="96"/>
      <c r="P465" s="97">
        <f>IFERROR(ROUND(SUM(S466,S467,S468,S469,S470)/I465, 2),0)</f>
        <v>1039.98</v>
      </c>
      <c r="Q465" s="98">
        <v>2877</v>
      </c>
      <c r="R465" s="87">
        <f>P465+ROUND(Q465, 2)</f>
        <v>3916.98</v>
      </c>
      <c r="S465" s="99">
        <f>ROUND(P465*I465, 2)</f>
        <v>168892.75</v>
      </c>
      <c r="T465" s="95">
        <f>ROUND(I465*ROUND(Q465, 2), 2)</f>
        <v>467224.8</v>
      </c>
      <c r="U465" s="95">
        <f>S465+T465</f>
        <v>636117.55000000005</v>
      </c>
    </row>
    <row r="466" spans="1:21" ht="54" hidden="1" x14ac:dyDescent="0.5">
      <c r="A466" s="10" t="s">
        <v>1885</v>
      </c>
      <c r="B466" s="10"/>
      <c r="C466" s="28" t="s">
        <v>69</v>
      </c>
      <c r="D466" s="12"/>
      <c r="E466" s="12"/>
      <c r="F466" s="29" t="s">
        <v>70</v>
      </c>
      <c r="G466" s="30">
        <v>1</v>
      </c>
      <c r="H466" s="30"/>
      <c r="I466" s="30">
        <v>162.4</v>
      </c>
      <c r="J466" s="31"/>
      <c r="K466" s="205"/>
      <c r="M466" s="32"/>
      <c r="P466" s="84">
        <v>88.35</v>
      </c>
      <c r="R466" s="89"/>
      <c r="S466" s="78">
        <f>ROUND(ROUND(P466, 2)*I466, 2)</f>
        <v>14348.04</v>
      </c>
    </row>
    <row r="467" spans="1:21" ht="21" hidden="1" x14ac:dyDescent="0.5">
      <c r="A467" s="10" t="s">
        <v>1888</v>
      </c>
      <c r="B467" s="10"/>
      <c r="C467" s="47" t="s">
        <v>135</v>
      </c>
      <c r="D467" s="12"/>
      <c r="E467" s="12"/>
      <c r="F467" s="29" t="s">
        <v>78</v>
      </c>
      <c r="G467" s="30">
        <v>2.04</v>
      </c>
      <c r="H467" s="49"/>
      <c r="I467" s="49">
        <v>331.29599999999999</v>
      </c>
      <c r="J467" s="31"/>
      <c r="K467" s="205"/>
      <c r="M467" s="32"/>
      <c r="P467" s="84">
        <v>64.56</v>
      </c>
      <c r="R467" s="89"/>
      <c r="S467" s="78">
        <f>ROUND(ROUND(P467, 2)*I467, 2)</f>
        <v>21388.47</v>
      </c>
    </row>
    <row r="468" spans="1:21" ht="21" hidden="1" x14ac:dyDescent="0.5">
      <c r="A468" s="10" t="s">
        <v>1891</v>
      </c>
      <c r="B468" s="10"/>
      <c r="C468" s="47" t="s">
        <v>142</v>
      </c>
      <c r="D468" s="12"/>
      <c r="E468" s="12"/>
      <c r="F468" s="29" t="s">
        <v>78</v>
      </c>
      <c r="G468" s="30">
        <v>0.8</v>
      </c>
      <c r="H468" s="49"/>
      <c r="I468" s="49">
        <v>129.91999999999999</v>
      </c>
      <c r="J468" s="31"/>
      <c r="K468" s="205"/>
      <c r="M468" s="32"/>
      <c r="P468" s="84">
        <v>51.63</v>
      </c>
      <c r="R468" s="89"/>
      <c r="S468" s="78">
        <f>ROUND(ROUND(P468, 2)*I468, 2)</f>
        <v>6707.77</v>
      </c>
    </row>
    <row r="469" spans="1:21" ht="36" hidden="1" x14ac:dyDescent="0.5">
      <c r="A469" s="10" t="s">
        <v>1894</v>
      </c>
      <c r="B469" s="10"/>
      <c r="C469" s="47" t="s">
        <v>92</v>
      </c>
      <c r="D469" s="12"/>
      <c r="E469" s="12"/>
      <c r="F469" s="29" t="s">
        <v>93</v>
      </c>
      <c r="G469" s="30">
        <v>5.1999999999999998E-2</v>
      </c>
      <c r="H469" s="30"/>
      <c r="I469" s="30">
        <v>8.4450000000000003</v>
      </c>
      <c r="J469" s="31"/>
      <c r="K469" s="205"/>
      <c r="M469" s="32"/>
      <c r="P469" s="84">
        <v>4026.8</v>
      </c>
      <c r="R469" s="89"/>
      <c r="S469" s="78">
        <f>ROUND(ROUND(P469, 2)*I469, 2)</f>
        <v>34006.33</v>
      </c>
    </row>
    <row r="470" spans="1:21" ht="36" hidden="1" x14ac:dyDescent="0.5">
      <c r="A470" s="10" t="s">
        <v>1897</v>
      </c>
      <c r="B470" s="10"/>
      <c r="C470" s="28" t="s">
        <v>100</v>
      </c>
      <c r="D470" s="12"/>
      <c r="E470" s="12" t="s">
        <v>157</v>
      </c>
      <c r="F470" s="29" t="s">
        <v>63</v>
      </c>
      <c r="G470" s="30">
        <v>4.2</v>
      </c>
      <c r="H470" s="30"/>
      <c r="I470" s="30">
        <v>682.08</v>
      </c>
      <c r="J470" s="31"/>
      <c r="K470" s="205"/>
      <c r="M470" s="32"/>
      <c r="P470" s="84">
        <v>135.53</v>
      </c>
      <c r="R470" s="89"/>
      <c r="S470" s="78">
        <f>ROUND(ROUND(P470, 2)*I470, 2)</f>
        <v>92442.3</v>
      </c>
    </row>
    <row r="471" spans="1:21" ht="102" customHeight="1" x14ac:dyDescent="0.35">
      <c r="A471" s="91" t="s">
        <v>1900</v>
      </c>
      <c r="B471" s="91" t="s">
        <v>123</v>
      </c>
      <c r="C471" s="92" t="s">
        <v>124</v>
      </c>
      <c r="D471" s="93" t="s">
        <v>61</v>
      </c>
      <c r="E471" s="93" t="s">
        <v>161</v>
      </c>
      <c r="F471" s="93" t="s">
        <v>63</v>
      </c>
      <c r="G471" s="94">
        <v>1</v>
      </c>
      <c r="H471" s="94"/>
      <c r="I471" s="94">
        <v>59.8</v>
      </c>
      <c r="J471" s="95"/>
      <c r="K471" s="206"/>
      <c r="L471" s="95"/>
      <c r="M471" s="95"/>
      <c r="N471" s="95"/>
      <c r="O471" s="96"/>
      <c r="P471" s="97">
        <f>IFERROR(ROUND(SUM(S472,S473,S474,S475,S476)/I471, 2),0)</f>
        <v>1040</v>
      </c>
      <c r="Q471" s="98">
        <v>2877</v>
      </c>
      <c r="R471" s="90">
        <f>P471+ROUND(Q471, 2)</f>
        <v>3917</v>
      </c>
      <c r="S471" s="99">
        <f>ROUND(P471*I471, 2)</f>
        <v>62192</v>
      </c>
      <c r="T471" s="95">
        <f>ROUND(I471*ROUND(Q471, 2), 2)</f>
        <v>172044.6</v>
      </c>
      <c r="U471" s="95">
        <f>S471+T471</f>
        <v>234236.6</v>
      </c>
    </row>
    <row r="472" spans="1:21" ht="36" hidden="1" x14ac:dyDescent="0.5">
      <c r="A472" s="10" t="s">
        <v>1901</v>
      </c>
      <c r="B472" s="10"/>
      <c r="C472" s="28" t="s">
        <v>100</v>
      </c>
      <c r="D472" s="12"/>
      <c r="E472" s="12"/>
      <c r="F472" s="29" t="s">
        <v>63</v>
      </c>
      <c r="G472" s="30">
        <v>4.2</v>
      </c>
      <c r="H472" s="30"/>
      <c r="I472" s="30">
        <v>251.16</v>
      </c>
      <c r="J472" s="31"/>
      <c r="K472" s="205"/>
      <c r="M472" s="32"/>
      <c r="P472" s="84">
        <v>135.53</v>
      </c>
      <c r="R472" s="89"/>
      <c r="S472" s="78">
        <f>ROUND(ROUND(P472, 2)*I472, 2)</f>
        <v>34039.71</v>
      </c>
    </row>
    <row r="473" spans="1:21" ht="36" hidden="1" x14ac:dyDescent="0.5">
      <c r="A473" s="10" t="s">
        <v>1904</v>
      </c>
      <c r="B473" s="10"/>
      <c r="C473" s="47" t="s">
        <v>92</v>
      </c>
      <c r="D473" s="12"/>
      <c r="E473" s="12"/>
      <c r="F473" s="29" t="s">
        <v>93</v>
      </c>
      <c r="G473" s="30">
        <v>5.1999999999999998E-2</v>
      </c>
      <c r="H473" s="30"/>
      <c r="I473" s="30">
        <v>3.11</v>
      </c>
      <c r="J473" s="31"/>
      <c r="K473" s="205"/>
      <c r="M473" s="32"/>
      <c r="P473" s="84">
        <v>4026.8</v>
      </c>
      <c r="R473" s="89"/>
      <c r="S473" s="78">
        <f>ROUND(ROUND(P473, 2)*I473, 2)</f>
        <v>12523.35</v>
      </c>
    </row>
    <row r="474" spans="1:21" ht="21" hidden="1" x14ac:dyDescent="0.5">
      <c r="A474" s="10" t="s">
        <v>1907</v>
      </c>
      <c r="B474" s="10"/>
      <c r="C474" s="47" t="s">
        <v>135</v>
      </c>
      <c r="D474" s="12"/>
      <c r="E474" s="12"/>
      <c r="F474" s="29" t="s">
        <v>78</v>
      </c>
      <c r="G474" s="30">
        <v>2.04</v>
      </c>
      <c r="H474" s="49"/>
      <c r="I474" s="49">
        <v>121.992</v>
      </c>
      <c r="J474" s="31"/>
      <c r="K474" s="205"/>
      <c r="M474" s="32"/>
      <c r="P474" s="84">
        <v>64.56</v>
      </c>
      <c r="R474" s="89"/>
      <c r="S474" s="78">
        <f>ROUND(ROUND(P474, 2)*I474, 2)</f>
        <v>7875.8</v>
      </c>
    </row>
    <row r="475" spans="1:21" ht="21" hidden="1" x14ac:dyDescent="0.5">
      <c r="A475" s="10" t="s">
        <v>1910</v>
      </c>
      <c r="B475" s="10"/>
      <c r="C475" s="47" t="s">
        <v>142</v>
      </c>
      <c r="D475" s="12"/>
      <c r="E475" s="12"/>
      <c r="F475" s="29" t="s">
        <v>78</v>
      </c>
      <c r="G475" s="30">
        <v>0.8</v>
      </c>
      <c r="H475" s="49"/>
      <c r="I475" s="49">
        <v>47.84</v>
      </c>
      <c r="J475" s="31"/>
      <c r="K475" s="205"/>
      <c r="M475" s="32"/>
      <c r="P475" s="84">
        <v>51.63</v>
      </c>
      <c r="R475" s="89"/>
      <c r="S475" s="78">
        <f>ROUND(ROUND(P475, 2)*I475, 2)</f>
        <v>2469.98</v>
      </c>
    </row>
    <row r="476" spans="1:21" ht="54" hidden="1" x14ac:dyDescent="0.5">
      <c r="A476" s="10" t="s">
        <v>1913</v>
      </c>
      <c r="B476" s="10"/>
      <c r="C476" s="28" t="s">
        <v>69</v>
      </c>
      <c r="D476" s="12"/>
      <c r="E476" s="12"/>
      <c r="F476" s="29" t="s">
        <v>70</v>
      </c>
      <c r="G476" s="30">
        <v>1</v>
      </c>
      <c r="H476" s="30"/>
      <c r="I476" s="30">
        <v>59.8</v>
      </c>
      <c r="J476" s="31"/>
      <c r="K476" s="205"/>
      <c r="M476" s="32"/>
      <c r="P476" s="84">
        <v>88.35</v>
      </c>
      <c r="R476" s="89"/>
      <c r="S476" s="78">
        <f>ROUND(ROUND(P476, 2)*I476, 2)</f>
        <v>5283.33</v>
      </c>
    </row>
    <row r="477" spans="1:21" ht="158.5" customHeight="1" x14ac:dyDescent="0.35">
      <c r="A477" s="109" t="s">
        <v>1916</v>
      </c>
      <c r="B477" s="109" t="s">
        <v>215</v>
      </c>
      <c r="C477" s="92" t="s">
        <v>216</v>
      </c>
      <c r="D477" s="93" t="s">
        <v>61</v>
      </c>
      <c r="E477" s="93" t="s">
        <v>1917</v>
      </c>
      <c r="F477" s="93" t="s">
        <v>63</v>
      </c>
      <c r="G477" s="94">
        <v>1</v>
      </c>
      <c r="H477" s="94"/>
      <c r="I477" s="94">
        <v>783.6</v>
      </c>
      <c r="J477" s="136" t="s">
        <v>2482</v>
      </c>
      <c r="K477" s="206"/>
      <c r="L477" s="95"/>
      <c r="M477" s="95"/>
      <c r="N477" s="95"/>
      <c r="O477" s="96"/>
      <c r="P477" s="97">
        <f>IFERROR(ROUND(SUM(S478,S479,S480,S481,S482)/I477, 2),0)</f>
        <v>805.05</v>
      </c>
      <c r="Q477" s="98">
        <v>1739.5</v>
      </c>
      <c r="R477" s="87">
        <f>P477+ROUND(Q477, 2)</f>
        <v>2544.5500000000002</v>
      </c>
      <c r="S477" s="99">
        <f>ROUND(P477*I477, 2)</f>
        <v>630837.18000000005</v>
      </c>
      <c r="T477" s="95">
        <f>ROUND(I477*ROUND(Q477, 2), 2)</f>
        <v>1363072.2</v>
      </c>
      <c r="U477" s="95">
        <f>S477+T477</f>
        <v>1993909.38</v>
      </c>
    </row>
    <row r="478" spans="1:21" ht="54" hidden="1" x14ac:dyDescent="0.5">
      <c r="A478" s="10" t="s">
        <v>1918</v>
      </c>
      <c r="B478" s="10"/>
      <c r="C478" s="28" t="s">
        <v>222</v>
      </c>
      <c r="D478" s="12"/>
      <c r="E478" s="12"/>
      <c r="F478" s="29" t="s">
        <v>70</v>
      </c>
      <c r="G478" s="30">
        <v>1</v>
      </c>
      <c r="H478" s="30"/>
      <c r="I478" s="30">
        <v>783.6</v>
      </c>
      <c r="J478" s="31"/>
      <c r="K478" s="205"/>
      <c r="M478" s="32"/>
      <c r="P478" s="84">
        <v>111.15</v>
      </c>
      <c r="R478" s="89"/>
      <c r="S478" s="78">
        <f>ROUND(ROUND(P478, 2)*I478, 2)</f>
        <v>87097.14</v>
      </c>
    </row>
    <row r="479" spans="1:21" ht="21" hidden="1" x14ac:dyDescent="0.5">
      <c r="A479" s="10" t="s">
        <v>1921</v>
      </c>
      <c r="B479" s="10"/>
      <c r="C479" s="47" t="s">
        <v>77</v>
      </c>
      <c r="D479" s="12"/>
      <c r="E479" s="12"/>
      <c r="F479" s="29" t="s">
        <v>78</v>
      </c>
      <c r="G479" s="30">
        <v>0.86</v>
      </c>
      <c r="H479" s="49"/>
      <c r="I479" s="49">
        <v>673.89599999999996</v>
      </c>
      <c r="J479" s="31"/>
      <c r="K479" s="205"/>
      <c r="M479" s="32"/>
      <c r="P479" s="84">
        <v>63.73</v>
      </c>
      <c r="R479" s="89"/>
      <c r="S479" s="78">
        <f>ROUND(ROUND(P479, 2)*I479, 2)</f>
        <v>42947.39</v>
      </c>
    </row>
    <row r="480" spans="1:21" ht="21" hidden="1" x14ac:dyDescent="0.5">
      <c r="A480" s="10" t="s">
        <v>1924</v>
      </c>
      <c r="B480" s="10"/>
      <c r="C480" s="47" t="s">
        <v>85</v>
      </c>
      <c r="D480" s="12"/>
      <c r="E480" s="12"/>
      <c r="F480" s="29" t="s">
        <v>78</v>
      </c>
      <c r="G480" s="30">
        <v>2.1</v>
      </c>
      <c r="H480" s="49"/>
      <c r="I480" s="49">
        <v>1645.56</v>
      </c>
      <c r="J480" s="31"/>
      <c r="K480" s="205"/>
      <c r="M480" s="32"/>
      <c r="P480" s="84">
        <v>95.07</v>
      </c>
      <c r="R480" s="89"/>
      <c r="S480" s="78">
        <f>ROUND(ROUND(P480, 2)*I480, 2)</f>
        <v>156443.39000000001</v>
      </c>
    </row>
    <row r="481" spans="1:21" ht="36" hidden="1" x14ac:dyDescent="0.5">
      <c r="A481" s="10" t="s">
        <v>1927</v>
      </c>
      <c r="B481" s="10"/>
      <c r="C481" s="47" t="s">
        <v>92</v>
      </c>
      <c r="D481" s="12"/>
      <c r="E481" s="12"/>
      <c r="F481" s="29" t="s">
        <v>93</v>
      </c>
      <c r="G481" s="30">
        <v>5.1999999999999998E-2</v>
      </c>
      <c r="H481" s="30"/>
      <c r="I481" s="30">
        <v>40.747</v>
      </c>
      <c r="J481" s="31"/>
      <c r="K481" s="205"/>
      <c r="M481" s="32"/>
      <c r="P481" s="84">
        <v>4026.8</v>
      </c>
      <c r="R481" s="89"/>
      <c r="S481" s="78">
        <f>ROUND(ROUND(P481, 2)*I481, 2)</f>
        <v>164080.01999999999</v>
      </c>
    </row>
    <row r="482" spans="1:21" ht="36" hidden="1" x14ac:dyDescent="0.5">
      <c r="A482" s="10" t="s">
        <v>1930</v>
      </c>
      <c r="B482" s="10"/>
      <c r="C482" s="47" t="s">
        <v>244</v>
      </c>
      <c r="D482" s="12"/>
      <c r="E482" s="12"/>
      <c r="F482" s="29" t="s">
        <v>63</v>
      </c>
      <c r="G482" s="30">
        <v>2.2000000000000002</v>
      </c>
      <c r="H482" s="30"/>
      <c r="I482" s="30">
        <v>1723.92</v>
      </c>
      <c r="J482" s="31"/>
      <c r="K482" s="205"/>
      <c r="M482" s="32"/>
      <c r="P482" s="84">
        <v>104.57</v>
      </c>
      <c r="R482" s="89"/>
      <c r="S482" s="78">
        <f>ROUND(ROUND(P482, 2)*I482, 2)</f>
        <v>180270.31</v>
      </c>
    </row>
    <row r="483" spans="1:21" ht="153" customHeight="1" x14ac:dyDescent="0.35">
      <c r="A483" s="109" t="s">
        <v>1933</v>
      </c>
      <c r="B483" s="109" t="s">
        <v>215</v>
      </c>
      <c r="C483" s="92" t="s">
        <v>216</v>
      </c>
      <c r="D483" s="93" t="s">
        <v>61</v>
      </c>
      <c r="E483" s="93" t="s">
        <v>339</v>
      </c>
      <c r="F483" s="93" t="s">
        <v>63</v>
      </c>
      <c r="G483" s="94">
        <v>1</v>
      </c>
      <c r="H483" s="94"/>
      <c r="I483" s="94">
        <v>95.8</v>
      </c>
      <c r="J483" s="136"/>
      <c r="K483" s="206"/>
      <c r="L483" s="95"/>
      <c r="M483" s="95"/>
      <c r="N483" s="95"/>
      <c r="O483" s="96"/>
      <c r="P483" s="97">
        <f>IFERROR(ROUND(SUM(S484,S485,S486,S487,S488)/I483, 2),0)</f>
        <v>1269.23</v>
      </c>
      <c r="Q483" s="98">
        <v>1739.5</v>
      </c>
      <c r="R483" s="87">
        <f>P483+ROUND(Q483, 2)</f>
        <v>3008.73</v>
      </c>
      <c r="S483" s="99">
        <f>ROUND(P483*I483, 2)</f>
        <v>121592.23</v>
      </c>
      <c r="T483" s="95">
        <f>ROUND(I483*ROUND(Q483, 2), 2)</f>
        <v>166644.1</v>
      </c>
      <c r="U483" s="95">
        <f>S483+T483</f>
        <v>288236.33</v>
      </c>
    </row>
    <row r="484" spans="1:21" ht="21" hidden="1" x14ac:dyDescent="0.5">
      <c r="A484" s="10" t="s">
        <v>1934</v>
      </c>
      <c r="B484" s="10"/>
      <c r="C484" s="47" t="s">
        <v>361</v>
      </c>
      <c r="D484" s="12"/>
      <c r="E484" s="12"/>
      <c r="F484" s="29" t="s">
        <v>63</v>
      </c>
      <c r="G484" s="30">
        <v>2.2000000000000002</v>
      </c>
      <c r="H484" s="30"/>
      <c r="I484" s="30">
        <v>210.76</v>
      </c>
      <c r="J484" s="31"/>
      <c r="K484" s="205"/>
      <c r="M484" s="32"/>
      <c r="P484" s="84">
        <v>315.55</v>
      </c>
      <c r="R484" s="89"/>
      <c r="S484" s="78">
        <f>ROUND(ROUND(P484, 2)*I484, 2)</f>
        <v>66505.320000000007</v>
      </c>
    </row>
    <row r="485" spans="1:21" ht="36" hidden="1" x14ac:dyDescent="0.5">
      <c r="A485" s="10" t="s">
        <v>1937</v>
      </c>
      <c r="B485" s="10"/>
      <c r="C485" s="47" t="s">
        <v>92</v>
      </c>
      <c r="D485" s="12"/>
      <c r="E485" s="12"/>
      <c r="F485" s="29" t="s">
        <v>93</v>
      </c>
      <c r="G485" s="30">
        <v>5.1999999999999998E-2</v>
      </c>
      <c r="H485" s="30"/>
      <c r="I485" s="30">
        <v>4.9820000000000002</v>
      </c>
      <c r="J485" s="31"/>
      <c r="K485" s="205"/>
      <c r="M485" s="32"/>
      <c r="P485" s="84">
        <v>4026.8</v>
      </c>
      <c r="R485" s="89"/>
      <c r="S485" s="78">
        <f>ROUND(ROUND(P485, 2)*I485, 2)</f>
        <v>20061.52</v>
      </c>
    </row>
    <row r="486" spans="1:21" ht="21" hidden="1" x14ac:dyDescent="0.5">
      <c r="A486" s="10" t="s">
        <v>1940</v>
      </c>
      <c r="B486" s="10"/>
      <c r="C486" s="47" t="s">
        <v>77</v>
      </c>
      <c r="D486" s="12"/>
      <c r="E486" s="12"/>
      <c r="F486" s="29" t="s">
        <v>78</v>
      </c>
      <c r="G486" s="30">
        <v>0.86</v>
      </c>
      <c r="H486" s="49"/>
      <c r="I486" s="49">
        <v>82.388000000000005</v>
      </c>
      <c r="J486" s="31"/>
      <c r="K486" s="205"/>
      <c r="M486" s="32"/>
      <c r="P486" s="84">
        <v>63.73</v>
      </c>
      <c r="R486" s="89"/>
      <c r="S486" s="78">
        <f>ROUND(ROUND(P486, 2)*I486, 2)</f>
        <v>5250.59</v>
      </c>
    </row>
    <row r="487" spans="1:21" ht="21" hidden="1" x14ac:dyDescent="0.5">
      <c r="A487" s="10" t="s">
        <v>1943</v>
      </c>
      <c r="B487" s="10"/>
      <c r="C487" s="47" t="s">
        <v>85</v>
      </c>
      <c r="D487" s="12"/>
      <c r="E487" s="12"/>
      <c r="F487" s="29" t="s">
        <v>78</v>
      </c>
      <c r="G487" s="30">
        <v>2.1</v>
      </c>
      <c r="H487" s="49"/>
      <c r="I487" s="49">
        <v>201.18</v>
      </c>
      <c r="J487" s="31"/>
      <c r="K487" s="205"/>
      <c r="M487" s="32"/>
      <c r="P487" s="84">
        <v>95.07</v>
      </c>
      <c r="R487" s="89"/>
      <c r="S487" s="78">
        <f>ROUND(ROUND(P487, 2)*I487, 2)</f>
        <v>19126.18</v>
      </c>
    </row>
    <row r="488" spans="1:21" ht="54" hidden="1" x14ac:dyDescent="0.5">
      <c r="A488" s="10" t="s">
        <v>1946</v>
      </c>
      <c r="B488" s="10"/>
      <c r="C488" s="28" t="s">
        <v>222</v>
      </c>
      <c r="D488" s="12"/>
      <c r="E488" s="12"/>
      <c r="F488" s="29" t="s">
        <v>70</v>
      </c>
      <c r="G488" s="30">
        <v>1</v>
      </c>
      <c r="H488" s="30"/>
      <c r="I488" s="30">
        <v>95.8</v>
      </c>
      <c r="J488" s="31"/>
      <c r="K488" s="205"/>
      <c r="M488" s="32"/>
      <c r="P488" s="84">
        <v>111.15</v>
      </c>
      <c r="R488" s="89"/>
      <c r="S488" s="78">
        <f>ROUND(ROUND(P488, 2)*I488, 2)</f>
        <v>10648.17</v>
      </c>
    </row>
    <row r="489" spans="1:21" ht="159.5" customHeight="1" x14ac:dyDescent="0.35">
      <c r="A489" s="109" t="s">
        <v>1949</v>
      </c>
      <c r="B489" s="109" t="s">
        <v>215</v>
      </c>
      <c r="C489" s="92" t="s">
        <v>216</v>
      </c>
      <c r="D489" s="93" t="s">
        <v>61</v>
      </c>
      <c r="E489" s="93" t="s">
        <v>310</v>
      </c>
      <c r="F489" s="93" t="s">
        <v>63</v>
      </c>
      <c r="G489" s="94">
        <v>1</v>
      </c>
      <c r="H489" s="94"/>
      <c r="I489" s="94">
        <v>128.5</v>
      </c>
      <c r="J489" s="136" t="s">
        <v>2482</v>
      </c>
      <c r="K489" s="206"/>
      <c r="L489" s="95"/>
      <c r="M489" s="95"/>
      <c r="N489" s="95"/>
      <c r="O489" s="96"/>
      <c r="P489" s="97">
        <f>IFERROR(ROUND(SUM(S490,S491,S492,S493,S494)/I489, 2),0)</f>
        <v>727.48</v>
      </c>
      <c r="Q489" s="98">
        <v>1739.5</v>
      </c>
      <c r="R489" s="87">
        <f>P489+ROUND(Q489, 2)</f>
        <v>2466.98</v>
      </c>
      <c r="S489" s="99">
        <f>ROUND(P489*I489, 2)</f>
        <v>93481.18</v>
      </c>
      <c r="T489" s="95">
        <f>ROUND(I489*ROUND(Q489, 2), 2)</f>
        <v>223525.75</v>
      </c>
      <c r="U489" s="95">
        <f>S489+T489</f>
        <v>317006.93</v>
      </c>
    </row>
    <row r="490" spans="1:21" ht="54" hidden="1" x14ac:dyDescent="0.5">
      <c r="A490" s="10" t="s">
        <v>1950</v>
      </c>
      <c r="B490" s="10"/>
      <c r="C490" s="28" t="s">
        <v>222</v>
      </c>
      <c r="D490" s="12"/>
      <c r="E490" s="12"/>
      <c r="F490" s="29" t="s">
        <v>70</v>
      </c>
      <c r="G490" s="30">
        <v>1</v>
      </c>
      <c r="H490" s="30"/>
      <c r="I490" s="30">
        <v>128.5</v>
      </c>
      <c r="J490" s="31"/>
      <c r="K490" s="205"/>
      <c r="M490" s="32"/>
      <c r="P490" s="84">
        <v>111.15</v>
      </c>
      <c r="R490" s="89"/>
      <c r="S490" s="78">
        <f>ROUND(ROUND(P490, 2)*I490, 2)</f>
        <v>14282.78</v>
      </c>
    </row>
    <row r="491" spans="1:21" ht="21" hidden="1" x14ac:dyDescent="0.5">
      <c r="A491" s="10" t="s">
        <v>1953</v>
      </c>
      <c r="B491" s="10"/>
      <c r="C491" s="47" t="s">
        <v>135</v>
      </c>
      <c r="D491" s="12"/>
      <c r="E491" s="12"/>
      <c r="F491" s="29" t="s">
        <v>78</v>
      </c>
      <c r="G491" s="30">
        <v>2.1</v>
      </c>
      <c r="H491" s="30"/>
      <c r="I491" s="30">
        <v>269.85000000000002</v>
      </c>
      <c r="J491" s="31"/>
      <c r="K491" s="205"/>
      <c r="M491" s="32"/>
      <c r="P491" s="84">
        <v>64.56</v>
      </c>
      <c r="R491" s="89"/>
      <c r="S491" s="78">
        <f>ROUND(ROUND(P491, 2)*I491, 2)</f>
        <v>17421.52</v>
      </c>
    </row>
    <row r="492" spans="1:21" ht="21" hidden="1" x14ac:dyDescent="0.5">
      <c r="A492" s="10" t="s">
        <v>1956</v>
      </c>
      <c r="B492" s="10"/>
      <c r="C492" s="47" t="s">
        <v>142</v>
      </c>
      <c r="D492" s="12"/>
      <c r="E492" s="12"/>
      <c r="F492" s="29" t="s">
        <v>78</v>
      </c>
      <c r="G492" s="30">
        <v>0.8</v>
      </c>
      <c r="H492" s="30"/>
      <c r="I492" s="30">
        <v>102.8</v>
      </c>
      <c r="J492" s="31"/>
      <c r="K492" s="205"/>
      <c r="M492" s="32"/>
      <c r="P492" s="84">
        <v>51.63</v>
      </c>
      <c r="R492" s="89"/>
      <c r="S492" s="78">
        <f>ROUND(ROUND(P492, 2)*I492, 2)</f>
        <v>5307.56</v>
      </c>
    </row>
    <row r="493" spans="1:21" ht="36" hidden="1" x14ac:dyDescent="0.5">
      <c r="A493" s="10" t="s">
        <v>1959</v>
      </c>
      <c r="B493" s="10"/>
      <c r="C493" s="47" t="s">
        <v>92</v>
      </c>
      <c r="D493" s="12"/>
      <c r="E493" s="12"/>
      <c r="F493" s="29" t="s">
        <v>93</v>
      </c>
      <c r="G493" s="30">
        <v>5.1999999999999998E-2</v>
      </c>
      <c r="H493" s="30"/>
      <c r="I493" s="30">
        <v>6.6820000000000004</v>
      </c>
      <c r="J493" s="31"/>
      <c r="K493" s="205"/>
      <c r="M493" s="32"/>
      <c r="P493" s="84">
        <v>4026.8</v>
      </c>
      <c r="R493" s="89"/>
      <c r="S493" s="78">
        <f>ROUND(ROUND(P493, 2)*I493, 2)</f>
        <v>26907.08</v>
      </c>
    </row>
    <row r="494" spans="1:21" ht="36" hidden="1" x14ac:dyDescent="0.5">
      <c r="A494" s="10" t="s">
        <v>1962</v>
      </c>
      <c r="B494" s="10"/>
      <c r="C494" s="47" t="s">
        <v>254</v>
      </c>
      <c r="D494" s="12"/>
      <c r="E494" s="12" t="s">
        <v>315</v>
      </c>
      <c r="F494" s="29" t="s">
        <v>63</v>
      </c>
      <c r="G494" s="30">
        <v>2.2000000000000002</v>
      </c>
      <c r="H494" s="30"/>
      <c r="I494" s="30">
        <v>282.7</v>
      </c>
      <c r="J494" s="31"/>
      <c r="K494" s="205"/>
      <c r="M494" s="32"/>
      <c r="P494" s="84">
        <v>104.57</v>
      </c>
      <c r="R494" s="89"/>
      <c r="S494" s="78">
        <f>ROUND(ROUND(P494, 2)*I494, 2)</f>
        <v>29561.94</v>
      </c>
    </row>
    <row r="495" spans="1:21" ht="211.5" customHeight="1" x14ac:dyDescent="0.35">
      <c r="A495" s="109" t="s">
        <v>1965</v>
      </c>
      <c r="B495" s="109" t="s">
        <v>215</v>
      </c>
      <c r="C495" s="92" t="s">
        <v>216</v>
      </c>
      <c r="D495" s="93" t="s">
        <v>61</v>
      </c>
      <c r="E495" s="93" t="s">
        <v>282</v>
      </c>
      <c r="F495" s="93" t="s">
        <v>63</v>
      </c>
      <c r="G495" s="94">
        <v>1</v>
      </c>
      <c r="H495" s="94"/>
      <c r="I495" s="94">
        <v>185.6</v>
      </c>
      <c r="J495" s="136" t="s">
        <v>2483</v>
      </c>
      <c r="K495" s="206"/>
      <c r="L495" s="95"/>
      <c r="M495" s="95"/>
      <c r="N495" s="95"/>
      <c r="O495" s="96"/>
      <c r="P495" s="97">
        <f>IFERROR(ROUND(SUM(S496,S497,S498,S499,S500)/I495, 2),0)</f>
        <v>805.05</v>
      </c>
      <c r="Q495" s="98">
        <v>1739.5</v>
      </c>
      <c r="R495" s="87">
        <f>P495+ROUND(Q495, 2)</f>
        <v>2544.5500000000002</v>
      </c>
      <c r="S495" s="99">
        <f>ROUND(P495*I495, 2)</f>
        <v>149417.28</v>
      </c>
      <c r="T495" s="95">
        <f>ROUND(I495*ROUND(Q495, 2), 2)</f>
        <v>322851.20000000001</v>
      </c>
      <c r="U495" s="95">
        <f>S495+T495</f>
        <v>472268.48</v>
      </c>
    </row>
    <row r="496" spans="1:21" ht="36" hidden="1" x14ac:dyDescent="0.5">
      <c r="A496" s="10" t="s">
        <v>1966</v>
      </c>
      <c r="B496" s="10"/>
      <c r="C496" s="47" t="s">
        <v>254</v>
      </c>
      <c r="D496" s="12"/>
      <c r="E496" s="12"/>
      <c r="F496" s="29" t="s">
        <v>63</v>
      </c>
      <c r="G496" s="30">
        <v>2.2000000000000002</v>
      </c>
      <c r="H496" s="30"/>
      <c r="I496" s="30">
        <v>408.32</v>
      </c>
      <c r="J496" s="31"/>
      <c r="K496" s="205"/>
      <c r="M496" s="32"/>
      <c r="P496" s="84">
        <v>104.57</v>
      </c>
      <c r="R496" s="89"/>
      <c r="S496" s="78">
        <f>ROUND(ROUND(P496, 2)*I496, 2)</f>
        <v>42698.02</v>
      </c>
    </row>
    <row r="497" spans="1:21" ht="36" hidden="1" x14ac:dyDescent="0.5">
      <c r="A497" s="10" t="s">
        <v>1969</v>
      </c>
      <c r="B497" s="10"/>
      <c r="C497" s="47" t="s">
        <v>92</v>
      </c>
      <c r="D497" s="12"/>
      <c r="E497" s="12"/>
      <c r="F497" s="29" t="s">
        <v>93</v>
      </c>
      <c r="G497" s="30">
        <v>5.1999999999999998E-2</v>
      </c>
      <c r="H497" s="30"/>
      <c r="I497" s="30">
        <v>9.6509999999999998</v>
      </c>
      <c r="J497" s="31"/>
      <c r="K497" s="205"/>
      <c r="M497" s="32"/>
      <c r="P497" s="84">
        <v>4026.8</v>
      </c>
      <c r="R497" s="89"/>
      <c r="S497" s="78">
        <f>ROUND(ROUND(P497, 2)*I497, 2)</f>
        <v>38862.65</v>
      </c>
    </row>
    <row r="498" spans="1:21" ht="21" hidden="1" x14ac:dyDescent="0.5">
      <c r="A498" s="10" t="s">
        <v>1972</v>
      </c>
      <c r="B498" s="10"/>
      <c r="C498" s="47" t="s">
        <v>77</v>
      </c>
      <c r="D498" s="12"/>
      <c r="E498" s="12"/>
      <c r="F498" s="29" t="s">
        <v>78</v>
      </c>
      <c r="G498" s="30">
        <v>0.86</v>
      </c>
      <c r="H498" s="49"/>
      <c r="I498" s="49">
        <v>159.61600000000001</v>
      </c>
      <c r="J498" s="31"/>
      <c r="K498" s="205"/>
      <c r="M498" s="32"/>
      <c r="P498" s="84">
        <v>63.73</v>
      </c>
      <c r="R498" s="89"/>
      <c r="S498" s="78">
        <f>ROUND(ROUND(P498, 2)*I498, 2)</f>
        <v>10172.33</v>
      </c>
    </row>
    <row r="499" spans="1:21" ht="21" hidden="1" x14ac:dyDescent="0.5">
      <c r="A499" s="10" t="s">
        <v>1975</v>
      </c>
      <c r="B499" s="10"/>
      <c r="C499" s="47" t="s">
        <v>85</v>
      </c>
      <c r="D499" s="12"/>
      <c r="E499" s="12"/>
      <c r="F499" s="29" t="s">
        <v>78</v>
      </c>
      <c r="G499" s="30">
        <v>2.1</v>
      </c>
      <c r="H499" s="49"/>
      <c r="I499" s="49">
        <v>389.76</v>
      </c>
      <c r="J499" s="31"/>
      <c r="K499" s="205"/>
      <c r="M499" s="32"/>
      <c r="P499" s="84">
        <v>95.07</v>
      </c>
      <c r="R499" s="89"/>
      <c r="S499" s="78">
        <f>ROUND(ROUND(P499, 2)*I499, 2)</f>
        <v>37054.480000000003</v>
      </c>
    </row>
    <row r="500" spans="1:21" ht="54" hidden="1" x14ac:dyDescent="0.5">
      <c r="A500" s="10" t="s">
        <v>1978</v>
      </c>
      <c r="B500" s="10"/>
      <c r="C500" s="28" t="s">
        <v>222</v>
      </c>
      <c r="D500" s="12"/>
      <c r="E500" s="12"/>
      <c r="F500" s="29" t="s">
        <v>70</v>
      </c>
      <c r="G500" s="30">
        <v>1</v>
      </c>
      <c r="H500" s="30"/>
      <c r="I500" s="30">
        <v>185.6</v>
      </c>
      <c r="J500" s="31"/>
      <c r="K500" s="205"/>
      <c r="M500" s="32"/>
      <c r="P500" s="84">
        <v>111.15</v>
      </c>
      <c r="R500" s="89"/>
      <c r="S500" s="78">
        <f>ROUND(ROUND(P500, 2)*I500, 2)</f>
        <v>20629.439999999999</v>
      </c>
    </row>
    <row r="501" spans="1:21" ht="168" customHeight="1" x14ac:dyDescent="0.35">
      <c r="A501" s="109" t="s">
        <v>1981</v>
      </c>
      <c r="B501" s="109" t="s">
        <v>215</v>
      </c>
      <c r="C501" s="92" t="s">
        <v>216</v>
      </c>
      <c r="D501" s="93" t="s">
        <v>61</v>
      </c>
      <c r="E501" s="93" t="s">
        <v>252</v>
      </c>
      <c r="F501" s="93" t="s">
        <v>63</v>
      </c>
      <c r="G501" s="94">
        <v>1</v>
      </c>
      <c r="H501" s="94"/>
      <c r="I501" s="94">
        <v>2480.6999999999998</v>
      </c>
      <c r="J501" s="136" t="s">
        <v>2482</v>
      </c>
      <c r="K501" s="206"/>
      <c r="L501" s="95"/>
      <c r="M501" s="95"/>
      <c r="N501" s="95"/>
      <c r="O501" s="96"/>
      <c r="P501" s="97">
        <f>IFERROR(ROUND(SUM(S502,S503,S504,S505,S506)/I501, 2),0)</f>
        <v>805.05</v>
      </c>
      <c r="Q501" s="98">
        <v>1739.5</v>
      </c>
      <c r="R501" s="87">
        <f>P501+ROUND(Q501, 2)</f>
        <v>2544.5500000000002</v>
      </c>
      <c r="S501" s="99">
        <f>ROUND(P501*I501, 2)</f>
        <v>1997087.54</v>
      </c>
      <c r="T501" s="95">
        <f>ROUND(I501*ROUND(Q501, 2), 2)</f>
        <v>4315177.6500000004</v>
      </c>
      <c r="U501" s="95">
        <f>S501+T501</f>
        <v>6312265.1900000004</v>
      </c>
    </row>
    <row r="502" spans="1:21" ht="54" hidden="1" x14ac:dyDescent="0.5">
      <c r="A502" s="10" t="s">
        <v>1982</v>
      </c>
      <c r="B502" s="10"/>
      <c r="C502" s="28" t="s">
        <v>222</v>
      </c>
      <c r="D502" s="12"/>
      <c r="E502" s="12"/>
      <c r="F502" s="29" t="s">
        <v>70</v>
      </c>
      <c r="G502" s="30">
        <v>1</v>
      </c>
      <c r="H502" s="30"/>
      <c r="I502" s="30">
        <v>2480.6999999999998</v>
      </c>
      <c r="J502" s="31"/>
      <c r="K502" s="205"/>
      <c r="M502" s="32"/>
      <c r="P502" s="84">
        <v>111.15</v>
      </c>
      <c r="R502" s="89"/>
      <c r="S502" s="78">
        <f>ROUND(ROUND(P502, 2)*I502, 2)</f>
        <v>275729.81</v>
      </c>
    </row>
    <row r="503" spans="1:21" ht="21" hidden="1" x14ac:dyDescent="0.5">
      <c r="A503" s="10" t="s">
        <v>1985</v>
      </c>
      <c r="B503" s="10"/>
      <c r="C503" s="47" t="s">
        <v>77</v>
      </c>
      <c r="D503" s="12"/>
      <c r="E503" s="12"/>
      <c r="F503" s="29" t="s">
        <v>78</v>
      </c>
      <c r="G503" s="30">
        <v>0.86</v>
      </c>
      <c r="H503" s="49"/>
      <c r="I503" s="49">
        <v>2133.402</v>
      </c>
      <c r="J503" s="31"/>
      <c r="K503" s="205"/>
      <c r="M503" s="32"/>
      <c r="P503" s="84">
        <v>63.73</v>
      </c>
      <c r="R503" s="89"/>
      <c r="S503" s="78">
        <f>ROUND(ROUND(P503, 2)*I503, 2)</f>
        <v>135961.71</v>
      </c>
    </row>
    <row r="504" spans="1:21" ht="21" hidden="1" x14ac:dyDescent="0.5">
      <c r="A504" s="10" t="s">
        <v>1988</v>
      </c>
      <c r="B504" s="10"/>
      <c r="C504" s="47" t="s">
        <v>85</v>
      </c>
      <c r="D504" s="12"/>
      <c r="E504" s="12"/>
      <c r="F504" s="29" t="s">
        <v>78</v>
      </c>
      <c r="G504" s="30">
        <v>2.1</v>
      </c>
      <c r="H504" s="49"/>
      <c r="I504" s="49">
        <v>5209.47</v>
      </c>
      <c r="J504" s="31"/>
      <c r="K504" s="205"/>
      <c r="M504" s="32"/>
      <c r="P504" s="84">
        <v>95.07</v>
      </c>
      <c r="R504" s="89"/>
      <c r="S504" s="78">
        <f>ROUND(ROUND(P504, 2)*I504, 2)</f>
        <v>495264.31</v>
      </c>
    </row>
    <row r="505" spans="1:21" ht="36" hidden="1" x14ac:dyDescent="0.5">
      <c r="A505" s="10" t="s">
        <v>1991</v>
      </c>
      <c r="B505" s="10"/>
      <c r="C505" s="47" t="s">
        <v>92</v>
      </c>
      <c r="D505" s="12"/>
      <c r="E505" s="12"/>
      <c r="F505" s="29" t="s">
        <v>93</v>
      </c>
      <c r="G505" s="30">
        <v>5.1999999999999998E-2</v>
      </c>
      <c r="H505" s="30"/>
      <c r="I505" s="30">
        <v>128.99600000000001</v>
      </c>
      <c r="J505" s="31"/>
      <c r="K505" s="205"/>
      <c r="M505" s="32"/>
      <c r="P505" s="84">
        <v>4026.8</v>
      </c>
      <c r="R505" s="89"/>
      <c r="S505" s="78">
        <f>ROUND(ROUND(P505, 2)*I505, 2)</f>
        <v>519441.09</v>
      </c>
    </row>
    <row r="506" spans="1:21" ht="36" hidden="1" x14ac:dyDescent="0.5">
      <c r="A506" s="10" t="s">
        <v>1994</v>
      </c>
      <c r="B506" s="10"/>
      <c r="C506" s="47" t="s">
        <v>254</v>
      </c>
      <c r="D506" s="12"/>
      <c r="E506" s="12"/>
      <c r="F506" s="29" t="s">
        <v>63</v>
      </c>
      <c r="G506" s="30">
        <v>2.2000000000000002</v>
      </c>
      <c r="H506" s="30"/>
      <c r="I506" s="30">
        <v>5457.54</v>
      </c>
      <c r="J506" s="31"/>
      <c r="K506" s="205"/>
      <c r="M506" s="32"/>
      <c r="P506" s="84">
        <v>104.57</v>
      </c>
      <c r="R506" s="89"/>
      <c r="S506" s="78">
        <f>ROUND(ROUND(P506, 2)*I506, 2)</f>
        <v>570694.96</v>
      </c>
    </row>
    <row r="507" spans="1:21" ht="17" customHeight="1" x14ac:dyDescent="0.5">
      <c r="A507" s="10" t="s">
        <v>1997</v>
      </c>
      <c r="B507" s="10" t="s">
        <v>448</v>
      </c>
      <c r="C507" s="174" t="s">
        <v>449</v>
      </c>
      <c r="D507" s="175"/>
      <c r="E507" s="175"/>
      <c r="F507" s="175"/>
      <c r="G507" s="175"/>
      <c r="H507" s="175"/>
      <c r="I507" s="176"/>
      <c r="K507" s="205"/>
      <c r="M507" s="6"/>
      <c r="N507" s="6"/>
      <c r="O507" s="73"/>
      <c r="P507" s="81"/>
      <c r="R507" s="89"/>
      <c r="S507" s="76">
        <f t="shared" ref="S507:U508" si="9">SUM(S508)</f>
        <v>54473477.200000003</v>
      </c>
      <c r="T507" s="6">
        <f t="shared" si="9"/>
        <v>102078984.19</v>
      </c>
      <c r="U507" s="6">
        <f t="shared" si="9"/>
        <v>156552461.39000002</v>
      </c>
    </row>
    <row r="508" spans="1:21" ht="17" customHeight="1" x14ac:dyDescent="0.5">
      <c r="A508" s="10" t="s">
        <v>1998</v>
      </c>
      <c r="B508" s="10" t="s">
        <v>451</v>
      </c>
      <c r="C508" s="174" t="s">
        <v>452</v>
      </c>
      <c r="D508" s="175"/>
      <c r="E508" s="175"/>
      <c r="F508" s="175"/>
      <c r="G508" s="175"/>
      <c r="H508" s="175"/>
      <c r="I508" s="176"/>
      <c r="K508" s="205"/>
      <c r="M508" s="6"/>
      <c r="N508" s="6"/>
      <c r="O508" s="73"/>
      <c r="P508" s="81"/>
      <c r="R508" s="89"/>
      <c r="S508" s="76">
        <f t="shared" si="9"/>
        <v>54473477.200000003</v>
      </c>
      <c r="T508" s="6">
        <f t="shared" si="9"/>
        <v>102078984.19</v>
      </c>
      <c r="U508" s="6">
        <f t="shared" si="9"/>
        <v>156552461.39000002</v>
      </c>
    </row>
    <row r="509" spans="1:21" ht="17" customHeight="1" x14ac:dyDescent="0.5">
      <c r="A509" s="10" t="s">
        <v>1999</v>
      </c>
      <c r="B509" s="10" t="s">
        <v>454</v>
      </c>
      <c r="C509" s="174" t="s">
        <v>455</v>
      </c>
      <c r="D509" s="175"/>
      <c r="E509" s="175"/>
      <c r="F509" s="175"/>
      <c r="G509" s="175"/>
      <c r="H509" s="175"/>
      <c r="I509" s="176"/>
      <c r="K509" s="205"/>
      <c r="M509" s="6"/>
      <c r="N509" s="6"/>
      <c r="O509" s="73"/>
      <c r="P509" s="81"/>
      <c r="R509" s="89"/>
      <c r="S509" s="76">
        <f>SUM(S510,S598,S619,S642,S682)</f>
        <v>54473477.200000003</v>
      </c>
      <c r="T509" s="6">
        <f>SUM(T510,T598,T619,T642,T682)</f>
        <v>102078984.19</v>
      </c>
      <c r="U509" s="6">
        <f>SUM(U510,U598,U619,U642,U682)</f>
        <v>156552461.39000002</v>
      </c>
    </row>
    <row r="510" spans="1:21" s="149" customFormat="1" ht="33.5" customHeight="1" x14ac:dyDescent="0.55000000000000004">
      <c r="A510" s="155" t="s">
        <v>2000</v>
      </c>
      <c r="B510" s="155" t="s">
        <v>457</v>
      </c>
      <c r="C510" s="187" t="s">
        <v>458</v>
      </c>
      <c r="D510" s="188"/>
      <c r="E510" s="188"/>
      <c r="F510" s="188"/>
      <c r="G510" s="188"/>
      <c r="H510" s="188"/>
      <c r="I510" s="189"/>
      <c r="K510" s="207"/>
      <c r="M510" s="150"/>
      <c r="N510" s="150"/>
      <c r="O510" s="151"/>
      <c r="P510" s="152"/>
      <c r="R510" s="153"/>
      <c r="S510" s="154">
        <f>SUM(S511,S523,S546)</f>
        <v>27686647.390000001</v>
      </c>
      <c r="T510" s="150">
        <f>SUM(T511,T523,T546)</f>
        <v>43594020.350000001</v>
      </c>
      <c r="U510" s="150">
        <f>SUM(U511,U523,U546)</f>
        <v>71280667.74000001</v>
      </c>
    </row>
    <row r="511" spans="1:21" s="149" customFormat="1" ht="36" customHeight="1" x14ac:dyDescent="0.55000000000000004">
      <c r="A511" s="155" t="s">
        <v>2001</v>
      </c>
      <c r="B511" s="155" t="s">
        <v>460</v>
      </c>
      <c r="C511" s="187" t="s">
        <v>461</v>
      </c>
      <c r="D511" s="188"/>
      <c r="E511" s="188"/>
      <c r="F511" s="188"/>
      <c r="G511" s="188"/>
      <c r="H511" s="188"/>
      <c r="I511" s="189"/>
      <c r="K511" s="207"/>
      <c r="M511" s="150"/>
      <c r="N511" s="150"/>
      <c r="O511" s="151"/>
      <c r="P511" s="152"/>
      <c r="R511" s="153"/>
      <c r="S511" s="154">
        <f>SUM(S512,S514,S519)</f>
        <v>1283835.6700000002</v>
      </c>
      <c r="T511" s="150">
        <f>SUM(T512,T514,T519)</f>
        <v>10063118.689999999</v>
      </c>
      <c r="U511" s="150">
        <f>SUM(U512,U514,U519)</f>
        <v>11346954.360000001</v>
      </c>
    </row>
    <row r="512" spans="1:21" ht="41" customHeight="1" x14ac:dyDescent="0.35">
      <c r="A512" s="109" t="s">
        <v>2002</v>
      </c>
      <c r="B512" s="109" t="s">
        <v>463</v>
      </c>
      <c r="C512" s="92" t="s">
        <v>464</v>
      </c>
      <c r="D512" s="93"/>
      <c r="E512" s="93" t="s">
        <v>469</v>
      </c>
      <c r="F512" s="93" t="s">
        <v>63</v>
      </c>
      <c r="G512" s="94">
        <v>1</v>
      </c>
      <c r="H512" s="94"/>
      <c r="I512" s="94">
        <v>22.6</v>
      </c>
      <c r="J512" s="95"/>
      <c r="K512" s="206"/>
      <c r="L512" s="95"/>
      <c r="M512" s="95"/>
      <c r="N512" s="95"/>
      <c r="O512" s="96"/>
      <c r="P512" s="97">
        <f>IFERROR(ROUND(SUM(S513)/I512, 2),0)</f>
        <v>51.44</v>
      </c>
      <c r="Q512" s="98">
        <v>56.8</v>
      </c>
      <c r="R512" s="87">
        <f>P512+ROUND(Q512, 2)</f>
        <v>108.24</v>
      </c>
      <c r="S512" s="99">
        <f>ROUND(P512*I512, 2)</f>
        <v>1162.54</v>
      </c>
      <c r="T512" s="95">
        <f>ROUND(I512*ROUND(Q512, 2), 2)</f>
        <v>1283.68</v>
      </c>
      <c r="U512" s="95">
        <f>S512+T512</f>
        <v>2446.2200000000003</v>
      </c>
    </row>
    <row r="513" spans="1:21" ht="21" hidden="1" x14ac:dyDescent="0.5">
      <c r="A513" s="10" t="s">
        <v>2003</v>
      </c>
      <c r="B513" s="10"/>
      <c r="C513" s="28" t="s">
        <v>471</v>
      </c>
      <c r="D513" s="12"/>
      <c r="E513" s="12"/>
      <c r="F513" s="29" t="s">
        <v>63</v>
      </c>
      <c r="G513" s="30">
        <v>1.1000000000000001</v>
      </c>
      <c r="H513" s="30"/>
      <c r="I513" s="30">
        <v>24.86</v>
      </c>
      <c r="J513" s="31"/>
      <c r="K513" s="205"/>
      <c r="M513" s="32"/>
      <c r="P513" s="84">
        <v>46.76</v>
      </c>
      <c r="R513" s="89"/>
      <c r="S513" s="78">
        <f>ROUND(ROUND(P513, 2)*I513, 2)</f>
        <v>1162.45</v>
      </c>
    </row>
    <row r="514" spans="1:21" ht="36" hidden="1" x14ac:dyDescent="0.35">
      <c r="A514" s="10" t="s">
        <v>2006</v>
      </c>
      <c r="B514" s="10" t="s">
        <v>482</v>
      </c>
      <c r="C514" s="11" t="s">
        <v>483</v>
      </c>
      <c r="D514" s="12"/>
      <c r="E514" s="12" t="s">
        <v>487</v>
      </c>
      <c r="F514" s="12" t="s">
        <v>63</v>
      </c>
      <c r="G514" s="13">
        <v>1</v>
      </c>
      <c r="H514" s="13"/>
      <c r="I514" s="13">
        <v>7788.8</v>
      </c>
      <c r="J514" s="14"/>
      <c r="K514" s="208"/>
      <c r="L514" s="14"/>
      <c r="M514" s="14"/>
      <c r="N514" s="14"/>
      <c r="O514" s="74"/>
      <c r="P514" s="82">
        <f>IFERROR(ROUND(SUM(S515,S516,S517,S518)/I514, 2),0)</f>
        <v>151.97999999999999</v>
      </c>
      <c r="Q514" s="86">
        <v>1232.56</v>
      </c>
      <c r="R514" s="90">
        <f>P514+ROUND(Q514, 2)</f>
        <v>1384.54</v>
      </c>
      <c r="S514" s="77">
        <f>ROUND(P514*I514, 2)</f>
        <v>1183741.82</v>
      </c>
      <c r="T514" s="14">
        <f>ROUND(I514*ROUND(Q514, 2), 2)</f>
        <v>9600163.3300000001</v>
      </c>
      <c r="U514" s="14">
        <f>S514+T514</f>
        <v>10783905.15</v>
      </c>
    </row>
    <row r="515" spans="1:21" ht="21" hidden="1" x14ac:dyDescent="0.5">
      <c r="A515" s="10" t="s">
        <v>2007</v>
      </c>
      <c r="B515" s="10"/>
      <c r="C515" s="28" t="s">
        <v>489</v>
      </c>
      <c r="D515" s="12"/>
      <c r="E515" s="12"/>
      <c r="F515" s="29" t="s">
        <v>490</v>
      </c>
      <c r="G515" s="30">
        <v>8</v>
      </c>
      <c r="H515" s="49"/>
      <c r="I515" s="49">
        <v>62310.400000000001</v>
      </c>
      <c r="J515" s="31"/>
      <c r="K515" s="205"/>
      <c r="M515" s="32"/>
      <c r="P515" s="84">
        <v>2.5</v>
      </c>
      <c r="R515" s="89"/>
      <c r="S515" s="78">
        <f>ROUND(ROUND(P515, 2)*I515, 2)</f>
        <v>155776</v>
      </c>
    </row>
    <row r="516" spans="1:21" ht="21" hidden="1" x14ac:dyDescent="0.5">
      <c r="A516" s="10" t="s">
        <v>2010</v>
      </c>
      <c r="B516" s="10"/>
      <c r="C516" s="28" t="s">
        <v>512</v>
      </c>
      <c r="D516" s="12"/>
      <c r="E516" s="12"/>
      <c r="F516" s="29" t="s">
        <v>78</v>
      </c>
      <c r="G516" s="30">
        <v>1</v>
      </c>
      <c r="H516" s="49"/>
      <c r="I516" s="49">
        <v>6544</v>
      </c>
      <c r="J516" s="31"/>
      <c r="K516" s="205"/>
      <c r="M516" s="32"/>
      <c r="P516" s="84">
        <v>10.4</v>
      </c>
      <c r="R516" s="89"/>
      <c r="S516" s="78">
        <f>ROUND(ROUND(P516, 2)*I516, 2)</f>
        <v>68057.600000000006</v>
      </c>
    </row>
    <row r="517" spans="1:21" ht="21" hidden="1" x14ac:dyDescent="0.5">
      <c r="A517" s="10" t="s">
        <v>2013</v>
      </c>
      <c r="B517" s="10"/>
      <c r="C517" s="28" t="s">
        <v>497</v>
      </c>
      <c r="D517" s="12"/>
      <c r="E517" s="12"/>
      <c r="F517" s="29" t="s">
        <v>498</v>
      </c>
      <c r="G517" s="30">
        <v>1.8</v>
      </c>
      <c r="H517" s="49"/>
      <c r="I517" s="49">
        <v>14019.84</v>
      </c>
      <c r="J517" s="31"/>
      <c r="K517" s="205"/>
      <c r="M517" s="32"/>
      <c r="P517" s="84">
        <v>6.17</v>
      </c>
      <c r="R517" s="89"/>
      <c r="S517" s="78">
        <f>ROUND(ROUND(P517, 2)*I517, 2)</f>
        <v>86502.41</v>
      </c>
    </row>
    <row r="518" spans="1:21" ht="21" hidden="1" x14ac:dyDescent="0.5">
      <c r="A518" s="10" t="s">
        <v>2016</v>
      </c>
      <c r="B518" s="10"/>
      <c r="C518" s="28" t="s">
        <v>505</v>
      </c>
      <c r="D518" s="12"/>
      <c r="E518" s="12"/>
      <c r="F518" s="29" t="s">
        <v>63</v>
      </c>
      <c r="G518" s="30">
        <v>1.1000000000000001</v>
      </c>
      <c r="H518" s="49"/>
      <c r="I518" s="49">
        <v>8567.68</v>
      </c>
      <c r="J518" s="31"/>
      <c r="K518" s="205"/>
      <c r="M518" s="32"/>
      <c r="P518" s="84">
        <v>101.94</v>
      </c>
      <c r="R518" s="89"/>
      <c r="S518" s="78">
        <f>ROUND(ROUND(P518, 2)*I518, 2)</f>
        <v>873389.3</v>
      </c>
    </row>
    <row r="519" spans="1:21" ht="60.5" customHeight="1" x14ac:dyDescent="0.35">
      <c r="A519" s="109" t="s">
        <v>2019</v>
      </c>
      <c r="B519" s="109" t="s">
        <v>532</v>
      </c>
      <c r="C519" s="92" t="s">
        <v>533</v>
      </c>
      <c r="D519" s="93"/>
      <c r="E519" s="93" t="s">
        <v>537</v>
      </c>
      <c r="F519" s="93" t="s">
        <v>63</v>
      </c>
      <c r="G519" s="94">
        <v>1</v>
      </c>
      <c r="H519" s="94"/>
      <c r="I519" s="94">
        <v>583.70000000000005</v>
      </c>
      <c r="J519" s="95"/>
      <c r="K519" s="206"/>
      <c r="L519" s="95"/>
      <c r="M519" s="95"/>
      <c r="N519" s="95"/>
      <c r="O519" s="96"/>
      <c r="P519" s="97">
        <f>IFERROR(ROUND(SUM(S520,S521,S522)/I519, 2),0)</f>
        <v>169.49</v>
      </c>
      <c r="Q519" s="98">
        <v>790.94</v>
      </c>
      <c r="R519" s="87">
        <f>P519+ROUND(Q519, 2)</f>
        <v>960.43000000000006</v>
      </c>
      <c r="S519" s="99">
        <f>ROUND(P519*I519, 2)</f>
        <v>98931.31</v>
      </c>
      <c r="T519" s="95">
        <f>ROUND(I519*ROUND(Q519, 2), 2)</f>
        <v>461671.67999999999</v>
      </c>
      <c r="U519" s="95">
        <f>S519+T519</f>
        <v>560602.99</v>
      </c>
    </row>
    <row r="520" spans="1:21" ht="21" hidden="1" x14ac:dyDescent="0.5">
      <c r="A520" s="10" t="s">
        <v>2020</v>
      </c>
      <c r="B520" s="10"/>
      <c r="C520" s="28" t="s">
        <v>512</v>
      </c>
      <c r="D520" s="12"/>
      <c r="E520" s="12"/>
      <c r="F520" s="29" t="s">
        <v>78</v>
      </c>
      <c r="G520" s="30">
        <v>1</v>
      </c>
      <c r="H520" s="49"/>
      <c r="I520" s="49">
        <v>96.64</v>
      </c>
      <c r="J520" s="31"/>
      <c r="K520" s="205"/>
      <c r="M520" s="32"/>
      <c r="P520" s="84">
        <v>10.4</v>
      </c>
      <c r="R520" s="89"/>
      <c r="S520" s="78">
        <f>ROUND(ROUND(P520, 2)*I520, 2)</f>
        <v>1005.06</v>
      </c>
    </row>
    <row r="521" spans="1:21" ht="36" hidden="1" x14ac:dyDescent="0.5">
      <c r="A521" s="10" t="s">
        <v>2023</v>
      </c>
      <c r="B521" s="10"/>
      <c r="C521" s="28" t="s">
        <v>544</v>
      </c>
      <c r="D521" s="12"/>
      <c r="E521" s="12"/>
      <c r="F521" s="29" t="s">
        <v>498</v>
      </c>
      <c r="G521" s="30">
        <v>0.255</v>
      </c>
      <c r="H521" s="30"/>
      <c r="I521" s="30">
        <v>148.84399999999999</v>
      </c>
      <c r="J521" s="31"/>
      <c r="K521" s="205"/>
      <c r="M521" s="32"/>
      <c r="P521" s="84">
        <v>88.8</v>
      </c>
      <c r="R521" s="89"/>
      <c r="S521" s="78">
        <f>ROUND(ROUND(P521, 2)*I521, 2)</f>
        <v>13217.35</v>
      </c>
    </row>
    <row r="522" spans="1:21" ht="17" hidden="1" customHeight="1" x14ac:dyDescent="0.5">
      <c r="A522" s="10" t="s">
        <v>2026</v>
      </c>
      <c r="B522" s="10"/>
      <c r="C522" s="47" t="s">
        <v>551</v>
      </c>
      <c r="D522" s="12"/>
      <c r="E522" s="12"/>
      <c r="F522" s="29" t="s">
        <v>498</v>
      </c>
      <c r="G522" s="30">
        <v>1.6</v>
      </c>
      <c r="H522" s="49"/>
      <c r="I522" s="49">
        <v>9339.2000000000007</v>
      </c>
      <c r="J522" s="31"/>
      <c r="K522" s="205"/>
      <c r="M522" s="32"/>
      <c r="P522" s="84">
        <v>9.07</v>
      </c>
      <c r="R522" s="89"/>
      <c r="S522" s="78">
        <f>ROUND(ROUND(P522, 2)*I522, 2)</f>
        <v>84706.54</v>
      </c>
    </row>
    <row r="523" spans="1:21" ht="45" customHeight="1" x14ac:dyDescent="0.5">
      <c r="A523" s="156" t="s">
        <v>2029</v>
      </c>
      <c r="B523" s="156" t="s">
        <v>568</v>
      </c>
      <c r="C523" s="187" t="s">
        <v>569</v>
      </c>
      <c r="D523" s="188"/>
      <c r="E523" s="188"/>
      <c r="F523" s="188"/>
      <c r="G523" s="188"/>
      <c r="H523" s="188"/>
      <c r="I523" s="189"/>
      <c r="K523" s="205"/>
      <c r="M523" s="6"/>
      <c r="N523" s="6"/>
      <c r="O523" s="73"/>
      <c r="P523" s="81"/>
      <c r="R523" s="89"/>
      <c r="S523" s="76">
        <f>SUM(S524,S526,S528,S530,S532,S534,S536,S538,S540,S542,S544)</f>
        <v>4197714.66</v>
      </c>
      <c r="T523" s="6">
        <f>SUM(T524,T526,T528,T530,T532,T534,T536,T538,T540,T542,T544)</f>
        <v>5049429.47</v>
      </c>
      <c r="U523" s="6">
        <f>SUM(U524,U526,U528,U530,U532,U534,U536,U538,U540,U542,U544)</f>
        <v>9247144.129999999</v>
      </c>
    </row>
    <row r="524" spans="1:21" ht="63.5" customHeight="1" x14ac:dyDescent="0.35">
      <c r="A524" s="109" t="s">
        <v>2030</v>
      </c>
      <c r="B524" s="109" t="s">
        <v>571</v>
      </c>
      <c r="C524" s="92" t="s">
        <v>572</v>
      </c>
      <c r="D524" s="93"/>
      <c r="E524" s="93" t="s">
        <v>576</v>
      </c>
      <c r="F524" s="93" t="s">
        <v>63</v>
      </c>
      <c r="G524" s="94">
        <v>1</v>
      </c>
      <c r="H524" s="94"/>
      <c r="I524" s="94">
        <v>168.4</v>
      </c>
      <c r="J524" s="95"/>
      <c r="K524" s="206"/>
      <c r="L524" s="95"/>
      <c r="M524" s="95"/>
      <c r="N524" s="95"/>
      <c r="O524" s="96"/>
      <c r="P524" s="97">
        <f>IFERROR(ROUND(SUM(S525)/I524, 2),0)</f>
        <v>997.82</v>
      </c>
      <c r="Q524" s="98">
        <v>230.04</v>
      </c>
      <c r="R524" s="87">
        <f>P524+ROUND(Q524, 2)</f>
        <v>1227.8600000000001</v>
      </c>
      <c r="S524" s="99">
        <f>ROUND(P524*I524, 2)</f>
        <v>168032.89</v>
      </c>
      <c r="T524" s="95">
        <f>ROUND(I524*ROUND(Q524, 2), 2)</f>
        <v>38738.74</v>
      </c>
      <c r="U524" s="95">
        <f>S524+T524</f>
        <v>206771.63</v>
      </c>
    </row>
    <row r="525" spans="1:21" ht="36" hidden="1" x14ac:dyDescent="0.5">
      <c r="A525" s="10" t="s">
        <v>2031</v>
      </c>
      <c r="B525" s="10"/>
      <c r="C525" s="28" t="s">
        <v>578</v>
      </c>
      <c r="D525" s="12"/>
      <c r="E525" s="12"/>
      <c r="F525" s="29" t="s">
        <v>498</v>
      </c>
      <c r="G525" s="30">
        <v>1</v>
      </c>
      <c r="H525" s="30"/>
      <c r="I525" s="30">
        <v>168.4</v>
      </c>
      <c r="J525" s="31"/>
      <c r="K525" s="205"/>
      <c r="M525" s="32"/>
      <c r="P525" s="84">
        <v>997.82</v>
      </c>
      <c r="R525" s="89"/>
      <c r="S525" s="78">
        <f>ROUND(ROUND(P525, 2)*I525, 2)</f>
        <v>168032.89</v>
      </c>
    </row>
    <row r="526" spans="1:21" ht="58.5" customHeight="1" x14ac:dyDescent="0.35">
      <c r="A526" s="91" t="s">
        <v>2034</v>
      </c>
      <c r="B526" s="91" t="s">
        <v>589</v>
      </c>
      <c r="C526" s="92" t="s">
        <v>590</v>
      </c>
      <c r="D526" s="93"/>
      <c r="E526" s="93" t="s">
        <v>2035</v>
      </c>
      <c r="F526" s="93" t="s">
        <v>63</v>
      </c>
      <c r="G526" s="94">
        <v>1</v>
      </c>
      <c r="H526" s="94"/>
      <c r="I526" s="94">
        <v>549.6</v>
      </c>
      <c r="J526" s="95"/>
      <c r="K526" s="206"/>
      <c r="L526" s="95"/>
      <c r="M526" s="95"/>
      <c r="N526" s="95"/>
      <c r="O526" s="96"/>
      <c r="P526" s="97">
        <f>IFERROR(ROUND(SUM(S527)/I526, 2),0)</f>
        <v>420.76</v>
      </c>
      <c r="Q526" s="98">
        <v>460.08</v>
      </c>
      <c r="R526" s="90">
        <f>P526+ROUND(Q526, 2)</f>
        <v>880.83999999999992</v>
      </c>
      <c r="S526" s="99">
        <f>ROUND(P526*I526, 2)</f>
        <v>231249.7</v>
      </c>
      <c r="T526" s="95">
        <f>ROUND(I526*ROUND(Q526, 2), 2)</f>
        <v>252859.97</v>
      </c>
      <c r="U526" s="95">
        <f>S526+T526</f>
        <v>484109.67000000004</v>
      </c>
    </row>
    <row r="527" spans="1:21" ht="21" hidden="1" x14ac:dyDescent="0.5">
      <c r="A527" s="10" t="s">
        <v>2036</v>
      </c>
      <c r="B527" s="10"/>
      <c r="C527" s="28" t="s">
        <v>596</v>
      </c>
      <c r="D527" s="12"/>
      <c r="E527" s="12"/>
      <c r="F527" s="29" t="s">
        <v>498</v>
      </c>
      <c r="G527" s="30">
        <v>4.3</v>
      </c>
      <c r="H527" s="30"/>
      <c r="I527" s="30">
        <v>2363.2800000000002</v>
      </c>
      <c r="J527" s="31"/>
      <c r="K527" s="205"/>
      <c r="M527" s="32"/>
      <c r="P527" s="84">
        <v>97.85</v>
      </c>
      <c r="R527" s="89"/>
      <c r="S527" s="78">
        <f>ROUND(ROUND(P527, 2)*I527, 2)</f>
        <v>231246.95</v>
      </c>
    </row>
    <row r="528" spans="1:21" ht="57.5" customHeight="1" x14ac:dyDescent="0.35">
      <c r="A528" s="109" t="s">
        <v>2039</v>
      </c>
      <c r="B528" s="109" t="s">
        <v>607</v>
      </c>
      <c r="C528" s="92" t="s">
        <v>608</v>
      </c>
      <c r="D528" s="93"/>
      <c r="E528" s="93" t="s">
        <v>612</v>
      </c>
      <c r="F528" s="93" t="s">
        <v>63</v>
      </c>
      <c r="G528" s="94">
        <v>1</v>
      </c>
      <c r="H528" s="94"/>
      <c r="I528" s="94">
        <v>1430.4</v>
      </c>
      <c r="J528" s="95"/>
      <c r="K528" s="206"/>
      <c r="L528" s="95"/>
      <c r="M528" s="95"/>
      <c r="N528" s="95"/>
      <c r="O528" s="96"/>
      <c r="P528" s="97">
        <f>IFERROR(ROUND(SUM(S529)/I528, 2),0)</f>
        <v>276.93</v>
      </c>
      <c r="Q528" s="98">
        <v>823.6</v>
      </c>
      <c r="R528" s="87">
        <f>P528+ROUND(Q528, 2)</f>
        <v>1100.53</v>
      </c>
      <c r="S528" s="99">
        <f>ROUND(P528*I528, 2)</f>
        <v>396120.67</v>
      </c>
      <c r="T528" s="95">
        <f>ROUND(I528*ROUND(Q528, 2), 2)</f>
        <v>1178077.44</v>
      </c>
      <c r="U528" s="95">
        <f>S528+T528</f>
        <v>1574198.1099999999</v>
      </c>
    </row>
    <row r="529" spans="1:21" ht="21" hidden="1" x14ac:dyDescent="0.5">
      <c r="A529" s="10" t="s">
        <v>2040</v>
      </c>
      <c r="B529" s="10"/>
      <c r="C529" s="47" t="s">
        <v>614</v>
      </c>
      <c r="D529" s="12"/>
      <c r="E529" s="12"/>
      <c r="F529" s="29" t="s">
        <v>63</v>
      </c>
      <c r="G529" s="30">
        <v>1.1000000000000001</v>
      </c>
      <c r="H529" s="49"/>
      <c r="I529" s="49">
        <v>1573.44</v>
      </c>
      <c r="J529" s="31"/>
      <c r="K529" s="205"/>
      <c r="M529" s="32"/>
      <c r="P529" s="84">
        <v>251.75</v>
      </c>
      <c r="R529" s="89"/>
      <c r="S529" s="78">
        <f>ROUND(ROUND(P529, 2)*I529, 2)</f>
        <v>396113.52</v>
      </c>
    </row>
    <row r="530" spans="1:21" ht="58" customHeight="1" x14ac:dyDescent="0.35">
      <c r="A530" s="109" t="s">
        <v>2043</v>
      </c>
      <c r="B530" s="109" t="s">
        <v>625</v>
      </c>
      <c r="C530" s="92" t="s">
        <v>626</v>
      </c>
      <c r="D530" s="93"/>
      <c r="E530" s="93" t="s">
        <v>630</v>
      </c>
      <c r="F530" s="93" t="s">
        <v>63</v>
      </c>
      <c r="G530" s="94">
        <v>1</v>
      </c>
      <c r="H530" s="94"/>
      <c r="I530" s="94">
        <v>220.5</v>
      </c>
      <c r="J530" s="95"/>
      <c r="K530" s="206"/>
      <c r="L530" s="95"/>
      <c r="M530" s="95"/>
      <c r="N530" s="95"/>
      <c r="O530" s="96"/>
      <c r="P530" s="97">
        <f>IFERROR(ROUND(SUM(S531)/I530, 2),0)</f>
        <v>681.45</v>
      </c>
      <c r="Q530" s="98">
        <v>1232.56</v>
      </c>
      <c r="R530" s="87">
        <f>P530+ROUND(Q530, 2)</f>
        <v>1914.01</v>
      </c>
      <c r="S530" s="99">
        <f>ROUND(P530*I530, 2)</f>
        <v>150259.73000000001</v>
      </c>
      <c r="T530" s="95">
        <f>ROUND(I530*ROUND(Q530, 2), 2)</f>
        <v>271779.48</v>
      </c>
      <c r="U530" s="95">
        <f>S530+T530</f>
        <v>422039.20999999996</v>
      </c>
    </row>
    <row r="531" spans="1:21" ht="33" hidden="1" customHeight="1" x14ac:dyDescent="0.5">
      <c r="A531" s="10" t="s">
        <v>2044</v>
      </c>
      <c r="B531" s="10"/>
      <c r="C531" s="47" t="s">
        <v>632</v>
      </c>
      <c r="D531" s="12"/>
      <c r="E531" s="12"/>
      <c r="F531" s="29" t="s">
        <v>63</v>
      </c>
      <c r="G531" s="30">
        <v>2.1</v>
      </c>
      <c r="H531" s="49"/>
      <c r="I531" s="49">
        <v>463.05</v>
      </c>
      <c r="J531" s="31"/>
      <c r="K531" s="205"/>
      <c r="M531" s="32"/>
      <c r="P531" s="84">
        <v>324.5</v>
      </c>
      <c r="R531" s="89"/>
      <c r="S531" s="78">
        <f>ROUND(ROUND(P531, 2)*I531, 2)</f>
        <v>150259.73000000001</v>
      </c>
    </row>
    <row r="532" spans="1:21" ht="43" customHeight="1" x14ac:dyDescent="0.35">
      <c r="A532" s="91" t="s">
        <v>2047</v>
      </c>
      <c r="B532" s="91" t="s">
        <v>644</v>
      </c>
      <c r="C532" s="92" t="s">
        <v>645</v>
      </c>
      <c r="D532" s="93"/>
      <c r="E532" s="93" t="s">
        <v>649</v>
      </c>
      <c r="F532" s="93" t="s">
        <v>93</v>
      </c>
      <c r="G532" s="94">
        <v>1</v>
      </c>
      <c r="H532" s="94"/>
      <c r="I532" s="94">
        <v>14.77</v>
      </c>
      <c r="J532" s="95"/>
      <c r="K532" s="206"/>
      <c r="L532" s="95"/>
      <c r="M532" s="95"/>
      <c r="N532" s="95"/>
      <c r="O532" s="96"/>
      <c r="P532" s="97">
        <f>IFERROR(ROUND(SUM(S533)/I532, 2),0)</f>
        <v>2600.9299999999998</v>
      </c>
      <c r="Q532" s="98">
        <v>3062.94</v>
      </c>
      <c r="R532" s="90">
        <f>P532+ROUND(Q532, 2)</f>
        <v>5663.87</v>
      </c>
      <c r="S532" s="99">
        <f>ROUND(P532*I532, 2)</f>
        <v>38415.74</v>
      </c>
      <c r="T532" s="95">
        <f>ROUND(I532*ROUND(Q532, 2), 2)</f>
        <v>45239.62</v>
      </c>
      <c r="U532" s="95">
        <f>S532+T532</f>
        <v>83655.360000000001</v>
      </c>
    </row>
    <row r="533" spans="1:21" ht="21" hidden="1" x14ac:dyDescent="0.5">
      <c r="A533" s="10" t="s">
        <v>2048</v>
      </c>
      <c r="B533" s="10"/>
      <c r="C533" s="28" t="s">
        <v>651</v>
      </c>
      <c r="D533" s="12"/>
      <c r="E533" s="12"/>
      <c r="F533" s="29" t="s">
        <v>93</v>
      </c>
      <c r="G533" s="30">
        <v>1.02</v>
      </c>
      <c r="H533" s="30"/>
      <c r="I533" s="30">
        <v>15.065</v>
      </c>
      <c r="J533" s="31"/>
      <c r="K533" s="205"/>
      <c r="M533" s="32"/>
      <c r="P533" s="84">
        <v>2550</v>
      </c>
      <c r="R533" s="89"/>
      <c r="S533" s="78">
        <f>ROUND(ROUND(P533, 2)*I533, 2)</f>
        <v>38415.75</v>
      </c>
    </row>
    <row r="534" spans="1:21" ht="41" customHeight="1" x14ac:dyDescent="0.35">
      <c r="A534" s="109" t="s">
        <v>2051</v>
      </c>
      <c r="B534" s="109" t="s">
        <v>644</v>
      </c>
      <c r="C534" s="92" t="s">
        <v>645</v>
      </c>
      <c r="D534" s="93"/>
      <c r="E534" s="93" t="s">
        <v>691</v>
      </c>
      <c r="F534" s="93" t="s">
        <v>93</v>
      </c>
      <c r="G534" s="94">
        <v>1</v>
      </c>
      <c r="H534" s="94"/>
      <c r="I534" s="94">
        <v>6.57</v>
      </c>
      <c r="J534" s="95"/>
      <c r="K534" s="206"/>
      <c r="L534" s="95"/>
      <c r="M534" s="95"/>
      <c r="N534" s="95"/>
      <c r="O534" s="96"/>
      <c r="P534" s="97">
        <f>IFERROR(ROUND(SUM(S535)/I534, 2),0)</f>
        <v>2600.84</v>
      </c>
      <c r="Q534" s="98">
        <v>3062.94</v>
      </c>
      <c r="R534" s="87">
        <f>P534+ROUND(Q534, 2)</f>
        <v>5663.7800000000007</v>
      </c>
      <c r="S534" s="99">
        <f>ROUND(P534*I534, 2)</f>
        <v>17087.52</v>
      </c>
      <c r="T534" s="95">
        <f>ROUND(I534*ROUND(Q534, 2), 2)</f>
        <v>20123.52</v>
      </c>
      <c r="U534" s="95">
        <f>S534+T534</f>
        <v>37211.040000000001</v>
      </c>
    </row>
    <row r="535" spans="1:21" ht="21" hidden="1" x14ac:dyDescent="0.5">
      <c r="A535" s="10" t="s">
        <v>2052</v>
      </c>
      <c r="B535" s="10"/>
      <c r="C535" s="28" t="s">
        <v>651</v>
      </c>
      <c r="D535" s="12"/>
      <c r="E535" s="12"/>
      <c r="F535" s="29" t="s">
        <v>93</v>
      </c>
      <c r="G535" s="30">
        <v>1.02</v>
      </c>
      <c r="H535" s="30"/>
      <c r="I535" s="30">
        <v>6.7009999999999996</v>
      </c>
      <c r="J535" s="31"/>
      <c r="K535" s="205"/>
      <c r="M535" s="32"/>
      <c r="P535" s="84">
        <v>2550</v>
      </c>
      <c r="R535" s="89"/>
      <c r="S535" s="78">
        <f>ROUND(ROUND(P535, 2)*I535, 2)</f>
        <v>17087.55</v>
      </c>
    </row>
    <row r="536" spans="1:21" ht="50" customHeight="1" x14ac:dyDescent="0.35">
      <c r="A536" s="109" t="s">
        <v>2055</v>
      </c>
      <c r="B536" s="109" t="s">
        <v>644</v>
      </c>
      <c r="C536" s="92" t="s">
        <v>645</v>
      </c>
      <c r="D536" s="93"/>
      <c r="E536" s="93" t="s">
        <v>683</v>
      </c>
      <c r="F536" s="93" t="s">
        <v>93</v>
      </c>
      <c r="G536" s="94">
        <v>1</v>
      </c>
      <c r="H536" s="94"/>
      <c r="I536" s="94">
        <v>159.52000000000001</v>
      </c>
      <c r="J536" s="95"/>
      <c r="K536" s="206"/>
      <c r="L536" s="95"/>
      <c r="M536" s="95"/>
      <c r="N536" s="95"/>
      <c r="O536" s="96"/>
      <c r="P536" s="97">
        <f>IFERROR(ROUND(SUM(S537)/I536, 2),0)</f>
        <v>2600.9899999999998</v>
      </c>
      <c r="Q536" s="98">
        <v>3062.94</v>
      </c>
      <c r="R536" s="87">
        <f>P536+ROUND(Q536, 2)</f>
        <v>5663.93</v>
      </c>
      <c r="S536" s="99">
        <f>ROUND(P536*I536, 2)</f>
        <v>414909.92</v>
      </c>
      <c r="T536" s="95">
        <f>ROUND(I536*ROUND(Q536, 2), 2)</f>
        <v>488600.19</v>
      </c>
      <c r="U536" s="95">
        <f>S536+T536</f>
        <v>903510.11</v>
      </c>
    </row>
    <row r="537" spans="1:21" ht="20" hidden="1" customHeight="1" x14ac:dyDescent="0.5">
      <c r="A537" s="10" t="s">
        <v>2056</v>
      </c>
      <c r="B537" s="10"/>
      <c r="C537" s="28" t="s">
        <v>651</v>
      </c>
      <c r="D537" s="12"/>
      <c r="E537" s="12"/>
      <c r="F537" s="29" t="s">
        <v>93</v>
      </c>
      <c r="G537" s="30">
        <v>1.02</v>
      </c>
      <c r="H537" s="30"/>
      <c r="I537" s="30">
        <v>162.71</v>
      </c>
      <c r="J537" s="31"/>
      <c r="K537" s="205"/>
      <c r="M537" s="32"/>
      <c r="P537" s="84">
        <v>2550</v>
      </c>
      <c r="R537" s="89"/>
      <c r="S537" s="78">
        <f>ROUND(ROUND(P537, 2)*I537, 2)</f>
        <v>414910.5</v>
      </c>
    </row>
    <row r="538" spans="1:21" ht="45" customHeight="1" x14ac:dyDescent="0.35">
      <c r="A538" s="109" t="s">
        <v>2059</v>
      </c>
      <c r="B538" s="109" t="s">
        <v>644</v>
      </c>
      <c r="C538" s="92" t="s">
        <v>645</v>
      </c>
      <c r="D538" s="93"/>
      <c r="E538" s="93" t="s">
        <v>674</v>
      </c>
      <c r="F538" s="93" t="s">
        <v>93</v>
      </c>
      <c r="G538" s="94">
        <v>1</v>
      </c>
      <c r="H538" s="94"/>
      <c r="I538" s="94">
        <v>2.71</v>
      </c>
      <c r="J538" s="95"/>
      <c r="K538" s="206"/>
      <c r="L538" s="95"/>
      <c r="M538" s="95"/>
      <c r="N538" s="95"/>
      <c r="O538" s="96"/>
      <c r="P538" s="97">
        <f>IFERROR(ROUND(SUM(S539)/I538, 2),0)</f>
        <v>2600.81</v>
      </c>
      <c r="Q538" s="98">
        <v>3062.94</v>
      </c>
      <c r="R538" s="87">
        <f>P538+ROUND(Q538, 2)</f>
        <v>5663.75</v>
      </c>
      <c r="S538" s="99">
        <f>ROUND(P538*I538, 2)</f>
        <v>7048.2</v>
      </c>
      <c r="T538" s="95">
        <f>ROUND(I538*ROUND(Q538, 2), 2)</f>
        <v>8300.57</v>
      </c>
      <c r="U538" s="95">
        <f>S538+T538</f>
        <v>15348.77</v>
      </c>
    </row>
    <row r="539" spans="1:21" ht="21" hidden="1" x14ac:dyDescent="0.5">
      <c r="A539" s="10" t="s">
        <v>2060</v>
      </c>
      <c r="B539" s="10"/>
      <c r="C539" s="28" t="s">
        <v>651</v>
      </c>
      <c r="D539" s="12"/>
      <c r="E539" s="12"/>
      <c r="F539" s="29" t="s">
        <v>93</v>
      </c>
      <c r="G539" s="30">
        <v>1.02</v>
      </c>
      <c r="H539" s="30"/>
      <c r="I539" s="30">
        <v>2.7639999999999998</v>
      </c>
      <c r="J539" s="31"/>
      <c r="K539" s="205"/>
      <c r="M539" s="32"/>
      <c r="P539" s="84">
        <v>2550</v>
      </c>
      <c r="R539" s="89"/>
      <c r="S539" s="78">
        <f>ROUND(ROUND(P539, 2)*I539, 2)</f>
        <v>7048.2</v>
      </c>
    </row>
    <row r="540" spans="1:21" ht="48" customHeight="1" x14ac:dyDescent="0.35">
      <c r="A540" s="109" t="s">
        <v>2063</v>
      </c>
      <c r="B540" s="109" t="s">
        <v>644</v>
      </c>
      <c r="C540" s="92" t="s">
        <v>645</v>
      </c>
      <c r="D540" s="93"/>
      <c r="E540" s="93" t="s">
        <v>666</v>
      </c>
      <c r="F540" s="93" t="s">
        <v>93</v>
      </c>
      <c r="G540" s="94">
        <v>1</v>
      </c>
      <c r="H540" s="94"/>
      <c r="I540" s="94">
        <v>53.99</v>
      </c>
      <c r="J540" s="95"/>
      <c r="K540" s="206"/>
      <c r="L540" s="95"/>
      <c r="M540" s="95"/>
      <c r="N540" s="95"/>
      <c r="O540" s="96"/>
      <c r="P540" s="97">
        <f>IFERROR(ROUND(SUM(S541)/I540, 2),0)</f>
        <v>2601.0100000000002</v>
      </c>
      <c r="Q540" s="98">
        <v>3062.94</v>
      </c>
      <c r="R540" s="87">
        <f>P540+ROUND(Q540, 2)</f>
        <v>5663.9500000000007</v>
      </c>
      <c r="S540" s="99">
        <f>ROUND(P540*I540, 2)</f>
        <v>140428.53</v>
      </c>
      <c r="T540" s="95">
        <f>ROUND(I540*ROUND(Q540, 2), 2)</f>
        <v>165368.13</v>
      </c>
      <c r="U540" s="95">
        <f>S540+T540</f>
        <v>305796.66000000003</v>
      </c>
    </row>
    <row r="541" spans="1:21" ht="21" hidden="1" x14ac:dyDescent="0.5">
      <c r="A541" s="10" t="s">
        <v>2064</v>
      </c>
      <c r="B541" s="10"/>
      <c r="C541" s="28" t="s">
        <v>651</v>
      </c>
      <c r="D541" s="12"/>
      <c r="E541" s="12"/>
      <c r="F541" s="29" t="s">
        <v>93</v>
      </c>
      <c r="G541" s="30">
        <v>1.02</v>
      </c>
      <c r="H541" s="30"/>
      <c r="I541" s="30">
        <v>55.07</v>
      </c>
      <c r="J541" s="31"/>
      <c r="K541" s="205"/>
      <c r="M541" s="32"/>
      <c r="P541" s="84">
        <v>2550</v>
      </c>
      <c r="R541" s="89"/>
      <c r="S541" s="78">
        <f>ROUND(ROUND(P541, 2)*I541, 2)</f>
        <v>140428.5</v>
      </c>
    </row>
    <row r="542" spans="1:21" ht="62" customHeight="1" x14ac:dyDescent="0.35">
      <c r="A542" s="109" t="s">
        <v>2067</v>
      </c>
      <c r="B542" s="109" t="s">
        <v>644</v>
      </c>
      <c r="C542" s="92" t="s">
        <v>645</v>
      </c>
      <c r="D542" s="93"/>
      <c r="E542" s="93" t="s">
        <v>659</v>
      </c>
      <c r="F542" s="93" t="s">
        <v>93</v>
      </c>
      <c r="G542" s="94">
        <v>1</v>
      </c>
      <c r="H542" s="94"/>
      <c r="I542" s="94">
        <v>520.76</v>
      </c>
      <c r="J542" s="95"/>
      <c r="K542" s="206"/>
      <c r="L542" s="95"/>
      <c r="M542" s="95"/>
      <c r="N542" s="95"/>
      <c r="O542" s="96"/>
      <c r="P542" s="97">
        <f>IFERROR(ROUND(SUM(S543)/I542, 2),0)</f>
        <v>2601</v>
      </c>
      <c r="Q542" s="98">
        <v>3062.94</v>
      </c>
      <c r="R542" s="87">
        <f>P542+ROUND(Q542, 2)</f>
        <v>5663.9400000000005</v>
      </c>
      <c r="S542" s="99">
        <f>ROUND(P542*I542, 2)</f>
        <v>1354496.76</v>
      </c>
      <c r="T542" s="95">
        <f>ROUND(I542*ROUND(Q542, 2), 2)</f>
        <v>1595056.63</v>
      </c>
      <c r="U542" s="95">
        <f>S542+T542</f>
        <v>2949553.3899999997</v>
      </c>
    </row>
    <row r="543" spans="1:21" ht="38" hidden="1" customHeight="1" x14ac:dyDescent="0.5">
      <c r="A543" s="10" t="s">
        <v>2068</v>
      </c>
      <c r="B543" s="10"/>
      <c r="C543" s="28" t="s">
        <v>651</v>
      </c>
      <c r="D543" s="12"/>
      <c r="E543" s="12"/>
      <c r="F543" s="29" t="s">
        <v>93</v>
      </c>
      <c r="G543" s="30">
        <v>1.02</v>
      </c>
      <c r="H543" s="30"/>
      <c r="I543" s="30">
        <v>531.17499999999995</v>
      </c>
      <c r="J543" s="31"/>
      <c r="K543" s="205"/>
      <c r="M543" s="32"/>
      <c r="P543" s="84">
        <v>2550</v>
      </c>
      <c r="R543" s="89"/>
      <c r="S543" s="78">
        <f>ROUND(ROUND(P543, 2)*I543, 2)</f>
        <v>1354496.25</v>
      </c>
    </row>
    <row r="544" spans="1:21" ht="36" customHeight="1" x14ac:dyDescent="0.35">
      <c r="A544" s="109" t="s">
        <v>2071</v>
      </c>
      <c r="B544" s="109" t="s">
        <v>722</v>
      </c>
      <c r="C544" s="92" t="s">
        <v>723</v>
      </c>
      <c r="D544" s="93"/>
      <c r="E544" s="93"/>
      <c r="F544" s="93" t="s">
        <v>93</v>
      </c>
      <c r="G544" s="94">
        <v>1</v>
      </c>
      <c r="H544" s="94"/>
      <c r="I544" s="94">
        <v>758.32</v>
      </c>
      <c r="J544" s="95"/>
      <c r="K544" s="206"/>
      <c r="L544" s="95"/>
      <c r="M544" s="95"/>
      <c r="N544" s="95"/>
      <c r="O544" s="96"/>
      <c r="P544" s="97">
        <f>IFERROR(ROUND(SUM(S545)/I544, 2),0)</f>
        <v>1687.5</v>
      </c>
      <c r="Q544" s="98">
        <v>1299.3</v>
      </c>
      <c r="R544" s="87">
        <f>P544+ROUND(Q544, 2)</f>
        <v>2986.8</v>
      </c>
      <c r="S544" s="99">
        <f>ROUND(P544*I544, 2)</f>
        <v>1279665</v>
      </c>
      <c r="T544" s="95">
        <f>ROUND(I544*ROUND(Q544, 2), 2)</f>
        <v>985285.18</v>
      </c>
      <c r="U544" s="95">
        <f>S544+T544</f>
        <v>2264950.1800000002</v>
      </c>
    </row>
    <row r="545" spans="1:21" ht="38" hidden="1" customHeight="1" x14ac:dyDescent="0.5">
      <c r="A545" s="10" t="s">
        <v>2072</v>
      </c>
      <c r="B545" s="10"/>
      <c r="C545" s="28" t="s">
        <v>728</v>
      </c>
      <c r="D545" s="12"/>
      <c r="E545" s="12"/>
      <c r="F545" s="29" t="s">
        <v>498</v>
      </c>
      <c r="G545" s="30">
        <v>225</v>
      </c>
      <c r="H545" s="30"/>
      <c r="I545" s="30">
        <v>170622</v>
      </c>
      <c r="J545" s="31"/>
      <c r="K545" s="205"/>
      <c r="M545" s="32"/>
      <c r="P545" s="84">
        <v>7.5</v>
      </c>
      <c r="R545" s="89"/>
      <c r="S545" s="78">
        <f>ROUND(ROUND(P545, 2)*I545, 2)</f>
        <v>1279665</v>
      </c>
    </row>
    <row r="546" spans="1:21" ht="43" customHeight="1" x14ac:dyDescent="0.5">
      <c r="A546" s="156" t="s">
        <v>2075</v>
      </c>
      <c r="B546" s="156" t="s">
        <v>739</v>
      </c>
      <c r="C546" s="187" t="s">
        <v>740</v>
      </c>
      <c r="D546" s="188"/>
      <c r="E546" s="188"/>
      <c r="F546" s="188"/>
      <c r="G546" s="188"/>
      <c r="H546" s="188"/>
      <c r="I546" s="189"/>
      <c r="K546" s="205"/>
      <c r="M546" s="6"/>
      <c r="N546" s="6"/>
      <c r="O546" s="73"/>
      <c r="P546" s="81"/>
      <c r="R546" s="89"/>
      <c r="S546" s="76">
        <f>SUM(S547,S551,S555,S558,S563,S568,S573,S578,S583,S588,S593)</f>
        <v>22205097.059999999</v>
      </c>
      <c r="T546" s="6">
        <f>SUM(T547,T551,T555,T558,T563,T568,T573,T578,T583,T588,T593)</f>
        <v>28481472.190000001</v>
      </c>
      <c r="U546" s="6">
        <f>SUM(U547,U551,U555,U558,U563,U568,U573,U578,U583,U588,U593)</f>
        <v>50686569.25</v>
      </c>
    </row>
    <row r="547" spans="1:21" ht="53" customHeight="1" x14ac:dyDescent="0.35">
      <c r="A547" s="109" t="s">
        <v>2076</v>
      </c>
      <c r="B547" s="109" t="s">
        <v>742</v>
      </c>
      <c r="C547" s="92" t="s">
        <v>743</v>
      </c>
      <c r="D547" s="93" t="s">
        <v>744</v>
      </c>
      <c r="E547" s="93" t="s">
        <v>748</v>
      </c>
      <c r="F547" s="93" t="s">
        <v>63</v>
      </c>
      <c r="G547" s="94">
        <v>1</v>
      </c>
      <c r="H547" s="94"/>
      <c r="I547" s="94">
        <v>427.37</v>
      </c>
      <c r="J547" s="95"/>
      <c r="K547" s="206"/>
      <c r="L547" s="95"/>
      <c r="M547" s="95"/>
      <c r="N547" s="95"/>
      <c r="O547" s="96"/>
      <c r="P547" s="97">
        <f>IFERROR(ROUND(SUM(S548,S549,S550)/I547, 2),0)</f>
        <v>127.26</v>
      </c>
      <c r="Q547" s="98">
        <v>789.52</v>
      </c>
      <c r="R547" s="87">
        <f>P547+ROUND(Q547, 2)</f>
        <v>916.78</v>
      </c>
      <c r="S547" s="99">
        <f>ROUND(P547*I547, 2)</f>
        <v>54387.11</v>
      </c>
      <c r="T547" s="95">
        <f>ROUND(I547*ROUND(Q547, 2), 2)</f>
        <v>337417.16</v>
      </c>
      <c r="U547" s="95">
        <f>S547+T547</f>
        <v>391804.26999999996</v>
      </c>
    </row>
    <row r="548" spans="1:21" ht="21" hidden="1" x14ac:dyDescent="0.5">
      <c r="A548" s="10" t="s">
        <v>2077</v>
      </c>
      <c r="B548" s="10"/>
      <c r="C548" s="28" t="s">
        <v>750</v>
      </c>
      <c r="D548" s="12"/>
      <c r="E548" s="12"/>
      <c r="F548" s="29" t="s">
        <v>498</v>
      </c>
      <c r="G548" s="30">
        <v>0.3</v>
      </c>
      <c r="H548" s="30"/>
      <c r="I548" s="30">
        <v>128.21100000000001</v>
      </c>
      <c r="J548" s="31"/>
      <c r="K548" s="205"/>
      <c r="M548" s="32"/>
      <c r="P548" s="84">
        <v>220</v>
      </c>
      <c r="R548" s="89"/>
      <c r="S548" s="78">
        <f>ROUND(ROUND(P548, 2)*I548, 2)</f>
        <v>28206.42</v>
      </c>
    </row>
    <row r="549" spans="1:21" ht="36" hidden="1" x14ac:dyDescent="0.5">
      <c r="A549" s="10" t="s">
        <v>2080</v>
      </c>
      <c r="B549" s="10"/>
      <c r="C549" s="28" t="s">
        <v>758</v>
      </c>
      <c r="D549" s="12"/>
      <c r="E549" s="12"/>
      <c r="F549" s="29" t="s">
        <v>498</v>
      </c>
      <c r="G549" s="30">
        <v>0.15</v>
      </c>
      <c r="H549" s="30"/>
      <c r="I549" s="30">
        <v>64.105999999999995</v>
      </c>
      <c r="J549" s="31"/>
      <c r="K549" s="205"/>
      <c r="M549" s="32"/>
      <c r="P549" s="84">
        <v>68.400000000000006</v>
      </c>
      <c r="R549" s="89"/>
      <c r="S549" s="78">
        <f>ROUND(ROUND(P549, 2)*I549, 2)</f>
        <v>4384.8500000000004</v>
      </c>
    </row>
    <row r="550" spans="1:21" ht="72" hidden="1" x14ac:dyDescent="0.5">
      <c r="A550" s="10" t="s">
        <v>2083</v>
      </c>
      <c r="B550" s="10"/>
      <c r="C550" s="47" t="s">
        <v>765</v>
      </c>
      <c r="D550" s="12"/>
      <c r="E550" s="12"/>
      <c r="F550" s="29" t="s">
        <v>78</v>
      </c>
      <c r="G550" s="30">
        <v>1</v>
      </c>
      <c r="H550" s="49"/>
      <c r="I550" s="49">
        <v>427.37</v>
      </c>
      <c r="J550" s="31"/>
      <c r="K550" s="205"/>
      <c r="M550" s="32"/>
      <c r="P550" s="84">
        <v>51</v>
      </c>
      <c r="R550" s="89"/>
      <c r="S550" s="78">
        <f>ROUND(ROUND(P550, 2)*I550, 2)</f>
        <v>21795.87</v>
      </c>
    </row>
    <row r="551" spans="1:21" ht="49" customHeight="1" x14ac:dyDescent="0.35">
      <c r="A551" s="109" t="s">
        <v>2086</v>
      </c>
      <c r="B551" s="109" t="s">
        <v>742</v>
      </c>
      <c r="C551" s="92" t="s">
        <v>743</v>
      </c>
      <c r="D551" s="93" t="s">
        <v>744</v>
      </c>
      <c r="E551" s="93" t="s">
        <v>781</v>
      </c>
      <c r="F551" s="93" t="s">
        <v>63</v>
      </c>
      <c r="G551" s="94">
        <v>1</v>
      </c>
      <c r="H551" s="94"/>
      <c r="I551" s="94">
        <v>156.31</v>
      </c>
      <c r="J551" s="95"/>
      <c r="K551" s="206"/>
      <c r="L551" s="95"/>
      <c r="M551" s="95"/>
      <c r="N551" s="95"/>
      <c r="O551" s="96"/>
      <c r="P551" s="97">
        <f>IFERROR(ROUND(SUM(S552,S553,S554)/I551, 2),0)</f>
        <v>117</v>
      </c>
      <c r="Q551" s="98">
        <v>789.52</v>
      </c>
      <c r="R551" s="87">
        <f>P551+ROUND(Q551, 2)</f>
        <v>906.52</v>
      </c>
      <c r="S551" s="99">
        <f>ROUND(P551*I551, 2)</f>
        <v>18288.27</v>
      </c>
      <c r="T551" s="95">
        <f>ROUND(I551*ROUND(Q551, 2), 2)</f>
        <v>123409.87</v>
      </c>
      <c r="U551" s="95">
        <f>S551+T551</f>
        <v>141698.13999999998</v>
      </c>
    </row>
    <row r="552" spans="1:21" ht="54" hidden="1" x14ac:dyDescent="0.5">
      <c r="A552" s="10" t="s">
        <v>2087</v>
      </c>
      <c r="B552" s="10"/>
      <c r="C552" s="28" t="s">
        <v>772</v>
      </c>
      <c r="D552" s="12"/>
      <c r="E552" s="12" t="s">
        <v>786</v>
      </c>
      <c r="F552" s="29" t="s">
        <v>63</v>
      </c>
      <c r="G552" s="30">
        <v>1.1000000000000001</v>
      </c>
      <c r="H552" s="49"/>
      <c r="I552" s="49">
        <v>171.941</v>
      </c>
      <c r="J552" s="31"/>
      <c r="K552" s="205"/>
      <c r="M552" s="32"/>
      <c r="P552" s="84">
        <v>0</v>
      </c>
      <c r="R552" s="89"/>
      <c r="S552" s="78">
        <f>ROUND(ROUND(P552, 2)*I552, 2)</f>
        <v>0</v>
      </c>
    </row>
    <row r="553" spans="1:21" ht="72" hidden="1" x14ac:dyDescent="0.5">
      <c r="A553" s="10" t="s">
        <v>2090</v>
      </c>
      <c r="B553" s="10"/>
      <c r="C553" s="47" t="s">
        <v>765</v>
      </c>
      <c r="D553" s="12"/>
      <c r="E553" s="12"/>
      <c r="F553" s="29" t="s">
        <v>78</v>
      </c>
      <c r="G553" s="30">
        <v>1</v>
      </c>
      <c r="H553" s="49"/>
      <c r="I553" s="49">
        <v>156.31</v>
      </c>
      <c r="J553" s="31"/>
      <c r="K553" s="205"/>
      <c r="M553" s="32"/>
      <c r="P553" s="84">
        <v>51</v>
      </c>
      <c r="R553" s="89"/>
      <c r="S553" s="78">
        <f>ROUND(ROUND(P553, 2)*I553, 2)</f>
        <v>7971.81</v>
      </c>
    </row>
    <row r="554" spans="1:21" ht="38" hidden="1" customHeight="1" x14ac:dyDescent="0.5">
      <c r="A554" s="10" t="s">
        <v>2093</v>
      </c>
      <c r="B554" s="10"/>
      <c r="C554" s="28" t="s">
        <v>750</v>
      </c>
      <c r="D554" s="12"/>
      <c r="E554" s="12"/>
      <c r="F554" s="29" t="s">
        <v>498</v>
      </c>
      <c r="G554" s="30">
        <v>0.3</v>
      </c>
      <c r="H554" s="30"/>
      <c r="I554" s="30">
        <v>46.893000000000001</v>
      </c>
      <c r="J554" s="31"/>
      <c r="K554" s="205"/>
      <c r="M554" s="32"/>
      <c r="P554" s="84">
        <v>220</v>
      </c>
      <c r="R554" s="89"/>
      <c r="S554" s="78">
        <f>ROUND(ROUND(P554, 2)*I554, 2)</f>
        <v>10316.459999999999</v>
      </c>
    </row>
    <row r="555" spans="1:21" ht="64.5" customHeight="1" x14ac:dyDescent="0.35">
      <c r="A555" s="109" t="s">
        <v>2096</v>
      </c>
      <c r="B555" s="109" t="s">
        <v>822</v>
      </c>
      <c r="C555" s="92" t="s">
        <v>823</v>
      </c>
      <c r="D555" s="93"/>
      <c r="E555" s="93" t="s">
        <v>843</v>
      </c>
      <c r="F555" s="93" t="s">
        <v>78</v>
      </c>
      <c r="G555" s="94">
        <v>1</v>
      </c>
      <c r="H555" s="94"/>
      <c r="I555" s="94">
        <v>544.5</v>
      </c>
      <c r="J555" s="95"/>
      <c r="K555" s="206"/>
      <c r="L555" s="95"/>
      <c r="M555" s="95"/>
      <c r="N555" s="95"/>
      <c r="O555" s="96"/>
      <c r="P555" s="97">
        <f>IFERROR(ROUND(SUM(S556,S557)/I555, 2),0)</f>
        <v>0</v>
      </c>
      <c r="Q555" s="98">
        <v>285.42</v>
      </c>
      <c r="R555" s="87">
        <f>P555+ROUND(Q555, 2)</f>
        <v>285.42</v>
      </c>
      <c r="S555" s="99">
        <f>ROUND(P555*I555, 2)</f>
        <v>0</v>
      </c>
      <c r="T555" s="95">
        <f>ROUND(I555*ROUND(Q555, 2), 2)</f>
        <v>155411.19</v>
      </c>
      <c r="U555" s="95">
        <f>S555+T555</f>
        <v>155411.19</v>
      </c>
    </row>
    <row r="556" spans="1:21" ht="36" hidden="1" x14ac:dyDescent="0.5">
      <c r="A556" s="10" t="s">
        <v>2097</v>
      </c>
      <c r="B556" s="10"/>
      <c r="C556" s="28" t="s">
        <v>829</v>
      </c>
      <c r="D556" s="12"/>
      <c r="E556" s="12"/>
      <c r="F556" s="29" t="s">
        <v>78</v>
      </c>
      <c r="G556" s="30">
        <v>1.1000000000000001</v>
      </c>
      <c r="H556" s="30"/>
      <c r="I556" s="30">
        <v>598.95000000000005</v>
      </c>
      <c r="J556" s="31"/>
      <c r="K556" s="205"/>
      <c r="M556" s="32"/>
      <c r="P556" s="84">
        <v>0</v>
      </c>
      <c r="R556" s="89"/>
      <c r="S556" s="78">
        <f>ROUND(ROUND(P556, 2)*I556, 2)</f>
        <v>0</v>
      </c>
    </row>
    <row r="557" spans="1:21" ht="36" hidden="1" x14ac:dyDescent="0.5">
      <c r="A557" s="10" t="s">
        <v>2100</v>
      </c>
      <c r="B557" s="10"/>
      <c r="C557" s="28" t="s">
        <v>836</v>
      </c>
      <c r="D557" s="12"/>
      <c r="E557" s="12"/>
      <c r="F557" s="29" t="s">
        <v>490</v>
      </c>
      <c r="G557" s="30">
        <v>1</v>
      </c>
      <c r="H557" s="49"/>
      <c r="I557" s="49">
        <v>544.5</v>
      </c>
      <c r="J557" s="31"/>
      <c r="K557" s="205"/>
      <c r="M557" s="32"/>
      <c r="P557" s="84">
        <v>0</v>
      </c>
      <c r="R557" s="89"/>
      <c r="S557" s="78">
        <f>ROUND(ROUND(P557, 2)*I557, 2)</f>
        <v>0</v>
      </c>
    </row>
    <row r="558" spans="1:21" ht="51" customHeight="1" x14ac:dyDescent="0.35">
      <c r="A558" s="109" t="s">
        <v>2103</v>
      </c>
      <c r="B558" s="109" t="s">
        <v>851</v>
      </c>
      <c r="C558" s="92" t="s">
        <v>852</v>
      </c>
      <c r="D558" s="93"/>
      <c r="E558" s="93" t="s">
        <v>856</v>
      </c>
      <c r="F558" s="93" t="s">
        <v>63</v>
      </c>
      <c r="G558" s="94">
        <v>1</v>
      </c>
      <c r="H558" s="94"/>
      <c r="I558" s="94">
        <v>276.45999999999998</v>
      </c>
      <c r="J558" s="95"/>
      <c r="K558" s="206"/>
      <c r="L558" s="95"/>
      <c r="M558" s="95"/>
      <c r="N558" s="95"/>
      <c r="O558" s="96"/>
      <c r="P558" s="97">
        <f>IFERROR(ROUND(SUM(S559,S560,S561,S562)/I558, 2),0)</f>
        <v>4446.1099999999997</v>
      </c>
      <c r="Q558" s="98">
        <v>3280.2</v>
      </c>
      <c r="R558" s="87">
        <f>P558+ROUND(Q558, 2)</f>
        <v>7726.3099999999995</v>
      </c>
      <c r="S558" s="99">
        <f>ROUND(P558*I558, 2)</f>
        <v>1229171.57</v>
      </c>
      <c r="T558" s="95">
        <f>ROUND(I558*ROUND(Q558, 2), 2)</f>
        <v>906844.09</v>
      </c>
      <c r="U558" s="95">
        <f>S558+T558</f>
        <v>2136015.66</v>
      </c>
    </row>
    <row r="559" spans="1:21" ht="54" hidden="1" x14ac:dyDescent="0.5">
      <c r="A559" s="10" t="s">
        <v>2104</v>
      </c>
      <c r="B559" s="10"/>
      <c r="C559" s="47" t="s">
        <v>858</v>
      </c>
      <c r="D559" s="12"/>
      <c r="E559" s="12" t="s">
        <v>863</v>
      </c>
      <c r="F559" s="29" t="s">
        <v>490</v>
      </c>
      <c r="G559" s="30">
        <v>4</v>
      </c>
      <c r="H559" s="30"/>
      <c r="I559" s="30">
        <v>1105.8399999999999</v>
      </c>
      <c r="J559" s="31"/>
      <c r="K559" s="205"/>
      <c r="M559" s="32"/>
      <c r="P559" s="84">
        <v>1100.4000000000001</v>
      </c>
      <c r="R559" s="89"/>
      <c r="S559" s="78">
        <f>ROUND(ROUND(P559, 2)*I559, 2)</f>
        <v>1216866.3400000001</v>
      </c>
    </row>
    <row r="560" spans="1:21" ht="36" hidden="1" x14ac:dyDescent="0.5">
      <c r="A560" s="10" t="s">
        <v>2107</v>
      </c>
      <c r="B560" s="10"/>
      <c r="C560" s="47" t="s">
        <v>866</v>
      </c>
      <c r="D560" s="12"/>
      <c r="E560" s="12"/>
      <c r="F560" s="29" t="s">
        <v>498</v>
      </c>
      <c r="G560" s="30">
        <v>1.2</v>
      </c>
      <c r="H560" s="49"/>
      <c r="I560" s="49">
        <v>331.75200000000001</v>
      </c>
      <c r="J560" s="31"/>
      <c r="K560" s="205"/>
      <c r="M560" s="32"/>
      <c r="P560" s="84">
        <v>16.11</v>
      </c>
      <c r="R560" s="89"/>
      <c r="S560" s="78">
        <f>ROUND(ROUND(P560, 2)*I560, 2)</f>
        <v>5344.52</v>
      </c>
    </row>
    <row r="561" spans="1:21" ht="21" hidden="1" x14ac:dyDescent="0.5">
      <c r="A561" s="10" t="s">
        <v>2110</v>
      </c>
      <c r="B561" s="10"/>
      <c r="C561" s="28" t="s">
        <v>873</v>
      </c>
      <c r="D561" s="12"/>
      <c r="E561" s="12"/>
      <c r="F561" s="29" t="s">
        <v>498</v>
      </c>
      <c r="G561" s="30">
        <v>0.25</v>
      </c>
      <c r="H561" s="30"/>
      <c r="I561" s="30">
        <v>69.114999999999995</v>
      </c>
      <c r="J561" s="31"/>
      <c r="K561" s="205"/>
      <c r="M561" s="32"/>
      <c r="P561" s="84">
        <v>47.44</v>
      </c>
      <c r="R561" s="89"/>
      <c r="S561" s="78">
        <f>ROUND(ROUND(P561, 2)*I561, 2)</f>
        <v>3278.82</v>
      </c>
    </row>
    <row r="562" spans="1:21" ht="16" hidden="1" customHeight="1" x14ac:dyDescent="0.5">
      <c r="A562" s="10" t="s">
        <v>2113</v>
      </c>
      <c r="B562" s="10"/>
      <c r="C562" s="28" t="s">
        <v>544</v>
      </c>
      <c r="D562" s="12"/>
      <c r="E562" s="12"/>
      <c r="F562" s="29" t="s">
        <v>498</v>
      </c>
      <c r="G562" s="30">
        <v>0.15</v>
      </c>
      <c r="H562" s="30"/>
      <c r="I562" s="30">
        <v>41.469000000000001</v>
      </c>
      <c r="J562" s="31"/>
      <c r="K562" s="205"/>
      <c r="M562" s="32"/>
      <c r="P562" s="84">
        <v>88.8</v>
      </c>
      <c r="R562" s="89"/>
      <c r="S562" s="78">
        <f>ROUND(ROUND(P562, 2)*I562, 2)</f>
        <v>3682.45</v>
      </c>
    </row>
    <row r="563" spans="1:21" ht="57" customHeight="1" x14ac:dyDescent="0.35">
      <c r="A563" s="109" t="s">
        <v>2116</v>
      </c>
      <c r="B563" s="109" t="s">
        <v>898</v>
      </c>
      <c r="C563" s="92" t="s">
        <v>899</v>
      </c>
      <c r="D563" s="93"/>
      <c r="E563" s="93" t="s">
        <v>903</v>
      </c>
      <c r="F563" s="93" t="s">
        <v>78</v>
      </c>
      <c r="G563" s="94">
        <v>1</v>
      </c>
      <c r="H563" s="94"/>
      <c r="I563" s="94">
        <v>3328.1</v>
      </c>
      <c r="J563" s="95"/>
      <c r="K563" s="206"/>
      <c r="L563" s="95"/>
      <c r="M563" s="95"/>
      <c r="N563" s="95"/>
      <c r="O563" s="96"/>
      <c r="P563" s="97">
        <f>IFERROR(ROUND(SUM(S564,S565,S566,S567)/I563, 2),0)</f>
        <v>844.25</v>
      </c>
      <c r="Q563" s="98">
        <v>671.66</v>
      </c>
      <c r="R563" s="87">
        <f>P563+ROUND(Q563, 2)</f>
        <v>1515.9099999999999</v>
      </c>
      <c r="S563" s="99">
        <f>ROUND(P563*I563, 2)</f>
        <v>2809748.43</v>
      </c>
      <c r="T563" s="95">
        <f>ROUND(I563*ROUND(Q563, 2), 2)</f>
        <v>2235351.65</v>
      </c>
      <c r="U563" s="95">
        <f>S563+T563</f>
        <v>5045100.08</v>
      </c>
    </row>
    <row r="564" spans="1:21" ht="54" hidden="1" x14ac:dyDescent="0.5">
      <c r="A564" s="10" t="s">
        <v>2117</v>
      </c>
      <c r="B564" s="10"/>
      <c r="C564" s="28" t="s">
        <v>912</v>
      </c>
      <c r="D564" s="12"/>
      <c r="E564" s="12" t="s">
        <v>917</v>
      </c>
      <c r="F564" s="29" t="s">
        <v>490</v>
      </c>
      <c r="G564" s="30">
        <v>1.84</v>
      </c>
      <c r="H564" s="49"/>
      <c r="I564" s="49">
        <v>6123.7039999999997</v>
      </c>
      <c r="J564" s="31"/>
      <c r="K564" s="205"/>
      <c r="M564" s="32"/>
      <c r="P564" s="84">
        <v>450.95</v>
      </c>
      <c r="R564" s="89"/>
      <c r="S564" s="78">
        <f>ROUND(ROUND(P564, 2)*I564, 2)</f>
        <v>2761484.32</v>
      </c>
    </row>
    <row r="565" spans="1:21" ht="36" hidden="1" x14ac:dyDescent="0.5">
      <c r="A565" s="10" t="s">
        <v>2120</v>
      </c>
      <c r="B565" s="10"/>
      <c r="C565" s="47" t="s">
        <v>905</v>
      </c>
      <c r="D565" s="12"/>
      <c r="E565" s="12"/>
      <c r="F565" s="29" t="s">
        <v>498</v>
      </c>
      <c r="G565" s="30">
        <v>0.7</v>
      </c>
      <c r="H565" s="49"/>
      <c r="I565" s="49">
        <v>2329.67</v>
      </c>
      <c r="J565" s="31"/>
      <c r="K565" s="205"/>
      <c r="M565" s="32"/>
      <c r="P565" s="84">
        <v>16.11</v>
      </c>
      <c r="R565" s="89"/>
      <c r="S565" s="78">
        <f>ROUND(ROUND(P565, 2)*I565, 2)</f>
        <v>37530.980000000003</v>
      </c>
    </row>
    <row r="566" spans="1:21" ht="21" hidden="1" x14ac:dyDescent="0.5">
      <c r="A566" s="10" t="s">
        <v>2123</v>
      </c>
      <c r="B566" s="10"/>
      <c r="C566" s="28" t="s">
        <v>873</v>
      </c>
      <c r="D566" s="12"/>
      <c r="E566" s="12"/>
      <c r="F566" s="29" t="s">
        <v>498</v>
      </c>
      <c r="G566" s="30">
        <v>0.04</v>
      </c>
      <c r="H566" s="30"/>
      <c r="I566" s="30">
        <v>133.124</v>
      </c>
      <c r="J566" s="31"/>
      <c r="K566" s="205"/>
      <c r="M566" s="32"/>
      <c r="P566" s="84">
        <v>47.44</v>
      </c>
      <c r="R566" s="89"/>
      <c r="S566" s="78">
        <f>ROUND(ROUND(P566, 2)*I566, 2)</f>
        <v>6315.4</v>
      </c>
    </row>
    <row r="567" spans="1:21" ht="36" hidden="1" x14ac:dyDescent="0.5">
      <c r="A567" s="10" t="s">
        <v>2126</v>
      </c>
      <c r="B567" s="10"/>
      <c r="C567" s="28" t="s">
        <v>925</v>
      </c>
      <c r="D567" s="12"/>
      <c r="E567" s="12"/>
      <c r="F567" s="29" t="s">
        <v>498</v>
      </c>
      <c r="G567" s="30">
        <v>1.4999999999999999E-2</v>
      </c>
      <c r="H567" s="30"/>
      <c r="I567" s="30">
        <v>49.921999999999997</v>
      </c>
      <c r="J567" s="31"/>
      <c r="K567" s="205"/>
      <c r="M567" s="32"/>
      <c r="P567" s="84">
        <v>88.8</v>
      </c>
      <c r="R567" s="89"/>
      <c r="S567" s="78">
        <f>ROUND(ROUND(P567, 2)*I567, 2)</f>
        <v>4433.07</v>
      </c>
    </row>
    <row r="568" spans="1:21" ht="56" customHeight="1" x14ac:dyDescent="0.35">
      <c r="A568" s="109" t="s">
        <v>2129</v>
      </c>
      <c r="B568" s="109" t="s">
        <v>898</v>
      </c>
      <c r="C568" s="92" t="s">
        <v>899</v>
      </c>
      <c r="D568" s="93"/>
      <c r="E568" s="93" t="s">
        <v>957</v>
      </c>
      <c r="F568" s="93" t="s">
        <v>78</v>
      </c>
      <c r="G568" s="94">
        <v>1</v>
      </c>
      <c r="H568" s="94"/>
      <c r="I568" s="94">
        <v>892.1</v>
      </c>
      <c r="J568" s="95"/>
      <c r="K568" s="206"/>
      <c r="L568" s="95"/>
      <c r="M568" s="95"/>
      <c r="N568" s="95"/>
      <c r="O568" s="96"/>
      <c r="P568" s="97">
        <f>IFERROR(ROUND(SUM(S569,S570,S571,S572)/I568, 2),0)</f>
        <v>844.25</v>
      </c>
      <c r="Q568" s="98">
        <v>671.66</v>
      </c>
      <c r="R568" s="87">
        <f>P568+ROUND(Q568, 2)</f>
        <v>1515.9099999999999</v>
      </c>
      <c r="S568" s="99">
        <f>ROUND(P568*I568, 2)</f>
        <v>753155.43</v>
      </c>
      <c r="T568" s="95">
        <f>ROUND(I568*ROUND(Q568, 2), 2)</f>
        <v>599187.89</v>
      </c>
      <c r="U568" s="95">
        <f>S568+T568</f>
        <v>1352343.32</v>
      </c>
    </row>
    <row r="569" spans="1:21" ht="36" hidden="1" x14ac:dyDescent="0.5">
      <c r="A569" s="10" t="s">
        <v>2130</v>
      </c>
      <c r="B569" s="10"/>
      <c r="C569" s="28" t="s">
        <v>925</v>
      </c>
      <c r="D569" s="12"/>
      <c r="E569" s="12"/>
      <c r="F569" s="29" t="s">
        <v>498</v>
      </c>
      <c r="G569" s="30">
        <v>1.4999999999999999E-2</v>
      </c>
      <c r="H569" s="30"/>
      <c r="I569" s="30">
        <v>13.382</v>
      </c>
      <c r="J569" s="31"/>
      <c r="K569" s="205"/>
      <c r="M569" s="32"/>
      <c r="P569" s="84">
        <v>88.8</v>
      </c>
      <c r="R569" s="89"/>
      <c r="S569" s="78">
        <f>ROUND(ROUND(P569, 2)*I569, 2)</f>
        <v>1188.32</v>
      </c>
    </row>
    <row r="570" spans="1:21" ht="21" hidden="1" x14ac:dyDescent="0.5">
      <c r="A570" s="10" t="s">
        <v>2133</v>
      </c>
      <c r="B570" s="10"/>
      <c r="C570" s="28" t="s">
        <v>873</v>
      </c>
      <c r="D570" s="12"/>
      <c r="E570" s="12"/>
      <c r="F570" s="29" t="s">
        <v>498</v>
      </c>
      <c r="G570" s="30">
        <v>0.04</v>
      </c>
      <c r="H570" s="30"/>
      <c r="I570" s="30">
        <v>35.683999999999997</v>
      </c>
      <c r="J570" s="31"/>
      <c r="K570" s="205"/>
      <c r="M570" s="32"/>
      <c r="P570" s="84">
        <v>47.44</v>
      </c>
      <c r="R570" s="89"/>
      <c r="S570" s="78">
        <f>ROUND(ROUND(P570, 2)*I570, 2)</f>
        <v>1692.85</v>
      </c>
    </row>
    <row r="571" spans="1:21" ht="36" hidden="1" x14ac:dyDescent="0.5">
      <c r="A571" s="10" t="s">
        <v>2136</v>
      </c>
      <c r="B571" s="10"/>
      <c r="C571" s="47" t="s">
        <v>905</v>
      </c>
      <c r="D571" s="12"/>
      <c r="E571" s="12"/>
      <c r="F571" s="29" t="s">
        <v>498</v>
      </c>
      <c r="G571" s="30">
        <v>0.7</v>
      </c>
      <c r="H571" s="49"/>
      <c r="I571" s="49">
        <v>624.47</v>
      </c>
      <c r="J571" s="31"/>
      <c r="K571" s="205"/>
      <c r="M571" s="32"/>
      <c r="P571" s="84">
        <v>16.11</v>
      </c>
      <c r="R571" s="89"/>
      <c r="S571" s="78">
        <f>ROUND(ROUND(P571, 2)*I571, 2)</f>
        <v>10060.209999999999</v>
      </c>
    </row>
    <row r="572" spans="1:21" ht="54" hidden="1" x14ac:dyDescent="0.5">
      <c r="A572" s="10" t="s">
        <v>2139</v>
      </c>
      <c r="B572" s="10"/>
      <c r="C572" s="28" t="s">
        <v>912</v>
      </c>
      <c r="D572" s="12"/>
      <c r="E572" s="12" t="s">
        <v>969</v>
      </c>
      <c r="F572" s="29" t="s">
        <v>490</v>
      </c>
      <c r="G572" s="30">
        <v>1.84</v>
      </c>
      <c r="H572" s="49"/>
      <c r="I572" s="49">
        <v>1641.4639999999999</v>
      </c>
      <c r="J572" s="31"/>
      <c r="K572" s="205"/>
      <c r="M572" s="32"/>
      <c r="P572" s="84">
        <v>450.95</v>
      </c>
      <c r="R572" s="89"/>
      <c r="S572" s="78">
        <f>ROUND(ROUND(P572, 2)*I572, 2)</f>
        <v>740218.19</v>
      </c>
    </row>
    <row r="573" spans="1:21" ht="37" customHeight="1" x14ac:dyDescent="0.35">
      <c r="A573" s="109" t="s">
        <v>2142</v>
      </c>
      <c r="B573" s="109" t="s">
        <v>898</v>
      </c>
      <c r="C573" s="92" t="s">
        <v>899</v>
      </c>
      <c r="D573" s="93"/>
      <c r="E573" s="93" t="s">
        <v>933</v>
      </c>
      <c r="F573" s="93" t="s">
        <v>78</v>
      </c>
      <c r="G573" s="94">
        <v>1</v>
      </c>
      <c r="H573" s="94"/>
      <c r="I573" s="94">
        <v>2324.1</v>
      </c>
      <c r="J573" s="95"/>
      <c r="K573" s="206"/>
      <c r="L573" s="95"/>
      <c r="M573" s="95"/>
      <c r="N573" s="95"/>
      <c r="O573" s="96"/>
      <c r="P573" s="97">
        <f>IFERROR(ROUND(SUM(S574,S575,S576,S577)/I573, 2),0)</f>
        <v>844.25</v>
      </c>
      <c r="Q573" s="98">
        <v>671.66</v>
      </c>
      <c r="R573" s="87">
        <f>P573+ROUND(Q573, 2)</f>
        <v>1515.9099999999999</v>
      </c>
      <c r="S573" s="99">
        <f>ROUND(P573*I573, 2)</f>
        <v>1962121.43</v>
      </c>
      <c r="T573" s="95">
        <f>ROUND(I573*ROUND(Q573, 2), 2)</f>
        <v>1561005.01</v>
      </c>
      <c r="U573" s="95">
        <f>S573+T573</f>
        <v>3523126.44</v>
      </c>
    </row>
    <row r="574" spans="1:21" ht="54" hidden="1" x14ac:dyDescent="0.5">
      <c r="A574" s="10" t="s">
        <v>2143</v>
      </c>
      <c r="B574" s="10"/>
      <c r="C574" s="28" t="s">
        <v>912</v>
      </c>
      <c r="D574" s="12"/>
      <c r="E574" s="12" t="s">
        <v>948</v>
      </c>
      <c r="F574" s="29" t="s">
        <v>490</v>
      </c>
      <c r="G574" s="30">
        <v>1.84</v>
      </c>
      <c r="H574" s="49"/>
      <c r="I574" s="49">
        <v>4276.3440000000001</v>
      </c>
      <c r="J574" s="31"/>
      <c r="K574" s="205"/>
      <c r="M574" s="32"/>
      <c r="P574" s="84">
        <v>450.95</v>
      </c>
      <c r="R574" s="89"/>
      <c r="S574" s="78">
        <f>ROUND(ROUND(P574, 2)*I574, 2)</f>
        <v>1928417.33</v>
      </c>
    </row>
    <row r="575" spans="1:21" ht="36" hidden="1" x14ac:dyDescent="0.5">
      <c r="A575" s="10" t="s">
        <v>2146</v>
      </c>
      <c r="B575" s="10"/>
      <c r="C575" s="47" t="s">
        <v>905</v>
      </c>
      <c r="D575" s="12"/>
      <c r="E575" s="12"/>
      <c r="F575" s="29" t="s">
        <v>498</v>
      </c>
      <c r="G575" s="30">
        <v>0.7</v>
      </c>
      <c r="H575" s="49"/>
      <c r="I575" s="49">
        <v>1626.87</v>
      </c>
      <c r="J575" s="31"/>
      <c r="K575" s="205"/>
      <c r="M575" s="32"/>
      <c r="P575" s="84">
        <v>16.11</v>
      </c>
      <c r="R575" s="89"/>
      <c r="S575" s="78">
        <f>ROUND(ROUND(P575, 2)*I575, 2)</f>
        <v>26208.880000000001</v>
      </c>
    </row>
    <row r="576" spans="1:21" ht="21" hidden="1" x14ac:dyDescent="0.5">
      <c r="A576" s="10" t="s">
        <v>2149</v>
      </c>
      <c r="B576" s="10"/>
      <c r="C576" s="28" t="s">
        <v>873</v>
      </c>
      <c r="D576" s="12"/>
      <c r="E576" s="12"/>
      <c r="F576" s="29" t="s">
        <v>498</v>
      </c>
      <c r="G576" s="30">
        <v>0.04</v>
      </c>
      <c r="H576" s="30"/>
      <c r="I576" s="30">
        <v>92.963999999999999</v>
      </c>
      <c r="J576" s="31"/>
      <c r="K576" s="205"/>
      <c r="M576" s="32"/>
      <c r="P576" s="84">
        <v>47.44</v>
      </c>
      <c r="R576" s="89"/>
      <c r="S576" s="78">
        <f>ROUND(ROUND(P576, 2)*I576, 2)</f>
        <v>4410.21</v>
      </c>
    </row>
    <row r="577" spans="1:21" ht="36" hidden="1" x14ac:dyDescent="0.5">
      <c r="A577" s="10" t="s">
        <v>2152</v>
      </c>
      <c r="B577" s="10"/>
      <c r="C577" s="28" t="s">
        <v>925</v>
      </c>
      <c r="D577" s="12"/>
      <c r="E577" s="12"/>
      <c r="F577" s="29" t="s">
        <v>498</v>
      </c>
      <c r="G577" s="30">
        <v>1.4999999999999999E-2</v>
      </c>
      <c r="H577" s="30"/>
      <c r="I577" s="30">
        <v>34.862000000000002</v>
      </c>
      <c r="J577" s="31"/>
      <c r="K577" s="205"/>
      <c r="M577" s="32"/>
      <c r="P577" s="84">
        <v>88.8</v>
      </c>
      <c r="R577" s="89"/>
      <c r="S577" s="78">
        <f>ROUND(ROUND(P577, 2)*I577, 2)</f>
        <v>3095.75</v>
      </c>
    </row>
    <row r="578" spans="1:21" ht="69.5" customHeight="1" x14ac:dyDescent="0.35">
      <c r="A578" s="109" t="s">
        <v>2155</v>
      </c>
      <c r="B578" s="109" t="s">
        <v>1021</v>
      </c>
      <c r="C578" s="92" t="s">
        <v>1022</v>
      </c>
      <c r="D578" s="93"/>
      <c r="E578" s="93" t="s">
        <v>903</v>
      </c>
      <c r="F578" s="93" t="s">
        <v>63</v>
      </c>
      <c r="G578" s="94">
        <v>1</v>
      </c>
      <c r="H578" s="94"/>
      <c r="I578" s="94">
        <v>3824.31</v>
      </c>
      <c r="J578" s="95"/>
      <c r="K578" s="206"/>
      <c r="L578" s="95"/>
      <c r="M578" s="95"/>
      <c r="N578" s="95"/>
      <c r="O578" s="96"/>
      <c r="P578" s="97">
        <f>IFERROR(ROUND(SUM(S579,S580,S581,S582)/I578, 2),0)</f>
        <v>2341.13</v>
      </c>
      <c r="Q578" s="98">
        <v>2350.1</v>
      </c>
      <c r="R578" s="87">
        <f>P578+ROUND(Q578, 2)</f>
        <v>4691.2299999999996</v>
      </c>
      <c r="S578" s="99">
        <f>ROUND(P578*I578, 2)</f>
        <v>8953206.8699999992</v>
      </c>
      <c r="T578" s="95">
        <f>ROUND(I578*ROUND(Q578, 2), 2)</f>
        <v>8987510.9299999997</v>
      </c>
      <c r="U578" s="95">
        <f>S578+T578</f>
        <v>17940717.799999997</v>
      </c>
    </row>
    <row r="579" spans="1:21" ht="21" hidden="1" x14ac:dyDescent="0.5">
      <c r="A579" s="10" t="s">
        <v>2156</v>
      </c>
      <c r="B579" s="10"/>
      <c r="C579" s="28" t="s">
        <v>873</v>
      </c>
      <c r="D579" s="12"/>
      <c r="E579" s="12"/>
      <c r="F579" s="29" t="s">
        <v>498</v>
      </c>
      <c r="G579" s="30">
        <v>0.25</v>
      </c>
      <c r="H579" s="49"/>
      <c r="I579" s="49">
        <v>956.07799999999997</v>
      </c>
      <c r="J579" s="31"/>
      <c r="K579" s="205"/>
      <c r="M579" s="32"/>
      <c r="P579" s="84">
        <v>47.44</v>
      </c>
      <c r="R579" s="89"/>
      <c r="S579" s="78">
        <f>ROUND(ROUND(P579, 2)*I579, 2)</f>
        <v>45356.34</v>
      </c>
    </row>
    <row r="580" spans="1:21" ht="54" hidden="1" x14ac:dyDescent="0.5">
      <c r="A580" s="10" t="s">
        <v>2159</v>
      </c>
      <c r="B580" s="10"/>
      <c r="C580" s="28" t="s">
        <v>1027</v>
      </c>
      <c r="D580" s="12"/>
      <c r="E580" s="12" t="s">
        <v>1032</v>
      </c>
      <c r="F580" s="29" t="s">
        <v>63</v>
      </c>
      <c r="G580" s="30">
        <v>1.07</v>
      </c>
      <c r="H580" s="49"/>
      <c r="I580" s="49">
        <v>4092.0120000000002</v>
      </c>
      <c r="J580" s="31"/>
      <c r="K580" s="205"/>
      <c r="M580" s="32"/>
      <c r="P580" s="84">
        <v>2059.0500000000002</v>
      </c>
      <c r="R580" s="89"/>
      <c r="S580" s="78">
        <f>ROUND(ROUND(P580, 2)*I580, 2)</f>
        <v>8425657.3100000005</v>
      </c>
    </row>
    <row r="581" spans="1:21" ht="36" hidden="1" x14ac:dyDescent="0.5">
      <c r="A581" s="10" t="s">
        <v>2162</v>
      </c>
      <c r="B581" s="10"/>
      <c r="C581" s="47" t="s">
        <v>1035</v>
      </c>
      <c r="D581" s="12"/>
      <c r="E581" s="12"/>
      <c r="F581" s="29" t="s">
        <v>498</v>
      </c>
      <c r="G581" s="30">
        <v>7</v>
      </c>
      <c r="H581" s="30"/>
      <c r="I581" s="30">
        <v>26770.17</v>
      </c>
      <c r="J581" s="31"/>
      <c r="K581" s="205"/>
      <c r="M581" s="32"/>
      <c r="P581" s="84">
        <v>16.11</v>
      </c>
      <c r="R581" s="89"/>
      <c r="S581" s="78">
        <f>ROUND(ROUND(P581, 2)*I581, 2)</f>
        <v>431267.44</v>
      </c>
    </row>
    <row r="582" spans="1:21" ht="36" hidden="1" x14ac:dyDescent="0.5">
      <c r="A582" s="10" t="s">
        <v>2165</v>
      </c>
      <c r="B582" s="10"/>
      <c r="C582" s="28" t="s">
        <v>925</v>
      </c>
      <c r="D582" s="12"/>
      <c r="E582" s="12"/>
      <c r="F582" s="29" t="s">
        <v>498</v>
      </c>
      <c r="G582" s="30">
        <v>0.15</v>
      </c>
      <c r="H582" s="30"/>
      <c r="I582" s="30">
        <v>573.64700000000005</v>
      </c>
      <c r="J582" s="31"/>
      <c r="K582" s="205"/>
      <c r="M582" s="32"/>
      <c r="P582" s="84">
        <v>88.8</v>
      </c>
      <c r="R582" s="89"/>
      <c r="S582" s="78">
        <f>ROUND(ROUND(P582, 2)*I582, 2)</f>
        <v>50939.85</v>
      </c>
    </row>
    <row r="583" spans="1:21" ht="82" customHeight="1" x14ac:dyDescent="0.35">
      <c r="A583" s="109" t="s">
        <v>2168</v>
      </c>
      <c r="B583" s="109" t="s">
        <v>1021</v>
      </c>
      <c r="C583" s="92" t="s">
        <v>1022</v>
      </c>
      <c r="D583" s="93"/>
      <c r="E583" s="93" t="s">
        <v>1088</v>
      </c>
      <c r="F583" s="93" t="s">
        <v>63</v>
      </c>
      <c r="G583" s="94">
        <v>1</v>
      </c>
      <c r="H583" s="94"/>
      <c r="I583" s="94">
        <v>87.2</v>
      </c>
      <c r="J583" s="95"/>
      <c r="K583" s="206"/>
      <c r="L583" s="95"/>
      <c r="M583" s="95"/>
      <c r="N583" s="95"/>
      <c r="O583" s="96"/>
      <c r="P583" s="97">
        <f>IFERROR(ROUND(SUM(S584,S585,S586,S587)/I583, 2),0)</f>
        <v>2341.13</v>
      </c>
      <c r="Q583" s="98">
        <v>2350.1</v>
      </c>
      <c r="R583" s="87">
        <f>P583+ROUND(Q583, 2)</f>
        <v>4691.2299999999996</v>
      </c>
      <c r="S583" s="99">
        <f>ROUND(P583*I583, 2)</f>
        <v>204146.54</v>
      </c>
      <c r="T583" s="95">
        <f>ROUND(I583*ROUND(Q583, 2), 2)</f>
        <v>204928.72</v>
      </c>
      <c r="U583" s="95">
        <f>S583+T583</f>
        <v>409075.26</v>
      </c>
    </row>
    <row r="584" spans="1:21" ht="27" hidden="1" customHeight="1" x14ac:dyDescent="0.5">
      <c r="A584" s="10" t="s">
        <v>2169</v>
      </c>
      <c r="B584" s="10"/>
      <c r="C584" s="28" t="s">
        <v>925</v>
      </c>
      <c r="D584" s="12"/>
      <c r="E584" s="12"/>
      <c r="F584" s="29" t="s">
        <v>498</v>
      </c>
      <c r="G584" s="30">
        <v>0.15</v>
      </c>
      <c r="H584" s="30"/>
      <c r="I584" s="30">
        <v>13.08</v>
      </c>
      <c r="J584" s="31"/>
      <c r="K584" s="205"/>
      <c r="M584" s="32"/>
      <c r="P584" s="84">
        <v>88.8</v>
      </c>
      <c r="R584" s="89"/>
      <c r="S584" s="78">
        <f>ROUND(ROUND(P584, 2)*I584, 2)</f>
        <v>1161.5</v>
      </c>
    </row>
    <row r="585" spans="1:21" ht="36" hidden="1" x14ac:dyDescent="0.5">
      <c r="A585" s="10" t="s">
        <v>2172</v>
      </c>
      <c r="B585" s="10"/>
      <c r="C585" s="47" t="s">
        <v>1035</v>
      </c>
      <c r="D585" s="12"/>
      <c r="E585" s="12"/>
      <c r="F585" s="29" t="s">
        <v>498</v>
      </c>
      <c r="G585" s="30">
        <v>7</v>
      </c>
      <c r="H585" s="30"/>
      <c r="I585" s="30">
        <v>610.4</v>
      </c>
      <c r="J585" s="31"/>
      <c r="K585" s="205"/>
      <c r="M585" s="32"/>
      <c r="P585" s="84">
        <v>16.11</v>
      </c>
      <c r="R585" s="89"/>
      <c r="S585" s="78">
        <f>ROUND(ROUND(P585, 2)*I585, 2)</f>
        <v>9833.5400000000009</v>
      </c>
    </row>
    <row r="586" spans="1:21" ht="21" hidden="1" x14ac:dyDescent="0.5">
      <c r="A586" s="10" t="s">
        <v>2175</v>
      </c>
      <c r="B586" s="10"/>
      <c r="C586" s="28" t="s">
        <v>1027</v>
      </c>
      <c r="D586" s="12"/>
      <c r="E586" s="12"/>
      <c r="F586" s="29" t="s">
        <v>63</v>
      </c>
      <c r="G586" s="30">
        <v>1.07</v>
      </c>
      <c r="H586" s="49"/>
      <c r="I586" s="49">
        <v>93.304000000000002</v>
      </c>
      <c r="J586" s="31"/>
      <c r="K586" s="205"/>
      <c r="M586" s="32"/>
      <c r="P586" s="84">
        <v>2059.0500000000002</v>
      </c>
      <c r="R586" s="89"/>
      <c r="S586" s="78">
        <f>ROUND(ROUND(P586, 2)*I586, 2)</f>
        <v>192117.6</v>
      </c>
    </row>
    <row r="587" spans="1:21" ht="21" hidden="1" x14ac:dyDescent="0.5">
      <c r="A587" s="10" t="s">
        <v>2178</v>
      </c>
      <c r="B587" s="10"/>
      <c r="C587" s="28" t="s">
        <v>873</v>
      </c>
      <c r="D587" s="12"/>
      <c r="E587" s="12"/>
      <c r="F587" s="29" t="s">
        <v>498</v>
      </c>
      <c r="G587" s="30">
        <v>0.25</v>
      </c>
      <c r="H587" s="49"/>
      <c r="I587" s="49">
        <v>21.8</v>
      </c>
      <c r="J587" s="31"/>
      <c r="K587" s="205"/>
      <c r="M587" s="32"/>
      <c r="P587" s="84">
        <v>47.44</v>
      </c>
      <c r="R587" s="89"/>
      <c r="S587" s="78">
        <f>ROUND(ROUND(P587, 2)*I587, 2)</f>
        <v>1034.19</v>
      </c>
    </row>
    <row r="588" spans="1:21" ht="75.5" customHeight="1" x14ac:dyDescent="0.35">
      <c r="A588" s="109" t="s">
        <v>2181</v>
      </c>
      <c r="B588" s="109" t="s">
        <v>1102</v>
      </c>
      <c r="C588" s="92" t="s">
        <v>1103</v>
      </c>
      <c r="D588" s="93"/>
      <c r="E588" s="93" t="s">
        <v>933</v>
      </c>
      <c r="F588" s="93" t="s">
        <v>63</v>
      </c>
      <c r="G588" s="94">
        <v>1</v>
      </c>
      <c r="H588" s="94"/>
      <c r="I588" s="94">
        <v>2228.66</v>
      </c>
      <c r="J588" s="95"/>
      <c r="K588" s="206"/>
      <c r="L588" s="95"/>
      <c r="M588" s="95"/>
      <c r="N588" s="95"/>
      <c r="O588" s="96"/>
      <c r="P588" s="97">
        <f>IFERROR(ROUND(SUM(S589,S590,S591,S592)/I588, 2),0)</f>
        <v>1840.01</v>
      </c>
      <c r="Q588" s="98">
        <v>3954.7</v>
      </c>
      <c r="R588" s="87">
        <f>P588+ROUND(Q588, 2)</f>
        <v>5794.71</v>
      </c>
      <c r="S588" s="99">
        <f>ROUND(P588*I588, 2)</f>
        <v>4100756.69</v>
      </c>
      <c r="T588" s="95">
        <f>ROUND(I588*ROUND(Q588, 2), 2)</f>
        <v>8813681.6999999993</v>
      </c>
      <c r="U588" s="95">
        <f>S588+T588</f>
        <v>12914438.389999999</v>
      </c>
    </row>
    <row r="589" spans="1:21" ht="36" hidden="1" x14ac:dyDescent="0.5">
      <c r="A589" s="10" t="s">
        <v>2182</v>
      </c>
      <c r="B589" s="10"/>
      <c r="C589" s="47" t="s">
        <v>1108</v>
      </c>
      <c r="D589" s="12"/>
      <c r="E589" s="12"/>
      <c r="F589" s="29" t="s">
        <v>498</v>
      </c>
      <c r="G589" s="30">
        <v>1.2</v>
      </c>
      <c r="H589" s="49"/>
      <c r="I589" s="49">
        <v>2674.3919999999998</v>
      </c>
      <c r="J589" s="31"/>
      <c r="K589" s="205"/>
      <c r="M589" s="32"/>
      <c r="P589" s="84">
        <v>16.11</v>
      </c>
      <c r="R589" s="89"/>
      <c r="S589" s="78">
        <f>ROUND(ROUND(P589, 2)*I589, 2)</f>
        <v>43084.46</v>
      </c>
    </row>
    <row r="590" spans="1:21" ht="54" hidden="1" x14ac:dyDescent="0.5">
      <c r="A590" s="10" t="s">
        <v>2185</v>
      </c>
      <c r="B590" s="10"/>
      <c r="C590" s="28" t="s">
        <v>2186</v>
      </c>
      <c r="D590" s="12"/>
      <c r="E590" s="12" t="s">
        <v>1120</v>
      </c>
      <c r="F590" s="29" t="s">
        <v>63</v>
      </c>
      <c r="G590" s="30">
        <v>1.2</v>
      </c>
      <c r="H590" s="49"/>
      <c r="I590" s="49">
        <v>2674.3919999999998</v>
      </c>
      <c r="J590" s="31"/>
      <c r="K590" s="205"/>
      <c r="M590" s="32"/>
      <c r="P590" s="84">
        <v>1496.25</v>
      </c>
      <c r="R590" s="89"/>
      <c r="S590" s="78">
        <f>ROUND(ROUND(P590, 2)*I590, 2)</f>
        <v>4001559.03</v>
      </c>
    </row>
    <row r="591" spans="1:21" ht="36" hidden="1" x14ac:dyDescent="0.5">
      <c r="A591" s="10" t="s">
        <v>2190</v>
      </c>
      <c r="B591" s="10"/>
      <c r="C591" s="28" t="s">
        <v>925</v>
      </c>
      <c r="D591" s="12"/>
      <c r="E591" s="12"/>
      <c r="F591" s="29" t="s">
        <v>498</v>
      </c>
      <c r="G591" s="30">
        <v>0.15</v>
      </c>
      <c r="H591" s="30"/>
      <c r="I591" s="30">
        <v>334.29899999999998</v>
      </c>
      <c r="J591" s="31"/>
      <c r="K591" s="205"/>
      <c r="M591" s="32"/>
      <c r="P591" s="84">
        <v>88.8</v>
      </c>
      <c r="R591" s="89"/>
      <c r="S591" s="78">
        <f>ROUND(ROUND(P591, 2)*I591, 2)</f>
        <v>29685.75</v>
      </c>
    </row>
    <row r="592" spans="1:21" ht="21" hidden="1" x14ac:dyDescent="0.5">
      <c r="A592" s="10" t="s">
        <v>2193</v>
      </c>
      <c r="B592" s="10"/>
      <c r="C592" s="28" t="s">
        <v>873</v>
      </c>
      <c r="D592" s="12"/>
      <c r="E592" s="12"/>
      <c r="F592" s="29" t="s">
        <v>498</v>
      </c>
      <c r="G592" s="30">
        <v>0.25</v>
      </c>
      <c r="H592" s="49"/>
      <c r="I592" s="49">
        <v>557.16499999999996</v>
      </c>
      <c r="J592" s="31"/>
      <c r="K592" s="205"/>
      <c r="M592" s="32"/>
      <c r="P592" s="84">
        <v>47.44</v>
      </c>
      <c r="R592" s="89"/>
      <c r="S592" s="78">
        <f>ROUND(ROUND(P592, 2)*I592, 2)</f>
        <v>26431.91</v>
      </c>
    </row>
    <row r="593" spans="1:21" ht="73.5" customHeight="1" x14ac:dyDescent="0.35">
      <c r="A593" s="91" t="s">
        <v>2196</v>
      </c>
      <c r="B593" s="91" t="s">
        <v>1102</v>
      </c>
      <c r="C593" s="92" t="s">
        <v>1103</v>
      </c>
      <c r="D593" s="93"/>
      <c r="E593" s="93" t="s">
        <v>957</v>
      </c>
      <c r="F593" s="93" t="s">
        <v>63</v>
      </c>
      <c r="G593" s="94">
        <v>1</v>
      </c>
      <c r="H593" s="94"/>
      <c r="I593" s="94">
        <v>1152.23</v>
      </c>
      <c r="J593" s="95"/>
      <c r="K593" s="206"/>
      <c r="L593" s="95"/>
      <c r="M593" s="95"/>
      <c r="N593" s="95"/>
      <c r="O593" s="96"/>
      <c r="P593" s="97">
        <f>IFERROR(ROUND(SUM(S594,S595,S596,S597)/I593, 2),0)</f>
        <v>1840.01</v>
      </c>
      <c r="Q593" s="98">
        <v>3954.7</v>
      </c>
      <c r="R593" s="90">
        <f>P593+ROUND(Q593, 2)</f>
        <v>5794.71</v>
      </c>
      <c r="S593" s="99">
        <f>ROUND(P593*I593, 2)</f>
        <v>2120114.7200000002</v>
      </c>
      <c r="T593" s="95">
        <f>ROUND(I593*ROUND(Q593, 2), 2)</f>
        <v>4556723.9800000004</v>
      </c>
      <c r="U593" s="95">
        <f>S593+T593</f>
        <v>6676838.7000000011</v>
      </c>
    </row>
    <row r="594" spans="1:21" ht="21" hidden="1" x14ac:dyDescent="0.5">
      <c r="A594" s="10" t="s">
        <v>2197</v>
      </c>
      <c r="B594" s="10"/>
      <c r="C594" s="28" t="s">
        <v>873</v>
      </c>
      <c r="D594" s="12"/>
      <c r="E594" s="12"/>
      <c r="F594" s="29" t="s">
        <v>498</v>
      </c>
      <c r="G594" s="30">
        <v>0.25</v>
      </c>
      <c r="H594" s="49"/>
      <c r="I594" s="49">
        <v>288.05799999999999</v>
      </c>
      <c r="J594" s="31"/>
      <c r="K594" s="205"/>
      <c r="M594" s="32"/>
      <c r="P594" s="84">
        <v>47.44</v>
      </c>
      <c r="R594" s="89"/>
      <c r="S594" s="78">
        <f>ROUND(ROUND(P594, 2)*I594, 2)</f>
        <v>13665.47</v>
      </c>
    </row>
    <row r="595" spans="1:21" ht="36" hidden="1" x14ac:dyDescent="0.5">
      <c r="A595" s="10" t="s">
        <v>2200</v>
      </c>
      <c r="B595" s="10"/>
      <c r="C595" s="28" t="s">
        <v>925</v>
      </c>
      <c r="D595" s="12"/>
      <c r="E595" s="12"/>
      <c r="F595" s="29" t="s">
        <v>498</v>
      </c>
      <c r="G595" s="30">
        <v>0.15</v>
      </c>
      <c r="H595" s="30"/>
      <c r="I595" s="30">
        <v>172.83500000000001</v>
      </c>
      <c r="J595" s="31"/>
      <c r="K595" s="205"/>
      <c r="M595" s="32"/>
      <c r="P595" s="84">
        <v>88.8</v>
      </c>
      <c r="R595" s="89"/>
      <c r="S595" s="78">
        <f>ROUND(ROUND(P595, 2)*I595, 2)</f>
        <v>15347.75</v>
      </c>
    </row>
    <row r="596" spans="1:21" ht="72" hidden="1" x14ac:dyDescent="0.5">
      <c r="A596" s="10" t="s">
        <v>2203</v>
      </c>
      <c r="B596" s="10"/>
      <c r="C596" s="28" t="s">
        <v>2186</v>
      </c>
      <c r="D596" s="12"/>
      <c r="E596" s="12" t="s">
        <v>1148</v>
      </c>
      <c r="F596" s="29" t="s">
        <v>63</v>
      </c>
      <c r="G596" s="30">
        <v>1.2</v>
      </c>
      <c r="H596" s="49"/>
      <c r="I596" s="49">
        <v>1382.6759999999999</v>
      </c>
      <c r="J596" s="31"/>
      <c r="K596" s="205"/>
      <c r="M596" s="32"/>
      <c r="P596" s="84">
        <v>1496.25</v>
      </c>
      <c r="R596" s="89"/>
      <c r="S596" s="78">
        <f>ROUND(ROUND(P596, 2)*I596, 2)</f>
        <v>2068828.97</v>
      </c>
    </row>
    <row r="597" spans="1:21" ht="53" hidden="1" customHeight="1" x14ac:dyDescent="0.5">
      <c r="A597" s="10" t="s">
        <v>2206</v>
      </c>
      <c r="B597" s="10"/>
      <c r="C597" s="47" t="s">
        <v>1108</v>
      </c>
      <c r="D597" s="12"/>
      <c r="E597" s="12"/>
      <c r="F597" s="29" t="s">
        <v>498</v>
      </c>
      <c r="G597" s="30">
        <v>1.2</v>
      </c>
      <c r="H597" s="49"/>
      <c r="I597" s="49">
        <v>1382.6759999999999</v>
      </c>
      <c r="J597" s="31"/>
      <c r="K597" s="205"/>
      <c r="M597" s="32"/>
      <c r="P597" s="84">
        <v>16.11</v>
      </c>
      <c r="R597" s="89"/>
      <c r="S597" s="78">
        <f>ROUND(ROUND(P597, 2)*I597, 2)</f>
        <v>22274.91</v>
      </c>
    </row>
    <row r="598" spans="1:21" ht="46" customHeight="1" x14ac:dyDescent="0.5">
      <c r="A598" s="156" t="s">
        <v>2209</v>
      </c>
      <c r="B598" s="156" t="s">
        <v>1182</v>
      </c>
      <c r="C598" s="187" t="s">
        <v>1183</v>
      </c>
      <c r="D598" s="188"/>
      <c r="E598" s="188"/>
      <c r="F598" s="188"/>
      <c r="G598" s="188"/>
      <c r="H598" s="188"/>
      <c r="I598" s="189"/>
      <c r="K598" s="209"/>
      <c r="M598" s="6"/>
      <c r="N598" s="6"/>
      <c r="O598" s="73"/>
      <c r="P598" s="81"/>
      <c r="R598" s="89"/>
      <c r="S598" s="76">
        <f>SUM(S599,S605)</f>
        <v>16998814.34</v>
      </c>
      <c r="T598" s="6">
        <f>SUM(T599,T605)</f>
        <v>36287060.549999997</v>
      </c>
      <c r="U598" s="6">
        <f>SUM(U599,U605)</f>
        <v>53285874.890000001</v>
      </c>
    </row>
    <row r="599" spans="1:21" ht="40" customHeight="1" x14ac:dyDescent="0.5">
      <c r="A599" s="156" t="s">
        <v>2210</v>
      </c>
      <c r="B599" s="156" t="s">
        <v>1185</v>
      </c>
      <c r="C599" s="187" t="s">
        <v>1186</v>
      </c>
      <c r="D599" s="188"/>
      <c r="E599" s="188"/>
      <c r="F599" s="188"/>
      <c r="G599" s="188"/>
      <c r="H599" s="188"/>
      <c r="I599" s="189"/>
      <c r="K599" s="210"/>
      <c r="M599" s="6"/>
      <c r="N599" s="6"/>
      <c r="O599" s="73"/>
      <c r="P599" s="81"/>
      <c r="R599" s="89"/>
      <c r="S599" s="76">
        <f>SUM(S600)</f>
        <v>2154576.67</v>
      </c>
      <c r="T599" s="6">
        <f>SUM(T600)</f>
        <v>10376713.33</v>
      </c>
      <c r="U599" s="6">
        <f>SUM(U600)</f>
        <v>12531290</v>
      </c>
    </row>
    <row r="600" spans="1:21" ht="85" customHeight="1" x14ac:dyDescent="0.35">
      <c r="A600" s="109" t="s">
        <v>2211</v>
      </c>
      <c r="B600" s="109" t="s">
        <v>1188</v>
      </c>
      <c r="C600" s="92" t="s">
        <v>1189</v>
      </c>
      <c r="D600" s="93" t="s">
        <v>1190</v>
      </c>
      <c r="E600" s="93" t="s">
        <v>1194</v>
      </c>
      <c r="F600" s="93" t="s">
        <v>63</v>
      </c>
      <c r="G600" s="94">
        <v>1</v>
      </c>
      <c r="H600" s="94"/>
      <c r="I600" s="94">
        <v>7659.9</v>
      </c>
      <c r="J600" s="96"/>
      <c r="K600" s="211"/>
      <c r="L600" s="99"/>
      <c r="M600" s="95"/>
      <c r="N600" s="95"/>
      <c r="O600" s="96"/>
      <c r="P600" s="97">
        <f>IFERROR(ROUND(SUM(S601,S602,S603,S604)/I600, 2),0)</f>
        <v>281.27999999999997</v>
      </c>
      <c r="Q600" s="98">
        <v>1354.68</v>
      </c>
      <c r="R600" s="87">
        <f>P600+ROUND(Q600, 2)</f>
        <v>1635.96</v>
      </c>
      <c r="S600" s="99">
        <f>ROUND(P600*I600, 2)</f>
        <v>2154576.67</v>
      </c>
      <c r="T600" s="95">
        <f>ROUND(I600*ROUND(Q600, 2), 2)</f>
        <v>10376713.33</v>
      </c>
      <c r="U600" s="95">
        <f>S600+T600</f>
        <v>12531290</v>
      </c>
    </row>
    <row r="601" spans="1:21" ht="21" hidden="1" x14ac:dyDescent="0.5">
      <c r="A601" s="10" t="s">
        <v>2212</v>
      </c>
      <c r="B601" s="10"/>
      <c r="C601" s="28" t="s">
        <v>1196</v>
      </c>
      <c r="D601" s="12"/>
      <c r="E601" s="12"/>
      <c r="F601" s="29" t="s">
        <v>498</v>
      </c>
      <c r="G601" s="30">
        <v>1.3</v>
      </c>
      <c r="H601" s="49"/>
      <c r="I601" s="49">
        <v>199157.4</v>
      </c>
      <c r="J601" s="31"/>
      <c r="K601" s="205"/>
      <c r="M601" s="32"/>
      <c r="P601" s="84">
        <v>8.6</v>
      </c>
      <c r="R601" s="89"/>
      <c r="S601" s="78">
        <f>ROUND(ROUND(P601, 2)*I601, 2)</f>
        <v>1712753.64</v>
      </c>
    </row>
    <row r="602" spans="1:21" ht="21" hidden="1" x14ac:dyDescent="0.5">
      <c r="A602" s="10" t="s">
        <v>2215</v>
      </c>
      <c r="B602" s="10"/>
      <c r="C602" s="28" t="s">
        <v>1203</v>
      </c>
      <c r="D602" s="12"/>
      <c r="E602" s="12"/>
      <c r="F602" s="29" t="s">
        <v>63</v>
      </c>
      <c r="G602" s="30">
        <v>1.1000000000000001</v>
      </c>
      <c r="H602" s="30"/>
      <c r="I602" s="30">
        <v>8425.89</v>
      </c>
      <c r="J602" s="31"/>
      <c r="K602" s="205"/>
      <c r="M602" s="32"/>
      <c r="P602" s="84">
        <v>26</v>
      </c>
      <c r="R602" s="89"/>
      <c r="S602" s="78">
        <f>ROUND(ROUND(P602, 2)*I602, 2)</f>
        <v>219073.14</v>
      </c>
    </row>
    <row r="603" spans="1:21" ht="21" hidden="1" x14ac:dyDescent="0.5">
      <c r="A603" s="10" t="s">
        <v>2218</v>
      </c>
      <c r="B603" s="10"/>
      <c r="C603" s="28" t="s">
        <v>1210</v>
      </c>
      <c r="D603" s="12"/>
      <c r="E603" s="12"/>
      <c r="F603" s="29" t="s">
        <v>78</v>
      </c>
      <c r="G603" s="30">
        <v>1</v>
      </c>
      <c r="H603" s="49"/>
      <c r="I603" s="49">
        <v>7659.9</v>
      </c>
      <c r="J603" s="31"/>
      <c r="K603" s="205"/>
      <c r="M603" s="32"/>
      <c r="P603" s="84">
        <v>15.76</v>
      </c>
      <c r="R603" s="89"/>
      <c r="S603" s="78">
        <f>ROUND(ROUND(P603, 2)*I603, 2)</f>
        <v>120720.02</v>
      </c>
    </row>
    <row r="604" spans="1:21" ht="25" hidden="1" customHeight="1" x14ac:dyDescent="0.5">
      <c r="A604" s="10" t="s">
        <v>2221</v>
      </c>
      <c r="B604" s="10"/>
      <c r="C604" s="28" t="s">
        <v>925</v>
      </c>
      <c r="D604" s="12"/>
      <c r="E604" s="12"/>
      <c r="F604" s="29" t="s">
        <v>498</v>
      </c>
      <c r="G604" s="30">
        <v>0.15</v>
      </c>
      <c r="H604" s="30"/>
      <c r="I604" s="30">
        <v>1148.9849999999999</v>
      </c>
      <c r="J604" s="31"/>
      <c r="K604" s="205"/>
      <c r="M604" s="32"/>
      <c r="P604" s="84">
        <v>88.8</v>
      </c>
      <c r="R604" s="89"/>
      <c r="S604" s="78">
        <f>ROUND(ROUND(P604, 2)*I604, 2)</f>
        <v>102029.87</v>
      </c>
    </row>
    <row r="605" spans="1:21" ht="45" customHeight="1" x14ac:dyDescent="0.5">
      <c r="A605" s="156" t="s">
        <v>2224</v>
      </c>
      <c r="B605" s="156" t="s">
        <v>1235</v>
      </c>
      <c r="C605" s="187" t="s">
        <v>1236</v>
      </c>
      <c r="D605" s="188"/>
      <c r="E605" s="188"/>
      <c r="F605" s="188"/>
      <c r="G605" s="188"/>
      <c r="H605" s="188"/>
      <c r="I605" s="189"/>
      <c r="K605" s="205"/>
      <c r="M605" s="6"/>
      <c r="N605" s="6"/>
      <c r="O605" s="73"/>
      <c r="P605" s="81"/>
      <c r="R605" s="89"/>
      <c r="S605" s="76">
        <f>SUM(S606,S608,S611,S614)</f>
        <v>14844237.67</v>
      </c>
      <c r="T605" s="6">
        <f>SUM(T606,T608,T611,T614)</f>
        <v>25910347.219999999</v>
      </c>
      <c r="U605" s="6">
        <f>SUM(U606,U608,U611,U614)</f>
        <v>40754584.890000001</v>
      </c>
    </row>
    <row r="606" spans="1:21" ht="36" customHeight="1" x14ac:dyDescent="0.35">
      <c r="A606" s="109" t="s">
        <v>2225</v>
      </c>
      <c r="B606" s="109" t="s">
        <v>1238</v>
      </c>
      <c r="C606" s="92" t="s">
        <v>1239</v>
      </c>
      <c r="D606" s="93"/>
      <c r="E606" s="93"/>
      <c r="F606" s="93" t="s">
        <v>63</v>
      </c>
      <c r="G606" s="94">
        <v>1</v>
      </c>
      <c r="H606" s="94"/>
      <c r="I606" s="94">
        <v>2373.3000000000002</v>
      </c>
      <c r="J606" s="95"/>
      <c r="K606" s="206"/>
      <c r="L606" s="95"/>
      <c r="M606" s="95"/>
      <c r="N606" s="95"/>
      <c r="O606" s="96"/>
      <c r="P606" s="97">
        <f>IFERROR(ROUND(SUM(S607)/I606, 2),0)</f>
        <v>418</v>
      </c>
      <c r="Q606" s="98">
        <v>1434.2</v>
      </c>
      <c r="R606" s="87">
        <f>P606+ROUND(Q606, 2)</f>
        <v>1852.2</v>
      </c>
      <c r="S606" s="99">
        <f>ROUND(P606*I606, 2)</f>
        <v>992039.4</v>
      </c>
      <c r="T606" s="95">
        <f>ROUND(I606*ROUND(Q606, 2), 2)</f>
        <v>3403786.86</v>
      </c>
      <c r="U606" s="95">
        <f>S606+T606</f>
        <v>4395826.26</v>
      </c>
    </row>
    <row r="607" spans="1:21" ht="34" hidden="1" customHeight="1" x14ac:dyDescent="0.5">
      <c r="A607" s="10" t="s">
        <v>2226</v>
      </c>
      <c r="B607" s="10"/>
      <c r="C607" s="28" t="s">
        <v>1245</v>
      </c>
      <c r="D607" s="12"/>
      <c r="E607" s="12"/>
      <c r="F607" s="29" t="s">
        <v>490</v>
      </c>
      <c r="G607" s="30">
        <v>1</v>
      </c>
      <c r="H607" s="30"/>
      <c r="I607" s="30">
        <v>2373.3000000000002</v>
      </c>
      <c r="J607" s="31"/>
      <c r="K607" s="205"/>
      <c r="M607" s="32"/>
      <c r="P607" s="84">
        <v>418</v>
      </c>
      <c r="R607" s="89"/>
      <c r="S607" s="78">
        <f>ROUND(ROUND(P607, 2)*I607, 2)</f>
        <v>992039.4</v>
      </c>
    </row>
    <row r="608" spans="1:21" ht="86" customHeight="1" x14ac:dyDescent="0.35">
      <c r="A608" s="109" t="s">
        <v>2229</v>
      </c>
      <c r="B608" s="109" t="s">
        <v>1256</v>
      </c>
      <c r="C608" s="92" t="s">
        <v>1257</v>
      </c>
      <c r="D608" s="93"/>
      <c r="E608" s="93" t="s">
        <v>2230</v>
      </c>
      <c r="F608" s="93" t="s">
        <v>63</v>
      </c>
      <c r="G608" s="94">
        <v>1</v>
      </c>
      <c r="H608" s="94"/>
      <c r="I608" s="94">
        <v>11850.4</v>
      </c>
      <c r="J608" s="95"/>
      <c r="K608" s="206"/>
      <c r="L608" s="95"/>
      <c r="M608" s="95"/>
      <c r="N608" s="95"/>
      <c r="O608" s="96"/>
      <c r="P608" s="97">
        <f>IFERROR(ROUND(SUM(S609,S610)/I608, 2),0)</f>
        <v>499.92</v>
      </c>
      <c r="Q608" s="98">
        <v>607.76</v>
      </c>
      <c r="R608" s="87">
        <f>P608+ROUND(Q608, 2)</f>
        <v>1107.68</v>
      </c>
      <c r="S608" s="99">
        <f>ROUND(P608*I608, 2)</f>
        <v>5924251.9699999997</v>
      </c>
      <c r="T608" s="95">
        <f>ROUND(I608*ROUND(Q608, 2), 2)</f>
        <v>7202199.0999999996</v>
      </c>
      <c r="U608" s="95">
        <f>S608+T608</f>
        <v>13126451.07</v>
      </c>
    </row>
    <row r="609" spans="1:21" ht="36" hidden="1" x14ac:dyDescent="0.5">
      <c r="A609" s="10" t="s">
        <v>2231</v>
      </c>
      <c r="B609" s="10"/>
      <c r="C609" s="28" t="s">
        <v>925</v>
      </c>
      <c r="D609" s="12"/>
      <c r="E609" s="12"/>
      <c r="F609" s="29" t="s">
        <v>498</v>
      </c>
      <c r="G609" s="30">
        <v>0.15</v>
      </c>
      <c r="H609" s="30"/>
      <c r="I609" s="30">
        <v>1777.56</v>
      </c>
      <c r="J609" s="31"/>
      <c r="K609" s="205"/>
      <c r="M609" s="32"/>
      <c r="P609" s="84">
        <v>88.8</v>
      </c>
      <c r="R609" s="89"/>
      <c r="S609" s="78">
        <f>ROUND(ROUND(P609, 2)*I609, 2)</f>
        <v>157847.32999999999</v>
      </c>
    </row>
    <row r="610" spans="1:21" ht="72" hidden="1" x14ac:dyDescent="0.5">
      <c r="A610" s="10" t="s">
        <v>2234</v>
      </c>
      <c r="B610" s="10"/>
      <c r="C610" s="28" t="s">
        <v>1268</v>
      </c>
      <c r="D610" s="12"/>
      <c r="E610" s="12" t="s">
        <v>1273</v>
      </c>
      <c r="F610" s="29" t="s">
        <v>498</v>
      </c>
      <c r="G610" s="30">
        <v>0.3</v>
      </c>
      <c r="H610" s="30"/>
      <c r="I610" s="30">
        <v>3555.12</v>
      </c>
      <c r="J610" s="31"/>
      <c r="K610" s="205"/>
      <c r="M610" s="32"/>
      <c r="P610" s="84">
        <v>1622</v>
      </c>
      <c r="R610" s="89"/>
      <c r="S610" s="78">
        <f>ROUND(ROUND(P610, 2)*I610, 2)</f>
        <v>5766404.6399999997</v>
      </c>
    </row>
    <row r="611" spans="1:21" ht="81" customHeight="1" x14ac:dyDescent="0.35">
      <c r="A611" s="109" t="s">
        <v>2237</v>
      </c>
      <c r="B611" s="109" t="s">
        <v>1256</v>
      </c>
      <c r="C611" s="92" t="s">
        <v>1257</v>
      </c>
      <c r="D611" s="93"/>
      <c r="E611" s="93" t="s">
        <v>1277</v>
      </c>
      <c r="F611" s="93" t="s">
        <v>63</v>
      </c>
      <c r="G611" s="94">
        <v>1</v>
      </c>
      <c r="H611" s="94"/>
      <c r="I611" s="94">
        <v>3034</v>
      </c>
      <c r="J611" s="95"/>
      <c r="K611" s="206"/>
      <c r="L611" s="95"/>
      <c r="M611" s="95"/>
      <c r="N611" s="95"/>
      <c r="O611" s="96"/>
      <c r="P611" s="97">
        <f>IFERROR(ROUND(SUM(S612,S613)/I611, 2),0)</f>
        <v>499.92</v>
      </c>
      <c r="Q611" s="98">
        <v>607.76</v>
      </c>
      <c r="R611" s="87">
        <f>P611+ROUND(Q611, 2)</f>
        <v>1107.68</v>
      </c>
      <c r="S611" s="99">
        <f>ROUND(P611*I611, 2)</f>
        <v>1516757.28</v>
      </c>
      <c r="T611" s="95">
        <f>ROUND(I611*ROUND(Q611, 2), 2)</f>
        <v>1843943.84</v>
      </c>
      <c r="U611" s="95">
        <f>S611+T611</f>
        <v>3360701.12</v>
      </c>
    </row>
    <row r="612" spans="1:21" ht="72" hidden="1" x14ac:dyDescent="0.5">
      <c r="A612" s="10" t="s">
        <v>2238</v>
      </c>
      <c r="B612" s="10"/>
      <c r="C612" s="28" t="s">
        <v>1268</v>
      </c>
      <c r="D612" s="12"/>
      <c r="E612" s="12" t="s">
        <v>1282</v>
      </c>
      <c r="F612" s="29" t="s">
        <v>498</v>
      </c>
      <c r="G612" s="30">
        <v>0.3</v>
      </c>
      <c r="H612" s="30"/>
      <c r="I612" s="30">
        <v>910.2</v>
      </c>
      <c r="J612" s="31"/>
      <c r="K612" s="205"/>
      <c r="M612" s="32"/>
      <c r="P612" s="84">
        <v>1622</v>
      </c>
      <c r="R612" s="89"/>
      <c r="S612" s="78">
        <f>ROUND(ROUND(P612, 2)*I612, 2)</f>
        <v>1476344.4</v>
      </c>
    </row>
    <row r="613" spans="1:21" ht="36" hidden="1" x14ac:dyDescent="0.5">
      <c r="A613" s="10" t="s">
        <v>2241</v>
      </c>
      <c r="B613" s="10"/>
      <c r="C613" s="28" t="s">
        <v>925</v>
      </c>
      <c r="D613" s="12"/>
      <c r="E613" s="12"/>
      <c r="F613" s="29" t="s">
        <v>498</v>
      </c>
      <c r="G613" s="30">
        <v>0.15</v>
      </c>
      <c r="H613" s="30"/>
      <c r="I613" s="30">
        <v>455.1</v>
      </c>
      <c r="J613" s="31"/>
      <c r="K613" s="205"/>
      <c r="M613" s="32"/>
      <c r="P613" s="84">
        <v>88.8</v>
      </c>
      <c r="R613" s="89"/>
      <c r="S613" s="78">
        <f>ROUND(ROUND(P613, 2)*I613, 2)</f>
        <v>40412.879999999997</v>
      </c>
    </row>
    <row r="614" spans="1:21" ht="81.5" customHeight="1" x14ac:dyDescent="0.35">
      <c r="A614" s="109" t="s">
        <v>2244</v>
      </c>
      <c r="B614" s="109" t="s">
        <v>1304</v>
      </c>
      <c r="C614" s="92" t="s">
        <v>1305</v>
      </c>
      <c r="D614" s="93"/>
      <c r="E614" s="93" t="s">
        <v>1309</v>
      </c>
      <c r="F614" s="93" t="s">
        <v>63</v>
      </c>
      <c r="G614" s="94">
        <v>1</v>
      </c>
      <c r="H614" s="94"/>
      <c r="I614" s="94">
        <v>4009.8</v>
      </c>
      <c r="J614" s="95"/>
      <c r="K614" s="206"/>
      <c r="L614" s="95"/>
      <c r="M614" s="95"/>
      <c r="N614" s="95"/>
      <c r="O614" s="96"/>
      <c r="P614" s="97">
        <f>IFERROR(ROUND(SUM(S615,S616,S617,S618)/I614, 2),0)</f>
        <v>1598.88</v>
      </c>
      <c r="Q614" s="98">
        <v>3356.88</v>
      </c>
      <c r="R614" s="87">
        <f>P614+ROUND(Q614, 2)</f>
        <v>4955.76</v>
      </c>
      <c r="S614" s="99">
        <f>ROUND(P614*I614, 2)</f>
        <v>6411189.0199999996</v>
      </c>
      <c r="T614" s="95">
        <f>ROUND(I614*ROUND(Q614, 2), 2)</f>
        <v>13460417.42</v>
      </c>
      <c r="U614" s="95">
        <f>S614+T614</f>
        <v>19871606.439999998</v>
      </c>
    </row>
    <row r="615" spans="1:21" ht="21" hidden="1" x14ac:dyDescent="0.5">
      <c r="A615" s="10" t="s">
        <v>2245</v>
      </c>
      <c r="B615" s="10"/>
      <c r="C615" s="28" t="s">
        <v>1311</v>
      </c>
      <c r="D615" s="12"/>
      <c r="E615" s="12"/>
      <c r="F615" s="29" t="s">
        <v>498</v>
      </c>
      <c r="G615" s="30">
        <v>0.25</v>
      </c>
      <c r="H615" s="49"/>
      <c r="I615" s="49">
        <v>1002.45</v>
      </c>
      <c r="J615" s="31"/>
      <c r="K615" s="205"/>
      <c r="M615" s="32"/>
      <c r="P615" s="84">
        <v>40.270000000000003</v>
      </c>
      <c r="R615" s="89"/>
      <c r="S615" s="78">
        <f>ROUND(ROUND(P615, 2)*I615, 2)</f>
        <v>40368.660000000003</v>
      </c>
    </row>
    <row r="616" spans="1:21" ht="36" hidden="1" x14ac:dyDescent="0.5">
      <c r="A616" s="10" t="s">
        <v>2248</v>
      </c>
      <c r="B616" s="10"/>
      <c r="C616" s="28" t="s">
        <v>758</v>
      </c>
      <c r="D616" s="12"/>
      <c r="E616" s="12"/>
      <c r="F616" s="29" t="s">
        <v>498</v>
      </c>
      <c r="G616" s="30">
        <v>0.15</v>
      </c>
      <c r="H616" s="30"/>
      <c r="I616" s="30">
        <v>601.47</v>
      </c>
      <c r="J616" s="31"/>
      <c r="K616" s="205"/>
      <c r="M616" s="32"/>
      <c r="P616" s="84">
        <v>68.400000000000006</v>
      </c>
      <c r="R616" s="89"/>
      <c r="S616" s="78">
        <f>ROUND(ROUND(P616, 2)*I616, 2)</f>
        <v>41140.550000000003</v>
      </c>
    </row>
    <row r="617" spans="1:21" ht="36" hidden="1" x14ac:dyDescent="0.5">
      <c r="A617" s="10" t="s">
        <v>2251</v>
      </c>
      <c r="B617" s="10"/>
      <c r="C617" s="47" t="s">
        <v>1108</v>
      </c>
      <c r="D617" s="12"/>
      <c r="E617" s="12"/>
      <c r="F617" s="29" t="s">
        <v>498</v>
      </c>
      <c r="G617" s="30">
        <v>1.2</v>
      </c>
      <c r="H617" s="49"/>
      <c r="I617" s="49">
        <v>24058.799999999999</v>
      </c>
      <c r="J617" s="31"/>
      <c r="K617" s="205"/>
      <c r="M617" s="32"/>
      <c r="P617" s="84">
        <v>16.11</v>
      </c>
      <c r="R617" s="89"/>
      <c r="S617" s="78">
        <f>ROUND(ROUND(P617, 2)*I617, 2)</f>
        <v>387587.27</v>
      </c>
    </row>
    <row r="618" spans="1:21" ht="72" hidden="1" x14ac:dyDescent="0.5">
      <c r="A618" s="10" t="s">
        <v>2254</v>
      </c>
      <c r="B618" s="10"/>
      <c r="C618" s="47" t="s">
        <v>1328</v>
      </c>
      <c r="D618" s="12"/>
      <c r="E618" s="12" t="s">
        <v>1333</v>
      </c>
      <c r="F618" s="29" t="s">
        <v>63</v>
      </c>
      <c r="G618" s="30">
        <v>1.07</v>
      </c>
      <c r="H618" s="49"/>
      <c r="I618" s="49">
        <v>4290.4859999999999</v>
      </c>
      <c r="J618" s="31"/>
      <c r="K618" s="205"/>
      <c r="M618" s="32"/>
      <c r="P618" s="84">
        <v>1384.95</v>
      </c>
      <c r="R618" s="89"/>
      <c r="S618" s="78">
        <f>ROUND(ROUND(P618, 2)*I618, 2)</f>
        <v>5942108.5899999999</v>
      </c>
    </row>
    <row r="619" spans="1:21" ht="36" customHeight="1" x14ac:dyDescent="0.5">
      <c r="A619" s="156" t="s">
        <v>2257</v>
      </c>
      <c r="B619" s="156" t="s">
        <v>1349</v>
      </c>
      <c r="C619" s="187" t="s">
        <v>1350</v>
      </c>
      <c r="D619" s="188"/>
      <c r="E619" s="188"/>
      <c r="F619" s="188"/>
      <c r="G619" s="188"/>
      <c r="H619" s="188"/>
      <c r="I619" s="189"/>
      <c r="K619" s="205"/>
      <c r="M619" s="6"/>
      <c r="N619" s="6"/>
      <c r="O619" s="73"/>
      <c r="P619" s="81"/>
      <c r="R619" s="89"/>
      <c r="S619" s="76">
        <f>SUM(S620,S629)</f>
        <v>366557.24</v>
      </c>
      <c r="T619" s="6">
        <f>SUM(T620,T629)</f>
        <v>5871701.2699999996</v>
      </c>
      <c r="U619" s="6">
        <f>SUM(U620,U629)</f>
        <v>6238258.5099999998</v>
      </c>
    </row>
    <row r="620" spans="1:21" ht="40" customHeight="1" x14ac:dyDescent="0.5">
      <c r="A620" s="156" t="s">
        <v>2258</v>
      </c>
      <c r="B620" s="156" t="s">
        <v>1352</v>
      </c>
      <c r="C620" s="187" t="s">
        <v>1353</v>
      </c>
      <c r="D620" s="188"/>
      <c r="E620" s="188"/>
      <c r="F620" s="188"/>
      <c r="G620" s="188"/>
      <c r="H620" s="188"/>
      <c r="I620" s="189"/>
      <c r="K620" s="205"/>
      <c r="M620" s="6"/>
      <c r="N620" s="6"/>
      <c r="O620" s="73"/>
      <c r="P620" s="81"/>
      <c r="R620" s="89"/>
      <c r="S620" s="76">
        <f>SUM(S621,S626)</f>
        <v>308123.73</v>
      </c>
      <c r="T620" s="6">
        <f>SUM(T621,T626)</f>
        <v>2981260.5999999996</v>
      </c>
      <c r="U620" s="6">
        <f>SUM(U621,U626)</f>
        <v>3289384.33</v>
      </c>
    </row>
    <row r="621" spans="1:21" ht="94" customHeight="1" x14ac:dyDescent="0.35">
      <c r="A621" s="109" t="s">
        <v>2259</v>
      </c>
      <c r="B621" s="109" t="s">
        <v>1355</v>
      </c>
      <c r="C621" s="92" t="s">
        <v>1356</v>
      </c>
      <c r="D621" s="93"/>
      <c r="E621" s="93" t="s">
        <v>1360</v>
      </c>
      <c r="F621" s="93" t="s">
        <v>63</v>
      </c>
      <c r="G621" s="94">
        <v>1</v>
      </c>
      <c r="H621" s="94"/>
      <c r="I621" s="94">
        <v>1500.7</v>
      </c>
      <c r="J621" s="95"/>
      <c r="K621" s="206"/>
      <c r="L621" s="95"/>
      <c r="M621" s="95"/>
      <c r="N621" s="95"/>
      <c r="O621" s="96"/>
      <c r="P621" s="97">
        <f>IFERROR(ROUND(SUM(S622,S623,S624,S625)/I621, 2),0)</f>
        <v>170.27</v>
      </c>
      <c r="Q621" s="98">
        <v>1211.26</v>
      </c>
      <c r="R621" s="87">
        <f>P621+ROUND(Q621, 2)</f>
        <v>1381.53</v>
      </c>
      <c r="S621" s="99">
        <f>ROUND(P621*I621, 2)</f>
        <v>255524.19</v>
      </c>
      <c r="T621" s="95">
        <f>ROUND(I621*ROUND(Q621, 2), 2)</f>
        <v>1817737.88</v>
      </c>
      <c r="U621" s="95">
        <f>S621+T621</f>
        <v>2073262.0699999998</v>
      </c>
    </row>
    <row r="622" spans="1:21" ht="21" hidden="1" x14ac:dyDescent="0.5">
      <c r="A622" s="10" t="s">
        <v>2260</v>
      </c>
      <c r="B622" s="10"/>
      <c r="C622" s="28" t="s">
        <v>1196</v>
      </c>
      <c r="D622" s="12"/>
      <c r="E622" s="12"/>
      <c r="F622" s="29" t="s">
        <v>498</v>
      </c>
      <c r="G622" s="30">
        <v>1.3</v>
      </c>
      <c r="H622" s="49"/>
      <c r="I622" s="49">
        <v>19509.099999999999</v>
      </c>
      <c r="J622" s="31"/>
      <c r="K622" s="205"/>
      <c r="M622" s="32"/>
      <c r="P622" s="84">
        <v>8.6</v>
      </c>
      <c r="R622" s="89"/>
      <c r="S622" s="78">
        <f>ROUND(ROUND(P622, 2)*I622, 2)</f>
        <v>167778.26</v>
      </c>
    </row>
    <row r="623" spans="1:21" ht="21" hidden="1" x14ac:dyDescent="0.5">
      <c r="A623" s="10" t="s">
        <v>2263</v>
      </c>
      <c r="B623" s="10"/>
      <c r="C623" s="28" t="s">
        <v>1203</v>
      </c>
      <c r="D623" s="12"/>
      <c r="E623" s="12"/>
      <c r="F623" s="29" t="s">
        <v>63</v>
      </c>
      <c r="G623" s="30">
        <v>1.1000000000000001</v>
      </c>
      <c r="H623" s="49"/>
      <c r="I623" s="49">
        <v>1650.77</v>
      </c>
      <c r="J623" s="31"/>
      <c r="K623" s="205"/>
      <c r="M623" s="32"/>
      <c r="P623" s="84">
        <v>26</v>
      </c>
      <c r="R623" s="89"/>
      <c r="S623" s="78">
        <f>ROUND(ROUND(P623, 2)*I623, 2)</f>
        <v>42920.02</v>
      </c>
    </row>
    <row r="624" spans="1:21" ht="21" hidden="1" x14ac:dyDescent="0.5">
      <c r="A624" s="10" t="s">
        <v>2266</v>
      </c>
      <c r="B624" s="10"/>
      <c r="C624" s="28" t="s">
        <v>1210</v>
      </c>
      <c r="D624" s="12"/>
      <c r="E624" s="12"/>
      <c r="F624" s="29" t="s">
        <v>78</v>
      </c>
      <c r="G624" s="30">
        <v>1.05</v>
      </c>
      <c r="H624" s="49"/>
      <c r="I624" s="49">
        <v>1575.7349999999999</v>
      </c>
      <c r="J624" s="31"/>
      <c r="K624" s="205"/>
      <c r="M624" s="32"/>
      <c r="P624" s="84">
        <v>15.76</v>
      </c>
      <c r="R624" s="89"/>
      <c r="S624" s="78">
        <f>ROUND(ROUND(P624, 2)*I624, 2)</f>
        <v>24833.58</v>
      </c>
    </row>
    <row r="625" spans="1:21" ht="36" hidden="1" x14ac:dyDescent="0.5">
      <c r="A625" s="10" t="s">
        <v>2269</v>
      </c>
      <c r="B625" s="10"/>
      <c r="C625" s="28" t="s">
        <v>544</v>
      </c>
      <c r="D625" s="12"/>
      <c r="E625" s="12"/>
      <c r="F625" s="29" t="s">
        <v>498</v>
      </c>
      <c r="G625" s="30">
        <v>0.15</v>
      </c>
      <c r="H625" s="30"/>
      <c r="I625" s="30">
        <v>225.10499999999999</v>
      </c>
      <c r="J625" s="31"/>
      <c r="K625" s="205"/>
      <c r="M625" s="32"/>
      <c r="P625" s="84">
        <v>88.8</v>
      </c>
      <c r="R625" s="89"/>
      <c r="S625" s="78">
        <f>ROUND(ROUND(P625, 2)*I625, 2)</f>
        <v>19989.32</v>
      </c>
    </row>
    <row r="626" spans="1:21" ht="52" customHeight="1" x14ac:dyDescent="0.35">
      <c r="A626" s="91" t="s">
        <v>2272</v>
      </c>
      <c r="B626" s="91" t="s">
        <v>1395</v>
      </c>
      <c r="C626" s="92" t="s">
        <v>1396</v>
      </c>
      <c r="D626" s="93"/>
      <c r="E626" s="93" t="s">
        <v>1360</v>
      </c>
      <c r="F626" s="93" t="s">
        <v>63</v>
      </c>
      <c r="G626" s="94">
        <v>1</v>
      </c>
      <c r="H626" s="94"/>
      <c r="I626" s="94">
        <v>1500.7</v>
      </c>
      <c r="J626" s="95"/>
      <c r="K626" s="206"/>
      <c r="L626" s="95"/>
      <c r="M626" s="95"/>
      <c r="N626" s="95"/>
      <c r="O626" s="96"/>
      <c r="P626" s="97">
        <f>IFERROR(ROUND(SUM(S627,S628)/I626, 2),0)</f>
        <v>35.049999999999997</v>
      </c>
      <c r="Q626" s="98">
        <v>775.32</v>
      </c>
      <c r="R626" s="90">
        <f>P626+ROUND(Q626, 2)</f>
        <v>810.37</v>
      </c>
      <c r="S626" s="99">
        <f>ROUND(P626*I626, 2)</f>
        <v>52599.54</v>
      </c>
      <c r="T626" s="95">
        <f>ROUND(I626*ROUND(Q626, 2), 2)</f>
        <v>1163522.72</v>
      </c>
      <c r="U626" s="95">
        <f>S626+T626</f>
        <v>1216122.26</v>
      </c>
    </row>
    <row r="627" spans="1:21" ht="54" hidden="1" x14ac:dyDescent="0.5">
      <c r="A627" s="10" t="s">
        <v>2273</v>
      </c>
      <c r="B627" s="10"/>
      <c r="C627" s="47" t="s">
        <v>1401</v>
      </c>
      <c r="D627" s="12"/>
      <c r="E627" s="12"/>
      <c r="F627" s="29" t="s">
        <v>498</v>
      </c>
      <c r="G627" s="30">
        <v>1.8</v>
      </c>
      <c r="H627" s="30"/>
      <c r="I627" s="30">
        <v>2701.26</v>
      </c>
      <c r="J627" s="31"/>
      <c r="K627" s="205"/>
      <c r="M627" s="32"/>
      <c r="P627" s="84">
        <v>12.07</v>
      </c>
      <c r="R627" s="89"/>
      <c r="S627" s="78">
        <f>ROUND(ROUND(P627, 2)*I627, 2)</f>
        <v>32604.21</v>
      </c>
    </row>
    <row r="628" spans="1:21" ht="36" hidden="1" x14ac:dyDescent="0.5">
      <c r="A628" s="10" t="s">
        <v>2276</v>
      </c>
      <c r="B628" s="10"/>
      <c r="C628" s="28" t="s">
        <v>544</v>
      </c>
      <c r="D628" s="12"/>
      <c r="E628" s="12"/>
      <c r="F628" s="29" t="s">
        <v>498</v>
      </c>
      <c r="G628" s="30">
        <v>0.15</v>
      </c>
      <c r="H628" s="30"/>
      <c r="I628" s="30">
        <v>225.10499999999999</v>
      </c>
      <c r="J628" s="31"/>
      <c r="K628" s="205"/>
      <c r="M628" s="32"/>
      <c r="P628" s="84">
        <v>88.8</v>
      </c>
      <c r="R628" s="89"/>
      <c r="S628" s="78">
        <f>ROUND(ROUND(P628, 2)*I628, 2)</f>
        <v>19989.32</v>
      </c>
    </row>
    <row r="629" spans="1:21" ht="49" customHeight="1" x14ac:dyDescent="0.5">
      <c r="A629" s="156" t="s">
        <v>2279</v>
      </c>
      <c r="B629" s="156" t="s">
        <v>1420</v>
      </c>
      <c r="C629" s="187" t="s">
        <v>1421</v>
      </c>
      <c r="D629" s="188"/>
      <c r="E629" s="188"/>
      <c r="F629" s="188"/>
      <c r="G629" s="188"/>
      <c r="H629" s="188"/>
      <c r="I629" s="189"/>
      <c r="K629" s="205"/>
      <c r="M629" s="6"/>
      <c r="N629" s="6"/>
      <c r="O629" s="73"/>
      <c r="P629" s="81"/>
      <c r="R629" s="89"/>
      <c r="S629" s="76">
        <f>SUM(S630,S633,S636,S639)</f>
        <v>58433.51</v>
      </c>
      <c r="T629" s="6">
        <f>SUM(T630,T633,T636,T639)</f>
        <v>2890440.67</v>
      </c>
      <c r="U629" s="6">
        <f>SUM(U630,U633,U636,U639)</f>
        <v>2948874.18</v>
      </c>
    </row>
    <row r="630" spans="1:21" ht="52" customHeight="1" x14ac:dyDescent="0.35">
      <c r="A630" s="91" t="s">
        <v>2280</v>
      </c>
      <c r="B630" s="91" t="s">
        <v>1423</v>
      </c>
      <c r="C630" s="92" t="s">
        <v>1424</v>
      </c>
      <c r="D630" s="93"/>
      <c r="E630" s="93" t="s">
        <v>1428</v>
      </c>
      <c r="F630" s="93" t="s">
        <v>63</v>
      </c>
      <c r="G630" s="94">
        <v>1</v>
      </c>
      <c r="H630" s="94"/>
      <c r="I630" s="94">
        <v>2326.3000000000002</v>
      </c>
      <c r="J630" s="95"/>
      <c r="K630" s="206"/>
      <c r="L630" s="95"/>
      <c r="M630" s="95"/>
      <c r="N630" s="95"/>
      <c r="O630" s="96"/>
      <c r="P630" s="97">
        <f>IFERROR(ROUND(SUM(S631,S632)/I630, 2),0)</f>
        <v>13.32</v>
      </c>
      <c r="Q630" s="98">
        <v>658.88</v>
      </c>
      <c r="R630" s="90">
        <f>P630+ROUND(Q630, 2)</f>
        <v>672.2</v>
      </c>
      <c r="S630" s="99">
        <f>ROUND(P630*I630, 2)</f>
        <v>30986.32</v>
      </c>
      <c r="T630" s="95">
        <f>ROUND(I630*ROUND(Q630, 2), 2)</f>
        <v>1532752.54</v>
      </c>
      <c r="U630" s="95">
        <f>S630+T630</f>
        <v>1563738.86</v>
      </c>
    </row>
    <row r="631" spans="1:21" ht="126" hidden="1" x14ac:dyDescent="0.5">
      <c r="A631" s="10" t="s">
        <v>2281</v>
      </c>
      <c r="B631" s="10"/>
      <c r="C631" s="28" t="s">
        <v>1430</v>
      </c>
      <c r="D631" s="12"/>
      <c r="E631" s="12" t="s">
        <v>1435</v>
      </c>
      <c r="F631" s="29" t="s">
        <v>498</v>
      </c>
      <c r="G631" s="30">
        <v>0.4</v>
      </c>
      <c r="H631" s="30"/>
      <c r="I631" s="30">
        <v>930.52</v>
      </c>
      <c r="J631" s="31"/>
      <c r="K631" s="205"/>
      <c r="M631" s="32"/>
      <c r="P631" s="84">
        <v>0</v>
      </c>
      <c r="R631" s="89"/>
      <c r="S631" s="78">
        <f>ROUND(ROUND(P631, 2)*I631, 2)</f>
        <v>0</v>
      </c>
    </row>
    <row r="632" spans="1:21" ht="36" hidden="1" x14ac:dyDescent="0.5">
      <c r="A632" s="10" t="s">
        <v>2284</v>
      </c>
      <c r="B632" s="10"/>
      <c r="C632" s="28" t="s">
        <v>925</v>
      </c>
      <c r="D632" s="12"/>
      <c r="E632" s="12"/>
      <c r="F632" s="29" t="s">
        <v>498</v>
      </c>
      <c r="G632" s="30">
        <v>0.15</v>
      </c>
      <c r="H632" s="30"/>
      <c r="I632" s="30">
        <v>348.94499999999999</v>
      </c>
      <c r="J632" s="31"/>
      <c r="K632" s="205"/>
      <c r="M632" s="32"/>
      <c r="P632" s="84">
        <v>88.8</v>
      </c>
      <c r="R632" s="89"/>
      <c r="S632" s="78">
        <f>ROUND(ROUND(P632, 2)*I632, 2)</f>
        <v>30986.32</v>
      </c>
    </row>
    <row r="633" spans="1:21" ht="62" customHeight="1" x14ac:dyDescent="0.35">
      <c r="A633" s="109" t="s">
        <v>2287</v>
      </c>
      <c r="B633" s="109" t="s">
        <v>1423</v>
      </c>
      <c r="C633" s="92" t="s">
        <v>1424</v>
      </c>
      <c r="D633" s="93"/>
      <c r="E633" s="93" t="s">
        <v>1472</v>
      </c>
      <c r="F633" s="93" t="s">
        <v>63</v>
      </c>
      <c r="G633" s="94">
        <v>1</v>
      </c>
      <c r="H633" s="94"/>
      <c r="I633" s="94">
        <v>932.2</v>
      </c>
      <c r="J633" s="95"/>
      <c r="K633" s="206"/>
      <c r="L633" s="95"/>
      <c r="M633" s="95"/>
      <c r="N633" s="95"/>
      <c r="O633" s="96"/>
      <c r="P633" s="97">
        <f>IFERROR(ROUND(SUM(S634,S635)/I633, 2),0)</f>
        <v>13.32</v>
      </c>
      <c r="Q633" s="98">
        <v>658.88</v>
      </c>
      <c r="R633" s="87">
        <f>P633+ROUND(Q633, 2)</f>
        <v>672.2</v>
      </c>
      <c r="S633" s="99">
        <f>ROUND(P633*I633, 2)</f>
        <v>12416.9</v>
      </c>
      <c r="T633" s="95">
        <f>ROUND(I633*ROUND(Q633, 2), 2)</f>
        <v>614207.93999999994</v>
      </c>
      <c r="U633" s="95">
        <f>S633+T633</f>
        <v>626624.84</v>
      </c>
    </row>
    <row r="634" spans="1:21" ht="36" hidden="1" x14ac:dyDescent="0.5">
      <c r="A634" s="10" t="s">
        <v>2288</v>
      </c>
      <c r="B634" s="10"/>
      <c r="C634" s="28" t="s">
        <v>925</v>
      </c>
      <c r="D634" s="12"/>
      <c r="E634" s="12"/>
      <c r="F634" s="29" t="s">
        <v>498</v>
      </c>
      <c r="G634" s="30">
        <v>0.15</v>
      </c>
      <c r="H634" s="30"/>
      <c r="I634" s="30">
        <v>139.83000000000001</v>
      </c>
      <c r="J634" s="31"/>
      <c r="K634" s="205"/>
      <c r="M634" s="32"/>
      <c r="P634" s="84">
        <v>88.8</v>
      </c>
      <c r="R634" s="89"/>
      <c r="S634" s="78">
        <f>ROUND(ROUND(P634, 2)*I634, 2)</f>
        <v>12416.9</v>
      </c>
    </row>
    <row r="635" spans="1:21" ht="72" hidden="1" x14ac:dyDescent="0.5">
      <c r="A635" s="10" t="s">
        <v>2291</v>
      </c>
      <c r="B635" s="10"/>
      <c r="C635" s="28" t="s">
        <v>1430</v>
      </c>
      <c r="D635" s="12"/>
      <c r="E635" s="12" t="s">
        <v>1482</v>
      </c>
      <c r="F635" s="29" t="s">
        <v>498</v>
      </c>
      <c r="G635" s="30">
        <v>0.4</v>
      </c>
      <c r="H635" s="30"/>
      <c r="I635" s="30">
        <v>372.88</v>
      </c>
      <c r="J635" s="31"/>
      <c r="K635" s="205"/>
      <c r="M635" s="32"/>
      <c r="P635" s="84">
        <v>0</v>
      </c>
      <c r="R635" s="89"/>
      <c r="S635" s="78">
        <f>ROUND(ROUND(P635, 2)*I635, 2)</f>
        <v>0</v>
      </c>
    </row>
    <row r="636" spans="1:21" ht="52" customHeight="1" x14ac:dyDescent="0.35">
      <c r="A636" s="91" t="s">
        <v>2294</v>
      </c>
      <c r="B636" s="91" t="s">
        <v>1423</v>
      </c>
      <c r="C636" s="92" t="s">
        <v>1424</v>
      </c>
      <c r="D636" s="93"/>
      <c r="E636" s="93" t="s">
        <v>1458</v>
      </c>
      <c r="F636" s="93" t="s">
        <v>63</v>
      </c>
      <c r="G636" s="94">
        <v>1</v>
      </c>
      <c r="H636" s="94"/>
      <c r="I636" s="94">
        <v>568.5</v>
      </c>
      <c r="J636" s="95"/>
      <c r="K636" s="206"/>
      <c r="L636" s="95"/>
      <c r="M636" s="95"/>
      <c r="N636" s="95"/>
      <c r="O636" s="96"/>
      <c r="P636" s="97">
        <f>IFERROR(ROUND(SUM(S637,S638)/I636, 2),0)</f>
        <v>13.32</v>
      </c>
      <c r="Q636" s="98">
        <v>658.88</v>
      </c>
      <c r="R636" s="90">
        <f>P636+ROUND(Q636, 2)</f>
        <v>672.2</v>
      </c>
      <c r="S636" s="99">
        <f>ROUND(P636*I636, 2)</f>
        <v>7572.42</v>
      </c>
      <c r="T636" s="95">
        <f>ROUND(I636*ROUND(Q636, 2), 2)</f>
        <v>374573.28</v>
      </c>
      <c r="U636" s="95">
        <f>S636+T636</f>
        <v>382145.7</v>
      </c>
    </row>
    <row r="637" spans="1:21" ht="72" hidden="1" x14ac:dyDescent="0.5">
      <c r="A637" s="10" t="s">
        <v>2295</v>
      </c>
      <c r="B637" s="10"/>
      <c r="C637" s="28" t="s">
        <v>1430</v>
      </c>
      <c r="D637" s="12"/>
      <c r="E637" s="12" t="s">
        <v>1463</v>
      </c>
      <c r="F637" s="29" t="s">
        <v>498</v>
      </c>
      <c r="G637" s="30">
        <v>0.4</v>
      </c>
      <c r="H637" s="30"/>
      <c r="I637" s="30">
        <v>227.4</v>
      </c>
      <c r="J637" s="31"/>
      <c r="K637" s="205"/>
      <c r="M637" s="32"/>
      <c r="P637" s="84">
        <v>0</v>
      </c>
      <c r="R637" s="89"/>
      <c r="S637" s="78">
        <f>ROUND(ROUND(P637, 2)*I637, 2)</f>
        <v>0</v>
      </c>
    </row>
    <row r="638" spans="1:21" ht="36" hidden="1" x14ac:dyDescent="0.5">
      <c r="A638" s="10" t="s">
        <v>2298</v>
      </c>
      <c r="B638" s="10"/>
      <c r="C638" s="28" t="s">
        <v>925</v>
      </c>
      <c r="D638" s="12"/>
      <c r="E638" s="12"/>
      <c r="F638" s="29" t="s">
        <v>498</v>
      </c>
      <c r="G638" s="30">
        <v>0.15</v>
      </c>
      <c r="H638" s="30"/>
      <c r="I638" s="30">
        <v>85.275000000000006</v>
      </c>
      <c r="J638" s="31"/>
      <c r="K638" s="205"/>
      <c r="M638" s="32"/>
      <c r="P638" s="84">
        <v>88.8</v>
      </c>
      <c r="R638" s="89"/>
      <c r="S638" s="78">
        <f>ROUND(ROUND(P638, 2)*I638, 2)</f>
        <v>7572.42</v>
      </c>
    </row>
    <row r="639" spans="1:21" ht="42" customHeight="1" x14ac:dyDescent="0.35">
      <c r="A639" s="109" t="s">
        <v>2301</v>
      </c>
      <c r="B639" s="109" t="s">
        <v>1423</v>
      </c>
      <c r="C639" s="92" t="s">
        <v>1424</v>
      </c>
      <c r="D639" s="93"/>
      <c r="E639" s="93" t="s">
        <v>1444</v>
      </c>
      <c r="F639" s="93" t="s">
        <v>63</v>
      </c>
      <c r="G639" s="94">
        <v>1</v>
      </c>
      <c r="H639" s="94"/>
      <c r="I639" s="94">
        <v>559.9</v>
      </c>
      <c r="J639" s="95"/>
      <c r="K639" s="206"/>
      <c r="L639" s="95"/>
      <c r="M639" s="95"/>
      <c r="N639" s="95"/>
      <c r="O639" s="96"/>
      <c r="P639" s="97">
        <f>IFERROR(ROUND(SUM(S640,S641)/I639, 2),0)</f>
        <v>13.32</v>
      </c>
      <c r="Q639" s="98">
        <v>658.88</v>
      </c>
      <c r="R639" s="87">
        <f>P639+ROUND(Q639, 2)</f>
        <v>672.2</v>
      </c>
      <c r="S639" s="99">
        <f>ROUND(P639*I639, 2)</f>
        <v>7457.87</v>
      </c>
      <c r="T639" s="95">
        <f>ROUND(I639*ROUND(Q639, 2), 2)</f>
        <v>368906.91</v>
      </c>
      <c r="U639" s="95">
        <f>S639+T639</f>
        <v>376364.77999999997</v>
      </c>
    </row>
    <row r="640" spans="1:21" ht="36" hidden="1" x14ac:dyDescent="0.5">
      <c r="A640" s="10" t="s">
        <v>2302</v>
      </c>
      <c r="B640" s="10"/>
      <c r="C640" s="28" t="s">
        <v>925</v>
      </c>
      <c r="D640" s="12"/>
      <c r="E640" s="12"/>
      <c r="F640" s="29" t="s">
        <v>498</v>
      </c>
      <c r="G640" s="30">
        <v>0.15</v>
      </c>
      <c r="H640" s="30"/>
      <c r="I640" s="30">
        <v>83.984999999999999</v>
      </c>
      <c r="J640" s="31"/>
      <c r="K640" s="205"/>
      <c r="M640" s="32"/>
      <c r="P640" s="84">
        <v>88.8</v>
      </c>
      <c r="R640" s="89"/>
      <c r="S640" s="78">
        <f>ROUND(ROUND(P640, 2)*I640, 2)</f>
        <v>7457.87</v>
      </c>
    </row>
    <row r="641" spans="1:21" ht="72" hidden="1" x14ac:dyDescent="0.5">
      <c r="A641" s="10" t="s">
        <v>2305</v>
      </c>
      <c r="B641" s="10"/>
      <c r="C641" s="28" t="s">
        <v>1430</v>
      </c>
      <c r="D641" s="12"/>
      <c r="E641" s="12" t="s">
        <v>1454</v>
      </c>
      <c r="F641" s="29" t="s">
        <v>498</v>
      </c>
      <c r="G641" s="30">
        <v>0.4</v>
      </c>
      <c r="H641" s="30"/>
      <c r="I641" s="30">
        <v>223.96</v>
      </c>
      <c r="J641" s="31"/>
      <c r="K641" s="205"/>
      <c r="M641" s="32"/>
      <c r="P641" s="84">
        <v>0</v>
      </c>
      <c r="R641" s="89"/>
      <c r="S641" s="78">
        <f>ROUND(ROUND(P641, 2)*I641, 2)</f>
        <v>0</v>
      </c>
    </row>
    <row r="642" spans="1:21" ht="46" customHeight="1" x14ac:dyDescent="0.5">
      <c r="A642" s="156" t="s">
        <v>2308</v>
      </c>
      <c r="B642" s="156" t="s">
        <v>1513</v>
      </c>
      <c r="C642" s="187" t="s">
        <v>1514</v>
      </c>
      <c r="D642" s="188"/>
      <c r="E642" s="188"/>
      <c r="F642" s="188"/>
      <c r="G642" s="188"/>
      <c r="H642" s="188"/>
      <c r="I642" s="189"/>
      <c r="K642" s="205"/>
      <c r="M642" s="6"/>
      <c r="N642" s="6"/>
      <c r="O642" s="73"/>
      <c r="P642" s="81"/>
      <c r="R642" s="89"/>
      <c r="S642" s="76">
        <f>SUM(S643,S645,S647,S648,S659,S669,S680)</f>
        <v>9421458.2300000004</v>
      </c>
      <c r="T642" s="6">
        <f>SUM(T643,T645,T647,T648,T659,T669,T680)</f>
        <v>8062636.46</v>
      </c>
      <c r="U642" s="6">
        <f>SUM(U643,U645,U647,U648,U659,U669,U680)</f>
        <v>17484094.690000005</v>
      </c>
    </row>
    <row r="643" spans="1:21" ht="127" customHeight="1" x14ac:dyDescent="0.35">
      <c r="A643" s="91" t="s">
        <v>2309</v>
      </c>
      <c r="B643" s="91" t="s">
        <v>1516</v>
      </c>
      <c r="C643" s="92" t="s">
        <v>1517</v>
      </c>
      <c r="D643" s="93"/>
      <c r="E643" s="93" t="s">
        <v>2310</v>
      </c>
      <c r="F643" s="93" t="s">
        <v>63</v>
      </c>
      <c r="G643" s="94">
        <v>1</v>
      </c>
      <c r="H643" s="94"/>
      <c r="I643" s="94">
        <v>1034.5</v>
      </c>
      <c r="J643" s="95"/>
      <c r="K643" s="206"/>
      <c r="L643" s="95"/>
      <c r="M643" s="95"/>
      <c r="N643" s="95"/>
      <c r="O643" s="96"/>
      <c r="P643" s="97">
        <f>IFERROR(ROUND(SUM(S644)/I643, 2),0)</f>
        <v>7126.9</v>
      </c>
      <c r="Q643" s="98">
        <v>1188.54</v>
      </c>
      <c r="R643" s="90">
        <f>P643+ROUND(Q643, 2)</f>
        <v>8315.4399999999987</v>
      </c>
      <c r="S643" s="99">
        <f>ROUND(P643*I643, 2)</f>
        <v>7372778.0499999998</v>
      </c>
      <c r="T643" s="95">
        <f>ROUND(I643*ROUND(Q643, 2), 2)</f>
        <v>1229544.6299999999</v>
      </c>
      <c r="U643" s="95">
        <f>S643+T643</f>
        <v>8602322.6799999997</v>
      </c>
    </row>
    <row r="644" spans="1:21" ht="37" hidden="1" customHeight="1" x14ac:dyDescent="0.5">
      <c r="A644" s="10" t="s">
        <v>2311</v>
      </c>
      <c r="B644" s="10"/>
      <c r="C644" s="28" t="s">
        <v>1523</v>
      </c>
      <c r="D644" s="12"/>
      <c r="E644" s="12"/>
      <c r="F644" s="29" t="s">
        <v>63</v>
      </c>
      <c r="G644" s="30">
        <v>1.1000000000000001</v>
      </c>
      <c r="H644" s="49"/>
      <c r="I644" s="49">
        <v>1137.95</v>
      </c>
      <c r="J644" s="31"/>
      <c r="K644" s="205"/>
      <c r="M644" s="32"/>
      <c r="P644" s="84">
        <v>6479</v>
      </c>
      <c r="R644" s="89"/>
      <c r="S644" s="78">
        <f>ROUND(ROUND(P644, 2)*I644, 2)</f>
        <v>7372778.0499999998</v>
      </c>
    </row>
    <row r="645" spans="1:21" ht="141.5" customHeight="1" x14ac:dyDescent="0.35">
      <c r="A645" s="91" t="s">
        <v>2314</v>
      </c>
      <c r="B645" s="91" t="s">
        <v>1516</v>
      </c>
      <c r="C645" s="92" t="s">
        <v>1517</v>
      </c>
      <c r="D645" s="93"/>
      <c r="E645" s="93" t="s">
        <v>1531</v>
      </c>
      <c r="F645" s="93" t="s">
        <v>63</v>
      </c>
      <c r="G645" s="94">
        <v>1</v>
      </c>
      <c r="H645" s="94"/>
      <c r="I645" s="94">
        <v>180.2</v>
      </c>
      <c r="J645" s="95"/>
      <c r="K645" s="206"/>
      <c r="L645" s="95"/>
      <c r="M645" s="95"/>
      <c r="N645" s="95"/>
      <c r="O645" s="96"/>
      <c r="P645" s="97">
        <f>IFERROR(ROUND(SUM(S646)/I645, 2),0)</f>
        <v>1280.4000000000001</v>
      </c>
      <c r="Q645" s="98">
        <v>1188.54</v>
      </c>
      <c r="R645" s="90">
        <f>P645+ROUND(Q645, 2)</f>
        <v>2468.94</v>
      </c>
      <c r="S645" s="99">
        <f>ROUND(P645*I645, 2)</f>
        <v>230728.08</v>
      </c>
      <c r="T645" s="95">
        <f>ROUND(I645*ROUND(Q645, 2), 2)</f>
        <v>214174.91</v>
      </c>
      <c r="U645" s="95">
        <f>S645+T645</f>
        <v>444902.99</v>
      </c>
    </row>
    <row r="646" spans="1:21" ht="20" hidden="1" customHeight="1" x14ac:dyDescent="0.5">
      <c r="A646" s="10" t="s">
        <v>2315</v>
      </c>
      <c r="B646" s="10"/>
      <c r="C646" s="28" t="s">
        <v>1533</v>
      </c>
      <c r="D646" s="12"/>
      <c r="E646" s="12"/>
      <c r="F646" s="29" t="s">
        <v>63</v>
      </c>
      <c r="G646" s="30">
        <v>1.1000000000000001</v>
      </c>
      <c r="H646" s="49"/>
      <c r="I646" s="49">
        <v>198.22</v>
      </c>
      <c r="J646" s="31"/>
      <c r="K646" s="205"/>
      <c r="M646" s="32"/>
      <c r="P646" s="84">
        <v>1164</v>
      </c>
      <c r="R646" s="89"/>
      <c r="S646" s="78">
        <f>ROUND(ROUND(P646, 2)*I646, 2)</f>
        <v>230728.08</v>
      </c>
    </row>
    <row r="647" spans="1:21" ht="91" customHeight="1" x14ac:dyDescent="0.35">
      <c r="A647" s="91" t="s">
        <v>2318</v>
      </c>
      <c r="B647" s="91" t="s">
        <v>1548</v>
      </c>
      <c r="C647" s="92" t="s">
        <v>1549</v>
      </c>
      <c r="D647" s="93"/>
      <c r="E647" s="93"/>
      <c r="F647" s="93" t="s">
        <v>63</v>
      </c>
      <c r="G647" s="94">
        <v>1</v>
      </c>
      <c r="H647" s="94"/>
      <c r="I647" s="94">
        <v>4271.5</v>
      </c>
      <c r="J647" s="95"/>
      <c r="K647" s="206"/>
      <c r="L647" s="95"/>
      <c r="M647" s="95"/>
      <c r="N647" s="95"/>
      <c r="O647" s="96"/>
      <c r="P647" s="97">
        <v>0</v>
      </c>
      <c r="Q647" s="98">
        <v>171.82</v>
      </c>
      <c r="R647" s="90">
        <f>P647+ROUND(Q647, 2)</f>
        <v>171.82</v>
      </c>
      <c r="S647" s="99">
        <v>0</v>
      </c>
      <c r="T647" s="95">
        <f>ROUND(I647*ROUND(Q647, 2), 2)</f>
        <v>733929.13</v>
      </c>
      <c r="U647" s="95">
        <f>S647+T647</f>
        <v>733929.13</v>
      </c>
    </row>
    <row r="648" spans="1:21" ht="104.5" customHeight="1" x14ac:dyDescent="0.35">
      <c r="A648" s="109" t="s">
        <v>2319</v>
      </c>
      <c r="B648" s="109" t="s">
        <v>1556</v>
      </c>
      <c r="C648" s="92" t="s">
        <v>1557</v>
      </c>
      <c r="D648" s="93"/>
      <c r="E648" s="93" t="s">
        <v>1561</v>
      </c>
      <c r="F648" s="93" t="s">
        <v>63</v>
      </c>
      <c r="G648" s="94">
        <v>1</v>
      </c>
      <c r="H648" s="94"/>
      <c r="I648" s="94">
        <v>2326.3000000000002</v>
      </c>
      <c r="J648" s="95"/>
      <c r="K648" s="206"/>
      <c r="L648" s="95"/>
      <c r="M648" s="95"/>
      <c r="N648" s="95"/>
      <c r="O648" s="96"/>
      <c r="P648" s="97">
        <f>IFERROR(ROUND(SUM(S649,S650,S651,S652,S653,S654,S655,S656,S657,S658)/I648, 2),0)</f>
        <v>584.54999999999995</v>
      </c>
      <c r="Q648" s="98">
        <v>1958.18</v>
      </c>
      <c r="R648" s="87">
        <f>P648+ROUND(Q648, 2)</f>
        <v>2542.73</v>
      </c>
      <c r="S648" s="99">
        <f>ROUND(P648*I648, 2)</f>
        <v>1359838.67</v>
      </c>
      <c r="T648" s="95">
        <f>ROUND(I648*ROUND(Q648, 2), 2)</f>
        <v>4555314.13</v>
      </c>
      <c r="U648" s="95">
        <f>S648+T648</f>
        <v>5915152.7999999998</v>
      </c>
    </row>
    <row r="649" spans="1:21" ht="21" hidden="1" x14ac:dyDescent="0.5">
      <c r="A649" s="10" t="s">
        <v>2320</v>
      </c>
      <c r="B649" s="10"/>
      <c r="C649" s="28" t="s">
        <v>1577</v>
      </c>
      <c r="D649" s="12"/>
      <c r="E649" s="12"/>
      <c r="F649" s="29" t="s">
        <v>490</v>
      </c>
      <c r="G649" s="30">
        <v>0.3</v>
      </c>
      <c r="H649" s="30"/>
      <c r="I649" s="30">
        <v>697.89</v>
      </c>
      <c r="J649" s="31"/>
      <c r="K649" s="205"/>
      <c r="M649" s="32"/>
      <c r="P649" s="84">
        <v>5.6</v>
      </c>
      <c r="R649" s="89"/>
      <c r="S649" s="78">
        <f t="shared" ref="S649:S658" si="10">ROUND(ROUND(P649, 2)*I649, 2)</f>
        <v>3908.18</v>
      </c>
    </row>
    <row r="650" spans="1:21" ht="36" hidden="1" x14ac:dyDescent="0.5">
      <c r="A650" s="10" t="s">
        <v>2323</v>
      </c>
      <c r="B650" s="10"/>
      <c r="C650" s="47" t="s">
        <v>1584</v>
      </c>
      <c r="D650" s="12"/>
      <c r="E650" s="12"/>
      <c r="F650" s="29" t="s">
        <v>490</v>
      </c>
      <c r="G650" s="30">
        <v>3.6</v>
      </c>
      <c r="H650" s="30"/>
      <c r="I650" s="30">
        <v>8374.68</v>
      </c>
      <c r="J650" s="31"/>
      <c r="K650" s="205"/>
      <c r="M650" s="32"/>
      <c r="P650" s="84">
        <v>15.9</v>
      </c>
      <c r="R650" s="89"/>
      <c r="S650" s="78">
        <f t="shared" si="10"/>
        <v>133157.41</v>
      </c>
    </row>
    <row r="651" spans="1:21" ht="21" hidden="1" x14ac:dyDescent="0.5">
      <c r="A651" s="10" t="s">
        <v>2326</v>
      </c>
      <c r="B651" s="10"/>
      <c r="C651" s="28" t="s">
        <v>1563</v>
      </c>
      <c r="D651" s="12"/>
      <c r="E651" s="12"/>
      <c r="F651" s="29" t="s">
        <v>490</v>
      </c>
      <c r="G651" s="30">
        <v>15</v>
      </c>
      <c r="H651" s="30"/>
      <c r="I651" s="30">
        <v>34894.5</v>
      </c>
      <c r="J651" s="31"/>
      <c r="K651" s="205"/>
      <c r="M651" s="32"/>
      <c r="P651" s="84">
        <v>0.95</v>
      </c>
      <c r="R651" s="89"/>
      <c r="S651" s="78">
        <f t="shared" si="10"/>
        <v>33149.78</v>
      </c>
    </row>
    <row r="652" spans="1:21" ht="21" hidden="1" x14ac:dyDescent="0.5">
      <c r="A652" s="10" t="s">
        <v>2329</v>
      </c>
      <c r="B652" s="10"/>
      <c r="C652" s="28" t="s">
        <v>1570</v>
      </c>
      <c r="D652" s="12"/>
      <c r="E652" s="12"/>
      <c r="F652" s="29" t="s">
        <v>498</v>
      </c>
      <c r="G652" s="30">
        <v>0.35</v>
      </c>
      <c r="H652" s="30"/>
      <c r="I652" s="30">
        <v>814.20500000000004</v>
      </c>
      <c r="J652" s="31"/>
      <c r="K652" s="205"/>
      <c r="M652" s="32"/>
      <c r="P652" s="84">
        <v>55</v>
      </c>
      <c r="R652" s="89"/>
      <c r="S652" s="78">
        <f t="shared" si="10"/>
        <v>44781.279999999999</v>
      </c>
    </row>
    <row r="653" spans="1:21" ht="21" hidden="1" x14ac:dyDescent="0.5">
      <c r="A653" s="10" t="s">
        <v>2332</v>
      </c>
      <c r="B653" s="10"/>
      <c r="C653" s="28" t="s">
        <v>1612</v>
      </c>
      <c r="D653" s="12"/>
      <c r="E653" s="12"/>
      <c r="F653" s="29" t="s">
        <v>78</v>
      </c>
      <c r="G653" s="30">
        <v>0.25</v>
      </c>
      <c r="H653" s="30"/>
      <c r="I653" s="30">
        <v>581.57500000000005</v>
      </c>
      <c r="J653" s="31"/>
      <c r="K653" s="205"/>
      <c r="M653" s="32"/>
      <c r="P653" s="84">
        <v>2.8</v>
      </c>
      <c r="R653" s="89"/>
      <c r="S653" s="78">
        <f t="shared" si="10"/>
        <v>1628.41</v>
      </c>
    </row>
    <row r="654" spans="1:21" ht="21" hidden="1" x14ac:dyDescent="0.5">
      <c r="A654" s="10" t="s">
        <v>2335</v>
      </c>
      <c r="B654" s="10"/>
      <c r="C654" s="28" t="s">
        <v>1591</v>
      </c>
      <c r="D654" s="12"/>
      <c r="E654" s="12"/>
      <c r="F654" s="29" t="s">
        <v>78</v>
      </c>
      <c r="G654" s="30">
        <v>1.2</v>
      </c>
      <c r="H654" s="30"/>
      <c r="I654" s="30">
        <v>2791.56</v>
      </c>
      <c r="J654" s="31"/>
      <c r="K654" s="205"/>
      <c r="M654" s="32"/>
      <c r="P654" s="84">
        <v>22.82</v>
      </c>
      <c r="R654" s="89"/>
      <c r="S654" s="78">
        <f t="shared" si="10"/>
        <v>63703.4</v>
      </c>
    </row>
    <row r="655" spans="1:21" ht="21" hidden="1" x14ac:dyDescent="0.5">
      <c r="A655" s="10" t="s">
        <v>2338</v>
      </c>
      <c r="B655" s="10"/>
      <c r="C655" s="28" t="s">
        <v>1598</v>
      </c>
      <c r="D655" s="12"/>
      <c r="E655" s="12"/>
      <c r="F655" s="29" t="s">
        <v>78</v>
      </c>
      <c r="G655" s="30">
        <v>4.7</v>
      </c>
      <c r="H655" s="30"/>
      <c r="I655" s="30">
        <v>10933.61</v>
      </c>
      <c r="J655" s="31"/>
      <c r="K655" s="205"/>
      <c r="M655" s="32"/>
      <c r="P655" s="84">
        <v>66.98</v>
      </c>
      <c r="R655" s="89"/>
      <c r="S655" s="78">
        <f t="shared" si="10"/>
        <v>732333.2</v>
      </c>
    </row>
    <row r="656" spans="1:21" ht="21" hidden="1" x14ac:dyDescent="0.5">
      <c r="A656" s="10" t="s">
        <v>2341</v>
      </c>
      <c r="B656" s="10"/>
      <c r="C656" s="28" t="s">
        <v>1605</v>
      </c>
      <c r="D656" s="12"/>
      <c r="E656" s="12"/>
      <c r="F656" s="29" t="s">
        <v>78</v>
      </c>
      <c r="G656" s="30">
        <v>1.05</v>
      </c>
      <c r="H656" s="30"/>
      <c r="I656" s="30">
        <v>2442.6149999999998</v>
      </c>
      <c r="J656" s="31"/>
      <c r="K656" s="205"/>
      <c r="M656" s="32"/>
      <c r="P656" s="84">
        <v>4.5999999999999996</v>
      </c>
      <c r="R656" s="89"/>
      <c r="S656" s="78">
        <f t="shared" si="10"/>
        <v>11236.03</v>
      </c>
    </row>
    <row r="657" spans="1:21" ht="36" hidden="1" x14ac:dyDescent="0.5">
      <c r="A657" s="10" t="s">
        <v>2344</v>
      </c>
      <c r="B657" s="10"/>
      <c r="C657" s="28" t="s">
        <v>1619</v>
      </c>
      <c r="D657" s="12"/>
      <c r="E657" s="12"/>
      <c r="F657" s="29" t="s">
        <v>63</v>
      </c>
      <c r="G657" s="30">
        <v>1.05</v>
      </c>
      <c r="H657" s="30"/>
      <c r="I657" s="30">
        <v>2442.6149999999998</v>
      </c>
      <c r="J657" s="31"/>
      <c r="K657" s="205"/>
      <c r="M657" s="32"/>
      <c r="P657" s="84">
        <v>135.53</v>
      </c>
      <c r="R657" s="89"/>
      <c r="S657" s="78">
        <f t="shared" si="10"/>
        <v>331047.61</v>
      </c>
    </row>
    <row r="658" spans="1:21" ht="21" hidden="1" x14ac:dyDescent="0.5">
      <c r="A658" s="10" t="s">
        <v>2347</v>
      </c>
      <c r="B658" s="10"/>
      <c r="C658" s="28" t="s">
        <v>1626</v>
      </c>
      <c r="D658" s="12"/>
      <c r="E658" s="12"/>
      <c r="F658" s="29" t="s">
        <v>490</v>
      </c>
      <c r="G658" s="30">
        <v>0.75</v>
      </c>
      <c r="H658" s="30"/>
      <c r="I658" s="30">
        <v>1744.7249999999999</v>
      </c>
      <c r="J658" s="31"/>
      <c r="K658" s="205"/>
      <c r="M658" s="32"/>
      <c r="P658" s="84">
        <v>2.8</v>
      </c>
      <c r="R658" s="89"/>
      <c r="S658" s="78">
        <f t="shared" si="10"/>
        <v>4885.2299999999996</v>
      </c>
    </row>
    <row r="659" spans="1:21" ht="75.5" customHeight="1" x14ac:dyDescent="0.35">
      <c r="A659" s="109" t="s">
        <v>2350</v>
      </c>
      <c r="B659" s="109" t="s">
        <v>1556</v>
      </c>
      <c r="C659" s="92" t="s">
        <v>1557</v>
      </c>
      <c r="D659" s="93"/>
      <c r="E659" s="93" t="s">
        <v>1687</v>
      </c>
      <c r="F659" s="93" t="s">
        <v>63</v>
      </c>
      <c r="G659" s="94">
        <v>1</v>
      </c>
      <c r="H659" s="94"/>
      <c r="I659" s="94">
        <v>105.5</v>
      </c>
      <c r="J659" s="95"/>
      <c r="K659" s="206"/>
      <c r="L659" s="95"/>
      <c r="M659" s="95"/>
      <c r="N659" s="95"/>
      <c r="O659" s="96"/>
      <c r="P659" s="97">
        <f>IFERROR(ROUND(SUM(S660,S661,S662,S663,S664,S665,S666,S667,S668)/I659, 2),0)</f>
        <v>440.56</v>
      </c>
      <c r="Q659" s="98">
        <v>1958.18</v>
      </c>
      <c r="R659" s="87">
        <f>P659+ROUND(Q659, 2)</f>
        <v>2398.7400000000002</v>
      </c>
      <c r="S659" s="99">
        <f>ROUND(P659*I659, 2)</f>
        <v>46479.08</v>
      </c>
      <c r="T659" s="95">
        <f>ROUND(I659*ROUND(Q659, 2), 2)</f>
        <v>206587.99</v>
      </c>
      <c r="U659" s="95">
        <f>S659+T659</f>
        <v>253067.07</v>
      </c>
    </row>
    <row r="660" spans="1:21" ht="21" hidden="1" x14ac:dyDescent="0.5">
      <c r="A660" s="10" t="s">
        <v>2351</v>
      </c>
      <c r="B660" s="10"/>
      <c r="C660" s="28" t="s">
        <v>1626</v>
      </c>
      <c r="D660" s="12"/>
      <c r="E660" s="12"/>
      <c r="F660" s="29" t="s">
        <v>490</v>
      </c>
      <c r="G660" s="30">
        <v>0.75</v>
      </c>
      <c r="H660" s="30"/>
      <c r="I660" s="30">
        <v>79.125</v>
      </c>
      <c r="J660" s="31"/>
      <c r="K660" s="205"/>
      <c r="M660" s="32"/>
      <c r="P660" s="84">
        <v>2.8</v>
      </c>
      <c r="R660" s="89"/>
      <c r="S660" s="78">
        <f t="shared" ref="S660:S668" si="11">ROUND(ROUND(P660, 2)*I660, 2)</f>
        <v>221.55</v>
      </c>
    </row>
    <row r="661" spans="1:21" ht="21" hidden="1" x14ac:dyDescent="0.5">
      <c r="A661" s="10" t="s">
        <v>2354</v>
      </c>
      <c r="B661" s="10"/>
      <c r="C661" s="28" t="s">
        <v>1605</v>
      </c>
      <c r="D661" s="12"/>
      <c r="E661" s="12"/>
      <c r="F661" s="29" t="s">
        <v>78</v>
      </c>
      <c r="G661" s="30">
        <v>1.05</v>
      </c>
      <c r="H661" s="30"/>
      <c r="I661" s="30">
        <v>110.77500000000001</v>
      </c>
      <c r="J661" s="31"/>
      <c r="K661" s="205"/>
      <c r="M661" s="32"/>
      <c r="P661" s="84">
        <v>4.5999999999999996</v>
      </c>
      <c r="R661" s="89"/>
      <c r="S661" s="78">
        <f t="shared" si="11"/>
        <v>509.57</v>
      </c>
    </row>
    <row r="662" spans="1:21" ht="21" hidden="1" x14ac:dyDescent="0.5">
      <c r="A662" s="10" t="s">
        <v>2357</v>
      </c>
      <c r="B662" s="10"/>
      <c r="C662" s="28" t="s">
        <v>1719</v>
      </c>
      <c r="D662" s="12"/>
      <c r="E662" s="12"/>
      <c r="F662" s="29" t="s">
        <v>63</v>
      </c>
      <c r="G662" s="30">
        <v>1.05</v>
      </c>
      <c r="H662" s="30"/>
      <c r="I662" s="30">
        <v>110.77500000000001</v>
      </c>
      <c r="J662" s="31"/>
      <c r="K662" s="205"/>
      <c r="M662" s="32"/>
      <c r="P662" s="84">
        <v>0</v>
      </c>
      <c r="R662" s="89"/>
      <c r="S662" s="78">
        <f t="shared" si="11"/>
        <v>0</v>
      </c>
    </row>
    <row r="663" spans="1:21" ht="21" hidden="1" x14ac:dyDescent="0.5">
      <c r="A663" s="10" t="s">
        <v>2360</v>
      </c>
      <c r="B663" s="10"/>
      <c r="C663" s="28" t="s">
        <v>1591</v>
      </c>
      <c r="D663" s="12"/>
      <c r="E663" s="12"/>
      <c r="F663" s="29" t="s">
        <v>78</v>
      </c>
      <c r="G663" s="30">
        <v>1.2</v>
      </c>
      <c r="H663" s="30"/>
      <c r="I663" s="30">
        <v>126.6</v>
      </c>
      <c r="J663" s="31"/>
      <c r="K663" s="205"/>
      <c r="M663" s="32"/>
      <c r="P663" s="84">
        <v>22.82</v>
      </c>
      <c r="R663" s="89"/>
      <c r="S663" s="78">
        <f t="shared" si="11"/>
        <v>2889.01</v>
      </c>
    </row>
    <row r="664" spans="1:21" ht="21" hidden="1" x14ac:dyDescent="0.5">
      <c r="A664" s="10" t="s">
        <v>2363</v>
      </c>
      <c r="B664" s="10"/>
      <c r="C664" s="28" t="s">
        <v>1598</v>
      </c>
      <c r="D664" s="12"/>
      <c r="E664" s="12"/>
      <c r="F664" s="29" t="s">
        <v>78</v>
      </c>
      <c r="G664" s="30">
        <v>4.7</v>
      </c>
      <c r="H664" s="30"/>
      <c r="I664" s="30">
        <v>495.85</v>
      </c>
      <c r="J664" s="31"/>
      <c r="K664" s="205"/>
      <c r="M664" s="32"/>
      <c r="P664" s="84">
        <v>66.98</v>
      </c>
      <c r="R664" s="89"/>
      <c r="S664" s="78">
        <f t="shared" si="11"/>
        <v>33212.03</v>
      </c>
    </row>
    <row r="665" spans="1:21" ht="21" hidden="1" x14ac:dyDescent="0.5">
      <c r="A665" s="10" t="s">
        <v>2366</v>
      </c>
      <c r="B665" s="10"/>
      <c r="C665" s="28" t="s">
        <v>1612</v>
      </c>
      <c r="D665" s="12"/>
      <c r="E665" s="12"/>
      <c r="F665" s="29" t="s">
        <v>78</v>
      </c>
      <c r="G665" s="30">
        <v>0.25</v>
      </c>
      <c r="H665" s="30"/>
      <c r="I665" s="30">
        <v>26.375</v>
      </c>
      <c r="J665" s="31"/>
      <c r="K665" s="205"/>
      <c r="M665" s="32"/>
      <c r="P665" s="84">
        <v>2.8</v>
      </c>
      <c r="R665" s="89"/>
      <c r="S665" s="78">
        <f t="shared" si="11"/>
        <v>73.849999999999994</v>
      </c>
    </row>
    <row r="666" spans="1:21" ht="21" hidden="1" x14ac:dyDescent="0.5">
      <c r="A666" s="10" t="s">
        <v>2369</v>
      </c>
      <c r="B666" s="10"/>
      <c r="C666" s="28" t="s">
        <v>1570</v>
      </c>
      <c r="D666" s="12"/>
      <c r="E666" s="12"/>
      <c r="F666" s="29" t="s">
        <v>498</v>
      </c>
      <c r="G666" s="30">
        <v>0.35</v>
      </c>
      <c r="H666" s="30"/>
      <c r="I666" s="30">
        <v>36.924999999999997</v>
      </c>
      <c r="J666" s="31"/>
      <c r="K666" s="205"/>
      <c r="M666" s="32"/>
      <c r="P666" s="84">
        <v>55</v>
      </c>
      <c r="R666" s="89"/>
      <c r="S666" s="78">
        <f t="shared" si="11"/>
        <v>2030.88</v>
      </c>
    </row>
    <row r="667" spans="1:21" ht="21" hidden="1" x14ac:dyDescent="0.5">
      <c r="A667" s="10" t="s">
        <v>2372</v>
      </c>
      <c r="B667" s="10"/>
      <c r="C667" s="28" t="s">
        <v>1563</v>
      </c>
      <c r="D667" s="12"/>
      <c r="E667" s="12"/>
      <c r="F667" s="29" t="s">
        <v>490</v>
      </c>
      <c r="G667" s="30">
        <v>15</v>
      </c>
      <c r="H667" s="30"/>
      <c r="I667" s="30">
        <v>1582.5</v>
      </c>
      <c r="J667" s="31"/>
      <c r="K667" s="205"/>
      <c r="M667" s="32"/>
      <c r="P667" s="84">
        <v>0.95</v>
      </c>
      <c r="R667" s="89"/>
      <c r="S667" s="78">
        <f t="shared" si="11"/>
        <v>1503.38</v>
      </c>
    </row>
    <row r="668" spans="1:21" ht="36" hidden="1" x14ac:dyDescent="0.5">
      <c r="A668" s="10" t="s">
        <v>2375</v>
      </c>
      <c r="B668" s="10"/>
      <c r="C668" s="47" t="s">
        <v>1584</v>
      </c>
      <c r="D668" s="12"/>
      <c r="E668" s="12"/>
      <c r="F668" s="29" t="s">
        <v>490</v>
      </c>
      <c r="G668" s="30">
        <v>3.6</v>
      </c>
      <c r="H668" s="30"/>
      <c r="I668" s="30">
        <v>379.8</v>
      </c>
      <c r="J668" s="31"/>
      <c r="K668" s="205"/>
      <c r="M668" s="32"/>
      <c r="P668" s="84">
        <v>15.9</v>
      </c>
      <c r="R668" s="89"/>
      <c r="S668" s="78">
        <f t="shared" si="11"/>
        <v>6038.82</v>
      </c>
    </row>
    <row r="669" spans="1:21" ht="92" customHeight="1" x14ac:dyDescent="0.35">
      <c r="A669" s="109" t="s">
        <v>2378</v>
      </c>
      <c r="B669" s="109" t="s">
        <v>1556</v>
      </c>
      <c r="C669" s="92" t="s">
        <v>1557</v>
      </c>
      <c r="D669" s="93"/>
      <c r="E669" s="93" t="s">
        <v>1634</v>
      </c>
      <c r="F669" s="93" t="s">
        <v>63</v>
      </c>
      <c r="G669" s="94">
        <v>1</v>
      </c>
      <c r="H669" s="94"/>
      <c r="I669" s="94">
        <v>454.4</v>
      </c>
      <c r="J669" s="95"/>
      <c r="K669" s="206"/>
      <c r="L669" s="95"/>
      <c r="M669" s="95"/>
      <c r="N669" s="95"/>
      <c r="O669" s="96"/>
      <c r="P669" s="97">
        <f>IFERROR(ROUND(SUM(S670,S671,S672,S673,S674,S675,S676,S677,S678,S679)/I669, 2),0)</f>
        <v>584.54999999999995</v>
      </c>
      <c r="Q669" s="98">
        <v>1958.18</v>
      </c>
      <c r="R669" s="87">
        <f>P669+ROUND(Q669, 2)</f>
        <v>2542.73</v>
      </c>
      <c r="S669" s="99">
        <f>ROUND(P669*I669, 2)</f>
        <v>265619.52</v>
      </c>
      <c r="T669" s="95">
        <f>ROUND(I669*ROUND(Q669, 2), 2)</f>
        <v>889796.99</v>
      </c>
      <c r="U669" s="95">
        <f>S669+T669</f>
        <v>1155416.51</v>
      </c>
    </row>
    <row r="670" spans="1:21" ht="21" hidden="1" x14ac:dyDescent="0.5">
      <c r="A670" s="10" t="s">
        <v>2379</v>
      </c>
      <c r="B670" s="10"/>
      <c r="C670" s="28" t="s">
        <v>1577</v>
      </c>
      <c r="D670" s="12"/>
      <c r="E670" s="12"/>
      <c r="F670" s="29" t="s">
        <v>490</v>
      </c>
      <c r="G670" s="30">
        <v>0.3</v>
      </c>
      <c r="H670" s="30"/>
      <c r="I670" s="30">
        <v>136.32</v>
      </c>
      <c r="J670" s="31"/>
      <c r="K670" s="205"/>
      <c r="M670" s="32"/>
      <c r="P670" s="84">
        <v>5.6</v>
      </c>
      <c r="R670" s="89"/>
      <c r="S670" s="78">
        <f t="shared" ref="S670:S679" si="12">ROUND(ROUND(P670, 2)*I670, 2)</f>
        <v>763.39</v>
      </c>
    </row>
    <row r="671" spans="1:21" ht="36" hidden="1" x14ac:dyDescent="0.5">
      <c r="A671" s="10" t="s">
        <v>2382</v>
      </c>
      <c r="B671" s="10"/>
      <c r="C671" s="47" t="s">
        <v>1584</v>
      </c>
      <c r="D671" s="12"/>
      <c r="E671" s="12"/>
      <c r="F671" s="29" t="s">
        <v>490</v>
      </c>
      <c r="G671" s="30">
        <v>3.6</v>
      </c>
      <c r="H671" s="30"/>
      <c r="I671" s="30">
        <v>1635.84</v>
      </c>
      <c r="J671" s="31"/>
      <c r="K671" s="205"/>
      <c r="M671" s="32"/>
      <c r="P671" s="84">
        <v>15.9</v>
      </c>
      <c r="R671" s="89"/>
      <c r="S671" s="78">
        <f t="shared" si="12"/>
        <v>26009.86</v>
      </c>
    </row>
    <row r="672" spans="1:21" ht="21" hidden="1" x14ac:dyDescent="0.5">
      <c r="A672" s="10" t="s">
        <v>2385</v>
      </c>
      <c r="B672" s="10"/>
      <c r="C672" s="28" t="s">
        <v>1563</v>
      </c>
      <c r="D672" s="12"/>
      <c r="E672" s="12"/>
      <c r="F672" s="29" t="s">
        <v>490</v>
      </c>
      <c r="G672" s="30">
        <v>15</v>
      </c>
      <c r="H672" s="30"/>
      <c r="I672" s="30">
        <v>6816</v>
      </c>
      <c r="J672" s="31"/>
      <c r="K672" s="205"/>
      <c r="M672" s="32"/>
      <c r="P672" s="84">
        <v>0.95</v>
      </c>
      <c r="R672" s="89"/>
      <c r="S672" s="78">
        <f t="shared" si="12"/>
        <v>6475.2</v>
      </c>
    </row>
    <row r="673" spans="1:21" ht="21" hidden="1" x14ac:dyDescent="0.5">
      <c r="A673" s="10" t="s">
        <v>2388</v>
      </c>
      <c r="B673" s="10"/>
      <c r="C673" s="28" t="s">
        <v>1570</v>
      </c>
      <c r="D673" s="12"/>
      <c r="E673" s="12"/>
      <c r="F673" s="29" t="s">
        <v>498</v>
      </c>
      <c r="G673" s="30">
        <v>0.35</v>
      </c>
      <c r="H673" s="30"/>
      <c r="I673" s="30">
        <v>159.04</v>
      </c>
      <c r="J673" s="31"/>
      <c r="K673" s="205"/>
      <c r="M673" s="32"/>
      <c r="P673" s="84">
        <v>55</v>
      </c>
      <c r="R673" s="89"/>
      <c r="S673" s="78">
        <f t="shared" si="12"/>
        <v>8747.2000000000007</v>
      </c>
    </row>
    <row r="674" spans="1:21" ht="21" hidden="1" x14ac:dyDescent="0.5">
      <c r="A674" s="10" t="s">
        <v>2391</v>
      </c>
      <c r="B674" s="10"/>
      <c r="C674" s="28" t="s">
        <v>1612</v>
      </c>
      <c r="D674" s="12"/>
      <c r="E674" s="12"/>
      <c r="F674" s="29" t="s">
        <v>78</v>
      </c>
      <c r="G674" s="30">
        <v>0.25</v>
      </c>
      <c r="H674" s="30"/>
      <c r="I674" s="30">
        <v>113.6</v>
      </c>
      <c r="J674" s="31"/>
      <c r="K674" s="205"/>
      <c r="M674" s="32"/>
      <c r="P674" s="84">
        <v>2.8</v>
      </c>
      <c r="R674" s="89"/>
      <c r="S674" s="78">
        <f t="shared" si="12"/>
        <v>318.08</v>
      </c>
    </row>
    <row r="675" spans="1:21" ht="21" hidden="1" x14ac:dyDescent="0.5">
      <c r="A675" s="10" t="s">
        <v>2394</v>
      </c>
      <c r="B675" s="10"/>
      <c r="C675" s="28" t="s">
        <v>1591</v>
      </c>
      <c r="D675" s="12"/>
      <c r="E675" s="12"/>
      <c r="F675" s="29" t="s">
        <v>78</v>
      </c>
      <c r="G675" s="30">
        <v>1.2</v>
      </c>
      <c r="H675" s="30"/>
      <c r="I675" s="30">
        <v>545.28</v>
      </c>
      <c r="J675" s="31"/>
      <c r="K675" s="205"/>
      <c r="M675" s="32"/>
      <c r="P675" s="84">
        <v>22.82</v>
      </c>
      <c r="R675" s="89"/>
      <c r="S675" s="78">
        <f t="shared" si="12"/>
        <v>12443.29</v>
      </c>
    </row>
    <row r="676" spans="1:21" ht="21" hidden="1" x14ac:dyDescent="0.5">
      <c r="A676" s="10" t="s">
        <v>2397</v>
      </c>
      <c r="B676" s="10"/>
      <c r="C676" s="28" t="s">
        <v>1598</v>
      </c>
      <c r="D676" s="12"/>
      <c r="E676" s="12"/>
      <c r="F676" s="29" t="s">
        <v>78</v>
      </c>
      <c r="G676" s="30">
        <v>4.7</v>
      </c>
      <c r="H676" s="30"/>
      <c r="I676" s="30">
        <v>2135.6799999999998</v>
      </c>
      <c r="J676" s="31"/>
      <c r="K676" s="205"/>
      <c r="M676" s="32"/>
      <c r="P676" s="84">
        <v>66.98</v>
      </c>
      <c r="R676" s="89"/>
      <c r="S676" s="78">
        <f t="shared" si="12"/>
        <v>143047.85</v>
      </c>
    </row>
    <row r="677" spans="1:21" ht="21" hidden="1" x14ac:dyDescent="0.5">
      <c r="A677" s="10" t="s">
        <v>2400</v>
      </c>
      <c r="B677" s="10"/>
      <c r="C677" s="28" t="s">
        <v>1605</v>
      </c>
      <c r="D677" s="12"/>
      <c r="E677" s="12"/>
      <c r="F677" s="29" t="s">
        <v>78</v>
      </c>
      <c r="G677" s="30">
        <v>1.05</v>
      </c>
      <c r="H677" s="30"/>
      <c r="I677" s="30">
        <v>477.12</v>
      </c>
      <c r="J677" s="31"/>
      <c r="K677" s="205"/>
      <c r="M677" s="32"/>
      <c r="P677" s="84">
        <v>4.5999999999999996</v>
      </c>
      <c r="R677" s="89"/>
      <c r="S677" s="78">
        <f t="shared" si="12"/>
        <v>2194.75</v>
      </c>
    </row>
    <row r="678" spans="1:21" ht="36" hidden="1" x14ac:dyDescent="0.5">
      <c r="A678" s="10" t="s">
        <v>2403</v>
      </c>
      <c r="B678" s="10"/>
      <c r="C678" s="28" t="s">
        <v>100</v>
      </c>
      <c r="D678" s="12"/>
      <c r="E678" s="12"/>
      <c r="F678" s="29" t="s">
        <v>63</v>
      </c>
      <c r="G678" s="30">
        <v>1.05</v>
      </c>
      <c r="H678" s="30"/>
      <c r="I678" s="30">
        <v>477.12</v>
      </c>
      <c r="J678" s="31"/>
      <c r="K678" s="205"/>
      <c r="M678" s="32"/>
      <c r="P678" s="84">
        <v>135.53</v>
      </c>
      <c r="R678" s="89"/>
      <c r="S678" s="78">
        <f t="shared" si="12"/>
        <v>64664.07</v>
      </c>
    </row>
    <row r="679" spans="1:21" ht="21" hidden="1" x14ac:dyDescent="0.5">
      <c r="A679" s="10" t="s">
        <v>2406</v>
      </c>
      <c r="B679" s="10"/>
      <c r="C679" s="28" t="s">
        <v>1626</v>
      </c>
      <c r="D679" s="12"/>
      <c r="E679" s="12"/>
      <c r="F679" s="29" t="s">
        <v>490</v>
      </c>
      <c r="G679" s="30">
        <v>0.75</v>
      </c>
      <c r="H679" s="30"/>
      <c r="I679" s="30">
        <v>340.8</v>
      </c>
      <c r="J679" s="31"/>
      <c r="K679" s="205"/>
      <c r="M679" s="32"/>
      <c r="P679" s="84">
        <v>2.8</v>
      </c>
      <c r="R679" s="89"/>
      <c r="S679" s="78">
        <f t="shared" si="12"/>
        <v>954.24</v>
      </c>
    </row>
    <row r="680" spans="1:21" ht="124" customHeight="1" x14ac:dyDescent="0.35">
      <c r="A680" s="109" t="s">
        <v>2409</v>
      </c>
      <c r="B680" s="109" t="s">
        <v>1831</v>
      </c>
      <c r="C680" s="92" t="s">
        <v>1832</v>
      </c>
      <c r="D680" s="93"/>
      <c r="E680" s="93" t="s">
        <v>1836</v>
      </c>
      <c r="F680" s="93" t="s">
        <v>63</v>
      </c>
      <c r="G680" s="94">
        <v>1</v>
      </c>
      <c r="H680" s="94"/>
      <c r="I680" s="94">
        <v>170.6</v>
      </c>
      <c r="J680" s="95"/>
      <c r="K680" s="206"/>
      <c r="L680" s="95"/>
      <c r="M680" s="95"/>
      <c r="N680" s="95"/>
      <c r="O680" s="96"/>
      <c r="P680" s="97">
        <f>IFERROR(ROUND(SUM(S681)/I680, 2),0)</f>
        <v>855.89</v>
      </c>
      <c r="Q680" s="98">
        <v>1367.46</v>
      </c>
      <c r="R680" s="87">
        <f>P680+ROUND(Q680, 2)</f>
        <v>2223.35</v>
      </c>
      <c r="S680" s="99">
        <f>ROUND(P680*I680, 2)</f>
        <v>146014.82999999999</v>
      </c>
      <c r="T680" s="95">
        <f>ROUND(I680*ROUND(Q680, 2), 2)</f>
        <v>233288.68</v>
      </c>
      <c r="U680" s="95">
        <f>S680+T680</f>
        <v>379303.51</v>
      </c>
    </row>
    <row r="681" spans="1:21" ht="18" hidden="1" customHeight="1" x14ac:dyDescent="0.5">
      <c r="A681" s="10" t="s">
        <v>2410</v>
      </c>
      <c r="B681" s="10"/>
      <c r="C681" s="47" t="s">
        <v>1838</v>
      </c>
      <c r="D681" s="12"/>
      <c r="E681" s="12"/>
      <c r="F681" s="29" t="s">
        <v>63</v>
      </c>
      <c r="G681" s="30">
        <v>1.1000000000000001</v>
      </c>
      <c r="H681" s="49"/>
      <c r="I681" s="49">
        <v>187.66</v>
      </c>
      <c r="J681" s="31"/>
      <c r="K681" s="205"/>
      <c r="M681" s="32"/>
      <c r="P681" s="84">
        <v>778.08</v>
      </c>
      <c r="R681" s="89"/>
      <c r="S681" s="78">
        <f>ROUND(ROUND(P681, 2)*I681, 2)</f>
        <v>146014.49</v>
      </c>
    </row>
    <row r="682" spans="1:21" ht="45.5" customHeight="1" x14ac:dyDescent="0.5">
      <c r="A682" s="156" t="s">
        <v>2413</v>
      </c>
      <c r="B682" s="156" t="s">
        <v>1849</v>
      </c>
      <c r="C682" s="187" t="s">
        <v>1850</v>
      </c>
      <c r="D682" s="188"/>
      <c r="E682" s="188"/>
      <c r="F682" s="188"/>
      <c r="G682" s="188"/>
      <c r="H682" s="188"/>
      <c r="I682" s="189"/>
      <c r="K682" s="205"/>
      <c r="M682" s="6"/>
      <c r="N682" s="6"/>
      <c r="O682" s="73"/>
      <c r="P682" s="81"/>
      <c r="R682" s="89"/>
      <c r="S682" s="76">
        <f>SUM(S683,S684)</f>
        <v>0</v>
      </c>
      <c r="T682" s="6">
        <f>SUM(T683,T684)</f>
        <v>8263565.5599999996</v>
      </c>
      <c r="U682" s="6">
        <f>SUM(U683,U684)</f>
        <v>8263565.5599999996</v>
      </c>
    </row>
    <row r="683" spans="1:21" ht="52.5" x14ac:dyDescent="0.35">
      <c r="A683" s="91" t="s">
        <v>2414</v>
      </c>
      <c r="B683" s="91" t="s">
        <v>1852</v>
      </c>
      <c r="C683" s="92" t="s">
        <v>1853</v>
      </c>
      <c r="D683" s="93" t="s">
        <v>1854</v>
      </c>
      <c r="E683" s="93"/>
      <c r="F683" s="93" t="s">
        <v>1855</v>
      </c>
      <c r="G683" s="94">
        <v>1</v>
      </c>
      <c r="H683" s="94"/>
      <c r="I683" s="94">
        <v>9</v>
      </c>
      <c r="J683" s="95"/>
      <c r="K683" s="206"/>
      <c r="L683" s="95"/>
      <c r="M683" s="95"/>
      <c r="N683" s="95"/>
      <c r="O683" s="96"/>
      <c r="P683" s="97">
        <v>0</v>
      </c>
      <c r="Q683" s="98">
        <v>240248.38</v>
      </c>
      <c r="R683" s="90">
        <f>P683+ROUND(Q683, 2)</f>
        <v>240248.38</v>
      </c>
      <c r="S683" s="99">
        <v>0</v>
      </c>
      <c r="T683" s="95">
        <f>ROUND(I683*ROUND(Q683, 2), 2)</f>
        <v>2162235.42</v>
      </c>
      <c r="U683" s="95">
        <f>S683+T683</f>
        <v>2162235.42</v>
      </c>
    </row>
    <row r="684" spans="1:21" ht="75" customHeight="1" thickBot="1" x14ac:dyDescent="0.4">
      <c r="A684" s="110" t="s">
        <v>2415</v>
      </c>
      <c r="B684" s="110" t="s">
        <v>2416</v>
      </c>
      <c r="C684" s="111" t="s">
        <v>2417</v>
      </c>
      <c r="D684" s="112" t="s">
        <v>2418</v>
      </c>
      <c r="E684" s="112"/>
      <c r="F684" s="112" t="s">
        <v>2419</v>
      </c>
      <c r="G684" s="113">
        <v>1</v>
      </c>
      <c r="H684" s="113"/>
      <c r="I684" s="113">
        <v>1</v>
      </c>
      <c r="J684" s="114"/>
      <c r="K684" s="212"/>
      <c r="L684" s="114"/>
      <c r="M684" s="114"/>
      <c r="N684" s="114"/>
      <c r="O684" s="115"/>
      <c r="P684" s="116">
        <v>0</v>
      </c>
      <c r="Q684" s="117">
        <v>6101330.1399999997</v>
      </c>
      <c r="R684" s="118">
        <f>P684+ROUND(Q684, 2)</f>
        <v>6101330.1399999997</v>
      </c>
      <c r="S684" s="119">
        <v>0</v>
      </c>
      <c r="T684" s="114">
        <f>ROUND(I684*ROUND(Q684, 2), 2)</f>
        <v>6101330.1399999997</v>
      </c>
      <c r="U684" s="114">
        <f>S684+T684</f>
        <v>6101330.1399999997</v>
      </c>
    </row>
    <row r="685" spans="1:21" ht="49" customHeight="1" thickBot="1" x14ac:dyDescent="0.5">
      <c r="A685" s="120"/>
      <c r="B685" s="121"/>
      <c r="C685" s="121"/>
      <c r="D685" s="122" t="s">
        <v>2422</v>
      </c>
      <c r="E685" s="121"/>
      <c r="F685" s="121"/>
      <c r="G685" s="121"/>
      <c r="H685" s="121"/>
      <c r="I685" s="121"/>
      <c r="J685" s="121"/>
      <c r="K685" s="213"/>
      <c r="L685" s="121"/>
      <c r="M685" s="123"/>
      <c r="N685" s="123"/>
      <c r="O685" s="124"/>
      <c r="P685" s="120"/>
      <c r="Q685" s="121"/>
      <c r="R685" s="125"/>
      <c r="S685" s="126">
        <f>SUM(S8,S452)</f>
        <v>65084872.160000004</v>
      </c>
      <c r="T685" s="123">
        <f>SUM(T8,T452)</f>
        <v>128127932.99000001</v>
      </c>
      <c r="U685" s="127">
        <f>S685+T685</f>
        <v>193212805.15000001</v>
      </c>
    </row>
    <row r="686" spans="1:21" ht="49" customHeight="1" thickBot="1" x14ac:dyDescent="0.4">
      <c r="A686" s="132"/>
      <c r="B686" s="133"/>
      <c r="C686" s="133"/>
      <c r="D686" s="134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4"/>
    </row>
    <row r="687" spans="1:21" ht="49" customHeight="1" thickBot="1" x14ac:dyDescent="0.4">
      <c r="A687" s="128"/>
      <c r="B687" s="129"/>
      <c r="C687" s="130"/>
      <c r="D687" s="130"/>
      <c r="E687" s="131"/>
      <c r="F687" s="131"/>
      <c r="G687" s="131"/>
      <c r="H687" s="184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6"/>
    </row>
  </sheetData>
  <mergeCells count="68"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S5:U5"/>
    <mergeCell ref="J6:K6"/>
    <mergeCell ref="L6:L7"/>
    <mergeCell ref="M6:N6"/>
    <mergeCell ref="O6:O7"/>
    <mergeCell ref="P6:Q6"/>
    <mergeCell ref="C10:I10"/>
    <mergeCell ref="H5:H7"/>
    <mergeCell ref="I5:I7"/>
    <mergeCell ref="J5:O5"/>
    <mergeCell ref="P5:R5"/>
    <mergeCell ref="R6:R7"/>
    <mergeCell ref="S6:T6"/>
    <mergeCell ref="U6:U7"/>
    <mergeCell ref="A8:I8"/>
    <mergeCell ref="C9:I9"/>
    <mergeCell ref="C287:I287"/>
    <mergeCell ref="C11:I11"/>
    <mergeCell ref="C12:I12"/>
    <mergeCell ref="C13:I13"/>
    <mergeCell ref="C14:I14"/>
    <mergeCell ref="C110:I110"/>
    <mergeCell ref="C111:I111"/>
    <mergeCell ref="C112:I112"/>
    <mergeCell ref="C113:I113"/>
    <mergeCell ref="C114:I114"/>
    <mergeCell ref="C137:I137"/>
    <mergeCell ref="C182:I182"/>
    <mergeCell ref="C456:I456"/>
    <mergeCell ref="C288:I288"/>
    <mergeCell ref="C299:I299"/>
    <mergeCell ref="C326:I326"/>
    <mergeCell ref="C327:I327"/>
    <mergeCell ref="C344:I344"/>
    <mergeCell ref="C369:I369"/>
    <mergeCell ref="C449:I449"/>
    <mergeCell ref="A452:I452"/>
    <mergeCell ref="C453:I453"/>
    <mergeCell ref="C454:I454"/>
    <mergeCell ref="C455:I455"/>
    <mergeCell ref="C605:I605"/>
    <mergeCell ref="C457:I457"/>
    <mergeCell ref="C458:I458"/>
    <mergeCell ref="C507:I507"/>
    <mergeCell ref="C508:I508"/>
    <mergeCell ref="C509:I509"/>
    <mergeCell ref="C510:I510"/>
    <mergeCell ref="C511:I511"/>
    <mergeCell ref="C523:I523"/>
    <mergeCell ref="C546:I546"/>
    <mergeCell ref="C598:I598"/>
    <mergeCell ref="C599:I599"/>
    <mergeCell ref="H687:U687"/>
    <mergeCell ref="C619:I619"/>
    <mergeCell ref="C620:I620"/>
    <mergeCell ref="C629:I629"/>
    <mergeCell ref="C642:I642"/>
    <mergeCell ref="C682:I682"/>
  </mergeCells>
  <pageMargins left="0.7" right="0.7" top="0.75" bottom="0.75" header="0.3" footer="0.3"/>
  <pageSetup paperSize="9" scale="1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ВЫПОЛНЕНИЕ_2026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срк</cp:lastModifiedBy>
  <dcterms:created xsi:type="dcterms:W3CDTF">2025-12-27T08:50:32Z</dcterms:created>
  <dcterms:modified xsi:type="dcterms:W3CDTF">2026-01-16T07:22:26Z</dcterms:modified>
  <cp:category/>
</cp:coreProperties>
</file>