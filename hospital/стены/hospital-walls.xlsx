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240" yWindow="108" windowWidth="14808" windowHeight="8016" tabRatio="898" activeTab="1"/>
  </bookViews>
  <sheets>
    <sheet name="5.1Шлф" sheetId="24" r:id="rId1"/>
    <sheet name="2.6шт" sheetId="20" r:id="rId2"/>
    <sheet name="2.5шт" sheetId="19" r:id="rId3"/>
    <sheet name="Общ" sheetId="18" r:id="rId4"/>
    <sheet name="2.4ГВЛ" sheetId="17" r:id="rId5"/>
    <sheet name="черновик 1-5" sheetId="16" r:id="rId6"/>
    <sheet name="общий" sheetId="1" r:id="rId7"/>
    <sheet name="4.1шпИнв" sheetId="15" r:id="rId8"/>
    <sheet name="3.4ГВЛинв5э" sheetId="23" r:id="rId9"/>
    <sheet name="3.3ГВЛинв" sheetId="22" r:id="rId10"/>
    <sheet name="3.2штИнв" sheetId="21" r:id="rId11"/>
    <sheet name="3.1штИнв" sheetId="14" r:id="rId12"/>
    <sheet name="№1" sheetId="12" r:id="rId13"/>
    <sheet name="№2" sheetId="13" r:id="rId14"/>
    <sheet name="1.1.1" sheetId="9" r:id="rId15"/>
    <sheet name="1.2.1" sheetId="2" r:id="rId16"/>
    <sheet name="1.2.2" sheetId="3" r:id="rId17"/>
    <sheet name="1.3.1" sheetId="4" r:id="rId18"/>
    <sheet name="1.3.2" sheetId="7" r:id="rId19"/>
    <sheet name="1.4.1" sheetId="6" r:id="rId20"/>
    <sheet name="1.4.2" sheetId="10" r:id="rId21"/>
    <sheet name="1.5.1" sheetId="8" r:id="rId22"/>
  </sheets>
  <calcPr calcId="152511"/>
</workbook>
</file>

<file path=xl/calcChain.xml><?xml version="1.0" encoding="utf-8"?>
<calcChain xmlns="http://schemas.openxmlformats.org/spreadsheetml/2006/main">
  <c r="B11" i="24" l="1"/>
  <c r="G3" i="24" s="1"/>
  <c r="B7" i="20" l="1"/>
  <c r="B11" i="19" l="1"/>
  <c r="G3" i="19" s="1"/>
  <c r="F4" i="17" l="1"/>
  <c r="F3" i="17"/>
  <c r="F2" i="17"/>
  <c r="J18" i="16" l="1"/>
  <c r="M18" i="16"/>
  <c r="N18" i="16"/>
  <c r="J19" i="16"/>
  <c r="M19" i="16"/>
  <c r="N19" i="16"/>
  <c r="J20" i="16"/>
  <c r="M20" i="16"/>
  <c r="N20" i="16"/>
  <c r="J21" i="16"/>
  <c r="M21" i="16"/>
  <c r="N21" i="16"/>
  <c r="J22" i="16"/>
  <c r="M22" i="16"/>
  <c r="N22" i="16"/>
  <c r="G3" i="14"/>
  <c r="B11" i="14"/>
  <c r="C11" i="16"/>
  <c r="C10" i="16"/>
  <c r="C9" i="16"/>
  <c r="C8" i="16"/>
  <c r="C7" i="16"/>
  <c r="C12" i="16" s="1"/>
  <c r="G3" i="16" s="1"/>
  <c r="B8" i="15" l="1"/>
  <c r="F3" i="15" s="1"/>
  <c r="F4" i="13" l="1"/>
  <c r="F7" i="13"/>
  <c r="F5" i="13"/>
  <c r="F6" i="13"/>
  <c r="F8" i="13"/>
  <c r="F9" i="13"/>
  <c r="F2" i="13"/>
  <c r="F7" i="12" l="1"/>
  <c r="F6" i="12"/>
  <c r="F5" i="12"/>
  <c r="F4" i="12"/>
  <c r="F3" i="12" l="1"/>
  <c r="F2" i="12"/>
  <c r="L13" i="1" l="1"/>
  <c r="J19" i="1"/>
  <c r="L19" i="1"/>
  <c r="L25" i="1"/>
  <c r="L31" i="1"/>
  <c r="J36" i="1"/>
  <c r="L36" i="1"/>
  <c r="J42" i="1"/>
  <c r="L42" i="1"/>
  <c r="L48" i="1"/>
  <c r="L54" i="1"/>
  <c r="L60" i="1"/>
  <c r="L66" i="1"/>
  <c r="L72" i="1"/>
  <c r="J78" i="1"/>
  <c r="L78" i="1"/>
  <c r="J84" i="1"/>
  <c r="L84" i="1"/>
  <c r="J90" i="1"/>
  <c r="L90" i="1" s="1"/>
  <c r="J96" i="1"/>
  <c r="L96" i="1"/>
  <c r="J102" i="1"/>
  <c r="L102" i="1"/>
  <c r="L113" i="1"/>
  <c r="J115" i="1"/>
  <c r="L115" i="1"/>
  <c r="L117" i="1"/>
  <c r="J122" i="1"/>
  <c r="L122" i="1"/>
  <c r="L127" i="1"/>
  <c r="J131" i="1"/>
  <c r="L131" i="1" s="1"/>
  <c r="L136" i="1"/>
  <c r="J138" i="1"/>
  <c r="L138" i="1"/>
  <c r="L140" i="1"/>
  <c r="J142" i="1"/>
  <c r="L142" i="1"/>
  <c r="L144" i="1"/>
  <c r="J146" i="1"/>
  <c r="L146" i="1"/>
  <c r="L148" i="1"/>
  <c r="J150" i="1"/>
  <c r="L150" i="1"/>
  <c r="L152" i="1"/>
  <c r="L154" i="1"/>
  <c r="L156" i="1"/>
  <c r="L158" i="1"/>
  <c r="L160" i="1"/>
  <c r="L162" i="1"/>
  <c r="J164" i="1"/>
  <c r="L164" i="1" s="1"/>
  <c r="J166" i="1"/>
  <c r="L166" i="1"/>
  <c r="J168" i="1"/>
  <c r="L168" i="1"/>
  <c r="J170" i="1"/>
  <c r="L170" i="1"/>
  <c r="J172" i="1"/>
  <c r="L172" i="1"/>
  <c r="J174" i="1"/>
  <c r="L174" i="1"/>
  <c r="L176" i="1"/>
  <c r="J178" i="1"/>
  <c r="L178" i="1" s="1"/>
  <c r="L181" i="1"/>
  <c r="L186" i="1"/>
  <c r="J190" i="1"/>
  <c r="L190" i="1"/>
  <c r="J195" i="1"/>
  <c r="L195" i="1"/>
  <c r="L199" i="1"/>
  <c r="J202" i="1"/>
  <c r="L202" i="1"/>
  <c r="L205" i="1"/>
  <c r="J210" i="1"/>
  <c r="L210" i="1"/>
  <c r="L215" i="1"/>
  <c r="L220" i="1"/>
  <c r="L225" i="1"/>
  <c r="J230" i="1"/>
  <c r="L230" i="1"/>
  <c r="J235" i="1"/>
  <c r="L235" i="1" s="1"/>
  <c r="J240" i="1"/>
  <c r="L240" i="1"/>
  <c r="L245" i="1"/>
  <c r="L250" i="1"/>
  <c r="J255" i="1"/>
  <c r="L255" i="1"/>
  <c r="J260" i="1"/>
  <c r="L260" i="1"/>
  <c r="L265" i="1"/>
  <c r="L270" i="1"/>
  <c r="J275" i="1"/>
  <c r="L275" i="1" s="1"/>
  <c r="J280" i="1"/>
  <c r="L280" i="1" s="1"/>
  <c r="L287" i="1"/>
  <c r="J292" i="1"/>
  <c r="L292" i="1" s="1"/>
  <c r="L298" i="1"/>
  <c r="J300" i="1"/>
  <c r="L300" i="1"/>
  <c r="L302" i="1"/>
  <c r="L305" i="1"/>
  <c r="J308" i="1"/>
  <c r="L308" i="1"/>
  <c r="J311" i="1"/>
  <c r="L311" i="1"/>
  <c r="L314" i="1"/>
  <c r="J319" i="1"/>
  <c r="L319" i="1"/>
  <c r="L326" i="1"/>
  <c r="J331" i="1"/>
  <c r="L331" i="1"/>
  <c r="L336" i="1"/>
  <c r="J339" i="1"/>
  <c r="L339" i="1"/>
  <c r="L343" i="1"/>
  <c r="L346" i="1"/>
  <c r="L349" i="1"/>
  <c r="L352" i="1"/>
  <c r="J355" i="1"/>
  <c r="L355" i="1"/>
  <c r="J358" i="1"/>
  <c r="L358" i="1"/>
  <c r="J361" i="1"/>
  <c r="L361" i="1"/>
  <c r="J364" i="1"/>
  <c r="L364" i="1"/>
  <c r="L368" i="1"/>
  <c r="L370" i="1"/>
  <c r="J372" i="1"/>
  <c r="L372" i="1"/>
  <c r="J374" i="1"/>
  <c r="L374" i="1"/>
  <c r="L376" i="1"/>
  <c r="L377" i="1"/>
  <c r="L378" i="1"/>
  <c r="L389" i="1"/>
  <c r="L400" i="1"/>
  <c r="J411" i="1"/>
  <c r="L411" i="1" s="1"/>
  <c r="J422" i="1"/>
  <c r="L422" i="1"/>
  <c r="J433" i="1"/>
  <c r="L433" i="1"/>
  <c r="L443" i="1"/>
  <c r="J445" i="1"/>
  <c r="L445" i="1"/>
  <c r="L448" i="1"/>
  <c r="L449" i="1"/>
</calcChain>
</file>

<file path=xl/sharedStrings.xml><?xml version="1.0" encoding="utf-8"?>
<sst xmlns="http://schemas.openxmlformats.org/spreadsheetml/2006/main" count="2536" uniqueCount="929">
  <si>
    <t>Указать название организации (на бланке организации)</t>
  </si>
  <si>
    <t>{"estimateId":5150278,"estimateVersionId":7006337}</t>
  </si>
  <si>
    <t>7</t>
  </si>
  <si>
    <t>eF7s/fuTXMd154v+KxWOmAgK3VV3v3LX3nD4BwBqwNVCdxV6d90bM6LCUf06ZhxR0qXkYx9POIIPU5IP9bJkH+tSD5qUZ+b8cuZAJGGCBAFGzB8wUf0f3cxdjwaqM3OvtWp/s4qWpWA30N0A1mfl3mt9M1fmyv/8R9/7379z/kc3/+jVyXf+aPeP/rfJN//i/Lj+yrf+4pvf3P2j8786Pf/m7At/9N3FD+hf/+eX/+j026+++u1vvfxHN7+uf2P+Fv3Lq6/uvnz1l708/9tevvrr6p/97tWP1b+f/m762fTh9JPpw8s3L3/UmT6tf/Oh/vh0+nj6qDN9dvn69KP5b81PfV9/ftx5yfxgZ/r76ZP6W585f/Ir9b93+u1vv3b2yrcm35v9o7fi+qvn3/3eK6/qrx19+y8HZ88Z/K3vvfK9//3eX7yy+Nrf7L5I+62LV/4XGe1/fvnlq39W/5v6dzdVrKKkX+w+/63/9/lr333l29+a/0Q/ivI07f+NDeWr66DoB0DGYbPk7jqWfPeV/0X4ANlM2VvHlLWe5g+m/zj9L9PfTH85fXf62675MP21/v8/Tv95+t/0x/frr/xjZ/qe/sI/Tv9h+iv92/9T/8r8iX/UT/UH+gfesz+zyc1xsimsj3odTfHs8g39pul3c7dz+db0if7ary5/Ur+Dj6dP6+89vPzpbkf/hP5eP9G/+mL6rP7uZ7OfqX/1sH7JOyqP6u9fvqGf8f+X/tOfW6nTm+N0U9TvX76p7X88/dxYacJTzT0PVxriqeHVuJpDh55H04815bPpv+pfGdLHtSc0+eVPLn+gf/7R5ZvmZzXpo+nv6z9nfmmc8Uj/qd9fvq0/fmz+tct3zJdnEfH1+uM7M5fpP/HO3KVP5//Io87yC8908HvW0f/gM23wF/pLj6af6X/hYcf8JXqUnum/6I2OftL+Yfp+J4n+g9Xd2c1xtil3vzd34iPtsh/NnWv8/uIYzJz9rI7xHxqX1T/y4Quc+kV6T79r+iWzvkr76uZQbYry19N/6WrbPtAB4LfT/19Hf9D/t1k5UjePNmVl2Y/iJE6KvG+zrFI3x5uyTD+/5vl+dPm6fhBM5NAfbQ+yunmrvykT3zWPpQkVnxh50tGh/f3pP9usvK1u3t6Ylb/Rb4t5rx7VseM5xfVc5LEZfUfdvLMxo9+tR782Wr/1D7WVj6ef1jHQ4+avqptf3UKLdeh6/fKn+uMPZnnRZvqeurm3MdP/cfqxzvEm0H7esxl3V928uzHjtF8vf3z5t736QX1jnj2tPrynbt7bpJnTJ12TqTrTv7cH+j9VN/90Y/b9ViuPv9MP56OZcpiZarNyoG4ONmblf62jlNGdr+uw+vteo5DZz29+Ld+Utb82odOkKP3uPNRi5h2Tp15++VtG5plZqkb4+PmQawXYmK/f1/b/866ZovzGHk6/tjHT2I/B/fzm/Y1Za5s+EO0+yG8efqkf34PNeb3p8T3cmGmzWGuf1uxqB1OfjmF+c7gxCPY7OMpvPvhSP8ujjfm68Vl+sDHT2I/BUX7zaGPWrhGKq/zm8Zf68a025/Wmx/d4Y6a1FYrH+c3xOhDf+/b3Jt+8xvDyH31r8ur57K+Vczy3IEZ/3L+aFwrA853vfue1Y/O9A/1XvvbK5Jt7/9+/eOU7r+q/zUJ5sUL5J9X44KWDYvcgU4l1Qe8AbHT16mujb71GtfSw2D10WXoItnT02iuntgfnmqHGZTtLa64JDIiV31vrAaiK3crl1gpoMG/wj4vdY5eVx0AryQNvXLVz7Bj4McbCP3/l7Oz8W+u9//+x2P2PLsf+R7jZvIfgPxW7/8ll63+C20p+FIzbdv6T41G4dWs9Q9dKz+/WkubJ9PHl387WRuti/rOrmtvj2XJVvaQ6/Ux/XHxdf+lv650An8/+0OVPrXB5oRO3/rApwJ/ZrLqdF+toibUM+s3c3z+Y1QAezjTl5Rv6S69fKUy7N+9s0O6Ppw87L/2Hr3TqUtBTU2S1WfjVzVloM+dPtTnm8duUTdO/dzx+xaYM+oVRqfVz9vTFQu/j+jdvTb/Qv6q/+NlzsnZe/jaltg/r0rEptTyZlcYvf+J4VDfGaB7Vxsd0U9Y5HtPCPKabsmn6c8djWm7KIOdjWj989RTMRM75o/r7+d60Z/VWj88u37r8ScfsUKsfYJO69EPaeWn2mM92vi0i8OPnI/BDq464s0E36Cf5pQUdIfRuyk7HM12aZ3pTNk1/YX+my2hTBr1fJ/jPOibUvri7yAiqxcNttly8aTbZvFl/7+N6Ucpabr2zQRZj5Rs9+2O4Mavsj2EZ6cdwYzZN/8HxGG5s5+Qvno+L00/153emn5pVrdnTqTomsTt2pGzQbEpS35h1jicvNk/epmzaczx4G9vb+svrU8aO2a1R703Vg/p3i/2cHbPqfvl/1PsqTSjUKVA/ozplL8a/s/jCV+qtn89mOxX1I/zOXKaaUPqJ2Tp7+aN6L5BRC59f+5dck6zNucjFaSoRZtNN0/O/KcMdz39inv9N2TT9Px0vQLopg36uH+6P9TP6fLmg3kA8m/KbwsGjxa7kzyybkLWI1c/4W/qPPreprY7fn9cvzfVjGfoH9LccT/nG/PCh8cNzXujWktyyRdLxlG/KcMdTnpqnfFM2Tf/J8ZRnmzLIPnWrdw1+UUvf+QEks4jwUf1zz8we4w87cwFslhlnZ4+m/2R+o//7xLdz884GWSkxeVPGOZ7WzDytm7Jp+kvH06o2ZdDKcuz75rSA4ynbmI310msd+c3+5ofNCwEbM9XxzCnzzG3Kpum7jmduYzWJ32q9+s7lm8+fF9Ki4I2ODp3vmk0cv9SfHKtV9aqAWeD6O/2ltxdHdGZCWYfS7nPnpuoo+x9mUbX+KxrOat7ZoEee0/vm2e5ckwjmq//BJomsEv6rm0NxvAGmCLYxm6a/crwBGyuLPPcGXHs4F2LB7LzS2tY85fXTYJ7v54+emT+xmNI9qZXD7FhN0k07tbCYhc0X34f5rKp+hMxefNVZHhx8ZJ4u8689P/k0/6YxqX7ZPlmRI/qbrjdpY55deZNWba6/VjvH8d5synDHe2Oqdxuzafprx3uzsTrNf6sF9KzwdqWun6vTPdSP8jw11Kde66OqdUg143/9z9omoLMC/8f6tfipNeIK16o35rTnjtuYp99/+uarmzPU8QqYyuDGbJr+xvEKbKys8w+z5bxZ6vhoXrZ+/Sp5LI5lz5YQXGsfGzP/Yx15zVOolfw8Fn/keAw3ZaLjMTTFvI3ZZJ+T3e5HGyvr/Ha2L9yrRHw65Nlzf/6lWnno6KtjtNb2X5kfs/24fobr5T2zEPzW5dv18t6T2Ub1ug3EM3PC1cwfflBH4nlYN6+BMSmJ4sw8ZPqzmn/O5ybZdcsG/Vlb1b2a5F4JlaYvat/Otlxrjz6afjLfdm0F/OrmAM0YdF9++VtmDOaf+13rq6ZtvDnenKHT9xyv2qbqWNP39UP/qXnNKKF9c3bqJ/KNulrjWKf86uZMczxnsXnONmWTo1FDP9pYvegXtYitJeysMUpdGNdh+HGtNerp4OXrnZud6b/0pr/sTX/be64nzExOX/5kdyaGn/R2O+fdVyevfNPxlG6K0vEoJOZR2JRN0/cdj0K6KYNMM4Hntzw/M6sGZhXu+9Nn7Yz/ptAc45+a8d+UTdMPHOOfbcog0yGprkfWDaXm7Vo+68y6hs3nv1eT3tmj4hjoTTE4BjozA8206Rv133R2Ppp878/117SF+clpcnIyibrn2YXqZkV00S2K/kV3kqXRJFVZfHY2mf3ka9/+y9kvytmnJdv5N8+Xp1KehyMfyYv16/fz+ezv2WJVw4zTY8vXu8/tcV75cdMqzrpN+1Zxc0Cfd1Od8jf6D8Yp2RktnOcr7Uf5QGgZH4135ufQznMI4lF8HvK5IIMztOMMQTj013DNQ4R2rAqDlUQ8LN4Td2xnOQaxxDwW1tM2tqOMASiGJX/5xSSwivbd89PvvWLJcDoJ/MWrJ+e2EbqeBmIb0S37UlUaqTjOy6RYxZolX+19soUmI/7Zd+qU2GhkbjPxttDE1VfY40RaJjX7bFZbYC4z5eOZntXadtb+0bpqfqe8ORDSXMuFbpwWcmEc7R7EcWTPiFKC1ZRHIOAFoENt9qHL7EOp2YpvNivWDLXVQ5fVQ6nV9Kd/zQSmra9c1ldC66/lqQbreY/JsTb52GXysdRkeswWpCNt8dhl8Vhi8XMxHJx1HHknti/cLqwunX4mG8lKPL3EZuVtqZX0t4+ae+reNfXark43X1y+VXdSXizlm5J23adYf9++3htHNwdSmMCpJ7ZnHbH1AdKO3eRDscmKbzIrngwdFg/FFtMf+HXTjd3ySmo5OtXYzT0Wm0sP0pI0Y7d2LLI2ZIpxJRl71WZudxo5vUw2k5lkXGlGaCf9rWOmGbOb9uPpJ/U2p6d1+dys8C6K5i8moZesWcj6IN2JY52GhLCB05Cjs5fY+gBpyNHiS2yy4pvMijdDh8VDscX0F2LdNOTo+yW1HJ2GHA3AxObSA7kkDdmtHYusNebO370AaciViOw144XlsdPPZEPZiaiX2Sy9LbWU/uZRU9HPp091hnmz3lTwdF5crDOQKSS+05ntgH80399Y7xHT2cc5/0l04hGiBU48qSPxSK0PkHjsJh+KTVZ8k1kRZuiweCi2mP74r5t47JZXUsvRicdu7rHYXHroliQeu7VjkbVh5z/u1GPfrrKwPXF6mmyqIPW45kFCW+lvHzX5/G5Z2Pl0UdCxpZtn089sIHfiVKcbIUzgdJM50o3U+gDpxm7yodhkxTeZFVeGDouHYovpD/y66cZueSW1HJ1u7OYei82lB2xJurFbOxZZG3qe4044mdf61OlrsrGihOOa7witpb+B7aeczvzkyuUP9aTow9kVprNN/59fvjWd32paH/T6tD4sbz/YfCfOdJIS4gdOUmr3IIn1f/3dA23TQWp672e7ByrS/+W7B3mi/9Nf6+uvFfprhf5aqb9W6q/FkSvDSdEDZDi1e6h5DzXvoTbkMDUd/LPdQ817qHkPNe+h5j3UvIea91DzHmreQ8176OI9FPMqPi8rDg417lDjDjXuUNsx1LhDjTvUuEONO9S4Q4071LhDjTvUuEONO9S4QxfuUIxLf7PXza1qt9LYlcautD1Vai4UyHYrjV1p7EpjVxq70tiVxq40dqWxK41dubArKTY6MavdY816rFmPtRHHqbmWINs91qzHmvVYsx5r1mPNeqxZjzXrsWY91qzHLtZjMSs9L0qyutoda9SxRh1rG8YadaxRxxp1rFHHGnWsUccadaxRxxp1rFHHGnXsQh2LUOvHeYZqkuvXfdLgL7/92v9q4ZfpApcyUF4I5Rwvmq1CWaDNdcxGheaupkaXawG6oL6Ve95uYPpk3hDn0fwM7OedWhe8Xn98Y9mr/I3Zfv+61veo87VvTf7iYtYKYfp+N46T+a9/lnRjc4O6/qxmnxJl89odqddWs6pzkF81QfbPXvku5amc/vzynelH9cHXf53WV55r1Ppahk/q60/nR4hf6KOp/XR7cNDVsum/2gC/KgVULEACXHz5Y9MaMZl9SmefstknZT71TJckywq5OaDzePpFN3H/wPtm5OvGLk9Mo4x5EThOlHm8Pt+t2zB9PP2wLgGbS+Y/nf9E7cqFLK2/8GHdN8OcRjZ97MzBwdnFUJ+af2jWkfHJ/Al8OPvtL8xV6d2v3v3T5Ll/5u35hVK1kU/nT/rsgvqn9UP9dPaE0x/++hmYdUQ1l3qYE+mf1neD9dVfZVGtsd+bvt9Xl2/ryF1b8uG1isTns243L3T+MC+SsePx1SnJad2scX5E7tNZL5HHMy9cd7KK5j6uf+zZ1Xl1c26uk6puVnfj+WjWHyGdmfZ4fsTqM832bGbWh/VZ+me1cR+ZQbjq59qJdouo0zWfVOd//v4vbc/5nvQ5z2nP+avnk+/+xWukCPi5NT7flRrYpxl4/lffOf/Wd20GfmvFwLgXzc+hr5h4T2piQTPxf/v2N/+ClERsxv2p1LhVgewwrpZOBO9ZPTeQGhev6liHdWaqUus6in6/NuBx3O/lVsP3xYYTFdnScKcCv2ZtWZon1Gbt18TWEjXZ0lqLndfks/bdztFwfPjVl7RdOrFZpfB9sclEXcZar7j2MDscfSC2mqiLmpcaqKYeik1VTFPJD4b23s7CrGvzfKm1xDz1HUCQGImNJuau77QVIB6ILSWmsO9Qn4HRMjg8cAeHI7G5nKQmeRpcb1sltfjago3PYvKj4DLzWGwmMa0xF1r0w3BsDwhjkaW16CqyMi+yrDspzqNuVqbn3clFedGdnF/EsTqfRNH56QzGuYry6vzJsABKV1Jcayk5j5KKZ1tv8VBx1lxsHLeRHKsJ3zc6xMWY9+r54rwL9ufTlduwl+0gXWUbM+WsCzKdl2YtJs1cVc/gfmjaNelfm6/VBR09+5stWzy9nDWJ/2z2c3r+ab76hf7+x5c/qXdePzF90h7XU9neV+arNS9MjGf9eZ6b/c5+yMyu6wnmT2dt1uZ9W+p/y7GJDjhWij5W9BUSG8UekmJVU3goGPPfRUOvJ7MlKhvVXSTVqujwUDEmzTaMe0iMVUXiwVhzYg2EWNUpHog1J+BAiGuTdA/FWhP1ouilyoa3D8VjJB7WbPOaDpoJ4tlHjWRk8Y3B7LON+gBKzQh+4kmVc0BHUDTuW0dB8w7mqHkwKxhxrYbPJlF6fnZ60T3JzspuFqmiW5b9tFtM1MVFNIn60dncK0HVsHUp+FZs733ucQUNL7gaBnIwghJPDdfVk8sf/dn8upWHdVHFXBerpfCsz/r0U/O9vrqRRTei3Twyv0unn9tccAfpAkV3wboiE0jBiLMMkVmXiXod+6jcRfJA5GXUK2wg95Ag4QQmEIKb6ihjYYMYICGCCcw87fVTG94+FI8Ry9sUmP25Jum7BSaSmhH4xALTOaAjKBr3raOgNQjMxsGsYMS1wDxXpZoUZ+f6m5H+2fi01Do0irvleb8/Sfrn2Xl89nJ4gWkd/FuxvfOfxxU0vOACE8jBCEoygTm/oWe2f8j0HJ4tbc6+rNWlqtXlfHUzs5cH7iA9oOgeWFdfAikYYbY9fQnkgejLxF6XuYcECacvgRDcTEcYC4e+BEIE05el6kV9G94+FI8RytvUl8VckhRufYmkZgQ+sb50DugIisZ96yhoDfqycTArGHGtL9PT/FzFUdQtEvOzZVZ2T4rz826sTs5Py5OsVH31cnh9mdlcccsMEM8VNLzg+hLIwQhKZH0534j98PkN0+aS1Wf14qU5Qvms3upt7nqcldY/0Mrz7Xqr9sP6huG6J9r0s9l353u3ba65g3SNortmXeEJpGDEX4bw/Nw6o7uLBIEozqgXKWv14x4SJZzmBEJwsx9lNGwQAyREMM2ZRUneKxy725GAjADfpuos50KldKtOJDUj6olVp2dIR1A47ptHgWvQnY3DWcGIZ+uaeXQ2SeO0q5LstJtlUdY9yc2fqv/+OO6flHOvBNWdyuaKW4m3s69VgpPwQutOJAcjLFF15y/M+cv6qJ65OPyR5RqRem3z0fKo4OU789XPq/OUL5yj/LTeAmo7Yfnp7M/Fya66ESdRdCNR9i3ed5A+VHQfrilQkRSMUM0RqFZVdxcJAhGojq5u95AgweQpEoKbJAljYZenSIhg8jROVU/Za+5QPkYaaFGdJtFMzsw+26gPoNSMkCdWp+4RHUHZuO8dhc0vTptHs4IRG3XqE53tdoCx79NMPB28+1GUrcJtuAOM1NzVUPGH1QFG6rWM5rXNd4CRAioWIAHOZt2e1LrVSA/r2yE1kHj2mS5Y3X07pCYSDz2vKUWFxq2mO0jfDqlxkL4d15Lx4O7e0dHwaJ6O696SSbJ7kKT6v0z/Z/pM5l8x8U6DmBS9a79zb1+MScy67Xb5EFtLzLu8Lh9JvOjyMfOxzeT7YpOJubcNia5JbgzcDAdiBmImbO754TBcG33jhSFwIRyKERQTgfz4aK/uLMxasXYotpaY+8gzHELgqXTgqXTgqXTgqRLTCpQSeEZiRGL25HUOScoi7ylr0HkgtpSYROmdQ5YB54H7ZT0Sm8tJq6JnZzF39AabSmp/O31EGgPNA3+gORabT0yozP4i+pE5tgeZscjSrS0MOfax3koSHiUVL3hhCMjBWBGkTvW3szAE9KGi+3DdeTGQgrFK2sL8GQgStjAEBAlXGAJCcBeoCWPhmLUDIbaiMITkY6SBNmadi7lnMi8lJO75J5KaEfLI0yb6iI6gbNz3jsLWUBhqHM0KRry9u+Ud92XfSlKuK2h4wcUpkIMRlajiNORueaRrFN0162pOIAUjAHM0pzXc3kWCQDSne7c8EiWc6gRCcLMfZTRsEAMkRDDV6dstDwVkBPg2ZWc6FyqpW3YiqRlRTyw7fbvloXDcN48C16A7G4ezghFvb5u5xNEFJMm4rqDhBdedQA5GWCLrTkCbOaQLFN0F6+pLIAUj0jL0pb8NCJIHJDPtbeaQIOFEJhCCm+oIY6GSorAfrx8gSYIpTdOazDql2YfiMQJ6mzozmwuTzK0zkdSM6CfWme5ec1A07qtHQWtQmY2DWcGIt7fXnONK8lvzbdUMV9DwgqtMIAcjKMlUZiu95pAeUHQPrCsygRSMMNueyATyQESmq9ccEiScyARCcDMdYSzitCiSXqRsLAMkSzCZaTqUWSc1+1A8RkRvU2aquTJxXil3AKVmxD+xzHS3nIOicV8+ClqDzGwczApGvL03yCWu1h851xU0vOAyE8jBCEo8mfkHeoMccqwUfazWFcRACkZCYAhiyg1ySCqILHaIYiBGOFEMhODmZcJIOMr7QIhgathcOJbb8PaheIzE06Yanl86lrhvkINSM4KfWA27b5CDonHfOgpagxpuHMwKRqz/9w1DbXTg131yt92mI9bF9FuJ/xqTfJUyWNOR2FrNuS21dzVm/FvpOpLOuo1kNmfdkTorozlrC5qNCAEVC5AAZ7NuT2rdaqTHNRsRGkg8Ls1Qq+5mI0ITieek11SiQuNW8x2m2YjQOEizkWsDHqVlr3SspEoNJ+bPltuHSK0lZlBm+5D+sn2I8+qy+2KTiUmUJbote9Otjj4QW03MZs0NQ6imHopNVUxTyQ+G9t7OwqwVa4dia4l5SjwbyQuV98zwXTd6JDaamLt4rT48AeKB2FJiCmO0+ugvW304g8OR2FxOUpM8Da63rZJa3E5zD6qZx2IziWmN28Sjv3NsDwhjkaW16CJNgA2Mc87rmfpL572uJh7+C5auUVLxbLNjDxVnhmzjuI3kYKy0UWfOf9glHuBYKfpYrTuvBVIwVjkZ819SiQdIFbLEA8QIV+IBQnAXmwkj4ZiAAyGClniUDW8fisdIPKzZZkOJZ34tY+K+YxNKzQh+4kmVp8SDROO+dRS0hhJP42BWMOJaDU8mZxcn5/mkOzmJzeao5KQ7yU7ybp6pk/zkQk8Z+9nL4dWwdSn4VlJyXUHDC66GgRyMoMRTw8+f3lzdVW++pqL5lnr/qU0guqKjrysugRSM+MoQlw0b6oE8EFmZ9KLMRnIPSRJOWQIhuDmOMBgOZQmECKYs86ynHJuHkHiMIN6mspxfvJi479GEUjMin1hZOgd0BEXjvnUUtAZl2TiYFYy4VpYXp6f5Rf/ktFv0T0+1Cj2NuyfZ5LR7kU+SZHJyUhT9eUANqixTmytupf47myyuoOGFVpZIDkZQkitLX18QLS8JfUGQLlB0F6ypMJEUjDjbmsJE8kAUpqsvCBIkmMBEQnBTHWUsbBADJEQwganiXm5NSftQPEYsb1FgpvPLE1P3VZhQakbgEwtM54COoGjct46C5heYzYNZwYi3t+Fx6mgJknruHLG7goYXXGACORhBiSwwAzY8RrpG0V2zrvAEUjDiL0N4OhoeI0FAitPV8BiJEk5zAiG42Y8yGjaIARIimOb0NTyGAjICfJuqM54LFfc9j1BqRtQTq05fw2MoHPfNo8A16M7G4axgxNt7C1zq6BGSJlxX0PCC604gByMsUXXnVt4Ch/ShovtwXYEKpGCEao5Ataq6u0gQiEB13QKHBAknT4EQ3CRJGAuHPAVCBJOnnlvgoHyMNNCmOp3fG5a6b4GDUjNCnlidxiqJeqljVRQJx33xKHAN6rRxOCsYsZGnPtXZbquOzAZ3az7KVrh+FKlVuE236pDauxos/iBadUidldGctflWHVJAxQIkwNms25NaRzwC3YKiFRpIPO5MV6ruVh1SE1d1KKRVh9S41TQHadUhNS5Iq47SlF2Vze59sd3E9Nlupw6xtcQEyuvUkaaLTh2p83qx+2KTiTmUJbapJ90PxFYTk1mLnTrEpiqmqeQHQ3tvZ2HWirVDsbXENCWehbhjxEhsMzFztdeoQ2wpMYHRG3UsY8MDd2w4EpvLSWmSh8HZqENqceBGHWIziVmN2ahDPwzH9ngwFlm6tXWWzNGoI814lFS84HUWIMdqvveNDnHevJ11FqAPFd2H6842gRSMRccWZqVAkLB1FiBIuDoLEIK73EsYC8dcGAixFXUWJB8jDbCmfg11lvkNhqn7OkooNSPkiWc47hEdQdm47x2FraHM0jiaFYx4ezefOxLHrXkvFYYraHjBxSmQgxGVqOI06OZzoGsU3TXrak4gBSMAczSnNdzeRYJANKdn8zkQJZzqBEJwsx9lNGwQAyREMNXp3XyOBGQE+DZl5/xGw9R9PSWUmhH1xLLTu/kcCcd98yhwDbqzcTgrGPH29mvLXF01cq4raHjBdSeQgxGWyLqzxX5tSHRFR19XVwIpGBGWoSsbumkAeSDy0tmvDUkSTl0CIbg5jjAYDnUJhAimLt392qB4jCDeprac3w+Yui97hFIzIp9YW7r7tUHRuG8dBa1BWTYOZgUj3t5+bZlrm7nn9g+7K2h4wZUlkIMRlOTKsoV+bUAXKLoL1lWYQApGnG1PYQJ5IArT2a8NCBJOYAIhuKmOMhY2iAESIpjA9PRrQ+IxYnmbArM/1yTOm9gOoNSMwCcWmJ5+bUg07ltHQWsQmI2DWcGIw55MVDa4W2nhhbt27HLjJxOF9q6Gij+Mk4lCZ2U0Z23ByUQhoGIBEuCSyx9fvrnbSWefstknZT5pLfnetefiM7Od9gOzS7ebOn7gYafe5PCFeXjeN0POe452O/Xa9pN63mF2Tnza6XbiRNV7JfQ33zDX9X1o9lKYa/Cmn85/pnb/D/Uf+bD+W/UXnsyfRD0Wxuh3640Zb13+bXf6L/prn9aW/97Y/dzf+XZntrRewzydW/7CtXwzi6kw84fki6t5lnbWp8Zvv1HRX2VRvTv5ven7Krp8W0Uzug+nT7Ulb9Z+NbtJHpu/9RMzLTNuMfuY6y8+mtnxuN7Y/Hpti7kF0NxHOPfIfIt0/ZtrPp1vPtl9brB+Of2n6W+n/6z/e7cz/Z2ZEtZWPKw3Vn9qnov6r3w2+xfqOPKjy590UtXNlOH+qJ5Afv4/PppxmH/p4/p9eGPmmatNM/Vcxfy12qCaRr9O0W4R6ZHWn1Tnf/7+L21vzZ70rVkVHrgTs0IDieeO6NMnz4lZoYnEA0drToyExnGOFxG855jwCI2DnJi9Jg4Hd/eOjoZHc3lYjQ9eOkjL3YMs0v/F+r9E/5d+xbyiGsRIxt3Iqhr3xZhEFdjyAVuptUQdyDxgWywP2DpvgLsvNpkoBduYMWqSGwM3w4GYgajQmo/bOgzXRt94YQhcCIdiBMVEID8+2qs7C7NWrB2KrSXmPvKEmxB4Kh14Kh14Kh14Kh14KlLgGYkRidmTd2o3KYu8pxyndqWWEpMo49RusTy163xZj8TmctKq6NlZrGV4g00ltb+dM7yNgeaBP9Aci80nJlTu2d5i59geZMYiS2txSLqi1MA414w8K2bSdSPX2d6SR0nFC15sBHIwFqipK0+zYuMPzNTVTD3NRNVMXB+bCeblO2YG/sSsqjjWoup59C/0LP5XnZfqWfRTMwHXM80fmsmr/rX5mpn766/NF2ue1pPe+dcuf6gn1earX+jvf3z5Ez31r88T1zNwPT/vfWW+NPXCbN9srnthSj/7oaQzW30w9j7Tf5OZZ39//m89to3VHeRYKfpY0deFbBR7SApGcYAxT68XZepli3phzkZ1F0kFqY1aw9o9JMaqbvFgrLkAAITg1mgII+FYKABCBKuMmjvbHVvvkHiMxNPGPHcx253frpm6r0qFUjOCH3miZhtQZUMbQdG4bx0FraEy2jiYFYx4ew91KMdh4iziuoKGF1oNIzkYQYmnhts51IFEV3T0NcUlkoIRXxni0r/lDskDkZXOQx1IkmDKEgnBzXGEwUjTuJeUVgE2QKIE05fuox1QPEYob1FfZvPLNTP3TalQakb8E+tL99EOKBr33aOg+fVl82BWMOLtPdqhHIeGM8/lXXZX0PCC60sgByMoyfXl+kc7kC5QdBesqzOBFIw4257OBPJAdKbraAcSJJzMBEJwUx1hLOKk7JXWhYEBkiSYyjTHATIb3j4UjxHQ21SZ86s0M/fNqFBqRvQTq0z3+Q4oGvfVo6A1qMzGwaxgxNvbElE5DhBnCdcVNLzgKhPIwQhKZJUZsCUi0jWK7pp11SeQghF/GerT0RIRCQKSna6WiEiUcMITCMHNfpTRsEEMkBDBNKevJSIUkBHg21Sd8ysyM/eNp1BqRtQTq05fS0QoHPfNo8A16M7G4axgxNt7T4xynELOUq4raHjBdSeQgxGWqLpzK++JQfpQ0X1IF6iSM7E28j0kOSO8c0StVQneRYJARK3rbhkkSDhJC4TgJlbCWDgkLRAimKT13C0D5WOkjjYVbTqXQM6LEA+g1IyQJ1a0nrtloGzc947C1iBoG0ezghGHbZRj3X1xK8u8cP1VuE03ypHauxor/iAa5UidldGctflGOVJAxQIkwMWM1jh9Wmuc/HpbFj3BmPVlEfe5qc/ITX9uvF0/lh+bJ3f+xz/v1Ns/PplNcub9Zeovz/6Cet5kfWQ5bWw6G+ljQ+pNk9b9bh7NfnbGU7vn4xf+VLQbGaafX75p/tRL089v/I+H0/e/0rM9oHvSB5R4Lr+FOY3QQOKpevpcxd2TRmoi8Tj9mrMQoXGrSgfSk0Zq3MZ60mRq9yDL9X99/V+h/ytnrSGyzNeTRoxJFFzt9qQRW0uUXLyeNFm26EmTOW9XvC82mai62pidaZIbAzfDgZghYzKwW0Vow18YAmdPGjGCYiKQHx/t1Z2FWSvWDsXWEnMfeXJLCDyVDjyVDjyVDjyVDjwVKfCMxIjE7NleTxqxpcQkSu9Jsww4D9wv65HYXE5aFT07i2UDb7CppPZje9IsA80Df6A5FptPTKjMnjT6kTm2B5mxyNKtrSPmjp40meJRUvGC1xGBHIzFYOoiz3bWEYE+VHQf0pdGbBR7SArGAnkL82cgSNiaIBAkXE0QCMGtTRDGwjFrB0JsRU0QycdIA23MOhdzz/lNsZn74l8oNSPkkadN9BEdQdm47x2FraEm2DiaFYx4ew9X5K4WMTnXFTS84OIUyMGISlRxGvRwBdA1iu6adTUnkIIRgDma0xpu7yJBIJrTc7gCiBJOdQIhuNmPMho2iAESIpjq9B6uQAIyAnybsnN+jWzmvhMYSs2IemLZ6T1cgYTjvnkUuAbd2TicFYx4e1sT5q7WMf776yyuoOEF151ADkZYIuvONlsTAtEVHX1dXQmkYERYhq5saBkD5IHIS3drQiBJOHUJhODmOMJgxEncK11NY4AowTSmpzUhEo8RyttUmPN7ZDP3pcBQakb8EytMT2tCJBr33aOgNejLxsGsYMTb25owdzWNKbiuoOEF15dADkZQkuvLFloTAl2g6C5YV2cCKRhxtj2dCeSB6Exna0IgSDiZCYTgpjrCWGT9XmGN2wMkSDCR6elMiMRjxPM2RWYx1yXuG0Wh1IzgJxaZns6ESDTum0dBaxCZjYNZwYi397bB3NUhpuS6goYXXGQCORhBiScy/0BvG0SOlaKP1bpqGEjBSAgMNUy5bRBJBdHE9tsGkRjhFDEQgpuXCSPhKOsDIYKpYfdtg1A8RuJpUw3PL6jL3LcNQqkZwU+sht23DULRuG8dBa1BDTcOZgUj1v/7xnM6MNOfvu5Tve22m+nbYG8pz9U3eZkWq7CB2s0k9jXg21JzVyPHmt1mfrui6x525s1hnhLaxeRJvjiU9LxYnHeQ6caR6SDTTazjdUfqgIzmgM13kJECKhYgAc5m3Z7UutUYDmsfIjWQeACaoUOd7UOkJq7qTEj7EKlxq5kM0j5Eahykfcg1CRGpXqRsdu+L7SZmREE/kCRRrn4gYmuJOZHXD0RFi34gynmB3X2xycS8yFLTls3mVkcfiK0mJrPmDiBUUw/FpiqmqeQHQ3tvZ2HWirVDsbXENCWfZjhjxEhsMzFz8Vp3eOLDA7GlxARGb92xjA0P3LHhSGwuJ6VJHgbXy1ZJLW6nWQfVzGOxmcSsxmzKoR+GY3s8GIssNaZGaZLl56dxNznrJ90sKePuSZpH3Uma5yqPVJmezJ8S5yTWM6WXTmQdTTmU534tGyUVzzbd9VBxprw2jttIDsYKGnUuTCzdXCuFPDdlxtdv/ux6bWb2781m3c+1yjR/6r3pb+p9Tu9N3+/0lfsYJnKkFH2k1p3TAikYa5eMuS+lcIOkCli4QWIEK9wgIbhLyISRcEy+gRDBCjdxrDOosvHtQ/kYeYc11/RXbtT8Uk7lvmEVSs2IfuIplXtER1A27ntHYfOXbppHs4IR12r4bBKl52enF92T7KzsZpEqumXZT7vFRF1cRJOoH51tQg1bF4Jvzc/3M1xBwwuuhoEcjKjEU8PU3fJ9Rdktj3SBortgXZkJpGAEWobM9O+WR/JABGbUK6x7Nu4hScJpTCAEN9dRBsMGMUBCBNOYedrrpza8fSgeI5i3KTHn928q93WqUGpG5BNLTOeAjqBo3LeOgtagMBsHs4IRz5ogq1JNirNz/U3TGyQ+LbuT8yjuluf9/iTpn2fn8dnL4RWmdfBvzXsPMlxBwwuuMIEcjKAkU5izBczVjh+d2Ze1vJw1/Zivfmb2ieIdpAcU3QPrCkwgBSPMticwgTwQgZnYCzP3kCDh9CUQgpvpCGPh0JdAiGD6slS9yLo5ch+KxwjlberL+XWYyn25KZSaEfjE+tI5oCMoGveto6A16MvGwaxgxNvbx7jv6PehMq4raHjB9SWQgxGUyPoyYB9jpGsU3TXrCk8gBSP+MoSno48xEgSiON19jJEo4TQnEIKb/SijYYMYICGCaU5fH2MoICPAt6k6s7lQcV/fCKVmRD2x6vT1MYbCcd88ClyD7mwczgpGPOtjHCdleaZOu5N8UnQz1S+6RRyfd8vJaX5yniVlkkxeDq87lc0Vt5TiuoKGF1x3AjkYYYmqO381OzLZmX60vOWt7q1Rr2w+na1rLm5z+8X0/el73elvErNX81fT303fvbquzaM2gQ5RdIesqzaBFIy4y1GbVol2FwkCUZuJ46Y2JEg4rQmE4GY8wlg4tCYQIpjWjKOspxwLnEg+RkxvU2rO7/ZS7pvaoNSMkCeWmu4RHUHZuO8dha1BaTaOZgUjNlLTpyDbbadh7Tx6a9632grXj6JrcJtupyE0dzVUfHnbaQgdkNEcsAXtNISAigVIgLNZtye1jnhOuQWNKjSQeCiZrj097TSEJhJPI6+pKoXGrWYuTDsNoXEbb6chtZuYEVtupyG1lpgTme008mU7DeelXvfFJhPzIks+U8+jH4itJiazNttpSE1VTFPJD4b23s7CrBVrh2JriWlKPK/wtdOQ2kzMXC2205BaSkxgjHYa+bKdhjM2HInN5aQ0ycPgbqchtDh0Ow2pmcSsxm2nke8c2+PBWGRpLaoTdTLJCtVNs/ism53k/e6kHxXdMlNReqKi/GIDndALVzsN/81Dlnk6DS94GQTIwVgyo86F+WWQr97lVUGA/lB0f6w7cwRSMJYEW5hhAkHCVkGAIOGqIEAI7mosYSwc81ogxFZUQZB8jJDOmsZ518010nzd3H2tI5SaEfLEsxVfFQTJxn3vKGze0Rw1j2YFI97efd6Fq1OF//YhiytoeMGFJpCDEZWoQjPoPm+gaxTdNetqTiAFIwBzNGdqA7mLBIFoTs8+byBKONUJhOBmP8po2CAGSIhgqtO7zxsJyAjwbcrO+d2Ayn3RI5SaEfXEstO7zxsJx33zKHANurNxOCsY8fZ2SCtc/StKritoeMF1J5CDEZbIuhPRIQ3oAkV3wbr6EkjBiLQMfdnQwALIA5KZrg5pQJJwKhMIwc11lMGwQQyQEMFUpqdDGhKPEczb1JjzG/eU+/pEKDUj8ok1pqdDGhKN+9ZR0BoUZuNgVjDi7e2QVjg6WOSeezfsrqDhhVaYSA5GUJIpzFY6pCE9oOgeWFNgIikYYbY1gYnkgQhMV4c0JEgwfYmE4GY6wljY9SUSIpi+dHdIg+IxQnmL+jKPZpIkd16BdgClZgQ+sb50d0iDonHfOgqaX182D2YFI97eG88KR6eK3HPdhd0VNLzg+hLIwQhKPH35B3njGXKkFH2k1tXBQApGOmDoYMqNZ0gqiBp2aGEgRjgtDITgZmXCSDi0MBAimBb23HgG5WPknTbF8PyOrNx94xmUmhH9xGLYc+MZlI373lHYGtRw42hWMOKw3TRKG9ytPPHClatwG+6mITV3NVR8abtpSB2Q0Ryw+W4aUkDFAiTA2azbk1pHPKbMkKuOs05SA4lnkhnK09lNQ2oi8TDymqpSaNxq5oJ005Aat+luGmK7iRmx3W4aYmuJOZHXTSNPFt00cueVWffFJhPzIks+U4+jH4itJiazFrtpiE1VTFPJD4b23s7CrBVrh2JriWlKPK/wdNMQ20zMXO110xBbSkxg9G4ay9jwwB0bjsTmclKa5GFwdtOQWhy4m4bYTGJWY3bT0A/DsT0ejEWWbm2ppnR008hTHiUVL3ipBsjBWDKjzoX/kEs1wJFS9JFad04LpGAsVjLmvqRSDZAqZKkGiBGuVAOE4C4ZE0bCMfkGQmxFqQbJx8g7rLlmQ6lmfhlg7r7ZEUrNiH7iKZWvVINk4753FLaGUk3jaFYw4u09elk6Wn7kGdcVNLzgahjIwYhKPDXc7tFLpAsU3QXrykwgBSPQMmRmw854IA9EYDqPXiJJwmlMIAQ311EGwwYxQEIE05juo5dQPEYwb1Nizu/9y93XOEKpGZFPLDHdRy+haNy3joLWoDAbB7OCEW/v0cvS0dwjV1xX0PCCK0wgByMoyRRmO0cvgR5QdA+sKzCBFIww257ABPJABKbz6CUQJJy+BEJwMx1hLBz6EggRTF96jl4i8RihvE19Ob/tL3ff3QilZgQ+sb70HL1EonHfOgpag75sHMwKRry9TYtLV2uPnOsKGl5wfQnkYAQlsr4M2LQY6RpFd826whNIwYi/DOHpaFqMBIEoTnfTYiRKOM0JhOBmP8po2CAGSIhgmtPXtBgKyAjwbarOfC5UnJe0HUCpGVFPrDp9TYuhcNw3jwLXoDsbh7OCEW/vrWylq+WH/94QiytoeMF1J5CDEZaouhN+KxvSH4ruj3XFJpCCEXY5YtOq0O4iQSBi03UrGxIknNQEQnATHmEsHFITCBFManpuZYPyMUJ6m0pzfo9X7r6VDUrNCHlipem5lQ3Kxn3vKGwNQrNxNCsYcdhuGrE1At3KvXd/xNEq3abbaQjNXY0VX952GkIHZDQHbEE7DSGgYgES4GzW7UmtW43auHYaQgOJh5Lp4tPTTkNoIvE08pqyUmjcaurCtNMQGheknUY/6feywmb3vthuYkpsuZ2G1FpiTmS20yiW7TScN3jdF5tMzIss/Uw9j34gtpqYzNpspyE1VTFNJT8Y2ns7C7NWrB2KrSWmKfHEIi2yxHn4S2o0MXW12E9DaikxgzH6aRTLfhrO4HAkNpeT0yRPg7ufhtDi0P00pGYS0xq3n0axc2wPCGORpVtbB4kjV0ONkodJ5QteCAFyMFbNqLNhfCEE6A9F98e6c0cgBWNVsIU5JhAkbCEECBKuEAKE4C7IEsbCMbMFQmxFIQTJxwjprIlcQyFkfu1f7r7DEUrNCHni+UqskqiXpja4ERSO++JR4BoqIY3DWcGIt3ert5aa1tRxqx9xfUHjCy01kRyMuESVmiH3eiNdo+iuWVN1IikYIZijOq3x9i4SBKI63Xu9kSjBdCcSgpv+KKNhgxggIYLpTt9ebyggI8C3KDz78/sA++7LHaHUjKgnFp6+vd5QOO6bR4HzC8/m4axgxLXwnEzOLk7O80l3chKb84jJSXeipWo3z9RJfnJRlnE/e3kDwtOaBm/1vZf72HxB4wsuPIEcjLhEFp7X2qSttrAwX1PRvH+Ftz0aEl3R0dcVlkAKRohlCEt/9wokD0RfurpXIEHCqUsgBDfHEcbCoS6BEMHUZZ71VG7D24fiMWJ4m9pyfrte331XIpSaEfjE2tI5oCMoGveto6A1KMvGwaxgxLWyvDg9zS/6J6fdon96qlXoadw9ySan3Yt8kiSTk5Oi6M8Dalhlmdl8caufcH1B4wuuLIEcjKgkV5a+BrxaXhIa8CJdoOguWFdhAikYgbY9hQnkgSjMqGfdTnQPCRJOYQIhuLmOMhY2iAESIpjCVHEvty527EPxGLG8TYWZzEWJ8wK0Ayg1I/CJFaZzQEdQNO5bR0FrUJiNg1nBiLf3vjOtMJXNF7fmTZkZvqDxBVeYQA5GVOIpzD/IC8+QI6XoI7WuEAZSMPIBQwhTLjxDUkHksGO5FYgRTgwDIbhpmTASDjEMhAgmhj0XnkH5GHmnTTU8vyKr777wDErNiH5iNey58AzKxn3vKGwNcrhxNCsYceBuGvYDSGbp10MXr9JtuJuG1NzVWPGl7aYhdUBGc8Dmu2lIARULkABns25Pah3xmDJDrzpOOkkNJB5JZkhPZzcNqYnEs8hrykqhcaupC9JNQ2pckG4acZKXvcSxKio1nJgT222nIbaWmBR57TT62aKdRt95Z9Z9scnExMgS0NTj6AdiqzOm1eTHwtlOQ2yqYppKfjC093YWZq1YOxRbS8xT8pmFO0iMxEYTc1d77TTElhJTGL2dxjI4PHAHhyOxuZykJnkanO00pBYHbqchNpOY1pjtNPTDcGwPCGORpdtbrokd7TTMFnkOJpUveLkGyMFYNqNOh/+QyzXAkVL0kVp3WgukYCxYMqa/pHINkCpkuQaIEa5cA4TgLhsTRsIx/wZCbEW5BsnHyDus2WZDuWZ+H2DffbkjlJoR/eSTKk+5BsnGfe8obA3lmsbRrGDEtRym3TQeXg5bF4Nv9XOuL2h8weUwkIMRlnhymLo/vq9I++OBLlB0F6yrM4EUjEjL0JkN++OBPBCFGfUK60Gqe0iScCITCMFNdpTBsEEMkBDBRGae9vqOUhASjxHM29SY87v/+u6rHKHUjMgn1pjOAR1B0bhvHQWtQWI2DmYFI64lJu2y8fAS0zr6t/reu4ZsvqDxBZeYQA5GVJJJzNkS5mp7j87sy1pfzjp8zNc/M/tU8Q7SA4rugXUVJpCCEWfbU5hAHojCdPb4AIKEE5hACG6qI4yFQ2ACIYIJzFL1InvjYigeI5S3KTDnd/713Tc4QqkZgU8sMJ0DOoKicd86ClqDwGwczApGvMVti2NXj4+C6wsaX3CBCeRgRCWywAzZthjoGkV3zbrKE0jBCMAM5elqWwwEgUhOT9tiIEo40QmE4KY/ymjYIAZIiGCi09u2GAnICPBtys5irlScN7UdQKkZUU8sO71ti5Fw3DePAtcgPBuHs4IR18IzSU7U+UU26UZ5rrpxfF50i+is7EaRilReFHGp5oosrPBUNl/c6pdcX9D4ggtPIAcjLlGFp+Vqtg+N6KyvaHs6+2a9ujn9xfTn01/V97AZZal/b114uoPkV3T+ddUlkIIRZznq0irJ7iJBIOrSdRUbEiSctgRCcDMcYSwc2hIIEUxbprHqKWXj24fyMUJ4m9JyfndX330VG5SaEfLE0tI9oiMoG/e9o7A1KMvG0axgxIG7aFhzwa3Cf91Hskq34S4aUnNXY8WXtouG1AEZzQGb76IhBVQsQArce9rwj/XwPpw+2e3Elz++fFPHiNmndPYpm31S5lPPnLwyZ8ceaf3/zGxy0H/YnBSbfmCmA91M/4DlsTELzV+Yter3zWNhVqW1v/RXn+q/6w3zQNXL0p+bJehHtfue1H/DD+pvfzb7Vn0BdP1R/4lOvZXiSb1L1/zRTxeHwHb1o2YOtH1oFrjrWcmn8x+oB+iH+uc/rP9G/YUP9fcf1hyznRmfGhL9lzy23Tv9dLq4ebr+gSfzR//h7LezS6j/NKn/deOT2b85+4trNz01B+1m4Prbj+uV+dfZ2LOH7rmzcNp5n9an4frqr7KoPk333vT9vrp8W0UzX3yo/+m39DP7+tzPj83f+onZ71xP257WX35s3mFjx+N6TF6vbTHD93CO/mmnPsz1eOao6+6f1w92Zz82G9var5c/uvxJJ1XdTBmWj+rd1p+nM9PMH/64fmXemMFelTLqXRdmfPS/URuo37hot4g6XfNJdf7n7//y5Ze/ZXu39qTv1qrmgPWAkRpIPEdPnzq5e8BITSQeoF9vUiQ1blV4QXrASI2D9IC5JgsHd/eOjoZHc2FYjQ9eOiji3YMi0f+l+r9M/6e+Yl5SDWLE4m5k1Yv7Ykyi/mu3Y4zYWqIA5HWMKaJFx5jCeUPdfbHJRBHYxmRRk9wYuBkOxAxEHdfcP8ZhuDb6xgtD4EI4FCMoJgL58dFe3VmYtWLtUGwtMfeR59qEwFPpwFPpwFPpwFPpwFORAs9IjEjMnswuNEXa7ynrYDwQW0pMovQuNMuA88D9sh6JzeWkVdGzM1/F8AebSmp/Oz1pGgPNA3+gORabT0yozF41+pE5tgeZschSY+okTsryTJ12J/mk0BOCftEt4vi8W05O85PzLCmTZDKDca4WedbKxCtGjl41hf8ir2uYVL7Q9UUkB2NxmrroZKkvLqbgiwn4p/MDFfNZ9/Q3iZn0/mr6u+m7s2+YmqN7OxvSIYruEPoajY1iD0nBWH1vYTYMBAlacESCBCs4IiG4hQ/CWDjm4ECIYAXHOMp6yn6EAsrHiOltzCEXM8n5zZqF+5pUKDUj5JEnQfQRHUHZuO8dhc1fcGwezQpGvMVnKByZ41aRcH1B4wsuNYEcjLBElZohz1AgXaPorllXdAIpGBGYIzpTG8hdJAhEdLrPUCBRwslOIAQ3/VFGwwYxQEIEk52+MxRQQEaAb1N3zu/bLNyXp0KpGVFPrDt9ZyigcNw3jwLXIDwbh7OCEW9xA8LE0R2mSLm+oPEFF55ADkZcIgtPQANCpAsU3QXrCkwgBSPUMgSmvz0MkgekMx0NCJEk4WQmEIKb7AiDkffTXlFax2OARAkmNk3XOuusZh+KxwjpbUrN+V2WhftmUig1I/6Jpaa7DSEUjfvuUdAahGbjYFYw4i1uQ+g40XCryLi+oPEFF5pADkZUkgnNVtoQIj2g6B5YV2cCKRhxtj2dCeSB6ExXG0IkSDiZCYTgpjrCWMR5pnrKITOBKMFkpuldV9jw9qF4jIDepszM5srEeeHgAZSaEf7EMtPdjBCKxn33KGgNMrNxMCsY8RbfL5g4esIUiusLGl9wmQnkYEQlnsz8g7xfEDlSij5S68phIAUjHzDkMOV+QSQVRBQ7JDEQI5wkBkJw0zJhJBwFfiBEMDFc30ZnFfv7UD5G3mlTDc9vpCvc9wtCqRnRT6yGPfcLQtm47x2FrUEON45mBSMO3MjGuop+a16cc9Glq3SbbmQjNHc1Vnx5G9kIHZDRHLAFjWyEgIoFSIFrt5GN+lI2sqmbptS2NDe0aW5n89W75mjdv3e0CdbRpudsaSN8y1bVB66ljdBA4qF8xhTK3dJGaCLxNP6a0yOhcasSDNPSRmjc5lra9HcPikL/V+4elJH+L553lsi9LW2kmEQl2HJLG6m1RCnIbGmTL1vaOO9lvC82mSgH25g2apIbAzfDgZiBqOjWaGmT33hhCNwtbaQIiolAfny0V3cWZq1YOxRbS8x95Fk3IfBUOvBUOvBUOvBUOvBUpMAzEiMSs2eLLW2klhKTKKOlTb5saeN8WY/E5nLSqujZWaxneINNJbUf3NImv/GC690tbaTmExMqt6VNvnNsDzJjkaXbWx5NXS1t/PfWXcOk8gUvjwI5GMvU1OWnP+TyKHCkFH2k6MtINoo9JMWqTPFQMKbppPIokCpkeRSIEa48CoTglmkII+FYJwBCbEV5FMnHyDttzHMXs935ZbeF++ZiKDUj+pEnapzyKJKN+95R2LyjOWoezQpGvMWnn1NX2x3/bXoWX9D4gsthIAcjLPHkcMunn4EuUHQXrKszgRSMSMvQmQ2nUoA8EIXpPv0MJAknMoEQ3GRHGIwkTtNeFllj9wDJEkxreo4/I/EYMb1NqTm/3rZw31YMpWYEQLHU9Bx/RqJxXz4KWoPSbBzMCka8xcefU1efnZLrCxpfcKUJ5GBEJZnSbOf4M9ADiu6BdYUmkIIRZ9sTmkAeiNB0Hn8GgoTTmUAIbqojjIVKorKXWffvDpAowWSm5/gzEo8R0NuUmfO7bgv3zcVQakb4E8tMz/FnJBr33aOgNcjMxsGsYMRb3Ec8dXTZKf0381h8QeMLLTORHIyoRJaZAfuII12j6K5ZU38iKRgBmKE/HX3EkSAQ4enuI45ECSY9kRDc9EcZDRvEAAkRTHT6+ohDARkBvkXZWUYzpVK6b0OFUjOinlh2+vqIQ+G4bx4Fzi88m4ezghHXwlMl6mSSFaqbZvFZNzvJ+91JPyq6Zaai9ERF+cX56csbEJ7K5otbpf8yH4svaHzBhSeQgxGXqMKTf1fiV++yrkpE+kPR/bGu2gRSMOIuR21aJdpdJAhEbbquSkSChNOaQAhuxiOMhUNrAiGCaU3PVYlQPkZIb1Nqzi/XK91XJUKpGSFPLDU9VyVC2bjvHYWtQWk2jmYFIw7c0iaz0d0qEy9dtkq34ZY2UnNXY8WXtqWN1AEZzQGbb2kjBVQsQApcyy1tpg831tSm6O9+qdraPF5+c/NWrra7eWRtw/PYWNWZ/t96gH+9++99eVrty2MLE3vSMLEqn2A9eaQGErsK0GeB7p48UhOJ7QTWnN8JjVvVkJCePFLjNtaTp0x3D8pM/6f0f7n+rz9rjVEmvp48YkyilG23J4/YWqKW5fXkKZNFT57SeRvmfbHJRD3bxrxXk9wYuBkOxAxESSrvyaMNf2EInD15xAiKiUB+fLRXdxZmrVg7FFtLzH3kZQNC4Kl04Kl04Kl04Kl04KlIgWckRiRmz/Z68ogtJSZRek+eZcB54H5Zj8TmctKq6NlZLMh4g00ltR/bk2cZaB74A82x2HxiQmX25NGPzLE9yIxFlm5v6TRz9OQpUx4mlS946RTIwVhnp66f4UunQH8ouj/oq002ij0kBaOO0MJkGAgStnQKBAlXOgVCcEs4hLFwTMGBEFtROkXyMUJ6G1PIxURyfmtv6b6CGUrNCHnkORB9REdQNu57R2FrKJ02jmYFI97i0yGZo91NmXF9QeMLrjSBHIywRFWaQU+HAF2j6K5ZV3QCKRgRmCM6UxvIXSQIRHR6TocAUcLJTiAEN/1RRsMGMUBCBJOd3tMhSEBGgG9Td86v8S3ddzJDqRlRT6w7vadDkHDcN48C1yA8G4ezghFvcZ/FzNH9plRcX9D4ggtPIAcjLpGFJ6DPItIFiu6CdQUmkIIRahkC09/+BskD0pmOPotIknAyEwjBTXaEwYhV2cvtLa8HSJRgYtPdZhGKxwjpbUrN+RW5pfvCYyg1I/6Jpaa7zSIUjfvuUdAahGbjYFYw4i1us5i5+t/kXF/Q+IILTSAHIyrJhGYrbRaRHlB0D6yrM4EUjDjbns4E8kB0pqvNIhIknMwEQnBTHWEs0qLs9R0qE0gSTGW6uyxC8RjxvE2Vmc+FifumVCg1I/qJVaa7yyIUjfvqUdAaVGbjYFYw4i2+RTFzNbvxX6Fj8QWNL7jKBHIwohJPZf5B3qKIHClFH6l11TCQgpEPGGqYcosikgqiiR2KGIgRThEDIbhpmTASjvo+ECKYGPbcogjlY+SdNtXw/N690n2LIpSaEf3EathziyKUjfveUdga5HDjaFYw4sAdeazjeav039yjVuk23ZFHaO5qrPjyduQROiCjOWALOvIIARULkALXbkeePFA/nt3rXVS6iwkHpyHPSqOad+tNy29d/m13+i/6a5/WqL83oA3ddYDNaVT0XHMaFW2sOc3VIP5y+k96kP9Z//duZ/o7M/GrrXhYtw361DwrpEY2/+MjXCcb4eu1KjtwnWyEBhLP4jPmTu5ONkITiYfw15wXCY1b1V6YTjZC4zbXyabcPYijyHyIzYfEfEjnTSUKbzcbKSpRBrbczUZqLVEHMrvZFMtuNs47J++LTSZqwTbmjJrkxsDNcCBmIMq5NbrZFDdeGAJ3NxspgmIikB8f7dWdhVkr1g7F1hLzH3nKTQg+lQ4+lQk+lQk+lQk+FS34jMSYxCzaYkcbqaXEZMroaFMsO9o4X9gjsbmc9Cp6fhYLGt6AU0ntB3e0KW684Hp3Rxup+cSkyu1oU+wc2wPNWGTp9tZHlaujTcnDpPIFr48CORjr1NT1pz/k+ihwpBR9pOjrSDaKPSQFo0LAmK6T6qNAqpD1USBGuPooEIJbpyGMhGO9AAixFfVRJB8j77Qx113MeOfX+JbuO5mh1IzoR56sceqjSDbue0dha6iPNo5mBSOu5fBkcnZxcp5PupOT2GwtTE66k+wk7+aZOslPLsoy7mcvb0AOWxevb8WR/6JAizNogKH1MBSEEZh4gvj588+rh1LM11Q0P5HiPfcMZVd09jUlJhSDEWUZGtN/IgUKBJGXriMpUJJgChNKwU11hNGwS0woRTCNmWc9ZZeYWD5GKG9RY5pF8VqWzH9hAz/AgjMCoFhmOgd1hGXjvnsUNr/MpAxohYOulebF6Wl+0T857Rb909NuVmp9epJNTrsX+SRJJicnRdGfh9awSjO1OUMrTf9FgRZn0ADDK00gCCM8yZWmr9OOlpuETjtQHyi6D9ZWnEAMRsBtUXECgSCKM+pZy1H3oCQBFSeQgpv1KKNhoxhAKYIpThX38szGt4/lY4T0VhVnvBAo7puYseCMAChWnGZQrXpjhGXjvnsUtibF2TygFQ56i1uKK0fDnThKuM6gAYZXnEAQRngiK86ATcWhvlF036ytRIEYjEDMUKKOtuJQEpAEdfUVh7IEFKFACm4ipIyHjWIApQgmQn2txbGEjDjfqgxNFqrFfUUqFpwR/cQy1NdeHEvHff8odE1CtHlIKxz0Ft+iqBw9eeIo5TqDBhheiAJBGAGKKkTh9yhCHaLoDqGrT8B52unHNt/sQX3DCOocSWuVgXehJBBJ67qfEUoSUNACKbgJlTAaLkELpAgmaD1XNGIBGemiVT2bLsSP+5ZGLDgj9In1rOeaRiwc9+2jwDXJ2eYRrXDQgXvqWHdnaIGaefHyVbwNN9UR27saNL60XXXEHshoHth8Wx0xoWIREujW7qRTbK6Tjp5Pt9dIR/9JI/wXZ+/m4n9z7XT66rl2On0Vup3OVY+ittvppG100+nZXqs98WtF7CfQxmxLaCGxFQB9FuVuqCO2kdgEYN35kdC6VfUFaakjtm5jPXXiSJkuOrn50DcfCvOhnPW10Di+rjpyWqISbLetjtxcohTk9dXR5iwa68z9bLP6vtxqoiBsYwZpYG4MPBgHcoyMicFueGFsf3EgnP115BSKSUF+joxnd5aGrRg8lBtMzInkaTghGFUmGFUmGFUmGFUmGFXEYDSSkxJza3ttduSmElMsvc/OVRB64Hl7j+QWc9Ku6DFaLnX4A1AlRsB227kKPosBcPbbkRMQ0y2z4Y55dpZGrRg7lhlbW5ucqPOLbNKN8lx14/i86BbRWdmNIhWpvCjiUs3zsXNhybOyJl5ccvTc0SGLx0kFDF//BIIwFrSp61OW+ueH9QzY1EGfzr5Z3383/cX059Nf1cVOM6XVv7eO5B2oAxTdAfTFGxvGHhSDsT7fxmQZSBK4NAkkCViaBFJwiyOE0XBN0YEUwUqTqdmQo2yA+1hARiRvY2K5nF6qRSHLfbsyFpwR+shzIvqojrBw3LePAtdUmmwe0QoHvcVHPnJnO5uc6wwaYHilCQRhxCeq0gx75APoG0X3zdoiFIjBiMQcEZraSO5CSSAi1HfkA8gSUIYCKbiJkDIeNooBlCKYDPUf+UASMuJ8qzo0X6gW9/3LWHBG9BPrUP+RDyQd9/2j0DUJ0eYhrXDQtRA9m0Tp+dnpRfck01I1i1TRLct+2i0m6uIimkR9rWBf3oAQtaZELUT9l/BZnEEDDC9EgSCMAEUWoqxuN31F63YD9IGi+2BtwQnEYIRchuBs6nYDBALpziK3odyDogSUnUAKbtojDEeR9NLC2n9oAEUJpj3ztNe3znP2sXyMwN6q8uwvZIr7rmMsOCMMipWnGVSr6hhh2bgvIIWtSXc2D2iFg65157kq1aQ4O9ffNBo1Pi27k/Mo7pbn/f4k6Z9n5/HZyxvQnZnNGVp3Flxn0ADD604gCCM8yXTnbBFztaN3Z/ZlLTpnTb3n181k9s78d6AuUHQXrC07gRiMeNui7AQCQWSnu603kCSg6gRScJMeZTQiHcBdqhOIEkx1lqoXWfn2sXyMsN6q6iwWIsV9byoWnBEFxarTDKrrRDCSjfsCUtiaVGfzgFY46C2+VDF3Nrgpuc6gAYZXnUAQRnjiqc4/yGsVoUOl6EO1tjoGYjDyAkMdUy5WhGJBNLJLIQM5AipkIAU3QRPGwrUdAEgRTBx7LlfEAjLST6vquFyIKff9ilhwRhQUq2PPBYtYOO7bR4FrksfNI1rhoPX/vvE39f92l5LKqYG/e376vVe+/S2LM1gS2LHZNPZc75OXabnK6Oqa47aSI2gdWxFui81cfbQ8ziTK1d9q4WgaWjyZS8c35j01fmragly+o0VsXaY3jUXevHxnt24S8oKefDZrOqLV5sezVh2zPh427jua++ZADH8tXLrp14uWsw4DceyIjGL7M7799IOZxuhDl9GHcqMV32j6WUxt89Bl81BuM/01kQfg2clvh+2V2PZrx3YbbOc9IMcug4/lBtMDPPOgrrZ37LJ3LLO3fjpeDpOgXCdvY899IHmZRU5Hk+1kpii7obfFhtLfPlGS6tTNov61Xpx45/LtupFZ3bpq3nZp+qkNR+ee2OQeIVPo3ONS5WL7Q+QeV/cRsdGKbzQrvAxdNg/lNtOf/rVzj0voS22H5x5XhwixwfTYLco9dnvHMnufW8QMkHuc2Sfxmh47XU22lJ197BWM22JT6W+gMP+8P313+vc2m3WSSUySERoeOsmkuwdJ0d89SJNcf8jL3YMsK12JR8oUIvGku4cG5NCAHBqQQxfIoRxE8UFY8WZoOIaGY2g4hoZj6OIYyjnor8faCSrdrQxPZXgqw1O5eCoxDzxppbvHBuLYQBwbiGMXxLEcgp4IRIks3R0bhrFhGBuGsYthLGMIO7HypLfUa3ziHACyrYL05pxgCY2lv8HUBPdeveb3js1MndNSk9OEtobOadnuQZyajqCFcwolJQmRybLdQ2P+ocv8Q7n5im8+K8wMjfVDY/3QZf1Qbj39mV87a2W7laGoXBSVmAKeq7LdY2P6scv0Y7np9GguylDZ7thYPnZZPpZZHj4vOTNT5jU/dTqebK0oMzlzk9Bc+nvKyU0f1138l1ucOvOu8fq3s19+3Kl3K5n+eT+s+5c8mn39s8vXL9+pm5g86tg4dXLLTHITwoZObqbndWySW6znanFicl1ifpWmrlwnBQuR65ROc7HJdZrm0NAcGppDF82hnEbxaVjxa2hghgZmaGCGBmZoYIYumKEchv6GrZ0JTVvj2GRCDVUZqMpAVS6oSgwFT4xK58TYJEZNcmxIjg3JsYvkWE5Czy6iPKl0ioxNntQgYwMyNiBjF8hYBmJI5nt0TIj7ui99tnEd0jJ3OrOn8lJcu+zJlT1buQ1pmTp77g0eQntXE8qatyH9rm4nay5++bTe2fGhuQHJ7Of4ZL6e+bjec/zk8kd11vxodkHS87cezW56me1Cnl2gM0u9j80tO/OrX57Om9h+urw8Ke4srrSxueeO2D2raamVq5JsJn5VbKJimSg0b09sXk4zj7H32NUGV2ohsa89Yxux+84YqY3EhvZrbhGWWreqEDB3xkitg9wZs2qzintZZrN7X243MfHxb3/JIufdL2JjiYmPefdLrJZ3v8TO/qf35VYT0x9rMnXtcXY4+0BuNjEtNU+VqLYeym1VTFvJT4fx387SsOvzHanBxIwl3ifuDBUjuc3EHMa7m8UZJh7IDSUmMsbNLMsQ8cATIo7kFnOSm+RxcDm5Epvczk0sVDuP5XYSExxz3mqeiKVR16enEmPrqcBZmhRnxVn3tCzLbnYyybuTaJJ2y1N1djbJz04uink2cc5cX520cxz3udmrc/6a8zCpfLY5rgeLM8+1gdyGgqxmf9/4ECfA7y1nrg/dM9eHlz+t2xLGKpp+btaMbeh3oOiKjr72zBGIsZqrPRhtzDCBJJgDra6mL0iScEdakRSrad9Dse68FkgR7Ehrlvf6uY1vH8vHCOGsSdw1WfHiidZ40Qw59vS3hoIzIp94puIc1BGWjfvuUdi8AzqiDGiFgzYnWX3Csd2ShzW7acno76HYX6XbeMlDaC9xzYeq+La25CF0T0ZzTyslD6GJimUiwby6ic7j+qjx0xfHq9N9fmj8mr4TJ/WVNVrQ/7ENeE8MTFySakPiCi0kLkBxpKu7iCK0kbj2tK4oFVrHWWci+M8lNoXWQYoo13Ly9buutYoq5vdax33Pvdb7cjJism23zCI1lphsuWWW/lWZxdll+b7camLKbUOhG5gbAw/GgRyDmBqbyy4O243ZN14cCBfFoZxCMSnIz5Hx7M7SsBWDh3KDidmPPM0hhJ2KGHZGcipixuSVbHJPyUZqKDFtcko2/auSjfM9PZJbzEmlogdmOWv0h5pKjNBOCac5zCwGwEVwLCcgplV2cae/szRqxdixzNitLe64O3r4+85ew6TyhS/uAEEYK4PUqX6rxR0guqKj0+fINow9KAZjibONmS+QJHBxB0gSsLgDpOAuMBNGwzXfBlJsRXEHyccI4W1MHZcTyEXv99jTzB8Kzoh85FkPeVBHWDbuu0dhayruNA9ohYOuu5XuXi00GYUV8ICLtXqiNWTpxs3LzK3racZytOHz1Z7YUZ66LTaYuPZE1YDWco/50k+n/zor3tTdeuZlmof6Jz/XIvH1ZavSp3Wl4PKN6SP9hz+rKzrmpGknies+96Zf/7NOFnma3ksdkdEc0UphR2iiYpkoNG9PbB5xIaoNMSq0kLioxBGZ7jKM0EbietK68lFoHWftiOA/lywUWgcpw1zboF7oWGydW+zLDScmOX6VpcgLd5lFai0xy3HLLOVVmcXZN/2+3GpiqmNpZeo28AO52cTE1FxWodp6KLdVMW0lPx3GfztLw1YMHsoNJuYs8TTCHSxGcqOJaYxXG3EHigdyS4nJjFMcKa+KI84gcSS3mJPgJA+E5zyL0OR2iiFUO4/ldhJzHLvkUe4sjVoxdiwztpZh5VmSR1nSVZk672YXyWm37EdRN46SclJeqChRTY2MPFN36WTVVfJIIh4mlc82pfVgcaa1NpDbUBDGehl1uvsv08fTz/Rs1dwC9+zy9cWMVv+2vvLtnc70n/TE9lG92dHcQvfZ9OG8+mE+Zl37NUd3oG5QdDesO5NEYjAWAekzzssfum5rQ6JA6h+FjeMelCNc9QNJwV2BJYyFY5qLpAhW/Uh6yoq3j8VjBHPWhK6h+JFE87Xy2S9s4AdYcEbcE89aXGM6wqJx3zwKWkPtgzCeFQ66VpqTOM5ylZXdPD5V3Swr+t0TddrvXpz0z6KzuFB5PndMUKVpXXrVSjPm+oLGF15pAkEYwYmqNN+v79R54/JHncvva0H5+fwa4qfTZ93pF/V3flAXUGblE60+315utZn+Ora/znegTlB0J6ytM4EYjHhL15l6IvCRDeUuFAWiM+OeS2kCSQIqTSAFN98RRsOlNIEUwZRm3rNvbN3H4jGCeatKM14ok9ijNJHgjMgnVpquMR1h0bhvHgWtSWk2j2eFg66V5qmK8yKN+111cp50s/NyolVpobrxRVSq/ukkmZzMxzyo0nRswUkSri9ofOGVJhCEEZzoSnO29+Zh5/LH0ydGQF6+Mf1wtmwZRTfMf5kN9A4UVNFB11aTQAxGTGWoSdc+GSQJSExaCxz3oCQBxSSQgpvSCKPhEpNAimBiMo7iXmmNY/tYQEbEblVOJgv5kXjkJBKcEfrEctI9qiMsHPfto8A1CcrmEa1w0LNzgfFFP+qflN1+fN7vZtr73SK/SLr9yUVSnuXqQl2cvxxeUFofAC0oU64vaHzhBSUQhBGeqILyV/O1yocdc96vvh3c1MJna5V1F6DPp19c/q2Wna/PvlhrzcIozXqbt/5NErm2eyN9oei+WFtzAjEYgZehOc0Bz496Hfu43IUCYaSnjeMelCOg8ARScFMfYSxcwhNIEVB49jJXwRzJxwjsrerOdKFSUo/uRIIzwt8autMxqCMsG/fdo7A1yc7mAa1w0GFbQbqEZOam60dxsUq38cOBUoNXY8aX/nCg1BEZzRFtHA6UmqhYJhLMm9/0aVz/ZLcTm04e+oWffUpnn7LZJ2U+aSn4wfTx9Iubnbgb69Bgv2FgT8y3GsZxpwulFhKPZTAkqft0odRG4oGMdeWm0LrVdIY5XSi1DnK68Fq2tTV5TMxNs0luPpjrZpNF87Uk8zRf25eDErNqu6cRxdYS0yrzNGKSLU8jztxss/q+3Gpibm1DixuYGwMPxoEcI2Ni8LuxadtfHAgXxaGcQjEpyM+R8ezO0rAVg4dyg4nZkDyhIYShyoShyoShyoShihiGRnJIYkLlnXOM0yhxHnQUm0rMq4yDjsv488Dz4h7JLebkWtETtJww+mNPJUZo5+Bjc9xZDICL4FhOQEy03COR+tlZGrVi7Fhm7NZWezLnkUjFw6Tyha/2AEEYi4LUST622gP0haL7gj6JtmHsQTEYy52MuXJTtQcIFLTaA+QIWO0BUnBXnAljkSv7ha8DKMhWFHyQfIzY3sYkcznVVIv6gPO62QMsOCMCkudH5EEdYdm4rx+Frang0zygFQ56ezeuZ84jkjnXFzS+8MoTCMKITlTlucbGdSCoooOuLSuBGIygypCVzhIMkASjJ50b14EkARUlkIKb0gijUai838ut51IHUJaAotKzfR0JyIjbrarKxQWkiedGWSg4IwCuoSo929eRcNx3kALXJCubR7TCQW9v543MeR7Sf3uPxRc0vvCyEgjCCE90WQnpvAF0gqI7YW3JCcRgRFyG5HR33gCigDSnq/MGkCSg5gRScPMdZTSyKC57hTV7D6AwwUSnpwEHEo8R01uVnP2FQPFclgoFZwRAseT0NOBAonFfQApak+BsHs8KB729TYUz5zZ3/5U/Fl/Q+MILTiAIIzhRBSesqTDQDYruhrUlJxCDEXHpktPTVBiIApGcLsEJ5AgoOIEU3HxHGIs8SU0V0sYygLIE05ue1sJIPEZIb1VvLq7hSzz3KkLBGdFPrDc9rYWRaNz3j4LWpDebx7PCQS+vVZwrLaMjA16rqGy4WlKWbty8zMpV3FAnJx13id8WG7waQwAnJ82So7liW//m6eU7l28v7tx+Nv3whYOURkVOn1z+XW92PjL2no8U4mY03FbORwpNVCwThebtic1bjb3A441CC4mnMehi</t>
  </si>
  <si>
    <t>0ne8UWgj8RjGukJRaN1qEgIdbxRaBzneeG3M+333IqLUcGIq4x9XVKrvPq4otZaYy7jHFa8uT0w8lyeKrSYmNJYgvvZAOy9PFJtNTEzNxxOpth7KbVVMW8lPh/HfztKwFYOHcoOJOUs8V3AHi5HcaGIa4x0qdAeKB3JLicmMc6bw6vJEd5A4klvMSXCSB8J9eaLU5HbOEFLtPJbbScxx7JOC5vJEe2AYy4ytpwOkvd2Gxzkd9UzQpVNS10nBNOJhUvlsE1cPFmfyagO5DQVhLIpRJ7XQk4JIXyi6L9adTiIxGMt9jGlnw0lBJBCk5OHY143kCFfyQFJwl1wJY+GY8SIpghU7PMcEoXyMwM6a3DVUO9LFxXup5yJFKDgj/MlnMO5jglA27rtHYWsodxAGtMJB17Lz5OT0fHKRll2VZafdrF9cdCd5pPSfOinO4pPJWarmb3NQ2Wldh9WyM+b6gsYXXnYCQRjRiSo7f3H5+uVbtfA0fSXr44L6t3UdRStNs+9m+uTyR6amYvpL/mr6s+n70w+mv5z+Wv/3mz+bN6f83fQ303env9UfPzA/89/1b97v3B+puDP9mc1Ld6BeUnQvrS1IgRiMiMwQpM4N30gUiBSNeolSNpZ7UJaAchRIwU2JlPGwUQygFMHkaFH0CpccRfIxAn6rcnRxO1/quW0RCs4IfmI56hzUEZaN++5R2JrkaPOAVjjoWo7Gp0lSlOcX3byfp91skmTdIj0ru2eZyvv9ODqL8vmgB5Wjqc0XWo4mXF/Q+MLLUSAIIzpR5ehvrnbxzDqa17t4rnSmVqaXf6v/+/6LrdBn6vQLsw/oPS1M3+3WKvVn+q/7B/3xn6cf2JxzB+ocRXfO2ioUiMEIxK2oUCAKRIXGPev5gntQkoAaFEjBzYOE0XBpUCBFMA1a9uzTnX0sHiPItypBF/f5pZ4bGqHgjMgnlqCuMR1h0bhvHgWtSYE2j2eFgw57UY41I2hNmbrp+lF8jW7j272lBhN3x1E1Yajt3lLcjIbbxnZvqYmKZSLBPPF1OJn+iv4DaeclLc7rVWYzjGYR+vInl3832+xgTne+YZaeO91OUQ+YNV7sid1B3KrHELSu7eVSC4n78jg61bm9XGojcUfeugpUaB1n9x3Bfy5lKbQOsr38Wgq23Z6TZrv6g7lCJ83nN1ak9d11zotzxIzELNvuTnSxtcQ0y9yJnqbLneip84rA+3Kribm2DWluYG4MPBgHcgxiDm3eme6w3Zh948WBcFEcyikUk4L8HBnP7iwNWzF4KDeYmAjJ8xtCBKpMBKpMBKqIEWgk5yOmUd729iJVjmO7D+SWEpMpY3v7MvI88LyyR3KLOQlW9Owsp47+qFOJEdrZ7t4ccRYD4CI4lhMQUyx3I7x+dpZGrRg7lhm7tSWg3LkRPuNhUvnCl4CAIKvywzc+xOl+4BIQ0DmK7hz6zNuGsQfFYCyEMmbM7hIQECVwCQhIErAEBKTgLkQTRqNM09K+yXQARQlYB4ocR8aheIxI38ZkcznlzBZ1A899rVBwRvgjz5OoYzrConFfPwpaUx2oeTwrHPT2bozPnRvjFdcXNL7wMhQIwghOVBm6qY3xQC8pupfW1qNADEZAbkWPAlEgetS3MR7IElCRAim4KZEyHjaKAZQimBj1bYxH8jECfqtqdHH7X+q5zhEKzgh+YjXq2xiPZOO+exS2JjnaPKAVDnp724Pkzo3xOdcXNL7wchQIwohOVDmKbQ8C9IWi+2Jt0QnEYMRdhuhsag8CBIJIT1d7ECBHQNkJpOCmPsJYlHkvz2wkAyhJMOnpaxGC5GME91al5+KGwNRz5yMUnBECxdLT1yIEycZ9/yhsTdKzeUArHHTdEf050eXUlt89P/3eK9/+lsURImnpWuX03DSUlypa5XTtjXdby1GMV9vjrebeFpu7+ph5nEvUhb+YPp5+XAvCx9NP6r3uP60r4z/dNXvfH2mF8cRczfjJ9MPLt6afWX/sreUPPqoXOB/ZmLVI7N8ciMGvRU03+XpBc77Jtdg9iLPIfEjMB7PnNcvNB/MNZb6hzDeU+YYy31DmG7n5Rm6+kZtv5OYbuflG33yjb77RN9/om2/0zTcK+5a1A7mjMr6j6FuTjHcOjXcOjXcOjXcOjXcOjXcOjXcOjXcOjXcOjXcOjXcOjXcOjXcOjXcOjXcOjXcOjXcOjXcOjXcOjXcOjXcOjXcOXd45lHtH8b1D3/aknTM0zhka5wyNc4bGOUPjnKFxztA4Z2icMzTOGRrnDI1zhsY5Q+OcoXHO0DhnaJwzNM4ZGucMjXOGxjlD45yhyzlDuXPo0UWew+ZbOIvdyjipMk6qjJMq46TKOKkyTqqMkyrjpMo4qTJOqoyTKuOkyjipMk6qjJMq46TKOKkyTqqMkyrjpMrlpErspGt7/hqcxHu3jo1njo1njo1njo1njo1njo1njo1njo1njo1njo1njo1njo1njo1njo1njo1njo1njo1njo1njo1njo1njo1njl2eOZZ7hp75mdsJtWPGxjFj45ixcczYOGZsHDM2jhkbx4yNY8bGMWPjmLFxzNg4ZmwcMzaOGRvHjI1jxsYxY+OYsXHM2DhmbBwzdjlmLHNM/WK9vFRGwS6NcRzK00rJc0eOpkicw0szViiTjM02e2+L7V0VDIhDhM+mvzeHzYwiqtfS6u2GH9kV1fRx5/KNzvSL+juf1WLp8Xzv4WOz+ta5/KH5S835w9kNhS/sTpz91U/mi3j1b/Tf3qlNeVT/dc/qP/2k/sufTh/OC8gfdmL9Q/WXP7X5947Yv6s6A3lqUWiiYpkoNG9PbN7qfBh4ilBoIfH4A2N9z3OKUGgj8eDDumt3Qus4hxwI/nOVgoXWQU4RXltHLPu9wvpg7ssNJ6ZO/tFArRXcRwOl1hJzJ/doYHF1NNB5Kd59udXEDMqab1/fa+K6pEZsNjExNc9+qbYeym1VTFvJT4fx387SsOtTRKnBxJwlXr91B4uR3GhiGuOd4nMHigdyS4nJjHOKr7g6xecMEkdyizkJTvJAuC+pkZrczqk9qp3HcjuJOY45mTZPxNKo63NcibHG2tNcXZzkWd496Z+k3eyiTLsnp9Fp97SYnJzFF5OzyaSpUvDqpN1dKM5JpZ4ElzxMKp9touzB4kyWbSC3oSCMQiV1Fu2oNuhfPV1sRZk1b3lTf/Gz6cP5PujjW4OvDY86e/dvVceDO500iubT2w+mjy7frmfHT+s/YP7GH9k8dQfqKUX31NqTTSAGo0DLmJS6N0YDUYLuTgFyBNydAqTgVscJY+GaCQMpgu1M8c6YkYCMiM+a9TVtTSkXOxmc1ygeYMEZkQ8ztUHCcd8+ClzT3pTmEa1w0CG7NSauHSnzbUhWun6UkHekhKqzSO0lrhJRFeK/2TqL1L8Zzb9t1FmkJiqWiQTzXuwOmc47QL5fj8HTy3ee6wapf+ncwdSZvltPKt66/Nvu9F+mv5r+39P/Mv3HuqHHL/WvPrA5YU/sBOLKGEM4u6o5UguJy2AMPeyu5khtJC6Aral1pdZxFrsI/nNoWKl1kGrOtURv6wmZxfM+bFnk7QQpJiNm8HbLPWJriSmcWe7JomW5J3NeCnhfbjUxkbch/A3MjYEH40COQcyXzeUfh+3G7BsvDoS7E6SYQjEpyM+R8ezO0rAVg4dyg4npjzx7IsSdihh3RnIqYsrkVY6SLHVWjsSWEhMno3K0jDcPPC/qkdxiTjIVPTGLyWhDrKnECO1UkprjzGIA3P0fxQTExMqtMelnZ2nUirFjmbFbW2NybrTMPNeh2TCpfMFrTEgQxoojdQVhgzUmpKcU3VP0ibYNYw+KwVhpZUyVnTUmJErIGhOSI1yNCUnBXeUmjIVrfg6kCFtjsj5s+1hARsRvY6q5nHAubjDNPFfSQsEZkY88S+LUmKBw3LePAtdQYyKMaIWDNuefd2dCLOCZntRGqaVm4qbMS5WuUgarNVkfxdtie4lLVFSl+KWtNSXzWtPlT23+vSP2b0bzbyu1JqGJimWi0Lw9sXnEZTCGtHVWgYQWEpe0GIrVUwUS2khczFpXjQqt4yxcEfznUplC6yBVoFWbsyTq9XOb4ftyw4mpk1/kSZPMXeSRWkvMndwiT3JV5HFedHpfbjUxg7KUN3Ur/IHcbGJiai7qUG09lNuqmLaSnw7jv52lYSsGD+UGE3OWeFLiDhYjudHENMarzLgDxQO5pcRkxqnMJFeVGWeQOJJbzElwkgfCfaZHanI7lRiqncdyO4k5jl1vSXaWRq0YO5YZW08HLqLoon963i1OS9XNotO4W/RPs24SZXmuzov89ORsxuOc/nrWAaRTYGe9JeVhUvlsE2UPFmeybAO5DQVhrL5RZ9G/fr6Y0tGz58d6Uv2WnuzOii0vXW2M/MpsApu4r9BGois6+tqzRyAGYxmRMct0F1CAKJACSmZfJLsHJQlYQgFScBdxCaPhmtwCKcKVUPq9Qtn49rF8jBjOmsc1VVDSxXq75wJnKDgj9IknK85BHWHZuO8eha2pgNI8oBUOOuwhncxGpzVj5qbrR0m8SrfxwonQXuKyD1Xy/dstnAj9m9H820rhRGiiYplIMO/FQzqxOaSjw8jsUzr7lM0+qfkBnvmhnXy309/tFPrPxD0b456YkbiSxdDFzuqL0ELishVd7vqqL0IbiQtW6wpZoXWcxSmC/1wCVWgdpPpC2AuvlZda7IXP/GdwpGTEBN1yeUZqLTFDc8sz2VV5xnn/6H251cQ83YasNzA3Bh6MAzlGxsQQ7I3Pbrw4EJ4zOFIKxaQgP0fGsztLw1YMHsoNJqY/8tyIEHcqYtwZyamIKZNX6cmK3F3pkVpKTJycSk92VelxvqhHcos5yVT0xCznmv5YU4kR2qn8NMeZxQB4zuBICYiJlV0TynaWRq0YO5YZu7U1ocxZE1I8TCpf+JoQEISxnkhdIGi1JgREV3R0+sTYhrEHxWAsjDLmvu6aEBAlcE0ISBKwJgSk4K5LE0bDNeUGUmxFTQjJx4jhbUwel1PIxfXHmec+ayg4I/SR5z3kQR1h2bjvHoWtqSbUPKAVDrq+VHB3Ka2McAx4uMY6xFpD5m7avFRqlTZQjchx7vy22F7i2hNVAjpqRLNizyNyhaiuMXw0fVYXej6sj1/Pyz0vqMpn5mdmBaWH00/1l8w91ozmbEKfZTSftVL3EZqoWCYKzdsTm0dcs2LIVmfJRmghcf2JrkZ9JRuhjcSVp3V1ptA6zioTwX8u/Si0DlKyudbzp9Rx22r4vtxwYjrkV2RU4dr6/DW5tcR8yK3I5FcVGec9yPflVhOzIktUU/eZH8jNJiam5goM1dZDua2KaSv56TD+21katmLwUG4wMWeJ5xvuYDGSG01MY7wyijtQPJBbSkxmnDJKflVGcQaJI7nFnAQneSA8B2aEJrdTNqHaeSy3k5jj2MWRfGdp1IqxY5mxtbXJyekkOT/t9svJaTcrk6h7Ul5E3X6sopOL0/OsX86zoHNK65njS6e1zuKI/z7ba5hUPtvk14PFmQDbQG5DQRgLa9SZsbNh9Z+tdhy7/LGetNaVlM70781OyMsfmYltZ/orM8u9fNPmjjtQdyi6O9aeUQIxGKuGbcw8gSSQeonjkoB7UJKA9RIgBXfNljAarvkukCJYvSTJlUMz7GMBGXGdNbfzrq8bpsX6et9TMEGCM0KffALjHNURFo779lHgvCM6ooxohYMOe4rGqpe1kPRcGtmPkmSVbuMVEqG9xLUgqg78clVIhD7LaD5rpUIiNFGxTCSYJz4Z0+/Gqf4DqvOSGdlP9J//sP6bnk0/79TnmOZHnJ5evjX7velSbHZOfcV1kEboEuIKVxvaWGghcTmLo3ndVRmhjcSFrHXVrNA6zqIVwX8ulSq0DlKVuZbKrQdpysWG9sJ/kEZKRszRLZdtpNYSkzS3bFNclW2c15Lfl1tNTNVtSHsDc2PgwTiQYxCzZ3MZx2G7MfvGiwPhOUgjpVBMCvJzZDy7szRsxeCh3GBi+iPPjwhxpyLGnZGcipgyeRWgou+pAEktJSZOTgWouKoAOV/UI7nFnGQqemKW001/rKnECO1UhJrjzGIAPAdppATExMquFRU7S6NWjB3LjN3aWlHurBWVPEwqX/haERCEsaZIXSOA14qA7lB0d9Dn1jaMPSgGY8G0jfkwkCRwrQhIErBWBKTgrlZTRkP105790OcAyhKuYqTiXl/ZAPexgIzo3sa0cjm5LBf1hdIzwUSCMwIgeUZEH9URFo77DlLgmipGzSNa4aA3c3FN30Z5K57vcrRS5qXKVymDVY6s2fm22F7ichRVFW5V5aipp5rUZxnNZ21UjqQmKpaJQvP2xOYRl7FaUK1SC4lLUhw16qziSG0kLkatqTOl1nEWngj+c1RxpNZBqjirNudF3JsfSb2mCMWGE9Mhv0hT5IWzSCO2lpgPmUUaFS2LNMp5ffZ9udXErMhS09Qt6Qdys4mJqbkoQ7X1UG6rYtpKfjqM/3aWhq0YPJQbTMxZ4omGO1iM5EYT0xizsuIMFA/klhKTGaOysgwSDzxB4khuMSfBSR4I99kaqcntVFKodh7L7STmOG69RD8RS6NWjB3LjK2nA6eTs35axN3ztIy72dlZ0i0vTuPu6eQ0TfLTOCvKeexwTmk9c3vptNZVL1Gee2dtmFQ+2+TXg8WZANtAbkNBGCtq1JnxP+s5q9nF+HT69PKd6SOzOe6h2TKnZ6yPzXa8y3c67sKJzQN3oB5QdA+sPYkEYjBWCNuYbAJJICUSx0bke1CScCUSJAV3eZYwGq4pLpAiWHHEtNJ2tZmAAjJCOWs611AcUYs74JXzDvgDLDgj9InnLO5RHWHhuG8fBa6hOEIY0QoHHfY4jXVLkdaOiZuuHyXuyyVpxnI0Ia0oIrSXuPxDlX5frqKI0GcZzWetFEWEJiqWiQTz5MdpHKdipGTEtak2JK7QQuJCFF26+uopQhuJS1DrilKhdZzlJoL/XGJTaB2knnItI9tOxah0vjtdJd5TMWIyYqptueAitZaYa7kFl+Sq4OK82Pu+3Gpixm1DoRuYGwMPxoEcg5gEmwswDtuN2TdeHAj3qRgxhWJSkJ8j49mdpWErBg/lBhPTH3maQ4g7FTHujORUxJTJq93EaZS4izdSU4mZk1O8Sa6KN8439UhuMSebih6Z5bTRH2wqMUI7xZzmQLMYAPexGDEBMbOyyzzJztKoFWPHMmO3tsxTOMs8KQ+Tyhe+zAMEYawNUuf6iDIP0AOK7gHGtPjX5qbc6e/rFQjTDGLZLOKp/sbsat2n08eX39ffflQ7yLoWsQclZyyPtjFtBpIErgwBSQJWhoAU3LVpwmhkedqLlA1lAEXZjvIQEpCRAtqYfC6noIsb7pXzhvsDLDgj/pHnTfRRHWHhuK8gBa6pPNQ8ohUOenE/jXp5KTwDnqEpbbRag2Zu2rxUxSptoHKRo+3wbbG9xMUrqoT8Xd1J64u6OqRlkhGRpvZjVOWHnelns3qOlk2fmKKP6cBlo7kjpsloNK0UcoQmKpaJQvP2xOYRl6M4sjK1WXhXbCFxaYkuF33VGKGNxDWldYWg0DrO+hHBf65qjNA6SDXm2hQhj6JeaX0y9+WWEzMVv9qSxKrvLrdIzSXmKm65Jbsqtzivpr4vt5qYsViKl7ot/EBudsY0m/xseM63SG1VTFvJT4fx387SsBWDh3KDiVlLPBnwhIuR3GpiJuMVSTyh4oHcVGJC4xRJsqsiiTNMHMkt5iQ5ySPhOeEiNLmdogjVzmO5ncQ0xy59ZDtLo1aMHcuMneWLOMvVRdxN+lnZzZJo0j2ZpBfdk3ISn8RxcVH053nQOeH0zMClk05n6UPxMKl8tqmpB4szPbWB3IaCMNa9qPPWd1+cmc77gF3+7eXrnTjqJtY36A4UUtEh154rAjEYS3VtzCmBJJBShZ57Wqsu96AoAWsVQAruQilhOFxTWSBFsDJFopRLC+xjCRnxmjVra6pTLG5dV85b1w+w4IzgJ5+auId1hKXjvn8UuqZCRfOQVjjosOdYYuuYaomYu/H6UZKt4m28MiG0l7jOQ1V4bVUmhDQZjaaVyoTQRMUyUWjentg84hpPGypSaCFxPYelDp2VCaGNxIWcdWWf0DrOog3Bfy45J7QuVGUidss0qeXEVNV2ZUJqLjFXcSsTV7faK8+t9mKriRmLpXGpy3kHcrOJqanVyoTUVsW0lfx0GP/tLA1bMXgoN5iYteTy3x0uRnKriZmszcqE1FRiQuNUJq7utXeHiSO5xZwkJ3kkPJUJocnBKxNSO4lpjl2ZMPfa20PDWGbs1lYm4shZmvDctmrjpAKGL00AQRhLXdSJq7A0AYRUdMi1J4tADMbqXBuTSiBJ6NIEECVgaQJIwV0aJQyHay4LpNiS0gSSkBGvWdM27zq2YVqsY3surIeCM4KffG7iLU0g6bjvH4XOO6QjypBWOOjApQmXRPRf26dW8TZemhDaS1zooSq8tkoTQpqMRtNKaUJoomKZSDBP3P0q01/pvBQ33BAv5SSuFrUhR4UWEleGWDLTWeMQ2khcElpXPwqt4yz/EPzn0oVC6wLWOKxBeV9uOTHntV3jkJpLTHrcGsfVFfDKcwW82Gpi6mOJZerC4IHcbGKOa7XGIbVVMW0lPx3GfztLw1YMHsoNJmYt+TzCHS5GcquJmazNGofUVGJC49Q4rm5ud4eJI7nFnCQneSQ8NQ6hycFrHFI7iWmOXeMw97HbQ8NYZuz21jgctyvrCWzJ46QChq9xAEEYa2bUGbCwxgGEVHRI+qzThrEHxWAs87UxqQSShK5xAFEC1jiAFNw1VsJwuOayQIotqXEgCRnxmjVta6pxLC7kVp4r1qHgjOAnn5t4axxIOu77R6FrqnE0D2mFgw5c47AmhltxHnnx3PcC0qzlSD9SjUNqL3Ghh6rwWqpxSGkyGk0bNQ6piYplIsE8cY0jjjovxYm/wiGlJK4VtSBGpRYS14VYItNV4ZDaSFwQWlM9Sq3jLP4Q/OdQhVLrQlU4ol7hqHCILSdmvJYrHGJziSmPWeHIr+5Pzz33p4utJiY+llSmLgseyM0mZrg2KxxiWxXTVvLTYfy3szRsxeCh3GBi1pLPItzhYiS3mpjJWqxwiE0lJjRGhSO/ukHdHSaO5BZzkpzkkXBXOKQmh65wiO0kpjluhSM3N6jbQ8NYZuz2VjgcLfD19DXmcVIBg1c4kCCMFTPq/FdW4UBCKjokfc5pw9iDYjAW+dqYVAJJAlc4kCjhKhxICu4KK2E4XHNZIMV2VDighIx4zZq2NVQ48sWt2rnnnnQoOCP4yecmvgoHlI77/lHoGiochCGtcNCBKxzWHKclYuLF66/ibbzCIbSXuNBDVXhtVTiENBmNppUKh9BExTJRaN6e2DziIk8bKlJoIXFBh6UOnaUJoY3ElZx1ZZ/QOs6qDcF/LjkntC5caaIsbZbvyy0npqq2SxNSc4m5iluauLppPPfcNC62mpixWBqXup53IDebmJpaLU1IbVVMW8lPh/HfztKwFYOHcoOJWUsu/93hYiS3mpjJ2ixNSE0lJjROaeLqfnB3mDiSW8xJcpJHwlOaEJocvDQhtZOY5tilCXPrtz00jGXGbm9pInWWJlIeJxUwfGkCCMJY6qJOXIWlCSCkokOuPVkEYjBW59qYVAJJQpcmgCgBSxNACu7SKGE4XHNZIMWWlCaQhIx4zZq2NZUmFjc65547uqHgjOAnn5t4SxNIOu77R6FrKk00D2mFgw5cmshseFoiZl4895V1NGs50o9WmhDaS1zooSq8tkoTQpqMRtNKaUJoomKZKDRvT2wecZGnDRUptJC4oMNSh87ShNBG4krOurJPaB1n1YbgP5ecE1oXrjRRWGP/vtxyYqpquzQhNZeYq7iliatbuXPPrdxiq4kZi6Vxqet5B3KzM6bZ5GfDU5qQ2qqYtpKfDuO/naVhKwYP5QYTs5Zc/rvDxUhuNTGTtVmakJpKTGic0sTVrdzuMHEkt5iT5CSPhKc0ITQ5eGlCaicxzbFLE+ZWbntoGMuM3d7SROYsTSgeJxUwfGkCCMJY6qJOXIWlCSCkokOuPVkEYjBW59qYVAJJQpcmgCgBSxNACu7SKGE4XHNZIMWWlCaQhIx4zZq2NZUmFnc4555ruaHgjOAnn5t4SxNIOu77R6FrKk00D2mFgw5cmlA2PC0Rcy9euYq38dKE0F7iQg9V4bVVmhDSZDSaVkoTQhMVy0SCeeK+UP3OS3nf3xVKyEhcKWpDigotJK4KsSSms74htJG4HLSudhRax1n6IfjPpQmF1kHqG9fS5uDu3tHR8GieOKvxwUta6vS/Yma1xnSTPHcja/7cl5MR82Hb9Q+pucSEyK1/XN39nXvu/hZbTUyLbQhpA3Nj4ME4kGMQ82FzPcRhuzH7xosD4aI4lFMoJgX5OTKe3VkatmLwUG4wMf+RZyOEwFMRA89ITkXMmbxKSpqkqqdclRSpqcTUyamkXN0i7n5Tj+QWc9Kp6JFZTu78waYSI7RTWWkONIsBcBEcywmIqZVdczH3jduDzFhm7PbWXBwTVD2h9t+VeY2TChi+5gIEYazhUWfkwpoLEFLRIemzYBvGHhRjNcl7MNqY6AJJQtdcgCgBay5ACu6aL2E4XPNrIMWW1FyQhIx43cZUcTlhXFxOnXvuG4eCM4IfeZbDGNYRlo77/lHovEM6ogxphYMOXHOxSmEtEb3X0qXRKt7Gay5Ce4mLS1SF11bNRUiT0WhaqbkITVQsEwnmiWsu8W6ym+7mnZeKsls2XMkhhCUuPrWhSYUWEheSWFrTWXwR2khcQVpXRAqt46wWEfznEodC6zZYfCkXa6CFv/giJSMmxraLL1JziZmRW3y5upQ891xKLraamB/bUNQG5sbAg3EgxyAmxnWKL8WNFwfCU3yRUigmBfk5Mp7dWRq2YvBQbjAx/5GnJYTAUxEDz0hORcyZbRZfpKYSUyen+HJ1vbn7TT2SW8xJp6JHZjnL8webSoyALr4UN14cAE/xRUpATK3s4ou5CN0eZMYyY7e3+JI7iy8lj5MKGL74AgRhLOZRp+bC4gsQUtEh6dNhG8YeFIOx/tjGRBdIErr4AkQJWHwBUnAXfwnD4ZpfAym2pPiCJGTE6zamissJ4+LW7NxzEToUnBH8yLMcxrCOsHTc949C11R8aR7SCgcduPjSt+Hd0ghevHgVb9PFF6m9xMUlqsJrqfgipcloNG0UX6QmKpaJBPPExZdMf6XzUhz56y5STuK6UwtyVGohcQ2JJTNddRepjcTFozX1o9Q6zkIRwX8OXSi1bnN1l348X/7sR966i5iMmBNbrruIzSUmRWbdpX91VXrfc1W62GpiamxDTBuYGwMPxoEcg5gT16i7aNtfHAh33UVMoZgU5OfIeHZnadiKwUO5wcT8R56REAJPRQw8IzkVMWe2WHcRm0pMnYy6S//q0nX3m3okt5iTTkWPzGKC1xBsKjECuO6yDDSLAXDXXcQExNTKrbv0zfXs9iAzlhm7vXWXvqvu0vdeLXqdkwoYvO6CBGGs41Fn5bK6CxJS0SHpM2Ebxh4Ug7H02MZEF0gSuO6CRAlXd0FScNd9CcPhml8DKbaj7gIlZMTrNqaKywnj4i7vvud6dig4I/iRZzmMYR1h6bjvH4Wuoe5CGNIKBx247mLdgqQlYuLFS1bxNl53EdpLXFyiKry26i5CmoxG00rdRWiiYplIME9cd4mjzktx0lB1EVISV53aEKNCC4krSCyR6ay6CG0kLh2tqx6F1nGWiQj+c6lCoXUbrLqki8XPxF91kZIRM2LbVRepucSUyK26XN0C3/fcAi+2mpgY25DSBubGwINxIMcgZsR1qi7JjRcHwlN1kVIoJgX5OTKe3VkatmLwUG4wMf+R5yOEwFMRA89ITkXMmW1WXaSmElMnp+pydZ+8+009klvMSaeiR2Y5vfMHm0qMgK66JDdeHABP1UVKQEyt7KqLuXneHmTGMmO3t+pSOKsuKY+TChi+6gIEYaziUefkwqoLEFLRIenzYBvGHhSDsfDYxkQXSBK66gJECVh1AVJwV30Jw+GaXwMptqTqgiRkxOs2porLCePimvK+5+Z5KDgj+JFnOYxhHWHpuO8fha6p6tI8pBUOOnDVpbThaYmYefHSVbyNV12E9hIXl6gKr62qi5Amo9G0UnURmqhYJhLME1ddit1Oqf9ArP/Tk9jYnHxJy26cNdRhhNzEdag25KnQQuKaEkt2OuswQhuJi0nr6kmhdZyFI4L/XDpRaN0G6zBqsRya+eswUjJijmy7DiM1l5gkuXWYqyvv+54r78VWE1NlG+LawNwYeDAO5BgZE0OwPJrdeHEgPHUYKYViUpCfI+PZnaVhKwYP5QYT8x95hkIIPBUx8IzkVMSc2WYdRmoqMXVy6jDZVR3G+aYeyS3mpFPRI7Oc8PmDTSVGQNdhshsvDoCnDiMlIKZWdh0m21katWLsWGbs9tZhSmcdRvE4qYDh6zBAEMa6HnWWLqzDACEVHZI+M7Zh7EExGEuRbUx0gSSh6zBAlIB1GCAFdx2YMByu+TWQYkvqMEhCRrxuY6q4nDAu7mTvO+9kP8CCM4IfeZbDGNYRlo77/lHomuowzUNa4aDD1mHsokNLxNyLl63ibbwOI7SXuLhEVXht1WGENBmNppU6jNBExTKRYJ64DhOnnZdi1VB1EVISV53aEKNCC4krSCyR6ay6CG0kLh2tqx6F1nGWiQj+c6lCoXUbrLos7rvu++673peTETNi21UXqbnElMituuRXVRfnpdH35VYTE2MbUtrA3Bh4MA7kGMSMuE7VJb/x4kB4qi5SCsWkID9HxrM7S8NWDB7KDSbmP/J8hBB4KmLgGcmpiDmzzaqL1FRi6uRUXfKrqovzTT2SW8xJp6JHZjm98webSoyArrrkN14cAE/VRUpATK3sqku+szRqxdixzNitrbokkbPq4r0k9jonFTB81QUIwljFo87JhVUXIKSiQ9LnwTaMPSjGapL3YLQx0QWShK66AFECVl2AFNxVX8JwuObXQIotqbogCRnxuo2p4nLCuLiVve+8lf0AC84IfuRZDmNYR1g67vtHofMO6YgypBUOWv/vG8/lNKMTv+4Tji1XYVyS0XMNYl7m0SpuoCqM4zrD22J7iYtNVMX3ntZ7pujyePrh9LPpw87l96ePtPx7NH16+ab+753p52bRvy7LXP5A/4S7DiPkyWg8rdRhhCYqlolC8/bE5hEXkNrQlUILiYtBLL3oLKAIbSSuAq0rBIXWcVZ8CP5zCTyhdZACyrUxz4u+Y/FvX245MVnxCyRlrNz1Eam1xGTFrY8UV/UR573O9+VWE1MWS/Ree6Idzj6Qm03MTM31EKqth3JbFdNW8tNh/LezNGzF4KHcYGLSEs8HPNFiJLeamMh4VQ13pHggt5SYzjhFjasL7N1R4khuMSfFSZ4I11tXiU1up4hBtfNYbicxybFLFeZaentkGMuMrScEk6jU34+75eRMdbPTJOoW5/lJ9/wiPVPJRP/pk7MZj3PG6ZmCi2edzlJFyeOkAtrmph4uzvzUBnIbCsJY+iJPXPWE9HU9R30yfTh9Ov34+Xnrn5mqxfTXyv4e3YGSKjrp2vNFIAZjyY4xr/xs+pEN5S4UBVKwSBJlI7kHJQlYrwBScNdLCaPhms4CKYLVKzxzXiQeI2Kz5m1NxYrFLeZ9z8X0UHBG5BNPTjwzEyQa982joDVVKprHs8JBBz4fYi1h34qLyI3Xj1K1irfpyoTUXuIyD1ngtVWZkPJkNJ42KhNSExXLRKF5e2LziIs8DAXpqkxILSQu6NCFoacyIbWRuJSzpuSTWsdZtiH4zyHlpNZBKhOEHdYHcbG41bnwXycvJiMms3YrF2JricmMWbkorm6TLzy3yYutJqa0NhSwgbkx8GAcyDGImay5kuHccF1c3SZfNNwmL6ZQTAryc2Q8u7M0bMXgodxgYvojTyMIcacixp2RnIqYMnk1kDjtJ86THWJTiZmTUQQprm6Td7+pR3KLOdlU9MgsJmYNwaYSI7RTFGkONIsBcJ/sEBMQMyu3XFKY2+TtQWYsM3Z7yyWJq1xSxDxOKmDwcgkShLH4Rp5Ny8slSFJFJ117EgvEYCwaMia7znIJEiVsuQRJEq5cgqTgLtoSRsM1xwZSbEG5BIrHiNhtTBaXU8bF5eOF5z55KDgj8pHnOdQxHWHRuG8eBa2hXEIYzwoHXR/seE5/OAXjd89Pv/fKt79lcYRIL1rXdLVUTNyceZnHq5yuuonbWo4KvCqdWM29LTZ39THzOJeo9X53+cblm3X15FPzq+mH02ez3lqfaQn4jv7C48ufPtdsy4ajVV9ycyBmuhYP3VDrhcP5Wmu6qz8U+kOZmA/93YMkis2HzHwwv40T88H8KjG/SsyvUvOr1PwqM7/KzK+U+ZUyv8rNr3Lzq775Vd/8qnDGWKmjMr6j6JNm451D451D451D451D451D451D451D451D451D451D451D451D451D451D451D451D451D451D451D451D451D451Dl3cO5d5RfO/QJ+TaOUPjnKFxztA4Z2icMzTOGRrnDI1zhsY5Q+OcoXHO0DhnaJwzNM4ZGucMjXOGxjlD45yhcc7QOGdonDM0zhm6nDOUO4ceOOTpab6mmO5WxkmVcVJlnFQZJ1XGSZVxUmWcVBknVcZJlXFSZZxUGSdVxkmVcVJlnFQZJ1XGSZVxUmWcVBknVS4nVWInXVuNanAS7906Np45Np45Np45Np45Np45Np45Np45Np45Np45Np45Np45Np45Np45Np45Np45Np45Np45Np45Np45Np45Np45dnnmWO4ZelJnLnRpx4yNY8bGMWPjmLFxzNg4ZmwcMzaOGRvHjI1jxsYxY+OYsXHM2DhmbBwzNo4ZG8eMjWPGxjFj45ixcczYOGbscsxY5pjn9EPQc62pc70s9VK4LwWgGStUQD3H+t5tsb3EShtCAj3sTB9PP+nUW02e1l95dPnW9PPpQxvhHTHhaqZvZTvJ9OfTz6ZPLn9y+YPpQ0P0if70d6Z1y+Vbnek/6O++Z4P4qhhCsSAIADbz9sTmEStujDW4zxObhXfFFhKrZ/SlNd+GE6GNxLLZuotmQus4JTKC/1yLYULrIBtOro150u8luc3wfbnhxPTG30+iVO7eTyK1lpjfuPtJ0qv9JM6LZe/LrSZmOdacmHp+7EBuNjF1Nc9QqbYeym1VTFvJT4fx387SsOvTOKnBxJwlXj1VWZz37A0FR3KriXmMtwvEHSkeyC0lZjPOJpD0ahOIM0ocyS3mZDjJE+E+CSs1uZ1NH1Q7j+V2EpMcc8ZrnoilUdcnohJj6wdhkp6niVJddTLJu1l53u+enJwW3aRfnscncVKUk7nfnXPUVyftbu0wM0DXTDXjYVL5bLNZDxZnRmsDuQ0FWRUAvvEhTnXfrW/Q+LQz/VhPBH9Kn8YCKRWdcu2ZIhCDUdtkzCjduzqAKJBdHZG9FHYPShJwVweQgltbpoyGjWIApQi2qyNJ3D07oYCMeM2atDXt68gW+wA812tDwRmxb42ZieugyQgLx337KHBNOzuaR7TCQddyMs/O+v3T87R7EhdFN8tV0tV/+kT/qclZfJJPzgp1+nJ4OWldYNVyUnF9QeMLLyeBIIzwRJWTv7h8XcvGp/WVa7ODt4su8G/V17R9aFrEX75hrhC7/JH+Sl12+LC+V0yrzq7+9Fh/94v5Tz3W33g6+ymbd+5AvaPo3llbhgIxGKG4FRkKRAHJ0FjZUO5BUQLqUCAFNxNShsNGMYBSBNOhedHLXDIUyceI863K0MXtroXnwl4oOCP2iWWoc1BHWDbuu0dha1KhzQNa4aBrFVpMUpVHWdE9KS70z/bPz7vFWZJ1T/v5xPwLURadvBxehVpXMrQKzbm+oPGFV6FAEEZ0oqrQ980ltWb/zuUP6l4vn3Yuf6h/8dbl6+51zs5Li289m/7+8v+YPpp+NlOxHf3XvTv9+6/Mhezx5LX/9fx735v9hvAv1XJ2dnrOyF/zb35kthNdN0D/jX90+f1aIr9Zf+tT85Xl3/PDukvNk8t3Zv90mRUqNXuP9F9U/yazDd0d6NAp+tCtLZGBGIw0wZDIZnvYR72Ova/QXSgQRChbCzf3oBwBVTKQgpupCWPhUslAimAqWcXuxVokHyMPtaqS84Wo8tzKCwVnhD+xSnYO6gjLxn33KGxNKrl5QCsc9OwEnv5fP84m3SxOo26WnubdMs773ZO8H50k6iI7Xwx6UJVsVShaJXuumrL7gsYXXiUDQRjRiaqSf/WiAqUK4ESL1c/nv8xTNftV5+D8m98+e2XSeUEk29x0B+omRXfT2ooUiMEIyQxF6tyNDiTBSFH7LqJ7UJKAYhRIwU2IhNFwiVEgRTAx6tk4gMRjRPtWtejiZsjCc9knFJwR+MRaNOs794OMsHTcl49C16RGm4e0wkGHbKGdOvcCeO6S6Udpvkq38UOQQntXg8YWH4IUEmY0wkCHIIUQigVBALCZtyc2bzUCAw9BCi0kHh7hyEn3IUihjcRjI+sKRaF1nCMiBP+5BKDQujCHIOO+W9pJDSemt5YPQUqtJeY37iHIq+tAC891oGKriVmOJYupqv9AbjYxdbV6CFJqq2LaSn46jP92loatGDyUG0zMWeIZg8qi3N1FTmo1MY+1eAhSaikxm3EOQV5dB+qOEkdyizkZTvJEeA5BCk0OfghSaicxybEPQZrrQO2RYSwzdmsrIe721iUPk8oXvhICBGGsjVGnuhurhADdpOhuWnuqCcRgLAi2MSUFkgSuhABJAlZCgBTcxVjCaLgmwkCKbaiEIPEY0Z415WuqhCxuniw8N4lCwRmBTzyv8VdCkHTcl49C11QJaR7SCge9vbvXE1fdpIy4vqDxBVejSBBGfKKq0eY95X84u9eRQ6foQ7euQkZiMBIFQyE37F5HAmGEso3jHpQjnExGUnAzNWEsHDIZSRFMJnt2r0P5GHmoTZ1cRnNRVXpuHoWCM8KfWCd7dq9D2bjvHoWtQSUTBrTCQW9v47rEdcaz9N+nY/EFjS+8SgaCMKITVSULG9chKRWdcm1BCcRgRFSGoHR2DEGiQKSks3EdkiSgmARScBMaZTRsFAMoRTAx6WtcBwVkxOtW1eTiArvScyEhFJwR++Rq0tO4DgrHffsocE1ysnlEKxx02O3nLoGYeOn6q3Sb3n4utZe4MY+q74Dbz6WEGY0wzPZzKYRiQVAA3pua9n0fmp5+u5348seXb+pXffYpnX3KZp+U+dTrTD/Qw/TFzY7SP532bHR7YjriTkCGbnVtFZBaSNz1R5ejnt3rUhuJ+/3WFZpC6zh7+wj+cwlIoXWQ3evXsuzg7t7R0fBonmdn95iW5h7TMjMflPmQf8WUWgyJSb27kTX77stBidm03d3uYmuJ6ZS5271MlrvdZ262WX1fbjUxqbYhwg3MjYEH40COQcyczbvfHbYbs2+8OBAuikM5hWJSkJ8j49mdpWErBg/lBhOzIXkmQwhDlQlDlQlDlQlDFTEMjeSQxITK20ZfpJlzG73YUmJaZWyjX4afB5739khuMSfVih6g5TzRH3oqMUI72+qbw85iAFwEx3ICYp7lbrjXz87SqBVjxzJjt7Z447wft0x5mFS+8MUbIAhjMZA6uZcWb4CUik5JnxvfHR7dHnZUWXb2/uK1b393cnHeqf7iO/Mn+PqkF4jHWNhkTI7dRR0gSuCiDpAkYFEHSMFdVqaMho1iAKXYjqIOEpARx9uYTy5nlemiBOC87fIAC86IfeSpEH1UR1g47ttHgWsq6jSPaIWD3t7biJwdiMqM6wsaX3iZCQRhhCeqzAx8GxHSO4ruHbo8tWHsQTEYobgVGQpEAclQ121ESJSAOhRIwc2ElOGwUQygFMF0qOc2IigfI863KkMXVyiWnksxoeCM2CeWoZ7biKBs3HePwtakQpsHtMJBb+95TvdGJMX1BY0vvAoFgjCiE1WFNp+y/AM6zwkcOkUfurUlMhCDkSYYErnpPCcQCCKUXec5gRwBVTKQgpupCWORJf1e2rehDKAowaSy71Anko+RjFqVyot7HkvPxZ1QcEYMFEtl36FOJBv3BaSwNUnl5gGtcNDb24gvdV1JVOZcX9D4wktlIAgjOlGl8qYa8SHdpOhuosvS6S+0Gz6v1fsjsyhdi/3pw3qt+3F9XuJh/asfaEe+oaX6Y/PtFZHfme1OqL7z5+evTTp7dzqZiqK433kp6Rh/WsPEHtRVjLDPkL7OHfxAEozmdTX7Q5IEVL1ACm7SJYxG1o96ceSSvUCWYLLXs08BicfIK62q3sW9jaXnIk4oOCP8iVWvZ5cCEo37/lHQmkRv83hWOOiwR09dMtZzr5OmK1bpNn70VGjvasTY4qOnQsKMRhjo6KkQQrEgCADPHy+9Oleauc6UCs1eDcvAM6VCC4lHYDhK032mVGgj8fDLuhpSaB3noAvBf659A0LrNnimtDAnScvdgySKFue4+v7jpFJGYoZs+Tip1FpiiuQeJ+1fHSd13td4X241MVG2IasNzI2BB+NAjkHMhuscJ+3feHEgPMdJpRSKSUF+joxnd5aGrRg8lBtMTITkuQkhAlUmAlUmAlXECDSS8xHTaIsnSaWWEpMp5yRp/+okqfOVPZJbzEmwomdnOe3zR51KjIA+Sdq/8eIAeE6SSgmIKZZ9krS/szRqxdixzNitrRhlzpOk/huqrmFS+cJXjIAgjJU96lx9YxUjoJsU3U30ubK9YvS5/o055fB948arStF7evL/X5oKRt88N/90R+mpYtpUNAJ6i7Fq2sYUHUgSuGgEJAlYNAJScBetKaPRj3tlZh2RAZRlG4pGSDxGamljdruc4xaLIoPzFtMDLDgj/JEnZtQxHWHRuO8fBa2paNQ8nhUOensPFWTOo60l1xc0vvC6FwjCCE5U3du81f8P6FABcOgUfejoWtyGsQfFYGQJhkhuOlQABMJoZRvHPShHQKUMpOBmaspYqLyXuoQyECWYUPYdKkDyMZJRq0p5cf1m6blRFQrOiIFipew7VIBk476AFLYmqdw8oBUOenubDWaO87fJ/MFg+ILGF1oqQ0EY0YkqlWXNBqGUik5JV5WsZoNQPEakZahNV5cXKApEZ7qaDUJJgilNKAU30VFGw0YxgFIEE5meZoNYQEYcb1FlaqaZKJn/wgZ+gAVnxD6xyvQ0G8TCcd8+CpxfZlJGtMJB6/994/lhNZ++7tOT7e7rVzZcrSQ9F2blZa5WcQPt64/zXm4z+LbYYOJ+RaoS/N3sZGSt/mb9AE07v9lO/roB4Hzh8ouZRjQb4U13wPlC6GzD/2NTM798/eqHn5q/5rP6O1+Yn7582+aDO2IfZDQf8Lb+20z8qthExTJRaN6e2LzVkLz+Bn7/wqfYUOIGRLrQdO/jF9tI3Hq4roQUWsfZZkjwn0saCq2D7OOnFmv35WYTkxx/a742ybU1X24tMcvxtuZrcxZb8/UvnVvz5VYTUx1LLFMfjQO52cTs1LwVn2rrodxWxbSV/HQY/+0sDVsxeCg3mJi4xPOIrK9fP2UzeiQ3mpjEeLvo3YHigdxSYiqj76K/ChIPPEHiSG4xJ71JHgjXS1eJTW5n1zzVzmO5ncQcx9wbb56IpVErxo5lxtZzgvw0OukXk25xlsbdLFFlt1BF1r0ozqLy9OQ0Pc9PZjzOiapn6i6drDr2xidRwsOk8tmmtB4szrTWBnIbCsJYMKNOd997fhq7MtWtN/Lk6vLtWHXu/0ky/bwz/YfLn9SH3l+Y53amfz99ZLbkzHaLP5xtGDK/3TWz3ofT39ff/tHsN+afeGJ+oGt9FO5APajoHlx7JgrEYCwgtjhjBQJBSiiube1QkoAlFCAFdxGXMBqueTKQIlgJxTOfRuIx8gFrTthUQEkWy+3ue4Cx4Iz4J574pP2ip1wFFCQc992jwDUVUJpHtMJB13I1ys9PkjOVdvMyyfTPpkm3uFDn3dPJyXlfqVJFxSbkamLzhZarKdcXNL7wchUIwghPVLn6rlafj+ray6P6dqZH87rLu1e1lVlp5mFdxnlcbxb/cNa66P25Zv240798O48u384icxzR5pc7UL8oul/WFqFADEYQpovQyx9evmlDuQtFwchPG8c9KEdA8Qmk4CZAwli4xCeQYhvEJxKPEd1bFZ/pQqq4rwrFgjPinlh8qqzXd2lPJBv31aOwNWnP5gGtcNBhe3Bat75oNZm56fpRWq7SbX6vjtBgYgGTqgY3u1dH6IOM5oNW9uoITVQsEwnmTd+bmgtTPzRLv7udeNaSM5l9er5B525HrfTp1F/RfyDtdVZXqo2wNzetPqq7k76+aFai/xH9/bf1wD2bPxyzw6afdv78T+LIKfj3xL4i1l/pCrhxGVZoKLHmytC3no1DQhuJ1dZ1tavQOk5lleA/lyYVWgfZOHQtd1sagCaRMr0/81nnPW2/p/PevhyPmJlb3mAktZaYmrkbjLKrDUbOGy3vy60m5uc29LyBuTHwYBzIMTImBrsTn7H9xYFwURzKKRSTgvwcGc/uLA1bMXgoN5iYCsmTIkLwqUzwqYjBZyRHIyZP3oalVAcee4XhgdxSYgrlbFjKrjYsOd/WI7nFnLQqemyWM01/wKnECO1sYGoONosBcBEcywmI2ZW9tSnbWRq1YuxYZuzW1opy59YmxcOk8oWvFQFBGKuJ1NWBcLUioF8U3S/06bgNYw+KwVgzpc+UPbUiIErQWhGQI2CtCEjBXbAmjIXKMvuhygGUZBvqRUg8RoRvY365nGWqRXnBfVExFpwR+8hTI+qYjrBo3LePgtZULmoezwoHvb0763PnVqWc6wsaX3j5CQRhBCeq/NzGnfVADyq6B9cWqkAMRrCmC9XGkg4QCCNXnTvrgSQBBSuQgpsyCaPhKiQBKbZBrCLxGPmgVbGaL8SN+35hLDgj/iHEKhKN++ZR0JrEavN4VjjoZWOieeQ0IjRgYyLrZU9aj3oue8rL/Np1yqE2OxWOG4fFBhOLqVQ9+Vst9p7U1/AsNjvVVxC/pcXFo3ofzKfzFu1GDJodTQ9nV/nUv3pqruydb4SZbYfSv/2s/q0Rp5/U0vKx/tH5135oLjSefmhzyB2xQzKaQ1rZ+SQ0UbFMFJq3JzaPWGFlKFPHHUZiC4mFUo7UdO8yEtpILJGuKyKF1nHKoQT/ucSh0DrILqNrPUeyrN8zGuy65ftyy4nZTrCBKI1dkuZrcnOJ+Y67g6h/tYPIfXuw3Gpi0mOJZqp+PJCbTUxNzTuGqLYeym1VTFvJT4fx387SsBWDh3KDiVlLPJ/whIuR3GpiJuNt+fGEigdyU4kJjbPnp3+158d91a/cYk6SkzwSniZFQpPb2eNDtfNYbicxzbF38vR3lkatGDuWGVtLsUgV8ckk6k4u0qSbxVnULaOy6F5MzlRxGpfqJJrMeJyTVs80Xjpxde7k8VzqZsOk8tmmtx4szhTXBnIbCsJYOqNOfd9/bp77uDOvply+oWe5P6gLH5/rr04fTz95fub7WH/vUX1b7fxcz/MT4dktY9Of15t+zE0PH5nf/5nZH1TdyyOVR9FRvVmo/kdeNwUX89s0isxuIP0hjj3bgYDOVXTnrj1HBWIwVhnpc1nPdiAgCqS+ktk47kE5AlZXgBTcNV7CWLgm0ECKYNWVOI6iXuYqsCAJGVmCNVdsKrAUiwV59128WHBG6BNPiDzDOsLScd8/Cl1TjaV5SCscdK1iT8qz9Dw+jbt5lMXdLCvOu2ValN3yVKX9877KTrL5Gx1UxVqXdrWKLbm+oPGFV7FAEEZ8oqrY5R1ji/rL8rZcoy2nv6u16d/WFZ7H9VagD2u9Oj/Y/IXRsO9Nfzl9tzt9f/rB9GfT30z/QX/85+kHNu/cgXpH0b2ztgwFYjBiMV2Geu4gA6JAZGhsDyH3oCQBhSiQgpsICaPhEqJAinBCNO+VuY1vH8vHCPOtytByoVncF91iwRmhTy5DXYM6wrJx3z0KW5MIbR7QCgddi9BEqfPk5Fzpb57onz1RSbfIzrR0LdMsTor4tCjnoTWoCLWWZW4lccT1BY0vuAhFgjCiE1WE/tNzO30edqb/VSvST+o1Uy1IO9P399K0XgWN0475QbNkWstR68LaHSi8osOvqzGRGIxA24bGRKJANGbUS5QN5R4UJZzIRFJwEx1lOGwUAyhFMJGZ9XtZZuPbx/IxwnibIjNe3Ioae+65hYIzYp9YZDoHdYRl4757FLYGkUkY0AoHPVvpPDk9n1ykZVdl2Wk36xcX3UkeqW4WnxRn8cnkLFWbWOm0PgBaZMZcX9D4wotMIAgjOlFF5i8uX798yxx9vNqq/lbdguPDupr+hjmnuDwGOf3V9Gf1iuYvp7/W//3mz+ZtOn43/c303elv9ccPzM/8d/2b9zv3RyruTH9m89IdqJcU3Utrq1EgBiMit6JGgSggNWq2V15HuQdFCahGgRTcjEgZDhvFAEoRTI0WRa+w8u1j+RjxvlU1Gi/Ei/PSywMsOCP2idWoc1BHWDbuu0dha1KjzQNa4aDD9m0vbHRaXyZuun6URat0Gz/KKDV4NWb8mznKKHVIRnNIG0cZpSYqlokE86RN3OOsZyPbE5MRz5MwBKzrFKTUQuLZEbou9ZyClNq4KjoxpyCl1nEOiBD85xKSQusgpyCv5Vtbr/U43dUfMvPBdF2PF42P48TT+HhfDkrMqy0fmhSbS8yszEOTcbI8NBk7L0i8L7eamF7bkOMG5sbAg3EgxyAmxeZDlA7bjdk3XhwIF8WhnEIxKcjPkfHsztKwFYOHcoOJ6ZA8pyHEocrEocrEocrEoYoYh0ZySGJG5Z3GTLNcOU9jik0lJlbGacxl/HngeXGP5BZzkq3oCVrOGf2xpxIjtHM6sznuLAbARXAsJyBmWu65Tf3sLI1aMXYsM3Zr60COaa+ep6c8TCpf+DoQEISxLkid52+qDgT0kqJ7iT6ztmHsQTEYa6GMabS7DgRECV0HAqIErAMBKbhr0ZThsFEMoBRbUQdC8jHifRsTz+X0c3Hda+y5vxcKzoh95DkTeVBHWDbuu0dha6oDNQ9ohYPe3q3vhev8pVkn4fmCxhdejQJBGNGJqkZb3voOhFd0+LVFJhCDEWhbEZlAFJDIdG59B6IEFJlACm6iowyHjWIApQgmMn1b35F8jDDeqsjMFprEc70sFJwR+8Qi07f1HcnGffcobE0is3lAKxz09jb5KJznKxXXFzS+8CITCMKITlSRGbjJB9I7iu6dtVUoEIMRiVtRoUAUiAp1NvlAkgQUoUAKbiIkjEaaxr2+so7IAMoSTIrGec9ejtzH8jGCfatSdHFfYey5fxIKzgiAYilqBtVafB1h2bhvIIWtSYo2D2iFg97ersmF8xRmzvUFjS+8FAWCMKITVYp+ubomI52r6M6lK9nn/Xv5o44W9I9muxlmN8ivOPbZiifrKyE/7kw/rn/ikTmj0Pna+WuTVyedg8lrr03++q9f2V1cVf+0M/25/pc+7rxkJhf1ZfVP65Eys4ZHs4tBX7/84fSxNRjtQV3LSC50de3u5IxEgahra0y8B+UIqK2BFNzMThgL1wIvkCKcqvZ1coYSMjJXq7p6cbVi7LkqEwrOCH1yXe3r5Ayl475/FLomZd08pBUOenlb5pzcKOaAt2WWNlwtnv03q1y7HDTUEdPSecRUaPBqGFnziOnv6hOlZoH101owGX01W5NdXMluRJhXpF07Yvp4firVBn5HDJ7RwFs5Sio0UbFMFJq3JzZvNRCvfx604b52qaHEQyx0dek7Fiq0kXh6ZV3lKLSOc1KF4D+XIhRaBzkWem1rYZb1CmUzfF9uODG38Y95Zv3UfcpTai0xuXFPeV5djRl7rsYUW03McCyRfH1LketqTLHZxPzUfKqTauuh3FbFtJX8dBj/7SwNWzF4KDeYmLrE8wd3sBjJjSamMd5ZTHegeCC3lJjMOEcxry7GdAeJI7nFnAQneSDcF2NKTW7n6CXVzmO5ncQcxz5gaS7GtAeGscxYY+3JeT8/6V9E3bMiibtZEqfdSXSiumfZWXkSFUVcXMx5nPNTz4xdOkd1HrAseJhUPttM1oPFmc3aQG5DQRgLZdRZ7nurm4zMbLbegHR1erLlDUdABym6g9aeagIxGOuCjCmpe8MREAVSEol61mB5D0oSsCgCpOAuylJGw0YxgFKEK4q4bxWC8jEiPWu211QSWdyEGHsut4SCM0KfeErjuVUIysZ99yhsTQWR5gGtcNC1Ds2i5GxycXLejXOVdDMVnXVPzrOzbh4XUXZ+kZ6l5SZ0qHUDodahJdcXNL7wOhQIwohOLB26KKxwNxVpwfnQVGnMRpq5bNW/MS1C3tR/7bPu1W6i2Tere3kcpVF0NPttTNteBHSoojt0bd0KxGAEb7pu9WzlAaJAdGvcKzIbyj0oSkDhCqTgJk/CcLiEK5AimHDVRvRKZQPcxwIyckOrynVxfWLsuQ8TCs4IfmLl6h7VERaO+/ZR4Jqka/OIVjjo7e0KUroObCYR1xc0vuDSFQnCCE9U6dpuVxAkvKLDryszkRiMSEuXme7lUSQKRGZGvcghM5Eo4WQmkoKb6CjDYaMYQCnCyUx3VxAoHyOMt6kyk8X9iYnnQkwoOCP2yVWmuysIlI377lHYGkQmYUArHHQtMvOLIsovzqLuRRJddLPTvOwWZ2XZPT0/z6I8vZhE2TxLBBWZ1gdAi8yY6wsaX3iRCQRhRCeqyGyjEfL9UdfT8xjpEEV3yNrCE4jBCL6tCE8gCkp4upoeI1kCKk8gBTf7UcbDRjGAUgRTnp6mx1A+RmxvVXku7kpMPJdfQsEZwU+sPD1Nj6Fs3HePwtakPJsHtMJBh738MraOqRaTiRuvH2XxKt7GjyZKDV4NGl+6o4lS8IwG3sbRRKmJimWi0Lw9sXnE8x0MvdlwNFFqKPFMB11Neo4mSm1cVYqYo4lS6zgnNwj+c6k/oXUbP5ooNpyY3No9mii2lpjcmEcTk6sLKBPPBZRiq4kZjiWJqSd6DuRmE/NTm0cTxbYqpq3kp8P4b2dp2IrBQ7nBxNQlny14jiaKjSamsfaOJootJSYzxtHE5OqWSHeQOJJbzElwkgfCfTRRanLoo4liO4k5jns0MTF3P9oDw1hm7NaWPOLIdTYxSXmcVMDwNQ8gCGNdjDrNDVDzADpE0R2y9twSiMFY9mPMQd01DyBK8JoHkCVgzQNIwV13pYyHjWIApdiKmgeSjxHbWRO8pprH4l7AxHPRIxScEfzksxhPzQPJxn33KGxNNY/mAa1w0Nu7pVtLT6vE1tIz4zqDBhheegJBGOGJKj1b3tMNhFd0+LVlJhCDEWlbkZlAFJTMzGwo96AoAVUmkIKb6SjDYaMYQCmCqUzfnm4kHyOMt6oyFxcDJp6bHqHgjNgnVpm+Pd1INu67R2FrUpnNA1rhoLe354VWmanNGVplKq4zaIDhVSYQhBGeqCpz+5teIB2q6A5dW7kCMRjRm65c3U0vkCgQ5epueoFECahcgRTc7EkYDpdyBVKEU66ephdQQEZuaFW6Li4STDw3Q0LBGcFPLl09TS+gcNy3jwLXpF2bR7TCQW9v32CtXa1JRGvXnOsMGmB47QoEYcQnlnYN2jgY6SBFd9DaWhSIwQjHdC3qWUUFokC0qLNxMJIkoBQFUnCTIWU0bBQDKEUwKeppHAzlY0T6VpXo4uK9xHOXIhScEfrEStTTOBjKxn33KGxNQrR5QCscdODjia59n30vXrKKt/njiUKDV4PGl+94ohA8o4G3cjxRaKJimSg0b09s3mrYxR9PFBpKPNdB15K+44lCG4knOtZViULrOKc3CP5zqT+hdUGOJ6Z91etnNsP35YYTk1vLxxOl1hKTG/d44tXNiYnn5kSx1cQMx5LE1FM9B3Kzifmp1eOJUlsV01by02H8t7M0bMXgodxgYuoSzxbcwWIkN5qYxlo8nii1lJjMOMcTr25OdAeJI7nFnAQneSA8xxOFJgc/nii1k5jj2McTzc2J9sAwlhm7vRWQ2Hk8seBxUgHDV0CAIIx1Meo0dwMVEKCDFN1Ba881gRiMZUDGnNRdAQGiBK6AAEkCVkCAFNxVWMpo2CgGUIqtqIAg+RiRnjXda6qALG7aSzxXJ0LBGaFPPKfxVUCQbNx3j8LWVAFpHtAKB10L0bMs6at+P+6myWnRjePz8+4kjpLuWZzn8eQ0Ojkp5097WCGa2JyhhWjJdQYNMLwQBYIwwhNLiF5tI3fWVGaq87lt453qXhLHSRQdGb2a3j7u1BvCS2U2hLt2k9tcdgfqMkV32drSFIjBiM90aerZKA5EgUhTz0ZxIEpAbQqk4OZHwnC4tCmQIpw2LXPHGtc+FpAR/VsVp4u79BLP7YhQcEbwk4tT56iOsHDct48C16ROm0e0wkFvcSuN2HXIMY24zqABBlenSBBGfKKq03ZbaSDhFR1+XZ2JxGCEWrrOdC+BIlEgOtPdSgOJEk5nIim4mY4yHDaKAZQimM70tNKA8jHCeJsyM13cppd6rkeEgjNin1hmelppQNm47x6FrUFlEga0wkFvca/g2HUcMY25zqABhleZQBBGeKKqTHyvYKRDFN0haytPIAYj+raiPIEoKOXp6hWMZAkoPYEU3PRHGQ8bxQBKEUx6enoFQ/kYsb1V6bm4Ti/13I8IBWcEP7H09PQKhrJx3z0KW5P0bB7QCgcd+ACio6CeJl68dBVv4wcQpQavBo0v3QFEKXhGA2/jAKLURMUykWDe9D3t24/rrbBPdjvx5Y8v39Rv+OxTOvuUzT4p86nX0UL98fSLmx0dCHL9B5KeDXBPDEg8B8JQrA1HGKWGEs9+0PWo5wij1MZVrYk5wii1jnPCg+A/l34UWgc5wngtzQ7u7h0dDY/mibYaH7ykhVG6qz9k5oMyH/KvmAmxITG5dzeypt99OSgxnbZ75FFsLTGdMo88plc3MqaeGxnFVhNzahsi3MDcGHgwDuQYxAzZfATSYbsx+8aLA+GiOJRTKCYF+Tkynt1ZGrZi8FBuMDEpkmcyhDBUmTBUmTBUmTBUEcPQSA5JTKi8w5T9qOwpawh6ILeUmFYZhynTq7se3e/tkdxiTqoVPUDLiaI/9FRihHYOVzaHncUAuAiO5QTEPMs9dpmaWyHtIWcsM3Z7Kz2J69hlmvI4qYDhKz1AEMZqIHVyH6DSA3SIojuEPqO2YexBMRiLnYx5s7vSA0QJXukBsgSs9AApuKvNlPGwUQygFFtR6UHyMWJ7G5PM5VRzcYlg6rkVEgrOCH7k+RF5UEdYNu67R2FrqvQ0D2iFg97ireyJ66BlmnGdQQMMLz2BIIzwRJWeLW9lB8IrOvzaMhOIwYi0rchMIApKZmY2lHtQlIAqE0jBzXSU4bBRDKAUwVSmbys7ko8RxltVmYtLBFPPrZBQcEbsE6tM31Z2JBv33aOwNanM5gGtcNBbfCtk4jwwqbjOoAGGV5lAEEZ4oqrM7b8VEulQRXcoXbkyW6R82NG6/qHZNjb9eO7qz/VA6F+anT1P9A8/qlecH3fMdEB/8WHna+evTV6ddA4mr03++q9f6Uzfnf2DnenPL9+aftz58z/RnnU5dA/qUEYeoWtod9sRJApEQ7vbjiBRAmpoIAU3jxOGI4+TtNe3T2sGUJhwUtpzTSUUkJGsWtXSi0sNU881lVBwRgyUa2nPNZVQOO5LSIFrEtPNI1rhoLe4SXPiPBeac51BAwwvpoEgjPjEEtNBmzQjHaToDqKLYxvGHhSDEY7pktSzrAtEgUhSZ5NmJElARQqk4CZDwmgkaVL2cuuIDKAswQRpnDuOoO1j+RjxvlU9urjbMPVcVgkFZwRAsR41g2rdujjCsnHfQApbkxxtHtAKBx34rKhrtbbvxctW8TZ/VlRo8GrQ+PKdFRWCZzTwVs6KCk1ULBMJ5onPiia7nUL/AeU6KyoEXA3c+LOiQkOJR1vomtR3VlRoI/FQy7pqU2gd5wALwX+uvQFC6zZ4VrQwJ0RL/SGLzId4cUir7z8rKgUlptOWz4pKrSWmU+5Z0avrMVPP9Zhiq4k5tQ0RbmBuDDwYB3IMYoZc56xo/8aLA+E5KyqlUEwK8nNkPLuzNGzF4KHcYGJSJM9kCGGoMmGoMmGoMmGoIoahkRySmFBbPCsqtZSYVjlnRa8u3nS/t0dyizmpVvQALSeK/tBTiRHQZ0X7N14cAM9ZUSkBMc+yz4qaKzrtIWcsM3Z7qz+p86xoweOkAoav/gBBGKuB1Mn9Bqo/QAcpuoPoM2wbxh4Ug7H4yZhHu6s/QJTA1R8gScDqD5CCu/ZMGI04T/Je4ar+AFm2ovqD5GPE+zYmnsvp5+Jex9RzUScUnBEAyXMmTvUHycZ9AylsTdWf5gGtcNBbvLM/dZ4fLbnOoAGGl6NAEEZ4YsnR7d7ZD3SoojuULl/D7+z/f2ZDcPmjzvTv9S/+tXFvP9CljExCl9Kevf1AFIiU9uztB6IE1NJACm4mJwxHlvTzXmo/cTiAwgQT0969/UhARrpqVU0v7qFMPTeLQsEZMVCspr17+5Fw3JeQAtckp5tHtMJBb3E7ltR1UDbzX4BlcQYNMLicRoIw4hNVTrfbjgUJr+jwdOlrw9iDYjBCLV1uuldukSgQuelux4JECSc3kRTcTEcZDhvFAEoRTme627FA+RhhvE2ZmS0uosw8N4tCwRmxTy4z3e1YoGzcd4/C1qAyCQNa4aC3uN906jpBmsVcZ9AAw6tMIAgjPFFVJr7fNNIhiu6QtZUnEIMRfVtRnkAUlPJ09ZtGsgSUnkAKbvqjjIeNYgClCCY9Pf2moXyM2N6q9FxcRJl5bhaFgjOCn1h6evpNQ9m47x6FrUl6Ng9ohYMOfFrUJSYTL55axdv4aVGpwatB40t3WlQKntHA2zgtKjVRsUwkmPfiadGVE6Hpbqe/2yl3O7Geccax42ColIV4BoYhThsOhkoNJZ5joUtPz8FQqY2rshJzMFRqHee0CsF/LqkotG5zB0Mzc4loZi4Rzcwlotni9r7Mf4moGJSYOds9GCq2lpg5mQdDs6tLRDPPJaJiq4npsw29bWBuDDwYB3IMYjJc42BodnWJaNZwiaiYQjEpyM+R8ezO0rAVg4dyg4lJkTxpIYShyoShyoShyoShihiGRnJIYkJt72Co2FJiWmUcDM2uLhF1v7dHcos5qVb0AC3nhP7QU4kRwAdDs6tLRP1h51hOQMyz3IOhmblE1B5yxjJjt7eok7kOhmYpj5MKGL6oAwRhLPxR5/EBijpAhyi6Q+iTZxvGHhSDsa7JmDe7izpAlOBFHSBLwKIOkIK7sEwZDxvFAEqxFUUdJB8jtrcxyVxONRd3TmaeS0Sh4IzgR54fkQd1hGXjvnsUtqaiTvOAVjjoLd61nrkOgc53mjGcQQMMLz2BIIzwRJWeLe9aB8IrOvzaMhOIwYi0rchMIApKZmY2lHtQlIAqE0jBzXSU4bBRDKAUwVSmb9c6ko8RxltVmYs7JzPPJaJQcEbsE6tM3651JBv33aOwNanM5gGtcNBb3Gokc56NVFxn0ADDq0wgCCM8UVXm9rcaQTpU0R1KV674ViN7tS861XE37nf+/E/6nq4iSO8xkgZdMLu7iiBRIILZ3VUEiRJQMAMpuEmbMhx5Fvey3DokAyhMON3s6SoCBWRkplaF8+J+ycxzYygUnBED5cLZ01UECsd9CSlwTcq5eUQrHPQW94zOnOc9c64zaIDhlTMQhBGfWMo5aM9opIMU3UF0JWzD2INiMMIxXZJ61nCBKBBJ6uwZjSQJqEiBFNxkSBiNPNFR3TogAyhKMD3qaRkN5WOE+1bl6OJ+ycxzYSgUnBH/xHLU0zIaysZ9ASlsTWq0eUArHLT+3zdqFTZ/XY3K/LpPdrZ8JlTZeLXg7Lt587Ifr/IGOhOaRM4zoUKDV6MI5kzos+lnZo20rvX/tDNf9Hs4P+vZMQuInzy3E6A+E/rY7EJd/iktOT83S7E/n743F57sc6Ufa1Oi3WT6eWL+AtcS3B2xJzOaJ1s5ZCo0UbFMFJq3JzZvNbCvf270c2tiviu2kHi+ha5VfQdGhTYST7asq0KF1nFOsRD859ogILQOcmB01eYkzfq9qLBZvi+3nJgn+SdA41wp9xFQqbnERMk9Anp1N2jmuRtUbDUxW7L0tmULktXZB3Kziamp+cgn1dZDua2KaSv56TD+21katmLwUG4wMWuJpyKecDGSW03MZLyTmp5Q8UBuKjGhcY5qXt3h6Q4TR3KLOUlO8ki4XrtKbHI7RzOpdh7L7SSmOfYBTHMzpz00jGXG1mInK7NJrqJu0T/vd7M0SbqTZNLv5meTVP//pB8XG9gFr5wHMAseJxXQNjH2cHEmxzaQ21AQxrIbddL83nKa+tA3pX14+dN51SVOo8u3i9mmoo5nVxHQDYruhrWnk0AMxlpiG9NOIAmklKKnp65aChAlYC0FSMFdyiUMh2u2C6QIVkZJIlX2ImUj3McSMiI6a2LXVEhZXNWYee7ehIIzgp989uIe1hGWjvv+UeiaSinNQ1rhoGcHL8vJSRlFaVedZGk3K/WPFScTs4c+z5MiUtlZ//zlDUhOa0bUkrPkOoMGGF5yAkEYAYoqOd+d7eK5KpEsd/iAtvUA3aPo7llbigIxGNGYIUXd23qAKBAt6hKiQI6AQhRIwU2EhLFwCVEgRTAhGue9Mrfx7WP5GFG+VRm6uOIw81xaCQVnBD6xDHUO6gjLxn33KGxNIrR5QCsc9BZ3/1Cuc5nz5pIcZ5AAg4tQJAgjPFFFaLvdP5Dwig6/rsREYjAibRsSE4kCkZhRL1E2lHtQlHAqE0nBzXSU4bBRDKAUwVSmp/sHlI8RxttUmWpxxaHy3FkJBWfEPrHK9HT/gLJx3z0KW4PKJAxohYPe4vbGynWGUcVcZ9AAw6tMIAgjPFFVJr69MdIhiu6QtZUnEIMRfVtRnkAUkPJ0dTdGogRUnkAKbvajDIeNYgClCKY8Pd2NoXyM0N6q8lzccKg8V1ZCwRmxT6w8Pd2NoWzcd4/C1qQ8mwe0wkEHvrLSumattWTixutHWb6Kt/HjiVKDV4PGvx9PlHoyo3myjeOJUhMVy0SheXti84gHPRj61bVPVGoh8VAHXZZ6jidKbVzVnJjjiVLrOCc3CP5z6UihdZs/nii2nJgnWz6eKDaXmCiZxxPV1Q2VynNDpdhqYrZkyWvqmZ4DudnE1NTm8USxrYppK/npMP7bWRq2YvBQbjAxa4lnHt7jiWKriZmsxeOJYlOJCY1xPFFd3STpDhNHcos5SU7ySLiPJ0pNDn08UWwnMc1xjycqcz+kPTSMZcZubwEldx1PVCmPkwoYvoACBGGsslEnzQEKKECHKLpD1p5YAjEYi4iMCai7gAJECV1AAaIELKAAKbiLuJThsFEMoBRbUUBB8jFCO2uG11RAWdwmqDzXQ0LBGbFPPI3xFVCQbNx3j8LWVEBpHtAKB73FG8Rz1ylFlXGdQQMMrzyBIIzwRFWeLW8QB8IrOvzaKhOIwYi0rahMIApIZTo3iANRAqpMIAU301GGw0YxgFIEU5m+DeJIPkYYb1VlLm4TVJ7rIaHgjNgnVpm+DeJINu67R2FrUpnNA1rhoLe4F0buPIao2M4gAYZXmUAQRniiqszQvTCQ7lF096ytQ4EYjFjcig4FokB0aN/GcQ/KEVCEAim4iZAwFi4RCqQIJkI9vTCgfIwo36oIXVzMpzxXLULBGYFPLEI9vTCgbNx3j8LWJEKbB7TCQW9xD+DceUox5zqDBhhehAJBGOGJKkJRPYCRblB0N6wtNoEYjJjLEJvOvd1AEojWdPcARqIElJtACm7KIwyHS24CKYLJTW8PYCghI6K3KjgXd+8pz2WKUHBG8BMLTm8PYCgd9/2j</t>
  </si>
  <si>
    <t>0DVJzuYhrXDQgY8nWhODFpF9L15/FW/zxxOFBq+GjX8/nij1ZEbzZCvHE4UmKpaJBPO06H+mHWtWk5/sduLLH1++qUPG7FM6+5TNPinzqdeZfqAH7oubnXi3o4NLnPRsgHtiwNVcADzgKLSQeCyEJW6dBxyFNq4qV9ABR6F1nLMfBP+51KjQOsgBx2sJe3B37+hoeDRP2dX44CUtsopd/aHUH/LIfIi/YuKcITFZfDeyJvJ9OSgxMbd9HlJqLjEzc89DXl3XqDzXNYqtJqbnNhS9gbkx8GAcyDGIubH5fKTDdmP2jRcHwkVxKKdQTAryc2Q8u7M0bMXgodxgYjokT4sIcagycagycagycagixqGRHJKYUXkHLZOsSHrKddBSaioxsXIOWl7dA+l+cY/kFnOSregJWk46/bGnEiO0c/CyOe4sBsBFcCwnIGZa9pFMc2OkPeaMZcZub7Wo7zySWfA4qYDhq0VAEMbaInWhAFYtArpB0d3AmkI/5wnvqsbD2crJx2Ytw/zEo3p55Wvnr01enXQOJq+9Nvnrv35lt1NvB3s8fdqZ/vzyLf3TLyXRzHW126zBaQ/qN8YKbRszcyBJ6PIUECVgeQpIwV0eJwxHFpVJL4qtT9cAChO4SmXdQbOPJWRkkjbmtMuZ7eJaQ+W5qRIKzoiB5OkYr0qFpOO+hhS6pipV85BWOOgt3p3fd54BLbnOoAGGl7pAEEaAokrd4Lvzge5RdPfQJbANYw+KwYjGDEXq3p0PRIFIUpceBXIE1KNACm4iJIyFq0AFpAgmRE2rLGu22sfyMaJ8qzJ0cbGh8txUCQVnBD6xDDWDal1tG2HZuO8eha1JhDYPaIWD3uJGJH3XEdE8YjuDBBhchCJBGOGJKkLbbUSChFd0+HUlJhKDEWnbkJhIFIjEdDciQaKEU5lICm6mIwxHqfJe1C9sLAMoSzCt6WlHAuVjBPM2tWa+uN4w99xXCQVnRECx1vS0I4Gycd9ACluD1iQMaIWD3uJ2y33XSdDcc4WS3Rk0wPBaEwjCCE9UrYlvt4x0iKI7ZG39CcRgRN9W9CcQBaQ/Xe2WkSgB9SeQgpv9KMNhoxhAKYIpT0+7ZSgfI7S3qjwX1xvmnvsqoeCM2CdWnp52y1A27rtHYWtSns0DWuGgAx8ItU6BtZZMvHjFKt7GD4RKDV4NGv9+IFTqyYzmyTYOhEpNVCwTCebxD4Tit7+a7Rf1s2f+mtnOi0ezR+HZ5d/pv/1j8zg4tsVKHUs8ecNQ3q7trlILicdm6ILacxBVauOqWsYcRJVat5qJMQdRpdZt7iBqnprjp5n5oMyHfH4ALE+8B1HFoERB0PJBVLG5REXAPIiaX13MmXsu5hRbTZQFbcwjDMyNgQfjQI5BzMlrHETVtr84EO6DqGIKxaQgP0fGsztLw1YMHsoNJqZD8mSMEIcqE4cqE4cqE4cqYhwaySGJGbXFg6hiU4mJlXEQNb+68dP94h7JLeYkW9ETtJzs+mNPJUYAH0Rdxp3FALgPoooJiJmWexA1N3eD2mPOWGbs9harCtdB1DzlcVIBwxergCCMFU3qAkWAYhXQIYruEPok3oaxB8VgLNgypszuYhUQJXSxCogSsFgFpOAumFOGw0YxgFJsRbEKyccI7W1MMpdTzcVVkrnnblAoOCP2kedH5EEdYdm47x6FralY1TygFQ56i7fkF65zoXnGdQYNMLzyBIIwwhNVeba8JR8Ir+jwa6tMIAYj0raiMoEoIJXp3JIPRAmoMoEU3ExHGI4k7rn24wNBgglN3358JB8jkrcqNBe3Seae60Gh4IzwJxaavv34SDbu60dhaxKazQNa4aC3uAFJ4Tz7qdjOIAGGF5pAEEZ4ogrN0A1IkO5RdPesLUWBGIxY3IoUBaJApGjfxnEPyhFQhwIpuImQMBau1U4gRTAR6mlAAuVjRPlWRejiNsnccz0oFJwR+MQi1NOABMrGffcobE0itHlAKxz0Fjd8LpyHQnOuM2iA4UUoEIQRnqgiFNXwGekGRXfD2mITiMGIuQyx6dyQDiSBaE13/2UkSkC5CaTgpjzCcJRpL42swXsARQmmOb3dl6GEjLDequpcXCiZe+4IhYIzIqBYdXq7L0PpuC8hha5JdzYPaYWD1v/7xu5Mbn3dpytbPhpa2jC1ouy7MfOyn6xihjsaas3Qt8UGr4aPf7tHQ59dvkk7Gir0ZEbzZCtHQ4UmKpaJQvP2xOatRnTgAUuhhcTjICyd6jxgKbRxVYSCDlgKreOc+SD4z7WOKbQOcsDymqhQKnGXyaWWE/Mk/8Rk0i88Jyal5hITJffE5NXVnbnn6k6x1cRsyRLa13fs2J19IDebmJqaT0hSbT2U26qYtpKfDuO/naVhKwYP5QYTs5Z8DuIOFyO51cRMxjzY6A4VD+SmEhMa52Dj1Q2b7jBxJLeYk+Qkj4TrtavEJrdzkJFq57HcTmKaYx9XNPdm2kPDWGassfakPFOTLC26ySQuu1leXHRPlCm55FlxdhafndWXGRke53TXM+8XT3mdxxULHicV0DYx9nBxJsc2kNtQEMZ6G3XS/N7qFh4zsa2398zLJoDtPEAPKbqH1p5pAjEY64uMGal7Ow8QBVRisU6u70FJAlZYgBTcxV3CaLgmwkCKYMWVOO+VrtIKko8R6lkzvqbSyuIWxNxzsSUUnBH6xNMa56COsGzcd4/C1lRYaR7QCgddK1GVl+nZRXnRjZIz/bMTddotsjTpXiRFrn8uvTjJz1/egBK1phCtREuuM2iA4ZUoEIQRnqhK9N1lPcV0VXx0+YYpnRiB+VxxpbNXw3T+43B81LkzvD88mqvU/3gnSWe/yqPohvkvjjx7fICeUXTPrK1AgRiMMMxQoM6aCJAksAAFkgQUoEAKbhIkjIZLgAIpggnQJEpixznafSwhI8a3KkEXdyDmnkstoeCM2CeWoJ5hHWHpuO8fha5JhDYPaYWD3uIeGqXraGM/4jqDBhhchCJBGAGKKkLb7aGBhFd0+HV1JhKDEWsZOtO50olEgQhNdw8NJEo4pYmk4GY6ynDYKAZQimBK09NAA8rHCONt6sz+4v7DvudCSyg4I/aJdaangQaUjfvuUdgaVCZhQCsc9Bb3CC5dZxf7njuW7M6gAYZXmUAQRniiqkx8j2CkQxTdIWsrTyAGI/q2ojyBKCDl6eoRjEQJqDyBFNzsRxkOG8UAShFMeXp6BEP5GKG9VeW5uP+w77nQEgrOiH1i5enpEQxl4757FLYm5dk8oBUOOuyFlol1TLWWTNx4/SgrV/E2fmpRavBq0Pj3U4tST2Y0T7ZxalFqomKZKDRvT2we8fwHQ7+6KvRSC4lnPeiy1HNqUWrjqubEnFqUWsc50EHwn0tHCq3b/KlFseXEPNnyqUWxucREyTy12L+657HvuedRbDUxW7LkNfWoz4HcbGJqavPUothWxbSV/HQY/+0sDVsxeCg3mJi1xDMP76lFsdXETNbiqUWxqcSExji12L+6jtEdJo7kFnOSnOSRcJ9alJoc+tSi2E5imuOeWuybSxbtoWEsM3ZrCyh6Duk4tdhPeZxUwPAFFCAIY5WNOmkOUEABOkTRHbL2xBKIwVhEZExA3QUUIEroAgoQJWABBUjBXcSlDIeNYgCl2IoCCpKPEdpZM7ymAsriTr6+55JFKDgj9omnMb4CCpKN++5R2JoKKM0DWuGgt3eDuKt6oZVnxnUGDTC88gSCMMITVXm2vEEcCK/o8GurTCAGI9K2ojKBKCCV6dwgDkQJqDKBFNxMRxkOG8UAShFMZfo2iCP5GGG8VZW5uJCv77lhEQrOiH1ilenbII5k4757FLYmldk8oBUOent7YWiVmdqcoVWm4jqDBhheZQJBGOGJqjID9sJAekbRPbO2BAViMMIwQ4I6d9oASSAK1NkLA0kSUIACKbhJkDAaLgEKpAgmQL29MKCEjBjfqgRdXMfX99yvCAVnxD6xBPX2woDScd8/Cl2TCG0e0goHvb2tgbUIzWzO0CI05zqDBhhehAJBGAGKKkI30BoY6SFF99DaYhSIwQjIDDHqXg8FogRWo0CSgGoUSMHNhoTRcKlRIEUwNeppDQzlY4T6VrXo4oq+vufWRSg4I/SJtainNTCUjfvuUdialGjzgFY46MCnFl0bOPs+PBWt4m3+1KLQ4NWg8e+nFqWezGiebOXUotBExTKRYJ4W8c+mH9fi/sluJ7788eWbOmTMPqWzT9nskzKfeh0t9h9Pv7jZSXY7hf4DqmcD3BMDrmYC4LlHoYXE0yIcXes+9yi0cVW1gs49Cq3jHAkh+M+lRIXWQc49XkvYg7t7R0fDo3nKrsYHL2mJVezqD6X+UETmQ/wVE+cMicniu5E1ke/LQYmJue1jklJziZmZe0zy6nLHvudyR7HVxPTchp43MDcGHowDOQYxNzYfm3TYbsy+8eJAuCgO5RSKSUF+joxnd5aGrRg8lBtMTIfkSREhDlUmDlUmDlUmDlXEODSSQxIzKu/8ZRb3+z3lOn8pNZWYWDnnL69ujXS/uEdyiznJVvQELSed/thTiRHaOY/ZHHcWA+AiOJYTEDMt+6SmuV/SHnPGMmO3t4gUO09qFjxOKmD4IhIQhLGySF0o2EQRCeghRfcQfXZtw9iDYjBWUhlzaHcRCYgSuIgEJAlYRAJScBeyCaOR5P2sl5bWIRlAYULWkmIr3z6WjxHx25h7Lmegi1sJ+55rJqHgjAhInjbZBtUqR0ZYNu4rSGFrqiU1D2iFg97irfWOTKIFacl1Bg0wvCAFgjDCE1WQhtxaD/SMonuGLkSXar0+2+qtvD2cVfc+7kw/rn/iUV0C/Nr5axPtt4PJa69N/vqvX+lM/x/t30dayf+oM/17/Yt/7byURNHl27H+2DGOs0aKPajnGJGfoX2d9SMgSWDpCyQJKH2BFNy8SxiNBukLhAkmfWe7v10bqZCEjOzSqvhd3IbY91xwCQVnhECx+PVv6kfScV9DCl2T/G0e0goHvcX9S2LXydJ5ZxuGM2iAweUvEoQRoKjyt93+JUh4RYenK1wbxh4UgxFrGXLTudSKRIHoTXf/EiRKOMGJpOBmOsJwKNXvxbl1RAZQlmB609PFBMrHCOZtqs1icSti4bnmEgrOiIBitenpYgJl476BFLYGrUkY0AoHvcVdmmPXAdLCc/OS3Rk0wPBaEwjCCE9UrYnv0ox0iKI7ZG39CcRgRN9W9CcQBaQ/XV2akSgB9SeQgpv9KMNhoxhAKYIpT0+XZigfI7S3qjwXtyIWnmsuoeCM2CdWnp4uzVA27rtHYWtSns0DWuGgAx8YdZTti8SLF6/ibfzAqNTg1aDx7wdGpZ7MaJ5s48Co1ETFMpFg3osHRlcOhaa7nf5up9ztxHoGG8eOs6FSFuJhGIbYddX2pRYST7LQNaznbKjUxlWBijkbKrWOc1yF4D+X6BRat7mzoUVqToRm5oMyH/L5mawi8Z4NFYMSc3DLZ0PF5hKTMPNsaHF1hWbhuUJTbDUxE7ch3Q3MjYEH40COQUyDa5wN1ba/OBDus6FiCsWkID9HxrM7S8NWDB7KDSamQ/L8hxCHKhOHKhOHKhOHKmIcGskhiRm1xbOhYlOJiZVxNrS4upvT/eIeyS3mJFvRE7ScX/pjTyVGAJ8NXcadxQC4z4aKCYiZlns2tDC3eNpjzlhm7PbWhxLX2dAi5XFSAcPXh4AgjEVE6ppAgPoQ0CGK7hD6vNmGsQfFYKyRMqbM7voQECV0fQiIErA+BKTgrlFThsNGMYBSbEV9CMnHCO1tTDKXU83FpY+F5xZPKDgj9pHnR+RBHWHZuO8eha2pPtQ8oBUOeot3wSeuQ6BFxnUGDTC88gSCMMITVXm2vAseCK/o8GurTCAGI9K2ojKBKCCV6dwFD0QJqDKBFNxMRxiORGftyLQWuM4ygLIE05q+XfBIPkYwb1VrLq5+LDx3eULBGRFQrDV9u+CRbNw3kMLWpDWbB7TCQW9xw5HEeeJScZ1BAwyvNYEgjPBE1ZoBG44gPaPonqELUV7Dkadaps92iL3QJlCL85+aZiIP5wvJ5rez3Wb1RrE3L9+qhf3qn5i7vDruxv3OS9q1f5X7m5IgvcvIDgx97Ny4BCSByGNnUxIkSUB1DKTg5mbKaKRF0svnN8Ncl8dAmGDy2NuUBErIyECtCuTFtZSF56ZRKDgjBIoFsrcpCZSO+xpS6JokcvOQVjjoLW4SnTgPiuZcZ9AAw0tkIAgjQFEl8gaaRCM9pOgeoktlG8YeFIMRkBma1L1mC0QJLEqBJAFFKZCCmw0po+EXpUCYYKLU0yQayseI+K1K0sX9lIXnwlEoOCMCiiWpp0k0lI37ClLYmgRp84BWOGj9v2/MNwm87Jec3z0//d4r3/6WxRMCxemq/PfdmHnZT1cxXedI3bZyVOTiKKnV2NtiY1efMY9jiUrxfa0STT/hd2yGalXXvzkQW3stzrnNXS/Mzc9qmXv8ytIV16QQGR+CvuPdWH5oLD90WX4ot1zxLafvdNeGD43hQ5fhQ7nh9MdcHknn52rMnWsOgEoMcO14RAMA73k5NlYfu6w+lltND9vMUxHa6LExeuwyeiwzun5YXg6Ze5wnHgqv+ZnT52RrRdnHbu5tsbn0F5Oaf/5bXZ0yXQQ+vHxn+qhTF6h+b1oIXL4zX4X4ol6bMAcY3jY/WHc7eFwXpEzmsgHqvFWYvCWkDJ23zNWzZebKW1KIEHmrNHnLbvmh3HLFt5wVi4bG8KHL8KHccPrrsXbeMteEOgAqMQA8b5Umb9mtPpZbTQ/5orxVmrxlN3osM/r5RQ7zmn7dl8Daa8NTf7Rh6PxVejFyp+9pxgqTVy+O7JWF22KDV0P7ml14/i+zG8JstpjviqjP3M0zU+fy+6aZTj29erNeV/98d+Vr02ddnd4e6T/xA7P4bn6kzoCLjj71uvznddueL+o7YeoOMLNt1fp39WG+WQOeem/HC4f/zJfrtf76K08u/65nrpZ51klmezLmzX101r18w6Tb+V9z+WYn243i2Y8W5icfzdsMfWgbiDvigVhNT6008Zn+qt4P9HDmrsdzR//08iea4Q2zqcWAfvyC5+buNsPydOa1ng30q2JQxQIlQNrM2xObt7okB+zuI7RwtdYA7e4jtHG1igDq7iO0blWXgLr7CK2DdPe5vgFd57/CZvi+3HBiquZ36ylV5m7WI7WWmKu5zXrKq2Y9zrta7sutJiZs1kTs2gPtcPaB3GxiemueelFtPZTbqpi2kp8O47+dpWHX51lSg4k5S1xCcgeLkdxoYhrjtdRxB4oHckuJyYzTUae86qjjDBJHcos5CU7yQLheukpscjsddKh2HsvtJOY45szaPBFLo65PqiXG1mI2zaKLsky7RZSddTOVT7qT6OS8m54kUZmdnKX9i/mj4pxuvzpx774STrldk+4y4mFS+WwTcw8WZ3JuA7kNBWHslVhr0v7ivPzh5U9tqHegqIqOuu5sEYnB2OTBmFU6t7khUUDb3FIbyT0oSbhtbkiK1TzvoVhzMoukCLa/rejljvY3UDxGyGZN2xq2t5WLe5xKz8VcUHBG5BPPTVxjOsKicd88ClrD7jbCeFY46FpPlhdxEV+kWbcs+lk3O58k3ZMoOu+eqezs9LxfXEQX83c5qJ50bIErPTdF2H1B4wuvJ4EgjOBE1ZPvmxrJTEX+cEVa1kqybn1TX5EwK+w8rusM9bla8x11Q9nccAfqBkV3w9paE4jBiLgMremqYCBJQFLTOvW8ByUJKDWBFNyERxgNl9QEUgSTmknuWHrax/IxwnmrWnNxc1PpuYoLCs6IfGKt6RzUEZaN++5R2JrEZvOAVjjo2dne9GSifzrqpnF+3s3iuOiW0flJ9/Q8Kc/UaZFG/fmgBxWb1sUKLTYTri9ofOHFJhCEEZ2oYvM9sxnHnNs1e1hmXVp+evmDmaI0R3dnYvO96a9zG+4dKK6i464tKoEYjNDKEJVmG/NHvY691dBdKBBGW9o47kE5AipLIAU3uxHGwqUsgRTBlGWsevZDyPtYPkbsblVZJgsh4rkzCgrOCH9iZekc1BGWjfvuUdialGXzgFY46O28Pmb2MbP5QivLlOsLGl94ZQkEYUQnqrLE3x6DdIiiO2Rt7QnEYARfhvZ0F8+BKBDV6b49BokSUHgCKbjJjzIcNooBlCKY8PTcHgPlY4T2VoXn4rKR0nN7DBScEfvEwtNzewyUjfvuUdiahGfzgFY4aKM8fYKy3WONrop45qbrRypZpdv4sUapwasx49+PNa55rFE6EBltILbnWKMUVLFAKZA/n41Zba159Ore7vUD82jZY9z7nM1+YnULRt0J3TSS0H/5bJ/Go85L9T/00WxHhvl7Oqa1Zdqp22a+UfeeSNJuUnxl1n2ifjynT3Y78eWPL9/UwXT2KZ19ymaflPlkdfKe2MmrGRF3OFNqIfFUC13gew5nSm0knmdZV7kLrVtVBpjDmVLrIIczrwmX61eea6mpTFuU3Hzomw/F/Mrzsr6fxHHl+b4clChQ2j3MKbaWqFCYhznLbHmYs3ReA3NfbjVRprQxrTEwNwYejAM5RsbEoPdJmdluzL7x4kC4KA7lFIpJQX6OjGd3loatGDyUG0zMhuS5ISEMVSYMVSYMVSYMVcQwNJJDEhMq75honKWx85yo2FRiXmWcE13GnweeF/dIbjEn14qeoOXc2x97KjFCO+dGm+POYgBcBMdyAmKi5Z4o1c/O0qgVY8cyY7e2dOZsQ1gqHiaVL3zpDAjCWF+lrpcEKJ0BHaLoDqFP520Ye1AMxvIxY8LsLp0BUUKXzoAoAUtnQAru8j1lOGwUAyjFVpTOkHyM0N7GHHM501xcDFV67vqCgjNiH3l6RB7UEZaN++5R2JpKZ80DWuGgt/c0QOIstOVcX9D4wgtPIAgjOlGF59qnAYC4io67tqwEYjBCK0NWNp0GAAJBxKXrNACQI6CyBFJwsxthLPq5KnulDWUARQkmL31HApB8jADeqrxcXPNUeu7tgoIzYqBYXvqOBCDZuC8gha1JXjYPaIWD3t7OJonzsGmf6wsaX3h5CQRhRCeqvIR1NgG6QdHdsLbsBGIwQi5Ddjq3/wBJMHrT2dkESBJQcQIpuAmPMBqutUwgRTCx6etsguRjhPNWxWZ/oU36HrGJBGdEPrHY9HU2QbJx3z0KW5PYbB7QCge9vW2ZE+f5U8+VTo51XRJfeLEJBGFEJ6rYXKstMxBV0VHXFpRADEZYZQhKd3kciAJSlNbJ5z0oSUBFCaTgZjXKaJRlrPr2ED2AwgQTlp7uzEg8RuRuVVcWCxlSeHQlEpwRAMW60tOdGYnGfQEpaE2ysnk8Kxy0/t83/uY5QeXUjS1f/+wqf5duzrzs91c5XedM277+2WrubbG5q49ZG9c/1+ftpi1f/1yWNwdiyrDXP6dRtKs/JOZDZj709YfYfC1OzYdcf0hiV7yUImZ8RPpm8vpyaMN1aLgODdeh4To0XIeG69BwHbq4DuVcis9F32Juro42WEODNTRYQ4M1NFhDgzU0WEMX1lCORX/x5OG9Pu5i8CqDVxm8yuBVBq8yeJXBq1x4lRgPfO20YTo2TMeG6dgwHRumY8N0bJiOXUzHciZ6ImIedDCXUhuksUEaG6SxQRobpLFBGhuksQtpLEN6biJsklawG6tdRx3S+fKdi6J0DgzNWGG+NR9t9t4W27uajNbs7PBrnU3NWsrD6b8uc+gs+16+bXKtOUb/aPpE/zdvszB9b/rz6X+xMd0RM61mn1aaJNhM/KrYRMUyUWjenti81bkMrDGA2MLVNRpgYwCxjcQDjOutvIitW036kMYAYusgjQFWbc7iwlV8kxtOTFf8g/5xFLsu4Pya3FxiwuKd9NfmLE76Gy3hOukvt5qYtlgTqOsHmhzXNsvNJmam5kkR1dZDua2KaSv56TD+21katjqLkRtMTFrixTd3tBjJjSbmMeZ5fHekeCA3lZjO6Ofxr6LEA0+UOJJbzElxkifCeW+z2OR2zt9T7TyW20nMcszJp3kilkatzixlxhprJ3F2mqnTtJtOTlU3K+OoW+RnRTfNz7Kz+OKkOEkvZjzOSeerk3Y3CNSfbZh66um/BuYaJpXPNj31YHGmqDaQ21AQRpmJOnd9bzE7NUed6mnpbIqa9KPor9K++ivVsXHegXIqOufak0UgBqM4Rp9Umk3DNpS7UBTM7gAbxz0oR7C9AVAKbmmSMBaumSyQItimAO+MFwnIiNesSZt/W4BmmpWR57+wgR9gwRmRDzMzQcJx3z4KnH9jAGVEKxx0yLbTru0AaZS46fqRSlfpNl6bENpLXOSh6rt2axNCpozG1EptQmiiYplIMM/d1rjXmX4wfTz94mbHvMy9zp+O7nefG4nHnbt/8a2z89denfxVJ4oK1bn7p53/z/kr3/1u3RHc7Np48/mBe3yzc3TrfqeMYmss3BN7hLiyRFeu7nKI0ELiMhJDkHrKIUIbietH64pNoXWctSKC/1wiUmgdpBxyLdNa+iSnUTrrSGq2A3gaI8vJiCm07XqJ1FxiEuXWS5KreonzHrf7cquJqbQN6W1gbgw8GAdyDGL2bK6fOGw3Zt94cSBcFIdyCsWkID9HxrM7S8NWDB7KDSbmP/L8hRB4KmLgGcmpiDmTWXpRsXKXXqSmElMnp/SSXJVenG/qkdxiTjoVPTLL+aA/2FRihHZKMc2BZjEALoJjOQExtbKLNMnO0qgVY8cyY7e2SOPeH5jyMKl84Ys0QBDGoh91Ei8v0gA5FZ2TPmu2YexBMRhLlfSprqdIA0QJWqQBcgQs0gApuMvEhLFwza+BFNtRpEECMuJ1GzPF5XwxXSzpu68GxYIzIh95kkMf1REWjvv2UeCaijTNI1rhoOvTm7vL4GlUYsADJamNVgvGzE2bl0W8ShuoaFPYBe5tsb3ElSaq3vuV1nv1jY2zGyenzy5/UN9zsXqW8/3pu9O/n5dtrn76hYtF51d3dhJzVeMT/QftzT7E5BmNvJXSjtBExTJRaN6e2DziOhNdfLrrLEILiWtGDE3pqbMIbSQuFq2rF4XWcRaGCP5z6UChdZA6yzUlUJa90vpg7ssNJyY1fhklS1y65Wtya4lZjVtFya6qKO77JeVWE3MbSxtT92ofyM3OmGaTHw3PqROprYppK/npMP7bWRq2YvBQbjAxZ4mnDUorNKtEG8ltJmYxXuXDHSceyC0l5jJO4SO7Kny474CUW8zJb5LnwXPmRGhyO4UOqp3HcjuJKY5dzsh2lkatGDuWGVtrWdJlPIbHOS/1TNSlc1NnOUPxMKl8thmsB4szi7WB3IaCMJbHqNNb+M2OUIcoukPWnlICMRirf4ypp6t1JRQFUvdw3uwIRQlY+gBScBdfKcNhoxhAKYKVPtw3O2L5GKGdNbtrqnyoxTq5+2ZHLDgj9omnMO6bHbFs3HePwtZU+Gge0AoHPdtHo5IiOe9H3fPJyaSbncVFtzgvLrpnJ/pPnKqTZJKcvBxeeFrXu7TwzLm+oPGFF55AEEZ0ogrPn9U1ksf11Trz1uedF8omtbTMo8Q6YbgDxVV03LVlJRCDEVpbkZVAFJCstJZK70FJAqpKIAU3s1FGw0YxgFIEU5VxniTuHTVIQkbkblVX5gsZ4r7SEQvOCH5iXRlnZS91rY0j4bivHwWuSVg2j2iFgw577Dmz0Wmp2HfT9SOVrdJtfAeN0F5ilZGq9Daxg0ZIntHIW9lBIzRRsUwUmrcnNo9YjWToTecOGqGFxNojXUb6dtAIbSRWHdcViELrOBVGgv9cwk9o3eZ30EgNJya1lnfQSK0lZjXuDpr+1Q4a531+9+VWE3MbSwtTK88HcrOJianVHTRSWxXTVvLTYfy3szRsxeCh3GBizhJPE3w7aKQ2E7NYiztopJYScxlnB03/ageNM0YcyS3m5DfJ8+DZQSM0OfgOGqmdxBTH3kHT31katWLsWGbs1hYyMucOGv9dZNcwqXzhCxlAEMZyGHV6u3YhA4ir6LhrTxiBGIy1PMbE0l3IAKIELmQASQIWMoAU3JVUymjYKAZQii0pZCAJGZGbNXlrKmQUi2Vv97WuWHBG8BPPULyFDCQc9/WjwDUVMppHtMJBb+/W7My5Q6bk+oLGF15YAkEY4YkqLANszQY6RNEdsrb0BGIwom8r0hOIApKezq3ZQJSA2hNIwU1+lOGwUQygFMG0p29rNpKPEdpbVZ7lQqeUHuWJBGfEPrHy9G3NRrJx3z0KW5PwbB7QCgcddgeNstHdSud90V10apVu0ztopPYSq4xUJbiBHTRS8oxG3sYOGqmJimUiwbzpe9rbH2tZrgX5bsd92cBuR71450Cy28l7nef/+J/ERb/czaM/nv01vT+JkyjaLfTvk9nvE9XPdtOdNNkt/nj2l+uvxUmxm+qfmd9p8CdJEiU7caa/oOZ/SxEXu/nLL3/L5sk9sSeJhVOGMHZt9pFaSCyT0vWuZ7OP1EZigXRNISu1jlMMJfjPIVCl1kE2+1zL47ZrCeJ4V39I5i3C48jTInxfjkfM0u1uCRJbS0zTzC1B8dVVzrHnKmex1cRk3Ya2NzA3Bh6MAzkGMfM2bxFy2G7MvvHiQLgoDuUUiklBfo6MZ3eWhq0YPJQbTMyB5AkSIfhUJvhUxOAzkqMRkydvj1GeuQpID+SWElMoY49RfHUztPttPZJbzEmrosdmMetsCDiVGKGdPUfNwWYxAC6CYzkBMbtydyPF5g5pe6AZy4zd2qKRcu1Gmm94JGNS+YIXjZAgjJVF6lIBvmiEdIiiO4Q+Pbdh7EExGAunjLmxs2iERAlcNEKihCsaISm4C9eU4bBRDKAU21A0gvIxQnsbE8vl9HJxOXHsuW4aCs6IfeQ5EXlQR1g27rtHYWsoGhEGtMJBb+82eMddz1p4Jlxf0PjCC08gCCM6UYXnutvgkbiKjkuXldOfX75janGzypzG/IFW2KbM9mF9r/fcAw9tbvm8/o0R6PPfPrv8yeXfmd/ov+BFt11dNH11t3TnJf0d8xe+cfmGuX762fRf9W9e15+fmcuo9R98qv9GY8rjTrczfXf66/iPO/oveWJuHq+vHH/UmT6e/UBdQDTzg0fmR6/+2tgaavagw8RIHa3IZiAKSDanNpJ7UJKAqhlIwc3clNGwUQygFMFUs3ebP5SQkZla1c3JQmZ5bo2GgjOCn1g3e4Z1hKXjvn8Uuibl3DykFQ467Har3EantXDqpctX6Ta+3UpoL7GCS5Wym9huJSTPaOStbLcSmqhYJhLME2+3Slf2WqUq202udlqlu8lOnObpbn+52ypNk918uc8qTdJddbXLKotL86OLPVZJ0t+1Ptd7YtcRa8sMMezcXyW0kFgipmtc3/4qoY3E4vC66lVoHacQTPCfS5UKrdvg/qrM7K9Siy0OqX9/lRSPmJZb3l8ltZaYl7n7q9Kr/VXO21Lvy60mZuc25LyBuTHwYBzIMYipdp39VemNFwfCs79KSqGYFOTnyHh2Z2nYisFDucHEHEieExGCT2WCT0UMPiM5GjF5tri/SmopMYVy9lelV/urnG/rkdxiTloVPTbLaaY/4FRiBPT+qvTGiwPg2V8lJSBmV/b+qnRnadSKsWOZsVtb5sqd+6syHiaVL3yZCwiyqjx840NcG1i7zAXEVXRcxmybUubSP2Bc8rj+gc2VuaL2ylzAYWKs9DJm9u4yFxAlcJkLSBKwzAWk4C6zU0bDRjGAUmxJmQtJyMhMbcyLl7PjbFETcd48fIAFZwQ/8pSOMawjLB33/aPQNZW5moe0wkFv78mE3LlBTHF9QeMLr5yBIIz4RFXOAU4mAB2i6A6ha2sbxh4UgxF+W9GeQBSQ9nSeTACiBBSfQApu8qMMh41iAKUIJj59JxOQfIzQ3qr0XFxMG3tuGoaCM2KfWHr6TiYg2bjvHoWtSXg2D2iFg9b/+8ZzQcfoya/7BGa7+636NlotLXM3bV4W6SptoP1WpXO/ldDe1RCy5n6r305/bxYPL7+/VIb1at9MF7793CrfclvVfOuVWRf8pF5kNAt8ZoHy087lD/Uf1H94vvXqM/OXaGn5uf6ReuVy9mO7z3/n2fSjxfpgvXhp/hptwZP6t7O/dfrx9Fkn2k3MBhr9917+8PJNm0vviF2a0VzaykYuoYmKZaLQvD2xecRCMUPWOjdLCS0k1nvpatW3WUpoI7HSu64MFVrHqeoS/OeSl0LrIJulri9uRWmvLGyW78stJ6ZL/j6oJM0z90YoqbnEhMndCJVfbYRyXnJ7X241MW2yVPf1Cazr7jmx2cTU1LzxiWrrodxWxbSV/HQY/+0sDVsxeCg3mJi1xBMST7gYya0mZjLeziVPqHggN5WY0Dhbl/KrrUvOMHEkt5iT5CSPhPv6OanJ7WxVotp5LLeTmObYG5LynaVRK8aOZcYaa0+TMk2S+KR7Vqan3SxLsm6RRFH3PD4py5N+nPfP5xnFOev1LANIZ77ODUl9HiaVzzY/9mBx5sg2kNtQEMbaG3Xy/E/PzX/1xPm/6vnxJ/XMVk9e9Tx5L03/zMxYo8xs0jFffzT9ff1dM5d+1p190dRcbN64A/WGontj7UklEIOxrsiYfLprKkAUUE0lUTaUe1CUgDUVIAV3XZcyHDaKAZQiWE0l08+adW12H8vHiOus2Z13Cd4wLZbgndcgH2DBGbFPPIVxDuoIy8Z99yhs3gEdUQa0wkHPNvNkZ/3+6XnaPYmLopvlKulO0vOTblZOzuKTfHJWqNOXw6tO12Yezz19dl/Q+MKrTiAIIzpRVef1zTzzHTr2PT2zDeAf1mevn2rVqT9pATr9Yv5Tj/U35lvJbd65A/WOontnbRUKxGBE4lZUKBAFpEKdO3uAKAFVKJCCmwkpw2GjGEApgqnQvOhlrp09SD5GnG9VhS4u1I09VyRDwRmxT6xCnYM6wrJx3z0KW5MKbR7QCgddq9CT8kxNsrToJpO41D9bXHRP1CTpFnlWnJ3FZ2eJmofWoCo0tflCq9CS6wsaX3gVCgRhRCeqCn1vvkdn0aDp09nRvkfTT+dqtDP9Xb2r52/r3UWP68ODH9Y7feY//sX0mekJ9Mvpu916u/nPpr+Z/oP++M/TD2weugP1kKJ7aG0lCsRgRONWlCgQBaJEY/tk9h6UJKAQBVJwkyFhNFxCFEgRTIjGea+0ViX3sXyMUN+qEF1csBt7bkyGgjNCn1iIOgd1hGXjvnsUtiYh2jygFQ561hUkT6JJlF50+xcTsx09jruTi4vzbqbOkovJeXSqLk5eDi9EM5svbqVJxPUFjS+4EEWCMKITVYi+a9ll/tjoy+c2lne+dv7a5NVJ59XJa5O//utX5gpVq87H9Yrpp3PFWt2LVdY/nP8uiaLLt/UH0z3jc5ur7kBdpeiuWleRIjEYYZmhSF3bw5EkIEEaWetr96Ao4RQpkoKbFQnD4VCkSIpwijQtsl6pbIT7WEJG1G9TkybRXMIknjt/oeCM4CfXpO5hHWHpuO8fha5BlRKGtMJBh20sX9jotM70XzjVX6Xb9EFHqb2rQePfDzpeyU6hSzOaS9s46Cg1UbFMJJgn7lif6a/0bHB7YjjigZM2dLDQQuLhEpa+dR2TlNq4Kl4xxySl1nFOkBD85xKkQusgxySv5WxbT/kk2T0wlzjoD6a7fLJo8JzUdys6u8uLQYm5ueVTlWJzidmZeaoyiZenKhPnHZb35VYTc3Qbot7A3Bh4MA7kGMS82HzK0mG7MfvGiwPhojiUUygmBfk5Mp7dWRq2YvBQbjAxHZJnRoQ4VJk4VJk4VJk4VBHj0EgOScyovOOaqcpy53FNsanExMo4rrmMPw88L+6R3GJOshU9Qct5pz/2VGKEdo5vNsedxQC4CI7lBMRMyz3YqZ+dpVErxo5lxm5tTclxKZue6yc8TCpf+JoSEISxukhdLNhoTQnoKkV3FWOGbfNWfejgannj4cJbBzNv7Xb6UT+eftCZ/mL6rN4a9vHcyY+W3egv3/nj5zrTT38/fTR9YnaO7T7X3d78/o9nVwN+or+q7bg587GyZ8c9qHsZy71tzPGBJKFrXUCUgLUuIAV3rZ0wHFlSRr2ssO5nGUBhApe8HNuwoISMpNTG7Hg5R15cvJt47lKGgjNiIHlixyt5Iem4ryGFrqnk1TykFQ56e08EFK5zqUnK9QWNL7xoBoIw4hNVNG/gRADSQ4ruIbpWtmHsQTEY8ZihSZ0nApAoIFFqDSP3oCQBNSmQgpsMCaORZJEq7DsfBlCWcJI078XWJ24fy8cI+K0K0nShXjz3AkPBGQFQLkj1oFqX8EZYNu4bSGFrkqPNA1rhoLe3TUrhOqCaZFxf0PjCy1EgCCM6UeVo4DYpSO8ounfWlqJADEYkbkWKAlEgUtTdJgWJElCLAim4mZAyHDaKAZQimAr1tEmB8jHifKsqdHFRY+K5exMKzoh9YhXqaZMCZeO+exS2JhXaPKAVDnp7W0QXztOpiusLGl94FQoEYUQnqgoFt4hGekPRvbG26gRiMCJvK6oTiAJSna4W0UiUgKoTSMHNfIThiKMo6WXWERlAWYJpT0+jaCgfI7q3qj0XdzUmnss3oeCMCCjWnp5G0VA27htIYWvSns0DWuGg68s3/+Y5teJUl989P/3eK9/+lsUTAnGZ2jC1rMzdmHlZZKuYrsOobls5inFxHtVq7G2xsavPmMexRFX43vRZvS75xGx5tBmrlV1+cyC2+Fqsc5u8Xqibn+3q7x6kWeaKbVKIjA9B3yFvLD80lh+6LD+UW674ltN3xmvDh8bwocvwodxw+qMuj6bzczj93coFUIkBrh2naADgPS/Hxupjl9XHcqvpoZt5ikIbPTZGj11Gj2VG1w/LyyHzj/OIhP9GBuX0OdlaUQZydkMQmkt/Mak56L/Vyw1P57voH8020f/eJKbLd+ZbsewNEsyXl9lL/4ANVOevvslfQtrQ+avQ+Ss1Z5NT86ssdmUyKU6ITFboTKYZDg3DoYvhUM6g+AysODU0CEODMDQIQxfCUI5Af4nWzm6Fzm6pOWWaml85UCoxCjzPFTrPafuPjf3HLvuP5fbTk4Uo4xU642nzx8b8scv8scz857KHofi6Lwe21xHI5BVXCiy8FNfmmq4U2GJHoHRmt83e22J7V5PCmh2B/i+d6d6qj6rpz4sF+udz20PTC+gtnfsem6NtZoHenDB74/Kn89929DdNSnw4y6KLLj7mcNpPZ6mxbh70Rb2qX7egma371wfZfrToAVQ3Bnphp8q8NZAt9842sNQGXv5dr2OM7eS7qj5OOOsfFHvPFgo9v5q/kI2DhCYqlolC8/bE5q2uwQFb/wgtJDYqoBcWfK1/hDauVg1ArX+E1q3KC1DrH6F1kNY/18a871nclxpOTKr8Vj6FSt2dfKTWErMqt5NPcdXJx3kzzH251cTcypptXa802p19IDebmJiaZ1VUWw/ltiqmreSnw/hvZ2nY9emS1GBizhLXjNzBYiQ3mpjGeP123IHigdxSYjLjtNsprtrtOIPEkdxiToKTPBCul64Sm9xOex2qncdyO4k5jjkZNk/E0qjrs1+JsbWYTbPooizTbhFlZ91M5ZPuJDo576YnSVRmJ2dp/2L+qDgnxq9O2tz6Vk+OndPjkodJ5bNNoT1YnGm0DeQ2FISxOWKd+fXl9/Xk93PTXrdugus+TQFEVXTUtWeLQAzGrg7GrNK9rw2IAtnX5tizcA9KEnBbG5BiNc97KNadzAIpgm1oK3q56ywFEo8RslnTtqb9bIuLoRLPTV9QcEbkE89NXGM6wqJx3zwKWtN2tubxrHDQtZ4sL+Iivkizrv6bsm52Pkm6J1F03j1T2dnpeb+4iC7m73JQPWldYL2Vpv7rJSy+oPEF15NIEEZwourJ900jwJmK/OGKtKyVZH2Qou45+HBWLZnVYGqRqb+jbiibG+5A3aDoblhXayIxGBGXoTVdFQwkCUhqWqee96Ak4aQmkoKb8Aij4ZCaSIpgUjNxtf3ex/IxwnmbWjNdXPeUem7wgoIzIp9YazoHdYRl4757FLYGsUkY0AoHPWtmmJ5M9E9H3TTOz7tZHBfdMjo/6Z6eJ+WZOi3SqD8f9KBi07pYocWmp9G53Rc0vvBiEwjCiE5Usfme6U5oOhWarTrzPT2XP5gpSnMcdyY235v+Orfh3oHiKjru2qISiMEIrQxRafZNfdTr2HdA3YUCgbRlpGwo96AoAcUlkIKb4AjD4RKXQIpg4jJWvb41nO1j+Rjhu1VxGS+0iOdOKSg4IwKKxaVzUEdYNu67R2FrEpfNA1rhoGfi8uT0fHKRll2VZafdTCvP7iSPlP5TJ8VZfDI5S9UmVjIzmy+0uEzYviDxhReXQBBGdKKKy+utCe09CWddsX81/VndDfuX01/r/36zuGjmd9PfTN+d/lZ//MD8zH/Xv3m/c3+k4s70ZzYv3YF6SdG9tLYmBWIwIjJDkzqL6kgUiBp1tyhEogRUo0AKbkakDIeNYgClCKZGi6JXuJY6kXyMeN+qGl1c85F6bm6BgjNin1iNOgd1hGXjvnsUtiY12jygFQ7ayFGfymz3YKKrUp666fqRKlbpNn0wUWrvasj494OJ3IOJUs9nNM+3cTBRaqJimUgwz3QPmo3a9MluJ7788eWbOsDMPqWzT9nskzKf9GB8oB+UL1YeoZsdtdvJezbWPTHragrBnXKUWkg8HkJXxJ5TjlIbiQdD1pW6QutWUynmlKPUOsgpx2uZ/vrF4lqbZaZ/iDIfcvOhP79YPK3vyXBcLL4vByVm9HZPRYqtJaZ05qnINF2eikyd15Hcl1tNTOxtzAMMzI2BB+NAjkHMks2nJB22G7NvvDgQLopDOYViUpCfI+PZnaVhKwYP5QYTsyF5MkUIQ5UJQ5UJQ5UJQxUxDI3kkMSEyjtvGSf9sqesMeiB3FRiXmUcuFzGnweeF/dIbjEn14qeoOVk1R97KjFCOwcwm+POYgBcBMdyAmKi5R7N1M/O0qgVY8cyY7e2AOWYcN/SwYqHSeULX4ACgqyKEN/4EFcYNlWAAnpJ0b1En2rbMPagGIxFWMYs2l2AAqKELkABUQIWoIAU3EVwynDYKAZQiq0oQCH5GPG+jYnncvq5uFIp9dyRBQVnxD7ynIk8qCMsG/fdo7A1FaCaB7TCQW/vXvvEWa5SbF+Q+MKrUSAIIzpR1ejae+2BuIqOu7asBGIwQitDVjbttQcCQcSlZ689ECWguARScBMcZThUX/X6qXVIBlCYYBrTt+UeyceI4q1qzMXVSannLiwoOCMQijWmb8s9ko37ClLYmjRm84BWOOjtbR6SOM9z5lxf0PjCa0wgCCM6UTUmrHkI0A2K7oa1tScQgxFyGdrTuTEISAISna7mIUCSgJoTSMFNeJTRyFXU61ubEg+gLMEkp6+FCJKPEdRblZz5QqHkHsmJBGfEP7Hk9LUQQbJx30AKW5PkbB7QCge9vf2PE+cpT88lR3Zf0PjCS04gCCM6USXnOv2PkaiKjrq2rARiMMIqQ1a6K+VAFJCutE5B70FJAupKIAU3q1FGo1RRaVf6AyhLMF3p7oIMxWME7lZlZX+hQvoeWYkEZ8Q/sax0d0GGonHfPwpak6psHs8KB63/943ncpr5FPBaSddSpf96kHKVNtDpzbxnXVu/LbZ3NYKseXpzdjrvo/lZuw+XpzdtNym/P313+vfz7ZQvHvBcfu36euVn00ezbyee85RCX2Q0X7RynlJoomKZKDRvT2zealgGHoEUWkg8scFRmu4jkEIbiUc11tWQQus4xzII/nNtohRaBzkCuWpzmvdi67VS+3K7iVmOf6JRZa7lsa/JrSWmOe6Jxqt7HlPPPY9iq4nJjiWVr+/Rdt3zKDabmJeaTzBSbT2U26qYtpKfDuO/naVhKwYP5QYTU5Z4FuGMFSO5zcQkxjt26I4TD+SWElMZ59Th1TWP7hhxJLeYk94kz4P7mkepye2cMqTaeSy3k5ji2GcJzTWP9rgw/v+z92/PkRxHni/+r5SdJwpA1slLRF44Ng9sDIhTPQ1UNRJ4ODY9NlY3zMh2JK5JXDv7W7NjxiZFSXPIHer2s5GRkjiUZnfn5expNhvDbvaFZvv8s2NV/9EvIqsq0UhERLp7pQegmZWM6G5cuv0Tken+jXCPcJqx1cIolmIi1Gp1PJVJIMZxEYxncRIUWTyZZ3IyjcVkxWNdqDpW7tTFqvUsYYHDhPKZlrQOLMyy1gRyhxUEsVsGXe/+s1qlqqWpWrdebFa7X+n7ZpYPNwU0mwODX+r7hfQn6gOELxdPdd338sfqv/dW364+V+VFVotftZr+9eLToDp++LPFbxe/Uh//cfH7vV4S6q363ht3BkdG97fPOowSPoxbr0MZMRBbiIj1qj2FwojClEIxutRDVhKPKRRGCuwWLmA2bMtkRgpvyZMo7me27AknHyIeoJaEbdmTTc/BxNFDkhUc4frI6x7rpI542bDvHoStLX3SPqElH/TtvfkisZ01FCF2LGB83tUqJwjCO0HV6g3dfME5ShI+StuKUU4MhEfuQoxyorCIUfvNF5wo/tQoJwU2IkKmw0QxYKXwpkYdN1+w8iH8fZdqVGyaEgpHl0lWcITvI6tRx80XrGzYdw/C1qJGARNa8kH7vXpdmOiUvnS0OcpCad+hhhmL0Y2g4h2qvcB8JlQe3oriHepYCNhYdFG8QzVRokwEmOfhMnQqKzCtihCztkogqoXAJCpcozoqgag2AtOn24pPonWYVClg/GyikmgdSyXQtdhrugxdxHvqQ7K+e1hEjruH79LxgJG124IhsrXA0IosGBJRXTAkrG0P79GtBgbYLvS4htkZODCO6BjA2NheQGSxXZu9c3UibBTHdAqJpAA/R3pkd2vDGgYP6QYDYyB4UQNwPqV2PiXQ+YzoaMDgiatAyqPCWoFEthQYQhEVSLXTue94W0/oFmPCKumxqVeKbodTkhG6qUhqdzabCbARnNIJgNEVW6uknp3aqIaxZzRjb232R9hqlUSMw4Ty+c/+MIIgdgOhy/ubyv4wjpKEjxJ8VW3COGDFQOyAIhbM9uwPI4rv7A8jisfsDyMFdgcaMh0migErxa3I/nDyIfx9F6vNes256dMqHI13WcERvg+8UAJP6oiXDfvuQdjasj/tE1ryQd/eynlhrUVKsGMB4/OvRhlBEN4JqkZva+U85zBK+DBuLVcZMRAuuxO5yojCIletlfOcJB7VKiMFNmICZsOmVhkpvKnVKO6HxpqCu7x8iHjQqVpNNuLG0SiWFRzh+shqVU+q8Q7WES8b9t2DsLWp1fYJLfmgq4uHXtNpVjn6w/n03e++833DQJDUqE2JCjtnWhRhk9NWtWS3FiMyLwuXjObeIZvbfMwcgwuUkv9NycCHq23N5UeLi57ShI+Uany1fH/50VoPWqqYXq+DUd9gAlWKULw5INNec5V23O085br0QLdgF7n6ICP9Qbdll5n6kIb6Q6I/pDbHSUUUeER40kdzHWuuY811rLmONdex5jrWXMea69jGdUznkngueCpIYQ011lBjDTXWUGMNNdZQYw011tCGNaRjwV9Auptf56J1J26FV2q8UuOVGq/UeKXGK214JRnvWu6xBQ/3JJ5qplPNdKqZTjXTqWY61UynmunUxnRKZ4IHJGRCUiGdaaQzjXSmkc400plGOtNIZxrpzIZ0RkN6bUtBBy9vt/1ZWzEL6aSIrRMDM5YYdx2xl2hvMxhtWTD8mYqzOnB+oyOu3rhZ/qRKHzZD8OvFwpffvSkvfj0Cr7/pcS/uqe94rr5ouSOaOgLNWMVZJkw0UaJMJJp3QDYPWNWE2PmxVvYSLQQWJ2E2dOyVvUQbgWVJ227VEK3DlCABxs+2BUO0jqWy99qcJ/3E+FzepdsNjG34kl2RCnvJLtVaYHDDluzKy5Jda9u0e3SrgSEOtdi6Xo9gu+OPbDYwLrUvoKC2HtNtlUhbwU+HHr/d2rDrKx6qwcCQRd6xy5J+KEw2j+g2A4MYrsLW7ifu0y0FhjJMha28rLC1+ogTusWY8EZ5Hux3/FFN7qaiFmrnKd1OYIhDLlP1E1EbdX0NSjG2UtrjbDxLikmQzVJd1RBnwSSMoiCazrPJNIvScDxZ8ViXp98bd1upUP1qwlSL1BSHCeUzLWQdWJjFrAnkDisIIjMFXeV++vp69VG1fH2ql6arKoXeesn6xfwH8x9+993e/nFPxutTrvUadv1N4Z7oVfUHulahZ1n37LOOj4SPz9YLTEYMRB4OsRC1lyAworCUIITmo/GHrCQeSxAYKbBpUMhsmCgGrBTeShBsGuIuLx7Cz6OWem0VCJv+i8LRUJMVHOH5yOuZSBT9xKhCRrxw2HcPAtdWgtA+oyUf9Kqj5nkepuezMDiPw/NATNMiyGdFEUzncxGmyfk4FOsg4VWGGtWJkqGOPlDmsYDx+ZehjCAI9wSVoV0c37o3ClwntRgHRMIHZGvdyYiB8L6d6E5GFCbdaT2pxYjiUXgyUmCDH2Q6TBQDVgpvwtN1UouTD+HaO1Wemx6NwtFzkxUc4fvIytN1UouTDfvuQdjahGf7hJZ80D7v6YutUtLRnCULU3s9FMxYjESEld0Q7QXmJKFK8CbLbogjIGAj0EnZDdFEiTKRaN4B2TxgDhOhOq1lN0QLgRlLuJh0ld0QbQTmKrdViUTrMHlJwPjZ1B/Ruhsvu6HaDYxtHZfdUK0FBjds2c1la03haK1JthoY4lCKGLrVfEQ3GxiXOi27odoqkbaCnw49fru1YQ2Dh3SDgSGLvFhwld1QbQYGsQ7LbqiWAkMZpuzmsrWm3Uec0C3GhDfK8+AouyGa7L3shmonMMShy250a02zXzijGXtr8x32syEFDhPK5z/fwQiC2BSDrnI95DsYB0TCB2TrFSUjBmLPD7HytOc7GFF85zsYUTzmOxgpsHuukOkwUQxYKW5FvoOTD+HaUau7tnzHpqmicHTJZAVH+D7yEsaV7+Bkw757ELa2fEf7hJZ80Le33tuaHZEhdixgfN6FJycIwjtBhaf3em/O8ZHw8dlWh3JiIHxxFzqUE4VJhwoTySEriT8ZykmBDYWQ2TBRDFgpvMlQe703Kx7Cz3epQuWmmaJ0dMdkBUd4PrIKddV7s8Jh3z0IXIsMBcxoyQftt+wmMdEpYensM5JGTbqbLruh2gvMSUJ14Q2W3VBHQMBGoIuyG6qJEmUi0bwDsnnAHCZCdNrKbqgWAjOWcC3pKLuh2gjMVW6rEonWYfKSgPGzqT+idTdddkO2Gxjbui27IVsLDG7Isht52aBSOhpUkq0GhjiUJIYq/iO62cC41GXZDdlWibQV/HTo8dutDWsYPKQbDAxZ5NWCo+yGbDMwiHVXdkO2FBjKEGU38rKfpN1HnNAtxoQ3yvNgL7uhmuy77IZsJzDEYctupO4SafYLZzRjb232I7GV3cgYhwnl85/9YARB7IpBV7n+sx+M4yPh47P1ApMRA7EHiFiI2rMfjCiesx+MJB6zH4wU2B1YyGyYKAasFLch+8GJh/DzqKVeW/Zj00xQOrpDsoIjPB95PePMfnDCYd89CFxb9qN9Rks+6Ntb/W1tyiMT7FjA+PzLUEYQhHuCylD+6m/OAZHwAdladzJiILxvJ7qTEYVJd9qqvzlRPApPRgps8INMh4liwErhTXg6qr9Z+RCuvVPluWkMKB2dHlnBEb6PrDwd1d+sbNh3D8LWJjzbJ7Tkg/ZbdiNMdEpKCidd3KS78bIbor1Nl/FHXHZDHAEBG4FOym6IJkqUiUTzDsjmAXOYCNVpLbshWgjMWMLFpKvshmgjMFe5rUokWofJSwLGz6b+iNbdeNkN1W5gbOu47IZqLTC4YctuxGXZjXCU3VCtBoY4lCKGbjUf0c0WSLPBj4aj7IZqq0TaCn469Pjt1oY1DB7SDQaGLPJiwVV2Q7UZGMQ6LLuhWgoMZZiyG3FZdmP1ESd0izHhjfI8OMpuiCZ7L7uh2gkMceiyG7FbG9Uw9oxm7K3Ndwhr2Y3EYUL5/Oc7GEEQm2LQVa6HfAfjgEj4gGy9omTEQOz5IVae9nwHI4rvfAcjisd8ByMFds8VMh0migErxa3Id3DyIVw7anXXlu+Qm+1xa7/TI15whO8jL2Fc+Q5ONuy7B2Fry3e0T2jJB317672FtdAmxY4FjM+/8GQEQXgnqPD0X+/NOD4SPj5b61BGDIQv7kSHMqIw6VBhIjlkJfEoQxkpsKEQMhsmigErhTcZ6qj35sRD+PlOVeimF6Z0dDdlBUd4PrIKddZ7c8Jh3z0IXJsMbZ/Rkg/ab9mNNNEpYZk56ZIm3Y2X3RDtBeYkobrwJstuiCMgYCPQSdkN0USJMhFg3uJzNbRPtFhfPN/rRcv/vHxfveirX5LVL2L1i9S/9HuL3yt9/+3VyXn0Zi/qm0APyKDAbChCvloLeIgWAnOfcFXqKuAh2gjMem6rN4nWYTKcgPGz6UiidSwFPNfC7eDtg5OT4ck64JZnR28ohZTvqQ/Fd7S/0/bryLsXGoPvXToeMJh2XOdDtRYYTbF1PtllnY+1i+Y9utXAmNqFBtcwOwMHxhEdAxgY2+t+LLZrs3euToSN4phOIZEU4OdIj+xubVjD4CHdYGAMBC9kAM6n1M6nBDqfER0NGDxxhUNpkdoLh6iWAkMopnAouywcsr6tJ3SLMWGV9NjUi0O3wynJCN0UErU7m80E2AhO6QTA6IouMcp2a6Maxp7RjL21mR5pLTFy9w27hgnl85/pYQRB7ABCV/T+Mz2M4yPh44NYTP/u6gbG4+VHeudjtQ+iPv2TxcXyoVo1P15cKPKX6rPPXh/JR+pL60++qP6gh7b64+Xfqv6411v+uCrrev/N3slb93pFGIW9N9TX9N/wcPmwWpsv/kX94T316yv1J/2j6i+u/u2nvaC3+HTxm+hPlH36R9R36n/0ord4uvqGan9Gl45d6G+9/Guj76jZrax6quyr/rblx723jk8PDt+qvlL9e0/Vd1zoWrPe4reLX/YWX+o/6QdEOVm5mvVqN0j/U4+0BctPNEpPyDzcC8N+L1p/z+pfWn9FPzax/NMoT/bisFfVun1p23FgfGoQ28uInQl7Yo0RxXNijZHEY2KNkQK7uQ+ZDRPFgJXiNiTWOPEQYbWLRX29tM83aRhrX90jXnCE5wOvR6FzOuJFw755ELS2tFr7fJZ80Lf3WIG0VncV2LGA8fnX/IwgCOcE1fwejhUwDoiEDwhc5JswDlgxEL63E9XJiMKkOq3HChhRPMpORgps8INMh4liwErhTXa6jhVw8iFce6e6c9NzVTqa6LKCI3wfWXe6jhVwsmHfPQhbm/Bsn9CSD9pvPVdqonsrSUMnnWjS3XQ9F9VeYO4ZqgRvsJ6LOgICNgJd1HNRTZQoEwHmdVXPFVt2V6mgwFw2Qr/a6rmoFgJT0nBZ6qjnotoITEZvqTep1mESz4Dxs+hIqnU3V8+VRnvqQ7wuqUhDZz0XGQ8YTLut5yJbC4ymyHquNKzruVJre9Z7dKuBMbULCa5hdgYOjCM6BjAwblHPpWy/OhH2ei4yhURSgJ8jPbK7tWENg4d0g4ExELyOATifUjufEuh8RnQ0YPDsrp6LbCkwhCLquWqnc9/xtp7QLcaEVdJjs1kctjickozAXM9VO5vNBNjrucgEwOiKredSz05tVMPYM5qxtza3k9rquVJ3Q7prmFA+77kdThDEBiB0Rc+f2+EcEAkfEPjq2YRxwIqB2N9ErI2tuR1OFM+5HU4Uf7kdTgrs/jJkOkwUA1aK25DbYeVDuPYuFpb18jJapwJSa9PgI15whO8Dr4nAkzriZcO+exC2ltwOYEJLPujbe5AgtRUVpTF2LGB8/oUnIwjCO0GFp/eDBJzjI+HjA9ehlIME6hv0KD6tvqE+SMBwciAknBwwzcsB67wggksnwpoRhUlYCxPJISuJR13NSIGN7ZDZMFEMWCm86Wp7qT4rHiJwdSqrNx1yU0fPY1ZwhOcjy2p7qT4rGvbNg6C1qer2+Sz5oP1WTGUmOqWTEyedbNLdeMUU0V5gdhcqc2+yYoo4AgI2Ap1UTBFNlCgTAeZ1VTElbRVTRFBgthghXq0VU0QLgUlfuCZ1VUwRbQSme7dVm0TrMKldwPjZVCTRuhusmBK6YkpuihYSd8UUFQ8YTDuumKJaC4ym2Iqp5LJiytpZ9x7damBM7UKBa5idgQPjiI4BDIzbVEwlO1cnwlExRaWQSArwc6RHdrc2rGHwkG4wMAaClzEA51Nq51MCnc+IjgYMnh1WTFEtBYZQTMVUclkxZX1bT+gWY8Iq6bGpF4duh1OSEbgrppKdqxPgqJiiEgCjK7piKtmtjWoYe0Yz9tYmrjJrxZTAYUL5/CeuGEGaysM1P8AVvf/EFeP4SPj4IBbTv2jJVOlxamSq9Kde3/a4dVkqxklA7NUiFvr2LBUjiucsFSOJxywVIwV2rxwyGyaKASvFbchSceIholQXa+R6pSw2WQ1r6+ojXnCE5wMv76BzOuJFw755ELS2LFX7fJZ80Lf30EFmrf2S2LGA8fmX0IwgCOcEldAeDh0wDoiEDwhcM5swDlgxEL63E9XJiMKkOq2HDhhRPMpORgps8INMh4liwErhTXa6Dh1w8iFce6e6c9PWOHX0qWYFR/g+su50HTrgZMO+exC2NuHZPqElH7Tf8qjcRKekZOqkS5t0N14eRbQXmMqFKsGbLI8ijoCAjUAn5VFEEyXKRIB5XZVHpbbyKCIoMDWM0K/W8iiihcAML1yWusqjiDYCc7vb6k2idZg8LmD8bDqSaN0Nlkdlujwq31QopO7yKCoeMJh2XB5FtRYYTbHlUelleZS1A/I9utXAmNqFBNcwOwMHxhEdAxgYtymPSneuToSjPIpKIZEU4OdIj+xubVjD4CHdYGAMBK9jAM6n1M6nBDqfER0NGDw7LI+iWgoMoZjyqPSyPMr6tp7QLcaEVdJjUy8O3Q6nJCNwl0elO1cnwFEeRSUARld0eVS6WxvVMPaMZuytze3k1vKoDIcJ5fOf22EEQWwAQlf0HnI7jAMi4QMCXz2bMA5YMZqawIGBWBvbczuMKL5zO4woHnM7jBTY/WXIdJgoBqwUtyK3w8mHcO1dLCzr5WW2SQU4etCzgiN8H3hNBJ7UES8b9t2DsDkndASZ0JIP+vbW5efWoiJ3xz7DWMD4/AtPRhCEd4IKT/91+YzjI+HjA9ehoLr8a62o2yrzszBK8ZX5lM7Tpmk4YJ0GRCzpREczojDpaGEiOWQl8SijGSmwoRwyGyaKASuFNxntqMznxEPEqU5V9KY1cOpo9cwKjvB8ZBXtqMznRMO+eRC0NhHdPp8lH7T631+ulLR44JbJP5xP3/3uO983jARBJRtDg9LHhR0zLYprjQVtlVJ2WzHSd1MsZTT2DtnY5jPmGFigvP2NEkl6V1UJptfLatYFU8sPe5Wqe6k1VLUD+41SaU8Xz0xYSroWbw7IbNecoh1uO5+4qnPIwj31IdYf9IUwWao/5PpDoT7k+qtFtHckQvUtIkrUh1h9n0ik+iCqD5nNgVIHQOAHAJ5/0tTHmvpYUx9r6mNNfaypjzX1saY+1tTHmvpYUx9r6mNNfaypj23Ux3RqiaeG56wU9FBDDzX0UEMPNfRQQw819FBDDzX0UEMPNfRQQw819FBDD23QQzo0/EWmx4pVSl3Blxq+1PClhi81fKnhSw1favhSw5cavtTwpYYvNXxpgy/J8NcSrC3wuGf8VBOfauJTTXyqiU818akmPtXEp5r4VBOfauJTTXyqiU818amN+JRODA+IyJysAj7TwGca+EwDn2ngMw18poHPNPCZBj7TwGca+EwDn2ngMw18ZgM+owFXD/gKWAfXv3Apg+6KqIUtY5uFTgb7JSMwU0mqQFttsvYO2VpgsRdVFlRVuherDZfFV4tXjRLc1QaX3mbR+zK9xc+W7y1erDSD/osWX+31dAZXb/8sP15+on/QhL9Pxm+GTsbqaaqJEmUi0bwDsnnAei/EfpSt5plqIbBsC77N5Kh5ptoILNjacgOJah2mOAswfpaNIap1LDXPTZuzKE77hWXPh2w5MKzhy5nzJLOWM5OtBUY2ZDlzdtkfN3P0xyVbDYxwqLUhdOvoiG42MDK1r+igth7TbZVIW8FPhx6/3dqwa8sossHAoEXeSnR4ixHdamAgw9Uf2z3FfbqlwHCGqD/OLhva2r3ECd1iTIijPBG2t64km9xNvTHUzlO6ncAgh1zB6ieiNuraApRkbCXEplGSJCIK0jzNAjGfJMF4Pp8FsySdiXMxnsbn63G3rk2/N+6yuEOv+WwrVEffNBMklM60inVAYVayJpA7rCCIlBl0kfv56+va6nRwVaXwwbpgoCpjUKtbXTKgl7VqHXuhrxZcl3z8XP9J/dTT/9+Pe2//4J0fvrv6/MH0nX//N+98v1e+87fv9O6Mz8//dr6u/4jiMFx+mOoPIuwtXixemEZxn3UUJXwUt16IMmIg0ohdLFgZSVjqJyye5pCVxF/9BCcFNosLmA1jaBuwUnirn0hFVlhLKFgJEfEAtSRsKaHINo1QM0dnW1ZwhO8jr3sc0zripcO+fxC6lioKwJSWfND+rpkRttLiLLazZWGaNdluOENCtBa4fwQVjzeWISHiCxh+JxkSookSZSLRvAOyecDNpi4EJ9FC4MYSRkjaMyREG4FbSttKRKJ1mO0jwPjZpB/ROi8ZkijOw76wSTqq5cCw1nGGhGotMLJhMyTxZYbE2vDzHt1qYIRDyWHovuIR3WxgZOo0Q0K1VSJtBT8devx2a8MaBg/pBgODFnml4PAWI7rVwEDWYYaEaikwnGEyJPFlhsTqJU7oFmNCHOWJcGRIiCZ7z5BQ7QQGOXSGJN6tjWoYe0YzdiUmJmKaT+JgLsQ0ELMsCfJxfB5MZzI9D6fp9DxZv4bWtaljcU5bn1ozJAkOEkrnP0PCCILYEYMucv9xcaHWtD/ZXKvy2vmAxTfrS1XUQviiWgY/17mR15ImljMCnCMg4SOw9SKSEQOxw9fFYpORxHN2g5HEY3aDkQK7uwqYDdsSl5HCW3Yjiqy3id7lJUT4ctRyri27kWy2wh2NjlnBEb6PvmaxT+uIlw77/kHo2rIb7VNa8kH7zG4kJjalHYWTLW+y3XB2g2gtcO8HKvxuLLtBxBcw/E6yG0QTJcpEgHld3Z6f9O0i/sJwKLhZDqVbrlYlUxdqzj/q7f/td/99MDi+fBre+sH3fvjuD975/l9XX1JfufPdd/76P4x/MNtbdWP4evFC3+HYq+6Oeaj+tuoOmKpOSpdMVZVSpr6tDx583zRDB+QZAu6VdaG5iRYC98UwWtqe4CHaCNwR21YlE63D7H4Bxs+mfonWsSR4rgkE07X/mVxfup0J543/ZDJg5O84AUS1Fhj8sQkgcZkAsvbSvEe3GigCulgxaJidgQPjiI4hkBjwA+KbS7iV7Vcnwn7jP5lCIinAz5Ee2d3asIbBQ7rBwPAHXnYB/E4J9DsjOhUwZOJSSVEsZV/acklUU4GRE5NLEpe5JOubekK3GBNNSY9MvYp1O5uSjNBNbqnd0WwmwH7bP5kAGFnRWSexWxvVMPaMZmylDkFVkZrHumfg2DSh7RtYs04SBwml8591YgRB7FRCNx9u67kcxlGU8FGEbxCYMA5YMRC7t12sohlJPGeuGEk8Zq4YKbA755DZiNTKsZAmlgEri7f8lft0DichIip0sRqt16SbjsGZowU0KzjCA4IXUohpHfHSYd9CCF1b/qp9Sks+aJ/5K2FiUyo0dbIVTbYbzl8RrQVuXUEl5I3lr4j4AobfSf6KaKJEmQgw72r+ipC4KtRXPq/0/0s9o08XX+uOAh/o9t7q/1+uk0vra2xNd9uq77hQ//9m/bOvqrttX64afm/+3sWzXrXueLTKdW0ekdN3/t34/9Pb/w+Tee9kPv2bd+fTf9c7eedvftBbfJGE+mmS4es5K/VTL9TSRf01+t9YftKr0mXfVI/YB8v3dC/yJzoJpj75WPdCUH/D/6LTYuqzyhZdfac/89oT+qk2Z/Gyt/iFAn5imukD8kwDNwK7UPBEC4Gbehhlbs+DEW0E7uZtq7mJ1mF27gDjZ8uDEa27wTxYttmPdne+JpMBFUTHeTCqtUARgc2DXXa+zhydr8lWA8VEFysPDbMzcGAc0TGAomCbPNhl5+uspfM1mUIiKcDPkR7Z3dqwhsFDusHA8AdevgH8Tgn0OyM6FTBkdpkHo5oKjJyYPNhl12v7m3pCtxgTTUmPTL0adjubkozAnQe77HrtdjSndAJgZEXnwXTXa7OTOaMZu1I4kPpZzWPde3BsvtD2H6x5sAwHCaXznwdjBEHseEI3MThOXzGOgISPAHyTwIRxwIrRDP8OjC5WwIwknnNYjCQec1iMFNjdc8hsFHk/Nj5aA1YUbyks9xEsTkKEQ+9iIVkvJzeNkTNHp2tWcIQDBK+BENM64qXDvoQQOueUjiBTWvJBV2369mqlpVWkt5Y80sSqBKWjJWFaFPYLFmCmYoTiZUrLcvnAHbK1wF0oqBr8rVJ5TxZfqo+PV82ov666SCMTXYtvdRqrp3MKumezTkP0qoTJcy02e8le3NOnbap/4/ny75WirBo1P1XfrP/258uP1b+7SY9UFVjPq39Ofaqn/96VCS/WbZkvrDqUOKYCNqad5MmIJkqUiUTzDsjmAXe3upC2RAuBO1UYyWpP7hBtBG5RbStGidZhtqMA42dL7hCtY0nuQG/3uUs3Gxgo8ZmbKI7smRuqtcBYic3c5JeZG2vP4Xt0q4ExEyW4oY/GEd1sYFhqz9RAbT2m2yqRtoKfDj1+u7VhDYOHdIOBEYu8FrH3CyebDAxh2GSLzU3cp1sKDGSYXEt+mWuxuogTusWY4Nbl41CSTe4mtwK185RuJzDCoTMo+W5tVMPYM5qxHqsyjYkftYQt7GZnYRZaxxhmatdLWKK1wHD8b3MJSxxToFboZAlLNFGiTASY19VVJVEg+ibUAzIqUFx0sRwmWgjUEt0sh4k2AlXEtsthonUYxQAYP9tymGjdTS+HqWYDg27Hy2GqtcC4i10OF5fL4cKxHKZaDYy/XMthqtnAENe+HLbXExU7VwfeUbhIpZBICvBzo0d2tzbs+kKZajAwlnEslKkmA4MbcqGcR/aiRKqlwBCHWSgXlwtlq/M4oVuMCXtdPg4l2eRuFsrtTmMz4I4iRCoBMCqil9DFbm3U9SU0xdh1VnjtqnV49JYVzkwYbyV5aMdIi8Je+AkzlbaktjRNu0O2FhjSoUtq7EHHxReLTxc/XxcPVqfefqk+8ZlaLfcifZPj8/WJt/UquzqD9rL676m+33H16VfLH1VHIT/R5+8+N43PPnl8gNqhi+Ux1USJMpFo3gHZPKAM6GBJS7UQGPU7WdJSbQTG+y2XtFTrMLEdMH6WJS3VOi9LWpmLvpQmw+/SDQeGPcKiNrHe2fDndHOBoQ+5qs3DelWbh/ZVLdlqYAhkWtWSzQZGpvZVLdTWY7qtEmkr+OnQ47dbG3Zt7Uo2GBi0yGtXu7cY0Y0GxjHk6tXuKe7TTQWGM8TytfYS9x1e4oRuMSbEUZ4I+/KVanI3y1eonad0O4FRDrtIVU9EbdS1RSrJ2GpBkOTnYTLJgzAWMhCZSIPxeTIJCjErRJKl4SSZrHisi9fvjbs9KZfZTsrlEQ4SSmda5jqgMEtdE8gdVhDEwQroKvifq0tUPlh8q5ewr/SHx9VtKno1++Kv9GI32ZM7kXHW9llhJRx26/UiIwbiTAh8Xbn86fJ9E8rbrCg8p+KkCeSQFaQZ0h0g265SGSmaYd5Bse1qlpHC23m40HJj5V1ePITPRi3bWg7D5dH65NTqNybwI15whOMjr01sczriRcO+eRC0lpNwgPks+aArOZlNilSGyTyQeV4EYpLnwSQ7T9Ufw+l4PE7TeDx/4FtOGvdX</t>
  </si>
  <si>
    <t>lZyMsSMBo/MvJxlBEK4JLCera8W/qQoK15WKT7SI1PWK+p6+KpfytLf8qfrqq8XjvZ76id8tfrH4YvHrxWeLTyvBufh9kpgGY591MCR8MLaWm4wYCK8Ll5tqzr4yobzNisIiN8N+Ik0oh6woHgUnIwU27EGmw0QxYKXwJjiltJYOsvIh3HqnijPeKJTYoTg5wRG+j6w4rZM64mXDvnsQtjbJ2T6hJR/0agcznU7FeFIEMgnTQIhJGEzCeBZkyXQci9lUyHTywLfkNIoTJTkT7EjA6PxLTkYQhG+CSs4/KF1Z3ehc3RKtO9h8fKXWRp9DWenK6/1Y9d3Q/2sa7sTGwqp91qGQ8KHYWnAyYiCcLlxwOvY3GVG4BKeJ5JCVxKPeZKTAxjzIbJgoBqwU/vRmP7XJTU48hEvvVG4mG3WSOOQmJzjC89HlpmVOR7xo2DcPgtamNtvns+SDrtTmLCnSaSKSQITzaSCScB5MUhkF0/N8no+j8DzWzRs9q01hGgmlNgV2JGB0/tUmIwjCNUHV5hdKP+reIm692avKyV+qT31Q9cF5XFWCV91IyFKUcZwkfJy2lqKMGAiH3IkUZURhkaKJ+UqGQ1YSj1KUkQIbEAGzYZOijBTepGgk+4VNi3LyIRx+p1pUbLSLtc/2ES84wvWRtah1Uke8bNh3D8LWJkbbJ7Tkg67EaCImYj6bzgMZauGaRmkwmcfnQTETWaaVa1iMH/gWo9I0EkqMSuxIwOj8i1FGEIRvgorRz187UfjxSli+XDyqxKi+KOj58pPl3y//ruppoL4W50pc7oR7ouqyl9iadXOOgYSPwdZCkxED4W3hQrM6g/pVv2eel7dZgVjkpqXT6SEriUe5yUiBDXmA2bDJTUYKb3Izjvu58Vm7y8uHcOmdys1NY+fc0aubFRzhAMly0zqpI1427LsHYWuTm+0TWvJBr/Y+50LkURgG4zA5D0R8PgkmRZgE5+NoFuZCzhPhX24atyuU3EyxIwGj8y83GUEQvmkLuenaxwRITUZ+CeffWmoyYiA8bYdSkxGIRWpabsY5ZCXxKDUZKbDhDjAbNqnJSOFNaqZpvzDex3yXlw/hzjuVmulGmTjaNLOCIxwgWWpaJ3XEy4Z99yBsbVKzfUJLPuiV1JxkWVqEeTDO5rNAzM/nwTiah0EkpuEsmYxn59H5A99S03azmqO3mGUkQHT+pSYjCMI3QaXmZ/riNH05W2/xq8XT5YfL95cfLF4uvlo+rC5Bf7l4UulPGS5eWMUlI7GEE28tLhkxEL61Q3HJCMQiLqN+KE0oh6woHtUlIwU2wgGmw6YuGSm8qUthL+HkxEM48E7F5aa7Z+5o2MoKjnCAZHFpm9MRLxr2zYOgtWnL9vks+aArbTk/T9J0lk6CKIryQETpNBhPp7LKtc/V5+Z5vH7YPWpL49JCaUt3/x7DSMDo/GtLRhCEayJoy0fL95SAfKpvQKoy5brdzRv6EiR9BdK3y0+U0Pxm8eg77VqTcQQkfAS21pqMGAhX26HWZARi0ZphP5YmlENWFI9ak5ECG/Eg02GiGLBSeNOacd984eBdXjyEQ+9Ua+YbbWLtrHjEC45wgGStaZvTES8a9s2DoLVpzfb5LPmg11pzPIuT8XlwPpkoXZrEsdKlkywIp0mRT2MxT5L1nHvUmoVpJJTWLPAjAaHzrzUZQRCuCao1f6mb8a06JC4/Wlz0dGPE6kRQfXaoSppf6GYTz/Unlx/91brFxGP1iUe6EUXVTPHV4pm+OWnxbPXVKNa3csZhuBNL830U+6xDJeFDtbUoZcRA+GSEKLU2fWAkYVGjjp1PRhSPapSRAhsTAdNhU6OMFN7UaJTIvkxMgHd5ARFOv1M9Wmz0i7WB2REvOML3kfWofVZHvHDYtw8C16ZI22e05INeZdajWRTNZBFM5Lm+WmkaBnkhzgMxDaM0DOPJuVjHCY+KNDK6rbeSAnmtPRTPuyTlBEF4J6gk/Vm1qXmxfC+o7ul8unhZbW+mO8KiIzn5JJxvWx3JiYHwpXAdaT95zonCIiTDfiZNKIesKP6EJCcFNpRBpsNEMWCl8CYk7duarHgIR92ljCzCtegorI2EjnjBEa6PLCPt25qsaNg3D4LWIiIB81nyQWsV6RKHXbaytSTFi8jOloVZ1GS72Va2VGub3uJfaytb6vgI2Ph00cqWaqJEmUg074BsXtMt87WypVrYFJqcrWypNjYVJE8rW6p1zfjE08qWat2Nt7IlGw4Mex23siWbCwx9yFa2RVS3si2sLWfu0a0GhkCUWL6+7LS1siWbDYxMXbayJdsqkbaCnw49fru1YQ2Dh3SDgUGLvI5wtbIlGw2MYx22siWbCgxniFa2tZe47/ASJ3SLMSGO8kTYW9lSTfbdypZsJzDKvYvyDHrcdmujGsae0Yy9pZmN3NbKtohxkFA6/4kNRhDEfhl0FYxPbDDySTjf1ktERgzE7h58KelIbDCi+E5sMKJ4TGwwUmC3VyHTYaIYsFLchsQGJx7CUaPWam2JjU3zqcLRTYwVHOH6yAsSR2KDEw375kHQ2hIb7fNZ8kGv6rXTcDZOoiSQsZgGQoQimKRhoWu71d+v/oVJsR4YjxrSuKmqNGSCHQkYnX8NyQiCcE1QDclQr7142quyMC91RoZWyc05iBI+iFsLVUYMhLeGC1V7zoORhEWn2iu5OVE86lRGCmy0BEyHTacyUnjTqa5KblZARDjoVKluGlcVjkZkrOAI30dWqq5KblY47NsHgWvTqu0zWvJB39Z7LHJb49tCoEcCROdfqzKCIJwTVKsy3GPBOQISPgJbC01GDISzRQjNlnssOIFY9Kb9HgtOFI96k5ECG/Eg02GiGLBSeNObjn1RTjyEQ+9UbW46UxWOVmOs4AgHSFabjn1RTjTsmwdBa9Oa7fNZ8kHf1vt4c1vb20JiRwJG519rMoIgXBNBa1Lv4+UklnDirbUlIwbCtXaoLRmBWLSlYy+TEcWjtmSkwEY4wHTYtCUjhTdtab+PlxUP4cA71ZabNlSFo68YKzjCAZK1pf0+XlY07JsHQWvTlu3zWfJB39Yutrmti22RYkcCRudfWzKCIFwTVFuydLHlHAMJH4Ot1SYjBsLZdqg2GYGY1KaxBuCQlcSj2GSkwIY8wGzYxCYjhTex6ehiy8qHcOmdqs1NJ6rC0VqMFRzhAMlq09HFlpUN++5B2NrkZvuElnzQt7WLbW7rYltk2JGA0fmXm4wgCN+0hdzcrostJ7+E828tNRkxEJ62Q6nJCMQiNa1dbDlJPEpNRgpsuAPMhk1qMlJ4k5qOLrasfAh33qnU3DSmKhyNxljBEQ6QLDUdXWxZ2bDvHoStTWq2T2jJB72SmkrKThORBCKcT6u8ejBJZRRMz/N5Po7C8zgTD3xLTWP8UFLT0QfDMhIgOv9SkxEE4ZugUvMLJVAuFk/0UfTLA0RXbk9Tn3rWqy5se6k+9UF11OhxddeaPn/0rF2emsZpn3WcJHyctpakjBgIjwyXpI6T7YwoLGI0Ma9bD1lJPIpRRgpsQATMhk2MMlJ4E6OR7Be2LDsnH8LhdypGN52rCkcnMlZwhOsji1HrpI542bDvHoStTYy2T2jJB12JUZFOp2I8KQKZ6D1SMQmDSRjPgiyZjvUWqZDp5IFvMWq74bfAjgSMzr8YZQRB+CaoGP2DEpnPW6QoWW8yDoWED8XWepMRA+F0O9GbjCgsejM0Hy88ZCXxqDcZKbAxDzIbJooBK4U3vSntRZ2ceAiX3qnc3LSlKhyNxljBEZ6PLDdtczriRcO+eRC0NrXZPp8lH3SlNrNJkcowmQcyz/WlS3keTLLzVP0xnI7H4zSNx/MHvtVmYRqJt8T6Sh3ESMDofKtNVhCEa4KqzX9WKvJRdQ/nxeLxqunEk0pcfq0+/UTLT30JUm/5U/XVV4vHez31E79b/GLxxeLXi88Wn66E6O8ToybYZx0MCR+MLfUmKwbC68L1ppqzr0wob7OicOlNaUI5ZEXxJjhZKbBhDzIdJooBK4U/wSktt3ff5eVDuPUOFadiWimU9W9M4Ee84AjfR1ectkkd8bJh3z0Im1tyQia05INebXAm+XmYTPIgjIUMRCbSYHyeTIJCzAqRZGk4SfxvcFo624owwg4FDM+/5mQEQTgnsObUCfTlB4tv9c1Hr/SHx9UFSLqd2YtKUSb6rs3IBLvPCivhsFtrSkYMhF+Fa0rrHiYrCoum1B13roMcsoJ4VJSMFNioBpgMm6JkpPCmKMN+YXzU7vLiIXx2p4Iy2ugPa4uhI15whOMjC0rbnI540bBvHgStTU+2z2fJB+2zya1tUzJ2ssVNthttcku2tukt/pU2uSWPj4CNTwdNbskmSpSJRPMOyOY13TJbk1uyhU2ZydjklmxjU0GyNLklW9eMTyxNbsnWeWlyK0Tcj4XJ8Lt0w4Fhr9smt3RzgaEP1+RWmbNpcqt+a9Mi9+hWA0MgSixf142WJrd0s4GRqcMmt3RbJdJW8NOhx2+3Nqxh8JBuMDBokdcRcZjkfWlUniO61cBA1l2XW7qpwHgG73J76SbuO9zECd1iTIyjPBLWLrdkkz13uaXbCQxz76Jcgx633dqohrFnNGNvaZajsHS5FWGCg4TS+U9yMIIgNsygy+AtkxyMsBIOu/WCkREDsdcHX1g6khyMKH6THIwgHpMcjBTYrVbAZNiWs4wUtyHJwYmH8NmodVtbkiPZbIrb24jxgiMcH3lx4khycKJh3zwIWluSo30+Sz7o21qnXVga3opQYEcCRudfTjKCIFwTWE7y1mkzDoaED8bWcpMRA+F14XLTUafNiMIiNx112owoHgUnIwU27EGmw0QxYKXwJjhdddqcfAi33qniFBuFYm8lxguO8H1kxemq0+Zkw757ELY2ydk+oSUf9G29iKKw9K0V6y5CiJGA0fmXnIwgCN8ElZyMF1GwDoWED8XWgpMRA+F04YLTsb/JiMIlOE0kh6wkHvUmIwU25kFmw0QxYKXwpzdtF1Hw4iFceqdyU27Uib27GC84wvPR5abtIgpeNOybB0FrU5vt81nyQd/WO3gLS+daEabYkYDR+VebjCAI1wRVmzd1By/rOEn4OG0tRRkxEA65EynKiMIiRW138LKSeJSijBTYgAiYDZsUZaTwJkXtd/Dy8iEcfqdaNN1oF3vvMV5whOsja1H7Hby8bNh3D8LWJkbbJ7Tkg76trW4LS6tbEbpbYxhGAkbnX4wygiB8E1SMcrS6ZR0DCR+DrYUmIwbC28KFZkv/MVYgFrlpa3XLSuJRbjJSYEMeYDZscpORwpvctLe65eVDuPRO5Wa2USf2/mO84AgHSJab9la3vGzYdw/C1iY32ye05IO+ra1uC0urWxG6m18YRgJG519uMoIgfNMWcnOrVres/BLOv7XUZMRAeNoOpSYjEIvUtLW6ZSXxKDUZKbDhDjAbNqnJSOFNatpb3fLyIdx5p1Iz3ygTe3cxXnCEAyRLTXurW1427LsHYWuTmu0TWvJBV1IzGhezeJpGQR5X35vIYBIVeTAvsjCaTWaZFPMHvqWmMX4oqVlgRwJG519qMoIgfBNYauqSTn07W2/xqd7TXH6w/FFv8U+LR4tn1fH0L5XefG/x5K9W97HFaoGz/DCKVx/70iJs9llHQcJHYWvByYiB8LcIwWm9CI2RhEVpRv11DdJ1qcmI4lFqMlJgwx1gOmxSk5HCm9S0XV9zlxcP4c07VZrFRpjYG4vxgiM8H1lpRjIO+0liohvx0mFfPghdm9Zsn9KSD3q1rTnJsrQI82CczWeBmJ/Pg3E0D4NITMNZMhnPzqPzB761pnGp8ZZY939AjASMzrvW5ARBeCeo1vxM39K70pq/UqLzw+X7yw+U5vxq+VDJzEfqd0+qvU4ZLl7YdCUnsYQTb6srOTEQ3hWhK1s2MjmBPMtLThR/8pKTAhvhANNhkZecFN7kpbAeF2LFQzjwLuVltGk6FTm6iLGCIxwgWV7a5nTEi4Z98yBoLdoSMJ8lH3SlLefnSZrO0kkQRVEeiCidBuPpVFZ1nXP1ubnSpw98a8vCNBJKW0bYkYDR+deWjCAI10TQlo+W7ykB+VTftllVZT5aftJ7Q1+4qfczv11+ooTmN4tH32nXmowjIOEjsLXWZMRAuNoOtSYjEIvWDPuxNKEcsqJ41JqMFNiIB5kOE8WAlcKb1oz7uU1rcuIhHHqnWnPTkCpyNBhjBUc4QLLWtM3piBcN++ZB0Nq0Zvt8lnzQq33MaBZFM1kEE3muL02ahkFeiPNAydIoDcN4ci7WMcKj1rQ1rI1i7FDA8PyLTUYQhG+Cis2fVRJSycmguoHz6eJlJSbTHWGcqH1WPgnn21pKMmIgPClcStrPlHOiMInITJpQDllRPIpIRgpsKINMh4liwEpxG0QkJx7CUXcqIuON6LC2CDriBUe4Pg4RyYmGffMgaG0isn0+Sz5on11qrbIwccIlTbibbVNLtbbpLv61tqmljo+AjU8XbWqpJkqUiQDz1CiuJu7R4vleL1r+5+X7ygesfklWv4jVL1L/0u8tfq/G/9vG3L7Zi/q9+q/aPAPPXv+uV4tv6gmv62aDqpb24fL94LVHYK+3+pHqegD1jT3llnTdrH4E9B/1g1E9ds+rn/5J9e99o5tC9bQt6iHRHx8uLvqmsT8gj30z6PD14KVa2JTRnD14qTY29TFPD16qdc3oy9ODl2odSw/ea+Jg8PbBycnwZC0PyrOjN5SaE3vqg9QfUv0h0x9y/aFQH+JQf4j0h1h/SL6jnbzm1HpiLzRKirv0YQBKhI47+pLNBaoEZEffKKk7+kbWxjv36FYD1UIXCwsNszNwYBzRMYBBvb3Dr8V2bfbO1YmwURzTKSSSAvwc6ZHdrQ1rGDykGwwMluDVGcBLldpLldpLldpLldpLldpLldpLldpLldpLldpLlUAvNaIPATAa4xoJx2Ga96XRQ92nmwoMyohGwrV3uu94rU/oFmMCNen5qhfHbs9UkhG6aSzc7pU2E2AjOKUTAOPwuyiPpEd0tzaqYewZzdhbmqeKQlvPYR22MJRQPP95KkaQpkJxTQ9wTwOfp2Lkk3A++ILfhHHAioHYrIWvnR15KkYU33kqRhSPeSpGCuxuOWQ6TBQDVorbkKfixEM46i6Wk/WictMlLHK0fWMFR7g+8EoIOqcjXjTsmwdBa8tTtc9nyQe9Lqwfz+JkfB6cTyazQCRxHIyjSRaE06TIp7GYJ8l6zn2KSOM2shKREjsUMDz/IpIRBOGboCLylzpDsnyom2ssP1pc9HSCo+q1UXflqK6ju9DpkeoukeVH69tC9M3Ii0c6eaZ/RidDdE/ixbPVV3UeZEdfJbKjbxUxDdU+61BJ+FBtrUcZMRBOGa5H7bkcRhIWOeo458mI4lGOMlJggyJgOmxylJHCmxyNEtmXxn2eu7yACKffqSDdNBKLHI3hWMERvo8sSO2zOuKFw759ELg2Sdo+oyUf9G096xlZOosqSZrihwKC51+SMoIgvBNUknIc9mQcAQkfga2VJiMGwtsilGbbYU9GIBbB6TjsyYjiUXAyUmBDHmQ6TBQDVgpvgtOx/8mJh3DoncrNTauwyNH7jRUc4QDJctOx/8mJhn3zIGhtYrN9Pks+6Nt6aZ0Sm8I0FEpsZtihgOH5F5uMIAjfRBCb5FvrGIklnHhrccmIgfCtHYpLRiAWcenYzWRE8SguGSmwIQ4wHTZxyUjhTVw6bq3jxEM48E7F5aYxWOTo9MYKjnCAZHHpuLWOEw375kHQ2sRl+3yWfNC3ta+wEpfSNBRKXLobkRiGAobnX1wygiB8E1RcsjQW5hwDCR+DreUmIwbC23YoNxmBmOSmsQzgkJXEo9pkpMDGPMBs2NQmI4U3teloLMzKh3DpncrNTXOwyNHtjRUc4QDJctPRWJiVDfvuQdja9Gb7hJZ80Le1sbDSm6lpKJTeLLBDAcPzrzcZQRDOaQu9uV1nYU5+CeffWmsyYiBcbYdakxGIRWtaOwtzknjUmowU2HgHmA2b1mSk8KY1HZ2FWfkQ7rxTrblpDhY5+r2xgiMcIFlrOjoLs7Jh3z0IW5vWbJ/Qkg96pTWTIp0mIglEOJ9WqfVgksoomJ7n83wchedxJh5415rGAPKWiEP0UIDwvGtNThCEc4JqzS+UQrlYPKmuPavPCl2590596lmvumbtpfrUB9WposfVLXn6qNGzdn1qGqd91nGS8HHaVpNyYiBcMlyT2k+xc6KwqNHEvHA9ZCXxp0Y5KbARETAbFjXKSeFNjUayX1gS7ax8CIffpRqNN+3EYkd7OFZwhOsjq1HrpI542bDvHoStRY0CJrTkg67UqEinUzGeFIFM9C6pmITBJIxnQZZMx3qTVMh08sC7GjWuRpQajbBDAcPzr0YZQRDOCapG/6BU5vMWLUoWnIxDIeFDsbXgZMRAeN1OBCcjCovgtJwxPGQl8Sg4GSmwQQ8yGyaKASuFN8EprYWdrHgIl96p3ty0FIsdLeJYwRGej6w3bXM64kXDvnkQtDa52T6fJR90JTezSZHKMJkHMs/1DUt5Hkyy81T9MZyOx+M0jcfzB97lZmEaCiU3Y+xQwPD8y01GEIRvgsrNf1Yy8lF16+bF4vGqYciTSl1+rT79ROtPfRdSb/lT9dVXi8d7PfUTv1v8YvHF4teLzxafrpTo7xOjKNhnHQwJH4ytBScjBsLtwgWnmrOvTChvs6JwCU5pQjlkRfGoOBkpsHEPMh0migErhT/FKS1dKO7y8iHceqeSc9OALHY0lGMFR/g+uuS0TeqIlw377kHY2jRn+4SWfNCrLc4kPw+TSR6EsZCByEQajM+TSVCIWSGSLA0nyeSBd81pa0AXJ9ixgPH5F52MIAjvBBadOoe+/GDxrb4A6ZX+8Li6B0k3IntRScpE37kZmWD3WWElHHZrUcmIgXCscFHp2MVkRGERleu74a5LSkYQj5KSkQIb1gCTYZOUjBTeJGXYL4yP2l1ePITP7lRRJhsB4ugpxgqOcHxkRWmb0xEvGvbNg6C1Ccr2+Sz5oL22KDZqDaUQhRNONOFutkUx1dqmu/jX2qKYOj4CNj5dtCimmihRJgLMi5yNh2N44+HF70yth3s+ew9TB7UZTfh6D1MtbKpjzt7DVBubwpen9zDVumZY5ek9TLXu5noPx7rtcKzbDse67XCs2w7Huu1wotsOJ7rtcKLbDieJ/iDWXT3jqkeMtfcweRiAsb/j3sNkc4HhH9l7OBZ17+HY2ovnHt1qoAzoYsWgYXYGDowjOoZAYuC7fCrbr06EjeKYTiGRFODnSI/sbm1Yw+Ah3WBgsAQvuwBeqtReqtReqtReqtReqtReqtReqtReqtReqtReqgR6qRF9CIDRuMPew2RTgUEZ0Xu49k73Ha/1Cd1iTKAmPV/1qtftmUoyAnPv4dorbSbARnBKJwDG4XdRHkmP6G5tVMPYM5qxtzUZFdl6D69v4wdTQvH856IYQRD7mtDNii1zUYywEg4LX9abMA5YMRBbsvCFtCMXxYjiNxfFCOIxF8VIgd0RB0yGbfnOSHEbclGceAif3cXKsl5fbnqExY6ub6zgCMcHXhRB53TEi4Z98yBobbmo9vks+aBvbUG95epTpSdT7FDA8PzrSUYQhG8C60negnrGwZDwwdhabzJiINwuXG86CuoZUVj0pqOgnhHFo+JkpMDGPch0mCgGrBTeFKeroJ6TD+HWO5Wcm05hsaPzGys4wveRJaeroJ6TDfvuQdjaNGf7hJZ80Lf2zpDI1mc4djcqMclvEJ5/zckIgnBOUM3JemcI41BI+FBsrTgZMRBeF644HTucjChcitNEcshK4lFwMlJggx5kNkwUA1YKf4LTfmcIJx7CpXeqNzfNw2JHMzhWcITno+tN+50hnGjYNw+C1iY32+ez5IO+tRcmR7ZOw7G7T4lhKGB4/uUmIwjCN0Hl5s1dmMw4ThI+TltrUUYMhEfuRIsyorBoUfuFyYwkHrUoIwU2IgJmw6ZFGSm8aVHXhcmcfAiH36kY3XQWix2t4ljBEa6PLEZdFyZzsmHfPQhbmxptn9CSD/rWtiaObK2J4wI7FDA8/2qUEQThnKBqlKU1MecYSPgYbK00GTEQ7hauNNvaxXECsehNa2tiThKPepORAhvzALNh05uMFN70pqM1MSsfwqV3qjc33cViR7s4VnCEAyTrTUdrYlY27LsHYWvTm+0TWvJB39rWxJGtNXESYocChuddb3KCIJzTFnpzu9bEnPwSzr+t1uTEQLja7rQmJxCL1rS2JuYk8ac1OSmw8Q4wGxatyUnhTWs6WhOz8iHceZdaM9n0DksczeBYwREOkKw1Ha2JWdmw7x6ErUVrAia05INeac1JlqVFmAfjbD4LxPx8HoyjeRhEYhrOksl4dh6dP/CuNY0BRGnNCD0UIDz/WpMRBOGcoFrzM33Lnb75rLf41eLp8sPl+8sPFi8XXy0fLr5cPFK/e1IJUBnqu9JMxPusxBJOvLW6ZMRAONcO1SUjEIu6jPqhNKEcsqJ4lJeMFNgQB5gOm7xkpPAmL4W1jJMVD+HAO1WXm1ZhiaP1Gys4wgGS1aVtTke8aNg3D4LWJi7b57Pkg67E5fw8SdNZOgmiKMoDEaXTYDydyirdPlefm+fx+mH3KS6NiwslLmPsUMDw/ItLRhCEbyKIS32F7gslMN9bflAlyx8tP+m9oe9C0jchfbv8RCnNbxaPvtMuNhlHQMJHYGuxyYiB8LUdik1GIBaxGfbXV3lcF5uMKB7FJiMFNuRBpsNEMWCl8CY2435uE5uceAiH3qnY3PQISxxN31jBEQ6QLDZtczriRcO+eRC0NrHZPp8lH/RKbKbhbJxESSBjMQ2ECEUwScNCf6/6+9W/MCnWA+NTbBamoVBiM0EPBQjPv9hkBEH4JqjY/KVuI6Fv2KxOAF30dA+I6lhQfYCoyptf6B4SusfD+8uP/mrdEeSx+sQj3TdE/4xuF6EvUNLni572qn4iL3U7iCtfqX5O95DYieIw3Iml+cKKfdZBlPBB3FqvMmIg3DVCr9r6YHCSsAhVx64oI4pHocpIgQ2XgOmwCVVGCm9CNUpkXyYmwLu8gIhw0KlU3XQfSxzd5FjBEb6PLFXtszrihcO+fRC4NrHaPqMlH/Qq7R7Nomgmi2Aiz/XdS9MwyAtxHohpGKVhGE/OxTpO+BSrtgbFicCOBYzPv1plBEG4J6ha/Vm14XmxfC+obvJ8unhZbX2mO8ImJBn5JJxvayHJiIFwpnAhaT+ZzonCoiTDfiZNKIesKB6VJCMFNpZBpsNEMWCl8KYkHVuenHgIR92pjhQb1eHoNsYKjnB9ZB3p2PLkRMO+eRC0NhXZPp8lH7TXrsTGXRIlC6UTTjbhbrYrMdXaprv419qVmDo+AjY+XXQlppooUSYCzKubDj9aPFcvv+5RvNdLVr+I1S+yg8bFny5+q9YAf1j8U2/xT+qfelbVQXypvue9xZO+aYgOyEPUjA18PYapFjbVLmePYaqNTRnL02OYal0zSPL0GKZad3M9hhPdXjjR7YUT3V440e2FhW4vLHR7YaHbCwvdXlhsGncmVe8Xa3th8ggAg3jH7YXJ5gLjOLK9cCLr9sKJtcfOPbrVwHjehfTXMDsDB8YRHQMYdrdoL6xsvzoRNopjOoVEUoCfIz2yu7VhDYOHdIOBcRK8fgI4qFI7qFI7qFI7qFI7qFI7qFI7qFI7qFI7qBLooEZ0emAM7rCzMNlUYChGdBauHdN9xxt9QrcYE55Jj1a9cnU7pZKMwNxZuHZImwmwEZzSCYAh+F2UM9Ijulsb1TD2jGbsbc0ixbbOwkmKo4Ti+U8iMYIg9iahGw74JBIjn4TzwVfjJowDVgzETip8xexIIjGi+E4iMaJ4TCIxUmC3siHTYaIYsFLchiQSJx7CUXexkqzXk5tWYImjtxsrOML1gRdB0Dkd8aJh3zwIWlsSqX0+Sz7oW3tIM7a1E04y7FDA8PyLSEYQhG+CikiOQ5qMIyDhI7C1zGTEQPhauMxsPaTJCMQkNq2HNBlRPIpNRgpsyINMh4liwEpxG8QmJx7CoXcqNjeNwBJHYzdWcIQD5BCbnGjYNw+C1iY22+ez5IO+tdfNxbY+wom7q4hJd4Pw/ItNRhCEbyKITfJ1c4zEEk68tbhkxED41g7FJSMQi7h0HKxkRPEoLhkpsCEOMB02cclI4U1cOq6b48RDOPBOxeWmr1fiaNTGCo5wgGRx6bhujhMN++ZB0NrEZft8lnzQlbiMxsUsnqZRoASnvvc4kcEkKvJgXmRhNJvMMinmD7yLS2EaCiUuC+xQwPD8i0tGEIRvgorLz1f3emhx+anu0Lb8YPkjQ3n1+tYPfWfH8kN9fYf+2JcWYbPPOgoSPgpbC05GDIS/RQhOa5k5I4lvpcmI4lFpMlJg4x1gOmxKk5HCm9IMLbXgd3nxEN68U6W56eiVOFq0sYIjPB9ZadrmdMSLhn3zIGhtSrN9Pks+6FvbETi2dQRe1/khhgKG511pcoIgfBNYaXJ0BOYcAwkfg211JicGwtsidGbLxiYnEJPcNArnQ1YSf2qTkwIb8wCzYVGbnBTe1KajIzArH8Kldyk3xaapl3B0aWMFRzhAstx0dARmZcO+exC2Fr0JmNCSD/rWdgSObR2BhbuniGmTF4TnX28ygiCc0xZ6c7uOwJz8Es6/tdZkxEC42g61JiMQi9a0dgTmJPGoNRkpsPEOMBs2rclI4U1rOjoCs/Ih3HmnWnPT40s4eraxgiMcIFlrOjoCs7Jh3z0IW5vWbJ/Qkg96pTWTIp0mIglEOJ9WRZzBJJVRMD3P5/k4Cs/jTDzwrjWNAURpzRg9FCA8/1qTEQThnKBa8wulUC4WT/Rp8svWGVfumlOfetarbjh7qT71QdVk43F1M53uvPGsXZ+axmmfdZwkfJy21qSMGAiXDNek9sPpnCgsajQxL1wPWUk8qlFGCmxEBMyGTY0yUnhTo5HsF5ZEOysfwuF3qkY3TcCEo6kbKzjC9ZHVqHVSR7xs2HcPwtamRtsntOSDrtRoNilSGSbzQOa5Psme58EkO0/VH8PpeDxO03g8f+BdjRpXI0qNJtihgOH5V6OMIAjnBFWj/6yE5KPqdiOlLle3Jj+p9OXX6tNPtDjVHdl6y5+qryoVutdTP/G7xS+Uiv314rPFpyst+vskMQ3GPutgSPhgbC05GTEQfhcuOdWcfWVCeZsVhUVyhn3z3W+HrCgeNScjBTbuQabDRDFgpfCmOaW0Fney8iHceqeac9PLSzi6s7GCI3wfWXNaJ3XEy4Z99yBsbZqzfUJLPuhKc4okPw+TSR6EsZCByEQajM+TSVCIWSGSLA0nyeSBd81ZmIZCaU6BHQoYnn/NyQiCcE5gzan3NJcfLL7VVx+90h8eV+eHdOuGF5WiTHTj38gEu88KK+GwW2tKRgyEX4VrSsc2JiMKi6bUd6dfBzlkBfGoKBkpsFENMBk2RclI4U1Rhv3C+Kjd5cVD+OxOBeWmrZdwtGljBUc4PrKgtM3piBcN++ZB0Nr0ZPt8lnzQ6n9/ubfqkfUXLr3Yabs24z6WUorSBRmGTUhP7dqEydo7ZGubbuMG27WpTz/VO5O9xc/0nZnLh8v3qzT4y8VXe73FL6t2bc+XHy8/0T9vGoV98igI2Ch00ZSNaqJEmUg074BsXtML8zVEo1rYVJWcDdGoNjYFI09DNKp1zXDE0xCNah1LQ7SmzbmU/dy4tXCXbjgwuuH7mBVpYm1jRrYWGN+QbczEZRsz4WhjRrYaGOdQ0hh6pvyIbjYwMLW3LYPaeky3VSJtBT8devx2a8MaBg/pBgNjFnnVYHcWI7rRwDCG6ylmdxT36ZYCgxmipZi4bClmdxIndIsxAY7yQNheupJscjctxKB2ntLtBMa4d1GOQY/bbm1Uw9gzmrGraJGNo7yYBuPpLAzERFeCR+qPRR7GeZpnyaRYO2brCtWxVCeuUm2NwkSKo4TimdayDirMetYEcocVBLE7Bl3qtvejvraMXbcl/3lV/62Ltw3jsM86DhI+DluvJBkxEHt+Xaw4GUl4ch1mX3HISuIx2cFIgd1yBcyGbZ3LSOEt2ZFleT+0nSDkBEQ4dNSari3dsWlAJRwNxVjBEa6PvHCxz+qIFw779kHg2hIe7TNa8kHrChqXjOw00SFMcEpAultYpE24G050EK0FbgBB1d9NJzqIoyBgo9BJooNookSZCDCvVuqPFs/3etHyPy/fV2/66pdk9YtY/SL1L/3e4vd6fhoz+GZPqK/8Rs2xnvTn1bXIP6lm/Bv13RdXxP/6cGb1yUfVIc7nup7+ofqRh9XpzxfLj3r7f/vdfx8Mji+fhrd+8L0fvvuDd77/19WX1FfufPedv/4P4x/M9nrVHXhfL17okqmetkb9PbqD3Ptv9lJ917L60NPdPdR3/rh6DtUXTt661yvCyKg+DsizA9wz60J1Ey0EbpBh1LQ9z0O0Ebg1tq1OJlqH2QYDjJ9N/xKtY8nzXBMJg7cPTk6GJ2uZUJ4dvaF0Xf4d7b+16Voq7IVGtXCXTgaM/h0ngqjWAuM/NhGUXSaCrH237tGtBuqALhYNGmZn4MA4omMAA3l7YshiuzZ75+pE2CiO6RQSSQF+jvTI7taGNQwe0g0Ghj/wygvgd0qg3xnRqYAhE5dTioQQfWlLKlFNBUZOTFIpu0wqWd/UE7rFmGhKemTqlazb2ZRkhG6STO2OZjMBNoJTOgEwsqLTT9lubVTD2DOasbc1/SSs6Sd3j6JrlFA8/+knRhDEbiV0A4Iv/cQ4DhI+DvD1vQnjgBUDsQfbxUKYkcRz+omRxGP6iZECuwEOmY0866epCWXAinI7clCcgAiv3sVysl5UbloHCkcrSFZwhP8Dr4TgszrihcO+ghC4thxU+4yWfND60E2lO4s1ulVV/nA+ffe773zfMBIEUSlNmEpPFi7MMGpi2rJRdlsxUnGTkCqMZZx3yNY2HzLHyEL1YHWX5E+qXESVLtCdGd9ffmSyW4m84s0B2fhrjs9u/XZ+b7XtKsM99SGyOToqhMBDwNe22vJjbfmxzfJjuuUSbzl8TasMH2rDhzbDh3TD4U893bOutswUQGkDKMkA1zZCWgBwz8uptvrUZvUp3Wq4G0fufyijz7TRZzajz2hGv+bP9S+ejoJK2xbHehPTxpBYBx5mKi0eKaON68U7ZHOBmRFoQPqi2qDQd3z8S5UEr5Lk31Ttgr9dfrB8qOsfHutNi4uq4EF98/pCZL2pUV1Dp+9K/qRXbWpc3kq36jOsk+kXi2+WP1Y/+dQ0DPvkYWjGhU5KJBaf6n2ZQF+o16vS+A+XnyjjL9QI6PtQFl8pukernZze4isdv6troavKkdWgPF18XV3H96QqIXisv3A5MOuKg+WHr4X+vmlY/ow8LBI1LIAhMZl3QDYPmJjBbMfoWTIZ+TbZSGCeBbPTYi1NoNoITLBsuYdCtQ6TTAGMn6U0gWodS2kC9HDOXbrZwJiKrzuI0kItQK2lB2SDgZEVWXogw7r0QFp7l92jWw0MsKg1E/TpOKKbDQyI7askqK3HdFsl0lbw06HHb7c27NqSiGwwMG6Rt9Hsfa7JJgOjGLJawOUp7tONBYYzRL1A7SXuO7zECd1iTIjr8okoySZ3Ux8AtfOUbicwziFXwfqJqI26tgAmGevtVIA0LyLVmtfdNCmzjjHM1M7XvERzgSH5j2bNSxwGYIj/o13zEodFooYFMCQm8w7I5gG1Q0drXqKRQLXQzZqXaCNQJGy75iVahxEEgPGzrXmJ1t30mpdqNjCmdr/mpRoMjKzYNW90uea19lC8R7caGGC51rxUs4EBsX3Na616ldHO1YG3l9eTKSSSAvzc6JHdrQ27vhqmGgyMaByrYarJwPiGWw3HMsnyxFo9TzYWGOgwq+HocjVs9R8ndIsxwa/LJ6Ikm9zNarjdb2wG3F4tTyYAxkb0OjnarY26vk6mGFtVLlX/02ZPzmeT8TwPJuf5eSCm57OgiGazIByrn5dFlqThemrqhXXz6Zr/7bx+bq6yAleAcb+3+N3iy+X/Va3U3u8tfr341eLznlqdXCy+rhYqasGjFzcX61VMveJ7qVY3bQs8tSyP31SPQGwcKj0izVGCjooxVttHAxWubWU9iaWihwuvGdMBePDXc13wY2Y6ZmOSeCb4C7sqBTIjDdmQ4O8k2OnbioTMaCUX2rXI0IKGe/pObTynbDzNONHCg3ryzmw4Zyw4r+2nWLddOyh/ja01RomRKS5kLosijJtgtv3WjspeTUbeIRsJr/sDhtnFP6hA+n4VTt9ffrQJnuuTTnWD9fWu4SsTzL6C0aGUSOS7BFbsHckwswVMKkQzIgIgcD7pWFt+bLP8mG65xFuO8j5DbfjQZviQbjj8Vdg6uom90gZQkgHYS2DF3qnN6lO61XBXTopUYu/MZvQZzejXfDtzPLJGJOE0G1z12lFEsmb+iGbCX0RoTPpi8ZvFP15L961WflcTeiYSFZCEDkhEHN8BSdpiEdV+H7HIbPQx3WiJNxrlWoY2m4d0m+EP/tYRyGx7SbadPfiYDT6lGwx32aS4Y7b3jGavz5BjDTrSabiwDjTYTmTQsYYdoqHwtw8ZdtQSSAWYr/Xlguv7IJY/qe4JfH/xtBmU3jBGJeOzpMKS1GGJiOs7LKW2sES130dYMht9TDda4o1GeZ6hzeYh3Wb4i7F1WDLbXpJtZw9LZoNP6QbD3TopLJntPaPZqw1ev4UewpI1MKVO06+1vPQQmGw3JFNNhb+B0ND0i8VLFXHer9JdL9flkOsbcF/qbbunm1LIC31lcrV598SxPkp1ICLC+Q5E1r06qv0+ApF1m45qtMQbjfI1Q5vNQ7rN8Ndg60Bk3Zwj2s4eiKz7clSD4Y6cFIisW3IUe/2ujxyhyHyv4MZ4+yWIYFsJoci6TiIaC38LocHoD3WC6NkmMWQKP68W35hIVPjJdPgh4vgOP7kt/FDt9xF+zEYf042WeKNRHmZos3lItxn+4G8dfsy2l2Tb2cOP2eBTusFw900KP2Z7z2j2+l4HOQKQ+Sayjfngs2EdByDreohoLvxN7D4EVWujrxePlj9Vi6bHqzNR36gvvFi8WH5QraR0ExBdKPist/jl4tPFZyZ2FbRyHbSIA+A7aBV7RyKV6kMW6Q+Z+pAn+oP+QiF1CYTtFjAyoo+4Vuwda65jzXWsuY4117HmOtZcxzauYzqXxHOhvNtQYw011lBjDTXWUGMNNdZQYw1tWEM6Fvyd3Do6Fnulxis1XqnxSo1XarxS45U2vJKMxx5Ai71TzXSqmU4106lmOtVMp5rp1MZ0SmeCxyhSjC32zjTSmUY600hnGulMI51ppDMb0hkNqXoMV0g6nrHeTXYlFlujceGkKKwTAzOWGIr1CXOTvXfI9jaD0ZZHtTGxWJcXVmdjr7f+UiF51ZDrvVVbrnUnsCvNvtTn/vz74/9wvr5//YsgiuL1738WB1G8V/0qV7/E0jRs++Rhawa4bo52/2L5kT6yrbSIPuiuBkYf7u7pA9v6fvnfrcZADU59EkJ914vencFRoLTKfzUR/hmZUKIIAXSQFnGfm/at153jgtj+DV/ouV/d0r/8O/XNq1RtFMtN/7aHPX2tf5Wo1ff4P9tc7q/HciMGq0881sfn9V9fHaV/WZ2vf7/6Cd2Q7oX+x56vn8FHqz/+cvHF4vPgz97+3+LX/pkPVzvyKyNfrp91ba62TT/WL1fPOPzxrx6C6gB/dZ5fn3F5psfjt5n8jyKslO3niy8yufxQ35+iLXl8LU/wolK/VWPF51UDvSp5sLLjaQX7XmWLvjjhkbKr7oDwvCr/rdLfzUGWmx551be9Wv1U5QU+Xv59L5GBkJrlK/1mLl4kK9P0Dz+pHuGHK9iv9ahV5N8uNncY/F19jCfcy8NeoH+Rvf/3y//D9KAfkB/0FPagY877G33022QLgYchuznsT7QReAZy28P+ROuaAnfLw/5pGoXmm7YHZBNZTvxfk3emBnypvgk61YvDNNYf9OIwFevmWEoJuprykWmBoo5wUUBRRPZrAqjmAmUd9pqA4vKagMJxTQDVaqC4226bYdNAQRY7AwfGER0DKLYIWwn18d9i5+pEOK4NoFJIJAX4OdIju1sbdn1XgGowMDCCrw0AOKNSO6NSO6NSO6NSO6MS6IxGdFJggEXeNpBnmf3mPaqpwDiLuWuguLxrwPr2ntAtxsRe0mO06ffR4oBKMgL33QPFztUJcNw9QCUAhlvkXpF+dmqjrm8EUYyttGQuijQXIhjn8zAQRTIPxufFeTCen0eRnI/DcD5d8Vj3iL43traXoe4T2XaKUvNVhFZMKJ9pN8mBhdlRMoHcYQVpKhHX/AC3ml5vzaJWoHq9urr/75Huw6cX4s/15oktEaSX01WKp/fG6sIIvQ5Xq9Of6q7x6vf6c1WKaK+33pN5Wa19159b/lStrfVnv1Vff7L8+6r2+/ny41X53fK9/nfWe1FXFv26P+CVlf1rlxDqxfMn1Y5Etdz+8frfspTtcU6WhE8WfPvHhHHAitHULw4MxOJ+lS/8tno+vlm+b8J6mxWLp7mgieOQlaOpZBwcW+4acFI01Y2DoovdBU4Ub60F87yfGPnu8vIhglAXS+LNwjgN133oUuvF1ke84AhPCF7NgSd1xMuGfQEhbM4JHUEmtOSDriTybBwm89n0PJiIWRGIUOZBUWRJkI/l+Xk4DrNwth4YrxLZuPGtJLL5FjLHWMD4/EtkRhCEd8JJ5CpdtPz4r6oMjD7Q+G2V5nms9fHy76tUzjP9tUzuiHAn3FNPrvpTsnhhGoN91jGQ8DHYWnkyYiD8LUJ5Vpmxfs88L2+zArFozrCfm0gOWUk8qk5GCmzQA8yGjFUEFyaUASuKN9WZJv0sMfHd5eVD+PVOVWe0ESnWC2SPeMERXpCsOq2TOuJlw76AELY21dk+oSUfdKU657KQ43w2V18M1fdG00KJ0zAKinmWjeNsLubR7IF/1Wl8AJTqjLFjAePzrzoZQRDeiaY6Vzuc6yqqi1V3kcWz3urTSnLKSnKu90GFzpJeH4J91iGQ8CHYWnQyYiDcbYeikxGIRXRargo9ZCXxKDoZKbAxDzAbUZLncT80vvQDVhhvsrOQ/TAz8d3l5UM49k5lZ7xRKbFDdnKCI/wgWXZaJ3XEy4Z9BSFsbbKzfUJLPuhKdibTdC6jMAzyWH9vIYpgks/nQSQn82kxEYXM5AP/slOYxkLJzgQ7FjA+/7KTEQThncCyc12l/uj1anLd6+5VtdH546oz4MsqE//JOjf/eyVIP6zq2B8tvtGHA/S1botvVl9dF7abxmafdWwkfGy21qOMGAg/jNCjL4yLvbdZSViEaKhkjzFdcsjK4lGKMlJg4yBgPhKR9DORmlgGrCzelKgI47SfGwtS7/ISIrx9p1o02UiXxKFFOcERPpCsRR3TOuKlw76FELo2Ndo+pSUf9GoTNA1n4yRKAhmLaSBEKIJJqn+qaqoVRdmkuInUuzSNhVKjAjsWMD7/apQRBOGfoGr0l/rIanW68fHyo/UFjcsrfVSqjdCL+nTl8qP1VunlEdQrR0+fVZWlpkOpz1Y/F8V7cieKw3AnluZjB/usgyjhg7i1bGXEQLhsjGw1Sr23WUlYZKvlSrpDVhKPopWRAhsuAbMRZ1kqzDvaA1YWb6I1SmRfGtd8d3kBETGhU80qNgJHODQrJzjCAZI1q31WR7xw2HcQAtcmWdtntOSD1s1cNbjWah5v1TEGCaVGpQszCpuY3m7ViYwG3yEb3PQe/1qu1UlW1+kI02jtk0dLwEbrFtymQyWUKEIAHf0ancTyDY961e73t/rxqe7TwT1Je9evhglIN/A0rtf5tNqx/2D5o2DxT+pzzyrLv9R238x1OzJ87bodGd7YdTuXk/XrxT8sfrf4R/Xfp73FH6oWne+v/2Y1Xvq5AF3N8z++4rubh/raAK8g6GIhRrQQeHUAfIHluJuHaiPwzoBtl05E65qSbMu7eaLUcmXtgGzhDV7Nk+q7ePSVrWmuP+grW7NwfRtGKp1X85Bpgcqw46t5yOYCtSHyap5U1lfzrMbZZPU9utVAgdjF0lLD7AwcGEd0DKBy2+JqHmX71YmwX81DppBICvBzpEd2tzasYfCQbjAwLoLX5wBnVGpnVGpnVGpnVGpnVAKd0YhOCoyvHV7NQzYVGGYRV/PUTui+4+09oVuMCb2kx6jeA3E7oJKMwHw1T+18NhNgv5qHTAAMt9iredSzUxvVMPaMZmwlJUFnlDWPdaPJseVG3WyyXs2T4jChfKYtKQcWZlvKBHKHFQSx0Q3drvo3fjUP42RJ+GTB95JMGAesGIgcA2JtD7uahxGLJeNqO6/CyOEx38pIgc31QObCsbnASOIt2+q6mYeTDxGDulgR1+vidJOaSx1rY05whCMEL+bAkzriZcO+fxC2tlxr+4SWfNCVQh6PZ+eTeToOxpNIH2yJJ8FYTNIgFXKSTs7VP5CJB/4Vsi0h6+yZZhoLGJ9/hcwIgvBOOIX8+s08zRPS+nMyXB+PbrmRh5Fdwtm3FpyMGAg/ixCcbYejGYFYpGbcD43q5pAVxaPaZKTARjvAdCSJ8txFamIZsLJ405up6Esj311ePoRH71RvZht5kjn0Jic4wg+S9aZ1Uke8bNg3EMLWpjfbJ7Tkg6705vl0mp5nk2mQZ9Op0qbTKJiI8TQ4T8dxPJ5M8jxbO1ivejMxjYXSm87mgKaxgPH515uMIAjvRNebrpsglegE3QTJOAYSPgZb605GDIS/7VB3MgKx6E77TZCMJB5lJyMFNugBZiOKi35h3C8YsKJ4U50y6qfG+HSXlw/h1ztVnflGpOQO1ckJjvCCZNVpndQRLxv2BYSwtanO9gkt+aBv75U8ltyMUp0FdixgfP5VJyMIwjuBVafXK3kYx0bCx2ZrNcqIgfDDCDVqvZKHkYRJhtqv5GFk8ShEGSmwcRAwH3lfCGkiGbCSeNOh7gt5OAkRvr5TJVpshIujTSwrOMIDkpWo+0IeTjrsOwiha9Oi7VNa8kHf3gt5YtuFPJmzL5BpLGB83rUoJwjCP0G16O28kIdzECV8EOGilXIe14R+wIqOcPMYoWsUh2+zkrAIXeslPpwk/mQuJwU2xAJmI9VXoBs3wAesKN50rusOH1ZARBjpUuZmm/6AmaPhIys4wv+RZa7rDh9WOOwrCIFrUbmAGS35oLXMdanXbq/usWTuM2dnofwa3Y1f3UM1uOk0/m1c3UMdLQEbrVtwdQ+VUKIIAXQR4rKeDHZZT3r9ohi17ljdFEO+eac6grf4hR7u6sF8op/d9Y+/6FWVI1+v1j7rG2+qT6/+gmo5ZXxoMRfr9G7kZh3QbTlJdQPPxep7VzzV8Dy58lPhXqiZfrF8X//UG4sXO//j0eKL7/RNT+gB+QltRnu+W3KoFgJP8cNXMI5bcqg2NtcnPLfkUK1rip4tb8mRhbnkZkA28OYuyclifStOoj8I/UHqD+n6Xooscl6SQ6YFarCOL8khmwtUYchLcrKoviQnszalvEe3GijFuli7aZidgQPjiI4B1EhbXJKjbL86EfZLcsgUEkkBfo70yO7WhjUMHtINBoZF8AIY4IxK7YxK7YxK7YxK7YxKoDMa0UmB4bXDS3LIpgKjLOKSnNoJ3Xe8vSd0izGRl/QY1ZsMbgdUkhGYL8mpnc9mAuyX5JAJgOEWe0mOenZqoxrGntGMvbUJycR2SU4W4zChfP4TkowgiJ1k6MbQLU1IMg6ihA8ifDfFhHHAioHYXO9iyc1I4jm5yEjiMbnISIHNbABmI5bK+VuOEHOi3I7kIicgIiR0sUCtl6mbfryZo8EyKzjC/4HXVvBZHfHCYV9BCFxbcrF9Rks+6Nt7nCOxXVqTJdixgPH5V6yMIAj3BFWsXo9zcI6NhI/N1kKUEQPhiDFC1Oh232YlYRGijuMcnCwepSgjBTYOAuYj6UfGLYgBK4g3Ieo8zcFKiHD1nSrRTS/ezNFemRUc4QDJStR5moOVDvsKQujapGj7lJZ80Lf3/sTEWhUnsGMB4/MvRRlBEP4JLEW7vD+Rk13C2beWmowYCE+LkJot99hwArEoTvv9iZwoHgUnIwU22gGmI4qjfmG7yYaTxZvmdNyfyMqH8OidKs5NK93M0RyZFRzhB8mK03F/Iisb9g2EsLXpzfYJLfmgb+/9iYntJhutk3FjAePzrzcZQRDeia43O7g/kXMMJHwMttadjBgIf9uh7mQEYtGd1vsTOUk8yk5GCmzQA8yGyPq50X0PWEm8iU7H9YmsfAi33qnolBuN4migygqOcIJk0em4PpGVDfv+QdjaRGf7hJZ80Le3jWJivbImxY4FjM+/6GQEQXgnnOj8t9pGkXOyJHyytlbHjBiIwIBQx6A2ipxYLBrZmHo+ZOXwqJAZKbARGjAXjtOnjCDeBLKjiyIrHyIEdSqQN033MkcXRVZwhB8kC2RHF0VWNuzrB2FrE8jtE1ryQav//eVrylCoX/7CJYS7vf1GmGiVBHb38ImbtJ5uv7HceH6HbG/ThWx5+c3vGlLvUW99V81LwO01aZxuzju9rh/XF9oEUagvtAnizDQC++QRELARuA0X2hAJJYoQQvd5tQZ4rNcle7319Tbx6pdk9YtA3Hkj1DcYHpzL+270g7G6kmZ1S8vVG2jgFyhduwImk+srYOB35piP4lX353xVH/Cr/tn1NTQvqzVS9Q3X7tv5YvF58L/F1b++vklGX1Tz2k2aetW3An99zYXEtl/Bk8nXruDJpL6C53bfwPOwV/3wk+qdebiCvSxNr7b59fyof6MyUL1y4V4e9gL9i+z9v1/+H6Y364D8ZjV1CONFPEQLgTcFIJZVjot4iDYCrwjYdslEtK6px7a8iCfLk74x2T8gW3iDN/Hk+uqdQn1Q+k99iPSHeHP5Rea+iYdKC9SDhJt44ljab+KhmgtUhNibeLLLm3isrSjv0a0G6sIulpUaZmfgwDiiYwDF3TY38WQ7VyfCcRMPlUIiKcDPkR7Z3dqwhsFDusHAuAhemwOcUamdUamdUamdUamdUQl0RiM6KTC+4m7iibKk6EvbTTxUU4FhFnMTT3Z5E4/17T2hW4wJvaTHqN4AcTugkozAfRNPtnN1Ahw38VAJgOEWfRNPtlsb1TD2jGastjZMYpHOp1EQz7I4EHERBZMkDYNxkqYyDWWRTNYPlXV7ybHfRt1ist7Ek+MwoXymjSgHFmYzygRyhxUEsckN3aUC5lmv5S1f28ziT7b+1fVE6urfW+2Hvbac1z+lFvPVKlmt4ze7Gqap2medKgmfKvhmkwnjgBUDkV1ArOxhWVZGLK9ZVkYOj1lWRgpsmgcwF66tBUYSb2nWKFLRVJoA7/ICIkJQFwvielm8afubOfo4s4IjPCF4LQef1REvHPYNhMC1JVrbZ7Tkg64U8mwcJvPZ9DyYiFkRiFDmQVFkSZCP5fl5OA6zcHYTCtm47a0UcoEdCxiff4XMCIJwTziFDD3+kknY8RfGMZDwMdhaejJiIBwuQnq2HX9hBGIRnWE/N+qcQ1YUj7qTkQIb9QDTkWZJPy9sypORxZvyTJP++hKU68KTkw/h2TsVnpsev5mjbTMrOMIPkoWndVJHvGzYNxDC1qY72ye05INe3ZEuCznOZ3P1RX0lUDQtgvE8jIJinmXjOJuLeTR74F93Gh+At0Tubu1nGAsYn3fdyQmC8E403bna6mxe9NNbfVqJztVdP+t9UmFeRO6zDoGED8G2spMTA+Fuu5OdnEAssjM253EOWUn8qU5OCmzMA8xGlAppuTdlwMriTXUWsh8aE6R3efkQfr1L1Zlveu7mji7KrOAIN0hWndZJHfGyYd9ACFuL6gRMaMkHfXvvORe2Qye5swGRaSxgfP5VJyMIwjuBVafPe845x0bCx2ZrOcqIgfDDCDlqu+eck4RFhzruOedk8ahEGSmwcRAwHyLsZ8IY0wesKN6EqPOmc1ZChLPvVIpGG+XiaA/LCo5wgWQp6rzpnJUO+xJC6NrEaPuUlnzQq5vOo7goZnIajNNxHgiZ5UEeRfOgGE/TyVzERRyPH/gXo9I0FkqMxtixgPH5F6OMIAj/BBWjn60OiZqOk24Okz7b9IVcnSBd/DbWBaCfLf6w+PSy8aNLgjKOiISPyNYSlBED4X8xEtQo295mJWGRoLGt5yMniUcBykiBjX2A2YiyOOnb7j3nZPGmQKNQxSnbXignIMLBdypANy0Cc0fTR1ZwhAMkC1D7rI544bDvIASuTX+2z2jJB60FqEtXdnunjjTRKUWZuOiULm/Q3fSdOlR7mz7jj/dOHeoICNgI3II7daiEEkUIoNv6Fp3c0y06e9fvcVHrX/Q9Oo27cD6tdtc/WP4oUD/5SP3c5kzdlxXrk3+zd+RcXlFUz+SvF/+gZvof1X+f9tSa7/ny48qKR9XNRM/0A+PvPp2+6bU6IL9WwIsDulhyES0EHviHL6UcF+pQbQSe9N92kUS0rim+trxQp5C2u0WpBt7cfTq50BfoSP0h1R8y/SFfX2GRJ877dMi0QC3Y8X06ZHOBahB5n06e1Pfp5NZWmPfoVgM1YRdrSA2zM3BgHNExgMJui/t0lO1XJ8J+nw6ZQiIpwM+RHtnd2rCGwUO6wcCwCF6IA5xRqZ1RqZ1RqZ1RqZ1RCXRGIzopMLx2eJ8O2VRglEXcp1M7ofuOt/eEbjEm8pIeo3qzw+2ASjIC8306tfPZTID9Ph0yATDcYu/TUc9ObVTD2DOasZW18UTOz8U4CNNUBlE0z4M8nBVBGMpQpnkeFXIdj61bS469Ner2ku0+nXUXJjAmlM9/ypIRpKlEXPMD3KEypCwfV2tgnbp8ufriqk/ILxe/WHxWpSf1olb92TiT+6wDIOEDAN++MWEcsGIgNui7WC4zknjOUDKSeMxQMlJgsyOQ2YjCfmY7q8GI4i1BmUSyL6UJ8C4vIMKdd7G4rJeYm0a+uaMzMys4wv+B10XwWR3xwmFfQQhcW4KyfUZLPujbe1pD2u6mySV2LGB8/tUmIwjCPUHVpt/TGoxjI+Fjs7UQZcRAOGKMEDUuZd9mJWERoq7TGowsHqUoIwU2DgLmQ/SL3DgfA1YSb0rUfViDkxDh6zuVopv2vrmjXzMrOMIDkqWo+7AGJx32HYTQtWnR9ikt+aBv7z2J0npfTYodCxiffy3KCILwT2AtynFPIucYSPgYbK05GTEQHhehOdsurGEEYpKetnsSOVE8Kk9GCmzUA0xHHveT3FarxIjiTXo6rklk5UM49k6F56Ztbu7og8wKjnCDZOHpuCaRlQ37AkLY2mRn+4SWfNC395pEab2wxtmnxzQWMD7/spMRBOGdaLKzo2sSGYdAwodga9XJiIFwtx2qTkYgFtVpvyaRkcSj6GSkwMY8yGyEyoPbRCcjijfR6bolkZMP4dY7FZ3ZRqM4+qWygiO8IFl0um5J5GTDvoAQtjbR2T6hJR/07e2aKK3HiJ39cUxjAePzLzoZQRDeCSc6/212TeScKgmfqq3FMSMGIiwgxDGoayInFotEtglkRg6PApmRAhufAXPhOD/KCOJNHruaJrICIiJQp/p402IvdzRNZAVHOEKyPnY1TWSFw76AELg2gdw+oyUftN+bc4zpOiV5Cydd3KS78ZtziPY2fcYf8c05xBEQsBG4DTfnEAklihBC93l188tjvQ7Z6219j056c/foBK/d9rL9RTqLf6ou0tGo1SU6N3eFjgxfu0JHhr6v0JH17URdX6HzP77q4g4d0/t1QH6/mvKD8QodooXAM/6I5ZTjCh2ijcDD/dsulYjWNVXYllfoRHFu3mwbkC28uTt0inBPfYj0h1h/SPQHsbm2onDfoUOlBarCru/QoZoL1IXYO3SKyzt0rH0m79GtBqrDLlaTGmZn4MA4omMAJd42d+gUO1cnwnGHDpVCIinAz5Ee2d3asIbBQ7rBwLgIXpIDnFGpnVGpnVGpnVGpnVEJdEYjOikwvnZ5hw7VVGCYxdyhU1zeoWN9e0/oFmNCL+kxqrc93A6oJCNw36FT7FydAMcdOlQCYLhF36FT7NZGNYw9oxl7a7Orqe0OncLZj+86JpTPe3aVEwSxtw3dq/q3nF3lnCoJnyr4lpMJ44AVA5FUQKzsQdlVTiyf2VVODn/ZVU6KprZxUHSwtcBJcivSq6yAiBDUxYJ4sywuNj19C0eTZlZwhCcEr+XgszrihcO+gRC4lvQqYEZLPuhVY7zx7HwyT8fBeBLpWsV4EozFJA1SISfp5Lwookw88K+QjdveSiFH2LGA8flXyIwgCPeEU8ivn7VuHnnRn5Ph+ryL+4w1J7uEs28tORkxEI4WITlbTrtwArGITetpF04Sj3KTkQIb7CCzkRb99b0g1/UmI4o3vZmKvjQWCd3l5UP4807l5qZrb+FoxMwKjvCCZLlpndQRLxv2BYSwtanN9gkt+aArtXk+nabn2WQa5Nl0GohCadSJGE+D83Qcx+PJJM+ztX/1qjYT01gotRljxwLG519tMoIgvBNdbbpu9lGSE3KzD+cYSPgYbK06GTEQ/rZD1ckIxKI6Q/OZhUNWEo+qk5ECG/QAsxGFse0MCSeJN9EpVXwyhqe7vHwIt96p6Ny06i0czZdZwRFOkCw6rZM64mXDvn8QtjbR2T6hJR/07b3aPLXd61Mk2LGA8fkXnYwgCO8EFp0+rzbnHBsJH5utxSgjBsIPI8So7WpzThImFWq92pyTxaMOZaTAxkHAfKT91Ha1OSeJNx3qvNqclRDh6ztVoslGuDiaubKCIzwgWYk6rzZnpcO+gxC6Ni3aPqUlH3SlRWUsJ2ORyyAR0SwQkzQLxlmYB4WQYTKRYXo+nz7wr0WlaSyUFhXYsYDx+deijCAI/wTVooamjtV5zyrl/nKVcF/Xgy5+ufhi8XnwZ2/rms/PFn9YfLr6vO7z6BKgjAMi4QMCF6AMh3IXT0xjc8A6NgifjlG1RuXxNisJi6q1do7kJPGoaRkpsPEUMht53DfesTBgJfGmaaNQ9KXl/kpWQETI6FTSbtoMFo7GkazgCPdHlrT2WR3xwmHfQAhcm6Jtn9GSD9rv/TzGKVUaVTrpkibdTd/PQ7W36TP+eO/noY6AgI3ALbifh0ooUYQQum7v55GLR55u6Ll+k0ye7eEv6HlcXSqjWKqbYCprVjfVaKrV+sC+xKq+3FhNbFZbi9/GLXf6PK2/ePNWNu/6uTDeQfRUW9Vb/N9qgn+zx3opUSZfu5Qokzd2KRHooqGE754hqp8A3qfQxQqSaCHwHgT4ytBxzxDVRuAFCNuu+YjWNdXktvcM5dJ8w+GAbOEN3jOU6ouFMv0h1x+KvSMZhuurPQrpvGeITAtUtx3fM0Q2F6hvkfcMFbK+Z6iw9ge9R7caqHK7WBVrmJ2BA+OIjgGUqlvcM6RsvzoR9nuGyBQSSQF+jvTI7taGNQwe0g0GxkXw1gLAGZXaGZXaGZXaGZXaGZVAZzSikwLja4f3DJFNBYZZxD1DtRO673h7T+gWY0Iv6TGqt2/cDqgkIzDfM1Q7n80E2O8ZIhMAwy32niH17NRGNYw9oxl7a9O6mfWeoRSHCeXzn9ZlBEHs0UP33DykdRkHRMIHBL5BZcI4YMVApCC6WD8zknjOwDKSeMzAMlJg8z+A2RBh3k9sZYWMKLcjBcsJiHDvXSw26yXnps1x4ehbzQqO8H/gdRJ8Vke8cNhXEALXloJtn9GSD/r2HnDJrHf4uPspGsYCxudffTKCINwTVH36PeDCODYSPjZbC1FGDIQjxgjRxETyNisJixB1HXBhZPEoRRkpsHEQMB9FP5XG/YQBK4k3Jeo+4MJJiPD1nUrRTfPjwtHNmhUc4QHJUtR9wIWTDvsOQujatGj7lJZ80JUWnY3DZD6bngcTMVPfG0olWYssCfKxPD8Px2EWztYD41WLGqOi0qI5dixgfP61KCMIwj+BtSjqhp9Mwm74YRwDCR+DrTUnIwbC4yI0Z9sNP4xATNIzT00oh6woHpUnIwU26gGmI5JKe0bGGRmwsnjTnmnSz4wR6i4vH8Kzd6o8N12FC0efaFZwhB8kK0/rpI542bBvIIStTXe2T2jJB13pzrks5DifzdUXtUaNpkUwnodRUMyzbBxnczGPZg/8605hGgulOwvsWMD4/OtORhCEd6LpztU+ZvMm897q00p0ri4zX/fdEeamBPusQyDhQ7C17GTEQLjbDmUnIxCL7LRfZ85I4lF1MlJgYx5gNpK86Gc20cmI4k10FrIf2jLvnHwIt96p6Cw2GsXRWJYVHOEFyaLTOqkjXjbsCwhhaxOd7RNa8kHf3vaSmeU2Hxm6GwkZxgLG51t0soIgvBNOdP6bbC/JOlUSPlVbimNWDERYQIhjSHtJViwWiWwWyKwc3gQyKwU2PkPmwnqilJXEmz52tJfkBUSEoA4FsmJa6an1b0zgR7zgCE9IFsiO9pK8cNg3EALnVsiQGS35oP3eDpSb6JTmdbczEk26G74diGxv02f80d4ORB4BARuBm78diEwoUYQQuo5vB7qxu4GyP6qbgf7nxTodXqzTf/Dg+6bX7ID8mjVVCNvlOmQLgYf/Ecsq6+U6ZBuBp/63XTIRrWuKsS0v14lFHlpuSiWbeGO368gw1tfpJPqD0B+k/pCuLrRQOK7bdei0QHXY7e06dHOB+hB3u44yZ3O7znqcTVbfo1sNVIldrCo1zM7AgXFExwBKPfrtOtr2qxNhvV2HTiGRFODnSI/sbm1Yw+Ah3WBgYAQvzQHOqNTOqNTOqNTOqNTOqAQ6oxGdFBhgu7tdh24qMM7Cb9e5dEL3HW/vCd1iTOwlPUb19ofbAZVkBN7bdS6dz2YCrLfr0AmA4RZ5u45+dmqjGsae0Yy9tWnW3HK7jvJYOEwon/80KyMIYo8bumf1bzrNyjhVEj5V8K0nE8YBKwYiuYBY2sPSrIxYXtOsjBwe06yMFNgkD2AunHsLjCi3I8/KCYiIQV2siOt1cbzJytlbXPOCI1wheDEHn9URLxz2FYTAteVZ22e05IO+vceuc8sVQGo9jx0LGJ9/icwIgnBPOInc7bFr1jGQ8DHYWnsyYiAcLkJ7us+/sAKxqE7rsWtWFI/Ck5ECG/UA0xFHSdIXodGFD1hhvElP+7lrXj6Ea+9UeSYbnWJvac0LjnCEZOVpP3fNy4Z9BSFsbcKzfUJLPujbe+46t9z3I0OBHQsYn3/hyQiC8E404dnJuWvWIZDwIdhadzJiINxth7qTEYhFd9rOXbOSeJSdjBTYmAeYDRmHRV/YNjwZWbypTvvBa14+hF/vVHWKjUixd53mBUe4QbLqtB+85mXDvoEQtjbV2T6hJR/07b3xPLfc9iNDiR0LGJ9/1ckIgvBOYNXp8cZz1rGR8LHZWo4yYiD8MEKOWm48ZyVh0aH2G89ZWTwqUUYKbBwEzEcU5/2isB1xZmTxpkRdd57zEiK8fadaVG6ki73rKy84wgeStajrznNeOuxbCKFrU6PtU1ryQd/e7o+59RqgFDsWMD7/apQRBOGfoGqUvfsj64BI+IBsLUEZMRDuFyNBjbLtbVYSFglq6/7ISuJRgDJSYEMfYDakkFlfChPLgJXFmwB1tH/kBUT49071Z7oRK/b2j7zgCAdI1p+O9o+8cNh3EALXJj/bZ7Tkg1b/+8v/s/rfXq1ZrBrzh/Ppu9995/uGwUBJTFtNp7OtUHTtHiHbTTt2KzGKMTVXANwhm9l8tByDCdSDv1PCT9978Xx9dujh+jqNT/SNIEoMXvSqsswv9T0ay4/2qvtBrhwoelV9TR83erK6pWN1hYeJW2nD7M0BGf6au7TTb+ct1xcQ5DbPSLVf4O2Hn9vURh/bjD6mGy3xRsOPaiqbhzabh3Sb4a8J3QGvD4abbS/Jtl871dtiO+4BObUZfEo3GO7gked4lb1nNnvPaPZWT8cDPwHKejLX2YEkuhaG2UOU2dA7ZEPhbx8pSPWqe6L+pari+mj5YXX5WXVr1fp2psUzE46KPbmOPUQm37GnsMUeqv0+Yo/Z6GO60RJvNMq9DG02D+k2w5/+rWOP2faSbDt77DEbfEo3GO67SbHHbO8Zzd7X9i89xB5r9CmcpkvrUIMtRUcfc4rgDtlU+BtIjD9fLD5d/NxkswoyhQ4yRMM9B5ko3DuSRb53lEaF+iBi9SG3bgdRmTwEHgVyrEGONcixBjm2gRzTQSQeBOVvhppjqDmGmmOoOYY2jiGdA/56bBugFE+peUrNU2qe0sZTknm4g5aCONUQpxriVEOc2iBO6RDwQEAJZIrhTDOcaYYzzXBmYzijMfhdWNnDW+S8RzxKrRMAtpUQ3mwLLKqx8DcYGuA+r/b8PjKZua/MVDGNaqvvmBapmBbrW0NFaolkZBIfkSxSkUyZf2wz/5huvsSbj3IzQ239UFs/tFk/pFsPf+a3jlqRilqxvuvRQlGSKdhjVaRilTL91Gb6Kd10uDcnRahIRShl+ZnN8jOa5f7jkjUyOe8djDLrwIOtJUUma2wimgt/TzGx6Ul11399x11vfWG8+uPqt0961bFOfTf7T6u6+YvV579Zvrf8qCqev+iZOFVwi3RwI8L6Dm76SuxI34Yd2fYHySQ+gptal2nzj23mH9PNl3jzUR5qqK0fauuHNuuHdOvhL83WwU1fZBzpO4wtFCWZgj24qZWXNv3UZvop3XR4SCAFN7Xe0paf2Sw/o1muTU9XlmtH9BeuINdFn6PXSntNFCrGxU6Kwjr+MGOJAa5vLcOg2tt0+1v2OfpD1ZxEd2Z5VtVfPNa9jXTVxdfrXcen1dWwz5cfV7Htq1Xro9f7Ga1asawui101w1kFyKe6Y866N8vLKnrqBimbtkhRb9OgxjQ8++ThacaSTpogmUz8M7KJEmUiwLzqcomnVXXMy6vz1Qten5pH9qnR5/+iuDrdp3TLn5iAD8jAKQy4g3JjqoXA6+7hZcSOfjJUG4H33G9ZIEy1rikjtu0nE9s6a1INvLluMlGybtYQxc7OMWQyYLzFd44RobVvDNlYYLxF9o2J4rpvTGS9gvQe3Wpg1N1upbWpkY7inYED44iOAYyOhGXWpnWDsv3qRNj7xpApJJIC/Bzpkd2tDbu+xqIaDAyA4HJzgNspgW5nRKcCBk1cjxhpO7d5n24oMHIiOsTU7ua+4z09oVuMiaakB2ZTvN/iakoyAnOHmNrNbCbA3iGGTAAMq8hVuX52aqOur8UpxlbrnlkS57N8FkyLogjEZJwG43CcBMVUzmbjdDY5z9cxzLpM/964mxO4V07hmjDVYj3BYUL5TAt6BxZmUW8CucMK0tQcrvkBrvY/B64Fq5uxIxmuloMm9H1WdAlHhy+TTRgHrBjNuO/A6GLxy0jCctbW4h4OWUn8nbXlpGgKBAcFeMktLLePD1hJvJ20FWk/M/Ld5eVDuPEulo/1InJzM3LkuOqaFRzh/cArH/CkjnjZsO8fhM05oSPIhJZ80NU5273LzSatsjwmfYwhT+lI4cKNoyaup6RPZDH4DtngphPhyProT32y+JdVDqeqM19nax6p73yhhOJ79SHb1YWBy4eLC/XD31SJHV0j0Yuj6nIW3WrwVU+4LgukDoSADUQn+R2iiRJlIsC8dRmKHvrne71IC3blAVa/JKtfxOoXqX/p60scny6+fbMXBdpXmK8PPyDzAXezulC0RAuBO1MYpWpP5xBtBG5KbatBidZhNqAA45dled7PTSYOyCbeYEJH6jKoVH/I9Id8s9Eq3PkdKigwtOLzO3ma2xM8VGuBsRWb4BGXCR7rpcv36FYDA2wXCl3D7AwcGEd0DIHEIOy8ip2rE+FI8FApJJIC/Bzpkd2tDWsYPKQbDAyJ4GUOwA2V2g2V2g2V2g2VQDc0okMCoyou3xPFSdyXxiXcfbqpwOCKyfiIy4yP9cU9oVuMCbikJ6he</t>
  </si>
  <si>
    <t>Rrp9T0lG4M74iJ2rE+DI+FAJgIEWnfERu7VRDWPPaMZWArKYxWko4kAKOQ/EeTwNiiwMgyiMi3FxLsNYtp0+cOxaUNfp1oyPxGFC+UyreQcWZkVvArnDCoLYKoSu9P9JX96vFuqP9AmG5Xubxbz64/IDfUCht/gHtbC8qMo9Xy1/ojND6+SP/iiCyOia91mHQcKHAb6INmEcsGIg9j/ha+XlT5fvm1DeZkVhSf8Y14OHrBwekz+MFNjNZ8BcpHEShebuLQNWFm/pH6UyLdf8s+IhXHoXa8t6hbm5Ez5yXPPPCo7wfuBlEXROR7xo2PcPgtaW/Gmfz5IPelVhFJ1nYTYpgiyaZ4GIwijI0/M4yMbncTFL5bk8nz/wrzdtmaEUOxYwPv96kxEE4ZygevMzXUa06jj1TZUwelHJylXCqDpS9GLx7fJHiwt9x2tdapTvRGFYJYvUH+LQmjRiHAsJH4utRScjBsLtwkVnW8NTTiAW6WmrO2Lk8Cg9GSmwoQ8wF6kUNt3JCOJNd2pZbROenHwI396p8NzcBh857vdnBUd4QLLwtE7qiJcN+/pB2NqUZ/uElnzQlfIcR5FQXqII0mgqAyHyLJjIaRacT7JZOItymabrgfGqPBPTWCjl6bwc2jQWMD7/ypMRBOGdoMrzi+oi5ofLj3vLH1cycyVEXy5eBUq/6K/8pKpdWlUuLT9YfljLz8VvIvNCcp91ECR8ELaWnIwYCIeLkJzfLL4yobzNisIjNs2VL4esJB7lJiMFNt5BZkOEUdHPbZKTEcab5Ez7a4zripMTD+HTO1Wc2UagZA7FyQmOcIBkxWmb0xEvGvYFhKC1Cc72+Sz5oCvBOVWCNk+iLJCTeRyIeTEOiiyXQXQeFjKbjuPxZD3nXgWn0Wcpwem8Ed40FjA+/4KTEQThnOCCc1X9/qi3/M+L51pHLh8uHq+y52GodzR3jDO2zwoq4aBbi0pGDIRPRYhKa6E5IwmTprRtYTKSeNSUjBTYkAaYDRU8sn5qq29nZPEmKaMw6hdGb3aXFxDhtzsVlflGhOQOUckJjnCAZFFpn9URLxz2HYTAtcnK9hkt+aDr45NrQaXlosfjk7atysKJC+5Y2vXxSUsV6R2ywU0vwnB8Uu8s6us01B9eXvaGW98T/dppynWP07/rrw5JRs5DkkRcAcPt5JAk0USJMhFgHvmQpFCfUT+Q9N5Y/LaavtWtp+8tP1j+/fLvVnULumD2oa6i7QW9vJowowM5IA9H09sznqkkWgg8/YGRsPYzlUQbgcc+thWnROuaQW/LM5UyT/rGLaEB2cKbO1IZ635gcdVAJd4cYyrcpympjMBIiz9NKWVmP01JtRYYarGnKYvL05SF4zQl1WpgvO1CsWuYnYED44iOAYyj25ymLHauToTjNCWVQiIpwM+RHtnd2rCGwUO6wcBgCF72ADxQqT1QqT1QCfRAIzofMJTiDlJmRWhZy92nWwoMqJhzlMXlOUrrK3tCtxgTZEnPTr2edHudkozAfY6y2Lk6AY5zlFQCYIhFn6MsdmujGsae0YytFkugSiTNY12sO7YvqAt22znK2NmJ6jomlM+0rHdgYZb2JpA7rCCITUPokp+1rp1zLCR8LOCLbRPGASsGYjsUsUhuqWvnBOJJC5k4Dlk5/CWFOCmassFBAV2fF2k/NeqxASuJx5SQtbCdlQ/h3LtYX25WmWp9sMofrH5jAj/iBUe4QPDSCDypI1427PsHYWtJCAEmtOSDrqTnZDKdj8+TIpBCTAOR5efBOA2l+qlJPosm41ki12+zV+lp3DlW0jPCjgWMz7/0ZARBeCeo9PylzkVU4nPTglT/cZWqUF96qDMeut3X8iN9Dedni58tvlj8fvHrxW/Uf7/9q/Udnn9Y/Hbx6eJ36uPv9ff8d/WHL3r31DK2t/iZaZT2WUdJwkdpa1HKiIHwyAhRaq1850RhkaNhP5bSxHLIyuJRkjJSYEMiYD4ikfdz22lLThZvolRfM2oTpZx8CLffqSiNNhomcohSTnCECySLUuukjnjZsG8ghK1NlLZPaMkHvWpZP43jvJifB2mWJoEYxyLIk1kRzIRMsywKZ2G6nnSvotRSwhTH2LGA8fkXpYwgCO8EFaW/vax2Wl3/XlU7XapN3Yj2R+q/H1+9N36lUb/V9VKfK3n6aVBp1Z+pv+5X6uM/Ln5vGpx91sGR8MHZWosyYiAccSdalBGFRYtG5oayh6wkHpUoIwU2DgJmo0iSwrzPMGBF8SZEi35oOYPJiofw9J3q0HgjWxxda1nBEe6PrENtczriRcO+fhC0NhnaPp8lH3RVLP+aALPqzB/Op+9+953vGwaCJDNt+56Jk1M0OW1V8nZrMerxslDeaO4dsrnNx8wxuECN+EulD59U6u/p4uuq6v2TSg9+sqer4C+UDHyuL+f4evF4+UHVRej6t31Qf+NFteV5YWJW+jB5c0AGv+Y07eTb+cx1qavQVa66e0icqw+JrnxNYv1BfyHRX0j0F4T+gtBfEMLmUanEAk8MrzTSmMca81hjHmvMY415rDGPNeaxxjzWmMca81hjHtswj+mYEo8JL0dSlENNOdSUQ0051JRDTTnUlENNOdSUQ0051JRDG+WQTgl/cenhYV0jKXR5pO44oWhLTVtq2lLTlpq21LSlpi01bWmjLcm016rjWmhxj+2pRjzViKca8VQjnmrEU414qhFPNeKpRjzViKc2xFM6IjzMISvoFOGZJjzThGea8EwTnmnCM014pgnPNOGZJjzThGc2wjMaYfXMPqjjubdTcNbWBLFwUqTWeYIZSwzufcsR7ztke5thjuMQ3KvFl/qwlI7jVXVctTX0lVkHLJ72lg97i2+rr3xThfin632ip7qerrf8qf5L9fk5UwfC6q9+vi7Lq/6g/vaqi6H63Derk3frE3jf6JK89dbU416kGxfqTz8zje8+eXybQZXx1B3VRIkyEWDe1VN3yfpk3RfVHLxcfvTaKTv1W6se7C0+rYomP1j+KFj80+Kzxf+9+C+L/2+1Kfhr9TvjpuABeRCaS0W+s3ZUC4EHBDCbX9azdlQbgUcDtt3WIlqHOQYAGb80tzVHoFp4g2ft5Pp8S+zuV0gmA0Zx/Am7KI2tJ+zI1gLDOPKEXXzZrzB29CskWw0M5tstWOvtPd0zzI5xRMcQSAy4nN+cd4kv+xXGLf0KyRQSSQF+jvTI7taGXV8yUg0GhkDwTinA75RAvzOiUwHDJu5cXZyE/dA4/vfplgKDJ+JcXXzZn9D+op7QLcYEVNITU289u31NSUZgPlcXX/YndPuZUzoBMLAidwX0s1MbdX2NTzFWWztN5fkkFWkwySZJIM6LJJhMw2kwzceTWXQ+no3Hbfv73xt3W0diXVS/pZwTDhPKZ9oocGBhNgtMIHdYQRDZRegugmVNqH73cnO4bnX5yvu6keHi0brC5PStwZ8PT3oH994qTwf7vSQM18v73y8ulh9WuwMvqx/Qf+PHppHaZx0pCR8p+GLbhHHAioHIqiKWy/aiEkYUnqISE8chK4fHkhJGCmxOGzIXjjU6I4m/ipIi6+fGjaa7vIAIr9/FcrNedG5a3sWOFoas4AjvB14pwWd1xAuHfQMhcG1VJe0zWvJB66qSvZUY85hzMk6tkpupkzJrUnrLORntvUO2F7hNBVWLf7Q5p3idc1p+YhrfffL4Ctj4dpJzIpooUSZCzHvwffJlj+leL9vr5epnor4J84CMCdxSQ8hka1aJaCFwewyhfh1ZJaKNwI2xbZUt0TrMJhhg/KQozEXpA7KFN5hVyja7u6k7q0QlA8ZpfFYpiYU9q0S1FhiosVml9DKrZG3Hd49uNTBcdyHzNczOwIFxRMcARsVtskrpztWJcGSVqBQSSQF+jvTI7taGNQwe0g0GhkDwWgngd0qg3xnRqYBhE5dVEmnYD40NI+7TLQUGT0xWKb3MKllf1BO6xZiASnpi6qWn29eUZATurFK6c3UCHFklKgEwsKKzSulubVTD2DOasdWC5zwMz7PpPMinhQxEOI2CPJuKIA5Fmsp5nk4nsxWPdYHv2OmgLvKtWSV3m7JrmFA+01aAAwuzHWACucMKgthfhO4T/Ob1lFFv8aVaxr+//EAt51cppTcuS0C/s1qix/YmDJzoEo6OWB8bMA5YMZqB34GBWP/a00SMKCxpImG+veCQlcRjooiRArtNDZiNOEmTfmzp1sXJ4i9VlPVzaeK7y8uH8ORdLCHrheSmY2js6ADLCo5wgODVD3hSR7xs2DcQwuac0BFkQks+6E2vrrXA8nxIyRgplJJ0dyYrmrSeEkbWTl1Ue4E7UFAhaEkYrTI/F+B0UZVt+Grxqr6Dsc79XNGWr/T3rLJLjxbP1Kf0beCIg0fEMROwMeskCUQ0UaJMBJhHzgBlQZSoH5C9N/TMfq1+/nH1N71avKh6uG2yeS+XH6z+rGvLqo5ftoQRcUiAu2UIwWxNGBEtBO58wXWwK2FEtBG457WtwiVah9nfgoyfSEJrjRPRxBvMGBWbndvcnTGikgEDNT5jJPPQnjGiWguM1NiMUX6ZMbI2Pr1HtxoYr7uQ+xpmZ+DAOKJjAEPoNhmjfOfqRDgyRlQKiaQAP0d6ZHdrwxoGD+kGA2MgeM0E8Dsl0O+M6FTAuInLGOVx0k+NPuc+3VJg9MRkjPLLjJH1RT2hW4yJqKQnpl6Dun1NSUbgzhjlO1cnwJExohIAAys6Y5Tv1kY1jD2jGVtZG0+m43g+DbJiPA1EEYfBpDgPgyyS4eR8OhdZsQ691hW+Y8uDusq3ZowKHCaUz7QX4MDC7AeYQO6wgiD2GaEbBda7Kf6qebBo+Z/VGr5KL/UWP9dVosuP9Tpfd1VQi/7l+6bh2GcdDgkfDvgC24RxwIqB2ETtYlHMSMKSRLIcXTxkJfGYRGKkwG5hQ2ZDZknf2kqBkcVbEimWUT+TJsC7vIAI797FsrJeXBabpIOjlTQrOMIBgldE8Fkd8cJh30EIXFsaqX1GSz7omzlvZPRIb8kkdFEmYZPSW/rIGJ3vkO0FbkdBVeGtSh+1nSGijpmAjVkX6SOqiRJlIsA8evrIkgWikgF3wDoQvFQLgbtZGCFrzQJRbQTuY20pUanWYfasAOMXx2FfmiwckC28uSRQEq03Y5PQmQQikwHDLT4JlKe5NQlEthYYb5FJoCSsk0CJtdnpPbrVwKjbhVrXMDsDB8YRHQMYCLdIAinbr06EPQlEppBICvBzpEd2tzasYfCQbjAwBIKXPAC/UwL9zohOBQybuCRQFCdxXxrPVNynmwqMnogsUO1w7jve1BO6xZiISnpkNkvIFmdTkhGYs0C1o9lMgD0LRCYARlZsFkg9O7VRDWPPaMZWi5zpeJYleRTMkyIKxGwWB8X5NAqm42kSp9NI5MXaD1kX6o4dC+pi3ZYFSpwdHq9jQvlMS3oHFmZZbwK5wwqC2CeErvf/Ua3EdYHmqlPhxeruuferdfjTqs32Rz17Osg0AvusIyDhIwBfGpswDlgxEPueXayDGUlYEj+WGutDVhJ/iR9OCuymM2A2RJr0Q2lCGbCieMv76OswpDH83uUFRPjzLlaS9Xpy03I5cfTQZgVH+D/wIgg+qyNeOOwrCIFryfsAZrTkg94cH5IPahXpMf9j9ExKUMZO2rhJ6yn/I23Hh6j2AneioHrwD832g+s+14vqhrhvVgkaJRK/1lkcfYTERLNPphEwmk4yM0QTJcpEgHn0zEzvjTRzntShMgI3qDDaNDFZ+DbZQuBmE1xzunI0RBuBu0zbqkmidZgdJcj4iX6WmSwckC28wRxNstkrjd05GioZMCTiczRxJDN7koZqLjAoYpM08WWSxtp1+R7damBo7EJaa5idgQPjiI4BjInbJGninasT4UjSUCkkkgL8HOmR3a0Naxg8pBsMjIHg9QnA8ZRAxzOiUwHjJi5Jk4Rp3C+EydT7dFOB4ROTpIkvkzTWN/WEbjEmpJIemXq953Y2JRmBO0kT71ydAEeShkoADK3oJE28WxvVMPaMZuwqRkUiledREGeiCEQcjoPJODkPJsU4mkRRfp5n69hrXU07theoK2prkibBYUL5TOtuBxZm7W0CucMKgtjUgy7KP7267F4f0Fn+aPleLwqD2Kj29lkhJRwSvhA2YRywYiD2IbtY6zKSsORh1JrY6PAOWVE8JmIYKbC7wJDpkP0wlSaUASuKt0RMLKXtmom7vIQIp93FcrFeNCabffvEsXDkBEd4QPBKBzGtI1467EsIoWtLxbRPackHrf635xKL3aZeUhOdkonCRZfLJt2Np16I9gL3l6Aqr6vUC5FGwGg6Sb0QTZQoEwHmkVMvUdJ7I5Lua9KolMCNpy4EKdFC4CYSSmhaky9EG4G7R9sqSKJ1mJ0iwPilfWnLvRANvMHcy6ZpeuJqmn6XTgaMiV3nXqjmAqMiNvciLnMv1tbj9+hWA2NjF2Jaw+wMHBhHdAyBxCBsiYqdqxPhyL1QKSSSAvwc6ZHdrQ1rGDykGwwMgeAVCcDxlEDHM6JTAcNml7kXqqnA6InJvYjL3Iv1TT2hW4yJqKRHpl7guZ1NSUbgzr2InasT4Mi9UAmAoRWdexG7tVENY89oxt7a3Etqzb1IHCaUz3/uhREEsY0HXZUTcy+MkBIOCV8JmzAOWDEQO49dLHUZSXznXhhRPOZeGCmw276A6Uj7WWj0zANWkluSeuEkRPjsLlaL9ZpRbvbppWPdyAmOcIDghQ5iWke8dNh3EELXlnppn9KSD9pv6sW43adUYuqkS5t0N556IdoL3F6CiryuUi9EGgGj6ST1QjRRokwEmEdOveR7vUL9QKT+i1dtbaKkCCLRkowhcgN3orpQqEQLgbtKKOVpTcYQbQRuJ20rKYnWYbaOIOMni740avcB2cQbTMdsuo0nrm7jd+lkwDjZdTqGai4wUmLTMellOsbas/se3WpgvOxCYGuYnYED44iOAQyU26Rj0p2rE+FIx1ApJJIC/Bzpkd2tDWsYPKQbDAyC4FUKwPGUQMczolMBA2eX6RiqqcD4iUnHpJfpGOubekK3GBNTSY9MvehzO5uSjMCdjkl3rk6AIx1DJQCGVnQ6Jt2tjWoYe0Yz9tamYzJrOsbZi/c6JpTPfzqGEQSxtQddqRPTMYyQEg4JXx2bMA5YMZox3oHRxWKXkcR3OoYRxWM6hpECuxUMmQ6lsjJbPoYR5ZbkYzgJEU67i+VivWjMNpv3mWPhyAmO8IDglQ5iWke8dNiXEELnnNIRZEpLPmi/+RhjD0clE509HPOsSXfj+RiivcD9JajK6yofQ6QRMJpO8jFEEyXKRIB55HxMFPbeiOKW7AuRErjx1IUgJVoI3ERCCU1r9oVoI3D3aFsFSbQOs1MEGD+HLiQaeIO5l03f7sTVt/sunQwYE7vOvVDNBUZFbO4lv8y9WLtf36NbDYyNXYhpDbMzcGAc0TGAQXGb3Eu+c3UiHLkXKoVEUoCfIz2yu7VhDYOHdIOBIRC8IgE4nhLoeEZ0KmDY7DL3QjUVGD0xuZf8MvdifVNP6BZjIirpkakXeG5nU5IRuHMv+c7VCXDkXqgEwNCKzr3ku7VRDWPPaMbe2txLbs29FDhMKJ//3AsjCGIbD7oqJ+ZeGCElHBK+EjZhHLBiIHYeu1jqMpL4zr0wonjMvTBSYLd9AdOhVtipUWQNWEluSeqFkxDhs7tYLdZrxk3X+MTaNf6IFxzhAMELHcS0jnjpsO8ghK4t9dI+pSUftN/US2Gie0uK0EmXN+luOvVCtRe4vQQVeR2lXqg0AkbTReqFaqJEmQgwj5x6EeozvTei0J18oXICd546UKRUC4G7SCilaUu+UG0Ebh9tKSGp1mG2igDjJ5N+YXTHA7KFN5d9EZuG2cLVMPsunQwYFjvOvpDNBQZGZPZFhHX2RVi7Tt+jWw0Mj13oaQ2zM3BgHNExgHFxi+yLCHeuToQ9+0KmkEgK8HOkR3a3Nqxh8JBuMDAGghclAMdTAh3PiE4FjJsdZl/IpgLDJyL7Ujuc+4439YRuMSakkh6ZzRqvxdmUZATm7EvtaDYTYM++kAmAoRWbfVHPTm1Uw9gzmrG3NvtS2LIvIsJhQvm8Z184QRA7edCFOS37wgkp4ZDwxbAJ44AVA7H52MVal5HEc/aFE8Vf9oWTArvzC5gOKfuh5a5vTpLbkX1hJUT47C5Wi/WacdO7XVh7tx/xgiMcIHihg5jWES8d9h2E0LVkXwBTWvJB+82+RMY5VTIxduIVTbwbT78Q7QXuL0FVXlfpFyKNgNF0kn4hmihRJgLMI6dfor14L9lLe2/kRVC05GCIsMD9py50KdFC4F4SSm9aczBEG4GbSNsKSaJ1mA0jwPjJOOxnqcnEAdnEG0zCbBpiC1dD7Lt0MmB07DoJQzUXGB6xSZj4Mglj7Sp9j241MEh2Ias1zM7AgXFExwBGx22SMPHO1YlwJGGoFBJJAX6O9Mju1oY1DB7SDQYGQfDaBOB4SqDjGdGpgIGzyyQM1VRg/MQkYeLLJIz1TT2hW4yJqaRHpl7quZ1NSUbgTsLEO1cnwJGEoRIAQys6CRPv1kY1jD2jGXtrkzBRaM3CJDhOKKD/LAwjCGJHD7o+J2ZhGCElHBK+JjZhHLBiIDYhu1jtMpL4zsIwonjMwjBSYHeAAdMhE+WgM2liGbCy3JI8DCchwmt3sWCsl42bxu3C2rj9iBcc4QLBax3EtI546bBvIYSuLQ/TPqUlH7T631++Ftm0WvwLl3zsOC9jE47ChZuIJq6nvIyl7+Edsr3ALSeo7vtcqT6dhnm6eLz4ZvGot/zx4kKJwIvFy+X76r+PFi/0/n+VqFn+RH2HPTND5BEwnk4yM0QTJcpEonkHZPOA20hdqEuihcAtIZRqtOZSiDYC94K2lYNE6zD7PoDxy2TeT4y6e0A28QZzKZsG18LV4PounQwY0fC5lCKS9lQK1VpgRMOmUsRlKsXaJPoe3WpgXOtCGWuYnYED44iOIZAYhB1OsXN1IhypFCqFRFKAnyM9sru1YQ2Dh3SDgTEQvLwA+J0S6HdGdCpg3MSlUqK4KPqJ0encp5sKDJ+YVIq4TKVY39QTusWYkEp6ZOrVmtvZlGQE7lSK2Lk6AY5UCpUAGFnRqRSxWxvVMPaMZmy1VBmHRZGGUVCMZzIQ0zgM8nk6CebnyUzG4yhKJ7MVj3Ut7NgcIK+HrakUieOEAppWzQ4uzMrZBHKHFQSxKQdeUqul8ntq9fx88WjxcvHk9RX1X+l4sfiNNGu+fVZSCSfdeiXLiIHYTESseL9ZfGVCeZsVhSWhEsfSRHLISuIxn8JIgd3JBcxGlIVpbFtoM6J4S6dkfWnLpXDiIdx2FyvGet246cQurJ3Yj3jBEe4PvNiBzumIFw37+kHQ2hIp7fNZ8kFXiZTXRIhVNf5wPn33u+983zAQJNFo3N1VejF1csompy2DYrcWIwUvkyhGc++QzW0+Zo7BBQq+PywfLt+v8ijP9O8WjxevVqdbvlE68CP1iafLT1477mLCUdIvfXNAZrrmD+1Q27nD9YZrtnckZaQ/SP0hVx/SRH/Qv8v07zL9u1z/Lte/KxKbs6QSCzwxfAmsMY815rHGPNaYxxrzWGMea8xjjXmsMY815rHGPLZhHtMxJR4Tvk5WlENNOdSUQ0051JRDTTnUlENNOdSUQ0051JRDG+WQTgl/J+mef71nl+2VmrbUtKWmLTVtqWlLTVtq2lLTlpq2tNGWZNpr2zYttLjH9lQjnmrEU414qhFPNeKpRjzViKca8VQjnmrEUxviKR0RHsGQWzuK8EwTnmnCM014pgnPNOGZJjzThGea8EwTnmnCMxvhGY3wtajntfohsW71OJvNJfbb/GHGEuO2tttk7x2yvcAkEUfgftRbPF183atKJV5Wn7lYfrB4sXhkItwnEzbDWiflEItfLL5ZPF/+/fIni0ea6Gv1y9/pMt/lB73Fr9RXPzdB/BkZQqIgIADUo6xK1keJ7ewqkQ6Ya0LsPr0w7hC8TbYQmDeCbyq56i2INgITRttuFxGtwySHAOMn4qyf2G43IZp4g/UWWtGLQiv/cJMBzdyVF1RGYDTFV15ImdorL6jWAsMptvIiu6y8sDacvUe3GhhUt1s41jto2c7AgXFExwBGTsJqsE6IZjtXJ8JReUGlkEgK8HOkR3a3Nuz60o1qMDAagjcjAR6o1B6o1B6oBHqgEZ0PGEtxNRhZXvSlMejfp1sKjKiYEozssgTD+sqe0C3GRFnSs1Pv87q9TklG4C7ByHauToCjBINKAAyxyHW6fnZqo66vuinGVo/MOJknsZSBnIzTQBTzLJhMpnkQZ8U8mkRxXozXM2JdkH9v3G0Jhl7u2pblzr511zGhfKaluwMLs3w3gdxhBUGk8qDr+k+ra6ae9dSS8ble70LX7IyUEk4JXxabMA5YMRDpR8T61159wYjCUn0RmrNVh6wkHqsvGCmw6V/AbKi/vh+bD4wNWFm8lV/EseMwKycgwmt3sXCsl4/5JmHvaAXOCo7wgOA1D3xWR7xw2HcQAtdWgtE+oyUfdCUqUzHLsuk8CSZRngcilXGgfnqifmo8iybpeJbL6QP/otK4PlSissCOBYzPv6hkBEG4J6io/OXyPSUeX1a3k67Oym4uSfmgutH0sb5BZflQpyiWH6vPVJmWx1XeQmnPQP3yVH312/V3PVVfeLn6LtPo7LOOjoSPztZilBED4Yo7EaOMKExiVG8nXkc5ZEXxqEYZKbCREDAdqehHYWpCGbCieBOjad4395C5y8uHcPadatFNL1rhaC/MCo5wgGQtap3UES8b9gWEsLVJ0fYJLfmgKymajxOZhiIPJvm5+t5sPg/yWSyCaZaOQxlFoQgnD/xLUeOmxltyXSaOGAsYn3cpygmC8E5QKfqFroTRdUvLn1R3tDzrLX+qfvPB8j37lmfvjc2XXi2+XP5fi4vFNysp21N/3aeLn39nrWZPxz/4d/N33139AfAvVZp2deBNa2D9b36ly6iuG6D+xv9l+eNKJ79ffemZ/kz99/y0ul3m+fKj1T9diFwmuuZK/UXVH4Rp6vZZp07Cp25bncyJgQgTCJ2sy+K+6vfM9wG9zQrEopaN24SHrBz+pDInBTZSA+bCVS/FieJNKsvIum3LyocIRl1KZRmulZV09BBmBUf4QLJUtk7qiJcN+wJC2FqkMmBCSz5on52gEts+rHT2uSrCJt1N19xT7W26jNtbc08lFDBCPzX3VAiJggAAvF5Xf1lQLyzF9FSzgeWDCF1qK6anWggsAEQITXsxPdVGYOnftiKSaB2mzA8yflL5O0tSn2rizRXTy1jX0euDslKsS1ll5CymJzMCw2S3xfRka4FxEllML6O6mF5am1jeo1sNjJZdiGsNszNwYBzRMYAhcYtiemX71YmwF9OTKSSSAvwc6ZHdrQ1rGDykGwyMhuAVCsADldoDldoDlUAPNKLzAWNpd8X0ZEuBERVRTF97nvuOV/aEbjEmypKenXrt5/Y6JRmBuZi+9jibCbAX05MJgCEWW0yvnp3aqIaxZzRjq5Wd+l8WiXEgoiQMRDJNgyJKs2CSZuEkludivnFI1pW2Y6uButq2FdOvX3EwJpTPf7KJEQSxvwddsH92dfENzSPFum3w+rdpIle/6x3N//ad2XfHvSu5JtMw7bMOk4QPE3zBvPil7o5Q5b90j+tVuqy6+VGXfv1YD+Py4eIb9av69OeLXyz+y7Wdjd7bw5M7w1757/9m/oNx7+Bv5/qf7km1Xkx6b8SrTsym0TpgHS3E3mkX63RGEp7EkdljHbKSeEwdMVJgd64hs5FF/ULYtgcYWbzljuwV/6x4iNDSxeq2XuPGm0yDo/MxKzjC/YEXZtA5HfGiYd8/CFpb5qh9Pks+6NtbZBVb80wJdixgfP51LyMIwjlBdW976dO/oSIrxqmT8KmDa3ETxgErBiJKIERyW5EVIxCPVjZxHLJyeFTKjBTYSA2ZC1cejRHFm1B2FVlx8iGCUadKedMVVDoavbKCI3wgWSm7iqw42bAvIIStTSq3T2jJB31771uJrecRBHYsYHz+pTIjCMI7QaUy8b4VTkoJp9xaVTJiIDwqQlVaj7hyorDoSet9K5wkHhUlIwU2oAFmQ6T9vDBOyIAVxZuidF23wgqIcNqdSkqxUSCOXqms4AgHSJaUrutWWOGwryAErk1Tts9oyQdddbx5bVr1Lx5vz7fJRunCTYomrqdK/ijtpyaD75ANbnqRLkr5qyaHmxtR9IUmq9r96gqU9S7ltytBqEvf9f0o613PVYn/U50gX753+c0v9V/zTfWVb/V3Lz80jcE+eQwEbAxwxf4mE/+MbKJEmQgwj3x9vvIRqxv0dcHCa5PYq7aR9f01F9UZh/c21Q7qH1Ff/1BN3Kv1w7HarX7W+5s/jcJQFzCYxuqAPFbN+LD9+YG2LVeiocDSR7j0dR0jINoILHrcVtQSrcMUOALGTwrRlyYLB2QLb/AUQaoPEGSb8l3pPkBAxQNGZ/wBgji07er9Od1aYHjGHiCQlwcIrE0D79GtBsboLlS+htkZODCO6BjAMLvNAQK5c3UiHAcIqBQSSQF+jvTI7taGNQwe0g0GhkPwUgngfErtfEqg8xnR0YABFHd2IM5lXxgLL+7TLQWGUczZAXl5dsD6tp7QLcaEVtJjUy8/3Q6nJCNwnx2QO1cnwHF2gEoAjK7oswNytzaqYewZzdhqGZVOw0mWj4N8lkSBiGUR5DIXwXk+C4vpZJrM08mKx7q2d+x2UNf31rMDKQ4TymfaBXBgYXYCTCB3WEEQe4zQHYLGovHK7kC1YEzl8sNI9u79abx40Vv8qlpKvrq6NdBb/LxaZa6r6R+tCqr0H/f0MvTR4svqyx+v/qD/iarLbmB8FPZZR1DCRxC+eDdhHLBiIPZcO1xXMwKxpJ7sZf+MJB5TT4wU2H1vwGzIIu8X0oQyYEXxlnpyJJ448RBBoYslab0wTTdpitSxOOUERzhB8GoKOqcjXjTs6wdBa0s7tc9nyQddKdYwnU/imUyCtIiF+t4kDvJzOQ+m48k8k7KQYX4TitW4+FSK1d0hyzAWMD7/ipURBOGcoIr1UyVAL6qM1UV1q//FOlv16WVGapXQelTlN55WiZDHqyuevljL1ie9bPlhGi4/FNaExz7ruEj4uGytQxkxEC4YrkOXP12+b0J5mxWFR4GaOA5ZOTzqT0YKbAAEzIUrm8RIchvkJycewsN3Kj+zjVxxdCpmBUf4Pg75yYmGffsgaG3ys30+Sz7ouupp7T21rPRY9SRMuEphOntqiaiJ66vqKbdeYEo0GJhRhSrE3y2+1Cpv+eO66qm60fQD3dqpKoh5tj7sqTckdWnTo9WlINXvXuobQNcVMau6KPXHb6o/6g3Sr6vtzafqW9ef+2nVQeqxaUD2yQMiYAPSSQkU0USJMhFgHrUEKrJeeEokA2Zo4YLWfpEK0UJgohWhUx2VSkQbgSnWbTUo0TpMOhUwfnGW9kVqMnFANvEGS5WKvSOZhvpDpD/Em7qB3F20RAUFBldC0VIS2RTUn9PNBYZXbNVSflm1ZO2zeY9uNTDGdqHRNczOwIFxRMcARsZtqpbynasT4ahaolJIJAX4OdIju1sb1jB4SDcYGBPBCx2AHyq1Hyq1Hyq1HyqBfmhEhwSGVVz9UhLnYT82+qD7dFOB0RVTwJRfFjBZX9wTusWYiEt6guqVpNv3lGQE7gKmfOfqBDgKmKgEwEiLLmDKd2ujGsae0YytFGQo82gyDoPxuVq2i0iEQREWeXA+nsl8GhVyEo5XPNZlumPjgrpUtxYwFThMKJ9pQe/AwizqTSB3WEEQm4XQxf4Xr63sn/bWNUzLh2pd/5Oq3OiF+uyqR8nlWv+p+tpFddPn+kjT60v/1Q1Ni19UmSN9Sv4r/ee/0qGnPExDFZDCk1VX6YdVp+iPqguc/tckDHVKSX2IIkdOiXFwJXxwEavy18Z3+XFv+eNVKddi3T27MbCvGiNZlRQ90YeOLqqsnW4l8+fzH4y/N+4djX/wg/F/+k/f3dtk7l72Fr9Q/9KT3hvVrQQPq12Yp+sLty5WhWXvLX+6eGp0igesQ4vY64VvCzjyXIwoLHkuYeI4ZOXwmOdipMDutAPmIopC2c+NMzJgZfGW6VKEobWPNSshIn51sZCul9ObtsfS0ceaFRzhAMFrQMS0jnjpsG8hhK4t39U+pSUfdKWvJ8UsmUfTKEhDEQVC5POgSPIiKKYyyeaZFBOxfqO96mvjXvlbSnZhxwLG511fc4Ig/BNUX9c3R21yYfUdqFr1Lv5QibQfra7Pr44GPK703/q0+bdaXX+++PXi02DxxeL3i58tfrv4lfr4j4vfm0Znn3V0JHx04ALZhHHAioHwxXAxar9xihOFRYxGZhdyyEriT45yUmADIWA2kiTqZ+bmTwNWFn9yNO1Hxk2hu7x8CGffpRhNN42FU0enaFZwhAOki1HbpI542bBvIIStRYoCJrTkg66kaCzlPJ7MpfriRH3vRMZBLmZKwBaJiOI8mubF2sF6laKJaSyUFI2wYwHj8y9FGUEQ3gkqRf/htdqrR73Ff1W69OtqY1HJ0t7ii4MkqXZpo6Snv1FvRFai1LjJts8KL+HwWytNRgyEo+1EaTKisCjNsB9LE8ohK4pHqclIgQ10gOlICxWzjRMyYEXxpjRF1hfCxHeXlw/hyztVmtFGmDgaKLOCIxwgWWlaJ3XEy4Z9ASFsbUqzfUJLPujVpudkOh+fJ0UghZgGIsvPg3EaykBEk3wWTcazRN7EpqfxAVBKM8aOBYzPv9JkBEF4J6jS/OXyveUH+laUyxMEH1SHTR9XKf+Huka9viFl8dniZ9Xm5q8Xv1H//XbdQWrxh8VvF58ufqc+/l5/z39Xf/iid28ko97iZ6ZR2mcdJQkfpa0lKSMGwiN3IkkZUZgkqVkBHbKieJSkjBTYiAiYDhH1RVqYUAasKN4kaZ7389DEd5eXD+H0O5Wkm96YqaPXKSs4wgGSJal1Uke8bNgXEMLWJknbJ7Tkg67Pna7JtdT0eO5UmnCV6kycuEkT19e508J27pRqcNOJbHnutLptv8qBP6vKFx+brtZ3l0xeO3f6dH1U1QS+TwYXMPAuzpdSTZQoEwHmUc+X9tRaNVU/EFuOmVIBgUdqECq25f4+qqHAYzFwjeo4bUq1EXgeZlvxSbSuGde2PG2aJLHlCP6AbOLNnTZNhT5jKvUHfUV+urmlOk2cp03JoMCQij9tKrLEetiUbC0wpiIPm6ZJfdg0tXauvEe3GhhYu1DmGmZn4MA4omMAw+QWh02V7Vcnwn7YlEwhkRTg50iP7G5tWMPgId1gYGQEL28AbqjUbqjUbqjUbqgEuqERHRIYVXGHTdMs6qepydL7dEuBsRVx1rR2P/cd7+0J3WJMvCU9QPXq0e16SjIC81nT2u1sJsB+1pRMAIyz2LOm6tmpjWoYe0YztloQhfFsfD6ZB1Eq40DIcBZM5mIWpFEeivl5MkuKNY91ae7YrKAuz21nTVOBw4TymRbxDizMQt4EcocVpKlBXPMDXOA3LsvHnSpd/Er94Zk+NLp4uU4RqT/ohNL7+j784PI46eqL5WEahUkYnqz+GIHOl3IOqIQPKGpV3uhaZ9kYWaXaHlc3cFVXbj1ZD/ULNRHqt6uOBC/Xl8I+7VVXv36rxv3yvKk+bnrttGlL1zvOAUVs5cJ3AeynSjlRWHJZkeUY4yErisdcFiMFdisdMB1pFCf9LDROyYAVxls2Sxlh6VFwlxcQEay6WDTXS+dNr+HU0T2aFRzhA8HrPfisjnjhsC8hBK4tn9U+oyUf9KrEap6lk+w8DGZ5rK/8j5JgHE5kMBOzYhLmeZSf34SWjk1jobS0xI4FjM+/lmYEQbgnlJZ+/Tjpqqf0xeLZZf1Ux0dLGQdIwgcIro1NGAesGAhvDFekjuoqRhQWRRr2MxPJISuJR0HKSIGNhYDZiJO46KfGGRmwsnjTo66jpZx8CH/fqRyVG/HiaHjMCo5wgGQ56jpaysmGfQMhbG1qtH1CSz7o23u0VFqPlqbYsYDx+VejjCAI7wRVox0fLWWEl3D4rZUmIwbC0XaiNBlRmJSmeaPtkBXFo9RkpMAGOsB0REnSj2LjjAxYWbxJTdfZUk4+hDPvVGpu2l2mjvalrOAID0iWmq6zpZxs2DcQwtYmNdsntOSDrqRmep6H6fksDM7j8DwQ07QI8llRBNP5XIRpcj4OxTpWeJWaxgdASU1nMy3TWMD4/EtNRhCEd4JKzS7Olt4bBa5jpIwDIuEDsrX8ZMRAON9O5CcjCpf8tJ4jZWTxqD8ZKbDRDzAfougXsTGDNWBF8SY/XedIOfkQDr5T+blpd5k62peygiM8IFl+us6RcrJhX0AIW5v8bJ/Qkg9a60+XrOz22GhqolOCMnfRFddOyd78sVGiwU2f8cd3bJQILmDgnRwbJZooUSYCzLt6bLRxNDTZ66nXvdjrRaH6L7KdECWyNF00/wlRoqFNCcp6QpRoI/AUy7aykmgd5sQKYPzyIrYeECVaeIMHRHU70ky3I810O9Js0wYwdbcjJYMCg2fHB0Sp1gKjJ/aA6GU30tTRjZRsNTCEdiG5NczOwIFxRMcABsRtDohediNNW7qRkikkkgL8HOmR3a0Naxg8pBsMDIzgdQvADZXaDZXaDZXaDZVANzSiQwKDaocHRKmWAkMr5oDoZTNS+3t7QrcYE25JD1C9LHS7npKMwH1A9LIZqdvtnNIJgHEWfUBUNyM1u5wzmrG3NreTWg+IFjhMKJ//3A4jCGLrD7qU95DbYRwQCR8Q+PrZhHHAioHY2UQsne25HUYU77kdRhaPuR1GCuzWMmA+oqSf5LbcDiPKrcjtcPIhHHwXC816ublp7Zg6unWygiM8IHiNBJ7UES8b9gWEsLXldtontOSDvr1V7KntTGUWYscCxuddfnKCILwTVH52W8XOCS/h8NtKTU4MhKPtQmpyonBJTWFCOWRF8ac0OSmwgQ4wHYnsp7bO8Jwo3pSmo4idlQ/hy7tUmtmmc2PmaMXJCo5wgGSl6ShiZ2XDvoAQthalCZjQkg/69t7ekdrOS2YRdixgfP6VJiMIwjtBlab/2zs4B0jCB2hrNcqIgXDGnahRRhQmNZqZSA5ZSTyKUUYKbCwEzEYai74wTsiAFcWbGHVc3sHKh3D3nYrRTXPHzNGtkxUc4f/IYtRxeQcrG/YFhLC1idH2CS35oG/vtcyp7URlFmPHAsbnX4wygiC8E0qM3uprmTkHVMIHFC5e+a9lPqjGoleeBlHW+5s/zRx3MHOOHiJmwDWz/Q5mThQWzWy/g5kTxaNoZqTAxmzIdKRVR1HjlAxYYbzJZtcdzKyAiMjUqW7edKDMHC1FWcERPpCsm113MLPCYV9CCFybcG6f0ZIP2u9ZUOMCXknhxEkXN+lu/Cwo1eCm0/ijOwtKBRcw8C7OglJNlCgTAeaRW4gqP5CrH5CWA6JUQOA5GLhwbTsgSjUUeJYFI0utB0SpNgJPsWyrN4nWYU6sAMYvTmJhOyFKNfHmTohmuoVopluIZrqFaLbp3Ze5W4iSQYEhtdsTomRrgTEVeUI0u2whmjlaiJKtBgbWLpS4htkZODCO6BjAMLnFCdHssoVo1tJClEwhkRTg50iP7G5tWMPgId1gYGQEL2cAbqjUbqjUbqjUbqgEuqERHRIYVbs7IUq2FBhbESdEs8sWovb39oRuMSbekh6gerHodj0lGYH5hGh22ULU7XZO6QTAOIs9IZrpFqJml3NGM/bW5qoy2wnRTOAwoXz+c1WMIE0N4pof4AL/jyBXxTigEj6gqFU5c66q2UL0/1lNwfLj3uLn6jf/0tZElHNIEZu38H0ARwKLEcV3AosRxWMCi5ECu3cOmA4RZ2k/MddzD1hhbkcCixMQEa66WDbXi+dNy8nM0USUFRzhA8ErPvisjnjhsC8hBK4tgdU+oyUf9O09hpBZD7xK7FjA+PyraUYQhHtCqWm/xxAYB0jCBwiujk0YB6wYCG8MV6SOYwiMKCyK1H4MgZHEoyBlpMDGQsBsRGmc9nPbOQRGFm961HUOgZMP4e87laObnpOZo4koKzjCAZLlqOscAicb9g2EsLWp0fYJLfmgb+/1K5n1UGyKHQsYn381ygiC8E5QNdrx9SuM8BIOv7XSZMRAONpOlCYjCpPStF6/wojiUWoyUmADHWA6irhfWEv3GVG8KU3X9SucfAhf3qnS3LSczBw9RFnBEQ6QrDRd169wsmFfQAhbm9Jsn9CSD/r23jOdWU+8ZtixgPH5V5qMIAjvBFWa/PdMcw6IhA/I1uqTEQPhfDtRn4woXOrTds80J4tH+clIgY1+gPlIRD9PjQmsASuKN/npuGealQ/h4DuVn5uWk5mjhygrOMIDkuWn455pVjbsCwhha5Of7RNa8kGr//1lpbvWr6uWlX/h0pndHiTNTbhKYeYuXCGbuJ4Oksah9SAp0eCmE+E5SPpq8Y0uEK22KT/prSseH60PiPZ09eTXr21iVgdJn2ptWf/U4kJXS/5q8YvF5+sMO/ow6hNlSrgXL17E+i+wlRruk0dSwEayk5OpRBMlykSAeeSTqdFeT611o9h2MpUI2IwM259MfWFULm+TLWxKXtYjqUQbgcdmtpWxROswR2QA45fksegnRq86INt4g2dSddfSXHctzXXX0nzTLjBzdy0lgwKjM/5MapRKaT+USjUXGJ+xh1Iv25ZmjralZKuBQboLla9hdgYOjCM6BjBCbnMo9bJtadbStpRMIZEU4OdIj+xubVjD4CHdYGBQBC+VAH6o1H6o1H6o1H6oBPqhER0SGFdxh1LjRCrBbfRB9+mmAsMr5lTqZd9S+4t7QrcYE3JJT1C9FHX7npKMwH0q9bJvqdvvnNIJgJEWfSpV9y01+5wzmrGVtaDck+axrvMdOx/Utb71VGqBw4TymXYEHFiYXQETyB1WEMR2I3S3oOPKJUZ4CYeHr55NGAesGIidU8Qa2Z47YkRhyh3F0oRyyIrSFAQOlG3X3IwU2J1rwHQUMu2H5tg0YGXxljtylS5x8iGceRerynptuWlpmTl6lLKCIzwgeEEEntQRLxv2DYSwteWO2ie05IOupGYhCjFOZRjk2TwLRBLHwTgeZ0E6Gyfq/5Msym9Cahr3jd+SubOLlmksYHzepSYnCMI7QaXm53Uq6JErbfRo+cm6TilKwuWH+erWkp792hLOYZDwYYCLzqsj4cyiPVpl6p7o3Jn+josqnXd5K0l1Lcleb/Hp6iKU3uIXyw/Ud78Rh6uhq4bN6BMOWMcN4eMRKteWCeIkYRG5kdJUJpRDVhR/IpeTAhtiAdMhwiLuh5GlQooTxpvKjUNZ9ENpIrzLS4iIJF3q3HzTUDN3dEhlBUf4QLLOdUzriJcO+xpC6FqULmBKSz7o1aZqMZ4UYZgEciISpYXVt+WTsZbGaRrnoRSzbP7Av9JNTGOhlG6EHQsYn3+lywiC8E9Qpfvp6iaSy+qn+pYSnqtJOIdHwocHroBNGAesGAhnjBCk1m1XThQWRWqTo4wcHuUoIwU2DgLmIk6zLOxHxikZsMJ4k6OOm0lY+RDOvlMxummomTs6pLKCI/wfWYw6biZhZcO+ghC2NinaPqElH/TtPS+a286L5jF2LGB8/qUoIwjCO0GlKP95Uc4BkfAB2Vp8MmIgnG8n4pMRhUV8KrEjTSiHrCge9ScjBTb4AaZDZkk/FTb5ycjiTX46zouy8iEcfKfyc9OWMnc0GmUFR3hAsvx0nBdlZcO+gRC2NvnZPqElH7TfPqOFiU4JysRFVyRNuhs/Hko1uOkz/ufxUOpICthIdnE8lGqiRJkIMA9/PJS/OEHvjlfP3suq7Y1ee1ysHoVXy79Tf/sT/TjYihaIAws8gYOQ39ZiBKKFwOMzcFXtOJZKtbEpmXmOpVKtawbiLY+l5pZL/wdkA2/uTGqu+6Tmuk9qrvuk5psGhbm7TyoZFCgJOj6TSjYXKAqQZ1Lzy0apuaNRKtlqoDLoYiWhYXYGDowjOgYwLG9xJjW/bJSatzRKJVNIJAX4OdIju1sb1jB4SDcYGBHByzGAHyq1Hyq1Hyq1HyqBfmhEhwQG1Q7PpJJNBcZWxJnU/LJTqv3FPaFbjIm3pCeoXu66fU9JRmA+k5pfdkp1+51TOgEw0mLPpOa6U6rZ55zRjL21OavCdiZ13T4QjAnl85+zYgRpihDX/AC3KDzkrBgHRMIHBL6MN2EcsGIgdmwRi2Z7zooRxXfOihHFY86KkQK7Yw6Yjijph5ZTqpwktyJjxcmHcO9drDPr1eamD2Xu6CzKCo7wf+AlEnhSR7xs2PcPwtaWsWqf0JIP+vbW7hfWU6oSOxYwPv/ikxEE4Z2g4tN77T7j8Ej48GwtRRkxEK64EynKiMIiRY2VOoesHB51KCMFNg4C5iKNQnMJ7ICVxJsOdRXuc/IhPH2nOnTTgTJ3tBRlBUc4P7IOdRXuc7Jh3z8IW5sObZ/Qkg/69t6WUljPkKbYsYDx+dehjCAI7wTVoWy3pTAOg4QPw9Z6kxED4XIRetNaL8RIwiI3HZeXMKJ4VJyMFNiIB5iOIukn5mavA1YUb5LTfXUJJyHCrXcqOjfNKHNHd1FWcIQHJItO99UlnHTYlxBC1yY726e05IO+vfdBF9bzohl2LGB8/mUnIwjCP0FlZ7f3QXPCSzj81mKTEQPhahFi0765yYjCojbt90FzonhUm4wU2EAHmI44MvfrG7CCeNOajsugWfkQnrxTpbnpO5k7GomygiPcH1lpOi6DZmXDvn4Qtjad2T6hJR+0biS6t9JXHvuHmiuxlYTMXZgibWL6OyFq3Am6Qza46Tz+9Z4QfaVEKOiEKHEkBWwkOzkhSjRRokwEmIc/IbpuIBrv9XL1A7JvAjwgAzYjAuNJTaKFTZ3LelKTaGNTwDKd1CRahzk5Ahi/OI7zfpqabByQbbzBw5q6gWihG4gWuoFosWncl7sbiJJBgeEZf1gzznLHYU2qucD4jD2sedlANHc0ECVbDQzSXah7DbMzcGAc0TGAEXKbw5qXDUTzlgaiZAqJpAA/R3pkd2vDGgYP6QYDgyJ4iQTwQ6X2Q6X2Q6X2QyXQD43okMC4ijusmRRS9DPbYU2qqcDwijmsedlA1P7intAtxoRc0hNUL0HdvqckI3Af1rxsIOr2O6d0AmCkRR/W1A1EzT7njGastnZSzORYJHkQj6MiEGl+HkykrmlKRT6bRbNZLNevgXWh79jxIC/2rac1CxwnFNC0JeDgwmwLmEDusIIg9hmh2wWfN+vk9ZK+qqFfFyYx1MwzjpCEjxB8jW3COGDFQOyrIlbS9rQSIwpLWikyb8IdspI0VYODZNuFOSMFdlsbMBtxmol+UhinZMAK4y2z5Cqc5+RDePwu1p71CnTTlTJ3tBllBUd4QPCyCTypI1427CsIYWvLLLVPaMkHvbo9JJyc51k6C8QsigKRp/NgIgoRRHEeFoUMx9Fs/bT7FaRGt/WWWjljBwMG6F2QcoIg3BNUkH5aJ5T07ZIXy4c6d6R15mvZpd5BBdP734dnJ7394b3hSe9/3+9Fq+KmVBfRVx+i0F5IzzkqEj4qcBHa9c2evcX/o8b2Qqn4j3uLn6vf/Mu672gUuxuPco4cwusjdK8tg8RJ4lf2cpL4k72cFNiYC5gNt+zlhPEne0WRWir47vISIiJLl8K32DSpLBx9R1nBES6QLnzt0zripcO+hhC6FukLmNKSD/r2XpynpG9iGgwlfd2dr0yDAQL0L30ZQRAOCip9+W/O4xwQCR8QuOo1YRywYiD8L0KCWrdeOVFYNKj95jxOFI8ilJECG/0A05Ekoh8XhYllwMriTYM67s5j5UM4+E4V6KY3ZeFoNsoKjvCAZAXquDuPlQ37BkLY2vRn+4SWfNC39/Co7aolpT9j7GDAAP3rT0YQhHuC6s9uT49ywks4/NZakxED4Wk70ZqMKExa03Z6lBPFo9ZkpMBGOsB0SJn1o9Q4IwNWFm9a03GAlJUP4cw71ZqbRpSFo7MoKzjCA5K1puMAKSsb9g2EsLVpzfYJLfmg/XYWNZduKPWYuPAK0cS78YOjVIObTuN/HhyljqSAjWQXB0epJkqUiQDzrh4cbRwOTfZ62V6v2OtFofovspwRpbIAj8MgJK81w0+0EHiWBa5kHWdEqTY2ZSrPGVGqdc3gt+UZ0SiScT9OTDYOyDbe3BnRQjf0LHRDz0I39Cw2jfQKd0NPMigwEnd8RpRsLjAUI8+IFpcNPQtHQ0+y1cB43IWA1zA7AwfGER0DGAy3OCNaXDb0LFoaepIpJJIC/Bzpkd2tDWsYPKQbDAyK4FUQwA+V2g+V2g+V2g+VQD80okMC42qHZ0TJpgLDK+KMaHHZ0NP+4p7QLcaEXNITVK8y3b6nJCMwnxEtLht6uv3OKZ0AGGmxZ0QL3dDT7HPOaMbe3rxQZDsjWggcJxTQf16IEaSpQlwTBNwZ6DgvxAgv4fDwlbIJ44AVA7Erilgk2/NCjCi+80KMKB7zQowU2F1pwHTEed4P9UGv6ywDVpZbkRfi5EM48y6WlfXictPusXD072QFR3hA8IoIPKkjXjbsGwhha8sLtU9oyQd9i2vgLSeqlNaU2MGAAfrXmowgCPcE1ZoeauAZB0TCB2Rr/cmIgfC+nehPRhQm/WmtgWdE8ag/GSmw0Q8wHVEW9/PEOCMDVhZv+tNVA8/Jh3DwnerPTZvHwtG3kxUc4QHJ+tNVA8/Jhn0DIWxt+rN9Qks+6Ft8/UhkPYOZogcDBOhffzKCINwTVH/6un6EcVQkfFTgIhR3/cjLxcW6UuzKhYG636m+WuTRWt7rP66qzqqCsfeXH1Sbys2fWA93eRpEWe8NNbb/MW25ooRxdBGRAaGNrQVMjCQs0th+RQkjiUdlzEiBjcuQ2UjyuJ9mqQlmwArjTRq7ryjhJEREn07F8aYZZeHoL8oKjnCBZHHsvqKEkw77GkLo2uRx+5SWfNC3+LroyHpENMMOBgzQvzxmBEE4KKg8voHrojlHSMJHCC6VTRgHrBgIh4zQpPb9WkYUz6KUkcSjKGWkwEZDyGy4RSkjjD9Rar8umpUP4fE7laSbvpWFoxEpKzjCA9Ilqf26aFY27CsIYWsTpO0TWvJB60ak64tLHrgl5w/n03e/+873DSNBUJy2SoDchSmyJqbtPKndVoyK3BwpNRp7h2xs8xlzDCxQKX6hVKK+Xfgjk6FK1eVvDsjWXvNzdnO3c3Pr01rF3lEaSptfo0IIPAS85l1bfqwtP7ZZfky3XOIth9e6K8OH2vChzfAh3XD4Y073pOuTNcVeaQMoyQDXDki0AOCel1Nt9anN6lO61XC3jTwXoYw+00af2Yw+oxldPSwPfMYe65mHwml+bh1zsLWk6GM29w7ZXPiLCY0//63KTunbBB4vP1pc9KoE1Zf6KoHlR+tdiG+rvQldVvah/sbq1oOnVUJKRy4ToIpbhY5bREq/cSsNzef3juj284csm9HHdKMl3miUBxrabB7SbYa/D1sGKpvtJdl25hhlM/iUbjDcsxPCk83eM5q9r29j6LfxL1whqrsLd6qPJoy30tB5dboMrcMOM5YYnqzXS94hG9x03lvet/PPut5Bl1Os6x6qWud17Oktf6yvzakWUO9XO+cv9hqfW7wKVAC7UD/xE729rr+linGbu3uqnfcX1QU931Y9YKq7XlaH9tSfqiLq1VU7VfXGlaJr/elqN7/6zPPl3/V1K5lXvXhVdbG+xkfF1eVDHVDXf83y/Z7YC6PVt+b6Oy/WFwo9Nk3EPnkimlGok+t6Fp9V1T6PVsP1dD3Qnyz/XjE81GUrGvTJlZFbD7eelperUeubQP+MDCpRoBDIX6zmrLJWP3pViVP1wFzU5TbO52z1HT81PLuVptIthaoioYveG9U/9JW+LUr97qUWXD9b/GPSqzJIDysZFidBnH9n3a1ocxVRpK8i2uvFq1+S1S9i9cvqmiLTIB+QB7m5dch2GxHZwmZOhPE2IrKNzWwHy21EZOuacmrL24iyVBb9wmTigGzijV1GlIaR3t6K9YdEfxCrS0AUiesyIjooUKXgLyPS94BY7iKiWwuUKbi7iJQ5m7uI1sNssvoe3WqgVtlulblO/ygrdwYOjCM6BjDSExab6ztBtO1XJ8J6FxGdQiIpwM+RHtnd2rDm6pNuMDAkgjNpADdUajdUajdUajdUAt3QiA4JjKq4u4iiRPmgNDeZep9uKjC4wu8iuvQ/9x0v7gndYkzAJT1B60xlm+8pyQi8dxFd+p3NBFjvIqITAAMtclNDPzu1Uc1NDZqxlQxPRHheFEmQh2IWCJmOg3E4mQfJJA4LMZkl2fn6obJud3xvbK9vI255WDc9nP06rmNC+UwbIw4szOaICeQOKwiiGmWrTZOr61W1QDWh7rOiSjgqfLVuwjhgxUCU0SDWw7ZCQlYUpkLCxERyyErirZCQlaKpCBwU0GV4VBSRzMzbvANWGG+FhHk/NQbau7x4CM/dxRKyXkiuW2Wtf2MCP+IFRzhA8OoHOqcjXjTsCwhBc5cRQuaz5IOuZGVxHuXReSKCIs9EIObjOJiE4TyYSTGbzrP8PDxfv8teZaW51lAtf7FjAePzLysZQRDOCSorv1hnLR5dT21UgrI62V31pFjl155WCZTqALP+ityRpmHYZx0GCR+GrSUnIwbC4yIkpzUFw0jCpDiNK9BDVhKPipORAhvwALORi1j2c1vmh5HFm+CMU0sK5S4vH8Kpd6o4441CsXdA4wVH+D+y4rRO6oiXDfsGQtjaJGf7hJZ80Kuj1MlkrL47DJIonQciivKgCOeTYDqPi5mc5kmYrSfdq+Q07lwoyZlgxwLG519yMoIgvBNUcn6uK6P0MWldULS6FOeT5U9WulKflF5Jzs8Xv0lNuPusuBKOu7W0ZMRAuFaEtNTFSl/1e+abnd5mBeJRmCaOQ1YOj/qSkQIb3QBz4SwsYkTxJi8j2Tcf/L7Ly4dw4J3Ky2SjRuydunjBET6QLC+tkzriZcO+gBC2NnnZPqElH/TtvEh99VGYxkLJS4EdCxiff3nJCILwTlB5yX6POuuASPiAbC1AGTEQzhchQO3pdEYUFulpvUedFcWj+mSkwAY/wHREkcj7RW6ckgErjDf9ab9InZcP4eE71Z9iI1fsjXx4wREukKw/7Rep87JhX0EIW5v+bJ/Qkg96dTHPnu97eazZcunkjJqcvu5GMJp7h2xu8zHr4m6E6gRex3cjKMA3B2RK33cjpPqoU64+RPr4UyRszpGKI/A48Cry9VUJqb7dJ1cfFMOxjeGYziDxDPA68tXNCam+5ydXHxTC0IYwpCPAXx66i16fX0n1qZVcfYj0SRYLSklGYb9XIdV3/+Tqg7L/1Gb/Kd1+eJBAnkhYXbOQ6luAcvVBmX9mM/+MZv5ra1IdPLxdumC7FkjROikS6yTAjCXGPeu9dGR7m0FhyzsXfqOimt4TebT4lzqWraLg8kMd8x5VnSuq+4zXlxx8vvjF4r+YmPbJTM3I0Mn1BSYT/4xsokSZSDTvgGxec1HBeGSfaCHwcCF8q8R1ZJ9oI/BU4bZ7IETrmoF7yyP7cZIl5hKIAdnEGzyyn20Ox6buM/pUMmBQw5/Rj8IotB/Sp5oLDGvYQ/rp5SF9a2OGe3SrgcFtu+VOvRWU7gwcGEd0DGA8Iyxz6sOy6c7ViXAc0qdSSCQF+DnSI7tbG3Z9ZUM1GBgEwbtqAMdTAh3PiE4FDJzIU/kiEf3Y6HTu000Fxk/Mqfz08lS+9U09oVuMiamkR6bepnQ7m5KMwH0qP925OgGOU/lUAmBoRa6B9bNTG3V90UsxVls7jsRUyGkSJOOpDEQRhUGezvIgSWdiFp1P8klyvuKxroe/N+622MB1FaHzRvrrmFA+08rZgYVZPZtA7rCCIFJR0GX155uFs65krVbMq9VznIXhf0wy+R9lz8S5z8op4Zxbr2MZMZph3oEBX+/qU24mlLdZUVhqCGzlq4wcHgsIGCmw2UvAXDgX2Ywo3soHRJTbj0dxAiKcdhfLxXrRmG3SzfbGPrzgCPcHXunAZ3XEC4d9BSFwzhkdQWa05IOuCgj2ag+qpaLHXIqtjMDZIULKJq2nXEpu6bFAthe43QQVfZ8p0VddI7y6BrluCdksJ/hi8eni5+tsyuV3X7nten2fdC/W9wc/Vz9ou8GJSC5g5J1kXIgmSpSJAPOUDkddqtxb/H7xdPHtm714r5f2e6//+J9GeVbspeGfrP6a/p9GcRju5erP8erPsczEXrKbxHv5n6z+cvW5KM73EvU9q39GfSIO491IqE/I9d+SR/meccF6QB5G4KYYXCnbM0NEC4EbXAgB7MgMEW0E7mxtK26J1mF2sSDjF+XS0itgQLbxBlNDullZFG62aXN3foiKBwzU+PyQiG1a7M/p1gIjNTY9lF+mh3JHeohqNTBed6H3NczOwIFxRMcABt9t0kP5ztWJcKSHqBQSSQF+jvTI7taGNQwe0g0GRkLwogngfErtfEqg8xnR0YAhFJcjUoseyynG+3RLgYEUkyLKL1NE1rf1hG4xJriSHpt6Iep2OCUZgTtFlO9cnQBHiohKAIyu6BRRvlsb1TD2jGZsJblBZwc0j3WZ79j3oC71rSmiAocJ5TNtCDiwMJsCJpA7rCCI3UboboGH86iMAyLhAwJfoZswDlgxEJupiBWy/TwqIwpLLslxHpURxWM6iZECu5cNmI4oy7K+NGqyASuLt3yS6zgqJx/CwXexvKwXmcUm+VA4Fpqc4AgPCF4ZgSd1xMuGfQMhbG3ZpPYJLfmgVxVKMs7jeRYG8/FkHIhZlAf5PD8PZhP1E1M5icfx5IF/+WnJNUUhdixgfN7lJycIwjtB5efPqsTT0+oC53WTkN6VXFQlMNMwNi4b9llxJRwXLi5BnT51Bu/6sLyo/rC+3lr/8dXy75d/V91P+LAxbFVTWq3g33+zd/LWvV4RRmHvDfWV1UXZD1fniP+l6jv7Sv3/200v0PV54qC3+HTxm+hPeuovea5PZVXHsS566/PJT6tMol4lXOhvvfxrI6OrOWCdJkTo6EI8c6IwiWdj5c8hK4k/7cxJgY3cgNlIpJT9yBiFBqws3rRzlMaxtRiLlRARn7pUz1G4FluRo9UmKzjCBZLVs2NaR7x02LcQQteinwFTWvJBawHt0sXdVl8Zo4NSxM72L4V9kxxmLEbpgqqvqPYCs7lQQXsD1VdUcgEj76L6imqiRJkIMI9cfZU0Sq8SKfbiy8KrZC/ejZI02cvq4qskiffSuuwqiZM9eVl0JaJCf+um5CqOsz3jc31AHjpgnhkhiW0VV1QLgeliuNJ1VFxRbQQmirfVsETrMElhwPglYSJMBg7IBt5cuVUU63KrZF3xEEXOcisyHjAyd1tuRbYWGJqR5VZRVJdbRdZ2cvfoVgMDdBeKXsPsDBwYR3QMYLTdotxK2X51IuzlVmQKiaQAP0d6ZHdrwxoGD+kGA8MgeFkEcD6ldj4l0PmM6GjA+NlduRXZUmAURZRb1U7nvuNtPaFbjImspMemXmm6HU5JRmAut6qdzWYC7OVWZAJgdMWWW6lnpzaqYewZzdhbm+9KbOVW6x1IMCaUz3++ixEEsZ8I3R7YOt/FiCvhuIgFNyTfpb5BD8nTVXvXG8t3hd3luxinCbHZi1jc2/NdjCie812MJB7zXYwU2J12wGwUUWiuuRiwktySbBcnISI6dbE2rlfIm0aekaMzKys4wgGCl3WIaR3x0mHfQQhdW7arfUpLPujbe1ghsVaLJdixgPH5V8+MIAj/BFXP/IcVOAdEwgcErq9NGAesGAj324n+ZERh0p+2wwqcKB4FKCMFNvgBpkPoeisTyYCVxJsAdRxVYOVDuPdO5eem0Wfk6NzKCo7wf2T56TiqwMqGff8gbG3is31CSz7ozcVXa3CtKT1efCVMtEpeChetzJq0nkqvCmvpFdHepgvZsvTqd4sv9Sbi8se1OmzplrWpwtL7g19Xm416o09vVD7rLX+qflD98LoK6xv9lyh5+UJ9S7WDufq2vde/8mrx1WafsNrE1H+NsuB59cfV37p4snjVC/diXUuj/l7bdZ/75CEVsCHtpKaLaKJEmQgwj1zTJdRn+ia4AzIcMN2MEMbWqiuihcCsMVzvuqquiDYC88XbClmidZjcMGD8RBgWfePlDwOyiTdYdyV13ZVu4hdl+kO+KYIQ7gosKigwQOMrsOIkFfYSLKq5wBCNLcESlyVY1v6j9+hWAwN1Fzpfw+wMHBhHdAyBxCBURYidqxPhKMGiUkgkBfg50iO7WxvWMHhINxgYE8GLJYAfKrUfKrUfKrUfKoF+aESHBIZVXDFWksi0nxtjw326qcDoiqnGEpfVWNYX94RuMSbikp6gejHq9j0lGYG7GkvsXJ0ARzUWlQAYadHVWGK3Nqph7BnNWG3tNC6SOI4mwaxIpoEQsQjyOAyDeTQpikkWpdl8HdSsS33H3gd1uW+txpI4TCifaVPAgYXZGDCB3GEFQWw4QncM/uG1Rf+j3uK/Li4WX1fLebVi7y2+OEiSv9JRIxS6Qkl//mLxZfXVqkl3sPqkTjaZRmOfdTQkfDTgK2kTxgErBmIzFbFmtieTGFGYkkmxNKEcsqJ4TCYxUmA3swHTEYWhcuPGGRmwsnhLJwn1xGUmvru8fAjv3sUys15syk32QToWnJzgCA8IXiGBJ3XEy4Z9AyFsbemk9gkt+aBXtUxilmXTeRJMojwPRCrjYJzMJ4EoxrNoko5nuZw+8K89bbVMKXYsYHz+tScjCMI7QbXn9VqmdYGSuaRpVQP/uMp0vFTaU/2iZOji2/V3PVVfWFfTm0Znn3V0JHx0ttaijBgIT9yJFmVEYdKi1sImRhSPWpSRAhsJAdORhlFfGKP6gBXFmxRN876wVTZx8iGcfadSNN0oF0czeFZwhAMkS1HrpI542bAvIIStTYq2T2jJB11J0Ukxk2OR5EE8jgr1vfl5MJHjOMhTkc9m0WwWy7V/9SpFE9NYKCmaYccCxudfijKCILwTVIp+vq5R2txV9Wx1xPFi8WwtSXuLP1RVTT+qqqueVocoH1eVTutv/3bxSl+P9OvFp0FVcv+zxW8Xv1If/3Hxe9MI7bOOkISP0NZylBED4Y07kaOMKCxyNDKvaA9ZSTyqUUYKbDAEzEYsQplby5gYWbzJ0Sjtmy+NuMvLh3D4ncrRTUPiyNFimhUc4QDJctQ6qSNeNuwbCGFrk6PtE1ryQa/uSEnjcBwm50F2PtZF+VEUjM/P54GQs/h8PA+n8nzywL8cFaaxUHI0x44FjM+/HGUEQXgnqBz91FBr/1SrzNfK63t/Pv/B+Hvj3vfGPxj/p//03bVOVdrzabV5+mytW8vDSIrseP2nOAyXH6oP+i6RF6ah2mcdKgkfKrguNY5WtVd8efLg0Wa0jlajtdfLwixa/L63+KXS/FrMP1kP8kV9j8ryoz957U6VxZdqNfBca/291+5l0X/+k9W9tl+rzyo73lyNsTTXzR6wDi8iXCD0srX8npGESS6Hxs3CQ1YUj3qZkQIbrQHTIeIi7Is8NcEMWGH8CeYkF/1Cmgjv8hIiglKnkjnfKCxHv2ZWcIQPpEtm+7SOeOmwryGErk00t09pyQddnU79P1+TWVZZ/MP59N3vvvN9w0gQVLFte7ZwYuZNTNuxVLutGKm7OZlqNPYO2djmM+YYWKCc/Vxf+a/k0nOtsEzGKtVZvDkgW3zN29lN3s7ZrQ54xeGe+lDYvBsVQuAh4GXy2vJjbfmxzfJjuuUSbzm8PF4ZPtSGD22GD+mGwx91ujddHcZRAKUNoCQDXDtT0QKAe15OtdWnNqtP6VbDXTfyKIUy+kwbfWYz+oxmdPWwPPAZf2znJGJ3x53COuZga0kRyHYvAtVc+IsJjUH/rdokeLletDd70VTZO/NVCfrTdfRS32AC3VegKn5RaX3Hr0jHr9QSv8gQPuJXpOOX2fJjuuUSbznKJw214UOb4UO64fDXZOv4Fen4ZQYoyQDs8SvS8cts9SndarjrJ8WvSMcvs9FnNKNfiwAe7/fRscEWxpx3zKeRdehhxhJjmLbbZO8dsr1Nx77l/T7/rKLVB6srwpcfbM7svR6fqt5pH6j49VTvhuszey+qy8Y/Wf+xp76ow9qjVSTc3Mmj97M/WYW36iqgb6uDftWFMqujgNXe98ebG32qa36ulG6vL/oxxc9VRXdl4PLv+j1tbC/dk1UGYnUbUORKR1BHvhmNGK8BopooUSYCzCNeA9R4hN7syb1e2jexHpBZm9tyfLcCUS0EXl+ASjfYbgWi2tjMJfDcCkS1rqlGtrwVKJJh2LdUd1NNvLlbgWLdjS1O9AehP8j1bRyxuy8bGRQY1vG3AuUysV4KRLYWGNeRlwLFl33ZYkdfNrLVwOi+3Zptk1qJdZskO8YRHQMYKgmrts3lHPFlX7a4pS8bmUIiKcDPkR7Z3dqw64s3qsHAkAjOUgHcUKndUKndUKndUAl0QyM6JDCq4i4FiuJIaXVj4vg+3VRgcEVcChRftmizv7gndIsxAZf0BG1ygC2+pyQjMF8KFF+2aHP7nVM6ATDQIncC9LNTG3V9E4BibCXDExGeF0US5KGYBUKm42AcTuZBMonDQkxmSXa+fqis+wPfG3dZfljtEVh3CWIcJpTPtJPgwMLsJphA7rCCICo9ttlmWP54caE3E6pFv+OUNSeqhKPCF80mjANWDESJCmI9bD3WwonCVKdnrGg4ZCXxV6bHSdFUBA4K8DK8kKHl3vMBK4u3Kr28n1oOWbPiIRx3FyvIeh25aXUVO7qXsYIj/B948QOd0xEvGvb9g6C11OcB5rPkg65UZXEe5dF5IoIiz0Qg5uM4mIThPJhJMZvOs/w8PF+/y15VpXGDWKnKBDsWMD7/qpIRBOGcoKryC32QYqUlf9oQmJWerC6arM5sPFqljlYJqUpqqq/IHWkahn3WYZDwYdhacTJiIDwuQnFaMzCMJEyC0yhvDllJPApORgpswIPMRirDfmZL/DCyeBOccWrtl8vKh3DqnSrOTX+r2NGwjBUc4f/IitM6qSNeNuwbCGFrk5ztE1ryQa+u9UkmY/XdYZBE6TwQUZQHRTifBNN5XMzkNE/CbD3pXiWnceNCSU6BHQsYn3/JyQiC8E5Qyfm5Ptqr7+zR1UvrMqflT1a6Uh/dXUnOzxe/MeaS9llxJRx3a2nJiIFwrQhpqUvJvur3zEVhb7MCMSnMUJpQDllRPEpMRgpsgINMh8xkP0uMUzJghfGmMSMFaPRqd3n5EF68U40pNpLE0TaLFRzhCMka0zqpI1427CsIYWvTmO0TWvJBrzTmZDofnydFIIWYBkIJ0GCchlL91CSfRZPxLJE3sa0pTGOhNKZEjwWIz7/GZARBeCeoxrx+i7n5+vLVNZGfLX5WXQ/568Vv1H+/3dza84fFbxefLn6nPv5ef89/V3/4ondvJKPe4memUdpnHSUJH6WtpSkjBsIjI6SpPc/OiMIiSu23mXOieBSljBTYiAiYjjiW/ci8TBiwsnjTpHnez237npx8CK/fqSbdNGKJHZ11WMERHpCsSa2TOuJlw76BELY2Tdo+oSUfdHUVzl4d1vQvHg9y2pLpqZM2adJ6OsiZ9o3LpDtke5suZMuDnKuDel+tj909rg9ymu4f+EKJwZ+vdeLVs571565n1L9ZXKy+HDuOVhLHQsDGopOjlUQTJcpEgHk+jlYSWZtOnvFoJdFC4CEQuHJ1Ha0k2gg8/bGtJCVahznpARk/19FKook3eLQy0wcqN+3N49R9oJKKBwyv+AOVUtgyx39OtxYYX7EHKtPLA5XWji736FYDo2wXIl3D7AwcGEd0DGCA3OZAZbpzdSIcByqpFBJJAX6O9Mju1oY1DB7SDQYGQvBK</t>
  </si>
  <si>
    <t>B+B8Su18SqDzGdHRgBEUd4wyy5RYNob6+3RLgXEUc4oyvTxFaX1bT+gWY2Ir6bGpl49uh1OSEbhPUaY7VyfAcYqSSgCMruhTlOlubVTD2DOasdViMJZiIibzYDyVSSDGcRGMZ3ESFFk8mWdyMo3FZMVjXZw7diuoC3TrKUpnQ4vrmFA+0zLegYVZyptA7rCCILYIoWv8f1ZrP90mQLcRW6/wv9JrwuXDTVn7JvtTtRaoWhZsskGWVmObtgbWVmNqMRrqDEXvjTuDI+M7us86jBI+jPC1twnjgBWjqSQcGIhltT1zxIjCkjmKzG2uDllJPCaOGCmw29aA2Yiz0HYdxoCVxVviKIotrTvu8vIhokIXa9J6ZbrpUxU7Go+xgiMcIHg5BZ7UES8b9g2EsDkndASZ0JIP+vYWM8XWtJKzn4RpLGB8/jUrIwjCO0E1600VMzGOkoSP0taSlBED4ZE7kaSMKCyS1FHMxIjiUZMyUmAjImA63MVMjCzeNKmrmImTD+H1O9WkmzZQsaOzFys4wgOSNamrmImTDfsGQtjaNGn7hJZ80Ku+Xnu1GrOKzo7bqtj0ZuHkFE1OWxlT121VjObeIZvbfMy6aKvytKpT4mqrotuCUWk9t1VJdFuwRN/wnKT6g61BGBlH4HHgyZ5Vg5VENwhTDMea4djGcExnkHgGeLqnarWS6FZhCmGoEYY2hCEdAf4S0V31Krec6KZhib6sV6GUNpSSjMLdfiXR7cOU/afa/lOb/ad0++HBApk4rBqxJLqRmDL/TJt/ZjP/jGb+awt4HUS8VfJa04RJ6KRIrZMAM5YY/+wxkGovsMYIGgA/U/FOB7BvdOTTqb3lT6rtkWYofL2K9/K7rzVw0R1YVt/0uBfr/i3P1RctV61SR6AZRxjrd6kmSpSJAPO6qt+NLMW7VFBgzRJiS8dWvEu1EFh6BN+pcRTvUm0EFh1tuQVDtQ5TYAQYvziJU/NFMwOyiTdXvJvoZoRJvK6fUyHXVbxLxgNGVHzxrkiFtXiXbC0wpCKLd5OwLt5dDbPJ6nt0q4GBdbul1mY7Kgl3Bg6MIzoGMDoSllibejpl+9WJsBfvkikkkgL8HOmR3a0Nu7aqIhsMDITgnT2A8ym18ymBzmdERwNGUFzxbirzfm6swrlPtxQYRxHFu7XTue94W0/oFmNiK+mx2WyXtjickozAXLxbO5vNBNiLd8kEwOiKXIPrZ6c26tqim2RstbQYZ+NZUkyCbJbqDeo4CyZhFAXRdJ5NplmUhuPJise6Hv/euNtCiOpXE6Zalbs7vVzDhPKZVu4OLMzq3QRyhxUEkRKDLus/fX2B/qharz/Va/FV4W5vvUb/Yv6D+Q+/+25v/7gn4/V523rRvv6mcE/0qpJcXb7bsyzP9lnHR8LHB7Gi/t3VXYzHy4+qyuZqM0R9+idV49n39dZ/VbpctYi9HMlHVRuZuvvsquCk+uPl36r+uKcbz+jswftv9k7eutcrwijsvaG+trol/OEqvfAvVZ/aV+r/31Y/eplmCHqLTxe/if5E2ad/RH2n/kcveuu0xdNqk0YXuFzob738a6PvqNmtrNKddKu/bflx763j04PDt6qvVP9e3Rm3t/jt4pevFXIrJytXs15tCa1a7ioLlp9olJ6QebgXhv1etP6e1b+0/op+bGL5p1Ge7MVhr6rI+dK27cD41CDyrYjtCWvFCScKU8WJMJEcspL4KzjhpMCmuwGzUSRhXxp964AVxVu9SWi9M5wVDxFbu1jZ1+v7aF2dkDg6nrKCI9wfeFEKndMRLxr29YOgtVSbAOaz5INe9T48z8P0fBYG53F4HohpWgT5rCiC6XwuwjQ5H4diHSe8Cn+jz1LCP8aOBYzPv/BnBEE4J6jw76IC+t4ocBQ7cw6IhA8IXOmbMA5YMRC+txPpyYjCJD1txc6cKB61JyMFNvgBpiMReb8QxhkZsLJ4E5+OYmdWPoSD71R9bnrqJY4eiazgCA9IVp+OYmdWNuwbCGFrk5/tE1ryQWv96ZKV3dZ32QRl4qIr7Lv7MGMxQhFW30W0F5iGhurBm6zvIo6AgI1AJ/VdRBMlykSAeV3Vd9kuZ6SCAtPaCBVrre8iWgjMTsPFqau+i2gjMC+9reokWofJQQPGr0gsPnxAtvAGy7uELu+SmwqLxF3eRcUDBtSOy7uo1gIjKra8K7ks77K25btHtxoYV7uQ4RpmZ+DAOKJjAIPjNuVdyc7ViXCUd1EpJJIC/Bzpkd2tDWsYPKQbDIyD4LUMwPmU2vmUQOczoqMBA2iH5V1US4FhFFPelVyWd1nf1hO6xZjQSnps6gWi2+GUZATu8q5k5+oEOMq7qATA6Iou70p2a6Maxp7RjL21WR77oSuBw4Ty+c/yMII0lYdrfoCreg9ZHsYBkfABga+gTRgHrBiIPU7E+tie5WFE8Z3lYUTxmOVhpMDuMQOmI0qKfm4MVwNWlFuR5OHkQ/j3LlaX9Rpz02E0cbSMZQVHOEDwwgg8qSNeNuwLCGFrS/K0T2jJB317DxfYU0ISOxYwPv/qkxEE4Z2g6tP/4QLG8ZHw8YGL0cUvWk4TVBehN08TVJ98LfXWPDyQhVHq5/CAaRoOWKcBEUs6EdOMKExiWphIDllJPGppRgpsKAfMRpLFlu3NASuKNy3tqNbnxEMEq06l9KYxauLodMsKjnB/ZCntqNbnRMO+fhC0NiXdPp8lH7Tfcinjil5p49RJlzXpbrxcimhv02P8EZdLEUdAwEagk3IpookSZSLAvK7KpaStXIoICkwTIxSstVyKaCEw2wsXpq5yKaKNwDzvtpKTaB0mpwsYP5nmfWmycEC28AbLpXQr22TTTTJxt7Il4wEDasflUlRrgREVWy512co2cbSyJVsNjKtdqHANszNwYBzRMYDBcZtyqctWtklLK1syhURSgJ8jPbK7tWENg4d0g4FxELyUATifUjufEuh8RnQ0YADtsFyKaikwjGLKpS5b2drf1hO6xZjQSnps6gWi2+GUZATucqnLVrZuZ3NKJwBGV3S5lG5la3Y0ZzRjb23CKrGWS2U4TCif/4QVIwhiDxC6qvefsGIcHwkfH8SCGpKwUt+gh+1p9Q3vt6araHddhd2lqxgnoSlwHJOAWOzb01WMKJ7TVYwkHtNVjBTY/XLAbMRxZp6PASvJbchWceIhIlUX6+R6tbzpxpo42uuygiO8H3iJB53TES8a9u2DoDnncwSZz5IP+vaeOrB2O0ucXd1MYwHj8y+jGUEQzgkqoz2cOmAcEAkfELhuNmEcsGIgfG8nypMRhUl5Wk8dMKJ4lJ6MFNjgB5iOXPbjzDghA1YUb9rTdeqAkw/h3zsVn5u2q4mjjy4rOMIBksWn69QBJxv2BYSwtanP9gkt+aD91koJE53Sk4WTLm/S3XitFNFeYE4XKgdvslaKOAICNgKd1EoRTZQoEwHmdVUrFdtqpYigwBwxQsRaa6WIFgJTvXBt6qqVItoITPJuKzqJ1mESuoDxk7LoFyYLB2QLb65WSuh+2yLalCsU7lopKh4woHZcK0W1FhhRsbVSxWWtVOGolaJaDYyrXchwDbMzcGAc0TGAwXGbWqli5+pEOGqlqBQSSQF+jvTI7taGNQwe0g0GxkHwWgbgfErtfEqg8xnR0YABtMNaKaqlwDCKqZUqLmulrG/rCd1iTGglPTb1AtHtcEoyAnetVLFzdQIctVJUAmB0RddKFbu1UQ1jz2jG3tokj7DVSokQhwnl857k4QRBbAJCV/X8SR7OAZHwAYGvoE0YB6wYiD1OxPrYmuThRPGc5OFE8Zfk4aRoCgcHBXRdnif9IjdOyIAV5TYkeVj5EP69i9XlZo0pwnVOQDg61LOCIxwgeGEEntQRLxv2BYSwtSR5ABNa8kHf3kp9YSsxEs5WfqaxgPH5V5+MIAjvBFWf3iv1OcdHwscHLkYpfasbhfvrvtUMjaq7K97nnBdEcOlEXTOiMKlrYSI5ZCXxKK4ZKbCxHTAbcazUtfHc3IAVxZu4tlfvs+Iholen2nrTSVg4OkOzgiPcH1lb26v3WdGwrx8ErU1at89nyQet/veXK30tHrjF8w/n03e/+873DSNB0M7G+KBUc+zCTO1njsG2YgTxppbKaOwdsrHNZ8wxsEDR+xullPSGq1JNr1fdrOuplh/2Kon2UgupanP2GyXVni6embCUoI3fHJDZrjlFO9x2PnFdApHoEgipP+iLY0SuPshCfUj1h9ycjzyi0wk8HTzvpJGONdKxRjrWSMca6VgjHWukYxvSMR1J4pHgiShFNNREQ0001ERDTTTURENNNLQRDelE8PeL7sLXSfBEJ8Gl/qCvDlFkpSYrNVlpIyvJZNfynS1kuEfvVOOcapxTjXOqcU41zqnGObXhnNJx4BEGmf9UNGea5kzTnGmaM01zpmnONM2ZjeaMRlM9dysaHYr+whVHu6tItqc+EydDYZ0RmKmkGKqtNll7h2wtsGqKGkSrkteL1R7F4qvFq0Y962qTSO9M6K2M3uJny/cWL1YRVv9Fi6/2ejoVqvdNlh8vP9E/aMLfJ+M3YxFjKTLVRIkyEWBeV6XIifrKb/Relf6L9MbWatdLfVHvL12XUKtP6v2nC/3d1X5YtS11oeb8o97+33733weD48un4a0ffO+H7/7gne//dfUl9ZU7333nr//D+AezvVVp+9eLFzoZ3qv20x6qv63aNkvDcPlhFIdhT335hWlDzTQ9B+TpARaOIbawbAXUVAuB9V/wnSlHATXVRmDl17Z7TkTrMFVekPELE2G7bZJq4g1WUIt1/aJw9+UlkwFjP754Ok8ya/E02Vpg+EcWT4vLvrzC0ZeXbDVQBmy33Kw333SbTDvGER0DGM4J68pNPaO47MsrWvrykikkkgL8HOmR3a0Nu75YpBoMjIHgfUyA3ymBfmdEpwLGTVzddBTleV8Kk6n36aYCwyeicFpc9uS1v6kndIsxIZX0yNQ7w25nU5IRmAunxWVPXrejOaUTACMrcuNAPzu1Ude3BijGVhJxGiVJIqIgzdMsEPNJEozn81kwS9KZOBfjaXy+nhHrrsH3xl2WrujVuG3v4P/f3ds2y25c971f5ZSqbpXDfXAuHrobQN5RDMWiIlnHe6gzA+SkUgAGY7MikS6KvrlJlaokMc5DORUlcV6knMSOk7zIS1oSr2jJkr/AfXHON0o3ZvaQxADd/16zF3oQuTzaOnsOuX5/LPRavVY/CD9IlG6qvmCB8qkxTIF8nRVknHPYng5YfviLL1ccjjNOs3zlk9Pqh9H89Iup6HFBy783/0v/rc///3/x5BsfffiDj49//nb34R/+wYcfPNl8+L0Pn3y9ORy+159Wt5hp5us/Hmac4jjfnFLxLVYVJa4iXiKYwnibFcOjHfoYU2lGEpbFIDMjzTusJAsuBmGk8O1GI08j0TPHUk6xvMvKsthqECXycn5BCCehR1R4jNnoeU76cO2rsNzjywruMQLCEymPx/qcl873LUToXGtC3I90wwe93Jk688unpY2tnJ8XYKb6ZJdIB4toLVi6QlPIYB0sIr7A8B+lg0U0UXqZCJj31Q4WoXVV6t/8xZD//8Y80c9f/dIsxP7EnJak/++vTu2l07KfqbVA+huf6f/71env/nZYC/Sb4/lJD//cYcn3qTv2+Rcu8t6H/7j5p0/e+qO2f3Lfd3/wcd/94yf3H/7BR09e/WUWG2+S8Ze7Vvpv/Y2eupiD3vW/w5z/bhpmvxpc7JPXPzJHO/3CtMH0H/7MnP6u/wlfM40x/ae/NcvSX/21+ZMveeifDWvQf/Pk1X/QwL+YetJvk580WAh8jAyeaCFY1PPJzOebYUQbwWretTk30Tqfyh2iXxFPR4R3yRYG7IWph5q0tPfCqGRgFvHIvTCqtWAi4dsLk1/0wmZvlv0W3WowoXiM2YeBeeNdC8a36RhgYnBNL0y+8dUHYemFUSmkJwXsR0bZu7NhI4O/QzcYDIHwFA4YdzbguPOcTgWGzcfshVFNBaOnTy9MftELm31T7+kW+0RUksucZ8T2wWZDRuDuhck3vvoALL0wKgEYWb17YfLubNTI2O/SjD1mOK3oijaNeiG6SOzzLCqa9BB1e6kOcae6Q7bsIULC/PcU5Jt6bPKDROmW74UxgnhUPdFCxn8zM9TTysu//sos9tWvTicEzS7fnNvVwqiAxBXACwVTGG+zYnhUcR9jFsxIsnAfi5FkwT4WI4VvBR15GmXxLJ2bfDOiLNbGSpLZ83G/yUvoMaA/xkTyPJ1UDz0Pyz3erOAeAyA8B/J4rM956XxfQoTO1cZyP9INH/SwtfnpOdMyWeRiG7MmV5DphDK3sebJmHWRttZM+vt1srVgFQrNBv+rzvJ+8eqv9OfxOMlXvxzO4/Fsdr36W9PKOh93Y1oRT4amya9Nsvkke5o+MXtuhn/Hr1//W51RDtfTfq6/bP7p5sjKX55bJMMqrF8P/zpz64T55x5N+JvTeTafzeahRE0Fpumj9MqIJkovE4nmvU02D6xuPUZqS7QQrFT5pKzzDR6ijWCJ6tpklGidTzkK0E+keTK724loIkuHBz095Zt0s8Fo6d++SdJkvn1DtRYMmL7tm/yL9s3sVavfolsNBk6vrBt1jW/TzQZj0zXtmvyNrwpvaddQKaQnBew3Rtm7s2Ejg79DNxgMaOSpiuUIJqrJYITz7MXoQbqYDMW/R7cUjHM+rZj8i1bM7OBxT7fYJ/Y9pjtsyCZzt17yN74quKX1QiUAo6J36yW/Oxs1Mva7NGNPc+HTUG3C42JzYTGFoefC1ish82xWc8xU2lx4ZkHq18nWgiEdnQv7LvH8yt2Jw3q/P9V/8J/NFYnJ6cDbYa3faXo8rL77zfD/n5uzLY5//NvX/3xYBPpTs/LwL6b0eYusD5g7PMq8lmii9DIRMO+xTjFJhqWgX/WBcbvs/MD/zBxj/PqT1/88GhpmP379k+hLLvD0yfGvvP7Xw2LQT58k6VM5bAt7OP54st32W/P7Xw1n+g4nmbz67NmU9m+TtQdznMeYtBMtBFOax5m0E20Ek5lrJ+1E63wSF0C/NEvVdP31XbKJLJN2YHmUnjqYgwyluelRJuYjNR/m1EMpzIc5+lAq82HOP5TFw1qqwr6GkyoDmCYQigDZ7O6ev083F0wVfKsAxRdVgNkrr79FtxpMGbyqADNJsoF5410LxrfpGGBkv6YqULzx1QdhqQpQKaQnBexHRtm7s2GXVQGqwWDEhKsCwCi1MaPUxoxSGzNKbcwotTGj1MaMUhszSm3MKLUxo9QGHKWe0yUAQ7JnlUH/a58lk0/r9+imgpHZp8xQfFFmmH2t7+kW+0Rrkn+dm8f2kWlDRuAuOxRvfPUBWMoOVAIwDnuXHYq7s1GXZQeKscMUT3WdaNoyklmsIiHaOGrjdB/lWdekYt8Jqdojz2w54vvN4674nD85tfSDROmmChcWKJ/ixRTI11lBPBYIoXWN/6EnscPevmG/oDnL5N98pfZgGur/yESNibM5zS7B/1vFb6ST9bK3WKWQuBR4fWAK421WDI+VT/hU+/W/ev2TKZRvsKKMg78FBZ+Tx9MTyndYSRZc+8lI4bvsDHgaqsyfFeUUyrusKIut/ZTP1Fz7nhPPY1x/jMnneQpaPqwSnL0j/Nu84B7DHzxvQp/pc14039cPQXOt+nQ/zw0f9JBy7rNSdZnIIhH3XSSyuI9aPTWNukPRF00SH9JcvFw65ZwsPL+pp82+SmB0i6ecnCAeQxOacv6lTiLNURP2pPPJ0F8x1xR+MhyL8rOhPTYcTkHNRzl1krhO1+ajnBgeA/Jj5KOcKCz5aPZMTZG8w0qyXD7KSeEbEIGnUWS5eKYmyybvsrIslpAm8lk5k5Gy8nkM+4+ZkcqH266l5fpyVnCPAZCckc4+1Oe8bL5vIMLmSEmBB7rhgz5WQbPiEGdtEcWpkJHIhYqaQ9ZGpdiXIstV3GbLV0Enqxo6JbXeNjmZnEN0y6ekjCAeYxOakv6v4Vi0T179rVmX81vz8bPhfDSzROdvhnQzeyrfSCZr12+xwkoc9uq8khHDY1h9lLySEYUlrzTt7kuQd1hBFkwrGSl8gxrwMDJRlLOXLXGyLJZWxjMnUX+TF89j5H7UrPLhomdpubibFdxj+CNnlXPP9Dkvmu/7h6C5kkr389zwQQ9JZd6WOm3N+kgWRRmJtiiiNj8o/T/jrmkapdKmf7l0UimmlNBJZeqrBEa3fFLJCOIxNMFJ5XBdyK+GcuZpA/0vhsrlL4d99Z8Nq8k/f/L6X+nf/vbVz54+0X/jz1/9h1d/+eo/vfrPr/7sWOX879nkVOEtVjEkLsbVSScjhseoiyed+pn9fArlG6woLEln/CyTUyjvsKIsmHYyUviGPeBxFIl4lsaTT+RdVpbF0k4pZ7fHs/J5DO6PmnemD3lKask7OcE9RkBy3jn7UJ/zsvm+gQibK/F0P9ANH/SQePaHTKm9aqMkSYpIJKqLmq6TQw2013/WF+nJ2xdMPCfHLJ14Zr5KYHTLJ56MIB5jE5p4/mezj9RsGnwybBA0V0H86PUnr//t6389HK30O0+Ge89/9OpvX/90uH/i07/zj453SMzfRsepgMQVuDrbZMTwGGs9sk2z1fjnz55MP5dvsAIx5Zzp5GjxDivKgjknI4VvxAMehyySZzKffCLvsrIslnOmz4q5lJMTz2NYf9SUM3vIUCxXpbOCewyD5JRz7pk+50Xzff8QNFfG6X6eGz7oIePMRCv6faez09gs/1SJito+PUTlXuS5Wf8Zl83LpTPOyVVYOuMUvkpgdMtnnIwgHkMTmnH+xZcOK/k3x8Llb159OizpNIeH/vr1T4fs8/PjEs20eCPN34ifiuHqsmw252TUQOIaXJ1zMmJ4DLaPmHMyArHknDPXR77DSrJgyslI4RvygKeR5qXOOScH8HdZWZZLOdOZY/G+ycvnMbA/as75cGeutFyDzAruMQzSc865h/qcl833DUTYXEmn+4Fu+KCP+4h6IYokjqMmzg6RSA9t1JZxFh2aZB8XQvaZWD7pnNxWopNO6asERrd80skI4jE2XZF02vYEAQknI7/E+a9OOBkxPEbaR0w4GYFYEs6ZoeIdVpIFE05GCt9wBzyNJC6z7JlKpmDeZYVZLONU6lk5uQ3qm7x8HqP6o2ac8iFBsVyCywruMQ6SM87Zh/qcl833FUTYXBmn+4Fu+KCPGWeb56qMi6jJ+30k+kMfNUkfR4no4n3WNvtDcni5dMY5+fh1xqm8lYDols84GUE8xiY04/xSY/0/vvr89R+//snrT1795tXPX/94uCXpN69+4W6kMxJLnPjqHJMRw2NsfcQckxGIJcdMnk0vFXyHFWXBJJORwjfCAY8jFSLVOebkI3mXFWaxJFPMHo7Eiucxjj9qjvlwhaK03IrJCu4xDpJzzLln+pwXzfcFRNBcKab7eW74oE9rN5t9mjWH6NC2+rtZmurvtnkUd1lZdKnos+z0zBdMMcspJXSKab/rZEIJjG75FJMRxGNoQlPMPzUXThxvt3z9J68+e2LuixjOPzqflDSUNT8zt02YCyF+8vpPHi5m/5n+g0/NXSTDRZi/ffXXx2vZj78110q8kaRx/EYqp5drv8UqlcSlujo3ZcTwGJM9ctO5qzE4SZZOShlRFkxKGSl8YyLwOBxJKSPMYklpkslnp/Vvl2kpJ6DH2P+oaWn+kMbMXmX3bV5wjyGQnJbOP9XnvHC+LyEC50pM3U90wwd9rH0m+yTZyzJq5cFsQOriqCjFIdI5bKLiOG0P4hQuFkxMk8ksRWemnsfho3jLZ6aMIB6jE5qZ/rthr9Bnr38UDXvaP3/1m6HYqd4Qc+kkI5/E+a5OJxkxPMZSPJ20HIvEiMKST8bPpvemvMOKsmA+yUjhG8qAx5HkQjzLpzdwvcsKs1g+adkuxInnMV4/ajZZPOQelovIWME9RkByNmnZLsSJ5vsCImiuXNL9PDd80CaZtOWIj3m38eQYpJPDcpZNGxrHY7awdxtTrR2PFv+n3m1M1Udg+jzG3cZUE6WXiYB5X73bmHCpcQpdavxnr/6rngn8j1f/88mr/6n/VX89HCTwV/o7P3r1i2dTEr1NlmgcGviuIKZaOM55Oa8gpto4TmZ5riCmWjeOkVdeQZzEcvbcTqKF4W4gVubyYWUuH1bm8mFlLh9W5vJhZS4fVubyYWUuH1YP13rK4dqX2cuHyQqAcfyRLx8mmwvGcs/Lh2V5vnxYzl6v8y261WBMf4zs38C88a4F49t0DDD0XnH5sLb9qw9ijuJ36RTSkwL2I6Ps3dmwkcHfoRsMxkp4CgUMUBszQG3MALUxA9TGDFAbM0BtzAC1MQPUxgxQG3CAek6nB+PwI947TDYVDMce9w6fB6bfs7zR93SLfUI0ybXOk1f7oLQhIzDfO3wekB4ewBzBe3QCMAR/7DUYGUXvzkaNjP0uzdgbbSfJuXuH1fzdI5OQKN3i3SROEI/qJFpz8O4mcfJJnA+fkE9hvM2K4VFLxSfN890kTpSFu0mcKMt1kzgpxlmAhQKdrOu5XzLXS+JEuYFeEiuex2j9GLPJhzmlerjqS1nubmMF9xj/4IkQ+kyf86L5vn4ImqOXBDzPDR/0re7JlHO3CZ/2l/soAdEtn0gygngMTWgi+Qh7MjmJJU58dWrJiOExtOKppWtPJicQS4I5v/ydE2XBBJORwjfCIY8j0Rn/3OHGnCyLZZjzWzJZ8TyG8UfNMB/u/VKWe9xYwT2GQXKGOb8lkxXN9/1D0FwZpvt5bvighwwzacp92qkkKtLhhJBMRm1SFlFf5nGyb/e5FP3LpTPMbEoJnWGmvkpgdMtnmIwgHkMTmmH+xXGjpckw/8wca/z6k9f/fGL1y2kbptle+fqPzU5L8/lMzmQ3b7GqIHEVrs46GTE8hluPrHNuFRAnydLpJiPKgukmI4VvuEMehzXdZGRZLN2MZ69vY8XzGNMfNd18uO1LWa5vYwX3GP/I6ebcM33Oi+b7/iFornTT/Tw3fNC3epeGnLs2WGW+SmB0y6ebjCAeQxOcbnLcpcGpgcQ1uDrZZMTwGGw9kk1XiZMRiCnnnMye32ElWTDlZKTwDXnI00jV9FVI77KSLJZwWm7SYOXzGNYfNeN8uO1LWW5vYwX3GATJGaflJg1WNt/3D2FzpZzuB7rhg77VmzRm9ujolFP4KoHRLZ9yMoJ4jE1XpJzX3aTByS9x/qvTTUYMj5H2EdNNRiCWdHP2Jg1OkgXTTUYK33CHPI1SPivkFMq7rCiL5ZuWezRY+TzG9EfNNx8u+lKWm9tYwT1GQXK+ablHg5XN9wVE2Fz5pvuBbvigT4ccI1cLL5xvTs6Rdb4pfZXA6JbPNxlBPMYmNN/80prNT3Xq+TevPn/9o9efDGXNT1//9MnvmENETGf9b1//dNgm9Onfca/hZFRA4gpcnXEyYniMtY+YcTICsWSc8bPpPSnvsKIsmHIyUvhGPOBxpOpZNttTZ0RZLOW0bBLixPMY1R8143y46EtZbm5jBfcYBckZp2WTECea7+uHoLkSTvfz3PBBDwln3pZKxlkfyaIwG4qKImrzg9L/M+6aplEqbfqXSyeck1ULnXAqXyUwuuUTTkYQj6EJTTj/l05TPh02mn/26mfHM+x+MZQ5f6n/+BfmXg1zV8aT1/9K//a3r3729In+G3/+6j+8+stX/0knq392LIn+9yybEuMtVjEkLsbVuScjhseo65F7/urVz6dQvsGKwpR1ZnIK5R1WlAWzTkYK37AHPI5MPStnt6YzoiyWdUo5v5STk89jbH/UtPPh8i9lucyNFdxjACSnnbMP9Tkvm+8LiLC58k73A93wQQ95p8iKQ5y1RRSnQmemuVBRc8jaqBT7UmS5itusfbl03jlZ59Z5Z+6rBEa3fN7JCOIxNsF55+tPTGXz1d+aiuZvzcfPhsKmOUz3b4asMjPXsiVTsG+xwkoc9uq8khHDY1jF80rLkUeMKCx55fTdX++wgiyYVTJS+AY16GEU6dzxxJwoi2WV8bNyEu+bvHgeA/ejJpUPF3cpy1VsrOAeox85qZx7ps950XxfPwTNlVO6n+eGD/q4WDMrVZeJLBJx3w3VzqhVMom6Q9EXTRIf0ly8XDqnLKeU0Dnl/DUiM0pgdMvnlIwgHkMTmlP+pc4dP3v1C3Nk5heXAn/lTg39R3/9ZLjJ4Tf6jz4Zrg/+2XADh7lT+K/dCzyndHqLVSeJ63R1OsqI4TEgP0o6yojCko5m0ytx3mElWTAfZaTwDYjI08jL6YLBu6wki6WjiY5dc0VOTj6PQf9R89GHy7+U5TI3VnCP4Y+cj84+1Oe8bL7vH8LmSkjdD3TDB73kbW5z6zNLK1syZgt7mxvV2vFw8X/qbW5UfQSmz2Pc5kY1UXqZCJiXPMJVbcNjfPXnXzq1KhpOsvrx6588ib70bJ8+Of6t4VAB/c0nSfrUHFtlnq35n+aJD/706+Gv/8vhX/krU8F+YszRT998/vjVZ8+mRH2bLOo4mvDd/0a1cJwjc97/RrVxnP3y3P9GtW4cVa+8/01IMX2cybtkC8Pd/5ab+99yc/9bbu5/y839b7m5/y0397/l5v633Nz/lhfmozzdsaTsl8CRZQDD/yNfAkc2F0wBPC+BU19cAqcsl8CRrQZTgceYNRiYN961YHybjgFG7CsugVNfXAKnHJfAkSmkJwXsR0bZu7NhI4O/QzcYDJjw1AsYpTZmlNqYUWpjRqmNGaU2ZpTamFFqY0apjRmlNmaU2oCj1HO6BGBEfsSb4MimgoHZ4yY49cVNcPOv9T3dYp9gTfKv88TXPjJtyAjMN8GpL26Cs49K79EJwDj8sdeIZBS9Oxs1Mva7NGOHqZvqOtG0ZSQzc1CJaOOojdN9lGddY84pEVK1R57ZMoOlzkIrNczdBJfbrzK5gETpFu9ncYJ4lDbResX/0NPYXzu6WdSWFacUEpcCn/dPYbzNiuFRs8Vn2vMtK04UlpZVPH0c+zusJMu1rDgpxvmChQKd4CeZepZNVnHeZUVZrGclZ2/0YMXzGNcfY/L5MAXNH+4Yyy13xrGCewx/8LwJfabPedF8Xz8EzdGxAp7nhg/6VpdQqbk74/LEVwmMbvmUkxHEY2hCU85gS6g4dZK4Tlfno4wYHgPyo+SjjCgs+ejsEipOkgXzUUYK34AIPI1EZfJZIaZY3mVlWSwhtSyiYuXzGPYfNSN9uJMst9wxxwruMQCSM1LLIipWNt83EGFzpaTuB7rhg77VnaJq7pK5PPVVAqNbPiVlBPEYm9CU9LqdopywEoe9Oq9kxPAYVh8lr2REYckr53aKcoIsmFYyUvgGNeBhqCKZzPLfZQVZLKec3yfKiucxbD9qSvlw71huuUeOFdxj7COnlPP7RFnRfF8+BM2VUbqf54YP+lbPvFNz98jlma8SGN3yGSUjiMfQBGeUrGfecYohcTGuzjgZMTxGXTzjnD/zjhOFJeOcP/OOE2XBnJORwjfsAY8jkeWzeHIMf5cVZbGs03LmHSufx9j+qGnnw91jueUyOVZwjwGQnHZazrxjZfN9ARE2V97pfqAbPuhbvdxDzV0mlwtfJTC65fNORhCPsQnNOxku9+BUQOIKXJ1sMmJ4jLUeyabjcg9OIKaUc+5yD06UBVNORgrfiAc8jiSZWc3wLivJYhnn/N0erHgeg/qjJpwPl4/lltvkWME9BkFywjl/twcrmu/bh6C58k3389zwQQ/5JnbR8cL55uSIpfNN6asERrd8vskI4jE0ofnmxOXFv3n16bCY89NXPzNnkgy55+fHxZlpAV1gzKmBxDW4OuNkxPAYbB8x42QEYsk4k+m13++wkiyYcDJS+IY84GlIIZ+lM0fecaIsl3Hq9GTS4b7Jy+cxrj9qyvlw/VhuuU6OFdxjFKSnnHMP9Tkvm+8LiLC5ck73A93wQR83EEGXHS+cc07uJ9E5p/JVAqNbPudkBPEYm67IOW2bgYB8k5Ff4vxX55uMGB4j7SPmm4xALPmmmB4q3mElWTDfZKTwDXfA00iTTD5TcwknI8tiCadSz8pJvm/y8nkM6o+acD7cO5ZbLpJjBfcYBskJ5+xDfc7L5vsGImyuhNP9QDd80MeEs81zVcZF1OT9PhL9oY+apI+jRHTxPmub/SE5vFw64Zx8/DrhtF9/MqUERLd8wskI4jE2oQnnl5rq//HV56//+PVPXn/y6jevfv76x6/+6tWn+qdfuJvojMQSJ746xWTE8BhbHzHFZARiSTGTZ7GcQnmHFWXBHJORwjfCAY9D5PmzZLI89C4rymIpppg/EokTz2MUf9QM8+EWstxyqxwruMcoSM4w557pc14039cPQXMlmO7nueGDPq7aVPG+yZIskqnoIiFiEbUqLk3HXSb6P3lbnoRZMMEsp5TQCab9OpMJJTC65RNMRhCPoQlNMP/UXDRhtp4PBxx99sTcEjGcenQ+H2moaX5mbpkwt0D85PWf/KPTnSE/03/wqblZxPwdc6GE2Vdkjk/6/Mlw48hvzIURX/nN8PfMLRNvJGkcv5HK6SXcb7GKKHERr85ZGTE8RmuPnHXupgxOkqWTVUaUBZNVRgrfaAk8DmuyyoiyWLJqCr4ymwL8Ji+gR0x41HT14Y6y3HLpHCu4xwBITlfnn+pzXjjfVxCBcyWs7ie64YM+VkSTfZLsZRm18mC2JHVxVJTiEOncNtH/+LQ9iFOwWDBhTSZzFJ2xlr5SYHjLZ6yMIB6jE5qx/rth99Bnr38UDZvcP3/1m6EEqt4Qc8kkI5/E+a5OJhkxPMZSPJm0HJLEiMKSTcbPTmuPLrNJRpQFs0lGCt9QBjyOTMRzFxhzkiyWTFr2D3HieQzWj5pKlg+Jh+VOMlZwj+GPnEpa9g9xovm+fQiaK5F0P88NH7T+zz/Uf1nov/MPbIniY15jnE8xvqmK+QPvZVnmYsy40DXGYsrar5OtHY8aAa8x1n/8uTn96Mmrf2d2oJ9rmb959fOnT1796XCN8a9f/5vXPzV/f0qFt8gqCEyFx7ismGqi9DIRMO98F/Gnr3799MlwdbF+4Y//lR3/Sxz/S1qvNRb6N/9l8q7hz4+F5/EK2+EPPx2O5f+1Ocrqx8fbjc211K//5Mlb33v/D6N3f/cLb3jzo+//4OOPPvzg94df6d98/f0Pf/+Pmo/2T58Mm8V+Odx0/KPjrcY/Ho4p+MnffaLHlNd/rD+GG5H1N//F4If6F/dvfutJGU9PC98mP51xDOK79Zhq4Tiz5rz1mGrjOGXmufWYat04GF9563GSx3Pb6KkWhrv1uEhOV4QWwxUysxcZk8nABMD/IuNSZbP3GJOtBXMAz3uMi/h8j3Exe1PPt+hWg7nAY8weDMwb71owvk3HAIP5FfcYa9u/+iDmKH6XTiE9KWA/MsrenQ0bGfwdusFgCISnYMC4swHHned0KjBsel5NnKn8mZgc/H+PbioYPT2uJj4POL9neVPv6Rb7RFSSyzxMah2DzYaMwHw18XmgeXgAcwTv0QnAyPqx1yBjFL07GzUy9rs0Y48xKm+SouyiptvHkWjNWv1E/8+yiNNCFXnWlqfhf7Z0YKmh0MoHc1cTF4kfJEo3VWSwQPkUGqZAvs4K4lG1RGsQfzEqO/z1Vyahr341UV84rYn698OaKbMHdEKHt1h1kLgO+BR/CuNtVgyPWuxjzIUZSVg6Ucn0WPEOK8lyjShOCt9SOPI0ivyZmpuCM6Is1onK8+JZPLPPkxXQY1R/jNnkeU75cGtYYbkGjhXcY/yDJ0L4U33OC+f7CiJwjm4U8EQ3fNCmGzWknc6V9j/ou4/f//CDCSUIOaWcwtT5ZGrFlGPMuYbUvK0+qeJDT6osp6z9OtnasZNZlEXzweHYj385tCOGjsFfmWzw9Z9M2a2TvPTvvks2/mLgm7f+unHvVHXNnuoPMTfQUSGEPwQ+tTWW/66x/HfnLP9duuXS33J8SqsN/44x/Dtzhn+Hbjju9fSR9VQxy55u5gA2ZICLOogDwM9f3jNWvzdn9Xt0q/Fh3LP8oY3+rjH6u3NGf5dm9JfGc/NfC62RkLMljszKkM8Kj5lKi0fa6Mn54tfJ5oKNETQg/eVQoDCn6f9/Qx986JP/Sgclc7z+J69/bJZA/MwULT4b1jzoL59uuTdFjeESKP13Xv/0yVDU+OJOqKGGkQ4H9b/61et/of/m51MyvEWWYRwXHmWVxKs/M3WZyFxn9WTo5P/49U+18Z9pBYaNbT83+9SOlZwnr35u4vdwgteweOQoyuevfjlchvWLYRXBz8wvvhDmtOjg9R9/KfQ/m5Ll75FlkV6yAJJMmfc22TywL+NTjjFPacrIb5CNBNssPpWW+dUJRBvB/sq1NRSidT69FEC/yaz+XbJ1LCsTLtd5z90URTYbjKn+yw4SVeoJ6PzKA6rBYGT1XXmQfbHyYPYao2/RrQYDrNecCfWOb9PNBgMiYZZ0bgBmb3xVeMtKAyqF9KSA/cYoe3c27HKyRDUYjGjkAtucpzynmwzGN79lBKmIU1E8yyZrgb9HNxYMdD4LCbIvFhLMjh/3dIt9gt9jesSGbDL3woHsja8Kblk4QCUAY6PnzNn4ytmoy0kzxVhTxX16ToSN2YvNmycnonreLKwY5azmmKnEebOanuZ/nWwuGNbRebOZKf6NmRbrGZ2eJJsprpkF/1L/+JNhYviT054DM3P8hf7f//L1J6cdBlNcb5G5wLjvNxGW/9cwbzUG/5dX/+2JuQ5lYiI7qmEPwA/r4IcvGuQ//1Jd4FOLAn+PrID0UgCgnzLvbbJ5YIbgMef91cn3fj0UV+Zmv0RzwezgcWa/RBvBpODa2S/ROp8EANFvyrp3ydaFnv1SzQYjo//sd87Wv0+3FQyNvhNf8cXEd/Y+tW/RrQYjJNfEl2q28DSbkMCKN74qvGXiS6WQnhSw3xhl786GXU58qQaDYY1j4ks1GQxtfhNflcRJlsXPkkmBf49uLRjkfGa+4ouZ7+wAck+32CfwPaZLbMgmc898xRtfFdwy86USgHHRe+Yr7s5GXc58KcYO65eO/9G//4P39/v+g7f05PD5MDc0DKrt0rZt4qgXBxmJIj5ERZEfokZkcZNJkez3zfGb5/myuYz5K/j99/qzN31VgeO/EY5ck330qpx8fNX0WVYGeywFSjk82/EYC8HhbmqI6mmimoloPARDRLjbaqA335wmevNNBqQvze/mXXJ+IcejuGQSP62SZHqzWVVOMg8HpqkyLSZf1CnPgxg8PU8bXs8ZXlMNHzsYZLing2nD9ceM5dr/CKZ/qaAWzpGSaR9KpjdIPQDNh6ZFnGja6Jps9CIONG208SyC1TfhO9N5TZVML4c+AWVxWN+ZNromG72I70wbbZyKYPWXKsjhfCeb8Z3pRYkPQBcHOy3rO9NG12SjF/GdaaONUxGsvolxZ3pFa5VM9+YegNKwvjNtdE02ehHfmTbaOBXB6psYd+TTKk30/+dPqyzT/188rYR4WkmdUEv1tFKp/n/9Z7n+s0L/WaH/rNR/Vuo/S+I5xxNWNbKwjief1pq41sS1NqXWxLUmrjVxrYlrTVxr4loT15q41sS1Jq41cT1HXJOJF/FaqVN1jaw/cv2hrdEfhf7Q2G++KU0ir8HffFOT6w/zi9z8ojC/KMwvSvOL0vxiTgDzahAUGCpmJ8d/OVoFkIINhKMucJdmpk71PJGn+zSepXMFqhemQG1hnN/WAHYVvoSCO/WpuAbYvyXbL7ztxy2/ByzfkS2XPpbTx9LTETgASkVGGQ+ObhRfJ3oPsL8m2w92HijjnBb17sGwy5GJYrCxuChEqQohoqbo40iUWR81h/IQNf0hSWTfxHHfvRyF7/Gg9f1mdkvu4wxcD8PX8d5V/fCsA5jykwLVYPJVc6Jf/7opp7tWbMjHKxaaOOv33SFqxb6MRCyLqCzzLCoaeTjETZzH+/JmXCSHXCT31QvTIJSL5ICLcCEfr42TpWyKfa9/ae7pSLpSe1KcRGWf502a96JP9jfjIgXkItNNBItemAahXKQAXIQLeXCRrFO9NNdcF6n5binKqC36Pkpk23dlK0qZy5txkRJyEWv9f0ovTINQLlICLsKFTL18MpiLpDHiIqm1zD/5SkEaBHKRNHa7CBuy8RHro3dP2K5gf54mTvYXqaUyn8fx/HGIC8ydAfu3ZPuFt/245feA5Tuy5eOXyD1hu8KJNgBKRUZZYO4M2F+T7eecO6fJ3YNhF3NnksGri1cpFK8s7aEpKVANQsWr1OmuFRvy6rLeNINcxNIFmtYL0yCUi2SAi3Ahr668kgrIRYSvXpgGoVxEAC7Chby68koqIReRvnphGoRyEXdPoWJDXl0dP4Xq+KmlqD2tF6ZBKBcB6vhsyKcb7pLQDejUXal+kdor1WoswqKTaLf9W7L9wtt+3PJ7wPId2fLx2+SeuV3hRBsApSKjLDGJdttfk+1nnUTndw+GXU6iKQavLnBBraPU3ke5kALVIFTgAlpHbMiDizTN/tD2qomaNjF5UNpGjWhVpIRsVXsoyyQXN+MiUOsoLX31wjQI5SJA64gNeXCRQ9epQ952UZF3nXanLtHzqqaLDqpJ06ZtiyIvbsVFMqh1lNn7KBN6YRoEcpEMaB2xIa+uFJclkIvYN4JM6IVpEMpF3M2Fig15dQX9DCroZ/b9HhN6YRqEchGgoM+GHLgBnbkr1S8ye6U66OJtwP4t2X7hbT9u+T1g+Y5s+fglck/YrnCiDYBSkVEWmDsD9tdk+znnzll292DYxdyZZPDq4hXUOsqEnxSoBqHiFdA6YkNeX9YLtY4y6asXpkEoFwFaR2zIqyuvZFDrKLP3USb0wjQI5SJA64gNeX3lFWgLSGapV0/rhWkQykXcPYWKDTn0xMhdoH6RWQrUmj1oUxGwf0u2X3jbj1t+D1i+I1s+fonc2fgVTrQBUCoyyhITI7f9Ndl+1olRcVdPXyZhNvATDF5bUzGDOkaZpX0yJQWqQah4BXSM2JBXl/UKqGMkLO2Tab0wDQK5iAA6RmzIq8t6BdQxEvatDvQOWyAXATpGbMirK68IqGMk7Psh6B22QC4CdIzYkFdXpBXQFhBhr1fTO2yBXMTdU6jYkAPPnYW7QP1CCCv7/F1dC8ydAfu3ZPuFt/245feA5Tuy5eOXyD1hu8KJNgBKRUZZYO4M2F+T7eecOwtx92DYxdyZZPDq4hXUMRLSTwpUg1DxCugYsSGvL+uFOkbC3j6Z0AvTIJSLAB0jNuT1lVegjpGwt08m9MI0COUiQMeIDXl95RVo54ew16sn9MI0COUi7p5CxYa8ujq+gOr4wl7UntAL0yCUiwB1fDbkH57uWD49cRNPQm5ule6C9Qtp3+Iwf93NAnNpwP4t2X7hbT9u+T1g+Y5s+filck/grnCiDYBSkVEWmEsD9tdk+znn0jK+ezDsYi5NMthYHGepUL2OcOk+TyORljrWZSqOmkwpqWJZZu3NzKUl1EGS9g04F1KgGgSKXxLoILEhr+74Hwl1kKR9A86EXpgGoVwE6CCxIa/u+B8JdZCkpZ0yrRemQSgXATpIbMirq8hJaCeIFL56YRqEchF3j6FiQz5W5JK0LPeyixrVFJGQeREVSdJHZdOpttdBSs++b8ZFoLq+lL56YRqEchGgrs+GHLgPLd0F6xfSXrAOO3d2278l2y+87cctvwcs35EtH79E7gnbFU60AVAqMsoSc2e3/TXZfta5s7p7MOxy7kwx2FgsU9k2opBRJpJ9JFqVR00e6zRZyDhrZawOt1P7lVAHSdrbKRODN6ZBqHgFdJDYkNeX9UIdJGlvp9BTwEAuAnSQ2JDXV16BOkiy9NUL0yCUiwAdJDbk1ZVXFLQTRNm3RdBrDWFcRLl7ChUb8urq+Aqq4yv7tgh6UTuQiwB1fDbkwHNn5S5Qv1D2LQ7lmH3JuTNg/5Zsv/C2H7f8HrB8R7Z8/BK5J2xXONEGQKnIKAvMnQH7a7L9nHNnld49GHYxdyYZvLp4BXWMlH0DzoUUqAah4hXQMWJDXt3ESEEdIyV89cI0COUiQMeIDXl9EyOoY6Skr16YBqFcBOgYsSGvrgKnoJ0gyl6vntAL0yCUi7h7ChUb8urq+Aqq4yt7UXtCL0yDUC4C1PHZkEPPnd0F6hfKWqBO4jH7onNnt/1bsv3C237c8nvA8h3Z8vFL5J6wXeFEGwClIqMsMXd221+T7WedOxd3D4Zdzp0pBq8uXkEdI1X6SYFqECpeAR0jNuTVZb051DHKre2TKb0wDQK5SA50jNiQV7f/OYc6Rrm1fTKlF6ZBKBcBOkZsyKvb/5ynkItY69VTemEahHIRd0+hYkNeXR0/h+r4ubWoPaUXpkEoFwHq+GzIgefOubtA/cKMdhb2ZMy+5NwZsH9Ltl94249bfg9YviNbPn6J3BO2K5xoA6BUZJQF5s6A/TXZfs65cy7uHgy7mDuTDF5dvII6Riaj95EC1SBUvAI6RmzIq+s751DHKLe2T6b0wjQI5SJAx4gNeXV95xzqGOXW9smUXpgGoVwE6BixIa+vAgft/Mjt9eoJvTANQrmIu6dQsSEPLpKmrewPooliHYSiJOmLqNCDTBTHMpaqKJJSpjfjIlAdP7cXtSf0wjQI5SJAHZ8NOfDcuXAXqF8U9gJ1OmZfcu4M2L8l2y+87cctvwcs35EtH79E7gnbFU60AVAqMsoCc2fA/ppsP+fcuYjvHgy7mDuTDB46RtBBDbcRrwqoY1TY2ycXUqAaBIpXBdAxYkNeXdZbQB2jwt4+mdAL0yCUiwAdIzbk1ZVXCqhjVNjbJxN6YRqEchGgY8SGvLrySgHt/CiEr16YBqFcxN1TqNiQV1fHL6A6fiF99cI0COUiQB2fDTn03NldoH5R2AvU2Zh90bmz2/4t2X7hbT9u+T1g+Y5s+fglck/YrnCiDYBSkVGWmDu77a/J9rPOndXdg2GXc2eKwauLV1DHqLC3Ty6kQDUIFa+AjhEb8vomRlDHqLC3Tyb0wjQI5SJAx4gNeX0TI6hjVJS+emEahHIRoGPEhry6ClwJ7fwo7fXqCb0wDQK5SOnuKVRsyKvbP1ZCdfzSXtSe0AvTIJSLAHV8NuTAc+fSXaB+UdoL1GLMvuTcGbB/S7ZfeNuPW34PWL4jWz5+idwTtiucaAOgVGSUBebOgP012X7OuXOZ3j0YdjF3Jhm8ungFdYxKe/vkQgpUg1DxCugYsSGvL+uFOkal8NUL0yCUiwAdIzbk1ZVXSqhjVEpfvTANQrkI0DFiQ15deaWEdn6U9nr1hF6YBqFcxN1TqNiQV1fHL6E6fmkvak/ohWkQykWAOj4bcui5s7tA/aK0F6jlmH3RubPb/i3ZfuFtP275PWD5jmz5+CVyT9iucKINgFKRUZaYO7vtr8n2s86di7sHwy7nzhSDVxevoI5RWfpJgWoQKl4BHSM25NUdBKXneoiP6K/5KoapEMhJNI/bS/igV3cYVBJDbSP9NV/FMBWCuQnQOOKDXl0lLolTzE3slesJxTAVgrmJu71Q8UGvrqafxFBRX3/NVzFMhWBuApT1+aADz6WT2F2x1o9cWOnVmH7J2TRCsKUTCG8C3PZ7xPYd3fbxy+Sexl3hShsEpqLDLDCnRghqOgHnrFpbdXc27WJeTbN5MBo6xeFWAhjUT9Jf8xMDVSFYAAM6SnzQK0yHoZ6S/pqvYpgKwdwE6CrxQa+uOZ3EUF9Jf81XMUyFYG4CdJb4oFfXoE5iaI+I/pqvYpgKwdzE3X+o+KBXV/RPYqjqr7/mqximQjA3Aer+fND6P//wh8N/9D8iG/vCWI4f9N3H73/4AYMam+9++3eqJElm+BNLRVuVGX6fL0SAT4uM2fWc2TXd7PFECDIbngsZq/WUZ8Zs8xuK3cbwJLgHzb1BiaXYrUoRB/aguak02exlPGja7MG3CHYP9eDgHpQ9rdIif1plqdIfqnxaCVHOeZWlNq4x8fPeISpvr8qe1galNii1QannUGo6yjKelj19803D8uabBkZ/apo335zDGXyTwHMbY5h4WiWZ9sCkmB3NLMV2DZcG9jvxtDYA9RxATQdYxtuE9i1DoD9nEAafJDDchodJ7VyJ8bBED29JahwuNT9l2ZzDCSsrfsAIhObtcFL7WmIcTvPUhqc2PPUcT03nWcb/pPG8ZPC/xIxzBsl8Dj/PQA1+S6AyWKenZCYA/8A6G3Q3d0hu+TAHTNyF2hf6S1bKoCtXEYItnUB4E+C23yO27+i2Sx/b6SPcw7wagKnoMONhzQ3j60rvIQQ1nYC115bIu7NpE8MUxWZjtNhnabEv9lFXlmUk2kZFTdxkUdnJ/b5R+/ZQXNQwgtWzEqyJkig/MVAVQtWzEqSJwgYderFI4u4N6Edu7w3ks+/sIgHMTbClEzAHMLftO7rt45fJPWJe4UobBKaiwywSwNwENZ2AN4Dld2fTJgIYxeb1BTCsb5fYW1gXYqAqBAtgSN+ODXpoyOi/nZyKBObph52SuftT2gcs/SkdzwNHNDfBlk7AHNHctu/oto/fLvcQeoUrbRCYig6zSERzE9R0At6IVt6dTZuIaBSbjdFFuU9VLNJICtlH4pB2UZnHcZTEadmUBxmn8qLcGSyipdimsdTa/rwUA1UhVERLkU1jbNDHvYVJIpQUZaSSTkZCFHnUyi6PDm2+j/dJIZUqb8dNsE1jqb3HOaEYpkIwN0E2jbFBD27SyUQVWZJHsu3TSPRlo12qkFFyiEuZd03atOp23CTF3MTeiJxQDFMhmJsgm8bYoI/TqOSQx3lbRnnS55FI4iQq1CGN8uaQlnslD/LQ346bYJvGUns3cWpGAakQzE2QTWNs0KHrgKl7n4x+5GKeXk8iizH9orMmgGBLJxDeBLjt94jtO7rt45fJnaZf4UobBKaiwywxawIIajoB66wpNZvGTqZdzppINq8vgGGbxsx74SMGqkKwAOZuv1Z80CtMh7F+pxlx/BTDVAjmJki/kw16hZNrbNNYam+xTCiGqRDMTdy9sIoPeoWlOqz5lNr7MBOKYSoEcxOk+cQGfW4+nR67cYegzafUXW/XPmCvXc/vsllkGuUm2NIJhDcBbvs9YvuObvv47XLn7Ve40gaBqegwi0yj3AQ1nYB3GmWaTyfTJqZRFJtXN43KsOZTZu/DXIiBqhAqomVI84kNenCTtu365pCVOvqJLhJ5cYgaFet0KWmLfdI2+0zGt+MmWPMps/dhJhTDVAjmJkjziQ36uC2nS9Oi7A+RylUWiSYVUZHty2gvpMrzJN7H6nZm2xnWfMrsfZgJxTAVgrkJ0nxigw7dVcjcPRX9yO0H8YVNhwGCLZ1AeBPgtt8jtu/oto9fJnf+dYUrbRCYig6zRDoMENR0AtZ0OMvuzqZdpsMkm9cXwKDbr/TX/MRAVQgWwNy9sIoPeoXpMNZ8yqSvYpgKwdwEaT6xQa9wco01nzLlqximQjA3QZpPbNDHw6MM+tgPxlJAu+RJShwPNMiKp1UiYvORmg9zoIFQ5sP8QppfSPMLaX4hzS+k+YUyv1DmF8r8QplfKPOL3PwiN7/IzS9y84vc/KKI50S2tG5UqS1AUyVIKjxbOh6QoPWpjT610ac2+tRGn9roUxt9aqNPbfSpjT610ac2+tRGn9roUxt9aqNPbfSpjT610ac2+tRGn3pOn5quzzgRg/SBc7HTgQtaH/2pBTKf6fA5HLgg1PA5/FYOv5XDb+XwWzn8Vg6/VcNv1fBbNfxWDb9Vw2/z4bf58Nt8+G0+/DYffjsjmrGLotqQCh5VC97Aydz9LD0qW/pZmjKd9Y1FZqxugi2dQHgT4LbfI7bv6LZLH9vpI/w51rlhKjrMIjNWN0FNJ+CdsRZ3Z9MmhimKzcboTucSrRIqavNWT1sOZRa1XdxFXdG0++TQ7JvmIrcIl2NiB5Rm1m7WpRioCsFyTHfbseKDDl1yFe721Qv9pXn6PE7nk5slAhhAsKUT8AYwwPYd3fbxy+QeMa9wpQ0CU9FhlghgAEFNJ2ANYCK+O5t2GcBINq8ugAmstSys98JdioGqECqACaS1zAZtiiRPX4Y/x0G4O6f60Vs7p3L+WMRFApmbYEsnYA5kbtt3dNvHL5V75LzClTYITEWHWSSQuQlqOgFvIEvvzqZNBDKKzUO1/xDHh7zro6IrZSTiLjGXfIoojYVSsi9U1+5f3kwgw7bUCuvu0ksxUBWCBTJ3x7vigw4+E3N3TvUjF/P0OozPn2K+SABzE2zpBMwBzG37jm77+GVyj5hXuNIGganoMIsEMDdBTSfgDWBmS+3JtIkARrF5fQEMW9UgpJ8YqArBAhiyqoEN+mF30+mpB++NCXfzXruAmldDh/Owh50DBFs6AXNAc9u+o9s+frncI+gVrrRBYCo6zCIBzU1Q0wl4A5q6O5s2EdAoNg9Gp23XpH0X5WXTRaJM46gtD3GUJzJuD10v8vKGSovYrm5hX88wce43pkKwgIbs6maDDj4jc/ez9SO3blZO09l3dpEA5ibY0gmYA5jb9h3d9vHL5B4xr3ClDQJT0WEWCWBugppOwBvAzOIOMbe4g2Tz+gIYtrhDlH5ioCoEC2DI4g426FvpjUl3X/tFIq17lOXFHbyLBjKAYEsn4A1kgO07uu3jl8o9cl7hShsEpqLDLBHIAIKaTsAayKRZ5CHnFnmQbB5Ki12zz7MiifqsTCKx36dReeiSqGu6LFWdjpDl6cHcQCCT2CIPad1KfykGqkKoQCaRRR5s0KFnYtLdz9aP3NIb1mE87OIOgGBLJ2AOYG7bd3Tbxy+Te8S8wpU2CExFh1kkgLkJajoBbwAziztOpk0EMIrN6wtg2OIOad0lfykGqkKwAIYs7mCDfuiNncCD98aku7+tXUDMq6HDedjz0wGCLZ2AOaC5bd/RbR+/XO4R9ApX2iAwFR1mkYDmJqjpBLwBzSz2OJk2EdAoNhujk8wce3tIojQXZSTSuInaJjtEbdkkbZIUhyK/ndKixBZ7SOknBqpCsICGLPZggw4+I3P3s/UjV/P0OpyL2Xd2kQDmJtjSCZgDmNv2Hd328cvkHjGvcKUNAlPRYRYJYG6Cmk7AG8DM4o6TaRMBjGLz+gIYtrhDWtY5TImBqhAsgCGLO9iggwcwdz9bP3J7bzjs6kSAYEsnYA5gbtt3dNvHL5N7xLzClTYITEWHWSSAuQlqOgFvADOLO+Tc4g6SzesLYNjiDln6iYGqECyAIYs72KBDBzDl7mO/0F+y0odd1AEQbOkEvAEMsH1Ht338MrlHzCtcaYPAVHSYJQIYQFDTCVgDmDKLOtTcog6SzasLYApb1KHsh1hMrG/AVAgVwBSyqIMNOngAc/ex9SO394QvblBeNoC5CbZ0AuYA5rZ9R7d9/DK5R8wrXGmDwFR0mEUCmJugphPwBjCzqONk2kQAo9i8vgCGLepQ9vUNE/fBYyoEC2DIog426OABzN231o9cWOnDLuIACLZ0AuYA5rZ9R7d9/DK5R8wrXGmDwFR0mEUCmJugphPwBjCziONk2kQAo9i8vgCGLeJQ0k8MVIVgAQxZxMEGHTyAufvW+pErK33Y+9YAgi2dgDmAuW3f0W0fv0zuEfMKV9ogMBUdZpEA5iao6QS8Acws4jiZNhHAKDavL4BhiziUfT3D1NVjkArBAhiyiIMNOngAc/et9SO39oCz+QO7FwlgboItnYA5gLlt39FtH79M7hHzClfaIDAVHWaRAOYmqOkEvAHMLOJQc4s4SDavL4BhizhU6ScGqkKwAIYs4mCDDh3Acnff+oX+kpU+7KG/AMGWTsAbwADbd3Tbxy+Te8S8wpU2CExFh1kigAEENZ2ANYDlZhFHPreIg2Tz6gJYji3iyK3rGS7FQFUIFcByZBEHG3TwAObuW+tHnlrp09l3dpEA5ibY0gmYA5jb9h3d9vHL5B4xr3ClDQJT0WEWCWBugppOwBvAzCKOk2kTAYxi8/oCGLaII7euZ7gUA1UhWABDFnGwQQcPYO6+tX7kwkof9mgpgGBLJ2AOYG7bd3Tbxy+Te8S8wpU2CExFh1kkgLkJajoBbwAzizhOpk0EMIrN6wtg2CKOXPqJgaoQLIAhizjYoIMHMHffWj9yZaUPexIHQLClEzAHMLftO7rt45fJPWJe4UobBKaiwywSwNwENZ2AN4CZRRwn0yYCGMXm9QUwbBFHbl3PcCkGqkKwAIYs4mCDfjgb8fR+Bj8bMXf3sbULWHrCqlRhF3UABFs6AXNAc9u+o9s+frncI+gVrrRBYCo6zCIBzU1Q0wl4A5pZ1JHPLeog2WyMFk1c6t8nUdnsZSS6NI6KXrVRf8j2Mm30376hizBzbFFHXvqJgaoQLKAhizrYoEPPyAp3H/uF/tI8vQ7nYY+WAgi2dALeAAbYvqPbPn6Z3CPmFa60QWAqOswSAQwgqOkErAGsMIs6irlFHSSbVxfACmxRR2Ff3zBxyhKmQqgAViCLOtighxmZQc/GfjCW4gd99/H7H37AoMTmu9/+HY2YPdUfhf4oU/ORP63SODEfwnyY/5mk5sP8lJqfUvNTZn7KzE/C/CTMT9L8JM1PyvykzE+5+Sk3PxWzIltazzpLwFesQVLh45vRpzb61Eaf2uhTG31qo09t9KmNPrXRpzb61Eaf2uhTG31qo09t9KmNPrXRpzb61Eaf2uhTG31qo089p09N12c8dEL6wKOnkccMktlT81mYT62Q+cz1p9HIfIrhc/iTJB0+h5/T4ed0+Dkbfs6Gn8Xwsxh+lsPPcvhZDT+r4ed8+Dkffp4RzVhEUW2Q7eVtFEkKd9Nej8qWpr2mDNu2Bgi2dALmHNNt+45uu/SxnT7Cn2OdG6aiwyySY7oJajoBb46Z3Z1NmximKDYPVf8m67NUyki2jYpE2edR23ZFlOZln7RJWpRN/PJmckyB5ZjCTwxUhWA5pnuxRcUHPbiJEvs87/osanWMjoSSaaT/dqv/VrNPWtXsC9ndjptgqxsK6asYpkIwN0FWN7BBD25SNJlUsSiitjjo7+Z9HxX7VERdrhrzb4hF3N6OmyjMTZSvYpgKwdzE3fmu+KCPs1X9nzwRTSSSLI5E1qmoTJQeflQet6k8iD5Rt+MmWKu5sHRdpxXDVAjmJkirmQ06eGXe3U3Tj9y+3TjsmdkAwZZOILwJcNvvEdt3dNvHL5M7Tb/ClTYITEWHWWTW5Cao6QS8sybTWi7mWsskm9cXwLDWcmHpsk6JgaoQLIAhrWU26PWlw2UMuUlp72ZNKIapEMpNSnfbseKDXl8NpsT6fKW95TV1GD2kQjA3Qfp8bNCh0+HSvV9VP3JLq0TThz2BHyDY0gmENwFu+z1i+45u+/hlcudfV7jSBoGp6DBLpMMAQU0nYE2HS7N5+2TaZTpMsnl9AQzbvF3a9zFPHUYPqRAsgLlbXxUf9PqaCCXWayqFr2KYCsHcBOk1sUGvcNaE9ZpK6asYpkIwN0F6TWzQ66vBlFivqVS+imEqBHMTpNfEBh181uRuoehHbt+tF/baF4BgSycQ3gS47feI7Tu67eOXyZ2mX+FKGwSmosMsMmtyE9R0At5ZU353Nm1i1kSxeX0BrMACmL2jMnEDCqZCsADmbn1VfNArTIexXlNpb7tMKIapEMxNkF4TG/TqajBpDPWa9Nd8FcNUCOQmmsftJnzQD8c3PEQV818htyaksbunon3A0lNRpQq6/RUh2NIJhDcBbvs9YvuObvv47XInZFe40gaBqegwC+THCEFNJ+DMj7VVd2fTLvJjms3GaKG6uM2LRse8LIlEKsuokIWIDsU+Lru2y3p1M4lPGqdYRLO0WKbEQFUIFtHcvbCKD3pwk1j1bbqXWaRKnRqJNEuj4iD7qGvaPpeylHFxQ24CNZ/013wVw1QI5iZA84kPOnAdMI3dPRX9yMU8vU77gt6eiRBs6QTMeY7b9h3d9vHL5A6sV7jSBoGp6DCL5DlugppOwJvniLuzaRN5DsXm9QUwqN+pv+YnBqpCsAAG9Dv5oFeYDkP9Tv01X8UwFYK5CdDv5IM+F3iKI3nosyfS2N3z0T5g6Z/otC/oslGEYEsnYE583Lbv6LaP3y53pL3ClTYITEWHWSTxcRPUdALexCe/O5s2kfhQbB46W7EskraJo+agA59IRByVcVlEh2Yviy4pZRs3L28mokENUP01PzFQFYJFNKABygc9uElb7rM+6ZJIxUJHP1H0UZkVZVR2Mst1miRacUOdLagBqr/mqximQjA3ARqgfNDHA7ek7NO2l/qXrf5uK3UuLfbaucpMJGmRdEVZ3IybJFgDNLH0AqcVw1QI5SYJ0gBlgz6OJm3X60GnjKQQXSTy4hA1KpZ6DGqLvR6S9pm8ndEkgTbb6a/5KoapEMxN3L2wig86dLk4cfdU9CO39FTyWMRj+kVnTQDBlk4gvAlw2+8R23d028cvkztNv8KVNghMRYdZYtYEENR0AtZZU5LenU27nDWRbF5fAMP6nYl139mlGKgKwQIY0u9kg15hOgxtttNf81UMUyGYm7h7YRUf9Pom1wnWfEqkr2KYCsHcBGk+sUGvr1SXYM2nxNqHmVIMUyGYmyDNJzboc/OpPJIHbz4l7nq79gF77TrsqhuAYEsnEN4EuO33iO07uu3jt8udt1/hShsEpqLDLDKNchPUdALeaZRpPiVzzSeSzUPi0+eqzQ9xtC9S01NPsqiJWxntxb5s46JIikPy8mYiGtZ8Sux9mImVBZgKwSIa0nxigz6uuonTfXNo+ygxZ1YIGe+jthf7SCVFLMxtPFl5Q26CNZ8Sex9magEKpEIwN0GaT2zQ65ttp1jzKbX3YSYUw1QI5SYp0nxigz6egHQoYnXYx9EhjQ+R6FQZFfuyjLq+F7HKDk0s8ttxE6z5lNr7MBOKYSoEcxOk+cQGHbr5lLrr7fqR22vX81eJLTFrAgi2dALhTYDbfo/YvqPbPn6Z3Gn6Fa60QWAqOswSsyaAoKYTsM6aUtN8SueaTySb1xfAsOZTau/DXIiBqhAsgCHNJzboFabDWPPJDP1+imEqBHMTpPnEBr2+yXWKNZ/Mo/RTDFMhmJsgzSc26PWV6lKs+ZTa+zATimEqBHMTpPnEBh181uQur+tHbilVa/p0TL/srMlNsKUTCG8C3PZ7xPYd3fbxy+RO069wpQ0CU9FhFpk1uQlqOgHvrMn0mtK5XhPJ5vUFMKzXlFoPPbwUA1UhWABDek1s0IOb7EWayzxPoiztiihJ+j5qkjiN9olSSdPFbVtmt+MmWK8ptbRdphXDVAjmJkiviQ16fZPrDOs1ZdZDD6cUw1QI5SYZ0mtig15fqS7Dek2Zpe0yrRimQjA3QXpNbNChZ02Zu7yuH7m9VH1xxfCisyaAYEsnEN4EuO33iO07uu3jl8mdpl/hShsEpqLDLDFrAghqOgHrrCkzvaZsrtdEsnl9AQzrNWX2tsvEhemYCsECGNJrYoNeYTqM9Zoy4asYpkIwN0F6TWzQ6+s1ZVivKZO+imEqBHMTpNfEBr2+Ul2G9Zoye9tlQjFMhWBugvSa2KCDz5rc5XX9yO2lajGmX3bW5CbY0gmENwFu+z1i+45u+/hlcqfpV7jSBoGp6DCLzJrcBDWdgHfWZHpN2VyviWTz+gIY1mvK7G2XCzFQFYIFMKTXxAa9wnQY6zVl9rbLhGKYCsHcBOk1sUGvb3ItsF6TsLddJhTDVAjlJgLpNbFBr69UJ7Bek7C3XSYUw1QI5iZIr4kNOvSsSbjL6/qR20vVYe+aAwi2dALhTYDbfo/YvqPbPn6Z3Gn6Fa60QWAqOswSsyaAoKYTsM6ahOk1ibleE8nm9QUwrNck7G2Xifu0MBWCBTCk18QGvcJ0GOs1CeGrGKZCMDdBek1s0OubXAus1ySkr2KYCsHcBOk1sUGvr1QnsF6TsLddJhTDVAjmJkiviQ364VC99HQGp3GHoIfqCXe9XfuApXatyjzs8RAAwZZOILwJcNvvEdt3dNvHb5c7b7/ClTYITEWHWWQa5Sao6QS80yjTfBJzzSeSzcboUpSiUTKOirzPI5GladSkTR6pfZPp/2vzpLih/BhrPgnr+XKXYqAqBItoSPOJDfo4jSqbtozjLJKtyHQGrb9WtI1JqJVKi1iKfd7fjptgzSdh6cNMK4apEMxNkOYTG/T6ZtsSaz5J6/lyk4pBKoRyE4k0n9ig11e7k1jzSVr6MNOKYSoEcxOk+cQGHbr5JN31dv3I7bVrNaZfdNYEEGzpBMKbALf9HrF9R7d9/DK50/QrXGmDwFR0mCVmTQBBTSdgnTVJ03ySc80nks3rC2BY80na+zAXYqAqBAtgSPOJDXqF6TDWfJLCVzFMhWBugjSf2KDXN7mWWPNJSm/FIBWCuQnSfGKDXl+pTmLNJ2nvw0wohqkQzE2Q5hMbdPBZk7u8rh+5pVSt6S9uAV521uQm2NIJhDcBbvs9YvuObvv4ZXKn6Ve40gaBqegwi8ya3AQ1nYB31mR6TXKu10SyeX0BDOs1Sfuen4k7zTEVggUwpNfEBr3CdBjrNUlL22VaMUyFYG6C9JrYoNc3uVZYr0nZ9/xMKQapEMpNFNJrYoNeX6lOYb0mZd/zM6EYpkIwN0F6TWzQoWdNyl1e14/cXqouxvSLzpoAgi2dQHgT4LbfI7bv6LaPXyZ3mn6FK20QmIoOs8SsCSCo6QSssyZlek1qrtdEsnl9AQzrNSl72+VCDFSFYAEM6TWxQa8wHcZ6TUr4KoapEMxNkF4TG/T6JtcK6zUp6a0YpEIwN0F6TWzQ6yvVKazXpOxtlwnFMBWCuQnSa2KDNhudDPjLwPublLvMrh+9pWStyjwdq7Ds7MlNsKUTCG8C3PZ7xPYd3fbxS+VO169wpQ0CU9FhFpk9uQlqOgHv7Mn0nNRcz4lkszG6LfeyEVkRpU1SRkIVh6iVJugpUez3yX4/NDNuJZBhPSdl3+pzIQaqQrBAhvSc2KAHN5GqzPaH8hDF6V5/t5GdTouyVE+8CqW/lx1a1d+Om2A9J2Vpv0wrhqkQzE2QnhMb9Pom2TnWc8rtW30mFMNUCOUmOdJzYoNeX8kux3pOuX2rz4RimArB3ATpObFBh+455e4yu37k9pJ1OaZfdNYEEGzpBMKbALf9HrF9R7d9/DK50/QrXGmDwFR0mCVmTQBBTSdgnTXlpueUz/WcSDavL4BhPafc3n65EANVIVgAQ3pObNArTIexnlMufBXDVAjmJkjPiQ16fZPrHOs55dJXMUyFYG6C9JzYoNdXqsuxnlNub79MKIapEMxNkJ4TG3TwWZO7vK4fuaVUnccyHtMvO2tyE2zpBMKbALf9HrF9R7d9/DK50/QrXGmDwFR0mEVmTW6Cmk7AO2syvaZ8rtdEsnl9AQzrNeXWrT6XYqAqBAtgSK+JDXqF6TDWa8otbZdpxTAVgrkJ0mtig17f5LrAek2FdavPlGKYCqHcpEB6TWzQ6yvVFVivqbBu9ZlSDFMhmJsgvSY26NCzpsJdXteP3FqqlmFPIAcItnQC4U2A236P2L6j2z5+mdxp+hWutEFgKjrMErMmgKCmE7DOmgrTayrmek0km9cXwLBeU2Ftu1yKgaoQLIAhvSY26BWmw1ivqRC+imEqBHMTpNfEBr2+yXWB9ZoK6asYpkIwN0F6TWzQ6yvVFVivqbC2XaYUw1QI5iZIr4kN2uxvOkWesSOMtfhB3338/ocfMEix+e63f0czFk+rtCznFLCUq1WZZ2MFZtNdCAPPeI3ttbG9nrO9pts+TnQh2+Fc15huUtriqf6cMd78nmK9Mf/ijrjFPao0HiXmPMq+1eLiSumFPao0HjVte023fRmPKgePmjZ+8DiC9YNHna6b07lV2O2YhbtwriOVpXCuMcNenAAQbOkEwpsAt/0esX1Ht1362E4fos7x3w1T0WEWKfa4CWo6AW+xp7w7mzYxTlFsHoo9mYgPZZlFRSz2kZCqMbdo9lHWpnEp2n2WH8qXt5J3l1hT</t>
  </si>
  <si>
    <t>q7TvJZq6QwBSIVTeXSJNLTbo4/ETh6RIDpmIyiIXkeh1et7GcR/tpdh3fV4c4kN8O26CNbVK+16iqVO/IRWCuQnS1GKDPs7is7bR346jLFF9JJKkiMq4b6OuT/UkryuyOFe34yYp5iaWOvq0YpgKwdzE3fCo+KDX12EosQ5DaSm2z4y/kArB3ATpMLBBh26Rl+7CuX7kYp4+j2U6pl901gQQbOkEwpsAt/0esX1Ht338MrnT9CtcaYPAVHSYJWZNAEFNJ2CdNZXi7mza5ayJZPP6AhjW1CqlnxioCsECGNLUYoNeYTqMNbVK5asYpkIwN0GaWmzQK5xc55ibWFox04phKgRzE/fmmooPeoWlOmw3S2nf2DE1/kIqBHMTZDcLG/SxRW7Qx34wlgJqppGUGPqZWRw/1R+p+RDmI9cfifmzJDMfSn+kyZw89lo2fokYBImnw0O305DVhqw2ZLUhqw1ZbchqQ1bPkdV0siV6oYbMfKbDpxg+c/OZDH+u8cynMp8zgENvnkBoEE8Oahw3ZLtUi+B8gV/oL1kpg57DhBBs6QTCmwC3/R6xfUe3XfrYTh8BT7EAganoMAtM/BGCmk7AOfHXVt2dTbsYpmg2G6ObRHRCdlmUNZ2MRKkT/ELtiyhTe7FPDm3RZoeXN5KDZTHUB9Nf8xMDVSFQDqZ5nF5b8UEHrlzr+O2k14/cvjdkfpnfIgHMTbClEzAHMLftO7rt45fJPWJe4UobBKaiwywSwNwENZ2AN4Cld2fTJgIYxeb1BTCo9aq/5icGqkKwAAa0XvmghyKC/tun7RZmaXTYGZm7+6RdQMyrocoi6G5lhGBLJ2AOaG7bd3Tbxy+XewS9wpU2CExFh1kkoLkJajoBb0ATd2fTJgIaxea1tWI1DRbQpJ8YqArBAhrQiuWDPuY9Mi3SPo+jvmmbSMe7Iir64hDtW/03OtmmTdrejptArVj9NV/FMBWCuQnQiuWDDj5xd3cY9SO3dxjnd1Mtkue4CbZ0AuY8x237jm77+GVyB9YrXGmDwFR0mEXyHDdBTSfgzXPyu7NpE3kOxeb1BTCo+6+/5icGqkKwAAZ0//mgV5gOQ2dZ6q/5KoapEMxN3LsQKz7o0HlO4m4qvsgS+xGNcky/aJ4DEGzpBLx5DmD7jm77+GVyB9YrXGmDwFR0mCXyHICgphOw5jmJ6bAncx12ks2rC2AJ1mFP7CeJXoiBqhAqgCVIh50Nen3pcJJibmJv6k0ohqkQzE3c3deKDzp4nuPu4ulHbu/iBT14BSHY0gmY8xy37Tu67eOXyR1Yr3ClDQJT0WEWyXPcBDWdgDfPye7Opk3kORSb1xfAoONT9df8xEBVCBbA3N3Wig96hekw1t5MpK9imArB3ARpb7JBP6zXKY/gwdfrJO4unnYBNa+GKouwC1ABgi2dgDnvcdu+o9s+frncgfYKV9ogMBUdZpG8x01Q0wl48x51dzZtIu+h2GyM7tIyS9OkjfZl1kVCpCIq0ljHwqQtyzZPVN6f3vFbCGjQZmf9NT8xUBWCBTR397Xigz7mPWKf512fRW1SFJFQMo2arG8jUTb7pFXNvpDd7bgJ1u5MrIfJTimGqRDMTZB2Jxv08YQN6OzwW3ETrN2ZWDp/04phKgRzE6TdyQZ9nGyrNG7i7BDlh8ak0kkSNYdDHwm5Tw9NH3fycDuT7RQ65VR/zVcxTIVQbpK6W2EVH3ToanHqbqnoR25vqcyfH7DErAkg2NIJhDcBbvs9YvuObvv4ZXKn6Ve40gaBqegwS8yaAIKaTsA6a0qTu7Npl7Mmks3rC2BYuzO1d/4uxEBVCBbAkHYnG/T60uEU292Z2jssE4phKgRzE3crrOKDXt/kOsV6TyZD8FMMUyGYmyC9Jzbo9ZXqUqz3ZB6ln2KYCsHcBOk9sUH/8Hwn24UjjLWAjiwjSXE8cS41R8yJmRu0stRersY3u0AYeMZ7PFMuNYfIzdhe020fJ7qQ7XCuezo1Lh3OiJsx3vyeYr0xP/SdbFlaaI/KzHmFmflJzJxXmKX2Qji+wBgC8vatQvtWZs4mzMxPMxQ1nWIZLzM3/xkM8zn8PAMyeCSBZEA5kgTvoKfuuroOZPa6euBakJtgSycQ3gS47feI7Tu67dLHdvoIdk4P3DAVHWaRWpCboKYT8NaCiruzaRPDFMXmYfYGHQZ8K2k51vNK7e2fqYkMpEKwtBzpebFBD26CHS1+I26SYT2vzN7+mVAMUyGUm2RIz4sN+lgyhC4quBU3wfZbZdbDPacUw1QI5ibufkjFB310k7brm0NWRlKILhLah6JGxVL/rbbYJ22zz+QNjSZYAyKz1OJnFINUCOYmSAOCDTp0Bz1z19X1I7fX1Ysx/aKzJoBgSycQ3gS47feI7Tu67eOXyZ2mX+FKGwSmosMsMWsCCGo6AeusKTP7rbK5/VYkm9cXwLCeVyb8xEBVCBbAkJ4XG/QK02Gs55VJb8UgFYK5CdLzYoNe4eQaO04yU76KYSoEcxP33puKD3p9pboM2+ySWdor04phKgRzE2SzCxv0w+7NU1Ax/xW095S5y+3aBeyl67D3XwEEWzqB8CbAbb9HbN/RbR+/XO60/QpX2iAwFR1mkVmUm6CmE/DOokzvKZvrPZFsNkZnqRSt0MNY08ksEk1aRs0+zaIyT9s+l22XittZh5xhvafM3oaZuAoKUyFYQEN6T2zQ65tsC6z3JOxtmAnFMBVCuYlAek9s0KGrxcLdUtGP3L5dI2yeAxBs6QS8eQ5g+45u+/hlcgfWK1xpg8BUdJgl8hyAoKYTsOY5wuy3EnP7rUg2ry+AYe1OYen8TYmBqhAsgCHtTjbo9aXDAttvJewdFnpmGMpN3K2wig/6uEPCoI/9YCwFtG6apMRxObuQZhG7WckuE/MhzIfZNKFi82HWuSs1J4+Yl0eVZTyWZ9kl7pqsNmS1IasNWW3IakNWG7J6jqymky2y7F2Tmc9hwbtmM59i+Bw2XWg88zksip8BHLZmEAiHwe3kqC8DlySFu92jRy1ppUxnn+MiqbqbYEsnEN4EuO33iO07uu3Sx3b6CHiOBW6Yig6zSKruJqjpBLypurw7mzYxTFFsNkbLJtc5WdlG+V6ZfC3NozZOkijp+rzt8kTFzQ3lYFgrVig/MVAVguVgSCuWDXp9B+kKrBUrrDvdphTDVAjmJkgrlg06eEnS3W3Sj9x6e5iaz1cXyXPcBFs6AXOe47Z9R7d9/DK5A+sVrrRBYCo6zCJ5jpugphPw5jmm9SrmWq8km9cXwLDWq7B0IafEQFUIFsCQ1isb9PrSYYm1XqX1MrEpxTAVQrmJRFqvbNCh8xzp7jbpR27t3KiLa74XzXMAgi2dgDfPAWzf0W0fv0zuwHqFK20QmIoOs0SeAxDUdALWPEea1quca72SbF5fAMNar9LahbwUA1UhWABDWq9s0OtLhyXWepXWLuSUYpgKwdwEab2yQQfPc9y72fQjF1b6dEy/bJ7jJtjSCZjzHLftO7rt45fJHVivcKUNAlPRYRbJc9wENZ2AN88Rd2fTJvIcis3rC2DYTlMp/cRAVQgWwNzd1ooPeoXpMNbelMpXMUyFYG6CtDfZoIPnOe6unX7klq6dpg974SNAsKUTMOc5btt3dNvHL5M7sF7hShsEpqLDLJLnuAlqOgFvnpPfnU2byHMoNq8vgGE3+Ul7E2/iGipMhWABzN1trfigV5gOY+1Nae/0Td19CKkQzE2Q9iYbdOg8R7m7di/0l6z084f1L5HnAARbOgFvngPYvqPbPn6Z3IH1ClfaIDAVHWaJPAcgqOkErHmOiu/Opl3mOSSbVxfAFHaQrrI38S7EQFUIFcCUu9ta8UGvLx1WWHtT2Tt9E4phKgRzE6S9yQYdPM9xd+30I7d37eavi1kkz3ETbOkEzHmO2/Yd3fbxy+QOrFe40gaBqegwi+Q5boKaTsCb55iDdNXcQbokm9cXwLCDdJXwEwNVIVgAc3dbKz7oFabDWHtTSV/FMBWCuQnS3mSDDp7nuLt2+pErK70a0y+b57gJtnQC5jzHbfuObvv4ZXIH1itcaYPAVHSYRfIcN0FNJ+DNc9Td2bSJPIdi8/oCGLZhWNmbeBdioCoEC2DubmvFB73CdBhrbyp7p29CMUyFYG6CtDfZoH94viRbjB1hrAV0iBBJiuMZULk56ilPzYc5/ilX5sMcCZWX+qMwvy2Tp5WI9VdEkumPVH9PZFJ/iOEjn1PP0vVTZYkvyoAkwOPb8YSo3BwEpblrw10b7tpw14a7Nty14a4Nd224a8NdG+7acNdz3DWdexwSIW44Kp7Oj8qHE6I0uPkcTo7S6OZzOFFKw+vPYvhOaU6XMvz6MzEnShkF9GdmTqAS4vg5LYIJshQVjAynS77NgBj0jKnc3c56ob9kpQxb8wQItnQC4U2A236P2L6j2y59bKePsA/BBoCp6DBLzAUAgppOwDoXyE1vN5/r7ZJsNkYXXZJlmUgiVag8En2bRU3f76N9pvbiIJouvaHrfnKst5tb7wu9FANVIVSSlyO9XTbo0MWs3N2y1I/c3rKcvyZ9kQDmJtjSCZgDmNv2Hd328cvkHjGvcKUNAlPRYRYJYG6Cmk7AG8DSu7NpEwGMYvOQZ8et6Io2jfrhUOt9nkVFkx6ibi/VIe5Ud8hup5iVY7ulc3sHc+ImY0yFYAHM3Wqu+KCDBzB3y1I/cmGlD3t9M0CwpRMwBzC37Tu67eOXyT1iXuFKGwSmosMsEsDcBDWdgDeAmd3SJ9MmAhjF5vXNwLDlBLn0EwNVIVgAQ5YTsEEHD2DuDqp+5MpKH/ZGKYBgSydgDmBu23d028cvk3vEvMKVNghMRYdZJIC5CWo6AW8AM8sJTqZNBDCKzeubgWHLCXJ7Z33i1hxMhWABDFlOwAb9w9NV0KenblpjIXpiM4/aemNsGbh06O7vb+kEzIHLbfuObvv4JXKPlI/lMhXd6EUClFv2mk7AG6DM+eL53PniJJvDpM4zI41lLUEe5/Gs6IuMNO4d8Fs6AfNI47Z9R7dd+tj+2CMN1ehFRhq37DWdgHekKe/Opk2MNBSbTznOydPNOBMixzlP2gv3UocX+kvzoHpIDTtpBwi2dALeEQmwfUe3XfrYTh6RzpMHAKaiwywxUgEENZ2AdaQqzLqfYm7dD8nmYZjKikOctUUUp0JGIhcqag5ZG5ViX4osV3GbtS9vZdJeYOt+CvsSmIn5K6ZCqEl7gaz7YYMe3CRvSyXjrI9kUZSRaIsiavOD0v8z7pqmUSpt+ttxkxRzE8tSg2nFMBWCuYl7TUjFB30cTVTXiaYtI5nFKhKijaM2TvdRnnVNKvadkOqGRhNsEUZhWY8w82JBKgRzE2QRBhv04Cb7rFRdJrJIxH0XiSzuo1bJJOoORV80SXxIc3E7boJtsC+Er2KYCsHcxN2gr/igBzfJRCv6fadHnti4lEpU1PbpISr3Is+NT8VlcztugnXEC+mrGKZCMDdBOuJs0MfRpBeiSOI4auLsEIn00EZtGWfRoUn2cSFkn4kbchPs/PBC+SqGqRDMTdzd0ooP+ugmbZ6rMi6iJu/3kegPfdQkfRwloov3WdvsD8nhdtwEa08Wlk7djGKQCsHcBGlPskEPbtIfMqX2qo2SJCkikaguarpODqGq13/WFw9Fr1twE2y3c2HvmEwohqkQzE3cra2KD/rkJs0+zZpDdGhb7VJZmmqXavMo7rKy6FLRZ5m6HTfBDnMuLOXuOcUQFYK5ibsvUfFBH4NOsk+SvSyjVh7M5LmLo6IU5sSFOFFxnLaHGzpio8Tuqi09a42oCqHcpHQXhSs+6ECd6XN/qHQXF/Ujtx4Ym4e9qxYg2NIJhDcBbvs9YvuObvv4ZXI3JK5wpQ0CU9FhlDeMryu9hxDUdALW/lBp7qot5+6qJdm8vgCGFf5LSw18SgxUhWABDCn8s0Ef02EV75ssySKZmgWgIhZRq+LSpM76n6//DW1Z3o6bYIX/0roRcUoxTIVgboIU/tmg1ze5LrHCfym8FYNUCOYmSOGfDXp9pboSK/yX0lcxTIVgboIU/tmg19cfKrHCf6l8FcNUCOYmSOGfDXp9/aESK/yXlhr4zIsFqRDMTZDCPxv0+hYllFjhv7Se+DmpGKRCMDdBCv9s0Otb4lRihf/SUgOfVgxTIZibIIV/NujVLZgUMVT411/zVQxTIZCbaB63m/BBr275tYih5df6a76KYSoEcxN3Ubjigw7cHxKxu7ioH7m9uJiO6ZfsDyEEWzqB8CbAbb9HbN/RbR+/TO6GxBWutEFgKjrMAv0hhKCmE3D2h7RVd2fTLvpDNJvXF8Cgwr/+mp8YqArBAhhQ+OeDXmE6DBX+9dd8FcNUCOYmQOGfD3p1k2sRQ4V//TVfxTAVgrkJUPjng15dqU7EUOFff81XMUyFYG4CFP75oFfXHxIxVPjXX/NVDFMhmJsAhX8+6NX1h0QMFf7113wVw1QI5iZA4Z8P+ni8YVPu004lUZEO381k1CZlEfVlHif7dp9L0d+Om0CFf/01X8UwFYK5CVD454Ne3doVkWCF/8ReA596sSAVQrlJghT+2aBXtxJOJFjhP7HXwCcUw1QI5iZI4Z8NenXLr0WSYm7iWWtEVQjmJu6icMUHHbo/lLiLi/qR24uL83eILtEfAgi2dALhTYDbfo/YvqPbPn6Z3A2JK1xpg8BUdJgl+kMAQU0nYO0PJdnd2bTL/hDJ5vUFMKzwnwg/MVAVggUwpPDPBr267fQiwQr/ifRVDFMhmJsghX826BXOmrDCf2KvgU8qhqgQzE2Qwj8b9AprMFjhP7HXwKfGX0iFYG6CFP7ZoNfXH0qwwn9ir4FPKIapEMxNkMI/G/T6+kMJVvhP7DXwqRcLUiGYmyCFfzbo9S1KSLHCf2qvgU8pBqkQyk1SpPDPBr2+JU4pVvhP7TXwCcUwFYK5CVL4Z4Ne34LJFCv8p/Ya+IRimArB3AQp/LNBr2/5dYotv049a42oCsHcxF0UrvigQ/eHUndxUT9yYaUXY/pF+0MAwZZOILwJcNvvEdt3dNvHL5O7IXGFK20QmIoOo7xhfF3pPYSgphOw9odScXc27bI/RLJ5fQEMK/yb98JHDFSFYAEMKfyzQa8wHcYK/6m9Bj6hGKZCMDdBCv9s0CucXGOF/9ReA596sSAVgrkJUvhng15hqQ4r/Kf2GviEYpgKwdwEKfyzQa+vP5Rihf/UXgOfUAxTIZibIIV/Nuj19YcyrPCf2WvgUy8WpEIoN8mQwj8b9PoWJWRY4T+z18CnFINUCOYmSOGfDXp9S5wyrPCf2WvgE4phKgRzE6TwzwZ9dBPo1O1bcROs8J/Za+BTikEqBHMTpPDPBr2+5dcZtvw6E76KYSoEcxN3Ubjigw7dH8rcxUX9yKWVXo7pF+0PAQRbOoHwJsBtv0ds39FtH79M7obEFa60QWAqOswS/SGAoKYTsPaHMnl3Nu2yP0SyeX0BDCv8Z/Ya+IUYqArBAhhS+GeDXuGsCSv8Z/Ya+IRimArB3AQp/LNBr7AGgxX+M3sNfOrFglQI5iZI4Z8Nen1H/WRY4T+z18AnFMNUCOYmSOGfDXp9/SGBFf6FvQY+oRimQig3EUjhnw16ff0hgRX+hb0GPjX+QioEcxOk8M8Gvb5FCQIr/At7DXxKMUiFYG6CFP7ZoNe3Ek5ghX9hr4FPKIapEMxNkMI/G/T61tUKrPAvhK9imArB3AQp/LNB6//8Q+Mo+u/8A6sbuCvOV6igH7675qkfvbSpEMdjFRZtAAAEWzqB8CbAbb9HbN/RbR+/VO6K8xWutEFgKjrMEg0AgKCmE7A2AIRpAJxMu2wAkGweajFZ3iRFaYp6+1gHPZNMJ/p/lkWcFqrIs7Y8vSG3EMiwBoCw1sIvxUBVCBbIkAYAG3ToDrZw17X1I7fXtdXsO7tIAHMTbOkEzAHMbfuObvv4ZXKPmFe40gaBqegwiwQwN0FNJ+ANYPnd2bSJAEaxeX0BDOs5CXv75UIMVIVgAQzpObFBm5nY4CqXSzbHWvyg7z5+/8MPGKTYfPfbv1MJGT/VH8mcAtZ2SnxxyensyANh4IOPsb02ttdzttd028djDmQ7POwY0/Xoom03n9PGm9GHYv1g/smRXoaZ5U8PH9Lab4nDHgcu3R2jLZ2ANxkCbN/RbZc+tpNHoumhh2z0EkkPIHtNJ2BNemR8dzbtctgh2RxmOjYz0thbdvms6IuMNO6m45ZOwDzSuG3f0W2XPrY/9khDNXqRkcYte00n4B1pkruzaRMjDcXmIW8e/mOsbw/7tumLqD0UZpHoYR+VyX4fxY1pk5R5puL4pSO97r/Xn33nUV3tIb3OZjJrOd0zNpRjcpR00ichQNwtT4n3NFXNRjX2U4gKdtWHlHyayvyGActwKZd7QlOPa9xTPK1knM/56HTDOi1lIcsyTidf0SknhDC8nVA8redsr+m2LzP7E3r2N2f84IoE6780+wvoUXLOmYQVCc/nIQJvZ5o2u6abvYwfTZs9eBjB7tvwIDXnQdKKhB/0BxF4e9C02TXd7GU8aNrswbcIdhvDRXAPmg1oyoqEbwWECLw9aDaWUc1exoPmoxjF7tsYg4o5D5puCj0g4a04iMDbg6bNrulmL+NB02YPvkWw+zbGoPJpJZTUH3liPnL9UWTmw/yilCbvnuu6yOm+0wM1XpCAIL2drHxaG7LakNWGrDZktSGrDVk9R1bTyZbxw9L0ZDSa/tRs5jM3n5rOfA6/LeWQuc/2bUiEBjE5OerLMH2b8+IW6d5m9UJ/yUpZzj7HRaqsboItnUB4E+C23yO27+i2Sx/b6SPgQ5MdgKnoMOPBzg3j60rvIQQ1nYC3+lrenU2bGKYoNhuji0KUqhAiaoo+jkSZ9VFzKA9R0x+SRPZNHPfdy1HsDba4RWFbINV002tWDFSFyXfOCX/9e6fc3cmKD/q4t62Js37fHaJW7MtIxLKIyjLPoqKRh0PcxHm8L2/HTbAtkGq6Y2FRDFMhmJu4W0sVH/TxFA9ZyqbY9/qX5jyzpCu1N8VJVPZ53qR5L/pkfztukmJuMt0ssCiGqRDMTZAtkGzQx333neql2VVbpOa7pSijtuj7KJFt35WtTspzeTtugm2BVPYS/4RimArB3ATZAskGvb4jMhW2BVIJX8UwFYK5CbIFkg36tAUyCT7LVu5tX/rZS5sMSdg9kADBlk4gvAlw2+8R23d028dvlXtad4UrbRCYig6zxCwbIKjpBKyzbGX2QJ5Mu5xlk2xe3ywb2wOplJ8YqArBIhmyB5INenCTptkf2l41UdMmJodO26gRrYqUkK1qD/pfcEMnyCjsEERlbflMKYapEMxN3PvjKj7owU0OXacOedtFRd7p5KjsEj03b7rooJo0bdq2KPLidtwE25CmrH2WKcUwFYK5CbIhjQ16hbNs7BBEZa1zTymGqRDMTdwNiYoPen2z7BzrAOTWYviUYpgKodwkRzoAbNCBNgSdJ9e5u7CtH7m1sF2EnVwDBFs6gfAmwG2/R2zf0W0fv0zu2dwVrrRBYCo6zBKTa4CgphOwTq5zs4Eon9tARLJ5fQEMazrl1v7LpRioCsECGNJ0YoNeXzqcY02n3Np/mVIMUyGYmyBNJzbo9dVgcqzpZCz2UwxTIZibIE0nNuj11WByibmJ9FUMUyGYm7j7EBUf9PoK/zlW+M+tNfApxTAVgrkJUvhngx72wBvyI7iJLUE72bm7vq1dwF7fTsdqLDvZdhNs6QTCmwC3/R6xfUe3ffxyuWd3V7jSBoGp6DCLTLbdBDWdgHeybQ5DPJk2Mdmm2GyMjrNUqF6HvHSfp5FISx38MhVHTaaUVLEss/aGJttY7ym3t2EuxEBVCBbQkN4TG/T61ovnWO8pL30Vw1QI5iZI74kNen3rxQus91TY2zATimEqhHKTAuk9sUGvr3RXYLtPCmu5e0oxTIVgbuLuS1R80MfSXZKW5V52UaOaIhIyL6IiSfqobDrV9jpg6en57bgJ1ggorDXxKcUwFYK5CdIIYIMO3cku3PVt/cjt9e35g46XmFwDBFs6gfAmwG2/R2zf0W0fv0zu2dwVrrRBYCo6zBKTa4CgphOwTq6L7O5s2uXkmmTzYHTayv4gmijWM6rI3HwdFTpbjuJYxlIVRVLK04B1CwEM6z0Vwk8MVIVgAQzpPbFBrzAdxnpPhfRVDFMhmJsgvSc26PXVYAqs91TY2zATimEqBHMTpPfEBr3CGgy26aSwlrenFMNUCOYm7j5ExQe9vsJ/gRX+C2sNfEoxTIVgboIU/tmgg0+u3fVs/cit9ewiHdMvO7l2E2zpBMKbALf9HrF9R7d9/DK5Z3NXuNIGganoMItMrt0ENZ2Ad3JtTjo7mTYxuabYvLoAVmK9ptLadrkUA1UhVAArkV4TG/T61v+WWK+ptG+tmFAMUyGYmyC9Jjbo9a3/LbFeU2ltu0wphqkQzE2QXhMb9PpKdSW26aS0l7cnFMNUCOYm7j5ExQc9uIlMZduIQkaZSPaRHnPyqMnjIiqFjLNWxupwQ8vES6zwb27G9VMMUyGYmyCFfzbo0JPr0l3P1o9cWunDXgsLEGzpBMKbALf9HrF9R7d9/DK5Z3NXuNIGganoMEtMrgGCmk7AOrkuzQFnJ9MuJ9ckm9cXwLBeU2lvu1yIgaoQLIAhvSY26BWmw1ivqbS3XSYUw1QI5iZIr4kNen2d6xLrNZX2tsuEYpgKwdwE6TWxQa+vc11im0xKe3l7QjFMhWBu4u5DVHzQqyv8yxgq/MvYXgOfUAxTIZCbaB63m/BBB55cy9hdz9aP3F7Pnr93dIHJNUKwpRMIbwLc9nvE9h3d9vHL5J7NXeFKGwSmosMsMLlGCGo6AefkWlt1dzbtYnJNs3l9AQzqNemv+YmBqhAsgAG9Jj7o1c2aZAz1mvTXfBXDVAjmJkCviQ96dbMmGUO9Jv01X8UwFYK5CdBr4oNeXalOxtAmE/01X8UwFYK5ibsPUfFBr67wr63B3MReA59QDFMhmJsAhX8+6OGAs+E/ZlQZ+8JYDugicJIawz3uMp6+m17/wlrRTvCGI0SAT4uGS9rnzK7pZo8nQpDZ8FzoeAP7nNnmNxS7jeFJcA8q5zzIfqISPquGCLw9aNrsmm72Mh40bfbgWwS7h5AV2oOS+Gkly+JppZJSf4hUfxSz43JpxZRhvUqj1AalNii1QannUGo6yiKeplH0p2Z5800Doz81jf6cwRl8k8BzE2NYkmgPTDP9IdSM3yX2E51UYL9LtN9pgHoOoKYDLONtifE2TaA/ZxAGnyQw3IaH6UFN6kFYf8zFy8R+GFQe2MP0UGYA6jmAmg6wjIeZ0csQmM/ZKEpiMBCnh2AS+pDnFWtM5+TmhUyshdfk4gLiRXtnAMGWTiC8CXDb7xHbd3TbpY/t9BHrYZ4MwFR0mPGo5YbxdaX3EIKaTsDaO0vSu7NpE8MUxWZjtNhnabEv9lFXlmUk2kZFTdxkUdnJ/b5R+/ZQXNQkgtWnEqwpklj7A5dioCqEqk8lSFOEDfqHpwP4k1POZJ5+2IjmLv5rHxA2OdKghwQiBFs6AXNEc9u+o9s+frvcQ+gVrrRBYCo6zCIRzU1Q0wl4I5q4O5s2EdEoNhuji3KfqlikkRSyj8Qh7aIyj+MoidOyKQ8yTuXF7C9cRMMac4n0EwNVIVhEQxpzbNDHxCc55HHellGe9HkkkjiJCnVIo7w5pOVeyYM89LfjJlhjLlG+imEqBHMTpDHHBn087iJJhJKijFTSyUiIIo9a2eXRoc338T4ppDK3T9+Km0A7cvTXfBXDVAjmJsCOHD7owU067YZFluSRbPs0En3Z6JGnkFFyiEuZd03atOp23ATakaO/5qsYpkIwNwF25PBBn6dRp8ducpCw0yj3zhPtA9YWThp0xzpCsKUTCG8C3PZ7xPYd3fbx2+XO269wpQ0CU9FhFplGuQlqOgHvNKq8O5s2MY2i2Ly6/DjFdoWl1nbhpRioCqEiWorsCmODHtykbbu+OWSlnnKZG8bz4hA1KtbpUtIW+6Rt9pmMb8dNoOPg9Nd8FcNUCOYm7h1DFR/0sd/epWlR9odI5SqLRJOKqMj2ZbQXUuV5Eu9jdTv5cZpibmLtuUwphqkQzE3czbGKD/q4DPbpsb/wFT8YSwGtBiApcVyakZpVGakyH4X+yMxqtMws18jMLzLzi8z8QphfmMVp2v/n1LI2ZdLASx5Ts3pDg9YGtDagtQGtDWhtQGsDWhvQ2oDWc6A1HXSRpR7psMhDk5pPs4DNsJrPYQlINvw2G36bDb8Vw2+H5W1zyMPiJALzMBi+vI0ZYOruHehRTlgp55eJLTEDBAi2dALhTYDbfo/YvqPbLn1sp4+Y59jhhqnoMEvMAAGCmk7AOgNMTSPtZNrEMEWxeahp6ky/VUJFbd7qwH0os6jt4i7qiqbdJ4dm3zQXsTpczoY10sx74SMGqkKwnA1ppLFBm5zt6cvwK0JSd59IP3plVWF+NeoigcxNsKUTMAcyt+07uu3jl8o9cl7hShsEpqLDLBLI3AQ1nYA3kKm7s2kTgYxi81DKPMTxIe/6qOhKGYm4S8zR5CJKY6GU7AvVtfuXNxPIsB5uam9nXoiBqhAskCE9XDboh+bcrfTmUnerUruAvVUZdtE+QLClEzAHNLftO7rt45fLPYJe4UobBKaiwywS0NwENZ2AN6AVd2fTJgIaxebB6LTtmrTvorxszA0baRy15SGO8kTG7aHrRV7e0MwMOthTf81PDFSFYAHN3VGu+KBvZWaWuTuUL/SXbCpk8ey7u0QgAwi2dALeQAbYvqPbPn6p3CPnFa60QWAqOswSgQwgqOkErIEsi+/Opl0GMpLNw8ysa/Z5ViRRn5VJJPb7NCoPOkfvmi5LVZeIojw9mBsIZBm2eiCzNtIvxUBVCBXIMmT1ABv0w8zsBB58Zpa5m+TaBaxN8iydfYcXCWhugi2dgDmguW3f0W0fv1zuEfQKV9ogMBUdZpGA5iao6QS8Ac1spz6ZNhHQKDYbo5PM7Bk4JFGaizISadxEbZMddI7eJG2SFIciv52ZWYZtp86s6xwuxUBVCBbQkO3UbNA/DHyWfubuc+tHLmz0xfxJVIsEMDfBlk7AHMDctu/oto9fJveIeYUrbRCYig6zSABzE9R0At4AZhZ9nEybCGAUm9cXwLBFH5n0EwNVIVgAQxZ9sEEHD2Du/rZ+5MpKH3bVIkCwpRMwBzC37Tu67eOXyT1iXuFKGwSmosMsEsDcBDWdgDeAmcUeJ9MmAhjF5vUFMGyxR2Zd93ApBqpCsACGLPZggw4ewNz9bP3I7TdDhl2tCBBs6QTMAcxt+45u+/hlco+YV7jSBoGp6DCLBDA3QU0n4A1gZnFHNre4g2Tz+gIYtrgjK/3EQFUIFsCQxR1s0KEDmHD3sV/oL1npi9l3dokABhBs6QS8AQywfUe3ffwyuUfMK1xpg8BUdJglAhhAUNMJWAOYMIs6xNyiDpLNqwtgAlvUIex3k16IgaoQKoAJZFEHG3TwAObuW+tHnlrpwy6vBwi2dALmAOa2fUe3ffwyuUfMK1xpg8BUdJhFApiboKYT8AYws4jjZNpEAKPYvL4Ahi3iEPY7cydWmmMqBAtgyCIONuiHVYmn9zP4qkTh7mNrFxA2NbL5M1oWCWhugi2dgDmguW3f0W0fv1zuEfQKV9ogMBUdZpGA5iao6QS8Ac0s6jiZNhHQKDYbo0UTl6UyF1k3exmJLo2joldt1B+yvUybJFE3tAFaYIs6hPQTA1UhWEBDFnWwQZ9PXwt+AbHIn1ZSmvsXpTQf5qQ1ZW5iVOan3PyUm58K81NhfiqzObWUVS186RnEjA9Ux9PXNGhtQGsDWhvQ2oDWBrQ2oLUBrQ1obUDrOdCaDjoezCBQeDw7nb6mQfWnHC501KjmczhlTQ2XO6rh53z4OR9+Loafi+HnGWTzT6UwD9AvbyRnczfB9ShnbYJnYdvAAMGWTiC8CXDb7xHbd3TbpY/t9BHzHDvcMBUdZpGczU1Q0wl4c7b87mzaxDBFsXkoQjRZn6VSRtJczCbKPo/ativ0xLTs9VQ0Lcrmdg5WFtiNEsLaE78UA1UhWM7mXrxQ8UEPbqLEPs+7PovapCgioWQa6b/d6r/V7JNWNftCdrfjJthqAVH6KoapEMxNkNUCbNCDmxRNJlUsiqgtDvq7ed9HxT4VUZerJpZJEou4vRk3kdhp/tK+63xCMUyFUG4i3Z3kig86dE9OujuS+pFbO5Jl2JNCAIItnUB4E+C23yO27+i2j18md/51hSttEJiKDrNEOgwQ1HQC1nRYJndn0y7TYZLNQ11K/ydPRBOJJIsjkXUqKhOlEyOVx20qD6JPTg/mFgJYigUwa4PyUgxUhWABzN1JrvigV5jnYK1bae1iTimGqRDMTZDWLRv0+ibXUmBuInwVw1QI5ibuNl7FB/3Q4X+IKua/gpaLpbs/pH1A2uTIwq5ZAwi2dALhTYDbfo/YvqPbPn673AnZFa60QWAqOswi+bGboKYT8ObH8u5s2kR+TLHZGC1UF7d50eiYlyWRSGUZFbIQ0aHYx2XXdlmvbijxwa4zl8pPDFSFYBHNvVm74oMe3CRWfZvuZRapUqdGIs3SqDjIPuqats+lLGVc3JCbYLujpb3FMqEYpkIwN3H3wio+6HPiUxzJg/fJpbvJon3A2mQRF9d2L5v4uAm2dALmxMdt+45u+/jtckfaK1xpg8BUdJhFEh83QU0n4E18zHZpObddmmTzUPGJZZG0TRw1Bz2iiUTEURmXRXRo9rLoklK2cfPyZiIa1gCV1l7gpRioCsEiGtIAZYMe3KQt91mfdEmkYqGTJFH0UZkVZVR2Mst1/BOtuJ2Kj8IaoMraC5xSDFMhlJsopAHKBn1cHChln7a91L9s9XdbqZMksdfOVWYiSYukK8ridtwE27uqrD2XKcUwFYK5ibs5VvFBH0cT6OrzW3ETrBulrI2ZyRcLUiGYmyDdKDbo8zSqfHkb0yjl7rpoH7B2XcTF7e6LTqMAgi2dQHgT4LbfI7bv6LaP3y533n6FK20QmIoOs8Q0CiCo6QSs0yiV3Z1Nu5xGkWwe6sdxum8ObR8lZh2hkPE+anuxj1RSxMJsFsrK07X1txDRsI6oEn5ioCoEi2hIR5QN+pj49Llq80Mc7YvU1JqTLGriVkZ7sS/buCiS4nBDboLtJFTSVzFMhWBu4m6OVXzQK5xGYd0oZW3MTCmGqRDMTZBuFBv0cfPCoYjVYR9HhzQ+RKJTZVTsyzLq+l7EKjs0schvx02wbpSyNmamFMNUCOYmSDeKDTr0qnTlrrfrR26tXZdhm08AwZZOILwJcNvvEdt3dNvHL5M7Tb/ClTYITEWHWWTW5Cao6QS8sybTfFJzzSeSzesLYFjzSVn7MJdioCoEC2BI84kNen3pcI41n3JrH2ZKMUyFUG6SI80nNuj1Ta5zrPmU2zf8TBXYIRWCuQnSfGKDXl+pLseaT7m1DzOlGKZCMDdBmk9s0KFnTbm7vK4fuX2HTzqmX3TWBBBs6QTCmwC3/R6xfUe3ffwyudP0K1xpg8BUdJglZk0AQU0nYJ015abXlM/1mkg2ry+AYb2mXPiJgaoQLIAhvSY26BWmw1ivKZe+imEqBHMTpNfEBr3CyTXWa8qtbZcpxTAVgrkJ0mtig15fqS7Hek25te0ypRimQjA3QXpNbNAPS/bS09LN4Ev2cne9XfuAfePE/Nmvi0yj3ARbOoHwJsBtv0ds39FtH79d7rz9ClfaIDAVHWaRaZSboKYT8E6jTPMpn2s+kWxeX+KDNZ9yax/mUgxUhWARDWk+sUEPblKKUjRKxlGR93kksjSNmrTJI7VvMv1/bZ4Ut+MmBdZ8KuybgCYUw1QI5SYF0nxigz6OJmXTlnGcRbIVmTlDNI+KtjF+pVRaxFLs8/523ARrPhX2TUBTLxakQjA3QZpPbNDrm0YVWPOpsG8CmlAMUyGYmyDNJzbo0M2nwl1v14/cXrsOu9EJINjSCYQ3AW77PWL7jm77+GVyp+lXuNIGganoMEvMmgCCmk7AOmsqTPOpmGs+kWxeXwDDmk+F8BMDVSFYAEOaT2zQK0yHseZTIX0Vw1QI5iZI84kNeoWTa6z5VNj7MBOKYSoEcxOk+cQGvb5SXYE1nwp7H4a+NSyUmyDNJzZo03wy4C8D95wKd5ldP3p7yVqNVVh29uQm2NIJhDcBbvs9YvuObvv4pXKn61e40gaBqegwi8ye3AQ1nYB39mR6TsVcz4lkszG6LfeyEVkRpU1SRkIVh6iVJjdSotjvk/0+lTcUyLCeU2Fvv1yIgaoQLJAhPSc26OMkO24PRa72kdgnOugVqo9anS5FOuDFZSnjJtlnN+MmJdZzKu3tlwnFMBVCuUmJ9JzYoNdXiymxnlNpb79MKQapEMxNkJ4TG/T6Zk8l1nMq7e2XCcUwFYK5CdJzYoMO3XMq3WV2/cjtJWsxpl901gQQbOkEwpsAt/0esX1Ht338MrnT9CtcaYPAVHSYJWZNAEFNJ2CdNZWm51TO9ZxINq8vgGE9p1L4iYGqECyAIT0nNugVpsNYz6mUvophKgRzE6TnxAa9wsk11nMq7e2XKcUgFYK5CdJzYoNeX6muxHpOpb39MqEYpkIwN0F6TmzQw4anY4IydoSxFj/ou4/f//ADBik23/3272jG8mmlYjmngL1cfXHp/Wy6C2HgGa+xvTa213O213Tbx4kuZDuc6xrTTUpbPn3zzTnjze8p1hvzL3ZmL+xRKo7nnMle+S6COtOc2TXd7CX8aM7swcMIdg8edNqGKV6GbYlrNucg/UJ/yYYp49nHs0BxByHY0gmENwFu+z1i+45uu/SxnT4kneI9AlPRYRYo7iAENZ2As7ijrbo7m3YxTtFsHqZjmYgPZZlFRSx0Yi5VY86q6KOsTeNStPssP5QvbyTPVjHUxNJf8xMDVSFQnq15nF5b8UEfV4oekiI5ZCIqi1xEotfpeBvHfbSXYt/1eXGIDzdzZZSKoSaW/pqvYpgKwdwEaGLxQR9n7Vnb6G/HUZboyb1IkiIq476Nuj7Vk7quyOJc3Y6bZJibWOvmU4phKgRzE3eDo+KDXl2pWMVQR0F/zVcxTIVgbgJ0FPigj8Wdp+FrOypWprZT6I8kMR9iTgpplQI/+x4CwlPf08RcmSpPoT80RT1HUdMplpmnq6HeU5hPzWE+p0GGqhCBxKCcHCz0WnYN63wB9aijrJRBdwIjBFs6gfAmwG2/R2zf0W2XPrbTR7DzWO6Gqegwi0zc3QQ1nYB34q7uzqZNDFMUm43RTSI6IbssyppORqLUmVeh9kWUqb3YJ4e2aLPDy5vJoaAGmf6anxioCsFyKKBBxgf9cCLgqU8a+kBAHbedamgXsLZsZNADARGCLZ2AOaC5bd/RbR+/XO4R9ApX2iAwFR1mkYDmJqjpBLwBrbg7mzYR0Cg2r68oAG3O0l/zEwNVIVhAAzZn8UEf8x6ZFmmfx1HftI1ZSVRERV8con2r/0Yn27RJ25txkwTanKUSe/dmQjFMhVBukrjbbBUfdODtFCpxt2v0I7dfshQ2zwEItnQC3jwHsH1Ht338MrkD6xWutEFgKjrMEnkOQFDTCVjznCS5O5t2meeQbF5fAMNaqYm1q3gpBqpCsACGtFLZoNeXDidYKzWxb0GiZ4ah3ARppbJBP9R3ype3Ud9J3B1D7QLCpoacX1C8SN7jJtjSCZjzHrftO7rt45fLHWivcKUNAlPRYRbJe9wENZ2AN+8Rd2fTJvIeis3G6C4tszRN2mhfZl0kRCqiIo11LEzasmzzROX9zWz8Ugm0P1B/zU8MVIVgAQ3YH8gHfcx7xD7Puz6L2qQoImEu2muyvjUnWe6TVjX7Qna34ybQ/kD9NV/FMBWCuYm7G1vxQa9uf6BKsPZnYu8ETiiGqRDMTZD2Jxv0cbKt0riJs0OUHxqTSidJ1BwOfSTkPj00fdzJww1NtgvMTewdlgnFMBWCuYm7FVbxQX+xjfQi+xhrAa1pI0lxXGqYxk/1RzmngL2tEnjnn7a9nrO9ptu+yLJCbbv5nDbepLwU6435wbeRpmbJaqpmPCq1d2DKwB5lFqrO2F7TbV/Go4bFqTPGDx5HsH4w/2h98FpP6i7rv9BfslGq+cXES9R6AIItnUB4E+C23yO27+i2Sx/b6SPUQ/gHYCo6zBK1HoCgphOw1npS0+NK53pcJJuHSTy0tfBG0u4U63Gl1nbPpRioCqHS7hTpcbFBr29XaYr1uFJru2dKMUyFYG6C9LjYoNe3qzTFtguaDMFPMUyFYG7i7ndUfNBHN2m7vjlkZSSF6CKhfShqVCz132qLfdI2+0ze0GiCNRjMo/RUDFIhmJsgDQY26IeO+Wm0MP8VdhblrqNrF1BWNcJu8QMItnQC4U2A236P2L6j2z5+udxp+xWutEFgKjrMIrMoN0FNJ+CdRZktfifTJmZRFJuHgnQqRSt07tx0MotEk5ZRs0+zqMzTts9l26XidpoXKdbjSq3tnksxUBWCBTSkx8UGvcK8B+txpdZ2z5RimArB3ATpcbFB385pGplpcWWZ+TDnamRzza7U2nJR+BUBEBAerI6ticw0uzRFbSjqOYqaTrFIkyIb2l4aw3wOJ2vMgAzNMQLJEMNOjvYycKqdubckvdBfslIGvRkSIdjSCYQ3AW77PWL7jm679LGdPoI9jOUATEWHWSLVBghqOgFrqp2ZYzCzuWMwSTYbo2WT62BZtlG+VyaQpnnUxkkSJV2ft12eqLi5nVQ7w47BzOzdm4n7qjAVQuVQmbvNVvFBr29TTob1tTJ7i4d++10oN0H6WmzQoTcfZ+52jX7k9i1JgfMcN8GWTsCc57ht39FtH79M7sB6hSttEJiKDrNInuMmqOkEvHlOdnc2bSLPodi8vgCGtVIz4ScGqkKwAIa0UtmgV5gOY63UTPoqhqkQzE2QViobdPA8x90t0o/c2nkpw242Bgi2dALmPMdt+45u+/hlcgfWK1xpg8BUdJhF8hw3QU0n4M1zTOv0ZNpEnkOxeX0BDGudZtYu4qUYqArBAhjSOmWDXmE6jLVOM2sXcUoxTIVgboK0Ttmgg+c57hMX9SO3dufK+e11i+Q5boItnYA5z3HbvqPbPn6Z3IH1ClfaIDAVHWaRPMdNUNMJePOc8u5s2kSeQ7F5dQFMYKehCmsT71IMVIVQAUy4u60VH/T60mGBtTeF/QDGCcUwFYK5CdLeZIP+4hgEMXaEsRbQYiSSFMc1YsIsDxPSfOTmw9y9JM0N28p8FDM3Iythb+nhM3SIDw9exyVjwqwW01C1gaoNVG2gagNVz0HVdKhFVpCJYe2YpjKf+fA53M0kh3u51fA5g2a+S2EzcKdjFcwAFXRNmXC3l/QwZd8aN39QwRK5OUCwpRMIbwLc9nvE9h3dduljO33EOw/+bpiKDrNEbg4Q1HQC1txcmF6rmOu1kmw2RhddkmWZSCJVqDwSfZtFTd/vo725p+cgmi69od3NAuu1CuEnBqpCsKQL6bWyQYcuLgl3C1E/cmmjLwMHMDfBlk7AHMDctu/oto9fJveIeYUrbRCYig6zSABzE9R0At4AJu/Opk0EMIrNQ54dt6Ir2jTqh91F+zyLiiY9RN1eqkPcqe6Q3VBxCTuKVSg/MVAVggUwd+u34oN+2FB/euqhjiWbedTW1mEe9vgx4W5+bukEzIHLbfuObvv4JXKPlI/lMhXd6EUClFv2mk7AG6Dyu7NpEwGKYvNp5Dl5evhakLtLrUcka5c6D3uUB0CwpRMwj0hu23d026WP7eQR6YuQ7oap6DCLjFRugppOwDtSmctNxdzlpiSbh2FKdZ1o2jKSWawiIdo4auN0H+VZ16Ri3wmpbqgBh11uKqxN60sxUBWCpdLu1QUVH/TgJvusVF0mskjEvU67s7iPWiWTqDsUfdEk8SHNxc24icTa+dLa2Z5SDFMhlJtIpJ3PBn0cTbLiEGdtEcWpkJHIhYqaQ9ZGpdiXIstV3Ga3M5pIrJ0vrZ3tyRcLUiGYmyDtfDbowU3yttSOmPWRLIoyEm1RRG1+UPp/xl3TNEqlTX87bpJibmJtGk8phqkQzE2Q3cps0IOb9IdMqb1qo8QcrykS1UVN18lhDOr1n/XFw/zjFtwEO4VXWpt2U4phKgRzE3d3teKDPp7kI1rR7zvtUrHJY1SiorZPD1G5F3luEpm4bG7HTbB2phS+imEqBHMTpJ3JBn1MYXshiiSOo+HuHZEe2qgt4yw6NMk+LoTsM3FDboJtHZXSVzFMhWBu4m51VXzQRzdp81yVcRE1eb+PRH/ooybp4ygRXbzP2mZ/SA634yZYb0la2yyTikEqBHMTpLfEBn3KTcyxl80hOrSt/m6Wpvq7bR7FXVYWXSr6LFO34ybYPj5pL3dPhmlEhWBu4u5LVHzQx9Ek2SfJXpZRKw8m3e3iqCiFWRUfJyqO0/ZwQ9sgJLaPT3rWGlEVgrmJuyhc8UGHXmol3cVF/cjni4saJY7H9Iv2hwCCLZ1AeBPgtt8jtu/oto9fJndD4gpX2iAwFR1GecP4utJ7CEFNJ2DtD0mzj+9k2mV/iGTz6gKYwgr/ar4GPikGqkKoAKaQwj8b9PpmTQor/Kv5GvicYpAKwdwEKfyzQR8XbjblPu1UEhXpMBHPZNQmZRH1ZR4n+3afS9HfjptghX81XwOfUQxTIZibIIV/Nuj1VXQVVvhX8zXwGcUwFYK5CVL4Z4NeX0VXYYV/JXwVw1QI5iZI4Z8Nen1tRIUV/pX0VQxTIZibIIV/Nuj1LUpQWOFfzdfAZxTDVAjmJkjhnw16fUucFFb4V/M18BnFMBWCuQlS+GeDXt+CSYUV/tV8DXwuTEMqBHMTpPDPBh268K/ctU79yO11w7Bb1QCCLZ1AeBPgtt8jtu/oto9fJnel+QpX2iAwFR1micI/QFDTCVgL/8oU/tVc4Z9k85DnQLsDbiSA5VjhP7fXwCfu78ZUCBXAcqTwzwa9vjwnxwr/ub0GPqEYpkIwN0EK/2zQ65s15VjhP7fXwKdeLEiFYG6CFP7ZoNdXg8mxwn9ur4FPKIapEMxNkMI/G/T6Kro5Vvg3Y6WfYpgKwdwEKfyzQa+vjZhjhf9c+iqGqRDMTZDCPxv0+tqIOVb4z+018KlsDlIhmJsghX826PUtccqxwn9ur4FPKQapEMxNkMI/G/QxN1HxvsmSLJKpOaBMxELPiuLSBCip41Oi85zydtwEK/zn9hr4VJiGVAjmJkjhnw16fetqc+zcldyz1oiqEMxN3EXhig/aHCT29HiOWNADxAp3kfGF/tKsCmZ7jBirsGifCCDY0gmENwFu+z1i+45u+/ilcjcmrnClDQJT0WGW6BMBBDWdgLVPVMR3Z9Mu+0Qkm43RSZY3SVGaafg+1qOZSaYT/T/LIk4LVeRZW57ekBsIZAXWACjsp99ciIGqECqQFUgDgA36h8MNPvqvXya+Yy2gy2BIUhxv8CnMDT6FmFNgvrZtFJCz7+145IEw8MHneFFPYS7qmbG9pts+HnMg2+Fh53QfTzHcxzNjvPkNxfrB/JMjvQyTJM0MH/bjbsLe7l24y/dbOgFzMuS2fUe3XfrYTh6JZoYeqtGLJD1u2Ws6AW/SY27QKeZu0CHZfDrf+ST8bZ0sXwgrUNgrUQp3R2hLJ2Aeedy27+i2Sx/bH3vkoRq9yMjjlr2mE/COPOLubNrEyEOx+XgT5vE/X3v6pX/q1/7u176R6D/5yj/u+Jeefumf8/AnP/j4n36v/4Fm/9rhww8+Nv/dffi9Dz8yPzQf/X5r/mnfSL8hRZHrGcvXPmi+b/4F773//f4HT363/ydP7j/8fvOB/rf94P1/pn+RpE+/9kcf7PuPvvf+B+Z7H3yo/0v/teZ77//+B8YzzT/2Dz786P1/pv9dzff0N77XHz7Wf/3/6T/6+P1u+JNOf63/SP/ZP/mo+cP3+v9X/52PP/qjXv9TWo3YfzTY2n748ccffv/4k/nDjaF4+Bc+nUCIh//o+cfTr+3fb37/ww/Mv4vytweDSX/zo/d//w+If/XjD/+Q8hf13zy8/70B1Py38VD9hR98+D39+I0v7N+a/bvGMZqPPr78woMvGGf4o++3/Uff+PAj7WZHBzI/vfXh3vxb3uk/6D/SIuvv/eFHH358nEiYb33vw+4f99r9Hv64N7YcXyv9h+9/8Ad6LPvYGP+/AROfQXc=</t>
  </si>
  <si>
    <t>ТЕХНИКО-КОММЕРЧЕСКОЕ ПРЕДЛОЖЕНИЕ (ТКП)</t>
  </si>
  <si>
    <t>г. Москва, ул. Люблинская, вл. 72, поликлиника на 560 пос/см</t>
  </si>
  <si>
    <t>Стоимость, указанная в предложении, включает в себя все необходимые затраты на выполнение полного комплекса работс НДС 20%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</si>
  <si>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</si>
  <si>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</si>
  <si>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</si>
  <si>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</si>
  <si>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</si>
  <si>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</si>
  <si>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</si>
  <si>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</si>
  <si>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</si>
  <si>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1. Встроенное и Встроенно-пристроенное СКБ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</si>
  <si>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</si>
  <si>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</si>
  <si>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</si>
  <si>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</si>
  <si>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</si>
  <si>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</si>
  <si>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</si>
  <si>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</si>
  <si>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</si>
  <si>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</si>
  <si>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</si>
  <si>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</si>
  <si>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</si>
  <si>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</si>
  <si>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</si>
  <si>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</si>
  <si>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</si>
  <si>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</si>
  <si>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</si>
  <si>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6.2.2.4.2.4.1.2</t>
  </si>
  <si>
    <t>Устройство перегородок на металлическом каркасе по системе Knauf / С-112 / А2-12, А2-5, А2-25</t>
  </si>
  <si>
    <t>Выгружается из БО по объектам BIM-КЦ</t>
  </si>
  <si>
    <t>1эт, 2эт, 3эт, 4эт, 5эт. Перегородки Тип-2. Перегородки С112 толщиной 125 мм, с двуслойной обшивкой влагоогнестойкими листами ГСП-DFH2 с двух сторон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</si>
  <si>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м2</t>
  </si>
  <si>
    <t>1.1.1.1.1.1.1.1.1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</si>
  <si>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</si>
  <si>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комплект</t>
  </si>
  <si>
    <t>1.1.1.1.1.1.1.1.2</t>
  </si>
  <si>
    <t>Профиль_/направляющий/75*40*0,60/3м</t>
  </si>
  <si>
    <t>пог. м</t>
  </si>
  <si>
    <t>1.1.1.1.1.1.1.1.3</t>
  </si>
  <si>
    <t>Профиль_ / стоечный  / 75*50*0,6 / 2415</t>
  </si>
  <si>
    <t>1.1.1.1.1.1.1.1.4</t>
  </si>
  <si>
    <t>Плита звукоизоляционная / Техноакустик / 50 мм</t>
  </si>
  <si>
    <t>м3</t>
  </si>
  <si>
    <t>1.1.1.1.1.1.1.1.5</t>
  </si>
  <si>
    <t>Гипсовые строительные плиты_ / влагостойкий и огнестойкий / 12,5*1200*2500</t>
  </si>
  <si>
    <t>1.1.1.1.1.1.1.2</t>
  </si>
  <si>
    <t>1.1.1.1.1.1.1.2.1</t>
  </si>
  <si>
    <t>1.1.1.1.1.1.1.2.2</t>
  </si>
  <si>
    <t>1.1.1.1.1.1.1.2.3</t>
  </si>
  <si>
    <t>1.1.1.1.1.1.1.2.4</t>
  </si>
  <si>
    <t>1.1.1.1.1.1.1.2.5</t>
  </si>
  <si>
    <t>1.1.1.1.1.1.1.3</t>
  </si>
  <si>
    <t>6.2.2.4.2.4.1.12</t>
  </si>
  <si>
    <t>Устройство перегородок на металлическом каркасе по системе Knauf / С-112 / А2-3, А2-4</t>
  </si>
  <si>
    <t>1.1.1.1.1.1.1.3.1</t>
  </si>
  <si>
    <t>1.1.1.1.1.1.1.3.2</t>
  </si>
  <si>
    <t>Профиль_/стоечный/50*50*0,60/3м</t>
  </si>
  <si>
    <t>1.1.1.1.1.1.1.3.3</t>
  </si>
  <si>
    <t>Профиль_/направляющий/50*40*0,60/3м</t>
  </si>
  <si>
    <t>1.1.1.1.1.1.1.3.4</t>
  </si>
  <si>
    <t>1.1.1.1.1.1.1.3.5</t>
  </si>
  <si>
    <t>1.1.1.1.1.1.1.4</t>
  </si>
  <si>
    <t>1.1.1.1.1.1.1.4.1</t>
  </si>
  <si>
    <t>1.1.1.1.1.1.1.4.2</t>
  </si>
  <si>
    <t>1.1.1.1.1.1.1.4.3</t>
  </si>
  <si>
    <t>1.1.1.1.1.1.1.4.4</t>
  </si>
  <si>
    <t>1.1.1.1.1.1.1.5</t>
  </si>
  <si>
    <t>2эт, 3эт, 4эт, 5эт. Перегородки Тип-3. Перегородка типа С112 на металлическом каркасе, толщиной - 125 мм, с двуслойной обшивкой листами Кнауф-Файербор с двух сторон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</si>
  <si>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1.1.1.1.1.1.1.5.1</t>
  </si>
  <si>
    <t>1.1.1.1.1.1.1.5.2</t>
  </si>
  <si>
    <t>1.1.1.1.1.1.1.5.3</t>
  </si>
  <si>
    <t>1.1.1.1.1.1.1.5.4</t>
  </si>
  <si>
    <t>1.1.1.1.1.1.1.5.5</t>
  </si>
  <si>
    <t>Кнауф-Файербор с двух сторон</t>
  </si>
  <si>
    <t>1.1.1.1.1.1.1.6</t>
  </si>
  <si>
    <t>1эт, 5эт. Перегородки Тип-7. Перегородка типа С116 толщиной 200 мм,с двуслойной обшивкой листами ГКЛВО на двойном разнесенном стальном каркасе из профилей ПН50x40 и ПС50х50 , с внутренним заполнением минераловатной плитой толщиной 50 мм, плотностью 35-45 кг/м3, теплопроводностью 0,040 Вт/(м*°С).</t>
  </si>
  <si>
    <t>1.1.1.1.1.1.1.6.1</t>
  </si>
  <si>
    <t>1.1.1.1.1.1.1.6.2</t>
  </si>
  <si>
    <t>1.1.1.1.1.1.1.6.3</t>
  </si>
  <si>
    <t>1.1.1.1.1.1.1.6.4</t>
  </si>
  <si>
    <t>1.1.1.1.1.1.1.6.5</t>
  </si>
  <si>
    <t>1.1.1.1.1.1.1.7</t>
  </si>
  <si>
    <t>6.2.2.4.2.4.2.4</t>
  </si>
  <si>
    <t>Облицовка стен по системе Knauf / С-626 / в 2 слоя / А-10, А-27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</si>
  <si>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</si>
  <si>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</si>
  <si>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1.1.1.1.1.1.1.7.2</t>
  </si>
  <si>
    <t>1.1.1.1.1.1.1.7.3</t>
  </si>
  <si>
    <t>1.1.1.1.1.1.1.7.4</t>
  </si>
  <si>
    <t>1.1.1.1.1.1.1.7.5</t>
  </si>
  <si>
    <t>Лист гипсокартонный_ / ГСП-Н2 ПЛУК / 12,5 мм</t>
  </si>
  <si>
    <t>1.1.1.1.1.1.1.8</t>
  </si>
  <si>
    <t>1.1.1.1.1.1.1.8.1</t>
  </si>
  <si>
    <t>Лист гипсокартонный_ / ГСП-DF ПЛУК / 12,5 мм</t>
  </si>
  <si>
    <t>1.1.1.1.1.1.1.8.2</t>
  </si>
  <si>
    <t>1.1.1.1.1.1.1.8.3</t>
  </si>
  <si>
    <t>1.1.1.1.1.1.1.8.4</t>
  </si>
  <si>
    <t>1.1.1.1.1.1.1.8.5</t>
  </si>
  <si>
    <t>1.1.1.1.1.1.1.9</t>
  </si>
  <si>
    <t>1.1.1.1.1.1.1.9.1</t>
  </si>
  <si>
    <t>1.1.1.1.1.1.1.9.2</t>
  </si>
  <si>
    <t>1.1.1.1.1.1.1.9.3</t>
  </si>
  <si>
    <t>1.1.1.1.1.1.1.9.4</t>
  </si>
  <si>
    <t>1.1.1.1.1.1.1.9.5</t>
  </si>
  <si>
    <t>1.1.1.1.1.1.1.10</t>
  </si>
  <si>
    <t>1.1.1.1.1.1.1.10.1</t>
  </si>
  <si>
    <t>1.1.1.1.1.1.1.10.2</t>
  </si>
  <si>
    <t>1.1.1.1.1.1.1.10.3</t>
  </si>
  <si>
    <t>1.1.1.1.1.1.1.10.4</t>
  </si>
  <si>
    <t>1.1.1.1.1.1.1.10.5</t>
  </si>
  <si>
    <t>1.1.1.1.1.1.1.11</t>
  </si>
  <si>
    <t>1.1.1.1.1.1.1.11.1</t>
  </si>
  <si>
    <t>1.1.1.1.1.1.1.11.2</t>
  </si>
  <si>
    <t>1.1.1.1.1.1.1.11.3</t>
  </si>
  <si>
    <t>1.1.1.1.1.1.1.11.4</t>
  </si>
  <si>
    <t>1.1.1.1.1.1.1.11.5</t>
  </si>
  <si>
    <t>Лист гипсоволокнистый ГВЛ 12,5мм Г1</t>
  </si>
  <si>
    <t>1.1.1.1.1.1.1.12</t>
  </si>
  <si>
    <t>1.1.1.1.1.1.1.12.1</t>
  </si>
  <si>
    <t>1.1.1.1.1.1.1.12.2</t>
  </si>
  <si>
    <t>1.1.1.1.1.1.1.12.3</t>
  </si>
  <si>
    <t>1.1.1.1.1.1.1.12.4</t>
  </si>
  <si>
    <t>1.1.1.1.1.1.1.12.5</t>
  </si>
  <si>
    <t>1.1.1.1.1.1.1.13</t>
  </si>
  <si>
    <t>1.1.1.1.1.1.1.13.1</t>
  </si>
  <si>
    <t>1.1.1.1.1.1.1.13.2</t>
  </si>
  <si>
    <t>1.1.1.1.1.1.1.13.3</t>
  </si>
  <si>
    <t>1.1.1.1.1.1.1.13.4</t>
  </si>
  <si>
    <t>1.1.1.1.1.1.1.13.5</t>
  </si>
  <si>
    <t>1.1.1.1.1.1.1.14</t>
  </si>
  <si>
    <t>1.1.1.1.1.1.1.14.1</t>
  </si>
  <si>
    <t>1.1.1.1.1.1.1.14.2</t>
  </si>
  <si>
    <t>1.1.1.1.1.1.1.14.3</t>
  </si>
  <si>
    <t>1.1.1.1.1.1.1.14.4</t>
  </si>
  <si>
    <t>1.1.1.1.1.1.1.14.5</t>
  </si>
  <si>
    <t>1.1.1.1.1.1.1.15</t>
  </si>
  <si>
    <t>1.1.1.1.1.1.1.15.1</t>
  </si>
  <si>
    <t>1.1.1.1.1.1.1.15.2</t>
  </si>
  <si>
    <t>1.1.1.1.1.1.1.15.3</t>
  </si>
  <si>
    <t>1.1.1.1.1.1.1.15.4</t>
  </si>
  <si>
    <t>1.1.1.1.1.1.1.15.5</t>
  </si>
  <si>
    <t>с двуслойной обшивкой листами Кнауф-Файерборд</t>
  </si>
  <si>
    <t>1.1.1.1.1.1.1.16</t>
  </si>
  <si>
    <t>1эт, 2эт, 3эт, 4эт, 5эт. Перегородки Тип-8. Облицовка типа С626 на отнесенном металлическом каркасе, толщиной 100 мм, с двуслойной обшивкой листами Кнауф-сайлентборд с одной стороны на одинарном металлическом каркасе из профилей ПН75x40 и ПС75х50, с внутренним заполнением минераловатной плитой толщиной 75 мм, типа ИЗОРОК Ультралайт, плотностью 35-45 кг/м3, с индексом звукопоглащения 0,80 - 0,85 αw.</t>
  </si>
  <si>
    <t>1.1.1.1.1.1.1.16.1</t>
  </si>
  <si>
    <t>1.1.1.1.1.1.1.16.2</t>
  </si>
  <si>
    <t>1.1.1.1.1.1.1.16.3</t>
  </si>
  <si>
    <t>1.1.1.1.1.1.1.16.4</t>
  </si>
  <si>
    <t>1.1.1.1.1.1.1.16.5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</si>
  <si>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</si>
  <si>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</si>
  <si>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</si>
  <si>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</si>
  <si>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</si>
  <si>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</si>
  <si>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</si>
  <si>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</si>
  <si>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</si>
  <si>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</si>
  <si>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</si>
  <si>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</si>
  <si>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</si>
  <si>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</si>
  <si>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</si>
  <si>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</si>
  <si>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6.3.1.5.1.1.6.3</t>
  </si>
  <si>
    <t>Устройство разделительного слоя / из пленки полиэтиленовой / в 1 слой</t>
  </si>
  <si>
    <t>1.1.2.1.1.1.1.1.1</t>
  </si>
  <si>
    <t>Пленка полиэтиленовая_/150мкр</t>
  </si>
  <si>
    <t>1.1.2.1.1.1.1.2</t>
  </si>
  <si>
    <t>Применительно - пленка полиэтиленовая 120 мкр;</t>
  </si>
  <si>
    <t>1.1.2.1.1.1.1.2.1</t>
  </si>
  <si>
    <t>1.1.2.1.1.1.1.3</t>
  </si>
  <si>
    <t>6.3.1.5.1.1.11.2</t>
  </si>
  <si>
    <t>Устройство стяжки СКБ / армированная сеткой от 21 мм до 40 мм</t>
  </si>
  <si>
    <t>1.1.2.1.1.1.1.3.1</t>
  </si>
  <si>
    <t>Фиксатор арматуры Звездочка_/15/4-16</t>
  </si>
  <si>
    <t>шт</t>
  </si>
  <si>
    <t>1.1.2.1.1.1.1.3.2</t>
  </si>
  <si>
    <t>Смесь цементно-песчаная сухая_/М150</t>
  </si>
  <si>
    <t>кг</t>
  </si>
  <si>
    <t>1.1.2.1.1.1.1.3.3</t>
  </si>
  <si>
    <t>Сетка эл/св_/100*100*4</t>
  </si>
  <si>
    <t>1.1.2.1.1.1.1.3.4</t>
  </si>
  <si>
    <t>Лента кромочная демпферная_/8*100мм/20м</t>
  </si>
  <si>
    <t>1.1.2.1.1.1.1.4</t>
  </si>
  <si>
    <t>1.1.2.1.1.1.1.4.1</t>
  </si>
  <si>
    <t>1.1.2.1.1.1.1.4.2</t>
  </si>
  <si>
    <t>1.1.2.1.1.1.1.4.3</t>
  </si>
  <si>
    <t>1.1.2.1.1.1.1.4.4</t>
  </si>
  <si>
    <t>1.1.2.1.1.1.1.5</t>
  </si>
  <si>
    <t>6.3.1.5.1.1.12.1</t>
  </si>
  <si>
    <t>Устройство наливных полов СКБ / толщ. до 10 мм</t>
  </si>
  <si>
    <t>1.1.2.1.1.1.1.5.1</t>
  </si>
  <si>
    <t>1.1.2.1.1.1.1.5.2</t>
  </si>
  <si>
    <t>Грунтовка универсальный ЛАСТИМИН_ / УНКОНТ ЛЮКС LP51 А</t>
  </si>
  <si>
    <t>1.1.2.1.1.1.1.5.3</t>
  </si>
  <si>
    <t>Наливной пол_ / Унифицированный по ПИК-СТАНДАРТ</t>
  </si>
  <si>
    <t>1.1.2.1.1.1.1.6</t>
  </si>
  <si>
    <t>1.1.2.1.1.1.1.6.1</t>
  </si>
  <si>
    <t>1.1.2.1.1.1.1.6.2</t>
  </si>
  <si>
    <t>1.1.2.1.1.1.1.6.3</t>
  </si>
  <si>
    <t>1.1.2.1.1.1.2</t>
  </si>
  <si>
    <t>6.3.1.5.1.2</t>
  </si>
  <si>
    <t>Гидроизоляция, тепло-звукоизоляция, утепление</t>
  </si>
  <si>
    <t>1.1.2.1.1.1.2.1</t>
  </si>
  <si>
    <t>6.3.1.5.1.2.1.1</t>
  </si>
  <si>
    <t>Устройство обмазочной гидроизоляции с проклеиванием швов армированной лентой из стекловолокна / в 1 слой</t>
  </si>
  <si>
    <t>1.1.2.1.1.1.2.1.1</t>
  </si>
  <si>
    <t>Гидроизоляционная мастика_ / TAIKOR ELASTIC 300 / Технониколь</t>
  </si>
  <si>
    <t>1.1.2.1.1.1.2.2</t>
  </si>
  <si>
    <t>1.1.2.1.1.1.2.2.1</t>
  </si>
  <si>
    <t>1.1.2.1.1.1.2.3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</si>
  <si>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</si>
  <si>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</si>
  <si>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1.1.2.1.1.1.2.3.1</t>
  </si>
  <si>
    <t>Мастика битумная (1 слой) / 2мм</t>
  </si>
  <si>
    <t>1.1.2.1.1.1.2.4</t>
  </si>
  <si>
    <t>1.1.2.1.1.1.2.4.1</t>
  </si>
  <si>
    <t>1.1.2.1.1.1.2.5</t>
  </si>
  <si>
    <t>6.3.1.5.1.2.2.1</t>
  </si>
  <si>
    <t>Устройство оклеечной гидроизоляции с подготовкой из битумного праймера / в 1 слой</t>
  </si>
  <si>
    <t>1.1.2.1.1.1.2.5.1</t>
  </si>
  <si>
    <t>Гидроизоляция_ / Техноэласт Барьер Лайт</t>
  </si>
  <si>
    <t>1.1.2.1.1.1.2.6</t>
  </si>
  <si>
    <t>1.1.2.1.1.1.2.6.1</t>
  </si>
  <si>
    <t>1.1.2.1.1.1.2.7</t>
  </si>
  <si>
    <t>6.3.1.5.1.2.2.2</t>
  </si>
  <si>
    <t>Устройство оклеечной гидроизоляции с подготовкой из битумного праймера / в 2 слоя</t>
  </si>
  <si>
    <t>1.1.2.1.1.1.2.7.1</t>
  </si>
  <si>
    <t>Рулонные материалы  / Техноэласт</t>
  </si>
  <si>
    <t>1.1.2.1.1.1.2.8</t>
  </si>
  <si>
    <t>1.1.2.1.1.1.2.8.1</t>
  </si>
  <si>
    <t>Мембрана водонепроницаемая</t>
  </si>
  <si>
    <t>1.1.2.1.1.1.2.9</t>
  </si>
  <si>
    <t>6.3.1.5.1.2.5.1</t>
  </si>
  <si>
    <t>Утепление полов керамзитом</t>
  </si>
  <si>
    <t>1.1.2.1.1.1.2.9.1</t>
  </si>
  <si>
    <t>Керамзит_ / фр 10-20</t>
  </si>
  <si>
    <t>1.1.2.1.1.1.2.10</t>
  </si>
  <si>
    <t>1.1.2.1.1.1.2.10.1</t>
  </si>
  <si>
    <t>1.1.2.1.1.1.2.11</t>
  </si>
  <si>
    <t>1.1.2.1.1.1.2.11.1</t>
  </si>
  <si>
    <t>1.1.2.1.1.1.2.12</t>
  </si>
  <si>
    <t>1.1.2.1.1.1.2.12.1</t>
  </si>
  <si>
    <t>1.1.2.1.1.1.2.13</t>
  </si>
  <si>
    <t>1.1.2.1.1.1.2.13.1</t>
  </si>
  <si>
    <t>1.1.2.1.1.1.2.14</t>
  </si>
  <si>
    <t>1.1.2.1.1.1.2.14.1</t>
  </si>
  <si>
    <t>1.1.2.1.1.1.2.15</t>
  </si>
  <si>
    <t>1.1.2.1.1.1.2.15.1</t>
  </si>
  <si>
    <t>1.1.2.1.1.1.2.16</t>
  </si>
  <si>
    <t>1.1.2.1.1.1.2.16.1</t>
  </si>
  <si>
    <t>1.1.2.1.1.1.2.17</t>
  </si>
  <si>
    <t>1.1.2.1.1.1.2.17.1</t>
  </si>
  <si>
    <t>1.1.2.1.1.1.2.18</t>
  </si>
  <si>
    <t>1.1.2.1.1.1.2.18.1</t>
  </si>
  <si>
    <t>1.1.2.1.1.1.2.19</t>
  </si>
  <si>
    <t>1.1.2.1.1.1.2.19.1</t>
  </si>
  <si>
    <t>1.1.2.1.1.1.2.20</t>
  </si>
  <si>
    <t>1.1.2.1.1.1.2.20.1</t>
  </si>
  <si>
    <t>1.1.2.1.1.1.2.21</t>
  </si>
  <si>
    <t>6.3.1.5.1.2.6.1</t>
  </si>
  <si>
    <t>Проливка цементным молочком</t>
  </si>
  <si>
    <t>1.1.2.1.1.1.2.21.1</t>
  </si>
  <si>
    <t>Портландцемент_/М500</t>
  </si>
  <si>
    <t>1.1.2.1.1.1.2.22</t>
  </si>
  <si>
    <t>1.1.2.1.1.1.2.22.1</t>
  </si>
  <si>
    <t>1.1.2.1.1.1.3</t>
  </si>
  <si>
    <t>6.3.1.5.1.3</t>
  </si>
  <si>
    <t>Устройство покрытия полов</t>
  </si>
  <si>
    <t>1.1.2.1.1.1.3.1</t>
  </si>
  <si>
    <t>6.3.1.5.1.3.2.1</t>
  </si>
  <si>
    <t>Устройство покрытия пола из линолеума</t>
  </si>
  <si>
    <t>Включая защиту ДВП</t>
  </si>
  <si>
    <t>1.1.2.1.1.1.3.1.1</t>
  </si>
  <si>
    <t>Клей для линолеума</t>
  </si>
  <si>
    <t>1.1.2.1.1.1.3.1.2</t>
  </si>
  <si>
    <t>Грунтовка _ / универсальная водно-дисперсионная</t>
  </si>
  <si>
    <t>1.1.2.1.1.1.3.1.3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</si>
  <si>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</si>
  <si>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1.1.2.1.1.1.3.1.4</t>
  </si>
  <si>
    <t>Линолеум (для объектов СКБ)_ / 2мм / 2635 /  Melodia  / Tarkett</t>
  </si>
  <si>
    <t>1.1.2.1.1.1.3.2</t>
  </si>
  <si>
    <t>1.1.2.1.1.1.3.2.1</t>
  </si>
  <si>
    <t>1.1.2.1.1.1.3.2.2</t>
  </si>
  <si>
    <t>1.1.2.1.1.1.3.2.3</t>
  </si>
  <si>
    <t>1.1.2.1.1.1.3.3</t>
  </si>
  <si>
    <t>1.1.2.1.1.1.3.3.1</t>
  </si>
  <si>
    <t>FORBO 599 Eurosafe Super</t>
  </si>
  <si>
    <t>1.1.2.1.1.1.3.3.2</t>
  </si>
  <si>
    <t>1.1.2.1.1.1.3.3.3</t>
  </si>
  <si>
    <t>1.1.2.1.1.1.3.3.4</t>
  </si>
  <si>
    <t>Гомогенный антистатический линолеум FORBO Sphera EC 450017 (2 мм)</t>
  </si>
  <si>
    <t>1.1.2.1.1.1.3.4</t>
  </si>
  <si>
    <t>3эт, 4эт. Тип: 4.</t>
  </si>
  <si>
    <t>1.1.2.1.1.1.3.4.1</t>
  </si>
  <si>
    <t>Гомогенный медицинский ПВХ линолеум FORBO Sphera Element 50003 (2 мм)</t>
  </si>
  <si>
    <t>1.1.2.1.1.1.3.4.2</t>
  </si>
  <si>
    <t>1.1.2.1.1.1.3.4.3</t>
  </si>
  <si>
    <t>1.1.2.1.1.1.3.5</t>
  </si>
  <si>
    <t>6.3.1.5.1.3.16.6</t>
  </si>
  <si>
    <t>Установка напольного плинтуса / полимерного на клипсах</t>
  </si>
  <si>
    <t>1.1.2.1.1.1.3.5.1</t>
  </si>
  <si>
    <t>Плинтус напольный 65х15 L=2м Дюрополимер Белый матовый, кабель каналов-1</t>
  </si>
  <si>
    <t>1.1.2.1.1.1.3.5.2</t>
  </si>
  <si>
    <t>Крепление / Клипса пластиковая Солид 7х60х40мм</t>
  </si>
  <si>
    <t>1.1.2.1.1.1.3.6</t>
  </si>
  <si>
    <t>1.1.2.1.1.1.3.6.1</t>
  </si>
  <si>
    <t>1.1.2.1.1.1.3.6.2</t>
  </si>
  <si>
    <t>1.1.2.1.1.1.3.7</t>
  </si>
  <si>
    <t>6.3.1.5.1.3.18.1</t>
  </si>
  <si>
    <t>Облицовка ступеней СКБ керамогранитной плиткой с затиркой швов</t>
  </si>
  <si>
    <t>1.1.2.1.1.1.3.7.1</t>
  </si>
  <si>
    <t>Ступени с насечками из керамического гранита "Викинг"_/SG605600R/ серый/300х600х11мм</t>
  </si>
  <si>
    <t>1.1.2.1.1.1.3.7.2</t>
  </si>
  <si>
    <t>Клей плиточный/Унифицированный по ПИК-СТАНДАРТ</t>
  </si>
  <si>
    <t>1.1.2.1.1.1.3.7.3</t>
  </si>
  <si>
    <t>Затирка Цезерит СE33_/13 атрацит</t>
  </si>
  <si>
    <t>1.1.2.1.1.1.3.7.4</t>
  </si>
  <si>
    <t>1.1.2.1.1.1.3.8</t>
  </si>
  <si>
    <t>1.1.2.1.1.1.3.8.1</t>
  </si>
  <si>
    <t>1.1.2.1.1.1.3.8.2</t>
  </si>
  <si>
    <t>1.1.2.1.1.1.3.8.3</t>
  </si>
  <si>
    <t>1.1.2.1.1.1.3.8.4</t>
  </si>
  <si>
    <t>Ступень цельная из керамогранита под дерево Kerama Marrazzi, Клин Вуд (лестничные марши)</t>
  </si>
  <si>
    <t>1.1.2.1.1.1.3.9</t>
  </si>
  <si>
    <t>6.3.1.5.1.3.19.1</t>
  </si>
  <si>
    <t>Устройство плинтуса из керамогранитной плитки СКБ</t>
  </si>
  <si>
    <t>1.1.2.1.1.1.3.9.1</t>
  </si>
  <si>
    <t>Плиточный клей_ / Унифицированный по ПИК-СТАНДАРТ</t>
  </si>
  <si>
    <t>1.1.2.1.1.1.3.9.2</t>
  </si>
  <si>
    <t>Плинтус из керамического гранита Дайсен_ / светло-серый / SG610300R / 100х600х11мм</t>
  </si>
  <si>
    <t>1.1.2.1.1.1.3.9.3</t>
  </si>
  <si>
    <t>1.1.2.1.1.1.3.9.4</t>
  </si>
  <si>
    <t>Грунтовка универсальный ЛАСТИМИН_ / LP-51 А</t>
  </si>
  <si>
    <t>1.1.2.1.1.1.3.10</t>
  </si>
  <si>
    <t>1.1.2.1.1.1.3.10.1</t>
  </si>
  <si>
    <t>1.1.2.1.1.1.3.10.2</t>
  </si>
  <si>
    <t>1.1.2.1.1.1.3.10.3</t>
  </si>
  <si>
    <t>1.1.2.1.1.1.3.10.4</t>
  </si>
  <si>
    <t>1.1.2.1.1.1.3.11</t>
  </si>
  <si>
    <t>1.1.2.1.1.1.3.11.1</t>
  </si>
  <si>
    <t>1.1.2.1.1.1.3.11.2</t>
  </si>
  <si>
    <t>Плинтус керамогранитный Дайсен SG211200R/3BT 600х95мм светло-серый</t>
  </si>
  <si>
    <t>1.1.2.1.1.1.3.11.3</t>
  </si>
  <si>
    <t>1.1.2.1.1.1.3.11.4</t>
  </si>
  <si>
    <t>1.1.2.1.1.1.3.12</t>
  </si>
  <si>
    <t>1.1.2.1.1.1.3.12.1</t>
  </si>
  <si>
    <t>1.1.2.1.1.1.3.12.2</t>
  </si>
  <si>
    <t>1.1.2.1.1.1.3.12.3</t>
  </si>
  <si>
    <t>Плинтус керамогранитный в заводском исполнении типа Kerama Marazzi Клин Вуд h=100мм</t>
  </si>
  <si>
    <t>1.1.2.1.1.1.3.12.4</t>
  </si>
  <si>
    <t>1.1.2.1.1.1.3.13</t>
  </si>
  <si>
    <t>1.1.2.1.1.1.3.13.1</t>
  </si>
  <si>
    <t>1.1.2.1.1.1.3.13.2</t>
  </si>
  <si>
    <t>Плинтус керамогранитный в заводском исполнении типа Kerama Marazzi Ясень Беж h=100мм</t>
  </si>
  <si>
    <t>1.1.2.1.1.1.3.13.3</t>
  </si>
  <si>
    <t>1.1.2.1.1.1.3.13.4</t>
  </si>
  <si>
    <t>1.1.2.1.1.1.3.14</t>
  </si>
  <si>
    <t>1.1.2.1.1.1.3.14.1</t>
  </si>
  <si>
    <t>1.1.2.1.1.1.3.14.2</t>
  </si>
  <si>
    <t>1.1.2.1.1.1.3.14.3</t>
  </si>
  <si>
    <t>Плинтус керамогранитный в заводском исполнении типа Estima ST-17 h=70мм</t>
  </si>
  <si>
    <t>1.1.2.1.1.1.3.14.4</t>
  </si>
  <si>
    <t>1.1.2.1.1.1.3.15</t>
  </si>
  <si>
    <t>6.3.1.5.1.3.20.1</t>
  </si>
  <si>
    <t>Устройство покрытия пола СКБ с затиркой и укрытием ДВП / из керамогранитной плитки до 0,2м2/шт</t>
  </si>
  <si>
    <t>1.1.2.1.1.1.3.15.1</t>
  </si>
  <si>
    <t>Плитка керамогранитная_ / 130х800х11 мм</t>
  </si>
  <si>
    <t>1.1.2.1.1.1.3.15.2</t>
  </si>
  <si>
    <t>Клей плиточный/ Унифицированный по ПИК-СТАНДАРТ</t>
  </si>
  <si>
    <t>1.1.2.1.1.1.3.15.3</t>
  </si>
  <si>
    <t>1.1.2.1.1.1.3.15.4</t>
  </si>
  <si>
    <t>1.1.2.1.1.1.3.16</t>
  </si>
  <si>
    <t>1.1.2.1.1.1.3.16.1</t>
  </si>
  <si>
    <t>1.1.2.1.1.1.3.16.2</t>
  </si>
  <si>
    <t>1.1.2.1.1.1.3.16.3</t>
  </si>
  <si>
    <t>1.1.2.1.1.1.3.16.4</t>
  </si>
  <si>
    <t>1.1.2.1.1.1.3.17</t>
  </si>
  <si>
    <t>1.1.2.1.1.1.3.17.1</t>
  </si>
  <si>
    <t>Плитка из керамогранита под дерево Kerama Marrazzi, Клин Вуд (200х800 мм)</t>
  </si>
  <si>
    <t>1.1.2.1.1.1.3.17.2</t>
  </si>
  <si>
    <t>1.1.2.1.1.1.3.17.3</t>
  </si>
  <si>
    <t>1.1.2.1.1.1.3.17.4</t>
  </si>
  <si>
    <t>1.1.2.1.1.1.3.18</t>
  </si>
  <si>
    <t>1.1.2.1.1.1.3.18.1</t>
  </si>
  <si>
    <t>1.1.2.1.1.1.3.18.2</t>
  </si>
  <si>
    <t>1.1.2.1.1.1.3.18.3</t>
  </si>
  <si>
    <t>1.1.2.1.1.1.3.18.4</t>
  </si>
  <si>
    <t>1.1.2.1.1.1.3.19</t>
  </si>
  <si>
    <t>6.3.1.5.1.3.20.2</t>
  </si>
  <si>
    <t>Устройство покрытия пола СКБ с затиркой и укрытием ДВП / из керамогранитной плитки от 0,2м2/шт</t>
  </si>
  <si>
    <t>1.1.2.1.1.1.3.19.1</t>
  </si>
  <si>
    <t>Плиточный клей_ /  Унифицированный по ПИК-СТАНДАРТ</t>
  </si>
  <si>
    <t>1.1.2.1.1.1.3.19.2</t>
  </si>
  <si>
    <t>Керамический гранит Estima YOUR COLOR_ / YC23 / 600*600*10мм</t>
  </si>
  <si>
    <t>1.1.2.1.1.1.3.19.3</t>
  </si>
  <si>
    <t>1.1.2.1.1.1.3.19.4</t>
  </si>
  <si>
    <t>1.1.2.1.1.1.3.20</t>
  </si>
  <si>
    <t>1.1.2.1.1.1.3.20.1</t>
  </si>
  <si>
    <t>1.1.2.1.1.1.3.20.2</t>
  </si>
  <si>
    <t>1.1.2.1.1.1.3.20.3</t>
  </si>
  <si>
    <t>1.1.2.1.1.1.3.20.4</t>
  </si>
  <si>
    <t>1.1.2.1.1.1.3.21</t>
  </si>
  <si>
    <t>1.1.2.1.1.1.3.21.1</t>
  </si>
  <si>
    <t>1.1.2.1.1.1.3.21.2</t>
  </si>
  <si>
    <t>Плитка из керамогранита под дерево Kerama Marrazzi Ясень Беж (200х1200 мм)</t>
  </si>
  <si>
    <t>1.1.2.1.1.1.3.21.3</t>
  </si>
  <si>
    <t>1.1.2.1.1.1.3.21.4</t>
  </si>
  <si>
    <t>1.1.2.1.1.1.3.22</t>
  </si>
  <si>
    <t>1.1.2.1.1.1.3.22.1</t>
  </si>
  <si>
    <t>1.1.2.1.1.1.3.22.2</t>
  </si>
  <si>
    <t>1.1.2.1.1.1.3.22.3</t>
  </si>
  <si>
    <t>Плитка из керамогранита неполированная матовая структурированная Estima ST-17 (600x600 мм)</t>
  </si>
  <si>
    <t>1.1.2.1.1.1.3.22.4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</si>
  <si>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</si>
  <si>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</si>
  <si>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</si>
  <si>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</si>
  <si>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</si>
  <si>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</si>
  <si>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</si>
  <si>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</si>
  <si>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</si>
  <si>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</si>
  <si>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1.1.2.1.1.2.1.1.1</t>
  </si>
  <si>
    <t>Штукатурка цементная</t>
  </si>
  <si>
    <t>1.1.2.1.1.2.1.1.2</t>
  </si>
  <si>
    <t>Сетка штукатурная_/пластиковая/5*5</t>
  </si>
  <si>
    <t>1.1.2.1.1.2.1.1.3</t>
  </si>
  <si>
    <t>Профиль маячковый_/ПМ6</t>
  </si>
  <si>
    <t>1.1.2.1.1.2.1.1.4</t>
  </si>
  <si>
    <t>1.1.2.1.1.2.1.2</t>
  </si>
  <si>
    <t>1.1.2.1.1.2.1.2.1</t>
  </si>
  <si>
    <t>1.1.2.1.1.2.1.2.2</t>
  </si>
  <si>
    <t>1.1.2.1.1.2.1.2.3</t>
  </si>
  <si>
    <t>1.1.2.1.1.2.1.2.4</t>
  </si>
  <si>
    <t>1.1.2.1.1.2.2</t>
  </si>
  <si>
    <t>6.3.1.5.2.2</t>
  </si>
  <si>
    <t>Чистовые работы по поверхности стен</t>
  </si>
  <si>
    <t>1.1.2.1.1.2.2.1</t>
  </si>
  <si>
    <t>6.3.1.5.2.2.5.2</t>
  </si>
  <si>
    <t>Монтаж стеновых панелей / ПВХ</t>
  </si>
  <si>
    <t>1.1.2.1.1.2.2.1.1</t>
  </si>
  <si>
    <t xml:space="preserve">Панель ПВХ / 2700x375x5 </t>
  </si>
  <si>
    <t>1.1.2.1.1.2.2.2</t>
  </si>
  <si>
    <t>1эт, 2эт, 3эт, 4эт. Тип: 1, 2. HPL-панели Fundermax 0085 FH Weiss, цвет панели: RAL 9010</t>
  </si>
  <si>
    <t>1.1.2.1.1.2.2.2.1</t>
  </si>
  <si>
    <t>1.1.2.1.1.2.2.3</t>
  </si>
  <si>
    <t>6.3.1.5.2.2.8.1</t>
  </si>
  <si>
    <t>Лакокрасочные работы СКБ / окраска стен / в 2 слоя</t>
  </si>
  <si>
    <t>1.1.2.1.1.2.2.3.1</t>
  </si>
  <si>
    <t>1.1.2.1.1.2.2.3.2</t>
  </si>
  <si>
    <t>Акрилатная краска / 6021</t>
  </si>
  <si>
    <t>1.1.2.1.1.2.2.4</t>
  </si>
  <si>
    <t>1.1.2.1.1.2.2.4.1</t>
  </si>
  <si>
    <t>1.1.2.1.1.2.2.4.2</t>
  </si>
  <si>
    <t>1.1.2.1.1.2.2.5</t>
  </si>
  <si>
    <t>1.1.2.1.1.2.2.5.1</t>
  </si>
  <si>
    <t>1.1.2.1.1.2.2.5.2</t>
  </si>
  <si>
    <t>Высококачественная акрилатная матовая моющаяся краска, цвет: RAL 9010 (класс пожароопасности - КМ1; влажное истирание - класс 1)</t>
  </si>
  <si>
    <t>1.1.2.1.1.2.2.6</t>
  </si>
  <si>
    <t>1.1.2.1.1.2.2.6.1</t>
  </si>
  <si>
    <t>Высококачественная силикатная матовая моющаяся краска, цвет: RAL 9010 (класс пожароопасности - КМ0; влажное истирание - класс 1)</t>
  </si>
  <si>
    <t>1.1.2.1.1.2.2.6.2</t>
  </si>
  <si>
    <t>1.1.2.1.1.2.2.7</t>
  </si>
  <si>
    <t>6.3.1.5.2.2.9.1</t>
  </si>
  <si>
    <t>Облицовка поверхности стен СКБ с затиркой швов / керамической, керамогранитной плиткой до 0,2м2/шт</t>
  </si>
  <si>
    <t>1.1.2.1.1.2.2.7.1</t>
  </si>
  <si>
    <t>Затирка Цезерит СE33_/04 серебристо-серый</t>
  </si>
  <si>
    <t>1.1.2.1.1.2.2.7.2</t>
  </si>
  <si>
    <t>1.1.2.1.1.2.2.7.3</t>
  </si>
  <si>
    <t>1.1.2.1.1.2.2.7.4</t>
  </si>
  <si>
    <t>Керамический гранит Kerama marazzi_ / Синий /  SG1547N /  200х200 мм</t>
  </si>
  <si>
    <t>1.1.2.1.1.2.2.8</t>
  </si>
  <si>
    <t>1.1.2.1.1.2.2.8.1</t>
  </si>
  <si>
    <t>Керамическая плитка Kerama Marazzi, 7071Т Городские цветы; цвет: белый, матовый; размер: 200х500</t>
  </si>
  <si>
    <t>1.1.2.1.1.2.2.8.2</t>
  </si>
  <si>
    <t>1.1.2.1.1.2.2.8.3</t>
  </si>
  <si>
    <t>1.1.2.1.1.2.2.8.4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</si>
  <si>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</si>
  <si>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</si>
  <si>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</si>
  <si>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</si>
  <si>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</si>
  <si>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</si>
  <si>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</si>
  <si>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6.3.1.5.3.1.2.1</t>
  </si>
  <si>
    <t>Штукатурка потолка сухими смесями с установкой маяков с предварительной огрунтовкой поверхности / толщ. от 6,5 мм до 10 мм</t>
  </si>
  <si>
    <t>1.1.2.1.1.3.1.1.1</t>
  </si>
  <si>
    <t>1.1.2.1.1.3.1.1.2</t>
  </si>
  <si>
    <t>1.1.2.1.1.3.1.1.3</t>
  </si>
  <si>
    <t>1.1.2.1.1.3.1.1.4</t>
  </si>
  <si>
    <t>1.1.2.1.1.3.1.2</t>
  </si>
  <si>
    <t>1.1.2.1.1.3.1.2.1</t>
  </si>
  <si>
    <t>1.1.2.1.1.3.1.2.2</t>
  </si>
  <si>
    <t>1.1.2.1.1.3.1.2.3</t>
  </si>
  <si>
    <t>1.1.2.1.1.3.1.2.4</t>
  </si>
  <si>
    <t>1.1.2.1.1.3.1.3</t>
  </si>
  <si>
    <t>6.3.1.5.3.1.6.6</t>
  </si>
  <si>
    <t>Подготовка поверхности СКБ / потолка / по штукатурке / 2мм</t>
  </si>
  <si>
    <t>1.1.2.1.1.3.1.3.1</t>
  </si>
  <si>
    <t>Шпатлевка гипсовая_ / белая / Унифицированная по ПИК-СТАНДАРТ, 30кг (BIM)</t>
  </si>
  <si>
    <t>1.1.2.1.1.3.1.3.2</t>
  </si>
  <si>
    <t>1.1.2.1.1.3.1.4</t>
  </si>
  <si>
    <t>1.1.2.1.1.3.1.4.1</t>
  </si>
  <si>
    <t>1.1.2.1.1.3.1.4.2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</si>
  <si>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</si>
  <si>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</si>
  <si>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</si>
  <si>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</si>
  <si>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</si>
  <si>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</si>
  <si>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1.1.2.1.1.3.2.1.1</t>
  </si>
  <si>
    <t>Краска акриловая  / Сeresit CN 52 / 2 слоя  / 0,4 кг на м2</t>
  </si>
  <si>
    <t>1.1.2.1.1.3.2.1.2</t>
  </si>
  <si>
    <t>1.1.2.1.1.3.2.2</t>
  </si>
  <si>
    <t>1.1.2.1.1.3.2.2.1</t>
  </si>
  <si>
    <t>1.1.2.1.1.3.2.2.2</t>
  </si>
  <si>
    <t>1.1.2.1.1.3.2.3</t>
  </si>
  <si>
    <t>1.1.2.1.1.3.2.3.1</t>
  </si>
  <si>
    <t>1.1.2.1.1.3.2.3.2</t>
  </si>
  <si>
    <t>1.1.2.1.1.3.2.4</t>
  </si>
  <si>
    <t>1.1.2.1.1.3.2.4.1</t>
  </si>
  <si>
    <t>1.1.2.1.1.3.2.4.2</t>
  </si>
  <si>
    <t>1.1.2.1.1.3.2.5</t>
  </si>
  <si>
    <t>1.1.2.1.1.3.2.5.1</t>
  </si>
  <si>
    <t>Окраска высококачественной акрилатной матовой краской, цвет: RAL 9010 (класс пожароопасности - КМ1; влажное истирание - класс 1) Стоимость ANTEGA Строитель НГ белая, 25 кг составляет 4580,00. 1кг стоит 4580/25=183,20 руб.</t>
  </si>
  <si>
    <t>1.1.2.1.1.3.2.5.2</t>
  </si>
  <si>
    <t>1.1.2.1.1.3.2.6</t>
  </si>
  <si>
    <t>1.1.2.1.1.3.2.6.1</t>
  </si>
  <si>
    <t>1.1.2.1.1.3.2.6.2</t>
  </si>
  <si>
    <t>Окраска высококачественной силикатной краской, цвет: RAL 9010 (класс пожароопасности - КМ0; влажное истирание - класс 1)</t>
  </si>
  <si>
    <t>1.1.2.1.1.3.2.7</t>
  </si>
  <si>
    <t>1.1.2.1.1.3.2.7.1</t>
  </si>
  <si>
    <t>Высококачественная силикатая краска, цвет: RAL 9010 (класс пожароопасности - КМ0; влажное истирание - класс 1)</t>
  </si>
  <si>
    <t>1.1.2.1.1.3.2.7.2</t>
  </si>
  <si>
    <t>1.1.2.1.1.3.2.8</t>
  </si>
  <si>
    <t>1.1.2.1.1.3.2.8.1</t>
  </si>
  <si>
    <t>1.1.2.1.1.3.2.8.2</t>
  </si>
  <si>
    <t>Высококачественная акрилатная краска, цвет: RAL 7016 (класс пожароопасности - КМ1; влажное истирание - класс 1)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</si>
  <si>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</si>
  <si>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</si>
  <si>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</si>
  <si>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</si>
  <si>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</si>
  <si>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</si>
  <si>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1.1.2.1.1.4.1.1</t>
  </si>
  <si>
    <t>Подвесные акустические панели / Белый Frost / Ecophon Solo Baffle  / 1200х600х40 мм</t>
  </si>
  <si>
    <t>1.1.2.1.1.4.2</t>
  </si>
  <si>
    <t>1.1.2.1.1.4.2.1</t>
  </si>
  <si>
    <t>Реечный потолок_ / Металлический</t>
  </si>
  <si>
    <t>1.1.2.1.1.4.3</t>
  </si>
  <si>
    <t>1.1.2.1.1.4.3.1</t>
  </si>
  <si>
    <t>1.1.2.1.1.4.4</t>
  </si>
  <si>
    <t>1.1.2.1.1.4.4.1</t>
  </si>
  <si>
    <t>1.1.2.1.1.4.5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</si>
  <si>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</si>
  <si>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</si>
  <si>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1.1.2.1.1.4.6</t>
  </si>
  <si>
    <t>1.1.2.1.1.4.7</t>
  </si>
  <si>
    <t>6.3.1.5.4.4.2</t>
  </si>
  <si>
    <t>Монтаж подвесного потолка СКБ / из ГКЛ в 1 слой с применением профиля ПП</t>
  </si>
  <si>
    <t>1.1.2.1.1.4.7.1</t>
  </si>
  <si>
    <t>Шуруп со сверлом_/3,5*11</t>
  </si>
  <si>
    <t>1.1.2.1.1.4.7.2</t>
  </si>
  <si>
    <t>Шпаклевка д/заделки швов, ШОВСИЛК_/Т33</t>
  </si>
  <si>
    <t>1.1.2.1.1.4.7.3</t>
  </si>
  <si>
    <t>Удлинитель профилей_/потолочный/60*27</t>
  </si>
  <si>
    <t>1.1.2.1.1.4.7.4</t>
  </si>
  <si>
    <t>Соединитель профилей одноуровневый_/потолочный/60*27</t>
  </si>
  <si>
    <t>1.1.2.1.1.4.7.5</t>
  </si>
  <si>
    <t>Профиль_/направляющий/28*27*0,40/3м</t>
  </si>
  <si>
    <t>1.1.2.1.1.4.7.6</t>
  </si>
  <si>
    <t>Профиль_/потолочный/60*27*0,40/3м</t>
  </si>
  <si>
    <t>1.1.2.1.1.4.7.7</t>
  </si>
  <si>
    <t>Лента Дихтунгсбанд_/50мм</t>
  </si>
  <si>
    <t>1.1.2.1.1.4.7.8</t>
  </si>
  <si>
    <t>Лента армирующая ( серпянка)_/50мм</t>
  </si>
  <si>
    <t>1.1.2.1.1.4.7.9</t>
  </si>
  <si>
    <t>Гипсовые строительные плиты_ / влагостойкий / 12,5*1200*2500</t>
  </si>
  <si>
    <t>1.1.2.1.1.4.7.10</t>
  </si>
  <si>
    <t>Анкер-клин_/6*40</t>
  </si>
  <si>
    <t>1.1.2.1.1.4.8</t>
  </si>
  <si>
    <t>1.1.2.1.1.4.8.1</t>
  </si>
  <si>
    <t>1.1.2.1.1.4.8.2</t>
  </si>
  <si>
    <t>1.1.2.1.1.4.8.3</t>
  </si>
  <si>
    <t>1.1.2.1.1.4.8.4</t>
  </si>
  <si>
    <t>1.1.2.1.1.4.8.5</t>
  </si>
  <si>
    <t>1.1.2.1.1.4.8.6</t>
  </si>
  <si>
    <t>1.1.2.1.1.4.8.7</t>
  </si>
  <si>
    <t>1.1.2.1.1.4.8.8</t>
  </si>
  <si>
    <t>1.1.2.1.1.4.8.9</t>
  </si>
  <si>
    <t>1.1.2.1.1.4.8.10</t>
  </si>
  <si>
    <t>1.1.2.1.1.4.9</t>
  </si>
  <si>
    <t>1.1.2.1.1.4.9.1</t>
  </si>
  <si>
    <t>1.1.2.1.1.4.9.2</t>
  </si>
  <si>
    <t>1.1.2.1.1.4.9.3</t>
  </si>
  <si>
    <t>1.1.2.1.1.4.9.4</t>
  </si>
  <si>
    <t>1.1.2.1.1.4.9.5</t>
  </si>
  <si>
    <t>1.1.2.1.1.4.9.6</t>
  </si>
  <si>
    <t>1.1.2.1.1.4.9.7</t>
  </si>
  <si>
    <t>Плита Кнауф Файерборд_ / 2500х1200х12.5 м</t>
  </si>
  <si>
    <t>1.1.2.1.1.4.9.8</t>
  </si>
  <si>
    <t>1.1.2.1.1.4.9.9</t>
  </si>
  <si>
    <t>1.1.2.1.1.4.9.10</t>
  </si>
  <si>
    <t>1.1.2.1.1.4.10</t>
  </si>
  <si>
    <t>1.1.2.1.1.4.10.1</t>
  </si>
  <si>
    <t>1.1.2.1.1.4.10.2</t>
  </si>
  <si>
    <t>1.1.2.1.1.4.10.3</t>
  </si>
  <si>
    <t>1.1.2.1.1.4.10.4</t>
  </si>
  <si>
    <t>1.1.2.1.1.4.10.5</t>
  </si>
  <si>
    <t>1.1.2.1.1.4.10.6</t>
  </si>
  <si>
    <t>1.1.2.1.1.4.10.7</t>
  </si>
  <si>
    <t>1.1.2.1.1.4.10.8</t>
  </si>
  <si>
    <t>1.1.2.1.1.4.10.9</t>
  </si>
  <si>
    <t>1.1.2.1.1.4.10.10</t>
  </si>
  <si>
    <t>1.1.2.1.1.4.11</t>
  </si>
  <si>
    <t>1эт. Тип потолка: 2. Подвесной потолок ГКЛО Кнауф-лист - 1 слой, толщина 12,5 мм на металлическом каркасе.</t>
  </si>
  <si>
    <t>1.1.2.1.1.4.11.1</t>
  </si>
  <si>
    <t>1.1.2.1.1.4.11.2</t>
  </si>
  <si>
    <t>1.1.2.1.1.4.11.3</t>
  </si>
  <si>
    <t>1.1.2.1.1.4.11.4</t>
  </si>
  <si>
    <t>1.1.2.1.1.4.11.5</t>
  </si>
  <si>
    <t>1.1.2.1.1.4.11.6</t>
  </si>
  <si>
    <t>1.1.2.1.1.4.11.7</t>
  </si>
  <si>
    <t>1.1.2.1.1.4.11.8</t>
  </si>
  <si>
    <t>1.1.2.1.1.4.11.9</t>
  </si>
  <si>
    <t>1.1.2.1.1.4.11.10</t>
  </si>
  <si>
    <t>1.1.2.1.1.4.12</t>
  </si>
  <si>
    <t>1.1.2.1.1.4.12.1</t>
  </si>
  <si>
    <t>1.1.2.1.1.4.12.2</t>
  </si>
  <si>
    <t>1.1.2.1.1.4.12.3</t>
  </si>
  <si>
    <t>1.1.2.1.1.4.12.4</t>
  </si>
  <si>
    <t>1.1.2.1.1.4.12.5</t>
  </si>
  <si>
    <t>1.1.2.1.1.4.12.6</t>
  </si>
  <si>
    <t>1.1.2.1.1.4.12.7</t>
  </si>
  <si>
    <t>1.1.2.1.1.4.12.8</t>
  </si>
  <si>
    <t>1.1.2.1.1.4.12.9</t>
  </si>
  <si>
    <t>1.1.2.1.1.4.13</t>
  </si>
  <si>
    <t>6.3.1.5.4.4.4</t>
  </si>
  <si>
    <t>Монтаж подвесного потолка СКБ / типа Армстронг, Грильято</t>
  </si>
  <si>
    <t>1.1.2.1.1.4.13.1</t>
  </si>
  <si>
    <t>Подвесной потолок Армстронг / Белый</t>
  </si>
  <si>
    <t>1.1.2.1.1.4.14</t>
  </si>
  <si>
    <t>1.1.2.1.1.4.14.1</t>
  </si>
  <si>
    <t>1.1.2.1.1.5</t>
  </si>
  <si>
    <t>6.3.1.5.99</t>
  </si>
  <si>
    <t>Прочие работы</t>
  </si>
  <si>
    <t>1.1.2.1.1.5.1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</si>
  <si>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</si>
  <si>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</si>
  <si>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</si>
  <si>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мес</t>
  </si>
  <si>
    <t>1.1.2.1.1.5.2</t>
  </si>
  <si>
    <t>2. Объект ИДП без распределения на секции</t>
  </si>
  <si>
    <t>2.1</t>
  </si>
  <si>
    <t>2.1.1</t>
  </si>
  <si>
    <t>2.1.1.1</t>
  </si>
  <si>
    <t>2.1.1.1.1</t>
  </si>
  <si>
    <t>2.1.1.1.1.1</t>
  </si>
  <si>
    <t>2.1.1.1.1.1.1</t>
  </si>
  <si>
    <t>2.1.1.1.1.1.1.1</t>
  </si>
  <si>
    <t>85%- 2.3.4.5.-этажи</t>
  </si>
  <si>
    <t>2.1.1.1.1.1.1.1.1</t>
  </si>
  <si>
    <t>2.1.1.1.1.1.1.1.2</t>
  </si>
  <si>
    <t>2.1.1.1.1.1.1.1.3</t>
  </si>
  <si>
    <t>2.1.1.1.1.1.1.1.4</t>
  </si>
  <si>
    <t>2.1.1.1.1.1.1.1.5</t>
  </si>
  <si>
    <t>2.1.1.1.1.1.1.2</t>
  </si>
  <si>
    <t>2.1.1.1.1.1.1.2.1</t>
  </si>
  <si>
    <t>2.1.1.1.1.1.1.2.2</t>
  </si>
  <si>
    <t>2.1.1.1.1.1.1.2.3</t>
  </si>
  <si>
    <t>2.1.1.1.1.1.1.2.4</t>
  </si>
  <si>
    <t>2.1.1.1.1.1.1.2.5</t>
  </si>
  <si>
    <t>2.1.1.1.1.1.1.3</t>
  </si>
  <si>
    <t>2.1.1.1.1.1.1.3.1</t>
  </si>
  <si>
    <t>2.1.1.1.1.1.1.3.2</t>
  </si>
  <si>
    <t>2.1.1.1.1.1.1.3.3</t>
  </si>
  <si>
    <t>2.1.1.1.1.1.1.3.4</t>
  </si>
  <si>
    <t>2.1.1.1.1.1.1.3.5</t>
  </si>
  <si>
    <t>2.1.1.1.1.1.1.4</t>
  </si>
  <si>
    <t>2.1.1.1.1.1.1.4.1</t>
  </si>
  <si>
    <t>2.1.1.1.1.1.1.4.2</t>
  </si>
  <si>
    <t>2.1.1.1.1.1.1.4.3</t>
  </si>
  <si>
    <t>2.1.1.1.1.1.1.4.4</t>
  </si>
  <si>
    <t>2.1.1.1.1.1.1.4.5</t>
  </si>
  <si>
    <t>2.1.1.1.1.1.1.5</t>
  </si>
  <si>
    <t>2.1.1.1.1.1.1.5.1</t>
  </si>
  <si>
    <t>2.1.1.1.1.1.1.5.2</t>
  </si>
  <si>
    <t>2.1.1.1.1.1.1.5.3</t>
  </si>
  <si>
    <t>2.1.1.1.1.1.1.5.4</t>
  </si>
  <si>
    <t>2.1.1.1.1.1.1.5.5</t>
  </si>
  <si>
    <t>2.1.1.1.1.1.1.6</t>
  </si>
  <si>
    <t>2.1.1.1.1.1.1.6.1</t>
  </si>
  <si>
    <t>2.1.1.1.1.1.1.6.2</t>
  </si>
  <si>
    <t>2.1.1.1.1.1.1.6.3</t>
  </si>
  <si>
    <t>2.1.1.1.1.1.1.6.4</t>
  </si>
  <si>
    <t>2.1.1.1.1.1.1.6.5</t>
  </si>
  <si>
    <t>2.1.1.1.1.1.1.7</t>
  </si>
  <si>
    <t>60%- 2.3.4.5.-этажи</t>
  </si>
  <si>
    <t>2.1.1.1.1.1.1.7.1</t>
  </si>
  <si>
    <t>2.1.1.1.1.1.1.7.2</t>
  </si>
  <si>
    <t>2.1.1.1.1.1.1.7.3</t>
  </si>
  <si>
    <t>2.1.1.1.1.1.1.7.4</t>
  </si>
  <si>
    <t>2.1.1.1.1.1.1.7.5</t>
  </si>
  <si>
    <t>2.1.1.1.1.1.1.8</t>
  </si>
  <si>
    <t>2.1.1.1.1.1.1.8.1</t>
  </si>
  <si>
    <t>2.1.1.1.1.1.1.8.2</t>
  </si>
  <si>
    <t>2.1.1.1.1.1.1.8.3</t>
  </si>
  <si>
    <t>2.1.1.1.1.1.1.8.4</t>
  </si>
  <si>
    <t>2.1.1.1.1.1.1.8.5</t>
  </si>
  <si>
    <t>2.1.2.1.1.2</t>
  </si>
  <si>
    <t>2.1.2.1.1.2.1</t>
  </si>
  <si>
    <t>2.1.2.1.1.2.1.1</t>
  </si>
  <si>
    <t>2.1.2.1.1.2.1.1.1</t>
  </si>
  <si>
    <t>2.1.2.1.1.2.1.1.2</t>
  </si>
  <si>
    <t>2.1.2.1.1.2.1.1.3</t>
  </si>
  <si>
    <t>2.1.2.1.1.2.1.1.4</t>
  </si>
  <si>
    <t>2.1.2.1.1.2.2</t>
  </si>
  <si>
    <t>2.1.2.1.1.2.2.1</t>
  </si>
  <si>
    <t>2.1.2.1.1.2.2.1.1</t>
  </si>
  <si>
    <t>2.1.2.1.1.2.2.2</t>
  </si>
  <si>
    <t>2.1.2.1.1.2.2.2.1</t>
  </si>
  <si>
    <t>2.1.2.1.1.2.2.2.2</t>
  </si>
  <si>
    <t>2.1.2.1.1.2.2.3</t>
  </si>
  <si>
    <t>2.1.2.1.1.2.2.3.1</t>
  </si>
  <si>
    <t>2.1.2.1.1.2.2.3.2</t>
  </si>
  <si>
    <t>2.1.2.1.1.2.2.4</t>
  </si>
  <si>
    <t>2.1.2.1.1.2.2.4.1</t>
  </si>
  <si>
    <t>2.1.2.1.1.2.2.4.2</t>
  </si>
  <si>
    <t>2.1.2.1.1.2.2.4.3</t>
  </si>
  <si>
    <t>2.1.2.1.1.2.2.4.4</t>
  </si>
  <si>
    <t>Общая стоимость работ, руб.с НДС 20%</t>
  </si>
  <si>
    <t>Тип-3</t>
  </si>
  <si>
    <t>Тип-2</t>
  </si>
  <si>
    <t>Тип-7</t>
  </si>
  <si>
    <t>Тип-4</t>
  </si>
  <si>
    <t>Тип-8</t>
  </si>
  <si>
    <t>Тип-6</t>
  </si>
  <si>
    <t>Тип-5а</t>
  </si>
  <si>
    <t>№, тип.</t>
  </si>
  <si>
    <t>Описание</t>
  </si>
  <si>
    <t>Перегородки Тип-2. Перегородки С112 толщиной 125 мм, с внутренним заполнением минераловатной плитой толщиной 50 мм.</t>
  </si>
  <si>
    <t xml:space="preserve"> Перегородки Тип-3. Перегородка типа С112 на металлическом каркасе, толщиной - 125 мм, с внутренним заполнением минераловатной плитой толщиной 50 мм.</t>
  </si>
  <si>
    <t>Перегородки Тип-7. Перегородка типа С116 толщиной 200 мм, с внутренним заполнением минераловатной плитой толщиной 50 мм.</t>
  </si>
  <si>
    <t>Перегородки Тип-8. Облицовка типа С626 на отнесенном металлическом каркасе, толщиной 100 мм, с внутренним заполнением минераловатной плитой толщиной 75 мм.</t>
  </si>
  <si>
    <t>2 этаж</t>
  </si>
  <si>
    <t>3 этаж</t>
  </si>
  <si>
    <t>4 этаж</t>
  </si>
  <si>
    <t>5 этаж</t>
  </si>
  <si>
    <t xml:space="preserve">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
</t>
  </si>
  <si>
    <t xml:space="preserve">, 1эт, 2эт, 3эт, 4эт, 5эт. Перегородки Тип-5. Облицовка типа С626 на отнесенном металлическом каркасе толщиной 75 мм, с двуслойной обшивкой влагоогнестойкими гипсокартонными листами ГСП-DFН2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αw.
</t>
  </si>
  <si>
    <t>, 1эт, 2эт, 3эт, 4эт, 5эт. Перегородки Тип-5а. Облицовка типа С626 на отнесенном металлическом каркасе толщиной 87,5 мм, с двуслойной обшивкой влагоогнестойкими гипсокартонными листами ГСП-DFН2 с одной стороны и однослойной обшивкой влагоогнестойкими гипсокартонными листами ГСП-DFН2 с внутренней стороны ниши ЭОМ,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</si>
  <si>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, 1эт, 2эт, 3эт, 4эт, 5эт. Перегородки Тип-6. Облицовка типа С626 на отнесенном металлическом каркасе, толщиной - 75 мм, с двуслойной обшивкой листами Кнауф-Файербор с одной стороны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</si>
  <si>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, 1эт, 2эт, 3эт, 4эт, 5эт. Тип: 1-13, 15</t>
  </si>
  <si>
    <t>, 1эт, 2эт, 3эт, 4эт, 5эт. Тип: 4, 5, 13 (Нивелирующая масса - 8 мм)</t>
  </si>
  <si>
    <t>, 3эт. Стены. Тип: 4. Гидроизоляция Кнауф-ФЛЭХЕНДИХТ</t>
  </si>
  <si>
    <t>, 1эт, 2эт, 3эт, 4эт, 5эт. Тип: 6, 7, 8, 11.</t>
  </si>
  <si>
    <t>, 1эт, 2эт, 3эт, 4эт, 5эт. Тип: 7-13, 15 (с заводом на стену на 300 мм).</t>
  </si>
  <si>
    <t>, 1эт, 2эт, 3эт, 4эт, 5эт. Тип: 7.</t>
  </si>
  <si>
    <t>, 1эт, 2эт, 3эт, 4эт, 5эт. Тип: 4, 5 (100 мм).</t>
  </si>
  <si>
    <t>, 1эт, 2эт, 3эт, 4эт, 5эт. Тип: 10 (120 мм).</t>
  </si>
  <si>
    <t>, 1эт, 2эт, 3эт, 4эт, 5эт. Тип: 7 (67 мм).</t>
  </si>
  <si>
    <t>, 1эт, 2эт, 3эт, 4эт, 5эт. Тип: 1,2,3,6 (89-90 мм).</t>
  </si>
  <si>
    <t>, 1эт, 2эт, 3эт, 4эт, 5эт. Тип: 8, 9, 11, 12, 15 (139-140 мм).</t>
  </si>
  <si>
    <t>, 1эт, 2эт, 3эт, 4эт, 5эт. Тип: 13 (150 мм).</t>
  </si>
  <si>
    <t>, 1эт, 2эт, 3эт, 4эт, 5эт. Тип: 5, 13.</t>
  </si>
  <si>
    <t>, 1эт, 2эт, 3эт, 4эт, 5эт. Тип: 4, 5, 13. Плинтус коннелюрный двухсоставной h=100мм</t>
  </si>
  <si>
    <t>, 1эт, 2эт, 3эт, 4эт, 5эт. Тип:14.</t>
  </si>
  <si>
    <t>, 1эт, 2эт, 3эт, 4эт, 5эт. Тип: 1, 6, 12.</t>
  </si>
  <si>
    <t>, 1эт, 2эт, 3эт, 4эт, 5эт. Тип: 2, 8, 15.</t>
  </si>
  <si>
    <t>, 5эт. Тип: 3, 7, 9, 10, 11.</t>
  </si>
  <si>
    <t>, 1эт, 2эт, 3эт, 4эт, 5эт. Плитка из керамогранита под дерево Kerama Marrazzi, Клин Вуд (лестничные площадки)</t>
  </si>
  <si>
    <t>Высококачественная цементно-песчаная штукатурка по сетке (согласно АР3 листы 23-28) , 1эт, 2эт, 3эт, 4эт, 5эт.</t>
  </si>
  <si>
    <t xml:space="preserve">, 1эт, 2эт, 3эт, 4эт, 5эт. Тип: 2, 6. =1879,60; 1эт.=1200,80; 2эт.=2574,3+32,8; 3эт.=2128,30;  4эт.=2202+14;  5эт.=1818,6
</t>
  </si>
  <si>
    <t>, 1эт, 2эт, 3эт, 4эт, 5эт. Тип: 3. =354,2; 1эт.=13,2+1363,7; 2эт.=332,6; 3эт.=323,5;  4эт.=419,7;  5эт.=227,1</t>
  </si>
  <si>
    <t>, 1эт, 2эт, 3эт, 4эт, 5эт. Тип: 4, 5.</t>
  </si>
  <si>
    <t>, 1эт, 2эт, 3эт, 4эт, 5эт. Тип потолка: 5, 6.</t>
  </si>
  <si>
    <t>, 1эт, 2эт, 3эт, 4эт, 5эт. Тип потолка: 1.</t>
  </si>
  <si>
    <t>, 1эт, 2эт, 3эт, 4эт, 5эт. Тип потолка: 2.</t>
  </si>
  <si>
    <t>, 1эт, 2эт, 3эт, 4эт, 5эт. Тип потолка: 5.</t>
  </si>
  <si>
    <t>, 1эт, 2эт, 3эт, 4эт, 5эт. Тип потолка: 6.</t>
  </si>
  <si>
    <t xml:space="preserve">, 1эт, 2эт, 3эт, 4эт, 5эт. Тип потолка: 3. Металлические потолочные панели системы Clip-IN типа Armstrong ClipIN Bioguard, размер кассет: 600х1200 мм, цвет: RAL 9010
</t>
  </si>
  <si>
    <t>, 2эт, 3эт, 4эт, 5эт. Тип потолка: 9. Панно из кубообразных потолочных реек из оцинкованной стали типа Tokay Cube Rechteck Rohr С30/50, цвет: имитация текстуры дерева, "медовый" типа Клин Вуд</t>
  </si>
  <si>
    <t>, 1эт, 2эт, 3эт, 4эт, 5эт. Тип потолка: 1-4.</t>
  </si>
  <si>
    <t>, 1эт, 2эт, 3эт, 4эт, 5эт. Тип потолка: 1. Подвесной потолок ГКЛ Кнауф-лист- 1 слой, толщина 12,5 мм на металлическом каркасе.</t>
  </si>
  <si>
    <t>, 2эт, 3эт, 4эт, 5эт. Тип потолка: 2. Подвесной потолок КНАУФ Файерборд.</t>
  </si>
  <si>
    <t>, 1эт, 2эт, 3эт, 4эт, 5эт. Тип потолка: 4. Металлические потолочные панели системы Clip-IN типа Armstrong ClipIN Bioguard, размер кассет: 600х600 мм, цвет: RAL 9010</t>
  </si>
  <si>
    <t>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</si>
  <si>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, 1эт, 2эт, 3эт, 4эт, 5эт. Тип: 2, 6. =1879,60; 1эт.=1200,80; 2эт.=2574,3+32,8; 3эт.=2128,30;  4эт.=2202+14;  5эт.=1818,6</t>
  </si>
  <si>
    <t xml:space="preserve">Перегородки Тип-4. Облицовка типа С626 на отнесенном металлическом каркасе толщиной 75 мм, с внутренним заполнением минераловатной плитой толщиной 50 мм, </t>
  </si>
  <si>
    <t>Перегородки Тип-6. Облицовка типа С626 на отнесенном металлическом каркасе, толщиной - 75 мм, с внутренним заполнением минераловатной плитой толщиной 50 мм.</t>
  </si>
  <si>
    <t xml:space="preserve">Перегородки Тип-5а. Облицовка типа С626 на отнесенном металлическом каркасе толщиной 87,5 мм, с внутренним заполнением минераловатной плитой толщиной 50 мм, </t>
  </si>
  <si>
    <t>Перегородки Тип-5. Облицовка типа С626 на отнесенном металлическом каркасе толщиной 75 мм, с внутренним заполнением минераловатной плитой толщиной 50 мм,</t>
  </si>
  <si>
    <t>Тип-5</t>
  </si>
  <si>
    <t>Подв.</t>
  </si>
  <si>
    <t>1 этаж</t>
  </si>
  <si>
    <t>Ведомость работ</t>
  </si>
  <si>
    <t>№ п.п.</t>
  </si>
  <si>
    <t>Наименование</t>
  </si>
  <si>
    <t>Объем, м2</t>
  </si>
  <si>
    <t>Керамогранитная плитка и плинтус</t>
  </si>
  <si>
    <t>№ п.п</t>
  </si>
  <si>
    <t>пом.</t>
  </si>
  <si>
    <t>объем, м2.</t>
  </si>
  <si>
    <t>плинтус, пог.м.</t>
  </si>
  <si>
    <t>1.052</t>
  </si>
  <si>
    <t>1.084</t>
  </si>
  <si>
    <t>1.031</t>
  </si>
  <si>
    <t>1.032</t>
  </si>
  <si>
    <t>2.007</t>
  </si>
  <si>
    <t>Итог:</t>
  </si>
  <si>
    <t>1-5 этаж</t>
  </si>
  <si>
    <t>1-5 этаж,
базовая</t>
  </si>
  <si>
    <t>№ эт.</t>
  </si>
  <si>
    <t xml:space="preserve">Подготовка поверхности СКБ / стен / по штукатурке / </t>
  </si>
  <si>
    <t>пог.м</t>
  </si>
  <si>
    <t>2, 3 этаж
базовая шпаклевка</t>
  </si>
  <si>
    <t>—</t>
  </si>
  <si>
    <t>504а</t>
  </si>
  <si>
    <t>504б</t>
  </si>
  <si>
    <t>507а</t>
  </si>
  <si>
    <t>405</t>
  </si>
  <si>
    <t>414</t>
  </si>
  <si>
    <t>420</t>
  </si>
  <si>
    <t>421</t>
  </si>
  <si>
    <t>422</t>
  </si>
  <si>
    <t>427</t>
  </si>
  <si>
    <t>430</t>
  </si>
  <si>
    <t>436</t>
  </si>
  <si>
    <t>438</t>
  </si>
  <si>
    <t>439</t>
  </si>
  <si>
    <t>440</t>
  </si>
  <si>
    <t>447</t>
  </si>
  <si>
    <t>449</t>
  </si>
  <si>
    <t>449а</t>
  </si>
  <si>
    <t>451</t>
  </si>
  <si>
    <t>401</t>
  </si>
  <si>
    <t>402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</si>
  <si>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</si>
  <si>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</si>
  <si>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</si>
  <si>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</si>
  <si>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</si>
  <si>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</si>
  <si>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</si>
  <si>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</si>
  <si>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</si>
  <si>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</si>
  <si>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</si>
  <si>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</si>
  <si>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</si>
  <si>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</si>
  <si>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</si>
  <si>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423</t>
  </si>
  <si>
    <t>424</t>
  </si>
  <si>
    <t>425</t>
  </si>
  <si>
    <t>426</t>
  </si>
  <si>
    <t>428</t>
  </si>
  <si>
    <t>429</t>
  </si>
  <si>
    <t>431</t>
  </si>
  <si>
    <t>432</t>
  </si>
  <si>
    <t>433</t>
  </si>
  <si>
    <t>434</t>
  </si>
  <si>
    <t>435</t>
  </si>
  <si>
    <t>437</t>
  </si>
  <si>
    <t>441</t>
  </si>
  <si>
    <t>442</t>
  </si>
  <si>
    <t>443</t>
  </si>
  <si>
    <t>444</t>
  </si>
  <si>
    <t>445</t>
  </si>
  <si>
    <t>446</t>
  </si>
  <si>
    <t>448</t>
  </si>
  <si>
    <t>450</t>
  </si>
  <si>
    <t>452</t>
  </si>
  <si>
    <t>453</t>
  </si>
  <si>
    <t>454</t>
  </si>
  <si>
    <t>№ помещения</t>
  </si>
  <si>
    <t>1 тип: высококачественная цементно-песчаная по сетке, м²</t>
  </si>
  <si>
    <t>2 тип: улучшенная по пластиковой сетке до 10 мм, м²</t>
  </si>
  <si>
    <t>3 тип: под плитку / HPL (без описания), м²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</si>
  <si>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</si>
  <si>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</si>
  <si>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</si>
  <si>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</si>
  <si>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</si>
  <si>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</si>
  <si>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</si>
  <si>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</si>
  <si>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</si>
  <si>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</si>
  <si>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</si>
  <si>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</si>
  <si>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</si>
  <si>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</si>
  <si>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</si>
  <si>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</si>
  <si>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</si>
  <si>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</si>
  <si>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</si>
  <si>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</si>
  <si>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</si>
  <si>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</si>
  <si>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</si>
  <si>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</si>
  <si>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</si>
  <si>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</si>
  <si>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</si>
  <si>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</si>
  <si>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`-1 этаж</t>
  </si>
  <si>
    <t>Подвал</t>
  </si>
  <si>
    <t>Шлифование бетонных поверхностей
стен (снятие наплывов и швов, снятие
цементного молочка)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</si>
</sst>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0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color rgb="FFFFFFFF"/>
      <name val="ГОСТ тип А"/>
      <family val="2"/>
      <charset val="204"/>
    </font>
    <font>
      <b/>
      <sz val="14"/>
      <color rgb="FF2F5487"/>
      <name val="ГОСТ тип А"/>
      <family val="2"/>
      <charset val="204"/>
    </font>
    <font>
      <b/>
      <i/>
      <sz val="14"/>
      <color rgb="FF000000"/>
      <name val="ГОСТ тип А"/>
      <family val="2"/>
      <charset val="204"/>
    </font>
    <font>
      <b/>
      <sz val="14"/>
      <color rgb="FF800000"/>
      <name val="ГОСТ тип А"/>
      <family val="2"/>
      <charset val="204"/>
    </font>
    <font>
      <b/>
      <sz val="14"/>
      <color rgb="FF00B050"/>
      <name val="ГОСТ тип А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ГОСТ тип А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center" vertical="center" wrapText="1"/>
    </xf>
    <xf numFmtId="4" fontId="2" fillId="7" borderId="12" xfId="0" applyNumberFormat="1" applyFont="1" applyFill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13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4" fillId="0" borderId="0" xfId="0" applyFont="1"/>
    <xf numFmtId="164" fontId="2" fillId="0" borderId="5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4" fontId="2" fillId="5" borderId="12" xfId="0" applyNumberFormat="1" applyFont="1" applyFill="1" applyBorder="1" applyAlignment="1">
      <alignment horizontal="center" vertical="center"/>
    </xf>
    <xf numFmtId="4" fontId="2" fillId="0" borderId="12" xfId="0" applyNumberFormat="1" applyFont="1" applyBorder="1" applyAlignment="1">
      <alignment horizontal="center" vertical="center"/>
    </xf>
    <xf numFmtId="4" fontId="2" fillId="3" borderId="12" xfId="0" applyNumberFormat="1" applyFont="1" applyFill="1" applyBorder="1" applyAlignment="1">
      <alignment horizontal="center" vertical="center" wrapText="1"/>
    </xf>
    <xf numFmtId="4" fontId="2" fillId="3" borderId="12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4" fontId="2" fillId="4" borderId="12" xfId="0" applyNumberFormat="1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4" fontId="2" fillId="3" borderId="15" xfId="0" applyNumberFormat="1" applyFont="1" applyFill="1" applyBorder="1" applyAlignment="1">
      <alignment horizontal="center" vertical="center"/>
    </xf>
    <xf numFmtId="4" fontId="2" fillId="3" borderId="16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4" fillId="2" borderId="0" xfId="0" applyFont="1" applyFill="1"/>
    <xf numFmtId="0" fontId="6" fillId="2" borderId="0" xfId="0" applyFont="1" applyFill="1" applyAlignment="1">
      <alignment horizontal="left" vertical="center" wrapText="1"/>
    </xf>
    <xf numFmtId="0" fontId="7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7" fillId="6" borderId="5" xfId="0" applyFont="1" applyFill="1" applyBorder="1" applyAlignment="1">
      <alignment horizontal="right" vertical="center" wrapText="1"/>
    </xf>
    <xf numFmtId="164" fontId="8" fillId="0" borderId="5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8" xfId="0" applyFont="1" applyFill="1" applyBorder="1"/>
    <xf numFmtId="0" fontId="4" fillId="0" borderId="7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4" fillId="0" borderId="8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" fontId="4" fillId="0" borderId="0" xfId="0" applyNumberFormat="1" applyFont="1"/>
    <xf numFmtId="4" fontId="9" fillId="0" borderId="12" xfId="0" applyNumberFormat="1" applyFont="1" applyBorder="1" applyAlignment="1">
      <alignment horizontal="center" vertical="center" wrapText="1"/>
    </xf>
    <xf numFmtId="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12" xfId="1" applyFont="1" applyBorder="1" applyAlignment="1">
      <alignment vertical="center"/>
    </xf>
    <xf numFmtId="0" fontId="11" fillId="0" borderId="22" xfId="1" applyFont="1" applyBorder="1" applyAlignment="1">
      <alignment horizontal="center"/>
    </xf>
    <xf numFmtId="2" fontId="11" fillId="0" borderId="12" xfId="1" applyNumberFormat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2" xfId="1" applyFont="1" applyBorder="1" applyAlignment="1">
      <alignment horizontal="left" vertical="center" wrapText="1"/>
    </xf>
    <xf numFmtId="165" fontId="11" fillId="0" borderId="12" xfId="1" applyNumberFormat="1" applyFont="1" applyBorder="1" applyAlignment="1">
      <alignment horizontal="center" vertical="center"/>
    </xf>
    <xf numFmtId="165" fontId="11" fillId="0" borderId="12" xfId="1" applyNumberFormat="1" applyFont="1" applyBorder="1" applyAlignment="1">
      <alignment horizontal="right" vertical="center"/>
    </xf>
    <xf numFmtId="16" fontId="11" fillId="0" borderId="12" xfId="1" applyNumberFormat="1" applyFont="1" applyBorder="1" applyAlignment="1">
      <alignment horizontal="center" vertical="center"/>
    </xf>
    <xf numFmtId="165" fontId="11" fillId="0" borderId="12" xfId="1" applyNumberFormat="1" applyFont="1" applyBorder="1" applyAlignment="1">
      <alignment vertical="center"/>
    </xf>
    <xf numFmtId="0" fontId="11" fillId="0" borderId="20" xfId="1" applyFont="1" applyBorder="1" applyAlignment="1">
      <alignment horizontal="center" vertical="center"/>
    </xf>
    <xf numFmtId="0" fontId="11" fillId="0" borderId="12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/>
    </xf>
    <xf numFmtId="0" fontId="11" fillId="0" borderId="22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/>
    </xf>
    <xf numFmtId="0" fontId="11" fillId="0" borderId="22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2" xfId="1" applyFont="1" applyBorder="1" applyAlignment="1">
      <alignment horizontal="left" vertical="center" wrapText="1"/>
    </xf>
    <xf numFmtId="0" fontId="11" fillId="0" borderId="22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/>
    </xf>
    <xf numFmtId="0" fontId="11" fillId="0" borderId="22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20" xfId="1" applyFont="1" applyBorder="1" applyAlignment="1"/>
    <xf numFmtId="0" fontId="11" fillId="0" borderId="21" xfId="1" applyFont="1" applyBorder="1" applyAlignment="1"/>
    <xf numFmtId="0" fontId="11" fillId="0" borderId="22" xfId="1" applyFont="1" applyBorder="1" applyAlignment="1"/>
    <xf numFmtId="0" fontId="11" fillId="0" borderId="20" xfId="1" applyFont="1" applyBorder="1" applyAlignment="1">
      <alignment vertical="center" wrapText="1"/>
    </xf>
    <xf numFmtId="0" fontId="11" fillId="0" borderId="21" xfId="1" applyFont="1" applyBorder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11" fillId="0" borderId="20" xfId="1" applyFont="1" applyBorder="1" applyAlignment="1">
      <alignment horizontal="left" vertical="center" wrapText="1"/>
    </xf>
    <xf numFmtId="0" fontId="11" fillId="0" borderId="21" xfId="1" applyFont="1" applyBorder="1" applyAlignment="1">
      <alignment horizontal="left" vertical="center" wrapText="1"/>
    </xf>
    <xf numFmtId="0" fontId="11" fillId="0" borderId="22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center"/>
    </xf>
    <xf numFmtId="0" fontId="11" fillId="0" borderId="20" xfId="1" applyFont="1" applyBorder="1" applyAlignment="1">
      <alignment horizontal="right" vertical="center"/>
    </xf>
    <xf numFmtId="0" fontId="11" fillId="0" borderId="22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11" fillId="0" borderId="20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85" zoomScaleNormal="85" workbookViewId="0">
      <selection activeCell="B3" sqref="B3:D3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8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7" ht="15.6" x14ac:dyDescent="0.3">
      <c r="A2" s="65" t="s">
        <v>815</v>
      </c>
      <c r="B2" s="97" t="s">
        <v>816</v>
      </c>
      <c r="C2" s="98"/>
      <c r="D2" s="99"/>
      <c r="E2" s="93" t="s">
        <v>758</v>
      </c>
      <c r="F2" s="67" t="s">
        <v>18</v>
      </c>
      <c r="G2" s="67" t="s">
        <v>817</v>
      </c>
    </row>
    <row r="3" spans="1:7" ht="51.6" customHeight="1" x14ac:dyDescent="0.3">
      <c r="A3" s="92">
        <v>1</v>
      </c>
      <c r="B3" s="100" t="s">
        <v>928</v>
      </c>
      <c r="C3" s="101"/>
      <c r="D3" s="102"/>
      <c r="E3" s="94" t="s">
        <v>829</v>
      </c>
      <c r="F3" s="92" t="s">
        <v>46</v>
      </c>
      <c r="G3" s="70">
        <f>B11</f>
        <v>4683.1000000000004</v>
      </c>
    </row>
    <row r="4" spans="1:7" ht="15.6" x14ac:dyDescent="0.3">
      <c r="A4" s="103"/>
      <c r="B4" s="103"/>
      <c r="C4" s="103"/>
      <c r="D4" s="103"/>
      <c r="E4" s="103"/>
      <c r="F4" s="103"/>
      <c r="G4" s="103"/>
    </row>
    <row r="5" spans="1:7" ht="15.6" x14ac:dyDescent="0.3">
      <c r="A5" s="92" t="s">
        <v>831</v>
      </c>
      <c r="B5" s="92" t="s">
        <v>821</v>
      </c>
      <c r="C5" s="104"/>
      <c r="D5" s="105"/>
      <c r="E5" s="105"/>
      <c r="F5" s="105"/>
      <c r="G5" s="105"/>
    </row>
    <row r="6" spans="1:7" ht="15.6" x14ac:dyDescent="0.3">
      <c r="A6" s="92">
        <v>1</v>
      </c>
      <c r="B6" s="70">
        <v>897.3</v>
      </c>
      <c r="C6" s="104"/>
      <c r="D6" s="105"/>
      <c r="E6" s="105"/>
      <c r="F6" s="105"/>
      <c r="G6" s="105"/>
    </row>
    <row r="7" spans="1:7" ht="15.6" x14ac:dyDescent="0.3">
      <c r="A7" s="92">
        <v>2</v>
      </c>
      <c r="B7" s="70">
        <v>903.4</v>
      </c>
      <c r="C7" s="104"/>
      <c r="D7" s="105"/>
      <c r="E7" s="105"/>
      <c r="F7" s="105"/>
      <c r="G7" s="105"/>
    </row>
    <row r="8" spans="1:7" ht="15.6" x14ac:dyDescent="0.3">
      <c r="A8" s="92">
        <v>3</v>
      </c>
      <c r="B8" s="70">
        <v>902.4</v>
      </c>
      <c r="C8" s="104"/>
      <c r="D8" s="105"/>
      <c r="E8" s="105"/>
      <c r="F8" s="105"/>
      <c r="G8" s="105"/>
    </row>
    <row r="9" spans="1:7" ht="15.6" x14ac:dyDescent="0.3">
      <c r="A9" s="92">
        <v>4</v>
      </c>
      <c r="B9" s="70">
        <v>1001.4</v>
      </c>
      <c r="C9" s="104"/>
      <c r="D9" s="105"/>
      <c r="E9" s="105"/>
      <c r="F9" s="105"/>
      <c r="G9" s="105"/>
    </row>
    <row r="10" spans="1:7" ht="15.6" x14ac:dyDescent="0.3">
      <c r="A10" s="92">
        <v>5</v>
      </c>
      <c r="B10" s="70">
        <v>978.6</v>
      </c>
      <c r="C10" s="104"/>
      <c r="D10" s="105"/>
      <c r="E10" s="105"/>
      <c r="F10" s="105"/>
      <c r="G10" s="105"/>
    </row>
    <row r="11" spans="1:7" ht="15.6" x14ac:dyDescent="0.3">
      <c r="A11" s="95" t="s">
        <v>828</v>
      </c>
      <c r="B11" s="70">
        <f>SUM(B6:B10)</f>
        <v>4683.1000000000004</v>
      </c>
      <c r="C11" s="104"/>
      <c r="D11" s="105"/>
      <c r="E11" s="105"/>
      <c r="F11" s="105"/>
      <c r="G11" s="105"/>
    </row>
  </sheetData>
  <mergeCells count="5">
    <mergeCell ref="A1:G1"/>
    <mergeCell ref="B2:D2"/>
    <mergeCell ref="B3:D3"/>
    <mergeCell ref="A4:G4"/>
    <mergeCell ref="C5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8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7" ht="15.6" x14ac:dyDescent="0.3">
      <c r="A2" s="65" t="s">
        <v>815</v>
      </c>
      <c r="B2" s="97" t="s">
        <v>816</v>
      </c>
      <c r="C2" s="98"/>
      <c r="D2" s="99"/>
      <c r="E2" s="83" t="s">
        <v>758</v>
      </c>
      <c r="F2" s="67" t="s">
        <v>18</v>
      </c>
      <c r="G2" s="67" t="s">
        <v>817</v>
      </c>
    </row>
    <row r="3" spans="1:7" ht="70.8" customHeight="1" x14ac:dyDescent="0.3">
      <c r="A3" s="82">
        <v>1</v>
      </c>
      <c r="B3" s="100" t="s">
        <v>439</v>
      </c>
      <c r="C3" s="101"/>
      <c r="D3" s="102"/>
      <c r="E3" s="84" t="s">
        <v>926</v>
      </c>
      <c r="F3" s="82" t="s">
        <v>46</v>
      </c>
      <c r="G3" s="70">
        <v>1959.9</v>
      </c>
    </row>
    <row r="4" spans="1:7" ht="15.6" x14ac:dyDescent="0.3">
      <c r="A4" s="103"/>
      <c r="B4" s="103"/>
      <c r="C4" s="103"/>
      <c r="D4" s="103"/>
      <c r="E4" s="103"/>
      <c r="F4" s="103"/>
      <c r="G4" s="103"/>
    </row>
    <row r="5" spans="1:7" ht="15.6" x14ac:dyDescent="0.3">
      <c r="A5" s="82" t="s">
        <v>831</v>
      </c>
      <c r="B5" s="82" t="s">
        <v>821</v>
      </c>
      <c r="C5" s="104"/>
      <c r="D5" s="105"/>
      <c r="E5" s="105"/>
      <c r="F5" s="105"/>
      <c r="G5" s="105"/>
    </row>
    <row r="6" spans="1:7" ht="15.6" x14ac:dyDescent="0.3">
      <c r="A6" s="82">
        <v>-1</v>
      </c>
      <c r="B6" s="70">
        <v>1959.9</v>
      </c>
      <c r="C6" s="104"/>
      <c r="D6" s="105"/>
      <c r="E6" s="105"/>
      <c r="F6" s="105"/>
      <c r="G6" s="105"/>
    </row>
    <row r="7" spans="1:7" ht="15.6" x14ac:dyDescent="0.3">
      <c r="A7" s="85" t="s">
        <v>828</v>
      </c>
      <c r="B7" s="70">
        <f>SUM(B6:B6)</f>
        <v>1959.9</v>
      </c>
      <c r="C7" s="104"/>
      <c r="D7" s="105"/>
      <c r="E7" s="105"/>
      <c r="F7" s="105"/>
      <c r="G7" s="105"/>
    </row>
  </sheetData>
  <mergeCells count="5">
    <mergeCell ref="A1:G1"/>
    <mergeCell ref="B2:D2"/>
    <mergeCell ref="B3:D3"/>
    <mergeCell ref="A4:G4"/>
    <mergeCell ref="C5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G11"/>
  <sheetViews>
    <sheetView zoomScale="85" zoomScaleNormal="85" workbookViewId="0">
      <selection activeCell="C5" sqref="C5:G11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8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7" ht="15.6" x14ac:dyDescent="0.3">
      <c r="A2" s="65" t="s">
        <v>815</v>
      </c>
      <c r="B2" s="97" t="s">
        <v>816</v>
      </c>
      <c r="C2" s="98"/>
      <c r="D2" s="99"/>
      <c r="E2" s="79" t="s">
        <v>758</v>
      </c>
      <c r="F2" s="67" t="s">
        <v>18</v>
      </c>
      <c r="G2" s="67" t="s">
        <v>817</v>
      </c>
    </row>
    <row r="3" spans="1:7" ht="70.8" customHeight="1" x14ac:dyDescent="0.3">
      <c r="A3" s="78">
        <v>1</v>
      </c>
      <c r="B3" s="100" t="s">
        <v>439</v>
      </c>
      <c r="C3" s="101"/>
      <c r="D3" s="102"/>
      <c r="E3" s="80" t="s">
        <v>829</v>
      </c>
      <c r="F3" s="78" t="s">
        <v>46</v>
      </c>
      <c r="G3" s="70">
        <f>B11</f>
        <v>4716.6000000000004</v>
      </c>
    </row>
    <row r="4" spans="1:7" ht="15.6" x14ac:dyDescent="0.3">
      <c r="A4" s="103"/>
      <c r="B4" s="103"/>
      <c r="C4" s="103"/>
      <c r="D4" s="103"/>
      <c r="E4" s="103"/>
      <c r="F4" s="103"/>
      <c r="G4" s="103"/>
    </row>
    <row r="5" spans="1:7" ht="15.6" x14ac:dyDescent="0.3">
      <c r="A5" s="78" t="s">
        <v>831</v>
      </c>
      <c r="B5" s="78" t="s">
        <v>821</v>
      </c>
      <c r="C5" s="104"/>
      <c r="D5" s="105"/>
      <c r="E5" s="105"/>
      <c r="F5" s="105"/>
      <c r="G5" s="105"/>
    </row>
    <row r="6" spans="1:7" ht="15.6" x14ac:dyDescent="0.3">
      <c r="A6" s="78">
        <v>1</v>
      </c>
      <c r="B6" s="70">
        <v>905.8</v>
      </c>
      <c r="C6" s="104"/>
      <c r="D6" s="105"/>
      <c r="E6" s="105"/>
      <c r="F6" s="105"/>
      <c r="G6" s="105"/>
    </row>
    <row r="7" spans="1:7" ht="15.6" x14ac:dyDescent="0.3">
      <c r="A7" s="78">
        <v>2</v>
      </c>
      <c r="B7" s="70">
        <v>911.4</v>
      </c>
      <c r="C7" s="104"/>
      <c r="D7" s="105"/>
      <c r="E7" s="105"/>
      <c r="F7" s="105"/>
      <c r="G7" s="105"/>
    </row>
    <row r="8" spans="1:7" ht="15.6" x14ac:dyDescent="0.3">
      <c r="A8" s="78">
        <v>3</v>
      </c>
      <c r="B8" s="70">
        <v>905.40000000000009</v>
      </c>
      <c r="C8" s="104"/>
      <c r="D8" s="105"/>
      <c r="E8" s="105"/>
      <c r="F8" s="105"/>
      <c r="G8" s="105"/>
    </row>
    <row r="9" spans="1:7" ht="15.6" x14ac:dyDescent="0.3">
      <c r="A9" s="78">
        <v>4</v>
      </c>
      <c r="B9" s="70">
        <v>1005.4000000000001</v>
      </c>
      <c r="C9" s="104"/>
      <c r="D9" s="105"/>
      <c r="E9" s="105"/>
      <c r="F9" s="105"/>
      <c r="G9" s="105"/>
    </row>
    <row r="10" spans="1:7" ht="15.6" x14ac:dyDescent="0.3">
      <c r="A10" s="78">
        <v>5</v>
      </c>
      <c r="B10" s="70">
        <v>988.60000000000014</v>
      </c>
      <c r="C10" s="104"/>
      <c r="D10" s="105"/>
      <c r="E10" s="105"/>
      <c r="F10" s="105"/>
      <c r="G10" s="105"/>
    </row>
    <row r="11" spans="1:7" ht="15.6" x14ac:dyDescent="0.3">
      <c r="A11" s="81" t="s">
        <v>828</v>
      </c>
      <c r="B11" s="70">
        <f>SUM(B6:B10)</f>
        <v>4716.6000000000004</v>
      </c>
      <c r="C11" s="104"/>
      <c r="D11" s="105"/>
      <c r="E11" s="105"/>
      <c r="F11" s="105"/>
      <c r="G11" s="105"/>
    </row>
  </sheetData>
  <mergeCells count="5">
    <mergeCell ref="A1:G1"/>
    <mergeCell ref="B2:D2"/>
    <mergeCell ref="B3:D3"/>
    <mergeCell ref="A4:G4"/>
    <mergeCell ref="C5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F0"/>
  </sheetPr>
  <dimension ref="A1:L90"/>
  <sheetViews>
    <sheetView zoomScale="55" zoomScaleNormal="55" workbookViewId="0">
      <selection activeCell="G4" sqref="G4:L8"/>
    </sheetView>
  </sheetViews>
  <sheetFormatPr defaultRowHeight="14.4" x14ac:dyDescent="0.3"/>
  <cols>
    <col min="1" max="1" width="8.88671875" style="88"/>
    <col min="2" max="4" width="13.88671875" style="77" customWidth="1"/>
    <col min="5" max="16384" width="8.88671875" style="77"/>
  </cols>
  <sheetData>
    <row r="1" spans="1:12" s="87" customFormat="1" ht="86.4" x14ac:dyDescent="0.3">
      <c r="A1" s="86" t="s">
        <v>894</v>
      </c>
      <c r="B1" s="87" t="s">
        <v>895</v>
      </c>
      <c r="C1" s="87" t="s">
        <v>896</v>
      </c>
      <c r="D1" s="87" t="s">
        <v>897</v>
      </c>
    </row>
    <row r="2" spans="1:12" x14ac:dyDescent="0.3">
      <c r="A2" s="88" t="s">
        <v>854</v>
      </c>
      <c r="B2" s="77" t="s">
        <v>835</v>
      </c>
      <c r="C2" s="77">
        <v>54.2</v>
      </c>
      <c r="D2" s="77" t="s">
        <v>835</v>
      </c>
    </row>
    <row r="3" spans="1:12" x14ac:dyDescent="0.3">
      <c r="A3" s="88" t="s">
        <v>855</v>
      </c>
      <c r="B3" s="77">
        <v>45.03</v>
      </c>
      <c r="C3" s="77" t="s">
        <v>835</v>
      </c>
      <c r="D3" s="77" t="s">
        <v>835</v>
      </c>
      <c r="G3" s="77">
        <v>0</v>
      </c>
      <c r="H3" s="77">
        <v>1</v>
      </c>
      <c r="I3" s="77">
        <v>2</v>
      </c>
      <c r="J3" s="77">
        <v>3</v>
      </c>
      <c r="K3" s="77">
        <v>4</v>
      </c>
      <c r="L3" s="77">
        <v>5</v>
      </c>
    </row>
    <row r="4" spans="1:12" x14ac:dyDescent="0.3">
      <c r="A4" s="88" t="s">
        <v>856</v>
      </c>
      <c r="B4" s="77">
        <v>278.32</v>
      </c>
      <c r="C4" s="77" t="s">
        <v>835</v>
      </c>
      <c r="D4" s="77" t="s">
        <v>835</v>
      </c>
      <c r="G4" s="77">
        <v>1749</v>
      </c>
      <c r="H4" s="77">
        <v>11.7</v>
      </c>
      <c r="I4" s="77">
        <v>86.7</v>
      </c>
      <c r="J4" s="77">
        <v>170.3</v>
      </c>
      <c r="K4" s="77">
        <v>174.1</v>
      </c>
      <c r="L4" s="77">
        <v>728.2</v>
      </c>
    </row>
    <row r="5" spans="1:12" x14ac:dyDescent="0.3">
      <c r="A5" s="88" t="s">
        <v>857</v>
      </c>
      <c r="B5" s="77">
        <v>29.72</v>
      </c>
      <c r="C5" s="77" t="s">
        <v>835</v>
      </c>
      <c r="D5" s="77" t="s">
        <v>835</v>
      </c>
      <c r="G5" s="77">
        <v>254.2</v>
      </c>
      <c r="H5" s="77">
        <v>81.900000000000006</v>
      </c>
      <c r="I5" s="77">
        <v>481.4</v>
      </c>
      <c r="J5" s="77">
        <v>397.6</v>
      </c>
      <c r="K5" s="77">
        <v>407.6</v>
      </c>
      <c r="L5" s="77">
        <v>198.1</v>
      </c>
    </row>
    <row r="6" spans="1:12" x14ac:dyDescent="0.3">
      <c r="A6" s="88" t="s">
        <v>839</v>
      </c>
      <c r="B6" s="77" t="s">
        <v>835</v>
      </c>
      <c r="C6" s="77" t="s">
        <v>835</v>
      </c>
      <c r="D6" s="77">
        <v>144.29</v>
      </c>
      <c r="G6" s="77">
        <v>910.3</v>
      </c>
      <c r="H6" s="77">
        <v>279.7</v>
      </c>
      <c r="I6" s="77">
        <v>286</v>
      </c>
      <c r="J6" s="77">
        <v>277</v>
      </c>
      <c r="K6" s="77">
        <v>366.9</v>
      </c>
      <c r="L6" s="77">
        <v>48.7</v>
      </c>
    </row>
    <row r="7" spans="1:12" x14ac:dyDescent="0.3">
      <c r="A7" s="88" t="s">
        <v>858</v>
      </c>
      <c r="B7" s="77" t="s">
        <v>835</v>
      </c>
      <c r="C7" s="77" t="s">
        <v>835</v>
      </c>
      <c r="D7" s="77">
        <v>144.29</v>
      </c>
      <c r="G7" s="77">
        <v>11.2</v>
      </c>
      <c r="H7" s="77">
        <v>456</v>
      </c>
      <c r="I7" s="77">
        <v>57.3</v>
      </c>
      <c r="J7" s="77">
        <v>60.5</v>
      </c>
      <c r="K7" s="77">
        <v>43.2</v>
      </c>
      <c r="L7" s="77">
        <v>13.6</v>
      </c>
    </row>
    <row r="8" spans="1:12" x14ac:dyDescent="0.3">
      <c r="A8" s="88" t="s">
        <v>859</v>
      </c>
      <c r="B8" s="77" t="s">
        <v>835</v>
      </c>
      <c r="C8" s="77" t="s">
        <v>835</v>
      </c>
      <c r="D8" s="77">
        <v>144.29</v>
      </c>
      <c r="H8" s="77">
        <v>76.5</v>
      </c>
      <c r="K8" s="77">
        <v>13.6</v>
      </c>
    </row>
    <row r="9" spans="1:12" hidden="1" x14ac:dyDescent="0.3">
      <c r="A9" s="88" t="s">
        <v>860</v>
      </c>
      <c r="B9" s="77" t="s">
        <v>835</v>
      </c>
      <c r="C9" s="77" t="s">
        <v>835</v>
      </c>
      <c r="D9" s="77">
        <v>144.29</v>
      </c>
    </row>
    <row r="10" spans="1:12" hidden="1" x14ac:dyDescent="0.3">
      <c r="A10" s="88" t="s">
        <v>861</v>
      </c>
      <c r="B10" s="77" t="s">
        <v>835</v>
      </c>
      <c r="C10" s="77" t="s">
        <v>835</v>
      </c>
      <c r="D10" s="77">
        <v>253.19</v>
      </c>
    </row>
    <row r="11" spans="1:12" hidden="1" x14ac:dyDescent="0.3">
      <c r="A11" s="88" t="s">
        <v>862</v>
      </c>
      <c r="B11" s="77" t="s">
        <v>835</v>
      </c>
      <c r="C11" s="77" t="s">
        <v>835</v>
      </c>
      <c r="D11" s="77">
        <v>144.29</v>
      </c>
    </row>
    <row r="12" spans="1:12" hidden="1" x14ac:dyDescent="0.3">
      <c r="A12" s="88" t="s">
        <v>863</v>
      </c>
      <c r="B12" s="77" t="s">
        <v>835</v>
      </c>
      <c r="C12" s="77" t="s">
        <v>835</v>
      </c>
      <c r="D12" s="77">
        <v>253.19</v>
      </c>
    </row>
    <row r="13" spans="1:12" hidden="1" x14ac:dyDescent="0.3">
      <c r="A13" s="88" t="s">
        <v>864</v>
      </c>
      <c r="B13" s="77" t="s">
        <v>835</v>
      </c>
      <c r="C13" s="77" t="s">
        <v>835</v>
      </c>
      <c r="D13" s="77">
        <v>144.29</v>
      </c>
    </row>
    <row r="14" spans="1:12" hidden="1" x14ac:dyDescent="0.3">
      <c r="A14" s="88" t="s">
        <v>865</v>
      </c>
      <c r="B14" s="77">
        <v>157.04</v>
      </c>
      <c r="C14" s="77" t="s">
        <v>835</v>
      </c>
      <c r="D14" s="77" t="s">
        <v>835</v>
      </c>
    </row>
    <row r="15" spans="1:12" hidden="1" x14ac:dyDescent="0.3">
      <c r="A15" s="88" t="s">
        <v>840</v>
      </c>
      <c r="B15" s="77" t="s">
        <v>835</v>
      </c>
      <c r="C15" s="77" t="s">
        <v>835</v>
      </c>
      <c r="D15" s="77">
        <v>33.53</v>
      </c>
    </row>
    <row r="16" spans="1:12" hidden="1" x14ac:dyDescent="0.3">
      <c r="A16" s="88" t="s">
        <v>866</v>
      </c>
      <c r="B16" s="77" t="s">
        <v>835</v>
      </c>
      <c r="C16" s="77" t="s">
        <v>835</v>
      </c>
      <c r="D16" s="77">
        <v>17.09</v>
      </c>
    </row>
    <row r="17" spans="1:4" hidden="1" x14ac:dyDescent="0.3">
      <c r="A17" s="88" t="s">
        <v>867</v>
      </c>
      <c r="B17" s="77">
        <v>31.06</v>
      </c>
      <c r="C17" s="77" t="s">
        <v>835</v>
      </c>
      <c r="D17" s="77" t="s">
        <v>835</v>
      </c>
    </row>
    <row r="18" spans="1:4" hidden="1" x14ac:dyDescent="0.3">
      <c r="A18" s="88" t="s">
        <v>868</v>
      </c>
      <c r="B18" s="77" t="s">
        <v>835</v>
      </c>
      <c r="C18" s="77" t="s">
        <v>835</v>
      </c>
      <c r="D18" s="77">
        <v>12.67</v>
      </c>
    </row>
    <row r="19" spans="1:4" hidden="1" x14ac:dyDescent="0.3">
      <c r="A19" s="88" t="s">
        <v>869</v>
      </c>
      <c r="B19" s="77" t="s">
        <v>835</v>
      </c>
      <c r="C19" s="77" t="s">
        <v>835</v>
      </c>
      <c r="D19" s="77">
        <v>144.29</v>
      </c>
    </row>
    <row r="20" spans="1:4" hidden="1" x14ac:dyDescent="0.3">
      <c r="A20" s="88" t="s">
        <v>870</v>
      </c>
      <c r="B20" s="77">
        <v>157.04</v>
      </c>
      <c r="C20" s="77" t="s">
        <v>835</v>
      </c>
      <c r="D20" s="77" t="s">
        <v>835</v>
      </c>
    </row>
    <row r="21" spans="1:4" hidden="1" x14ac:dyDescent="0.3">
      <c r="A21" s="88" t="s">
        <v>841</v>
      </c>
      <c r="B21" s="77">
        <v>157.04</v>
      </c>
      <c r="C21" s="77" t="s">
        <v>835</v>
      </c>
      <c r="D21" s="77" t="s">
        <v>835</v>
      </c>
    </row>
    <row r="22" spans="1:4" hidden="1" x14ac:dyDescent="0.3">
      <c r="A22" s="88" t="s">
        <v>842</v>
      </c>
      <c r="B22" s="77">
        <v>157.04</v>
      </c>
      <c r="C22" s="77" t="s">
        <v>835</v>
      </c>
      <c r="D22" s="77" t="s">
        <v>835</v>
      </c>
    </row>
    <row r="23" spans="1:4" hidden="1" x14ac:dyDescent="0.3">
      <c r="A23" s="88" t="s">
        <v>843</v>
      </c>
      <c r="B23" s="77" t="s">
        <v>835</v>
      </c>
      <c r="C23" s="77" t="s">
        <v>835</v>
      </c>
      <c r="D23" s="77">
        <v>144.29</v>
      </c>
    </row>
    <row r="24" spans="1:4" hidden="1" x14ac:dyDescent="0.3">
      <c r="A24" s="88" t="s">
        <v>871</v>
      </c>
      <c r="B24" s="77" t="s">
        <v>835</v>
      </c>
      <c r="C24" s="77" t="s">
        <v>835</v>
      </c>
      <c r="D24" s="77">
        <v>144.29</v>
      </c>
    </row>
    <row r="25" spans="1:4" hidden="1" x14ac:dyDescent="0.3">
      <c r="A25" s="88" t="s">
        <v>872</v>
      </c>
      <c r="B25" s="77" t="s">
        <v>835</v>
      </c>
      <c r="C25" s="77">
        <v>54.2</v>
      </c>
      <c r="D25" s="77" t="s">
        <v>835</v>
      </c>
    </row>
    <row r="26" spans="1:4" hidden="1" x14ac:dyDescent="0.3">
      <c r="A26" s="88" t="s">
        <v>873</v>
      </c>
      <c r="B26" s="77">
        <v>32.130000000000003</v>
      </c>
      <c r="C26" s="77">
        <v>17.690000000000001</v>
      </c>
      <c r="D26" s="77" t="s">
        <v>835</v>
      </c>
    </row>
    <row r="27" spans="1:4" hidden="1" x14ac:dyDescent="0.3">
      <c r="A27" s="88" t="s">
        <v>874</v>
      </c>
      <c r="B27" s="77">
        <v>157.04</v>
      </c>
      <c r="C27" s="77" t="s">
        <v>835</v>
      </c>
      <c r="D27" s="77" t="s">
        <v>835</v>
      </c>
    </row>
    <row r="28" spans="1:4" hidden="1" x14ac:dyDescent="0.3">
      <c r="A28" s="88" t="s">
        <v>844</v>
      </c>
      <c r="B28" s="77" t="s">
        <v>835</v>
      </c>
      <c r="C28" s="77" t="s">
        <v>835</v>
      </c>
      <c r="D28" s="77">
        <v>144.29</v>
      </c>
    </row>
    <row r="29" spans="1:4" hidden="1" x14ac:dyDescent="0.3">
      <c r="A29" s="88" t="s">
        <v>875</v>
      </c>
      <c r="B29" s="77" t="s">
        <v>835</v>
      </c>
      <c r="C29" s="77" t="s">
        <v>835</v>
      </c>
      <c r="D29" s="77">
        <v>144.29</v>
      </c>
    </row>
    <row r="30" spans="1:4" hidden="1" x14ac:dyDescent="0.3">
      <c r="A30" s="88" t="s">
        <v>876</v>
      </c>
      <c r="B30" s="77">
        <v>157.04</v>
      </c>
      <c r="C30" s="77" t="s">
        <v>835</v>
      </c>
      <c r="D30" s="77" t="s">
        <v>835</v>
      </c>
    </row>
    <row r="31" spans="1:4" hidden="1" x14ac:dyDescent="0.3">
      <c r="A31" s="88" t="s">
        <v>845</v>
      </c>
      <c r="B31" s="77" t="s">
        <v>835</v>
      </c>
      <c r="C31" s="77" t="s">
        <v>835</v>
      </c>
      <c r="D31" s="77">
        <v>253.19</v>
      </c>
    </row>
    <row r="32" spans="1:4" hidden="1" x14ac:dyDescent="0.3">
      <c r="A32" s="88" t="s">
        <v>877</v>
      </c>
      <c r="B32" s="77" t="s">
        <v>835</v>
      </c>
      <c r="C32" s="77" t="s">
        <v>835</v>
      </c>
      <c r="D32" s="77">
        <v>109.3</v>
      </c>
    </row>
    <row r="33" spans="1:4" hidden="1" x14ac:dyDescent="0.3">
      <c r="A33" s="88" t="s">
        <v>878</v>
      </c>
      <c r="B33" s="77" t="s">
        <v>835</v>
      </c>
      <c r="C33" s="77" t="s">
        <v>835</v>
      </c>
      <c r="D33" s="77">
        <v>33.53</v>
      </c>
    </row>
    <row r="34" spans="1:4" hidden="1" x14ac:dyDescent="0.3">
      <c r="A34" s="88" t="s">
        <v>879</v>
      </c>
      <c r="B34" s="77" t="s">
        <v>835</v>
      </c>
      <c r="C34" s="77" t="s">
        <v>835</v>
      </c>
      <c r="D34" s="77">
        <v>9.6300000000000008</v>
      </c>
    </row>
    <row r="35" spans="1:4" hidden="1" x14ac:dyDescent="0.3">
      <c r="A35" s="88" t="s">
        <v>880</v>
      </c>
      <c r="B35" s="77">
        <v>278.32</v>
      </c>
      <c r="C35" s="77" t="s">
        <v>835</v>
      </c>
      <c r="D35" s="77" t="s">
        <v>835</v>
      </c>
    </row>
    <row r="36" spans="1:4" hidden="1" x14ac:dyDescent="0.3">
      <c r="A36" s="88" t="s">
        <v>881</v>
      </c>
      <c r="B36" s="77">
        <v>157.04</v>
      </c>
      <c r="C36" s="77" t="s">
        <v>835</v>
      </c>
      <c r="D36" s="77" t="s">
        <v>835</v>
      </c>
    </row>
    <row r="37" spans="1:4" hidden="1" x14ac:dyDescent="0.3">
      <c r="A37" s="88" t="s">
        <v>846</v>
      </c>
      <c r="B37" s="77">
        <v>24.96</v>
      </c>
      <c r="C37" s="77" t="s">
        <v>835</v>
      </c>
      <c r="D37" s="77" t="s">
        <v>835</v>
      </c>
    </row>
    <row r="38" spans="1:4" hidden="1" x14ac:dyDescent="0.3">
      <c r="A38" s="88" t="s">
        <v>882</v>
      </c>
      <c r="B38" s="77">
        <v>157.04</v>
      </c>
      <c r="C38" s="77" t="s">
        <v>835</v>
      </c>
      <c r="D38" s="77" t="s">
        <v>835</v>
      </c>
    </row>
    <row r="39" spans="1:4" hidden="1" x14ac:dyDescent="0.3">
      <c r="A39" s="88" t="s">
        <v>847</v>
      </c>
      <c r="B39" s="77">
        <v>157.04</v>
      </c>
      <c r="C39" s="77" t="s">
        <v>835</v>
      </c>
      <c r="D39" s="77" t="s">
        <v>835</v>
      </c>
    </row>
    <row r="40" spans="1:4" hidden="1" x14ac:dyDescent="0.3">
      <c r="A40" s="88" t="s">
        <v>848</v>
      </c>
      <c r="B40" s="77">
        <v>157.04</v>
      </c>
      <c r="C40" s="77" t="s">
        <v>835</v>
      </c>
      <c r="D40" s="77" t="s">
        <v>835</v>
      </c>
    </row>
    <row r="41" spans="1:4" hidden="1" x14ac:dyDescent="0.3">
      <c r="A41" s="88" t="s">
        <v>849</v>
      </c>
      <c r="B41" s="77" t="s">
        <v>835</v>
      </c>
      <c r="C41" s="77" t="s">
        <v>835</v>
      </c>
      <c r="D41" s="77">
        <v>253.19</v>
      </c>
    </row>
    <row r="42" spans="1:4" hidden="1" x14ac:dyDescent="0.3">
      <c r="A42" s="88" t="s">
        <v>883</v>
      </c>
      <c r="B42" s="77" t="s">
        <v>835</v>
      </c>
      <c r="C42" s="77" t="s">
        <v>835</v>
      </c>
      <c r="D42" s="77">
        <v>109.3</v>
      </c>
    </row>
    <row r="43" spans="1:4" hidden="1" x14ac:dyDescent="0.3">
      <c r="A43" s="88" t="s">
        <v>884</v>
      </c>
      <c r="B43" s="77" t="s">
        <v>835</v>
      </c>
      <c r="C43" s="77" t="s">
        <v>835</v>
      </c>
      <c r="D43" s="77">
        <v>33.53</v>
      </c>
    </row>
    <row r="44" spans="1:4" hidden="1" x14ac:dyDescent="0.3">
      <c r="A44" s="88" t="s">
        <v>885</v>
      </c>
      <c r="B44" s="77" t="s">
        <v>835</v>
      </c>
      <c r="C44" s="77" t="s">
        <v>835</v>
      </c>
      <c r="D44" s="77">
        <v>9.6300000000000008</v>
      </c>
    </row>
    <row r="45" spans="1:4" hidden="1" x14ac:dyDescent="0.3">
      <c r="A45" s="88" t="s">
        <v>886</v>
      </c>
      <c r="B45" s="77" t="s">
        <v>835</v>
      </c>
      <c r="C45" s="77">
        <v>110.62</v>
      </c>
      <c r="D45" s="77" t="s">
        <v>835</v>
      </c>
    </row>
    <row r="46" spans="1:4" hidden="1" x14ac:dyDescent="0.3">
      <c r="A46" s="88" t="s">
        <v>887</v>
      </c>
      <c r="B46" s="77">
        <v>45.03</v>
      </c>
      <c r="C46" s="77" t="s">
        <v>835</v>
      </c>
      <c r="D46" s="77" t="s">
        <v>835</v>
      </c>
    </row>
    <row r="47" spans="1:4" hidden="1" x14ac:dyDescent="0.3">
      <c r="A47" s="88" t="s">
        <v>888</v>
      </c>
      <c r="B47" s="77">
        <v>157.04</v>
      </c>
      <c r="C47" s="77" t="s">
        <v>835</v>
      </c>
      <c r="D47" s="77" t="s">
        <v>835</v>
      </c>
    </row>
    <row r="48" spans="1:4" hidden="1" x14ac:dyDescent="0.3">
      <c r="A48" s="88" t="s">
        <v>850</v>
      </c>
      <c r="B48" s="77">
        <v>5.44</v>
      </c>
      <c r="C48" s="77" t="s">
        <v>835</v>
      </c>
      <c r="D48" s="77" t="s">
        <v>835</v>
      </c>
    </row>
    <row r="49" spans="1:4" hidden="1" x14ac:dyDescent="0.3">
      <c r="A49" s="88" t="s">
        <v>889</v>
      </c>
      <c r="B49" s="77">
        <v>157.04</v>
      </c>
      <c r="C49" s="77" t="s">
        <v>835</v>
      </c>
      <c r="D49" s="77" t="s">
        <v>835</v>
      </c>
    </row>
    <row r="50" spans="1:4" hidden="1" x14ac:dyDescent="0.3">
      <c r="A50" s="88" t="s">
        <v>851</v>
      </c>
      <c r="B50" s="77">
        <v>31.06</v>
      </c>
      <c r="C50" s="77" t="s">
        <v>835</v>
      </c>
      <c r="D50" s="77" t="s">
        <v>835</v>
      </c>
    </row>
    <row r="51" spans="1:4" hidden="1" x14ac:dyDescent="0.3">
      <c r="A51" s="88" t="s">
        <v>852</v>
      </c>
      <c r="B51" s="77" t="s">
        <v>835</v>
      </c>
      <c r="C51" s="77" t="s">
        <v>835</v>
      </c>
      <c r="D51" s="77">
        <v>109.3</v>
      </c>
    </row>
    <row r="52" spans="1:4" hidden="1" x14ac:dyDescent="0.3">
      <c r="A52" s="88" t="s">
        <v>890</v>
      </c>
      <c r="B52" s="77">
        <v>14.17</v>
      </c>
      <c r="C52" s="77" t="s">
        <v>835</v>
      </c>
      <c r="D52" s="77" t="s">
        <v>835</v>
      </c>
    </row>
    <row r="53" spans="1:4" hidden="1" x14ac:dyDescent="0.3">
      <c r="A53" s="88" t="s">
        <v>853</v>
      </c>
      <c r="B53" s="77" t="s">
        <v>835</v>
      </c>
      <c r="C53" s="77" t="s">
        <v>835</v>
      </c>
      <c r="D53" s="77">
        <v>253.19</v>
      </c>
    </row>
    <row r="54" spans="1:4" hidden="1" x14ac:dyDescent="0.3">
      <c r="A54" s="88" t="s">
        <v>891</v>
      </c>
      <c r="B54" s="77" t="s">
        <v>835</v>
      </c>
      <c r="C54" s="77" t="s">
        <v>835</v>
      </c>
      <c r="D54" s="77">
        <v>253.19</v>
      </c>
    </row>
    <row r="55" spans="1:4" hidden="1" x14ac:dyDescent="0.3">
      <c r="A55" s="88" t="s">
        <v>892</v>
      </c>
      <c r="B55" s="77">
        <v>31.06</v>
      </c>
      <c r="C55" s="77" t="s">
        <v>835</v>
      </c>
      <c r="D55" s="77" t="s">
        <v>835</v>
      </c>
    </row>
    <row r="56" spans="1:4" hidden="1" x14ac:dyDescent="0.3">
      <c r="A56" s="88" t="s">
        <v>893</v>
      </c>
      <c r="B56" s="77">
        <v>44.74</v>
      </c>
      <c r="C56" s="77" t="s">
        <v>835</v>
      </c>
      <c r="D56" s="77" t="s">
        <v>835</v>
      </c>
    </row>
    <row r="57" spans="1:4" hidden="1" x14ac:dyDescent="0.3"/>
    <row r="58" spans="1:4" hidden="1" x14ac:dyDescent="0.3"/>
    <row r="59" spans="1:4" hidden="1" x14ac:dyDescent="0.3"/>
    <row r="60" spans="1:4" x14ac:dyDescent="0.3">
      <c r="A60" s="88" t="s">
        <v>898</v>
      </c>
      <c r="B60" s="77" t="s">
        <v>835</v>
      </c>
      <c r="C60" s="77">
        <v>77.23</v>
      </c>
      <c r="D60" s="77" t="s">
        <v>835</v>
      </c>
    </row>
    <row r="61" spans="1:4" x14ac:dyDescent="0.3">
      <c r="A61" s="88" t="s">
        <v>899</v>
      </c>
      <c r="B61" s="77">
        <v>24.2</v>
      </c>
      <c r="C61" s="77" t="s">
        <v>835</v>
      </c>
      <c r="D61" s="77" t="s">
        <v>835</v>
      </c>
    </row>
    <row r="62" spans="1:4" x14ac:dyDescent="0.3">
      <c r="A62" s="88" t="s">
        <v>900</v>
      </c>
      <c r="B62" s="77">
        <v>73.42</v>
      </c>
      <c r="C62" s="77" t="s">
        <v>835</v>
      </c>
      <c r="D62" s="77" t="s">
        <v>835</v>
      </c>
    </row>
    <row r="63" spans="1:4" x14ac:dyDescent="0.3">
      <c r="A63" s="88" t="s">
        <v>901</v>
      </c>
      <c r="B63" s="77">
        <v>91.72</v>
      </c>
      <c r="C63" s="77" t="s">
        <v>835</v>
      </c>
      <c r="D63" s="77" t="s">
        <v>835</v>
      </c>
    </row>
    <row r="64" spans="1:4" x14ac:dyDescent="0.3">
      <c r="A64" s="88" t="s">
        <v>836</v>
      </c>
      <c r="B64" s="77" t="s">
        <v>835</v>
      </c>
      <c r="C64" s="77" t="s">
        <v>835</v>
      </c>
      <c r="D64" s="77">
        <v>104.72</v>
      </c>
    </row>
    <row r="65" spans="1:4" x14ac:dyDescent="0.3">
      <c r="A65" s="88" t="s">
        <v>837</v>
      </c>
      <c r="B65" s="77">
        <v>234.98</v>
      </c>
      <c r="C65" s="77" t="s">
        <v>835</v>
      </c>
      <c r="D65" s="77" t="s">
        <v>835</v>
      </c>
    </row>
    <row r="66" spans="1:4" x14ac:dyDescent="0.3">
      <c r="A66" s="88" t="s">
        <v>902</v>
      </c>
      <c r="B66" s="77">
        <v>91.72</v>
      </c>
      <c r="C66" s="77" t="s">
        <v>835</v>
      </c>
      <c r="D66" s="77" t="s">
        <v>835</v>
      </c>
    </row>
    <row r="67" spans="1:4" x14ac:dyDescent="0.3">
      <c r="A67" s="88" t="s">
        <v>903</v>
      </c>
      <c r="B67" s="77">
        <v>91.72</v>
      </c>
      <c r="C67" s="77" t="s">
        <v>835</v>
      </c>
      <c r="D67" s="77" t="s">
        <v>835</v>
      </c>
    </row>
    <row r="68" spans="1:4" x14ac:dyDescent="0.3">
      <c r="A68" s="88" t="s">
        <v>904</v>
      </c>
      <c r="B68" s="77">
        <v>56.51</v>
      </c>
      <c r="C68" s="77" t="s">
        <v>835</v>
      </c>
      <c r="D68" s="77" t="s">
        <v>835</v>
      </c>
    </row>
    <row r="69" spans="1:4" x14ac:dyDescent="0.3">
      <c r="A69" s="88" t="s">
        <v>838</v>
      </c>
      <c r="B69" s="77" t="s">
        <v>835</v>
      </c>
      <c r="C69" s="77" t="s">
        <v>835</v>
      </c>
      <c r="D69" s="77">
        <v>104.72</v>
      </c>
    </row>
    <row r="70" spans="1:4" x14ac:dyDescent="0.3">
      <c r="A70" s="88" t="s">
        <v>905</v>
      </c>
      <c r="B70" s="77">
        <v>91.72</v>
      </c>
      <c r="C70" s="77" t="s">
        <v>835</v>
      </c>
      <c r="D70" s="77" t="s">
        <v>835</v>
      </c>
    </row>
    <row r="71" spans="1:4" x14ac:dyDescent="0.3">
      <c r="A71" s="88" t="s">
        <v>906</v>
      </c>
      <c r="B71" s="77">
        <v>7.81</v>
      </c>
      <c r="C71" s="77" t="s">
        <v>835</v>
      </c>
      <c r="D71" s="77" t="s">
        <v>835</v>
      </c>
    </row>
    <row r="72" spans="1:4" x14ac:dyDescent="0.3">
      <c r="A72" s="88" t="s">
        <v>907</v>
      </c>
      <c r="B72" s="77">
        <v>91.72</v>
      </c>
      <c r="C72" s="77" t="s">
        <v>835</v>
      </c>
      <c r="D72" s="77" t="s">
        <v>835</v>
      </c>
    </row>
    <row r="73" spans="1:4" x14ac:dyDescent="0.3">
      <c r="A73" s="88" t="s">
        <v>908</v>
      </c>
      <c r="B73" s="77">
        <v>91.72</v>
      </c>
      <c r="C73" s="77" t="s">
        <v>835</v>
      </c>
      <c r="D73" s="77" t="s">
        <v>835</v>
      </c>
    </row>
    <row r="74" spans="1:4" x14ac:dyDescent="0.3">
      <c r="A74" s="88" t="s">
        <v>909</v>
      </c>
      <c r="B74" s="77">
        <v>48.37</v>
      </c>
      <c r="C74" s="77" t="s">
        <v>835</v>
      </c>
      <c r="D74" s="77" t="s">
        <v>835</v>
      </c>
    </row>
    <row r="75" spans="1:4" x14ac:dyDescent="0.3">
      <c r="A75" s="88" t="s">
        <v>910</v>
      </c>
      <c r="B75" s="77">
        <v>29.8</v>
      </c>
      <c r="C75" s="77" t="s">
        <v>835</v>
      </c>
      <c r="D75" s="77" t="s">
        <v>835</v>
      </c>
    </row>
    <row r="76" spans="1:4" x14ac:dyDescent="0.3">
      <c r="A76" s="88" t="s">
        <v>911</v>
      </c>
      <c r="B76" s="77" t="s">
        <v>835</v>
      </c>
      <c r="C76" s="77" t="s">
        <v>835</v>
      </c>
      <c r="D76" s="77">
        <v>31.04</v>
      </c>
    </row>
    <row r="77" spans="1:4" x14ac:dyDescent="0.3">
      <c r="A77" s="88" t="s">
        <v>912</v>
      </c>
      <c r="B77" s="77" t="s">
        <v>835</v>
      </c>
      <c r="C77" s="77" t="s">
        <v>835</v>
      </c>
      <c r="D77" s="77">
        <v>104.72</v>
      </c>
    </row>
    <row r="78" spans="1:4" x14ac:dyDescent="0.3">
      <c r="A78" s="88" t="s">
        <v>913</v>
      </c>
      <c r="B78" s="77" t="s">
        <v>835</v>
      </c>
      <c r="C78" s="77" t="s">
        <v>835</v>
      </c>
      <c r="D78" s="77">
        <v>234.98</v>
      </c>
    </row>
    <row r="79" spans="1:4" x14ac:dyDescent="0.3">
      <c r="A79" s="88" t="s">
        <v>914</v>
      </c>
      <c r="B79" s="77">
        <v>18.579999999999998</v>
      </c>
      <c r="C79" s="77" t="s">
        <v>835</v>
      </c>
      <c r="D79" s="77" t="s">
        <v>835</v>
      </c>
    </row>
    <row r="80" spans="1:4" x14ac:dyDescent="0.3">
      <c r="A80" s="88" t="s">
        <v>915</v>
      </c>
      <c r="B80" s="77">
        <v>56.51</v>
      </c>
      <c r="C80" s="77" t="s">
        <v>835</v>
      </c>
      <c r="D80" s="77" t="s">
        <v>835</v>
      </c>
    </row>
    <row r="81" spans="1:4" x14ac:dyDescent="0.3">
      <c r="A81" s="88" t="s">
        <v>916</v>
      </c>
      <c r="B81" s="77" t="s">
        <v>835</v>
      </c>
      <c r="C81" s="77" t="s">
        <v>835</v>
      </c>
      <c r="D81" s="77">
        <v>234.98</v>
      </c>
    </row>
    <row r="82" spans="1:4" x14ac:dyDescent="0.3">
      <c r="A82" s="88" t="s">
        <v>917</v>
      </c>
      <c r="B82" s="77" t="s">
        <v>835</v>
      </c>
      <c r="C82" s="77" t="s">
        <v>835</v>
      </c>
      <c r="D82" s="77">
        <v>234.98</v>
      </c>
    </row>
    <row r="83" spans="1:4" x14ac:dyDescent="0.3">
      <c r="A83" s="88" t="s">
        <v>918</v>
      </c>
      <c r="B83" s="77">
        <v>33.92</v>
      </c>
      <c r="C83" s="77">
        <v>17.690000000000001</v>
      </c>
      <c r="D83" s="77" t="s">
        <v>835</v>
      </c>
    </row>
    <row r="84" spans="1:4" x14ac:dyDescent="0.3">
      <c r="A84" s="88" t="s">
        <v>919</v>
      </c>
      <c r="B84" s="77" t="s">
        <v>835</v>
      </c>
      <c r="C84" s="77">
        <v>27.88</v>
      </c>
      <c r="D84" s="77" t="s">
        <v>835</v>
      </c>
    </row>
    <row r="85" spans="1:4" x14ac:dyDescent="0.3">
      <c r="A85" s="88" t="s">
        <v>920</v>
      </c>
      <c r="B85" s="77" t="s">
        <v>835</v>
      </c>
      <c r="C85" s="77" t="s">
        <v>835</v>
      </c>
      <c r="D85" s="77">
        <v>234.98</v>
      </c>
    </row>
    <row r="86" spans="1:4" x14ac:dyDescent="0.3">
      <c r="A86" s="88" t="s">
        <v>921</v>
      </c>
      <c r="B86" s="77">
        <v>56.51</v>
      </c>
      <c r="C86" s="77" t="s">
        <v>835</v>
      </c>
      <c r="D86" s="77" t="s">
        <v>835</v>
      </c>
    </row>
    <row r="87" spans="1:4" x14ac:dyDescent="0.3">
      <c r="A87" s="88" t="s">
        <v>922</v>
      </c>
      <c r="B87" s="77" t="s">
        <v>835</v>
      </c>
      <c r="C87" s="77" t="s">
        <v>835</v>
      </c>
      <c r="D87" s="77" t="s">
        <v>835</v>
      </c>
    </row>
    <row r="88" spans="1:4" x14ac:dyDescent="0.3">
      <c r="A88" s="88" t="s">
        <v>923</v>
      </c>
      <c r="B88" s="77">
        <v>203.07</v>
      </c>
      <c r="C88" s="77" t="s">
        <v>835</v>
      </c>
      <c r="D88" s="77" t="s">
        <v>835</v>
      </c>
    </row>
    <row r="89" spans="1:4" x14ac:dyDescent="0.3">
      <c r="A89" s="88" t="s">
        <v>924</v>
      </c>
      <c r="B89" s="77">
        <v>203.07</v>
      </c>
      <c r="C89" s="77" t="s">
        <v>835</v>
      </c>
      <c r="D89" s="77" t="s">
        <v>835</v>
      </c>
    </row>
    <row r="90" spans="1:4" x14ac:dyDescent="0.3">
      <c r="A90" s="88" t="s">
        <v>925</v>
      </c>
      <c r="B90" s="77">
        <v>73.42</v>
      </c>
      <c r="C90" s="77" t="s">
        <v>835</v>
      </c>
      <c r="D90" s="77" t="s">
        <v>835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H4"/>
  <sheetViews>
    <sheetView zoomScale="55" zoomScaleNormal="55" workbookViewId="0">
      <selection activeCell="B11" sqref="B11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8" width="16.77734375" customWidth="1"/>
  </cols>
  <sheetData>
    <row r="1" spans="1:8" ht="36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21</v>
      </c>
      <c r="G1" s="60" t="s">
        <v>813</v>
      </c>
      <c r="H1" s="60" t="s">
        <v>766</v>
      </c>
    </row>
    <row r="2" spans="1:8" ht="72" x14ac:dyDescent="0.3">
      <c r="A2" s="42">
        <v>1</v>
      </c>
      <c r="B2" s="2" t="s">
        <v>98</v>
      </c>
      <c r="C2" s="3" t="s">
        <v>753</v>
      </c>
      <c r="D2" s="3" t="s">
        <v>807</v>
      </c>
      <c r="E2" s="5" t="s">
        <v>46</v>
      </c>
      <c r="F2" s="59">
        <f t="shared" ref="F2:F4" si="0">SUM(G2:H2)</f>
        <v>247.184</v>
      </c>
      <c r="G2" s="8">
        <v>186.2</v>
      </c>
      <c r="H2" s="8">
        <v>60.984000000000009</v>
      </c>
    </row>
    <row r="3" spans="1:8" ht="72" x14ac:dyDescent="0.3">
      <c r="A3" s="42">
        <v>2</v>
      </c>
      <c r="B3" s="2" t="s">
        <v>98</v>
      </c>
      <c r="C3" s="3" t="s">
        <v>755</v>
      </c>
      <c r="D3" s="3" t="s">
        <v>808</v>
      </c>
      <c r="E3" s="5" t="s">
        <v>46</v>
      </c>
      <c r="F3" s="59">
        <f>SUM(G3:H3)</f>
        <v>49.534000000000006</v>
      </c>
      <c r="G3" s="8">
        <v>18.3</v>
      </c>
      <c r="H3" s="8">
        <v>31.234000000000002</v>
      </c>
    </row>
    <row r="4" spans="1:8" ht="72" x14ac:dyDescent="0.3">
      <c r="A4" s="42">
        <v>3</v>
      </c>
      <c r="B4" s="2" t="s">
        <v>98</v>
      </c>
      <c r="C4" s="3" t="s">
        <v>754</v>
      </c>
      <c r="D4" s="3" t="s">
        <v>762</v>
      </c>
      <c r="E4" s="5" t="s">
        <v>46</v>
      </c>
      <c r="F4" s="59">
        <f t="shared" si="0"/>
        <v>28.867000000000004</v>
      </c>
      <c r="G4" s="8">
        <v>18.100000000000001</v>
      </c>
      <c r="H4" s="8">
        <v>10.767000000000001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N22"/>
  <sheetViews>
    <sheetView zoomScale="85" zoomScaleNormal="85" workbookViewId="0">
      <selection activeCell="B3" sqref="B3:D3"/>
    </sheetView>
  </sheetViews>
  <sheetFormatPr defaultRowHeight="14.4" x14ac:dyDescent="0.3"/>
  <cols>
    <col min="1" max="1" width="7.88671875" bestFit="1" customWidth="1"/>
    <col min="2" max="2" width="7.77734375" bestFit="1" customWidth="1"/>
    <col min="3" max="3" width="12.33203125" customWidth="1"/>
    <col min="4" max="4" width="18.33203125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7" ht="15.6" x14ac:dyDescent="0.3">
      <c r="A2" s="65" t="s">
        <v>815</v>
      </c>
      <c r="B2" s="106" t="s">
        <v>816</v>
      </c>
      <c r="C2" s="107"/>
      <c r="D2" s="108"/>
      <c r="E2" s="66" t="s">
        <v>758</v>
      </c>
      <c r="F2" s="67" t="s">
        <v>18</v>
      </c>
      <c r="G2" s="67" t="s">
        <v>817</v>
      </c>
    </row>
    <row r="3" spans="1:7" ht="80.400000000000006" customHeight="1" x14ac:dyDescent="0.3">
      <c r="A3" s="68">
        <v>1</v>
      </c>
      <c r="B3" s="109" t="s">
        <v>516</v>
      </c>
      <c r="C3" s="110"/>
      <c r="D3" s="111"/>
      <c r="E3" s="69" t="s">
        <v>830</v>
      </c>
      <c r="F3" s="68" t="s">
        <v>46</v>
      </c>
      <c r="G3" s="70">
        <f>C12</f>
        <v>4102.8599999999997</v>
      </c>
    </row>
    <row r="4" spans="1:7" ht="15.6" x14ac:dyDescent="0.3">
      <c r="A4" s="103"/>
      <c r="B4" s="103"/>
      <c r="C4" s="103"/>
      <c r="D4" s="103"/>
      <c r="E4" s="103"/>
      <c r="F4" s="103"/>
      <c r="G4" s="103"/>
    </row>
    <row r="5" spans="1:7" ht="14.4" customHeight="1" x14ac:dyDescent="0.3">
      <c r="A5" s="112" t="s">
        <v>818</v>
      </c>
      <c r="B5" s="112"/>
      <c r="C5" s="112"/>
      <c r="D5" s="112"/>
      <c r="E5" s="105"/>
      <c r="F5" s="105"/>
      <c r="G5" s="105"/>
    </row>
    <row r="6" spans="1:7" ht="15.6" x14ac:dyDescent="0.3">
      <c r="A6" s="68" t="s">
        <v>819</v>
      </c>
      <c r="B6" s="68" t="s">
        <v>820</v>
      </c>
      <c r="C6" s="68" t="s">
        <v>821</v>
      </c>
      <c r="D6" s="68" t="s">
        <v>822</v>
      </c>
      <c r="E6" s="105"/>
      <c r="F6" s="105"/>
      <c r="G6" s="105"/>
    </row>
    <row r="7" spans="1:7" ht="15.6" x14ac:dyDescent="0.3">
      <c r="A7" s="68">
        <v>1</v>
      </c>
      <c r="B7" s="68" t="s">
        <v>823</v>
      </c>
      <c r="C7" s="71">
        <f>D7*3.8</f>
        <v>866.4</v>
      </c>
      <c r="D7" s="71">
        <v>228</v>
      </c>
      <c r="E7" s="105"/>
      <c r="F7" s="105"/>
      <c r="G7" s="105"/>
    </row>
    <row r="8" spans="1:7" ht="15.6" x14ac:dyDescent="0.3">
      <c r="A8" s="68">
        <v>2</v>
      </c>
      <c r="B8" s="72" t="s">
        <v>824</v>
      </c>
      <c r="C8" s="71">
        <f>D8*3.8</f>
        <v>938.9799999999999</v>
      </c>
      <c r="D8" s="71">
        <v>247.1</v>
      </c>
      <c r="E8" s="105"/>
      <c r="F8" s="105"/>
      <c r="G8" s="105"/>
    </row>
    <row r="9" spans="1:7" ht="15.6" x14ac:dyDescent="0.3">
      <c r="A9" s="68">
        <v>3</v>
      </c>
      <c r="B9" s="68" t="s">
        <v>825</v>
      </c>
      <c r="C9" s="71">
        <f>D9*3.8</f>
        <v>925.68</v>
      </c>
      <c r="D9" s="71">
        <v>243.6</v>
      </c>
      <c r="E9" s="105"/>
      <c r="F9" s="105"/>
      <c r="G9" s="105"/>
    </row>
    <row r="10" spans="1:7" ht="15.6" x14ac:dyDescent="0.3">
      <c r="A10" s="68">
        <v>4</v>
      </c>
      <c r="B10" s="68" t="s">
        <v>826</v>
      </c>
      <c r="C10" s="71">
        <f>D10*3.8</f>
        <v>925.68</v>
      </c>
      <c r="D10" s="71">
        <v>243.6</v>
      </c>
      <c r="E10" s="105"/>
      <c r="F10" s="105"/>
      <c r="G10" s="105"/>
    </row>
    <row r="11" spans="1:7" ht="15.6" x14ac:dyDescent="0.3">
      <c r="A11" s="68">
        <v>5</v>
      </c>
      <c r="B11" s="68" t="s">
        <v>827</v>
      </c>
      <c r="C11" s="71">
        <f>D11*3.8</f>
        <v>446.12</v>
      </c>
      <c r="D11" s="71">
        <v>117.4</v>
      </c>
      <c r="E11" s="105"/>
      <c r="F11" s="105"/>
      <c r="G11" s="105"/>
    </row>
    <row r="12" spans="1:7" ht="15.6" x14ac:dyDescent="0.3">
      <c r="A12" s="113" t="s">
        <v>828</v>
      </c>
      <c r="B12" s="114"/>
      <c r="C12" s="73">
        <f>SUM(C7:C11)</f>
        <v>4102.8599999999997</v>
      </c>
      <c r="D12" s="73">
        <v>1200</v>
      </c>
      <c r="E12" s="105"/>
      <c r="F12" s="105"/>
      <c r="G12" s="105"/>
    </row>
    <row r="17" spans="9:14" x14ac:dyDescent="0.3">
      <c r="I17" t="s">
        <v>833</v>
      </c>
      <c r="J17" t="s">
        <v>46</v>
      </c>
      <c r="L17" t="s">
        <v>192</v>
      </c>
    </row>
    <row r="18" spans="9:14" x14ac:dyDescent="0.3">
      <c r="I18">
        <v>227.32</v>
      </c>
      <c r="J18">
        <f>I18*4</f>
        <v>909.28</v>
      </c>
      <c r="L18">
        <v>49</v>
      </c>
      <c r="M18">
        <f>L18*1.6*2</f>
        <v>156.80000000000001</v>
      </c>
      <c r="N18">
        <f>J18-M18</f>
        <v>752.48</v>
      </c>
    </row>
    <row r="19" spans="9:14" x14ac:dyDescent="0.3">
      <c r="I19">
        <v>247.1</v>
      </c>
      <c r="J19">
        <f>I19*4</f>
        <v>988.4</v>
      </c>
      <c r="L19">
        <v>57</v>
      </c>
      <c r="M19">
        <f>L19*1.6*2</f>
        <v>182.4</v>
      </c>
      <c r="N19">
        <f>J19-M19</f>
        <v>806</v>
      </c>
    </row>
    <row r="20" spans="9:14" x14ac:dyDescent="0.3">
      <c r="I20">
        <v>243.6</v>
      </c>
      <c r="J20">
        <f>I20*4</f>
        <v>974.4</v>
      </c>
      <c r="L20">
        <v>58</v>
      </c>
      <c r="M20">
        <f>L20*1.6*2</f>
        <v>185.60000000000002</v>
      </c>
      <c r="N20">
        <f>J20-M20</f>
        <v>788.8</v>
      </c>
    </row>
    <row r="21" spans="9:14" x14ac:dyDescent="0.3">
      <c r="I21">
        <v>243.6</v>
      </c>
      <c r="J21">
        <f>I21*4</f>
        <v>974.4</v>
      </c>
      <c r="L21">
        <v>58</v>
      </c>
      <c r="M21">
        <f>L21*1.6*2</f>
        <v>185.60000000000002</v>
      </c>
      <c r="N21">
        <f>J21-M21</f>
        <v>788.8</v>
      </c>
    </row>
    <row r="22" spans="9:14" x14ac:dyDescent="0.3">
      <c r="I22">
        <v>177.4</v>
      </c>
      <c r="J22">
        <f>I22*4</f>
        <v>709.6</v>
      </c>
      <c r="L22">
        <v>31</v>
      </c>
      <c r="M22">
        <f>L22*1.6*2</f>
        <v>99.2</v>
      </c>
      <c r="N22">
        <f>J22-M22</f>
        <v>610.4</v>
      </c>
    </row>
  </sheetData>
  <mergeCells count="7">
    <mergeCell ref="A1:G1"/>
    <mergeCell ref="B2:D2"/>
    <mergeCell ref="B3:D3"/>
    <mergeCell ref="A4:G4"/>
    <mergeCell ref="A5:D5"/>
    <mergeCell ref="E5:G12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R528"/>
  <sheetViews>
    <sheetView zoomScale="40" zoomScaleNormal="40" workbookViewId="0">
      <pane ySplit="5" topLeftCell="A456" activePane="bottomLeft" state="frozen"/>
      <selection pane="bottomLeft" activeCell="L457" sqref="C457:L475"/>
    </sheetView>
  </sheetViews>
  <sheetFormatPr defaultRowHeight="18" x14ac:dyDescent="0.35"/>
  <cols>
    <col min="1" max="1" width="20" style="14" customWidth="1"/>
    <col min="2" max="2" width="21.77734375" style="14" bestFit="1" customWidth="1"/>
    <col min="3" max="3" width="56.77734375" style="14" customWidth="1"/>
    <col min="4" max="4" width="32.33203125" style="14" customWidth="1"/>
    <col min="5" max="5" width="43.109375" style="14" customWidth="1"/>
    <col min="6" max="7" width="16.44140625" style="14" hidden="1" customWidth="1"/>
    <col min="8" max="8" width="16" style="14" hidden="1" customWidth="1"/>
    <col min="9" max="9" width="16.77734375" style="14" customWidth="1"/>
    <col min="10" max="10" width="22.5546875" style="20" customWidth="1"/>
    <col min="11" max="11" width="14.77734375" style="20" customWidth="1"/>
    <col min="12" max="16" width="13.88671875" style="20" customWidth="1"/>
    <col min="17" max="17" width="8.88671875" style="14"/>
    <col min="18" max="18" width="11.77734375" style="14" bestFit="1" customWidth="1"/>
    <col min="19" max="16384" width="8.88671875" style="14"/>
  </cols>
  <sheetData>
    <row r="1" spans="1:18" ht="15" customHeight="1" x14ac:dyDescent="0.35">
      <c r="A1" s="17" t="s">
        <v>0</v>
      </c>
      <c r="B1" s="39"/>
      <c r="C1" s="39"/>
      <c r="D1" s="40" t="s">
        <v>1</v>
      </c>
      <c r="E1" s="40"/>
      <c r="F1" s="40" t="s">
        <v>2</v>
      </c>
      <c r="G1" s="40" t="s">
        <v>3</v>
      </c>
      <c r="H1" s="40" t="s">
        <v>4</v>
      </c>
      <c r="I1" s="40" t="s">
        <v>5</v>
      </c>
      <c r="J1" s="18" t="s">
        <v>6</v>
      </c>
      <c r="K1" s="18" t="s">
        <v>7</v>
      </c>
      <c r="L1" s="18" t="s">
        <v>8</v>
      </c>
      <c r="M1" s="18" t="s">
        <v>9</v>
      </c>
      <c r="N1" s="19"/>
      <c r="O1" s="19"/>
    </row>
    <row r="2" spans="1:18" ht="30.75" customHeight="1" x14ac:dyDescent="0.35">
      <c r="A2" s="115" t="s">
        <v>10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18" ht="15" customHeight="1" x14ac:dyDescent="0.35">
      <c r="A3" s="116" t="s">
        <v>11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</row>
    <row r="4" spans="1:18" ht="15" customHeight="1" x14ac:dyDescent="0.35">
      <c r="A4" s="115" t="s">
        <v>12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8" ht="40.799999999999997" customHeight="1" x14ac:dyDescent="0.35">
      <c r="A5" s="10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1" t="s">
        <v>21</v>
      </c>
      <c r="J5" s="4"/>
      <c r="K5" s="4" t="s">
        <v>812</v>
      </c>
      <c r="L5" s="4">
        <v>1</v>
      </c>
      <c r="M5" s="4">
        <v>2</v>
      </c>
      <c r="N5" s="4">
        <v>3</v>
      </c>
      <c r="O5" s="4">
        <v>4</v>
      </c>
      <c r="P5" s="4">
        <v>5</v>
      </c>
      <c r="Q5" s="12"/>
      <c r="R5" s="13"/>
    </row>
    <row r="6" spans="1:18" ht="30" customHeight="1" x14ac:dyDescent="0.35">
      <c r="A6" s="117" t="s">
        <v>22</v>
      </c>
      <c r="B6" s="118"/>
      <c r="C6" s="118"/>
      <c r="D6" s="118"/>
      <c r="E6" s="118"/>
      <c r="F6" s="118"/>
      <c r="G6" s="118"/>
      <c r="H6" s="118"/>
      <c r="I6" s="118"/>
      <c r="J6" s="21"/>
      <c r="K6" s="21"/>
      <c r="L6" s="21"/>
      <c r="M6" s="22"/>
      <c r="N6" s="22"/>
      <c r="O6" s="22"/>
      <c r="P6" s="9"/>
    </row>
    <row r="7" spans="1:18" ht="16.95" customHeight="1" x14ac:dyDescent="0.35">
      <c r="A7" s="1" t="s">
        <v>23</v>
      </c>
      <c r="B7" s="1" t="s">
        <v>24</v>
      </c>
      <c r="C7" s="119" t="s">
        <v>25</v>
      </c>
      <c r="D7" s="120"/>
      <c r="E7" s="120"/>
      <c r="F7" s="120"/>
      <c r="G7" s="120"/>
      <c r="H7" s="120"/>
      <c r="I7" s="120"/>
      <c r="J7" s="9"/>
      <c r="K7" s="9"/>
      <c r="L7" s="9"/>
      <c r="M7" s="23"/>
      <c r="N7" s="23"/>
      <c r="O7" s="23"/>
      <c r="P7" s="9"/>
    </row>
    <row r="8" spans="1:18" ht="16.95" customHeight="1" x14ac:dyDescent="0.35">
      <c r="A8" s="1" t="s">
        <v>26</v>
      </c>
      <c r="B8" s="1" t="s">
        <v>27</v>
      </c>
      <c r="C8" s="119" t="s">
        <v>28</v>
      </c>
      <c r="D8" s="120"/>
      <c r="E8" s="120"/>
      <c r="F8" s="120"/>
      <c r="G8" s="120"/>
      <c r="H8" s="120"/>
      <c r="I8" s="120"/>
      <c r="J8" s="9"/>
      <c r="K8" s="9"/>
      <c r="L8" s="9"/>
      <c r="M8" s="23"/>
      <c r="N8" s="23"/>
      <c r="O8" s="23"/>
      <c r="P8" s="9"/>
    </row>
    <row r="9" spans="1:18" ht="16.95" customHeight="1" x14ac:dyDescent="0.35">
      <c r="A9" s="1" t="s">
        <v>29</v>
      </c>
      <c r="B9" s="1" t="s">
        <v>30</v>
      </c>
      <c r="C9" s="119" t="s">
        <v>31</v>
      </c>
      <c r="D9" s="120"/>
      <c r="E9" s="120"/>
      <c r="F9" s="120"/>
      <c r="G9" s="120"/>
      <c r="H9" s="120"/>
      <c r="I9" s="120"/>
      <c r="J9" s="9"/>
      <c r="K9" s="9"/>
      <c r="L9" s="9"/>
      <c r="M9" s="23"/>
      <c r="N9" s="23"/>
      <c r="O9" s="23"/>
      <c r="P9" s="9"/>
    </row>
    <row r="10" spans="1:18" ht="16.95" customHeight="1" x14ac:dyDescent="0.35">
      <c r="A10" s="1" t="s">
        <v>32</v>
      </c>
      <c r="B10" s="1" t="s">
        <v>33</v>
      </c>
      <c r="C10" s="119" t="s">
        <v>34</v>
      </c>
      <c r="D10" s="120"/>
      <c r="E10" s="120"/>
      <c r="F10" s="120"/>
      <c r="G10" s="120"/>
      <c r="H10" s="120"/>
      <c r="I10" s="120"/>
      <c r="J10" s="9"/>
      <c r="K10" s="9"/>
      <c r="L10" s="9"/>
      <c r="M10" s="23"/>
      <c r="N10" s="23"/>
      <c r="O10" s="23"/>
      <c r="P10" s="9"/>
    </row>
    <row r="11" spans="1:18" ht="16.95" customHeight="1" x14ac:dyDescent="0.35">
      <c r="A11" s="1" t="s">
        <v>35</v>
      </c>
      <c r="B11" s="1" t="s">
        <v>36</v>
      </c>
      <c r="C11" s="119" t="s">
        <v>37</v>
      </c>
      <c r="D11" s="120"/>
      <c r="E11" s="120"/>
      <c r="F11" s="120"/>
      <c r="G11" s="120"/>
      <c r="H11" s="120"/>
      <c r="I11" s="120"/>
      <c r="J11" s="9"/>
      <c r="K11" s="9"/>
      <c r="L11" s="9"/>
      <c r="M11" s="23"/>
      <c r="N11" s="23"/>
      <c r="O11" s="23"/>
      <c r="P11" s="9"/>
    </row>
    <row r="12" spans="1:18" ht="25.05" customHeight="1" x14ac:dyDescent="0.35">
      <c r="A12" s="1" t="s">
        <v>38</v>
      </c>
      <c r="B12" s="1" t="s">
        <v>39</v>
      </c>
      <c r="C12" s="119" t="s">
        <v>40</v>
      </c>
      <c r="D12" s="120"/>
      <c r="E12" s="120"/>
      <c r="F12" s="120"/>
      <c r="G12" s="120"/>
      <c r="H12" s="120"/>
      <c r="I12" s="120"/>
      <c r="J12" s="9"/>
      <c r="K12" s="9"/>
      <c r="L12" s="9"/>
      <c r="M12" s="23"/>
      <c r="N12" s="23"/>
      <c r="O12" s="23"/>
      <c r="P12" s="9"/>
    </row>
    <row r="13" spans="1:18" ht="234" hidden="1" customHeight="1" x14ac:dyDescent="0.35">
      <c r="A13" s="1" t="s">
        <v>41</v>
      </c>
      <c r="B13" s="1" t="s">
        <v>42</v>
      </c>
      <c r="C13" s="2" t="s">
        <v>43</v>
      </c>
      <c r="D13" s="3" t="s">
        <v>44</v>
      </c>
      <c r="E13" s="3" t="s">
        <v>45</v>
      </c>
      <c r="F13" s="3" t="s">
        <v>46</v>
      </c>
      <c r="G13" s="15">
        <v>1</v>
      </c>
      <c r="H13" s="15"/>
      <c r="I13" s="5">
        <v>0</v>
      </c>
      <c r="J13" s="8">
        <v>1117.5999999999999</v>
      </c>
      <c r="K13" s="24">
        <v>1991</v>
      </c>
      <c r="L13" s="8">
        <f>J13+ROUND(K13, 2)</f>
        <v>3108.6</v>
      </c>
      <c r="M13" s="8"/>
      <c r="N13" s="8"/>
      <c r="O13" s="8"/>
      <c r="P13" s="9"/>
    </row>
    <row r="14" spans="1:18" ht="28.5" hidden="1" customHeight="1" x14ac:dyDescent="0.35">
      <c r="A14" s="1" t="s">
        <v>47</v>
      </c>
      <c r="B14" s="1"/>
      <c r="C14" s="41" t="s">
        <v>48</v>
      </c>
      <c r="D14" s="3"/>
      <c r="E14" s="3"/>
      <c r="F14" s="42" t="s">
        <v>49</v>
      </c>
      <c r="G14" s="43">
        <v>1</v>
      </c>
      <c r="H14" s="43"/>
      <c r="I14" s="44">
        <v>0</v>
      </c>
      <c r="J14" s="25">
        <v>88.35</v>
      </c>
      <c r="K14" s="9"/>
      <c r="L14" s="9"/>
      <c r="M14" s="23"/>
      <c r="N14" s="9"/>
      <c r="O14" s="9"/>
      <c r="P14" s="9"/>
    </row>
    <row r="15" spans="1:18" ht="18" hidden="1" customHeight="1" x14ac:dyDescent="0.35">
      <c r="A15" s="1" t="s">
        <v>50</v>
      </c>
      <c r="B15" s="1"/>
      <c r="C15" s="45" t="s">
        <v>51</v>
      </c>
      <c r="D15" s="3"/>
      <c r="E15" s="3"/>
      <c r="F15" s="42" t="s">
        <v>52</v>
      </c>
      <c r="G15" s="43">
        <v>0.8</v>
      </c>
      <c r="H15" s="46"/>
      <c r="I15" s="47">
        <v>0</v>
      </c>
      <c r="J15" s="25">
        <v>63.73</v>
      </c>
      <c r="K15" s="9"/>
      <c r="L15" s="9"/>
      <c r="M15" s="23"/>
      <c r="N15" s="9"/>
      <c r="O15" s="9"/>
      <c r="P15" s="9"/>
    </row>
    <row r="16" spans="1:18" ht="18" hidden="1" customHeight="1" x14ac:dyDescent="0.35">
      <c r="A16" s="1" t="s">
        <v>53</v>
      </c>
      <c r="B16" s="1"/>
      <c r="C16" s="45" t="s">
        <v>54</v>
      </c>
      <c r="D16" s="3"/>
      <c r="E16" s="3"/>
      <c r="F16" s="42" t="s">
        <v>52</v>
      </c>
      <c r="G16" s="43">
        <v>2.1</v>
      </c>
      <c r="H16" s="46"/>
      <c r="I16" s="47">
        <v>0</v>
      </c>
      <c r="J16" s="25">
        <v>95.07</v>
      </c>
      <c r="K16" s="9"/>
      <c r="L16" s="9"/>
      <c r="M16" s="23"/>
      <c r="N16" s="9"/>
      <c r="O16" s="9"/>
      <c r="P16" s="9"/>
    </row>
    <row r="17" spans="1:16" ht="36" hidden="1" customHeight="1" x14ac:dyDescent="0.35">
      <c r="A17" s="1" t="s">
        <v>55</v>
      </c>
      <c r="B17" s="1"/>
      <c r="C17" s="45" t="s">
        <v>56</v>
      </c>
      <c r="D17" s="3"/>
      <c r="E17" s="3"/>
      <c r="F17" s="42" t="s">
        <v>57</v>
      </c>
      <c r="G17" s="43">
        <v>5.1999999999999998E-2</v>
      </c>
      <c r="H17" s="43"/>
      <c r="I17" s="44">
        <v>0</v>
      </c>
      <c r="J17" s="25">
        <v>4026.8</v>
      </c>
      <c r="K17" s="9"/>
      <c r="L17" s="9"/>
      <c r="M17" s="23"/>
      <c r="N17" s="9"/>
      <c r="O17" s="9"/>
      <c r="P17" s="9"/>
    </row>
    <row r="18" spans="1:16" ht="54" hidden="1" customHeight="1" x14ac:dyDescent="0.35">
      <c r="A18" s="1" t="s">
        <v>58</v>
      </c>
      <c r="B18" s="1"/>
      <c r="C18" s="41" t="s">
        <v>59</v>
      </c>
      <c r="D18" s="3"/>
      <c r="E18" s="3"/>
      <c r="F18" s="42" t="s">
        <v>46</v>
      </c>
      <c r="G18" s="43">
        <v>4.2</v>
      </c>
      <c r="H18" s="43"/>
      <c r="I18" s="44">
        <v>0</v>
      </c>
      <c r="J18" s="25">
        <v>135.53</v>
      </c>
      <c r="K18" s="9"/>
      <c r="L18" s="9"/>
      <c r="M18" s="23"/>
      <c r="N18" s="9"/>
      <c r="O18" s="9"/>
      <c r="P18" s="9"/>
    </row>
    <row r="19" spans="1:16" ht="54" hidden="1" customHeight="1" x14ac:dyDescent="0.35">
      <c r="A19" s="1" t="s">
        <v>60</v>
      </c>
      <c r="B19" s="1" t="s">
        <v>42</v>
      </c>
      <c r="C19" s="2" t="s">
        <v>43</v>
      </c>
      <c r="D19" s="3" t="s">
        <v>44</v>
      </c>
      <c r="E19" s="3"/>
      <c r="F19" s="3" t="s">
        <v>46</v>
      </c>
      <c r="G19" s="15">
        <v>1</v>
      </c>
      <c r="H19" s="15"/>
      <c r="I19" s="5">
        <v>0</v>
      </c>
      <c r="J19" s="8">
        <f>IFERROR(ROUND(SUM(M20,M21,M22,M23,M24)/I19, 2),0)</f>
        <v>0</v>
      </c>
      <c r="K19" s="24">
        <v>1991</v>
      </c>
      <c r="L19" s="8">
        <f>J19+ROUND(K19, 2)</f>
        <v>1991</v>
      </c>
      <c r="M19" s="8"/>
      <c r="N19" s="8"/>
      <c r="O19" s="8"/>
      <c r="P19" s="9"/>
    </row>
    <row r="20" spans="1:16" ht="54" hidden="1" customHeight="1" x14ac:dyDescent="0.35">
      <c r="A20" s="1" t="s">
        <v>61</v>
      </c>
      <c r="B20" s="1"/>
      <c r="C20" s="41" t="s">
        <v>59</v>
      </c>
      <c r="D20" s="3"/>
      <c r="E20" s="3"/>
      <c r="F20" s="42" t="s">
        <v>46</v>
      </c>
      <c r="G20" s="43">
        <v>4.2</v>
      </c>
      <c r="H20" s="43"/>
      <c r="I20" s="44">
        <v>0</v>
      </c>
      <c r="J20" s="25">
        <v>135.53</v>
      </c>
      <c r="K20" s="9"/>
      <c r="L20" s="9"/>
      <c r="M20" s="23"/>
      <c r="N20" s="9"/>
      <c r="O20" s="9"/>
      <c r="P20" s="9"/>
    </row>
    <row r="21" spans="1:16" ht="36" hidden="1" customHeight="1" x14ac:dyDescent="0.35">
      <c r="A21" s="1" t="s">
        <v>62</v>
      </c>
      <c r="B21" s="1"/>
      <c r="C21" s="45" t="s">
        <v>56</v>
      </c>
      <c r="D21" s="3"/>
      <c r="E21" s="3"/>
      <c r="F21" s="42" t="s">
        <v>57</v>
      </c>
      <c r="G21" s="43">
        <v>5.1999999999999998E-2</v>
      </c>
      <c r="H21" s="43"/>
      <c r="I21" s="44">
        <v>0</v>
      </c>
      <c r="J21" s="25">
        <v>4026.8</v>
      </c>
      <c r="K21" s="9"/>
      <c r="L21" s="9"/>
      <c r="M21" s="23"/>
      <c r="N21" s="9"/>
      <c r="O21" s="9"/>
      <c r="P21" s="9"/>
    </row>
    <row r="22" spans="1:16" ht="18" hidden="1" customHeight="1" x14ac:dyDescent="0.35">
      <c r="A22" s="1" t="s">
        <v>63</v>
      </c>
      <c r="B22" s="1"/>
      <c r="C22" s="45" t="s">
        <v>51</v>
      </c>
      <c r="D22" s="3"/>
      <c r="E22" s="3"/>
      <c r="F22" s="42" t="s">
        <v>52</v>
      </c>
      <c r="G22" s="43">
        <v>0.8</v>
      </c>
      <c r="H22" s="46"/>
      <c r="I22" s="47">
        <v>5288.4</v>
      </c>
      <c r="J22" s="25">
        <v>63.72</v>
      </c>
      <c r="K22" s="9"/>
      <c r="L22" s="9"/>
      <c r="M22" s="23"/>
      <c r="N22" s="9"/>
      <c r="O22" s="9"/>
      <c r="P22" s="9"/>
    </row>
    <row r="23" spans="1:16" ht="18" hidden="1" customHeight="1" x14ac:dyDescent="0.35">
      <c r="A23" s="1" t="s">
        <v>64</v>
      </c>
      <c r="B23" s="1"/>
      <c r="C23" s="45" t="s">
        <v>54</v>
      </c>
      <c r="D23" s="3"/>
      <c r="E23" s="3"/>
      <c r="F23" s="42" t="s">
        <v>52</v>
      </c>
      <c r="G23" s="43">
        <v>2.1</v>
      </c>
      <c r="H23" s="46"/>
      <c r="I23" s="47">
        <v>13882.05</v>
      </c>
      <c r="J23" s="25">
        <v>95.08</v>
      </c>
      <c r="K23" s="9"/>
      <c r="L23" s="9"/>
      <c r="M23" s="23"/>
      <c r="N23" s="9"/>
      <c r="O23" s="9"/>
      <c r="P23" s="9"/>
    </row>
    <row r="24" spans="1:16" ht="5.55" hidden="1" customHeight="1" x14ac:dyDescent="0.35">
      <c r="A24" s="1" t="s">
        <v>65</v>
      </c>
      <c r="B24" s="1"/>
      <c r="C24" s="41" t="s">
        <v>48</v>
      </c>
      <c r="D24" s="3"/>
      <c r="E24" s="3"/>
      <c r="F24" s="42" t="s">
        <v>49</v>
      </c>
      <c r="G24" s="43">
        <v>1</v>
      </c>
      <c r="H24" s="43"/>
      <c r="I24" s="44">
        <v>0</v>
      </c>
      <c r="J24" s="25">
        <v>88.36</v>
      </c>
      <c r="K24" s="9"/>
      <c r="L24" s="9"/>
      <c r="M24" s="23"/>
      <c r="N24" s="9"/>
      <c r="O24" s="9"/>
      <c r="P24" s="9"/>
    </row>
    <row r="25" spans="1:16" ht="36" hidden="1" customHeight="1" x14ac:dyDescent="0.35">
      <c r="A25" s="1" t="s">
        <v>66</v>
      </c>
      <c r="B25" s="1" t="s">
        <v>67</v>
      </c>
      <c r="C25" s="2" t="s">
        <v>68</v>
      </c>
      <c r="D25" s="3" t="s">
        <v>44</v>
      </c>
      <c r="E25" s="3"/>
      <c r="F25" s="3" t="s">
        <v>46</v>
      </c>
      <c r="G25" s="15">
        <v>1</v>
      </c>
      <c r="H25" s="15"/>
      <c r="I25" s="5">
        <v>0</v>
      </c>
      <c r="J25" s="8">
        <v>1039.98</v>
      </c>
      <c r="K25" s="24">
        <v>1991</v>
      </c>
      <c r="L25" s="8">
        <f>J25+ROUND(K25, 2)</f>
        <v>3030.98</v>
      </c>
      <c r="M25" s="8"/>
      <c r="N25" s="8"/>
      <c r="O25" s="8"/>
      <c r="P25" s="9"/>
    </row>
    <row r="26" spans="1:16" ht="54" hidden="1" customHeight="1" x14ac:dyDescent="0.35">
      <c r="A26" s="1" t="s">
        <v>69</v>
      </c>
      <c r="B26" s="1"/>
      <c r="C26" s="41" t="s">
        <v>48</v>
      </c>
      <c r="D26" s="3"/>
      <c r="E26" s="3"/>
      <c r="F26" s="42" t="s">
        <v>49</v>
      </c>
      <c r="G26" s="43">
        <v>1</v>
      </c>
      <c r="H26" s="43"/>
      <c r="I26" s="44">
        <v>0</v>
      </c>
      <c r="J26" s="25">
        <v>88.35</v>
      </c>
      <c r="K26" s="9"/>
      <c r="L26" s="9"/>
      <c r="M26" s="23"/>
      <c r="N26" s="9"/>
      <c r="O26" s="9"/>
      <c r="P26" s="9"/>
    </row>
    <row r="27" spans="1:16" ht="18" hidden="1" customHeight="1" x14ac:dyDescent="0.35">
      <c r="A27" s="1" t="s">
        <v>70</v>
      </c>
      <c r="B27" s="1"/>
      <c r="C27" s="45" t="s">
        <v>71</v>
      </c>
      <c r="D27" s="3"/>
      <c r="E27" s="3"/>
      <c r="F27" s="42" t="s">
        <v>52</v>
      </c>
      <c r="G27" s="43">
        <v>2.04</v>
      </c>
      <c r="H27" s="46"/>
      <c r="I27" s="47">
        <v>0</v>
      </c>
      <c r="J27" s="25">
        <v>64.56</v>
      </c>
      <c r="K27" s="9"/>
      <c r="L27" s="9"/>
      <c r="M27" s="23"/>
      <c r="N27" s="9"/>
      <c r="O27" s="9"/>
      <c r="P27" s="9"/>
    </row>
    <row r="28" spans="1:16" ht="18" hidden="1" customHeight="1" x14ac:dyDescent="0.35">
      <c r="A28" s="1" t="s">
        <v>72</v>
      </c>
      <c r="B28" s="1"/>
      <c r="C28" s="45" t="s">
        <v>73</v>
      </c>
      <c r="D28" s="3"/>
      <c r="E28" s="3"/>
      <c r="F28" s="42" t="s">
        <v>52</v>
      </c>
      <c r="G28" s="43">
        <v>0.8</v>
      </c>
      <c r="H28" s="46"/>
      <c r="I28" s="47">
        <v>0</v>
      </c>
      <c r="J28" s="25">
        <v>51.63</v>
      </c>
      <c r="K28" s="9"/>
      <c r="L28" s="9"/>
      <c r="M28" s="23"/>
      <c r="N28" s="9"/>
      <c r="O28" s="9"/>
      <c r="P28" s="9"/>
    </row>
    <row r="29" spans="1:16" ht="36" hidden="1" customHeight="1" x14ac:dyDescent="0.35">
      <c r="A29" s="1" t="s">
        <v>74</v>
      </c>
      <c r="B29" s="1"/>
      <c r="C29" s="45" t="s">
        <v>56</v>
      </c>
      <c r="D29" s="3"/>
      <c r="E29" s="3"/>
      <c r="F29" s="42" t="s">
        <v>57</v>
      </c>
      <c r="G29" s="43">
        <v>5.1999999999999998E-2</v>
      </c>
      <c r="H29" s="43"/>
      <c r="I29" s="44">
        <v>0</v>
      </c>
      <c r="J29" s="25">
        <v>4026.8</v>
      </c>
      <c r="K29" s="9"/>
      <c r="L29" s="9"/>
      <c r="M29" s="23"/>
      <c r="N29" s="9"/>
      <c r="O29" s="9"/>
      <c r="P29" s="9"/>
    </row>
    <row r="30" spans="1:16" ht="54" hidden="1" customHeight="1" x14ac:dyDescent="0.35">
      <c r="A30" s="1" t="s">
        <v>75</v>
      </c>
      <c r="B30" s="1"/>
      <c r="C30" s="41" t="s">
        <v>59</v>
      </c>
      <c r="D30" s="3"/>
      <c r="E30" s="3"/>
      <c r="F30" s="42" t="s">
        <v>46</v>
      </c>
      <c r="G30" s="43">
        <v>4.2</v>
      </c>
      <c r="H30" s="43"/>
      <c r="I30" s="44">
        <v>0</v>
      </c>
      <c r="J30" s="25">
        <v>135.53</v>
      </c>
      <c r="K30" s="9"/>
      <c r="L30" s="9"/>
      <c r="M30" s="23"/>
      <c r="N30" s="9"/>
      <c r="O30" s="9"/>
      <c r="P30" s="9"/>
    </row>
    <row r="31" spans="1:16" ht="36" hidden="1" customHeight="1" x14ac:dyDescent="0.35">
      <c r="A31" s="1" t="s">
        <v>76</v>
      </c>
      <c r="B31" s="1" t="s">
        <v>67</v>
      </c>
      <c r="C31" s="2" t="s">
        <v>68</v>
      </c>
      <c r="D31" s="3" t="s">
        <v>44</v>
      </c>
      <c r="E31" s="3"/>
      <c r="F31" s="3" t="s">
        <v>46</v>
      </c>
      <c r="G31" s="15">
        <v>1</v>
      </c>
      <c r="H31" s="15"/>
      <c r="I31" s="5">
        <v>0</v>
      </c>
      <c r="J31" s="8">
        <v>951.65</v>
      </c>
      <c r="K31" s="24">
        <v>1991</v>
      </c>
      <c r="L31" s="8">
        <f>J31+ROUND(K31, 2)</f>
        <v>2942.65</v>
      </c>
      <c r="M31" s="8"/>
      <c r="N31" s="8"/>
      <c r="O31" s="8"/>
      <c r="P31" s="9"/>
    </row>
    <row r="32" spans="1:16" ht="13.95" hidden="1" customHeight="1" x14ac:dyDescent="0.35">
      <c r="A32" s="1" t="s">
        <v>77</v>
      </c>
      <c r="B32" s="1"/>
      <c r="C32" s="41" t="s">
        <v>59</v>
      </c>
      <c r="D32" s="3"/>
      <c r="E32" s="3"/>
      <c r="F32" s="42" t="s">
        <v>46</v>
      </c>
      <c r="G32" s="43">
        <v>4.2</v>
      </c>
      <c r="H32" s="43"/>
      <c r="I32" s="44">
        <v>0</v>
      </c>
      <c r="J32" s="25">
        <v>135.53</v>
      </c>
      <c r="K32" s="9"/>
      <c r="L32" s="9"/>
      <c r="M32" s="23"/>
      <c r="N32" s="9"/>
      <c r="O32" s="9"/>
      <c r="P32" s="9"/>
    </row>
    <row r="33" spans="1:16" ht="36" hidden="1" customHeight="1" x14ac:dyDescent="0.35">
      <c r="A33" s="1" t="s">
        <v>78</v>
      </c>
      <c r="B33" s="1"/>
      <c r="C33" s="45" t="s">
        <v>56</v>
      </c>
      <c r="D33" s="3"/>
      <c r="E33" s="3"/>
      <c r="F33" s="42" t="s">
        <v>57</v>
      </c>
      <c r="G33" s="43">
        <v>5.1999999999999998E-2</v>
      </c>
      <c r="H33" s="43"/>
      <c r="I33" s="44">
        <v>0</v>
      </c>
      <c r="J33" s="25">
        <v>4026.8</v>
      </c>
      <c r="K33" s="9"/>
      <c r="L33" s="9"/>
      <c r="M33" s="23"/>
      <c r="N33" s="9"/>
      <c r="O33" s="9"/>
      <c r="P33" s="9"/>
    </row>
    <row r="34" spans="1:16" ht="18" hidden="1" customHeight="1" x14ac:dyDescent="0.35">
      <c r="A34" s="1" t="s">
        <v>79</v>
      </c>
      <c r="B34" s="1"/>
      <c r="C34" s="45" t="s">
        <v>71</v>
      </c>
      <c r="D34" s="3"/>
      <c r="E34" s="3"/>
      <c r="F34" s="42" t="s">
        <v>52</v>
      </c>
      <c r="G34" s="43">
        <v>2.04</v>
      </c>
      <c r="H34" s="46"/>
      <c r="I34" s="47">
        <v>0</v>
      </c>
      <c r="J34" s="25">
        <v>64.56</v>
      </c>
      <c r="K34" s="9"/>
      <c r="L34" s="9"/>
      <c r="M34" s="23"/>
      <c r="N34" s="9"/>
      <c r="O34" s="9"/>
      <c r="P34" s="9"/>
    </row>
    <row r="35" spans="1:16" ht="18" hidden="1" customHeight="1" x14ac:dyDescent="0.35">
      <c r="A35" s="1" t="s">
        <v>80</v>
      </c>
      <c r="B35" s="1"/>
      <c r="C35" s="45" t="s">
        <v>73</v>
      </c>
      <c r="D35" s="3"/>
      <c r="E35" s="3"/>
      <c r="F35" s="42" t="s">
        <v>52</v>
      </c>
      <c r="G35" s="43">
        <v>0.8</v>
      </c>
      <c r="H35" s="46"/>
      <c r="I35" s="47">
        <v>0</v>
      </c>
      <c r="J35" s="25">
        <v>51.63</v>
      </c>
      <c r="K35" s="9"/>
      <c r="L35" s="9"/>
      <c r="M35" s="23"/>
      <c r="N35" s="9"/>
      <c r="O35" s="9"/>
      <c r="P35" s="9"/>
    </row>
    <row r="36" spans="1:16" ht="234" hidden="1" customHeight="1" x14ac:dyDescent="0.35">
      <c r="A36" s="1" t="s">
        <v>81</v>
      </c>
      <c r="B36" s="1" t="s">
        <v>67</v>
      </c>
      <c r="C36" s="2" t="s">
        <v>68</v>
      </c>
      <c r="D36" s="3" t="s">
        <v>44</v>
      </c>
      <c r="E36" s="3" t="s">
        <v>82</v>
      </c>
      <c r="F36" s="3" t="s">
        <v>46</v>
      </c>
      <c r="G36" s="15">
        <v>1</v>
      </c>
      <c r="H36" s="15"/>
      <c r="I36" s="5">
        <v>0</v>
      </c>
      <c r="J36" s="8">
        <f>IFERROR(ROUND(SUM(M37,M38,M39,M40,M41)/I36, 2),0)</f>
        <v>0</v>
      </c>
      <c r="K36" s="24">
        <v>1991</v>
      </c>
      <c r="L36" s="8">
        <f>J36+ROUND(K36, 2)</f>
        <v>1991</v>
      </c>
      <c r="M36" s="8"/>
      <c r="N36" s="8"/>
      <c r="O36" s="8"/>
      <c r="P36" s="9"/>
    </row>
    <row r="37" spans="1:16" ht="54" hidden="1" customHeight="1" x14ac:dyDescent="0.35">
      <c r="A37" s="1" t="s">
        <v>83</v>
      </c>
      <c r="B37" s="1"/>
      <c r="C37" s="41" t="s">
        <v>48</v>
      </c>
      <c r="D37" s="3"/>
      <c r="E37" s="3"/>
      <c r="F37" s="42" t="s">
        <v>49</v>
      </c>
      <c r="G37" s="43">
        <v>1</v>
      </c>
      <c r="H37" s="43"/>
      <c r="I37" s="44">
        <v>0</v>
      </c>
      <c r="J37" s="25">
        <v>88.36</v>
      </c>
      <c r="K37" s="9"/>
      <c r="L37" s="9"/>
      <c r="M37" s="23"/>
      <c r="N37" s="9"/>
      <c r="O37" s="9"/>
      <c r="P37" s="9"/>
    </row>
    <row r="38" spans="1:16" ht="3" hidden="1" customHeight="1" x14ac:dyDescent="0.35">
      <c r="A38" s="1" t="s">
        <v>84</v>
      </c>
      <c r="B38" s="1"/>
      <c r="C38" s="45" t="s">
        <v>71</v>
      </c>
      <c r="D38" s="3"/>
      <c r="E38" s="3"/>
      <c r="F38" s="42" t="s">
        <v>52</v>
      </c>
      <c r="G38" s="43">
        <v>2.04</v>
      </c>
      <c r="H38" s="46"/>
      <c r="I38" s="47">
        <v>331.29599999999999</v>
      </c>
      <c r="J38" s="25">
        <v>64.56</v>
      </c>
      <c r="K38" s="9"/>
      <c r="L38" s="9"/>
      <c r="M38" s="23"/>
      <c r="N38" s="9"/>
      <c r="O38" s="9"/>
      <c r="P38" s="9"/>
    </row>
    <row r="39" spans="1:16" ht="18" hidden="1" customHeight="1" x14ac:dyDescent="0.35">
      <c r="A39" s="1" t="s">
        <v>85</v>
      </c>
      <c r="B39" s="1"/>
      <c r="C39" s="45" t="s">
        <v>73</v>
      </c>
      <c r="D39" s="3"/>
      <c r="E39" s="3"/>
      <c r="F39" s="42" t="s">
        <v>52</v>
      </c>
      <c r="G39" s="43">
        <v>0.8</v>
      </c>
      <c r="H39" s="46"/>
      <c r="I39" s="47">
        <v>129.91999999999999</v>
      </c>
      <c r="J39" s="25">
        <v>51.64</v>
      </c>
      <c r="K39" s="9"/>
      <c r="L39" s="9"/>
      <c r="M39" s="23"/>
      <c r="N39" s="9"/>
      <c r="O39" s="9"/>
      <c r="P39" s="9"/>
    </row>
    <row r="40" spans="1:16" ht="36" hidden="1" customHeight="1" x14ac:dyDescent="0.35">
      <c r="A40" s="1" t="s">
        <v>86</v>
      </c>
      <c r="B40" s="1"/>
      <c r="C40" s="45" t="s">
        <v>56</v>
      </c>
      <c r="D40" s="3"/>
      <c r="E40" s="3"/>
      <c r="F40" s="42" t="s">
        <v>57</v>
      </c>
      <c r="G40" s="43">
        <v>5.1999999999999998E-2</v>
      </c>
      <c r="H40" s="43"/>
      <c r="I40" s="44">
        <v>0</v>
      </c>
      <c r="J40" s="25">
        <v>4026.8</v>
      </c>
      <c r="K40" s="9"/>
      <c r="L40" s="9"/>
      <c r="M40" s="23"/>
      <c r="N40" s="9"/>
      <c r="O40" s="9"/>
      <c r="P40" s="9"/>
    </row>
    <row r="41" spans="1:16" ht="54" hidden="1" customHeight="1" x14ac:dyDescent="0.35">
      <c r="A41" s="1" t="s">
        <v>87</v>
      </c>
      <c r="B41" s="1"/>
      <c r="C41" s="41" t="s">
        <v>59</v>
      </c>
      <c r="D41" s="3"/>
      <c r="E41" s="3" t="s">
        <v>88</v>
      </c>
      <c r="F41" s="42" t="s">
        <v>46</v>
      </c>
      <c r="G41" s="43">
        <v>4.2</v>
      </c>
      <c r="H41" s="43"/>
      <c r="I41" s="44">
        <v>0</v>
      </c>
      <c r="J41" s="25">
        <v>135.53</v>
      </c>
      <c r="K41" s="9"/>
      <c r="L41" s="9"/>
      <c r="M41" s="23"/>
      <c r="N41" s="9"/>
      <c r="O41" s="9"/>
      <c r="P41" s="9"/>
    </row>
    <row r="42" spans="1:16" ht="198" hidden="1" customHeight="1" x14ac:dyDescent="0.35">
      <c r="A42" s="1" t="s">
        <v>89</v>
      </c>
      <c r="B42" s="1" t="s">
        <v>67</v>
      </c>
      <c r="C42" s="2" t="s">
        <v>68</v>
      </c>
      <c r="D42" s="3" t="s">
        <v>44</v>
      </c>
      <c r="E42" s="3" t="s">
        <v>90</v>
      </c>
      <c r="F42" s="3" t="s">
        <v>46</v>
      </c>
      <c r="G42" s="15">
        <v>1</v>
      </c>
      <c r="H42" s="15"/>
      <c r="I42" s="5">
        <v>0</v>
      </c>
      <c r="J42" s="8">
        <f>IFERROR(ROUND(SUM(M43,M44,M45,M46,M47)/I42, 2),0)</f>
        <v>0</v>
      </c>
      <c r="K42" s="24">
        <v>1991</v>
      </c>
      <c r="L42" s="8">
        <f>J42+ROUND(K42, 2)</f>
        <v>1991</v>
      </c>
      <c r="M42" s="8"/>
      <c r="N42" s="8"/>
      <c r="O42" s="8"/>
      <c r="P42" s="9"/>
    </row>
    <row r="43" spans="1:16" ht="54" hidden="1" customHeight="1" x14ac:dyDescent="0.35">
      <c r="A43" s="1" t="s">
        <v>91</v>
      </c>
      <c r="B43" s="1"/>
      <c r="C43" s="41" t="s">
        <v>59</v>
      </c>
      <c r="D43" s="3"/>
      <c r="E43" s="3"/>
      <c r="F43" s="42" t="s">
        <v>46</v>
      </c>
      <c r="G43" s="43">
        <v>4.2</v>
      </c>
      <c r="H43" s="43"/>
      <c r="I43" s="44">
        <v>0</v>
      </c>
      <c r="J43" s="25">
        <v>135.53</v>
      </c>
      <c r="K43" s="9"/>
      <c r="L43" s="9"/>
      <c r="M43" s="23"/>
      <c r="N43" s="9"/>
      <c r="O43" s="9"/>
      <c r="P43" s="9"/>
    </row>
    <row r="44" spans="1:16" ht="36" hidden="1" customHeight="1" x14ac:dyDescent="0.35">
      <c r="A44" s="1" t="s">
        <v>92</v>
      </c>
      <c r="B44" s="1"/>
      <c r="C44" s="45" t="s">
        <v>56</v>
      </c>
      <c r="D44" s="3"/>
      <c r="E44" s="3"/>
      <c r="F44" s="42" t="s">
        <v>57</v>
      </c>
      <c r="G44" s="43">
        <v>5.1999999999999998E-2</v>
      </c>
      <c r="H44" s="43"/>
      <c r="I44" s="44">
        <v>0</v>
      </c>
      <c r="J44" s="25">
        <v>4026.8</v>
      </c>
      <c r="K44" s="9"/>
      <c r="L44" s="9"/>
      <c r="M44" s="23"/>
      <c r="N44" s="9"/>
      <c r="O44" s="9"/>
      <c r="P44" s="9"/>
    </row>
    <row r="45" spans="1:16" ht="18" hidden="1" customHeight="1" x14ac:dyDescent="0.35">
      <c r="A45" s="1" t="s">
        <v>93</v>
      </c>
      <c r="B45" s="1"/>
      <c r="C45" s="45" t="s">
        <v>71</v>
      </c>
      <c r="D45" s="3"/>
      <c r="E45" s="3"/>
      <c r="F45" s="42" t="s">
        <v>52</v>
      </c>
      <c r="G45" s="43">
        <v>2.04</v>
      </c>
      <c r="H45" s="46"/>
      <c r="I45" s="47">
        <v>121.992</v>
      </c>
      <c r="J45" s="25">
        <v>64.56</v>
      </c>
      <c r="K45" s="9"/>
      <c r="L45" s="9"/>
      <c r="M45" s="23"/>
      <c r="N45" s="9"/>
      <c r="O45" s="9"/>
      <c r="P45" s="9"/>
    </row>
    <row r="46" spans="1:16" ht="18" hidden="1" customHeight="1" x14ac:dyDescent="0.35">
      <c r="A46" s="1" t="s">
        <v>94</v>
      </c>
      <c r="B46" s="1"/>
      <c r="C46" s="45" t="s">
        <v>73</v>
      </c>
      <c r="D46" s="3"/>
      <c r="E46" s="3"/>
      <c r="F46" s="42" t="s">
        <v>52</v>
      </c>
      <c r="G46" s="43">
        <v>0.8</v>
      </c>
      <c r="H46" s="46"/>
      <c r="I46" s="47">
        <v>47.84</v>
      </c>
      <c r="J46" s="25">
        <v>51.64</v>
      </c>
      <c r="K46" s="9"/>
      <c r="L46" s="9"/>
      <c r="M46" s="23"/>
      <c r="N46" s="9"/>
      <c r="O46" s="9"/>
      <c r="P46" s="9"/>
    </row>
    <row r="47" spans="1:16" ht="44.55" hidden="1" customHeight="1" x14ac:dyDescent="0.35">
      <c r="A47" s="1" t="s">
        <v>95</v>
      </c>
      <c r="B47" s="1"/>
      <c r="C47" s="41" t="s">
        <v>48</v>
      </c>
      <c r="D47" s="3"/>
      <c r="E47" s="3"/>
      <c r="F47" s="42" t="s">
        <v>49</v>
      </c>
      <c r="G47" s="43">
        <v>1</v>
      </c>
      <c r="H47" s="43"/>
      <c r="I47" s="44">
        <v>0</v>
      </c>
      <c r="J47" s="25">
        <v>88.36</v>
      </c>
      <c r="K47" s="9"/>
      <c r="L47" s="9"/>
      <c r="M47" s="23"/>
      <c r="N47" s="9"/>
      <c r="O47" s="9"/>
      <c r="P47" s="9"/>
    </row>
    <row r="48" spans="1:16" ht="36" hidden="1" customHeight="1" x14ac:dyDescent="0.35">
      <c r="A48" s="1" t="s">
        <v>96</v>
      </c>
      <c r="B48" s="1" t="s">
        <v>97</v>
      </c>
      <c r="C48" s="2" t="s">
        <v>98</v>
      </c>
      <c r="D48" s="3" t="s">
        <v>44</v>
      </c>
      <c r="E48" s="3"/>
      <c r="F48" s="3" t="s">
        <v>46</v>
      </c>
      <c r="G48" s="15">
        <v>1</v>
      </c>
      <c r="H48" s="15"/>
      <c r="I48" s="5">
        <v>0</v>
      </c>
      <c r="J48" s="8">
        <v>805.05</v>
      </c>
      <c r="K48" s="24">
        <v>1225</v>
      </c>
      <c r="L48" s="8">
        <f>J48+ROUND(K48, 2)</f>
        <v>2030.05</v>
      </c>
      <c r="M48" s="8"/>
      <c r="N48" s="8"/>
      <c r="O48" s="8"/>
      <c r="P48" s="9"/>
    </row>
    <row r="49" spans="1:16" ht="72" hidden="1" customHeight="1" x14ac:dyDescent="0.35">
      <c r="A49" s="1" t="s">
        <v>99</v>
      </c>
      <c r="B49" s="1"/>
      <c r="C49" s="41" t="s">
        <v>100</v>
      </c>
      <c r="D49" s="3"/>
      <c r="E49" s="3"/>
      <c r="F49" s="42" t="s">
        <v>49</v>
      </c>
      <c r="G49" s="43">
        <v>1</v>
      </c>
      <c r="H49" s="43"/>
      <c r="I49" s="44">
        <v>0</v>
      </c>
      <c r="J49" s="25">
        <v>111.15</v>
      </c>
      <c r="K49" s="9"/>
      <c r="L49" s="9"/>
      <c r="M49" s="23"/>
      <c r="N49" s="9"/>
      <c r="O49" s="9"/>
      <c r="P49" s="9"/>
    </row>
    <row r="50" spans="1:16" ht="18" hidden="1" customHeight="1" x14ac:dyDescent="0.35">
      <c r="A50" s="1" t="s">
        <v>101</v>
      </c>
      <c r="B50" s="1"/>
      <c r="C50" s="45" t="s">
        <v>51</v>
      </c>
      <c r="D50" s="3"/>
      <c r="E50" s="3"/>
      <c r="F50" s="42" t="s">
        <v>52</v>
      </c>
      <c r="G50" s="43">
        <v>0.86</v>
      </c>
      <c r="H50" s="46"/>
      <c r="I50" s="47">
        <v>0</v>
      </c>
      <c r="J50" s="25">
        <v>63.73</v>
      </c>
      <c r="K50" s="9"/>
      <c r="L50" s="9"/>
      <c r="M50" s="23"/>
      <c r="N50" s="9"/>
      <c r="O50" s="9"/>
      <c r="P50" s="9"/>
    </row>
    <row r="51" spans="1:16" ht="18" hidden="1" customHeight="1" x14ac:dyDescent="0.35">
      <c r="A51" s="1" t="s">
        <v>102</v>
      </c>
      <c r="B51" s="1"/>
      <c r="C51" s="45" t="s">
        <v>54</v>
      </c>
      <c r="D51" s="3"/>
      <c r="E51" s="3"/>
      <c r="F51" s="42" t="s">
        <v>52</v>
      </c>
      <c r="G51" s="43">
        <v>2.1</v>
      </c>
      <c r="H51" s="46"/>
      <c r="I51" s="47">
        <v>0</v>
      </c>
      <c r="J51" s="25">
        <v>95.07</v>
      </c>
      <c r="K51" s="9"/>
      <c r="L51" s="9"/>
      <c r="M51" s="23"/>
      <c r="N51" s="9"/>
      <c r="O51" s="9"/>
      <c r="P51" s="9"/>
    </row>
    <row r="52" spans="1:16" ht="36" hidden="1" customHeight="1" x14ac:dyDescent="0.35">
      <c r="A52" s="1" t="s">
        <v>103</v>
      </c>
      <c r="B52" s="1"/>
      <c r="C52" s="45" t="s">
        <v>56</v>
      </c>
      <c r="D52" s="3"/>
      <c r="E52" s="3"/>
      <c r="F52" s="42" t="s">
        <v>57</v>
      </c>
      <c r="G52" s="43">
        <v>5.1999999999999998E-2</v>
      </c>
      <c r="H52" s="43"/>
      <c r="I52" s="44">
        <v>0</v>
      </c>
      <c r="J52" s="25">
        <v>4026.8</v>
      </c>
      <c r="K52" s="9"/>
      <c r="L52" s="9"/>
      <c r="M52" s="23"/>
      <c r="N52" s="9"/>
      <c r="O52" s="9"/>
      <c r="P52" s="9"/>
    </row>
    <row r="53" spans="1:16" ht="36" hidden="1" customHeight="1" x14ac:dyDescent="0.35">
      <c r="A53" s="1" t="s">
        <v>104</v>
      </c>
      <c r="B53" s="1"/>
      <c r="C53" s="45" t="s">
        <v>105</v>
      </c>
      <c r="D53" s="3"/>
      <c r="E53" s="3"/>
      <c r="F53" s="42" t="s">
        <v>46</v>
      </c>
      <c r="G53" s="43">
        <v>2.2000000000000002</v>
      </c>
      <c r="H53" s="43"/>
      <c r="I53" s="44">
        <v>0</v>
      </c>
      <c r="J53" s="25">
        <v>104.57</v>
      </c>
      <c r="K53" s="9"/>
      <c r="L53" s="9"/>
      <c r="M53" s="23"/>
      <c r="N53" s="9"/>
      <c r="O53" s="9"/>
      <c r="P53" s="9"/>
    </row>
    <row r="54" spans="1:16" ht="36" hidden="1" customHeight="1" x14ac:dyDescent="0.35">
      <c r="A54" s="1" t="s">
        <v>106</v>
      </c>
      <c r="B54" s="1" t="s">
        <v>97</v>
      </c>
      <c r="C54" s="2" t="s">
        <v>98</v>
      </c>
      <c r="D54" s="3" t="s">
        <v>44</v>
      </c>
      <c r="E54" s="3"/>
      <c r="F54" s="3" t="s">
        <v>46</v>
      </c>
      <c r="G54" s="15">
        <v>1</v>
      </c>
      <c r="H54" s="15"/>
      <c r="I54" s="5">
        <v>0</v>
      </c>
      <c r="J54" s="8">
        <v>805.05</v>
      </c>
      <c r="K54" s="24">
        <v>1225</v>
      </c>
      <c r="L54" s="8">
        <f>J54+ROUND(K54, 2)</f>
        <v>2030.05</v>
      </c>
      <c r="M54" s="8"/>
      <c r="N54" s="8"/>
      <c r="O54" s="8"/>
      <c r="P54" s="9"/>
    </row>
    <row r="55" spans="1:16" ht="36" hidden="1" customHeight="1" x14ac:dyDescent="0.35">
      <c r="A55" s="1" t="s">
        <v>107</v>
      </c>
      <c r="B55" s="1"/>
      <c r="C55" s="45" t="s">
        <v>108</v>
      </c>
      <c r="D55" s="3"/>
      <c r="E55" s="3"/>
      <c r="F55" s="42" t="s">
        <v>46</v>
      </c>
      <c r="G55" s="43">
        <v>2.2000000000000002</v>
      </c>
      <c r="H55" s="43"/>
      <c r="I55" s="44">
        <v>0</v>
      </c>
      <c r="J55" s="25">
        <v>104.57</v>
      </c>
      <c r="K55" s="9"/>
      <c r="L55" s="9"/>
      <c r="M55" s="23"/>
      <c r="N55" s="9"/>
      <c r="O55" s="9"/>
      <c r="P55" s="9"/>
    </row>
    <row r="56" spans="1:16" ht="36" hidden="1" customHeight="1" x14ac:dyDescent="0.35">
      <c r="A56" s="1" t="s">
        <v>109</v>
      </c>
      <c r="B56" s="1"/>
      <c r="C56" s="45" t="s">
        <v>56</v>
      </c>
      <c r="D56" s="3"/>
      <c r="E56" s="3"/>
      <c r="F56" s="42" t="s">
        <v>57</v>
      </c>
      <c r="G56" s="43">
        <v>5.1999999999999998E-2</v>
      </c>
      <c r="H56" s="43"/>
      <c r="I56" s="44">
        <v>0</v>
      </c>
      <c r="J56" s="25">
        <v>4026.8</v>
      </c>
      <c r="K56" s="9"/>
      <c r="L56" s="9"/>
      <c r="M56" s="23"/>
      <c r="N56" s="9"/>
      <c r="O56" s="9"/>
      <c r="P56" s="9"/>
    </row>
    <row r="57" spans="1:16" ht="18" hidden="1" customHeight="1" x14ac:dyDescent="0.35">
      <c r="A57" s="1" t="s">
        <v>110</v>
      </c>
      <c r="B57" s="1"/>
      <c r="C57" s="45" t="s">
        <v>51</v>
      </c>
      <c r="D57" s="3"/>
      <c r="E57" s="3"/>
      <c r="F57" s="42" t="s">
        <v>52</v>
      </c>
      <c r="G57" s="43">
        <v>0.86</v>
      </c>
      <c r="H57" s="46"/>
      <c r="I57" s="47">
        <v>0</v>
      </c>
      <c r="J57" s="25">
        <v>63.73</v>
      </c>
      <c r="K57" s="9"/>
      <c r="L57" s="9"/>
      <c r="M57" s="23"/>
      <c r="N57" s="9"/>
      <c r="O57" s="9"/>
      <c r="P57" s="9"/>
    </row>
    <row r="58" spans="1:16" ht="18" hidden="1" customHeight="1" x14ac:dyDescent="0.35">
      <c r="A58" s="1" t="s">
        <v>111</v>
      </c>
      <c r="B58" s="1"/>
      <c r="C58" s="45" t="s">
        <v>54</v>
      </c>
      <c r="D58" s="3"/>
      <c r="E58" s="3"/>
      <c r="F58" s="42" t="s">
        <v>52</v>
      </c>
      <c r="G58" s="43">
        <v>2.1</v>
      </c>
      <c r="H58" s="46"/>
      <c r="I58" s="47">
        <v>0</v>
      </c>
      <c r="J58" s="25">
        <v>95.07</v>
      </c>
      <c r="K58" s="9"/>
      <c r="L58" s="9"/>
      <c r="M58" s="23"/>
      <c r="N58" s="9"/>
      <c r="O58" s="9"/>
      <c r="P58" s="9"/>
    </row>
    <row r="59" spans="1:16" ht="47.55" hidden="1" customHeight="1" x14ac:dyDescent="0.35">
      <c r="A59" s="1" t="s">
        <v>112</v>
      </c>
      <c r="B59" s="1"/>
      <c r="C59" s="41" t="s">
        <v>100</v>
      </c>
      <c r="D59" s="3"/>
      <c r="E59" s="3"/>
      <c r="F59" s="42" t="s">
        <v>49</v>
      </c>
      <c r="G59" s="43">
        <v>1</v>
      </c>
      <c r="H59" s="43"/>
      <c r="I59" s="44">
        <v>0</v>
      </c>
      <c r="J59" s="25">
        <v>111.15</v>
      </c>
      <c r="K59" s="9"/>
      <c r="L59" s="9"/>
      <c r="M59" s="23"/>
      <c r="N59" s="9"/>
      <c r="O59" s="9"/>
      <c r="P59" s="9"/>
    </row>
    <row r="60" spans="1:16" ht="36" hidden="1" customHeight="1" x14ac:dyDescent="0.35">
      <c r="A60" s="1" t="s">
        <v>113</v>
      </c>
      <c r="B60" s="1" t="s">
        <v>97</v>
      </c>
      <c r="C60" s="2" t="s">
        <v>98</v>
      </c>
      <c r="D60" s="3" t="s">
        <v>44</v>
      </c>
      <c r="E60" s="3"/>
      <c r="F60" s="3" t="s">
        <v>46</v>
      </c>
      <c r="G60" s="15">
        <v>1</v>
      </c>
      <c r="H60" s="15"/>
      <c r="I60" s="5">
        <v>0</v>
      </c>
      <c r="J60" s="8">
        <v>805.05</v>
      </c>
      <c r="K60" s="24">
        <v>1225</v>
      </c>
      <c r="L60" s="8">
        <f>J60+ROUND(K60, 2)</f>
        <v>2030.05</v>
      </c>
      <c r="M60" s="8"/>
      <c r="N60" s="8"/>
      <c r="O60" s="8"/>
      <c r="P60" s="9"/>
    </row>
    <row r="61" spans="1:16" ht="72" hidden="1" customHeight="1" x14ac:dyDescent="0.35">
      <c r="A61" s="1" t="s">
        <v>114</v>
      </c>
      <c r="B61" s="1"/>
      <c r="C61" s="41" t="s">
        <v>100</v>
      </c>
      <c r="D61" s="3"/>
      <c r="E61" s="3"/>
      <c r="F61" s="42" t="s">
        <v>49</v>
      </c>
      <c r="G61" s="43">
        <v>1</v>
      </c>
      <c r="H61" s="43"/>
      <c r="I61" s="44">
        <v>0</v>
      </c>
      <c r="J61" s="25">
        <v>111.15</v>
      </c>
      <c r="K61" s="9"/>
      <c r="L61" s="9"/>
      <c r="M61" s="23"/>
      <c r="N61" s="9"/>
      <c r="O61" s="9"/>
      <c r="P61" s="9"/>
    </row>
    <row r="62" spans="1:16" ht="18" hidden="1" customHeight="1" x14ac:dyDescent="0.35">
      <c r="A62" s="1" t="s">
        <v>115</v>
      </c>
      <c r="B62" s="1"/>
      <c r="C62" s="45" t="s">
        <v>51</v>
      </c>
      <c r="D62" s="3"/>
      <c r="E62" s="3"/>
      <c r="F62" s="42" t="s">
        <v>52</v>
      </c>
      <c r="G62" s="43">
        <v>0.86</v>
      </c>
      <c r="H62" s="46"/>
      <c r="I62" s="47">
        <v>0</v>
      </c>
      <c r="J62" s="25">
        <v>63.73</v>
      </c>
      <c r="K62" s="9"/>
      <c r="L62" s="9"/>
      <c r="M62" s="23"/>
      <c r="N62" s="9"/>
      <c r="O62" s="9"/>
      <c r="P62" s="9"/>
    </row>
    <row r="63" spans="1:16" ht="18" hidden="1" customHeight="1" x14ac:dyDescent="0.35">
      <c r="A63" s="1" t="s">
        <v>116</v>
      </c>
      <c r="B63" s="1"/>
      <c r="C63" s="45" t="s">
        <v>54</v>
      </c>
      <c r="D63" s="3"/>
      <c r="E63" s="3"/>
      <c r="F63" s="42" t="s">
        <v>52</v>
      </c>
      <c r="G63" s="43">
        <v>2.1</v>
      </c>
      <c r="H63" s="46"/>
      <c r="I63" s="47">
        <v>0</v>
      </c>
      <c r="J63" s="25">
        <v>95.07</v>
      </c>
      <c r="K63" s="9"/>
      <c r="L63" s="9"/>
      <c r="M63" s="23"/>
      <c r="N63" s="9"/>
      <c r="O63" s="9"/>
      <c r="P63" s="9"/>
    </row>
    <row r="64" spans="1:16" ht="36" hidden="1" customHeight="1" x14ac:dyDescent="0.35">
      <c r="A64" s="1" t="s">
        <v>117</v>
      </c>
      <c r="B64" s="1"/>
      <c r="C64" s="45" t="s">
        <v>56</v>
      </c>
      <c r="D64" s="3"/>
      <c r="E64" s="3"/>
      <c r="F64" s="42" t="s">
        <v>57</v>
      </c>
      <c r="G64" s="43">
        <v>5.1999999999999998E-2</v>
      </c>
      <c r="H64" s="43"/>
      <c r="I64" s="44">
        <v>0</v>
      </c>
      <c r="J64" s="25">
        <v>4026.8</v>
      </c>
      <c r="K64" s="9"/>
      <c r="L64" s="9"/>
      <c r="M64" s="23"/>
      <c r="N64" s="9"/>
      <c r="O64" s="9"/>
      <c r="P64" s="9"/>
    </row>
    <row r="65" spans="1:16" ht="36" hidden="1" customHeight="1" x14ac:dyDescent="0.35">
      <c r="A65" s="1" t="s">
        <v>118</v>
      </c>
      <c r="B65" s="1"/>
      <c r="C65" s="45" t="s">
        <v>108</v>
      </c>
      <c r="D65" s="3"/>
      <c r="E65" s="3"/>
      <c r="F65" s="42" t="s">
        <v>46</v>
      </c>
      <c r="G65" s="43">
        <v>2.2000000000000002</v>
      </c>
      <c r="H65" s="43"/>
      <c r="I65" s="44">
        <v>0</v>
      </c>
      <c r="J65" s="25">
        <v>104.57</v>
      </c>
      <c r="K65" s="9"/>
      <c r="L65" s="9"/>
      <c r="M65" s="23"/>
      <c r="N65" s="9"/>
      <c r="O65" s="9"/>
      <c r="P65" s="9"/>
    </row>
    <row r="66" spans="1:16" ht="36" hidden="1" customHeight="1" x14ac:dyDescent="0.35">
      <c r="A66" s="1" t="s">
        <v>119</v>
      </c>
      <c r="B66" s="1" t="s">
        <v>97</v>
      </c>
      <c r="C66" s="2" t="s">
        <v>98</v>
      </c>
      <c r="D66" s="3" t="s">
        <v>44</v>
      </c>
      <c r="E66" s="3"/>
      <c r="F66" s="3" t="s">
        <v>46</v>
      </c>
      <c r="G66" s="15">
        <v>1</v>
      </c>
      <c r="H66" s="15"/>
      <c r="I66" s="5">
        <v>0</v>
      </c>
      <c r="J66" s="8">
        <v>727.48</v>
      </c>
      <c r="K66" s="24">
        <v>1225</v>
      </c>
      <c r="L66" s="8">
        <f>J66+ROUND(K66, 2)</f>
        <v>1952.48</v>
      </c>
      <c r="M66" s="8"/>
      <c r="N66" s="8"/>
      <c r="O66" s="8"/>
      <c r="P66" s="9"/>
    </row>
    <row r="67" spans="1:16" ht="36" hidden="1" customHeight="1" x14ac:dyDescent="0.35">
      <c r="A67" s="1" t="s">
        <v>120</v>
      </c>
      <c r="B67" s="1"/>
      <c r="C67" s="45" t="s">
        <v>108</v>
      </c>
      <c r="D67" s="3"/>
      <c r="E67" s="3"/>
      <c r="F67" s="42" t="s">
        <v>46</v>
      </c>
      <c r="G67" s="43">
        <v>2.2000000000000002</v>
      </c>
      <c r="H67" s="43"/>
      <c r="I67" s="44">
        <v>0</v>
      </c>
      <c r="J67" s="25">
        <v>104.57</v>
      </c>
      <c r="K67" s="9"/>
      <c r="L67" s="9"/>
      <c r="M67" s="23"/>
      <c r="N67" s="9"/>
      <c r="O67" s="9"/>
      <c r="P67" s="9"/>
    </row>
    <row r="68" spans="1:16" ht="36" hidden="1" customHeight="1" x14ac:dyDescent="0.35">
      <c r="A68" s="1" t="s">
        <v>121</v>
      </c>
      <c r="B68" s="1"/>
      <c r="C68" s="45" t="s">
        <v>56</v>
      </c>
      <c r="D68" s="3"/>
      <c r="E68" s="3"/>
      <c r="F68" s="42" t="s">
        <v>57</v>
      </c>
      <c r="G68" s="43">
        <v>5.1999999999999998E-2</v>
      </c>
      <c r="H68" s="43"/>
      <c r="I68" s="44">
        <v>0</v>
      </c>
      <c r="J68" s="25">
        <v>4026.8</v>
      </c>
      <c r="K68" s="9"/>
      <c r="L68" s="9"/>
      <c r="M68" s="23"/>
      <c r="N68" s="9"/>
      <c r="O68" s="9"/>
      <c r="P68" s="9"/>
    </row>
    <row r="69" spans="1:16" ht="18" hidden="1" customHeight="1" x14ac:dyDescent="0.35">
      <c r="A69" s="1" t="s">
        <v>122</v>
      </c>
      <c r="B69" s="1"/>
      <c r="C69" s="45" t="s">
        <v>71</v>
      </c>
      <c r="D69" s="3"/>
      <c r="E69" s="3"/>
      <c r="F69" s="42" t="s">
        <v>52</v>
      </c>
      <c r="G69" s="43">
        <v>2.1</v>
      </c>
      <c r="H69" s="43"/>
      <c r="I69" s="44">
        <v>0</v>
      </c>
      <c r="J69" s="25">
        <v>64.56</v>
      </c>
      <c r="K69" s="9"/>
      <c r="L69" s="9"/>
      <c r="M69" s="23"/>
      <c r="N69" s="9"/>
      <c r="O69" s="9"/>
      <c r="P69" s="9"/>
    </row>
    <row r="70" spans="1:16" ht="18" hidden="1" customHeight="1" x14ac:dyDescent="0.35">
      <c r="A70" s="1" t="s">
        <v>123</v>
      </c>
      <c r="B70" s="1"/>
      <c r="C70" s="45" t="s">
        <v>73</v>
      </c>
      <c r="D70" s="3"/>
      <c r="E70" s="3"/>
      <c r="F70" s="42" t="s">
        <v>52</v>
      </c>
      <c r="G70" s="43">
        <v>0.8</v>
      </c>
      <c r="H70" s="43"/>
      <c r="I70" s="44">
        <v>0</v>
      </c>
      <c r="J70" s="25">
        <v>51.63</v>
      </c>
      <c r="K70" s="9"/>
      <c r="L70" s="9"/>
      <c r="M70" s="23"/>
      <c r="N70" s="9"/>
      <c r="O70" s="9"/>
      <c r="P70" s="9"/>
    </row>
    <row r="71" spans="1:16" ht="72" hidden="1" customHeight="1" x14ac:dyDescent="0.35">
      <c r="A71" s="1" t="s">
        <v>124</v>
      </c>
      <c r="B71" s="1"/>
      <c r="C71" s="41" t="s">
        <v>100</v>
      </c>
      <c r="D71" s="3"/>
      <c r="E71" s="3"/>
      <c r="F71" s="42" t="s">
        <v>49</v>
      </c>
      <c r="G71" s="43">
        <v>1</v>
      </c>
      <c r="H71" s="43"/>
      <c r="I71" s="44">
        <v>0</v>
      </c>
      <c r="J71" s="25">
        <v>111.15</v>
      </c>
      <c r="K71" s="9"/>
      <c r="L71" s="9"/>
      <c r="M71" s="23"/>
      <c r="N71" s="9"/>
      <c r="O71" s="9"/>
      <c r="P71" s="9"/>
    </row>
    <row r="72" spans="1:16" ht="36" hidden="1" customHeight="1" x14ac:dyDescent="0.35">
      <c r="A72" s="1" t="s">
        <v>125</v>
      </c>
      <c r="B72" s="1" t="s">
        <v>97</v>
      </c>
      <c r="C72" s="2" t="s">
        <v>98</v>
      </c>
      <c r="D72" s="3" t="s">
        <v>44</v>
      </c>
      <c r="E72" s="3"/>
      <c r="F72" s="3" t="s">
        <v>46</v>
      </c>
      <c r="G72" s="15">
        <v>1</v>
      </c>
      <c r="H72" s="15"/>
      <c r="I72" s="5">
        <v>0</v>
      </c>
      <c r="J72" s="8">
        <v>1269.23</v>
      </c>
      <c r="K72" s="24">
        <v>1225</v>
      </c>
      <c r="L72" s="8">
        <f>J72+ROUND(K72, 2)</f>
        <v>2494.23</v>
      </c>
      <c r="M72" s="8"/>
      <c r="N72" s="8"/>
      <c r="O72" s="8"/>
      <c r="P72" s="9"/>
    </row>
    <row r="73" spans="1:16" ht="72" hidden="1" customHeight="1" x14ac:dyDescent="0.35">
      <c r="A73" s="1" t="s">
        <v>126</v>
      </c>
      <c r="B73" s="1"/>
      <c r="C73" s="41" t="s">
        <v>100</v>
      </c>
      <c r="D73" s="3"/>
      <c r="E73" s="3"/>
      <c r="F73" s="42" t="s">
        <v>49</v>
      </c>
      <c r="G73" s="43">
        <v>1</v>
      </c>
      <c r="H73" s="43"/>
      <c r="I73" s="44">
        <v>0</v>
      </c>
      <c r="J73" s="25">
        <v>111.15</v>
      </c>
      <c r="K73" s="9"/>
      <c r="L73" s="9"/>
      <c r="M73" s="23"/>
      <c r="N73" s="9"/>
      <c r="O73" s="9"/>
      <c r="P73" s="9"/>
    </row>
    <row r="74" spans="1:16" ht="18" hidden="1" customHeight="1" x14ac:dyDescent="0.35">
      <c r="A74" s="1" t="s">
        <v>127</v>
      </c>
      <c r="B74" s="1"/>
      <c r="C74" s="45" t="s">
        <v>51</v>
      </c>
      <c r="D74" s="3"/>
      <c r="E74" s="3"/>
      <c r="F74" s="42" t="s">
        <v>52</v>
      </c>
      <c r="G74" s="43">
        <v>0.86</v>
      </c>
      <c r="H74" s="46"/>
      <c r="I74" s="47">
        <v>0</v>
      </c>
      <c r="J74" s="25">
        <v>63.73</v>
      </c>
      <c r="K74" s="9"/>
      <c r="L74" s="9"/>
      <c r="M74" s="23"/>
      <c r="N74" s="9"/>
      <c r="O74" s="9"/>
      <c r="P74" s="9"/>
    </row>
    <row r="75" spans="1:16" ht="18" hidden="1" customHeight="1" x14ac:dyDescent="0.35">
      <c r="A75" s="1" t="s">
        <v>128</v>
      </c>
      <c r="B75" s="1"/>
      <c r="C75" s="45" t="s">
        <v>54</v>
      </c>
      <c r="D75" s="3"/>
      <c r="E75" s="3"/>
      <c r="F75" s="42" t="s">
        <v>52</v>
      </c>
      <c r="G75" s="43">
        <v>2.1</v>
      </c>
      <c r="H75" s="46"/>
      <c r="I75" s="47">
        <v>0</v>
      </c>
      <c r="J75" s="25">
        <v>95.07</v>
      </c>
      <c r="K75" s="9"/>
      <c r="L75" s="9"/>
      <c r="M75" s="23"/>
      <c r="N75" s="9"/>
      <c r="O75" s="9"/>
      <c r="P75" s="9"/>
    </row>
    <row r="76" spans="1:16" ht="36" hidden="1" customHeight="1" x14ac:dyDescent="0.35">
      <c r="A76" s="1" t="s">
        <v>129</v>
      </c>
      <c r="B76" s="1"/>
      <c r="C76" s="45" t="s">
        <v>56</v>
      </c>
      <c r="D76" s="3"/>
      <c r="E76" s="3"/>
      <c r="F76" s="42" t="s">
        <v>57</v>
      </c>
      <c r="G76" s="43">
        <v>5.1999999999999998E-2</v>
      </c>
      <c r="H76" s="43"/>
      <c r="I76" s="44">
        <v>0</v>
      </c>
      <c r="J76" s="25">
        <v>4026.8</v>
      </c>
      <c r="K76" s="9"/>
      <c r="L76" s="9"/>
      <c r="M76" s="23"/>
      <c r="N76" s="9"/>
      <c r="O76" s="9"/>
      <c r="P76" s="9"/>
    </row>
    <row r="77" spans="1:16" ht="18" hidden="1" customHeight="1" x14ac:dyDescent="0.35">
      <c r="A77" s="1" t="s">
        <v>130</v>
      </c>
      <c r="B77" s="1"/>
      <c r="C77" s="45" t="s">
        <v>131</v>
      </c>
      <c r="D77" s="3"/>
      <c r="E77" s="3"/>
      <c r="F77" s="42" t="s">
        <v>46</v>
      </c>
      <c r="G77" s="43">
        <v>2.2000000000000002</v>
      </c>
      <c r="H77" s="43"/>
      <c r="I77" s="44">
        <v>0</v>
      </c>
      <c r="J77" s="25">
        <v>315.55</v>
      </c>
      <c r="K77" s="9"/>
      <c r="L77" s="9"/>
      <c r="M77" s="23"/>
      <c r="N77" s="9"/>
      <c r="O77" s="9"/>
      <c r="P77" s="9"/>
    </row>
    <row r="78" spans="1:16" ht="96" hidden="1" customHeight="1" x14ac:dyDescent="0.35">
      <c r="A78" s="1" t="s">
        <v>132</v>
      </c>
      <c r="B78" s="1" t="s">
        <v>97</v>
      </c>
      <c r="C78" s="2" t="s">
        <v>98</v>
      </c>
      <c r="D78" s="3" t="s">
        <v>44</v>
      </c>
      <c r="E78" s="3" t="s">
        <v>767</v>
      </c>
      <c r="F78" s="3" t="s">
        <v>46</v>
      </c>
      <c r="G78" s="15">
        <v>1</v>
      </c>
      <c r="H78" s="15"/>
      <c r="I78" s="5">
        <v>0</v>
      </c>
      <c r="J78" s="8">
        <f>IFERROR(ROUND(SUM(M79,M80,M81,M82,M83)/I78, 2),0)</f>
        <v>0</v>
      </c>
      <c r="K78" s="24">
        <v>1225</v>
      </c>
      <c r="L78" s="8">
        <f>J78+ROUND(K78, 2)</f>
        <v>1225</v>
      </c>
      <c r="M78" s="8"/>
      <c r="N78" s="8"/>
      <c r="O78" s="8"/>
      <c r="P78" s="9"/>
    </row>
    <row r="79" spans="1:16" ht="36" hidden="1" customHeight="1" x14ac:dyDescent="0.35">
      <c r="A79" s="1" t="s">
        <v>133</v>
      </c>
      <c r="B79" s="1"/>
      <c r="C79" s="45" t="s">
        <v>105</v>
      </c>
      <c r="D79" s="3"/>
      <c r="E79" s="3"/>
      <c r="F79" s="42" t="s">
        <v>46</v>
      </c>
      <c r="G79" s="43">
        <v>2.2000000000000002</v>
      </c>
      <c r="H79" s="43"/>
      <c r="I79" s="44">
        <v>0</v>
      </c>
      <c r="J79" s="25">
        <v>104.57</v>
      </c>
      <c r="K79" s="9"/>
      <c r="L79" s="9"/>
      <c r="M79" s="23"/>
      <c r="N79" s="9"/>
      <c r="O79" s="9"/>
      <c r="P79" s="9"/>
    </row>
    <row r="80" spans="1:16" ht="36" hidden="1" customHeight="1" x14ac:dyDescent="0.35">
      <c r="A80" s="1" t="s">
        <v>134</v>
      </c>
      <c r="B80" s="1"/>
      <c r="C80" s="45" t="s">
        <v>56</v>
      </c>
      <c r="D80" s="3"/>
      <c r="E80" s="3"/>
      <c r="F80" s="42" t="s">
        <v>57</v>
      </c>
      <c r="G80" s="43">
        <v>5.1999999999999998E-2</v>
      </c>
      <c r="H80" s="43"/>
      <c r="I80" s="44">
        <v>0</v>
      </c>
      <c r="J80" s="25">
        <v>4026.8</v>
      </c>
      <c r="K80" s="9"/>
      <c r="L80" s="9"/>
      <c r="M80" s="23"/>
      <c r="N80" s="9"/>
      <c r="O80" s="9"/>
      <c r="P80" s="9"/>
    </row>
    <row r="81" spans="1:16" ht="16.95" hidden="1" customHeight="1" x14ac:dyDescent="0.35">
      <c r="A81" s="1" t="s">
        <v>135</v>
      </c>
      <c r="B81" s="1"/>
      <c r="C81" s="45" t="s">
        <v>51</v>
      </c>
      <c r="D81" s="3"/>
      <c r="E81" s="3"/>
      <c r="F81" s="42" t="s">
        <v>52</v>
      </c>
      <c r="G81" s="43">
        <v>0.86</v>
      </c>
      <c r="H81" s="46"/>
      <c r="I81" s="47">
        <v>673.89599999999996</v>
      </c>
      <c r="J81" s="25">
        <v>63.72</v>
      </c>
      <c r="K81" s="9"/>
      <c r="L81" s="9"/>
      <c r="M81" s="23"/>
      <c r="N81" s="9"/>
      <c r="O81" s="9"/>
      <c r="P81" s="9"/>
    </row>
    <row r="82" spans="1:16" ht="18" hidden="1" customHeight="1" x14ac:dyDescent="0.35">
      <c r="A82" s="1" t="s">
        <v>136</v>
      </c>
      <c r="B82" s="1"/>
      <c r="C82" s="45" t="s">
        <v>54</v>
      </c>
      <c r="D82" s="3"/>
      <c r="E82" s="3"/>
      <c r="F82" s="42" t="s">
        <v>52</v>
      </c>
      <c r="G82" s="43">
        <v>2.1</v>
      </c>
      <c r="H82" s="46"/>
      <c r="I82" s="47">
        <v>1645.56</v>
      </c>
      <c r="J82" s="25">
        <v>95.08</v>
      </c>
      <c r="K82" s="9"/>
      <c r="L82" s="9"/>
      <c r="M82" s="23"/>
      <c r="N82" s="9"/>
      <c r="O82" s="9"/>
      <c r="P82" s="9"/>
    </row>
    <row r="83" spans="1:16" ht="72" hidden="1" customHeight="1" x14ac:dyDescent="0.35">
      <c r="A83" s="1" t="s">
        <v>137</v>
      </c>
      <c r="B83" s="1"/>
      <c r="C83" s="41" t="s">
        <v>100</v>
      </c>
      <c r="D83" s="3"/>
      <c r="E83" s="3"/>
      <c r="F83" s="42" t="s">
        <v>49</v>
      </c>
      <c r="G83" s="43">
        <v>1</v>
      </c>
      <c r="H83" s="43"/>
      <c r="I83" s="44">
        <v>0</v>
      </c>
      <c r="J83" s="25">
        <v>111.16</v>
      </c>
      <c r="K83" s="9"/>
      <c r="L83" s="9"/>
      <c r="M83" s="23"/>
      <c r="N83" s="9"/>
      <c r="O83" s="9"/>
      <c r="P83" s="9"/>
    </row>
    <row r="84" spans="1:16" ht="288" hidden="1" customHeight="1" x14ac:dyDescent="0.35">
      <c r="A84" s="1" t="s">
        <v>138</v>
      </c>
      <c r="B84" s="1" t="s">
        <v>97</v>
      </c>
      <c r="C84" s="2" t="s">
        <v>98</v>
      </c>
      <c r="D84" s="3" t="s">
        <v>44</v>
      </c>
      <c r="E84" s="3" t="s">
        <v>768</v>
      </c>
      <c r="F84" s="3" t="s">
        <v>46</v>
      </c>
      <c r="G84" s="15">
        <v>1</v>
      </c>
      <c r="H84" s="15"/>
      <c r="I84" s="5">
        <v>0</v>
      </c>
      <c r="J84" s="8">
        <f>IFERROR(ROUND(SUM(M85,M86,M87,M88,M89)/I84, 2),0)</f>
        <v>0</v>
      </c>
      <c r="K84" s="24">
        <v>1225</v>
      </c>
      <c r="L84" s="8">
        <f>J84+ROUND(K84, 2)</f>
        <v>1225</v>
      </c>
      <c r="M84" s="8"/>
      <c r="N84" s="8"/>
      <c r="O84" s="8"/>
      <c r="P84" s="9"/>
    </row>
    <row r="85" spans="1:16" ht="72" hidden="1" customHeight="1" x14ac:dyDescent="0.35">
      <c r="A85" s="1" t="s">
        <v>139</v>
      </c>
      <c r="B85" s="1"/>
      <c r="C85" s="41" t="s">
        <v>100</v>
      </c>
      <c r="D85" s="3"/>
      <c r="E85" s="3"/>
      <c r="F85" s="42" t="s">
        <v>49</v>
      </c>
      <c r="G85" s="43">
        <v>1</v>
      </c>
      <c r="H85" s="43"/>
      <c r="I85" s="44">
        <v>0</v>
      </c>
      <c r="J85" s="25">
        <v>111.16</v>
      </c>
      <c r="K85" s="9"/>
      <c r="L85" s="9"/>
      <c r="M85" s="23"/>
      <c r="N85" s="9"/>
      <c r="O85" s="9"/>
      <c r="P85" s="9"/>
    </row>
    <row r="86" spans="1:16" ht="18" hidden="1" customHeight="1" x14ac:dyDescent="0.35">
      <c r="A86" s="1" t="s">
        <v>140</v>
      </c>
      <c r="B86" s="1"/>
      <c r="C86" s="45" t="s">
        <v>51</v>
      </c>
      <c r="D86" s="3"/>
      <c r="E86" s="3"/>
      <c r="F86" s="42" t="s">
        <v>52</v>
      </c>
      <c r="G86" s="43">
        <v>0.86</v>
      </c>
      <c r="H86" s="46"/>
      <c r="I86" s="47">
        <v>2133.402</v>
      </c>
      <c r="J86" s="25">
        <v>63.72</v>
      </c>
      <c r="K86" s="9"/>
      <c r="L86" s="9"/>
      <c r="M86" s="23"/>
      <c r="N86" s="9"/>
      <c r="O86" s="9"/>
      <c r="P86" s="9"/>
    </row>
    <row r="87" spans="1:16" ht="18" hidden="1" customHeight="1" x14ac:dyDescent="0.35">
      <c r="A87" s="1" t="s">
        <v>141</v>
      </c>
      <c r="B87" s="1"/>
      <c r="C87" s="45" t="s">
        <v>54</v>
      </c>
      <c r="D87" s="3"/>
      <c r="E87" s="3"/>
      <c r="F87" s="42" t="s">
        <v>52</v>
      </c>
      <c r="G87" s="43">
        <v>2.1</v>
      </c>
      <c r="H87" s="46"/>
      <c r="I87" s="47">
        <v>5209.47</v>
      </c>
      <c r="J87" s="25">
        <v>95.08</v>
      </c>
      <c r="K87" s="9"/>
      <c r="L87" s="9"/>
      <c r="M87" s="23"/>
      <c r="N87" s="9"/>
      <c r="O87" s="9"/>
      <c r="P87" s="9"/>
    </row>
    <row r="88" spans="1:16" ht="22.05" hidden="1" customHeight="1" x14ac:dyDescent="0.35">
      <c r="A88" s="1" t="s">
        <v>142</v>
      </c>
      <c r="B88" s="1"/>
      <c r="C88" s="45" t="s">
        <v>56</v>
      </c>
      <c r="D88" s="3"/>
      <c r="E88" s="3"/>
      <c r="F88" s="42" t="s">
        <v>57</v>
      </c>
      <c r="G88" s="43">
        <v>5.1999999999999998E-2</v>
      </c>
      <c r="H88" s="43"/>
      <c r="I88" s="44">
        <v>0</v>
      </c>
      <c r="J88" s="25">
        <v>4026.8</v>
      </c>
      <c r="K88" s="9"/>
      <c r="L88" s="9"/>
      <c r="M88" s="23"/>
      <c r="N88" s="9"/>
      <c r="O88" s="9"/>
      <c r="P88" s="9"/>
    </row>
    <row r="89" spans="1:16" ht="36" hidden="1" customHeight="1" x14ac:dyDescent="0.35">
      <c r="A89" s="1" t="s">
        <v>143</v>
      </c>
      <c r="B89" s="1"/>
      <c r="C89" s="45" t="s">
        <v>108</v>
      </c>
      <c r="D89" s="3"/>
      <c r="E89" s="3"/>
      <c r="F89" s="42" t="s">
        <v>46</v>
      </c>
      <c r="G89" s="43">
        <v>2.2000000000000002</v>
      </c>
      <c r="H89" s="43"/>
      <c r="I89" s="44">
        <v>0</v>
      </c>
      <c r="J89" s="25">
        <v>104.57</v>
      </c>
      <c r="K89" s="9"/>
      <c r="L89" s="9"/>
      <c r="M89" s="23"/>
      <c r="N89" s="9"/>
      <c r="O89" s="9"/>
      <c r="P89" s="9"/>
    </row>
    <row r="90" spans="1:16" ht="360" hidden="1" customHeight="1" x14ac:dyDescent="0.35">
      <c r="A90" s="1" t="s">
        <v>144</v>
      </c>
      <c r="B90" s="1" t="s">
        <v>97</v>
      </c>
      <c r="C90" s="2" t="s">
        <v>98</v>
      </c>
      <c r="D90" s="3" t="s">
        <v>44</v>
      </c>
      <c r="E90" s="3" t="s">
        <v>769</v>
      </c>
      <c r="F90" s="3" t="s">
        <v>46</v>
      </c>
      <c r="G90" s="15">
        <v>1</v>
      </c>
      <c r="H90" s="15"/>
      <c r="I90" s="5">
        <v>0</v>
      </c>
      <c r="J90" s="8">
        <f>IFERROR(ROUND(SUM(M91,M92,M93,M94,M95)/I90, 2),0)</f>
        <v>0</v>
      </c>
      <c r="K90" s="24">
        <v>1225</v>
      </c>
      <c r="L90" s="8">
        <f>J90+ROUND(K90, 2)</f>
        <v>1225</v>
      </c>
      <c r="M90" s="8"/>
      <c r="N90" s="8"/>
      <c r="O90" s="8"/>
      <c r="P90" s="9"/>
    </row>
    <row r="91" spans="1:16" ht="36" hidden="1" customHeight="1" x14ac:dyDescent="0.35">
      <c r="A91" s="1" t="s">
        <v>145</v>
      </c>
      <c r="B91" s="1"/>
      <c r="C91" s="45" t="s">
        <v>108</v>
      </c>
      <c r="D91" s="3"/>
      <c r="E91" s="3"/>
      <c r="F91" s="42" t="s">
        <v>46</v>
      </c>
      <c r="G91" s="43">
        <v>2.2000000000000002</v>
      </c>
      <c r="H91" s="43"/>
      <c r="I91" s="44">
        <v>0</v>
      </c>
      <c r="J91" s="25">
        <v>104.57</v>
      </c>
      <c r="K91" s="9"/>
      <c r="L91" s="9"/>
      <c r="M91" s="23"/>
      <c r="N91" s="9"/>
      <c r="O91" s="9"/>
      <c r="P91" s="9"/>
    </row>
    <row r="92" spans="1:16" ht="36" hidden="1" customHeight="1" x14ac:dyDescent="0.35">
      <c r="A92" s="1" t="s">
        <v>146</v>
      </c>
      <c r="B92" s="1"/>
      <c r="C92" s="45" t="s">
        <v>56</v>
      </c>
      <c r="D92" s="3"/>
      <c r="E92" s="3"/>
      <c r="F92" s="42" t="s">
        <v>57</v>
      </c>
      <c r="G92" s="43">
        <v>5.1999999999999998E-2</v>
      </c>
      <c r="H92" s="43"/>
      <c r="I92" s="44">
        <v>0</v>
      </c>
      <c r="J92" s="25">
        <v>4026.8</v>
      </c>
      <c r="K92" s="9"/>
      <c r="L92" s="9"/>
      <c r="M92" s="23"/>
      <c r="N92" s="9"/>
      <c r="O92" s="9"/>
      <c r="P92" s="9"/>
    </row>
    <row r="93" spans="1:16" ht="18" hidden="1" customHeight="1" x14ac:dyDescent="0.35">
      <c r="A93" s="1" t="s">
        <v>147</v>
      </c>
      <c r="B93" s="1"/>
      <c r="C93" s="45" t="s">
        <v>51</v>
      </c>
      <c r="D93" s="3"/>
      <c r="E93" s="3"/>
      <c r="F93" s="42" t="s">
        <v>52</v>
      </c>
      <c r="G93" s="43">
        <v>0.86</v>
      </c>
      <c r="H93" s="46"/>
      <c r="I93" s="47">
        <v>159.61600000000001</v>
      </c>
      <c r="J93" s="25">
        <v>63.72</v>
      </c>
      <c r="K93" s="9"/>
      <c r="L93" s="9"/>
      <c r="M93" s="23"/>
      <c r="N93" s="9"/>
      <c r="O93" s="9"/>
      <c r="P93" s="9"/>
    </row>
    <row r="94" spans="1:16" ht="18" hidden="1" customHeight="1" x14ac:dyDescent="0.35">
      <c r="A94" s="1" t="s">
        <v>148</v>
      </c>
      <c r="B94" s="1"/>
      <c r="C94" s="45" t="s">
        <v>54</v>
      </c>
      <c r="D94" s="3"/>
      <c r="E94" s="3"/>
      <c r="F94" s="42" t="s">
        <v>52</v>
      </c>
      <c r="G94" s="43">
        <v>2.1</v>
      </c>
      <c r="H94" s="46"/>
      <c r="I94" s="47">
        <v>389.76</v>
      </c>
      <c r="J94" s="25">
        <v>95.08</v>
      </c>
      <c r="K94" s="9"/>
      <c r="L94" s="9"/>
      <c r="M94" s="23"/>
      <c r="N94" s="9"/>
      <c r="O94" s="9"/>
      <c r="P94" s="9"/>
    </row>
    <row r="95" spans="1:16" ht="36.450000000000003" hidden="1" customHeight="1" x14ac:dyDescent="0.35">
      <c r="A95" s="1" t="s">
        <v>149</v>
      </c>
      <c r="B95" s="1"/>
      <c r="C95" s="41" t="s">
        <v>100</v>
      </c>
      <c r="D95" s="3"/>
      <c r="E95" s="3"/>
      <c r="F95" s="42" t="s">
        <v>49</v>
      </c>
      <c r="G95" s="43">
        <v>1</v>
      </c>
      <c r="H95" s="43"/>
      <c r="I95" s="44">
        <v>0</v>
      </c>
      <c r="J95" s="25">
        <v>111.16</v>
      </c>
      <c r="K95" s="9"/>
      <c r="L95" s="9"/>
      <c r="M95" s="23"/>
      <c r="N95" s="9"/>
      <c r="O95" s="9"/>
      <c r="P95" s="9"/>
    </row>
    <row r="96" spans="1:16" ht="252" hidden="1" customHeight="1" x14ac:dyDescent="0.35">
      <c r="A96" s="1" t="s">
        <v>150</v>
      </c>
      <c r="B96" s="1" t="s">
        <v>97</v>
      </c>
      <c r="C96" s="2" t="s">
        <v>98</v>
      </c>
      <c r="D96" s="3" t="s">
        <v>44</v>
      </c>
      <c r="E96" s="3" t="s">
        <v>770</v>
      </c>
      <c r="F96" s="3" t="s">
        <v>46</v>
      </c>
      <c r="G96" s="15">
        <v>1</v>
      </c>
      <c r="H96" s="15"/>
      <c r="I96" s="5">
        <v>0</v>
      </c>
      <c r="J96" s="8">
        <f>IFERROR(ROUND(SUM(M97,M98,M99,M100,M101)/I96, 2),0)</f>
        <v>0</v>
      </c>
      <c r="K96" s="24">
        <v>1225</v>
      </c>
      <c r="L96" s="8">
        <f>J96+ROUND(K96, 2)</f>
        <v>1225</v>
      </c>
      <c r="M96" s="8"/>
      <c r="N96" s="8"/>
      <c r="O96" s="8"/>
      <c r="P96" s="9"/>
    </row>
    <row r="97" spans="1:16" ht="72" hidden="1" customHeight="1" x14ac:dyDescent="0.35">
      <c r="A97" s="1" t="s">
        <v>151</v>
      </c>
      <c r="B97" s="1"/>
      <c r="C97" s="41" t="s">
        <v>100</v>
      </c>
      <c r="D97" s="3"/>
      <c r="E97" s="3"/>
      <c r="F97" s="42" t="s">
        <v>49</v>
      </c>
      <c r="G97" s="43">
        <v>1</v>
      </c>
      <c r="H97" s="43"/>
      <c r="I97" s="44">
        <v>0</v>
      </c>
      <c r="J97" s="25">
        <v>111.16</v>
      </c>
      <c r="K97" s="9"/>
      <c r="L97" s="9"/>
      <c r="M97" s="23"/>
      <c r="N97" s="9"/>
      <c r="O97" s="9"/>
      <c r="P97" s="9"/>
    </row>
    <row r="98" spans="1:16" ht="18" hidden="1" customHeight="1" x14ac:dyDescent="0.35">
      <c r="A98" s="1" t="s">
        <v>152</v>
      </c>
      <c r="B98" s="1"/>
      <c r="C98" s="45" t="s">
        <v>71</v>
      </c>
      <c r="D98" s="3"/>
      <c r="E98" s="3"/>
      <c r="F98" s="42" t="s">
        <v>52</v>
      </c>
      <c r="G98" s="43">
        <v>2.1</v>
      </c>
      <c r="H98" s="43"/>
      <c r="I98" s="44">
        <v>0</v>
      </c>
      <c r="J98" s="25">
        <v>64.56</v>
      </c>
      <c r="K98" s="9"/>
      <c r="L98" s="9"/>
      <c r="M98" s="23"/>
      <c r="N98" s="9"/>
      <c r="O98" s="9"/>
      <c r="P98" s="9"/>
    </row>
    <row r="99" spans="1:16" ht="18" hidden="1" customHeight="1" x14ac:dyDescent="0.35">
      <c r="A99" s="1" t="s">
        <v>153</v>
      </c>
      <c r="B99" s="1"/>
      <c r="C99" s="45" t="s">
        <v>73</v>
      </c>
      <c r="D99" s="3"/>
      <c r="E99" s="3"/>
      <c r="F99" s="42" t="s">
        <v>52</v>
      </c>
      <c r="G99" s="43">
        <v>0.8</v>
      </c>
      <c r="H99" s="43"/>
      <c r="I99" s="44">
        <v>0</v>
      </c>
      <c r="J99" s="25">
        <v>51.64</v>
      </c>
      <c r="K99" s="9"/>
      <c r="L99" s="9"/>
      <c r="M99" s="23"/>
      <c r="N99" s="9"/>
      <c r="O99" s="9"/>
      <c r="P99" s="9"/>
    </row>
    <row r="100" spans="1:16" ht="36" hidden="1" customHeight="1" x14ac:dyDescent="0.35">
      <c r="A100" s="1" t="s">
        <v>154</v>
      </c>
      <c r="B100" s="1"/>
      <c r="C100" s="45" t="s">
        <v>56</v>
      </c>
      <c r="D100" s="3"/>
      <c r="E100" s="3"/>
      <c r="F100" s="42" t="s">
        <v>57</v>
      </c>
      <c r="G100" s="43">
        <v>5.1999999999999998E-2</v>
      </c>
      <c r="H100" s="43"/>
      <c r="I100" s="44">
        <v>0</v>
      </c>
      <c r="J100" s="25">
        <v>4026.8</v>
      </c>
      <c r="K100" s="9"/>
      <c r="L100" s="9"/>
      <c r="M100" s="23"/>
      <c r="N100" s="9"/>
      <c r="O100" s="9"/>
      <c r="P100" s="9"/>
    </row>
    <row r="101" spans="1:16" ht="36" hidden="1" customHeight="1" x14ac:dyDescent="0.35">
      <c r="A101" s="1" t="s">
        <v>155</v>
      </c>
      <c r="B101" s="1"/>
      <c r="C101" s="45" t="s">
        <v>108</v>
      </c>
      <c r="D101" s="3"/>
      <c r="E101" s="3" t="s">
        <v>156</v>
      </c>
      <c r="F101" s="42" t="s">
        <v>46</v>
      </c>
      <c r="G101" s="43">
        <v>2.2000000000000002</v>
      </c>
      <c r="H101" s="43"/>
      <c r="I101" s="44">
        <v>0</v>
      </c>
      <c r="J101" s="25">
        <v>104.57</v>
      </c>
      <c r="K101" s="9"/>
      <c r="L101" s="9"/>
      <c r="M101" s="23"/>
      <c r="N101" s="9"/>
      <c r="O101" s="9"/>
      <c r="P101" s="9"/>
    </row>
    <row r="102" spans="1:16" ht="270" hidden="1" customHeight="1" x14ac:dyDescent="0.35">
      <c r="A102" s="1" t="s">
        <v>157</v>
      </c>
      <c r="B102" s="1" t="s">
        <v>97</v>
      </c>
      <c r="C102" s="2" t="s">
        <v>98</v>
      </c>
      <c r="D102" s="3" t="s">
        <v>44</v>
      </c>
      <c r="E102" s="3" t="s">
        <v>158</v>
      </c>
      <c r="F102" s="3" t="s">
        <v>46</v>
      </c>
      <c r="G102" s="15">
        <v>1</v>
      </c>
      <c r="H102" s="15"/>
      <c r="I102" s="5">
        <v>0</v>
      </c>
      <c r="J102" s="8">
        <f>IFERROR(ROUND(SUM(M103,M104,M105,M106,M107)/I102, 2),0)</f>
        <v>0</v>
      </c>
      <c r="K102" s="24">
        <v>1225</v>
      </c>
      <c r="L102" s="8">
        <f>J102+ROUND(K102, 2)</f>
        <v>1225</v>
      </c>
      <c r="M102" s="8"/>
      <c r="N102" s="8"/>
      <c r="O102" s="8"/>
      <c r="P102" s="9"/>
    </row>
    <row r="103" spans="1:16" ht="18" hidden="1" customHeight="1" x14ac:dyDescent="0.35">
      <c r="A103" s="1" t="s">
        <v>159</v>
      </c>
      <c r="B103" s="1"/>
      <c r="C103" s="45" t="s">
        <v>131</v>
      </c>
      <c r="D103" s="3"/>
      <c r="E103" s="3"/>
      <c r="F103" s="42" t="s">
        <v>46</v>
      </c>
      <c r="G103" s="43">
        <v>2.2000000000000002</v>
      </c>
      <c r="H103" s="43"/>
      <c r="I103" s="44">
        <v>0</v>
      </c>
      <c r="J103" s="25">
        <v>315.55</v>
      </c>
      <c r="K103" s="9"/>
      <c r="L103" s="9"/>
      <c r="M103" s="23"/>
      <c r="N103" s="9"/>
      <c r="O103" s="9"/>
      <c r="P103" s="9"/>
    </row>
    <row r="104" spans="1:16" ht="33" hidden="1" customHeight="1" x14ac:dyDescent="0.35">
      <c r="A104" s="1" t="s">
        <v>160</v>
      </c>
      <c r="B104" s="1"/>
      <c r="C104" s="45" t="s">
        <v>56</v>
      </c>
      <c r="D104" s="3"/>
      <c r="E104" s="3"/>
      <c r="F104" s="42" t="s">
        <v>57</v>
      </c>
      <c r="G104" s="43">
        <v>5.1999999999999998E-2</v>
      </c>
      <c r="H104" s="43"/>
      <c r="I104" s="44">
        <v>0</v>
      </c>
      <c r="J104" s="25">
        <v>4026.8</v>
      </c>
      <c r="K104" s="9"/>
      <c r="L104" s="9"/>
      <c r="M104" s="23"/>
      <c r="N104" s="9"/>
      <c r="O104" s="9"/>
      <c r="P104" s="9"/>
    </row>
    <row r="105" spans="1:16" ht="18" hidden="1" customHeight="1" x14ac:dyDescent="0.35">
      <c r="A105" s="1" t="s">
        <v>161</v>
      </c>
      <c r="B105" s="1"/>
      <c r="C105" s="45" t="s">
        <v>51</v>
      </c>
      <c r="D105" s="3"/>
      <c r="E105" s="3"/>
      <c r="F105" s="42" t="s">
        <v>52</v>
      </c>
      <c r="G105" s="43">
        <v>0.86</v>
      </c>
      <c r="H105" s="46"/>
      <c r="I105" s="47">
        <v>82.388000000000005</v>
      </c>
      <c r="J105" s="25">
        <v>63.72</v>
      </c>
      <c r="K105" s="9"/>
      <c r="L105" s="9"/>
      <c r="M105" s="23"/>
      <c r="N105" s="9"/>
      <c r="O105" s="9"/>
      <c r="P105" s="9"/>
    </row>
    <row r="106" spans="1:16" ht="18" hidden="1" customHeight="1" x14ac:dyDescent="0.35">
      <c r="A106" s="1" t="s">
        <v>162</v>
      </c>
      <c r="B106" s="1"/>
      <c r="C106" s="45" t="s">
        <v>54</v>
      </c>
      <c r="D106" s="3"/>
      <c r="E106" s="3"/>
      <c r="F106" s="42" t="s">
        <v>52</v>
      </c>
      <c r="G106" s="43">
        <v>2.1</v>
      </c>
      <c r="H106" s="46"/>
      <c r="I106" s="47">
        <v>201.18</v>
      </c>
      <c r="J106" s="25">
        <v>95.08</v>
      </c>
      <c r="K106" s="9"/>
      <c r="L106" s="9"/>
      <c r="M106" s="23"/>
      <c r="N106" s="9"/>
      <c r="O106" s="9"/>
      <c r="P106" s="9"/>
    </row>
    <row r="107" spans="1:16" ht="72" hidden="1" customHeight="1" x14ac:dyDescent="0.35">
      <c r="A107" s="1" t="s">
        <v>163</v>
      </c>
      <c r="B107" s="1"/>
      <c r="C107" s="41" t="s">
        <v>100</v>
      </c>
      <c r="D107" s="3"/>
      <c r="E107" s="3"/>
      <c r="F107" s="42" t="s">
        <v>49</v>
      </c>
      <c r="G107" s="43">
        <v>1</v>
      </c>
      <c r="H107" s="43"/>
      <c r="I107" s="44">
        <v>0</v>
      </c>
      <c r="J107" s="25">
        <v>111.16</v>
      </c>
      <c r="K107" s="9"/>
      <c r="L107" s="9"/>
      <c r="M107" s="23"/>
      <c r="N107" s="9"/>
      <c r="O107" s="9"/>
      <c r="P107" s="9"/>
    </row>
    <row r="108" spans="1:16" ht="16.95" hidden="1" customHeight="1" x14ac:dyDescent="0.35">
      <c r="A108" s="1" t="s">
        <v>164</v>
      </c>
      <c r="B108" s="1" t="s">
        <v>165</v>
      </c>
      <c r="C108" s="119" t="s">
        <v>166</v>
      </c>
      <c r="D108" s="120"/>
      <c r="E108" s="120"/>
      <c r="F108" s="120"/>
      <c r="G108" s="120"/>
      <c r="H108" s="120"/>
      <c r="I108" s="120"/>
      <c r="J108" s="9"/>
      <c r="K108" s="9"/>
      <c r="L108" s="9"/>
      <c r="M108" s="23"/>
      <c r="N108" s="23"/>
      <c r="O108" s="23"/>
      <c r="P108" s="9"/>
    </row>
    <row r="109" spans="1:16" ht="16.95" hidden="1" customHeight="1" x14ac:dyDescent="0.35">
      <c r="A109" s="1" t="s">
        <v>167</v>
      </c>
      <c r="B109" s="1" t="s">
        <v>168</v>
      </c>
      <c r="C109" s="119" t="s">
        <v>169</v>
      </c>
      <c r="D109" s="120"/>
      <c r="E109" s="120"/>
      <c r="F109" s="120"/>
      <c r="G109" s="120"/>
      <c r="H109" s="120"/>
      <c r="I109" s="120"/>
      <c r="J109" s="9"/>
      <c r="K109" s="9"/>
      <c r="L109" s="9"/>
      <c r="M109" s="23"/>
      <c r="N109" s="23"/>
      <c r="O109" s="23"/>
      <c r="P109" s="9"/>
    </row>
    <row r="110" spans="1:16" ht="16.95" hidden="1" customHeight="1" x14ac:dyDescent="0.35">
      <c r="A110" s="1" t="s">
        <v>170</v>
      </c>
      <c r="B110" s="1" t="s">
        <v>171</v>
      </c>
      <c r="C110" s="119" t="s">
        <v>172</v>
      </c>
      <c r="D110" s="120"/>
      <c r="E110" s="120"/>
      <c r="F110" s="120"/>
      <c r="G110" s="120"/>
      <c r="H110" s="120"/>
      <c r="I110" s="120"/>
      <c r="J110" s="9"/>
      <c r="K110" s="9"/>
      <c r="L110" s="9"/>
      <c r="M110" s="23"/>
      <c r="N110" s="23"/>
      <c r="O110" s="23"/>
      <c r="P110" s="9"/>
    </row>
    <row r="111" spans="1:16" ht="16.95" hidden="1" customHeight="1" x14ac:dyDescent="0.35">
      <c r="A111" s="1" t="s">
        <v>173</v>
      </c>
      <c r="B111" s="1" t="s">
        <v>174</v>
      </c>
      <c r="C111" s="119" t="s">
        <v>175</v>
      </c>
      <c r="D111" s="120"/>
      <c r="E111" s="120"/>
      <c r="F111" s="120"/>
      <c r="G111" s="120"/>
      <c r="H111" s="120"/>
      <c r="I111" s="120"/>
      <c r="J111" s="9"/>
      <c r="K111" s="9"/>
      <c r="L111" s="9"/>
      <c r="M111" s="23"/>
      <c r="N111" s="23"/>
      <c r="O111" s="23"/>
      <c r="P111" s="9"/>
    </row>
    <row r="112" spans="1:16" ht="16.95" hidden="1" customHeight="1" x14ac:dyDescent="0.35">
      <c r="A112" s="1" t="s">
        <v>176</v>
      </c>
      <c r="B112" s="1" t="s">
        <v>177</v>
      </c>
      <c r="C112" s="119" t="s">
        <v>178</v>
      </c>
      <c r="D112" s="120"/>
      <c r="E112" s="120"/>
      <c r="F112" s="120"/>
      <c r="G112" s="120"/>
      <c r="H112" s="120"/>
      <c r="I112" s="120"/>
      <c r="J112" s="9"/>
      <c r="K112" s="9"/>
      <c r="L112" s="9"/>
      <c r="M112" s="23"/>
      <c r="N112" s="23"/>
      <c r="O112" s="23"/>
      <c r="P112" s="9"/>
    </row>
    <row r="113" spans="1:16" ht="1.95" hidden="1" customHeight="1" x14ac:dyDescent="0.35">
      <c r="A113" s="1" t="s">
        <v>179</v>
      </c>
      <c r="B113" s="1" t="s">
        <v>180</v>
      </c>
      <c r="C113" s="2" t="s">
        <v>181</v>
      </c>
      <c r="D113" s="3"/>
      <c r="E113" s="3"/>
      <c r="F113" s="3" t="s">
        <v>46</v>
      </c>
      <c r="G113" s="15">
        <v>1</v>
      </c>
      <c r="H113" s="15"/>
      <c r="I113" s="5">
        <v>0</v>
      </c>
      <c r="J113" s="8">
        <v>51.44</v>
      </c>
      <c r="K113" s="24">
        <v>40</v>
      </c>
      <c r="L113" s="8">
        <f>J113+ROUND(K113, 2)</f>
        <v>91.44</v>
      </c>
      <c r="M113" s="8"/>
      <c r="N113" s="8"/>
      <c r="O113" s="8"/>
      <c r="P113" s="9"/>
    </row>
    <row r="114" spans="1:16" ht="18" hidden="1" customHeight="1" x14ac:dyDescent="0.35">
      <c r="A114" s="1" t="s">
        <v>182</v>
      </c>
      <c r="B114" s="1"/>
      <c r="C114" s="41" t="s">
        <v>183</v>
      </c>
      <c r="D114" s="3"/>
      <c r="E114" s="3"/>
      <c r="F114" s="42" t="s">
        <v>46</v>
      </c>
      <c r="G114" s="43">
        <v>1.1000000000000001</v>
      </c>
      <c r="H114" s="43"/>
      <c r="I114" s="44">
        <v>0</v>
      </c>
      <c r="J114" s="25">
        <v>46.76</v>
      </c>
      <c r="K114" s="9"/>
      <c r="L114" s="9"/>
      <c r="M114" s="23"/>
      <c r="N114" s="9"/>
      <c r="O114" s="9"/>
      <c r="P114" s="9"/>
    </row>
    <row r="115" spans="1:16" ht="36" hidden="1" customHeight="1" x14ac:dyDescent="0.35">
      <c r="A115" s="1" t="s">
        <v>184</v>
      </c>
      <c r="B115" s="1" t="s">
        <v>180</v>
      </c>
      <c r="C115" s="2" t="s">
        <v>181</v>
      </c>
      <c r="D115" s="3"/>
      <c r="E115" s="3" t="s">
        <v>185</v>
      </c>
      <c r="F115" s="3" t="s">
        <v>46</v>
      </c>
      <c r="G115" s="15">
        <v>1</v>
      </c>
      <c r="H115" s="15"/>
      <c r="I115" s="5">
        <v>0</v>
      </c>
      <c r="J115" s="8">
        <f>IFERROR(ROUND(SUM(M116)/I115, 2),0)</f>
        <v>0</v>
      </c>
      <c r="K115" s="24">
        <v>40</v>
      </c>
      <c r="L115" s="8">
        <f>J115+ROUND(K115, 2)</f>
        <v>40</v>
      </c>
      <c r="M115" s="8"/>
      <c r="N115" s="8"/>
      <c r="O115" s="8"/>
      <c r="P115" s="9"/>
    </row>
    <row r="116" spans="1:16" ht="18" hidden="1" customHeight="1" x14ac:dyDescent="0.35">
      <c r="A116" s="1" t="s">
        <v>186</v>
      </c>
      <c r="B116" s="1"/>
      <c r="C116" s="41" t="s">
        <v>183</v>
      </c>
      <c r="D116" s="3"/>
      <c r="E116" s="3"/>
      <c r="F116" s="42" t="s">
        <v>46</v>
      </c>
      <c r="G116" s="43">
        <v>1.1000000000000001</v>
      </c>
      <c r="H116" s="43"/>
      <c r="I116" s="44">
        <v>0</v>
      </c>
      <c r="J116" s="25">
        <v>46.76</v>
      </c>
      <c r="K116" s="9"/>
      <c r="L116" s="9"/>
      <c r="M116" s="23"/>
      <c r="N116" s="9"/>
      <c r="O116" s="9"/>
      <c r="P116" s="9"/>
    </row>
    <row r="117" spans="1:16" ht="36" hidden="1" customHeight="1" x14ac:dyDescent="0.35">
      <c r="A117" s="1" t="s">
        <v>187</v>
      </c>
      <c r="B117" s="1" t="s">
        <v>188</v>
      </c>
      <c r="C117" s="2" t="s">
        <v>189</v>
      </c>
      <c r="D117" s="3"/>
      <c r="E117" s="3"/>
      <c r="F117" s="3" t="s">
        <v>46</v>
      </c>
      <c r="G117" s="15">
        <v>1</v>
      </c>
      <c r="H117" s="15"/>
      <c r="I117" s="5">
        <v>0</v>
      </c>
      <c r="J117" s="8">
        <v>585.11</v>
      </c>
      <c r="K117" s="24">
        <v>868</v>
      </c>
      <c r="L117" s="8">
        <f>J117+ROUND(K117, 2)</f>
        <v>1453.1100000000001</v>
      </c>
      <c r="M117" s="8"/>
      <c r="N117" s="8"/>
      <c r="O117" s="8"/>
      <c r="P117" s="9"/>
    </row>
    <row r="118" spans="1:16" ht="18" hidden="1" customHeight="1" x14ac:dyDescent="0.35">
      <c r="A118" s="1" t="s">
        <v>190</v>
      </c>
      <c r="B118" s="1"/>
      <c r="C118" s="41" t="s">
        <v>191</v>
      </c>
      <c r="D118" s="3"/>
      <c r="E118" s="3"/>
      <c r="F118" s="42" t="s">
        <v>192</v>
      </c>
      <c r="G118" s="43">
        <v>8</v>
      </c>
      <c r="H118" s="46"/>
      <c r="I118" s="47">
        <v>0</v>
      </c>
      <c r="J118" s="25">
        <v>2.5</v>
      </c>
      <c r="K118" s="9"/>
      <c r="L118" s="9"/>
      <c r="M118" s="23"/>
      <c r="N118" s="9"/>
      <c r="O118" s="9"/>
      <c r="P118" s="9"/>
    </row>
    <row r="119" spans="1:16" ht="18" hidden="1" customHeight="1" x14ac:dyDescent="0.35">
      <c r="A119" s="1" t="s">
        <v>193</v>
      </c>
      <c r="B119" s="1"/>
      <c r="C119" s="41" t="s">
        <v>194</v>
      </c>
      <c r="D119" s="3"/>
      <c r="E119" s="3"/>
      <c r="F119" s="42" t="s">
        <v>195</v>
      </c>
      <c r="G119" s="43">
        <v>1.8</v>
      </c>
      <c r="H119" s="46"/>
      <c r="I119" s="47">
        <v>0</v>
      </c>
      <c r="J119" s="25">
        <v>6.17</v>
      </c>
      <c r="K119" s="9"/>
      <c r="L119" s="9"/>
      <c r="M119" s="23"/>
      <c r="N119" s="9"/>
      <c r="O119" s="9"/>
      <c r="P119" s="9"/>
    </row>
    <row r="120" spans="1:16" ht="18" hidden="1" customHeight="1" x14ac:dyDescent="0.35">
      <c r="A120" s="1" t="s">
        <v>196</v>
      </c>
      <c r="B120" s="1"/>
      <c r="C120" s="41" t="s">
        <v>197</v>
      </c>
      <c r="D120" s="3"/>
      <c r="E120" s="3"/>
      <c r="F120" s="42" t="s">
        <v>46</v>
      </c>
      <c r="G120" s="43">
        <v>1.1000000000000001</v>
      </c>
      <c r="H120" s="46"/>
      <c r="I120" s="47">
        <v>0</v>
      </c>
      <c r="J120" s="25">
        <v>101.94</v>
      </c>
      <c r="K120" s="9"/>
      <c r="L120" s="9"/>
      <c r="M120" s="23"/>
      <c r="N120" s="9"/>
      <c r="O120" s="9"/>
      <c r="P120" s="9"/>
    </row>
    <row r="121" spans="1:16" ht="18" hidden="1" customHeight="1" x14ac:dyDescent="0.35">
      <c r="A121" s="1" t="s">
        <v>198</v>
      </c>
      <c r="B121" s="1"/>
      <c r="C121" s="41" t="s">
        <v>199</v>
      </c>
      <c r="D121" s="3"/>
      <c r="E121" s="3"/>
      <c r="F121" s="42" t="s">
        <v>52</v>
      </c>
      <c r="G121" s="43">
        <v>1</v>
      </c>
      <c r="H121" s="46"/>
      <c r="I121" s="47">
        <v>0</v>
      </c>
      <c r="J121" s="25">
        <v>10.4</v>
      </c>
      <c r="K121" s="9"/>
      <c r="L121" s="9"/>
      <c r="M121" s="23"/>
      <c r="N121" s="9"/>
      <c r="O121" s="9"/>
      <c r="P121" s="9"/>
    </row>
    <row r="122" spans="1:16" ht="36" hidden="1" customHeight="1" x14ac:dyDescent="0.35">
      <c r="A122" s="1" t="s">
        <v>200</v>
      </c>
      <c r="B122" s="1" t="s">
        <v>188</v>
      </c>
      <c r="C122" s="2" t="s">
        <v>189</v>
      </c>
      <c r="D122" s="3"/>
      <c r="E122" s="3" t="s">
        <v>771</v>
      </c>
      <c r="F122" s="3" t="s">
        <v>46</v>
      </c>
      <c r="G122" s="15">
        <v>1</v>
      </c>
      <c r="H122" s="15"/>
      <c r="I122" s="5">
        <v>0</v>
      </c>
      <c r="J122" s="8">
        <f>IFERROR(ROUND(SUM(M123,M124,M125,M126)/I122, 2),0)</f>
        <v>0</v>
      </c>
      <c r="K122" s="24">
        <v>868</v>
      </c>
      <c r="L122" s="8">
        <f>J122+ROUND(K122, 2)</f>
        <v>868</v>
      </c>
      <c r="M122" s="8"/>
      <c r="N122" s="8"/>
      <c r="O122" s="8"/>
      <c r="P122" s="9"/>
    </row>
    <row r="123" spans="1:16" ht="18" hidden="1" customHeight="1" x14ac:dyDescent="0.35">
      <c r="A123" s="1" t="s">
        <v>201</v>
      </c>
      <c r="B123" s="1"/>
      <c r="C123" s="41" t="s">
        <v>199</v>
      </c>
      <c r="D123" s="3"/>
      <c r="E123" s="3"/>
      <c r="F123" s="42" t="s">
        <v>52</v>
      </c>
      <c r="G123" s="43">
        <v>1</v>
      </c>
      <c r="H123" s="46"/>
      <c r="I123" s="47">
        <v>6544</v>
      </c>
      <c r="J123" s="25">
        <v>10.4</v>
      </c>
      <c r="K123" s="9"/>
      <c r="L123" s="9"/>
      <c r="M123" s="23"/>
      <c r="N123" s="9"/>
      <c r="O123" s="9"/>
      <c r="P123" s="9"/>
    </row>
    <row r="124" spans="1:16" ht="18" hidden="1" customHeight="1" x14ac:dyDescent="0.35">
      <c r="A124" s="1" t="s">
        <v>202</v>
      </c>
      <c r="B124" s="1"/>
      <c r="C124" s="41" t="s">
        <v>197</v>
      </c>
      <c r="D124" s="3"/>
      <c r="E124" s="3"/>
      <c r="F124" s="42" t="s">
        <v>46</v>
      </c>
      <c r="G124" s="43">
        <v>1.1000000000000001</v>
      </c>
      <c r="H124" s="46"/>
      <c r="I124" s="47">
        <v>8567.68</v>
      </c>
      <c r="J124" s="25">
        <v>101.94</v>
      </c>
      <c r="K124" s="9"/>
      <c r="L124" s="9"/>
      <c r="M124" s="23"/>
      <c r="N124" s="9"/>
      <c r="O124" s="9"/>
      <c r="P124" s="9"/>
    </row>
    <row r="125" spans="1:16" ht="18" hidden="1" customHeight="1" x14ac:dyDescent="0.35">
      <c r="A125" s="1" t="s">
        <v>203</v>
      </c>
      <c r="B125" s="1"/>
      <c r="C125" s="41" t="s">
        <v>194</v>
      </c>
      <c r="D125" s="3"/>
      <c r="E125" s="3"/>
      <c r="F125" s="42" t="s">
        <v>195</v>
      </c>
      <c r="G125" s="43">
        <v>1.8</v>
      </c>
      <c r="H125" s="46"/>
      <c r="I125" s="47">
        <v>14019.84</v>
      </c>
      <c r="J125" s="25">
        <v>6.17</v>
      </c>
      <c r="K125" s="9"/>
      <c r="L125" s="9"/>
      <c r="M125" s="23"/>
      <c r="N125" s="9"/>
      <c r="O125" s="9"/>
      <c r="P125" s="9"/>
    </row>
    <row r="126" spans="1:16" ht="16.95" hidden="1" customHeight="1" x14ac:dyDescent="0.35">
      <c r="A126" s="1" t="s">
        <v>204</v>
      </c>
      <c r="B126" s="1"/>
      <c r="C126" s="41" t="s">
        <v>191</v>
      </c>
      <c r="D126" s="3"/>
      <c r="E126" s="3"/>
      <c r="F126" s="42" t="s">
        <v>192</v>
      </c>
      <c r="G126" s="43">
        <v>8</v>
      </c>
      <c r="H126" s="46"/>
      <c r="I126" s="47">
        <v>62310.400000000001</v>
      </c>
      <c r="J126" s="25">
        <v>2.5</v>
      </c>
      <c r="K126" s="9"/>
      <c r="L126" s="9"/>
      <c r="M126" s="23"/>
      <c r="N126" s="9"/>
      <c r="O126" s="9"/>
      <c r="P126" s="9"/>
    </row>
    <row r="127" spans="1:16" ht="36" hidden="1" customHeight="1" x14ac:dyDescent="0.35">
      <c r="A127" s="1" t="s">
        <v>205</v>
      </c>
      <c r="B127" s="1" t="s">
        <v>206</v>
      </c>
      <c r="C127" s="2" t="s">
        <v>207</v>
      </c>
      <c r="D127" s="3"/>
      <c r="E127" s="3"/>
      <c r="F127" s="3" t="s">
        <v>46</v>
      </c>
      <c r="G127" s="15">
        <v>1</v>
      </c>
      <c r="H127" s="15"/>
      <c r="I127" s="5">
        <v>0</v>
      </c>
      <c r="J127" s="8">
        <v>177.17</v>
      </c>
      <c r="K127" s="24">
        <v>557</v>
      </c>
      <c r="L127" s="8">
        <f>J127+ROUND(K127, 2)</f>
        <v>734.17</v>
      </c>
      <c r="M127" s="8"/>
      <c r="N127" s="8"/>
      <c r="O127" s="8"/>
      <c r="P127" s="9"/>
    </row>
    <row r="128" spans="1:16" ht="18" hidden="1" customHeight="1" x14ac:dyDescent="0.35">
      <c r="A128" s="1" t="s">
        <v>208</v>
      </c>
      <c r="B128" s="1"/>
      <c r="C128" s="41" t="s">
        <v>199</v>
      </c>
      <c r="D128" s="3"/>
      <c r="E128" s="3"/>
      <c r="F128" s="42" t="s">
        <v>52</v>
      </c>
      <c r="G128" s="43">
        <v>1</v>
      </c>
      <c r="H128" s="46"/>
      <c r="I128" s="47">
        <v>0</v>
      </c>
      <c r="J128" s="25">
        <v>10.4</v>
      </c>
      <c r="K128" s="9"/>
      <c r="L128" s="9"/>
      <c r="M128" s="23"/>
      <c r="N128" s="9"/>
      <c r="O128" s="9"/>
      <c r="P128" s="9"/>
    </row>
    <row r="129" spans="1:16" ht="36" hidden="1" customHeight="1" x14ac:dyDescent="0.35">
      <c r="A129" s="1" t="s">
        <v>209</v>
      </c>
      <c r="B129" s="1"/>
      <c r="C129" s="41" t="s">
        <v>210</v>
      </c>
      <c r="D129" s="3"/>
      <c r="E129" s="3"/>
      <c r="F129" s="42" t="s">
        <v>195</v>
      </c>
      <c r="G129" s="43">
        <v>0.255</v>
      </c>
      <c r="H129" s="43"/>
      <c r="I129" s="44">
        <v>0</v>
      </c>
      <c r="J129" s="25">
        <v>88.8</v>
      </c>
      <c r="K129" s="9"/>
      <c r="L129" s="9"/>
      <c r="M129" s="23"/>
      <c r="N129" s="9"/>
      <c r="O129" s="9"/>
      <c r="P129" s="9"/>
    </row>
    <row r="130" spans="1:16" ht="36" hidden="1" customHeight="1" x14ac:dyDescent="0.35">
      <c r="A130" s="1" t="s">
        <v>211</v>
      </c>
      <c r="B130" s="1"/>
      <c r="C130" s="45" t="s">
        <v>212</v>
      </c>
      <c r="D130" s="3"/>
      <c r="E130" s="3"/>
      <c r="F130" s="42" t="s">
        <v>195</v>
      </c>
      <c r="G130" s="43">
        <v>1.6</v>
      </c>
      <c r="H130" s="46"/>
      <c r="I130" s="47">
        <v>0</v>
      </c>
      <c r="J130" s="25">
        <v>9.5500000000000007</v>
      </c>
      <c r="K130" s="9"/>
      <c r="L130" s="9"/>
      <c r="M130" s="23"/>
      <c r="N130" s="9"/>
      <c r="O130" s="9"/>
      <c r="P130" s="9"/>
    </row>
    <row r="131" spans="1:16" ht="54" hidden="1" customHeight="1" x14ac:dyDescent="0.35">
      <c r="A131" s="1" t="s">
        <v>213</v>
      </c>
      <c r="B131" s="1" t="s">
        <v>206</v>
      </c>
      <c r="C131" s="2" t="s">
        <v>207</v>
      </c>
      <c r="D131" s="3"/>
      <c r="E131" s="3" t="s">
        <v>772</v>
      </c>
      <c r="F131" s="3" t="s">
        <v>46</v>
      </c>
      <c r="G131" s="15">
        <v>1</v>
      </c>
      <c r="H131" s="15"/>
      <c r="I131" s="5">
        <v>0</v>
      </c>
      <c r="J131" s="8">
        <f>IFERROR(ROUND(SUM(M132,M133,M134)/I131, 2),0)</f>
        <v>0</v>
      </c>
      <c r="K131" s="24">
        <v>557</v>
      </c>
      <c r="L131" s="8">
        <f>J131+ROUND(K131, 2)</f>
        <v>557</v>
      </c>
      <c r="M131" s="8"/>
      <c r="N131" s="8"/>
      <c r="O131" s="8"/>
      <c r="P131" s="9"/>
    </row>
    <row r="132" spans="1:16" ht="36" hidden="1" customHeight="1" x14ac:dyDescent="0.35">
      <c r="A132" s="1" t="s">
        <v>214</v>
      </c>
      <c r="B132" s="1"/>
      <c r="C132" s="45" t="s">
        <v>212</v>
      </c>
      <c r="D132" s="3"/>
      <c r="E132" s="3"/>
      <c r="F132" s="42" t="s">
        <v>195</v>
      </c>
      <c r="G132" s="43">
        <v>1.6</v>
      </c>
      <c r="H132" s="46"/>
      <c r="I132" s="47">
        <v>9339.2000000000007</v>
      </c>
      <c r="J132" s="25">
        <v>9.07</v>
      </c>
      <c r="K132" s="9"/>
      <c r="L132" s="9"/>
      <c r="M132" s="23"/>
      <c r="N132" s="9"/>
      <c r="O132" s="9"/>
      <c r="P132" s="9"/>
    </row>
    <row r="133" spans="1:16" ht="36" hidden="1" customHeight="1" x14ac:dyDescent="0.35">
      <c r="A133" s="1" t="s">
        <v>215</v>
      </c>
      <c r="B133" s="1"/>
      <c r="C133" s="41" t="s">
        <v>210</v>
      </c>
      <c r="D133" s="3"/>
      <c r="E133" s="3"/>
      <c r="F133" s="42" t="s">
        <v>195</v>
      </c>
      <c r="G133" s="43">
        <v>0.255</v>
      </c>
      <c r="H133" s="43"/>
      <c r="I133" s="44">
        <v>0</v>
      </c>
      <c r="J133" s="25">
        <v>88.8</v>
      </c>
      <c r="K133" s="9"/>
      <c r="L133" s="9"/>
      <c r="M133" s="23"/>
      <c r="N133" s="9"/>
      <c r="O133" s="9"/>
      <c r="P133" s="9"/>
    </row>
    <row r="134" spans="1:16" ht="18" hidden="1" customHeight="1" x14ac:dyDescent="0.35">
      <c r="A134" s="1" t="s">
        <v>216</v>
      </c>
      <c r="B134" s="1"/>
      <c r="C134" s="41" t="s">
        <v>199</v>
      </c>
      <c r="D134" s="3"/>
      <c r="E134" s="3"/>
      <c r="F134" s="42" t="s">
        <v>52</v>
      </c>
      <c r="G134" s="43">
        <v>1</v>
      </c>
      <c r="H134" s="46"/>
      <c r="I134" s="47">
        <v>96.64</v>
      </c>
      <c r="J134" s="25">
        <v>10.4</v>
      </c>
      <c r="K134" s="9"/>
      <c r="L134" s="9"/>
      <c r="M134" s="23"/>
      <c r="N134" s="9"/>
      <c r="O134" s="9"/>
      <c r="P134" s="9"/>
    </row>
    <row r="135" spans="1:16" ht="16.95" hidden="1" customHeight="1" x14ac:dyDescent="0.35">
      <c r="A135" s="1" t="s">
        <v>217</v>
      </c>
      <c r="B135" s="1" t="s">
        <v>218</v>
      </c>
      <c r="C135" s="119" t="s">
        <v>219</v>
      </c>
      <c r="D135" s="120"/>
      <c r="E135" s="120"/>
      <c r="F135" s="120"/>
      <c r="G135" s="120"/>
      <c r="H135" s="120"/>
      <c r="I135" s="120"/>
      <c r="J135" s="9"/>
      <c r="K135" s="9"/>
      <c r="L135" s="9"/>
      <c r="M135" s="23"/>
      <c r="N135" s="23"/>
      <c r="O135" s="23"/>
      <c r="P135" s="9"/>
    </row>
    <row r="136" spans="1:16" ht="37.950000000000003" hidden="1" customHeight="1" x14ac:dyDescent="0.35">
      <c r="A136" s="1" t="s">
        <v>220</v>
      </c>
      <c r="B136" s="1" t="s">
        <v>221</v>
      </c>
      <c r="C136" s="2" t="s">
        <v>222</v>
      </c>
      <c r="D136" s="3"/>
      <c r="E136" s="3"/>
      <c r="F136" s="3" t="s">
        <v>46</v>
      </c>
      <c r="G136" s="15">
        <v>1</v>
      </c>
      <c r="H136" s="15"/>
      <c r="I136" s="5">
        <v>0</v>
      </c>
      <c r="J136" s="8">
        <v>997.82</v>
      </c>
      <c r="K136" s="24">
        <v>162</v>
      </c>
      <c r="L136" s="8">
        <f>J136+ROUND(K136, 2)</f>
        <v>1159.8200000000002</v>
      </c>
      <c r="M136" s="8"/>
      <c r="N136" s="8"/>
      <c r="O136" s="8"/>
      <c r="P136" s="9"/>
    </row>
    <row r="137" spans="1:16" ht="36" hidden="1" customHeight="1" x14ac:dyDescent="0.35">
      <c r="A137" s="1" t="s">
        <v>223</v>
      </c>
      <c r="B137" s="1"/>
      <c r="C137" s="41" t="s">
        <v>224</v>
      </c>
      <c r="D137" s="3"/>
      <c r="E137" s="3"/>
      <c r="F137" s="42" t="s">
        <v>195</v>
      </c>
      <c r="G137" s="43">
        <v>1</v>
      </c>
      <c r="H137" s="43"/>
      <c r="I137" s="44">
        <v>0</v>
      </c>
      <c r="J137" s="25">
        <v>997.82</v>
      </c>
      <c r="K137" s="9"/>
      <c r="L137" s="9"/>
      <c r="M137" s="23"/>
      <c r="N137" s="9"/>
      <c r="O137" s="9"/>
      <c r="P137" s="9"/>
    </row>
    <row r="138" spans="1:16" ht="54" hidden="1" customHeight="1" x14ac:dyDescent="0.35">
      <c r="A138" s="1" t="s">
        <v>225</v>
      </c>
      <c r="B138" s="1" t="s">
        <v>221</v>
      </c>
      <c r="C138" s="2" t="s">
        <v>222</v>
      </c>
      <c r="D138" s="3"/>
      <c r="E138" s="3" t="s">
        <v>773</v>
      </c>
      <c r="F138" s="3" t="s">
        <v>46</v>
      </c>
      <c r="G138" s="15">
        <v>1</v>
      </c>
      <c r="H138" s="15"/>
      <c r="I138" s="5">
        <v>0</v>
      </c>
      <c r="J138" s="8">
        <f>IFERROR(ROUND(SUM(M139)/I138, 2),0)</f>
        <v>0</v>
      </c>
      <c r="K138" s="24">
        <v>162</v>
      </c>
      <c r="L138" s="8">
        <f>J138+ROUND(K138, 2)</f>
        <v>162</v>
      </c>
      <c r="M138" s="8"/>
      <c r="N138" s="8"/>
      <c r="O138" s="8"/>
      <c r="P138" s="9"/>
    </row>
    <row r="139" spans="1:16" ht="36" hidden="1" customHeight="1" x14ac:dyDescent="0.35">
      <c r="A139" s="1" t="s">
        <v>226</v>
      </c>
      <c r="B139" s="1"/>
      <c r="C139" s="41" t="s">
        <v>224</v>
      </c>
      <c r="D139" s="3"/>
      <c r="E139" s="3"/>
      <c r="F139" s="42" t="s">
        <v>195</v>
      </c>
      <c r="G139" s="43">
        <v>1</v>
      </c>
      <c r="H139" s="43"/>
      <c r="I139" s="44">
        <v>0</v>
      </c>
      <c r="J139" s="25">
        <v>997.81</v>
      </c>
      <c r="K139" s="9"/>
      <c r="L139" s="9"/>
      <c r="M139" s="23"/>
      <c r="N139" s="9"/>
      <c r="O139" s="9"/>
      <c r="P139" s="9"/>
    </row>
    <row r="140" spans="1:16" ht="54" hidden="1" customHeight="1" x14ac:dyDescent="0.35">
      <c r="A140" s="1" t="s">
        <v>227</v>
      </c>
      <c r="B140" s="1" t="s">
        <v>228</v>
      </c>
      <c r="C140" s="2" t="s">
        <v>229</v>
      </c>
      <c r="D140" s="3"/>
      <c r="E140" s="3"/>
      <c r="F140" s="3" t="s">
        <v>46</v>
      </c>
      <c r="G140" s="15">
        <v>1</v>
      </c>
      <c r="H140" s="15"/>
      <c r="I140" s="5">
        <v>0</v>
      </c>
      <c r="J140" s="8">
        <v>420.76</v>
      </c>
      <c r="K140" s="24">
        <v>324</v>
      </c>
      <c r="L140" s="8">
        <f>J140+ROUND(K140, 2)</f>
        <v>744.76</v>
      </c>
      <c r="M140" s="8"/>
      <c r="N140" s="8"/>
      <c r="O140" s="8"/>
      <c r="P140" s="9"/>
    </row>
    <row r="141" spans="1:16" ht="18" hidden="1" customHeight="1" x14ac:dyDescent="0.35">
      <c r="A141" s="1" t="s">
        <v>230</v>
      </c>
      <c r="B141" s="1"/>
      <c r="C141" s="41" t="s">
        <v>231</v>
      </c>
      <c r="D141" s="3"/>
      <c r="E141" s="3"/>
      <c r="F141" s="42" t="s">
        <v>195</v>
      </c>
      <c r="G141" s="43">
        <v>4.3</v>
      </c>
      <c r="H141" s="43"/>
      <c r="I141" s="44">
        <v>0</v>
      </c>
      <c r="J141" s="25">
        <v>97.85</v>
      </c>
      <c r="K141" s="9"/>
      <c r="L141" s="9"/>
      <c r="M141" s="23"/>
      <c r="N141" s="9"/>
      <c r="O141" s="9"/>
      <c r="P141" s="9"/>
    </row>
    <row r="142" spans="1:16" ht="54" hidden="1" customHeight="1" x14ac:dyDescent="0.35">
      <c r="A142" s="1" t="s">
        <v>232</v>
      </c>
      <c r="B142" s="1" t="s">
        <v>228</v>
      </c>
      <c r="C142" s="2" t="s">
        <v>229</v>
      </c>
      <c r="D142" s="3"/>
      <c r="E142" s="3" t="s">
        <v>774</v>
      </c>
      <c r="F142" s="3" t="s">
        <v>46</v>
      </c>
      <c r="G142" s="15">
        <v>1</v>
      </c>
      <c r="H142" s="15"/>
      <c r="I142" s="5">
        <v>0</v>
      </c>
      <c r="J142" s="8">
        <f>IFERROR(ROUND(SUM(M143)/I142, 2),0)</f>
        <v>0</v>
      </c>
      <c r="K142" s="24">
        <v>324</v>
      </c>
      <c r="L142" s="8">
        <f>J142+ROUND(K142, 2)</f>
        <v>324</v>
      </c>
      <c r="M142" s="8"/>
      <c r="N142" s="8"/>
      <c r="O142" s="8"/>
      <c r="P142" s="9"/>
    </row>
    <row r="143" spans="1:16" ht="18" hidden="1" customHeight="1" x14ac:dyDescent="0.35">
      <c r="A143" s="1" t="s">
        <v>233</v>
      </c>
      <c r="B143" s="1"/>
      <c r="C143" s="41" t="s">
        <v>231</v>
      </c>
      <c r="D143" s="3"/>
      <c r="E143" s="3"/>
      <c r="F143" s="42" t="s">
        <v>195</v>
      </c>
      <c r="G143" s="43">
        <v>4.3</v>
      </c>
      <c r="H143" s="43"/>
      <c r="I143" s="44">
        <v>0</v>
      </c>
      <c r="J143" s="25">
        <v>97.85</v>
      </c>
      <c r="K143" s="9"/>
      <c r="L143" s="9"/>
      <c r="M143" s="23"/>
      <c r="N143" s="9"/>
      <c r="O143" s="9"/>
      <c r="P143" s="9"/>
    </row>
    <row r="144" spans="1:16" ht="30" hidden="1" customHeight="1" x14ac:dyDescent="0.35">
      <c r="A144" s="1" t="s">
        <v>234</v>
      </c>
      <c r="B144" s="1" t="s">
        <v>235</v>
      </c>
      <c r="C144" s="2" t="s">
        <v>236</v>
      </c>
      <c r="D144" s="3"/>
      <c r="E144" s="3"/>
      <c r="F144" s="3" t="s">
        <v>46</v>
      </c>
      <c r="G144" s="15">
        <v>1</v>
      </c>
      <c r="H144" s="15"/>
      <c r="I144" s="5">
        <v>0</v>
      </c>
      <c r="J144" s="8">
        <v>291.5</v>
      </c>
      <c r="K144" s="24">
        <v>580</v>
      </c>
      <c r="L144" s="8">
        <f>J144+ROUND(K144, 2)</f>
        <v>871.5</v>
      </c>
      <c r="M144" s="8"/>
      <c r="N144" s="8"/>
      <c r="O144" s="8"/>
      <c r="P144" s="9"/>
    </row>
    <row r="145" spans="1:16" ht="18" hidden="1" customHeight="1" x14ac:dyDescent="0.35">
      <c r="A145" s="1" t="s">
        <v>237</v>
      </c>
      <c r="B145" s="1"/>
      <c r="C145" s="45" t="s">
        <v>238</v>
      </c>
      <c r="D145" s="3"/>
      <c r="E145" s="3"/>
      <c r="F145" s="42" t="s">
        <v>46</v>
      </c>
      <c r="G145" s="43">
        <v>1.1000000000000001</v>
      </c>
      <c r="H145" s="46"/>
      <c r="I145" s="47">
        <v>0</v>
      </c>
      <c r="J145" s="25">
        <v>265</v>
      </c>
      <c r="K145" s="9"/>
      <c r="L145" s="9"/>
      <c r="M145" s="23"/>
      <c r="N145" s="9"/>
      <c r="O145" s="9"/>
      <c r="P145" s="9"/>
    </row>
    <row r="146" spans="1:16" ht="54" hidden="1" customHeight="1" x14ac:dyDescent="0.35">
      <c r="A146" s="1" t="s">
        <v>239</v>
      </c>
      <c r="B146" s="1" t="s">
        <v>235</v>
      </c>
      <c r="C146" s="2" t="s">
        <v>236</v>
      </c>
      <c r="D146" s="3"/>
      <c r="E146" s="3" t="s">
        <v>775</v>
      </c>
      <c r="F146" s="3" t="s">
        <v>46</v>
      </c>
      <c r="G146" s="15">
        <v>1</v>
      </c>
      <c r="H146" s="15"/>
      <c r="I146" s="5">
        <v>0</v>
      </c>
      <c r="J146" s="8">
        <f>IFERROR(ROUND(SUM(M147)/I146, 2),0)</f>
        <v>0</v>
      </c>
      <c r="K146" s="24">
        <v>580</v>
      </c>
      <c r="L146" s="8">
        <f>J146+ROUND(K146, 2)</f>
        <v>580</v>
      </c>
      <c r="M146" s="8"/>
      <c r="N146" s="8"/>
      <c r="O146" s="8"/>
      <c r="P146" s="9"/>
    </row>
    <row r="147" spans="1:16" ht="18" hidden="1" customHeight="1" x14ac:dyDescent="0.35">
      <c r="A147" s="1" t="s">
        <v>240</v>
      </c>
      <c r="B147" s="1"/>
      <c r="C147" s="45" t="s">
        <v>238</v>
      </c>
      <c r="D147" s="3"/>
      <c r="E147" s="3"/>
      <c r="F147" s="42" t="s">
        <v>46</v>
      </c>
      <c r="G147" s="43">
        <v>1.1000000000000001</v>
      </c>
      <c r="H147" s="46"/>
      <c r="I147" s="47">
        <v>1573.44</v>
      </c>
      <c r="J147" s="25">
        <v>251.75</v>
      </c>
      <c r="K147" s="9"/>
      <c r="L147" s="9"/>
      <c r="M147" s="23"/>
      <c r="N147" s="9"/>
      <c r="O147" s="9"/>
      <c r="P147" s="9"/>
    </row>
    <row r="148" spans="1:16" ht="36" hidden="1" customHeight="1" x14ac:dyDescent="0.35">
      <c r="A148" s="1" t="s">
        <v>241</v>
      </c>
      <c r="B148" s="1" t="s">
        <v>242</v>
      </c>
      <c r="C148" s="2" t="s">
        <v>243</v>
      </c>
      <c r="D148" s="3"/>
      <c r="E148" s="3"/>
      <c r="F148" s="3" t="s">
        <v>46</v>
      </c>
      <c r="G148" s="15">
        <v>1</v>
      </c>
      <c r="H148" s="15"/>
      <c r="I148" s="5">
        <v>0</v>
      </c>
      <c r="J148" s="8">
        <v>681.45</v>
      </c>
      <c r="K148" s="24">
        <v>868</v>
      </c>
      <c r="L148" s="8">
        <f>J148+ROUND(K148, 2)</f>
        <v>1549.45</v>
      </c>
      <c r="M148" s="8"/>
      <c r="N148" s="8"/>
      <c r="O148" s="8"/>
      <c r="P148" s="9"/>
    </row>
    <row r="149" spans="1:16" ht="18" hidden="1" customHeight="1" x14ac:dyDescent="0.35">
      <c r="A149" s="1" t="s">
        <v>244</v>
      </c>
      <c r="B149" s="1"/>
      <c r="C149" s="45" t="s">
        <v>245</v>
      </c>
      <c r="D149" s="3"/>
      <c r="E149" s="3"/>
      <c r="F149" s="42" t="s">
        <v>46</v>
      </c>
      <c r="G149" s="43">
        <v>2.1</v>
      </c>
      <c r="H149" s="46"/>
      <c r="I149" s="47">
        <v>0</v>
      </c>
      <c r="J149" s="25">
        <v>324.5</v>
      </c>
      <c r="K149" s="9"/>
      <c r="L149" s="9"/>
      <c r="M149" s="23"/>
      <c r="N149" s="9"/>
      <c r="O149" s="9"/>
      <c r="P149" s="9"/>
    </row>
    <row r="150" spans="1:16" ht="36" hidden="1" customHeight="1" x14ac:dyDescent="0.35">
      <c r="A150" s="1" t="s">
        <v>246</v>
      </c>
      <c r="B150" s="1" t="s">
        <v>242</v>
      </c>
      <c r="C150" s="2" t="s">
        <v>243</v>
      </c>
      <c r="D150" s="3"/>
      <c r="E150" s="3" t="s">
        <v>776</v>
      </c>
      <c r="F150" s="3" t="s">
        <v>46</v>
      </c>
      <c r="G150" s="15">
        <v>1</v>
      </c>
      <c r="H150" s="15"/>
      <c r="I150" s="5">
        <v>0</v>
      </c>
      <c r="J150" s="8">
        <f>IFERROR(ROUND(SUM(M151)/I150, 2),0)</f>
        <v>0</v>
      </c>
      <c r="K150" s="24">
        <v>868</v>
      </c>
      <c r="L150" s="8">
        <f>J150+ROUND(K150, 2)</f>
        <v>868</v>
      </c>
      <c r="M150" s="8"/>
      <c r="N150" s="8"/>
      <c r="O150" s="8"/>
      <c r="P150" s="9"/>
    </row>
    <row r="151" spans="1:16" ht="18" hidden="1" customHeight="1" x14ac:dyDescent="0.35">
      <c r="A151" s="1" t="s">
        <v>247</v>
      </c>
      <c r="B151" s="1"/>
      <c r="C151" s="45" t="s">
        <v>245</v>
      </c>
      <c r="D151" s="3"/>
      <c r="E151" s="3" t="s">
        <v>248</v>
      </c>
      <c r="F151" s="42" t="s">
        <v>46</v>
      </c>
      <c r="G151" s="43">
        <v>2.1</v>
      </c>
      <c r="H151" s="46"/>
      <c r="I151" s="47">
        <v>463.05</v>
      </c>
      <c r="J151" s="25">
        <v>324.5</v>
      </c>
      <c r="K151" s="9"/>
      <c r="L151" s="9"/>
      <c r="M151" s="23"/>
      <c r="N151" s="9"/>
      <c r="O151" s="9"/>
      <c r="P151" s="9"/>
    </row>
    <row r="152" spans="1:16" ht="18" hidden="1" customHeight="1" x14ac:dyDescent="0.35">
      <c r="A152" s="1" t="s">
        <v>249</v>
      </c>
      <c r="B152" s="1" t="s">
        <v>250</v>
      </c>
      <c r="C152" s="2" t="s">
        <v>251</v>
      </c>
      <c r="D152" s="3"/>
      <c r="E152" s="3"/>
      <c r="F152" s="3" t="s">
        <v>57</v>
      </c>
      <c r="G152" s="15">
        <v>1</v>
      </c>
      <c r="H152" s="15"/>
      <c r="I152" s="5">
        <v>0</v>
      </c>
      <c r="J152" s="8">
        <v>2600.9299999999998</v>
      </c>
      <c r="K152" s="24">
        <v>2157</v>
      </c>
      <c r="L152" s="8">
        <f>J152+ROUND(K152, 2)</f>
        <v>4757.93</v>
      </c>
      <c r="M152" s="8"/>
      <c r="N152" s="8"/>
      <c r="O152" s="8"/>
      <c r="P152" s="9"/>
    </row>
    <row r="153" spans="1:16" ht="18" hidden="1" customHeight="1" x14ac:dyDescent="0.35">
      <c r="A153" s="1" t="s">
        <v>252</v>
      </c>
      <c r="B153" s="1"/>
      <c r="C153" s="41" t="s">
        <v>253</v>
      </c>
      <c r="D153" s="3"/>
      <c r="E153" s="3"/>
      <c r="F153" s="42" t="s">
        <v>57</v>
      </c>
      <c r="G153" s="43">
        <v>1.02</v>
      </c>
      <c r="H153" s="43"/>
      <c r="I153" s="44">
        <v>0</v>
      </c>
      <c r="J153" s="25">
        <v>2550</v>
      </c>
      <c r="K153" s="9"/>
      <c r="L153" s="9"/>
      <c r="M153" s="23"/>
      <c r="N153" s="9"/>
      <c r="O153" s="9"/>
      <c r="P153" s="9"/>
    </row>
    <row r="154" spans="1:16" ht="18" hidden="1" customHeight="1" x14ac:dyDescent="0.35">
      <c r="A154" s="1" t="s">
        <v>254</v>
      </c>
      <c r="B154" s="1" t="s">
        <v>250</v>
      </c>
      <c r="C154" s="2" t="s">
        <v>251</v>
      </c>
      <c r="D154" s="3"/>
      <c r="E154" s="3"/>
      <c r="F154" s="3" t="s">
        <v>57</v>
      </c>
      <c r="G154" s="15">
        <v>1</v>
      </c>
      <c r="H154" s="15"/>
      <c r="I154" s="5">
        <v>0</v>
      </c>
      <c r="J154" s="8">
        <v>2601</v>
      </c>
      <c r="K154" s="24">
        <v>2157</v>
      </c>
      <c r="L154" s="8">
        <f>J154+ROUND(K154, 2)</f>
        <v>4758</v>
      </c>
      <c r="M154" s="8"/>
      <c r="N154" s="8"/>
      <c r="O154" s="8"/>
      <c r="P154" s="9"/>
    </row>
    <row r="155" spans="1:16" ht="18" hidden="1" customHeight="1" x14ac:dyDescent="0.35">
      <c r="A155" s="1" t="s">
        <v>255</v>
      </c>
      <c r="B155" s="1"/>
      <c r="C155" s="41" t="s">
        <v>253</v>
      </c>
      <c r="D155" s="3"/>
      <c r="E155" s="3"/>
      <c r="F155" s="42" t="s">
        <v>57</v>
      </c>
      <c r="G155" s="43">
        <v>1.02</v>
      </c>
      <c r="H155" s="43"/>
      <c r="I155" s="44">
        <v>0</v>
      </c>
      <c r="J155" s="25">
        <v>2550</v>
      </c>
      <c r="K155" s="9"/>
      <c r="L155" s="9"/>
      <c r="M155" s="23"/>
      <c r="N155" s="9"/>
      <c r="O155" s="9"/>
      <c r="P155" s="9"/>
    </row>
    <row r="156" spans="1:16" ht="36" hidden="1" customHeight="1" x14ac:dyDescent="0.35">
      <c r="A156" s="1" t="s">
        <v>256</v>
      </c>
      <c r="B156" s="1" t="s">
        <v>250</v>
      </c>
      <c r="C156" s="2" t="s">
        <v>251</v>
      </c>
      <c r="D156" s="3"/>
      <c r="E156" s="3" t="s">
        <v>777</v>
      </c>
      <c r="F156" s="3" t="s">
        <v>57</v>
      </c>
      <c r="G156" s="15">
        <v>1</v>
      </c>
      <c r="H156" s="15"/>
      <c r="I156" s="5">
        <v>0</v>
      </c>
      <c r="J156" s="8">
        <v>2601.0100000000002</v>
      </c>
      <c r="K156" s="24">
        <v>2157</v>
      </c>
      <c r="L156" s="8">
        <f>J156+ROUND(K156, 2)</f>
        <v>4758.01</v>
      </c>
      <c r="M156" s="8"/>
      <c r="N156" s="8"/>
      <c r="O156" s="8"/>
      <c r="P156" s="9"/>
    </row>
    <row r="157" spans="1:16" ht="18" hidden="1" customHeight="1" x14ac:dyDescent="0.35">
      <c r="A157" s="1" t="s">
        <v>257</v>
      </c>
      <c r="B157" s="1"/>
      <c r="C157" s="41" t="s">
        <v>253</v>
      </c>
      <c r="D157" s="3"/>
      <c r="E157" s="3"/>
      <c r="F157" s="42" t="s">
        <v>57</v>
      </c>
      <c r="G157" s="43">
        <v>1.02</v>
      </c>
      <c r="H157" s="43"/>
      <c r="I157" s="44">
        <v>0</v>
      </c>
      <c r="J157" s="25">
        <v>2550</v>
      </c>
      <c r="K157" s="9"/>
      <c r="L157" s="9"/>
      <c r="M157" s="23"/>
      <c r="N157" s="9"/>
      <c r="O157" s="9"/>
      <c r="P157" s="9"/>
    </row>
    <row r="158" spans="1:16" ht="28.5" hidden="1" customHeight="1" x14ac:dyDescent="0.35">
      <c r="A158" s="1" t="s">
        <v>258</v>
      </c>
      <c r="B158" s="1" t="s">
        <v>250</v>
      </c>
      <c r="C158" s="2" t="s">
        <v>251</v>
      </c>
      <c r="D158" s="3"/>
      <c r="E158" s="3" t="s">
        <v>778</v>
      </c>
      <c r="F158" s="3" t="s">
        <v>57</v>
      </c>
      <c r="G158" s="15">
        <v>1</v>
      </c>
      <c r="H158" s="15"/>
      <c r="I158" s="5">
        <v>0</v>
      </c>
      <c r="J158" s="8">
        <v>2600.81</v>
      </c>
      <c r="K158" s="24">
        <v>2157</v>
      </c>
      <c r="L158" s="8">
        <f>J158+ROUND(K158, 2)</f>
        <v>4757.8099999999995</v>
      </c>
      <c r="M158" s="8"/>
      <c r="N158" s="8"/>
      <c r="O158" s="8"/>
      <c r="P158" s="9"/>
    </row>
    <row r="159" spans="1:16" ht="18" hidden="1" customHeight="1" x14ac:dyDescent="0.35">
      <c r="A159" s="1" t="s">
        <v>259</v>
      </c>
      <c r="B159" s="1"/>
      <c r="C159" s="41" t="s">
        <v>253</v>
      </c>
      <c r="D159" s="3"/>
      <c r="E159" s="3"/>
      <c r="F159" s="42" t="s">
        <v>57</v>
      </c>
      <c r="G159" s="43">
        <v>1.02</v>
      </c>
      <c r="H159" s="43"/>
      <c r="I159" s="44">
        <v>0</v>
      </c>
      <c r="J159" s="25">
        <v>2550</v>
      </c>
      <c r="K159" s="9"/>
      <c r="L159" s="9"/>
      <c r="M159" s="23"/>
      <c r="N159" s="9"/>
      <c r="O159" s="9"/>
      <c r="P159" s="9"/>
    </row>
    <row r="160" spans="1:16" ht="18" hidden="1" customHeight="1" x14ac:dyDescent="0.35">
      <c r="A160" s="1" t="s">
        <v>260</v>
      </c>
      <c r="B160" s="1" t="s">
        <v>250</v>
      </c>
      <c r="C160" s="2" t="s">
        <v>251</v>
      </c>
      <c r="D160" s="3"/>
      <c r="E160" s="3"/>
      <c r="F160" s="3" t="s">
        <v>57</v>
      </c>
      <c r="G160" s="15">
        <v>1</v>
      </c>
      <c r="H160" s="15"/>
      <c r="I160" s="5">
        <v>0</v>
      </c>
      <c r="J160" s="8">
        <v>2600.9899999999998</v>
      </c>
      <c r="K160" s="24">
        <v>2157</v>
      </c>
      <c r="L160" s="8">
        <f>J160+ROUND(K160, 2)</f>
        <v>4757.99</v>
      </c>
      <c r="M160" s="8"/>
      <c r="N160" s="8"/>
      <c r="O160" s="8"/>
      <c r="P160" s="9"/>
    </row>
    <row r="161" spans="1:16" ht="18" hidden="1" customHeight="1" x14ac:dyDescent="0.35">
      <c r="A161" s="1" t="s">
        <v>261</v>
      </c>
      <c r="B161" s="1"/>
      <c r="C161" s="41" t="s">
        <v>253</v>
      </c>
      <c r="D161" s="3"/>
      <c r="E161" s="3"/>
      <c r="F161" s="42" t="s">
        <v>57</v>
      </c>
      <c r="G161" s="43">
        <v>1.02</v>
      </c>
      <c r="H161" s="43"/>
      <c r="I161" s="44">
        <v>0</v>
      </c>
      <c r="J161" s="25">
        <v>2550</v>
      </c>
      <c r="K161" s="9"/>
      <c r="L161" s="9"/>
      <c r="M161" s="23"/>
      <c r="N161" s="9"/>
      <c r="O161" s="9"/>
      <c r="P161" s="9"/>
    </row>
    <row r="162" spans="1:16" ht="18" hidden="1" customHeight="1" x14ac:dyDescent="0.35">
      <c r="A162" s="1" t="s">
        <v>262</v>
      </c>
      <c r="B162" s="1" t="s">
        <v>250</v>
      </c>
      <c r="C162" s="2" t="s">
        <v>251</v>
      </c>
      <c r="D162" s="3"/>
      <c r="E162" s="3"/>
      <c r="F162" s="3" t="s">
        <v>57</v>
      </c>
      <c r="G162" s="15">
        <v>1</v>
      </c>
      <c r="H162" s="15"/>
      <c r="I162" s="5">
        <v>0</v>
      </c>
      <c r="J162" s="8">
        <v>2600.84</v>
      </c>
      <c r="K162" s="24">
        <v>2157</v>
      </c>
      <c r="L162" s="8">
        <f>J162+ROUND(K162, 2)</f>
        <v>4757.84</v>
      </c>
      <c r="M162" s="8"/>
      <c r="N162" s="8"/>
      <c r="O162" s="8"/>
      <c r="P162" s="9"/>
    </row>
    <row r="163" spans="1:16" ht="18" hidden="1" customHeight="1" x14ac:dyDescent="0.35">
      <c r="A163" s="1" t="s">
        <v>263</v>
      </c>
      <c r="B163" s="1"/>
      <c r="C163" s="41" t="s">
        <v>253</v>
      </c>
      <c r="D163" s="3"/>
      <c r="E163" s="3"/>
      <c r="F163" s="42" t="s">
        <v>57</v>
      </c>
      <c r="G163" s="43">
        <v>1.02</v>
      </c>
      <c r="H163" s="43"/>
      <c r="I163" s="44">
        <v>0</v>
      </c>
      <c r="J163" s="25">
        <v>2550</v>
      </c>
      <c r="K163" s="9"/>
      <c r="L163" s="9"/>
      <c r="M163" s="23"/>
      <c r="N163" s="9"/>
      <c r="O163" s="9"/>
      <c r="P163" s="9"/>
    </row>
    <row r="164" spans="1:16" ht="36" hidden="1" customHeight="1" x14ac:dyDescent="0.35">
      <c r="A164" s="1" t="s">
        <v>264</v>
      </c>
      <c r="B164" s="1" t="s">
        <v>250</v>
      </c>
      <c r="C164" s="2" t="s">
        <v>251</v>
      </c>
      <c r="D164" s="3"/>
      <c r="E164" s="3" t="s">
        <v>779</v>
      </c>
      <c r="F164" s="3" t="s">
        <v>57</v>
      </c>
      <c r="G164" s="15">
        <v>1</v>
      </c>
      <c r="H164" s="15"/>
      <c r="I164" s="5">
        <v>0</v>
      </c>
      <c r="J164" s="8">
        <f>IFERROR(ROUND(SUM(M165)/I164, 2),0)</f>
        <v>0</v>
      </c>
      <c r="K164" s="24">
        <v>2157</v>
      </c>
      <c r="L164" s="8">
        <f>J164+ROUND(K164, 2)</f>
        <v>2157</v>
      </c>
      <c r="M164" s="8"/>
      <c r="N164" s="8"/>
      <c r="O164" s="8"/>
      <c r="P164" s="9"/>
    </row>
    <row r="165" spans="1:16" ht="18" hidden="1" customHeight="1" x14ac:dyDescent="0.35">
      <c r="A165" s="1" t="s">
        <v>265</v>
      </c>
      <c r="B165" s="1"/>
      <c r="C165" s="41" t="s">
        <v>253</v>
      </c>
      <c r="D165" s="3"/>
      <c r="E165" s="3"/>
      <c r="F165" s="42" t="s">
        <v>57</v>
      </c>
      <c r="G165" s="43">
        <v>1.02</v>
      </c>
      <c r="H165" s="43"/>
      <c r="I165" s="44">
        <v>0</v>
      </c>
      <c r="J165" s="25">
        <v>2550</v>
      </c>
      <c r="K165" s="9"/>
      <c r="L165" s="9"/>
      <c r="M165" s="23"/>
      <c r="N165" s="9"/>
      <c r="O165" s="9"/>
      <c r="P165" s="9"/>
    </row>
    <row r="166" spans="1:16" ht="36" hidden="1" customHeight="1" x14ac:dyDescent="0.35">
      <c r="A166" s="1" t="s">
        <v>266</v>
      </c>
      <c r="B166" s="1" t="s">
        <v>250</v>
      </c>
      <c r="C166" s="2" t="s">
        <v>251</v>
      </c>
      <c r="D166" s="3"/>
      <c r="E166" s="3" t="s">
        <v>780</v>
      </c>
      <c r="F166" s="3" t="s">
        <v>57</v>
      </c>
      <c r="G166" s="15">
        <v>1</v>
      </c>
      <c r="H166" s="15"/>
      <c r="I166" s="5">
        <v>0</v>
      </c>
      <c r="J166" s="8">
        <f>IFERROR(ROUND(SUM(M167)/I166, 2),0)</f>
        <v>0</v>
      </c>
      <c r="K166" s="24">
        <v>2157</v>
      </c>
      <c r="L166" s="8">
        <f>J166+ROUND(K166, 2)</f>
        <v>2157</v>
      </c>
      <c r="M166" s="8"/>
      <c r="N166" s="8"/>
      <c r="O166" s="8"/>
      <c r="P166" s="9"/>
    </row>
    <row r="167" spans="1:16" ht="18" hidden="1" customHeight="1" x14ac:dyDescent="0.35">
      <c r="A167" s="1" t="s">
        <v>267</v>
      </c>
      <c r="B167" s="1"/>
      <c r="C167" s="41" t="s">
        <v>253</v>
      </c>
      <c r="D167" s="3"/>
      <c r="E167" s="3"/>
      <c r="F167" s="42" t="s">
        <v>57</v>
      </c>
      <c r="G167" s="43">
        <v>1.02</v>
      </c>
      <c r="H167" s="43"/>
      <c r="I167" s="44">
        <v>0</v>
      </c>
      <c r="J167" s="25">
        <v>2550</v>
      </c>
      <c r="K167" s="9"/>
      <c r="L167" s="9"/>
      <c r="M167" s="23"/>
      <c r="N167" s="9"/>
      <c r="O167" s="9"/>
      <c r="P167" s="9"/>
    </row>
    <row r="168" spans="1:16" ht="31.05" hidden="1" customHeight="1" x14ac:dyDescent="0.35">
      <c r="A168" s="1" t="s">
        <v>268</v>
      </c>
      <c r="B168" s="1" t="s">
        <v>250</v>
      </c>
      <c r="C168" s="2" t="s">
        <v>251</v>
      </c>
      <c r="D168" s="3"/>
      <c r="E168" s="3" t="s">
        <v>777</v>
      </c>
      <c r="F168" s="3" t="s">
        <v>57</v>
      </c>
      <c r="G168" s="15">
        <v>1</v>
      </c>
      <c r="H168" s="15"/>
      <c r="I168" s="5">
        <v>0</v>
      </c>
      <c r="J168" s="8">
        <f>IFERROR(ROUND(SUM(M169)/I168, 2),0)</f>
        <v>0</v>
      </c>
      <c r="K168" s="24">
        <v>2157</v>
      </c>
      <c r="L168" s="8">
        <f>J168+ROUND(K168, 2)</f>
        <v>2157</v>
      </c>
      <c r="M168" s="8"/>
      <c r="N168" s="8"/>
      <c r="O168" s="8"/>
      <c r="P168" s="9"/>
    </row>
    <row r="169" spans="1:16" ht="18" hidden="1" customHeight="1" x14ac:dyDescent="0.35">
      <c r="A169" s="1" t="s">
        <v>269</v>
      </c>
      <c r="B169" s="1"/>
      <c r="C169" s="41" t="s">
        <v>253</v>
      </c>
      <c r="D169" s="3"/>
      <c r="E169" s="3"/>
      <c r="F169" s="42" t="s">
        <v>57</v>
      </c>
      <c r="G169" s="43">
        <v>1.02</v>
      </c>
      <c r="H169" s="43"/>
      <c r="I169" s="44">
        <v>0</v>
      </c>
      <c r="J169" s="25">
        <v>2550</v>
      </c>
      <c r="K169" s="9"/>
      <c r="L169" s="9"/>
      <c r="M169" s="23"/>
      <c r="N169" s="9"/>
      <c r="O169" s="9"/>
      <c r="P169" s="9"/>
    </row>
    <row r="170" spans="1:16" ht="36" hidden="1" customHeight="1" x14ac:dyDescent="0.35">
      <c r="A170" s="1" t="s">
        <v>270</v>
      </c>
      <c r="B170" s="1" t="s">
        <v>250</v>
      </c>
      <c r="C170" s="2" t="s">
        <v>251</v>
      </c>
      <c r="D170" s="3"/>
      <c r="E170" s="3" t="s">
        <v>778</v>
      </c>
      <c r="F170" s="3" t="s">
        <v>57</v>
      </c>
      <c r="G170" s="15">
        <v>1</v>
      </c>
      <c r="H170" s="15"/>
      <c r="I170" s="5">
        <v>0</v>
      </c>
      <c r="J170" s="8">
        <f>IFERROR(ROUND(SUM(M171)/I170, 2),0)</f>
        <v>0</v>
      </c>
      <c r="K170" s="24">
        <v>2157</v>
      </c>
      <c r="L170" s="8">
        <f>J170+ROUND(K170, 2)</f>
        <v>2157</v>
      </c>
      <c r="M170" s="8"/>
      <c r="N170" s="8"/>
      <c r="O170" s="8"/>
      <c r="P170" s="9"/>
    </row>
    <row r="171" spans="1:16" ht="18" hidden="1" customHeight="1" x14ac:dyDescent="0.35">
      <c r="A171" s="1" t="s">
        <v>271</v>
      </c>
      <c r="B171" s="1"/>
      <c r="C171" s="41" t="s">
        <v>253</v>
      </c>
      <c r="D171" s="3"/>
      <c r="E171" s="3"/>
      <c r="F171" s="42" t="s">
        <v>57</v>
      </c>
      <c r="G171" s="43">
        <v>1.02</v>
      </c>
      <c r="H171" s="43"/>
      <c r="I171" s="44">
        <v>0</v>
      </c>
      <c r="J171" s="25">
        <v>2550</v>
      </c>
      <c r="K171" s="9"/>
      <c r="L171" s="9"/>
      <c r="M171" s="23"/>
      <c r="N171" s="9"/>
      <c r="O171" s="9"/>
      <c r="P171" s="9"/>
    </row>
    <row r="172" spans="1:16" ht="36" hidden="1" customHeight="1" x14ac:dyDescent="0.35">
      <c r="A172" s="1" t="s">
        <v>272</v>
      </c>
      <c r="B172" s="1" t="s">
        <v>250</v>
      </c>
      <c r="C172" s="2" t="s">
        <v>251</v>
      </c>
      <c r="D172" s="3"/>
      <c r="E172" s="3" t="s">
        <v>781</v>
      </c>
      <c r="F172" s="3" t="s">
        <v>57</v>
      </c>
      <c r="G172" s="15">
        <v>1</v>
      </c>
      <c r="H172" s="15"/>
      <c r="I172" s="5">
        <v>0</v>
      </c>
      <c r="J172" s="8">
        <f>IFERROR(ROUND(SUM(M173)/I172, 2),0)</f>
        <v>0</v>
      </c>
      <c r="K172" s="24">
        <v>2157</v>
      </c>
      <c r="L172" s="8">
        <f>J172+ROUND(K172, 2)</f>
        <v>2157</v>
      </c>
      <c r="M172" s="8"/>
      <c r="N172" s="8"/>
      <c r="O172" s="8"/>
      <c r="P172" s="9"/>
    </row>
    <row r="173" spans="1:16" ht="18" hidden="1" customHeight="1" x14ac:dyDescent="0.35">
      <c r="A173" s="1" t="s">
        <v>273</v>
      </c>
      <c r="B173" s="1"/>
      <c r="C173" s="41" t="s">
        <v>253</v>
      </c>
      <c r="D173" s="3"/>
      <c r="E173" s="3"/>
      <c r="F173" s="42" t="s">
        <v>57</v>
      </c>
      <c r="G173" s="43">
        <v>1.02</v>
      </c>
      <c r="H173" s="43"/>
      <c r="I173" s="44">
        <v>0</v>
      </c>
      <c r="J173" s="25">
        <v>2550</v>
      </c>
      <c r="K173" s="9"/>
      <c r="L173" s="9"/>
      <c r="M173" s="23"/>
      <c r="N173" s="9"/>
      <c r="O173" s="9"/>
      <c r="P173" s="9"/>
    </row>
    <row r="174" spans="1:16" ht="36" hidden="1" customHeight="1" x14ac:dyDescent="0.35">
      <c r="A174" s="1" t="s">
        <v>274</v>
      </c>
      <c r="B174" s="1" t="s">
        <v>250</v>
      </c>
      <c r="C174" s="2" t="s">
        <v>251</v>
      </c>
      <c r="D174" s="3"/>
      <c r="E174" s="3" t="s">
        <v>782</v>
      </c>
      <c r="F174" s="3" t="s">
        <v>57</v>
      </c>
      <c r="G174" s="15">
        <v>1</v>
      </c>
      <c r="H174" s="15"/>
      <c r="I174" s="5">
        <v>0</v>
      </c>
      <c r="J174" s="8">
        <f>IFERROR(ROUND(SUM(M175)/I174, 2),0)</f>
        <v>0</v>
      </c>
      <c r="K174" s="24">
        <v>2157</v>
      </c>
      <c r="L174" s="8">
        <f>J174+ROUND(K174, 2)</f>
        <v>2157</v>
      </c>
      <c r="M174" s="8"/>
      <c r="N174" s="8"/>
      <c r="O174" s="8"/>
      <c r="P174" s="9"/>
    </row>
    <row r="175" spans="1:16" ht="18" hidden="1" customHeight="1" x14ac:dyDescent="0.35">
      <c r="A175" s="1" t="s">
        <v>275</v>
      </c>
      <c r="B175" s="1"/>
      <c r="C175" s="41" t="s">
        <v>253</v>
      </c>
      <c r="D175" s="3"/>
      <c r="E175" s="3"/>
      <c r="F175" s="42" t="s">
        <v>57</v>
      </c>
      <c r="G175" s="43">
        <v>1.02</v>
      </c>
      <c r="H175" s="43"/>
      <c r="I175" s="44">
        <v>0</v>
      </c>
      <c r="J175" s="25">
        <v>2550</v>
      </c>
      <c r="K175" s="9"/>
      <c r="L175" s="9"/>
      <c r="M175" s="23"/>
      <c r="N175" s="9"/>
      <c r="O175" s="9"/>
      <c r="P175" s="9"/>
    </row>
    <row r="176" spans="1:16" ht="18" hidden="1" customHeight="1" x14ac:dyDescent="0.35">
      <c r="A176" s="1" t="s">
        <v>276</v>
      </c>
      <c r="B176" s="1" t="s">
        <v>277</v>
      </c>
      <c r="C176" s="2" t="s">
        <v>278</v>
      </c>
      <c r="D176" s="3"/>
      <c r="E176" s="3"/>
      <c r="F176" s="3" t="s">
        <v>57</v>
      </c>
      <c r="G176" s="15">
        <v>1</v>
      </c>
      <c r="H176" s="15"/>
      <c r="I176" s="5">
        <v>0</v>
      </c>
      <c r="J176" s="8">
        <v>1687.5</v>
      </c>
      <c r="K176" s="24">
        <v>915</v>
      </c>
      <c r="L176" s="8">
        <f>J176+ROUND(K176, 2)</f>
        <v>2602.5</v>
      </c>
      <c r="M176" s="8"/>
      <c r="N176" s="8"/>
      <c r="O176" s="8"/>
      <c r="P176" s="9"/>
    </row>
    <row r="177" spans="1:16" ht="18" hidden="1" customHeight="1" x14ac:dyDescent="0.35">
      <c r="A177" s="1" t="s">
        <v>279</v>
      </c>
      <c r="B177" s="1"/>
      <c r="C177" s="41" t="s">
        <v>280</v>
      </c>
      <c r="D177" s="3"/>
      <c r="E177" s="3"/>
      <c r="F177" s="42" t="s">
        <v>195</v>
      </c>
      <c r="G177" s="43">
        <v>225</v>
      </c>
      <c r="H177" s="43"/>
      <c r="I177" s="44">
        <v>0</v>
      </c>
      <c r="J177" s="25">
        <v>7.5</v>
      </c>
      <c r="K177" s="9"/>
      <c r="L177" s="9"/>
      <c r="M177" s="23"/>
      <c r="N177" s="9"/>
      <c r="O177" s="9"/>
      <c r="P177" s="9"/>
    </row>
    <row r="178" spans="1:16" ht="18" hidden="1" customHeight="1" x14ac:dyDescent="0.35">
      <c r="A178" s="1" t="s">
        <v>281</v>
      </c>
      <c r="B178" s="1" t="s">
        <v>277</v>
      </c>
      <c r="C178" s="2" t="s">
        <v>278</v>
      </c>
      <c r="D178" s="3"/>
      <c r="E178" s="3"/>
      <c r="F178" s="3" t="s">
        <v>57</v>
      </c>
      <c r="G178" s="15">
        <v>1</v>
      </c>
      <c r="H178" s="15"/>
      <c r="I178" s="5">
        <v>0</v>
      </c>
      <c r="J178" s="8">
        <f>IFERROR(ROUND(SUM(M179)/I178, 2),0)</f>
        <v>0</v>
      </c>
      <c r="K178" s="24">
        <v>915</v>
      </c>
      <c r="L178" s="8">
        <f>J178+ROUND(K178, 2)</f>
        <v>915</v>
      </c>
      <c r="M178" s="8"/>
      <c r="N178" s="8"/>
      <c r="O178" s="8"/>
      <c r="P178" s="9"/>
    </row>
    <row r="179" spans="1:16" ht="18" hidden="1" customHeight="1" x14ac:dyDescent="0.35">
      <c r="A179" s="1" t="s">
        <v>282</v>
      </c>
      <c r="B179" s="1"/>
      <c r="C179" s="41" t="s">
        <v>280</v>
      </c>
      <c r="D179" s="3"/>
      <c r="E179" s="3"/>
      <c r="F179" s="42" t="s">
        <v>195</v>
      </c>
      <c r="G179" s="43">
        <v>225</v>
      </c>
      <c r="H179" s="43"/>
      <c r="I179" s="44">
        <v>0</v>
      </c>
      <c r="J179" s="25">
        <v>7.5</v>
      </c>
      <c r="K179" s="9"/>
      <c r="L179" s="9"/>
      <c r="M179" s="23"/>
      <c r="N179" s="9"/>
      <c r="O179" s="9"/>
      <c r="P179" s="9"/>
    </row>
    <row r="180" spans="1:16" ht="16.95" hidden="1" customHeight="1" x14ac:dyDescent="0.35">
      <c r="A180" s="1" t="s">
        <v>283</v>
      </c>
      <c r="B180" s="1" t="s">
        <v>284</v>
      </c>
      <c r="C180" s="119" t="s">
        <v>285</v>
      </c>
      <c r="D180" s="120"/>
      <c r="E180" s="120"/>
      <c r="F180" s="120"/>
      <c r="G180" s="120"/>
      <c r="H180" s="120"/>
      <c r="I180" s="120"/>
      <c r="J180" s="9"/>
      <c r="K180" s="9"/>
      <c r="L180" s="9"/>
      <c r="M180" s="23"/>
      <c r="N180" s="23"/>
      <c r="O180" s="23"/>
      <c r="P180" s="9"/>
    </row>
    <row r="181" spans="1:16" ht="18" hidden="1" customHeight="1" x14ac:dyDescent="0.35">
      <c r="A181" s="1" t="s">
        <v>286</v>
      </c>
      <c r="B181" s="1" t="s">
        <v>287</v>
      </c>
      <c r="C181" s="2" t="s">
        <v>288</v>
      </c>
      <c r="D181" s="3" t="s">
        <v>289</v>
      </c>
      <c r="E181" s="3"/>
      <c r="F181" s="3" t="s">
        <v>46</v>
      </c>
      <c r="G181" s="15">
        <v>1</v>
      </c>
      <c r="H181" s="15"/>
      <c r="I181" s="5">
        <v>0</v>
      </c>
      <c r="J181" s="8">
        <v>127.26</v>
      </c>
      <c r="K181" s="24">
        <v>556</v>
      </c>
      <c r="L181" s="8">
        <f>J181+ROUND(K181, 2)</f>
        <v>683.26</v>
      </c>
      <c r="M181" s="8"/>
      <c r="N181" s="8"/>
      <c r="O181" s="8"/>
      <c r="P181" s="9"/>
    </row>
    <row r="182" spans="1:16" ht="18" hidden="1" customHeight="1" x14ac:dyDescent="0.35">
      <c r="A182" s="1" t="s">
        <v>290</v>
      </c>
      <c r="B182" s="1"/>
      <c r="C182" s="41" t="s">
        <v>291</v>
      </c>
      <c r="D182" s="3"/>
      <c r="E182" s="3"/>
      <c r="F182" s="42" t="s">
        <v>195</v>
      </c>
      <c r="G182" s="43">
        <v>0.3</v>
      </c>
      <c r="H182" s="43"/>
      <c r="I182" s="44">
        <v>0</v>
      </c>
      <c r="J182" s="25">
        <v>220</v>
      </c>
      <c r="K182" s="9"/>
      <c r="L182" s="9"/>
      <c r="M182" s="23"/>
      <c r="N182" s="9"/>
      <c r="O182" s="9"/>
      <c r="P182" s="9"/>
    </row>
    <row r="183" spans="1:16" ht="16.05" hidden="1" customHeight="1" x14ac:dyDescent="0.35">
      <c r="A183" s="1" t="s">
        <v>292</v>
      </c>
      <c r="B183" s="1"/>
      <c r="C183" s="41" t="s">
        <v>293</v>
      </c>
      <c r="D183" s="3"/>
      <c r="E183" s="3"/>
      <c r="F183" s="42" t="s">
        <v>195</v>
      </c>
      <c r="G183" s="43">
        <v>0.15</v>
      </c>
      <c r="H183" s="43"/>
      <c r="I183" s="44">
        <v>0</v>
      </c>
      <c r="J183" s="25">
        <v>68.400000000000006</v>
      </c>
      <c r="K183" s="9"/>
      <c r="L183" s="9"/>
      <c r="M183" s="23"/>
      <c r="N183" s="9"/>
      <c r="O183" s="9"/>
      <c r="P183" s="9"/>
    </row>
    <row r="184" spans="1:16" ht="72" hidden="1" customHeight="1" x14ac:dyDescent="0.35">
      <c r="A184" s="1" t="s">
        <v>294</v>
      </c>
      <c r="B184" s="1"/>
      <c r="C184" s="45" t="s">
        <v>295</v>
      </c>
      <c r="D184" s="3"/>
      <c r="E184" s="3"/>
      <c r="F184" s="42" t="s">
        <v>52</v>
      </c>
      <c r="G184" s="43">
        <v>1</v>
      </c>
      <c r="H184" s="46"/>
      <c r="I184" s="47">
        <v>0</v>
      </c>
      <c r="J184" s="25">
        <v>51</v>
      </c>
      <c r="K184" s="9"/>
      <c r="L184" s="9"/>
      <c r="M184" s="23"/>
      <c r="N184" s="9"/>
      <c r="O184" s="9"/>
      <c r="P184" s="9"/>
    </row>
    <row r="185" spans="1:16" ht="36" hidden="1" customHeight="1" x14ac:dyDescent="0.35">
      <c r="A185" s="1" t="s">
        <v>296</v>
      </c>
      <c r="B185" s="1"/>
      <c r="C185" s="41" t="s">
        <v>297</v>
      </c>
      <c r="D185" s="3"/>
      <c r="E185" s="3"/>
      <c r="F185" s="42" t="s">
        <v>46</v>
      </c>
      <c r="G185" s="43">
        <v>1.1000000000000001</v>
      </c>
      <c r="H185" s="46"/>
      <c r="I185" s="47">
        <v>0</v>
      </c>
      <c r="J185" s="25">
        <v>0</v>
      </c>
      <c r="K185" s="9"/>
      <c r="L185" s="9"/>
      <c r="M185" s="23"/>
      <c r="N185" s="9"/>
      <c r="O185" s="9"/>
      <c r="P185" s="9"/>
    </row>
    <row r="186" spans="1:16" ht="18" hidden="1" customHeight="1" x14ac:dyDescent="0.35">
      <c r="A186" s="1" t="s">
        <v>298</v>
      </c>
      <c r="B186" s="1" t="s">
        <v>287</v>
      </c>
      <c r="C186" s="2" t="s">
        <v>288</v>
      </c>
      <c r="D186" s="3" t="s">
        <v>289</v>
      </c>
      <c r="E186" s="3"/>
      <c r="F186" s="3" t="s">
        <v>46</v>
      </c>
      <c r="G186" s="15">
        <v>1</v>
      </c>
      <c r="H186" s="15"/>
      <c r="I186" s="5">
        <v>0</v>
      </c>
      <c r="J186" s="8">
        <v>117</v>
      </c>
      <c r="K186" s="24">
        <v>556</v>
      </c>
      <c r="L186" s="8">
        <f>J186+ROUND(K186, 2)</f>
        <v>673</v>
      </c>
      <c r="M186" s="8"/>
      <c r="N186" s="8"/>
      <c r="O186" s="8"/>
      <c r="P186" s="9"/>
    </row>
    <row r="187" spans="1:16" ht="36" hidden="1" customHeight="1" x14ac:dyDescent="0.35">
      <c r="A187" s="1" t="s">
        <v>299</v>
      </c>
      <c r="B187" s="1"/>
      <c r="C187" s="41" t="s">
        <v>297</v>
      </c>
      <c r="D187" s="3"/>
      <c r="E187" s="3"/>
      <c r="F187" s="42" t="s">
        <v>46</v>
      </c>
      <c r="G187" s="43">
        <v>1.1000000000000001</v>
      </c>
      <c r="H187" s="46"/>
      <c r="I187" s="47">
        <v>0</v>
      </c>
      <c r="J187" s="25">
        <v>0</v>
      </c>
      <c r="K187" s="9"/>
      <c r="L187" s="9"/>
      <c r="M187" s="23"/>
      <c r="N187" s="9"/>
      <c r="O187" s="9"/>
      <c r="P187" s="9"/>
    </row>
    <row r="188" spans="1:16" ht="72" hidden="1" customHeight="1" x14ac:dyDescent="0.35">
      <c r="A188" s="1" t="s">
        <v>300</v>
      </c>
      <c r="B188" s="1"/>
      <c r="C188" s="45" t="s">
        <v>295</v>
      </c>
      <c r="D188" s="3"/>
      <c r="E188" s="3"/>
      <c r="F188" s="42" t="s">
        <v>52</v>
      </c>
      <c r="G188" s="43">
        <v>1</v>
      </c>
      <c r="H188" s="46"/>
      <c r="I188" s="47">
        <v>0</v>
      </c>
      <c r="J188" s="25">
        <v>51</v>
      </c>
      <c r="K188" s="9"/>
      <c r="L188" s="9"/>
      <c r="M188" s="23"/>
      <c r="N188" s="9"/>
      <c r="O188" s="9"/>
      <c r="P188" s="9"/>
    </row>
    <row r="189" spans="1:16" ht="18" hidden="1" customHeight="1" x14ac:dyDescent="0.35">
      <c r="A189" s="1" t="s">
        <v>301</v>
      </c>
      <c r="B189" s="1"/>
      <c r="C189" s="41" t="s">
        <v>291</v>
      </c>
      <c r="D189" s="3"/>
      <c r="E189" s="3"/>
      <c r="F189" s="42" t="s">
        <v>195</v>
      </c>
      <c r="G189" s="43">
        <v>0.3</v>
      </c>
      <c r="H189" s="43"/>
      <c r="I189" s="44">
        <v>0</v>
      </c>
      <c r="J189" s="25">
        <v>220</v>
      </c>
      <c r="K189" s="9"/>
      <c r="L189" s="9"/>
      <c r="M189" s="23"/>
      <c r="N189" s="9"/>
      <c r="O189" s="9"/>
      <c r="P189" s="9"/>
    </row>
    <row r="190" spans="1:16" ht="36" hidden="1" customHeight="1" x14ac:dyDescent="0.35">
      <c r="A190" s="1" t="s">
        <v>302</v>
      </c>
      <c r="B190" s="1" t="s">
        <v>287</v>
      </c>
      <c r="C190" s="2" t="s">
        <v>288</v>
      </c>
      <c r="D190" s="3" t="s">
        <v>289</v>
      </c>
      <c r="E190" s="3" t="s">
        <v>783</v>
      </c>
      <c r="F190" s="3" t="s">
        <v>46</v>
      </c>
      <c r="G190" s="15">
        <v>1</v>
      </c>
      <c r="H190" s="15"/>
      <c r="I190" s="5">
        <v>0</v>
      </c>
      <c r="J190" s="8">
        <f>IFERROR(ROUND(SUM(M191,M192,M193,M194)/I190, 2),0)</f>
        <v>0</v>
      </c>
      <c r="K190" s="24">
        <v>556</v>
      </c>
      <c r="L190" s="8">
        <f>J190+ROUND(K190, 2)</f>
        <v>556</v>
      </c>
      <c r="M190" s="8"/>
      <c r="N190" s="8"/>
      <c r="O190" s="8"/>
      <c r="P190" s="9"/>
    </row>
    <row r="191" spans="1:16" ht="10.5" hidden="1" customHeight="1" x14ac:dyDescent="0.35">
      <c r="A191" s="1" t="s">
        <v>303</v>
      </c>
      <c r="B191" s="1"/>
      <c r="C191" s="41" t="s">
        <v>291</v>
      </c>
      <c r="D191" s="3"/>
      <c r="E191" s="3" t="s">
        <v>304</v>
      </c>
      <c r="F191" s="42" t="s">
        <v>195</v>
      </c>
      <c r="G191" s="43">
        <v>0.3</v>
      </c>
      <c r="H191" s="43"/>
      <c r="I191" s="44">
        <v>0</v>
      </c>
      <c r="J191" s="25">
        <v>220</v>
      </c>
      <c r="K191" s="9"/>
      <c r="L191" s="9"/>
      <c r="M191" s="23"/>
      <c r="N191" s="9"/>
      <c r="O191" s="9"/>
      <c r="P191" s="9"/>
    </row>
    <row r="192" spans="1:16" ht="36" hidden="1" customHeight="1" x14ac:dyDescent="0.35">
      <c r="A192" s="1" t="s">
        <v>305</v>
      </c>
      <c r="B192" s="1"/>
      <c r="C192" s="41" t="s">
        <v>293</v>
      </c>
      <c r="D192" s="3"/>
      <c r="E192" s="3"/>
      <c r="F192" s="42" t="s">
        <v>195</v>
      </c>
      <c r="G192" s="43">
        <v>0.15</v>
      </c>
      <c r="H192" s="43"/>
      <c r="I192" s="44">
        <v>0</v>
      </c>
      <c r="J192" s="25">
        <v>68.400000000000006</v>
      </c>
      <c r="K192" s="9"/>
      <c r="L192" s="9"/>
      <c r="M192" s="23"/>
      <c r="N192" s="9"/>
      <c r="O192" s="9"/>
      <c r="P192" s="9"/>
    </row>
    <row r="193" spans="1:16" ht="72" hidden="1" customHeight="1" x14ac:dyDescent="0.35">
      <c r="A193" s="1" t="s">
        <v>306</v>
      </c>
      <c r="B193" s="1"/>
      <c r="C193" s="45" t="s">
        <v>295</v>
      </c>
      <c r="D193" s="3"/>
      <c r="E193" s="3"/>
      <c r="F193" s="42" t="s">
        <v>52</v>
      </c>
      <c r="G193" s="43">
        <v>1</v>
      </c>
      <c r="H193" s="46"/>
      <c r="I193" s="47">
        <v>427.37</v>
      </c>
      <c r="J193" s="25">
        <v>51</v>
      </c>
      <c r="K193" s="9"/>
      <c r="L193" s="9"/>
      <c r="M193" s="23"/>
      <c r="N193" s="9"/>
      <c r="O193" s="9"/>
      <c r="P193" s="9"/>
    </row>
    <row r="194" spans="1:16" ht="54" hidden="1" customHeight="1" x14ac:dyDescent="0.35">
      <c r="A194" s="1" t="s">
        <v>307</v>
      </c>
      <c r="B194" s="1"/>
      <c r="C194" s="41" t="s">
        <v>297</v>
      </c>
      <c r="D194" s="3"/>
      <c r="E194" s="3" t="s">
        <v>308</v>
      </c>
      <c r="F194" s="42" t="s">
        <v>46</v>
      </c>
      <c r="G194" s="43">
        <v>1.1000000000000001</v>
      </c>
      <c r="H194" s="46"/>
      <c r="I194" s="47">
        <v>470.10700000000003</v>
      </c>
      <c r="J194" s="25">
        <v>0</v>
      </c>
      <c r="K194" s="9"/>
      <c r="L194" s="9"/>
      <c r="M194" s="23"/>
      <c r="N194" s="9"/>
      <c r="O194" s="9"/>
      <c r="P194" s="9"/>
    </row>
    <row r="195" spans="1:16" ht="18" hidden="1" customHeight="1" x14ac:dyDescent="0.35">
      <c r="A195" s="1" t="s">
        <v>309</v>
      </c>
      <c r="B195" s="1" t="s">
        <v>287</v>
      </c>
      <c r="C195" s="2" t="s">
        <v>288</v>
      </c>
      <c r="D195" s="3" t="s">
        <v>289</v>
      </c>
      <c r="E195" s="3" t="s">
        <v>310</v>
      </c>
      <c r="F195" s="3" t="s">
        <v>46</v>
      </c>
      <c r="G195" s="15">
        <v>1</v>
      </c>
      <c r="H195" s="15"/>
      <c r="I195" s="5">
        <v>0</v>
      </c>
      <c r="J195" s="8">
        <f>IFERROR(ROUND(SUM(M196,M197,M198)/I195, 2),0)</f>
        <v>0</v>
      </c>
      <c r="K195" s="24">
        <v>556</v>
      </c>
      <c r="L195" s="8">
        <f>J195+ROUND(K195, 2)</f>
        <v>556</v>
      </c>
      <c r="M195" s="8"/>
      <c r="N195" s="8"/>
      <c r="O195" s="8"/>
      <c r="P195" s="9"/>
    </row>
    <row r="196" spans="1:16" ht="54" hidden="1" customHeight="1" x14ac:dyDescent="0.35">
      <c r="A196" s="1" t="s">
        <v>311</v>
      </c>
      <c r="B196" s="1"/>
      <c r="C196" s="41" t="s">
        <v>297</v>
      </c>
      <c r="D196" s="3"/>
      <c r="E196" s="3" t="s">
        <v>312</v>
      </c>
      <c r="F196" s="42" t="s">
        <v>46</v>
      </c>
      <c r="G196" s="43">
        <v>1.1000000000000001</v>
      </c>
      <c r="H196" s="46"/>
      <c r="I196" s="47">
        <v>171.941</v>
      </c>
      <c r="J196" s="25">
        <v>0</v>
      </c>
      <c r="K196" s="9"/>
      <c r="L196" s="9"/>
      <c r="M196" s="23"/>
      <c r="N196" s="9"/>
      <c r="O196" s="9"/>
      <c r="P196" s="9"/>
    </row>
    <row r="197" spans="1:16" ht="72" hidden="1" customHeight="1" x14ac:dyDescent="0.35">
      <c r="A197" s="1" t="s">
        <v>313</v>
      </c>
      <c r="B197" s="1"/>
      <c r="C197" s="45" t="s">
        <v>295</v>
      </c>
      <c r="D197" s="3"/>
      <c r="E197" s="3"/>
      <c r="F197" s="42" t="s">
        <v>52</v>
      </c>
      <c r="G197" s="43">
        <v>1</v>
      </c>
      <c r="H197" s="46"/>
      <c r="I197" s="47">
        <v>156.31</v>
      </c>
      <c r="J197" s="25">
        <v>51</v>
      </c>
      <c r="K197" s="9"/>
      <c r="L197" s="9"/>
      <c r="M197" s="23"/>
      <c r="N197" s="9"/>
      <c r="O197" s="9"/>
      <c r="P197" s="9"/>
    </row>
    <row r="198" spans="1:16" ht="18" hidden="1" customHeight="1" x14ac:dyDescent="0.35">
      <c r="A198" s="1" t="s">
        <v>314</v>
      </c>
      <c r="B198" s="1"/>
      <c r="C198" s="41" t="s">
        <v>291</v>
      </c>
      <c r="D198" s="3"/>
      <c r="E198" s="3" t="s">
        <v>304</v>
      </c>
      <c r="F198" s="42" t="s">
        <v>195</v>
      </c>
      <c r="G198" s="43">
        <v>0.3</v>
      </c>
      <c r="H198" s="43"/>
      <c r="I198" s="44">
        <v>0</v>
      </c>
      <c r="J198" s="25">
        <v>220</v>
      </c>
      <c r="K198" s="9"/>
      <c r="L198" s="9"/>
      <c r="M198" s="23"/>
      <c r="N198" s="9"/>
      <c r="O198" s="9"/>
      <c r="P198" s="9"/>
    </row>
    <row r="199" spans="1:16" ht="36" hidden="1" customHeight="1" x14ac:dyDescent="0.35">
      <c r="A199" s="1" t="s">
        <v>315</v>
      </c>
      <c r="B199" s="1" t="s">
        <v>316</v>
      </c>
      <c r="C199" s="2" t="s">
        <v>317</v>
      </c>
      <c r="D199" s="3"/>
      <c r="E199" s="3"/>
      <c r="F199" s="3" t="s">
        <v>52</v>
      </c>
      <c r="G199" s="15">
        <v>1</v>
      </c>
      <c r="H199" s="15"/>
      <c r="I199" s="5">
        <v>0</v>
      </c>
      <c r="J199" s="8">
        <v>0</v>
      </c>
      <c r="K199" s="24">
        <v>201</v>
      </c>
      <c r="L199" s="8">
        <f>J199+ROUND(K199, 2)</f>
        <v>201</v>
      </c>
      <c r="M199" s="8"/>
      <c r="N199" s="8"/>
      <c r="O199" s="8"/>
      <c r="P199" s="9"/>
    </row>
    <row r="200" spans="1:16" ht="21" hidden="1" customHeight="1" x14ac:dyDescent="0.35">
      <c r="A200" s="1" t="s">
        <v>318</v>
      </c>
      <c r="B200" s="1"/>
      <c r="C200" s="41" t="s">
        <v>319</v>
      </c>
      <c r="D200" s="3"/>
      <c r="E200" s="3"/>
      <c r="F200" s="42" t="s">
        <v>52</v>
      </c>
      <c r="G200" s="43">
        <v>1.1000000000000001</v>
      </c>
      <c r="H200" s="43"/>
      <c r="I200" s="44">
        <v>0</v>
      </c>
      <c r="J200" s="25">
        <v>0</v>
      </c>
      <c r="K200" s="9"/>
      <c r="L200" s="9"/>
      <c r="M200" s="23"/>
      <c r="N200" s="9"/>
      <c r="O200" s="9"/>
      <c r="P200" s="9"/>
    </row>
    <row r="201" spans="1:16" ht="36" hidden="1" customHeight="1" x14ac:dyDescent="0.35">
      <c r="A201" s="1" t="s">
        <v>320</v>
      </c>
      <c r="B201" s="1"/>
      <c r="C201" s="41" t="s">
        <v>321</v>
      </c>
      <c r="D201" s="3"/>
      <c r="E201" s="3"/>
      <c r="F201" s="42" t="s">
        <v>192</v>
      </c>
      <c r="G201" s="43">
        <v>1</v>
      </c>
      <c r="H201" s="46"/>
      <c r="I201" s="47">
        <v>0</v>
      </c>
      <c r="J201" s="25">
        <v>0</v>
      </c>
      <c r="K201" s="9"/>
      <c r="L201" s="9"/>
      <c r="M201" s="23"/>
      <c r="N201" s="9"/>
      <c r="O201" s="9"/>
      <c r="P201" s="9"/>
    </row>
    <row r="202" spans="1:16" ht="54" hidden="1" customHeight="1" x14ac:dyDescent="0.35">
      <c r="A202" s="1" t="s">
        <v>322</v>
      </c>
      <c r="B202" s="1" t="s">
        <v>316</v>
      </c>
      <c r="C202" s="2" t="s">
        <v>317</v>
      </c>
      <c r="D202" s="3"/>
      <c r="E202" s="3" t="s">
        <v>784</v>
      </c>
      <c r="F202" s="3" t="s">
        <v>52</v>
      </c>
      <c r="G202" s="15">
        <v>1</v>
      </c>
      <c r="H202" s="15"/>
      <c r="I202" s="5">
        <v>0</v>
      </c>
      <c r="J202" s="8">
        <f>IFERROR(ROUND(SUM(M203,M204)/I202, 2),0)</f>
        <v>0</v>
      </c>
      <c r="K202" s="24">
        <v>201</v>
      </c>
      <c r="L202" s="8">
        <f>J202+ROUND(K202, 2)</f>
        <v>201</v>
      </c>
      <c r="M202" s="8"/>
      <c r="N202" s="8"/>
      <c r="O202" s="8"/>
      <c r="P202" s="9"/>
    </row>
    <row r="203" spans="1:16" ht="36" hidden="1" customHeight="1" x14ac:dyDescent="0.35">
      <c r="A203" s="1" t="s">
        <v>323</v>
      </c>
      <c r="B203" s="1"/>
      <c r="C203" s="41" t="s">
        <v>321</v>
      </c>
      <c r="D203" s="3"/>
      <c r="E203" s="3"/>
      <c r="F203" s="42" t="s">
        <v>192</v>
      </c>
      <c r="G203" s="43">
        <v>1</v>
      </c>
      <c r="H203" s="46"/>
      <c r="I203" s="47">
        <v>544.5</v>
      </c>
      <c r="J203" s="25">
        <v>0</v>
      </c>
      <c r="K203" s="9"/>
      <c r="L203" s="9"/>
      <c r="M203" s="23"/>
      <c r="N203" s="9"/>
      <c r="O203" s="9"/>
      <c r="P203" s="9"/>
    </row>
    <row r="204" spans="1:16" ht="54" hidden="1" customHeight="1" x14ac:dyDescent="0.35">
      <c r="A204" s="1" t="s">
        <v>324</v>
      </c>
      <c r="B204" s="1"/>
      <c r="C204" s="41" t="s">
        <v>319</v>
      </c>
      <c r="D204" s="3"/>
      <c r="E204" s="3"/>
      <c r="F204" s="42" t="s">
        <v>52</v>
      </c>
      <c r="G204" s="43">
        <v>1.1000000000000001</v>
      </c>
      <c r="H204" s="43"/>
      <c r="I204" s="44">
        <v>0</v>
      </c>
      <c r="J204" s="25">
        <v>0</v>
      </c>
      <c r="K204" s="9"/>
      <c r="L204" s="9"/>
      <c r="M204" s="23"/>
      <c r="N204" s="9"/>
      <c r="O204" s="9"/>
      <c r="P204" s="9"/>
    </row>
    <row r="205" spans="1:16" ht="36" hidden="1" customHeight="1" x14ac:dyDescent="0.35">
      <c r="A205" s="1" t="s">
        <v>325</v>
      </c>
      <c r="B205" s="1" t="s">
        <v>326</v>
      </c>
      <c r="C205" s="2" t="s">
        <v>327</v>
      </c>
      <c r="D205" s="3"/>
      <c r="E205" s="3"/>
      <c r="F205" s="3" t="s">
        <v>46</v>
      </c>
      <c r="G205" s="15">
        <v>1</v>
      </c>
      <c r="H205" s="15"/>
      <c r="I205" s="5">
        <v>0</v>
      </c>
      <c r="J205" s="8">
        <v>4447.13</v>
      </c>
      <c r="K205" s="24">
        <v>2310</v>
      </c>
      <c r="L205" s="8">
        <f>J205+ROUND(K205, 2)</f>
        <v>6757.13</v>
      </c>
      <c r="M205" s="8"/>
      <c r="N205" s="8"/>
      <c r="O205" s="8"/>
      <c r="P205" s="9"/>
    </row>
    <row r="206" spans="1:16" ht="54" hidden="1" customHeight="1" x14ac:dyDescent="0.35">
      <c r="A206" s="1" t="s">
        <v>328</v>
      </c>
      <c r="B206" s="1"/>
      <c r="C206" s="45" t="s">
        <v>329</v>
      </c>
      <c r="D206" s="3"/>
      <c r="E206" s="3"/>
      <c r="F206" s="42" t="s">
        <v>192</v>
      </c>
      <c r="G206" s="43">
        <v>4</v>
      </c>
      <c r="H206" s="43"/>
      <c r="I206" s="44">
        <v>0</v>
      </c>
      <c r="J206" s="25">
        <v>1100.4000000000001</v>
      </c>
      <c r="K206" s="9"/>
      <c r="L206" s="9"/>
      <c r="M206" s="23"/>
      <c r="N206" s="9"/>
      <c r="O206" s="9"/>
      <c r="P206" s="9"/>
    </row>
    <row r="207" spans="1:16" ht="36" hidden="1" customHeight="1" x14ac:dyDescent="0.35">
      <c r="A207" s="1" t="s">
        <v>330</v>
      </c>
      <c r="B207" s="1"/>
      <c r="C207" s="45" t="s">
        <v>331</v>
      </c>
      <c r="D207" s="3"/>
      <c r="E207" s="3"/>
      <c r="F207" s="42" t="s">
        <v>195</v>
      </c>
      <c r="G207" s="43">
        <v>1.2</v>
      </c>
      <c r="H207" s="46"/>
      <c r="I207" s="47">
        <v>0</v>
      </c>
      <c r="J207" s="25">
        <v>16.96</v>
      </c>
      <c r="K207" s="9"/>
      <c r="L207" s="9"/>
      <c r="M207" s="23"/>
      <c r="N207" s="9"/>
      <c r="O207" s="9"/>
      <c r="P207" s="9"/>
    </row>
    <row r="208" spans="1:16" ht="18" hidden="1" customHeight="1" x14ac:dyDescent="0.35">
      <c r="A208" s="1" t="s">
        <v>332</v>
      </c>
      <c r="B208" s="1"/>
      <c r="C208" s="41" t="s">
        <v>333</v>
      </c>
      <c r="D208" s="3"/>
      <c r="E208" s="3"/>
      <c r="F208" s="42" t="s">
        <v>195</v>
      </c>
      <c r="G208" s="43">
        <v>0.25</v>
      </c>
      <c r="H208" s="43"/>
      <c r="I208" s="44">
        <v>0</v>
      </c>
      <c r="J208" s="25">
        <v>47.44</v>
      </c>
      <c r="K208" s="9"/>
      <c r="L208" s="9"/>
      <c r="M208" s="23"/>
      <c r="N208" s="9"/>
      <c r="O208" s="9"/>
      <c r="P208" s="9"/>
    </row>
    <row r="209" spans="1:16" ht="24.45" hidden="1" customHeight="1" x14ac:dyDescent="0.35">
      <c r="A209" s="1" t="s">
        <v>334</v>
      </c>
      <c r="B209" s="1"/>
      <c r="C209" s="41" t="s">
        <v>210</v>
      </c>
      <c r="D209" s="3"/>
      <c r="E209" s="3"/>
      <c r="F209" s="42" t="s">
        <v>195</v>
      </c>
      <c r="G209" s="43">
        <v>0.15</v>
      </c>
      <c r="H209" s="43"/>
      <c r="I209" s="44">
        <v>0</v>
      </c>
      <c r="J209" s="25">
        <v>88.8</v>
      </c>
      <c r="K209" s="9"/>
      <c r="L209" s="9"/>
      <c r="M209" s="23"/>
      <c r="N209" s="9"/>
      <c r="O209" s="9"/>
      <c r="P209" s="9"/>
    </row>
    <row r="210" spans="1:16" ht="36" hidden="1" customHeight="1" x14ac:dyDescent="0.35">
      <c r="A210" s="1" t="s">
        <v>335</v>
      </c>
      <c r="B210" s="1" t="s">
        <v>326</v>
      </c>
      <c r="C210" s="2" t="s">
        <v>327</v>
      </c>
      <c r="D210" s="3"/>
      <c r="E210" s="3" t="s">
        <v>785</v>
      </c>
      <c r="F210" s="3" t="s">
        <v>46</v>
      </c>
      <c r="G210" s="15">
        <v>1</v>
      </c>
      <c r="H210" s="15"/>
      <c r="I210" s="5">
        <v>0</v>
      </c>
      <c r="J210" s="8">
        <f>IFERROR(ROUND(SUM(M211,M212,M213,M214)/I210, 2),0)</f>
        <v>0</v>
      </c>
      <c r="K210" s="24">
        <v>2310</v>
      </c>
      <c r="L210" s="8">
        <f>J210+ROUND(K210, 2)</f>
        <v>2310</v>
      </c>
      <c r="M210" s="8"/>
      <c r="N210" s="8"/>
      <c r="O210" s="8"/>
      <c r="P210" s="9"/>
    </row>
    <row r="211" spans="1:16" ht="36" hidden="1" customHeight="1" x14ac:dyDescent="0.35">
      <c r="A211" s="1" t="s">
        <v>336</v>
      </c>
      <c r="B211" s="1"/>
      <c r="C211" s="41" t="s">
        <v>210</v>
      </c>
      <c r="D211" s="3"/>
      <c r="E211" s="3"/>
      <c r="F211" s="42" t="s">
        <v>195</v>
      </c>
      <c r="G211" s="43">
        <v>0.15</v>
      </c>
      <c r="H211" s="43"/>
      <c r="I211" s="44">
        <v>0</v>
      </c>
      <c r="J211" s="25">
        <v>88.8</v>
      </c>
      <c r="K211" s="9"/>
      <c r="L211" s="9"/>
      <c r="M211" s="23"/>
      <c r="N211" s="9"/>
      <c r="O211" s="9"/>
      <c r="P211" s="9"/>
    </row>
    <row r="212" spans="1:16" ht="18" hidden="1" customHeight="1" x14ac:dyDescent="0.35">
      <c r="A212" s="1" t="s">
        <v>337</v>
      </c>
      <c r="B212" s="1"/>
      <c r="C212" s="41" t="s">
        <v>333</v>
      </c>
      <c r="D212" s="3"/>
      <c r="E212" s="3"/>
      <c r="F212" s="42" t="s">
        <v>195</v>
      </c>
      <c r="G212" s="43">
        <v>0.25</v>
      </c>
      <c r="H212" s="43"/>
      <c r="I212" s="44">
        <v>0</v>
      </c>
      <c r="J212" s="25">
        <v>47.44</v>
      </c>
      <c r="K212" s="9"/>
      <c r="L212" s="9"/>
      <c r="M212" s="23"/>
      <c r="N212" s="9"/>
      <c r="O212" s="9"/>
      <c r="P212" s="9"/>
    </row>
    <row r="213" spans="1:16" ht="36" hidden="1" customHeight="1" x14ac:dyDescent="0.35">
      <c r="A213" s="1" t="s">
        <v>338</v>
      </c>
      <c r="B213" s="1"/>
      <c r="C213" s="45" t="s">
        <v>331</v>
      </c>
      <c r="D213" s="3"/>
      <c r="E213" s="3"/>
      <c r="F213" s="42" t="s">
        <v>195</v>
      </c>
      <c r="G213" s="43">
        <v>1.2</v>
      </c>
      <c r="H213" s="46"/>
      <c r="I213" s="47">
        <v>331.75200000000001</v>
      </c>
      <c r="J213" s="25">
        <v>16.12</v>
      </c>
      <c r="K213" s="9"/>
      <c r="L213" s="9"/>
      <c r="M213" s="23"/>
      <c r="N213" s="9"/>
      <c r="O213" s="9"/>
      <c r="P213" s="9"/>
    </row>
    <row r="214" spans="1:16" ht="54" hidden="1" customHeight="1" x14ac:dyDescent="0.35">
      <c r="A214" s="1" t="s">
        <v>339</v>
      </c>
      <c r="B214" s="1"/>
      <c r="C214" s="45" t="s">
        <v>329</v>
      </c>
      <c r="D214" s="3"/>
      <c r="E214" s="3" t="s">
        <v>340</v>
      </c>
      <c r="F214" s="42" t="s">
        <v>192</v>
      </c>
      <c r="G214" s="43">
        <v>4</v>
      </c>
      <c r="H214" s="43"/>
      <c r="I214" s="44">
        <v>0</v>
      </c>
      <c r="J214" s="25">
        <v>1100.4000000000001</v>
      </c>
      <c r="K214" s="9"/>
      <c r="L214" s="9"/>
      <c r="M214" s="23"/>
      <c r="N214" s="9"/>
      <c r="O214" s="9"/>
      <c r="P214" s="9"/>
    </row>
    <row r="215" spans="1:16" ht="36" hidden="1" customHeight="1" x14ac:dyDescent="0.35">
      <c r="A215" s="1" t="s">
        <v>341</v>
      </c>
      <c r="B215" s="1" t="s">
        <v>342</v>
      </c>
      <c r="C215" s="2" t="s">
        <v>343</v>
      </c>
      <c r="D215" s="3"/>
      <c r="E215" s="3"/>
      <c r="F215" s="3" t="s">
        <v>52</v>
      </c>
      <c r="G215" s="15">
        <v>1</v>
      </c>
      <c r="H215" s="15"/>
      <c r="I215" s="5">
        <v>0</v>
      </c>
      <c r="J215" s="8">
        <v>844.85</v>
      </c>
      <c r="K215" s="24">
        <v>473</v>
      </c>
      <c r="L215" s="8">
        <f>J215+ROUND(K215, 2)</f>
        <v>1317.85</v>
      </c>
      <c r="M215" s="8"/>
      <c r="N215" s="8"/>
      <c r="O215" s="8"/>
      <c r="P215" s="9"/>
    </row>
    <row r="216" spans="1:16" ht="36" hidden="1" customHeight="1" x14ac:dyDescent="0.35">
      <c r="A216" s="1" t="s">
        <v>344</v>
      </c>
      <c r="B216" s="1"/>
      <c r="C216" s="45" t="s">
        <v>345</v>
      </c>
      <c r="D216" s="3"/>
      <c r="E216" s="3"/>
      <c r="F216" s="42" t="s">
        <v>195</v>
      </c>
      <c r="G216" s="43">
        <v>0.7</v>
      </c>
      <c r="H216" s="46"/>
      <c r="I216" s="47">
        <v>0</v>
      </c>
      <c r="J216" s="25">
        <v>16.96</v>
      </c>
      <c r="K216" s="9"/>
      <c r="L216" s="9"/>
      <c r="M216" s="23"/>
      <c r="N216" s="9"/>
      <c r="O216" s="9"/>
      <c r="P216" s="9"/>
    </row>
    <row r="217" spans="1:16" ht="36" hidden="1" customHeight="1" x14ac:dyDescent="0.35">
      <c r="A217" s="1" t="s">
        <v>346</v>
      </c>
      <c r="B217" s="1"/>
      <c r="C217" s="41" t="s">
        <v>347</v>
      </c>
      <c r="D217" s="3"/>
      <c r="E217" s="3"/>
      <c r="F217" s="42" t="s">
        <v>192</v>
      </c>
      <c r="G217" s="43">
        <v>1.84</v>
      </c>
      <c r="H217" s="46"/>
      <c r="I217" s="47">
        <v>0</v>
      </c>
      <c r="J217" s="25">
        <v>450.95</v>
      </c>
      <c r="K217" s="9"/>
      <c r="L217" s="9"/>
      <c r="M217" s="23"/>
      <c r="N217" s="9"/>
      <c r="O217" s="9"/>
      <c r="P217" s="9"/>
    </row>
    <row r="218" spans="1:16" ht="18" hidden="1" customHeight="1" x14ac:dyDescent="0.35">
      <c r="A218" s="1" t="s">
        <v>348</v>
      </c>
      <c r="B218" s="1"/>
      <c r="C218" s="41" t="s">
        <v>333</v>
      </c>
      <c r="D218" s="3"/>
      <c r="E218" s="3"/>
      <c r="F218" s="42" t="s">
        <v>195</v>
      </c>
      <c r="G218" s="43">
        <v>0.04</v>
      </c>
      <c r="H218" s="43"/>
      <c r="I218" s="44">
        <v>0</v>
      </c>
      <c r="J218" s="25">
        <v>47.44</v>
      </c>
      <c r="K218" s="9"/>
      <c r="L218" s="9"/>
      <c r="M218" s="23"/>
      <c r="N218" s="9"/>
      <c r="O218" s="9"/>
      <c r="P218" s="9"/>
    </row>
    <row r="219" spans="1:16" ht="20.55" hidden="1" customHeight="1" x14ac:dyDescent="0.35">
      <c r="A219" s="1" t="s">
        <v>349</v>
      </c>
      <c r="B219" s="1"/>
      <c r="C219" s="41" t="s">
        <v>350</v>
      </c>
      <c r="D219" s="3"/>
      <c r="E219" s="3"/>
      <c r="F219" s="42" t="s">
        <v>195</v>
      </c>
      <c r="G219" s="43">
        <v>1.4999999999999999E-2</v>
      </c>
      <c r="H219" s="43"/>
      <c r="I219" s="44">
        <v>0</v>
      </c>
      <c r="J219" s="25">
        <v>88.8</v>
      </c>
      <c r="K219" s="9"/>
      <c r="L219" s="9"/>
      <c r="M219" s="23"/>
      <c r="N219" s="9"/>
      <c r="O219" s="9"/>
      <c r="P219" s="9"/>
    </row>
    <row r="220" spans="1:16" ht="36" hidden="1" customHeight="1" x14ac:dyDescent="0.35">
      <c r="A220" s="1" t="s">
        <v>351</v>
      </c>
      <c r="B220" s="1" t="s">
        <v>342</v>
      </c>
      <c r="C220" s="2" t="s">
        <v>343</v>
      </c>
      <c r="D220" s="3"/>
      <c r="E220" s="3"/>
      <c r="F220" s="3" t="s">
        <v>52</v>
      </c>
      <c r="G220" s="15">
        <v>1</v>
      </c>
      <c r="H220" s="15"/>
      <c r="I220" s="5">
        <v>0</v>
      </c>
      <c r="J220" s="8">
        <v>844.85</v>
      </c>
      <c r="K220" s="24">
        <v>473</v>
      </c>
      <c r="L220" s="8">
        <f>J220+ROUND(K220, 2)</f>
        <v>1317.85</v>
      </c>
      <c r="M220" s="8"/>
      <c r="N220" s="8"/>
      <c r="O220" s="8"/>
      <c r="P220" s="9"/>
    </row>
    <row r="221" spans="1:16" ht="36" hidden="1" customHeight="1" x14ac:dyDescent="0.35">
      <c r="A221" s="1" t="s">
        <v>352</v>
      </c>
      <c r="B221" s="1"/>
      <c r="C221" s="41" t="s">
        <v>350</v>
      </c>
      <c r="D221" s="3"/>
      <c r="E221" s="3"/>
      <c r="F221" s="42" t="s">
        <v>195</v>
      </c>
      <c r="G221" s="43">
        <v>1.4999999999999999E-2</v>
      </c>
      <c r="H221" s="43"/>
      <c r="I221" s="44">
        <v>0</v>
      </c>
      <c r="J221" s="25">
        <v>88.8</v>
      </c>
      <c r="K221" s="9"/>
      <c r="L221" s="9"/>
      <c r="M221" s="23"/>
      <c r="N221" s="9"/>
      <c r="O221" s="9"/>
      <c r="P221" s="9"/>
    </row>
    <row r="222" spans="1:16" ht="18" hidden="1" customHeight="1" x14ac:dyDescent="0.35">
      <c r="A222" s="1" t="s">
        <v>353</v>
      </c>
      <c r="B222" s="1"/>
      <c r="C222" s="41" t="s">
        <v>333</v>
      </c>
      <c r="D222" s="3"/>
      <c r="E222" s="3"/>
      <c r="F222" s="42" t="s">
        <v>195</v>
      </c>
      <c r="G222" s="43">
        <v>0.04</v>
      </c>
      <c r="H222" s="43"/>
      <c r="I222" s="44">
        <v>0</v>
      </c>
      <c r="J222" s="25">
        <v>47.44</v>
      </c>
      <c r="K222" s="9"/>
      <c r="L222" s="9"/>
      <c r="M222" s="23"/>
      <c r="N222" s="9"/>
      <c r="O222" s="9"/>
      <c r="P222" s="9"/>
    </row>
    <row r="223" spans="1:16" ht="36" hidden="1" customHeight="1" x14ac:dyDescent="0.35">
      <c r="A223" s="1" t="s">
        <v>354</v>
      </c>
      <c r="B223" s="1"/>
      <c r="C223" s="41" t="s">
        <v>347</v>
      </c>
      <c r="D223" s="3"/>
      <c r="E223" s="3"/>
      <c r="F223" s="42" t="s">
        <v>192</v>
      </c>
      <c r="G223" s="43">
        <v>1.84</v>
      </c>
      <c r="H223" s="46"/>
      <c r="I223" s="47">
        <v>0</v>
      </c>
      <c r="J223" s="25">
        <v>450.95</v>
      </c>
      <c r="K223" s="9"/>
      <c r="L223" s="9"/>
      <c r="M223" s="23"/>
      <c r="N223" s="9"/>
      <c r="O223" s="9"/>
      <c r="P223" s="9"/>
    </row>
    <row r="224" spans="1:16" ht="31.95" hidden="1" customHeight="1" x14ac:dyDescent="0.35">
      <c r="A224" s="1" t="s">
        <v>355</v>
      </c>
      <c r="B224" s="1"/>
      <c r="C224" s="45" t="s">
        <v>345</v>
      </c>
      <c r="D224" s="3"/>
      <c r="E224" s="3"/>
      <c r="F224" s="42" t="s">
        <v>195</v>
      </c>
      <c r="G224" s="43">
        <v>0.7</v>
      </c>
      <c r="H224" s="46"/>
      <c r="I224" s="47">
        <v>0</v>
      </c>
      <c r="J224" s="25">
        <v>16.96</v>
      </c>
      <c r="K224" s="9"/>
      <c r="L224" s="9"/>
      <c r="M224" s="23"/>
      <c r="N224" s="9"/>
      <c r="O224" s="9"/>
      <c r="P224" s="9"/>
    </row>
    <row r="225" spans="1:16" ht="36" hidden="1" customHeight="1" x14ac:dyDescent="0.35">
      <c r="A225" s="1" t="s">
        <v>356</v>
      </c>
      <c r="B225" s="1" t="s">
        <v>342</v>
      </c>
      <c r="C225" s="2" t="s">
        <v>343</v>
      </c>
      <c r="D225" s="3"/>
      <c r="E225" s="3"/>
      <c r="F225" s="3" t="s">
        <v>52</v>
      </c>
      <c r="G225" s="15">
        <v>1</v>
      </c>
      <c r="H225" s="15"/>
      <c r="I225" s="5">
        <v>0</v>
      </c>
      <c r="J225" s="8">
        <v>375.74</v>
      </c>
      <c r="K225" s="24">
        <v>473</v>
      </c>
      <c r="L225" s="8">
        <f>J225+ROUND(K225, 2)</f>
        <v>848.74</v>
      </c>
      <c r="M225" s="8"/>
      <c r="N225" s="8"/>
      <c r="O225" s="8"/>
      <c r="P225" s="9"/>
    </row>
    <row r="226" spans="1:16" ht="36" hidden="1" customHeight="1" x14ac:dyDescent="0.35">
      <c r="A226" s="1" t="s">
        <v>357</v>
      </c>
      <c r="B226" s="1"/>
      <c r="C226" s="45" t="s">
        <v>345</v>
      </c>
      <c r="D226" s="3"/>
      <c r="E226" s="3"/>
      <c r="F226" s="42" t="s">
        <v>195</v>
      </c>
      <c r="G226" s="43">
        <v>0.7</v>
      </c>
      <c r="H226" s="46"/>
      <c r="I226" s="47">
        <v>0</v>
      </c>
      <c r="J226" s="25">
        <v>16.96</v>
      </c>
      <c r="K226" s="9"/>
      <c r="L226" s="9"/>
      <c r="M226" s="23"/>
      <c r="N226" s="9"/>
      <c r="O226" s="9"/>
      <c r="P226" s="9"/>
    </row>
    <row r="227" spans="1:16" ht="36" hidden="1" customHeight="1" x14ac:dyDescent="0.35">
      <c r="A227" s="1" t="s">
        <v>358</v>
      </c>
      <c r="B227" s="1"/>
      <c r="C227" s="41" t="s">
        <v>359</v>
      </c>
      <c r="D227" s="3"/>
      <c r="E227" s="3"/>
      <c r="F227" s="42" t="s">
        <v>192</v>
      </c>
      <c r="G227" s="43">
        <v>1.84</v>
      </c>
      <c r="H227" s="46"/>
      <c r="I227" s="47">
        <v>0</v>
      </c>
      <c r="J227" s="25">
        <v>196</v>
      </c>
      <c r="K227" s="9"/>
      <c r="L227" s="9"/>
      <c r="M227" s="23"/>
      <c r="N227" s="9"/>
      <c r="O227" s="9"/>
      <c r="P227" s="9"/>
    </row>
    <row r="228" spans="1:16" ht="18" hidden="1" customHeight="1" x14ac:dyDescent="0.35">
      <c r="A228" s="1" t="s">
        <v>360</v>
      </c>
      <c r="B228" s="1"/>
      <c r="C228" s="41" t="s">
        <v>333</v>
      </c>
      <c r="D228" s="3"/>
      <c r="E228" s="3"/>
      <c r="F228" s="42" t="s">
        <v>195</v>
      </c>
      <c r="G228" s="43">
        <v>0.04</v>
      </c>
      <c r="H228" s="43"/>
      <c r="I228" s="44">
        <v>0</v>
      </c>
      <c r="J228" s="25">
        <v>47.44</v>
      </c>
      <c r="K228" s="9"/>
      <c r="L228" s="9"/>
      <c r="M228" s="23"/>
      <c r="N228" s="9"/>
      <c r="O228" s="9"/>
      <c r="P228" s="9"/>
    </row>
    <row r="229" spans="1:16" ht="36" hidden="1" customHeight="1" x14ac:dyDescent="0.35">
      <c r="A229" s="1" t="s">
        <v>361</v>
      </c>
      <c r="B229" s="1"/>
      <c r="C229" s="41" t="s">
        <v>350</v>
      </c>
      <c r="D229" s="3"/>
      <c r="E229" s="3"/>
      <c r="F229" s="42" t="s">
        <v>195</v>
      </c>
      <c r="G229" s="43">
        <v>1.4999999999999999E-2</v>
      </c>
      <c r="H229" s="43"/>
      <c r="I229" s="44">
        <v>0</v>
      </c>
      <c r="J229" s="25">
        <v>88.8</v>
      </c>
      <c r="K229" s="9"/>
      <c r="L229" s="9"/>
      <c r="M229" s="23"/>
      <c r="N229" s="9"/>
      <c r="O229" s="9"/>
      <c r="P229" s="9"/>
    </row>
    <row r="230" spans="1:16" ht="36" hidden="1" customHeight="1" x14ac:dyDescent="0.35">
      <c r="A230" s="1" t="s">
        <v>362</v>
      </c>
      <c r="B230" s="1" t="s">
        <v>342</v>
      </c>
      <c r="C230" s="2" t="s">
        <v>343</v>
      </c>
      <c r="D230" s="3"/>
      <c r="E230" s="3" t="s">
        <v>786</v>
      </c>
      <c r="F230" s="3" t="s">
        <v>52</v>
      </c>
      <c r="G230" s="15">
        <v>1</v>
      </c>
      <c r="H230" s="15"/>
      <c r="I230" s="5">
        <v>0</v>
      </c>
      <c r="J230" s="8">
        <f>IFERROR(ROUND(SUM(M231,M232,M233,M234)/I230, 2),0)</f>
        <v>0</v>
      </c>
      <c r="K230" s="24">
        <v>473</v>
      </c>
      <c r="L230" s="8">
        <f>J230+ROUND(K230, 2)</f>
        <v>473</v>
      </c>
      <c r="M230" s="8"/>
      <c r="N230" s="8"/>
      <c r="O230" s="8"/>
      <c r="P230" s="9"/>
    </row>
    <row r="231" spans="1:16" ht="36" hidden="1" customHeight="1" x14ac:dyDescent="0.35">
      <c r="A231" s="1" t="s">
        <v>363</v>
      </c>
      <c r="B231" s="1"/>
      <c r="C231" s="41" t="s">
        <v>350</v>
      </c>
      <c r="D231" s="3"/>
      <c r="E231" s="3"/>
      <c r="F231" s="42" t="s">
        <v>195</v>
      </c>
      <c r="G231" s="43">
        <v>1.4999999999999999E-2</v>
      </c>
      <c r="H231" s="43"/>
      <c r="I231" s="44">
        <v>0</v>
      </c>
      <c r="J231" s="25">
        <v>88.8</v>
      </c>
      <c r="K231" s="9"/>
      <c r="L231" s="9"/>
      <c r="M231" s="23"/>
      <c r="N231" s="9"/>
      <c r="O231" s="9"/>
      <c r="P231" s="9"/>
    </row>
    <row r="232" spans="1:16" ht="18" hidden="1" customHeight="1" x14ac:dyDescent="0.35">
      <c r="A232" s="1" t="s">
        <v>364</v>
      </c>
      <c r="B232" s="1"/>
      <c r="C232" s="41" t="s">
        <v>333</v>
      </c>
      <c r="D232" s="3"/>
      <c r="E232" s="3"/>
      <c r="F232" s="42" t="s">
        <v>195</v>
      </c>
      <c r="G232" s="43">
        <v>0.04</v>
      </c>
      <c r="H232" s="43"/>
      <c r="I232" s="44">
        <v>0</v>
      </c>
      <c r="J232" s="25">
        <v>47.44</v>
      </c>
      <c r="K232" s="9"/>
      <c r="L232" s="9"/>
      <c r="M232" s="23"/>
      <c r="N232" s="9"/>
      <c r="O232" s="9"/>
      <c r="P232" s="9"/>
    </row>
    <row r="233" spans="1:16" ht="18" hidden="1" customHeight="1" x14ac:dyDescent="0.35">
      <c r="A233" s="1" t="s">
        <v>365</v>
      </c>
      <c r="B233" s="1"/>
      <c r="C233" s="41" t="s">
        <v>347</v>
      </c>
      <c r="D233" s="3"/>
      <c r="E233" s="3" t="s">
        <v>366</v>
      </c>
      <c r="F233" s="42" t="s">
        <v>192</v>
      </c>
      <c r="G233" s="43">
        <v>1.84</v>
      </c>
      <c r="H233" s="46"/>
      <c r="I233" s="47">
        <v>6123.7039999999997</v>
      </c>
      <c r="J233" s="25">
        <v>450.95</v>
      </c>
      <c r="K233" s="9"/>
      <c r="L233" s="9"/>
      <c r="M233" s="23"/>
      <c r="N233" s="9"/>
      <c r="O233" s="9"/>
      <c r="P233" s="9"/>
    </row>
    <row r="234" spans="1:16" ht="36" hidden="1" customHeight="1" x14ac:dyDescent="0.35">
      <c r="A234" s="1" t="s">
        <v>367</v>
      </c>
      <c r="B234" s="1"/>
      <c r="C234" s="45" t="s">
        <v>345</v>
      </c>
      <c r="D234" s="3"/>
      <c r="E234" s="3"/>
      <c r="F234" s="42" t="s">
        <v>195</v>
      </c>
      <c r="G234" s="43">
        <v>0.7</v>
      </c>
      <c r="H234" s="46"/>
      <c r="I234" s="47">
        <v>2329.67</v>
      </c>
      <c r="J234" s="25">
        <v>16.12</v>
      </c>
      <c r="K234" s="9"/>
      <c r="L234" s="9"/>
      <c r="M234" s="23"/>
      <c r="N234" s="9"/>
      <c r="O234" s="9"/>
      <c r="P234" s="9"/>
    </row>
    <row r="235" spans="1:16" ht="36" hidden="1" customHeight="1" x14ac:dyDescent="0.35">
      <c r="A235" s="1" t="s">
        <v>368</v>
      </c>
      <c r="B235" s="1" t="s">
        <v>342</v>
      </c>
      <c r="C235" s="2" t="s">
        <v>343</v>
      </c>
      <c r="D235" s="3"/>
      <c r="E235" s="3" t="s">
        <v>787</v>
      </c>
      <c r="F235" s="3" t="s">
        <v>52</v>
      </c>
      <c r="G235" s="15">
        <v>1</v>
      </c>
      <c r="H235" s="15"/>
      <c r="I235" s="5">
        <v>0</v>
      </c>
      <c r="J235" s="8">
        <f>IFERROR(ROUND(SUM(M236,M237,M238,M239)/I235, 2),0)</f>
        <v>0</v>
      </c>
      <c r="K235" s="24">
        <v>473</v>
      </c>
      <c r="L235" s="8">
        <f>J235+ROUND(K235, 2)</f>
        <v>473</v>
      </c>
      <c r="M235" s="8"/>
      <c r="N235" s="8"/>
      <c r="O235" s="8"/>
      <c r="P235" s="9"/>
    </row>
    <row r="236" spans="1:16" ht="36" hidden="1" customHeight="1" x14ac:dyDescent="0.35">
      <c r="A236" s="1" t="s">
        <v>369</v>
      </c>
      <c r="B236" s="1"/>
      <c r="C236" s="45" t="s">
        <v>345</v>
      </c>
      <c r="D236" s="3"/>
      <c r="E236" s="3"/>
      <c r="F236" s="42" t="s">
        <v>195</v>
      </c>
      <c r="G236" s="43">
        <v>0.7</v>
      </c>
      <c r="H236" s="46"/>
      <c r="I236" s="47">
        <v>1626.87</v>
      </c>
      <c r="J236" s="25">
        <v>16.12</v>
      </c>
      <c r="K236" s="9"/>
      <c r="L236" s="9"/>
      <c r="M236" s="23"/>
      <c r="N236" s="9"/>
      <c r="O236" s="9"/>
      <c r="P236" s="9"/>
    </row>
    <row r="237" spans="1:16" ht="54" hidden="1" customHeight="1" x14ac:dyDescent="0.35">
      <c r="A237" s="1" t="s">
        <v>370</v>
      </c>
      <c r="B237" s="1"/>
      <c r="C237" s="41" t="s">
        <v>347</v>
      </c>
      <c r="D237" s="3"/>
      <c r="E237" s="3" t="s">
        <v>371</v>
      </c>
      <c r="F237" s="42" t="s">
        <v>192</v>
      </c>
      <c r="G237" s="43">
        <v>1.84</v>
      </c>
      <c r="H237" s="46"/>
      <c r="I237" s="47">
        <v>4276.3440000000001</v>
      </c>
      <c r="J237" s="25">
        <v>450.95</v>
      </c>
      <c r="K237" s="9"/>
      <c r="L237" s="9"/>
      <c r="M237" s="23"/>
      <c r="N237" s="9"/>
      <c r="O237" s="9"/>
      <c r="P237" s="9"/>
    </row>
    <row r="238" spans="1:16" ht="18" hidden="1" customHeight="1" x14ac:dyDescent="0.35">
      <c r="A238" s="1" t="s">
        <v>372</v>
      </c>
      <c r="B238" s="1"/>
      <c r="C238" s="41" t="s">
        <v>333</v>
      </c>
      <c r="D238" s="3"/>
      <c r="E238" s="3"/>
      <c r="F238" s="42" t="s">
        <v>195</v>
      </c>
      <c r="G238" s="43">
        <v>0.04</v>
      </c>
      <c r="H238" s="43"/>
      <c r="I238" s="44">
        <v>0</v>
      </c>
      <c r="J238" s="25">
        <v>47.44</v>
      </c>
      <c r="K238" s="9"/>
      <c r="L238" s="9"/>
      <c r="M238" s="23"/>
      <c r="N238" s="9"/>
      <c r="O238" s="9"/>
      <c r="P238" s="9"/>
    </row>
    <row r="239" spans="1:16" ht="36" hidden="1" customHeight="1" x14ac:dyDescent="0.35">
      <c r="A239" s="1" t="s">
        <v>373</v>
      </c>
      <c r="B239" s="1"/>
      <c r="C239" s="41" t="s">
        <v>350</v>
      </c>
      <c r="D239" s="3"/>
      <c r="E239" s="3"/>
      <c r="F239" s="42" t="s">
        <v>195</v>
      </c>
      <c r="G239" s="43">
        <v>1.4999999999999999E-2</v>
      </c>
      <c r="H239" s="43"/>
      <c r="I239" s="44">
        <v>0</v>
      </c>
      <c r="J239" s="25">
        <v>88.8</v>
      </c>
      <c r="K239" s="9"/>
      <c r="L239" s="9"/>
      <c r="M239" s="23"/>
      <c r="N239" s="9"/>
      <c r="O239" s="9"/>
      <c r="P239" s="9"/>
    </row>
    <row r="240" spans="1:16" ht="36" hidden="1" customHeight="1" x14ac:dyDescent="0.35">
      <c r="A240" s="1" t="s">
        <v>374</v>
      </c>
      <c r="B240" s="1" t="s">
        <v>342</v>
      </c>
      <c r="C240" s="2" t="s">
        <v>343</v>
      </c>
      <c r="D240" s="3"/>
      <c r="E240" s="3" t="s">
        <v>788</v>
      </c>
      <c r="F240" s="3" t="s">
        <v>52</v>
      </c>
      <c r="G240" s="15">
        <v>1</v>
      </c>
      <c r="H240" s="15"/>
      <c r="I240" s="5">
        <v>0</v>
      </c>
      <c r="J240" s="8">
        <f>IFERROR(ROUND(SUM(M241,M242,M243,M244)/I240, 2),0)</f>
        <v>0</v>
      </c>
      <c r="K240" s="24">
        <v>473</v>
      </c>
      <c r="L240" s="8">
        <f>J240+ROUND(K240, 2)</f>
        <v>473</v>
      </c>
      <c r="M240" s="8"/>
      <c r="N240" s="8"/>
      <c r="O240" s="8"/>
      <c r="P240" s="9"/>
    </row>
    <row r="241" spans="1:16" ht="36" hidden="1" customHeight="1" x14ac:dyDescent="0.35">
      <c r="A241" s="1" t="s">
        <v>375</v>
      </c>
      <c r="B241" s="1"/>
      <c r="C241" s="41" t="s">
        <v>350</v>
      </c>
      <c r="D241" s="3"/>
      <c r="E241" s="3"/>
      <c r="F241" s="42" t="s">
        <v>195</v>
      </c>
      <c r="G241" s="43">
        <v>1.4999999999999999E-2</v>
      </c>
      <c r="H241" s="43"/>
      <c r="I241" s="44">
        <v>0</v>
      </c>
      <c r="J241" s="25">
        <v>88.8</v>
      </c>
      <c r="K241" s="9"/>
      <c r="L241" s="9"/>
      <c r="M241" s="23"/>
      <c r="N241" s="9"/>
      <c r="O241" s="9"/>
      <c r="P241" s="9"/>
    </row>
    <row r="242" spans="1:16" ht="18" hidden="1" customHeight="1" x14ac:dyDescent="0.35">
      <c r="A242" s="1" t="s">
        <v>376</v>
      </c>
      <c r="B242" s="1"/>
      <c r="C242" s="41" t="s">
        <v>333</v>
      </c>
      <c r="D242" s="3"/>
      <c r="E242" s="3"/>
      <c r="F242" s="42" t="s">
        <v>195</v>
      </c>
      <c r="G242" s="43">
        <v>0.04</v>
      </c>
      <c r="H242" s="43"/>
      <c r="I242" s="44">
        <v>0</v>
      </c>
      <c r="J242" s="25">
        <v>47.44</v>
      </c>
      <c r="K242" s="9"/>
      <c r="L242" s="9"/>
      <c r="M242" s="23"/>
      <c r="N242" s="9"/>
      <c r="O242" s="9"/>
      <c r="P242" s="9"/>
    </row>
    <row r="243" spans="1:16" ht="54" hidden="1" customHeight="1" x14ac:dyDescent="0.35">
      <c r="A243" s="1" t="s">
        <v>377</v>
      </c>
      <c r="B243" s="1"/>
      <c r="C243" s="41" t="s">
        <v>347</v>
      </c>
      <c r="D243" s="3"/>
      <c r="E243" s="3" t="s">
        <v>378</v>
      </c>
      <c r="F243" s="42" t="s">
        <v>192</v>
      </c>
      <c r="G243" s="43">
        <v>1.84</v>
      </c>
      <c r="H243" s="46"/>
      <c r="I243" s="47">
        <v>1641.4639999999999</v>
      </c>
      <c r="J243" s="25">
        <v>450.95</v>
      </c>
      <c r="K243" s="9"/>
      <c r="L243" s="9"/>
      <c r="M243" s="23"/>
      <c r="N243" s="9"/>
      <c r="O243" s="9"/>
      <c r="P243" s="9"/>
    </row>
    <row r="244" spans="1:16" ht="36" hidden="1" customHeight="1" x14ac:dyDescent="0.35">
      <c r="A244" s="1" t="s">
        <v>379</v>
      </c>
      <c r="B244" s="1"/>
      <c r="C244" s="45" t="s">
        <v>345</v>
      </c>
      <c r="D244" s="3"/>
      <c r="E244" s="3"/>
      <c r="F244" s="42" t="s">
        <v>195</v>
      </c>
      <c r="G244" s="43">
        <v>0.7</v>
      </c>
      <c r="H244" s="46"/>
      <c r="I244" s="47">
        <v>624.47</v>
      </c>
      <c r="J244" s="25">
        <v>16.12</v>
      </c>
      <c r="K244" s="9"/>
      <c r="L244" s="9"/>
      <c r="M244" s="23"/>
      <c r="N244" s="9"/>
      <c r="O244" s="9"/>
      <c r="P244" s="9"/>
    </row>
    <row r="245" spans="1:16" ht="40.950000000000003" hidden="1" customHeight="1" x14ac:dyDescent="0.35">
      <c r="A245" s="1" t="s">
        <v>380</v>
      </c>
      <c r="B245" s="1" t="s">
        <v>381</v>
      </c>
      <c r="C245" s="2" t="s">
        <v>382</v>
      </c>
      <c r="D245" s="3"/>
      <c r="E245" s="3"/>
      <c r="F245" s="3" t="s">
        <v>46</v>
      </c>
      <c r="G245" s="15">
        <v>1</v>
      </c>
      <c r="H245" s="15"/>
      <c r="I245" s="5">
        <v>0</v>
      </c>
      <c r="J245" s="8">
        <v>2347.08</v>
      </c>
      <c r="K245" s="24">
        <v>1655</v>
      </c>
      <c r="L245" s="8">
        <f>J245+ROUND(K245, 2)</f>
        <v>4002.08</v>
      </c>
      <c r="M245" s="8"/>
      <c r="N245" s="8"/>
      <c r="O245" s="8"/>
      <c r="P245" s="9"/>
    </row>
    <row r="246" spans="1:16" ht="18" hidden="1" customHeight="1" x14ac:dyDescent="0.35">
      <c r="A246" s="1" t="s">
        <v>383</v>
      </c>
      <c r="B246" s="1"/>
      <c r="C246" s="41" t="s">
        <v>384</v>
      </c>
      <c r="D246" s="3"/>
      <c r="E246" s="3"/>
      <c r="F246" s="42" t="s">
        <v>46</v>
      </c>
      <c r="G246" s="43">
        <v>1.07</v>
      </c>
      <c r="H246" s="46"/>
      <c r="I246" s="47">
        <v>0</v>
      </c>
      <c r="J246" s="25">
        <v>2059.0500000000002</v>
      </c>
      <c r="K246" s="9"/>
      <c r="L246" s="9"/>
      <c r="M246" s="23"/>
      <c r="N246" s="9"/>
      <c r="O246" s="9"/>
      <c r="P246" s="9"/>
    </row>
    <row r="247" spans="1:16" ht="36" hidden="1" customHeight="1" x14ac:dyDescent="0.35">
      <c r="A247" s="1" t="s">
        <v>385</v>
      </c>
      <c r="B247" s="1"/>
      <c r="C247" s="45" t="s">
        <v>386</v>
      </c>
      <c r="D247" s="3"/>
      <c r="E247" s="3"/>
      <c r="F247" s="42" t="s">
        <v>195</v>
      </c>
      <c r="G247" s="43">
        <v>7</v>
      </c>
      <c r="H247" s="43"/>
      <c r="I247" s="44">
        <v>0</v>
      </c>
      <c r="J247" s="25">
        <v>16.96</v>
      </c>
      <c r="K247" s="9"/>
      <c r="L247" s="9"/>
      <c r="M247" s="23"/>
      <c r="N247" s="9"/>
      <c r="O247" s="9"/>
      <c r="P247" s="9"/>
    </row>
    <row r="248" spans="1:16" ht="18" hidden="1" customHeight="1" x14ac:dyDescent="0.35">
      <c r="A248" s="1" t="s">
        <v>387</v>
      </c>
      <c r="B248" s="1"/>
      <c r="C248" s="41" t="s">
        <v>333</v>
      </c>
      <c r="D248" s="3"/>
      <c r="E248" s="3"/>
      <c r="F248" s="42" t="s">
        <v>195</v>
      </c>
      <c r="G248" s="43">
        <v>0.25</v>
      </c>
      <c r="H248" s="46"/>
      <c r="I248" s="47">
        <v>0</v>
      </c>
      <c r="J248" s="25">
        <v>47.44</v>
      </c>
      <c r="K248" s="9"/>
      <c r="L248" s="9"/>
      <c r="M248" s="23"/>
      <c r="N248" s="9"/>
      <c r="O248" s="9"/>
      <c r="P248" s="9"/>
    </row>
    <row r="249" spans="1:16" ht="36" hidden="1" customHeight="1" x14ac:dyDescent="0.35">
      <c r="A249" s="1" t="s">
        <v>388</v>
      </c>
      <c r="B249" s="1"/>
      <c r="C249" s="41" t="s">
        <v>350</v>
      </c>
      <c r="D249" s="3"/>
      <c r="E249" s="3"/>
      <c r="F249" s="42" t="s">
        <v>195</v>
      </c>
      <c r="G249" s="43">
        <v>0.15</v>
      </c>
      <c r="H249" s="43"/>
      <c r="I249" s="44">
        <v>0</v>
      </c>
      <c r="J249" s="25">
        <v>88.8</v>
      </c>
      <c r="K249" s="9"/>
      <c r="L249" s="9"/>
      <c r="M249" s="23"/>
      <c r="N249" s="9"/>
      <c r="O249" s="9"/>
      <c r="P249" s="9"/>
    </row>
    <row r="250" spans="1:16" ht="54" hidden="1" customHeight="1" x14ac:dyDescent="0.35">
      <c r="A250" s="1" t="s">
        <v>389</v>
      </c>
      <c r="B250" s="1" t="s">
        <v>381</v>
      </c>
      <c r="C250" s="2" t="s">
        <v>382</v>
      </c>
      <c r="D250" s="3"/>
      <c r="E250" s="3"/>
      <c r="F250" s="3" t="s">
        <v>46</v>
      </c>
      <c r="G250" s="15">
        <v>1</v>
      </c>
      <c r="H250" s="15"/>
      <c r="I250" s="5">
        <v>0</v>
      </c>
      <c r="J250" s="8">
        <v>2347.08</v>
      </c>
      <c r="K250" s="24">
        <v>1655</v>
      </c>
      <c r="L250" s="8">
        <f>J250+ROUND(K250, 2)</f>
        <v>4002.08</v>
      </c>
      <c r="M250" s="8"/>
      <c r="N250" s="8"/>
      <c r="O250" s="8"/>
      <c r="P250" s="9"/>
    </row>
    <row r="251" spans="1:16" ht="36" hidden="1" customHeight="1" x14ac:dyDescent="0.35">
      <c r="A251" s="1" t="s">
        <v>390</v>
      </c>
      <c r="B251" s="1"/>
      <c r="C251" s="41" t="s">
        <v>350</v>
      </c>
      <c r="D251" s="3"/>
      <c r="E251" s="3"/>
      <c r="F251" s="42" t="s">
        <v>195</v>
      </c>
      <c r="G251" s="43">
        <v>0.15</v>
      </c>
      <c r="H251" s="43"/>
      <c r="I251" s="44">
        <v>0</v>
      </c>
      <c r="J251" s="25">
        <v>88.8</v>
      </c>
      <c r="K251" s="9"/>
      <c r="L251" s="9"/>
      <c r="M251" s="23"/>
      <c r="N251" s="9"/>
      <c r="O251" s="9"/>
      <c r="P251" s="9"/>
    </row>
    <row r="252" spans="1:16" ht="18" hidden="1" customHeight="1" x14ac:dyDescent="0.35">
      <c r="A252" s="1" t="s">
        <v>391</v>
      </c>
      <c r="B252" s="1"/>
      <c r="C252" s="41" t="s">
        <v>333</v>
      </c>
      <c r="D252" s="3"/>
      <c r="E252" s="3"/>
      <c r="F252" s="42" t="s">
        <v>195</v>
      </c>
      <c r="G252" s="43">
        <v>0.25</v>
      </c>
      <c r="H252" s="46"/>
      <c r="I252" s="47">
        <v>0</v>
      </c>
      <c r="J252" s="25">
        <v>47.44</v>
      </c>
      <c r="K252" s="9"/>
      <c r="L252" s="9"/>
      <c r="M252" s="23"/>
      <c r="N252" s="9"/>
      <c r="O252" s="9"/>
      <c r="P252" s="9"/>
    </row>
    <row r="253" spans="1:16" ht="36" hidden="1" customHeight="1" x14ac:dyDescent="0.35">
      <c r="A253" s="1" t="s">
        <v>392</v>
      </c>
      <c r="B253" s="1"/>
      <c r="C253" s="45" t="s">
        <v>386</v>
      </c>
      <c r="D253" s="3"/>
      <c r="E253" s="3"/>
      <c r="F253" s="42" t="s">
        <v>195</v>
      </c>
      <c r="G253" s="43">
        <v>7</v>
      </c>
      <c r="H253" s="43"/>
      <c r="I253" s="44">
        <v>0</v>
      </c>
      <c r="J253" s="25">
        <v>16.96</v>
      </c>
      <c r="K253" s="9"/>
      <c r="L253" s="9"/>
      <c r="M253" s="23"/>
      <c r="N253" s="9"/>
      <c r="O253" s="9"/>
      <c r="P253" s="9"/>
    </row>
    <row r="254" spans="1:16" ht="1.05" hidden="1" customHeight="1" x14ac:dyDescent="0.35">
      <c r="A254" s="1" t="s">
        <v>393</v>
      </c>
      <c r="B254" s="1"/>
      <c r="C254" s="41" t="s">
        <v>384</v>
      </c>
      <c r="D254" s="3"/>
      <c r="E254" s="3"/>
      <c r="F254" s="42" t="s">
        <v>46</v>
      </c>
      <c r="G254" s="43">
        <v>1.07</v>
      </c>
      <c r="H254" s="46"/>
      <c r="I254" s="47">
        <v>0</v>
      </c>
      <c r="J254" s="25">
        <v>2059.0500000000002</v>
      </c>
      <c r="K254" s="9"/>
      <c r="L254" s="9"/>
      <c r="M254" s="23"/>
      <c r="N254" s="9"/>
      <c r="O254" s="9"/>
      <c r="P254" s="9"/>
    </row>
    <row r="255" spans="1:16" ht="54" hidden="1" customHeight="1" x14ac:dyDescent="0.35">
      <c r="A255" s="1" t="s">
        <v>394</v>
      </c>
      <c r="B255" s="1" t="s">
        <v>381</v>
      </c>
      <c r="C255" s="2" t="s">
        <v>382</v>
      </c>
      <c r="D255" s="3"/>
      <c r="E255" s="3" t="s">
        <v>786</v>
      </c>
      <c r="F255" s="3" t="s">
        <v>46</v>
      </c>
      <c r="G255" s="15">
        <v>1</v>
      </c>
      <c r="H255" s="15"/>
      <c r="I255" s="5">
        <v>0</v>
      </c>
      <c r="J255" s="8">
        <f>IFERROR(ROUND(SUM(M256,M257,M258,M259)/I255, 2),0)</f>
        <v>0</v>
      </c>
      <c r="K255" s="24">
        <v>1655</v>
      </c>
      <c r="L255" s="8">
        <f>J255+ROUND(K255, 2)</f>
        <v>1655</v>
      </c>
      <c r="M255" s="8"/>
      <c r="N255" s="8"/>
      <c r="O255" s="8"/>
      <c r="P255" s="9"/>
    </row>
    <row r="256" spans="1:16" ht="54" hidden="1" customHeight="1" x14ac:dyDescent="0.35">
      <c r="A256" s="1" t="s">
        <v>395</v>
      </c>
      <c r="B256" s="1"/>
      <c r="C256" s="41" t="s">
        <v>384</v>
      </c>
      <c r="D256" s="3"/>
      <c r="E256" s="3" t="s">
        <v>396</v>
      </c>
      <c r="F256" s="42" t="s">
        <v>46</v>
      </c>
      <c r="G256" s="43">
        <v>1.07</v>
      </c>
      <c r="H256" s="46"/>
      <c r="I256" s="47">
        <v>4092.0120000000002</v>
      </c>
      <c r="J256" s="25">
        <v>2059.06</v>
      </c>
      <c r="K256" s="9"/>
      <c r="L256" s="9"/>
      <c r="M256" s="23"/>
      <c r="N256" s="9"/>
      <c r="O256" s="9"/>
      <c r="P256" s="9"/>
    </row>
    <row r="257" spans="1:16" ht="36" hidden="1" customHeight="1" x14ac:dyDescent="0.35">
      <c r="A257" s="1" t="s">
        <v>397</v>
      </c>
      <c r="B257" s="1"/>
      <c r="C257" s="45" t="s">
        <v>386</v>
      </c>
      <c r="D257" s="3"/>
      <c r="E257" s="3"/>
      <c r="F257" s="42" t="s">
        <v>195</v>
      </c>
      <c r="G257" s="43">
        <v>7</v>
      </c>
      <c r="H257" s="43"/>
      <c r="I257" s="44">
        <v>0</v>
      </c>
      <c r="J257" s="25">
        <v>16.12</v>
      </c>
      <c r="K257" s="9"/>
      <c r="L257" s="9"/>
      <c r="M257" s="23"/>
      <c r="N257" s="9"/>
      <c r="O257" s="9"/>
      <c r="P257" s="9"/>
    </row>
    <row r="258" spans="1:16" ht="18" hidden="1" customHeight="1" x14ac:dyDescent="0.35">
      <c r="A258" s="1" t="s">
        <v>398</v>
      </c>
      <c r="B258" s="1"/>
      <c r="C258" s="41" t="s">
        <v>333</v>
      </c>
      <c r="D258" s="3"/>
      <c r="E258" s="3"/>
      <c r="F258" s="42" t="s">
        <v>195</v>
      </c>
      <c r="G258" s="43">
        <v>0.25</v>
      </c>
      <c r="H258" s="46"/>
      <c r="I258" s="47">
        <v>956.07799999999997</v>
      </c>
      <c r="J258" s="25">
        <v>47.44</v>
      </c>
      <c r="K258" s="9"/>
      <c r="L258" s="9"/>
      <c r="M258" s="23"/>
      <c r="N258" s="9"/>
      <c r="O258" s="9"/>
      <c r="P258" s="9"/>
    </row>
    <row r="259" spans="1:16" ht="36" hidden="1" customHeight="1" x14ac:dyDescent="0.35">
      <c r="A259" s="1" t="s">
        <v>399</v>
      </c>
      <c r="B259" s="1"/>
      <c r="C259" s="41" t="s">
        <v>350</v>
      </c>
      <c r="D259" s="3"/>
      <c r="E259" s="3"/>
      <c r="F259" s="42" t="s">
        <v>195</v>
      </c>
      <c r="G259" s="43">
        <v>0.15</v>
      </c>
      <c r="H259" s="43"/>
      <c r="I259" s="44">
        <v>0</v>
      </c>
      <c r="J259" s="25">
        <v>88.8</v>
      </c>
      <c r="K259" s="9"/>
      <c r="L259" s="9"/>
      <c r="M259" s="23"/>
      <c r="N259" s="9"/>
      <c r="O259" s="9"/>
      <c r="P259" s="9"/>
    </row>
    <row r="260" spans="1:16" ht="72" hidden="1" customHeight="1" x14ac:dyDescent="0.35">
      <c r="A260" s="1" t="s">
        <v>400</v>
      </c>
      <c r="B260" s="1" t="s">
        <v>381</v>
      </c>
      <c r="C260" s="2" t="s">
        <v>382</v>
      </c>
      <c r="D260" s="3"/>
      <c r="E260" s="3" t="s">
        <v>789</v>
      </c>
      <c r="F260" s="3" t="s">
        <v>46</v>
      </c>
      <c r="G260" s="15">
        <v>1</v>
      </c>
      <c r="H260" s="15"/>
      <c r="I260" s="5">
        <v>0</v>
      </c>
      <c r="J260" s="8">
        <f>IFERROR(ROUND(SUM(M261,M262,M263,M264)/I260, 2),0)</f>
        <v>0</v>
      </c>
      <c r="K260" s="24">
        <v>1655</v>
      </c>
      <c r="L260" s="8">
        <f>J260+ROUND(K260, 2)</f>
        <v>1655</v>
      </c>
      <c r="M260" s="8"/>
      <c r="N260" s="8"/>
      <c r="O260" s="8"/>
      <c r="P260" s="9"/>
    </row>
    <row r="261" spans="1:16" ht="36" hidden="1" customHeight="1" x14ac:dyDescent="0.35">
      <c r="A261" s="1" t="s">
        <v>401</v>
      </c>
      <c r="B261" s="1"/>
      <c r="C261" s="41" t="s">
        <v>350</v>
      </c>
      <c r="D261" s="3"/>
      <c r="E261" s="3"/>
      <c r="F261" s="42" t="s">
        <v>195</v>
      </c>
      <c r="G261" s="43">
        <v>0.15</v>
      </c>
      <c r="H261" s="43"/>
      <c r="I261" s="44">
        <v>0</v>
      </c>
      <c r="J261" s="25">
        <v>88.8</v>
      </c>
      <c r="K261" s="9"/>
      <c r="L261" s="9"/>
      <c r="M261" s="23"/>
      <c r="N261" s="9"/>
      <c r="O261" s="9"/>
      <c r="P261" s="9"/>
    </row>
    <row r="262" spans="1:16" ht="18" hidden="1" customHeight="1" x14ac:dyDescent="0.35">
      <c r="A262" s="1" t="s">
        <v>402</v>
      </c>
      <c r="B262" s="1"/>
      <c r="C262" s="41" t="s">
        <v>333</v>
      </c>
      <c r="D262" s="3"/>
      <c r="E262" s="3"/>
      <c r="F262" s="42" t="s">
        <v>195</v>
      </c>
      <c r="G262" s="43">
        <v>0.25</v>
      </c>
      <c r="H262" s="46"/>
      <c r="I262" s="47">
        <v>21.8</v>
      </c>
      <c r="J262" s="25">
        <v>47.44</v>
      </c>
      <c r="K262" s="9"/>
      <c r="L262" s="9"/>
      <c r="M262" s="23"/>
      <c r="N262" s="9"/>
      <c r="O262" s="9"/>
      <c r="P262" s="9"/>
    </row>
    <row r="263" spans="1:16" ht="36" hidden="1" customHeight="1" x14ac:dyDescent="0.35">
      <c r="A263" s="1" t="s">
        <v>403</v>
      </c>
      <c r="B263" s="1"/>
      <c r="C263" s="45" t="s">
        <v>386</v>
      </c>
      <c r="D263" s="3"/>
      <c r="E263" s="3"/>
      <c r="F263" s="42" t="s">
        <v>195</v>
      </c>
      <c r="G263" s="43">
        <v>7</v>
      </c>
      <c r="H263" s="43"/>
      <c r="I263" s="44">
        <v>0</v>
      </c>
      <c r="J263" s="25">
        <v>16.12</v>
      </c>
      <c r="K263" s="9"/>
      <c r="L263" s="9"/>
      <c r="M263" s="23"/>
      <c r="N263" s="9"/>
      <c r="O263" s="9"/>
      <c r="P263" s="9"/>
    </row>
    <row r="264" spans="1:16" ht="18" hidden="1" customHeight="1" x14ac:dyDescent="0.35">
      <c r="A264" s="1" t="s">
        <v>404</v>
      </c>
      <c r="B264" s="1"/>
      <c r="C264" s="41" t="s">
        <v>384</v>
      </c>
      <c r="D264" s="3"/>
      <c r="E264" s="3"/>
      <c r="F264" s="42" t="s">
        <v>46</v>
      </c>
      <c r="G264" s="43">
        <v>1.07</v>
      </c>
      <c r="H264" s="46"/>
      <c r="I264" s="47">
        <v>93.304000000000002</v>
      </c>
      <c r="J264" s="25">
        <v>2059.06</v>
      </c>
      <c r="K264" s="9"/>
      <c r="L264" s="9"/>
      <c r="M264" s="23"/>
      <c r="N264" s="9"/>
      <c r="O264" s="9"/>
      <c r="P264" s="9"/>
    </row>
    <row r="265" spans="1:16" ht="47.55" hidden="1" customHeight="1" x14ac:dyDescent="0.35">
      <c r="A265" s="1" t="s">
        <v>405</v>
      </c>
      <c r="B265" s="1" t="s">
        <v>406</v>
      </c>
      <c r="C265" s="2" t="s">
        <v>407</v>
      </c>
      <c r="D265" s="3"/>
      <c r="E265" s="3"/>
      <c r="F265" s="3" t="s">
        <v>46</v>
      </c>
      <c r="G265" s="15">
        <v>1</v>
      </c>
      <c r="H265" s="15"/>
      <c r="I265" s="5">
        <v>0</v>
      </c>
      <c r="J265" s="8">
        <v>2552.44</v>
      </c>
      <c r="K265" s="24">
        <v>2785</v>
      </c>
      <c r="L265" s="8">
        <f>J265+ROUND(K265, 2)</f>
        <v>5337.4400000000005</v>
      </c>
      <c r="M265" s="8"/>
      <c r="N265" s="8"/>
      <c r="O265" s="8"/>
      <c r="P265" s="9"/>
    </row>
    <row r="266" spans="1:16" ht="36" hidden="1" customHeight="1" x14ac:dyDescent="0.35">
      <c r="A266" s="1" t="s">
        <v>408</v>
      </c>
      <c r="B266" s="1"/>
      <c r="C266" s="45" t="s">
        <v>409</v>
      </c>
      <c r="D266" s="3"/>
      <c r="E266" s="3"/>
      <c r="F266" s="42" t="s">
        <v>195</v>
      </c>
      <c r="G266" s="43">
        <v>1.2</v>
      </c>
      <c r="H266" s="46"/>
      <c r="I266" s="47">
        <v>0</v>
      </c>
      <c r="J266" s="25">
        <v>16.96</v>
      </c>
      <c r="K266" s="9"/>
      <c r="L266" s="9"/>
      <c r="M266" s="23"/>
      <c r="N266" s="9"/>
      <c r="O266" s="9"/>
      <c r="P266" s="9"/>
    </row>
    <row r="267" spans="1:16" ht="36" hidden="1" customHeight="1" x14ac:dyDescent="0.35">
      <c r="A267" s="1" t="s">
        <v>410</v>
      </c>
      <c r="B267" s="1"/>
      <c r="C267" s="41" t="s">
        <v>411</v>
      </c>
      <c r="D267" s="3"/>
      <c r="E267" s="3"/>
      <c r="F267" s="42" t="s">
        <v>46</v>
      </c>
      <c r="G267" s="43">
        <v>1.2</v>
      </c>
      <c r="H267" s="46"/>
      <c r="I267" s="47">
        <v>0</v>
      </c>
      <c r="J267" s="25">
        <v>2021.25</v>
      </c>
      <c r="K267" s="9"/>
      <c r="L267" s="9"/>
      <c r="M267" s="23"/>
      <c r="N267" s="9"/>
      <c r="O267" s="9"/>
      <c r="P267" s="9"/>
    </row>
    <row r="268" spans="1:16" ht="18" hidden="1" customHeight="1" x14ac:dyDescent="0.35">
      <c r="A268" s="1" t="s">
        <v>412</v>
      </c>
      <c r="B268" s="1"/>
      <c r="C268" s="41" t="s">
        <v>333</v>
      </c>
      <c r="D268" s="3"/>
      <c r="E268" s="3"/>
      <c r="F268" s="42" t="s">
        <v>195</v>
      </c>
      <c r="G268" s="43">
        <v>0.25</v>
      </c>
      <c r="H268" s="46"/>
      <c r="I268" s="47">
        <v>0</v>
      </c>
      <c r="J268" s="25">
        <v>47.44</v>
      </c>
      <c r="K268" s="9"/>
      <c r="L268" s="9"/>
      <c r="M268" s="23"/>
      <c r="N268" s="9"/>
      <c r="O268" s="9"/>
      <c r="P268" s="9"/>
    </row>
    <row r="269" spans="1:16" ht="36" hidden="1" customHeight="1" x14ac:dyDescent="0.35">
      <c r="A269" s="1" t="s">
        <v>413</v>
      </c>
      <c r="B269" s="1"/>
      <c r="C269" s="41" t="s">
        <v>350</v>
      </c>
      <c r="D269" s="3"/>
      <c r="E269" s="3"/>
      <c r="F269" s="42" t="s">
        <v>195</v>
      </c>
      <c r="G269" s="43">
        <v>0.15</v>
      </c>
      <c r="H269" s="43"/>
      <c r="I269" s="44">
        <v>0</v>
      </c>
      <c r="J269" s="25">
        <v>88.8</v>
      </c>
      <c r="K269" s="9"/>
      <c r="L269" s="9"/>
      <c r="M269" s="23"/>
      <c r="N269" s="9"/>
      <c r="O269" s="9"/>
      <c r="P269" s="9"/>
    </row>
    <row r="270" spans="1:16" ht="54" hidden="1" customHeight="1" x14ac:dyDescent="0.35">
      <c r="A270" s="1" t="s">
        <v>414</v>
      </c>
      <c r="B270" s="1" t="s">
        <v>406</v>
      </c>
      <c r="C270" s="2" t="s">
        <v>407</v>
      </c>
      <c r="D270" s="3"/>
      <c r="E270" s="3"/>
      <c r="F270" s="3" t="s">
        <v>46</v>
      </c>
      <c r="G270" s="15">
        <v>1</v>
      </c>
      <c r="H270" s="15"/>
      <c r="I270" s="5">
        <v>0</v>
      </c>
      <c r="J270" s="8">
        <v>2552.44</v>
      </c>
      <c r="K270" s="24">
        <v>2785</v>
      </c>
      <c r="L270" s="8">
        <f>J270+ROUND(K270, 2)</f>
        <v>5337.4400000000005</v>
      </c>
      <c r="M270" s="8"/>
      <c r="N270" s="8"/>
      <c r="O270" s="8"/>
      <c r="P270" s="9"/>
    </row>
    <row r="271" spans="1:16" ht="36" hidden="1" customHeight="1" x14ac:dyDescent="0.35">
      <c r="A271" s="1" t="s">
        <v>415</v>
      </c>
      <c r="B271" s="1"/>
      <c r="C271" s="41" t="s">
        <v>350</v>
      </c>
      <c r="D271" s="3"/>
      <c r="E271" s="3"/>
      <c r="F271" s="42" t="s">
        <v>195</v>
      </c>
      <c r="G271" s="43">
        <v>0.15</v>
      </c>
      <c r="H271" s="43"/>
      <c r="I271" s="44">
        <v>0</v>
      </c>
      <c r="J271" s="25">
        <v>88.8</v>
      </c>
      <c r="K271" s="9"/>
      <c r="L271" s="9"/>
      <c r="M271" s="23"/>
      <c r="N271" s="9"/>
      <c r="O271" s="9"/>
      <c r="P271" s="9"/>
    </row>
    <row r="272" spans="1:16" ht="18" hidden="1" customHeight="1" x14ac:dyDescent="0.35">
      <c r="A272" s="1" t="s">
        <v>416</v>
      </c>
      <c r="B272" s="1"/>
      <c r="C272" s="41" t="s">
        <v>333</v>
      </c>
      <c r="D272" s="3"/>
      <c r="E272" s="3"/>
      <c r="F272" s="42" t="s">
        <v>195</v>
      </c>
      <c r="G272" s="43">
        <v>0.25</v>
      </c>
      <c r="H272" s="46"/>
      <c r="I272" s="47">
        <v>0</v>
      </c>
      <c r="J272" s="25">
        <v>47.44</v>
      </c>
      <c r="K272" s="9"/>
      <c r="L272" s="9"/>
      <c r="M272" s="23"/>
      <c r="N272" s="9"/>
      <c r="O272" s="9"/>
      <c r="P272" s="9"/>
    </row>
    <row r="273" spans="1:16" ht="36" hidden="1" customHeight="1" x14ac:dyDescent="0.35">
      <c r="A273" s="1" t="s">
        <v>417</v>
      </c>
      <c r="B273" s="1"/>
      <c r="C273" s="41" t="s">
        <v>411</v>
      </c>
      <c r="D273" s="3"/>
      <c r="E273" s="3"/>
      <c r="F273" s="42" t="s">
        <v>46</v>
      </c>
      <c r="G273" s="43">
        <v>1.2</v>
      </c>
      <c r="H273" s="46"/>
      <c r="I273" s="47">
        <v>0</v>
      </c>
      <c r="J273" s="25">
        <v>2021.25</v>
      </c>
      <c r="K273" s="9"/>
      <c r="L273" s="9"/>
      <c r="M273" s="23"/>
      <c r="N273" s="9"/>
      <c r="O273" s="9"/>
      <c r="P273" s="9"/>
    </row>
    <row r="274" spans="1:16" ht="36" hidden="1" customHeight="1" x14ac:dyDescent="0.35">
      <c r="A274" s="1" t="s">
        <v>418</v>
      </c>
      <c r="B274" s="1"/>
      <c r="C274" s="45" t="s">
        <v>409</v>
      </c>
      <c r="D274" s="3"/>
      <c r="E274" s="3"/>
      <c r="F274" s="42" t="s">
        <v>195</v>
      </c>
      <c r="G274" s="43">
        <v>1.2</v>
      </c>
      <c r="H274" s="46"/>
      <c r="I274" s="47">
        <v>0</v>
      </c>
      <c r="J274" s="25">
        <v>16.96</v>
      </c>
      <c r="K274" s="9"/>
      <c r="L274" s="9"/>
      <c r="M274" s="23"/>
      <c r="N274" s="9"/>
      <c r="O274" s="9"/>
      <c r="P274" s="9"/>
    </row>
    <row r="275" spans="1:16" ht="54" hidden="1" customHeight="1" x14ac:dyDescent="0.35">
      <c r="A275" s="1" t="s">
        <v>419</v>
      </c>
      <c r="B275" s="1" t="s">
        <v>406</v>
      </c>
      <c r="C275" s="2" t="s">
        <v>407</v>
      </c>
      <c r="D275" s="3"/>
      <c r="E275" s="3" t="s">
        <v>787</v>
      </c>
      <c r="F275" s="3" t="s">
        <v>46</v>
      </c>
      <c r="G275" s="15">
        <v>1</v>
      </c>
      <c r="H275" s="15"/>
      <c r="I275" s="5">
        <v>0</v>
      </c>
      <c r="J275" s="8">
        <f>IFERROR(ROUND(SUM(M276,M277,M278,M279)/I275, 2),0)</f>
        <v>0</v>
      </c>
      <c r="K275" s="24">
        <v>2785</v>
      </c>
      <c r="L275" s="8">
        <f>J275+ROUND(K275, 2)</f>
        <v>2785</v>
      </c>
      <c r="M275" s="8"/>
      <c r="N275" s="8"/>
      <c r="O275" s="8"/>
      <c r="P275" s="9"/>
    </row>
    <row r="276" spans="1:16" ht="36" hidden="1" customHeight="1" x14ac:dyDescent="0.35">
      <c r="A276" s="1" t="s">
        <v>420</v>
      </c>
      <c r="B276" s="1"/>
      <c r="C276" s="45" t="s">
        <v>409</v>
      </c>
      <c r="D276" s="3"/>
      <c r="E276" s="3"/>
      <c r="F276" s="42" t="s">
        <v>195</v>
      </c>
      <c r="G276" s="43">
        <v>1.2</v>
      </c>
      <c r="H276" s="46"/>
      <c r="I276" s="47">
        <v>2674.3919999999998</v>
      </c>
      <c r="J276" s="25">
        <v>16.12</v>
      </c>
      <c r="K276" s="9"/>
      <c r="L276" s="9"/>
      <c r="M276" s="23"/>
      <c r="N276" s="9"/>
      <c r="O276" s="9"/>
      <c r="P276" s="9"/>
    </row>
    <row r="277" spans="1:16" ht="38.549999999999997" hidden="1" customHeight="1" x14ac:dyDescent="0.35">
      <c r="A277" s="1" t="s">
        <v>421</v>
      </c>
      <c r="B277" s="1"/>
      <c r="C277" s="41" t="s">
        <v>411</v>
      </c>
      <c r="D277" s="3"/>
      <c r="E277" s="3" t="s">
        <v>422</v>
      </c>
      <c r="F277" s="42" t="s">
        <v>46</v>
      </c>
      <c r="G277" s="43">
        <v>1.2</v>
      </c>
      <c r="H277" s="46"/>
      <c r="I277" s="47">
        <v>2674.3919999999998</v>
      </c>
      <c r="J277" s="25">
        <v>2021.26</v>
      </c>
      <c r="K277" s="9"/>
      <c r="L277" s="9"/>
      <c r="M277" s="23"/>
      <c r="N277" s="9"/>
      <c r="O277" s="9"/>
      <c r="P277" s="9"/>
    </row>
    <row r="278" spans="1:16" ht="18" hidden="1" customHeight="1" x14ac:dyDescent="0.35">
      <c r="A278" s="1" t="s">
        <v>423</v>
      </c>
      <c r="B278" s="1"/>
      <c r="C278" s="41" t="s">
        <v>333</v>
      </c>
      <c r="D278" s="3"/>
      <c r="E278" s="3"/>
      <c r="F278" s="42" t="s">
        <v>195</v>
      </c>
      <c r="G278" s="43">
        <v>0.25</v>
      </c>
      <c r="H278" s="46"/>
      <c r="I278" s="47">
        <v>557.16499999999996</v>
      </c>
      <c r="J278" s="25">
        <v>47.44</v>
      </c>
      <c r="K278" s="9"/>
      <c r="L278" s="9"/>
      <c r="M278" s="23"/>
      <c r="N278" s="9"/>
      <c r="O278" s="9"/>
      <c r="P278" s="9"/>
    </row>
    <row r="279" spans="1:16" ht="36" hidden="1" customHeight="1" x14ac:dyDescent="0.35">
      <c r="A279" s="1" t="s">
        <v>424</v>
      </c>
      <c r="B279" s="1"/>
      <c r="C279" s="41" t="s">
        <v>350</v>
      </c>
      <c r="D279" s="3"/>
      <c r="E279" s="3"/>
      <c r="F279" s="42" t="s">
        <v>195</v>
      </c>
      <c r="G279" s="43">
        <v>0.15</v>
      </c>
      <c r="H279" s="43"/>
      <c r="I279" s="44">
        <v>0</v>
      </c>
      <c r="J279" s="25">
        <v>88.8</v>
      </c>
      <c r="K279" s="9"/>
      <c r="L279" s="9"/>
      <c r="M279" s="23"/>
      <c r="N279" s="9"/>
      <c r="O279" s="9"/>
      <c r="P279" s="9"/>
    </row>
    <row r="280" spans="1:16" ht="54" hidden="1" customHeight="1" x14ac:dyDescent="0.35">
      <c r="A280" s="1" t="s">
        <v>425</v>
      </c>
      <c r="B280" s="1" t="s">
        <v>406</v>
      </c>
      <c r="C280" s="2" t="s">
        <v>407</v>
      </c>
      <c r="D280" s="3"/>
      <c r="E280" s="3" t="s">
        <v>788</v>
      </c>
      <c r="F280" s="3" t="s">
        <v>46</v>
      </c>
      <c r="G280" s="15">
        <v>1</v>
      </c>
      <c r="H280" s="15"/>
      <c r="I280" s="5">
        <v>0</v>
      </c>
      <c r="J280" s="8">
        <f>IFERROR(ROUND(SUM(M281,M282,M283,M284)/I280, 2),0)</f>
        <v>0</v>
      </c>
      <c r="K280" s="24">
        <v>2785</v>
      </c>
      <c r="L280" s="8">
        <f>J280+ROUND(K280, 2)</f>
        <v>2785</v>
      </c>
      <c r="M280" s="8"/>
      <c r="N280" s="8"/>
      <c r="O280" s="8"/>
      <c r="P280" s="9"/>
    </row>
    <row r="281" spans="1:16" ht="36" hidden="1" customHeight="1" x14ac:dyDescent="0.35">
      <c r="A281" s="1" t="s">
        <v>426</v>
      </c>
      <c r="B281" s="1"/>
      <c r="C281" s="41" t="s">
        <v>350</v>
      </c>
      <c r="D281" s="3"/>
      <c r="E281" s="3"/>
      <c r="F281" s="42" t="s">
        <v>195</v>
      </c>
      <c r="G281" s="43">
        <v>0.15</v>
      </c>
      <c r="H281" s="43"/>
      <c r="I281" s="44">
        <v>0</v>
      </c>
      <c r="J281" s="25">
        <v>88.8</v>
      </c>
      <c r="K281" s="9"/>
      <c r="L281" s="9"/>
      <c r="M281" s="23"/>
      <c r="N281" s="9"/>
      <c r="O281" s="9"/>
      <c r="P281" s="9"/>
    </row>
    <row r="282" spans="1:16" ht="18" hidden="1" customHeight="1" x14ac:dyDescent="0.35">
      <c r="A282" s="1" t="s">
        <v>427</v>
      </c>
      <c r="B282" s="1"/>
      <c r="C282" s="41" t="s">
        <v>333</v>
      </c>
      <c r="D282" s="3"/>
      <c r="E282" s="3"/>
      <c r="F282" s="42" t="s">
        <v>195</v>
      </c>
      <c r="G282" s="43">
        <v>0.25</v>
      </c>
      <c r="H282" s="46"/>
      <c r="I282" s="47">
        <v>288.05799999999999</v>
      </c>
      <c r="J282" s="25">
        <v>47.44</v>
      </c>
      <c r="K282" s="9"/>
      <c r="L282" s="9"/>
      <c r="M282" s="23"/>
      <c r="N282" s="9"/>
      <c r="O282" s="9"/>
      <c r="P282" s="9"/>
    </row>
    <row r="283" spans="1:16" ht="72" hidden="1" customHeight="1" x14ac:dyDescent="0.35">
      <c r="A283" s="1" t="s">
        <v>428</v>
      </c>
      <c r="B283" s="1"/>
      <c r="C283" s="41" t="s">
        <v>411</v>
      </c>
      <c r="D283" s="3"/>
      <c r="E283" s="3" t="s">
        <v>429</v>
      </c>
      <c r="F283" s="42" t="s">
        <v>46</v>
      </c>
      <c r="G283" s="43">
        <v>1.2</v>
      </c>
      <c r="H283" s="46"/>
      <c r="I283" s="47">
        <v>1382.6759999999999</v>
      </c>
      <c r="J283" s="25">
        <v>2021.26</v>
      </c>
      <c r="K283" s="9"/>
      <c r="L283" s="9"/>
      <c r="M283" s="23"/>
      <c r="N283" s="9"/>
      <c r="O283" s="9"/>
      <c r="P283" s="9"/>
    </row>
    <row r="284" spans="1:16" ht="36" hidden="1" customHeight="1" x14ac:dyDescent="0.35">
      <c r="A284" s="1" t="s">
        <v>430</v>
      </c>
      <c r="B284" s="1"/>
      <c r="C284" s="45" t="s">
        <v>409</v>
      </c>
      <c r="D284" s="3"/>
      <c r="E284" s="3"/>
      <c r="F284" s="42" t="s">
        <v>195</v>
      </c>
      <c r="G284" s="43">
        <v>1.2</v>
      </c>
      <c r="H284" s="46"/>
      <c r="I284" s="47">
        <v>1382.6759999999999</v>
      </c>
      <c r="J284" s="25">
        <v>16.12</v>
      </c>
      <c r="K284" s="9"/>
      <c r="L284" s="9"/>
      <c r="M284" s="23"/>
      <c r="N284" s="9"/>
      <c r="O284" s="9"/>
      <c r="P284" s="9"/>
    </row>
    <row r="285" spans="1:16" ht="16.95" hidden="1" customHeight="1" x14ac:dyDescent="0.35">
      <c r="A285" s="1" t="s">
        <v>431</v>
      </c>
      <c r="B285" s="1" t="s">
        <v>432</v>
      </c>
      <c r="C285" s="119" t="s">
        <v>433</v>
      </c>
      <c r="D285" s="120"/>
      <c r="E285" s="120"/>
      <c r="F285" s="120"/>
      <c r="G285" s="120"/>
      <c r="H285" s="120"/>
      <c r="I285" s="120"/>
      <c r="J285" s="9"/>
      <c r="K285" s="9"/>
      <c r="L285" s="9"/>
      <c r="M285" s="23"/>
      <c r="N285" s="23"/>
      <c r="O285" s="23"/>
      <c r="P285" s="9"/>
    </row>
    <row r="286" spans="1:16" ht="16.95" hidden="1" customHeight="1" x14ac:dyDescent="0.35">
      <c r="A286" s="1" t="s">
        <v>434</v>
      </c>
      <c r="B286" s="1" t="s">
        <v>435</v>
      </c>
      <c r="C286" s="119" t="s">
        <v>436</v>
      </c>
      <c r="D286" s="120"/>
      <c r="E286" s="120"/>
      <c r="F286" s="120"/>
      <c r="G286" s="120"/>
      <c r="H286" s="120"/>
      <c r="I286" s="120"/>
      <c r="J286" s="9"/>
      <c r="K286" s="9"/>
      <c r="L286" s="9"/>
      <c r="M286" s="23"/>
      <c r="N286" s="23"/>
      <c r="O286" s="23"/>
      <c r="P286" s="9"/>
    </row>
    <row r="287" spans="1:16" ht="9.4499999999999993" hidden="1" customHeight="1" x14ac:dyDescent="0.35">
      <c r="A287" s="1" t="s">
        <v>437</v>
      </c>
      <c r="B287" s="1" t="s">
        <v>438</v>
      </c>
      <c r="C287" s="2" t="s">
        <v>439</v>
      </c>
      <c r="D287" s="3" t="s">
        <v>440</v>
      </c>
      <c r="E287" s="3"/>
      <c r="F287" s="3" t="s">
        <v>46</v>
      </c>
      <c r="G287" s="15">
        <v>1</v>
      </c>
      <c r="H287" s="15"/>
      <c r="I287" s="5">
        <v>0</v>
      </c>
      <c r="J287" s="8">
        <v>281.27999999999997</v>
      </c>
      <c r="K287" s="24">
        <v>954</v>
      </c>
      <c r="L287" s="8">
        <f>J287+ROUND(K287, 2)</f>
        <v>1235.28</v>
      </c>
      <c r="M287" s="8"/>
      <c r="N287" s="8"/>
      <c r="O287" s="8"/>
      <c r="P287" s="9"/>
    </row>
    <row r="288" spans="1:16" ht="18" hidden="1" customHeight="1" x14ac:dyDescent="0.35">
      <c r="A288" s="1" t="s">
        <v>441</v>
      </c>
      <c r="B288" s="1"/>
      <c r="C288" s="41" t="s">
        <v>442</v>
      </c>
      <c r="D288" s="3"/>
      <c r="E288" s="3"/>
      <c r="F288" s="42" t="s">
        <v>195</v>
      </c>
      <c r="G288" s="43">
        <v>1.3</v>
      </c>
      <c r="H288" s="46"/>
      <c r="I288" s="47">
        <v>0</v>
      </c>
      <c r="J288" s="25">
        <v>8.6</v>
      </c>
      <c r="K288" s="9"/>
      <c r="L288" s="9"/>
      <c r="M288" s="23"/>
      <c r="N288" s="9"/>
      <c r="O288" s="9"/>
      <c r="P288" s="9"/>
    </row>
    <row r="289" spans="1:16" ht="18" hidden="1" customHeight="1" x14ac:dyDescent="0.35">
      <c r="A289" s="1" t="s">
        <v>443</v>
      </c>
      <c r="B289" s="1"/>
      <c r="C289" s="41" t="s">
        <v>444</v>
      </c>
      <c r="D289" s="3"/>
      <c r="E289" s="3"/>
      <c r="F289" s="42" t="s">
        <v>46</v>
      </c>
      <c r="G289" s="43">
        <v>1.1000000000000001</v>
      </c>
      <c r="H289" s="43"/>
      <c r="I289" s="44">
        <v>0</v>
      </c>
      <c r="J289" s="25">
        <v>26</v>
      </c>
      <c r="K289" s="9"/>
      <c r="L289" s="9"/>
      <c r="M289" s="23"/>
      <c r="N289" s="9"/>
      <c r="O289" s="9"/>
      <c r="P289" s="9"/>
    </row>
    <row r="290" spans="1:16" ht="18" hidden="1" customHeight="1" x14ac:dyDescent="0.35">
      <c r="A290" s="1" t="s">
        <v>445</v>
      </c>
      <c r="B290" s="1"/>
      <c r="C290" s="41" t="s">
        <v>446</v>
      </c>
      <c r="D290" s="3"/>
      <c r="E290" s="3"/>
      <c r="F290" s="42" t="s">
        <v>52</v>
      </c>
      <c r="G290" s="43">
        <v>1</v>
      </c>
      <c r="H290" s="46"/>
      <c r="I290" s="47">
        <v>0</v>
      </c>
      <c r="J290" s="25">
        <v>15.76</v>
      </c>
      <c r="K290" s="9"/>
      <c r="L290" s="9"/>
      <c r="M290" s="23"/>
      <c r="N290" s="9"/>
      <c r="O290" s="9"/>
      <c r="P290" s="9"/>
    </row>
    <row r="291" spans="1:16" ht="36" hidden="1" customHeight="1" x14ac:dyDescent="0.35">
      <c r="A291" s="1" t="s">
        <v>447</v>
      </c>
      <c r="B291" s="1"/>
      <c r="C291" s="41" t="s">
        <v>350</v>
      </c>
      <c r="D291" s="3"/>
      <c r="E291" s="3"/>
      <c r="F291" s="42" t="s">
        <v>195</v>
      </c>
      <c r="G291" s="43">
        <v>0.15</v>
      </c>
      <c r="H291" s="43"/>
      <c r="I291" s="44">
        <v>0</v>
      </c>
      <c r="J291" s="25">
        <v>88.8</v>
      </c>
      <c r="K291" s="9"/>
      <c r="L291" s="9"/>
      <c r="M291" s="23"/>
      <c r="N291" s="9"/>
      <c r="O291" s="9"/>
      <c r="P291" s="9"/>
    </row>
    <row r="292" spans="1:16" ht="72" hidden="1" customHeight="1" x14ac:dyDescent="0.35">
      <c r="A292" s="1" t="s">
        <v>448</v>
      </c>
      <c r="B292" s="1" t="s">
        <v>438</v>
      </c>
      <c r="C292" s="2" t="s">
        <v>439</v>
      </c>
      <c r="D292" s="3" t="s">
        <v>440</v>
      </c>
      <c r="E292" s="3" t="s">
        <v>790</v>
      </c>
      <c r="F292" s="3" t="s">
        <v>46</v>
      </c>
      <c r="G292" s="15">
        <v>1</v>
      </c>
      <c r="H292" s="15"/>
      <c r="I292" s="5">
        <v>0</v>
      </c>
      <c r="J292" s="8">
        <f>IFERROR(ROUND(SUM(M293,M294,M295,M296)/I292, 2),0)</f>
        <v>0</v>
      </c>
      <c r="K292" s="24">
        <v>954</v>
      </c>
      <c r="L292" s="8">
        <f>J292+ROUND(K292, 2)</f>
        <v>954</v>
      </c>
      <c r="M292" s="8"/>
      <c r="N292" s="8"/>
      <c r="O292" s="8"/>
      <c r="P292" s="9"/>
    </row>
    <row r="293" spans="1:16" ht="36" hidden="1" customHeight="1" x14ac:dyDescent="0.35">
      <c r="A293" s="1" t="s">
        <v>449</v>
      </c>
      <c r="B293" s="1"/>
      <c r="C293" s="41" t="s">
        <v>350</v>
      </c>
      <c r="D293" s="3"/>
      <c r="E293" s="3"/>
      <c r="F293" s="42" t="s">
        <v>195</v>
      </c>
      <c r="G293" s="43">
        <v>0.15</v>
      </c>
      <c r="H293" s="43"/>
      <c r="I293" s="44">
        <v>0</v>
      </c>
      <c r="J293" s="25">
        <v>88.8</v>
      </c>
      <c r="K293" s="9"/>
      <c r="L293" s="9"/>
      <c r="M293" s="23"/>
      <c r="N293" s="9"/>
      <c r="O293" s="9"/>
      <c r="P293" s="9"/>
    </row>
    <row r="294" spans="1:16" ht="18" hidden="1" customHeight="1" x14ac:dyDescent="0.35">
      <c r="A294" s="1" t="s">
        <v>450</v>
      </c>
      <c r="B294" s="1"/>
      <c r="C294" s="41" t="s">
        <v>446</v>
      </c>
      <c r="D294" s="3"/>
      <c r="E294" s="3"/>
      <c r="F294" s="42" t="s">
        <v>52</v>
      </c>
      <c r="G294" s="43">
        <v>1</v>
      </c>
      <c r="H294" s="46"/>
      <c r="I294" s="47">
        <v>7659.9</v>
      </c>
      <c r="J294" s="25">
        <v>15.76</v>
      </c>
      <c r="K294" s="9"/>
      <c r="L294" s="9"/>
      <c r="M294" s="23"/>
      <c r="N294" s="9"/>
      <c r="O294" s="9"/>
      <c r="P294" s="9"/>
    </row>
    <row r="295" spans="1:16" ht="18" hidden="1" customHeight="1" x14ac:dyDescent="0.35">
      <c r="A295" s="1" t="s">
        <v>451</v>
      </c>
      <c r="B295" s="1"/>
      <c r="C295" s="41" t="s">
        <v>444</v>
      </c>
      <c r="D295" s="3"/>
      <c r="E295" s="3"/>
      <c r="F295" s="42" t="s">
        <v>46</v>
      </c>
      <c r="G295" s="43">
        <v>1.1000000000000001</v>
      </c>
      <c r="H295" s="43"/>
      <c r="I295" s="44">
        <v>0</v>
      </c>
      <c r="J295" s="25">
        <v>26</v>
      </c>
      <c r="K295" s="9"/>
      <c r="L295" s="9"/>
      <c r="M295" s="23"/>
      <c r="N295" s="9"/>
      <c r="O295" s="9"/>
      <c r="P295" s="9"/>
    </row>
    <row r="296" spans="1:16" ht="18" hidden="1" customHeight="1" x14ac:dyDescent="0.35">
      <c r="A296" s="1" t="s">
        <v>452</v>
      </c>
      <c r="B296" s="1"/>
      <c r="C296" s="41" t="s">
        <v>442</v>
      </c>
      <c r="D296" s="3"/>
      <c r="E296" s="3"/>
      <c r="F296" s="42" t="s">
        <v>195</v>
      </c>
      <c r="G296" s="43">
        <v>1.3</v>
      </c>
      <c r="H296" s="46"/>
      <c r="I296" s="47">
        <v>199157.4</v>
      </c>
      <c r="J296" s="25">
        <v>8.6</v>
      </c>
      <c r="K296" s="9"/>
      <c r="L296" s="9"/>
      <c r="M296" s="23"/>
      <c r="N296" s="9"/>
      <c r="O296" s="9"/>
      <c r="P296" s="9"/>
    </row>
    <row r="297" spans="1:16" ht="16.95" hidden="1" customHeight="1" x14ac:dyDescent="0.35">
      <c r="A297" s="1" t="s">
        <v>453</v>
      </c>
      <c r="B297" s="1" t="s">
        <v>454</v>
      </c>
      <c r="C297" s="119" t="s">
        <v>455</v>
      </c>
      <c r="D297" s="120"/>
      <c r="E297" s="120"/>
      <c r="F297" s="120"/>
      <c r="G297" s="120"/>
      <c r="H297" s="120"/>
      <c r="I297" s="120"/>
      <c r="J297" s="9"/>
      <c r="K297" s="9"/>
      <c r="L297" s="9"/>
      <c r="M297" s="23"/>
      <c r="N297" s="23"/>
      <c r="O297" s="23"/>
      <c r="P297" s="9"/>
    </row>
    <row r="298" spans="1:16" ht="13.5" hidden="1" customHeight="1" x14ac:dyDescent="0.35">
      <c r="A298" s="1" t="s">
        <v>456</v>
      </c>
      <c r="B298" s="1" t="s">
        <v>457</v>
      </c>
      <c r="C298" s="2" t="s">
        <v>458</v>
      </c>
      <c r="D298" s="3"/>
      <c r="E298" s="3"/>
      <c r="F298" s="3" t="s">
        <v>46</v>
      </c>
      <c r="G298" s="15">
        <v>1</v>
      </c>
      <c r="H298" s="15"/>
      <c r="I298" s="5">
        <v>0</v>
      </c>
      <c r="J298" s="8">
        <v>418</v>
      </c>
      <c r="K298" s="24">
        <v>1010</v>
      </c>
      <c r="L298" s="8">
        <f>J298+ROUND(K298, 2)</f>
        <v>1428</v>
      </c>
      <c r="M298" s="8"/>
      <c r="N298" s="8"/>
      <c r="O298" s="8"/>
      <c r="P298" s="9"/>
    </row>
    <row r="299" spans="1:16" ht="18" hidden="1" customHeight="1" x14ac:dyDescent="0.35">
      <c r="A299" s="1" t="s">
        <v>459</v>
      </c>
      <c r="B299" s="1"/>
      <c r="C299" s="41" t="s">
        <v>460</v>
      </c>
      <c r="D299" s="3"/>
      <c r="E299" s="3"/>
      <c r="F299" s="42" t="s">
        <v>192</v>
      </c>
      <c r="G299" s="43">
        <v>1</v>
      </c>
      <c r="H299" s="43"/>
      <c r="I299" s="44">
        <v>0</v>
      </c>
      <c r="J299" s="25">
        <v>418</v>
      </c>
      <c r="K299" s="9"/>
      <c r="L299" s="9"/>
      <c r="M299" s="23"/>
      <c r="N299" s="9"/>
      <c r="O299" s="9"/>
      <c r="P299" s="9"/>
    </row>
    <row r="300" spans="1:16" ht="54" hidden="1" customHeight="1" x14ac:dyDescent="0.35">
      <c r="A300" s="1" t="s">
        <v>461</v>
      </c>
      <c r="B300" s="1" t="s">
        <v>457</v>
      </c>
      <c r="C300" s="2" t="s">
        <v>458</v>
      </c>
      <c r="D300" s="3"/>
      <c r="E300" s="3" t="s">
        <v>462</v>
      </c>
      <c r="F300" s="3" t="s">
        <v>46</v>
      </c>
      <c r="G300" s="15">
        <v>1</v>
      </c>
      <c r="H300" s="15"/>
      <c r="I300" s="5">
        <v>0</v>
      </c>
      <c r="J300" s="8">
        <f>IFERROR(ROUND(SUM(M301)/I300, 2),0)</f>
        <v>0</v>
      </c>
      <c r="K300" s="24">
        <v>1010</v>
      </c>
      <c r="L300" s="8">
        <f>J300+ROUND(K300, 2)</f>
        <v>1010</v>
      </c>
      <c r="M300" s="8"/>
      <c r="N300" s="8"/>
      <c r="O300" s="8"/>
      <c r="P300" s="9"/>
    </row>
    <row r="301" spans="1:16" ht="18" hidden="1" customHeight="1" x14ac:dyDescent="0.35">
      <c r="A301" s="1" t="s">
        <v>463</v>
      </c>
      <c r="B301" s="1"/>
      <c r="C301" s="41" t="s">
        <v>460</v>
      </c>
      <c r="D301" s="3"/>
      <c r="E301" s="3"/>
      <c r="F301" s="42" t="s">
        <v>192</v>
      </c>
      <c r="G301" s="43">
        <v>1</v>
      </c>
      <c r="H301" s="43"/>
      <c r="I301" s="44">
        <v>0</v>
      </c>
      <c r="J301" s="25">
        <v>418</v>
      </c>
      <c r="K301" s="9"/>
      <c r="L301" s="9"/>
      <c r="M301" s="23"/>
      <c r="N301" s="9"/>
      <c r="O301" s="9"/>
      <c r="P301" s="9"/>
    </row>
    <row r="302" spans="1:16" ht="36" hidden="1" customHeight="1" x14ac:dyDescent="0.35">
      <c r="A302" s="1" t="s">
        <v>464</v>
      </c>
      <c r="B302" s="1" t="s">
        <v>465</v>
      </c>
      <c r="C302" s="2" t="s">
        <v>466</v>
      </c>
      <c r="D302" s="3"/>
      <c r="E302" s="3"/>
      <c r="F302" s="3" t="s">
        <v>46</v>
      </c>
      <c r="G302" s="15">
        <v>1</v>
      </c>
      <c r="H302" s="15"/>
      <c r="I302" s="5">
        <v>0</v>
      </c>
      <c r="J302" s="8">
        <v>499.92</v>
      </c>
      <c r="K302" s="24">
        <v>428</v>
      </c>
      <c r="L302" s="8">
        <f>J302+ROUND(K302, 2)</f>
        <v>927.92000000000007</v>
      </c>
      <c r="M302" s="8"/>
      <c r="N302" s="8"/>
      <c r="O302" s="8"/>
      <c r="P302" s="9"/>
    </row>
    <row r="303" spans="1:16" ht="36" hidden="1" customHeight="1" x14ac:dyDescent="0.35">
      <c r="A303" s="1" t="s">
        <v>467</v>
      </c>
      <c r="B303" s="1"/>
      <c r="C303" s="41" t="s">
        <v>350</v>
      </c>
      <c r="D303" s="3"/>
      <c r="E303" s="3"/>
      <c r="F303" s="42" t="s">
        <v>195</v>
      </c>
      <c r="G303" s="43">
        <v>0.15</v>
      </c>
      <c r="H303" s="43"/>
      <c r="I303" s="44">
        <v>0</v>
      </c>
      <c r="J303" s="25">
        <v>88.8</v>
      </c>
      <c r="K303" s="9"/>
      <c r="L303" s="9"/>
      <c r="M303" s="23"/>
      <c r="N303" s="9"/>
      <c r="O303" s="9"/>
      <c r="P303" s="9"/>
    </row>
    <row r="304" spans="1:16" ht="18" hidden="1" customHeight="1" x14ac:dyDescent="0.35">
      <c r="A304" s="1" t="s">
        <v>468</v>
      </c>
      <c r="B304" s="1"/>
      <c r="C304" s="41" t="s">
        <v>469</v>
      </c>
      <c r="D304" s="3"/>
      <c r="E304" s="3"/>
      <c r="F304" s="42" t="s">
        <v>195</v>
      </c>
      <c r="G304" s="43">
        <v>0.3</v>
      </c>
      <c r="H304" s="43"/>
      <c r="I304" s="44">
        <v>0</v>
      </c>
      <c r="J304" s="25">
        <v>1622</v>
      </c>
      <c r="K304" s="9"/>
      <c r="L304" s="9"/>
      <c r="M304" s="23"/>
      <c r="N304" s="9"/>
      <c r="O304" s="9"/>
      <c r="P304" s="9"/>
    </row>
    <row r="305" spans="1:16" ht="36" hidden="1" customHeight="1" x14ac:dyDescent="0.35">
      <c r="A305" s="1" t="s">
        <v>470</v>
      </c>
      <c r="B305" s="1" t="s">
        <v>465</v>
      </c>
      <c r="C305" s="2" t="s">
        <v>466</v>
      </c>
      <c r="D305" s="3"/>
      <c r="E305" s="3"/>
      <c r="F305" s="3" t="s">
        <v>46</v>
      </c>
      <c r="G305" s="15">
        <v>1</v>
      </c>
      <c r="H305" s="15"/>
      <c r="I305" s="5">
        <v>0</v>
      </c>
      <c r="J305" s="8">
        <v>499.92</v>
      </c>
      <c r="K305" s="24">
        <v>428</v>
      </c>
      <c r="L305" s="8">
        <f>J305+ROUND(K305, 2)</f>
        <v>927.92000000000007</v>
      </c>
      <c r="M305" s="8"/>
      <c r="N305" s="8"/>
      <c r="O305" s="8"/>
      <c r="P305" s="9"/>
    </row>
    <row r="306" spans="1:16" ht="18" hidden="1" customHeight="1" x14ac:dyDescent="0.35">
      <c r="A306" s="1" t="s">
        <v>471</v>
      </c>
      <c r="B306" s="1"/>
      <c r="C306" s="41" t="s">
        <v>469</v>
      </c>
      <c r="D306" s="3"/>
      <c r="E306" s="3"/>
      <c r="F306" s="42" t="s">
        <v>195</v>
      </c>
      <c r="G306" s="43">
        <v>0.3</v>
      </c>
      <c r="H306" s="43"/>
      <c r="I306" s="44">
        <v>0</v>
      </c>
      <c r="J306" s="25">
        <v>1622</v>
      </c>
      <c r="K306" s="9"/>
      <c r="L306" s="9"/>
      <c r="M306" s="23"/>
      <c r="N306" s="9"/>
      <c r="O306" s="9"/>
      <c r="P306" s="9"/>
    </row>
    <row r="307" spans="1:16" ht="26.55" hidden="1" customHeight="1" x14ac:dyDescent="0.35">
      <c r="A307" s="1" t="s">
        <v>472</v>
      </c>
      <c r="B307" s="1"/>
      <c r="C307" s="41" t="s">
        <v>350</v>
      </c>
      <c r="D307" s="3"/>
      <c r="E307" s="3"/>
      <c r="F307" s="42" t="s">
        <v>195</v>
      </c>
      <c r="G307" s="43">
        <v>0.15</v>
      </c>
      <c r="H307" s="43"/>
      <c r="I307" s="44">
        <v>0</v>
      </c>
      <c r="J307" s="25">
        <v>88.8</v>
      </c>
      <c r="K307" s="9"/>
      <c r="L307" s="9"/>
      <c r="M307" s="23"/>
      <c r="N307" s="9"/>
      <c r="O307" s="9"/>
      <c r="P307" s="9"/>
    </row>
    <row r="308" spans="1:16" ht="90" hidden="1" customHeight="1" x14ac:dyDescent="0.35">
      <c r="A308" s="1" t="s">
        <v>473</v>
      </c>
      <c r="B308" s="1" t="s">
        <v>465</v>
      </c>
      <c r="C308" s="2" t="s">
        <v>466</v>
      </c>
      <c r="D308" s="3"/>
      <c r="E308" s="3" t="s">
        <v>791</v>
      </c>
      <c r="F308" s="3" t="s">
        <v>46</v>
      </c>
      <c r="G308" s="15">
        <v>1</v>
      </c>
      <c r="H308" s="15"/>
      <c r="I308" s="5">
        <v>0</v>
      </c>
      <c r="J308" s="8">
        <f>IFERROR(ROUND(SUM(M309,M310)/I308, 2),0)</f>
        <v>0</v>
      </c>
      <c r="K308" s="24">
        <v>428</v>
      </c>
      <c r="L308" s="8">
        <f>J308+ROUND(K308, 2)</f>
        <v>428</v>
      </c>
      <c r="M308" s="8"/>
      <c r="N308" s="8"/>
      <c r="O308" s="8"/>
      <c r="P308" s="9"/>
    </row>
    <row r="309" spans="1:16" ht="36" hidden="1" customHeight="1" x14ac:dyDescent="0.35">
      <c r="A309" s="1" t="s">
        <v>474</v>
      </c>
      <c r="B309" s="1"/>
      <c r="C309" s="41" t="s">
        <v>350</v>
      </c>
      <c r="D309" s="3"/>
      <c r="E309" s="3"/>
      <c r="F309" s="42" t="s">
        <v>195</v>
      </c>
      <c r="G309" s="43">
        <v>0.15</v>
      </c>
      <c r="H309" s="43"/>
      <c r="I309" s="44">
        <v>0</v>
      </c>
      <c r="J309" s="25">
        <v>88.8</v>
      </c>
      <c r="K309" s="9"/>
      <c r="L309" s="9"/>
      <c r="M309" s="23"/>
      <c r="N309" s="9"/>
      <c r="O309" s="9"/>
      <c r="P309" s="9"/>
    </row>
    <row r="310" spans="1:16" ht="72" hidden="1" customHeight="1" x14ac:dyDescent="0.35">
      <c r="A310" s="1" t="s">
        <v>475</v>
      </c>
      <c r="B310" s="1"/>
      <c r="C310" s="41" t="s">
        <v>469</v>
      </c>
      <c r="D310" s="3"/>
      <c r="E310" s="3" t="s">
        <v>476</v>
      </c>
      <c r="F310" s="42" t="s">
        <v>195</v>
      </c>
      <c r="G310" s="43">
        <v>0.3</v>
      </c>
      <c r="H310" s="43"/>
      <c r="I310" s="44">
        <v>0</v>
      </c>
      <c r="J310" s="25">
        <v>1622</v>
      </c>
      <c r="K310" s="9"/>
      <c r="L310" s="9"/>
      <c r="M310" s="23"/>
      <c r="N310" s="9"/>
      <c r="O310" s="9"/>
      <c r="P310" s="9"/>
    </row>
    <row r="311" spans="1:16" ht="72" hidden="1" customHeight="1" x14ac:dyDescent="0.35">
      <c r="A311" s="1" t="s">
        <v>477</v>
      </c>
      <c r="B311" s="1" t="s">
        <v>465</v>
      </c>
      <c r="C311" s="2" t="s">
        <v>466</v>
      </c>
      <c r="D311" s="3"/>
      <c r="E311" s="3" t="s">
        <v>792</v>
      </c>
      <c r="F311" s="3" t="s">
        <v>46</v>
      </c>
      <c r="G311" s="15">
        <v>1</v>
      </c>
      <c r="H311" s="15"/>
      <c r="I311" s="5">
        <v>0</v>
      </c>
      <c r="J311" s="8">
        <f>IFERROR(ROUND(SUM(M312,M313)/I311, 2),0)</f>
        <v>0</v>
      </c>
      <c r="K311" s="24">
        <v>428</v>
      </c>
      <c r="L311" s="8">
        <f>J311+ROUND(K311, 2)</f>
        <v>428</v>
      </c>
      <c r="M311" s="8"/>
      <c r="N311" s="8"/>
      <c r="O311" s="8"/>
      <c r="P311" s="9"/>
    </row>
    <row r="312" spans="1:16" ht="72" hidden="1" customHeight="1" x14ac:dyDescent="0.35">
      <c r="A312" s="1" t="s">
        <v>478</v>
      </c>
      <c r="B312" s="1"/>
      <c r="C312" s="41" t="s">
        <v>469</v>
      </c>
      <c r="D312" s="3"/>
      <c r="E312" s="3" t="s">
        <v>479</v>
      </c>
      <c r="F312" s="42" t="s">
        <v>195</v>
      </c>
      <c r="G312" s="43">
        <v>0.3</v>
      </c>
      <c r="H312" s="43"/>
      <c r="I312" s="44">
        <v>0</v>
      </c>
      <c r="J312" s="25">
        <v>1622</v>
      </c>
      <c r="K312" s="9"/>
      <c r="L312" s="9"/>
      <c r="M312" s="23"/>
      <c r="N312" s="9"/>
      <c r="O312" s="9"/>
      <c r="P312" s="9"/>
    </row>
    <row r="313" spans="1:16" ht="32.549999999999997" hidden="1" customHeight="1" x14ac:dyDescent="0.35">
      <c r="A313" s="1" t="s">
        <v>480</v>
      </c>
      <c r="B313" s="1"/>
      <c r="C313" s="41" t="s">
        <v>350</v>
      </c>
      <c r="D313" s="3"/>
      <c r="E313" s="3"/>
      <c r="F313" s="42" t="s">
        <v>195</v>
      </c>
      <c r="G313" s="43">
        <v>0.15</v>
      </c>
      <c r="H313" s="43"/>
      <c r="I313" s="44">
        <v>0</v>
      </c>
      <c r="J313" s="25">
        <v>88.8</v>
      </c>
      <c r="K313" s="9"/>
      <c r="L313" s="9"/>
      <c r="M313" s="23"/>
      <c r="N313" s="9"/>
      <c r="O313" s="9"/>
      <c r="P313" s="9"/>
    </row>
    <row r="314" spans="1:16" ht="54" hidden="1" customHeight="1" x14ac:dyDescent="0.35">
      <c r="A314" s="1" t="s">
        <v>481</v>
      </c>
      <c r="B314" s="1" t="s">
        <v>482</v>
      </c>
      <c r="C314" s="2" t="s">
        <v>483</v>
      </c>
      <c r="D314" s="3"/>
      <c r="E314" s="3"/>
      <c r="F314" s="3" t="s">
        <v>46</v>
      </c>
      <c r="G314" s="15">
        <v>1</v>
      </c>
      <c r="H314" s="15"/>
      <c r="I314" s="5">
        <v>0</v>
      </c>
      <c r="J314" s="8">
        <v>1603.98</v>
      </c>
      <c r="K314" s="24">
        <v>2364</v>
      </c>
      <c r="L314" s="8">
        <f>J314+ROUND(K314, 2)</f>
        <v>3967.98</v>
      </c>
      <c r="M314" s="8"/>
      <c r="N314" s="8"/>
      <c r="O314" s="8"/>
      <c r="P314" s="9"/>
    </row>
    <row r="315" spans="1:16" ht="36" hidden="1" customHeight="1" x14ac:dyDescent="0.35">
      <c r="A315" s="1" t="s">
        <v>484</v>
      </c>
      <c r="B315" s="1"/>
      <c r="C315" s="41" t="s">
        <v>485</v>
      </c>
      <c r="D315" s="3"/>
      <c r="E315" s="3"/>
      <c r="F315" s="42" t="s">
        <v>195</v>
      </c>
      <c r="G315" s="43">
        <v>0.25</v>
      </c>
      <c r="H315" s="46"/>
      <c r="I315" s="47">
        <v>0</v>
      </c>
      <c r="J315" s="25">
        <v>40.270000000000003</v>
      </c>
      <c r="K315" s="9"/>
      <c r="L315" s="9"/>
      <c r="M315" s="23"/>
      <c r="N315" s="9"/>
      <c r="O315" s="9"/>
      <c r="P315" s="9"/>
    </row>
    <row r="316" spans="1:16" ht="36" hidden="1" customHeight="1" x14ac:dyDescent="0.35">
      <c r="A316" s="1" t="s">
        <v>486</v>
      </c>
      <c r="B316" s="1"/>
      <c r="C316" s="41" t="s">
        <v>293</v>
      </c>
      <c r="D316" s="3"/>
      <c r="E316" s="3"/>
      <c r="F316" s="42" t="s">
        <v>195</v>
      </c>
      <c r="G316" s="43">
        <v>0.15</v>
      </c>
      <c r="H316" s="43"/>
      <c r="I316" s="44">
        <v>0</v>
      </c>
      <c r="J316" s="25">
        <v>68.400000000000006</v>
      </c>
      <c r="K316" s="9"/>
      <c r="L316" s="9"/>
      <c r="M316" s="23"/>
      <c r="N316" s="9"/>
      <c r="O316" s="9"/>
      <c r="P316" s="9"/>
    </row>
    <row r="317" spans="1:16" ht="36" hidden="1" customHeight="1" x14ac:dyDescent="0.35">
      <c r="A317" s="1" t="s">
        <v>487</v>
      </c>
      <c r="B317" s="1"/>
      <c r="C317" s="45" t="s">
        <v>409</v>
      </c>
      <c r="D317" s="3"/>
      <c r="E317" s="3"/>
      <c r="F317" s="42" t="s">
        <v>195</v>
      </c>
      <c r="G317" s="43">
        <v>1.2</v>
      </c>
      <c r="H317" s="46"/>
      <c r="I317" s="47">
        <v>0</v>
      </c>
      <c r="J317" s="25">
        <v>16.96</v>
      </c>
      <c r="K317" s="9"/>
      <c r="L317" s="9"/>
      <c r="M317" s="23"/>
      <c r="N317" s="9"/>
      <c r="O317" s="9"/>
      <c r="P317" s="9"/>
    </row>
    <row r="318" spans="1:16" ht="36" hidden="1" customHeight="1" x14ac:dyDescent="0.35">
      <c r="A318" s="1" t="s">
        <v>488</v>
      </c>
      <c r="B318" s="1"/>
      <c r="C318" s="45" t="s">
        <v>489</v>
      </c>
      <c r="D318" s="3"/>
      <c r="E318" s="3"/>
      <c r="F318" s="42" t="s">
        <v>46</v>
      </c>
      <c r="G318" s="43">
        <v>1.07</v>
      </c>
      <c r="H318" s="46"/>
      <c r="I318" s="47">
        <v>0</v>
      </c>
      <c r="J318" s="25">
        <v>1384.95</v>
      </c>
      <c r="K318" s="9"/>
      <c r="L318" s="9"/>
      <c r="M318" s="23"/>
      <c r="N318" s="9"/>
      <c r="O318" s="9"/>
      <c r="P318" s="9"/>
    </row>
    <row r="319" spans="1:16" ht="54" hidden="1" customHeight="1" x14ac:dyDescent="0.35">
      <c r="A319" s="1" t="s">
        <v>490</v>
      </c>
      <c r="B319" s="1" t="s">
        <v>482</v>
      </c>
      <c r="C319" s="2" t="s">
        <v>483</v>
      </c>
      <c r="D319" s="3"/>
      <c r="E319" s="3" t="s">
        <v>793</v>
      </c>
      <c r="F319" s="3" t="s">
        <v>46</v>
      </c>
      <c r="G319" s="15">
        <v>1</v>
      </c>
      <c r="H319" s="15"/>
      <c r="I319" s="5">
        <v>0</v>
      </c>
      <c r="J319" s="8">
        <f>IFERROR(ROUND(SUM(M320,M321,M322,M323)/I319, 2),0)</f>
        <v>0</v>
      </c>
      <c r="K319" s="24">
        <v>2364</v>
      </c>
      <c r="L319" s="8">
        <f>J319+ROUND(K319, 2)</f>
        <v>2364</v>
      </c>
      <c r="M319" s="8"/>
      <c r="N319" s="8"/>
      <c r="O319" s="8"/>
      <c r="P319" s="9"/>
    </row>
    <row r="320" spans="1:16" ht="72" hidden="1" customHeight="1" x14ac:dyDescent="0.35">
      <c r="A320" s="1" t="s">
        <v>491</v>
      </c>
      <c r="B320" s="1"/>
      <c r="C320" s="45" t="s">
        <v>489</v>
      </c>
      <c r="D320" s="3"/>
      <c r="E320" s="3" t="s">
        <v>492</v>
      </c>
      <c r="F320" s="42" t="s">
        <v>46</v>
      </c>
      <c r="G320" s="43">
        <v>1.07</v>
      </c>
      <c r="H320" s="46"/>
      <c r="I320" s="47">
        <v>4290.4859999999999</v>
      </c>
      <c r="J320" s="25">
        <v>1384.96</v>
      </c>
      <c r="K320" s="9"/>
      <c r="L320" s="9"/>
      <c r="M320" s="23"/>
      <c r="N320" s="9"/>
      <c r="O320" s="9"/>
      <c r="P320" s="9"/>
    </row>
    <row r="321" spans="1:16" ht="36" hidden="1" customHeight="1" x14ac:dyDescent="0.35">
      <c r="A321" s="1" t="s">
        <v>493</v>
      </c>
      <c r="B321" s="1"/>
      <c r="C321" s="45" t="s">
        <v>409</v>
      </c>
      <c r="D321" s="3"/>
      <c r="E321" s="3"/>
      <c r="F321" s="42" t="s">
        <v>195</v>
      </c>
      <c r="G321" s="43">
        <v>1.2</v>
      </c>
      <c r="H321" s="46"/>
      <c r="I321" s="47">
        <v>24058.799999999999</v>
      </c>
      <c r="J321" s="25">
        <v>16.12</v>
      </c>
      <c r="K321" s="9"/>
      <c r="L321" s="9"/>
      <c r="M321" s="23"/>
      <c r="N321" s="9"/>
      <c r="O321" s="9"/>
      <c r="P321" s="9"/>
    </row>
    <row r="322" spans="1:16" ht="36" hidden="1" customHeight="1" x14ac:dyDescent="0.35">
      <c r="A322" s="1" t="s">
        <v>494</v>
      </c>
      <c r="B322" s="1"/>
      <c r="C322" s="41" t="s">
        <v>293</v>
      </c>
      <c r="D322" s="3"/>
      <c r="E322" s="3"/>
      <c r="F322" s="42" t="s">
        <v>195</v>
      </c>
      <c r="G322" s="43">
        <v>0.15</v>
      </c>
      <c r="H322" s="43"/>
      <c r="I322" s="44">
        <v>0</v>
      </c>
      <c r="J322" s="25">
        <v>68.400000000000006</v>
      </c>
      <c r="K322" s="9"/>
      <c r="L322" s="9"/>
      <c r="M322" s="23"/>
      <c r="N322" s="9"/>
      <c r="O322" s="9"/>
      <c r="P322" s="9"/>
    </row>
    <row r="323" spans="1:16" ht="4.5" hidden="1" customHeight="1" x14ac:dyDescent="0.35">
      <c r="A323" s="1" t="s">
        <v>495</v>
      </c>
      <c r="B323" s="1"/>
      <c r="C323" s="41" t="s">
        <v>485</v>
      </c>
      <c r="D323" s="3"/>
      <c r="E323" s="3"/>
      <c r="F323" s="42" t="s">
        <v>195</v>
      </c>
      <c r="G323" s="43">
        <v>0.25</v>
      </c>
      <c r="H323" s="46"/>
      <c r="I323" s="47">
        <v>1002.45</v>
      </c>
      <c r="J323" s="25">
        <v>40.270000000000003</v>
      </c>
      <c r="K323" s="9"/>
      <c r="L323" s="9"/>
      <c r="M323" s="23"/>
      <c r="N323" s="9"/>
      <c r="O323" s="9"/>
      <c r="P323" s="9"/>
    </row>
    <row r="324" spans="1:16" ht="16.95" hidden="1" customHeight="1" x14ac:dyDescent="0.35">
      <c r="A324" s="1" t="s">
        <v>496</v>
      </c>
      <c r="B324" s="1" t="s">
        <v>497</v>
      </c>
      <c r="C324" s="119" t="s">
        <v>498</v>
      </c>
      <c r="D324" s="120"/>
      <c r="E324" s="120"/>
      <c r="F324" s="120"/>
      <c r="G324" s="120"/>
      <c r="H324" s="120"/>
      <c r="I324" s="120"/>
      <c r="J324" s="9"/>
      <c r="K324" s="9"/>
      <c r="L324" s="9"/>
      <c r="M324" s="23"/>
      <c r="N324" s="23"/>
      <c r="O324" s="23"/>
      <c r="P324" s="9"/>
    </row>
    <row r="325" spans="1:16" ht="16.95" hidden="1" customHeight="1" x14ac:dyDescent="0.35">
      <c r="A325" s="1" t="s">
        <v>499</v>
      </c>
      <c r="B325" s="1" t="s">
        <v>500</v>
      </c>
      <c r="C325" s="119" t="s">
        <v>501</v>
      </c>
      <c r="D325" s="120"/>
      <c r="E325" s="120"/>
      <c r="F325" s="120"/>
      <c r="G325" s="120"/>
      <c r="H325" s="120"/>
      <c r="I325" s="120"/>
      <c r="J325" s="9"/>
      <c r="K325" s="9"/>
      <c r="L325" s="9"/>
      <c r="M325" s="23"/>
      <c r="N325" s="23"/>
      <c r="O325" s="23"/>
      <c r="P325" s="9"/>
    </row>
    <row r="326" spans="1:16" ht="72" hidden="1" customHeight="1" x14ac:dyDescent="0.35">
      <c r="A326" s="1" t="s">
        <v>502</v>
      </c>
      <c r="B326" s="1" t="s">
        <v>503</v>
      </c>
      <c r="C326" s="2" t="s">
        <v>504</v>
      </c>
      <c r="D326" s="3"/>
      <c r="E326" s="3"/>
      <c r="F326" s="3" t="s">
        <v>46</v>
      </c>
      <c r="G326" s="15">
        <v>1</v>
      </c>
      <c r="H326" s="15"/>
      <c r="I326" s="5">
        <v>0</v>
      </c>
      <c r="J326" s="8">
        <v>170.27</v>
      </c>
      <c r="K326" s="24">
        <v>853</v>
      </c>
      <c r="L326" s="8">
        <f>J326+ROUND(K326, 2)</f>
        <v>1023.27</v>
      </c>
      <c r="M326" s="8"/>
      <c r="N326" s="8"/>
      <c r="O326" s="8"/>
      <c r="P326" s="9"/>
    </row>
    <row r="327" spans="1:16" ht="18" hidden="1" customHeight="1" x14ac:dyDescent="0.35">
      <c r="A327" s="1" t="s">
        <v>505</v>
      </c>
      <c r="B327" s="1"/>
      <c r="C327" s="41" t="s">
        <v>442</v>
      </c>
      <c r="D327" s="3"/>
      <c r="E327" s="3"/>
      <c r="F327" s="42" t="s">
        <v>195</v>
      </c>
      <c r="G327" s="43">
        <v>1.3</v>
      </c>
      <c r="H327" s="46"/>
      <c r="I327" s="47">
        <v>0</v>
      </c>
      <c r="J327" s="25">
        <v>8.6</v>
      </c>
      <c r="K327" s="9"/>
      <c r="L327" s="9"/>
      <c r="M327" s="23"/>
      <c r="N327" s="9"/>
      <c r="O327" s="9"/>
      <c r="P327" s="9"/>
    </row>
    <row r="328" spans="1:16" ht="18" hidden="1" customHeight="1" x14ac:dyDescent="0.35">
      <c r="A328" s="1" t="s">
        <v>506</v>
      </c>
      <c r="B328" s="1"/>
      <c r="C328" s="41" t="s">
        <v>444</v>
      </c>
      <c r="D328" s="3"/>
      <c r="E328" s="3"/>
      <c r="F328" s="42" t="s">
        <v>46</v>
      </c>
      <c r="G328" s="43">
        <v>1.1000000000000001</v>
      </c>
      <c r="H328" s="46"/>
      <c r="I328" s="47">
        <v>0</v>
      </c>
      <c r="J328" s="25">
        <v>26</v>
      </c>
      <c r="K328" s="9"/>
      <c r="L328" s="9"/>
      <c r="M328" s="23"/>
      <c r="N328" s="9"/>
      <c r="O328" s="9"/>
      <c r="P328" s="9"/>
    </row>
    <row r="329" spans="1:16" ht="18" hidden="1" customHeight="1" x14ac:dyDescent="0.35">
      <c r="A329" s="1" t="s">
        <v>507</v>
      </c>
      <c r="B329" s="1"/>
      <c r="C329" s="41" t="s">
        <v>446</v>
      </c>
      <c r="D329" s="3"/>
      <c r="E329" s="3"/>
      <c r="F329" s="42" t="s">
        <v>52</v>
      </c>
      <c r="G329" s="43">
        <v>1.05</v>
      </c>
      <c r="H329" s="46"/>
      <c r="I329" s="47">
        <v>0</v>
      </c>
      <c r="J329" s="25">
        <v>15.76</v>
      </c>
      <c r="K329" s="9"/>
      <c r="L329" s="9"/>
      <c r="M329" s="23"/>
      <c r="N329" s="9"/>
      <c r="O329" s="9"/>
      <c r="P329" s="9"/>
    </row>
    <row r="330" spans="1:16" ht="36" hidden="1" customHeight="1" x14ac:dyDescent="0.35">
      <c r="A330" s="1" t="s">
        <v>508</v>
      </c>
      <c r="B330" s="1"/>
      <c r="C330" s="41" t="s">
        <v>210</v>
      </c>
      <c r="D330" s="3"/>
      <c r="E330" s="3"/>
      <c r="F330" s="42" t="s">
        <v>195</v>
      </c>
      <c r="G330" s="43">
        <v>0.15</v>
      </c>
      <c r="H330" s="43"/>
      <c r="I330" s="44">
        <v>0</v>
      </c>
      <c r="J330" s="25">
        <v>88.8</v>
      </c>
      <c r="K330" s="9"/>
      <c r="L330" s="9"/>
      <c r="M330" s="23"/>
      <c r="N330" s="9"/>
      <c r="O330" s="9"/>
      <c r="P330" s="9"/>
    </row>
    <row r="331" spans="1:16" ht="72" hidden="1" customHeight="1" x14ac:dyDescent="0.35">
      <c r="A331" s="1" t="s">
        <v>509</v>
      </c>
      <c r="B331" s="1" t="s">
        <v>503</v>
      </c>
      <c r="C331" s="2" t="s">
        <v>504</v>
      </c>
      <c r="D331" s="3"/>
      <c r="E331" s="3" t="s">
        <v>794</v>
      </c>
      <c r="F331" s="3" t="s">
        <v>46</v>
      </c>
      <c r="G331" s="15">
        <v>1</v>
      </c>
      <c r="H331" s="15"/>
      <c r="I331" s="5">
        <v>0</v>
      </c>
      <c r="J331" s="8">
        <f>IFERROR(ROUND(SUM(M332,M333,M334,M335)/I331, 2),0)</f>
        <v>0</v>
      </c>
      <c r="K331" s="24">
        <v>853</v>
      </c>
      <c r="L331" s="8">
        <f>J331+ROUND(K331, 2)</f>
        <v>853</v>
      </c>
      <c r="M331" s="8"/>
      <c r="N331" s="8"/>
      <c r="O331" s="8"/>
      <c r="P331" s="9"/>
    </row>
    <row r="332" spans="1:16" ht="36" hidden="1" customHeight="1" x14ac:dyDescent="0.35">
      <c r="A332" s="1" t="s">
        <v>510</v>
      </c>
      <c r="B332" s="1"/>
      <c r="C332" s="41" t="s">
        <v>210</v>
      </c>
      <c r="D332" s="3"/>
      <c r="E332" s="3"/>
      <c r="F332" s="42" t="s">
        <v>195</v>
      </c>
      <c r="G332" s="43">
        <v>0.15</v>
      </c>
      <c r="H332" s="43"/>
      <c r="I332" s="44">
        <v>0</v>
      </c>
      <c r="J332" s="25">
        <v>88.8</v>
      </c>
      <c r="K332" s="9"/>
      <c r="L332" s="9"/>
      <c r="M332" s="23"/>
      <c r="N332" s="9"/>
      <c r="O332" s="9"/>
      <c r="P332" s="9"/>
    </row>
    <row r="333" spans="1:16" ht="18" hidden="1" customHeight="1" x14ac:dyDescent="0.35">
      <c r="A333" s="1" t="s">
        <v>511</v>
      </c>
      <c r="B333" s="1"/>
      <c r="C333" s="41" t="s">
        <v>446</v>
      </c>
      <c r="D333" s="3"/>
      <c r="E333" s="3"/>
      <c r="F333" s="42" t="s">
        <v>52</v>
      </c>
      <c r="G333" s="43">
        <v>1.05</v>
      </c>
      <c r="H333" s="46"/>
      <c r="I333" s="47">
        <v>1575.7349999999999</v>
      </c>
      <c r="J333" s="25">
        <v>15.76</v>
      </c>
      <c r="K333" s="9"/>
      <c r="L333" s="9"/>
      <c r="M333" s="23"/>
      <c r="N333" s="9"/>
      <c r="O333" s="9"/>
      <c r="P333" s="9"/>
    </row>
    <row r="334" spans="1:16" ht="18" hidden="1" customHeight="1" x14ac:dyDescent="0.35">
      <c r="A334" s="1" t="s">
        <v>512</v>
      </c>
      <c r="B334" s="1"/>
      <c r="C334" s="41" t="s">
        <v>444</v>
      </c>
      <c r="D334" s="3"/>
      <c r="E334" s="3"/>
      <c r="F334" s="42" t="s">
        <v>46</v>
      </c>
      <c r="G334" s="43">
        <v>1.1000000000000001</v>
      </c>
      <c r="H334" s="46"/>
      <c r="I334" s="47">
        <v>1650.77</v>
      </c>
      <c r="J334" s="25">
        <v>26</v>
      </c>
      <c r="K334" s="9"/>
      <c r="L334" s="9"/>
      <c r="M334" s="23"/>
      <c r="N334" s="9"/>
      <c r="O334" s="9"/>
      <c r="P334" s="9"/>
    </row>
    <row r="335" spans="1:16" ht="18" hidden="1" customHeight="1" x14ac:dyDescent="0.35">
      <c r="A335" s="1" t="s">
        <v>513</v>
      </c>
      <c r="B335" s="1"/>
      <c r="C335" s="41" t="s">
        <v>442</v>
      </c>
      <c r="D335" s="3"/>
      <c r="E335" s="3"/>
      <c r="F335" s="42" t="s">
        <v>195</v>
      </c>
      <c r="G335" s="43">
        <v>1.3</v>
      </c>
      <c r="H335" s="46"/>
      <c r="I335" s="47">
        <v>19509.099999999999</v>
      </c>
      <c r="J335" s="25">
        <v>8.6</v>
      </c>
      <c r="K335" s="9"/>
      <c r="L335" s="9"/>
      <c r="M335" s="23"/>
      <c r="N335" s="9"/>
      <c r="O335" s="9"/>
      <c r="P335" s="9"/>
    </row>
    <row r="336" spans="1:16" ht="36" hidden="1" customHeight="1" x14ac:dyDescent="0.35">
      <c r="A336" s="1" t="s">
        <v>514</v>
      </c>
      <c r="B336" s="1" t="s">
        <v>515</v>
      </c>
      <c r="C336" s="2" t="s">
        <v>516</v>
      </c>
      <c r="D336" s="3"/>
      <c r="E336" s="3"/>
      <c r="F336" s="3" t="s">
        <v>46</v>
      </c>
      <c r="G336" s="15">
        <v>1</v>
      </c>
      <c r="H336" s="15"/>
      <c r="I336" s="5">
        <v>0</v>
      </c>
      <c r="J336" s="8">
        <v>36.18</v>
      </c>
      <c r="K336" s="24">
        <v>546</v>
      </c>
      <c r="L336" s="8">
        <f>J336+ROUND(K336, 2)</f>
        <v>582.17999999999995</v>
      </c>
      <c r="M336" s="8"/>
      <c r="N336" s="8"/>
      <c r="O336" s="8"/>
      <c r="P336" s="9"/>
    </row>
    <row r="337" spans="1:16" ht="48.45" hidden="1" customHeight="1" x14ac:dyDescent="0.35">
      <c r="A337" s="1" t="s">
        <v>517</v>
      </c>
      <c r="B337" s="1"/>
      <c r="C337" s="45" t="s">
        <v>518</v>
      </c>
      <c r="D337" s="3"/>
      <c r="E337" s="3"/>
      <c r="F337" s="42" t="s">
        <v>195</v>
      </c>
      <c r="G337" s="43">
        <v>1.8</v>
      </c>
      <c r="H337" s="43"/>
      <c r="I337" s="44">
        <v>0</v>
      </c>
      <c r="J337" s="25">
        <v>12.7</v>
      </c>
      <c r="K337" s="9"/>
      <c r="L337" s="9"/>
      <c r="M337" s="23"/>
      <c r="N337" s="9"/>
      <c r="O337" s="9"/>
      <c r="P337" s="9"/>
    </row>
    <row r="338" spans="1:16" ht="36" hidden="1" customHeight="1" x14ac:dyDescent="0.35">
      <c r="A338" s="1" t="s">
        <v>519</v>
      </c>
      <c r="B338" s="1"/>
      <c r="C338" s="41" t="s">
        <v>210</v>
      </c>
      <c r="D338" s="3"/>
      <c r="E338" s="3"/>
      <c r="F338" s="42" t="s">
        <v>195</v>
      </c>
      <c r="G338" s="43">
        <v>0.15</v>
      </c>
      <c r="H338" s="43"/>
      <c r="I338" s="44">
        <v>0</v>
      </c>
      <c r="J338" s="25">
        <v>88.8</v>
      </c>
      <c r="K338" s="9"/>
      <c r="L338" s="9"/>
      <c r="M338" s="23"/>
      <c r="N338" s="9"/>
      <c r="O338" s="9"/>
      <c r="P338" s="9"/>
    </row>
    <row r="339" spans="1:16" ht="36" hidden="1" customHeight="1" x14ac:dyDescent="0.35">
      <c r="A339" s="1" t="s">
        <v>520</v>
      </c>
      <c r="B339" s="1" t="s">
        <v>515</v>
      </c>
      <c r="C339" s="2" t="s">
        <v>516</v>
      </c>
      <c r="D339" s="3"/>
      <c r="E339" s="3" t="s">
        <v>794</v>
      </c>
      <c r="F339" s="3" t="s">
        <v>46</v>
      </c>
      <c r="G339" s="15">
        <v>1</v>
      </c>
      <c r="H339" s="15"/>
      <c r="I339" s="5">
        <v>0</v>
      </c>
      <c r="J339" s="8">
        <f>IFERROR(ROUND(SUM(M340,M341)/I339, 2),0)</f>
        <v>0</v>
      </c>
      <c r="K339" s="24">
        <v>546</v>
      </c>
      <c r="L339" s="8">
        <f>J339+ROUND(K339, 2)</f>
        <v>546</v>
      </c>
      <c r="M339" s="8"/>
      <c r="N339" s="8"/>
      <c r="O339" s="8"/>
      <c r="P339" s="9"/>
    </row>
    <row r="340" spans="1:16" ht="36" hidden="1" customHeight="1" x14ac:dyDescent="0.35">
      <c r="A340" s="1" t="s">
        <v>521</v>
      </c>
      <c r="B340" s="1"/>
      <c r="C340" s="41" t="s">
        <v>210</v>
      </c>
      <c r="D340" s="3"/>
      <c r="E340" s="3"/>
      <c r="F340" s="42" t="s">
        <v>195</v>
      </c>
      <c r="G340" s="43">
        <v>0.15</v>
      </c>
      <c r="H340" s="43"/>
      <c r="I340" s="44">
        <v>0</v>
      </c>
      <c r="J340" s="25">
        <v>88.8</v>
      </c>
      <c r="K340" s="9"/>
      <c r="L340" s="9"/>
      <c r="M340" s="23"/>
      <c r="N340" s="9"/>
      <c r="O340" s="9"/>
      <c r="P340" s="9"/>
    </row>
    <row r="341" spans="1:16" ht="54" hidden="1" customHeight="1" x14ac:dyDescent="0.35">
      <c r="A341" s="1" t="s">
        <v>522</v>
      </c>
      <c r="B341" s="1"/>
      <c r="C341" s="45" t="s">
        <v>518</v>
      </c>
      <c r="D341" s="3"/>
      <c r="E341" s="3"/>
      <c r="F341" s="42" t="s">
        <v>195</v>
      </c>
      <c r="G341" s="43">
        <v>1.8</v>
      </c>
      <c r="H341" s="43"/>
      <c r="I341" s="44">
        <v>0</v>
      </c>
      <c r="J341" s="25">
        <v>12.06</v>
      </c>
      <c r="K341" s="9"/>
      <c r="L341" s="9"/>
      <c r="M341" s="23"/>
      <c r="N341" s="9"/>
      <c r="O341" s="9"/>
      <c r="P341" s="9"/>
    </row>
    <row r="342" spans="1:16" ht="16.95" hidden="1" customHeight="1" x14ac:dyDescent="0.35">
      <c r="A342" s="1" t="s">
        <v>523</v>
      </c>
      <c r="B342" s="1" t="s">
        <v>524</v>
      </c>
      <c r="C342" s="119" t="s">
        <v>525</v>
      </c>
      <c r="D342" s="120"/>
      <c r="E342" s="120"/>
      <c r="F342" s="120"/>
      <c r="G342" s="120"/>
      <c r="H342" s="120"/>
      <c r="I342" s="120"/>
      <c r="J342" s="9"/>
      <c r="K342" s="9"/>
      <c r="L342" s="9"/>
      <c r="M342" s="23"/>
      <c r="N342" s="23"/>
      <c r="O342" s="23"/>
      <c r="P342" s="9"/>
    </row>
    <row r="343" spans="1:16" ht="36" hidden="1" customHeight="1" x14ac:dyDescent="0.35">
      <c r="A343" s="1" t="s">
        <v>526</v>
      </c>
      <c r="B343" s="1" t="s">
        <v>527</v>
      </c>
      <c r="C343" s="2" t="s">
        <v>528</v>
      </c>
      <c r="D343" s="3"/>
      <c r="E343" s="3"/>
      <c r="F343" s="3" t="s">
        <v>46</v>
      </c>
      <c r="G343" s="15">
        <v>1</v>
      </c>
      <c r="H343" s="15"/>
      <c r="I343" s="5">
        <v>0</v>
      </c>
      <c r="J343" s="8">
        <v>13.32</v>
      </c>
      <c r="K343" s="24">
        <v>464</v>
      </c>
      <c r="L343" s="8">
        <f>J343+ROUND(K343, 2)</f>
        <v>477.32</v>
      </c>
      <c r="M343" s="8"/>
      <c r="N343" s="8"/>
      <c r="O343" s="8"/>
      <c r="P343" s="9"/>
    </row>
    <row r="344" spans="1:16" ht="36" hidden="1" customHeight="1" x14ac:dyDescent="0.35">
      <c r="A344" s="1" t="s">
        <v>529</v>
      </c>
      <c r="B344" s="1"/>
      <c r="C344" s="41" t="s">
        <v>530</v>
      </c>
      <c r="D344" s="3"/>
      <c r="E344" s="3"/>
      <c r="F344" s="42" t="s">
        <v>195</v>
      </c>
      <c r="G344" s="43">
        <v>0.4</v>
      </c>
      <c r="H344" s="43"/>
      <c r="I344" s="44">
        <v>0</v>
      </c>
      <c r="J344" s="25">
        <v>0</v>
      </c>
      <c r="K344" s="9"/>
      <c r="L344" s="9"/>
      <c r="M344" s="23"/>
      <c r="N344" s="9"/>
      <c r="O344" s="9"/>
      <c r="P344" s="9"/>
    </row>
    <row r="345" spans="1:16" ht="36" hidden="1" customHeight="1" x14ac:dyDescent="0.35">
      <c r="A345" s="1" t="s">
        <v>531</v>
      </c>
      <c r="B345" s="1"/>
      <c r="C345" s="41" t="s">
        <v>350</v>
      </c>
      <c r="D345" s="3"/>
      <c r="E345" s="3"/>
      <c r="F345" s="42" t="s">
        <v>195</v>
      </c>
      <c r="G345" s="43">
        <v>0.15</v>
      </c>
      <c r="H345" s="43"/>
      <c r="I345" s="44">
        <v>0</v>
      </c>
      <c r="J345" s="25">
        <v>88.8</v>
      </c>
      <c r="K345" s="9"/>
      <c r="L345" s="9"/>
      <c r="M345" s="23"/>
      <c r="N345" s="9"/>
      <c r="O345" s="9"/>
      <c r="P345" s="9"/>
    </row>
    <row r="346" spans="1:16" ht="21" hidden="1" customHeight="1" x14ac:dyDescent="0.35">
      <c r="A346" s="1" t="s">
        <v>532</v>
      </c>
      <c r="B346" s="1" t="s">
        <v>527</v>
      </c>
      <c r="C346" s="2" t="s">
        <v>528</v>
      </c>
      <c r="D346" s="3"/>
      <c r="E346" s="3"/>
      <c r="F346" s="3" t="s">
        <v>46</v>
      </c>
      <c r="G346" s="15">
        <v>1</v>
      </c>
      <c r="H346" s="15"/>
      <c r="I346" s="5">
        <v>0</v>
      </c>
      <c r="J346" s="8">
        <v>13.32</v>
      </c>
      <c r="K346" s="24">
        <v>464</v>
      </c>
      <c r="L346" s="8">
        <f>J346+ROUND(K346, 2)</f>
        <v>477.32</v>
      </c>
      <c r="M346" s="8"/>
      <c r="N346" s="8"/>
      <c r="O346" s="8"/>
      <c r="P346" s="9"/>
    </row>
    <row r="347" spans="1:16" ht="36" hidden="1" customHeight="1" x14ac:dyDescent="0.35">
      <c r="A347" s="1" t="s">
        <v>533</v>
      </c>
      <c r="B347" s="1"/>
      <c r="C347" s="41" t="s">
        <v>350</v>
      </c>
      <c r="D347" s="3"/>
      <c r="E347" s="3"/>
      <c r="F347" s="42" t="s">
        <v>195</v>
      </c>
      <c r="G347" s="43">
        <v>0.15</v>
      </c>
      <c r="H347" s="43"/>
      <c r="I347" s="44">
        <v>0</v>
      </c>
      <c r="J347" s="25">
        <v>88.8</v>
      </c>
      <c r="K347" s="9"/>
      <c r="L347" s="9"/>
      <c r="M347" s="23"/>
      <c r="N347" s="9"/>
      <c r="O347" s="9"/>
      <c r="P347" s="9"/>
    </row>
    <row r="348" spans="1:16" ht="36" hidden="1" customHeight="1" x14ac:dyDescent="0.35">
      <c r="A348" s="1" t="s">
        <v>534</v>
      </c>
      <c r="B348" s="1"/>
      <c r="C348" s="41" t="s">
        <v>530</v>
      </c>
      <c r="D348" s="3"/>
      <c r="E348" s="3"/>
      <c r="F348" s="42" t="s">
        <v>195</v>
      </c>
      <c r="G348" s="43">
        <v>0.4</v>
      </c>
      <c r="H348" s="43"/>
      <c r="I348" s="44">
        <v>0</v>
      </c>
      <c r="J348" s="25">
        <v>0</v>
      </c>
      <c r="K348" s="9"/>
      <c r="L348" s="9"/>
      <c r="M348" s="23"/>
      <c r="N348" s="9"/>
      <c r="O348" s="9"/>
      <c r="P348" s="9"/>
    </row>
    <row r="349" spans="1:16" ht="36" hidden="1" customHeight="1" x14ac:dyDescent="0.35">
      <c r="A349" s="1" t="s">
        <v>535</v>
      </c>
      <c r="B349" s="1" t="s">
        <v>527</v>
      </c>
      <c r="C349" s="2" t="s">
        <v>528</v>
      </c>
      <c r="D349" s="3"/>
      <c r="E349" s="3"/>
      <c r="F349" s="3" t="s">
        <v>46</v>
      </c>
      <c r="G349" s="15">
        <v>1</v>
      </c>
      <c r="H349" s="15"/>
      <c r="I349" s="5">
        <v>0</v>
      </c>
      <c r="J349" s="8">
        <v>13.32</v>
      </c>
      <c r="K349" s="24">
        <v>464</v>
      </c>
      <c r="L349" s="8">
        <f>J349+ROUND(K349, 2)</f>
        <v>477.32</v>
      </c>
      <c r="M349" s="8"/>
      <c r="N349" s="8"/>
      <c r="O349" s="8"/>
      <c r="P349" s="9"/>
    </row>
    <row r="350" spans="1:16" ht="36" hidden="1" customHeight="1" x14ac:dyDescent="0.35">
      <c r="A350" s="1" t="s">
        <v>536</v>
      </c>
      <c r="B350" s="1"/>
      <c r="C350" s="41" t="s">
        <v>530</v>
      </c>
      <c r="D350" s="3"/>
      <c r="E350" s="3"/>
      <c r="F350" s="42" t="s">
        <v>195</v>
      </c>
      <c r="G350" s="43">
        <v>0.4</v>
      </c>
      <c r="H350" s="43"/>
      <c r="I350" s="44">
        <v>0</v>
      </c>
      <c r="J350" s="25">
        <v>0</v>
      </c>
      <c r="K350" s="9"/>
      <c r="L350" s="9"/>
      <c r="M350" s="23"/>
      <c r="N350" s="9"/>
      <c r="O350" s="9"/>
      <c r="P350" s="9"/>
    </row>
    <row r="351" spans="1:16" ht="36" hidden="1" customHeight="1" x14ac:dyDescent="0.35">
      <c r="A351" s="1" t="s">
        <v>537</v>
      </c>
      <c r="B351" s="1"/>
      <c r="C351" s="41" t="s">
        <v>350</v>
      </c>
      <c r="D351" s="3"/>
      <c r="E351" s="3"/>
      <c r="F351" s="42" t="s">
        <v>195</v>
      </c>
      <c r="G351" s="43">
        <v>0.15</v>
      </c>
      <c r="H351" s="43"/>
      <c r="I351" s="44">
        <v>0</v>
      </c>
      <c r="J351" s="25">
        <v>88.8</v>
      </c>
      <c r="K351" s="9"/>
      <c r="L351" s="9"/>
      <c r="M351" s="23"/>
      <c r="N351" s="9"/>
      <c r="O351" s="9"/>
      <c r="P351" s="9"/>
    </row>
    <row r="352" spans="1:16" ht="36" hidden="1" customHeight="1" x14ac:dyDescent="0.35">
      <c r="A352" s="1" t="s">
        <v>538</v>
      </c>
      <c r="B352" s="1" t="s">
        <v>527</v>
      </c>
      <c r="C352" s="2" t="s">
        <v>528</v>
      </c>
      <c r="D352" s="3"/>
      <c r="E352" s="3"/>
      <c r="F352" s="3" t="s">
        <v>46</v>
      </c>
      <c r="G352" s="15">
        <v>1</v>
      </c>
      <c r="H352" s="15"/>
      <c r="I352" s="5">
        <v>0</v>
      </c>
      <c r="J352" s="8">
        <v>13.32</v>
      </c>
      <c r="K352" s="24">
        <v>464</v>
      </c>
      <c r="L352" s="8">
        <f>J352+ROUND(K352, 2)</f>
        <v>477.32</v>
      </c>
      <c r="M352" s="8"/>
      <c r="N352" s="8"/>
      <c r="O352" s="8"/>
      <c r="P352" s="9"/>
    </row>
    <row r="353" spans="1:16" ht="28.95" hidden="1" customHeight="1" x14ac:dyDescent="0.35">
      <c r="A353" s="1" t="s">
        <v>539</v>
      </c>
      <c r="B353" s="1"/>
      <c r="C353" s="41" t="s">
        <v>350</v>
      </c>
      <c r="D353" s="3"/>
      <c r="E353" s="3"/>
      <c r="F353" s="42" t="s">
        <v>195</v>
      </c>
      <c r="G353" s="43">
        <v>0.15</v>
      </c>
      <c r="H353" s="43"/>
      <c r="I353" s="44">
        <v>0</v>
      </c>
      <c r="J353" s="25">
        <v>88.8</v>
      </c>
      <c r="K353" s="9"/>
      <c r="L353" s="9"/>
      <c r="M353" s="23"/>
      <c r="N353" s="9"/>
      <c r="O353" s="9"/>
      <c r="P353" s="9"/>
    </row>
    <row r="354" spans="1:16" ht="36" hidden="1" customHeight="1" x14ac:dyDescent="0.35">
      <c r="A354" s="1" t="s">
        <v>540</v>
      </c>
      <c r="B354" s="1"/>
      <c r="C354" s="41" t="s">
        <v>530</v>
      </c>
      <c r="D354" s="3"/>
      <c r="E354" s="3"/>
      <c r="F354" s="42" t="s">
        <v>195</v>
      </c>
      <c r="G354" s="43">
        <v>0.4</v>
      </c>
      <c r="H354" s="43"/>
      <c r="I354" s="44">
        <v>0</v>
      </c>
      <c r="J354" s="25">
        <v>0</v>
      </c>
      <c r="K354" s="9"/>
      <c r="L354" s="9"/>
      <c r="M354" s="23"/>
      <c r="N354" s="9"/>
      <c r="O354" s="9"/>
      <c r="P354" s="9"/>
    </row>
    <row r="355" spans="1:16" ht="36" hidden="1" customHeight="1" x14ac:dyDescent="0.35">
      <c r="A355" s="1" t="s">
        <v>541</v>
      </c>
      <c r="B355" s="1" t="s">
        <v>527</v>
      </c>
      <c r="C355" s="2" t="s">
        <v>528</v>
      </c>
      <c r="D355" s="3"/>
      <c r="E355" s="3" t="s">
        <v>795</v>
      </c>
      <c r="F355" s="3" t="s">
        <v>46</v>
      </c>
      <c r="G355" s="15">
        <v>1</v>
      </c>
      <c r="H355" s="15"/>
      <c r="I355" s="5">
        <v>0</v>
      </c>
      <c r="J355" s="8">
        <f>IFERROR(ROUND(SUM(M356,M357)/I355, 2),0)</f>
        <v>0</v>
      </c>
      <c r="K355" s="24">
        <v>464</v>
      </c>
      <c r="L355" s="8">
        <f>J355+ROUND(K355, 2)</f>
        <v>464</v>
      </c>
      <c r="M355" s="8"/>
      <c r="N355" s="8"/>
      <c r="O355" s="8"/>
      <c r="P355" s="9"/>
    </row>
    <row r="356" spans="1:16" ht="126" hidden="1" customHeight="1" x14ac:dyDescent="0.35">
      <c r="A356" s="1" t="s">
        <v>542</v>
      </c>
      <c r="B356" s="1"/>
      <c r="C356" s="41" t="s">
        <v>530</v>
      </c>
      <c r="D356" s="3"/>
      <c r="E356" s="3" t="s">
        <v>543</v>
      </c>
      <c r="F356" s="42" t="s">
        <v>195</v>
      </c>
      <c r="G356" s="43">
        <v>0.4</v>
      </c>
      <c r="H356" s="43"/>
      <c r="I356" s="44">
        <v>0</v>
      </c>
      <c r="J356" s="25">
        <v>0</v>
      </c>
      <c r="K356" s="9"/>
      <c r="L356" s="9"/>
      <c r="M356" s="23"/>
      <c r="N356" s="9"/>
      <c r="O356" s="9"/>
      <c r="P356" s="9"/>
    </row>
    <row r="357" spans="1:16" ht="36" hidden="1" customHeight="1" x14ac:dyDescent="0.35">
      <c r="A357" s="1" t="s">
        <v>544</v>
      </c>
      <c r="B357" s="1"/>
      <c r="C357" s="41" t="s">
        <v>350</v>
      </c>
      <c r="D357" s="3"/>
      <c r="E357" s="3"/>
      <c r="F357" s="42" t="s">
        <v>195</v>
      </c>
      <c r="G357" s="43">
        <v>0.15</v>
      </c>
      <c r="H357" s="43"/>
      <c r="I357" s="44">
        <v>0</v>
      </c>
      <c r="J357" s="25">
        <v>88.8</v>
      </c>
      <c r="K357" s="9"/>
      <c r="L357" s="9"/>
      <c r="M357" s="23"/>
      <c r="N357" s="9"/>
      <c r="O357" s="9"/>
      <c r="P357" s="9"/>
    </row>
    <row r="358" spans="1:16" ht="36" hidden="1" customHeight="1" x14ac:dyDescent="0.35">
      <c r="A358" s="1" t="s">
        <v>545</v>
      </c>
      <c r="B358" s="1" t="s">
        <v>527</v>
      </c>
      <c r="C358" s="2" t="s">
        <v>528</v>
      </c>
      <c r="D358" s="3"/>
      <c r="E358" s="3" t="s">
        <v>796</v>
      </c>
      <c r="F358" s="3" t="s">
        <v>46</v>
      </c>
      <c r="G358" s="15">
        <v>1</v>
      </c>
      <c r="H358" s="15"/>
      <c r="I358" s="5">
        <v>0</v>
      </c>
      <c r="J358" s="8">
        <f>IFERROR(ROUND(SUM(M359,M360)/I358, 2),0)</f>
        <v>0</v>
      </c>
      <c r="K358" s="24">
        <v>464</v>
      </c>
      <c r="L358" s="8">
        <f>J358+ROUND(K358, 2)</f>
        <v>464</v>
      </c>
      <c r="M358" s="8"/>
      <c r="N358" s="8"/>
      <c r="O358" s="8"/>
      <c r="P358" s="9"/>
    </row>
    <row r="359" spans="1:16" ht="36" hidden="1" customHeight="1" x14ac:dyDescent="0.35">
      <c r="A359" s="1" t="s">
        <v>546</v>
      </c>
      <c r="B359" s="1"/>
      <c r="C359" s="41" t="s">
        <v>350</v>
      </c>
      <c r="D359" s="3"/>
      <c r="E359" s="3"/>
      <c r="F359" s="42" t="s">
        <v>195</v>
      </c>
      <c r="G359" s="43">
        <v>0.15</v>
      </c>
      <c r="H359" s="43"/>
      <c r="I359" s="44">
        <v>0</v>
      </c>
      <c r="J359" s="25">
        <v>88.8</v>
      </c>
      <c r="K359" s="9"/>
      <c r="L359" s="9"/>
      <c r="M359" s="23"/>
      <c r="N359" s="9"/>
      <c r="O359" s="9"/>
      <c r="P359" s="9"/>
    </row>
    <row r="360" spans="1:16" ht="72" hidden="1" customHeight="1" x14ac:dyDescent="0.35">
      <c r="A360" s="1" t="s">
        <v>547</v>
      </c>
      <c r="B360" s="1"/>
      <c r="C360" s="41" t="s">
        <v>530</v>
      </c>
      <c r="D360" s="3"/>
      <c r="E360" s="3" t="s">
        <v>548</v>
      </c>
      <c r="F360" s="42" t="s">
        <v>195</v>
      </c>
      <c r="G360" s="43">
        <v>0.4</v>
      </c>
      <c r="H360" s="43"/>
      <c r="I360" s="44">
        <v>0</v>
      </c>
      <c r="J360" s="25">
        <v>0</v>
      </c>
      <c r="K360" s="9"/>
      <c r="L360" s="9"/>
      <c r="M360" s="23"/>
      <c r="N360" s="9"/>
      <c r="O360" s="9"/>
      <c r="P360" s="9"/>
    </row>
    <row r="361" spans="1:16" ht="23.55" hidden="1" customHeight="1" x14ac:dyDescent="0.35">
      <c r="A361" s="1" t="s">
        <v>549</v>
      </c>
      <c r="B361" s="1" t="s">
        <v>527</v>
      </c>
      <c r="C361" s="2" t="s">
        <v>528</v>
      </c>
      <c r="D361" s="3"/>
      <c r="E361" s="3" t="s">
        <v>797</v>
      </c>
      <c r="F361" s="3" t="s">
        <v>46</v>
      </c>
      <c r="G361" s="15">
        <v>1</v>
      </c>
      <c r="H361" s="15"/>
      <c r="I361" s="5">
        <v>0</v>
      </c>
      <c r="J361" s="8">
        <f>IFERROR(ROUND(SUM(M362,M363)/I361, 2),0)</f>
        <v>0</v>
      </c>
      <c r="K361" s="24">
        <v>464</v>
      </c>
      <c r="L361" s="8">
        <f>J361+ROUND(K361, 2)</f>
        <v>464</v>
      </c>
      <c r="M361" s="8"/>
      <c r="N361" s="8"/>
      <c r="O361" s="8"/>
      <c r="P361" s="9"/>
    </row>
    <row r="362" spans="1:16" ht="72" hidden="1" customHeight="1" x14ac:dyDescent="0.35">
      <c r="A362" s="1" t="s">
        <v>550</v>
      </c>
      <c r="B362" s="1"/>
      <c r="C362" s="41" t="s">
        <v>530</v>
      </c>
      <c r="D362" s="3"/>
      <c r="E362" s="3" t="s">
        <v>551</v>
      </c>
      <c r="F362" s="42" t="s">
        <v>195</v>
      </c>
      <c r="G362" s="43">
        <v>0.4</v>
      </c>
      <c r="H362" s="43"/>
      <c r="I362" s="44">
        <v>0</v>
      </c>
      <c r="J362" s="25">
        <v>0</v>
      </c>
      <c r="K362" s="9"/>
      <c r="L362" s="9"/>
      <c r="M362" s="23"/>
      <c r="N362" s="9"/>
      <c r="O362" s="9"/>
      <c r="P362" s="9"/>
    </row>
    <row r="363" spans="1:16" ht="36" hidden="1" customHeight="1" x14ac:dyDescent="0.35">
      <c r="A363" s="1" t="s">
        <v>552</v>
      </c>
      <c r="B363" s="1"/>
      <c r="C363" s="41" t="s">
        <v>350</v>
      </c>
      <c r="D363" s="3"/>
      <c r="E363" s="3"/>
      <c r="F363" s="42" t="s">
        <v>195</v>
      </c>
      <c r="G363" s="43">
        <v>0.15</v>
      </c>
      <c r="H363" s="43"/>
      <c r="I363" s="44">
        <v>0</v>
      </c>
      <c r="J363" s="25">
        <v>88.8</v>
      </c>
      <c r="K363" s="9"/>
      <c r="L363" s="9"/>
      <c r="M363" s="23"/>
      <c r="N363" s="9"/>
      <c r="O363" s="9"/>
      <c r="P363" s="9"/>
    </row>
    <row r="364" spans="1:16" ht="36" hidden="1" customHeight="1" x14ac:dyDescent="0.35">
      <c r="A364" s="1" t="s">
        <v>553</v>
      </c>
      <c r="B364" s="1" t="s">
        <v>527</v>
      </c>
      <c r="C364" s="2" t="s">
        <v>528</v>
      </c>
      <c r="D364" s="3"/>
      <c r="E364" s="3" t="s">
        <v>798</v>
      </c>
      <c r="F364" s="3" t="s">
        <v>46</v>
      </c>
      <c r="G364" s="15">
        <v>1</v>
      </c>
      <c r="H364" s="15"/>
      <c r="I364" s="5">
        <v>0</v>
      </c>
      <c r="J364" s="8">
        <f>IFERROR(ROUND(SUM(M365,M366)/I364, 2),0)</f>
        <v>0</v>
      </c>
      <c r="K364" s="24">
        <v>464</v>
      </c>
      <c r="L364" s="8">
        <f>J364+ROUND(K364, 2)</f>
        <v>464</v>
      </c>
      <c r="M364" s="8"/>
      <c r="N364" s="8"/>
      <c r="O364" s="8"/>
      <c r="P364" s="9"/>
    </row>
    <row r="365" spans="1:16" ht="36" hidden="1" customHeight="1" x14ac:dyDescent="0.35">
      <c r="A365" s="1" t="s">
        <v>554</v>
      </c>
      <c r="B365" s="1"/>
      <c r="C365" s="41" t="s">
        <v>350</v>
      </c>
      <c r="D365" s="3"/>
      <c r="E365" s="3"/>
      <c r="F365" s="42" t="s">
        <v>195</v>
      </c>
      <c r="G365" s="43">
        <v>0.15</v>
      </c>
      <c r="H365" s="43"/>
      <c r="I365" s="44">
        <v>0</v>
      </c>
      <c r="J365" s="25">
        <v>88.8</v>
      </c>
      <c r="K365" s="9"/>
      <c r="L365" s="9"/>
      <c r="M365" s="23"/>
      <c r="N365" s="9"/>
      <c r="O365" s="9"/>
      <c r="P365" s="9"/>
    </row>
    <row r="366" spans="1:16" ht="72" hidden="1" customHeight="1" x14ac:dyDescent="0.35">
      <c r="A366" s="1" t="s">
        <v>555</v>
      </c>
      <c r="B366" s="1"/>
      <c r="C366" s="41" t="s">
        <v>530</v>
      </c>
      <c r="D366" s="3"/>
      <c r="E366" s="3" t="s">
        <v>556</v>
      </c>
      <c r="F366" s="42" t="s">
        <v>195</v>
      </c>
      <c r="G366" s="43">
        <v>0.4</v>
      </c>
      <c r="H366" s="43"/>
      <c r="I366" s="44">
        <v>0</v>
      </c>
      <c r="J366" s="25">
        <v>0</v>
      </c>
      <c r="K366" s="9"/>
      <c r="L366" s="9"/>
      <c r="M366" s="23"/>
      <c r="N366" s="9"/>
      <c r="O366" s="9"/>
      <c r="P366" s="9"/>
    </row>
    <row r="367" spans="1:16" ht="16.95" hidden="1" customHeight="1" x14ac:dyDescent="0.35">
      <c r="A367" s="1" t="s">
        <v>557</v>
      </c>
      <c r="B367" s="1" t="s">
        <v>558</v>
      </c>
      <c r="C367" s="119" t="s">
        <v>559</v>
      </c>
      <c r="D367" s="120"/>
      <c r="E367" s="120"/>
      <c r="F367" s="120"/>
      <c r="G367" s="120"/>
      <c r="H367" s="120"/>
      <c r="I367" s="120"/>
      <c r="J367" s="9"/>
      <c r="K367" s="9"/>
      <c r="L367" s="9"/>
      <c r="M367" s="23"/>
      <c r="N367" s="23"/>
      <c r="O367" s="23"/>
      <c r="P367" s="9"/>
    </row>
    <row r="368" spans="1:16" ht="24" hidden="1" customHeight="1" x14ac:dyDescent="0.35">
      <c r="A368" s="1" t="s">
        <v>560</v>
      </c>
      <c r="B368" s="1" t="s">
        <v>561</v>
      </c>
      <c r="C368" s="2" t="s">
        <v>562</v>
      </c>
      <c r="D368" s="3"/>
      <c r="E368" s="3"/>
      <c r="F368" s="3" t="s">
        <v>46</v>
      </c>
      <c r="G368" s="15">
        <v>1</v>
      </c>
      <c r="H368" s="15"/>
      <c r="I368" s="5">
        <v>0</v>
      </c>
      <c r="J368" s="8">
        <v>7126.9</v>
      </c>
      <c r="K368" s="24">
        <v>837</v>
      </c>
      <c r="L368" s="8">
        <f>J368+ROUND(K368, 2)</f>
        <v>7963.9</v>
      </c>
      <c r="M368" s="8"/>
      <c r="N368" s="8"/>
      <c r="O368" s="8"/>
      <c r="P368" s="9"/>
    </row>
    <row r="369" spans="1:16" ht="36" hidden="1" customHeight="1" x14ac:dyDescent="0.35">
      <c r="A369" s="1" t="s">
        <v>563</v>
      </c>
      <c r="B369" s="1"/>
      <c r="C369" s="41" t="s">
        <v>564</v>
      </c>
      <c r="D369" s="3"/>
      <c r="E369" s="3"/>
      <c r="F369" s="42" t="s">
        <v>46</v>
      </c>
      <c r="G369" s="43">
        <v>1.1000000000000001</v>
      </c>
      <c r="H369" s="46"/>
      <c r="I369" s="47">
        <v>0</v>
      </c>
      <c r="J369" s="25">
        <v>6479</v>
      </c>
      <c r="K369" s="9"/>
      <c r="L369" s="9"/>
      <c r="M369" s="23"/>
      <c r="N369" s="9"/>
      <c r="O369" s="9"/>
      <c r="P369" s="9"/>
    </row>
    <row r="370" spans="1:16" ht="36" hidden="1" customHeight="1" x14ac:dyDescent="0.35">
      <c r="A370" s="1" t="s">
        <v>565</v>
      </c>
      <c r="B370" s="1" t="s">
        <v>561</v>
      </c>
      <c r="C370" s="2" t="s">
        <v>562</v>
      </c>
      <c r="D370" s="3"/>
      <c r="E370" s="3"/>
      <c r="F370" s="3" t="s">
        <v>46</v>
      </c>
      <c r="G370" s="15">
        <v>1</v>
      </c>
      <c r="H370" s="15"/>
      <c r="I370" s="5">
        <v>0</v>
      </c>
      <c r="J370" s="8">
        <v>1280.4000000000001</v>
      </c>
      <c r="K370" s="24">
        <v>837</v>
      </c>
      <c r="L370" s="8">
        <f>J370+ROUND(K370, 2)</f>
        <v>2117.4</v>
      </c>
      <c r="M370" s="8"/>
      <c r="N370" s="8"/>
      <c r="O370" s="8"/>
      <c r="P370" s="9"/>
    </row>
    <row r="371" spans="1:16" ht="18" hidden="1" customHeight="1" x14ac:dyDescent="0.35">
      <c r="A371" s="1" t="s">
        <v>566</v>
      </c>
      <c r="B371" s="1"/>
      <c r="C371" s="41" t="s">
        <v>567</v>
      </c>
      <c r="D371" s="3"/>
      <c r="E371" s="3"/>
      <c r="F371" s="42" t="s">
        <v>46</v>
      </c>
      <c r="G371" s="43">
        <v>1.1000000000000001</v>
      </c>
      <c r="H371" s="46"/>
      <c r="I371" s="47">
        <v>0</v>
      </c>
      <c r="J371" s="25">
        <v>1164</v>
      </c>
      <c r="K371" s="9"/>
      <c r="L371" s="9"/>
      <c r="M371" s="23"/>
      <c r="N371" s="9"/>
      <c r="O371" s="9"/>
      <c r="P371" s="9"/>
    </row>
    <row r="372" spans="1:16" ht="126" hidden="1" customHeight="1" x14ac:dyDescent="0.35">
      <c r="A372" s="1" t="s">
        <v>568</v>
      </c>
      <c r="B372" s="1" t="s">
        <v>561</v>
      </c>
      <c r="C372" s="2" t="s">
        <v>562</v>
      </c>
      <c r="D372" s="3"/>
      <c r="E372" s="3" t="s">
        <v>799</v>
      </c>
      <c r="F372" s="3" t="s">
        <v>46</v>
      </c>
      <c r="G372" s="15">
        <v>1</v>
      </c>
      <c r="H372" s="15"/>
      <c r="I372" s="5">
        <v>0</v>
      </c>
      <c r="J372" s="8">
        <f>IFERROR(ROUND(SUM(M373)/I372, 2),0)</f>
        <v>0</v>
      </c>
      <c r="K372" s="24">
        <v>837</v>
      </c>
      <c r="L372" s="8">
        <f>J372+ROUND(K372, 2)</f>
        <v>837</v>
      </c>
      <c r="M372" s="8"/>
      <c r="N372" s="8"/>
      <c r="O372" s="8"/>
      <c r="P372" s="9"/>
    </row>
    <row r="373" spans="1:16" ht="36" hidden="1" customHeight="1" x14ac:dyDescent="0.35">
      <c r="A373" s="1" t="s">
        <v>569</v>
      </c>
      <c r="B373" s="1"/>
      <c r="C373" s="41" t="s">
        <v>564</v>
      </c>
      <c r="D373" s="3"/>
      <c r="E373" s="3"/>
      <c r="F373" s="42" t="s">
        <v>46</v>
      </c>
      <c r="G373" s="43">
        <v>1.1000000000000001</v>
      </c>
      <c r="H373" s="46"/>
      <c r="I373" s="47">
        <v>1137.95</v>
      </c>
      <c r="J373" s="25">
        <v>6479</v>
      </c>
      <c r="K373" s="9"/>
      <c r="L373" s="9"/>
      <c r="M373" s="23"/>
      <c r="N373" s="9"/>
      <c r="O373" s="9"/>
      <c r="P373" s="9"/>
    </row>
    <row r="374" spans="1:16" ht="126" hidden="1" customHeight="1" x14ac:dyDescent="0.35">
      <c r="A374" s="1" t="s">
        <v>570</v>
      </c>
      <c r="B374" s="1" t="s">
        <v>561</v>
      </c>
      <c r="C374" s="2" t="s">
        <v>562</v>
      </c>
      <c r="D374" s="3"/>
      <c r="E374" s="3" t="s">
        <v>800</v>
      </c>
      <c r="F374" s="3" t="s">
        <v>46</v>
      </c>
      <c r="G374" s="15">
        <v>1</v>
      </c>
      <c r="H374" s="15"/>
      <c r="I374" s="5">
        <v>0</v>
      </c>
      <c r="J374" s="8">
        <f>IFERROR(ROUND(SUM(M375)/I374, 2),0)</f>
        <v>0</v>
      </c>
      <c r="K374" s="24">
        <v>837</v>
      </c>
      <c r="L374" s="8">
        <f>J374+ROUND(K374, 2)</f>
        <v>837</v>
      </c>
      <c r="M374" s="8"/>
      <c r="N374" s="8"/>
      <c r="O374" s="8"/>
      <c r="P374" s="9"/>
    </row>
    <row r="375" spans="1:16" ht="18" hidden="1" customHeight="1" x14ac:dyDescent="0.35">
      <c r="A375" s="1" t="s">
        <v>571</v>
      </c>
      <c r="B375" s="1"/>
      <c r="C375" s="41" t="s">
        <v>567</v>
      </c>
      <c r="D375" s="3"/>
      <c r="E375" s="3"/>
      <c r="F375" s="42" t="s">
        <v>46</v>
      </c>
      <c r="G375" s="43">
        <v>1.1000000000000001</v>
      </c>
      <c r="H375" s="46"/>
      <c r="I375" s="47">
        <v>198.22</v>
      </c>
      <c r="J375" s="25">
        <v>1164</v>
      </c>
      <c r="K375" s="9"/>
      <c r="L375" s="9"/>
      <c r="M375" s="23"/>
      <c r="N375" s="9"/>
      <c r="O375" s="9"/>
      <c r="P375" s="9"/>
    </row>
    <row r="376" spans="1:16" ht="43.95" hidden="1" customHeight="1" x14ac:dyDescent="0.35">
      <c r="A376" s="1" t="s">
        <v>572</v>
      </c>
      <c r="B376" s="1" t="s">
        <v>573</v>
      </c>
      <c r="C376" s="2" t="s">
        <v>574</v>
      </c>
      <c r="D376" s="3"/>
      <c r="E376" s="3"/>
      <c r="F376" s="3" t="s">
        <v>46</v>
      </c>
      <c r="G376" s="15">
        <v>1</v>
      </c>
      <c r="H376" s="15"/>
      <c r="I376" s="5">
        <v>0</v>
      </c>
      <c r="J376" s="8">
        <v>0</v>
      </c>
      <c r="K376" s="24">
        <v>121</v>
      </c>
      <c r="L376" s="8">
        <f>J376+ROUND(K376, 2)</f>
        <v>121</v>
      </c>
      <c r="M376" s="8"/>
      <c r="N376" s="8"/>
      <c r="O376" s="8"/>
      <c r="P376" s="9"/>
    </row>
    <row r="377" spans="1:16" ht="54" hidden="1" customHeight="1" x14ac:dyDescent="0.35">
      <c r="A377" s="1" t="s">
        <v>575</v>
      </c>
      <c r="B377" s="1" t="s">
        <v>573</v>
      </c>
      <c r="C377" s="2" t="s">
        <v>574</v>
      </c>
      <c r="D377" s="3"/>
      <c r="E377" s="3" t="s">
        <v>801</v>
      </c>
      <c r="F377" s="3" t="s">
        <v>46</v>
      </c>
      <c r="G377" s="15">
        <v>1</v>
      </c>
      <c r="H377" s="15"/>
      <c r="I377" s="5">
        <v>0</v>
      </c>
      <c r="J377" s="8">
        <v>0</v>
      </c>
      <c r="K377" s="24">
        <v>121</v>
      </c>
      <c r="L377" s="8">
        <f>J377+ROUND(K377, 2)</f>
        <v>121</v>
      </c>
      <c r="M377" s="8"/>
      <c r="N377" s="8"/>
      <c r="O377" s="8"/>
      <c r="P377" s="9"/>
    </row>
    <row r="378" spans="1:16" ht="36" hidden="1" customHeight="1" x14ac:dyDescent="0.35">
      <c r="A378" s="1" t="s">
        <v>576</v>
      </c>
      <c r="B378" s="1" t="s">
        <v>577</v>
      </c>
      <c r="C378" s="2" t="s">
        <v>578</v>
      </c>
      <c r="D378" s="3"/>
      <c r="E378" s="3"/>
      <c r="F378" s="3" t="s">
        <v>46</v>
      </c>
      <c r="G378" s="15">
        <v>1</v>
      </c>
      <c r="H378" s="15"/>
      <c r="I378" s="5">
        <v>0</v>
      </c>
      <c r="J378" s="8">
        <v>584.54999999999995</v>
      </c>
      <c r="K378" s="24">
        <v>1379</v>
      </c>
      <c r="L378" s="8">
        <f>J378+ROUND(K378, 2)</f>
        <v>1963.55</v>
      </c>
      <c r="M378" s="8"/>
      <c r="N378" s="8"/>
      <c r="O378" s="8"/>
      <c r="P378" s="9"/>
    </row>
    <row r="379" spans="1:16" ht="18" hidden="1" customHeight="1" x14ac:dyDescent="0.35">
      <c r="A379" s="1" t="s">
        <v>579</v>
      </c>
      <c r="B379" s="1"/>
      <c r="C379" s="41" t="s">
        <v>580</v>
      </c>
      <c r="D379" s="3"/>
      <c r="E379" s="3"/>
      <c r="F379" s="42" t="s">
        <v>192</v>
      </c>
      <c r="G379" s="43">
        <v>15</v>
      </c>
      <c r="H379" s="43"/>
      <c r="I379" s="44">
        <v>0</v>
      </c>
      <c r="J379" s="25">
        <v>0.95</v>
      </c>
      <c r="K379" s="9"/>
      <c r="L379" s="9"/>
      <c r="M379" s="23"/>
      <c r="N379" s="9"/>
      <c r="O379" s="9"/>
      <c r="P379" s="9"/>
    </row>
    <row r="380" spans="1:16" ht="18" hidden="1" customHeight="1" x14ac:dyDescent="0.35">
      <c r="A380" s="1" t="s">
        <v>581</v>
      </c>
      <c r="B380" s="1"/>
      <c r="C380" s="41" t="s">
        <v>582</v>
      </c>
      <c r="D380" s="3"/>
      <c r="E380" s="3"/>
      <c r="F380" s="42" t="s">
        <v>195</v>
      </c>
      <c r="G380" s="43">
        <v>0.35</v>
      </c>
      <c r="H380" s="43"/>
      <c r="I380" s="44">
        <v>0</v>
      </c>
      <c r="J380" s="25">
        <v>55</v>
      </c>
      <c r="K380" s="9"/>
      <c r="L380" s="9"/>
      <c r="M380" s="23"/>
      <c r="N380" s="9"/>
      <c r="O380" s="9"/>
      <c r="P380" s="9"/>
    </row>
    <row r="381" spans="1:16" ht="18" hidden="1" customHeight="1" x14ac:dyDescent="0.35">
      <c r="A381" s="1" t="s">
        <v>583</v>
      </c>
      <c r="B381" s="1"/>
      <c r="C381" s="41" t="s">
        <v>584</v>
      </c>
      <c r="D381" s="3"/>
      <c r="E381" s="3"/>
      <c r="F381" s="42" t="s">
        <v>192</v>
      </c>
      <c r="G381" s="43">
        <v>0.3</v>
      </c>
      <c r="H381" s="43"/>
      <c r="I381" s="44">
        <v>0</v>
      </c>
      <c r="J381" s="25">
        <v>5.6</v>
      </c>
      <c r="K381" s="9"/>
      <c r="L381" s="9"/>
      <c r="M381" s="23"/>
      <c r="N381" s="9"/>
      <c r="O381" s="9"/>
      <c r="P381" s="9"/>
    </row>
    <row r="382" spans="1:16" ht="36" hidden="1" customHeight="1" x14ac:dyDescent="0.35">
      <c r="A382" s="1" t="s">
        <v>585</v>
      </c>
      <c r="B382" s="1"/>
      <c r="C382" s="45" t="s">
        <v>586</v>
      </c>
      <c r="D382" s="3"/>
      <c r="E382" s="3"/>
      <c r="F382" s="42" t="s">
        <v>192</v>
      </c>
      <c r="G382" s="43">
        <v>3.6</v>
      </c>
      <c r="H382" s="43"/>
      <c r="I382" s="44">
        <v>0</v>
      </c>
      <c r="J382" s="25">
        <v>15.9</v>
      </c>
      <c r="K382" s="9"/>
      <c r="L382" s="9"/>
      <c r="M382" s="23"/>
      <c r="N382" s="9"/>
      <c r="O382" s="9"/>
      <c r="P382" s="9"/>
    </row>
    <row r="383" spans="1:16" ht="18" hidden="1" customHeight="1" x14ac:dyDescent="0.35">
      <c r="A383" s="1" t="s">
        <v>587</v>
      </c>
      <c r="B383" s="1"/>
      <c r="C383" s="41" t="s">
        <v>588</v>
      </c>
      <c r="D383" s="3"/>
      <c r="E383" s="3"/>
      <c r="F383" s="42" t="s">
        <v>52</v>
      </c>
      <c r="G383" s="43">
        <v>1.2</v>
      </c>
      <c r="H383" s="43"/>
      <c r="I383" s="44">
        <v>0</v>
      </c>
      <c r="J383" s="25">
        <v>22.82</v>
      </c>
      <c r="K383" s="9"/>
      <c r="L383" s="9"/>
      <c r="M383" s="23"/>
      <c r="N383" s="9"/>
      <c r="O383" s="9"/>
      <c r="P383" s="9"/>
    </row>
    <row r="384" spans="1:16" ht="18" hidden="1" customHeight="1" x14ac:dyDescent="0.35">
      <c r="A384" s="1" t="s">
        <v>589</v>
      </c>
      <c r="B384" s="1"/>
      <c r="C384" s="41" t="s">
        <v>590</v>
      </c>
      <c r="D384" s="3"/>
      <c r="E384" s="3"/>
      <c r="F384" s="42" t="s">
        <v>52</v>
      </c>
      <c r="G384" s="43">
        <v>4.7</v>
      </c>
      <c r="H384" s="43"/>
      <c r="I384" s="44">
        <v>0</v>
      </c>
      <c r="J384" s="25">
        <v>66.98</v>
      </c>
      <c r="K384" s="9"/>
      <c r="L384" s="9"/>
      <c r="M384" s="23"/>
      <c r="N384" s="9"/>
      <c r="O384" s="9"/>
      <c r="P384" s="9"/>
    </row>
    <row r="385" spans="1:16" ht="18" hidden="1" customHeight="1" x14ac:dyDescent="0.35">
      <c r="A385" s="1" t="s">
        <v>591</v>
      </c>
      <c r="B385" s="1"/>
      <c r="C385" s="41" t="s">
        <v>592</v>
      </c>
      <c r="D385" s="3"/>
      <c r="E385" s="3"/>
      <c r="F385" s="42" t="s">
        <v>52</v>
      </c>
      <c r="G385" s="43">
        <v>1.05</v>
      </c>
      <c r="H385" s="43"/>
      <c r="I385" s="44">
        <v>0</v>
      </c>
      <c r="J385" s="25">
        <v>4.5999999999999996</v>
      </c>
      <c r="K385" s="9"/>
      <c r="L385" s="9"/>
      <c r="M385" s="23"/>
      <c r="N385" s="9"/>
      <c r="O385" s="9"/>
      <c r="P385" s="9"/>
    </row>
    <row r="386" spans="1:16" ht="18" hidden="1" customHeight="1" x14ac:dyDescent="0.35">
      <c r="A386" s="1" t="s">
        <v>593</v>
      </c>
      <c r="B386" s="1"/>
      <c r="C386" s="41" t="s">
        <v>594</v>
      </c>
      <c r="D386" s="3"/>
      <c r="E386" s="3"/>
      <c r="F386" s="42" t="s">
        <v>52</v>
      </c>
      <c r="G386" s="43">
        <v>0.25</v>
      </c>
      <c r="H386" s="43"/>
      <c r="I386" s="44">
        <v>0</v>
      </c>
      <c r="J386" s="25">
        <v>2.8</v>
      </c>
      <c r="K386" s="9"/>
      <c r="L386" s="9"/>
      <c r="M386" s="23"/>
      <c r="N386" s="9"/>
      <c r="O386" s="9"/>
      <c r="P386" s="9"/>
    </row>
    <row r="387" spans="1:16" ht="36" hidden="1" customHeight="1" x14ac:dyDescent="0.35">
      <c r="A387" s="1" t="s">
        <v>595</v>
      </c>
      <c r="B387" s="1"/>
      <c r="C387" s="41" t="s">
        <v>596</v>
      </c>
      <c r="D387" s="3"/>
      <c r="E387" s="3"/>
      <c r="F387" s="42" t="s">
        <v>46</v>
      </c>
      <c r="G387" s="43">
        <v>1.05</v>
      </c>
      <c r="H387" s="43"/>
      <c r="I387" s="44">
        <v>0</v>
      </c>
      <c r="J387" s="25">
        <v>135.53</v>
      </c>
      <c r="K387" s="9"/>
      <c r="L387" s="9"/>
      <c r="M387" s="23"/>
      <c r="N387" s="9"/>
      <c r="O387" s="9"/>
      <c r="P387" s="9"/>
    </row>
    <row r="388" spans="1:16" ht="18" hidden="1" customHeight="1" x14ac:dyDescent="0.35">
      <c r="A388" s="1" t="s">
        <v>597</v>
      </c>
      <c r="B388" s="1"/>
      <c r="C388" s="41" t="s">
        <v>598</v>
      </c>
      <c r="D388" s="3"/>
      <c r="E388" s="3"/>
      <c r="F388" s="42" t="s">
        <v>192</v>
      </c>
      <c r="G388" s="43">
        <v>0.75</v>
      </c>
      <c r="H388" s="43"/>
      <c r="I388" s="44">
        <v>0</v>
      </c>
      <c r="J388" s="25">
        <v>2.8</v>
      </c>
      <c r="K388" s="9"/>
      <c r="L388" s="9"/>
      <c r="M388" s="23"/>
      <c r="N388" s="9"/>
      <c r="O388" s="9"/>
      <c r="P388" s="9"/>
    </row>
    <row r="389" spans="1:16" ht="36" hidden="1" customHeight="1" x14ac:dyDescent="0.35">
      <c r="A389" s="1" t="s">
        <v>599</v>
      </c>
      <c r="B389" s="1" t="s">
        <v>577</v>
      </c>
      <c r="C389" s="2" t="s">
        <v>578</v>
      </c>
      <c r="D389" s="3"/>
      <c r="E389" s="3"/>
      <c r="F389" s="3" t="s">
        <v>46</v>
      </c>
      <c r="G389" s="15">
        <v>1</v>
      </c>
      <c r="H389" s="15"/>
      <c r="I389" s="5">
        <v>0</v>
      </c>
      <c r="J389" s="8">
        <v>584.54999999999995</v>
      </c>
      <c r="K389" s="24">
        <v>1379</v>
      </c>
      <c r="L389" s="8">
        <f>J389+ROUND(K389, 2)</f>
        <v>1963.55</v>
      </c>
      <c r="M389" s="8"/>
      <c r="N389" s="8"/>
      <c r="O389" s="8"/>
      <c r="P389" s="9"/>
    </row>
    <row r="390" spans="1:16" ht="18" hidden="1" customHeight="1" x14ac:dyDescent="0.35">
      <c r="A390" s="1" t="s">
        <v>600</v>
      </c>
      <c r="B390" s="1"/>
      <c r="C390" s="41" t="s">
        <v>598</v>
      </c>
      <c r="D390" s="3"/>
      <c r="E390" s="3"/>
      <c r="F390" s="42" t="s">
        <v>192</v>
      </c>
      <c r="G390" s="43">
        <v>0.75</v>
      </c>
      <c r="H390" s="43"/>
      <c r="I390" s="44">
        <v>0</v>
      </c>
      <c r="J390" s="25">
        <v>2.8</v>
      </c>
      <c r="K390" s="9"/>
      <c r="L390" s="9"/>
      <c r="M390" s="23"/>
      <c r="N390" s="9"/>
      <c r="O390" s="9"/>
      <c r="P390" s="9"/>
    </row>
    <row r="391" spans="1:16" ht="34.950000000000003" hidden="1" customHeight="1" x14ac:dyDescent="0.35">
      <c r="A391" s="1" t="s">
        <v>601</v>
      </c>
      <c r="B391" s="1"/>
      <c r="C391" s="41" t="s">
        <v>59</v>
      </c>
      <c r="D391" s="3"/>
      <c r="E391" s="3"/>
      <c r="F391" s="42" t="s">
        <v>46</v>
      </c>
      <c r="G391" s="43">
        <v>1.05</v>
      </c>
      <c r="H391" s="43"/>
      <c r="I391" s="44">
        <v>0</v>
      </c>
      <c r="J391" s="25">
        <v>135.53</v>
      </c>
      <c r="K391" s="9"/>
      <c r="L391" s="9"/>
      <c r="M391" s="23"/>
      <c r="N391" s="9"/>
      <c r="O391" s="9"/>
      <c r="P391" s="9"/>
    </row>
    <row r="392" spans="1:16" ht="18" hidden="1" customHeight="1" x14ac:dyDescent="0.35">
      <c r="A392" s="1" t="s">
        <v>602</v>
      </c>
      <c r="B392" s="1"/>
      <c r="C392" s="41" t="s">
        <v>594</v>
      </c>
      <c r="D392" s="3"/>
      <c r="E392" s="3"/>
      <c r="F392" s="42" t="s">
        <v>52</v>
      </c>
      <c r="G392" s="43">
        <v>0.25</v>
      </c>
      <c r="H392" s="43"/>
      <c r="I392" s="44">
        <v>0</v>
      </c>
      <c r="J392" s="25">
        <v>2.8</v>
      </c>
      <c r="K392" s="9"/>
      <c r="L392" s="9"/>
      <c r="M392" s="23"/>
      <c r="N392" s="9"/>
      <c r="O392" s="9"/>
      <c r="P392" s="9"/>
    </row>
    <row r="393" spans="1:16" ht="18" hidden="1" customHeight="1" x14ac:dyDescent="0.35">
      <c r="A393" s="1" t="s">
        <v>603</v>
      </c>
      <c r="B393" s="1"/>
      <c r="C393" s="41" t="s">
        <v>592</v>
      </c>
      <c r="D393" s="3"/>
      <c r="E393" s="3"/>
      <c r="F393" s="42" t="s">
        <v>52</v>
      </c>
      <c r="G393" s="43">
        <v>1.05</v>
      </c>
      <c r="H393" s="43"/>
      <c r="I393" s="44">
        <v>0</v>
      </c>
      <c r="J393" s="25">
        <v>4.5999999999999996</v>
      </c>
      <c r="K393" s="9"/>
      <c r="L393" s="9"/>
      <c r="M393" s="23"/>
      <c r="N393" s="9"/>
      <c r="O393" s="9"/>
      <c r="P393" s="9"/>
    </row>
    <row r="394" spans="1:16" ht="18" hidden="1" customHeight="1" x14ac:dyDescent="0.35">
      <c r="A394" s="1" t="s">
        <v>604</v>
      </c>
      <c r="B394" s="1"/>
      <c r="C394" s="41" t="s">
        <v>588</v>
      </c>
      <c r="D394" s="3"/>
      <c r="E394" s="3"/>
      <c r="F394" s="42" t="s">
        <v>52</v>
      </c>
      <c r="G394" s="43">
        <v>1.2</v>
      </c>
      <c r="H394" s="43"/>
      <c r="I394" s="44">
        <v>0</v>
      </c>
      <c r="J394" s="25">
        <v>22.82</v>
      </c>
      <c r="K394" s="9"/>
      <c r="L394" s="9"/>
      <c r="M394" s="23"/>
      <c r="N394" s="9"/>
      <c r="O394" s="9"/>
      <c r="P394" s="9"/>
    </row>
    <row r="395" spans="1:16" ht="18" hidden="1" customHeight="1" x14ac:dyDescent="0.35">
      <c r="A395" s="1" t="s">
        <v>605</v>
      </c>
      <c r="B395" s="1"/>
      <c r="C395" s="41" t="s">
        <v>590</v>
      </c>
      <c r="D395" s="3"/>
      <c r="E395" s="3"/>
      <c r="F395" s="42" t="s">
        <v>52</v>
      </c>
      <c r="G395" s="43">
        <v>4.7</v>
      </c>
      <c r="H395" s="43"/>
      <c r="I395" s="44">
        <v>0</v>
      </c>
      <c r="J395" s="25">
        <v>66.98</v>
      </c>
      <c r="K395" s="9"/>
      <c r="L395" s="9"/>
      <c r="M395" s="23"/>
      <c r="N395" s="9"/>
      <c r="O395" s="9"/>
      <c r="P395" s="9"/>
    </row>
    <row r="396" spans="1:16" ht="36" hidden="1" customHeight="1" x14ac:dyDescent="0.35">
      <c r="A396" s="1" t="s">
        <v>606</v>
      </c>
      <c r="B396" s="1"/>
      <c r="C396" s="45" t="s">
        <v>586</v>
      </c>
      <c r="D396" s="3"/>
      <c r="E396" s="3"/>
      <c r="F396" s="42" t="s">
        <v>192</v>
      </c>
      <c r="G396" s="43">
        <v>3.6</v>
      </c>
      <c r="H396" s="43"/>
      <c r="I396" s="44">
        <v>0</v>
      </c>
      <c r="J396" s="25">
        <v>15.9</v>
      </c>
      <c r="K396" s="9"/>
      <c r="L396" s="9"/>
      <c r="M396" s="23"/>
      <c r="N396" s="9"/>
      <c r="O396" s="9"/>
      <c r="P396" s="9"/>
    </row>
    <row r="397" spans="1:16" ht="18" hidden="1" customHeight="1" x14ac:dyDescent="0.35">
      <c r="A397" s="1" t="s">
        <v>607</v>
      </c>
      <c r="B397" s="1"/>
      <c r="C397" s="41" t="s">
        <v>584</v>
      </c>
      <c r="D397" s="3"/>
      <c r="E397" s="3"/>
      <c r="F397" s="42" t="s">
        <v>192</v>
      </c>
      <c r="G397" s="43">
        <v>0.3</v>
      </c>
      <c r="H397" s="43"/>
      <c r="I397" s="44">
        <v>0</v>
      </c>
      <c r="J397" s="25">
        <v>5.6</v>
      </c>
      <c r="K397" s="9"/>
      <c r="L397" s="9"/>
      <c r="M397" s="23"/>
      <c r="N397" s="9"/>
      <c r="O397" s="9"/>
      <c r="P397" s="9"/>
    </row>
    <row r="398" spans="1:16" ht="18" hidden="1" customHeight="1" x14ac:dyDescent="0.35">
      <c r="A398" s="1" t="s">
        <v>608</v>
      </c>
      <c r="B398" s="1"/>
      <c r="C398" s="41" t="s">
        <v>582</v>
      </c>
      <c r="D398" s="3"/>
      <c r="E398" s="3"/>
      <c r="F398" s="42" t="s">
        <v>195</v>
      </c>
      <c r="G398" s="43">
        <v>0.35</v>
      </c>
      <c r="H398" s="43"/>
      <c r="I398" s="44">
        <v>0</v>
      </c>
      <c r="J398" s="25">
        <v>55</v>
      </c>
      <c r="K398" s="9"/>
      <c r="L398" s="9"/>
      <c r="M398" s="23"/>
      <c r="N398" s="9"/>
      <c r="O398" s="9"/>
      <c r="P398" s="9"/>
    </row>
    <row r="399" spans="1:16" ht="18" hidden="1" customHeight="1" x14ac:dyDescent="0.35">
      <c r="A399" s="1" t="s">
        <v>609</v>
      </c>
      <c r="B399" s="1"/>
      <c r="C399" s="41" t="s">
        <v>580</v>
      </c>
      <c r="D399" s="3"/>
      <c r="E399" s="3"/>
      <c r="F399" s="42" t="s">
        <v>192</v>
      </c>
      <c r="G399" s="43">
        <v>15</v>
      </c>
      <c r="H399" s="43"/>
      <c r="I399" s="44">
        <v>0</v>
      </c>
      <c r="J399" s="25">
        <v>0.95</v>
      </c>
      <c r="K399" s="9"/>
      <c r="L399" s="9"/>
      <c r="M399" s="23"/>
      <c r="N399" s="9"/>
      <c r="O399" s="9"/>
      <c r="P399" s="9"/>
    </row>
    <row r="400" spans="1:16" ht="36" hidden="1" customHeight="1" x14ac:dyDescent="0.35">
      <c r="A400" s="1" t="s">
        <v>610</v>
      </c>
      <c r="B400" s="1" t="s">
        <v>577</v>
      </c>
      <c r="C400" s="2" t="s">
        <v>578</v>
      </c>
      <c r="D400" s="3"/>
      <c r="E400" s="3"/>
      <c r="F400" s="3" t="s">
        <v>46</v>
      </c>
      <c r="G400" s="15">
        <v>1</v>
      </c>
      <c r="H400" s="15"/>
      <c r="I400" s="5">
        <v>0</v>
      </c>
      <c r="J400" s="8">
        <v>442.24</v>
      </c>
      <c r="K400" s="24">
        <v>1379</v>
      </c>
      <c r="L400" s="8">
        <f>J400+ROUND(K400, 2)</f>
        <v>1821.24</v>
      </c>
      <c r="M400" s="8"/>
      <c r="N400" s="8"/>
      <c r="O400" s="8"/>
      <c r="P400" s="9"/>
    </row>
    <row r="401" spans="1:16" ht="18" hidden="1" customHeight="1" x14ac:dyDescent="0.35">
      <c r="A401" s="1" t="s">
        <v>611</v>
      </c>
      <c r="B401" s="1"/>
      <c r="C401" s="41" t="s">
        <v>580</v>
      </c>
      <c r="D401" s="3"/>
      <c r="E401" s="3"/>
      <c r="F401" s="42" t="s">
        <v>192</v>
      </c>
      <c r="G401" s="43">
        <v>15</v>
      </c>
      <c r="H401" s="43"/>
      <c r="I401" s="44">
        <v>0</v>
      </c>
      <c r="J401" s="25">
        <v>0.95</v>
      </c>
      <c r="K401" s="9"/>
      <c r="L401" s="9"/>
      <c r="M401" s="23"/>
      <c r="N401" s="9"/>
      <c r="O401" s="9"/>
      <c r="P401" s="9"/>
    </row>
    <row r="402" spans="1:16" ht="16.5" hidden="1" customHeight="1" x14ac:dyDescent="0.35">
      <c r="A402" s="1" t="s">
        <v>612</v>
      </c>
      <c r="B402" s="1"/>
      <c r="C402" s="41" t="s">
        <v>582</v>
      </c>
      <c r="D402" s="3"/>
      <c r="E402" s="3"/>
      <c r="F402" s="42" t="s">
        <v>195</v>
      </c>
      <c r="G402" s="43">
        <v>0.35</v>
      </c>
      <c r="H402" s="43"/>
      <c r="I402" s="44">
        <v>0</v>
      </c>
      <c r="J402" s="25">
        <v>55</v>
      </c>
      <c r="K402" s="9"/>
      <c r="L402" s="9"/>
      <c r="M402" s="23"/>
      <c r="N402" s="9"/>
      <c r="O402" s="9"/>
      <c r="P402" s="9"/>
    </row>
    <row r="403" spans="1:16" ht="18" hidden="1" customHeight="1" x14ac:dyDescent="0.35">
      <c r="A403" s="1" t="s">
        <v>613</v>
      </c>
      <c r="B403" s="1"/>
      <c r="C403" s="41" t="s">
        <v>584</v>
      </c>
      <c r="D403" s="3"/>
      <c r="E403" s="3"/>
      <c r="F403" s="42" t="s">
        <v>192</v>
      </c>
      <c r="G403" s="43">
        <v>0.3</v>
      </c>
      <c r="H403" s="43"/>
      <c r="I403" s="44">
        <v>0</v>
      </c>
      <c r="J403" s="25">
        <v>5.6</v>
      </c>
      <c r="K403" s="9"/>
      <c r="L403" s="9"/>
      <c r="M403" s="23"/>
      <c r="N403" s="9"/>
      <c r="O403" s="9"/>
      <c r="P403" s="9"/>
    </row>
    <row r="404" spans="1:16" ht="36" hidden="1" customHeight="1" x14ac:dyDescent="0.35">
      <c r="A404" s="1" t="s">
        <v>614</v>
      </c>
      <c r="B404" s="1"/>
      <c r="C404" s="45" t="s">
        <v>586</v>
      </c>
      <c r="D404" s="3"/>
      <c r="E404" s="3"/>
      <c r="F404" s="42" t="s">
        <v>192</v>
      </c>
      <c r="G404" s="43">
        <v>3.6</v>
      </c>
      <c r="H404" s="43"/>
      <c r="I404" s="44">
        <v>0</v>
      </c>
      <c r="J404" s="25">
        <v>15.9</v>
      </c>
      <c r="K404" s="9"/>
      <c r="L404" s="9"/>
      <c r="M404" s="23"/>
      <c r="N404" s="9"/>
      <c r="O404" s="9"/>
      <c r="P404" s="9"/>
    </row>
    <row r="405" spans="1:16" ht="18" hidden="1" customHeight="1" x14ac:dyDescent="0.35">
      <c r="A405" s="1" t="s">
        <v>615</v>
      </c>
      <c r="B405" s="1"/>
      <c r="C405" s="41" t="s">
        <v>588</v>
      </c>
      <c r="D405" s="3"/>
      <c r="E405" s="3"/>
      <c r="F405" s="42" t="s">
        <v>52</v>
      </c>
      <c r="G405" s="43">
        <v>1.2</v>
      </c>
      <c r="H405" s="43"/>
      <c r="I405" s="44">
        <v>0</v>
      </c>
      <c r="J405" s="25">
        <v>22.82</v>
      </c>
      <c r="K405" s="9"/>
      <c r="L405" s="9"/>
      <c r="M405" s="23"/>
      <c r="N405" s="9"/>
      <c r="O405" s="9"/>
      <c r="P405" s="9"/>
    </row>
    <row r="406" spans="1:16" ht="18" hidden="1" customHeight="1" x14ac:dyDescent="0.35">
      <c r="A406" s="1" t="s">
        <v>616</v>
      </c>
      <c r="B406" s="1"/>
      <c r="C406" s="41" t="s">
        <v>590</v>
      </c>
      <c r="D406" s="3"/>
      <c r="E406" s="3"/>
      <c r="F406" s="42" t="s">
        <v>52</v>
      </c>
      <c r="G406" s="43">
        <v>4.7</v>
      </c>
      <c r="H406" s="43"/>
      <c r="I406" s="44">
        <v>0</v>
      </c>
      <c r="J406" s="25">
        <v>66.98</v>
      </c>
      <c r="K406" s="9"/>
      <c r="L406" s="9"/>
      <c r="M406" s="23"/>
      <c r="N406" s="9"/>
      <c r="O406" s="9"/>
      <c r="P406" s="9"/>
    </row>
    <row r="407" spans="1:16" ht="18" hidden="1" customHeight="1" x14ac:dyDescent="0.35">
      <c r="A407" s="1" t="s">
        <v>617</v>
      </c>
      <c r="B407" s="1"/>
      <c r="C407" s="41" t="s">
        <v>618</v>
      </c>
      <c r="D407" s="3"/>
      <c r="E407" s="3"/>
      <c r="F407" s="42" t="s">
        <v>46</v>
      </c>
      <c r="G407" s="43">
        <v>1.05</v>
      </c>
      <c r="H407" s="43"/>
      <c r="I407" s="44">
        <v>0</v>
      </c>
      <c r="J407" s="25">
        <v>0</v>
      </c>
      <c r="K407" s="9"/>
      <c r="L407" s="9"/>
      <c r="M407" s="23"/>
      <c r="N407" s="9"/>
      <c r="O407" s="9"/>
      <c r="P407" s="9"/>
    </row>
    <row r="408" spans="1:16" ht="18" hidden="1" customHeight="1" x14ac:dyDescent="0.35">
      <c r="A408" s="1" t="s">
        <v>619</v>
      </c>
      <c r="B408" s="1"/>
      <c r="C408" s="41" t="s">
        <v>592</v>
      </c>
      <c r="D408" s="3"/>
      <c r="E408" s="3"/>
      <c r="F408" s="42" t="s">
        <v>52</v>
      </c>
      <c r="G408" s="43">
        <v>1.05</v>
      </c>
      <c r="H408" s="43"/>
      <c r="I408" s="44">
        <v>0</v>
      </c>
      <c r="J408" s="25">
        <v>4.5999999999999996</v>
      </c>
      <c r="K408" s="9"/>
      <c r="L408" s="9"/>
      <c r="M408" s="23"/>
      <c r="N408" s="9"/>
      <c r="O408" s="9"/>
      <c r="P408" s="9"/>
    </row>
    <row r="409" spans="1:16" ht="18" hidden="1" customHeight="1" x14ac:dyDescent="0.35">
      <c r="A409" s="1" t="s">
        <v>620</v>
      </c>
      <c r="B409" s="1"/>
      <c r="C409" s="41" t="s">
        <v>594</v>
      </c>
      <c r="D409" s="3"/>
      <c r="E409" s="3"/>
      <c r="F409" s="42" t="s">
        <v>52</v>
      </c>
      <c r="G409" s="43">
        <v>0.25</v>
      </c>
      <c r="H409" s="43"/>
      <c r="I409" s="44">
        <v>0</v>
      </c>
      <c r="J409" s="25">
        <v>2.8</v>
      </c>
      <c r="K409" s="9"/>
      <c r="L409" s="9"/>
      <c r="M409" s="23"/>
      <c r="N409" s="9"/>
      <c r="O409" s="9"/>
      <c r="P409" s="9"/>
    </row>
    <row r="410" spans="1:16" ht="18" hidden="1" customHeight="1" x14ac:dyDescent="0.35">
      <c r="A410" s="1" t="s">
        <v>621</v>
      </c>
      <c r="B410" s="1"/>
      <c r="C410" s="41" t="s">
        <v>598</v>
      </c>
      <c r="D410" s="3"/>
      <c r="E410" s="3"/>
      <c r="F410" s="42" t="s">
        <v>192</v>
      </c>
      <c r="G410" s="43">
        <v>0.75</v>
      </c>
      <c r="H410" s="43"/>
      <c r="I410" s="44">
        <v>0</v>
      </c>
      <c r="J410" s="25">
        <v>2.8</v>
      </c>
      <c r="K410" s="9"/>
      <c r="L410" s="9"/>
      <c r="M410" s="23"/>
      <c r="N410" s="9"/>
      <c r="O410" s="9"/>
      <c r="P410" s="9"/>
    </row>
    <row r="411" spans="1:16" ht="72" hidden="1" customHeight="1" x14ac:dyDescent="0.35">
      <c r="A411" s="1" t="s">
        <v>622</v>
      </c>
      <c r="B411" s="1" t="s">
        <v>577</v>
      </c>
      <c r="C411" s="2" t="s">
        <v>578</v>
      </c>
      <c r="D411" s="3"/>
      <c r="E411" s="3" t="s">
        <v>802</v>
      </c>
      <c r="F411" s="3" t="s">
        <v>46</v>
      </c>
      <c r="G411" s="15">
        <v>1</v>
      </c>
      <c r="H411" s="15"/>
      <c r="I411" s="5">
        <v>0</v>
      </c>
      <c r="J411" s="8">
        <f>IFERROR(ROUND(SUM(M412,M413,M414,M415,M416,M417,M418,M419,M420,M421)/I411, 2),0)</f>
        <v>0</v>
      </c>
      <c r="K411" s="24">
        <v>1379</v>
      </c>
      <c r="L411" s="8">
        <f>J411+ROUND(K411, 2)</f>
        <v>1379</v>
      </c>
      <c r="M411" s="8"/>
      <c r="N411" s="8"/>
      <c r="O411" s="8"/>
      <c r="P411" s="9"/>
    </row>
    <row r="412" spans="1:16" ht="18" hidden="1" customHeight="1" x14ac:dyDescent="0.35">
      <c r="A412" s="1" t="s">
        <v>623</v>
      </c>
      <c r="B412" s="1"/>
      <c r="C412" s="41" t="s">
        <v>598</v>
      </c>
      <c r="D412" s="3"/>
      <c r="E412" s="3"/>
      <c r="F412" s="42" t="s">
        <v>192</v>
      </c>
      <c r="G412" s="43">
        <v>0.75</v>
      </c>
      <c r="H412" s="43"/>
      <c r="I412" s="44">
        <v>0</v>
      </c>
      <c r="J412" s="25">
        <v>2.8</v>
      </c>
      <c r="K412" s="9"/>
      <c r="L412" s="9"/>
      <c r="M412" s="23"/>
      <c r="N412" s="9"/>
      <c r="O412" s="9"/>
      <c r="P412" s="9"/>
    </row>
    <row r="413" spans="1:16" ht="10.95" hidden="1" customHeight="1" x14ac:dyDescent="0.35">
      <c r="A413" s="1" t="s">
        <v>624</v>
      </c>
      <c r="B413" s="1"/>
      <c r="C413" s="41" t="s">
        <v>596</v>
      </c>
      <c r="D413" s="3"/>
      <c r="E413" s="3"/>
      <c r="F413" s="42" t="s">
        <v>46</v>
      </c>
      <c r="G413" s="43">
        <v>1.05</v>
      </c>
      <c r="H413" s="43"/>
      <c r="I413" s="44">
        <v>0</v>
      </c>
      <c r="J413" s="25">
        <v>135.53</v>
      </c>
      <c r="K413" s="9"/>
      <c r="L413" s="9"/>
      <c r="M413" s="23"/>
      <c r="N413" s="9"/>
      <c r="O413" s="9"/>
      <c r="P413" s="9"/>
    </row>
    <row r="414" spans="1:16" ht="18" hidden="1" customHeight="1" x14ac:dyDescent="0.35">
      <c r="A414" s="1" t="s">
        <v>625</v>
      </c>
      <c r="B414" s="1"/>
      <c r="C414" s="41" t="s">
        <v>594</v>
      </c>
      <c r="D414" s="3"/>
      <c r="E414" s="3"/>
      <c r="F414" s="42" t="s">
        <v>52</v>
      </c>
      <c r="G414" s="43">
        <v>0.25</v>
      </c>
      <c r="H414" s="43"/>
      <c r="I414" s="44">
        <v>0</v>
      </c>
      <c r="J414" s="25">
        <v>2.8</v>
      </c>
      <c r="K414" s="9"/>
      <c r="L414" s="9"/>
      <c r="M414" s="23"/>
      <c r="N414" s="9"/>
      <c r="O414" s="9"/>
      <c r="P414" s="9"/>
    </row>
    <row r="415" spans="1:16" ht="18" hidden="1" customHeight="1" x14ac:dyDescent="0.35">
      <c r="A415" s="1" t="s">
        <v>626</v>
      </c>
      <c r="B415" s="1"/>
      <c r="C415" s="41" t="s">
        <v>592</v>
      </c>
      <c r="D415" s="3"/>
      <c r="E415" s="3"/>
      <c r="F415" s="42" t="s">
        <v>52</v>
      </c>
      <c r="G415" s="43">
        <v>1.05</v>
      </c>
      <c r="H415" s="43"/>
      <c r="I415" s="44">
        <v>0</v>
      </c>
      <c r="J415" s="25">
        <v>4.5999999999999996</v>
      </c>
      <c r="K415" s="9"/>
      <c r="L415" s="9"/>
      <c r="M415" s="23"/>
      <c r="N415" s="9"/>
      <c r="O415" s="9"/>
      <c r="P415" s="9"/>
    </row>
    <row r="416" spans="1:16" ht="18" hidden="1" customHeight="1" x14ac:dyDescent="0.35">
      <c r="A416" s="1" t="s">
        <v>627</v>
      </c>
      <c r="B416" s="1"/>
      <c r="C416" s="41" t="s">
        <v>588</v>
      </c>
      <c r="D416" s="3"/>
      <c r="E416" s="3"/>
      <c r="F416" s="42" t="s">
        <v>52</v>
      </c>
      <c r="G416" s="43">
        <v>1.2</v>
      </c>
      <c r="H416" s="43"/>
      <c r="I416" s="44">
        <v>0</v>
      </c>
      <c r="J416" s="25">
        <v>22.82</v>
      </c>
      <c r="K416" s="9"/>
      <c r="L416" s="9"/>
      <c r="M416" s="23"/>
      <c r="N416" s="9"/>
      <c r="O416" s="9"/>
      <c r="P416" s="9"/>
    </row>
    <row r="417" spans="1:16" ht="18" hidden="1" customHeight="1" x14ac:dyDescent="0.35">
      <c r="A417" s="1" t="s">
        <v>628</v>
      </c>
      <c r="B417" s="1"/>
      <c r="C417" s="41" t="s">
        <v>590</v>
      </c>
      <c r="D417" s="3"/>
      <c r="E417" s="3"/>
      <c r="F417" s="42" t="s">
        <v>52</v>
      </c>
      <c r="G417" s="43">
        <v>4.7</v>
      </c>
      <c r="H417" s="43"/>
      <c r="I417" s="44">
        <v>0</v>
      </c>
      <c r="J417" s="25">
        <v>66.98</v>
      </c>
      <c r="K417" s="9"/>
      <c r="L417" s="9"/>
      <c r="M417" s="23"/>
      <c r="N417" s="9"/>
      <c r="O417" s="9"/>
      <c r="P417" s="9"/>
    </row>
    <row r="418" spans="1:16" ht="36" hidden="1" customHeight="1" x14ac:dyDescent="0.35">
      <c r="A418" s="1" t="s">
        <v>629</v>
      </c>
      <c r="B418" s="1"/>
      <c r="C418" s="45" t="s">
        <v>586</v>
      </c>
      <c r="D418" s="3"/>
      <c r="E418" s="3"/>
      <c r="F418" s="42" t="s">
        <v>192</v>
      </c>
      <c r="G418" s="43">
        <v>3.6</v>
      </c>
      <c r="H418" s="43"/>
      <c r="I418" s="44">
        <v>0</v>
      </c>
      <c r="J418" s="25">
        <v>15.9</v>
      </c>
      <c r="K418" s="9"/>
      <c r="L418" s="9"/>
      <c r="M418" s="23"/>
      <c r="N418" s="9"/>
      <c r="O418" s="9"/>
      <c r="P418" s="9"/>
    </row>
    <row r="419" spans="1:16" ht="18" hidden="1" customHeight="1" x14ac:dyDescent="0.35">
      <c r="A419" s="1" t="s">
        <v>630</v>
      </c>
      <c r="B419" s="1"/>
      <c r="C419" s="41" t="s">
        <v>584</v>
      </c>
      <c r="D419" s="3"/>
      <c r="E419" s="3"/>
      <c r="F419" s="42" t="s">
        <v>192</v>
      </c>
      <c r="G419" s="43">
        <v>0.3</v>
      </c>
      <c r="H419" s="43"/>
      <c r="I419" s="44">
        <v>0</v>
      </c>
      <c r="J419" s="25">
        <v>5.6</v>
      </c>
      <c r="K419" s="9"/>
      <c r="L419" s="9"/>
      <c r="M419" s="23"/>
      <c r="N419" s="9"/>
      <c r="O419" s="9"/>
      <c r="P419" s="9"/>
    </row>
    <row r="420" spans="1:16" ht="18" hidden="1" customHeight="1" x14ac:dyDescent="0.35">
      <c r="A420" s="1" t="s">
        <v>631</v>
      </c>
      <c r="B420" s="1"/>
      <c r="C420" s="41" t="s">
        <v>582</v>
      </c>
      <c r="D420" s="3"/>
      <c r="E420" s="3"/>
      <c r="F420" s="42" t="s">
        <v>195</v>
      </c>
      <c r="G420" s="43">
        <v>0.35</v>
      </c>
      <c r="H420" s="43"/>
      <c r="I420" s="44">
        <v>0</v>
      </c>
      <c r="J420" s="25">
        <v>55</v>
      </c>
      <c r="K420" s="9"/>
      <c r="L420" s="9"/>
      <c r="M420" s="23"/>
      <c r="N420" s="9"/>
      <c r="O420" s="9"/>
      <c r="P420" s="9"/>
    </row>
    <row r="421" spans="1:16" ht="18" hidden="1" customHeight="1" x14ac:dyDescent="0.35">
      <c r="A421" s="1" t="s">
        <v>632</v>
      </c>
      <c r="B421" s="1"/>
      <c r="C421" s="41" t="s">
        <v>580</v>
      </c>
      <c r="D421" s="3"/>
      <c r="E421" s="3"/>
      <c r="F421" s="42" t="s">
        <v>192</v>
      </c>
      <c r="G421" s="43">
        <v>15</v>
      </c>
      <c r="H421" s="43"/>
      <c r="I421" s="44">
        <v>0</v>
      </c>
      <c r="J421" s="25">
        <v>0.95</v>
      </c>
      <c r="K421" s="9"/>
      <c r="L421" s="9"/>
      <c r="M421" s="23"/>
      <c r="N421" s="9"/>
      <c r="O421" s="9"/>
      <c r="P421" s="9"/>
    </row>
    <row r="422" spans="1:16" ht="72" hidden="1" customHeight="1" x14ac:dyDescent="0.35">
      <c r="A422" s="1" t="s">
        <v>633</v>
      </c>
      <c r="B422" s="1" t="s">
        <v>577</v>
      </c>
      <c r="C422" s="2" t="s">
        <v>578</v>
      </c>
      <c r="D422" s="3"/>
      <c r="E422" s="3" t="s">
        <v>634</v>
      </c>
      <c r="F422" s="3" t="s">
        <v>46</v>
      </c>
      <c r="G422" s="15">
        <v>1</v>
      </c>
      <c r="H422" s="15"/>
      <c r="I422" s="5">
        <v>0</v>
      </c>
      <c r="J422" s="8">
        <f>IFERROR(ROUND(SUM(M423,M424,M425,M426,M427,M428,M429,M430,M431,M432)/I422, 2),0)</f>
        <v>0</v>
      </c>
      <c r="K422" s="24">
        <v>1379</v>
      </c>
      <c r="L422" s="8">
        <f>J422+ROUND(K422, 2)</f>
        <v>1379</v>
      </c>
      <c r="M422" s="8"/>
      <c r="N422" s="8"/>
      <c r="O422" s="8"/>
      <c r="P422" s="9"/>
    </row>
    <row r="423" spans="1:16" ht="18" hidden="1" customHeight="1" x14ac:dyDescent="0.35">
      <c r="A423" s="1" t="s">
        <v>635</v>
      </c>
      <c r="B423" s="1"/>
      <c r="C423" s="41" t="s">
        <v>580</v>
      </c>
      <c r="D423" s="3"/>
      <c r="E423" s="3"/>
      <c r="F423" s="42" t="s">
        <v>192</v>
      </c>
      <c r="G423" s="43">
        <v>15</v>
      </c>
      <c r="H423" s="43"/>
      <c r="I423" s="44">
        <v>0</v>
      </c>
      <c r="J423" s="25">
        <v>0.95</v>
      </c>
      <c r="K423" s="9"/>
      <c r="L423" s="9"/>
      <c r="M423" s="23"/>
      <c r="N423" s="9"/>
      <c r="O423" s="9"/>
      <c r="P423" s="9"/>
    </row>
    <row r="424" spans="1:16" ht="18" hidden="1" customHeight="1" x14ac:dyDescent="0.35">
      <c r="A424" s="1" t="s">
        <v>636</v>
      </c>
      <c r="B424" s="1"/>
      <c r="C424" s="41" t="s">
        <v>582</v>
      </c>
      <c r="D424" s="3"/>
      <c r="E424" s="3"/>
      <c r="F424" s="42" t="s">
        <v>195</v>
      </c>
      <c r="G424" s="43">
        <v>0.35</v>
      </c>
      <c r="H424" s="43"/>
      <c r="I424" s="44">
        <v>0</v>
      </c>
      <c r="J424" s="25">
        <v>55</v>
      </c>
      <c r="K424" s="9"/>
      <c r="L424" s="9"/>
      <c r="M424" s="23"/>
      <c r="N424" s="9"/>
      <c r="O424" s="9"/>
      <c r="P424" s="9"/>
    </row>
    <row r="425" spans="1:16" ht="18" hidden="1" customHeight="1" x14ac:dyDescent="0.35">
      <c r="A425" s="1" t="s">
        <v>637</v>
      </c>
      <c r="B425" s="1"/>
      <c r="C425" s="41" t="s">
        <v>584</v>
      </c>
      <c r="D425" s="3"/>
      <c r="E425" s="3"/>
      <c r="F425" s="42" t="s">
        <v>192</v>
      </c>
      <c r="G425" s="43">
        <v>0.3</v>
      </c>
      <c r="H425" s="43"/>
      <c r="I425" s="44">
        <v>0</v>
      </c>
      <c r="J425" s="25">
        <v>5.6</v>
      </c>
      <c r="K425" s="9"/>
      <c r="L425" s="9"/>
      <c r="M425" s="23"/>
      <c r="N425" s="9"/>
      <c r="O425" s="9"/>
      <c r="P425" s="9"/>
    </row>
    <row r="426" spans="1:16" ht="36" hidden="1" customHeight="1" x14ac:dyDescent="0.35">
      <c r="A426" s="1" t="s">
        <v>638</v>
      </c>
      <c r="B426" s="1"/>
      <c r="C426" s="45" t="s">
        <v>586</v>
      </c>
      <c r="D426" s="3"/>
      <c r="E426" s="3"/>
      <c r="F426" s="42" t="s">
        <v>192</v>
      </c>
      <c r="G426" s="43">
        <v>3.6</v>
      </c>
      <c r="H426" s="43"/>
      <c r="I426" s="44">
        <v>0</v>
      </c>
      <c r="J426" s="25">
        <v>15.9</v>
      </c>
      <c r="K426" s="9"/>
      <c r="L426" s="9"/>
      <c r="M426" s="23"/>
      <c r="N426" s="9"/>
      <c r="O426" s="9"/>
      <c r="P426" s="9"/>
    </row>
    <row r="427" spans="1:16" ht="18" hidden="1" customHeight="1" x14ac:dyDescent="0.35">
      <c r="A427" s="1" t="s">
        <v>639</v>
      </c>
      <c r="B427" s="1"/>
      <c r="C427" s="41" t="s">
        <v>588</v>
      </c>
      <c r="D427" s="3"/>
      <c r="E427" s="3"/>
      <c r="F427" s="42" t="s">
        <v>52</v>
      </c>
      <c r="G427" s="43">
        <v>1.2</v>
      </c>
      <c r="H427" s="43"/>
      <c r="I427" s="44">
        <v>0</v>
      </c>
      <c r="J427" s="25">
        <v>22.82</v>
      </c>
      <c r="K427" s="9"/>
      <c r="L427" s="9"/>
      <c r="M427" s="23"/>
      <c r="N427" s="9"/>
      <c r="O427" s="9"/>
      <c r="P427" s="9"/>
    </row>
    <row r="428" spans="1:16" ht="10.5" hidden="1" customHeight="1" x14ac:dyDescent="0.35">
      <c r="A428" s="1" t="s">
        <v>640</v>
      </c>
      <c r="B428" s="1"/>
      <c r="C428" s="41" t="s">
        <v>590</v>
      </c>
      <c r="D428" s="3"/>
      <c r="E428" s="3"/>
      <c r="F428" s="42" t="s">
        <v>52</v>
      </c>
      <c r="G428" s="43">
        <v>4.7</v>
      </c>
      <c r="H428" s="43"/>
      <c r="I428" s="44">
        <v>0</v>
      </c>
      <c r="J428" s="25">
        <v>66.98</v>
      </c>
      <c r="K428" s="9"/>
      <c r="L428" s="9"/>
      <c r="M428" s="23"/>
      <c r="N428" s="9"/>
      <c r="O428" s="9"/>
      <c r="P428" s="9"/>
    </row>
    <row r="429" spans="1:16" ht="18" hidden="1" customHeight="1" x14ac:dyDescent="0.35">
      <c r="A429" s="1" t="s">
        <v>641</v>
      </c>
      <c r="B429" s="1"/>
      <c r="C429" s="41" t="s">
        <v>592</v>
      </c>
      <c r="D429" s="3"/>
      <c r="E429" s="3"/>
      <c r="F429" s="42" t="s">
        <v>52</v>
      </c>
      <c r="G429" s="43">
        <v>1.05</v>
      </c>
      <c r="H429" s="43"/>
      <c r="I429" s="44">
        <v>0</v>
      </c>
      <c r="J429" s="25">
        <v>4.5999999999999996</v>
      </c>
      <c r="K429" s="9"/>
      <c r="L429" s="9"/>
      <c r="M429" s="23"/>
      <c r="N429" s="9"/>
      <c r="O429" s="9"/>
      <c r="P429" s="9"/>
    </row>
    <row r="430" spans="1:16" ht="18" hidden="1" customHeight="1" x14ac:dyDescent="0.35">
      <c r="A430" s="1" t="s">
        <v>642</v>
      </c>
      <c r="B430" s="1"/>
      <c r="C430" s="41" t="s">
        <v>594</v>
      </c>
      <c r="D430" s="3"/>
      <c r="E430" s="3"/>
      <c r="F430" s="42" t="s">
        <v>52</v>
      </c>
      <c r="G430" s="43">
        <v>0.25</v>
      </c>
      <c r="H430" s="43"/>
      <c r="I430" s="44">
        <v>0</v>
      </c>
      <c r="J430" s="25">
        <v>2.8</v>
      </c>
      <c r="K430" s="9"/>
      <c r="L430" s="9"/>
      <c r="M430" s="23"/>
      <c r="N430" s="9"/>
      <c r="O430" s="9"/>
      <c r="P430" s="9"/>
    </row>
    <row r="431" spans="1:16" ht="54" hidden="1" customHeight="1" x14ac:dyDescent="0.35">
      <c r="A431" s="1" t="s">
        <v>643</v>
      </c>
      <c r="B431" s="1"/>
      <c r="C431" s="41" t="s">
        <v>59</v>
      </c>
      <c r="D431" s="3"/>
      <c r="E431" s="3"/>
      <c r="F431" s="42" t="s">
        <v>46</v>
      </c>
      <c r="G431" s="43">
        <v>1.05</v>
      </c>
      <c r="H431" s="43"/>
      <c r="I431" s="44">
        <v>0</v>
      </c>
      <c r="J431" s="25">
        <v>135.53</v>
      </c>
      <c r="K431" s="9"/>
      <c r="L431" s="9"/>
      <c r="M431" s="23"/>
      <c r="N431" s="9"/>
      <c r="O431" s="9"/>
      <c r="P431" s="9"/>
    </row>
    <row r="432" spans="1:16" ht="18" hidden="1" customHeight="1" x14ac:dyDescent="0.35">
      <c r="A432" s="1" t="s">
        <v>644</v>
      </c>
      <c r="B432" s="1"/>
      <c r="C432" s="41" t="s">
        <v>598</v>
      </c>
      <c r="D432" s="3"/>
      <c r="E432" s="3"/>
      <c r="F432" s="42" t="s">
        <v>192</v>
      </c>
      <c r="G432" s="43">
        <v>0.75</v>
      </c>
      <c r="H432" s="43"/>
      <c r="I432" s="44">
        <v>0</v>
      </c>
      <c r="J432" s="25">
        <v>2.8</v>
      </c>
      <c r="K432" s="9"/>
      <c r="L432" s="9"/>
      <c r="M432" s="23"/>
      <c r="N432" s="9"/>
      <c r="O432" s="9"/>
      <c r="P432" s="9"/>
    </row>
    <row r="433" spans="1:16" ht="54" hidden="1" customHeight="1" x14ac:dyDescent="0.35">
      <c r="A433" s="1" t="s">
        <v>645</v>
      </c>
      <c r="B433" s="1" t="s">
        <v>577</v>
      </c>
      <c r="C433" s="2" t="s">
        <v>578</v>
      </c>
      <c r="D433" s="3"/>
      <c r="E433" s="3" t="s">
        <v>803</v>
      </c>
      <c r="F433" s="3" t="s">
        <v>46</v>
      </c>
      <c r="G433" s="15">
        <v>1</v>
      </c>
      <c r="H433" s="15"/>
      <c r="I433" s="5">
        <v>0</v>
      </c>
      <c r="J433" s="8">
        <f>IFERROR(ROUND(SUM(M434,M435,M436,M437,M438,M439,M440,M441,M442)/I433, 2),0)</f>
        <v>0</v>
      </c>
      <c r="K433" s="24">
        <v>1379</v>
      </c>
      <c r="L433" s="8">
        <f>J433+ROUND(K433, 2)</f>
        <v>1379</v>
      </c>
      <c r="M433" s="8"/>
      <c r="N433" s="8"/>
      <c r="O433" s="8"/>
      <c r="P433" s="9"/>
    </row>
    <row r="434" spans="1:16" ht="18" hidden="1" customHeight="1" x14ac:dyDescent="0.35">
      <c r="A434" s="1" t="s">
        <v>646</v>
      </c>
      <c r="B434" s="1"/>
      <c r="C434" s="41" t="s">
        <v>598</v>
      </c>
      <c r="D434" s="3"/>
      <c r="E434" s="3"/>
      <c r="F434" s="42" t="s">
        <v>192</v>
      </c>
      <c r="G434" s="43">
        <v>0.75</v>
      </c>
      <c r="H434" s="43"/>
      <c r="I434" s="44">
        <v>0</v>
      </c>
      <c r="J434" s="25">
        <v>2.8</v>
      </c>
      <c r="K434" s="9"/>
      <c r="L434" s="9"/>
      <c r="M434" s="23"/>
      <c r="N434" s="9"/>
      <c r="O434" s="9"/>
      <c r="P434" s="9"/>
    </row>
    <row r="435" spans="1:16" ht="18" hidden="1" customHeight="1" x14ac:dyDescent="0.35">
      <c r="A435" s="1" t="s">
        <v>647</v>
      </c>
      <c r="B435" s="1"/>
      <c r="C435" s="41" t="s">
        <v>594</v>
      </c>
      <c r="D435" s="3"/>
      <c r="E435" s="3"/>
      <c r="F435" s="42" t="s">
        <v>52</v>
      </c>
      <c r="G435" s="43">
        <v>0.25</v>
      </c>
      <c r="H435" s="43"/>
      <c r="I435" s="44">
        <v>0</v>
      </c>
      <c r="J435" s="25">
        <v>2.8</v>
      </c>
      <c r="K435" s="9"/>
      <c r="L435" s="9"/>
      <c r="M435" s="23"/>
      <c r="N435" s="9"/>
      <c r="O435" s="9"/>
      <c r="P435" s="9"/>
    </row>
    <row r="436" spans="1:16" ht="18" hidden="1" customHeight="1" x14ac:dyDescent="0.35">
      <c r="A436" s="1" t="s">
        <v>648</v>
      </c>
      <c r="B436" s="1"/>
      <c r="C436" s="41" t="s">
        <v>592</v>
      </c>
      <c r="D436" s="3"/>
      <c r="E436" s="3"/>
      <c r="F436" s="42" t="s">
        <v>52</v>
      </c>
      <c r="G436" s="43">
        <v>1.05</v>
      </c>
      <c r="H436" s="43"/>
      <c r="I436" s="44">
        <v>0</v>
      </c>
      <c r="J436" s="25">
        <v>4.5999999999999996</v>
      </c>
      <c r="K436" s="9"/>
      <c r="L436" s="9"/>
      <c r="M436" s="23"/>
      <c r="N436" s="9"/>
      <c r="O436" s="9"/>
      <c r="P436" s="9"/>
    </row>
    <row r="437" spans="1:16" ht="18" hidden="1" customHeight="1" x14ac:dyDescent="0.35">
      <c r="A437" s="1" t="s">
        <v>649</v>
      </c>
      <c r="B437" s="1"/>
      <c r="C437" s="41" t="s">
        <v>618</v>
      </c>
      <c r="D437" s="3"/>
      <c r="E437" s="3"/>
      <c r="F437" s="42" t="s">
        <v>46</v>
      </c>
      <c r="G437" s="43">
        <v>1.05</v>
      </c>
      <c r="H437" s="43"/>
      <c r="I437" s="44">
        <v>0</v>
      </c>
      <c r="J437" s="25">
        <v>0</v>
      </c>
      <c r="K437" s="9"/>
      <c r="L437" s="9"/>
      <c r="M437" s="23"/>
      <c r="N437" s="9"/>
      <c r="O437" s="9"/>
      <c r="P437" s="9"/>
    </row>
    <row r="438" spans="1:16" ht="18" hidden="1" customHeight="1" x14ac:dyDescent="0.35">
      <c r="A438" s="1" t="s">
        <v>650</v>
      </c>
      <c r="B438" s="1"/>
      <c r="C438" s="41" t="s">
        <v>588</v>
      </c>
      <c r="D438" s="3"/>
      <c r="E438" s="3"/>
      <c r="F438" s="42" t="s">
        <v>52</v>
      </c>
      <c r="G438" s="43">
        <v>1.2</v>
      </c>
      <c r="H438" s="43"/>
      <c r="I438" s="44">
        <v>0</v>
      </c>
      <c r="J438" s="25">
        <v>22.82</v>
      </c>
      <c r="K438" s="9"/>
      <c r="L438" s="9"/>
      <c r="M438" s="23"/>
      <c r="N438" s="9"/>
      <c r="O438" s="9"/>
      <c r="P438" s="9"/>
    </row>
    <row r="439" spans="1:16" ht="18" hidden="1" customHeight="1" x14ac:dyDescent="0.35">
      <c r="A439" s="1" t="s">
        <v>651</v>
      </c>
      <c r="B439" s="1"/>
      <c r="C439" s="41" t="s">
        <v>590</v>
      </c>
      <c r="D439" s="3"/>
      <c r="E439" s="3"/>
      <c r="F439" s="42" t="s">
        <v>52</v>
      </c>
      <c r="G439" s="43">
        <v>4.7</v>
      </c>
      <c r="H439" s="43"/>
      <c r="I439" s="44">
        <v>0</v>
      </c>
      <c r="J439" s="25">
        <v>66.98</v>
      </c>
      <c r="K439" s="9"/>
      <c r="L439" s="9"/>
      <c r="M439" s="23"/>
      <c r="N439" s="9"/>
      <c r="O439" s="9"/>
      <c r="P439" s="9"/>
    </row>
    <row r="440" spans="1:16" ht="34.5" hidden="1" customHeight="1" x14ac:dyDescent="0.35">
      <c r="A440" s="1" t="s">
        <v>652</v>
      </c>
      <c r="B440" s="1"/>
      <c r="C440" s="45" t="s">
        <v>586</v>
      </c>
      <c r="D440" s="3"/>
      <c r="E440" s="3"/>
      <c r="F440" s="42" t="s">
        <v>192</v>
      </c>
      <c r="G440" s="43">
        <v>3.6</v>
      </c>
      <c r="H440" s="43"/>
      <c r="I440" s="44">
        <v>0</v>
      </c>
      <c r="J440" s="25">
        <v>15.9</v>
      </c>
      <c r="K440" s="9"/>
      <c r="L440" s="9"/>
      <c r="M440" s="23"/>
      <c r="N440" s="9"/>
      <c r="O440" s="9"/>
      <c r="P440" s="9"/>
    </row>
    <row r="441" spans="1:16" ht="18" hidden="1" customHeight="1" x14ac:dyDescent="0.35">
      <c r="A441" s="1" t="s">
        <v>653</v>
      </c>
      <c r="B441" s="1"/>
      <c r="C441" s="41" t="s">
        <v>582</v>
      </c>
      <c r="D441" s="3"/>
      <c r="E441" s="3"/>
      <c r="F441" s="42" t="s">
        <v>195</v>
      </c>
      <c r="G441" s="43">
        <v>0.35</v>
      </c>
      <c r="H441" s="43"/>
      <c r="I441" s="44">
        <v>0</v>
      </c>
      <c r="J441" s="25">
        <v>55</v>
      </c>
      <c r="K441" s="9"/>
      <c r="L441" s="9"/>
      <c r="M441" s="23"/>
      <c r="N441" s="9"/>
      <c r="O441" s="9"/>
      <c r="P441" s="9"/>
    </row>
    <row r="442" spans="1:16" ht="18" hidden="1" customHeight="1" x14ac:dyDescent="0.35">
      <c r="A442" s="1" t="s">
        <v>654</v>
      </c>
      <c r="B442" s="1"/>
      <c r="C442" s="41" t="s">
        <v>580</v>
      </c>
      <c r="D442" s="3"/>
      <c r="E442" s="3"/>
      <c r="F442" s="42" t="s">
        <v>192</v>
      </c>
      <c r="G442" s="43">
        <v>15</v>
      </c>
      <c r="H442" s="43"/>
      <c r="I442" s="44">
        <v>0</v>
      </c>
      <c r="J442" s="25">
        <v>0.95</v>
      </c>
      <c r="K442" s="9"/>
      <c r="L442" s="9"/>
      <c r="M442" s="23"/>
      <c r="N442" s="9"/>
      <c r="O442" s="9"/>
      <c r="P442" s="9"/>
    </row>
    <row r="443" spans="1:16" ht="36" hidden="1" customHeight="1" x14ac:dyDescent="0.35">
      <c r="A443" s="1" t="s">
        <v>655</v>
      </c>
      <c r="B443" s="1" t="s">
        <v>656</v>
      </c>
      <c r="C443" s="2" t="s">
        <v>657</v>
      </c>
      <c r="D443" s="3"/>
      <c r="E443" s="3"/>
      <c r="F443" s="3" t="s">
        <v>46</v>
      </c>
      <c r="G443" s="15">
        <v>1</v>
      </c>
      <c r="H443" s="15"/>
      <c r="I443" s="5">
        <v>0</v>
      </c>
      <c r="J443" s="8">
        <v>855.89</v>
      </c>
      <c r="K443" s="24">
        <v>963</v>
      </c>
      <c r="L443" s="8">
        <f>J443+ROUND(K443, 2)</f>
        <v>1818.8899999999999</v>
      </c>
      <c r="M443" s="8"/>
      <c r="N443" s="8"/>
      <c r="O443" s="8"/>
      <c r="P443" s="9"/>
    </row>
    <row r="444" spans="1:16" ht="18" hidden="1" customHeight="1" x14ac:dyDescent="0.35">
      <c r="A444" s="1" t="s">
        <v>658</v>
      </c>
      <c r="B444" s="1"/>
      <c r="C444" s="45" t="s">
        <v>659</v>
      </c>
      <c r="D444" s="3"/>
      <c r="E444" s="3"/>
      <c r="F444" s="42" t="s">
        <v>46</v>
      </c>
      <c r="G444" s="43">
        <v>1.1000000000000001</v>
      </c>
      <c r="H444" s="46"/>
      <c r="I444" s="47">
        <v>0</v>
      </c>
      <c r="J444" s="25">
        <v>778.08</v>
      </c>
      <c r="K444" s="9"/>
      <c r="L444" s="9"/>
      <c r="M444" s="23"/>
      <c r="N444" s="9"/>
      <c r="O444" s="9"/>
      <c r="P444" s="9"/>
    </row>
    <row r="445" spans="1:16" ht="108" hidden="1" customHeight="1" x14ac:dyDescent="0.35">
      <c r="A445" s="1" t="s">
        <v>660</v>
      </c>
      <c r="B445" s="1" t="s">
        <v>656</v>
      </c>
      <c r="C445" s="2" t="s">
        <v>657</v>
      </c>
      <c r="D445" s="3"/>
      <c r="E445" s="3" t="s">
        <v>804</v>
      </c>
      <c r="F445" s="3" t="s">
        <v>46</v>
      </c>
      <c r="G445" s="15">
        <v>1</v>
      </c>
      <c r="H445" s="15"/>
      <c r="I445" s="5">
        <v>0</v>
      </c>
      <c r="J445" s="8">
        <f>IFERROR(ROUND(SUM(M446)/I445, 2),0)</f>
        <v>0</v>
      </c>
      <c r="K445" s="24">
        <v>963</v>
      </c>
      <c r="L445" s="8">
        <f>J445+ROUND(K445, 2)</f>
        <v>963</v>
      </c>
      <c r="M445" s="8"/>
      <c r="N445" s="8"/>
      <c r="O445" s="8"/>
      <c r="P445" s="9"/>
    </row>
    <row r="446" spans="1:16" ht="18" hidden="1" customHeight="1" x14ac:dyDescent="0.35">
      <c r="A446" s="1" t="s">
        <v>661</v>
      </c>
      <c r="B446" s="1"/>
      <c r="C446" s="45" t="s">
        <v>659</v>
      </c>
      <c r="D446" s="3"/>
      <c r="E446" s="3"/>
      <c r="F446" s="42" t="s">
        <v>46</v>
      </c>
      <c r="G446" s="43">
        <v>1.1000000000000001</v>
      </c>
      <c r="H446" s="46"/>
      <c r="I446" s="47">
        <v>187.66</v>
      </c>
      <c r="J446" s="25">
        <v>778.08</v>
      </c>
      <c r="K446" s="9"/>
      <c r="L446" s="9"/>
      <c r="M446" s="23"/>
      <c r="N446" s="9"/>
      <c r="O446" s="9"/>
      <c r="P446" s="9"/>
    </row>
    <row r="447" spans="1:16" ht="16.95" hidden="1" customHeight="1" x14ac:dyDescent="0.35">
      <c r="A447" s="1" t="s">
        <v>662</v>
      </c>
      <c r="B447" s="1" t="s">
        <v>663</v>
      </c>
      <c r="C447" s="119" t="s">
        <v>664</v>
      </c>
      <c r="D447" s="120"/>
      <c r="E447" s="120"/>
      <c r="F447" s="120"/>
      <c r="G447" s="120"/>
      <c r="H447" s="120"/>
      <c r="I447" s="120"/>
      <c r="J447" s="9"/>
      <c r="K447" s="9"/>
      <c r="L447" s="9"/>
      <c r="M447" s="23"/>
      <c r="N447" s="23"/>
      <c r="O447" s="23"/>
      <c r="P447" s="9"/>
    </row>
    <row r="448" spans="1:16" ht="54" hidden="1" customHeight="1" x14ac:dyDescent="0.35">
      <c r="A448" s="1" t="s">
        <v>665</v>
      </c>
      <c r="B448" s="1" t="s">
        <v>666</v>
      </c>
      <c r="C448" s="2" t="s">
        <v>667</v>
      </c>
      <c r="D448" s="3" t="s">
        <v>668</v>
      </c>
      <c r="E448" s="3"/>
      <c r="F448" s="3" t="s">
        <v>669</v>
      </c>
      <c r="G448" s="15">
        <v>1</v>
      </c>
      <c r="H448" s="15"/>
      <c r="I448" s="5">
        <v>0</v>
      </c>
      <c r="J448" s="8">
        <v>0</v>
      </c>
      <c r="K448" s="24">
        <v>169189</v>
      </c>
      <c r="L448" s="8">
        <f>J448+ROUND(K448, 2)</f>
        <v>169189</v>
      </c>
      <c r="M448" s="8"/>
      <c r="N448" s="8"/>
      <c r="O448" s="8"/>
      <c r="P448" s="9"/>
    </row>
    <row r="449" spans="1:18" ht="6" hidden="1" customHeight="1" x14ac:dyDescent="0.35">
      <c r="A449" s="1" t="s">
        <v>670</v>
      </c>
      <c r="B449" s="1" t="s">
        <v>666</v>
      </c>
      <c r="C449" s="2" t="s">
        <v>667</v>
      </c>
      <c r="D449" s="3" t="s">
        <v>668</v>
      </c>
      <c r="E449" s="3"/>
      <c r="F449" s="3" t="s">
        <v>669</v>
      </c>
      <c r="G449" s="15">
        <v>1</v>
      </c>
      <c r="H449" s="15"/>
      <c r="I449" s="5">
        <v>0</v>
      </c>
      <c r="J449" s="8">
        <v>0</v>
      </c>
      <c r="K449" s="24">
        <v>169189</v>
      </c>
      <c r="L449" s="8">
        <f>J449+ROUND(K449, 2)</f>
        <v>169189</v>
      </c>
      <c r="M449" s="8"/>
      <c r="N449" s="8"/>
      <c r="O449" s="8"/>
      <c r="P449" s="9"/>
    </row>
    <row r="450" spans="1:18" ht="64.95" customHeight="1" x14ac:dyDescent="0.35">
      <c r="A450" s="117" t="s">
        <v>671</v>
      </c>
      <c r="B450" s="118"/>
      <c r="C450" s="118"/>
      <c r="D450" s="118"/>
      <c r="E450" s="118"/>
      <c r="F450" s="118"/>
      <c r="G450" s="118"/>
      <c r="H450" s="118"/>
      <c r="I450" s="118"/>
      <c r="J450" s="26"/>
      <c r="K450" s="26"/>
      <c r="L450" s="26"/>
      <c r="M450" s="22"/>
      <c r="N450" s="22"/>
      <c r="O450" s="22"/>
      <c r="P450" s="9"/>
    </row>
    <row r="451" spans="1:18" ht="16.95" customHeight="1" x14ac:dyDescent="0.35">
      <c r="A451" s="1" t="s">
        <v>672</v>
      </c>
      <c r="B451" s="1" t="s">
        <v>24</v>
      </c>
      <c r="C451" s="119" t="s">
        <v>25</v>
      </c>
      <c r="D451" s="120"/>
      <c r="E451" s="120"/>
      <c r="F451" s="120"/>
      <c r="G451" s="120"/>
      <c r="H451" s="120"/>
      <c r="I451" s="120"/>
      <c r="J451" s="9"/>
      <c r="K451" s="9"/>
      <c r="L451" s="9"/>
      <c r="M451" s="23"/>
      <c r="N451" s="23"/>
      <c r="O451" s="23"/>
      <c r="P451" s="9"/>
    </row>
    <row r="452" spans="1:18" ht="16.95" customHeight="1" x14ac:dyDescent="0.35">
      <c r="A452" s="1" t="s">
        <v>673</v>
      </c>
      <c r="B452" s="1" t="s">
        <v>27</v>
      </c>
      <c r="C452" s="119" t="s">
        <v>28</v>
      </c>
      <c r="D452" s="120"/>
      <c r="E452" s="120"/>
      <c r="F452" s="120"/>
      <c r="G452" s="120"/>
      <c r="H452" s="120"/>
      <c r="I452" s="120"/>
      <c r="J452" s="9"/>
      <c r="K452" s="9"/>
      <c r="L452" s="9"/>
      <c r="M452" s="23"/>
      <c r="N452" s="23"/>
      <c r="O452" s="23"/>
      <c r="P452" s="9"/>
    </row>
    <row r="453" spans="1:18" ht="16.95" customHeight="1" x14ac:dyDescent="0.35">
      <c r="A453" s="1" t="s">
        <v>674</v>
      </c>
      <c r="B453" s="1" t="s">
        <v>30</v>
      </c>
      <c r="C453" s="119" t="s">
        <v>31</v>
      </c>
      <c r="D453" s="120"/>
      <c r="E453" s="120"/>
      <c r="F453" s="120"/>
      <c r="G453" s="120"/>
      <c r="H453" s="120"/>
      <c r="I453" s="120"/>
      <c r="J453" s="9"/>
      <c r="K453" s="9"/>
      <c r="L453" s="9"/>
      <c r="M453" s="23"/>
      <c r="N453" s="23"/>
      <c r="O453" s="23"/>
      <c r="P453" s="9"/>
    </row>
    <row r="454" spans="1:18" ht="16.95" customHeight="1" x14ac:dyDescent="0.35">
      <c r="A454" s="1" t="s">
        <v>675</v>
      </c>
      <c r="B454" s="1" t="s">
        <v>33</v>
      </c>
      <c r="C454" s="119" t="s">
        <v>34</v>
      </c>
      <c r="D454" s="120"/>
      <c r="E454" s="120"/>
      <c r="F454" s="120"/>
      <c r="G454" s="120"/>
      <c r="H454" s="120"/>
      <c r="I454" s="120"/>
      <c r="J454" s="9"/>
      <c r="K454" s="9"/>
      <c r="L454" s="9"/>
      <c r="M454" s="23"/>
      <c r="N454" s="23"/>
      <c r="O454" s="23"/>
      <c r="P454" s="9"/>
    </row>
    <row r="455" spans="1:18" ht="16.95" customHeight="1" x14ac:dyDescent="0.35">
      <c r="A455" s="1" t="s">
        <v>676</v>
      </c>
      <c r="B455" s="1" t="s">
        <v>36</v>
      </c>
      <c r="C455" s="119" t="s">
        <v>37</v>
      </c>
      <c r="D455" s="120"/>
      <c r="E455" s="120"/>
      <c r="F455" s="120"/>
      <c r="G455" s="120"/>
      <c r="H455" s="120"/>
      <c r="I455" s="120"/>
      <c r="J455" s="9"/>
      <c r="K455" s="9"/>
      <c r="L455" s="9"/>
      <c r="M455" s="23"/>
      <c r="N455" s="23"/>
      <c r="O455" s="23"/>
      <c r="P455" s="9"/>
    </row>
    <row r="456" spans="1:18" ht="35.549999999999997" customHeight="1" x14ac:dyDescent="0.35">
      <c r="A456" s="48" t="s">
        <v>677</v>
      </c>
      <c r="B456" s="48" t="s">
        <v>39</v>
      </c>
      <c r="C456" s="125" t="s">
        <v>40</v>
      </c>
      <c r="D456" s="126"/>
      <c r="E456" s="126"/>
      <c r="F456" s="126"/>
      <c r="G456" s="126"/>
      <c r="H456" s="126"/>
      <c r="I456" s="126"/>
      <c r="J456" s="27"/>
      <c r="K456" s="27"/>
      <c r="L456" s="27"/>
      <c r="M456" s="28"/>
      <c r="N456" s="28"/>
      <c r="O456" s="28"/>
      <c r="P456" s="9"/>
    </row>
    <row r="457" spans="1:18" ht="202.95" customHeight="1" x14ac:dyDescent="0.35">
      <c r="A457" s="1" t="s">
        <v>678</v>
      </c>
      <c r="B457" s="1" t="s">
        <v>42</v>
      </c>
      <c r="C457" s="2" t="s">
        <v>43</v>
      </c>
      <c r="D457" s="3" t="s">
        <v>751</v>
      </c>
      <c r="E457" s="3" t="s">
        <v>45</v>
      </c>
      <c r="F457" s="3" t="s">
        <v>46</v>
      </c>
      <c r="G457" s="15">
        <v>1</v>
      </c>
      <c r="H457" s="15"/>
      <c r="I457" s="5">
        <v>6610.5</v>
      </c>
      <c r="J457" s="6" t="s">
        <v>679</v>
      </c>
      <c r="K457" s="7">
        <v>0</v>
      </c>
      <c r="L457" s="8">
        <v>1342</v>
      </c>
      <c r="M457" s="62">
        <v>1476</v>
      </c>
      <c r="N457" s="62">
        <v>1550.4</v>
      </c>
      <c r="O457" s="62">
        <v>1469.9</v>
      </c>
      <c r="P457" s="64">
        <v>772.2</v>
      </c>
      <c r="R457" s="61"/>
    </row>
    <row r="458" spans="1:18" ht="72" hidden="1" x14ac:dyDescent="0.35">
      <c r="A458" s="1" t="s">
        <v>680</v>
      </c>
      <c r="B458" s="1"/>
      <c r="C458" s="41" t="s">
        <v>48</v>
      </c>
      <c r="D458" s="3"/>
      <c r="E458" s="3"/>
      <c r="F458" s="42" t="s">
        <v>49</v>
      </c>
      <c r="G458" s="43">
        <v>1</v>
      </c>
      <c r="H458" s="43"/>
      <c r="I458" s="44">
        <v>6610.5</v>
      </c>
      <c r="J458" s="25"/>
      <c r="K458" s="29"/>
      <c r="L458" s="9"/>
      <c r="M458" s="23"/>
      <c r="N458" s="9"/>
      <c r="O458" s="9"/>
      <c r="P458" s="9"/>
      <c r="R458" s="61"/>
    </row>
    <row r="459" spans="1:18" hidden="1" x14ac:dyDescent="0.35">
      <c r="A459" s="1" t="s">
        <v>681</v>
      </c>
      <c r="B459" s="1"/>
      <c r="C459" s="45" t="s">
        <v>51</v>
      </c>
      <c r="D459" s="3"/>
      <c r="E459" s="3"/>
      <c r="F459" s="42" t="s">
        <v>52</v>
      </c>
      <c r="G459" s="43">
        <v>0.8</v>
      </c>
      <c r="H459" s="46"/>
      <c r="I459" s="47">
        <v>5288.4</v>
      </c>
      <c r="J459" s="25"/>
      <c r="K459" s="29"/>
      <c r="L459" s="9"/>
      <c r="M459" s="23"/>
      <c r="N459" s="9"/>
      <c r="O459" s="9"/>
      <c r="P459" s="9"/>
      <c r="R459" s="61"/>
    </row>
    <row r="460" spans="1:18" hidden="1" x14ac:dyDescent="0.35">
      <c r="A460" s="1" t="s">
        <v>682</v>
      </c>
      <c r="B460" s="1"/>
      <c r="C460" s="45" t="s">
        <v>54</v>
      </c>
      <c r="D460" s="3"/>
      <c r="E460" s="3"/>
      <c r="F460" s="42" t="s">
        <v>52</v>
      </c>
      <c r="G460" s="43">
        <v>2.1</v>
      </c>
      <c r="H460" s="46"/>
      <c r="I460" s="47">
        <v>13882.05</v>
      </c>
      <c r="J460" s="25"/>
      <c r="K460" s="29"/>
      <c r="L460" s="9"/>
      <c r="M460" s="23"/>
      <c r="N460" s="9"/>
      <c r="O460" s="9"/>
      <c r="P460" s="9"/>
      <c r="R460" s="61"/>
    </row>
    <row r="461" spans="1:18" ht="36" hidden="1" x14ac:dyDescent="0.35">
      <c r="A461" s="1" t="s">
        <v>683</v>
      </c>
      <c r="B461" s="1"/>
      <c r="C461" s="45" t="s">
        <v>56</v>
      </c>
      <c r="D461" s="3"/>
      <c r="E461" s="3"/>
      <c r="F461" s="42" t="s">
        <v>57</v>
      </c>
      <c r="G461" s="43">
        <v>5.1999999999999998E-2</v>
      </c>
      <c r="H461" s="43"/>
      <c r="I461" s="44">
        <v>343.74599999999998</v>
      </c>
      <c r="J461" s="25"/>
      <c r="K461" s="29"/>
      <c r="L461" s="9"/>
      <c r="M461" s="23"/>
      <c r="N461" s="9"/>
      <c r="O461" s="9"/>
      <c r="P461" s="9"/>
      <c r="R461" s="61"/>
    </row>
    <row r="462" spans="1:18" ht="54" hidden="1" x14ac:dyDescent="0.35">
      <c r="A462" s="1" t="s">
        <v>684</v>
      </c>
      <c r="B462" s="1"/>
      <c r="C462" s="41" t="s">
        <v>59</v>
      </c>
      <c r="D462" s="3"/>
      <c r="E462" s="3"/>
      <c r="F462" s="42" t="s">
        <v>46</v>
      </c>
      <c r="G462" s="43">
        <v>4.2</v>
      </c>
      <c r="H462" s="43"/>
      <c r="I462" s="44">
        <v>27764.1</v>
      </c>
      <c r="J462" s="25"/>
      <c r="K462" s="29"/>
      <c r="L462" s="9"/>
      <c r="M462" s="23"/>
      <c r="N462" s="9"/>
      <c r="O462" s="9"/>
      <c r="P462" s="9"/>
      <c r="R462" s="61"/>
    </row>
    <row r="463" spans="1:18" ht="150" customHeight="1" x14ac:dyDescent="0.35">
      <c r="A463" s="1" t="s">
        <v>685</v>
      </c>
      <c r="B463" s="1" t="s">
        <v>67</v>
      </c>
      <c r="C463" s="2" t="s">
        <v>68</v>
      </c>
      <c r="D463" s="3" t="s">
        <v>750</v>
      </c>
      <c r="E463" s="3" t="s">
        <v>82</v>
      </c>
      <c r="F463" s="3" t="s">
        <v>46</v>
      </c>
      <c r="G463" s="15">
        <v>1</v>
      </c>
      <c r="H463" s="15"/>
      <c r="I463" s="5">
        <v>162.4</v>
      </c>
      <c r="J463" s="6" t="s">
        <v>679</v>
      </c>
      <c r="K463" s="7">
        <v>0</v>
      </c>
      <c r="L463" s="8">
        <v>0</v>
      </c>
      <c r="M463" s="62">
        <v>45.8</v>
      </c>
      <c r="N463" s="62">
        <v>45.5</v>
      </c>
      <c r="O463" s="62">
        <v>46</v>
      </c>
      <c r="P463" s="64">
        <v>25.1</v>
      </c>
      <c r="R463" s="61"/>
    </row>
    <row r="464" spans="1:18" ht="72" hidden="1" x14ac:dyDescent="0.35">
      <c r="A464" s="1" t="s">
        <v>686</v>
      </c>
      <c r="B464" s="1"/>
      <c r="C464" s="41" t="s">
        <v>48</v>
      </c>
      <c r="D464" s="3"/>
      <c r="E464" s="3"/>
      <c r="F464" s="42" t="s">
        <v>49</v>
      </c>
      <c r="G464" s="43">
        <v>1</v>
      </c>
      <c r="H464" s="43"/>
      <c r="I464" s="44">
        <v>162.4</v>
      </c>
      <c r="J464" s="25"/>
      <c r="K464" s="29"/>
      <c r="L464" s="9"/>
      <c r="M464" s="23"/>
      <c r="N464" s="9"/>
      <c r="O464" s="9"/>
      <c r="P464" s="9"/>
      <c r="R464" s="61"/>
    </row>
    <row r="465" spans="1:18" hidden="1" x14ac:dyDescent="0.35">
      <c r="A465" s="1" t="s">
        <v>687</v>
      </c>
      <c r="B465" s="1"/>
      <c r="C465" s="45" t="s">
        <v>71</v>
      </c>
      <c r="D465" s="3"/>
      <c r="E465" s="3"/>
      <c r="F465" s="42" t="s">
        <v>52</v>
      </c>
      <c r="G465" s="43">
        <v>2.04</v>
      </c>
      <c r="H465" s="46"/>
      <c r="I465" s="47">
        <v>331.29599999999999</v>
      </c>
      <c r="J465" s="25"/>
      <c r="K465" s="29"/>
      <c r="L465" s="9"/>
      <c r="M465" s="23"/>
      <c r="N465" s="9"/>
      <c r="O465" s="9"/>
      <c r="P465" s="9"/>
      <c r="R465" s="61"/>
    </row>
    <row r="466" spans="1:18" hidden="1" x14ac:dyDescent="0.35">
      <c r="A466" s="1" t="s">
        <v>688</v>
      </c>
      <c r="B466" s="1"/>
      <c r="C466" s="45" t="s">
        <v>73</v>
      </c>
      <c r="D466" s="3"/>
      <c r="E466" s="3"/>
      <c r="F466" s="42" t="s">
        <v>52</v>
      </c>
      <c r="G466" s="43">
        <v>0.8</v>
      </c>
      <c r="H466" s="46"/>
      <c r="I466" s="47">
        <v>129.91999999999999</v>
      </c>
      <c r="J466" s="25"/>
      <c r="K466" s="29"/>
      <c r="L466" s="9"/>
      <c r="M466" s="23"/>
      <c r="N466" s="9"/>
      <c r="O466" s="9"/>
      <c r="P466" s="9"/>
      <c r="R466" s="61"/>
    </row>
    <row r="467" spans="1:18" ht="36" hidden="1" x14ac:dyDescent="0.35">
      <c r="A467" s="1" t="s">
        <v>689</v>
      </c>
      <c r="B467" s="1"/>
      <c r="C467" s="45" t="s">
        <v>56</v>
      </c>
      <c r="D467" s="3"/>
      <c r="E467" s="3"/>
      <c r="F467" s="42" t="s">
        <v>57</v>
      </c>
      <c r="G467" s="43">
        <v>5.1999999999999998E-2</v>
      </c>
      <c r="H467" s="43"/>
      <c r="I467" s="44">
        <v>8.4450000000000003</v>
      </c>
      <c r="J467" s="25"/>
      <c r="K467" s="29"/>
      <c r="L467" s="9"/>
      <c r="M467" s="23"/>
      <c r="N467" s="9"/>
      <c r="O467" s="9"/>
      <c r="P467" s="9"/>
      <c r="R467" s="61"/>
    </row>
    <row r="468" spans="1:18" ht="54" hidden="1" x14ac:dyDescent="0.35">
      <c r="A468" s="1" t="s">
        <v>690</v>
      </c>
      <c r="B468" s="1"/>
      <c r="C468" s="41" t="s">
        <v>59</v>
      </c>
      <c r="D468" s="3"/>
      <c r="E468" s="3" t="s">
        <v>88</v>
      </c>
      <c r="F468" s="42" t="s">
        <v>46</v>
      </c>
      <c r="G468" s="43">
        <v>4.2</v>
      </c>
      <c r="H468" s="43"/>
      <c r="I468" s="44">
        <v>682.08</v>
      </c>
      <c r="J468" s="25"/>
      <c r="K468" s="29"/>
      <c r="L468" s="9"/>
      <c r="M468" s="23"/>
      <c r="N468" s="9"/>
      <c r="O468" s="9"/>
      <c r="P468" s="9"/>
      <c r="R468" s="61"/>
    </row>
    <row r="469" spans="1:18" ht="102" customHeight="1" x14ac:dyDescent="0.35">
      <c r="A469" s="1" t="s">
        <v>691</v>
      </c>
      <c r="B469" s="1" t="s">
        <v>67</v>
      </c>
      <c r="C469" s="2" t="s">
        <v>68</v>
      </c>
      <c r="D469" s="3" t="s">
        <v>752</v>
      </c>
      <c r="E469" s="3" t="s">
        <v>90</v>
      </c>
      <c r="F469" s="3" t="s">
        <v>46</v>
      </c>
      <c r="G469" s="15">
        <v>1</v>
      </c>
      <c r="H469" s="15"/>
      <c r="I469" s="5">
        <v>59.8</v>
      </c>
      <c r="J469" s="8"/>
      <c r="K469" s="7">
        <v>0</v>
      </c>
      <c r="L469" s="8">
        <v>21.1</v>
      </c>
      <c r="M469" s="8">
        <v>0</v>
      </c>
      <c r="N469" s="8">
        <v>0</v>
      </c>
      <c r="O469" s="8">
        <v>0</v>
      </c>
      <c r="P469" s="9">
        <v>38.700000000000003</v>
      </c>
      <c r="R469" s="61"/>
    </row>
    <row r="470" spans="1:18" ht="54" hidden="1" x14ac:dyDescent="0.35">
      <c r="A470" s="1" t="s">
        <v>692</v>
      </c>
      <c r="B470" s="1"/>
      <c r="C470" s="41" t="s">
        <v>59</v>
      </c>
      <c r="D470" s="3"/>
      <c r="E470" s="3"/>
      <c r="F470" s="42" t="s">
        <v>46</v>
      </c>
      <c r="G470" s="43">
        <v>4.2</v>
      </c>
      <c r="H470" s="43"/>
      <c r="I470" s="44">
        <v>251.16</v>
      </c>
      <c r="J470" s="25"/>
      <c r="K470" s="29"/>
      <c r="L470" s="9"/>
      <c r="M470" s="23"/>
      <c r="N470" s="9"/>
      <c r="O470" s="9"/>
      <c r="P470" s="9"/>
      <c r="R470" s="61"/>
    </row>
    <row r="471" spans="1:18" ht="36" hidden="1" x14ac:dyDescent="0.35">
      <c r="A471" s="1" t="s">
        <v>693</v>
      </c>
      <c r="B471" s="1"/>
      <c r="C471" s="45" t="s">
        <v>56</v>
      </c>
      <c r="D471" s="3"/>
      <c r="E471" s="3"/>
      <c r="F471" s="42" t="s">
        <v>57</v>
      </c>
      <c r="G471" s="43">
        <v>5.1999999999999998E-2</v>
      </c>
      <c r="H471" s="43"/>
      <c r="I471" s="44">
        <v>3.11</v>
      </c>
      <c r="J471" s="25"/>
      <c r="K471" s="29"/>
      <c r="L471" s="9"/>
      <c r="M471" s="23"/>
      <c r="N471" s="9"/>
      <c r="O471" s="9"/>
      <c r="P471" s="9"/>
      <c r="R471" s="61"/>
    </row>
    <row r="472" spans="1:18" hidden="1" x14ac:dyDescent="0.35">
      <c r="A472" s="1" t="s">
        <v>694</v>
      </c>
      <c r="B472" s="1"/>
      <c r="C472" s="45" t="s">
        <v>71</v>
      </c>
      <c r="D472" s="3"/>
      <c r="E472" s="3"/>
      <c r="F472" s="42" t="s">
        <v>52</v>
      </c>
      <c r="G472" s="43">
        <v>2.04</v>
      </c>
      <c r="H472" s="46"/>
      <c r="I472" s="47">
        <v>121.992</v>
      </c>
      <c r="J472" s="25"/>
      <c r="K472" s="29"/>
      <c r="L472" s="9"/>
      <c r="M472" s="23"/>
      <c r="N472" s="9"/>
      <c r="O472" s="9"/>
      <c r="P472" s="9"/>
      <c r="R472" s="61"/>
    </row>
    <row r="473" spans="1:18" hidden="1" x14ac:dyDescent="0.35">
      <c r="A473" s="1" t="s">
        <v>695</v>
      </c>
      <c r="B473" s="1"/>
      <c r="C473" s="45" t="s">
        <v>73</v>
      </c>
      <c r="D473" s="3"/>
      <c r="E473" s="3"/>
      <c r="F473" s="42" t="s">
        <v>52</v>
      </c>
      <c r="G473" s="43">
        <v>0.8</v>
      </c>
      <c r="H473" s="46"/>
      <c r="I473" s="47">
        <v>47.84</v>
      </c>
      <c r="J473" s="25"/>
      <c r="K473" s="29"/>
      <c r="L473" s="9"/>
      <c r="M473" s="23"/>
      <c r="N473" s="9"/>
      <c r="O473" s="9"/>
      <c r="P473" s="9"/>
      <c r="R473" s="61"/>
    </row>
    <row r="474" spans="1:18" ht="72" hidden="1" x14ac:dyDescent="0.35">
      <c r="A474" s="1" t="s">
        <v>696</v>
      </c>
      <c r="B474" s="1"/>
      <c r="C474" s="41" t="s">
        <v>48</v>
      </c>
      <c r="D474" s="3"/>
      <c r="E474" s="3"/>
      <c r="F474" s="42" t="s">
        <v>49</v>
      </c>
      <c r="G474" s="43">
        <v>1</v>
      </c>
      <c r="H474" s="43"/>
      <c r="I474" s="44">
        <v>59.8</v>
      </c>
      <c r="J474" s="25"/>
      <c r="K474" s="29"/>
      <c r="L474" s="9"/>
      <c r="M474" s="23"/>
      <c r="N474" s="9"/>
      <c r="O474" s="9"/>
      <c r="P474" s="9"/>
      <c r="R474" s="61"/>
    </row>
    <row r="475" spans="1:18" ht="158.55000000000001" customHeight="1" x14ac:dyDescent="0.35">
      <c r="A475" s="1" t="s">
        <v>697</v>
      </c>
      <c r="B475" s="1" t="s">
        <v>97</v>
      </c>
      <c r="C475" s="2" t="s">
        <v>98</v>
      </c>
      <c r="D475" s="3" t="s">
        <v>753</v>
      </c>
      <c r="E475" s="3" t="s">
        <v>805</v>
      </c>
      <c r="F475" s="3" t="s">
        <v>46</v>
      </c>
      <c r="G475" s="15">
        <v>1</v>
      </c>
      <c r="H475" s="15"/>
      <c r="I475" s="5">
        <v>783.6</v>
      </c>
      <c r="J475" s="6" t="s">
        <v>679</v>
      </c>
      <c r="K475" s="7">
        <v>208.4</v>
      </c>
      <c r="L475" s="8">
        <v>186.2</v>
      </c>
      <c r="M475" s="62">
        <v>85.2</v>
      </c>
      <c r="N475" s="62">
        <v>102</v>
      </c>
      <c r="O475" s="62">
        <v>140.19999999999999</v>
      </c>
      <c r="P475" s="9">
        <v>61.6</v>
      </c>
      <c r="R475" s="61"/>
    </row>
    <row r="476" spans="1:18" ht="72" hidden="1" x14ac:dyDescent="0.35">
      <c r="A476" s="1" t="s">
        <v>698</v>
      </c>
      <c r="B476" s="1"/>
      <c r="C476" s="41" t="s">
        <v>100</v>
      </c>
      <c r="D476" s="3"/>
      <c r="E476" s="3"/>
      <c r="F476" s="42" t="s">
        <v>49</v>
      </c>
      <c r="G476" s="43">
        <v>1</v>
      </c>
      <c r="H476" s="43"/>
      <c r="I476" s="44">
        <v>783.6</v>
      </c>
      <c r="J476" s="25"/>
      <c r="K476" s="29"/>
      <c r="L476" s="9"/>
      <c r="M476" s="23"/>
      <c r="N476" s="9"/>
      <c r="O476" s="9"/>
      <c r="P476" s="9"/>
      <c r="R476" s="61"/>
    </row>
    <row r="477" spans="1:18" hidden="1" x14ac:dyDescent="0.35">
      <c r="A477" s="1" t="s">
        <v>699</v>
      </c>
      <c r="B477" s="1"/>
      <c r="C477" s="45" t="s">
        <v>51</v>
      </c>
      <c r="D477" s="3"/>
      <c r="E477" s="3"/>
      <c r="F477" s="42" t="s">
        <v>52</v>
      </c>
      <c r="G477" s="43">
        <v>0.86</v>
      </c>
      <c r="H477" s="46"/>
      <c r="I477" s="47">
        <v>673.89599999999996</v>
      </c>
      <c r="J477" s="25"/>
      <c r="K477" s="29"/>
      <c r="L477" s="9"/>
      <c r="M477" s="23"/>
      <c r="N477" s="9"/>
      <c r="O477" s="9"/>
      <c r="P477" s="9"/>
      <c r="R477" s="61"/>
    </row>
    <row r="478" spans="1:18" hidden="1" x14ac:dyDescent="0.35">
      <c r="A478" s="1" t="s">
        <v>700</v>
      </c>
      <c r="B478" s="1"/>
      <c r="C478" s="45" t="s">
        <v>54</v>
      </c>
      <c r="D478" s="3"/>
      <c r="E478" s="3"/>
      <c r="F478" s="42" t="s">
        <v>52</v>
      </c>
      <c r="G478" s="43">
        <v>2.1</v>
      </c>
      <c r="H478" s="46"/>
      <c r="I478" s="47">
        <v>1645.56</v>
      </c>
      <c r="J478" s="25"/>
      <c r="K478" s="29"/>
      <c r="L478" s="9"/>
      <c r="M478" s="23"/>
      <c r="N478" s="9"/>
      <c r="O478" s="9"/>
      <c r="P478" s="9"/>
      <c r="R478" s="61"/>
    </row>
    <row r="479" spans="1:18" ht="36" hidden="1" x14ac:dyDescent="0.35">
      <c r="A479" s="1" t="s">
        <v>701</v>
      </c>
      <c r="B479" s="1"/>
      <c r="C479" s="45" t="s">
        <v>56</v>
      </c>
      <c r="D479" s="3"/>
      <c r="E479" s="3"/>
      <c r="F479" s="42" t="s">
        <v>57</v>
      </c>
      <c r="G479" s="43">
        <v>5.1999999999999998E-2</v>
      </c>
      <c r="H479" s="43"/>
      <c r="I479" s="44">
        <v>40.747</v>
      </c>
      <c r="J479" s="25"/>
      <c r="K479" s="29"/>
      <c r="L479" s="9"/>
      <c r="M479" s="23"/>
      <c r="N479" s="9"/>
      <c r="O479" s="9"/>
      <c r="P479" s="9"/>
      <c r="R479" s="61"/>
    </row>
    <row r="480" spans="1:18" ht="36" hidden="1" x14ac:dyDescent="0.35">
      <c r="A480" s="1" t="s">
        <v>702</v>
      </c>
      <c r="B480" s="1"/>
      <c r="C480" s="45" t="s">
        <v>105</v>
      </c>
      <c r="D480" s="3"/>
      <c r="E480" s="3"/>
      <c r="F480" s="42" t="s">
        <v>46</v>
      </c>
      <c r="G480" s="43">
        <v>2.2000000000000002</v>
      </c>
      <c r="H480" s="43"/>
      <c r="I480" s="44">
        <v>1723.92</v>
      </c>
      <c r="J480" s="25"/>
      <c r="K480" s="29"/>
      <c r="L480" s="9"/>
      <c r="M480" s="23"/>
      <c r="N480" s="9"/>
      <c r="O480" s="9"/>
      <c r="P480" s="9"/>
      <c r="R480" s="61"/>
    </row>
    <row r="481" spans="1:18" ht="153" customHeight="1" x14ac:dyDescent="0.35">
      <c r="A481" s="1" t="s">
        <v>703</v>
      </c>
      <c r="B481" s="1" t="s">
        <v>97</v>
      </c>
      <c r="C481" s="2" t="s">
        <v>98</v>
      </c>
      <c r="D481" s="3" t="s">
        <v>754</v>
      </c>
      <c r="E481" s="3" t="s">
        <v>158</v>
      </c>
      <c r="F481" s="3" t="s">
        <v>46</v>
      </c>
      <c r="G481" s="15">
        <v>1</v>
      </c>
      <c r="H481" s="15"/>
      <c r="I481" s="5">
        <v>95.8</v>
      </c>
      <c r="J481" s="6"/>
      <c r="K481" s="7">
        <v>0</v>
      </c>
      <c r="L481" s="8">
        <v>18.100000000000001</v>
      </c>
      <c r="M481" s="6">
        <v>22.2</v>
      </c>
      <c r="N481" s="6">
        <v>22.2</v>
      </c>
      <c r="O481" s="6">
        <v>22.2</v>
      </c>
      <c r="P481" s="9">
        <v>11.1</v>
      </c>
      <c r="R481" s="61"/>
    </row>
    <row r="482" spans="1:18" hidden="1" x14ac:dyDescent="0.35">
      <c r="A482" s="1" t="s">
        <v>704</v>
      </c>
      <c r="B482" s="1"/>
      <c r="C482" s="45" t="s">
        <v>131</v>
      </c>
      <c r="D482" s="3"/>
      <c r="E482" s="3"/>
      <c r="F482" s="42" t="s">
        <v>46</v>
      </c>
      <c r="G482" s="43">
        <v>2.2000000000000002</v>
      </c>
      <c r="H482" s="43"/>
      <c r="I482" s="44">
        <v>210.76</v>
      </c>
      <c r="J482" s="25"/>
      <c r="K482" s="29"/>
      <c r="L482" s="9"/>
      <c r="M482" s="23"/>
      <c r="N482" s="9"/>
      <c r="O482" s="9"/>
      <c r="P482" s="9"/>
      <c r="R482" s="61"/>
    </row>
    <row r="483" spans="1:18" ht="36" hidden="1" x14ac:dyDescent="0.35">
      <c r="A483" s="1" t="s">
        <v>705</v>
      </c>
      <c r="B483" s="1"/>
      <c r="C483" s="45" t="s">
        <v>56</v>
      </c>
      <c r="D483" s="3"/>
      <c r="E483" s="3"/>
      <c r="F483" s="42" t="s">
        <v>57</v>
      </c>
      <c r="G483" s="43">
        <v>5.1999999999999998E-2</v>
      </c>
      <c r="H483" s="43"/>
      <c r="I483" s="44">
        <v>4.9820000000000002</v>
      </c>
      <c r="J483" s="25"/>
      <c r="K483" s="29"/>
      <c r="L483" s="9"/>
      <c r="M483" s="23"/>
      <c r="N483" s="9"/>
      <c r="O483" s="9"/>
      <c r="P483" s="9"/>
      <c r="R483" s="61"/>
    </row>
    <row r="484" spans="1:18" hidden="1" x14ac:dyDescent="0.35">
      <c r="A484" s="1" t="s">
        <v>706</v>
      </c>
      <c r="B484" s="1"/>
      <c r="C484" s="45" t="s">
        <v>51</v>
      </c>
      <c r="D484" s="3"/>
      <c r="E484" s="3"/>
      <c r="F484" s="42" t="s">
        <v>52</v>
      </c>
      <c r="G484" s="43">
        <v>0.86</v>
      </c>
      <c r="H484" s="46"/>
      <c r="I484" s="47">
        <v>82.388000000000005</v>
      </c>
      <c r="J484" s="25"/>
      <c r="K484" s="29"/>
      <c r="L484" s="9"/>
      <c r="M484" s="23"/>
      <c r="N484" s="9"/>
      <c r="O484" s="9"/>
      <c r="P484" s="9"/>
      <c r="R484" s="61"/>
    </row>
    <row r="485" spans="1:18" hidden="1" x14ac:dyDescent="0.35">
      <c r="A485" s="1" t="s">
        <v>707</v>
      </c>
      <c r="B485" s="1"/>
      <c r="C485" s="45" t="s">
        <v>54</v>
      </c>
      <c r="D485" s="3"/>
      <c r="E485" s="3"/>
      <c r="F485" s="42" t="s">
        <v>52</v>
      </c>
      <c r="G485" s="43">
        <v>2.1</v>
      </c>
      <c r="H485" s="46"/>
      <c r="I485" s="47">
        <v>201.18</v>
      </c>
      <c r="J485" s="25"/>
      <c r="K485" s="29"/>
      <c r="L485" s="9"/>
      <c r="M485" s="23"/>
      <c r="N485" s="9"/>
      <c r="O485" s="9"/>
      <c r="P485" s="9"/>
      <c r="R485" s="61"/>
    </row>
    <row r="486" spans="1:18" ht="72" hidden="1" x14ac:dyDescent="0.35">
      <c r="A486" s="1" t="s">
        <v>708</v>
      </c>
      <c r="B486" s="1"/>
      <c r="C486" s="41" t="s">
        <v>100</v>
      </c>
      <c r="D486" s="3"/>
      <c r="E486" s="3"/>
      <c r="F486" s="42" t="s">
        <v>49</v>
      </c>
      <c r="G486" s="43">
        <v>1</v>
      </c>
      <c r="H486" s="43"/>
      <c r="I486" s="44">
        <v>95.8</v>
      </c>
      <c r="J486" s="25"/>
      <c r="K486" s="29"/>
      <c r="L486" s="9"/>
      <c r="M486" s="23"/>
      <c r="N486" s="9"/>
      <c r="O486" s="9"/>
      <c r="P486" s="9"/>
      <c r="R486" s="61"/>
    </row>
    <row r="487" spans="1:18" ht="159.44999999999999" customHeight="1" x14ac:dyDescent="0.35">
      <c r="A487" s="1" t="s">
        <v>709</v>
      </c>
      <c r="B487" s="1" t="s">
        <v>97</v>
      </c>
      <c r="C487" s="2" t="s">
        <v>98</v>
      </c>
      <c r="D487" s="3" t="s">
        <v>755</v>
      </c>
      <c r="E487" s="3" t="s">
        <v>770</v>
      </c>
      <c r="F487" s="3" t="s">
        <v>46</v>
      </c>
      <c r="G487" s="15">
        <v>1</v>
      </c>
      <c r="H487" s="15"/>
      <c r="I487" s="5">
        <v>128.5</v>
      </c>
      <c r="J487" s="6" t="s">
        <v>679</v>
      </c>
      <c r="K487" s="7">
        <v>20.399999999999999</v>
      </c>
      <c r="L487" s="8">
        <v>18.3</v>
      </c>
      <c r="M487" s="62">
        <v>17.8</v>
      </c>
      <c r="N487" s="62">
        <v>16.100000000000001</v>
      </c>
      <c r="O487" s="62">
        <v>23.7</v>
      </c>
      <c r="P487" s="9">
        <v>32.200000000000003</v>
      </c>
      <c r="R487" s="61"/>
    </row>
    <row r="488" spans="1:18" ht="72" hidden="1" x14ac:dyDescent="0.35">
      <c r="A488" s="1" t="s">
        <v>710</v>
      </c>
      <c r="B488" s="1"/>
      <c r="C488" s="41" t="s">
        <v>100</v>
      </c>
      <c r="D488" s="3"/>
      <c r="E488" s="3"/>
      <c r="F488" s="42" t="s">
        <v>49</v>
      </c>
      <c r="G488" s="43">
        <v>1</v>
      </c>
      <c r="H488" s="43"/>
      <c r="I488" s="44">
        <v>128.5</v>
      </c>
      <c r="J488" s="25"/>
      <c r="K488" s="29"/>
      <c r="L488" s="9"/>
      <c r="M488" s="23"/>
      <c r="N488" s="9"/>
      <c r="O488" s="9"/>
      <c r="P488" s="9"/>
      <c r="R488" s="61"/>
    </row>
    <row r="489" spans="1:18" hidden="1" x14ac:dyDescent="0.35">
      <c r="A489" s="1" t="s">
        <v>711</v>
      </c>
      <c r="B489" s="1"/>
      <c r="C489" s="45" t="s">
        <v>71</v>
      </c>
      <c r="D489" s="3"/>
      <c r="E489" s="3"/>
      <c r="F489" s="42" t="s">
        <v>52</v>
      </c>
      <c r="G489" s="43">
        <v>2.1</v>
      </c>
      <c r="H489" s="43"/>
      <c r="I489" s="44">
        <v>269.85000000000002</v>
      </c>
      <c r="J489" s="25"/>
      <c r="K489" s="29"/>
      <c r="L489" s="9"/>
      <c r="M489" s="23"/>
      <c r="N489" s="9"/>
      <c r="O489" s="9"/>
      <c r="P489" s="9"/>
      <c r="R489" s="61"/>
    </row>
    <row r="490" spans="1:18" hidden="1" x14ac:dyDescent="0.35">
      <c r="A490" s="1" t="s">
        <v>712</v>
      </c>
      <c r="B490" s="1"/>
      <c r="C490" s="45" t="s">
        <v>73</v>
      </c>
      <c r="D490" s="3"/>
      <c r="E490" s="3"/>
      <c r="F490" s="42" t="s">
        <v>52</v>
      </c>
      <c r="G490" s="43">
        <v>0.8</v>
      </c>
      <c r="H490" s="43"/>
      <c r="I490" s="44">
        <v>102.8</v>
      </c>
      <c r="J490" s="25"/>
      <c r="K490" s="29"/>
      <c r="L490" s="9"/>
      <c r="M490" s="23"/>
      <c r="N490" s="9"/>
      <c r="O490" s="9"/>
      <c r="P490" s="9"/>
      <c r="R490" s="61"/>
    </row>
    <row r="491" spans="1:18" ht="36" hidden="1" x14ac:dyDescent="0.35">
      <c r="A491" s="1" t="s">
        <v>713</v>
      </c>
      <c r="B491" s="1"/>
      <c r="C491" s="45" t="s">
        <v>56</v>
      </c>
      <c r="D491" s="3"/>
      <c r="E491" s="3"/>
      <c r="F491" s="42" t="s">
        <v>57</v>
      </c>
      <c r="G491" s="43">
        <v>5.1999999999999998E-2</v>
      </c>
      <c r="H491" s="43"/>
      <c r="I491" s="44">
        <v>6.6820000000000004</v>
      </c>
      <c r="J491" s="25"/>
      <c r="K491" s="29"/>
      <c r="L491" s="9"/>
      <c r="M491" s="23"/>
      <c r="N491" s="9"/>
      <c r="O491" s="9"/>
      <c r="P491" s="9"/>
      <c r="R491" s="61"/>
    </row>
    <row r="492" spans="1:18" ht="36" hidden="1" x14ac:dyDescent="0.35">
      <c r="A492" s="1" t="s">
        <v>714</v>
      </c>
      <c r="B492" s="1"/>
      <c r="C492" s="45" t="s">
        <v>108</v>
      </c>
      <c r="D492" s="3"/>
      <c r="E492" s="3" t="s">
        <v>156</v>
      </c>
      <c r="F492" s="42" t="s">
        <v>46</v>
      </c>
      <c r="G492" s="43">
        <v>2.2000000000000002</v>
      </c>
      <c r="H492" s="43"/>
      <c r="I492" s="44">
        <v>282.7</v>
      </c>
      <c r="J492" s="25"/>
      <c r="K492" s="29"/>
      <c r="L492" s="9"/>
      <c r="M492" s="23"/>
      <c r="N492" s="9"/>
      <c r="O492" s="9"/>
      <c r="P492" s="9"/>
      <c r="R492" s="61"/>
    </row>
    <row r="493" spans="1:18" ht="211.5" customHeight="1" x14ac:dyDescent="0.35">
      <c r="A493" s="1" t="s">
        <v>715</v>
      </c>
      <c r="B493" s="1" t="s">
        <v>97</v>
      </c>
      <c r="C493" s="2" t="s">
        <v>98</v>
      </c>
      <c r="D493" s="3" t="s">
        <v>756</v>
      </c>
      <c r="E493" s="3" t="s">
        <v>769</v>
      </c>
      <c r="F493" s="3" t="s">
        <v>46</v>
      </c>
      <c r="G493" s="15">
        <v>1</v>
      </c>
      <c r="H493" s="15"/>
      <c r="I493" s="5">
        <v>185.6</v>
      </c>
      <c r="J493" s="6" t="s">
        <v>716</v>
      </c>
      <c r="K493" s="7">
        <v>8.6</v>
      </c>
      <c r="L493" s="8">
        <v>48.8</v>
      </c>
      <c r="M493" s="62">
        <v>46.4</v>
      </c>
      <c r="N493" s="62">
        <v>48.1</v>
      </c>
      <c r="O493" s="62">
        <v>25.5</v>
      </c>
      <c r="P493" s="9">
        <v>8.1999999999999993</v>
      </c>
      <c r="R493" s="61"/>
    </row>
    <row r="494" spans="1:18" ht="36" hidden="1" x14ac:dyDescent="0.35">
      <c r="A494" s="1" t="s">
        <v>717</v>
      </c>
      <c r="B494" s="1"/>
      <c r="C494" s="45" t="s">
        <v>108</v>
      </c>
      <c r="D494" s="3"/>
      <c r="E494" s="3"/>
      <c r="F494" s="42" t="s">
        <v>46</v>
      </c>
      <c r="G494" s="43">
        <v>2.2000000000000002</v>
      </c>
      <c r="H494" s="43"/>
      <c r="I494" s="44">
        <v>408.32</v>
      </c>
      <c r="J494" s="25"/>
      <c r="K494" s="29"/>
      <c r="L494" s="9"/>
      <c r="M494" s="63"/>
      <c r="N494" s="64"/>
      <c r="O494" s="64"/>
      <c r="P494" s="9"/>
      <c r="R494" s="61"/>
    </row>
    <row r="495" spans="1:18" ht="36" hidden="1" x14ac:dyDescent="0.35">
      <c r="A495" s="1" t="s">
        <v>718</v>
      </c>
      <c r="B495" s="1"/>
      <c r="C495" s="45" t="s">
        <v>56</v>
      </c>
      <c r="D495" s="3"/>
      <c r="E495" s="3"/>
      <c r="F495" s="42" t="s">
        <v>57</v>
      </c>
      <c r="G495" s="43">
        <v>5.1999999999999998E-2</v>
      </c>
      <c r="H495" s="43"/>
      <c r="I495" s="44">
        <v>9.6509999999999998</v>
      </c>
      <c r="J495" s="25"/>
      <c r="K495" s="29"/>
      <c r="L495" s="9"/>
      <c r="M495" s="63"/>
      <c r="N495" s="64"/>
      <c r="O495" s="64"/>
      <c r="P495" s="9"/>
      <c r="R495" s="61"/>
    </row>
    <row r="496" spans="1:18" hidden="1" x14ac:dyDescent="0.35">
      <c r="A496" s="1" t="s">
        <v>719</v>
      </c>
      <c r="B496" s="1"/>
      <c r="C496" s="45" t="s">
        <v>51</v>
      </c>
      <c r="D496" s="3"/>
      <c r="E496" s="3"/>
      <c r="F496" s="42" t="s">
        <v>52</v>
      </c>
      <c r="G496" s="43">
        <v>0.86</v>
      </c>
      <c r="H496" s="46"/>
      <c r="I496" s="47">
        <v>159.61600000000001</v>
      </c>
      <c r="J496" s="25"/>
      <c r="K496" s="29"/>
      <c r="L496" s="9"/>
      <c r="M496" s="63"/>
      <c r="N496" s="64"/>
      <c r="O496" s="64"/>
      <c r="P496" s="9"/>
      <c r="R496" s="61"/>
    </row>
    <row r="497" spans="1:18" hidden="1" x14ac:dyDescent="0.35">
      <c r="A497" s="1" t="s">
        <v>720</v>
      </c>
      <c r="B497" s="1"/>
      <c r="C497" s="45" t="s">
        <v>54</v>
      </c>
      <c r="D497" s="3"/>
      <c r="E497" s="3"/>
      <c r="F497" s="42" t="s">
        <v>52</v>
      </c>
      <c r="G497" s="43">
        <v>2.1</v>
      </c>
      <c r="H497" s="46"/>
      <c r="I497" s="47">
        <v>389.76</v>
      </c>
      <c r="J497" s="25"/>
      <c r="K497" s="29"/>
      <c r="L497" s="9"/>
      <c r="M497" s="63"/>
      <c r="N497" s="64"/>
      <c r="O497" s="64"/>
      <c r="P497" s="9"/>
      <c r="R497" s="61"/>
    </row>
    <row r="498" spans="1:18" ht="72" hidden="1" x14ac:dyDescent="0.35">
      <c r="A498" s="1" t="s">
        <v>721</v>
      </c>
      <c r="B498" s="1"/>
      <c r="C498" s="41" t="s">
        <v>100</v>
      </c>
      <c r="D498" s="3"/>
      <c r="E498" s="3"/>
      <c r="F498" s="42" t="s">
        <v>49</v>
      </c>
      <c r="G498" s="43">
        <v>1</v>
      </c>
      <c r="H498" s="43"/>
      <c r="I498" s="44">
        <v>185.6</v>
      </c>
      <c r="J498" s="25"/>
      <c r="K498" s="29"/>
      <c r="L498" s="9"/>
      <c r="M498" s="63"/>
      <c r="N498" s="64"/>
      <c r="O498" s="64"/>
      <c r="P498" s="9"/>
      <c r="R498" s="61"/>
    </row>
    <row r="499" spans="1:18" ht="168" customHeight="1" x14ac:dyDescent="0.35">
      <c r="A499" s="1" t="s">
        <v>722</v>
      </c>
      <c r="B499" s="1" t="s">
        <v>97</v>
      </c>
      <c r="C499" s="2" t="s">
        <v>98</v>
      </c>
      <c r="D499" s="3" t="s">
        <v>811</v>
      </c>
      <c r="E499" s="3" t="s">
        <v>768</v>
      </c>
      <c r="F499" s="3" t="s">
        <v>46</v>
      </c>
      <c r="G499" s="15">
        <v>1</v>
      </c>
      <c r="H499" s="15"/>
      <c r="I499" s="5">
        <v>2480.6999999999998</v>
      </c>
      <c r="J499" s="6" t="s">
        <v>679</v>
      </c>
      <c r="K499" s="7">
        <v>97</v>
      </c>
      <c r="L499" s="8">
        <v>525.20000000000005</v>
      </c>
      <c r="M499" s="62">
        <v>520.1</v>
      </c>
      <c r="N499" s="62">
        <v>520.79999999999995</v>
      </c>
      <c r="O499" s="62">
        <v>510.4</v>
      </c>
      <c r="P499" s="9">
        <v>307.2</v>
      </c>
      <c r="R499" s="61"/>
    </row>
    <row r="500" spans="1:18" ht="72" hidden="1" x14ac:dyDescent="0.35">
      <c r="A500" s="1" t="s">
        <v>723</v>
      </c>
      <c r="B500" s="1"/>
      <c r="C500" s="41" t="s">
        <v>100</v>
      </c>
      <c r="D500" s="3"/>
      <c r="E500" s="3"/>
      <c r="F500" s="42" t="s">
        <v>49</v>
      </c>
      <c r="G500" s="43">
        <v>1</v>
      </c>
      <c r="H500" s="43"/>
      <c r="I500" s="44">
        <v>2480.6999999999998</v>
      </c>
      <c r="J500" s="25"/>
      <c r="K500" s="29"/>
      <c r="L500" s="9"/>
      <c r="M500" s="23"/>
      <c r="N500" s="9"/>
      <c r="O500" s="9"/>
      <c r="P500" s="9"/>
    </row>
    <row r="501" spans="1:18" hidden="1" x14ac:dyDescent="0.35">
      <c r="A501" s="1" t="s">
        <v>724</v>
      </c>
      <c r="B501" s="1"/>
      <c r="C501" s="45" t="s">
        <v>51</v>
      </c>
      <c r="D501" s="3"/>
      <c r="E501" s="3"/>
      <c r="F501" s="42" t="s">
        <v>52</v>
      </c>
      <c r="G501" s="43">
        <v>0.86</v>
      </c>
      <c r="H501" s="46"/>
      <c r="I501" s="47">
        <v>2133.402</v>
      </c>
      <c r="J501" s="25"/>
      <c r="K501" s="29"/>
      <c r="L501" s="9"/>
      <c r="M501" s="23"/>
      <c r="N501" s="9"/>
      <c r="O501" s="9"/>
      <c r="P501" s="9"/>
    </row>
    <row r="502" spans="1:18" hidden="1" x14ac:dyDescent="0.35">
      <c r="A502" s="1" t="s">
        <v>725</v>
      </c>
      <c r="B502" s="1"/>
      <c r="C502" s="45" t="s">
        <v>54</v>
      </c>
      <c r="D502" s="3"/>
      <c r="E502" s="3"/>
      <c r="F502" s="42" t="s">
        <v>52</v>
      </c>
      <c r="G502" s="43">
        <v>2.1</v>
      </c>
      <c r="H502" s="46"/>
      <c r="I502" s="47">
        <v>5209.47</v>
      </c>
      <c r="J502" s="25"/>
      <c r="K502" s="29"/>
      <c r="L502" s="9"/>
      <c r="M502" s="23"/>
      <c r="N502" s="9"/>
      <c r="O502" s="9"/>
      <c r="P502" s="9"/>
    </row>
    <row r="503" spans="1:18" ht="36" hidden="1" x14ac:dyDescent="0.35">
      <c r="A503" s="1" t="s">
        <v>726</v>
      </c>
      <c r="B503" s="1"/>
      <c r="C503" s="45" t="s">
        <v>56</v>
      </c>
      <c r="D503" s="3"/>
      <c r="E503" s="3"/>
      <c r="F503" s="42" t="s">
        <v>57</v>
      </c>
      <c r="G503" s="43">
        <v>5.1999999999999998E-2</v>
      </c>
      <c r="H503" s="43"/>
      <c r="I503" s="44">
        <v>128.99600000000001</v>
      </c>
      <c r="J503" s="25"/>
      <c r="K503" s="29"/>
      <c r="L503" s="9"/>
      <c r="M503" s="23"/>
      <c r="N503" s="9"/>
      <c r="O503" s="9"/>
      <c r="P503" s="9"/>
    </row>
    <row r="504" spans="1:18" ht="36" hidden="1" x14ac:dyDescent="0.35">
      <c r="A504" s="1" t="s">
        <v>727</v>
      </c>
      <c r="B504" s="1"/>
      <c r="C504" s="45" t="s">
        <v>108</v>
      </c>
      <c r="D504" s="3"/>
      <c r="E504" s="3"/>
      <c r="F504" s="42" t="s">
        <v>46</v>
      </c>
      <c r="G504" s="43">
        <v>2.2000000000000002</v>
      </c>
      <c r="H504" s="43"/>
      <c r="I504" s="44">
        <v>5457.54</v>
      </c>
      <c r="J504" s="25"/>
      <c r="K504" s="29"/>
      <c r="L504" s="9"/>
      <c r="M504" s="23"/>
      <c r="N504" s="9"/>
      <c r="O504" s="9"/>
      <c r="P504" s="9"/>
    </row>
    <row r="505" spans="1:18" ht="46.05" customHeight="1" x14ac:dyDescent="0.35">
      <c r="A505" s="30" t="s">
        <v>728</v>
      </c>
      <c r="B505" s="30" t="s">
        <v>432</v>
      </c>
      <c r="C505" s="123" t="s">
        <v>433</v>
      </c>
      <c r="D505" s="124"/>
      <c r="E505" s="124"/>
      <c r="F505" s="124"/>
      <c r="G505" s="124"/>
      <c r="H505" s="124"/>
      <c r="I505" s="124"/>
      <c r="J505" s="9"/>
      <c r="K505" s="29"/>
      <c r="L505" s="9"/>
      <c r="M505" s="23"/>
      <c r="N505" s="23"/>
      <c r="O505" s="23"/>
      <c r="P505" s="9"/>
    </row>
    <row r="506" spans="1:18" ht="40.049999999999997" customHeight="1" x14ac:dyDescent="0.35">
      <c r="A506" s="30" t="s">
        <v>729</v>
      </c>
      <c r="B506" s="30" t="s">
        <v>435</v>
      </c>
      <c r="C506" s="123" t="s">
        <v>436</v>
      </c>
      <c r="D506" s="124"/>
      <c r="E506" s="124"/>
      <c r="F506" s="124"/>
      <c r="G506" s="124"/>
      <c r="H506" s="124"/>
      <c r="I506" s="124"/>
      <c r="J506" s="9"/>
      <c r="K506" s="29"/>
      <c r="L506" s="9"/>
      <c r="M506" s="23"/>
      <c r="N506" s="23"/>
      <c r="O506" s="23"/>
      <c r="P506" s="9"/>
    </row>
    <row r="507" spans="1:18" ht="85.05" customHeight="1" x14ac:dyDescent="0.35">
      <c r="A507" s="1" t="s">
        <v>730</v>
      </c>
      <c r="B507" s="1" t="s">
        <v>438</v>
      </c>
      <c r="C507" s="2" t="s">
        <v>439</v>
      </c>
      <c r="D507" s="3" t="s">
        <v>440</v>
      </c>
      <c r="E507" s="3" t="s">
        <v>790</v>
      </c>
      <c r="F507" s="3" t="s">
        <v>46</v>
      </c>
      <c r="G507" s="15">
        <v>1</v>
      </c>
      <c r="H507" s="15"/>
      <c r="I507" s="5">
        <v>7659.9</v>
      </c>
      <c r="J507" s="8"/>
      <c r="K507" s="7"/>
      <c r="L507" s="8"/>
      <c r="M507" s="8"/>
      <c r="N507" s="8"/>
      <c r="O507" s="8"/>
      <c r="P507" s="9"/>
    </row>
    <row r="508" spans="1:18" hidden="1" x14ac:dyDescent="0.35">
      <c r="A508" s="1" t="s">
        <v>731</v>
      </c>
      <c r="B508" s="1"/>
      <c r="C508" s="41" t="s">
        <v>442</v>
      </c>
      <c r="D508" s="3"/>
      <c r="E508" s="3"/>
      <c r="F508" s="42" t="s">
        <v>195</v>
      </c>
      <c r="G508" s="43">
        <v>1.3</v>
      </c>
      <c r="H508" s="46"/>
      <c r="I508" s="47">
        <v>199157.4</v>
      </c>
      <c r="J508" s="25"/>
      <c r="K508" s="29"/>
      <c r="L508" s="9"/>
      <c r="M508" s="23"/>
      <c r="N508" s="9"/>
      <c r="O508" s="9"/>
      <c r="P508" s="9"/>
    </row>
    <row r="509" spans="1:18" hidden="1" x14ac:dyDescent="0.35">
      <c r="A509" s="1" t="s">
        <v>732</v>
      </c>
      <c r="B509" s="1"/>
      <c r="C509" s="41" t="s">
        <v>444</v>
      </c>
      <c r="D509" s="3"/>
      <c r="E509" s="3"/>
      <c r="F509" s="42" t="s">
        <v>46</v>
      </c>
      <c r="G509" s="43">
        <v>1.1000000000000001</v>
      </c>
      <c r="H509" s="43"/>
      <c r="I509" s="44">
        <v>8425.89</v>
      </c>
      <c r="J509" s="25"/>
      <c r="K509" s="29"/>
      <c r="L509" s="9"/>
      <c r="M509" s="23"/>
      <c r="N509" s="9"/>
      <c r="O509" s="9"/>
      <c r="P509" s="9"/>
    </row>
    <row r="510" spans="1:18" hidden="1" x14ac:dyDescent="0.35">
      <c r="A510" s="1" t="s">
        <v>733</v>
      </c>
      <c r="B510" s="1"/>
      <c r="C510" s="41" t="s">
        <v>446</v>
      </c>
      <c r="D510" s="3"/>
      <c r="E510" s="3"/>
      <c r="F510" s="42" t="s">
        <v>52</v>
      </c>
      <c r="G510" s="43">
        <v>1</v>
      </c>
      <c r="H510" s="46"/>
      <c r="I510" s="47">
        <v>7659.9</v>
      </c>
      <c r="J510" s="25"/>
      <c r="K510" s="29"/>
      <c r="L510" s="9"/>
      <c r="M510" s="23"/>
      <c r="N510" s="9"/>
      <c r="O510" s="9"/>
      <c r="P510" s="9"/>
    </row>
    <row r="511" spans="1:18" ht="25.05" hidden="1" customHeight="1" x14ac:dyDescent="0.35">
      <c r="A511" s="1" t="s">
        <v>734</v>
      </c>
      <c r="B511" s="1"/>
      <c r="C511" s="41" t="s">
        <v>350</v>
      </c>
      <c r="D511" s="3"/>
      <c r="E511" s="3"/>
      <c r="F511" s="42" t="s">
        <v>195</v>
      </c>
      <c r="G511" s="43">
        <v>0.15</v>
      </c>
      <c r="H511" s="43"/>
      <c r="I511" s="44">
        <v>1148.9849999999999</v>
      </c>
      <c r="J511" s="25"/>
      <c r="K511" s="29"/>
      <c r="L511" s="9"/>
      <c r="M511" s="23"/>
      <c r="N511" s="9"/>
      <c r="O511" s="9"/>
      <c r="P511" s="9"/>
    </row>
    <row r="512" spans="1:18" ht="45" customHeight="1" x14ac:dyDescent="0.35">
      <c r="A512" s="30" t="s">
        <v>735</v>
      </c>
      <c r="B512" s="30" t="s">
        <v>454</v>
      </c>
      <c r="C512" s="123" t="s">
        <v>455</v>
      </c>
      <c r="D512" s="124"/>
      <c r="E512" s="124"/>
      <c r="F512" s="124"/>
      <c r="G512" s="124"/>
      <c r="H512" s="124"/>
      <c r="I512" s="124"/>
      <c r="J512" s="9"/>
      <c r="K512" s="29"/>
      <c r="L512" s="9"/>
      <c r="M512" s="23"/>
      <c r="N512" s="23"/>
      <c r="O512" s="23"/>
      <c r="P512" s="9"/>
    </row>
    <row r="513" spans="1:16" ht="36" customHeight="1" x14ac:dyDescent="0.35">
      <c r="A513" s="1" t="s">
        <v>736</v>
      </c>
      <c r="B513" s="1" t="s">
        <v>457</v>
      </c>
      <c r="C513" s="2" t="s">
        <v>458</v>
      </c>
      <c r="D513" s="3"/>
      <c r="E513" s="3"/>
      <c r="F513" s="3" t="s">
        <v>46</v>
      </c>
      <c r="G513" s="15">
        <v>1</v>
      </c>
      <c r="H513" s="15"/>
      <c r="I513" s="5">
        <v>2373.3000000000002</v>
      </c>
      <c r="J513" s="8"/>
      <c r="K513" s="7"/>
      <c r="L513" s="8"/>
      <c r="M513" s="8"/>
      <c r="N513" s="8"/>
      <c r="O513" s="8"/>
      <c r="P513" s="9"/>
    </row>
    <row r="514" spans="1:16" ht="34.049999999999997" hidden="1" customHeight="1" x14ac:dyDescent="0.35">
      <c r="A514" s="1" t="s">
        <v>737</v>
      </c>
      <c r="B514" s="1"/>
      <c r="C514" s="41" t="s">
        <v>460</v>
      </c>
      <c r="D514" s="3"/>
      <c r="E514" s="3"/>
      <c r="F514" s="42" t="s">
        <v>192</v>
      </c>
      <c r="G514" s="43">
        <v>1</v>
      </c>
      <c r="H514" s="43"/>
      <c r="I514" s="44">
        <v>2373.3000000000002</v>
      </c>
      <c r="J514" s="25"/>
      <c r="K514" s="29"/>
      <c r="L514" s="9"/>
      <c r="M514" s="23"/>
      <c r="N514" s="9"/>
      <c r="O514" s="9"/>
      <c r="P514" s="9"/>
    </row>
    <row r="515" spans="1:16" ht="85.95" customHeight="1" x14ac:dyDescent="0.35">
      <c r="A515" s="1" t="s">
        <v>738</v>
      </c>
      <c r="B515" s="1" t="s">
        <v>465</v>
      </c>
      <c r="C515" s="2" t="s">
        <v>466</v>
      </c>
      <c r="D515" s="3"/>
      <c r="E515" s="3" t="s">
        <v>806</v>
      </c>
      <c r="F515" s="3" t="s">
        <v>46</v>
      </c>
      <c r="G515" s="15">
        <v>1</v>
      </c>
      <c r="H515" s="15"/>
      <c r="I515" s="5">
        <v>11850.4</v>
      </c>
      <c r="J515" s="8"/>
      <c r="K515" s="7"/>
      <c r="L515" s="8"/>
      <c r="M515" s="8"/>
      <c r="N515" s="8"/>
      <c r="O515" s="8"/>
      <c r="P515" s="9"/>
    </row>
    <row r="516" spans="1:16" ht="36" hidden="1" x14ac:dyDescent="0.35">
      <c r="A516" s="1" t="s">
        <v>739</v>
      </c>
      <c r="B516" s="1"/>
      <c r="C516" s="41" t="s">
        <v>350</v>
      </c>
      <c r="D516" s="3"/>
      <c r="E516" s="3"/>
      <c r="F516" s="42" t="s">
        <v>195</v>
      </c>
      <c r="G516" s="43">
        <v>0.15</v>
      </c>
      <c r="H516" s="43"/>
      <c r="I516" s="44">
        <v>1777.56</v>
      </c>
      <c r="J516" s="25"/>
      <c r="K516" s="29"/>
      <c r="L516" s="9"/>
      <c r="M516" s="23"/>
      <c r="N516" s="9"/>
      <c r="O516" s="9"/>
      <c r="P516" s="9"/>
    </row>
    <row r="517" spans="1:16" ht="72" hidden="1" x14ac:dyDescent="0.35">
      <c r="A517" s="1" t="s">
        <v>740</v>
      </c>
      <c r="B517" s="1"/>
      <c r="C517" s="41" t="s">
        <v>469</v>
      </c>
      <c r="D517" s="3"/>
      <c r="E517" s="3" t="s">
        <v>476</v>
      </c>
      <c r="F517" s="42" t="s">
        <v>195</v>
      </c>
      <c r="G517" s="43">
        <v>0.3</v>
      </c>
      <c r="H517" s="43"/>
      <c r="I517" s="44">
        <v>3555.12</v>
      </c>
      <c r="J517" s="25"/>
      <c r="K517" s="29"/>
      <c r="L517" s="9"/>
      <c r="M517" s="23"/>
      <c r="N517" s="9"/>
      <c r="O517" s="9"/>
      <c r="P517" s="9"/>
    </row>
    <row r="518" spans="1:16" ht="81" customHeight="1" x14ac:dyDescent="0.35">
      <c r="A518" s="1" t="s">
        <v>741</v>
      </c>
      <c r="B518" s="1" t="s">
        <v>465</v>
      </c>
      <c r="C518" s="2" t="s">
        <v>466</v>
      </c>
      <c r="D518" s="3"/>
      <c r="E518" s="3" t="s">
        <v>792</v>
      </c>
      <c r="F518" s="3" t="s">
        <v>46</v>
      </c>
      <c r="G518" s="15">
        <v>1</v>
      </c>
      <c r="H518" s="15"/>
      <c r="I518" s="5">
        <v>3034</v>
      </c>
      <c r="J518" s="8"/>
      <c r="K518" s="7"/>
      <c r="L518" s="8"/>
      <c r="M518" s="8"/>
      <c r="N518" s="8"/>
      <c r="O518" s="8"/>
      <c r="P518" s="9"/>
    </row>
    <row r="519" spans="1:16" ht="72" hidden="1" x14ac:dyDescent="0.35">
      <c r="A519" s="1" t="s">
        <v>742</v>
      </c>
      <c r="B519" s="1"/>
      <c r="C519" s="41" t="s">
        <v>469</v>
      </c>
      <c r="D519" s="3"/>
      <c r="E519" s="3" t="s">
        <v>479</v>
      </c>
      <c r="F519" s="42" t="s">
        <v>195</v>
      </c>
      <c r="G519" s="43">
        <v>0.3</v>
      </c>
      <c r="H519" s="43"/>
      <c r="I519" s="44">
        <v>910.2</v>
      </c>
      <c r="J519" s="25"/>
      <c r="K519" s="29"/>
      <c r="L519" s="9"/>
      <c r="M519" s="23"/>
      <c r="N519" s="9"/>
      <c r="O519" s="9"/>
      <c r="P519" s="9"/>
    </row>
    <row r="520" spans="1:16" ht="36" hidden="1" x14ac:dyDescent="0.35">
      <c r="A520" s="1" t="s">
        <v>743</v>
      </c>
      <c r="B520" s="1"/>
      <c r="C520" s="41" t="s">
        <v>350</v>
      </c>
      <c r="D520" s="3"/>
      <c r="E520" s="3"/>
      <c r="F520" s="42" t="s">
        <v>195</v>
      </c>
      <c r="G520" s="43">
        <v>0.15</v>
      </c>
      <c r="H520" s="43"/>
      <c r="I520" s="44">
        <v>455.1</v>
      </c>
      <c r="J520" s="25"/>
      <c r="K520" s="29"/>
      <c r="L520" s="9"/>
      <c r="M520" s="23"/>
      <c r="N520" s="9"/>
      <c r="O520" s="9"/>
      <c r="P520" s="9"/>
    </row>
    <row r="521" spans="1:16" ht="81.45" customHeight="1" thickBot="1" x14ac:dyDescent="0.4">
      <c r="A521" s="1" t="s">
        <v>744</v>
      </c>
      <c r="B521" s="1" t="s">
        <v>482</v>
      </c>
      <c r="C521" s="2" t="s">
        <v>483</v>
      </c>
      <c r="D521" s="3"/>
      <c r="E521" s="3" t="s">
        <v>793</v>
      </c>
      <c r="F521" s="3" t="s">
        <v>46</v>
      </c>
      <c r="G521" s="15">
        <v>1</v>
      </c>
      <c r="H521" s="15"/>
      <c r="I521" s="5">
        <v>4009.8</v>
      </c>
      <c r="J521" s="8"/>
      <c r="K521" s="7"/>
      <c r="L521" s="8"/>
      <c r="M521" s="8"/>
      <c r="N521" s="8"/>
      <c r="O521" s="8"/>
      <c r="P521" s="9"/>
    </row>
    <row r="522" spans="1:16" ht="36.6" hidden="1" thickBot="1" x14ac:dyDescent="0.4">
      <c r="A522" s="1" t="s">
        <v>745</v>
      </c>
      <c r="B522" s="1"/>
      <c r="C522" s="41" t="s">
        <v>485</v>
      </c>
      <c r="D522" s="3"/>
      <c r="E522" s="3"/>
      <c r="F522" s="42" t="s">
        <v>195</v>
      </c>
      <c r="G522" s="43">
        <v>0.25</v>
      </c>
      <c r="H522" s="46"/>
      <c r="I522" s="47">
        <v>1002.45</v>
      </c>
      <c r="J522" s="25"/>
      <c r="K522" s="29"/>
      <c r="L522" s="9"/>
      <c r="M522" s="23"/>
      <c r="N522" s="9"/>
      <c r="O522" s="9"/>
      <c r="P522" s="9"/>
    </row>
    <row r="523" spans="1:16" ht="36.6" hidden="1" thickBot="1" x14ac:dyDescent="0.4">
      <c r="A523" s="1" t="s">
        <v>746</v>
      </c>
      <c r="B523" s="1"/>
      <c r="C523" s="41" t="s">
        <v>293</v>
      </c>
      <c r="D523" s="3"/>
      <c r="E523" s="3"/>
      <c r="F523" s="42" t="s">
        <v>195</v>
      </c>
      <c r="G523" s="43">
        <v>0.15</v>
      </c>
      <c r="H523" s="43"/>
      <c r="I523" s="44">
        <v>601.47</v>
      </c>
      <c r="J523" s="25"/>
      <c r="K523" s="29"/>
      <c r="L523" s="9"/>
      <c r="M523" s="23"/>
      <c r="N523" s="9"/>
      <c r="O523" s="9"/>
      <c r="P523" s="9"/>
    </row>
    <row r="524" spans="1:16" ht="36.6" hidden="1" thickBot="1" x14ac:dyDescent="0.4">
      <c r="A524" s="1" t="s">
        <v>747</v>
      </c>
      <c r="B524" s="1"/>
      <c r="C524" s="45" t="s">
        <v>409</v>
      </c>
      <c r="D524" s="3"/>
      <c r="E524" s="3"/>
      <c r="F524" s="42" t="s">
        <v>195</v>
      </c>
      <c r="G524" s="43">
        <v>1.2</v>
      </c>
      <c r="H524" s="46"/>
      <c r="I524" s="47">
        <v>24058.799999999999</v>
      </c>
      <c r="J524" s="25"/>
      <c r="K524" s="29"/>
      <c r="L524" s="9"/>
      <c r="M524" s="23"/>
      <c r="N524" s="9"/>
      <c r="O524" s="9"/>
      <c r="P524" s="9"/>
    </row>
    <row r="525" spans="1:16" ht="72.599999999999994" hidden="1" thickBot="1" x14ac:dyDescent="0.4">
      <c r="A525" s="1" t="s">
        <v>748</v>
      </c>
      <c r="B525" s="1"/>
      <c r="C525" s="45" t="s">
        <v>489</v>
      </c>
      <c r="D525" s="3"/>
      <c r="E525" s="3" t="s">
        <v>492</v>
      </c>
      <c r="F525" s="42" t="s">
        <v>46</v>
      </c>
      <c r="G525" s="43">
        <v>1.07</v>
      </c>
      <c r="H525" s="46"/>
      <c r="I525" s="47">
        <v>4290.4859999999999</v>
      </c>
      <c r="J525" s="25"/>
      <c r="K525" s="29"/>
      <c r="L525" s="9"/>
      <c r="M525" s="23"/>
      <c r="N525" s="9"/>
      <c r="O525" s="9"/>
      <c r="P525" s="9"/>
    </row>
    <row r="526" spans="1:16" ht="49.05" customHeight="1" thickBot="1" x14ac:dyDescent="0.4">
      <c r="A526" s="49"/>
      <c r="B526" s="50"/>
      <c r="C526" s="50"/>
      <c r="D526" s="16" t="s">
        <v>749</v>
      </c>
      <c r="E526" s="50"/>
      <c r="F526" s="50"/>
      <c r="G526" s="50"/>
      <c r="H526" s="50"/>
      <c r="I526" s="50"/>
      <c r="J526" s="31"/>
      <c r="K526" s="32"/>
      <c r="L526" s="31"/>
      <c r="M526" s="33"/>
      <c r="N526" s="33"/>
      <c r="O526" s="34"/>
    </row>
    <row r="527" spans="1:16" ht="49.05" customHeight="1" thickBot="1" x14ac:dyDescent="0.4">
      <c r="A527" s="35"/>
      <c r="B527" s="36"/>
      <c r="C527" s="36"/>
      <c r="D527" s="37"/>
      <c r="E527" s="36"/>
      <c r="F527" s="36"/>
      <c r="G527" s="36"/>
      <c r="H527" s="36"/>
      <c r="I527" s="36"/>
      <c r="J527" s="38"/>
      <c r="K527" s="38"/>
      <c r="L527" s="38"/>
      <c r="M527" s="38"/>
      <c r="N527" s="38"/>
      <c r="O527" s="38"/>
    </row>
    <row r="528" spans="1:16" ht="49.05" customHeight="1" thickBot="1" x14ac:dyDescent="0.4">
      <c r="A528" s="51"/>
      <c r="B528" s="52"/>
      <c r="C528" s="53"/>
      <c r="D528" s="53"/>
      <c r="E528" s="54"/>
      <c r="F528" s="54"/>
      <c r="G528" s="54"/>
      <c r="H528" s="121"/>
      <c r="I528" s="122"/>
      <c r="J528" s="122"/>
      <c r="K528" s="122"/>
      <c r="L528" s="122"/>
      <c r="M528" s="122"/>
      <c r="N528" s="122"/>
      <c r="O528" s="122"/>
    </row>
  </sheetData>
  <mergeCells count="36">
    <mergeCell ref="H528:O528"/>
    <mergeCell ref="C505:I505"/>
    <mergeCell ref="C506:I506"/>
    <mergeCell ref="C512:I512"/>
    <mergeCell ref="C455:I455"/>
    <mergeCell ref="C456:I456"/>
    <mergeCell ref="C454:I454"/>
    <mergeCell ref="C286:I286"/>
    <mergeCell ref="C297:I297"/>
    <mergeCell ref="C324:I324"/>
    <mergeCell ref="C325:I325"/>
    <mergeCell ref="C342:I342"/>
    <mergeCell ref="C367:I367"/>
    <mergeCell ref="C447:I447"/>
    <mergeCell ref="A450:I450"/>
    <mergeCell ref="C451:I451"/>
    <mergeCell ref="C452:I452"/>
    <mergeCell ref="C453:I453"/>
    <mergeCell ref="C8:I8"/>
    <mergeCell ref="C285:I285"/>
    <mergeCell ref="C9:I9"/>
    <mergeCell ref="C10:I10"/>
    <mergeCell ref="C11:I11"/>
    <mergeCell ref="C12:I12"/>
    <mergeCell ref="C108:I108"/>
    <mergeCell ref="C109:I109"/>
    <mergeCell ref="C110:I110"/>
    <mergeCell ref="C111:I111"/>
    <mergeCell ref="C112:I112"/>
    <mergeCell ref="C135:I135"/>
    <mergeCell ref="C180:I180"/>
    <mergeCell ref="A2:O2"/>
    <mergeCell ref="A3:O3"/>
    <mergeCell ref="A4:O4"/>
    <mergeCell ref="A6:I6"/>
    <mergeCell ref="C7:I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F8"/>
  <sheetViews>
    <sheetView zoomScaleNormal="100" workbookViewId="0">
      <selection activeCell="C38" sqref="C38"/>
    </sheetView>
  </sheetViews>
  <sheetFormatPr defaultRowHeight="14.4" x14ac:dyDescent="0.3"/>
  <cols>
    <col min="1" max="1" width="7.88671875" bestFit="1" customWidth="1"/>
    <col min="2" max="2" width="13.6640625" customWidth="1"/>
    <col min="3" max="3" width="22.109375" customWidth="1"/>
    <col min="4" max="4" width="22.88671875" customWidth="1"/>
    <col min="5" max="5" width="9.88671875" bestFit="1" customWidth="1"/>
    <col min="6" max="6" width="12" bestFit="1" customWidth="1"/>
    <col min="12" max="12" width="9.5546875" customWidth="1"/>
  </cols>
  <sheetData>
    <row r="1" spans="1:6" ht="15.6" x14ac:dyDescent="0.3">
      <c r="A1" s="96" t="s">
        <v>814</v>
      </c>
      <c r="B1" s="96"/>
      <c r="C1" s="96"/>
      <c r="D1" s="96"/>
      <c r="E1" s="96"/>
      <c r="F1" s="96"/>
    </row>
    <row r="2" spans="1:6" s="77" customFormat="1" ht="15.6" x14ac:dyDescent="0.3">
      <c r="A2" s="76" t="s">
        <v>815</v>
      </c>
      <c r="B2" s="127" t="s">
        <v>816</v>
      </c>
      <c r="C2" s="128"/>
      <c r="D2" s="76" t="s">
        <v>758</v>
      </c>
      <c r="E2" s="67" t="s">
        <v>18</v>
      </c>
      <c r="F2" s="67" t="s">
        <v>817</v>
      </c>
    </row>
    <row r="3" spans="1:6" ht="33.6" customHeight="1" x14ac:dyDescent="0.3">
      <c r="A3" s="68">
        <v>1</v>
      </c>
      <c r="B3" s="109" t="s">
        <v>832</v>
      </c>
      <c r="C3" s="111"/>
      <c r="D3" s="75" t="s">
        <v>834</v>
      </c>
      <c r="E3" s="68" t="s">
        <v>46</v>
      </c>
      <c r="F3" s="70">
        <f>B8</f>
        <v>1594.8</v>
      </c>
    </row>
    <row r="4" spans="1:6" ht="15.6" x14ac:dyDescent="0.3">
      <c r="A4" s="103"/>
      <c r="B4" s="103"/>
      <c r="C4" s="103"/>
      <c r="D4" s="103"/>
      <c r="E4" s="103"/>
      <c r="F4" s="103"/>
    </row>
    <row r="5" spans="1:6" ht="15.6" x14ac:dyDescent="0.3">
      <c r="A5" s="68" t="s">
        <v>831</v>
      </c>
      <c r="B5" s="68" t="s">
        <v>821</v>
      </c>
      <c r="C5" s="104"/>
      <c r="D5" s="105"/>
      <c r="E5" s="105"/>
      <c r="F5" s="105"/>
    </row>
    <row r="6" spans="1:6" ht="15.6" x14ac:dyDescent="0.3">
      <c r="A6" s="68">
        <v>2</v>
      </c>
      <c r="B6" s="70">
        <v>806</v>
      </c>
      <c r="C6" s="104"/>
      <c r="D6" s="105"/>
      <c r="E6" s="105"/>
      <c r="F6" s="105"/>
    </row>
    <row r="7" spans="1:6" ht="15.6" x14ac:dyDescent="0.3">
      <c r="A7" s="68">
        <v>3</v>
      </c>
      <c r="B7" s="70">
        <v>788.8</v>
      </c>
      <c r="C7" s="104"/>
      <c r="D7" s="105"/>
      <c r="E7" s="105"/>
      <c r="F7" s="105"/>
    </row>
    <row r="8" spans="1:6" ht="15.6" x14ac:dyDescent="0.3">
      <c r="A8" s="74" t="s">
        <v>828</v>
      </c>
      <c r="B8" s="70">
        <f>SUM(B6:B7)</f>
        <v>1594.8</v>
      </c>
      <c r="C8" s="104"/>
      <c r="D8" s="105"/>
      <c r="E8" s="105"/>
      <c r="F8" s="105"/>
    </row>
  </sheetData>
  <mergeCells count="5">
    <mergeCell ref="C5:F8"/>
    <mergeCell ref="A1:F1"/>
    <mergeCell ref="B2:C2"/>
    <mergeCell ref="B3:C3"/>
    <mergeCell ref="A4:F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"/>
  <sheetViews>
    <sheetView zoomScale="55" zoomScaleNormal="55" workbookViewId="0">
      <selection activeCell="D9" sqref="D9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6" width="16.77734375" customWidth="1"/>
  </cols>
  <sheetData>
    <row r="1" spans="1:6" ht="18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766</v>
      </c>
    </row>
    <row r="2" spans="1:6" ht="54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v>382.23900000000003</v>
      </c>
    </row>
    <row r="3" spans="1:6" ht="72" x14ac:dyDescent="0.3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59">
        <v>12.4245</v>
      </c>
    </row>
    <row r="4" spans="1:6" ht="72" x14ac:dyDescent="0.3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30.492000000000004</v>
      </c>
    </row>
    <row r="5" spans="1:6" ht="72" x14ac:dyDescent="0.3">
      <c r="A5" s="42">
        <v>4</v>
      </c>
      <c r="B5" s="2" t="s">
        <v>98</v>
      </c>
      <c r="C5" s="3" t="s">
        <v>756</v>
      </c>
      <c r="D5" s="3" t="s">
        <v>809</v>
      </c>
      <c r="E5" s="5" t="s">
        <v>46</v>
      </c>
      <c r="F5" s="8">
        <v>4.0179999999999998</v>
      </c>
    </row>
    <row r="6" spans="1:6" ht="72" x14ac:dyDescent="0.3">
      <c r="A6" s="42">
        <v>5</v>
      </c>
      <c r="B6" s="2" t="s">
        <v>98</v>
      </c>
      <c r="C6" s="3" t="s">
        <v>811</v>
      </c>
      <c r="D6" s="3" t="s">
        <v>810</v>
      </c>
      <c r="E6" s="5" t="s">
        <v>46</v>
      </c>
      <c r="F6" s="8">
        <v>150.52799999999999</v>
      </c>
    </row>
    <row r="7" spans="1:6" ht="72" x14ac:dyDescent="0.3">
      <c r="A7" s="42">
        <v>6</v>
      </c>
      <c r="B7" s="2" t="s">
        <v>98</v>
      </c>
      <c r="C7" s="3" t="s">
        <v>755</v>
      </c>
      <c r="D7" s="3" t="s">
        <v>808</v>
      </c>
      <c r="E7" s="5" t="s">
        <v>46</v>
      </c>
      <c r="F7" s="8">
        <v>15.617000000000001</v>
      </c>
    </row>
    <row r="8" spans="1:6" ht="54" x14ac:dyDescent="0.3">
      <c r="A8" s="42">
        <v>7</v>
      </c>
      <c r="B8" s="2" t="s">
        <v>68</v>
      </c>
      <c r="C8" s="3" t="s">
        <v>752</v>
      </c>
      <c r="D8" s="3" t="s">
        <v>761</v>
      </c>
      <c r="E8" s="5" t="s">
        <v>46</v>
      </c>
      <c r="F8" s="8">
        <v>18.769500000000001</v>
      </c>
    </row>
    <row r="9" spans="1:6" ht="72" x14ac:dyDescent="0.3">
      <c r="A9" s="42">
        <v>8</v>
      </c>
      <c r="B9" s="2" t="s">
        <v>98</v>
      </c>
      <c r="C9" s="3" t="s">
        <v>754</v>
      </c>
      <c r="D9" s="3" t="s">
        <v>762</v>
      </c>
      <c r="E9" s="5" t="s">
        <v>46</v>
      </c>
      <c r="F9" s="8">
        <v>5.3835000000000006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8"/>
  <sheetViews>
    <sheetView zoomScale="55" zoomScaleNormal="55" workbookViewId="0">
      <selection activeCell="I5" sqref="I5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6" width="16.77734375" customWidth="1"/>
  </cols>
  <sheetData>
    <row r="1" spans="1:6" ht="18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813</v>
      </c>
    </row>
    <row r="2" spans="1:6" ht="54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v>671</v>
      </c>
    </row>
    <row r="3" spans="1:6" ht="72" x14ac:dyDescent="0.3">
      <c r="A3" s="42">
        <v>2</v>
      </c>
      <c r="B3" s="2" t="s">
        <v>98</v>
      </c>
      <c r="C3" s="3" t="s">
        <v>753</v>
      </c>
      <c r="D3" s="3" t="s">
        <v>807</v>
      </c>
      <c r="E3" s="5" t="s">
        <v>46</v>
      </c>
      <c r="F3" s="8">
        <v>93.1</v>
      </c>
    </row>
    <row r="4" spans="1:6" ht="72" x14ac:dyDescent="0.3">
      <c r="A4" s="42">
        <v>3</v>
      </c>
      <c r="B4" s="2" t="s">
        <v>98</v>
      </c>
      <c r="C4" s="3" t="s">
        <v>756</v>
      </c>
      <c r="D4" s="3" t="s">
        <v>809</v>
      </c>
      <c r="E4" s="5" t="s">
        <v>46</v>
      </c>
      <c r="F4" s="8">
        <v>24.4</v>
      </c>
    </row>
    <row r="5" spans="1:6" ht="72" x14ac:dyDescent="0.3">
      <c r="A5" s="42">
        <v>4</v>
      </c>
      <c r="B5" s="2" t="s">
        <v>98</v>
      </c>
      <c r="C5" s="3" t="s">
        <v>811</v>
      </c>
      <c r="D5" s="3" t="s">
        <v>810</v>
      </c>
      <c r="E5" s="5" t="s">
        <v>46</v>
      </c>
      <c r="F5" s="8">
        <v>262.60000000000002</v>
      </c>
    </row>
    <row r="6" spans="1:6" ht="72" x14ac:dyDescent="0.3">
      <c r="A6" s="42">
        <v>5</v>
      </c>
      <c r="B6" s="2" t="s">
        <v>98</v>
      </c>
      <c r="C6" s="3" t="s">
        <v>755</v>
      </c>
      <c r="D6" s="3" t="s">
        <v>808</v>
      </c>
      <c r="E6" s="5" t="s">
        <v>46</v>
      </c>
      <c r="F6" s="8">
        <v>9.15</v>
      </c>
    </row>
    <row r="7" spans="1:6" ht="54" x14ac:dyDescent="0.3">
      <c r="A7" s="42">
        <v>6</v>
      </c>
      <c r="B7" s="2" t="s">
        <v>68</v>
      </c>
      <c r="C7" s="3" t="s">
        <v>752</v>
      </c>
      <c r="D7" s="3" t="s">
        <v>761</v>
      </c>
      <c r="E7" s="5" t="s">
        <v>46</v>
      </c>
      <c r="F7" s="8">
        <v>10.55</v>
      </c>
    </row>
    <row r="8" spans="1:6" ht="72" x14ac:dyDescent="0.3">
      <c r="A8" s="42">
        <v>7</v>
      </c>
      <c r="B8" s="2" t="s">
        <v>98</v>
      </c>
      <c r="C8" s="3" t="s">
        <v>754</v>
      </c>
      <c r="D8" s="3" t="s">
        <v>762</v>
      </c>
      <c r="E8" s="5" t="s">
        <v>46</v>
      </c>
      <c r="F8" s="8">
        <v>9.0500000000000007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55" zoomScaleNormal="55" workbookViewId="0">
      <selection activeCell="B3" sqref="B3:D3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4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7" s="77" customFormat="1" ht="15.6" x14ac:dyDescent="0.3">
      <c r="A2" s="89" t="s">
        <v>815</v>
      </c>
      <c r="B2" s="127" t="s">
        <v>816</v>
      </c>
      <c r="C2" s="129"/>
      <c r="D2" s="128"/>
      <c r="E2" s="91" t="s">
        <v>758</v>
      </c>
      <c r="F2" s="67" t="s">
        <v>18</v>
      </c>
      <c r="G2" s="67" t="s">
        <v>817</v>
      </c>
    </row>
    <row r="3" spans="1:7" ht="78.599999999999994" customHeight="1" x14ac:dyDescent="0.3">
      <c r="A3" s="89">
        <v>1</v>
      </c>
      <c r="B3" s="100" t="s">
        <v>439</v>
      </c>
      <c r="C3" s="101"/>
      <c r="D3" s="102"/>
      <c r="E3" s="90" t="s">
        <v>927</v>
      </c>
      <c r="F3" s="89" t="s">
        <v>46</v>
      </c>
      <c r="G3" s="70">
        <v>2924.7</v>
      </c>
    </row>
  </sheetData>
  <mergeCells count="3">
    <mergeCell ref="A1:G1"/>
    <mergeCell ref="B2:D2"/>
    <mergeCell ref="B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72"/>
  <sheetViews>
    <sheetView topLeftCell="A4" zoomScale="85" zoomScaleNormal="85" workbookViewId="0">
      <selection activeCell="H15" sqref="H15:L72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4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12" ht="15.6" x14ac:dyDescent="0.3">
      <c r="A1" s="96" t="s">
        <v>814</v>
      </c>
      <c r="B1" s="96"/>
      <c r="C1" s="96"/>
      <c r="D1" s="96"/>
      <c r="E1" s="96"/>
      <c r="F1" s="96"/>
      <c r="G1" s="96"/>
    </row>
    <row r="2" spans="1:12" ht="15.6" x14ac:dyDescent="0.3">
      <c r="A2" s="65" t="s">
        <v>815</v>
      </c>
      <c r="B2" s="97" t="s">
        <v>816</v>
      </c>
      <c r="C2" s="98"/>
      <c r="D2" s="99"/>
      <c r="E2" s="66" t="s">
        <v>758</v>
      </c>
      <c r="F2" s="67" t="s">
        <v>18</v>
      </c>
      <c r="G2" s="67" t="s">
        <v>817</v>
      </c>
    </row>
    <row r="3" spans="1:12" ht="69" customHeight="1" x14ac:dyDescent="0.3">
      <c r="A3" s="68">
        <v>1</v>
      </c>
      <c r="B3" s="100" t="s">
        <v>439</v>
      </c>
      <c r="C3" s="101"/>
      <c r="D3" s="102"/>
      <c r="E3" s="69" t="s">
        <v>829</v>
      </c>
      <c r="F3" s="68" t="s">
        <v>46</v>
      </c>
      <c r="G3" s="70">
        <f>B11</f>
        <v>3746.48</v>
      </c>
    </row>
    <row r="4" spans="1:12" ht="15.6" x14ac:dyDescent="0.3">
      <c r="A4" s="103"/>
      <c r="B4" s="103"/>
      <c r="C4" s="103"/>
      <c r="D4" s="103"/>
      <c r="E4" s="103"/>
      <c r="F4" s="103"/>
      <c r="G4" s="103"/>
    </row>
    <row r="5" spans="1:12" ht="15.6" x14ac:dyDescent="0.3">
      <c r="A5" s="68" t="s">
        <v>831</v>
      </c>
      <c r="B5" s="68" t="s">
        <v>821</v>
      </c>
      <c r="C5" s="104"/>
      <c r="D5" s="105"/>
      <c r="E5" s="105"/>
      <c r="F5" s="105"/>
      <c r="G5" s="105"/>
    </row>
    <row r="6" spans="1:12" ht="15.6" x14ac:dyDescent="0.3">
      <c r="A6" s="68">
        <v>1</v>
      </c>
      <c r="B6" s="70">
        <v>752.48</v>
      </c>
      <c r="C6" s="104"/>
      <c r="D6" s="105"/>
      <c r="E6" s="105"/>
      <c r="F6" s="105"/>
      <c r="G6" s="105"/>
    </row>
    <row r="7" spans="1:12" ht="15.6" x14ac:dyDescent="0.3">
      <c r="A7" s="68">
        <v>2</v>
      </c>
      <c r="B7" s="70">
        <v>806</v>
      </c>
      <c r="C7" s="104"/>
      <c r="D7" s="105"/>
      <c r="E7" s="105"/>
      <c r="F7" s="105"/>
      <c r="G7" s="105"/>
    </row>
    <row r="8" spans="1:12" ht="15.6" x14ac:dyDescent="0.3">
      <c r="A8" s="68">
        <v>3</v>
      </c>
      <c r="B8" s="70">
        <v>788.8</v>
      </c>
      <c r="C8" s="104"/>
      <c r="D8" s="105"/>
      <c r="E8" s="105"/>
      <c r="F8" s="105"/>
      <c r="G8" s="105"/>
    </row>
    <row r="9" spans="1:12" ht="15.6" x14ac:dyDescent="0.3">
      <c r="A9" s="68">
        <v>4</v>
      </c>
      <c r="B9" s="70">
        <v>788.8</v>
      </c>
      <c r="C9" s="104"/>
      <c r="D9" s="105"/>
      <c r="E9" s="105"/>
      <c r="F9" s="105"/>
      <c r="G9" s="105"/>
    </row>
    <row r="10" spans="1:12" ht="15.6" x14ac:dyDescent="0.3">
      <c r="A10" s="68">
        <v>5</v>
      </c>
      <c r="B10" s="70">
        <v>610.4</v>
      </c>
      <c r="C10" s="104"/>
      <c r="D10" s="105"/>
      <c r="E10" s="105"/>
      <c r="F10" s="105"/>
      <c r="G10" s="105"/>
    </row>
    <row r="11" spans="1:12" ht="15.6" x14ac:dyDescent="0.3">
      <c r="A11" s="74" t="s">
        <v>828</v>
      </c>
      <c r="B11" s="70">
        <f>SUM(B6:B10)</f>
        <v>3746.48</v>
      </c>
      <c r="C11" s="104"/>
      <c r="D11" s="105"/>
      <c r="E11" s="105"/>
      <c r="F11" s="105"/>
      <c r="G11" s="105"/>
    </row>
    <row r="15" spans="1:12" x14ac:dyDescent="0.3">
      <c r="H15" s="77">
        <v>1</v>
      </c>
      <c r="I15" s="77">
        <v>2</v>
      </c>
      <c r="J15" s="77">
        <v>3</v>
      </c>
      <c r="K15" s="77">
        <v>4</v>
      </c>
      <c r="L15" s="77">
        <v>5</v>
      </c>
    </row>
    <row r="16" spans="1:12" x14ac:dyDescent="0.3">
      <c r="H16" s="77">
        <v>11.7</v>
      </c>
      <c r="I16" s="77">
        <v>86.7</v>
      </c>
      <c r="J16" s="77">
        <v>170.3</v>
      </c>
      <c r="K16" s="77">
        <v>174.1</v>
      </c>
      <c r="L16" s="77">
        <v>728.2</v>
      </c>
    </row>
    <row r="17" spans="8:12" x14ac:dyDescent="0.3">
      <c r="H17" s="77">
        <v>81.900000000000006</v>
      </c>
      <c r="I17" s="77">
        <v>481.4</v>
      </c>
      <c r="J17" s="77">
        <v>397.6</v>
      </c>
      <c r="K17" s="77">
        <v>407.6</v>
      </c>
      <c r="L17" s="77">
        <v>198.1</v>
      </c>
    </row>
    <row r="18" spans="8:12" x14ac:dyDescent="0.3">
      <c r="H18" s="77">
        <v>279.7</v>
      </c>
      <c r="I18" s="77">
        <v>286</v>
      </c>
      <c r="J18" s="77">
        <v>277</v>
      </c>
      <c r="K18" s="77">
        <v>366.9</v>
      </c>
      <c r="L18" s="77">
        <v>48.7</v>
      </c>
    </row>
    <row r="19" spans="8:12" x14ac:dyDescent="0.3">
      <c r="H19" s="77">
        <v>456</v>
      </c>
      <c r="I19" s="77">
        <v>57.3</v>
      </c>
      <c r="J19" s="77">
        <v>60.5</v>
      </c>
      <c r="K19" s="77">
        <v>43.2</v>
      </c>
      <c r="L19" s="77">
        <v>13.6</v>
      </c>
    </row>
    <row r="20" spans="8:12" x14ac:dyDescent="0.3">
      <c r="H20" s="77">
        <v>76.5</v>
      </c>
      <c r="I20" s="77"/>
      <c r="J20" s="77"/>
      <c r="K20" s="77">
        <v>13.6</v>
      </c>
      <c r="L20" s="77"/>
    </row>
    <row r="21" spans="8:12" x14ac:dyDescent="0.3">
      <c r="H21" s="77"/>
      <c r="I21" s="77"/>
      <c r="J21" s="77"/>
      <c r="K21" s="77"/>
      <c r="L21" s="77"/>
    </row>
    <row r="22" spans="8:12" x14ac:dyDescent="0.3">
      <c r="H22" s="77"/>
      <c r="I22" s="77"/>
      <c r="J22" s="77"/>
      <c r="K22" s="77"/>
      <c r="L22" s="77"/>
    </row>
    <row r="23" spans="8:12" x14ac:dyDescent="0.3">
      <c r="H23" s="77"/>
      <c r="I23" s="77"/>
      <c r="J23" s="77"/>
      <c r="K23" s="77"/>
      <c r="L23" s="77"/>
    </row>
    <row r="24" spans="8:12" x14ac:dyDescent="0.3">
      <c r="H24" s="77"/>
      <c r="I24" s="77"/>
      <c r="J24" s="77"/>
      <c r="K24" s="77"/>
      <c r="L24" s="77"/>
    </row>
    <row r="25" spans="8:12" x14ac:dyDescent="0.3">
      <c r="H25" s="77"/>
      <c r="I25" s="77"/>
      <c r="J25" s="77"/>
      <c r="K25" s="77"/>
      <c r="L25" s="77"/>
    </row>
    <row r="26" spans="8:12" x14ac:dyDescent="0.3">
      <c r="H26" s="77"/>
      <c r="I26" s="77"/>
      <c r="J26" s="77"/>
      <c r="K26" s="77"/>
      <c r="L26" s="77"/>
    </row>
    <row r="27" spans="8:12" x14ac:dyDescent="0.3">
      <c r="H27" s="77"/>
      <c r="I27" s="77"/>
      <c r="J27" s="77"/>
      <c r="K27" s="77"/>
      <c r="L27" s="77"/>
    </row>
    <row r="28" spans="8:12" x14ac:dyDescent="0.3">
      <c r="H28" s="77"/>
      <c r="I28" s="77"/>
      <c r="J28" s="77"/>
      <c r="K28" s="77"/>
      <c r="L28" s="77"/>
    </row>
    <row r="29" spans="8:12" x14ac:dyDescent="0.3">
      <c r="H29" s="77"/>
      <c r="I29" s="77"/>
      <c r="J29" s="77"/>
      <c r="K29" s="77"/>
      <c r="L29" s="77"/>
    </row>
    <row r="30" spans="8:12" x14ac:dyDescent="0.3">
      <c r="H30" s="77"/>
      <c r="I30" s="77"/>
      <c r="J30" s="77"/>
      <c r="K30" s="77"/>
      <c r="L30" s="77"/>
    </row>
    <row r="31" spans="8:12" x14ac:dyDescent="0.3">
      <c r="H31" s="77"/>
      <c r="I31" s="77"/>
      <c r="J31" s="77"/>
      <c r="K31" s="77"/>
      <c r="L31" s="77"/>
    </row>
    <row r="32" spans="8:12" x14ac:dyDescent="0.3">
      <c r="H32" s="77"/>
      <c r="I32" s="77"/>
      <c r="J32" s="77"/>
      <c r="K32" s="77"/>
      <c r="L32" s="77"/>
    </row>
    <row r="33" spans="8:12" x14ac:dyDescent="0.3">
      <c r="H33" s="77"/>
      <c r="I33" s="77"/>
      <c r="J33" s="77"/>
      <c r="K33" s="77"/>
      <c r="L33" s="77"/>
    </row>
    <row r="34" spans="8:12" x14ac:dyDescent="0.3">
      <c r="H34" s="77"/>
      <c r="I34" s="77"/>
      <c r="J34" s="77"/>
      <c r="K34" s="77"/>
      <c r="L34" s="77"/>
    </row>
    <row r="35" spans="8:12" x14ac:dyDescent="0.3">
      <c r="H35" s="77"/>
      <c r="I35" s="77"/>
      <c r="J35" s="77"/>
      <c r="K35" s="77"/>
      <c r="L35" s="77"/>
    </row>
    <row r="36" spans="8:12" x14ac:dyDescent="0.3">
      <c r="H36" s="77"/>
      <c r="I36" s="77"/>
      <c r="J36" s="77"/>
      <c r="K36" s="77"/>
      <c r="L36" s="77"/>
    </row>
    <row r="37" spans="8:12" x14ac:dyDescent="0.3">
      <c r="H37" s="77"/>
      <c r="I37" s="77"/>
      <c r="J37" s="77"/>
      <c r="K37" s="77"/>
      <c r="L37" s="77"/>
    </row>
    <row r="38" spans="8:12" x14ac:dyDescent="0.3">
      <c r="H38" s="77"/>
      <c r="I38" s="77"/>
      <c r="J38" s="77"/>
      <c r="K38" s="77"/>
      <c r="L38" s="77"/>
    </row>
    <row r="39" spans="8:12" x14ac:dyDescent="0.3">
      <c r="H39" s="77"/>
      <c r="I39" s="77"/>
      <c r="J39" s="77"/>
      <c r="K39" s="77"/>
      <c r="L39" s="77"/>
    </row>
    <row r="40" spans="8:12" x14ac:dyDescent="0.3">
      <c r="H40" s="77"/>
      <c r="I40" s="77"/>
      <c r="J40" s="77"/>
      <c r="K40" s="77"/>
      <c r="L40" s="77"/>
    </row>
    <row r="41" spans="8:12" x14ac:dyDescent="0.3">
      <c r="H41" s="77"/>
      <c r="I41" s="77"/>
      <c r="J41" s="77"/>
      <c r="K41" s="77"/>
      <c r="L41" s="77"/>
    </row>
    <row r="42" spans="8:12" x14ac:dyDescent="0.3">
      <c r="H42" s="77"/>
      <c r="I42" s="77"/>
      <c r="J42" s="77"/>
      <c r="K42" s="77"/>
      <c r="L42" s="77"/>
    </row>
    <row r="43" spans="8:12" x14ac:dyDescent="0.3">
      <c r="H43" s="77"/>
      <c r="I43" s="77"/>
      <c r="J43" s="77"/>
      <c r="K43" s="77"/>
      <c r="L43" s="77"/>
    </row>
    <row r="44" spans="8:12" x14ac:dyDescent="0.3">
      <c r="H44" s="77"/>
      <c r="I44" s="77"/>
      <c r="J44" s="77"/>
      <c r="K44" s="77"/>
      <c r="L44" s="77"/>
    </row>
    <row r="45" spans="8:12" x14ac:dyDescent="0.3">
      <c r="H45" s="77"/>
      <c r="I45" s="77"/>
      <c r="J45" s="77"/>
      <c r="K45" s="77"/>
      <c r="L45" s="77"/>
    </row>
    <row r="46" spans="8:12" x14ac:dyDescent="0.3">
      <c r="H46" s="77"/>
      <c r="I46" s="77"/>
      <c r="J46" s="77"/>
      <c r="K46" s="77"/>
      <c r="L46" s="77"/>
    </row>
    <row r="47" spans="8:12" x14ac:dyDescent="0.3">
      <c r="H47" s="77"/>
      <c r="I47" s="77"/>
      <c r="J47" s="77"/>
      <c r="K47" s="77"/>
      <c r="L47" s="77"/>
    </row>
    <row r="48" spans="8:12" x14ac:dyDescent="0.3">
      <c r="H48" s="77"/>
      <c r="I48" s="77"/>
      <c r="J48" s="77"/>
      <c r="K48" s="77"/>
      <c r="L48" s="77"/>
    </row>
    <row r="49" spans="8:12" x14ac:dyDescent="0.3">
      <c r="H49" s="77"/>
      <c r="I49" s="77"/>
      <c r="J49" s="77"/>
      <c r="K49" s="77"/>
      <c r="L49" s="77"/>
    </row>
    <row r="50" spans="8:12" x14ac:dyDescent="0.3">
      <c r="H50" s="77"/>
      <c r="I50" s="77"/>
      <c r="J50" s="77"/>
      <c r="K50" s="77"/>
      <c r="L50" s="77"/>
    </row>
    <row r="51" spans="8:12" x14ac:dyDescent="0.3">
      <c r="H51" s="77"/>
      <c r="I51" s="77"/>
      <c r="J51" s="77"/>
      <c r="K51" s="77"/>
      <c r="L51" s="77"/>
    </row>
    <row r="52" spans="8:12" x14ac:dyDescent="0.3">
      <c r="H52" s="77"/>
      <c r="I52" s="77"/>
      <c r="J52" s="77"/>
      <c r="K52" s="77"/>
      <c r="L52" s="77"/>
    </row>
    <row r="53" spans="8:12" x14ac:dyDescent="0.3">
      <c r="H53" s="77"/>
      <c r="I53" s="77"/>
      <c r="J53" s="77"/>
      <c r="K53" s="77"/>
      <c r="L53" s="77"/>
    </row>
    <row r="54" spans="8:12" x14ac:dyDescent="0.3">
      <c r="H54" s="77"/>
      <c r="I54" s="77"/>
      <c r="J54" s="77"/>
      <c r="K54" s="77"/>
      <c r="L54" s="77"/>
    </row>
    <row r="55" spans="8:12" x14ac:dyDescent="0.3">
      <c r="H55" s="77"/>
      <c r="I55" s="77"/>
      <c r="J55" s="77"/>
      <c r="K55" s="77"/>
      <c r="L55" s="77"/>
    </row>
    <row r="56" spans="8:12" x14ac:dyDescent="0.3">
      <c r="H56" s="77"/>
      <c r="I56" s="77"/>
      <c r="J56" s="77"/>
      <c r="K56" s="77"/>
      <c r="L56" s="77"/>
    </row>
    <row r="57" spans="8:12" x14ac:dyDescent="0.3">
      <c r="H57" s="77"/>
      <c r="I57" s="77"/>
      <c r="J57" s="77"/>
      <c r="K57" s="77"/>
      <c r="L57" s="77"/>
    </row>
    <row r="58" spans="8:12" x14ac:dyDescent="0.3">
      <c r="H58" s="77"/>
      <c r="I58" s="77"/>
      <c r="J58" s="77"/>
      <c r="K58" s="77"/>
      <c r="L58" s="77"/>
    </row>
    <row r="59" spans="8:12" x14ac:dyDescent="0.3">
      <c r="H59" s="77"/>
      <c r="I59" s="77"/>
      <c r="J59" s="77"/>
      <c r="K59" s="77"/>
      <c r="L59" s="77"/>
    </row>
    <row r="60" spans="8:12" x14ac:dyDescent="0.3">
      <c r="H60" s="77"/>
      <c r="I60" s="77"/>
      <c r="J60" s="77"/>
      <c r="K60" s="77"/>
      <c r="L60" s="77"/>
    </row>
    <row r="61" spans="8:12" x14ac:dyDescent="0.3">
      <c r="H61" s="77"/>
      <c r="I61" s="77"/>
      <c r="J61" s="77"/>
      <c r="K61" s="77"/>
      <c r="L61" s="77"/>
    </row>
    <row r="62" spans="8:12" x14ac:dyDescent="0.3">
      <c r="H62" s="77"/>
      <c r="I62" s="77"/>
      <c r="J62" s="77"/>
      <c r="K62" s="77"/>
      <c r="L62" s="77"/>
    </row>
    <row r="63" spans="8:12" x14ac:dyDescent="0.3">
      <c r="H63" s="77"/>
      <c r="I63" s="77"/>
      <c r="J63" s="77"/>
      <c r="K63" s="77"/>
      <c r="L63" s="77"/>
    </row>
    <row r="64" spans="8:12" x14ac:dyDescent="0.3">
      <c r="H64" s="77"/>
      <c r="I64" s="77"/>
      <c r="J64" s="77"/>
      <c r="K64" s="77"/>
      <c r="L64" s="77"/>
    </row>
    <row r="65" spans="8:12" x14ac:dyDescent="0.3">
      <c r="H65" s="77"/>
      <c r="I65" s="77"/>
      <c r="J65" s="77"/>
      <c r="K65" s="77"/>
      <c r="L65" s="77"/>
    </row>
    <row r="66" spans="8:12" x14ac:dyDescent="0.3">
      <c r="H66" s="77"/>
      <c r="I66" s="77"/>
      <c r="J66" s="77"/>
      <c r="K66" s="77"/>
      <c r="L66" s="77"/>
    </row>
    <row r="67" spans="8:12" x14ac:dyDescent="0.3">
      <c r="H67" s="77"/>
      <c r="I67" s="77"/>
      <c r="J67" s="77"/>
      <c r="K67" s="77"/>
      <c r="L67" s="77"/>
    </row>
    <row r="68" spans="8:12" x14ac:dyDescent="0.3">
      <c r="H68" s="77"/>
      <c r="I68" s="77"/>
      <c r="J68" s="77"/>
      <c r="K68" s="77"/>
      <c r="L68" s="77"/>
    </row>
    <row r="69" spans="8:12" x14ac:dyDescent="0.3">
      <c r="H69" s="77"/>
      <c r="I69" s="77"/>
      <c r="J69" s="77"/>
      <c r="K69" s="77"/>
      <c r="L69" s="77"/>
    </row>
    <row r="70" spans="8:12" x14ac:dyDescent="0.3">
      <c r="H70" s="77"/>
      <c r="I70" s="77"/>
      <c r="J70" s="77"/>
      <c r="K70" s="77"/>
      <c r="L70" s="77"/>
    </row>
    <row r="71" spans="8:12" x14ac:dyDescent="0.3">
      <c r="H71" s="77"/>
      <c r="I71" s="77"/>
      <c r="J71" s="77"/>
      <c r="K71" s="77"/>
      <c r="L71" s="77"/>
    </row>
    <row r="72" spans="8:12" x14ac:dyDescent="0.3">
      <c r="H72" s="77"/>
      <c r="I72" s="77"/>
      <c r="J72" s="77"/>
      <c r="K72" s="77"/>
      <c r="L72" s="77"/>
    </row>
  </sheetData>
  <mergeCells count="5">
    <mergeCell ref="C5:G11"/>
    <mergeCell ref="A4:G4"/>
    <mergeCell ref="A1:G1"/>
    <mergeCell ref="B2:D2"/>
    <mergeCell ref="B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92D050"/>
  </sheetPr>
  <dimension ref="A1:I7"/>
  <sheetViews>
    <sheetView topLeftCell="B1" zoomScale="50" zoomScaleNormal="50" workbookViewId="0">
      <selection activeCell="D27" sqref="D27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9" width="16.77734375" customWidth="1"/>
  </cols>
  <sheetData>
    <row r="1" spans="1:9" ht="36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21</v>
      </c>
      <c r="G1" s="60" t="s">
        <v>763</v>
      </c>
      <c r="H1" s="60" t="s">
        <v>764</v>
      </c>
      <c r="I1" s="60" t="s">
        <v>765</v>
      </c>
    </row>
    <row r="2" spans="1:9" ht="54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f>SUM(G2:I2)</f>
        <v>4460.3999999999996</v>
      </c>
      <c r="G2" s="59">
        <v>1454</v>
      </c>
      <c r="H2" s="59">
        <v>1542.5</v>
      </c>
      <c r="I2" s="59">
        <v>1463.9</v>
      </c>
    </row>
    <row r="3" spans="1:9" ht="72" x14ac:dyDescent="0.3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f>SUM(G3:I3)</f>
        <v>134.09899999999999</v>
      </c>
      <c r="G3" s="8">
        <v>44.883999999999993</v>
      </c>
      <c r="H3" s="8">
        <v>44.134999999999998</v>
      </c>
      <c r="I3" s="8">
        <v>45.08</v>
      </c>
    </row>
    <row r="4" spans="1:9" ht="72" x14ac:dyDescent="0.3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f t="shared" ref="F4:F7" si="0">SUM(G4:J4)</f>
        <v>322.42200000000003</v>
      </c>
      <c r="G4" s="8">
        <v>82.644000000000005</v>
      </c>
      <c r="H4" s="8">
        <v>100.98</v>
      </c>
      <c r="I4" s="8">
        <v>138.798</v>
      </c>
    </row>
    <row r="5" spans="1:9" ht="72" x14ac:dyDescent="0.3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f t="shared" si="0"/>
        <v>56.38900000000001</v>
      </c>
      <c r="G5" s="8">
        <v>17.622</v>
      </c>
      <c r="H5" s="8">
        <v>15.778000000000002</v>
      </c>
      <c r="I5" s="8">
        <v>22.989000000000001</v>
      </c>
    </row>
    <row r="6" spans="1:9" ht="72" x14ac:dyDescent="0.3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f t="shared" si="0"/>
        <v>118.31900000000002</v>
      </c>
      <c r="G6" s="8">
        <v>45.936</v>
      </c>
      <c r="H6" s="8">
        <v>47.138000000000005</v>
      </c>
      <c r="I6" s="8">
        <v>25.245000000000001</v>
      </c>
    </row>
    <row r="7" spans="1:9" ht="72" x14ac:dyDescent="0.3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f t="shared" si="0"/>
        <v>1530.683</v>
      </c>
      <c r="G7" s="8">
        <v>514.899</v>
      </c>
      <c r="H7" s="8">
        <v>515.59199999999998</v>
      </c>
      <c r="I7" s="8">
        <v>500.19199999999995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00B050"/>
  </sheetPr>
  <dimension ref="A1:H9"/>
  <sheetViews>
    <sheetView zoomScale="55" zoomScaleNormal="55" workbookViewId="0">
      <selection activeCell="C3" sqref="C3:C4"/>
    </sheetView>
  </sheetViews>
  <sheetFormatPr defaultRowHeight="14.4" x14ac:dyDescent="0.3"/>
  <cols>
    <col min="1" max="1" width="14.77734375" customWidth="1"/>
    <col min="2" max="2" width="43.44140625" customWidth="1"/>
    <col min="3" max="3" width="13.33203125" customWidth="1"/>
    <col min="4" max="4" width="56.6640625" customWidth="1"/>
    <col min="5" max="5" width="15.77734375" customWidth="1"/>
    <col min="6" max="8" width="16.77734375" customWidth="1"/>
  </cols>
  <sheetData>
    <row r="1" spans="1:8" ht="36" x14ac:dyDescent="0.3">
      <c r="A1" s="55" t="s">
        <v>13</v>
      </c>
      <c r="B1" s="55" t="s">
        <v>15</v>
      </c>
      <c r="C1" s="56" t="s">
        <v>757</v>
      </c>
      <c r="D1" s="60" t="s">
        <v>758</v>
      </c>
      <c r="E1" s="60" t="s">
        <v>18</v>
      </c>
      <c r="F1" s="60" t="s">
        <v>21</v>
      </c>
      <c r="G1" s="60" t="s">
        <v>813</v>
      </c>
      <c r="H1" s="60" t="s">
        <v>766</v>
      </c>
    </row>
    <row r="2" spans="1:8" ht="54" x14ac:dyDescent="0.3">
      <c r="A2" s="42">
        <v>1</v>
      </c>
      <c r="B2" s="2" t="s">
        <v>43</v>
      </c>
      <c r="C2" s="3" t="s">
        <v>751</v>
      </c>
      <c r="D2" s="57" t="s">
        <v>759</v>
      </c>
      <c r="E2" s="58" t="s">
        <v>46</v>
      </c>
      <c r="F2" s="59">
        <f>SUM(G2:H2)</f>
        <v>2106.4780000000001</v>
      </c>
      <c r="G2" s="59">
        <v>1342</v>
      </c>
      <c r="H2" s="59">
        <v>764.47800000000007</v>
      </c>
    </row>
    <row r="3" spans="1:8" ht="72" x14ac:dyDescent="0.3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24.849</v>
      </c>
      <c r="G3" s="59">
        <v>0</v>
      </c>
      <c r="H3" s="59">
        <v>24.849</v>
      </c>
    </row>
    <row r="4" spans="1:8" ht="72" x14ac:dyDescent="0.3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59">
        <f t="shared" ref="F4:F9" si="0">SUM(G4:H4)</f>
        <v>247.184</v>
      </c>
      <c r="G4" s="8">
        <v>186.2</v>
      </c>
      <c r="H4" s="8">
        <v>60.984000000000009</v>
      </c>
    </row>
    <row r="5" spans="1:8" ht="72" x14ac:dyDescent="0.3">
      <c r="A5" s="42">
        <v>4</v>
      </c>
      <c r="B5" s="2" t="s">
        <v>98</v>
      </c>
      <c r="C5" s="3" t="s">
        <v>756</v>
      </c>
      <c r="D5" s="3" t="s">
        <v>809</v>
      </c>
      <c r="E5" s="5" t="s">
        <v>46</v>
      </c>
      <c r="F5" s="59">
        <f t="shared" si="0"/>
        <v>56.835999999999999</v>
      </c>
      <c r="G5" s="8">
        <v>48.8</v>
      </c>
      <c r="H5" s="8">
        <v>8.0359999999999996</v>
      </c>
    </row>
    <row r="6" spans="1:8" ht="72" x14ac:dyDescent="0.3">
      <c r="A6" s="42">
        <v>5</v>
      </c>
      <c r="B6" s="2" t="s">
        <v>98</v>
      </c>
      <c r="C6" s="3" t="s">
        <v>811</v>
      </c>
      <c r="D6" s="3" t="s">
        <v>810</v>
      </c>
      <c r="E6" s="5" t="s">
        <v>46</v>
      </c>
      <c r="F6" s="59">
        <f>SUM(G6:H6)</f>
        <v>826.25600000000009</v>
      </c>
      <c r="G6" s="8">
        <v>525.20000000000005</v>
      </c>
      <c r="H6" s="8">
        <v>301.05599999999998</v>
      </c>
    </row>
    <row r="7" spans="1:8" ht="72" x14ac:dyDescent="0.3">
      <c r="A7" s="42">
        <v>6</v>
      </c>
      <c r="B7" s="2" t="s">
        <v>98</v>
      </c>
      <c r="C7" s="3" t="s">
        <v>755</v>
      </c>
      <c r="D7" s="3" t="s">
        <v>808</v>
      </c>
      <c r="E7" s="5" t="s">
        <v>46</v>
      </c>
      <c r="F7" s="59">
        <f>SUM(G7:H7)</f>
        <v>49.534000000000006</v>
      </c>
      <c r="G7" s="8">
        <v>18.3</v>
      </c>
      <c r="H7" s="8">
        <v>31.234000000000002</v>
      </c>
    </row>
    <row r="8" spans="1:8" ht="54" x14ac:dyDescent="0.3">
      <c r="A8" s="42">
        <v>7</v>
      </c>
      <c r="B8" s="2" t="s">
        <v>68</v>
      </c>
      <c r="C8" s="3" t="s">
        <v>752</v>
      </c>
      <c r="D8" s="3" t="s">
        <v>761</v>
      </c>
      <c r="E8" s="5" t="s">
        <v>46</v>
      </c>
      <c r="F8" s="59">
        <f t="shared" si="0"/>
        <v>58.639000000000003</v>
      </c>
      <c r="G8" s="8">
        <v>21.1</v>
      </c>
      <c r="H8" s="8">
        <v>37.539000000000001</v>
      </c>
    </row>
    <row r="9" spans="1:8" ht="72" x14ac:dyDescent="0.3">
      <c r="A9" s="42">
        <v>8</v>
      </c>
      <c r="B9" s="2" t="s">
        <v>98</v>
      </c>
      <c r="C9" s="3" t="s">
        <v>754</v>
      </c>
      <c r="D9" s="3" t="s">
        <v>762</v>
      </c>
      <c r="E9" s="5" t="s">
        <v>46</v>
      </c>
      <c r="F9" s="59">
        <f t="shared" si="0"/>
        <v>28.867000000000004</v>
      </c>
      <c r="G9" s="8">
        <v>18.100000000000001</v>
      </c>
      <c r="H9" s="8">
        <v>10.767000000000001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00B050"/>
  </sheetPr>
  <dimension ref="A1:F8"/>
  <sheetViews>
    <sheetView zoomScale="55" zoomScaleNormal="55" workbookViewId="0">
      <selection activeCell="B37" sqref="B37"/>
    </sheetView>
  </sheetViews>
  <sheetFormatPr defaultRowHeight="18" x14ac:dyDescent="0.35"/>
  <cols>
    <col min="1" max="1" width="11.33203125" style="20" customWidth="1"/>
    <col min="2" max="2" width="44.88671875" style="14" customWidth="1"/>
    <col min="3" max="3" width="13.33203125" style="14" customWidth="1"/>
    <col min="4" max="4" width="61.88671875" style="14" customWidth="1"/>
    <col min="5" max="5" width="12.77734375" style="14" customWidth="1"/>
    <col min="6" max="6" width="14.5546875" style="14" customWidth="1"/>
    <col min="7" max="16384" width="8.88671875" style="14"/>
  </cols>
  <sheetData>
    <row r="1" spans="1:6" s="20" customFormat="1" ht="36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1342</v>
      </c>
    </row>
    <row r="3" spans="1:6" ht="72" x14ac:dyDescent="0.35">
      <c r="A3" s="42">
        <v>2</v>
      </c>
      <c r="B3" s="2" t="s">
        <v>98</v>
      </c>
      <c r="C3" s="3" t="s">
        <v>753</v>
      </c>
      <c r="D3" s="3" t="s">
        <v>807</v>
      </c>
      <c r="E3" s="5" t="s">
        <v>46</v>
      </c>
      <c r="F3" s="8">
        <v>186.2</v>
      </c>
    </row>
    <row r="4" spans="1:6" ht="72" x14ac:dyDescent="0.35">
      <c r="A4" s="42">
        <v>3</v>
      </c>
      <c r="B4" s="2" t="s">
        <v>98</v>
      </c>
      <c r="C4" s="3" t="s">
        <v>756</v>
      </c>
      <c r="D4" s="3" t="s">
        <v>809</v>
      </c>
      <c r="E4" s="5" t="s">
        <v>46</v>
      </c>
      <c r="F4" s="8">
        <v>48.8</v>
      </c>
    </row>
    <row r="5" spans="1:6" ht="72" x14ac:dyDescent="0.35">
      <c r="A5" s="42">
        <v>4</v>
      </c>
      <c r="B5" s="2" t="s">
        <v>98</v>
      </c>
      <c r="C5" s="3" t="s">
        <v>811</v>
      </c>
      <c r="D5" s="3" t="s">
        <v>810</v>
      </c>
      <c r="E5" s="5" t="s">
        <v>46</v>
      </c>
      <c r="F5" s="8">
        <v>525.20000000000005</v>
      </c>
    </row>
    <row r="6" spans="1:6" ht="72" x14ac:dyDescent="0.35">
      <c r="A6" s="42">
        <v>5</v>
      </c>
      <c r="B6" s="2" t="s">
        <v>98</v>
      </c>
      <c r="C6" s="3" t="s">
        <v>755</v>
      </c>
      <c r="D6" s="3" t="s">
        <v>808</v>
      </c>
      <c r="E6" s="5" t="s">
        <v>46</v>
      </c>
      <c r="F6" s="8">
        <v>18.3</v>
      </c>
    </row>
    <row r="7" spans="1:6" ht="54" x14ac:dyDescent="0.35">
      <c r="A7" s="42">
        <v>6</v>
      </c>
      <c r="B7" s="2" t="s">
        <v>68</v>
      </c>
      <c r="C7" s="3" t="s">
        <v>752</v>
      </c>
      <c r="D7" s="3" t="s">
        <v>761</v>
      </c>
      <c r="E7" s="5" t="s">
        <v>46</v>
      </c>
      <c r="F7" s="8">
        <v>21.1</v>
      </c>
    </row>
    <row r="8" spans="1:6" ht="72" x14ac:dyDescent="0.35">
      <c r="A8" s="42">
        <v>7</v>
      </c>
      <c r="B8" s="2" t="s">
        <v>98</v>
      </c>
      <c r="C8" s="3" t="s">
        <v>754</v>
      </c>
      <c r="D8" s="3" t="s">
        <v>762</v>
      </c>
      <c r="E8" s="5" t="s">
        <v>46</v>
      </c>
      <c r="F8" s="8">
        <v>18.100000000000001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rgb="FF92D050"/>
  </sheetPr>
  <dimension ref="A1:F7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36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1454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44.883999999999993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82.644000000000005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17.622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45.936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514.899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F2"/>
  <sheetViews>
    <sheetView zoomScale="55" zoomScaleNormal="55" workbookViewId="0">
      <selection activeCell="D2" sqref="D2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92D050"/>
  </sheetPr>
  <dimension ref="A1:F7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1542.5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44.134999999999998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100.98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15.778000000000002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47.138000000000005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515.59199999999998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F2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21.756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92D050"/>
  </sheetPr>
  <dimension ref="A1:F7"/>
  <sheetViews>
    <sheetView zoomScale="55" zoomScaleNormal="55" workbookViewId="0">
      <selection activeCell="B39" sqref="B39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1463.9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45.08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138.798</v>
      </c>
    </row>
    <row r="5" spans="1:6" ht="72" x14ac:dyDescent="0.35">
      <c r="A5" s="42">
        <v>4</v>
      </c>
      <c r="B5" s="2" t="s">
        <v>98</v>
      </c>
      <c r="C5" s="3" t="s">
        <v>755</v>
      </c>
      <c r="D5" s="3" t="s">
        <v>808</v>
      </c>
      <c r="E5" s="5" t="s">
        <v>46</v>
      </c>
      <c r="F5" s="8">
        <v>22.989000000000001</v>
      </c>
    </row>
    <row r="6" spans="1:6" ht="72" x14ac:dyDescent="0.35">
      <c r="A6" s="42">
        <v>5</v>
      </c>
      <c r="B6" s="2" t="s">
        <v>98</v>
      </c>
      <c r="C6" s="3" t="s">
        <v>756</v>
      </c>
      <c r="D6" s="3" t="s">
        <v>809</v>
      </c>
      <c r="E6" s="5" t="s">
        <v>46</v>
      </c>
      <c r="F6" s="8">
        <v>25.245000000000001</v>
      </c>
    </row>
    <row r="7" spans="1:6" ht="72" x14ac:dyDescent="0.35">
      <c r="A7" s="42">
        <v>6</v>
      </c>
      <c r="B7" s="2" t="s">
        <v>98</v>
      </c>
      <c r="C7" s="3" t="s">
        <v>811</v>
      </c>
      <c r="D7" s="3" t="s">
        <v>810</v>
      </c>
      <c r="E7" s="5" t="s">
        <v>46</v>
      </c>
      <c r="F7" s="8">
        <v>500.19199999999995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F2"/>
  <sheetViews>
    <sheetView zoomScale="55" zoomScaleNormal="55" workbookViewId="0">
      <selection activeCell="B40" sqref="B40"/>
    </sheetView>
  </sheetViews>
  <sheetFormatPr defaultRowHeight="18" x14ac:dyDescent="0.35"/>
  <cols>
    <col min="1" max="1" width="14.77734375" style="20" customWidth="1"/>
    <col min="2" max="2" width="43.44140625" style="14" customWidth="1"/>
    <col min="3" max="3" width="13.33203125" style="14" customWidth="1"/>
    <col min="4" max="4" width="56.6640625" style="14" customWidth="1"/>
    <col min="5" max="5" width="15.77734375" style="14" customWidth="1"/>
    <col min="6" max="6" width="16.7773437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72" x14ac:dyDescent="0.35">
      <c r="A2" s="42">
        <v>1</v>
      </c>
      <c r="B2" s="2" t="s">
        <v>98</v>
      </c>
      <c r="C2" s="3" t="s">
        <v>754</v>
      </c>
      <c r="D2" s="3" t="s">
        <v>762</v>
      </c>
      <c r="E2" s="5" t="s">
        <v>46</v>
      </c>
      <c r="F2" s="8">
        <v>21.756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00B050"/>
  </sheetPr>
  <dimension ref="A1:F9"/>
  <sheetViews>
    <sheetView zoomScale="55" zoomScaleNormal="55" workbookViewId="0">
      <selection activeCell="F2" sqref="F2:F9"/>
    </sheetView>
  </sheetViews>
  <sheetFormatPr defaultRowHeight="18" x14ac:dyDescent="0.35"/>
  <cols>
    <col min="1" max="1" width="13" style="20" customWidth="1"/>
    <col min="2" max="2" width="48.88671875" style="14" customWidth="1"/>
    <col min="3" max="3" width="12.77734375" style="14" customWidth="1"/>
    <col min="4" max="4" width="62.21875" style="14" customWidth="1"/>
    <col min="5" max="5" width="10.109375" style="14" customWidth="1"/>
    <col min="6" max="6" width="13.6640625" style="14" customWidth="1"/>
    <col min="7" max="16384" width="8.88671875" style="14"/>
  </cols>
  <sheetData>
    <row r="1" spans="1:6" s="20" customFormat="1" ht="40.799999999999997" customHeight="1" x14ac:dyDescent="0.3">
      <c r="A1" s="55" t="s">
        <v>13</v>
      </c>
      <c r="B1" s="55" t="s">
        <v>15</v>
      </c>
      <c r="C1" s="55" t="s">
        <v>757</v>
      </c>
      <c r="D1" s="55" t="s">
        <v>758</v>
      </c>
      <c r="E1" s="55" t="s">
        <v>18</v>
      </c>
      <c r="F1" s="56" t="s">
        <v>21</v>
      </c>
    </row>
    <row r="2" spans="1:6" ht="54" x14ac:dyDescent="0.35">
      <c r="A2" s="42">
        <v>1</v>
      </c>
      <c r="B2" s="2" t="s">
        <v>43</v>
      </c>
      <c r="C2" s="3" t="s">
        <v>751</v>
      </c>
      <c r="D2" s="3" t="s">
        <v>759</v>
      </c>
      <c r="E2" s="5" t="s">
        <v>46</v>
      </c>
      <c r="F2" s="8">
        <v>764.47800000000007</v>
      </c>
    </row>
    <row r="3" spans="1:6" ht="72" x14ac:dyDescent="0.35">
      <c r="A3" s="42">
        <v>2</v>
      </c>
      <c r="B3" s="2" t="s">
        <v>68</v>
      </c>
      <c r="C3" s="3" t="s">
        <v>750</v>
      </c>
      <c r="D3" s="3" t="s">
        <v>760</v>
      </c>
      <c r="E3" s="5" t="s">
        <v>46</v>
      </c>
      <c r="F3" s="8">
        <v>24.849</v>
      </c>
    </row>
    <row r="4" spans="1:6" ht="72" x14ac:dyDescent="0.35">
      <c r="A4" s="42">
        <v>3</v>
      </c>
      <c r="B4" s="2" t="s">
        <v>98</v>
      </c>
      <c r="C4" s="3" t="s">
        <v>753</v>
      </c>
      <c r="D4" s="3" t="s">
        <v>807</v>
      </c>
      <c r="E4" s="5" t="s">
        <v>46</v>
      </c>
      <c r="F4" s="8">
        <v>60.984000000000009</v>
      </c>
    </row>
    <row r="5" spans="1:6" ht="72" x14ac:dyDescent="0.35">
      <c r="A5" s="42">
        <v>4</v>
      </c>
      <c r="B5" s="2" t="s">
        <v>98</v>
      </c>
      <c r="C5" s="3" t="s">
        <v>756</v>
      </c>
      <c r="D5" s="3" t="s">
        <v>809</v>
      </c>
      <c r="E5" s="5" t="s">
        <v>46</v>
      </c>
      <c r="F5" s="8">
        <v>8.0359999999999996</v>
      </c>
    </row>
    <row r="6" spans="1:6" ht="72" x14ac:dyDescent="0.35">
      <c r="A6" s="42">
        <v>5</v>
      </c>
      <c r="B6" s="2" t="s">
        <v>98</v>
      </c>
      <c r="C6" s="3" t="s">
        <v>811</v>
      </c>
      <c r="D6" s="3" t="s">
        <v>810</v>
      </c>
      <c r="E6" s="5" t="s">
        <v>46</v>
      </c>
      <c r="F6" s="8">
        <v>301.05599999999998</v>
      </c>
    </row>
    <row r="7" spans="1:6" ht="72" x14ac:dyDescent="0.35">
      <c r="A7" s="42">
        <v>6</v>
      </c>
      <c r="B7" s="2" t="s">
        <v>98</v>
      </c>
      <c r="C7" s="3" t="s">
        <v>755</v>
      </c>
      <c r="D7" s="3" t="s">
        <v>808</v>
      </c>
      <c r="E7" s="5" t="s">
        <v>46</v>
      </c>
      <c r="F7" s="8">
        <v>31.234000000000002</v>
      </c>
    </row>
    <row r="8" spans="1:6" ht="54" x14ac:dyDescent="0.35">
      <c r="A8" s="42">
        <v>7</v>
      </c>
      <c r="B8" s="2" t="s">
        <v>68</v>
      </c>
      <c r="C8" s="3" t="s">
        <v>752</v>
      </c>
      <c r="D8" s="3" t="s">
        <v>761</v>
      </c>
      <c r="E8" s="5" t="s">
        <v>46</v>
      </c>
      <c r="F8" s="8">
        <v>37.539000000000001</v>
      </c>
    </row>
    <row r="9" spans="1:6" ht="72" x14ac:dyDescent="0.35">
      <c r="A9" s="42">
        <v>8</v>
      </c>
      <c r="B9" s="2" t="s">
        <v>98</v>
      </c>
      <c r="C9" s="3" t="s">
        <v>754</v>
      </c>
      <c r="D9" s="3" t="s">
        <v>762</v>
      </c>
      <c r="E9" s="5" t="s">
        <v>46</v>
      </c>
      <c r="F9" s="8">
        <v>10.767000000000001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5.1Шлф</vt:lpstr>
      <vt:lpstr>2.6шт</vt:lpstr>
      <vt:lpstr>2.5шт</vt:lpstr>
      <vt:lpstr>Общ</vt:lpstr>
      <vt:lpstr>2.4ГВЛ</vt:lpstr>
      <vt:lpstr>черновик 1-5</vt:lpstr>
      <vt:lpstr>общий</vt:lpstr>
      <vt:lpstr>4.1шпИнв</vt:lpstr>
      <vt:lpstr>3.4ГВЛинв5э</vt:lpstr>
      <vt:lpstr>3.3ГВЛинв</vt:lpstr>
      <vt:lpstr>3.2штИнв</vt:lpstr>
      <vt:lpstr>3.1штИнв</vt:lpstr>
      <vt:lpstr>№1</vt:lpstr>
      <vt:lpstr>№2</vt:lpstr>
      <vt:lpstr>1.1.1</vt:lpstr>
      <vt:lpstr>1.2.1</vt:lpstr>
      <vt:lpstr>1.2.2</vt:lpstr>
      <vt:lpstr>1.3.1</vt:lpstr>
      <vt:lpstr>1.3.2</vt:lpstr>
      <vt:lpstr>1.4.1</vt:lpstr>
      <vt:lpstr>1.4.2</vt:lpstr>
      <vt:lpstr>1.5.1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2026-09-24T13:53:53Z</dcterms:modified>
</cp:coreProperties>
</file>