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98"/>
  </bookViews>
  <sheets>
    <sheet name="1.1пл" sheetId="14" r:id="rId1"/>
  </sheets>
  <calcPr calcId="152511"/>
</workbook>
</file>

<file path=xl/calcChain.xml><?xml version="1.0" encoding="utf-8"?>
<calcChain xmlns="http://schemas.openxmlformats.org/spreadsheetml/2006/main">
  <c r="G3" i="14" l="1"/>
  <c r="G4" i="14"/>
  <c r="C8" i="14"/>
  <c r="C7" i="14"/>
  <c r="C9" i="14"/>
  <c r="B9" i="14"/>
</calcChain>
</file>

<file path=xl/sharedStrings.xml><?xml version="1.0" encoding="utf-8"?>
<sst xmlns="http://schemas.openxmlformats.org/spreadsheetml/2006/main" count="16" uniqueCount="16">
  <si>
    <t>Ед. изм.</t>
  </si>
  <si>
    <t>м2</t>
  </si>
  <si>
    <t>Устройство стяжки СКБ / армированная сеткой от 21 мм до 40 мм</t>
  </si>
  <si>
    <t>Утепление полов керамзитом</t>
  </si>
  <si>
    <t>Описание</t>
  </si>
  <si>
    <t>Ведомость работ</t>
  </si>
  <si>
    <t>№ п.п.</t>
  </si>
  <si>
    <t>Наименование</t>
  </si>
  <si>
    <t>Объем, м2</t>
  </si>
  <si>
    <t>объем, м2.</t>
  </si>
  <si>
    <t>Итог:</t>
  </si>
  <si>
    <t>№ эт.</t>
  </si>
  <si>
    <t>2, 3 этаж</t>
  </si>
  <si>
    <t>2, 3 этаж
(89-90 мм)</t>
  </si>
  <si>
    <t>объем, м3.</t>
  </si>
  <si>
    <t>м3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</si>
</sst>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1" xfId="1" applyFont="1" applyBorder="1" applyAlignment="1">
      <alignment vertical="center"/>
    </xf>
    <xf numFmtId="2" fontId="2" fillId="0" borderId="1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left" vertical="center" wrapText="1"/>
    </xf>
    <xf numFmtId="164" fontId="2" fillId="0" borderId="1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4" xfId="1" applyFont="1" applyBorder="1" applyAlignment="1">
      <alignment vertical="center" wrapText="1"/>
    </xf>
    <xf numFmtId="0" fontId="0" fillId="0" borderId="5" xfId="0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abSelected="1" zoomScale="115" zoomScaleNormal="115" workbookViewId="0">
      <selection activeCell="A5" sqref="A5:G5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2.6640625" customWidth="1"/>
    <col min="4" max="4" width="13.6640625" customWidth="1"/>
    <col min="5" max="5" width="12.6640625" customWidth="1"/>
    <col min="6" max="6" width="9.88671875" bestFit="1" customWidth="1"/>
    <col min="7" max="7" width="12" bestFit="1" customWidth="1"/>
  </cols>
  <sheetData>
    <row r="1" spans="1:7" ht="15.6" x14ac:dyDescent="0.3">
      <c r="A1" s="10" t="s">
        <v>5</v>
      </c>
      <c r="B1" s="10"/>
      <c r="C1" s="10"/>
      <c r="D1" s="10"/>
      <c r="E1" s="10"/>
      <c r="F1" s="10"/>
      <c r="G1" s="10"/>
    </row>
    <row r="2" spans="1:7" ht="15.6" x14ac:dyDescent="0.3">
      <c r="A2" s="1" t="s">
        <v>6</v>
      </c>
      <c r="B2" s="11" t="s">
        <v>7</v>
      </c>
      <c r="C2" s="12"/>
      <c r="D2" s="13"/>
      <c r="E2" s="7" t="s">
        <v>4</v>
      </c>
      <c r="F2" s="2" t="s">
        <v>0</v>
      </c>
      <c r="G2" s="2" t="s">
        <v>8</v>
      </c>
    </row>
    <row r="3" spans="1:7" ht="48" customHeight="1" x14ac:dyDescent="0.3">
      <c r="A3" s="6">
        <v>1</v>
      </c>
      <c r="B3" s="14" t="s">
        <v>2</v>
      </c>
      <c r="C3" s="15"/>
      <c r="D3" s="16"/>
      <c r="E3" s="3" t="s">
        <v>12</v>
      </c>
      <c r="F3" s="6" t="s">
        <v>1</v>
      </c>
      <c r="G3" s="4">
        <f>B9</f>
        <v>2705.6000000000004</v>
      </c>
    </row>
    <row r="4" spans="1:7" ht="33.6" customHeight="1" x14ac:dyDescent="0.3">
      <c r="A4" s="6">
        <v>2</v>
      </c>
      <c r="B4" s="14" t="s">
        <v>3</v>
      </c>
      <c r="C4" s="15"/>
      <c r="D4" s="16"/>
      <c r="E4" s="3" t="s">
        <v>13</v>
      </c>
      <c r="F4" s="6" t="s">
        <v>15</v>
      </c>
      <c r="G4" s="4">
        <f>C9</f>
        <v>240.79840000000002</v>
      </c>
    </row>
    <row r="5" spans="1:7" x14ac:dyDescent="0.3">
      <c r="A5" s="17"/>
      <c r="B5" s="17"/>
      <c r="C5" s="17"/>
      <c r="D5" s="17"/>
      <c r="E5" s="17"/>
      <c r="F5" s="17"/>
      <c r="G5" s="17"/>
    </row>
    <row r="6" spans="1:7" ht="15.6" x14ac:dyDescent="0.3">
      <c r="A6" s="6" t="s">
        <v>11</v>
      </c>
      <c r="B6" s="6" t="s">
        <v>9</v>
      </c>
      <c r="C6" s="6" t="s">
        <v>14</v>
      </c>
      <c r="D6" s="8"/>
      <c r="E6" s="9"/>
      <c r="F6" s="9"/>
      <c r="G6" s="9"/>
    </row>
    <row r="7" spans="1:7" ht="15.6" x14ac:dyDescent="0.3">
      <c r="A7" s="6">
        <v>2</v>
      </c>
      <c r="B7" s="4">
        <v>1369.2</v>
      </c>
      <c r="C7" s="4">
        <f>B7*0.089</f>
        <v>121.8588</v>
      </c>
      <c r="D7" s="8"/>
      <c r="E7" s="9"/>
      <c r="F7" s="9"/>
      <c r="G7" s="9"/>
    </row>
    <row r="8" spans="1:7" ht="15.6" x14ac:dyDescent="0.3">
      <c r="A8" s="6">
        <v>3</v>
      </c>
      <c r="B8" s="4">
        <v>1336.4</v>
      </c>
      <c r="C8" s="4">
        <f>B8*0.089</f>
        <v>118.9396</v>
      </c>
      <c r="D8" s="8"/>
      <c r="E8" s="9"/>
      <c r="F8" s="9"/>
      <c r="G8" s="9"/>
    </row>
    <row r="9" spans="1:7" ht="15.6" x14ac:dyDescent="0.3">
      <c r="A9" s="5" t="s">
        <v>10</v>
      </c>
      <c r="B9" s="4">
        <f>SUM(B7:B8)</f>
        <v>2705.6000000000004</v>
      </c>
      <c r="C9" s="4">
        <f>SUM(C7:C8)</f>
        <v>240.79840000000002</v>
      </c>
      <c r="D9" s="8"/>
      <c r="E9" s="9"/>
      <c r="F9" s="9"/>
      <c r="G9" s="9"/>
    </row>
  </sheetData>
  <mergeCells count="6">
    <mergeCell ref="D6:G9"/>
    <mergeCell ref="A1:G1"/>
    <mergeCell ref="B2:D2"/>
    <mergeCell ref="B3:D3"/>
    <mergeCell ref="B4:D4"/>
    <mergeCell ref="A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1.1пл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2026-08-06T13:28:15Z</dcterms:modified>
</cp:coreProperties>
</file>