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tabRatio="898"/>
  </bookViews>
  <sheets>
    <sheet name="2.1ЛШ" sheetId="17" r:id="rId1"/>
    <sheet name="1.2пл3в" sheetId="15" r:id="rId2"/>
    <sheet name="1.3Инв" sheetId="16" r:id="rId3"/>
    <sheet name="1.1Инв" sheetId="14" r:id="rId4"/>
  </sheets>
  <calcPr calcId="152511"/>
</workbook>
</file>

<file path=xl/calcChain.xml><?xml version="1.0" encoding="utf-8"?>
<calcChain xmlns="http://schemas.openxmlformats.org/spreadsheetml/2006/main">
  <c r="G6" i="17" l="1"/>
  <c r="B30" i="17"/>
  <c r="G5" i="17"/>
  <c r="B24" i="17"/>
  <c r="G4" i="17"/>
  <c r="B18" i="17"/>
  <c r="B12" i="17"/>
  <c r="G3" i="17" s="1"/>
  <c r="B10" i="16" l="1"/>
  <c r="C10" i="16"/>
  <c r="G4" i="16" s="1"/>
  <c r="G3" i="16"/>
  <c r="C11" i="15" l="1"/>
  <c r="B11" i="15"/>
  <c r="C8" i="15"/>
  <c r="C9" i="15"/>
  <c r="C10" i="15"/>
  <c r="G3" i="15"/>
  <c r="G4" i="15" l="1"/>
  <c r="C8" i="14"/>
  <c r="C7" i="14"/>
  <c r="C9" i="14" s="1"/>
  <c r="G4" i="14" s="1"/>
  <c r="B9" i="14"/>
  <c r="G3" i="14" s="1"/>
</calcChain>
</file>

<file path=xl/sharedStrings.xml><?xml version="1.0" encoding="utf-8"?>
<sst xmlns="http://schemas.openxmlformats.org/spreadsheetml/2006/main" count="87" uniqueCount="35">
  <si>
    <t>Ед. изм.</t>
  </si>
  <si>
    <t>м2</t>
  </si>
  <si>
    <t>Устройство стяжки СКБ / армированная сеткой от 21 мм до 40 мм</t>
  </si>
  <si>
    <t>Утепление полов керамзитом</t>
  </si>
  <si>
    <t>Описание</t>
  </si>
  <si>
    <t>Ведомость работ</t>
  </si>
  <si>
    <t>№ п.п.</t>
  </si>
  <si>
    <t>Наименование</t>
  </si>
  <si>
    <t>Объем, м2</t>
  </si>
  <si>
    <t>объем, м2.</t>
  </si>
  <si>
    <t>Итог:</t>
  </si>
  <si>
    <t>№ эт.</t>
  </si>
  <si>
    <t>2, 3 этаж</t>
  </si>
  <si>
    <t>2, 3 этаж
(89-90 мм)</t>
  </si>
  <si>
    <t>объем, м3.</t>
  </si>
  <si>
    <t>м3</t>
  </si>
  <si>
    <t>Вид</t>
  </si>
  <si>
    <t>Стяжка</t>
  </si>
  <si>
    <t>Керамзит</t>
  </si>
  <si>
    <t>1, 4, 5 этаж</t>
  </si>
  <si>
    <t>1, 4, 5 этаж
(89-90 мм)</t>
  </si>
  <si>
    <t>Объем</t>
  </si>
  <si>
    <t>Устройство стяжки СКБ / армированная сеткой до 40 мм</t>
  </si>
  <si>
    <t>Засыпка пазух в монолитных конструкциях / песок</t>
  </si>
  <si>
    <t>Песок</t>
  </si>
  <si>
    <t>Армирование ЖБ плиты</t>
  </si>
  <si>
    <t>Бетонирование ЖБ плиты</t>
  </si>
  <si>
    <t>Устройство монолитных плит перекрытий, лестничных площадок нежилых малоэтажных зданий / армированием до 160 кг</t>
  </si>
  <si>
    <t>№
шахты</t>
  </si>
  <si>
    <t>т</t>
  </si>
  <si>
    <t>Устройство бетонной подготовки</t>
  </si>
  <si>
    <t>Бет. подг.</t>
  </si>
  <si>
    <t>Армир.</t>
  </si>
  <si>
    <t>объем, кг.</t>
  </si>
  <si>
    <t>Бетон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</si>
</sst>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i/>
      <sz val="12"/>
      <color theme="1"/>
      <name val="ГОСТ тип А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0" borderId="1" xfId="1" applyFont="1" applyBorder="1" applyAlignment="1">
      <alignment vertical="center"/>
    </xf>
    <xf numFmtId="2" fontId="2" fillId="0" borderId="1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left" vertical="center" wrapText="1"/>
    </xf>
    <xf numFmtId="164" fontId="2" fillId="0" borderId="1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2" fillId="0" borderId="2" xfId="1" applyFont="1" applyBorder="1" applyAlignment="1">
      <alignment vertical="center" wrapText="1"/>
    </xf>
    <xf numFmtId="0" fontId="2" fillId="0" borderId="3" xfId="1" applyFont="1" applyBorder="1" applyAlignment="1">
      <alignment vertical="center" wrapText="1"/>
    </xf>
    <xf numFmtId="0" fontId="2" fillId="0" borderId="4" xfId="1" applyFont="1" applyBorder="1" applyAlignment="1">
      <alignment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0" fillId="0" borderId="0" xfId="0" applyBorder="1" applyAlignment="1">
      <alignment horizont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topLeftCell="A7" zoomScale="70" zoomScaleNormal="70" workbookViewId="0">
      <selection activeCell="A7" sqref="A7:G7"/>
    </sheetView>
  </sheetViews>
  <sheetFormatPr defaultRowHeight="14.4" x14ac:dyDescent="0.3"/>
  <cols>
    <col min="1" max="1" width="7.88671875" bestFit="1" customWidth="1"/>
    <col min="2" max="2" width="13.88671875" customWidth="1"/>
    <col min="3" max="3" width="12.6640625" customWidth="1"/>
    <col min="4" max="4" width="4.5546875" customWidth="1"/>
    <col min="5" max="5" width="20" customWidth="1"/>
    <col min="6" max="6" width="9.88671875" bestFit="1" customWidth="1"/>
    <col min="7" max="7" width="12" bestFit="1" customWidth="1"/>
  </cols>
  <sheetData>
    <row r="1" spans="1:10" ht="15.6" x14ac:dyDescent="0.3">
      <c r="A1" s="16" t="s">
        <v>5</v>
      </c>
      <c r="B1" s="16"/>
      <c r="C1" s="16"/>
      <c r="D1" s="16"/>
      <c r="E1" s="16"/>
      <c r="F1" s="16"/>
      <c r="G1" s="16"/>
    </row>
    <row r="2" spans="1:10" ht="15.6" x14ac:dyDescent="0.3">
      <c r="A2" s="1" t="s">
        <v>6</v>
      </c>
      <c r="B2" s="17" t="s">
        <v>7</v>
      </c>
      <c r="C2" s="18"/>
      <c r="D2" s="19"/>
      <c r="E2" s="14" t="s">
        <v>4</v>
      </c>
      <c r="F2" s="2" t="s">
        <v>0</v>
      </c>
      <c r="G2" s="2" t="s">
        <v>8</v>
      </c>
    </row>
    <row r="3" spans="1:10" ht="48" customHeight="1" x14ac:dyDescent="0.3">
      <c r="A3" s="12">
        <v>1</v>
      </c>
      <c r="B3" s="20" t="s">
        <v>23</v>
      </c>
      <c r="C3" s="21"/>
      <c r="D3" s="22"/>
      <c r="E3" s="3"/>
      <c r="F3" s="12" t="s">
        <v>15</v>
      </c>
      <c r="G3" s="4">
        <f>B12</f>
        <v>37</v>
      </c>
    </row>
    <row r="4" spans="1:10" ht="48" customHeight="1" x14ac:dyDescent="0.3">
      <c r="A4" s="12">
        <v>2</v>
      </c>
      <c r="B4" s="31" t="s">
        <v>30</v>
      </c>
      <c r="C4" s="32"/>
      <c r="D4" s="33"/>
      <c r="E4" s="3"/>
      <c r="F4" s="12" t="s">
        <v>15</v>
      </c>
      <c r="G4" s="4">
        <f>B18</f>
        <v>1.84</v>
      </c>
    </row>
    <row r="5" spans="1:10" ht="33.6" customHeight="1" x14ac:dyDescent="0.3">
      <c r="A5" s="12">
        <v>3</v>
      </c>
      <c r="B5" s="20" t="s">
        <v>25</v>
      </c>
      <c r="C5" s="21"/>
      <c r="D5" s="22"/>
      <c r="E5" s="3"/>
      <c r="F5" s="12" t="s">
        <v>29</v>
      </c>
      <c r="G5" s="4">
        <f>B24</f>
        <v>292</v>
      </c>
      <c r="H5" s="20" t="s">
        <v>25</v>
      </c>
      <c r="I5" s="21"/>
      <c r="J5" s="22"/>
    </row>
    <row r="6" spans="1:10" ht="77.400000000000006" customHeight="1" x14ac:dyDescent="0.3">
      <c r="A6" s="12">
        <v>4</v>
      </c>
      <c r="B6" s="20" t="s">
        <v>27</v>
      </c>
      <c r="C6" s="21"/>
      <c r="D6" s="22"/>
      <c r="E6" s="3"/>
      <c r="F6" s="12" t="s">
        <v>15</v>
      </c>
      <c r="G6" s="4">
        <f>B30</f>
        <v>3.7</v>
      </c>
      <c r="H6" s="20" t="s">
        <v>26</v>
      </c>
      <c r="I6" s="21"/>
      <c r="J6" s="22"/>
    </row>
    <row r="7" spans="1:10" x14ac:dyDescent="0.3">
      <c r="A7" s="23"/>
      <c r="B7" s="23"/>
      <c r="C7" s="23"/>
      <c r="D7" s="23"/>
      <c r="E7" s="23"/>
      <c r="F7" s="23"/>
      <c r="G7" s="23"/>
    </row>
    <row r="8" spans="1:10" ht="15.6" x14ac:dyDescent="0.3">
      <c r="A8" s="12" t="s">
        <v>16</v>
      </c>
      <c r="B8" s="12" t="s">
        <v>24</v>
      </c>
      <c r="C8" s="29"/>
      <c r="D8" s="15"/>
      <c r="E8" s="15"/>
      <c r="F8" s="15"/>
    </row>
    <row r="9" spans="1:10" ht="34.200000000000003" customHeight="1" x14ac:dyDescent="0.3">
      <c r="A9" s="30" t="s">
        <v>28</v>
      </c>
      <c r="B9" s="12" t="s">
        <v>14</v>
      </c>
      <c r="C9" s="15"/>
      <c r="D9" s="15"/>
      <c r="E9" s="15"/>
      <c r="F9" s="15"/>
    </row>
    <row r="10" spans="1:10" ht="15.6" x14ac:dyDescent="0.3">
      <c r="A10" s="12">
        <v>1</v>
      </c>
      <c r="B10" s="4">
        <v>18.5</v>
      </c>
      <c r="C10" s="15"/>
      <c r="D10" s="15"/>
      <c r="E10" s="15"/>
      <c r="F10" s="15"/>
    </row>
    <row r="11" spans="1:10" ht="15.6" x14ac:dyDescent="0.3">
      <c r="A11" s="12">
        <v>2</v>
      </c>
      <c r="B11" s="4">
        <v>18.5</v>
      </c>
      <c r="C11" s="15"/>
      <c r="D11" s="15"/>
      <c r="E11" s="15"/>
      <c r="F11" s="15"/>
    </row>
    <row r="12" spans="1:10" ht="15.6" x14ac:dyDescent="0.3">
      <c r="A12" s="13" t="s">
        <v>10</v>
      </c>
      <c r="B12" s="4">
        <f>SUM(B10:B11)</f>
        <v>37</v>
      </c>
      <c r="C12" s="15"/>
      <c r="D12" s="15"/>
      <c r="E12" s="15"/>
      <c r="F12" s="15"/>
    </row>
    <row r="14" spans="1:10" ht="15.6" x14ac:dyDescent="0.3">
      <c r="A14" s="12" t="s">
        <v>16</v>
      </c>
      <c r="B14" s="12" t="s">
        <v>31</v>
      </c>
    </row>
    <row r="15" spans="1:10" ht="46.8" x14ac:dyDescent="0.3">
      <c r="A15" s="30" t="s">
        <v>28</v>
      </c>
      <c r="B15" s="12" t="s">
        <v>14</v>
      </c>
    </row>
    <row r="16" spans="1:10" ht="15.6" x14ac:dyDescent="0.3">
      <c r="A16" s="12">
        <v>1</v>
      </c>
      <c r="B16" s="4">
        <v>0.92</v>
      </c>
    </row>
    <row r="17" spans="1:2" ht="15.6" x14ac:dyDescent="0.3">
      <c r="A17" s="12">
        <v>2</v>
      </c>
      <c r="B17" s="4">
        <v>0.92</v>
      </c>
    </row>
    <row r="18" spans="1:2" ht="15.6" x14ac:dyDescent="0.3">
      <c r="A18" s="13" t="s">
        <v>10</v>
      </c>
      <c r="B18" s="4">
        <f>SUM(B16:B17)</f>
        <v>1.84</v>
      </c>
    </row>
    <row r="20" spans="1:2" ht="15.6" x14ac:dyDescent="0.3">
      <c r="A20" s="12" t="s">
        <v>16</v>
      </c>
      <c r="B20" s="12" t="s">
        <v>32</v>
      </c>
    </row>
    <row r="21" spans="1:2" ht="46.8" x14ac:dyDescent="0.3">
      <c r="A21" s="30" t="s">
        <v>28</v>
      </c>
      <c r="B21" s="12" t="s">
        <v>33</v>
      </c>
    </row>
    <row r="22" spans="1:2" ht="15.6" x14ac:dyDescent="0.3">
      <c r="A22" s="12">
        <v>1</v>
      </c>
      <c r="B22" s="4">
        <v>146</v>
      </c>
    </row>
    <row r="23" spans="1:2" ht="15.6" x14ac:dyDescent="0.3">
      <c r="A23" s="12">
        <v>2</v>
      </c>
      <c r="B23" s="4">
        <v>146</v>
      </c>
    </row>
    <row r="24" spans="1:2" ht="15.6" x14ac:dyDescent="0.3">
      <c r="A24" s="13" t="s">
        <v>10</v>
      </c>
      <c r="B24" s="4">
        <f>SUM(B22:B23)</f>
        <v>292</v>
      </c>
    </row>
    <row r="26" spans="1:2" ht="15.6" x14ac:dyDescent="0.3">
      <c r="A26" s="12" t="s">
        <v>16</v>
      </c>
      <c r="B26" s="12" t="s">
        <v>34</v>
      </c>
    </row>
    <row r="27" spans="1:2" ht="46.8" x14ac:dyDescent="0.3">
      <c r="A27" s="30" t="s">
        <v>28</v>
      </c>
      <c r="B27" s="12" t="s">
        <v>33</v>
      </c>
    </row>
    <row r="28" spans="1:2" ht="15.6" x14ac:dyDescent="0.3">
      <c r="A28" s="12">
        <v>1</v>
      </c>
      <c r="B28" s="2">
        <v>1.85</v>
      </c>
    </row>
    <row r="29" spans="1:2" ht="15.6" x14ac:dyDescent="0.3">
      <c r="A29" s="12">
        <v>2</v>
      </c>
      <c r="B29" s="2">
        <v>1.85</v>
      </c>
    </row>
    <row r="30" spans="1:2" ht="15.6" x14ac:dyDescent="0.3">
      <c r="A30" s="13" t="s">
        <v>10</v>
      </c>
      <c r="B30" s="2">
        <f>SUM(B28:B29)</f>
        <v>3.7</v>
      </c>
    </row>
  </sheetData>
  <mergeCells count="10">
    <mergeCell ref="H5:J5"/>
    <mergeCell ref="H6:J6"/>
    <mergeCell ref="B4:D4"/>
    <mergeCell ref="A1:G1"/>
    <mergeCell ref="B2:D2"/>
    <mergeCell ref="B3:D3"/>
    <mergeCell ref="B5:D5"/>
    <mergeCell ref="A7:G7"/>
    <mergeCell ref="C8:F12"/>
    <mergeCell ref="B6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zoomScale="115" zoomScaleNormal="115" workbookViewId="0">
      <selection activeCell="A8" sqref="A8:C10"/>
    </sheetView>
  </sheetViews>
  <sheetFormatPr defaultRowHeight="14.4" x14ac:dyDescent="0.3"/>
  <cols>
    <col min="1" max="1" width="7.88671875" bestFit="1" customWidth="1"/>
    <col min="2" max="2" width="13.88671875" customWidth="1"/>
    <col min="3" max="3" width="12.6640625" customWidth="1"/>
    <col min="4" max="4" width="4.5546875" customWidth="1"/>
    <col min="5" max="5" width="20" customWidth="1"/>
    <col min="6" max="6" width="9.88671875" bestFit="1" customWidth="1"/>
    <col min="7" max="7" width="12" bestFit="1" customWidth="1"/>
  </cols>
  <sheetData>
    <row r="1" spans="1:7" ht="15.6" x14ac:dyDescent="0.3">
      <c r="A1" s="16" t="s">
        <v>5</v>
      </c>
      <c r="B1" s="16"/>
      <c r="C1" s="16"/>
      <c r="D1" s="16"/>
      <c r="E1" s="16"/>
      <c r="F1" s="16"/>
      <c r="G1" s="16"/>
    </row>
    <row r="2" spans="1:7" ht="15.6" x14ac:dyDescent="0.3">
      <c r="A2" s="1" t="s">
        <v>6</v>
      </c>
      <c r="B2" s="17" t="s">
        <v>7</v>
      </c>
      <c r="C2" s="18"/>
      <c r="D2" s="19"/>
      <c r="E2" s="7" t="s">
        <v>4</v>
      </c>
      <c r="F2" s="2" t="s">
        <v>0</v>
      </c>
      <c r="G2" s="2" t="s">
        <v>8</v>
      </c>
    </row>
    <row r="3" spans="1:7" ht="48" customHeight="1" x14ac:dyDescent="0.3">
      <c r="A3" s="8">
        <v>1</v>
      </c>
      <c r="B3" s="20" t="s">
        <v>2</v>
      </c>
      <c r="C3" s="21"/>
      <c r="D3" s="22"/>
      <c r="E3" s="3" t="s">
        <v>19</v>
      </c>
      <c r="F3" s="8" t="s">
        <v>1</v>
      </c>
      <c r="G3" s="4">
        <f>B11</f>
        <v>3518.32</v>
      </c>
    </row>
    <row r="4" spans="1:7" ht="33.6" customHeight="1" x14ac:dyDescent="0.3">
      <c r="A4" s="8">
        <v>2</v>
      </c>
      <c r="B4" s="20" t="s">
        <v>3</v>
      </c>
      <c r="C4" s="21"/>
      <c r="D4" s="22"/>
      <c r="E4" s="3" t="s">
        <v>20</v>
      </c>
      <c r="F4" s="8" t="s">
        <v>15</v>
      </c>
      <c r="G4" s="4">
        <f>C11</f>
        <v>313.13047999999998</v>
      </c>
    </row>
    <row r="5" spans="1:7" x14ac:dyDescent="0.3">
      <c r="A5" s="23"/>
      <c r="B5" s="23"/>
      <c r="C5" s="23"/>
      <c r="D5" s="23"/>
      <c r="E5" s="23"/>
      <c r="F5" s="23"/>
      <c r="G5" s="23"/>
    </row>
    <row r="6" spans="1:7" ht="15.6" x14ac:dyDescent="0.3">
      <c r="A6" s="8" t="s">
        <v>16</v>
      </c>
      <c r="B6" s="8" t="s">
        <v>17</v>
      </c>
      <c r="C6" s="8" t="s">
        <v>18</v>
      </c>
      <c r="D6" s="15"/>
      <c r="E6" s="15"/>
      <c r="F6" s="15"/>
      <c r="G6" s="15"/>
    </row>
    <row r="7" spans="1:7" ht="15.6" x14ac:dyDescent="0.3">
      <c r="A7" s="8" t="s">
        <v>11</v>
      </c>
      <c r="B7" s="8" t="s">
        <v>9</v>
      </c>
      <c r="C7" s="8" t="s">
        <v>14</v>
      </c>
      <c r="D7" s="15"/>
      <c r="E7" s="15"/>
      <c r="F7" s="15"/>
      <c r="G7" s="15"/>
    </row>
    <row r="8" spans="1:7" ht="15.6" x14ac:dyDescent="0.3">
      <c r="A8" s="8">
        <v>1</v>
      </c>
      <c r="B8" s="4">
        <v>1291.9000000000001</v>
      </c>
      <c r="C8" s="4">
        <f>B8*0.089</f>
        <v>114.9791</v>
      </c>
      <c r="D8" s="15"/>
      <c r="E8" s="15"/>
      <c r="F8" s="15"/>
      <c r="G8" s="15"/>
    </row>
    <row r="9" spans="1:7" ht="15.6" x14ac:dyDescent="0.3">
      <c r="A9" s="8">
        <v>4</v>
      </c>
      <c r="B9" s="4">
        <v>1317.1</v>
      </c>
      <c r="C9" s="4">
        <f t="shared" ref="C9:C10" si="0">B9*0.089</f>
        <v>117.22189999999999</v>
      </c>
      <c r="D9" s="15"/>
      <c r="E9" s="15"/>
      <c r="F9" s="15"/>
      <c r="G9" s="15"/>
    </row>
    <row r="10" spans="1:7" ht="15.6" x14ac:dyDescent="0.3">
      <c r="A10" s="8">
        <v>5</v>
      </c>
      <c r="B10" s="4">
        <v>909.32</v>
      </c>
      <c r="C10" s="4">
        <f t="shared" si="0"/>
        <v>80.929479999999998</v>
      </c>
      <c r="D10" s="15"/>
      <c r="E10" s="15"/>
      <c r="F10" s="15"/>
      <c r="G10" s="15"/>
    </row>
    <row r="11" spans="1:7" ht="15.6" x14ac:dyDescent="0.3">
      <c r="A11" s="5" t="s">
        <v>10</v>
      </c>
      <c r="B11" s="4">
        <f>SUM(B8:B10)</f>
        <v>3518.32</v>
      </c>
      <c r="C11" s="4">
        <f>SUM(C8:C10)</f>
        <v>313.13047999999998</v>
      </c>
      <c r="D11" s="15"/>
      <c r="E11" s="15"/>
      <c r="F11" s="15"/>
      <c r="G11" s="15"/>
    </row>
  </sheetData>
  <mergeCells count="6">
    <mergeCell ref="D6:G11"/>
    <mergeCell ref="A1:G1"/>
    <mergeCell ref="B2:D2"/>
    <mergeCell ref="B3:D3"/>
    <mergeCell ref="B4:D4"/>
    <mergeCell ref="A5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G10"/>
  <sheetViews>
    <sheetView topLeftCell="A4" zoomScale="115" zoomScaleNormal="115" workbookViewId="0">
      <selection activeCell="E11" sqref="E11"/>
    </sheetView>
  </sheetViews>
  <sheetFormatPr defaultRowHeight="14.4" x14ac:dyDescent="0.3"/>
  <cols>
    <col min="1" max="1" width="7.88671875" bestFit="1" customWidth="1"/>
    <col min="2" max="2" width="13.88671875" customWidth="1"/>
    <col min="3" max="3" width="12.6640625" customWidth="1"/>
    <col min="4" max="4" width="7.77734375" customWidth="1"/>
    <col min="5" max="5" width="15.109375" customWidth="1"/>
    <col min="6" max="6" width="9.77734375" bestFit="1" customWidth="1"/>
    <col min="7" max="7" width="8" bestFit="1" customWidth="1"/>
  </cols>
  <sheetData>
    <row r="1" spans="1:7" ht="15.6" x14ac:dyDescent="0.3">
      <c r="A1" s="16" t="s">
        <v>5</v>
      </c>
      <c r="B1" s="16"/>
      <c r="C1" s="16"/>
      <c r="D1" s="16"/>
      <c r="E1" s="16"/>
      <c r="F1" s="16"/>
      <c r="G1" s="16"/>
    </row>
    <row r="2" spans="1:7" s="9" customFormat="1" ht="15.6" x14ac:dyDescent="0.3">
      <c r="A2" s="10" t="s">
        <v>6</v>
      </c>
      <c r="B2" s="26" t="s">
        <v>7</v>
      </c>
      <c r="C2" s="27"/>
      <c r="D2" s="28"/>
      <c r="E2" s="7" t="s">
        <v>4</v>
      </c>
      <c r="F2" s="2" t="s">
        <v>0</v>
      </c>
      <c r="G2" s="2" t="s">
        <v>21</v>
      </c>
    </row>
    <row r="3" spans="1:7" ht="48" customHeight="1" x14ac:dyDescent="0.3">
      <c r="A3" s="10">
        <v>1</v>
      </c>
      <c r="B3" s="20" t="s">
        <v>22</v>
      </c>
      <c r="C3" s="21"/>
      <c r="D3" s="22"/>
      <c r="E3" s="11" t="s">
        <v>19</v>
      </c>
      <c r="F3" s="10" t="s">
        <v>1</v>
      </c>
      <c r="G3" s="4">
        <f>B10</f>
        <v>3518.32</v>
      </c>
    </row>
    <row r="4" spans="1:7" ht="33.6" customHeight="1" x14ac:dyDescent="0.3">
      <c r="A4" s="10">
        <v>2</v>
      </c>
      <c r="B4" s="20" t="s">
        <v>3</v>
      </c>
      <c r="C4" s="21"/>
      <c r="D4" s="22"/>
      <c r="E4" s="11" t="s">
        <v>20</v>
      </c>
      <c r="F4" s="10" t="s">
        <v>15</v>
      </c>
      <c r="G4" s="4">
        <f>C10</f>
        <v>313.13047999999998</v>
      </c>
    </row>
    <row r="5" spans="1:7" x14ac:dyDescent="0.3">
      <c r="A5" s="23"/>
      <c r="B5" s="23"/>
      <c r="C5" s="23"/>
      <c r="D5" s="23"/>
      <c r="E5" s="23"/>
      <c r="F5" s="23"/>
      <c r="G5" s="23"/>
    </row>
    <row r="6" spans="1:7" ht="15.6" x14ac:dyDescent="0.3">
      <c r="A6" s="10" t="s">
        <v>11</v>
      </c>
      <c r="B6" s="10" t="s">
        <v>9</v>
      </c>
      <c r="C6" s="10" t="s">
        <v>14</v>
      </c>
      <c r="D6" s="24"/>
      <c r="E6" s="25"/>
      <c r="F6" s="25"/>
      <c r="G6" s="25"/>
    </row>
    <row r="7" spans="1:7" ht="15.6" x14ac:dyDescent="0.3">
      <c r="A7" s="10">
        <v>1</v>
      </c>
      <c r="B7" s="4">
        <v>1291.9000000000001</v>
      </c>
      <c r="C7" s="4">
        <v>114.9791</v>
      </c>
      <c r="D7" s="24"/>
      <c r="E7" s="25"/>
      <c r="F7" s="25"/>
      <c r="G7" s="25"/>
    </row>
    <row r="8" spans="1:7" ht="15.6" x14ac:dyDescent="0.3">
      <c r="A8" s="10">
        <v>4</v>
      </c>
      <c r="B8" s="4">
        <v>1317.1</v>
      </c>
      <c r="C8" s="4">
        <v>117.22189999999999</v>
      </c>
      <c r="D8" s="24"/>
      <c r="E8" s="25"/>
      <c r="F8" s="25"/>
      <c r="G8" s="25"/>
    </row>
    <row r="9" spans="1:7" ht="15.6" x14ac:dyDescent="0.3">
      <c r="A9" s="10">
        <v>5</v>
      </c>
      <c r="B9" s="4">
        <v>909.32</v>
      </c>
      <c r="C9" s="4">
        <v>80.929479999999998</v>
      </c>
      <c r="D9" s="24"/>
      <c r="E9" s="25"/>
      <c r="F9" s="25"/>
      <c r="G9" s="25"/>
    </row>
    <row r="10" spans="1:7" ht="15.6" x14ac:dyDescent="0.3">
      <c r="A10" s="5" t="s">
        <v>10</v>
      </c>
      <c r="B10" s="4">
        <f>SUM(B7:B9)</f>
        <v>3518.32</v>
      </c>
      <c r="C10" s="4">
        <f>SUM(C7:C9)</f>
        <v>313.13047999999998</v>
      </c>
      <c r="D10" s="24"/>
      <c r="E10" s="25"/>
      <c r="F10" s="25"/>
      <c r="G10" s="25"/>
    </row>
  </sheetData>
  <mergeCells count="6">
    <mergeCell ref="D6:G10"/>
    <mergeCell ref="A1:G1"/>
    <mergeCell ref="B2:D2"/>
    <mergeCell ref="B3:D3"/>
    <mergeCell ref="B4:D4"/>
    <mergeCell ref="A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G9"/>
  <sheetViews>
    <sheetView zoomScale="115" zoomScaleNormal="115" workbookViewId="0">
      <selection activeCell="A8" sqref="A8:XFD9"/>
    </sheetView>
  </sheetViews>
  <sheetFormatPr defaultRowHeight="14.4" x14ac:dyDescent="0.3"/>
  <cols>
    <col min="1" max="1" width="7.88671875" bestFit="1" customWidth="1"/>
    <col min="2" max="2" width="13.88671875" customWidth="1"/>
    <col min="3" max="3" width="12.6640625" customWidth="1"/>
    <col min="4" max="4" width="13.6640625" customWidth="1"/>
    <col min="5" max="5" width="12.6640625" customWidth="1"/>
    <col min="6" max="6" width="9.88671875" bestFit="1" customWidth="1"/>
    <col min="7" max="7" width="12" bestFit="1" customWidth="1"/>
  </cols>
  <sheetData>
    <row r="1" spans="1:7" ht="15.6" x14ac:dyDescent="0.3">
      <c r="A1" s="16" t="s">
        <v>5</v>
      </c>
      <c r="B1" s="16"/>
      <c r="C1" s="16"/>
      <c r="D1" s="16"/>
      <c r="E1" s="16"/>
      <c r="F1" s="16"/>
      <c r="G1" s="16"/>
    </row>
    <row r="2" spans="1:7" ht="15.6" x14ac:dyDescent="0.3">
      <c r="A2" s="1" t="s">
        <v>6</v>
      </c>
      <c r="B2" s="17" t="s">
        <v>7</v>
      </c>
      <c r="C2" s="18"/>
      <c r="D2" s="19"/>
      <c r="E2" s="7" t="s">
        <v>4</v>
      </c>
      <c r="F2" s="2" t="s">
        <v>0</v>
      </c>
      <c r="G2" s="2" t="s">
        <v>8</v>
      </c>
    </row>
    <row r="3" spans="1:7" ht="48" customHeight="1" x14ac:dyDescent="0.3">
      <c r="A3" s="6">
        <v>1</v>
      </c>
      <c r="B3" s="20" t="s">
        <v>2</v>
      </c>
      <c r="C3" s="21"/>
      <c r="D3" s="22"/>
      <c r="E3" s="3" t="s">
        <v>12</v>
      </c>
      <c r="F3" s="6" t="s">
        <v>1</v>
      </c>
      <c r="G3" s="4">
        <f>B9</f>
        <v>2705.6000000000004</v>
      </c>
    </row>
    <row r="4" spans="1:7" ht="33.6" customHeight="1" x14ac:dyDescent="0.3">
      <c r="A4" s="6">
        <v>2</v>
      </c>
      <c r="B4" s="20" t="s">
        <v>3</v>
      </c>
      <c r="C4" s="21"/>
      <c r="D4" s="22"/>
      <c r="E4" s="3" t="s">
        <v>13</v>
      </c>
      <c r="F4" s="6" t="s">
        <v>15</v>
      </c>
      <c r="G4" s="4">
        <f>C9</f>
        <v>240.79840000000002</v>
      </c>
    </row>
    <row r="5" spans="1:7" x14ac:dyDescent="0.3">
      <c r="A5" s="23"/>
      <c r="B5" s="23"/>
      <c r="C5" s="23"/>
      <c r="D5" s="23"/>
      <c r="E5" s="23"/>
      <c r="F5" s="23"/>
      <c r="G5" s="23"/>
    </row>
    <row r="6" spans="1:7" ht="15.6" x14ac:dyDescent="0.3">
      <c r="A6" s="6" t="s">
        <v>11</v>
      </c>
      <c r="B6" s="6" t="s">
        <v>9</v>
      </c>
      <c r="C6" s="6" t="s">
        <v>14</v>
      </c>
      <c r="D6" s="24"/>
      <c r="E6" s="25"/>
      <c r="F6" s="25"/>
      <c r="G6" s="25"/>
    </row>
    <row r="7" spans="1:7" ht="15.6" x14ac:dyDescent="0.3">
      <c r="A7" s="6">
        <v>2</v>
      </c>
      <c r="B7" s="4">
        <v>1369.2</v>
      </c>
      <c r="C7" s="4">
        <f>B7*0.089</f>
        <v>121.8588</v>
      </c>
      <c r="D7" s="24"/>
      <c r="E7" s="25"/>
      <c r="F7" s="25"/>
      <c r="G7" s="25"/>
    </row>
    <row r="8" spans="1:7" ht="15.6" x14ac:dyDescent="0.3">
      <c r="A8" s="6">
        <v>3</v>
      </c>
      <c r="B8" s="4">
        <v>1336.4</v>
      </c>
      <c r="C8" s="4">
        <f>B8*0.089</f>
        <v>118.9396</v>
      </c>
      <c r="D8" s="24"/>
      <c r="E8" s="25"/>
      <c r="F8" s="25"/>
      <c r="G8" s="25"/>
    </row>
    <row r="9" spans="1:7" ht="15.6" x14ac:dyDescent="0.3">
      <c r="A9" s="5" t="s">
        <v>10</v>
      </c>
      <c r="B9" s="4">
        <f>SUM(B7:B8)</f>
        <v>2705.6000000000004</v>
      </c>
      <c r="C9" s="4">
        <f>SUM(C7:C8)</f>
        <v>240.79840000000002</v>
      </c>
      <c r="D9" s="24"/>
      <c r="E9" s="25"/>
      <c r="F9" s="25"/>
      <c r="G9" s="25"/>
    </row>
  </sheetData>
  <mergeCells count="6">
    <mergeCell ref="D6:G9"/>
    <mergeCell ref="A1:G1"/>
    <mergeCell ref="B2:D2"/>
    <mergeCell ref="B3:D3"/>
    <mergeCell ref="B4:D4"/>
    <mergeCell ref="A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2.1ЛШ</vt:lpstr>
      <vt:lpstr>1.2пл3в</vt:lpstr>
      <vt:lpstr>1.3Инв</vt:lpstr>
      <vt:lpstr>1.1Инв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2026-09-03T07:37:40Z</dcterms:modified>
</cp:coreProperties>
</file>