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98"/>
  </bookViews>
  <sheets>
    <sheet name="2.4бетон" sheetId="19" r:id="rId1"/>
    <sheet name="2.3армир" sheetId="20" r:id="rId2"/>
    <sheet name="2.2подг" sheetId="18" r:id="rId3"/>
    <sheet name="2.1песок" sheetId="17" r:id="rId4"/>
  </sheets>
  <calcPr calcId="152511"/>
</workbook>
</file>

<file path=xl/calcChain.xml><?xml version="1.0" encoding="utf-8"?>
<calcChain xmlns="http://schemas.openxmlformats.org/spreadsheetml/2006/main">
  <c r="B8" i="19" l="1"/>
  <c r="B7" i="19"/>
  <c r="B8" i="18"/>
  <c r="B7" i="18"/>
  <c r="B8" i="17"/>
  <c r="B7" i="17"/>
  <c r="B9" i="20" l="1"/>
  <c r="F3" i="20" s="1"/>
  <c r="B9" i="19"/>
  <c r="G3" i="19" s="1"/>
  <c r="B9" i="18"/>
  <c r="G3" i="18" s="1"/>
  <c r="B9" i="17" l="1"/>
  <c r="G3" i="17" s="1"/>
</calcChain>
</file>

<file path=xl/sharedStrings.xml><?xml version="1.0" encoding="utf-8"?>
<sst xmlns="http://schemas.openxmlformats.org/spreadsheetml/2006/main" count="54" uniqueCount="24">
  <si>
    <t>Ед. изм.</t>
  </si>
  <si>
    <t>Описание</t>
  </si>
  <si>
    <t>Ведомость работ</t>
  </si>
  <si>
    <t>№ п.п.</t>
  </si>
  <si>
    <t>Наименование</t>
  </si>
  <si>
    <t>Объем, м2</t>
  </si>
  <si>
    <t>Итог:</t>
  </si>
  <si>
    <t>объем, м3.</t>
  </si>
  <si>
    <t>м3</t>
  </si>
  <si>
    <t>Вид</t>
  </si>
  <si>
    <t>Песок</t>
  </si>
  <si>
    <t>Армирование ЖБ плиты</t>
  </si>
  <si>
    <t>№
шахты</t>
  </si>
  <si>
    <t>т</t>
  </si>
  <si>
    <t>Устройство бетонной подготовки</t>
  </si>
  <si>
    <t>Бет. подг.</t>
  </si>
  <si>
    <t>Армир.</t>
  </si>
  <si>
    <t>объем, кг.</t>
  </si>
  <si>
    <t>Бетон</t>
  </si>
  <si>
    <t>Засыпка пазух в монолитных конструкциях</t>
  </si>
  <si>
    <t>Песок ср. крупности</t>
  </si>
  <si>
    <t>Бетон класса B7.5</t>
  </si>
  <si>
    <t>Бетон класса В25</t>
  </si>
  <si>
    <t>Устройство монолитных плит перекрытий, лестничных площадок нежилых малоэтажных зданий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</si>
</sst>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0" borderId="1" xfId="1" applyFont="1" applyBorder="1" applyAlignment="1">
      <alignment vertical="center"/>
    </xf>
    <xf numFmtId="2" fontId="2" fillId="0" borderId="1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center" wrapText="1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0" fillId="0" borderId="6" xfId="0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zoomScale="70" zoomScaleNormal="70" workbookViewId="0">
      <selection activeCell="C5" sqref="C5:G9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4.5546875" customWidth="1"/>
    <col min="5" max="5" width="20" customWidth="1"/>
    <col min="6" max="6" width="9.88671875" bestFit="1" customWidth="1"/>
    <col min="7" max="7" width="12" bestFit="1" customWidth="1"/>
  </cols>
  <sheetData>
    <row r="1" spans="1:7" ht="15.6" x14ac:dyDescent="0.3">
      <c r="A1" s="18" t="s">
        <v>2</v>
      </c>
      <c r="B1" s="18"/>
      <c r="C1" s="18"/>
      <c r="D1" s="18"/>
      <c r="E1" s="18"/>
      <c r="F1" s="18"/>
      <c r="G1" s="18"/>
    </row>
    <row r="2" spans="1:7" ht="15.6" x14ac:dyDescent="0.3">
      <c r="A2" s="1" t="s">
        <v>3</v>
      </c>
      <c r="B2" s="19" t="s">
        <v>4</v>
      </c>
      <c r="C2" s="20"/>
      <c r="D2" s="21"/>
      <c r="E2" s="7" t="s">
        <v>1</v>
      </c>
      <c r="F2" s="2" t="s">
        <v>0</v>
      </c>
      <c r="G2" s="2" t="s">
        <v>5</v>
      </c>
    </row>
    <row r="3" spans="1:7" ht="77.400000000000006" customHeight="1" x14ac:dyDescent="0.3">
      <c r="A3" s="9">
        <v>4</v>
      </c>
      <c r="B3" s="12" t="s">
        <v>23</v>
      </c>
      <c r="C3" s="13"/>
      <c r="D3" s="14"/>
      <c r="E3" s="3" t="s">
        <v>22</v>
      </c>
      <c r="F3" s="9" t="s">
        <v>8</v>
      </c>
      <c r="G3" s="4">
        <f>B9</f>
        <v>1.8360000000000001</v>
      </c>
    </row>
    <row r="4" spans="1:7" x14ac:dyDescent="0.3">
      <c r="A4" s="15"/>
      <c r="B4" s="15"/>
      <c r="C4" s="15"/>
      <c r="D4" s="15"/>
      <c r="E4" s="15"/>
      <c r="F4" s="15"/>
      <c r="G4" s="15"/>
    </row>
    <row r="5" spans="1:7" ht="15.6" x14ac:dyDescent="0.3">
      <c r="A5" s="9" t="s">
        <v>9</v>
      </c>
      <c r="B5" s="9" t="s">
        <v>18</v>
      </c>
      <c r="C5" s="16"/>
      <c r="D5" s="17"/>
      <c r="E5" s="17"/>
      <c r="F5" s="17"/>
      <c r="G5" s="17"/>
    </row>
    <row r="6" spans="1:7" ht="46.8" x14ac:dyDescent="0.3">
      <c r="A6" s="8" t="s">
        <v>12</v>
      </c>
      <c r="B6" s="9" t="s">
        <v>17</v>
      </c>
      <c r="C6" s="16"/>
      <c r="D6" s="17"/>
      <c r="E6" s="17"/>
      <c r="F6" s="17"/>
      <c r="G6" s="17"/>
    </row>
    <row r="7" spans="1:7" ht="15.6" x14ac:dyDescent="0.3">
      <c r="A7" s="9">
        <v>1</v>
      </c>
      <c r="B7" s="2">
        <f>1.7*2.7*0.2</f>
        <v>0.91800000000000004</v>
      </c>
      <c r="C7" s="16"/>
      <c r="D7" s="17"/>
      <c r="E7" s="17"/>
      <c r="F7" s="17"/>
      <c r="G7" s="17"/>
    </row>
    <row r="8" spans="1:7" ht="15.6" x14ac:dyDescent="0.3">
      <c r="A8" s="10">
        <v>2</v>
      </c>
      <c r="B8" s="2">
        <f t="shared" ref="B8" si="0">1.7*2.7*0.2</f>
        <v>0.91800000000000004</v>
      </c>
      <c r="C8" s="16"/>
      <c r="D8" s="17"/>
      <c r="E8" s="17"/>
      <c r="F8" s="17"/>
      <c r="G8" s="17"/>
    </row>
    <row r="9" spans="1:7" ht="15.6" x14ac:dyDescent="0.3">
      <c r="A9" s="6" t="s">
        <v>6</v>
      </c>
      <c r="B9" s="2">
        <f>SUM(B7:B8)</f>
        <v>1.8360000000000001</v>
      </c>
      <c r="C9" s="16"/>
      <c r="D9" s="17"/>
      <c r="E9" s="17"/>
      <c r="F9" s="17"/>
      <c r="G9" s="17"/>
    </row>
  </sheetData>
  <mergeCells count="5">
    <mergeCell ref="B3:D3"/>
    <mergeCell ref="A4:G4"/>
    <mergeCell ref="C5:G9"/>
    <mergeCell ref="A1:G1"/>
    <mergeCell ref="B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zoomScale="70" zoomScaleNormal="70" workbookViewId="0">
      <selection activeCell="B31" sqref="B31:B38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4.5546875" customWidth="1"/>
    <col min="5" max="5" width="9.88671875" bestFit="1" customWidth="1"/>
    <col min="6" max="6" width="12" bestFit="1" customWidth="1"/>
  </cols>
  <sheetData>
    <row r="1" spans="1:6" ht="15.6" x14ac:dyDescent="0.3">
      <c r="A1" s="18" t="s">
        <v>2</v>
      </c>
      <c r="B1" s="18"/>
      <c r="C1" s="18"/>
      <c r="D1" s="18"/>
      <c r="E1" s="18"/>
      <c r="F1" s="18"/>
    </row>
    <row r="2" spans="1:6" ht="15.6" x14ac:dyDescent="0.3">
      <c r="A2" s="1" t="s">
        <v>3</v>
      </c>
      <c r="B2" s="19" t="s">
        <v>4</v>
      </c>
      <c r="C2" s="20"/>
      <c r="D2" s="21"/>
      <c r="E2" s="2" t="s">
        <v>0</v>
      </c>
      <c r="F2" s="2" t="s">
        <v>5</v>
      </c>
    </row>
    <row r="3" spans="1:6" ht="33.6" customHeight="1" x14ac:dyDescent="0.3">
      <c r="A3" s="9">
        <v>3</v>
      </c>
      <c r="B3" s="12" t="s">
        <v>11</v>
      </c>
      <c r="C3" s="13"/>
      <c r="D3" s="14"/>
      <c r="E3" s="9" t="s">
        <v>13</v>
      </c>
      <c r="F3" s="11">
        <f>B9/1000</f>
        <v>0.29199999999999998</v>
      </c>
    </row>
    <row r="4" spans="1:6" x14ac:dyDescent="0.3">
      <c r="A4" s="15"/>
      <c r="B4" s="15"/>
      <c r="C4" s="15"/>
      <c r="D4" s="15"/>
      <c r="E4" s="15"/>
      <c r="F4" s="15"/>
    </row>
    <row r="5" spans="1:6" ht="15.6" x14ac:dyDescent="0.3">
      <c r="A5" s="9" t="s">
        <v>9</v>
      </c>
      <c r="B5" s="9" t="s">
        <v>16</v>
      </c>
      <c r="C5" s="16"/>
      <c r="D5" s="17"/>
      <c r="E5" s="17"/>
      <c r="F5" s="17"/>
    </row>
    <row r="6" spans="1:6" ht="46.8" x14ac:dyDescent="0.3">
      <c r="A6" s="8" t="s">
        <v>12</v>
      </c>
      <c r="B6" s="9" t="s">
        <v>17</v>
      </c>
      <c r="C6" s="16"/>
      <c r="D6" s="17"/>
      <c r="E6" s="17"/>
      <c r="F6" s="17"/>
    </row>
    <row r="7" spans="1:6" ht="15.6" x14ac:dyDescent="0.3">
      <c r="A7" s="9">
        <v>1</v>
      </c>
      <c r="B7" s="4">
        <v>146</v>
      </c>
      <c r="C7" s="16"/>
      <c r="D7" s="17"/>
      <c r="E7" s="17"/>
      <c r="F7" s="17"/>
    </row>
    <row r="8" spans="1:6" ht="15.6" x14ac:dyDescent="0.3">
      <c r="A8" s="10">
        <v>2</v>
      </c>
      <c r="B8" s="4">
        <v>146</v>
      </c>
      <c r="C8" s="16"/>
      <c r="D8" s="17"/>
      <c r="E8" s="17"/>
      <c r="F8" s="17"/>
    </row>
    <row r="9" spans="1:6" ht="15.6" x14ac:dyDescent="0.3">
      <c r="A9" s="6" t="s">
        <v>6</v>
      </c>
      <c r="B9" s="4">
        <f>SUM(B7:B8)</f>
        <v>292</v>
      </c>
      <c r="C9" s="16"/>
      <c r="D9" s="17"/>
      <c r="E9" s="17"/>
      <c r="F9" s="17"/>
    </row>
  </sheetData>
  <mergeCells count="5">
    <mergeCell ref="A4:F4"/>
    <mergeCell ref="C5:F9"/>
    <mergeCell ref="A1:F1"/>
    <mergeCell ref="B2:D2"/>
    <mergeCell ref="B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70" zoomScaleNormal="70" workbookViewId="0">
      <selection activeCell="B31" sqref="B31:B38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4.5546875" customWidth="1"/>
    <col min="5" max="5" width="20" customWidth="1"/>
    <col min="6" max="6" width="9.88671875" bestFit="1" customWidth="1"/>
    <col min="7" max="7" width="12" bestFit="1" customWidth="1"/>
  </cols>
  <sheetData>
    <row r="1" spans="1:7" ht="15.6" x14ac:dyDescent="0.3">
      <c r="A1" s="18" t="s">
        <v>2</v>
      </c>
      <c r="B1" s="18"/>
      <c r="C1" s="18"/>
      <c r="D1" s="18"/>
      <c r="E1" s="18"/>
      <c r="F1" s="18"/>
      <c r="G1" s="18"/>
    </row>
    <row r="2" spans="1:7" ht="15.6" x14ac:dyDescent="0.3">
      <c r="A2" s="1" t="s">
        <v>3</v>
      </c>
      <c r="B2" s="19" t="s">
        <v>4</v>
      </c>
      <c r="C2" s="20"/>
      <c r="D2" s="21"/>
      <c r="E2" s="7" t="s">
        <v>1</v>
      </c>
      <c r="F2" s="2" t="s">
        <v>0</v>
      </c>
      <c r="G2" s="2" t="s">
        <v>5</v>
      </c>
    </row>
    <row r="3" spans="1:7" ht="31.2" x14ac:dyDescent="0.3">
      <c r="A3" s="9">
        <v>2</v>
      </c>
      <c r="B3" s="22" t="s">
        <v>14</v>
      </c>
      <c r="C3" s="23"/>
      <c r="D3" s="24"/>
      <c r="E3" s="3" t="s">
        <v>21</v>
      </c>
      <c r="F3" s="9" t="s">
        <v>8</v>
      </c>
      <c r="G3" s="4">
        <f>B9</f>
        <v>1.0098</v>
      </c>
    </row>
    <row r="4" spans="1:7" x14ac:dyDescent="0.3">
      <c r="A4" s="15"/>
      <c r="B4" s="15"/>
      <c r="C4" s="15"/>
      <c r="D4" s="15"/>
      <c r="E4" s="15"/>
      <c r="F4" s="15"/>
      <c r="G4" s="15"/>
    </row>
    <row r="5" spans="1:7" ht="15.6" x14ac:dyDescent="0.3">
      <c r="A5" s="9" t="s">
        <v>9</v>
      </c>
      <c r="B5" s="9" t="s">
        <v>15</v>
      </c>
      <c r="C5" s="16"/>
      <c r="D5" s="17"/>
      <c r="E5" s="17"/>
      <c r="F5" s="17"/>
      <c r="G5" s="17"/>
    </row>
    <row r="6" spans="1:7" ht="46.8" x14ac:dyDescent="0.3">
      <c r="A6" s="8" t="s">
        <v>12</v>
      </c>
      <c r="B6" s="9" t="s">
        <v>7</v>
      </c>
      <c r="C6" s="16"/>
      <c r="D6" s="17"/>
      <c r="E6" s="17"/>
      <c r="F6" s="17"/>
      <c r="G6" s="17"/>
    </row>
    <row r="7" spans="1:7" ht="15.6" x14ac:dyDescent="0.3">
      <c r="A7" s="9">
        <v>1</v>
      </c>
      <c r="B7" s="4">
        <f>1.7*2.7*0.1*1.1</f>
        <v>0.50490000000000002</v>
      </c>
      <c r="C7" s="16"/>
      <c r="D7" s="17"/>
      <c r="E7" s="17"/>
      <c r="F7" s="17"/>
      <c r="G7" s="17"/>
    </row>
    <row r="8" spans="1:7" ht="15.6" x14ac:dyDescent="0.3">
      <c r="A8" s="10">
        <v>2</v>
      </c>
      <c r="B8" s="4">
        <f t="shared" ref="B8" si="0">1.7*2.7*0.1*1.1</f>
        <v>0.50490000000000002</v>
      </c>
      <c r="C8" s="16"/>
      <c r="D8" s="17"/>
      <c r="E8" s="17"/>
      <c r="F8" s="17"/>
      <c r="G8" s="17"/>
    </row>
    <row r="9" spans="1:7" ht="15.6" x14ac:dyDescent="0.3">
      <c r="A9" s="6" t="s">
        <v>6</v>
      </c>
      <c r="B9" s="4">
        <f>SUM(B7:B8)</f>
        <v>1.0098</v>
      </c>
      <c r="C9" s="16"/>
      <c r="D9" s="17"/>
      <c r="E9" s="17"/>
      <c r="F9" s="17"/>
      <c r="G9" s="17"/>
    </row>
  </sheetData>
  <mergeCells count="5">
    <mergeCell ref="A4:G4"/>
    <mergeCell ref="C5:G9"/>
    <mergeCell ref="A1:G1"/>
    <mergeCell ref="B2:D2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zoomScale="70" zoomScaleNormal="70" workbookViewId="0">
      <selection activeCell="A9" sqref="A9:XFD10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12.6640625" customWidth="1"/>
    <col min="4" max="4" width="4.5546875" customWidth="1"/>
    <col min="5" max="5" width="20" customWidth="1"/>
    <col min="6" max="6" width="9.88671875" bestFit="1" customWidth="1"/>
    <col min="7" max="7" width="12" bestFit="1" customWidth="1"/>
  </cols>
  <sheetData>
    <row r="1" spans="1:7" ht="15.6" x14ac:dyDescent="0.3">
      <c r="A1" s="18" t="s">
        <v>2</v>
      </c>
      <c r="B1" s="18"/>
      <c r="C1" s="18"/>
      <c r="D1" s="18"/>
      <c r="E1" s="18"/>
      <c r="F1" s="18"/>
      <c r="G1" s="18"/>
    </row>
    <row r="2" spans="1:7" ht="15.6" x14ac:dyDescent="0.3">
      <c r="A2" s="1" t="s">
        <v>3</v>
      </c>
      <c r="B2" s="19" t="s">
        <v>4</v>
      </c>
      <c r="C2" s="20"/>
      <c r="D2" s="21"/>
      <c r="E2" s="7" t="s">
        <v>1</v>
      </c>
      <c r="F2" s="2" t="s">
        <v>0</v>
      </c>
      <c r="G2" s="2" t="s">
        <v>5</v>
      </c>
    </row>
    <row r="3" spans="1:7" ht="31.2" x14ac:dyDescent="0.3">
      <c r="A3" s="5">
        <v>1</v>
      </c>
      <c r="B3" s="12" t="s">
        <v>19</v>
      </c>
      <c r="C3" s="13"/>
      <c r="D3" s="14"/>
      <c r="E3" s="3" t="s">
        <v>20</v>
      </c>
      <c r="F3" s="5" t="s">
        <v>8</v>
      </c>
      <c r="G3" s="4">
        <f>B9</f>
        <v>20.196000000000002</v>
      </c>
    </row>
    <row r="4" spans="1:7" x14ac:dyDescent="0.3">
      <c r="A4" s="15"/>
      <c r="B4" s="15"/>
      <c r="C4" s="15"/>
      <c r="D4" s="15"/>
      <c r="E4" s="15"/>
      <c r="F4" s="15"/>
      <c r="G4" s="15"/>
    </row>
    <row r="5" spans="1:7" ht="15.6" x14ac:dyDescent="0.3">
      <c r="A5" s="5" t="s">
        <v>9</v>
      </c>
      <c r="B5" s="5" t="s">
        <v>10</v>
      </c>
      <c r="C5" s="25"/>
      <c r="D5" s="26"/>
      <c r="E5" s="26"/>
      <c r="F5" s="26"/>
      <c r="G5" s="26"/>
    </row>
    <row r="6" spans="1:7" ht="34.200000000000003" customHeight="1" x14ac:dyDescent="0.3">
      <c r="A6" s="8" t="s">
        <v>12</v>
      </c>
      <c r="B6" s="5" t="s">
        <v>7</v>
      </c>
      <c r="C6" s="25"/>
      <c r="D6" s="26"/>
      <c r="E6" s="26"/>
      <c r="F6" s="26"/>
      <c r="G6" s="26"/>
    </row>
    <row r="7" spans="1:7" ht="15.6" x14ac:dyDescent="0.3">
      <c r="A7" s="5">
        <v>1</v>
      </c>
      <c r="B7" s="4">
        <f>2.7*1.7*2*1.1</f>
        <v>10.098000000000001</v>
      </c>
      <c r="C7" s="25"/>
      <c r="D7" s="26"/>
      <c r="E7" s="26"/>
      <c r="F7" s="26"/>
      <c r="G7" s="26"/>
    </row>
    <row r="8" spans="1:7" ht="15.6" x14ac:dyDescent="0.3">
      <c r="A8" s="10">
        <v>2</v>
      </c>
      <c r="B8" s="4">
        <f t="shared" ref="B8" si="0">2.7*1.7*2*1.1</f>
        <v>10.098000000000001</v>
      </c>
      <c r="C8" s="25"/>
      <c r="D8" s="26"/>
      <c r="E8" s="26"/>
      <c r="F8" s="26"/>
      <c r="G8" s="26"/>
    </row>
    <row r="9" spans="1:7" ht="15.6" x14ac:dyDescent="0.3">
      <c r="A9" s="6" t="s">
        <v>6</v>
      </c>
      <c r="B9" s="4">
        <f>SUM(B7:B8)</f>
        <v>20.196000000000002</v>
      </c>
      <c r="C9" s="25"/>
      <c r="D9" s="26"/>
      <c r="E9" s="26"/>
      <c r="F9" s="26"/>
      <c r="G9" s="26"/>
    </row>
  </sheetData>
  <mergeCells count="5">
    <mergeCell ref="A1:G1"/>
    <mergeCell ref="B2:D2"/>
    <mergeCell ref="B3:D3"/>
    <mergeCell ref="C5:G9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2.4бетон</vt:lpstr>
      <vt:lpstr>2.3армир</vt:lpstr>
      <vt:lpstr>2.2подг</vt:lpstr>
      <vt:lpstr>2.1песок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2026-09-04T10:35:45Z</dcterms:modified>
</cp:coreProperties>
</file>