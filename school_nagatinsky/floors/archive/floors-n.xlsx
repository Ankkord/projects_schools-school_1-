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128" firstSheet="2" activeTab="6"/>
  </bookViews>
  <sheets>
    <sheet name="8.1Плт3.1в" sheetId="46" r:id="rId1"/>
    <sheet name="Общ." sheetId="47" r:id="rId2"/>
    <sheet name="5.1М200в5" sheetId="52" r:id="rId3"/>
    <sheet name="4.1звк5в" sheetId="51" r:id="rId4"/>
    <sheet name="3.1плн5в" sheetId="50" r:id="rId5"/>
    <sheet name="2.1изл5в" sheetId="49" r:id="rId6"/>
    <sheet name="1.2Стж5в" sheetId="53" r:id="rId7"/>
    <sheet name="1.1Стж5в" sheetId="48" r:id="rId8"/>
    <sheet name="3.1.8-Шт4э3с" sheetId="33" state="hidden" r:id="rId9"/>
  </sheets>
  <calcPr calcId="152511"/>
  <fileRecoveryPr autoRecover="0"/>
</workbook>
</file>

<file path=xl/calcChain.xml><?xml version="1.0" encoding="utf-8"?>
<calcChain xmlns="http://schemas.openxmlformats.org/spreadsheetml/2006/main">
  <c r="D27" i="53" l="1"/>
  <c r="J24" i="53"/>
  <c r="J30" i="53" l="1"/>
  <c r="J31" i="53"/>
  <c r="J18" i="53"/>
  <c r="J12" i="53"/>
  <c r="J2" i="53"/>
  <c r="D36" i="52" l="1"/>
  <c r="I53" i="52"/>
  <c r="K9" i="52" s="1"/>
  <c r="D32" i="52"/>
  <c r="K8" i="52" s="1"/>
  <c r="I30" i="52"/>
  <c r="K5" i="52" s="1"/>
  <c r="I21" i="52"/>
  <c r="K3" i="52" s="1"/>
  <c r="I14" i="52"/>
  <c r="K4" i="52" s="1"/>
  <c r="D21" i="52"/>
  <c r="K7" i="52" s="1"/>
  <c r="K6" i="52"/>
  <c r="D14" i="52"/>
  <c r="K2" i="52" s="1"/>
  <c r="I21" i="51"/>
  <c r="C19" i="51"/>
  <c r="I2" i="51" s="1"/>
  <c r="K10" i="52" l="1"/>
  <c r="C20" i="50"/>
  <c r="I2" i="50" s="1"/>
  <c r="C20" i="49"/>
  <c r="I2" i="49" s="1"/>
  <c r="C34" i="48"/>
  <c r="K3" i="48" s="1"/>
  <c r="K17" i="48"/>
  <c r="G15" i="48"/>
  <c r="C21" i="48"/>
  <c r="K2" i="48" l="1"/>
  <c r="K4" i="48" s="1"/>
  <c r="F2" i="46"/>
</calcChain>
</file>

<file path=xl/sharedStrings.xml><?xml version="1.0" encoding="utf-8"?>
<sst xmlns="http://schemas.openxmlformats.org/spreadsheetml/2006/main" count="1361" uniqueCount="355">
  <si>
    <t>Ед. изм.</t>
  </si>
  <si>
    <t>м2</t>
  </si>
  <si>
    <t>Описание</t>
  </si>
  <si>
    <t>Секция</t>
  </si>
  <si>
    <t>Этаж</t>
  </si>
  <si>
    <t>Марка</t>
  </si>
  <si>
    <t>Площадь</t>
  </si>
  <si>
    <t>Примечание</t>
  </si>
  <si>
    <t>ЧН-11</t>
  </si>
  <si>
    <t>ЧН-6</t>
  </si>
  <si>
    <t>ЧН-5</t>
  </si>
  <si>
    <t>ЧН-7</t>
  </si>
  <si>
    <t>ЧН-12</t>
  </si>
  <si>
    <t>ЧН-20</t>
  </si>
  <si>
    <t>ЧН-10</t>
  </si>
  <si>
    <t>ЧН-1</t>
  </si>
  <si>
    <t>ЧН-13</t>
  </si>
  <si>
    <t>ЧН-21</t>
  </si>
  <si>
    <t>ЧН-23</t>
  </si>
  <si>
    <t>4.010а</t>
  </si>
  <si>
    <r>
      <rPr>
        <i/>
        <sz val="10"/>
        <rFont val="ГОСТ тип А"/>
        <family val="2"/>
        <charset val="204"/>
      </rPr>
      <t>№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
ния</t>
    </r>
  </si>
  <si>
    <t>№ п.п</t>
  </si>
  <si>
    <t>Наименование</t>
  </si>
  <si>
    <t>Объем:</t>
  </si>
  <si>
    <t>Штукатурка по ж/б</t>
  </si>
  <si>
    <t>Штукатурка по кирпичу</t>
  </si>
  <si>
    <t>Штукатурка по кирпичу. Выше уровня плитки</t>
  </si>
  <si>
    <t>Штукатурка по блоку</t>
  </si>
  <si>
    <t>Штукатурка по блоку, Кирпича</t>
  </si>
  <si>
    <t>Штукатурка по блоку, Кирпича.
Мокрые помещения</t>
  </si>
  <si>
    <t>Штукатурка гипсовая по ж/б</t>
  </si>
  <si>
    <t>Штукатурка гипсовая по блоку</t>
  </si>
  <si>
    <t>Штукатурка гипсовая по кирпичу</t>
  </si>
  <si>
    <t>пом</t>
  </si>
  <si>
    <t>объем</t>
  </si>
  <si>
    <t>0.008</t>
  </si>
  <si>
    <t>Устройство покрытия пола СКБ с затиркой и укрытием ДВП / из керамогранитной плитки до 0,2м2/шт</t>
  </si>
  <si>
    <t>Тип: КР-4.</t>
  </si>
  <si>
    <t>Пом.</t>
  </si>
  <si>
    <t>1.001</t>
  </si>
  <si>
    <t>1.002</t>
  </si>
  <si>
    <t>1.003</t>
  </si>
  <si>
    <t>1.004</t>
  </si>
  <si>
    <t>1.005</t>
  </si>
  <si>
    <t>1.006</t>
  </si>
  <si>
    <t>1.007</t>
  </si>
  <si>
    <t>1.008</t>
  </si>
  <si>
    <t>1.009</t>
  </si>
  <si>
    <t>1.010</t>
  </si>
  <si>
    <t>1.011</t>
  </si>
  <si>
    <t>1.012</t>
  </si>
  <si>
    <t>1.013</t>
  </si>
  <si>
    <t>1.014</t>
  </si>
  <si>
    <t>1.015</t>
  </si>
  <si>
    <t>1.016</t>
  </si>
  <si>
    <t>П-1.1</t>
  </si>
  <si>
    <t>П-1.2</t>
  </si>
  <si>
    <t>П-2.1</t>
  </si>
  <si>
    <t>П-2.2</t>
  </si>
  <si>
    <t>П-3.1</t>
  </si>
  <si>
    <t>П-4.1</t>
  </si>
  <si>
    <t>П-4.2</t>
  </si>
  <si>
    <t>2.001</t>
  </si>
  <si>
    <t>2.002</t>
  </si>
  <si>
    <t>2.003</t>
  </si>
  <si>
    <t>2.004</t>
  </si>
  <si>
    <t>2.005</t>
  </si>
  <si>
    <t>2.006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</si>
  <si>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</si>
  <si>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</si>
  <si>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</si>
  <si>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</si>
  <si>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</si>
  <si>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</si>
  <si>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</si>
  <si>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</si>
  <si>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</si>
  <si>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3.001</t>
  </si>
  <si>
    <t>3.002</t>
  </si>
  <si>
    <t>3.003</t>
  </si>
  <si>
    <t>3.004</t>
  </si>
  <si>
    <t>3.005</t>
  </si>
  <si>
    <t>3.006</t>
  </si>
  <si>
    <t>3.007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</si>
  <si>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</si>
  <si>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</si>
  <si>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</si>
  <si>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</si>
  <si>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</si>
  <si>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</si>
  <si>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</si>
  <si>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</si>
  <si>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</si>
  <si>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</si>
  <si>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Тип</t>
  </si>
  <si>
    <t>1.017</t>
  </si>
  <si>
    <t>1.023</t>
  </si>
  <si>
    <t>1.086</t>
  </si>
  <si>
    <t>1.095</t>
  </si>
  <si>
    <t>1.099</t>
  </si>
  <si>
    <t>1.027</t>
  </si>
  <si>
    <t>1.043</t>
  </si>
  <si>
    <t>1.044</t>
  </si>
  <si>
    <t>1.045</t>
  </si>
  <si>
    <t>1.046</t>
  </si>
  <si>
    <t>1.047</t>
  </si>
  <si>
    <t>1.048</t>
  </si>
  <si>
    <t>1.049</t>
  </si>
  <si>
    <t>1.050</t>
  </si>
  <si>
    <t>1.051</t>
  </si>
  <si>
    <t>1.052</t>
  </si>
  <si>
    <t>1.053</t>
  </si>
  <si>
    <t>1.054</t>
  </si>
  <si>
    <t>1.055</t>
  </si>
  <si>
    <t>1.056</t>
  </si>
  <si>
    <t>1.057</t>
  </si>
  <si>
    <t>1.058</t>
  </si>
  <si>
    <t>1.065</t>
  </si>
  <si>
    <t>1.093</t>
  </si>
  <si>
    <t>1.097</t>
  </si>
  <si>
    <t>2.041</t>
  </si>
  <si>
    <t>2.050</t>
  </si>
  <si>
    <t>3.048</t>
  </si>
  <si>
    <t>3.057</t>
  </si>
  <si>
    <t>4.009</t>
  </si>
  <si>
    <t>4.018</t>
  </si>
  <si>
    <t>1.019</t>
  </si>
  <si>
    <t>1.020</t>
  </si>
  <si>
    <t>1.024</t>
  </si>
  <si>
    <t>1.029</t>
  </si>
  <si>
    <t>1.038</t>
  </si>
  <si>
    <t>1.039</t>
  </si>
  <si>
    <t>1.040</t>
  </si>
  <si>
    <t>1.059</t>
  </si>
  <si>
    <t>1.062</t>
  </si>
  <si>
    <t>1.067</t>
  </si>
  <si>
    <t>1.068</t>
  </si>
  <si>
    <t>1.073</t>
  </si>
  <si>
    <t>1.074</t>
  </si>
  <si>
    <t>1.075</t>
  </si>
  <si>
    <t>1.076</t>
  </si>
  <si>
    <t>1.091</t>
  </si>
  <si>
    <t>1.094</t>
  </si>
  <si>
    <t>1.094а</t>
  </si>
  <si>
    <t>1.021</t>
  </si>
  <si>
    <t>1.026</t>
  </si>
  <si>
    <t>1.028</t>
  </si>
  <si>
    <t>1.030</t>
  </si>
  <si>
    <t>1.036</t>
  </si>
  <si>
    <t>1.037</t>
  </si>
  <si>
    <t>1.060</t>
  </si>
  <si>
    <t>1.061</t>
  </si>
  <si>
    <t>1.069</t>
  </si>
  <si>
    <t>1.070</t>
  </si>
  <si>
    <t>1.071</t>
  </si>
  <si>
    <t>1.078</t>
  </si>
  <si>
    <t>1.079</t>
  </si>
  <si>
    <t>1.080</t>
  </si>
  <si>
    <t>1.081</t>
  </si>
  <si>
    <t>1.082</t>
  </si>
  <si>
    <t>1.083</t>
  </si>
  <si>
    <t>1.084</t>
  </si>
  <si>
    <t>1.085</t>
  </si>
  <si>
    <t>1.028.2</t>
  </si>
  <si>
    <t>2.016</t>
  </si>
  <si>
    <t>2.032</t>
  </si>
  <si>
    <t>2.044</t>
  </si>
  <si>
    <t>2.046</t>
  </si>
  <si>
    <t>2.047</t>
  </si>
  <si>
    <t>2.047а</t>
  </si>
  <si>
    <t>2.047б</t>
  </si>
  <si>
    <t>2.051</t>
  </si>
  <si>
    <t>2.052</t>
  </si>
  <si>
    <t>3.019</t>
  </si>
  <si>
    <t>3.022</t>
  </si>
  <si>
    <t>3.023</t>
  </si>
  <si>
    <t>3.034</t>
  </si>
  <si>
    <t>3.047</t>
  </si>
  <si>
    <t>3.047а</t>
  </si>
  <si>
    <t>3.047б</t>
  </si>
  <si>
    <t>3.054</t>
  </si>
  <si>
    <t>3.058</t>
  </si>
  <si>
    <t>4.010</t>
  </si>
  <si>
    <t>4.014</t>
  </si>
  <si>
    <t>2.017</t>
  </si>
  <si>
    <t>2.022</t>
  </si>
  <si>
    <t>2.023</t>
  </si>
  <si>
    <t>2.033</t>
  </si>
  <si>
    <t>2.034</t>
  </si>
  <si>
    <t>2.035</t>
  </si>
  <si>
    <t>2.036</t>
  </si>
  <si>
    <t>2.037</t>
  </si>
  <si>
    <t>2.038</t>
  </si>
  <si>
    <t>2.039</t>
  </si>
  <si>
    <t>2.040</t>
  </si>
  <si>
    <t>3.021</t>
  </si>
  <si>
    <t>3.024</t>
  </si>
  <si>
    <t>3.025</t>
  </si>
  <si>
    <t>3.026</t>
  </si>
  <si>
    <t>3.027</t>
  </si>
  <si>
    <t>3.028</t>
  </si>
  <si>
    <t>3.029</t>
  </si>
  <si>
    <t>3.030</t>
  </si>
  <si>
    <t>3.031</t>
  </si>
  <si>
    <t>3.032</t>
  </si>
  <si>
    <t>3.033</t>
  </si>
  <si>
    <t>3.036</t>
  </si>
  <si>
    <t>3.037</t>
  </si>
  <si>
    <t>3.040</t>
  </si>
  <si>
    <t>3.041</t>
  </si>
  <si>
    <t>3.042</t>
  </si>
  <si>
    <t>3.043</t>
  </si>
  <si>
    <t>3.045</t>
  </si>
  <si>
    <t>3.046</t>
  </si>
  <si>
    <t>3.049</t>
  </si>
  <si>
    <t>4.001</t>
  </si>
  <si>
    <t>4.002</t>
  </si>
  <si>
    <t>4.003</t>
  </si>
  <si>
    <t>4.004</t>
  </si>
  <si>
    <t>4.005</t>
  </si>
  <si>
    <t>4.006</t>
  </si>
  <si>
    <t>4.007</t>
  </si>
  <si>
    <t>4.008</t>
  </si>
  <si>
    <t>1.022</t>
  </si>
  <si>
    <t>1.028.1</t>
  </si>
  <si>
    <t>1.031</t>
  </si>
  <si>
    <t>1.032</t>
  </si>
  <si>
    <t>1.033</t>
  </si>
  <si>
    <t>1.034</t>
  </si>
  <si>
    <t>1.035</t>
  </si>
  <si>
    <t>1.041</t>
  </si>
  <si>
    <t>1.042</t>
  </si>
  <si>
    <t>1.063</t>
  </si>
  <si>
    <t>1.064</t>
  </si>
  <si>
    <t>1.066</t>
  </si>
  <si>
    <t>1.087</t>
  </si>
  <si>
    <t>1.088</t>
  </si>
  <si>
    <t>1.089</t>
  </si>
  <si>
    <t>1.090</t>
  </si>
  <si>
    <t>1.092</t>
  </si>
  <si>
    <t>1.100</t>
  </si>
  <si>
    <t>2.024</t>
  </si>
  <si>
    <t>2.025</t>
  </si>
  <si>
    <t>2.026</t>
  </si>
  <si>
    <t>2.027</t>
  </si>
  <si>
    <t>2.028</t>
  </si>
  <si>
    <t>2.029</t>
  </si>
  <si>
    <t>2.031</t>
  </si>
  <si>
    <t>2.042</t>
  </si>
  <si>
    <t>2.043</t>
  </si>
  <si>
    <t>2.045</t>
  </si>
  <si>
    <t>2.049</t>
  </si>
  <si>
    <t>2.053</t>
  </si>
  <si>
    <t>3.038</t>
  </si>
  <si>
    <t>3.050</t>
  </si>
  <si>
    <t>3.051</t>
  </si>
  <si>
    <t>3.052</t>
  </si>
  <si>
    <t>3.053</t>
  </si>
  <si>
    <t>4.011</t>
  </si>
  <si>
    <t>4.012</t>
  </si>
  <si>
    <t>4.013</t>
  </si>
  <si>
    <t>4.015</t>
  </si>
  <si>
    <t>4.016</t>
  </si>
  <si>
    <t>4.017</t>
  </si>
  <si>
    <t>2.021</t>
  </si>
  <si>
    <t>2.030</t>
  </si>
  <si>
    <t>2.048</t>
  </si>
  <si>
    <t>3.039</t>
  </si>
  <si>
    <t>3.055</t>
  </si>
  <si>
    <t>П-6.1</t>
  </si>
  <si>
    <t>1.025</t>
  </si>
  <si>
    <t>2.020</t>
  </si>
  <si>
    <t>1.018</t>
  </si>
  <si>
    <t>1.072</t>
  </si>
  <si>
    <t>1.098</t>
  </si>
  <si>
    <t>Помещение</t>
  </si>
  <si>
    <t>П-1.3</t>
  </si>
  <si>
    <t>1.017.1</t>
  </si>
  <si>
    <t>1.077</t>
  </si>
  <si>
    <t>П-1.4</t>
  </si>
  <si>
    <t>П-1.5</t>
  </si>
  <si>
    <t>2.018</t>
  </si>
  <si>
    <t>2.019</t>
  </si>
  <si>
    <t>3.020</t>
  </si>
  <si>
    <t>П-1.6</t>
  </si>
  <si>
    <t>3.056</t>
  </si>
  <si>
    <t>П-1.7</t>
  </si>
  <si>
    <t>П-2.3</t>
  </si>
  <si>
    <t>3.035</t>
  </si>
  <si>
    <t>П-2.4</t>
  </si>
  <si>
    <t>П-2.5</t>
  </si>
  <si>
    <t>П-3.2</t>
  </si>
  <si>
    <t>2.051.1</t>
  </si>
  <si>
    <t>3.044</t>
  </si>
  <si>
    <t>П-3.3</t>
  </si>
  <si>
    <t>П-3.4</t>
  </si>
  <si>
    <t>П-3.5</t>
  </si>
  <si>
    <t>П-3.6</t>
  </si>
  <si>
    <t>П-3.7</t>
  </si>
  <si>
    <t>П-3.8</t>
  </si>
  <si>
    <t>П-5.1</t>
  </si>
  <si>
    <t>м150</t>
  </si>
  <si>
    <t>м200</t>
  </si>
  <si>
    <t>60-65</t>
  </si>
  <si>
    <t>50-55</t>
  </si>
  <si>
    <t>10-65</t>
  </si>
  <si>
    <t>60-90</t>
  </si>
  <si>
    <t>41</t>
  </si>
  <si>
    <t>68</t>
  </si>
  <si>
    <t>43</t>
  </si>
  <si>
    <t>60</t>
  </si>
  <si>
    <t>0</t>
  </si>
  <si>
    <t>66</t>
  </si>
  <si>
    <t>Объем</t>
  </si>
  <si>
    <t>Толщина 20 мм, М-150
Тип:П-1.3, П-1.4, П-1.5, П-1.7, П-2.1, П-3.1, П-3.2</t>
  </si>
  <si>
    <t>Объем, 
м2.</t>
  </si>
  <si>
    <t>Сумма:</t>
  </si>
  <si>
    <t>Толщина 5 мм,  М-150,
Тип: П-1.6, П-2.2</t>
  </si>
  <si>
    <t>Устройство тепло-звукоизоляции полов / минвата / в 1 слой</t>
  </si>
  <si>
    <t>Устройство разделительного слоя / из пленки полиэтиленовой / в 1 слой</t>
  </si>
  <si>
    <t>Тип: П-1.3, П-1.4, 
П-2.1, П-3.1</t>
  </si>
  <si>
    <t>Толщина 30 мм,
Тип:П-1.3, П-1.4, 
П-2.1, П-3.1</t>
  </si>
  <si>
    <t>Устройство оклеечной гидроизоляции с подготовкой из битумного праймера / в 1 слой</t>
  </si>
  <si>
    <t>Итог:</t>
  </si>
  <si>
    <t>Толщина - 60-65, М200,
Тип: П-1.4</t>
  </si>
  <si>
    <t>Толщина - 41, М200,
Тип: П-1.5</t>
  </si>
  <si>
    <t>Толщина - 66, М200,
Тип: П-1.3</t>
  </si>
  <si>
    <t>Толщина - 50-55, М200,
Тип: П-1.6</t>
  </si>
  <si>
    <t>Толщина - 10-65, М200,
Тип: П-2.1</t>
  </si>
  <si>
    <t>Толщина - 50-55, М200,
Тип: П-2.2</t>
  </si>
  <si>
    <t>Толщина - 68, М200,
Тип: П-3.1</t>
  </si>
  <si>
    <t>Толщина - 43, М200,
Тип: П-3.2</t>
  </si>
  <si>
    <t>Устройство стяжки СКБ / армированная сеткой</t>
  </si>
  <si>
    <t>Объем,
м2</t>
  </si>
  <si>
    <t>Толщина,
мм</t>
  </si>
  <si>
    <t xml:space="preserve">Устройство стяжки СКБ / неармированная </t>
  </si>
  <si>
    <t>5 мм; 
Тип: П-1.5, П-1.6, 
П-2.2, П-3.2</t>
  </si>
  <si>
    <t>Устройство стяжки СКБ / неармированная с приготовлением раствора до 20 мм</t>
  </si>
  <si>
    <t>Подвал. Цементно-песчаная стяжка М200 выравнивающая. Толщина - 20 мм. Тип: П-4*</t>
  </si>
  <si>
    <t>0.015</t>
  </si>
  <si>
    <t>П-4*</t>
  </si>
  <si>
    <t>Подвал. Минераловатный утеплитель - 30 мм. Тип: П-4*</t>
  </si>
  <si>
    <t>Устройство разделительного слоя / из геотекстиля / в 1 слой</t>
  </si>
  <si>
    <t>Подвал. Пленка ТЕХНОНИКОЛЬ АЛЬФА БАРЬЕР 1.0</t>
  </si>
  <si>
    <t>Утепление полов керамзитом</t>
  </si>
  <si>
    <t>Подвал. Керамзитовый гравий 60-120 мм. Тип: П-4*</t>
  </si>
  <si>
    <t>Устройство стяжки СКБ / армированная сеткой от 41 мм до 60 мм</t>
  </si>
  <si>
    <t>Подвал. Цементно-песчаная стяжка М200. Толщиной - 60 мм. Тип: П-4*</t>
  </si>
  <si>
    <t>Устройство стяжки СКБ /  армированная сеткой свыше 81 мм</t>
  </si>
  <si>
    <t>П-1*</t>
  </si>
  <si>
    <t>0.001</t>
  </si>
  <si>
    <t>0.018</t>
  </si>
  <si>
    <t>Подвал. Цементно-песчаная стяжка М200. Толщиной - 85 мм. Тип: П-1*</t>
  </si>
  <si>
    <t>м3</t>
  </si>
  <si>
    <t>Объем, 
м3.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</si>
</sst>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0.0"/>
    <numFmt numFmtId="166" formatCode="#,##0.0"/>
  </numFmts>
  <fonts count="20" x14ac:knownFonts="1">
    <font>
      <sz val="11"/>
      <color theme="1"/>
      <name val="Calibri"/>
      <family val="2"/>
      <scheme val="minor"/>
    </font>
    <font>
      <sz val="12"/>
      <color rgb="FF000000"/>
      <name val="ГОСТ тип А"/>
      <family val="2"/>
      <charset val="204"/>
    </font>
    <font>
      <sz val="10"/>
      <color rgb="FF000000"/>
      <name val="Times New Roman"/>
      <family val="1"/>
      <charset val="204"/>
    </font>
    <font>
      <i/>
      <sz val="12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b/>
      <i/>
      <sz val="1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8"/>
      <color rgb="FF0F1115"/>
      <name val="Consolas"/>
      <family val="3"/>
      <charset val="204"/>
    </font>
    <font>
      <sz val="12"/>
      <color theme="1"/>
      <name val="ГОСТ тип А"/>
      <family val="2"/>
      <charset val="204"/>
    </font>
    <font>
      <b/>
      <sz val="12"/>
      <color theme="6" tint="-0.249977111117893"/>
      <name val="ГОСТ тип А"/>
      <family val="2"/>
      <charset val="204"/>
    </font>
    <font>
      <sz val="12"/>
      <color theme="6" tint="-0.249977111117893"/>
      <name val="ГОСТ тип А"/>
      <family val="2"/>
      <charset val="204"/>
    </font>
    <font>
      <sz val="12"/>
      <color rgb="FF000000"/>
      <name val="Calibri"/>
      <family val="2"/>
      <charset val="204"/>
      <scheme val="minor"/>
    </font>
    <font>
      <i/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3" tint="-0.249977111117893"/>
      <name val="Calibri"/>
      <family val="2"/>
      <charset val="204"/>
      <scheme val="minor"/>
    </font>
    <font>
      <sz val="12"/>
      <color theme="3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99">
    <xf numFmtId="0" fontId="0" fillId="0" borderId="0" xfId="0"/>
    <xf numFmtId="0" fontId="7" fillId="0" borderId="9" xfId="1" applyNumberFormat="1" applyFont="1" applyBorder="1" applyAlignment="1">
      <alignment horizontal="left" vertical="center" wrapText="1" indent="4"/>
    </xf>
    <xf numFmtId="0" fontId="8" fillId="0" borderId="7" xfId="1" applyFont="1" applyFill="1" applyBorder="1" applyAlignment="1">
      <alignment horizontal="left" vertical="top" wrapText="1"/>
    </xf>
    <xf numFmtId="0" fontId="7" fillId="0" borderId="6" xfId="1" applyNumberFormat="1" applyFont="1" applyBorder="1" applyAlignment="1">
      <alignment horizontal="center" vertical="center" wrapText="1"/>
    </xf>
    <xf numFmtId="0" fontId="4" fillId="0" borderId="5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3" fontId="9" fillId="0" borderId="3" xfId="1" applyNumberFormat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wrapText="1"/>
    </xf>
    <xf numFmtId="165" fontId="9" fillId="0" borderId="3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6" fillId="0" borderId="7" xfId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/>
    </xf>
    <xf numFmtId="166" fontId="1" fillId="0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1" fillId="0" borderId="0" xfId="0" applyFont="1" applyAlignment="1">
      <alignment horizontal="left" vertical="center" indent="1"/>
    </xf>
    <xf numFmtId="0" fontId="1" fillId="0" borderId="3" xfId="0" applyFont="1" applyFill="1" applyBorder="1" applyAlignment="1">
      <alignment horizontal="center" vertical="center"/>
    </xf>
    <xf numFmtId="0" fontId="12" fillId="0" borderId="0" xfId="0" applyFont="1"/>
    <xf numFmtId="166" fontId="12" fillId="0" borderId="0" xfId="0" applyNumberFormat="1" applyFont="1"/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11" xfId="0" applyFont="1" applyBorder="1"/>
    <xf numFmtId="0" fontId="14" fillId="2" borderId="0" xfId="0" applyFont="1" applyFill="1"/>
    <xf numFmtId="0" fontId="14" fillId="0" borderId="0" xfId="0" applyFont="1"/>
    <xf numFmtId="0" fontId="14" fillId="0" borderId="12" xfId="0" applyFont="1" applyBorder="1"/>
    <xf numFmtId="0" fontId="12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164" fontId="15" fillId="0" borderId="3" xfId="0" applyNumberFormat="1" applyFont="1" applyFill="1" applyBorder="1" applyAlignment="1">
      <alignment horizontal="center" vertical="center"/>
    </xf>
    <xf numFmtId="0" fontId="17" fillId="0" borderId="0" xfId="0" applyFont="1"/>
    <xf numFmtId="166" fontId="15" fillId="0" borderId="3" xfId="0" applyNumberFormat="1" applyFont="1" applyFill="1" applyBorder="1" applyAlignment="1">
      <alignment horizontal="center" vertical="center"/>
    </xf>
    <xf numFmtId="166" fontId="17" fillId="0" borderId="0" xfId="0" applyNumberFormat="1" applyFont="1"/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49" fontId="19" fillId="3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19" fillId="3" borderId="12" xfId="0" applyFont="1" applyFill="1" applyBorder="1" applyAlignment="1">
      <alignment horizontal="center"/>
    </xf>
    <xf numFmtId="49" fontId="19" fillId="3" borderId="1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49" fontId="19" fillId="0" borderId="12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4" fontId="1" fillId="0" borderId="3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vertical="center" wrapText="1"/>
    </xf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7" fillId="0" borderId="0" xfId="0" applyFont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14" xfId="0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14" xfId="0" applyFont="1" applyBorder="1" applyAlignment="1">
      <alignment horizontal="right"/>
    </xf>
    <xf numFmtId="0" fontId="3" fillId="0" borderId="4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" displayName="Таблица2" ref="A1:E263" totalsRowShown="0">
  <autoFilter ref="A1:E263">
    <filterColumn colId="1">
      <filters>
        <filter val="1.001"/>
        <filter val="1.002"/>
        <filter val="1.003"/>
        <filter val="1.004"/>
        <filter val="1.005"/>
        <filter val="1.006"/>
        <filter val="1.007"/>
        <filter val="1.009"/>
        <filter val="1.010"/>
        <filter val="1.011"/>
        <filter val="1.012"/>
        <filter val="1.013"/>
        <filter val="1.014"/>
        <filter val="1.015"/>
        <filter val="1.016"/>
        <filter val="2.001"/>
        <filter val="2.002"/>
        <filter val="2.003"/>
        <filter val="2.004"/>
        <filter val="2.005"/>
        <filter val="2.006"/>
        <filter val="2.008"/>
        <filter val="2.009"/>
        <filter val="2.010"/>
        <filter val="2.011"/>
        <filter val="2.012"/>
        <filter val="2.013"/>
        <filter val="2.014"/>
        <filter val="2.015"/>
        <filter val="3.001"/>
        <filter val="3.002"/>
        <filter val="3.003"/>
        <filter val="3.004"/>
        <filter val="3.005"/>
        <filter val="3.006"/>
        <filter val="3.007"/>
        <filter val="3.008"/>
        <filter val="3.010"/>
        <filter val="3.011"/>
        <filter val="3.012"/>
        <filter val="3.013"/>
        <filter val="3.014"/>
        <filter val="3.015"/>
        <filter val="3.016"/>
        <filter val="3.017"/>
      </filters>
    </filterColumn>
    <filterColumn colId="2">
      <filters>
        <filter val="5"/>
        <filter val="20"/>
      </filters>
    </filterColumn>
  </autoFilter>
  <sortState ref="A77:D338">
    <sortCondition ref="B76:B338"/>
  </sortState>
  <tableColumns count="5">
    <tableColumn id="1" name="Тип"/>
    <tableColumn id="2" name="Помещение"/>
    <tableColumn id="3" name="м150"/>
    <tableColumn id="4" name="м200" dataDxfId="11"/>
    <tableColumn id="5" name="Объем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id="10" name="Таблица467891011" displayName="Таблица467891011" ref="A1:F35" totalsRowShown="0" headerRowDxfId="10" dataDxfId="8" headerRowBorderDxfId="9" tableBorderDxfId="7" totalsRowBorderDxfId="6">
  <autoFilter ref="A1:F35"/>
  <sortState ref="A2:F41">
    <sortCondition ref="C1:C41"/>
  </sortState>
  <tableColumns count="6">
    <tableColumn id="1" name="Этаж" dataDxfId="5" dataCellStyle="Обычный 2"/>
    <tableColumn id="2" name="Секция" dataDxfId="4" dataCellStyle="Обычный 2"/>
    <tableColumn id="3" name="№ помеще_x000a_ния" dataDxfId="3" dataCellStyle="Обычный 2"/>
    <tableColumn id="4" name="Марка" dataDxfId="2" dataCellStyle="Обычный 2"/>
    <tableColumn id="5" name="Площадь" dataDxfId="1" dataCellStyle="Обычный 2"/>
    <tableColumn id="6" name="Примечание" dataDxfId="0" dataCellStyle="Обычный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F5"/>
  <sheetViews>
    <sheetView workbookViewId="0"/>
  </sheetViews>
  <sheetFormatPr defaultRowHeight="14.4" x14ac:dyDescent="0.3"/>
  <cols>
    <col min="1" max="1" width="8" customWidth="1"/>
    <col min="2" max="2" width="15.88671875" customWidth="1"/>
    <col min="3" max="3" width="23.88671875" customWidth="1"/>
    <col min="4" max="4" width="11.21875" customWidth="1"/>
    <col min="5" max="5" width="8.77734375" customWidth="1"/>
    <col min="6" max="6" width="8" customWidth="1"/>
  </cols>
  <sheetData>
    <row r="1" spans="1:6" ht="15.6" x14ac:dyDescent="0.3">
      <c r="A1" s="15" t="s">
        <v>21</v>
      </c>
      <c r="B1" s="63" t="s">
        <v>22</v>
      </c>
      <c r="C1" s="64"/>
      <c r="D1" s="16" t="s">
        <v>2</v>
      </c>
      <c r="E1" s="15" t="s">
        <v>0</v>
      </c>
      <c r="F1" s="17" t="s">
        <v>23</v>
      </c>
    </row>
    <row r="2" spans="1:6" ht="45" customHeight="1" x14ac:dyDescent="0.3">
      <c r="A2" s="15">
        <v>1</v>
      </c>
      <c r="B2" s="65" t="s">
        <v>36</v>
      </c>
      <c r="C2" s="66"/>
      <c r="D2" s="16" t="s">
        <v>37</v>
      </c>
      <c r="E2" s="15" t="s">
        <v>1</v>
      </c>
      <c r="F2" s="18">
        <f>C5</f>
        <v>84.7</v>
      </c>
    </row>
    <row r="3" spans="1:6" x14ac:dyDescent="0.3">
      <c r="A3" s="67"/>
      <c r="B3" s="67"/>
      <c r="C3" s="67"/>
      <c r="D3" s="67"/>
      <c r="E3" s="67"/>
      <c r="F3" s="67"/>
    </row>
    <row r="4" spans="1:6" ht="15.6" x14ac:dyDescent="0.3">
      <c r="A4" s="15" t="s">
        <v>21</v>
      </c>
      <c r="B4" s="15" t="s">
        <v>33</v>
      </c>
      <c r="C4" s="15" t="s">
        <v>34</v>
      </c>
      <c r="D4" s="68"/>
      <c r="E4" s="67"/>
      <c r="F4" s="67"/>
    </row>
    <row r="5" spans="1:6" ht="15.6" x14ac:dyDescent="0.3">
      <c r="A5" s="15">
        <v>1</v>
      </c>
      <c r="B5" s="15" t="s">
        <v>35</v>
      </c>
      <c r="C5" s="19">
        <v>84.7</v>
      </c>
      <c r="D5" s="68"/>
      <c r="E5" s="67"/>
      <c r="F5" s="67"/>
    </row>
  </sheetData>
  <mergeCells count="4">
    <mergeCell ref="B1:C1"/>
    <mergeCell ref="B2:C2"/>
    <mergeCell ref="A3:F3"/>
    <mergeCell ref="D4:F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topLeftCell="A10" workbookViewId="0">
      <selection activeCell="E2" sqref="E2:E195"/>
    </sheetView>
  </sheetViews>
  <sheetFormatPr defaultRowHeight="14.4" x14ac:dyDescent="0.3"/>
  <cols>
    <col min="12" max="12" width="12.21875" customWidth="1"/>
  </cols>
  <sheetData>
    <row r="1" spans="1:7" x14ac:dyDescent="0.3">
      <c r="A1" t="s">
        <v>94</v>
      </c>
      <c r="B1" t="s">
        <v>275</v>
      </c>
      <c r="C1" t="s">
        <v>301</v>
      </c>
      <c r="D1" t="s">
        <v>302</v>
      </c>
      <c r="E1" t="s">
        <v>313</v>
      </c>
    </row>
    <row r="2" spans="1:7" x14ac:dyDescent="0.3">
      <c r="A2" t="s">
        <v>59</v>
      </c>
      <c r="B2" t="s">
        <v>39</v>
      </c>
      <c r="C2">
        <v>20</v>
      </c>
      <c r="D2" s="20" t="s">
        <v>308</v>
      </c>
      <c r="E2">
        <v>129</v>
      </c>
    </row>
    <row r="3" spans="1:7" x14ac:dyDescent="0.3">
      <c r="A3" t="s">
        <v>59</v>
      </c>
      <c r="B3" t="s">
        <v>40</v>
      </c>
      <c r="C3">
        <v>20</v>
      </c>
      <c r="D3" s="20" t="s">
        <v>308</v>
      </c>
      <c r="E3">
        <v>66.2</v>
      </c>
    </row>
    <row r="4" spans="1:7" x14ac:dyDescent="0.3">
      <c r="A4" t="s">
        <v>59</v>
      </c>
      <c r="B4" t="s">
        <v>41</v>
      </c>
      <c r="C4">
        <v>20</v>
      </c>
      <c r="D4" s="20" t="s">
        <v>308</v>
      </c>
      <c r="E4">
        <v>66.400000000000006</v>
      </c>
    </row>
    <row r="5" spans="1:7" x14ac:dyDescent="0.3">
      <c r="A5" t="s">
        <v>59</v>
      </c>
      <c r="B5" t="s">
        <v>42</v>
      </c>
      <c r="C5">
        <v>20</v>
      </c>
      <c r="D5" s="20" t="s">
        <v>308</v>
      </c>
      <c r="E5">
        <v>66.400000000000006</v>
      </c>
    </row>
    <row r="6" spans="1:7" x14ac:dyDescent="0.3">
      <c r="A6" t="s">
        <v>59</v>
      </c>
      <c r="B6" t="s">
        <v>43</v>
      </c>
      <c r="C6">
        <v>20</v>
      </c>
      <c r="D6" s="20" t="s">
        <v>308</v>
      </c>
      <c r="E6">
        <v>42.4</v>
      </c>
    </row>
    <row r="7" spans="1:7" x14ac:dyDescent="0.3">
      <c r="A7" t="s">
        <v>59</v>
      </c>
      <c r="B7" t="s">
        <v>44</v>
      </c>
      <c r="C7">
        <v>20</v>
      </c>
      <c r="D7" s="20" t="s">
        <v>308</v>
      </c>
      <c r="E7">
        <v>23.6</v>
      </c>
    </row>
    <row r="8" spans="1:7" x14ac:dyDescent="0.3">
      <c r="A8" t="s">
        <v>276</v>
      </c>
      <c r="B8" t="s">
        <v>45</v>
      </c>
      <c r="C8">
        <v>20</v>
      </c>
      <c r="D8" s="20">
        <v>66</v>
      </c>
      <c r="E8">
        <v>97.5</v>
      </c>
    </row>
    <row r="9" spans="1:7" hidden="1" x14ac:dyDescent="0.3">
      <c r="A9" t="s">
        <v>276</v>
      </c>
      <c r="B9" t="s">
        <v>46</v>
      </c>
      <c r="C9">
        <v>20</v>
      </c>
      <c r="D9" s="20">
        <v>66</v>
      </c>
      <c r="E9">
        <v>16.399999999999999</v>
      </c>
    </row>
    <row r="10" spans="1:7" x14ac:dyDescent="0.3">
      <c r="A10" t="s">
        <v>279</v>
      </c>
      <c r="B10" t="s">
        <v>47</v>
      </c>
      <c r="C10">
        <v>20</v>
      </c>
      <c r="D10" s="20" t="s">
        <v>303</v>
      </c>
      <c r="E10">
        <v>18.3</v>
      </c>
    </row>
    <row r="11" spans="1:7" x14ac:dyDescent="0.3">
      <c r="A11" t="s">
        <v>57</v>
      </c>
      <c r="B11" t="s">
        <v>48</v>
      </c>
      <c r="C11">
        <v>20</v>
      </c>
      <c r="D11" s="20" t="s">
        <v>305</v>
      </c>
      <c r="E11">
        <v>5.8</v>
      </c>
    </row>
    <row r="12" spans="1:7" x14ac:dyDescent="0.3">
      <c r="A12" t="s">
        <v>276</v>
      </c>
      <c r="B12" t="s">
        <v>49</v>
      </c>
      <c r="C12">
        <v>20</v>
      </c>
      <c r="D12" s="20">
        <v>66</v>
      </c>
      <c r="E12">
        <v>15.2</v>
      </c>
      <c r="G12" s="21"/>
    </row>
    <row r="13" spans="1:7" x14ac:dyDescent="0.3">
      <c r="A13" t="s">
        <v>279</v>
      </c>
      <c r="B13" t="s">
        <v>50</v>
      </c>
      <c r="C13">
        <v>20</v>
      </c>
      <c r="D13" s="20" t="s">
        <v>303</v>
      </c>
      <c r="E13">
        <v>18.8</v>
      </c>
    </row>
    <row r="14" spans="1:7" x14ac:dyDescent="0.3">
      <c r="A14" t="s">
        <v>279</v>
      </c>
      <c r="B14" t="s">
        <v>51</v>
      </c>
      <c r="C14">
        <v>20</v>
      </c>
      <c r="D14" s="20" t="s">
        <v>303</v>
      </c>
      <c r="E14">
        <v>5</v>
      </c>
    </row>
    <row r="15" spans="1:7" x14ac:dyDescent="0.3">
      <c r="A15" t="s">
        <v>279</v>
      </c>
      <c r="B15" t="s">
        <v>52</v>
      </c>
      <c r="C15">
        <v>20</v>
      </c>
      <c r="D15" s="20" t="s">
        <v>303</v>
      </c>
      <c r="E15">
        <v>7</v>
      </c>
    </row>
    <row r="16" spans="1:7" x14ac:dyDescent="0.3">
      <c r="A16" t="s">
        <v>59</v>
      </c>
      <c r="B16" t="s">
        <v>53</v>
      </c>
      <c r="C16">
        <v>20</v>
      </c>
      <c r="D16" s="20" t="s">
        <v>308</v>
      </c>
      <c r="E16">
        <v>116.4</v>
      </c>
    </row>
    <row r="17" spans="1:5" x14ac:dyDescent="0.3">
      <c r="A17" t="s">
        <v>59</v>
      </c>
      <c r="B17" t="s">
        <v>54</v>
      </c>
      <c r="C17">
        <v>20</v>
      </c>
      <c r="D17" s="20" t="s">
        <v>308</v>
      </c>
      <c r="E17">
        <v>201.1</v>
      </c>
    </row>
    <row r="18" spans="1:5" hidden="1" x14ac:dyDescent="0.3">
      <c r="A18" t="s">
        <v>59</v>
      </c>
      <c r="B18" t="s">
        <v>95</v>
      </c>
      <c r="C18">
        <v>20</v>
      </c>
      <c r="D18" s="20" t="s">
        <v>308</v>
      </c>
    </row>
    <row r="19" spans="1:5" hidden="1" x14ac:dyDescent="0.3">
      <c r="A19" t="s">
        <v>276</v>
      </c>
      <c r="B19" t="s">
        <v>277</v>
      </c>
      <c r="C19">
        <v>20</v>
      </c>
      <c r="D19" s="20">
        <v>66</v>
      </c>
    </row>
    <row r="20" spans="1:5" hidden="1" x14ac:dyDescent="0.3">
      <c r="A20" t="s">
        <v>55</v>
      </c>
      <c r="B20" t="s">
        <v>272</v>
      </c>
      <c r="C20">
        <v>0</v>
      </c>
      <c r="D20" s="20">
        <v>45</v>
      </c>
    </row>
    <row r="21" spans="1:5" hidden="1" x14ac:dyDescent="0.3">
      <c r="A21" t="s">
        <v>56</v>
      </c>
      <c r="B21" t="s">
        <v>272</v>
      </c>
      <c r="C21">
        <v>0</v>
      </c>
      <c r="D21" s="20">
        <v>46</v>
      </c>
    </row>
    <row r="22" spans="1:5" hidden="1" x14ac:dyDescent="0.3">
      <c r="A22" t="s">
        <v>276</v>
      </c>
      <c r="B22" t="s">
        <v>126</v>
      </c>
      <c r="C22">
        <v>20</v>
      </c>
      <c r="D22" s="20">
        <v>66</v>
      </c>
    </row>
    <row r="23" spans="1:5" hidden="1" x14ac:dyDescent="0.3">
      <c r="A23" t="s">
        <v>276</v>
      </c>
      <c r="B23" t="s">
        <v>127</v>
      </c>
      <c r="C23">
        <v>20</v>
      </c>
      <c r="D23" s="20">
        <v>66</v>
      </c>
    </row>
    <row r="24" spans="1:5" hidden="1" x14ac:dyDescent="0.3">
      <c r="A24" t="s">
        <v>59</v>
      </c>
      <c r="B24" t="s">
        <v>144</v>
      </c>
      <c r="C24">
        <v>20</v>
      </c>
      <c r="D24" s="20" t="s">
        <v>308</v>
      </c>
    </row>
    <row r="25" spans="1:5" hidden="1" x14ac:dyDescent="0.3">
      <c r="A25" t="s">
        <v>279</v>
      </c>
      <c r="B25" t="s">
        <v>223</v>
      </c>
      <c r="C25">
        <v>20</v>
      </c>
      <c r="D25" s="20" t="s">
        <v>303</v>
      </c>
    </row>
    <row r="26" spans="1:5" hidden="1" x14ac:dyDescent="0.3">
      <c r="A26" t="s">
        <v>276</v>
      </c>
      <c r="B26" t="s">
        <v>96</v>
      </c>
      <c r="C26">
        <v>20</v>
      </c>
      <c r="D26" s="20">
        <v>66</v>
      </c>
    </row>
    <row r="27" spans="1:5" hidden="1" x14ac:dyDescent="0.3">
      <c r="A27" t="s">
        <v>276</v>
      </c>
      <c r="B27" t="s">
        <v>128</v>
      </c>
      <c r="C27">
        <v>20</v>
      </c>
      <c r="D27" s="20">
        <v>66</v>
      </c>
    </row>
    <row r="28" spans="1:5" hidden="1" x14ac:dyDescent="0.3">
      <c r="A28" t="s">
        <v>60</v>
      </c>
      <c r="B28" t="s">
        <v>270</v>
      </c>
      <c r="C28">
        <v>20</v>
      </c>
      <c r="D28" s="20" t="s">
        <v>312</v>
      </c>
    </row>
    <row r="29" spans="1:5" hidden="1" x14ac:dyDescent="0.3">
      <c r="A29" t="s">
        <v>276</v>
      </c>
      <c r="B29" t="s">
        <v>145</v>
      </c>
      <c r="C29">
        <v>20</v>
      </c>
      <c r="D29" s="20">
        <v>66</v>
      </c>
    </row>
    <row r="30" spans="1:5" hidden="1" x14ac:dyDescent="0.3">
      <c r="A30" t="s">
        <v>57</v>
      </c>
      <c r="B30" t="s">
        <v>100</v>
      </c>
      <c r="C30">
        <v>20</v>
      </c>
      <c r="D30" s="20" t="s">
        <v>305</v>
      </c>
    </row>
    <row r="31" spans="1:5" hidden="1" x14ac:dyDescent="0.3">
      <c r="A31" t="s">
        <v>59</v>
      </c>
      <c r="B31" t="s">
        <v>146</v>
      </c>
      <c r="C31">
        <v>20</v>
      </c>
      <c r="D31" s="20" t="s">
        <v>308</v>
      </c>
    </row>
    <row r="32" spans="1:5" hidden="1" x14ac:dyDescent="0.3">
      <c r="A32" t="s">
        <v>279</v>
      </c>
      <c r="B32" t="s">
        <v>224</v>
      </c>
      <c r="C32">
        <v>20</v>
      </c>
      <c r="D32" s="20" t="s">
        <v>303</v>
      </c>
    </row>
    <row r="33" spans="1:4" hidden="1" x14ac:dyDescent="0.3">
      <c r="A33" t="s">
        <v>280</v>
      </c>
      <c r="B33" t="s">
        <v>163</v>
      </c>
      <c r="C33">
        <v>20</v>
      </c>
      <c r="D33" s="20">
        <v>41</v>
      </c>
    </row>
    <row r="34" spans="1:4" hidden="1" x14ac:dyDescent="0.3">
      <c r="A34" t="s">
        <v>269</v>
      </c>
      <c r="B34" t="s">
        <v>163</v>
      </c>
      <c r="C34">
        <v>0</v>
      </c>
      <c r="D34" s="20" t="s">
        <v>311</v>
      </c>
    </row>
    <row r="35" spans="1:4" hidden="1" x14ac:dyDescent="0.3">
      <c r="A35" t="s">
        <v>276</v>
      </c>
      <c r="B35" t="s">
        <v>129</v>
      </c>
      <c r="C35">
        <v>20</v>
      </c>
      <c r="D35" s="20">
        <v>66</v>
      </c>
    </row>
    <row r="36" spans="1:4" hidden="1" x14ac:dyDescent="0.3">
      <c r="A36" t="s">
        <v>59</v>
      </c>
      <c r="B36" t="s">
        <v>147</v>
      </c>
      <c r="C36">
        <v>20</v>
      </c>
      <c r="D36" s="20" t="s">
        <v>308</v>
      </c>
    </row>
    <row r="37" spans="1:4" hidden="1" x14ac:dyDescent="0.3">
      <c r="A37" t="s">
        <v>279</v>
      </c>
      <c r="B37" t="s">
        <v>225</v>
      </c>
      <c r="C37">
        <v>20</v>
      </c>
      <c r="D37" s="20" t="s">
        <v>303</v>
      </c>
    </row>
    <row r="38" spans="1:4" hidden="1" x14ac:dyDescent="0.3">
      <c r="A38" t="s">
        <v>279</v>
      </c>
      <c r="B38" t="s">
        <v>226</v>
      </c>
      <c r="C38">
        <v>20</v>
      </c>
      <c r="D38" s="20" t="s">
        <v>303</v>
      </c>
    </row>
    <row r="39" spans="1:4" hidden="1" x14ac:dyDescent="0.3">
      <c r="A39" t="s">
        <v>279</v>
      </c>
      <c r="B39" t="s">
        <v>227</v>
      </c>
      <c r="C39">
        <v>20</v>
      </c>
      <c r="D39" s="20" t="s">
        <v>303</v>
      </c>
    </row>
    <row r="40" spans="1:4" hidden="1" x14ac:dyDescent="0.3">
      <c r="A40" t="s">
        <v>279</v>
      </c>
      <c r="B40" t="s">
        <v>228</v>
      </c>
      <c r="C40">
        <v>20</v>
      </c>
      <c r="D40" s="20" t="s">
        <v>303</v>
      </c>
    </row>
    <row r="41" spans="1:4" hidden="1" x14ac:dyDescent="0.3">
      <c r="A41" t="s">
        <v>279</v>
      </c>
      <c r="B41" t="s">
        <v>229</v>
      </c>
      <c r="C41">
        <v>20</v>
      </c>
      <c r="D41" s="20" t="s">
        <v>303</v>
      </c>
    </row>
    <row r="42" spans="1:4" hidden="1" x14ac:dyDescent="0.3">
      <c r="A42" t="s">
        <v>59</v>
      </c>
      <c r="B42" t="s">
        <v>148</v>
      </c>
      <c r="C42">
        <v>20</v>
      </c>
      <c r="D42" s="20" t="s">
        <v>308</v>
      </c>
    </row>
    <row r="43" spans="1:4" hidden="1" x14ac:dyDescent="0.3">
      <c r="A43" t="s">
        <v>59</v>
      </c>
      <c r="B43" t="s">
        <v>149</v>
      </c>
      <c r="C43">
        <v>20</v>
      </c>
      <c r="D43" s="20" t="s">
        <v>308</v>
      </c>
    </row>
    <row r="44" spans="1:4" hidden="1" x14ac:dyDescent="0.3">
      <c r="A44" t="s">
        <v>276</v>
      </c>
      <c r="B44" t="s">
        <v>130</v>
      </c>
      <c r="C44">
        <v>20</v>
      </c>
      <c r="D44" s="20">
        <v>66</v>
      </c>
    </row>
    <row r="45" spans="1:4" hidden="1" x14ac:dyDescent="0.3">
      <c r="A45" t="s">
        <v>276</v>
      </c>
      <c r="B45" t="s">
        <v>131</v>
      </c>
      <c r="C45">
        <v>20</v>
      </c>
      <c r="D45" s="20">
        <v>66</v>
      </c>
    </row>
    <row r="46" spans="1:4" hidden="1" x14ac:dyDescent="0.3">
      <c r="A46" t="s">
        <v>279</v>
      </c>
      <c r="B46" t="s">
        <v>131</v>
      </c>
      <c r="C46">
        <v>20</v>
      </c>
      <c r="D46" s="20" t="s">
        <v>303</v>
      </c>
    </row>
    <row r="47" spans="1:4" hidden="1" x14ac:dyDescent="0.3">
      <c r="A47" t="s">
        <v>276</v>
      </c>
      <c r="B47" t="s">
        <v>132</v>
      </c>
      <c r="C47">
        <v>20</v>
      </c>
      <c r="D47" s="20">
        <v>66</v>
      </c>
    </row>
    <row r="48" spans="1:4" hidden="1" x14ac:dyDescent="0.3">
      <c r="A48" t="s">
        <v>279</v>
      </c>
      <c r="B48" t="s">
        <v>230</v>
      </c>
      <c r="C48">
        <v>20</v>
      </c>
      <c r="D48" s="20" t="s">
        <v>303</v>
      </c>
    </row>
    <row r="49" spans="1:4" hidden="1" x14ac:dyDescent="0.3">
      <c r="A49" t="s">
        <v>279</v>
      </c>
      <c r="B49" t="s">
        <v>231</v>
      </c>
      <c r="C49">
        <v>20</v>
      </c>
      <c r="D49" s="20" t="s">
        <v>303</v>
      </c>
    </row>
    <row r="50" spans="1:4" hidden="1" x14ac:dyDescent="0.3">
      <c r="A50" t="s">
        <v>57</v>
      </c>
      <c r="B50" t="s">
        <v>101</v>
      </c>
      <c r="C50">
        <v>20</v>
      </c>
      <c r="D50" s="20" t="s">
        <v>305</v>
      </c>
    </row>
    <row r="51" spans="1:4" hidden="1" x14ac:dyDescent="0.3">
      <c r="A51" t="s">
        <v>57</v>
      </c>
      <c r="B51" t="s">
        <v>102</v>
      </c>
      <c r="C51">
        <v>20</v>
      </c>
      <c r="D51" s="20" t="s">
        <v>305</v>
      </c>
    </row>
    <row r="52" spans="1:4" hidden="1" x14ac:dyDescent="0.3">
      <c r="A52" t="s">
        <v>57</v>
      </c>
      <c r="B52" t="s">
        <v>103</v>
      </c>
      <c r="C52">
        <v>20</v>
      </c>
      <c r="D52" s="20" t="s">
        <v>305</v>
      </c>
    </row>
    <row r="53" spans="1:4" hidden="1" x14ac:dyDescent="0.3">
      <c r="A53" t="s">
        <v>57</v>
      </c>
      <c r="B53" t="s">
        <v>104</v>
      </c>
      <c r="C53">
        <v>20</v>
      </c>
      <c r="D53" s="20" t="s">
        <v>305</v>
      </c>
    </row>
    <row r="54" spans="1:4" hidden="1" x14ac:dyDescent="0.3">
      <c r="A54" t="s">
        <v>57</v>
      </c>
      <c r="B54" t="s">
        <v>105</v>
      </c>
      <c r="C54">
        <v>20</v>
      </c>
      <c r="D54" s="20" t="s">
        <v>305</v>
      </c>
    </row>
    <row r="55" spans="1:4" hidden="1" x14ac:dyDescent="0.3">
      <c r="A55" t="s">
        <v>57</v>
      </c>
      <c r="B55" t="s">
        <v>106</v>
      </c>
      <c r="C55">
        <v>20</v>
      </c>
      <c r="D55" s="20" t="s">
        <v>305</v>
      </c>
    </row>
    <row r="56" spans="1:4" hidden="1" x14ac:dyDescent="0.3">
      <c r="A56" t="s">
        <v>57</v>
      </c>
      <c r="B56" t="s">
        <v>107</v>
      </c>
      <c r="C56">
        <v>20</v>
      </c>
      <c r="D56" s="20" t="s">
        <v>305</v>
      </c>
    </row>
    <row r="57" spans="1:4" hidden="1" x14ac:dyDescent="0.3">
      <c r="A57" t="s">
        <v>57</v>
      </c>
      <c r="B57" t="s">
        <v>108</v>
      </c>
      <c r="C57">
        <v>20</v>
      </c>
      <c r="D57" s="20" t="s">
        <v>305</v>
      </c>
    </row>
    <row r="58" spans="1:4" hidden="1" x14ac:dyDescent="0.3">
      <c r="A58" t="s">
        <v>57</v>
      </c>
      <c r="B58" t="s">
        <v>109</v>
      </c>
      <c r="C58">
        <v>20</v>
      </c>
      <c r="D58" s="20" t="s">
        <v>305</v>
      </c>
    </row>
    <row r="59" spans="1:4" hidden="1" x14ac:dyDescent="0.3">
      <c r="A59" t="s">
        <v>57</v>
      </c>
      <c r="B59" t="s">
        <v>110</v>
      </c>
      <c r="C59">
        <v>20</v>
      </c>
      <c r="D59" s="20" t="s">
        <v>305</v>
      </c>
    </row>
    <row r="60" spans="1:4" hidden="1" x14ac:dyDescent="0.3">
      <c r="A60" t="s">
        <v>57</v>
      </c>
      <c r="B60" t="s">
        <v>111</v>
      </c>
      <c r="C60">
        <v>20</v>
      </c>
      <c r="D60" s="20" t="s">
        <v>305</v>
      </c>
    </row>
    <row r="61" spans="1:4" hidden="1" x14ac:dyDescent="0.3">
      <c r="A61" t="s">
        <v>57</v>
      </c>
      <c r="B61" t="s">
        <v>112</v>
      </c>
      <c r="C61">
        <v>20</v>
      </c>
      <c r="D61" s="20" t="s">
        <v>305</v>
      </c>
    </row>
    <row r="62" spans="1:4" hidden="1" x14ac:dyDescent="0.3">
      <c r="A62" t="s">
        <v>57</v>
      </c>
      <c r="B62" t="s">
        <v>113</v>
      </c>
      <c r="C62">
        <v>20</v>
      </c>
      <c r="D62" s="20" t="s">
        <v>305</v>
      </c>
    </row>
    <row r="63" spans="1:4" hidden="1" x14ac:dyDescent="0.3">
      <c r="A63" t="s">
        <v>57</v>
      </c>
      <c r="B63" t="s">
        <v>114</v>
      </c>
      <c r="C63">
        <v>20</v>
      </c>
      <c r="D63" s="20" t="s">
        <v>305</v>
      </c>
    </row>
    <row r="64" spans="1:4" hidden="1" x14ac:dyDescent="0.3">
      <c r="A64" t="s">
        <v>57</v>
      </c>
      <c r="B64" t="s">
        <v>115</v>
      </c>
      <c r="C64">
        <v>20</v>
      </c>
      <c r="D64" s="20" t="s">
        <v>305</v>
      </c>
    </row>
    <row r="65" spans="1:4" hidden="1" x14ac:dyDescent="0.3">
      <c r="A65" t="s">
        <v>57</v>
      </c>
      <c r="B65" t="s">
        <v>116</v>
      </c>
      <c r="C65">
        <v>20</v>
      </c>
      <c r="D65" s="20" t="s">
        <v>305</v>
      </c>
    </row>
    <row r="66" spans="1:4" hidden="1" x14ac:dyDescent="0.3">
      <c r="A66" t="s">
        <v>57</v>
      </c>
      <c r="B66" t="s">
        <v>133</v>
      </c>
      <c r="C66">
        <v>20</v>
      </c>
      <c r="D66" s="20" t="s">
        <v>305</v>
      </c>
    </row>
    <row r="67" spans="1:4" hidden="1" x14ac:dyDescent="0.3">
      <c r="A67" t="s">
        <v>299</v>
      </c>
      <c r="B67" t="s">
        <v>150</v>
      </c>
      <c r="C67">
        <v>20</v>
      </c>
      <c r="D67" s="20" t="s">
        <v>308</v>
      </c>
    </row>
    <row r="68" spans="1:4" hidden="1" x14ac:dyDescent="0.3">
      <c r="A68" t="s">
        <v>299</v>
      </c>
      <c r="B68" t="s">
        <v>151</v>
      </c>
      <c r="C68">
        <v>20</v>
      </c>
      <c r="D68" s="20" t="s">
        <v>308</v>
      </c>
    </row>
    <row r="69" spans="1:4" hidden="1" x14ac:dyDescent="0.3">
      <c r="A69" t="s">
        <v>276</v>
      </c>
      <c r="B69" t="s">
        <v>134</v>
      </c>
      <c r="C69">
        <v>20</v>
      </c>
      <c r="D69" s="20">
        <v>66</v>
      </c>
    </row>
    <row r="70" spans="1:4" hidden="1" x14ac:dyDescent="0.3">
      <c r="A70" t="s">
        <v>279</v>
      </c>
      <c r="B70" t="s">
        <v>232</v>
      </c>
      <c r="C70">
        <v>20</v>
      </c>
      <c r="D70" s="20" t="s">
        <v>303</v>
      </c>
    </row>
    <row r="71" spans="1:4" hidden="1" x14ac:dyDescent="0.3">
      <c r="A71" t="s">
        <v>279</v>
      </c>
      <c r="B71" t="s">
        <v>233</v>
      </c>
      <c r="C71">
        <v>20</v>
      </c>
      <c r="D71" s="20" t="s">
        <v>303</v>
      </c>
    </row>
    <row r="72" spans="1:4" hidden="1" x14ac:dyDescent="0.3">
      <c r="A72" t="s">
        <v>57</v>
      </c>
      <c r="B72" t="s">
        <v>117</v>
      </c>
      <c r="C72">
        <v>20</v>
      </c>
      <c r="D72" s="20" t="s">
        <v>305</v>
      </c>
    </row>
    <row r="73" spans="1:4" hidden="1" x14ac:dyDescent="0.3">
      <c r="A73" t="s">
        <v>279</v>
      </c>
      <c r="B73" t="s">
        <v>234</v>
      </c>
      <c r="C73">
        <v>20</v>
      </c>
      <c r="D73" s="20" t="s">
        <v>303</v>
      </c>
    </row>
    <row r="74" spans="1:4" hidden="1" x14ac:dyDescent="0.3">
      <c r="A74" t="s">
        <v>276</v>
      </c>
      <c r="B74" t="s">
        <v>135</v>
      </c>
      <c r="C74">
        <v>20</v>
      </c>
      <c r="D74" s="20">
        <v>66</v>
      </c>
    </row>
    <row r="75" spans="1:4" hidden="1" x14ac:dyDescent="0.3">
      <c r="A75" t="s">
        <v>276</v>
      </c>
      <c r="B75" t="s">
        <v>136</v>
      </c>
      <c r="C75">
        <v>20</v>
      </c>
      <c r="D75" s="20">
        <v>66</v>
      </c>
    </row>
    <row r="76" spans="1:4" hidden="1" x14ac:dyDescent="0.3">
      <c r="A76" t="s">
        <v>269</v>
      </c>
      <c r="B76" t="s">
        <v>136</v>
      </c>
      <c r="C76">
        <v>0</v>
      </c>
      <c r="D76" s="20" t="s">
        <v>311</v>
      </c>
    </row>
    <row r="77" spans="1:4" hidden="1" x14ac:dyDescent="0.3">
      <c r="A77" t="s">
        <v>276</v>
      </c>
      <c r="B77" t="s">
        <v>152</v>
      </c>
      <c r="C77">
        <v>20</v>
      </c>
      <c r="D77" s="20">
        <v>66</v>
      </c>
    </row>
    <row r="78" spans="1:4" hidden="1" x14ac:dyDescent="0.3">
      <c r="A78" t="s">
        <v>59</v>
      </c>
      <c r="B78" t="s">
        <v>153</v>
      </c>
      <c r="C78">
        <v>20</v>
      </c>
      <c r="D78" s="20" t="s">
        <v>308</v>
      </c>
    </row>
    <row r="79" spans="1:4" hidden="1" x14ac:dyDescent="0.3">
      <c r="A79" t="s">
        <v>59</v>
      </c>
      <c r="B79" t="s">
        <v>154</v>
      </c>
      <c r="C79">
        <v>20</v>
      </c>
      <c r="D79" s="20" t="s">
        <v>308</v>
      </c>
    </row>
    <row r="80" spans="1:4" hidden="1" x14ac:dyDescent="0.3">
      <c r="A80" t="s">
        <v>55</v>
      </c>
      <c r="B80" t="s">
        <v>273</v>
      </c>
      <c r="C80">
        <v>0</v>
      </c>
      <c r="D80" s="20">
        <v>45</v>
      </c>
    </row>
    <row r="81" spans="1:4" hidden="1" x14ac:dyDescent="0.3">
      <c r="A81" t="s">
        <v>56</v>
      </c>
      <c r="B81" t="s">
        <v>273</v>
      </c>
      <c r="C81">
        <v>0</v>
      </c>
      <c r="D81" s="20">
        <v>46</v>
      </c>
    </row>
    <row r="82" spans="1:4" hidden="1" x14ac:dyDescent="0.3">
      <c r="A82" t="s">
        <v>276</v>
      </c>
      <c r="B82" t="s">
        <v>137</v>
      </c>
      <c r="C82">
        <v>20</v>
      </c>
      <c r="D82" s="20">
        <v>66</v>
      </c>
    </row>
    <row r="83" spans="1:4" hidden="1" x14ac:dyDescent="0.3">
      <c r="A83" t="s">
        <v>276</v>
      </c>
      <c r="B83" t="s">
        <v>138</v>
      </c>
      <c r="C83">
        <v>20</v>
      </c>
      <c r="D83" s="20">
        <v>66</v>
      </c>
    </row>
    <row r="84" spans="1:4" hidden="1" x14ac:dyDescent="0.3">
      <c r="A84" t="s">
        <v>276</v>
      </c>
      <c r="B84" t="s">
        <v>139</v>
      </c>
      <c r="C84">
        <v>20</v>
      </c>
      <c r="D84" s="20">
        <v>66</v>
      </c>
    </row>
    <row r="85" spans="1:4" hidden="1" x14ac:dyDescent="0.3">
      <c r="A85" t="s">
        <v>276</v>
      </c>
      <c r="B85" t="s">
        <v>140</v>
      </c>
      <c r="C85">
        <v>20</v>
      </c>
      <c r="D85" s="20">
        <v>66</v>
      </c>
    </row>
    <row r="86" spans="1:4" hidden="1" x14ac:dyDescent="0.3">
      <c r="A86" t="s">
        <v>276</v>
      </c>
      <c r="B86" t="s">
        <v>278</v>
      </c>
      <c r="C86">
        <v>20</v>
      </c>
      <c r="D86" s="20">
        <v>66</v>
      </c>
    </row>
    <row r="87" spans="1:4" hidden="1" x14ac:dyDescent="0.3">
      <c r="A87" t="s">
        <v>59</v>
      </c>
      <c r="B87" t="s">
        <v>155</v>
      </c>
      <c r="C87">
        <v>20</v>
      </c>
      <c r="D87" s="20" t="s">
        <v>308</v>
      </c>
    </row>
    <row r="88" spans="1:4" hidden="1" x14ac:dyDescent="0.3">
      <c r="A88" t="s">
        <v>59</v>
      </c>
      <c r="B88" t="s">
        <v>156</v>
      </c>
      <c r="C88">
        <v>20</v>
      </c>
      <c r="D88" s="20" t="s">
        <v>308</v>
      </c>
    </row>
    <row r="89" spans="1:4" hidden="1" x14ac:dyDescent="0.3">
      <c r="A89" t="s">
        <v>297</v>
      </c>
      <c r="B89" t="s">
        <v>156</v>
      </c>
      <c r="C89">
        <v>20</v>
      </c>
      <c r="D89" s="20" t="s">
        <v>310</v>
      </c>
    </row>
    <row r="90" spans="1:4" hidden="1" x14ac:dyDescent="0.3">
      <c r="A90" t="s">
        <v>276</v>
      </c>
      <c r="B90" t="s">
        <v>157</v>
      </c>
      <c r="C90">
        <v>20</v>
      </c>
      <c r="D90" s="20">
        <v>66</v>
      </c>
    </row>
    <row r="91" spans="1:4" hidden="1" x14ac:dyDescent="0.3">
      <c r="A91" t="s">
        <v>59</v>
      </c>
      <c r="B91" t="s">
        <v>158</v>
      </c>
      <c r="C91">
        <v>20</v>
      </c>
      <c r="D91" s="20" t="s">
        <v>308</v>
      </c>
    </row>
    <row r="92" spans="1:4" hidden="1" x14ac:dyDescent="0.3">
      <c r="A92" t="s">
        <v>59</v>
      </c>
      <c r="B92" t="s">
        <v>159</v>
      </c>
      <c r="C92">
        <v>20</v>
      </c>
      <c r="D92" s="20" t="s">
        <v>308</v>
      </c>
    </row>
    <row r="93" spans="1:4" hidden="1" x14ac:dyDescent="0.3">
      <c r="A93" t="s">
        <v>59</v>
      </c>
      <c r="B93" t="s">
        <v>160</v>
      </c>
      <c r="C93">
        <v>20</v>
      </c>
      <c r="D93" s="20" t="s">
        <v>308</v>
      </c>
    </row>
    <row r="94" spans="1:4" hidden="1" x14ac:dyDescent="0.3">
      <c r="A94" t="s">
        <v>59</v>
      </c>
      <c r="B94" t="s">
        <v>161</v>
      </c>
      <c r="C94">
        <v>20</v>
      </c>
      <c r="D94" s="20" t="s">
        <v>308</v>
      </c>
    </row>
    <row r="95" spans="1:4" hidden="1" x14ac:dyDescent="0.3">
      <c r="A95" t="s">
        <v>59</v>
      </c>
      <c r="B95" t="s">
        <v>162</v>
      </c>
      <c r="C95">
        <v>20</v>
      </c>
      <c r="D95" s="20" t="s">
        <v>308</v>
      </c>
    </row>
    <row r="96" spans="1:4" hidden="1" x14ac:dyDescent="0.3">
      <c r="A96" t="s">
        <v>276</v>
      </c>
      <c r="B96" t="s">
        <v>97</v>
      </c>
      <c r="C96">
        <v>20</v>
      </c>
      <c r="D96" s="20">
        <v>66</v>
      </c>
    </row>
    <row r="97" spans="1:5" hidden="1" x14ac:dyDescent="0.3">
      <c r="A97" t="s">
        <v>279</v>
      </c>
      <c r="B97" t="s">
        <v>235</v>
      </c>
      <c r="C97">
        <v>20</v>
      </c>
      <c r="D97" s="20" t="s">
        <v>303</v>
      </c>
    </row>
    <row r="98" spans="1:5" hidden="1" x14ac:dyDescent="0.3">
      <c r="A98" t="s">
        <v>279</v>
      </c>
      <c r="B98" t="s">
        <v>236</v>
      </c>
      <c r="C98">
        <v>20</v>
      </c>
      <c r="D98" s="20" t="s">
        <v>303</v>
      </c>
    </row>
    <row r="99" spans="1:5" hidden="1" x14ac:dyDescent="0.3">
      <c r="A99" t="s">
        <v>57</v>
      </c>
      <c r="B99" t="s">
        <v>236</v>
      </c>
      <c r="C99">
        <v>20</v>
      </c>
      <c r="D99" s="20" t="s">
        <v>305</v>
      </c>
    </row>
    <row r="100" spans="1:5" hidden="1" x14ac:dyDescent="0.3">
      <c r="A100" t="s">
        <v>279</v>
      </c>
      <c r="B100" t="s">
        <v>237</v>
      </c>
      <c r="C100">
        <v>20</v>
      </c>
      <c r="D100" s="20" t="s">
        <v>303</v>
      </c>
    </row>
    <row r="101" spans="1:5" hidden="1" x14ac:dyDescent="0.3">
      <c r="A101" t="s">
        <v>279</v>
      </c>
      <c r="B101" t="s">
        <v>238</v>
      </c>
      <c r="C101">
        <v>20</v>
      </c>
      <c r="D101" s="20" t="s">
        <v>303</v>
      </c>
    </row>
    <row r="102" spans="1:5" hidden="1" x14ac:dyDescent="0.3">
      <c r="A102" t="s">
        <v>276</v>
      </c>
      <c r="B102" t="s">
        <v>141</v>
      </c>
      <c r="C102">
        <v>20</v>
      </c>
      <c r="D102" s="20">
        <v>66</v>
      </c>
    </row>
    <row r="103" spans="1:5" hidden="1" x14ac:dyDescent="0.3">
      <c r="A103" t="s">
        <v>279</v>
      </c>
      <c r="B103" t="s">
        <v>239</v>
      </c>
      <c r="C103">
        <v>20</v>
      </c>
      <c r="D103" s="20" t="s">
        <v>303</v>
      </c>
    </row>
    <row r="104" spans="1:5" hidden="1" x14ac:dyDescent="0.3">
      <c r="A104" t="s">
        <v>57</v>
      </c>
      <c r="B104" t="s">
        <v>118</v>
      </c>
      <c r="C104">
        <v>20</v>
      </c>
      <c r="D104" s="20" t="s">
        <v>305</v>
      </c>
    </row>
    <row r="105" spans="1:5" hidden="1" x14ac:dyDescent="0.3">
      <c r="A105" t="s">
        <v>59</v>
      </c>
      <c r="B105" t="s">
        <v>142</v>
      </c>
      <c r="C105">
        <v>20</v>
      </c>
      <c r="D105" s="20" t="s">
        <v>308</v>
      </c>
    </row>
    <row r="106" spans="1:5" hidden="1" x14ac:dyDescent="0.3">
      <c r="A106" t="s">
        <v>59</v>
      </c>
      <c r="B106" t="s">
        <v>143</v>
      </c>
      <c r="C106">
        <v>20</v>
      </c>
      <c r="D106" s="20" t="s">
        <v>308</v>
      </c>
    </row>
    <row r="107" spans="1:5" hidden="1" x14ac:dyDescent="0.3">
      <c r="A107" t="s">
        <v>276</v>
      </c>
      <c r="B107" t="s">
        <v>98</v>
      </c>
      <c r="C107">
        <v>20</v>
      </c>
      <c r="D107" s="20">
        <v>66</v>
      </c>
    </row>
    <row r="108" spans="1:5" hidden="1" x14ac:dyDescent="0.3">
      <c r="A108" t="s">
        <v>57</v>
      </c>
      <c r="B108" t="s">
        <v>119</v>
      </c>
      <c r="C108">
        <v>20</v>
      </c>
      <c r="D108" s="20" t="s">
        <v>305</v>
      </c>
    </row>
    <row r="109" spans="1:5" hidden="1" x14ac:dyDescent="0.3">
      <c r="A109" t="s">
        <v>56</v>
      </c>
      <c r="B109" t="s">
        <v>274</v>
      </c>
      <c r="C109">
        <v>0</v>
      </c>
      <c r="D109" s="20">
        <v>46</v>
      </c>
    </row>
    <row r="110" spans="1:5" hidden="1" x14ac:dyDescent="0.3">
      <c r="A110" t="s">
        <v>276</v>
      </c>
      <c r="B110" t="s">
        <v>99</v>
      </c>
      <c r="C110">
        <v>20</v>
      </c>
      <c r="D110" s="20">
        <v>66</v>
      </c>
    </row>
    <row r="111" spans="1:5" hidden="1" x14ac:dyDescent="0.3">
      <c r="A111" t="s">
        <v>279</v>
      </c>
      <c r="B111" t="s">
        <v>240</v>
      </c>
      <c r="C111">
        <v>20</v>
      </c>
      <c r="D111" s="20" t="s">
        <v>303</v>
      </c>
    </row>
    <row r="112" spans="1:5" x14ac:dyDescent="0.3">
      <c r="A112" t="s">
        <v>291</v>
      </c>
      <c r="B112" t="s">
        <v>62</v>
      </c>
      <c r="C112">
        <v>20</v>
      </c>
      <c r="D112" s="20" t="s">
        <v>309</v>
      </c>
      <c r="E112">
        <v>128.30000000000001</v>
      </c>
    </row>
    <row r="113" spans="1:5" x14ac:dyDescent="0.3">
      <c r="A113" t="s">
        <v>291</v>
      </c>
      <c r="B113" t="s">
        <v>63</v>
      </c>
      <c r="C113">
        <v>20</v>
      </c>
      <c r="D113" s="20" t="s">
        <v>309</v>
      </c>
      <c r="E113">
        <v>65.900000000000006</v>
      </c>
    </row>
    <row r="114" spans="1:5" x14ac:dyDescent="0.3">
      <c r="A114" t="s">
        <v>291</v>
      </c>
      <c r="B114" t="s">
        <v>64</v>
      </c>
      <c r="C114">
        <v>20</v>
      </c>
      <c r="D114" s="20" t="s">
        <v>309</v>
      </c>
      <c r="E114">
        <v>66</v>
      </c>
    </row>
    <row r="115" spans="1:5" x14ac:dyDescent="0.3">
      <c r="A115" t="s">
        <v>291</v>
      </c>
      <c r="B115" t="s">
        <v>65</v>
      </c>
      <c r="C115">
        <v>20</v>
      </c>
      <c r="D115" s="20" t="s">
        <v>309</v>
      </c>
      <c r="E115">
        <v>66</v>
      </c>
    </row>
    <row r="116" spans="1:5" x14ac:dyDescent="0.3">
      <c r="A116" t="s">
        <v>291</v>
      </c>
      <c r="B116" t="s">
        <v>66</v>
      </c>
      <c r="C116">
        <v>20</v>
      </c>
      <c r="D116" s="20" t="s">
        <v>309</v>
      </c>
      <c r="E116">
        <v>66.900000000000006</v>
      </c>
    </row>
    <row r="117" spans="1:5" x14ac:dyDescent="0.3">
      <c r="A117" t="s">
        <v>291</v>
      </c>
      <c r="B117" t="s">
        <v>67</v>
      </c>
      <c r="C117">
        <v>20</v>
      </c>
      <c r="D117" s="20" t="s">
        <v>309</v>
      </c>
      <c r="E117">
        <v>105.4</v>
      </c>
    </row>
    <row r="118" spans="1:5" hidden="1" x14ac:dyDescent="0.3">
      <c r="A118" t="s">
        <v>280</v>
      </c>
      <c r="B118" t="s">
        <v>68</v>
      </c>
      <c r="C118">
        <v>20</v>
      </c>
      <c r="D118" s="20">
        <v>41</v>
      </c>
      <c r="E118">
        <v>30.8</v>
      </c>
    </row>
    <row r="119" spans="1:5" hidden="1" x14ac:dyDescent="0.3">
      <c r="A119" t="s">
        <v>286</v>
      </c>
      <c r="B119" t="s">
        <v>68</v>
      </c>
      <c r="C119">
        <v>0</v>
      </c>
      <c r="D119" s="20">
        <v>0</v>
      </c>
    </row>
    <row r="120" spans="1:5" x14ac:dyDescent="0.3">
      <c r="A120" t="s">
        <v>284</v>
      </c>
      <c r="B120" t="s">
        <v>69</v>
      </c>
      <c r="C120">
        <v>5</v>
      </c>
      <c r="D120" s="20" t="s">
        <v>304</v>
      </c>
      <c r="E120">
        <v>18.3</v>
      </c>
    </row>
    <row r="121" spans="1:5" x14ac:dyDescent="0.3">
      <c r="A121" t="s">
        <v>58</v>
      </c>
      <c r="B121" t="s">
        <v>70</v>
      </c>
      <c r="C121">
        <v>5</v>
      </c>
      <c r="D121" s="20" t="s">
        <v>304</v>
      </c>
      <c r="E121">
        <v>5.8</v>
      </c>
    </row>
    <row r="122" spans="1:5" x14ac:dyDescent="0.3">
      <c r="A122" t="s">
        <v>280</v>
      </c>
      <c r="B122" t="s">
        <v>71</v>
      </c>
      <c r="C122">
        <v>20</v>
      </c>
      <c r="D122" s="20">
        <v>41</v>
      </c>
      <c r="E122">
        <v>15.1</v>
      </c>
    </row>
    <row r="123" spans="1:5" x14ac:dyDescent="0.3">
      <c r="A123" t="s">
        <v>284</v>
      </c>
      <c r="B123" t="s">
        <v>72</v>
      </c>
      <c r="C123">
        <v>5</v>
      </c>
      <c r="D123" s="20" t="s">
        <v>304</v>
      </c>
      <c r="E123">
        <v>18.8</v>
      </c>
    </row>
    <row r="124" spans="1:5" x14ac:dyDescent="0.3">
      <c r="A124" t="s">
        <v>58</v>
      </c>
      <c r="B124" t="s">
        <v>73</v>
      </c>
      <c r="C124">
        <v>5</v>
      </c>
      <c r="D124" s="20" t="s">
        <v>304</v>
      </c>
      <c r="E124">
        <v>5</v>
      </c>
    </row>
    <row r="125" spans="1:5" x14ac:dyDescent="0.3">
      <c r="A125" t="s">
        <v>284</v>
      </c>
      <c r="B125" t="s">
        <v>74</v>
      </c>
      <c r="C125">
        <v>5</v>
      </c>
      <c r="D125" s="20" t="s">
        <v>304</v>
      </c>
      <c r="E125">
        <v>7</v>
      </c>
    </row>
    <row r="126" spans="1:5" x14ac:dyDescent="0.3">
      <c r="A126" t="s">
        <v>291</v>
      </c>
      <c r="B126" t="s">
        <v>75</v>
      </c>
      <c r="C126">
        <v>20</v>
      </c>
      <c r="D126" s="20" t="s">
        <v>309</v>
      </c>
      <c r="E126">
        <v>129.1</v>
      </c>
    </row>
    <row r="127" spans="1:5" x14ac:dyDescent="0.3">
      <c r="A127" t="s">
        <v>291</v>
      </c>
      <c r="B127" t="s">
        <v>76</v>
      </c>
      <c r="C127">
        <v>20</v>
      </c>
      <c r="D127" s="20" t="s">
        <v>309</v>
      </c>
      <c r="E127">
        <v>198.9</v>
      </c>
    </row>
    <row r="128" spans="1:5" hidden="1" x14ac:dyDescent="0.3">
      <c r="A128" t="s">
        <v>291</v>
      </c>
      <c r="B128" t="s">
        <v>164</v>
      </c>
      <c r="C128">
        <v>20</v>
      </c>
      <c r="D128" s="20" t="s">
        <v>309</v>
      </c>
    </row>
    <row r="129" spans="1:4" hidden="1" x14ac:dyDescent="0.3">
      <c r="A129" t="s">
        <v>291</v>
      </c>
      <c r="B129" t="s">
        <v>184</v>
      </c>
      <c r="C129">
        <v>20</v>
      </c>
      <c r="D129" s="20" t="s">
        <v>309</v>
      </c>
    </row>
    <row r="130" spans="1:4" hidden="1" x14ac:dyDescent="0.3">
      <c r="A130" t="s">
        <v>280</v>
      </c>
      <c r="B130" t="s">
        <v>281</v>
      </c>
      <c r="C130">
        <v>20</v>
      </c>
      <c r="D130" s="20">
        <v>41</v>
      </c>
    </row>
    <row r="131" spans="1:4" hidden="1" x14ac:dyDescent="0.3">
      <c r="A131" t="s">
        <v>286</v>
      </c>
      <c r="B131" t="s">
        <v>281</v>
      </c>
      <c r="C131">
        <v>0</v>
      </c>
      <c r="D131" s="20">
        <v>0</v>
      </c>
    </row>
    <row r="132" spans="1:4" hidden="1" x14ac:dyDescent="0.3">
      <c r="A132" t="s">
        <v>280</v>
      </c>
      <c r="B132" t="s">
        <v>282</v>
      </c>
      <c r="C132">
        <v>20</v>
      </c>
      <c r="D132" s="20">
        <v>41</v>
      </c>
    </row>
    <row r="133" spans="1:4" hidden="1" x14ac:dyDescent="0.3">
      <c r="A133" t="s">
        <v>61</v>
      </c>
      <c r="B133" t="s">
        <v>271</v>
      </c>
      <c r="C133">
        <v>20</v>
      </c>
      <c r="D133" s="20" t="s">
        <v>307</v>
      </c>
    </row>
    <row r="134" spans="1:4" hidden="1" x14ac:dyDescent="0.3">
      <c r="A134" t="s">
        <v>284</v>
      </c>
      <c r="B134" t="s">
        <v>264</v>
      </c>
      <c r="C134">
        <v>5</v>
      </c>
      <c r="D134" s="20" t="s">
        <v>304</v>
      </c>
    </row>
    <row r="135" spans="1:4" hidden="1" x14ac:dyDescent="0.3">
      <c r="A135" t="s">
        <v>284</v>
      </c>
      <c r="B135" t="s">
        <v>185</v>
      </c>
      <c r="C135">
        <v>5</v>
      </c>
      <c r="D135" s="20" t="s">
        <v>304</v>
      </c>
    </row>
    <row r="136" spans="1:4" hidden="1" x14ac:dyDescent="0.3">
      <c r="A136" t="s">
        <v>291</v>
      </c>
      <c r="B136" t="s">
        <v>185</v>
      </c>
      <c r="C136">
        <v>20</v>
      </c>
      <c r="D136" s="20" t="s">
        <v>309</v>
      </c>
    </row>
    <row r="137" spans="1:4" hidden="1" x14ac:dyDescent="0.3">
      <c r="A137" t="s">
        <v>291</v>
      </c>
      <c r="B137" t="s">
        <v>186</v>
      </c>
      <c r="C137">
        <v>20</v>
      </c>
      <c r="D137" s="20" t="s">
        <v>309</v>
      </c>
    </row>
    <row r="138" spans="1:4" hidden="1" x14ac:dyDescent="0.3">
      <c r="A138" t="s">
        <v>291</v>
      </c>
      <c r="B138" t="s">
        <v>241</v>
      </c>
      <c r="C138">
        <v>20</v>
      </c>
      <c r="D138" s="20" t="s">
        <v>309</v>
      </c>
    </row>
    <row r="139" spans="1:4" hidden="1" x14ac:dyDescent="0.3">
      <c r="A139" t="s">
        <v>290</v>
      </c>
      <c r="B139" t="s">
        <v>242</v>
      </c>
      <c r="C139">
        <v>20</v>
      </c>
      <c r="D139" s="20" t="s">
        <v>308</v>
      </c>
    </row>
    <row r="140" spans="1:4" hidden="1" x14ac:dyDescent="0.3">
      <c r="A140" t="s">
        <v>284</v>
      </c>
      <c r="B140" t="s">
        <v>243</v>
      </c>
      <c r="C140">
        <v>5</v>
      </c>
      <c r="D140" s="20" t="s">
        <v>304</v>
      </c>
    </row>
    <row r="141" spans="1:4" hidden="1" x14ac:dyDescent="0.3">
      <c r="A141" t="s">
        <v>291</v>
      </c>
      <c r="B141" t="s">
        <v>244</v>
      </c>
      <c r="C141">
        <v>20</v>
      </c>
      <c r="D141" s="20" t="s">
        <v>309</v>
      </c>
    </row>
    <row r="142" spans="1:4" hidden="1" x14ac:dyDescent="0.3">
      <c r="A142" t="s">
        <v>290</v>
      </c>
      <c r="B142" t="s">
        <v>245</v>
      </c>
      <c r="C142">
        <v>20</v>
      </c>
      <c r="D142" s="20" t="s">
        <v>308</v>
      </c>
    </row>
    <row r="143" spans="1:4" hidden="1" x14ac:dyDescent="0.3">
      <c r="A143" t="s">
        <v>284</v>
      </c>
      <c r="B143" t="s">
        <v>246</v>
      </c>
      <c r="C143">
        <v>5</v>
      </c>
      <c r="D143" s="20" t="s">
        <v>304</v>
      </c>
    </row>
    <row r="144" spans="1:4" hidden="1" x14ac:dyDescent="0.3">
      <c r="A144" t="s">
        <v>58</v>
      </c>
      <c r="B144" t="s">
        <v>265</v>
      </c>
      <c r="C144">
        <v>5</v>
      </c>
      <c r="D144" s="20" t="s">
        <v>304</v>
      </c>
    </row>
    <row r="145" spans="1:4" hidden="1" x14ac:dyDescent="0.3">
      <c r="A145" t="s">
        <v>284</v>
      </c>
      <c r="B145" t="s">
        <v>247</v>
      </c>
      <c r="C145">
        <v>5</v>
      </c>
      <c r="D145" s="20" t="s">
        <v>304</v>
      </c>
    </row>
    <row r="146" spans="1:4" hidden="1" x14ac:dyDescent="0.3">
      <c r="A146" t="s">
        <v>280</v>
      </c>
      <c r="B146" t="s">
        <v>165</v>
      </c>
      <c r="C146">
        <v>20</v>
      </c>
      <c r="D146" s="20">
        <v>41</v>
      </c>
    </row>
    <row r="147" spans="1:4" hidden="1" x14ac:dyDescent="0.3">
      <c r="A147" t="s">
        <v>286</v>
      </c>
      <c r="B147" t="s">
        <v>165</v>
      </c>
      <c r="C147">
        <v>0</v>
      </c>
      <c r="D147" s="20">
        <v>0</v>
      </c>
    </row>
    <row r="148" spans="1:4" hidden="1" x14ac:dyDescent="0.3">
      <c r="A148" t="s">
        <v>291</v>
      </c>
      <c r="B148" t="s">
        <v>187</v>
      </c>
      <c r="C148">
        <v>20</v>
      </c>
      <c r="D148" s="20" t="s">
        <v>309</v>
      </c>
    </row>
    <row r="149" spans="1:4" hidden="1" x14ac:dyDescent="0.3">
      <c r="A149" t="s">
        <v>291</v>
      </c>
      <c r="B149" t="s">
        <v>188</v>
      </c>
      <c r="C149">
        <v>20</v>
      </c>
      <c r="D149" s="20" t="s">
        <v>309</v>
      </c>
    </row>
    <row r="150" spans="1:4" hidden="1" x14ac:dyDescent="0.3">
      <c r="A150" t="s">
        <v>295</v>
      </c>
      <c r="B150" t="s">
        <v>188</v>
      </c>
      <c r="C150">
        <v>20</v>
      </c>
      <c r="D150" s="20" t="s">
        <v>310</v>
      </c>
    </row>
    <row r="151" spans="1:4" hidden="1" x14ac:dyDescent="0.3">
      <c r="A151" t="s">
        <v>280</v>
      </c>
      <c r="B151" t="s">
        <v>189</v>
      </c>
      <c r="C151">
        <v>20</v>
      </c>
      <c r="D151" s="20">
        <v>41</v>
      </c>
    </row>
    <row r="152" spans="1:4" hidden="1" x14ac:dyDescent="0.3">
      <c r="A152" t="s">
        <v>291</v>
      </c>
      <c r="B152" t="s">
        <v>190</v>
      </c>
      <c r="C152">
        <v>20</v>
      </c>
      <c r="D152" s="20" t="s">
        <v>309</v>
      </c>
    </row>
    <row r="153" spans="1:4" hidden="1" x14ac:dyDescent="0.3">
      <c r="A153" t="s">
        <v>298</v>
      </c>
      <c r="B153" t="s">
        <v>190</v>
      </c>
      <c r="C153">
        <v>20</v>
      </c>
      <c r="D153" s="20" t="s">
        <v>311</v>
      </c>
    </row>
    <row r="154" spans="1:4" hidden="1" x14ac:dyDescent="0.3">
      <c r="A154" t="s">
        <v>280</v>
      </c>
      <c r="B154" t="s">
        <v>191</v>
      </c>
      <c r="C154">
        <v>20</v>
      </c>
      <c r="D154" s="20">
        <v>41</v>
      </c>
    </row>
    <row r="155" spans="1:4" hidden="1" x14ac:dyDescent="0.3">
      <c r="A155" t="s">
        <v>291</v>
      </c>
      <c r="B155" t="s">
        <v>192</v>
      </c>
      <c r="C155">
        <v>20</v>
      </c>
      <c r="D155" s="20" t="s">
        <v>309</v>
      </c>
    </row>
    <row r="156" spans="1:4" hidden="1" x14ac:dyDescent="0.3">
      <c r="A156" t="s">
        <v>291</v>
      </c>
      <c r="B156" t="s">
        <v>193</v>
      </c>
      <c r="C156">
        <v>20</v>
      </c>
      <c r="D156" s="20" t="s">
        <v>309</v>
      </c>
    </row>
    <row r="157" spans="1:4" hidden="1" x14ac:dyDescent="0.3">
      <c r="A157" t="s">
        <v>291</v>
      </c>
      <c r="B157" t="s">
        <v>194</v>
      </c>
      <c r="C157">
        <v>20</v>
      </c>
      <c r="D157" s="20" t="s">
        <v>309</v>
      </c>
    </row>
    <row r="158" spans="1:4" hidden="1" x14ac:dyDescent="0.3">
      <c r="A158" t="s">
        <v>280</v>
      </c>
      <c r="B158" t="s">
        <v>120</v>
      </c>
      <c r="C158">
        <v>20</v>
      </c>
      <c r="D158" s="20">
        <v>41</v>
      </c>
    </row>
    <row r="159" spans="1:4" hidden="1" x14ac:dyDescent="0.3">
      <c r="A159" t="s">
        <v>286</v>
      </c>
      <c r="B159" t="s">
        <v>120</v>
      </c>
      <c r="C159">
        <v>0</v>
      </c>
      <c r="D159" s="20">
        <v>0</v>
      </c>
    </row>
    <row r="160" spans="1:4" hidden="1" x14ac:dyDescent="0.3">
      <c r="A160" t="s">
        <v>284</v>
      </c>
      <c r="B160" t="s">
        <v>248</v>
      </c>
      <c r="C160">
        <v>5</v>
      </c>
      <c r="D160" s="20" t="s">
        <v>304</v>
      </c>
    </row>
    <row r="161" spans="1:4" hidden="1" x14ac:dyDescent="0.3">
      <c r="A161" t="s">
        <v>284</v>
      </c>
      <c r="B161" t="s">
        <v>249</v>
      </c>
      <c r="C161">
        <v>5</v>
      </c>
      <c r="D161" s="20" t="s">
        <v>304</v>
      </c>
    </row>
    <row r="162" spans="1:4" hidden="1" x14ac:dyDescent="0.3">
      <c r="A162" t="s">
        <v>280</v>
      </c>
      <c r="B162" t="s">
        <v>166</v>
      </c>
      <c r="C162">
        <v>20</v>
      </c>
      <c r="D162" s="20">
        <v>41</v>
      </c>
    </row>
    <row r="163" spans="1:4" hidden="1" x14ac:dyDescent="0.3">
      <c r="A163" t="s">
        <v>300</v>
      </c>
      <c r="B163" t="s">
        <v>166</v>
      </c>
      <c r="C163">
        <v>20</v>
      </c>
      <c r="D163" s="20" t="s">
        <v>311</v>
      </c>
    </row>
    <row r="164" spans="1:4" hidden="1" x14ac:dyDescent="0.3">
      <c r="A164" t="s">
        <v>269</v>
      </c>
      <c r="B164" t="s">
        <v>166</v>
      </c>
      <c r="C164">
        <v>0</v>
      </c>
      <c r="D164" s="20" t="s">
        <v>311</v>
      </c>
    </row>
    <row r="165" spans="1:4" hidden="1" x14ac:dyDescent="0.3">
      <c r="A165" t="s">
        <v>284</v>
      </c>
      <c r="B165" t="s">
        <v>250</v>
      </c>
      <c r="C165">
        <v>5</v>
      </c>
      <c r="D165" s="20" t="s">
        <v>304</v>
      </c>
    </row>
    <row r="166" spans="1:4" hidden="1" x14ac:dyDescent="0.3">
      <c r="A166" t="s">
        <v>280</v>
      </c>
      <c r="B166" t="s">
        <v>167</v>
      </c>
      <c r="C166">
        <v>20</v>
      </c>
      <c r="D166" s="20">
        <v>41</v>
      </c>
    </row>
    <row r="167" spans="1:4" hidden="1" x14ac:dyDescent="0.3">
      <c r="A167" t="s">
        <v>291</v>
      </c>
      <c r="B167" t="s">
        <v>168</v>
      </c>
      <c r="C167">
        <v>20</v>
      </c>
      <c r="D167" s="20" t="s">
        <v>309</v>
      </c>
    </row>
    <row r="168" spans="1:4" hidden="1" x14ac:dyDescent="0.3">
      <c r="A168" t="s">
        <v>291</v>
      </c>
      <c r="B168" t="s">
        <v>169</v>
      </c>
      <c r="C168">
        <v>20</v>
      </c>
      <c r="D168" s="20" t="s">
        <v>309</v>
      </c>
    </row>
    <row r="169" spans="1:4" hidden="1" x14ac:dyDescent="0.3">
      <c r="A169" t="s">
        <v>291</v>
      </c>
      <c r="B169" t="s">
        <v>170</v>
      </c>
      <c r="C169">
        <v>20</v>
      </c>
      <c r="D169" s="20" t="s">
        <v>309</v>
      </c>
    </row>
    <row r="170" spans="1:4" hidden="1" x14ac:dyDescent="0.3">
      <c r="A170" t="s">
        <v>58</v>
      </c>
      <c r="B170" t="s">
        <v>266</v>
      </c>
      <c r="C170">
        <v>5</v>
      </c>
      <c r="D170" s="20" t="s">
        <v>304</v>
      </c>
    </row>
    <row r="171" spans="1:4" hidden="1" x14ac:dyDescent="0.3">
      <c r="A171" t="s">
        <v>284</v>
      </c>
      <c r="B171" t="s">
        <v>251</v>
      </c>
      <c r="C171">
        <v>5</v>
      </c>
      <c r="D171" s="20" t="s">
        <v>304</v>
      </c>
    </row>
    <row r="172" spans="1:4" hidden="1" x14ac:dyDescent="0.3">
      <c r="A172" t="s">
        <v>280</v>
      </c>
      <c r="B172" t="s">
        <v>121</v>
      </c>
      <c r="C172">
        <v>20</v>
      </c>
      <c r="D172" s="20">
        <v>41</v>
      </c>
    </row>
    <row r="173" spans="1:4" hidden="1" x14ac:dyDescent="0.3">
      <c r="A173" t="s">
        <v>286</v>
      </c>
      <c r="B173" t="s">
        <v>121</v>
      </c>
      <c r="C173">
        <v>0</v>
      </c>
      <c r="D173" s="20">
        <v>0</v>
      </c>
    </row>
    <row r="174" spans="1:4" hidden="1" x14ac:dyDescent="0.3">
      <c r="A174" t="s">
        <v>291</v>
      </c>
      <c r="B174" t="s">
        <v>171</v>
      </c>
      <c r="C174">
        <v>20</v>
      </c>
      <c r="D174" s="20" t="s">
        <v>309</v>
      </c>
    </row>
    <row r="175" spans="1:4" hidden="1" x14ac:dyDescent="0.3">
      <c r="A175" t="s">
        <v>291</v>
      </c>
      <c r="B175" t="s">
        <v>292</v>
      </c>
      <c r="C175">
        <v>20</v>
      </c>
      <c r="D175" s="20" t="s">
        <v>309</v>
      </c>
    </row>
    <row r="176" spans="1:4" hidden="1" x14ac:dyDescent="0.3">
      <c r="A176" t="s">
        <v>291</v>
      </c>
      <c r="B176" t="s">
        <v>172</v>
      </c>
      <c r="C176">
        <v>20</v>
      </c>
      <c r="D176" s="20" t="s">
        <v>309</v>
      </c>
    </row>
    <row r="177" spans="1:5" hidden="1" x14ac:dyDescent="0.3">
      <c r="A177" t="s">
        <v>58</v>
      </c>
      <c r="B177" t="s">
        <v>252</v>
      </c>
      <c r="C177">
        <v>5</v>
      </c>
      <c r="D177" s="20" t="s">
        <v>304</v>
      </c>
    </row>
    <row r="178" spans="1:5" x14ac:dyDescent="0.3">
      <c r="A178" t="s">
        <v>291</v>
      </c>
      <c r="B178" t="s">
        <v>77</v>
      </c>
      <c r="C178">
        <v>20</v>
      </c>
      <c r="D178" s="20" t="s">
        <v>309</v>
      </c>
      <c r="E178">
        <v>63.6</v>
      </c>
    </row>
    <row r="179" spans="1:5" x14ac:dyDescent="0.3">
      <c r="A179" t="s">
        <v>291</v>
      </c>
      <c r="B179" t="s">
        <v>78</v>
      </c>
      <c r="C179">
        <v>20</v>
      </c>
      <c r="D179" s="20" t="s">
        <v>309</v>
      </c>
      <c r="E179">
        <v>62.7</v>
      </c>
    </row>
    <row r="180" spans="1:5" x14ac:dyDescent="0.3">
      <c r="A180" t="s">
        <v>291</v>
      </c>
      <c r="B180" t="s">
        <v>79</v>
      </c>
      <c r="C180">
        <v>20</v>
      </c>
      <c r="D180" s="20" t="s">
        <v>309</v>
      </c>
      <c r="E180">
        <v>65.400000000000006</v>
      </c>
    </row>
    <row r="181" spans="1:5" x14ac:dyDescent="0.3">
      <c r="A181" t="s">
        <v>291</v>
      </c>
      <c r="B181" t="s">
        <v>80</v>
      </c>
      <c r="C181">
        <v>20</v>
      </c>
      <c r="D181" s="20" t="s">
        <v>309</v>
      </c>
      <c r="E181">
        <v>65.5</v>
      </c>
    </row>
    <row r="182" spans="1:5" x14ac:dyDescent="0.3">
      <c r="A182" t="s">
        <v>291</v>
      </c>
      <c r="B182" t="s">
        <v>81</v>
      </c>
      <c r="C182">
        <v>20</v>
      </c>
      <c r="D182" s="20" t="s">
        <v>309</v>
      </c>
      <c r="E182">
        <v>65.599999999999994</v>
      </c>
    </row>
    <row r="183" spans="1:5" x14ac:dyDescent="0.3">
      <c r="A183" t="s">
        <v>291</v>
      </c>
      <c r="B183" t="s">
        <v>82</v>
      </c>
      <c r="C183">
        <v>20</v>
      </c>
      <c r="D183" s="20" t="s">
        <v>309</v>
      </c>
      <c r="E183">
        <v>67.400000000000006</v>
      </c>
    </row>
    <row r="184" spans="1:5" x14ac:dyDescent="0.3">
      <c r="A184" t="s">
        <v>291</v>
      </c>
      <c r="B184" t="s">
        <v>83</v>
      </c>
      <c r="C184">
        <v>20</v>
      </c>
      <c r="D184" s="20" t="s">
        <v>309</v>
      </c>
      <c r="E184">
        <v>74.7</v>
      </c>
    </row>
    <row r="185" spans="1:5" x14ac:dyDescent="0.3">
      <c r="A185" t="s">
        <v>291</v>
      </c>
      <c r="B185" t="s">
        <v>84</v>
      </c>
      <c r="C185">
        <v>20</v>
      </c>
      <c r="D185" s="20" t="s">
        <v>309</v>
      </c>
      <c r="E185">
        <v>28.2</v>
      </c>
    </row>
    <row r="186" spans="1:5" hidden="1" x14ac:dyDescent="0.3">
      <c r="A186" t="s">
        <v>280</v>
      </c>
      <c r="B186" t="s">
        <v>85</v>
      </c>
      <c r="C186">
        <v>20</v>
      </c>
      <c r="D186" s="20">
        <v>41</v>
      </c>
      <c r="E186">
        <v>30.8</v>
      </c>
    </row>
    <row r="187" spans="1:5" hidden="1" x14ac:dyDescent="0.3">
      <c r="A187" t="s">
        <v>286</v>
      </c>
      <c r="B187" t="s">
        <v>85</v>
      </c>
      <c r="C187">
        <v>0</v>
      </c>
      <c r="D187" s="20">
        <v>0</v>
      </c>
    </row>
    <row r="188" spans="1:5" x14ac:dyDescent="0.3">
      <c r="A188" t="s">
        <v>284</v>
      </c>
      <c r="B188" t="s">
        <v>86</v>
      </c>
      <c r="C188">
        <v>5</v>
      </c>
      <c r="D188" s="20" t="s">
        <v>304</v>
      </c>
      <c r="E188">
        <v>18.3</v>
      </c>
    </row>
    <row r="189" spans="1:5" x14ac:dyDescent="0.3">
      <c r="A189" t="s">
        <v>58</v>
      </c>
      <c r="B189" t="s">
        <v>87</v>
      </c>
      <c r="C189">
        <v>5</v>
      </c>
      <c r="D189" s="20" t="s">
        <v>304</v>
      </c>
      <c r="E189">
        <v>5.8</v>
      </c>
    </row>
    <row r="190" spans="1:5" x14ac:dyDescent="0.3">
      <c r="A190" t="s">
        <v>280</v>
      </c>
      <c r="B190" t="s">
        <v>88</v>
      </c>
      <c r="C190">
        <v>20</v>
      </c>
      <c r="D190" s="20">
        <v>41</v>
      </c>
      <c r="E190">
        <v>14.8</v>
      </c>
    </row>
    <row r="191" spans="1:5" x14ac:dyDescent="0.3">
      <c r="A191" t="s">
        <v>284</v>
      </c>
      <c r="B191" t="s">
        <v>89</v>
      </c>
      <c r="C191">
        <v>5</v>
      </c>
      <c r="D191" s="20" t="s">
        <v>304</v>
      </c>
      <c r="E191">
        <v>18.8</v>
      </c>
    </row>
    <row r="192" spans="1:5" x14ac:dyDescent="0.3">
      <c r="A192" t="s">
        <v>58</v>
      </c>
      <c r="B192" t="s">
        <v>90</v>
      </c>
      <c r="C192">
        <v>5</v>
      </c>
      <c r="D192" s="20" t="s">
        <v>304</v>
      </c>
      <c r="E192">
        <v>5</v>
      </c>
    </row>
    <row r="193" spans="1:5" x14ac:dyDescent="0.3">
      <c r="A193" t="s">
        <v>284</v>
      </c>
      <c r="B193" t="s">
        <v>91</v>
      </c>
      <c r="C193">
        <v>5</v>
      </c>
      <c r="D193" s="20" t="s">
        <v>304</v>
      </c>
      <c r="E193">
        <v>6.7</v>
      </c>
    </row>
    <row r="194" spans="1:5" x14ac:dyDescent="0.3">
      <c r="A194" t="s">
        <v>291</v>
      </c>
      <c r="B194" t="s">
        <v>92</v>
      </c>
      <c r="C194">
        <v>20</v>
      </c>
      <c r="D194" s="20" t="s">
        <v>309</v>
      </c>
      <c r="E194">
        <v>129.4</v>
      </c>
    </row>
    <row r="195" spans="1:5" x14ac:dyDescent="0.3">
      <c r="A195" t="s">
        <v>291</v>
      </c>
      <c r="B195" t="s">
        <v>93</v>
      </c>
      <c r="C195">
        <v>20</v>
      </c>
      <c r="D195" s="20" t="s">
        <v>309</v>
      </c>
      <c r="E195">
        <v>199.3</v>
      </c>
    </row>
    <row r="196" spans="1:5" hidden="1" x14ac:dyDescent="0.3">
      <c r="A196" t="s">
        <v>291</v>
      </c>
      <c r="B196" t="s">
        <v>173</v>
      </c>
      <c r="C196">
        <v>20</v>
      </c>
      <c r="D196" s="20" t="s">
        <v>309</v>
      </c>
    </row>
    <row r="197" spans="1:5" hidden="1" x14ac:dyDescent="0.3">
      <c r="A197" t="s">
        <v>280</v>
      </c>
      <c r="B197" t="s">
        <v>283</v>
      </c>
      <c r="C197">
        <v>20</v>
      </c>
      <c r="D197" s="20">
        <v>41</v>
      </c>
    </row>
    <row r="198" spans="1:5" hidden="1" x14ac:dyDescent="0.3">
      <c r="A198" t="s">
        <v>286</v>
      </c>
      <c r="B198" t="s">
        <v>283</v>
      </c>
      <c r="C198">
        <v>0</v>
      </c>
      <c r="D198" s="20">
        <v>0</v>
      </c>
    </row>
    <row r="199" spans="1:5" hidden="1" x14ac:dyDescent="0.3">
      <c r="A199" t="s">
        <v>291</v>
      </c>
      <c r="B199" t="s">
        <v>195</v>
      </c>
      <c r="C199">
        <v>20</v>
      </c>
      <c r="D199" s="20" t="s">
        <v>309</v>
      </c>
    </row>
    <row r="200" spans="1:5" hidden="1" x14ac:dyDescent="0.3">
      <c r="A200" t="s">
        <v>280</v>
      </c>
      <c r="B200" t="s">
        <v>174</v>
      </c>
      <c r="C200">
        <v>20</v>
      </c>
      <c r="D200" s="20">
        <v>41</v>
      </c>
    </row>
    <row r="201" spans="1:5" hidden="1" x14ac:dyDescent="0.3">
      <c r="A201" t="s">
        <v>291</v>
      </c>
      <c r="B201" t="s">
        <v>175</v>
      </c>
      <c r="C201">
        <v>20</v>
      </c>
      <c r="D201" s="20" t="s">
        <v>309</v>
      </c>
    </row>
    <row r="202" spans="1:5" hidden="1" x14ac:dyDescent="0.3">
      <c r="A202" t="s">
        <v>291</v>
      </c>
      <c r="B202" t="s">
        <v>196</v>
      </c>
      <c r="C202">
        <v>20</v>
      </c>
      <c r="D202" s="20" t="s">
        <v>309</v>
      </c>
    </row>
    <row r="203" spans="1:5" hidden="1" x14ac:dyDescent="0.3">
      <c r="A203" t="s">
        <v>291</v>
      </c>
      <c r="B203" t="s">
        <v>197</v>
      </c>
      <c r="C203">
        <v>20</v>
      </c>
      <c r="D203" s="20" t="s">
        <v>309</v>
      </c>
    </row>
    <row r="204" spans="1:5" hidden="1" x14ac:dyDescent="0.3">
      <c r="A204" t="s">
        <v>291</v>
      </c>
      <c r="B204" t="s">
        <v>198</v>
      </c>
      <c r="C204">
        <v>20</v>
      </c>
      <c r="D204" s="20" t="s">
        <v>309</v>
      </c>
    </row>
    <row r="205" spans="1:5" hidden="1" x14ac:dyDescent="0.3">
      <c r="A205" t="s">
        <v>291</v>
      </c>
      <c r="B205" t="s">
        <v>199</v>
      </c>
      <c r="C205">
        <v>20</v>
      </c>
      <c r="D205" s="20" t="s">
        <v>309</v>
      </c>
    </row>
    <row r="206" spans="1:5" hidden="1" x14ac:dyDescent="0.3">
      <c r="A206" t="s">
        <v>291</v>
      </c>
      <c r="B206" t="s">
        <v>200</v>
      </c>
      <c r="C206">
        <v>20</v>
      </c>
      <c r="D206" s="20" t="s">
        <v>309</v>
      </c>
    </row>
    <row r="207" spans="1:5" hidden="1" x14ac:dyDescent="0.3">
      <c r="A207" t="s">
        <v>291</v>
      </c>
      <c r="B207" t="s">
        <v>201</v>
      </c>
      <c r="C207">
        <v>20</v>
      </c>
      <c r="D207" s="20" t="s">
        <v>309</v>
      </c>
    </row>
    <row r="208" spans="1:5" hidden="1" x14ac:dyDescent="0.3">
      <c r="A208" t="s">
        <v>291</v>
      </c>
      <c r="B208" t="s">
        <v>202</v>
      </c>
      <c r="C208">
        <v>20</v>
      </c>
      <c r="D208" s="20" t="s">
        <v>309</v>
      </c>
    </row>
    <row r="209" spans="1:4" hidden="1" x14ac:dyDescent="0.3">
      <c r="A209" t="s">
        <v>291</v>
      </c>
      <c r="B209" t="s">
        <v>203</v>
      </c>
      <c r="C209">
        <v>20</v>
      </c>
      <c r="D209" s="20" t="s">
        <v>309</v>
      </c>
    </row>
    <row r="210" spans="1:4" hidden="1" x14ac:dyDescent="0.3">
      <c r="A210" t="s">
        <v>294</v>
      </c>
      <c r="B210" t="s">
        <v>203</v>
      </c>
      <c r="C210">
        <v>20</v>
      </c>
      <c r="D210" s="20" t="s">
        <v>310</v>
      </c>
    </row>
    <row r="211" spans="1:4" hidden="1" x14ac:dyDescent="0.3">
      <c r="A211" t="s">
        <v>291</v>
      </c>
      <c r="B211" t="s">
        <v>204</v>
      </c>
      <c r="C211">
        <v>20</v>
      </c>
      <c r="D211" s="20" t="s">
        <v>309</v>
      </c>
    </row>
    <row r="212" spans="1:4" hidden="1" x14ac:dyDescent="0.3">
      <c r="A212" t="s">
        <v>291</v>
      </c>
      <c r="B212" t="s">
        <v>205</v>
      </c>
      <c r="C212">
        <v>20</v>
      </c>
      <c r="D212" s="20" t="s">
        <v>309</v>
      </c>
    </row>
    <row r="213" spans="1:4" hidden="1" x14ac:dyDescent="0.3">
      <c r="A213" t="s">
        <v>280</v>
      </c>
      <c r="B213" t="s">
        <v>176</v>
      </c>
      <c r="C213">
        <v>20</v>
      </c>
      <c r="D213" s="20">
        <v>41</v>
      </c>
    </row>
    <row r="214" spans="1:4" hidden="1" x14ac:dyDescent="0.3">
      <c r="A214" t="s">
        <v>286</v>
      </c>
      <c r="B214" t="s">
        <v>176</v>
      </c>
      <c r="C214">
        <v>0</v>
      </c>
      <c r="D214" s="20">
        <v>0</v>
      </c>
    </row>
    <row r="215" spans="1:4" hidden="1" x14ac:dyDescent="0.3">
      <c r="A215" t="s">
        <v>287</v>
      </c>
      <c r="B215" t="s">
        <v>288</v>
      </c>
      <c r="C215">
        <v>0</v>
      </c>
      <c r="D215" s="20" t="s">
        <v>306</v>
      </c>
    </row>
    <row r="216" spans="1:4" hidden="1" x14ac:dyDescent="0.3">
      <c r="A216" t="s">
        <v>291</v>
      </c>
      <c r="B216" t="s">
        <v>206</v>
      </c>
      <c r="C216">
        <v>20</v>
      </c>
      <c r="D216" s="20" t="s">
        <v>309</v>
      </c>
    </row>
    <row r="217" spans="1:4" hidden="1" x14ac:dyDescent="0.3">
      <c r="A217" t="s">
        <v>291</v>
      </c>
      <c r="B217" t="s">
        <v>207</v>
      </c>
      <c r="C217">
        <v>20</v>
      </c>
      <c r="D217" s="20" t="s">
        <v>309</v>
      </c>
    </row>
    <row r="218" spans="1:4" hidden="1" x14ac:dyDescent="0.3">
      <c r="A218" t="s">
        <v>58</v>
      </c>
      <c r="B218" t="s">
        <v>253</v>
      </c>
      <c r="C218">
        <v>5</v>
      </c>
      <c r="D218" s="20" t="s">
        <v>304</v>
      </c>
    </row>
    <row r="219" spans="1:4" hidden="1" x14ac:dyDescent="0.3">
      <c r="A219" t="s">
        <v>58</v>
      </c>
      <c r="B219" t="s">
        <v>267</v>
      </c>
      <c r="C219">
        <v>5</v>
      </c>
      <c r="D219" s="20" t="s">
        <v>304</v>
      </c>
    </row>
    <row r="220" spans="1:4" hidden="1" x14ac:dyDescent="0.3">
      <c r="A220" t="s">
        <v>291</v>
      </c>
      <c r="B220" t="s">
        <v>208</v>
      </c>
      <c r="C220">
        <v>20</v>
      </c>
      <c r="D220" s="20" t="s">
        <v>309</v>
      </c>
    </row>
    <row r="221" spans="1:4" hidden="1" x14ac:dyDescent="0.3">
      <c r="A221" t="s">
        <v>280</v>
      </c>
      <c r="B221" t="s">
        <v>209</v>
      </c>
      <c r="C221">
        <v>20</v>
      </c>
      <c r="D221" s="20">
        <v>41</v>
      </c>
    </row>
    <row r="222" spans="1:4" hidden="1" x14ac:dyDescent="0.3">
      <c r="A222" t="s">
        <v>280</v>
      </c>
      <c r="B222" t="s">
        <v>210</v>
      </c>
      <c r="C222">
        <v>20</v>
      </c>
      <c r="D222" s="20">
        <v>41</v>
      </c>
    </row>
    <row r="223" spans="1:4" hidden="1" x14ac:dyDescent="0.3">
      <c r="A223" t="s">
        <v>291</v>
      </c>
      <c r="B223" t="s">
        <v>211</v>
      </c>
      <c r="C223">
        <v>20</v>
      </c>
      <c r="D223" s="20" t="s">
        <v>309</v>
      </c>
    </row>
    <row r="224" spans="1:4" hidden="1" x14ac:dyDescent="0.3">
      <c r="A224" t="s">
        <v>291</v>
      </c>
      <c r="B224" t="s">
        <v>293</v>
      </c>
      <c r="C224">
        <v>20</v>
      </c>
      <c r="D224" s="20" t="s">
        <v>309</v>
      </c>
    </row>
    <row r="225" spans="1:4" hidden="1" x14ac:dyDescent="0.3">
      <c r="A225" t="s">
        <v>291</v>
      </c>
      <c r="B225" t="s">
        <v>212</v>
      </c>
      <c r="C225">
        <v>20</v>
      </c>
      <c r="D225" s="20" t="s">
        <v>309</v>
      </c>
    </row>
    <row r="226" spans="1:4" hidden="1" x14ac:dyDescent="0.3">
      <c r="A226" t="s">
        <v>291</v>
      </c>
      <c r="B226" t="s">
        <v>213</v>
      </c>
      <c r="C226">
        <v>20</v>
      </c>
      <c r="D226" s="20" t="s">
        <v>309</v>
      </c>
    </row>
    <row r="227" spans="1:4" hidden="1" x14ac:dyDescent="0.3">
      <c r="A227" t="s">
        <v>291</v>
      </c>
      <c r="B227" t="s">
        <v>177</v>
      </c>
      <c r="C227">
        <v>20</v>
      </c>
      <c r="D227" s="20" t="s">
        <v>309</v>
      </c>
    </row>
    <row r="228" spans="1:4" hidden="1" x14ac:dyDescent="0.3">
      <c r="A228" t="s">
        <v>291</v>
      </c>
      <c r="B228" t="s">
        <v>178</v>
      </c>
      <c r="C228">
        <v>20</v>
      </c>
      <c r="D228" s="20" t="s">
        <v>309</v>
      </c>
    </row>
    <row r="229" spans="1:4" hidden="1" x14ac:dyDescent="0.3">
      <c r="A229" t="s">
        <v>291</v>
      </c>
      <c r="B229" t="s">
        <v>179</v>
      </c>
      <c r="C229">
        <v>20</v>
      </c>
      <c r="D229" s="20" t="s">
        <v>309</v>
      </c>
    </row>
    <row r="230" spans="1:4" hidden="1" x14ac:dyDescent="0.3">
      <c r="A230" t="s">
        <v>280</v>
      </c>
      <c r="B230" t="s">
        <v>122</v>
      </c>
      <c r="C230">
        <v>20</v>
      </c>
      <c r="D230" s="20">
        <v>41</v>
      </c>
    </row>
    <row r="231" spans="1:4" hidden="1" x14ac:dyDescent="0.3">
      <c r="A231" t="s">
        <v>286</v>
      </c>
      <c r="B231" t="s">
        <v>122</v>
      </c>
      <c r="C231">
        <v>0</v>
      </c>
      <c r="D231" s="20">
        <v>0</v>
      </c>
    </row>
    <row r="232" spans="1:4" hidden="1" x14ac:dyDescent="0.3">
      <c r="A232" t="s">
        <v>291</v>
      </c>
      <c r="B232" t="s">
        <v>214</v>
      </c>
      <c r="C232">
        <v>20</v>
      </c>
      <c r="D232" s="20" t="s">
        <v>309</v>
      </c>
    </row>
    <row r="233" spans="1:4" hidden="1" x14ac:dyDescent="0.3">
      <c r="A233" t="s">
        <v>284</v>
      </c>
      <c r="B233" t="s">
        <v>254</v>
      </c>
      <c r="C233">
        <v>5</v>
      </c>
      <c r="D233" s="20" t="s">
        <v>304</v>
      </c>
    </row>
    <row r="234" spans="1:4" hidden="1" x14ac:dyDescent="0.3">
      <c r="A234" t="s">
        <v>284</v>
      </c>
      <c r="B234" t="s">
        <v>255</v>
      </c>
      <c r="C234">
        <v>5</v>
      </c>
      <c r="D234" s="20" t="s">
        <v>304</v>
      </c>
    </row>
    <row r="235" spans="1:4" hidden="1" x14ac:dyDescent="0.3">
      <c r="A235" t="s">
        <v>58</v>
      </c>
      <c r="B235" t="s">
        <v>256</v>
      </c>
      <c r="C235">
        <v>5</v>
      </c>
      <c r="D235" s="20" t="s">
        <v>304</v>
      </c>
    </row>
    <row r="236" spans="1:4" hidden="1" x14ac:dyDescent="0.3">
      <c r="A236" t="s">
        <v>284</v>
      </c>
      <c r="B236" t="s">
        <v>257</v>
      </c>
      <c r="C236">
        <v>5</v>
      </c>
      <c r="D236" s="20" t="s">
        <v>304</v>
      </c>
    </row>
    <row r="237" spans="1:4" hidden="1" x14ac:dyDescent="0.3">
      <c r="A237" t="s">
        <v>280</v>
      </c>
      <c r="B237" t="s">
        <v>180</v>
      </c>
      <c r="C237">
        <v>20</v>
      </c>
      <c r="D237" s="20">
        <v>41</v>
      </c>
    </row>
    <row r="238" spans="1:4" hidden="1" x14ac:dyDescent="0.3">
      <c r="A238" t="s">
        <v>58</v>
      </c>
      <c r="B238" t="s">
        <v>268</v>
      </c>
      <c r="C238">
        <v>5</v>
      </c>
      <c r="D238" s="20" t="s">
        <v>304</v>
      </c>
    </row>
    <row r="239" spans="1:4" hidden="1" x14ac:dyDescent="0.3">
      <c r="A239" t="s">
        <v>284</v>
      </c>
      <c r="B239" t="s">
        <v>285</v>
      </c>
      <c r="C239">
        <v>5</v>
      </c>
      <c r="D239" s="20" t="s">
        <v>304</v>
      </c>
    </row>
    <row r="240" spans="1:4" hidden="1" x14ac:dyDescent="0.3">
      <c r="A240" t="s">
        <v>280</v>
      </c>
      <c r="B240" t="s">
        <v>123</v>
      </c>
      <c r="C240">
        <v>20</v>
      </c>
      <c r="D240" s="20">
        <v>41</v>
      </c>
    </row>
    <row r="241" spans="1:4" hidden="1" x14ac:dyDescent="0.3">
      <c r="A241" t="s">
        <v>286</v>
      </c>
      <c r="B241" t="s">
        <v>123</v>
      </c>
      <c r="C241">
        <v>0</v>
      </c>
      <c r="D241" s="20">
        <v>0</v>
      </c>
    </row>
    <row r="242" spans="1:4" hidden="1" x14ac:dyDescent="0.3">
      <c r="A242" t="s">
        <v>289</v>
      </c>
      <c r="B242" t="s">
        <v>181</v>
      </c>
      <c r="C242">
        <v>20</v>
      </c>
      <c r="D242" s="20" t="s">
        <v>307</v>
      </c>
    </row>
    <row r="243" spans="1:4" hidden="1" x14ac:dyDescent="0.3">
      <c r="A243" t="s">
        <v>291</v>
      </c>
      <c r="B243" t="s">
        <v>215</v>
      </c>
      <c r="C243">
        <v>20</v>
      </c>
      <c r="D243" s="20" t="s">
        <v>309</v>
      </c>
    </row>
    <row r="244" spans="1:4" hidden="1" x14ac:dyDescent="0.3">
      <c r="A244" t="s">
        <v>291</v>
      </c>
      <c r="B244" t="s">
        <v>216</v>
      </c>
      <c r="C244">
        <v>20</v>
      </c>
      <c r="D244" s="20" t="s">
        <v>309</v>
      </c>
    </row>
    <row r="245" spans="1:4" hidden="1" x14ac:dyDescent="0.3">
      <c r="A245" t="s">
        <v>291</v>
      </c>
      <c r="B245" t="s">
        <v>217</v>
      </c>
      <c r="C245">
        <v>20</v>
      </c>
      <c r="D245" s="20" t="s">
        <v>309</v>
      </c>
    </row>
    <row r="246" spans="1:4" hidden="1" x14ac:dyDescent="0.3">
      <c r="A246" t="s">
        <v>291</v>
      </c>
      <c r="B246" t="s">
        <v>218</v>
      </c>
      <c r="C246">
        <v>20</v>
      </c>
      <c r="D246" s="20" t="s">
        <v>309</v>
      </c>
    </row>
    <row r="247" spans="1:4" hidden="1" x14ac:dyDescent="0.3">
      <c r="A247" t="s">
        <v>291</v>
      </c>
      <c r="B247" t="s">
        <v>219</v>
      </c>
      <c r="C247">
        <v>20</v>
      </c>
      <c r="D247" s="20" t="s">
        <v>309</v>
      </c>
    </row>
    <row r="248" spans="1:4" hidden="1" x14ac:dyDescent="0.3">
      <c r="A248" t="s">
        <v>296</v>
      </c>
      <c r="B248" t="s">
        <v>220</v>
      </c>
      <c r="C248">
        <v>20</v>
      </c>
      <c r="D248" s="20" t="s">
        <v>310</v>
      </c>
    </row>
    <row r="249" spans="1:4" hidden="1" x14ac:dyDescent="0.3">
      <c r="A249" t="s">
        <v>296</v>
      </c>
      <c r="B249" t="s">
        <v>221</v>
      </c>
      <c r="C249">
        <v>20</v>
      </c>
      <c r="D249" s="20" t="s">
        <v>310</v>
      </c>
    </row>
    <row r="250" spans="1:4" hidden="1" x14ac:dyDescent="0.3">
      <c r="A250" t="s">
        <v>291</v>
      </c>
      <c r="B250" t="s">
        <v>222</v>
      </c>
      <c r="C250">
        <v>20</v>
      </c>
      <c r="D250" s="20" t="s">
        <v>309</v>
      </c>
    </row>
    <row r="251" spans="1:4" hidden="1" x14ac:dyDescent="0.3">
      <c r="A251" t="s">
        <v>280</v>
      </c>
      <c r="B251" t="s">
        <v>124</v>
      </c>
      <c r="C251">
        <v>20</v>
      </c>
      <c r="D251" s="20">
        <v>41</v>
      </c>
    </row>
    <row r="252" spans="1:4" hidden="1" x14ac:dyDescent="0.3">
      <c r="A252" t="s">
        <v>286</v>
      </c>
      <c r="B252" t="s">
        <v>124</v>
      </c>
      <c r="C252">
        <v>0</v>
      </c>
      <c r="D252" s="20">
        <v>0</v>
      </c>
    </row>
    <row r="253" spans="1:4" hidden="1" x14ac:dyDescent="0.3">
      <c r="A253" t="s">
        <v>291</v>
      </c>
      <c r="B253" t="s">
        <v>182</v>
      </c>
      <c r="C253">
        <v>20</v>
      </c>
      <c r="D253" s="20" t="s">
        <v>309</v>
      </c>
    </row>
    <row r="254" spans="1:4" hidden="1" x14ac:dyDescent="0.3">
      <c r="A254" t="s">
        <v>291</v>
      </c>
      <c r="B254" t="s">
        <v>19</v>
      </c>
      <c r="C254">
        <v>20</v>
      </c>
      <c r="D254" s="20" t="s">
        <v>309</v>
      </c>
    </row>
    <row r="255" spans="1:4" hidden="1" x14ac:dyDescent="0.3">
      <c r="A255" t="s">
        <v>284</v>
      </c>
      <c r="B255" t="s">
        <v>258</v>
      </c>
      <c r="C255">
        <v>5</v>
      </c>
      <c r="D255" s="20" t="s">
        <v>304</v>
      </c>
    </row>
    <row r="256" spans="1:4" hidden="1" x14ac:dyDescent="0.3">
      <c r="A256" t="s">
        <v>58</v>
      </c>
      <c r="B256" t="s">
        <v>259</v>
      </c>
      <c r="C256">
        <v>5</v>
      </c>
      <c r="D256" s="20" t="s">
        <v>304</v>
      </c>
    </row>
    <row r="257" spans="1:7" hidden="1" x14ac:dyDescent="0.3">
      <c r="A257" t="s">
        <v>284</v>
      </c>
      <c r="B257" t="s">
        <v>260</v>
      </c>
      <c r="C257">
        <v>5</v>
      </c>
      <c r="D257" s="20" t="s">
        <v>304</v>
      </c>
    </row>
    <row r="258" spans="1:7" hidden="1" x14ac:dyDescent="0.3">
      <c r="A258" t="s">
        <v>280</v>
      </c>
      <c r="B258" t="s">
        <v>183</v>
      </c>
      <c r="C258">
        <v>20</v>
      </c>
      <c r="D258" s="20">
        <v>41</v>
      </c>
    </row>
    <row r="259" spans="1:7" hidden="1" x14ac:dyDescent="0.3">
      <c r="A259" t="s">
        <v>284</v>
      </c>
      <c r="B259" t="s">
        <v>261</v>
      </c>
      <c r="C259">
        <v>5</v>
      </c>
      <c r="D259" s="20" t="s">
        <v>304</v>
      </c>
    </row>
    <row r="260" spans="1:7" hidden="1" x14ac:dyDescent="0.3">
      <c r="A260" t="s">
        <v>58</v>
      </c>
      <c r="B260" t="s">
        <v>262</v>
      </c>
      <c r="C260">
        <v>5</v>
      </c>
      <c r="D260" s="20" t="s">
        <v>304</v>
      </c>
    </row>
    <row r="261" spans="1:7" hidden="1" x14ac:dyDescent="0.3">
      <c r="A261" t="s">
        <v>284</v>
      </c>
      <c r="B261" t="s">
        <v>263</v>
      </c>
      <c r="C261">
        <v>5</v>
      </c>
      <c r="D261" s="20" t="s">
        <v>304</v>
      </c>
    </row>
    <row r="262" spans="1:7" hidden="1" x14ac:dyDescent="0.3">
      <c r="A262" t="s">
        <v>280</v>
      </c>
      <c r="B262" t="s">
        <v>125</v>
      </c>
      <c r="C262">
        <v>20</v>
      </c>
      <c r="D262" s="20">
        <v>41</v>
      </c>
    </row>
    <row r="263" spans="1:7" hidden="1" x14ac:dyDescent="0.3">
      <c r="A263" t="s">
        <v>286</v>
      </c>
      <c r="B263" t="s">
        <v>125</v>
      </c>
      <c r="C263">
        <v>0</v>
      </c>
      <c r="D263" s="20">
        <v>0</v>
      </c>
    </row>
    <row r="264" spans="1:7" x14ac:dyDescent="0.3">
      <c r="G264" s="2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E9" zoomScale="175" zoomScaleNormal="175" workbookViewId="0">
      <selection activeCell="L12" sqref="L12"/>
    </sheetView>
  </sheetViews>
  <sheetFormatPr defaultRowHeight="15.6" x14ac:dyDescent="0.3"/>
  <cols>
    <col min="1" max="1" width="8" style="47" customWidth="1"/>
    <col min="2" max="2" width="7.88671875" style="47" customWidth="1"/>
    <col min="3" max="3" width="10.21875" style="47" customWidth="1"/>
    <col min="4" max="4" width="9.21875" style="47" customWidth="1"/>
    <col min="5" max="5" width="6.6640625" style="47" customWidth="1"/>
    <col min="6" max="6" width="7.21875" style="47" customWidth="1"/>
    <col min="7" max="7" width="8.44140625" style="47" customWidth="1"/>
    <col min="8" max="8" width="10.5546875" style="47" customWidth="1"/>
    <col min="9" max="16384" width="8.88671875" style="47"/>
  </cols>
  <sheetData>
    <row r="1" spans="1:11" ht="30.6" customHeight="1" x14ac:dyDescent="0.3">
      <c r="A1" s="45" t="s">
        <v>21</v>
      </c>
      <c r="B1" s="69" t="s">
        <v>22</v>
      </c>
      <c r="C1" s="69"/>
      <c r="D1" s="69"/>
      <c r="E1" s="69"/>
      <c r="F1" s="69"/>
      <c r="G1" s="70" t="s">
        <v>2</v>
      </c>
      <c r="H1" s="70"/>
      <c r="I1" s="70"/>
      <c r="J1" s="45" t="s">
        <v>0</v>
      </c>
      <c r="K1" s="46" t="s">
        <v>23</v>
      </c>
    </row>
    <row r="2" spans="1:11" ht="30.6" customHeight="1" x14ac:dyDescent="0.3">
      <c r="A2" s="45">
        <v>1</v>
      </c>
      <c r="B2" s="71" t="s">
        <v>332</v>
      </c>
      <c r="C2" s="72"/>
      <c r="D2" s="72"/>
      <c r="E2" s="72"/>
      <c r="F2" s="73"/>
      <c r="G2" s="70" t="s">
        <v>326</v>
      </c>
      <c r="H2" s="70"/>
      <c r="I2" s="70"/>
      <c r="J2" s="45" t="s">
        <v>1</v>
      </c>
      <c r="K2" s="48">
        <f>D14</f>
        <v>112.7</v>
      </c>
    </row>
    <row r="3" spans="1:11" ht="30.6" customHeight="1" x14ac:dyDescent="0.3">
      <c r="A3" s="45">
        <v>2</v>
      </c>
      <c r="B3" s="71" t="s">
        <v>332</v>
      </c>
      <c r="C3" s="72"/>
      <c r="D3" s="72"/>
      <c r="E3" s="72"/>
      <c r="F3" s="73"/>
      <c r="G3" s="70" t="s">
        <v>324</v>
      </c>
      <c r="H3" s="70"/>
      <c r="I3" s="70"/>
      <c r="J3" s="45" t="s">
        <v>1</v>
      </c>
      <c r="K3" s="48">
        <f>I21</f>
        <v>49.1</v>
      </c>
    </row>
    <row r="4" spans="1:11" ht="30.6" customHeight="1" x14ac:dyDescent="0.3">
      <c r="A4" s="45">
        <v>3</v>
      </c>
      <c r="B4" s="71" t="s">
        <v>332</v>
      </c>
      <c r="C4" s="72"/>
      <c r="D4" s="72"/>
      <c r="E4" s="72"/>
      <c r="F4" s="73"/>
      <c r="G4" s="70" t="s">
        <v>325</v>
      </c>
      <c r="H4" s="70"/>
      <c r="I4" s="70"/>
      <c r="J4" s="45" t="s">
        <v>1</v>
      </c>
      <c r="K4" s="48">
        <f>I14</f>
        <v>29.9</v>
      </c>
    </row>
    <row r="5" spans="1:11" ht="30.6" customHeight="1" x14ac:dyDescent="0.3">
      <c r="A5" s="45">
        <v>4</v>
      </c>
      <c r="B5" s="71" t="s">
        <v>332</v>
      </c>
      <c r="C5" s="72"/>
      <c r="D5" s="72"/>
      <c r="E5" s="72"/>
      <c r="F5" s="73"/>
      <c r="G5" s="70" t="s">
        <v>327</v>
      </c>
      <c r="H5" s="70"/>
      <c r="I5" s="70"/>
      <c r="J5" s="45" t="s">
        <v>1</v>
      </c>
      <c r="K5" s="48">
        <f>I30</f>
        <v>87.9</v>
      </c>
    </row>
    <row r="6" spans="1:11" ht="30.6" customHeight="1" x14ac:dyDescent="0.3">
      <c r="A6" s="45">
        <v>5</v>
      </c>
      <c r="B6" s="71" t="s">
        <v>332</v>
      </c>
      <c r="C6" s="72"/>
      <c r="D6" s="72"/>
      <c r="E6" s="72"/>
      <c r="F6" s="73"/>
      <c r="G6" s="70" t="s">
        <v>328</v>
      </c>
      <c r="H6" s="70"/>
      <c r="I6" s="70"/>
      <c r="J6" s="45" t="s">
        <v>1</v>
      </c>
      <c r="K6" s="48">
        <f>D36</f>
        <v>5.8</v>
      </c>
    </row>
    <row r="7" spans="1:11" ht="30.6" customHeight="1" x14ac:dyDescent="0.3">
      <c r="A7" s="45">
        <v>6</v>
      </c>
      <c r="B7" s="71" t="s">
        <v>332</v>
      </c>
      <c r="C7" s="72"/>
      <c r="D7" s="72"/>
      <c r="E7" s="72"/>
      <c r="F7" s="73"/>
      <c r="G7" s="70" t="s">
        <v>329</v>
      </c>
      <c r="H7" s="70"/>
      <c r="I7" s="70"/>
      <c r="J7" s="45" t="s">
        <v>1</v>
      </c>
      <c r="K7" s="48">
        <f>D21</f>
        <v>21.6</v>
      </c>
    </row>
    <row r="8" spans="1:11" ht="30.6" customHeight="1" x14ac:dyDescent="0.3">
      <c r="A8" s="45">
        <v>7</v>
      </c>
      <c r="B8" s="71" t="s">
        <v>332</v>
      </c>
      <c r="C8" s="72"/>
      <c r="D8" s="72"/>
      <c r="E8" s="72"/>
      <c r="F8" s="73"/>
      <c r="G8" s="70" t="s">
        <v>330</v>
      </c>
      <c r="H8" s="70"/>
      <c r="I8" s="70"/>
      <c r="J8" s="45" t="s">
        <v>1</v>
      </c>
      <c r="K8" s="48">
        <f>D32</f>
        <v>711.5</v>
      </c>
    </row>
    <row r="9" spans="1:11" ht="30.6" customHeight="1" x14ac:dyDescent="0.3">
      <c r="A9" s="45">
        <v>8</v>
      </c>
      <c r="B9" s="71" t="s">
        <v>332</v>
      </c>
      <c r="C9" s="72"/>
      <c r="D9" s="72"/>
      <c r="E9" s="72"/>
      <c r="F9" s="73"/>
      <c r="G9" s="70" t="s">
        <v>331</v>
      </c>
      <c r="H9" s="70"/>
      <c r="I9" s="70"/>
      <c r="J9" s="45" t="s">
        <v>1</v>
      </c>
      <c r="K9" s="48">
        <f>I53</f>
        <v>1648.3000000000002</v>
      </c>
    </row>
    <row r="10" spans="1:11" x14ac:dyDescent="0.3">
      <c r="A10" s="75" t="s">
        <v>323</v>
      </c>
      <c r="B10" s="75"/>
      <c r="C10" s="75"/>
      <c r="D10" s="75"/>
      <c r="E10" s="75"/>
      <c r="F10" s="75"/>
      <c r="G10" s="75"/>
      <c r="H10" s="75"/>
      <c r="I10" s="75"/>
      <c r="J10" s="75"/>
      <c r="K10" s="49">
        <f>SUM(K2:K9)</f>
        <v>2666.8</v>
      </c>
    </row>
    <row r="11" spans="1:11" ht="46.8" x14ac:dyDescent="0.3">
      <c r="A11" s="50" t="s">
        <v>94</v>
      </c>
      <c r="B11" s="50" t="s">
        <v>38</v>
      </c>
      <c r="C11" s="51" t="s">
        <v>334</v>
      </c>
      <c r="D11" s="51" t="s">
        <v>333</v>
      </c>
      <c r="E11" s="76"/>
      <c r="F11" s="50" t="s">
        <v>94</v>
      </c>
      <c r="G11" s="50" t="s">
        <v>38</v>
      </c>
      <c r="H11" s="51" t="s">
        <v>334</v>
      </c>
      <c r="I11" s="51" t="s">
        <v>333</v>
      </c>
      <c r="J11" s="76"/>
      <c r="K11" s="76"/>
    </row>
    <row r="12" spans="1:11" x14ac:dyDescent="0.3">
      <c r="A12" s="52" t="s">
        <v>276</v>
      </c>
      <c r="B12" s="52" t="s">
        <v>45</v>
      </c>
      <c r="C12" s="53">
        <v>66</v>
      </c>
      <c r="D12" s="52">
        <v>97.5</v>
      </c>
      <c r="E12" s="76"/>
      <c r="F12" s="54" t="s">
        <v>280</v>
      </c>
      <c r="G12" s="54" t="s">
        <v>71</v>
      </c>
      <c r="H12" s="55">
        <v>41</v>
      </c>
      <c r="I12" s="54">
        <v>15.1</v>
      </c>
      <c r="J12" s="76"/>
      <c r="K12" s="76"/>
    </row>
    <row r="13" spans="1:11" x14ac:dyDescent="0.3">
      <c r="A13" s="56" t="s">
        <v>276</v>
      </c>
      <c r="B13" s="56" t="s">
        <v>49</v>
      </c>
      <c r="C13" s="57">
        <v>66</v>
      </c>
      <c r="D13" s="56">
        <v>15.2</v>
      </c>
      <c r="E13" s="76"/>
      <c r="F13" s="58" t="s">
        <v>280</v>
      </c>
      <c r="G13" s="58" t="s">
        <v>88</v>
      </c>
      <c r="H13" s="59">
        <v>41</v>
      </c>
      <c r="I13" s="58">
        <v>14.8</v>
      </c>
      <c r="J13" s="76"/>
      <c r="K13" s="76"/>
    </row>
    <row r="14" spans="1:11" x14ac:dyDescent="0.3">
      <c r="A14" s="74" t="s">
        <v>323</v>
      </c>
      <c r="B14" s="74"/>
      <c r="C14" s="74"/>
      <c r="D14" s="47">
        <f>SUM(D12:D13)</f>
        <v>112.7</v>
      </c>
      <c r="E14" s="76"/>
      <c r="F14" s="74" t="s">
        <v>323</v>
      </c>
      <c r="G14" s="74"/>
      <c r="H14" s="74"/>
      <c r="I14" s="47">
        <f>SUM(I12:I13)</f>
        <v>29.9</v>
      </c>
      <c r="J14" s="76"/>
      <c r="K14" s="76"/>
    </row>
    <row r="15" spans="1:11" x14ac:dyDescent="0.3">
      <c r="A15" s="77"/>
      <c r="B15" s="77"/>
      <c r="C15" s="77"/>
      <c r="D15" s="77"/>
      <c r="E15" s="76"/>
      <c r="F15" s="77"/>
      <c r="G15" s="77"/>
      <c r="H15" s="77"/>
      <c r="I15" s="77"/>
      <c r="J15" s="76"/>
      <c r="K15" s="76"/>
    </row>
    <row r="16" spans="1:11" ht="46.8" x14ac:dyDescent="0.3">
      <c r="A16" s="50" t="s">
        <v>94</v>
      </c>
      <c r="B16" s="50" t="s">
        <v>38</v>
      </c>
      <c r="C16" s="51" t="s">
        <v>334</v>
      </c>
      <c r="D16" s="51" t="s">
        <v>333</v>
      </c>
      <c r="E16" s="76"/>
      <c r="F16" s="50" t="s">
        <v>94</v>
      </c>
      <c r="G16" s="50" t="s">
        <v>38</v>
      </c>
      <c r="H16" s="51" t="s">
        <v>334</v>
      </c>
      <c r="I16" s="51" t="s">
        <v>333</v>
      </c>
      <c r="J16" s="76"/>
      <c r="K16" s="76"/>
    </row>
    <row r="17" spans="1:11" x14ac:dyDescent="0.3">
      <c r="A17" s="52" t="s">
        <v>58</v>
      </c>
      <c r="B17" s="52" t="s">
        <v>70</v>
      </c>
      <c r="C17" s="53" t="s">
        <v>304</v>
      </c>
      <c r="D17" s="52">
        <v>5.8</v>
      </c>
      <c r="E17" s="76"/>
      <c r="F17" s="52" t="s">
        <v>279</v>
      </c>
      <c r="G17" s="52" t="s">
        <v>47</v>
      </c>
      <c r="H17" s="53" t="s">
        <v>303</v>
      </c>
      <c r="I17" s="52">
        <v>18.3</v>
      </c>
      <c r="J17" s="76"/>
      <c r="K17" s="76"/>
    </row>
    <row r="18" spans="1:11" x14ac:dyDescent="0.3">
      <c r="A18" s="54" t="s">
        <v>58</v>
      </c>
      <c r="B18" s="54" t="s">
        <v>73</v>
      </c>
      <c r="C18" s="55" t="s">
        <v>304</v>
      </c>
      <c r="D18" s="54">
        <v>5</v>
      </c>
      <c r="E18" s="76"/>
      <c r="F18" s="54" t="s">
        <v>279</v>
      </c>
      <c r="G18" s="54" t="s">
        <v>50</v>
      </c>
      <c r="H18" s="55" t="s">
        <v>303</v>
      </c>
      <c r="I18" s="54">
        <v>18.8</v>
      </c>
      <c r="J18" s="76"/>
      <c r="K18" s="76"/>
    </row>
    <row r="19" spans="1:11" x14ac:dyDescent="0.3">
      <c r="A19" s="52" t="s">
        <v>58</v>
      </c>
      <c r="B19" s="52" t="s">
        <v>87</v>
      </c>
      <c r="C19" s="53" t="s">
        <v>304</v>
      </c>
      <c r="D19" s="52">
        <v>5.8</v>
      </c>
      <c r="E19" s="76"/>
      <c r="F19" s="52" t="s">
        <v>279</v>
      </c>
      <c r="G19" s="52" t="s">
        <v>51</v>
      </c>
      <c r="H19" s="53" t="s">
        <v>303</v>
      </c>
      <c r="I19" s="52">
        <v>5</v>
      </c>
      <c r="J19" s="76"/>
      <c r="K19" s="76"/>
    </row>
    <row r="20" spans="1:11" x14ac:dyDescent="0.3">
      <c r="A20" s="58" t="s">
        <v>58</v>
      </c>
      <c r="B20" s="58" t="s">
        <v>90</v>
      </c>
      <c r="C20" s="59" t="s">
        <v>304</v>
      </c>
      <c r="D20" s="58">
        <v>5</v>
      </c>
      <c r="E20" s="76"/>
      <c r="F20" s="58" t="s">
        <v>279</v>
      </c>
      <c r="G20" s="58" t="s">
        <v>52</v>
      </c>
      <c r="H20" s="59" t="s">
        <v>303</v>
      </c>
      <c r="I20" s="58">
        <v>7</v>
      </c>
      <c r="J20" s="76"/>
      <c r="K20" s="76"/>
    </row>
    <row r="21" spans="1:11" x14ac:dyDescent="0.3">
      <c r="A21" s="74" t="s">
        <v>323</v>
      </c>
      <c r="B21" s="74"/>
      <c r="C21" s="74"/>
      <c r="D21" s="47">
        <f>SUM(D17:D20)</f>
        <v>21.6</v>
      </c>
      <c r="E21" s="76"/>
      <c r="F21" s="74" t="s">
        <v>323</v>
      </c>
      <c r="G21" s="74"/>
      <c r="H21" s="74"/>
      <c r="I21" s="47">
        <f>SUM(I17:I20)</f>
        <v>49.1</v>
      </c>
      <c r="J21" s="76"/>
      <c r="K21" s="76"/>
    </row>
    <row r="22" spans="1:11" x14ac:dyDescent="0.3">
      <c r="A22" s="77"/>
      <c r="B22" s="77"/>
      <c r="C22" s="77"/>
      <c r="D22" s="77"/>
      <c r="E22" s="76"/>
      <c r="F22" s="77"/>
      <c r="G22" s="77"/>
      <c r="H22" s="77"/>
      <c r="I22" s="77"/>
      <c r="J22" s="76"/>
      <c r="K22" s="76"/>
    </row>
    <row r="23" spans="1:11" ht="46.8" x14ac:dyDescent="0.3">
      <c r="A23" s="50" t="s">
        <v>94</v>
      </c>
      <c r="B23" s="50" t="s">
        <v>38</v>
      </c>
      <c r="C23" s="51" t="s">
        <v>334</v>
      </c>
      <c r="D23" s="51" t="s">
        <v>333</v>
      </c>
      <c r="E23" s="76"/>
      <c r="F23" s="50" t="s">
        <v>94</v>
      </c>
      <c r="G23" s="50" t="s">
        <v>38</v>
      </c>
      <c r="H23" s="51" t="s">
        <v>334</v>
      </c>
      <c r="I23" s="51" t="s">
        <v>333</v>
      </c>
      <c r="J23" s="76"/>
      <c r="K23" s="76"/>
    </row>
    <row r="24" spans="1:11" x14ac:dyDescent="0.3">
      <c r="A24" s="52" t="s">
        <v>59</v>
      </c>
      <c r="B24" s="52" t="s">
        <v>39</v>
      </c>
      <c r="C24" s="53" t="s">
        <v>308</v>
      </c>
      <c r="D24" s="52">
        <v>129</v>
      </c>
      <c r="E24" s="76"/>
      <c r="F24" s="52" t="s">
        <v>284</v>
      </c>
      <c r="G24" s="52" t="s">
        <v>69</v>
      </c>
      <c r="H24" s="53" t="s">
        <v>304</v>
      </c>
      <c r="I24" s="52">
        <v>18.3</v>
      </c>
      <c r="J24" s="76"/>
      <c r="K24" s="76"/>
    </row>
    <row r="25" spans="1:11" x14ac:dyDescent="0.3">
      <c r="A25" s="54" t="s">
        <v>59</v>
      </c>
      <c r="B25" s="54" t="s">
        <v>40</v>
      </c>
      <c r="C25" s="55" t="s">
        <v>308</v>
      </c>
      <c r="D25" s="54">
        <v>66.2</v>
      </c>
      <c r="E25" s="76"/>
      <c r="F25" s="54" t="s">
        <v>284</v>
      </c>
      <c r="G25" s="54" t="s">
        <v>72</v>
      </c>
      <c r="H25" s="55" t="s">
        <v>304</v>
      </c>
      <c r="I25" s="54">
        <v>18.8</v>
      </c>
      <c r="J25" s="76"/>
      <c r="K25" s="76"/>
    </row>
    <row r="26" spans="1:11" x14ac:dyDescent="0.3">
      <c r="A26" s="52" t="s">
        <v>59</v>
      </c>
      <c r="B26" s="52" t="s">
        <v>41</v>
      </c>
      <c r="C26" s="53" t="s">
        <v>308</v>
      </c>
      <c r="D26" s="52">
        <v>66.400000000000006</v>
      </c>
      <c r="E26" s="76"/>
      <c r="F26" s="52" t="s">
        <v>284</v>
      </c>
      <c r="G26" s="52" t="s">
        <v>74</v>
      </c>
      <c r="H26" s="53" t="s">
        <v>304</v>
      </c>
      <c r="I26" s="52">
        <v>7</v>
      </c>
      <c r="J26" s="76"/>
      <c r="K26" s="76"/>
    </row>
    <row r="27" spans="1:11" x14ac:dyDescent="0.3">
      <c r="A27" s="54" t="s">
        <v>59</v>
      </c>
      <c r="B27" s="54" t="s">
        <v>42</v>
      </c>
      <c r="C27" s="55" t="s">
        <v>308</v>
      </c>
      <c r="D27" s="54">
        <v>66.400000000000006</v>
      </c>
      <c r="E27" s="76"/>
      <c r="F27" s="54" t="s">
        <v>284</v>
      </c>
      <c r="G27" s="54" t="s">
        <v>86</v>
      </c>
      <c r="H27" s="55" t="s">
        <v>304</v>
      </c>
      <c r="I27" s="54">
        <v>18.3</v>
      </c>
      <c r="J27" s="76"/>
      <c r="K27" s="76"/>
    </row>
    <row r="28" spans="1:11" x14ac:dyDescent="0.3">
      <c r="A28" s="52" t="s">
        <v>59</v>
      </c>
      <c r="B28" s="52" t="s">
        <v>43</v>
      </c>
      <c r="C28" s="53" t="s">
        <v>308</v>
      </c>
      <c r="D28" s="52">
        <v>42.4</v>
      </c>
      <c r="E28" s="76"/>
      <c r="F28" s="52" t="s">
        <v>284</v>
      </c>
      <c r="G28" s="52" t="s">
        <v>89</v>
      </c>
      <c r="H28" s="53" t="s">
        <v>304</v>
      </c>
      <c r="I28" s="52">
        <v>18.8</v>
      </c>
      <c r="J28" s="76"/>
      <c r="K28" s="76"/>
    </row>
    <row r="29" spans="1:11" x14ac:dyDescent="0.3">
      <c r="A29" s="54" t="s">
        <v>59</v>
      </c>
      <c r="B29" s="54" t="s">
        <v>44</v>
      </c>
      <c r="C29" s="55" t="s">
        <v>308</v>
      </c>
      <c r="D29" s="54">
        <v>23.6</v>
      </c>
      <c r="E29" s="76"/>
      <c r="F29" s="58" t="s">
        <v>284</v>
      </c>
      <c r="G29" s="58" t="s">
        <v>91</v>
      </c>
      <c r="H29" s="59" t="s">
        <v>304</v>
      </c>
      <c r="I29" s="58">
        <v>6.7</v>
      </c>
      <c r="J29" s="76"/>
      <c r="K29" s="76"/>
    </row>
    <row r="30" spans="1:11" x14ac:dyDescent="0.3">
      <c r="A30" s="52" t="s">
        <v>59</v>
      </c>
      <c r="B30" s="52" t="s">
        <v>53</v>
      </c>
      <c r="C30" s="53" t="s">
        <v>308</v>
      </c>
      <c r="D30" s="52">
        <v>116.4</v>
      </c>
      <c r="E30" s="76"/>
      <c r="F30" s="74" t="s">
        <v>323</v>
      </c>
      <c r="G30" s="74"/>
      <c r="H30" s="74"/>
      <c r="I30" s="47">
        <f>SUM(I24:I29)</f>
        <v>87.9</v>
      </c>
      <c r="J30" s="76"/>
      <c r="K30" s="76"/>
    </row>
    <row r="31" spans="1:11" x14ac:dyDescent="0.3">
      <c r="A31" s="58" t="s">
        <v>59</v>
      </c>
      <c r="B31" s="58" t="s">
        <v>54</v>
      </c>
      <c r="C31" s="59" t="s">
        <v>308</v>
      </c>
      <c r="D31" s="58">
        <v>201.1</v>
      </c>
      <c r="E31" s="76"/>
      <c r="F31" s="78"/>
      <c r="G31" s="78"/>
      <c r="H31" s="78"/>
      <c r="I31" s="78"/>
      <c r="J31" s="76"/>
      <c r="K31" s="76"/>
    </row>
    <row r="32" spans="1:11" x14ac:dyDescent="0.3">
      <c r="A32" s="74" t="s">
        <v>323</v>
      </c>
      <c r="B32" s="74"/>
      <c r="C32" s="74"/>
      <c r="D32" s="47">
        <f>SUM(D24:D31)</f>
        <v>711.5</v>
      </c>
      <c r="E32" s="76"/>
      <c r="F32" s="78"/>
      <c r="G32" s="78"/>
      <c r="H32" s="78"/>
      <c r="I32" s="78"/>
      <c r="J32" s="76"/>
      <c r="K32" s="76"/>
    </row>
    <row r="33" spans="1:11" x14ac:dyDescent="0.3">
      <c r="A33" s="77"/>
      <c r="B33" s="77"/>
      <c r="C33" s="77"/>
      <c r="D33" s="77"/>
      <c r="E33" s="76"/>
      <c r="F33" s="77"/>
      <c r="G33" s="77"/>
      <c r="H33" s="77"/>
      <c r="I33" s="77"/>
      <c r="J33" s="76"/>
      <c r="K33" s="76"/>
    </row>
    <row r="34" spans="1:11" ht="46.8" x14ac:dyDescent="0.3">
      <c r="A34" s="50" t="s">
        <v>94</v>
      </c>
      <c r="B34" s="50" t="s">
        <v>38</v>
      </c>
      <c r="C34" s="51" t="s">
        <v>334</v>
      </c>
      <c r="D34" s="51" t="s">
        <v>333</v>
      </c>
      <c r="E34" s="76"/>
      <c r="F34" s="50" t="s">
        <v>94</v>
      </c>
      <c r="G34" s="50" t="s">
        <v>38</v>
      </c>
      <c r="H34" s="51" t="s">
        <v>334</v>
      </c>
      <c r="I34" s="51" t="s">
        <v>333</v>
      </c>
      <c r="J34" s="76"/>
      <c r="K34" s="76"/>
    </row>
    <row r="35" spans="1:11" x14ac:dyDescent="0.3">
      <c r="A35" s="56" t="s">
        <v>57</v>
      </c>
      <c r="B35" s="56" t="s">
        <v>48</v>
      </c>
      <c r="C35" s="57" t="s">
        <v>305</v>
      </c>
      <c r="D35" s="56">
        <v>5.8</v>
      </c>
      <c r="E35" s="76"/>
      <c r="F35" s="52" t="s">
        <v>291</v>
      </c>
      <c r="G35" s="52" t="s">
        <v>62</v>
      </c>
      <c r="H35" s="53" t="s">
        <v>309</v>
      </c>
      <c r="I35" s="52">
        <v>128.30000000000001</v>
      </c>
      <c r="J35" s="76"/>
      <c r="K35" s="76"/>
    </row>
    <row r="36" spans="1:11" x14ac:dyDescent="0.3">
      <c r="A36" s="74" t="s">
        <v>323</v>
      </c>
      <c r="B36" s="74"/>
      <c r="C36" s="74"/>
      <c r="D36" s="47">
        <f>D35</f>
        <v>5.8</v>
      </c>
      <c r="E36" s="76"/>
      <c r="F36" s="54" t="s">
        <v>291</v>
      </c>
      <c r="G36" s="54" t="s">
        <v>63</v>
      </c>
      <c r="H36" s="55" t="s">
        <v>309</v>
      </c>
      <c r="I36" s="54">
        <v>65.900000000000006</v>
      </c>
      <c r="J36" s="76"/>
      <c r="K36" s="76"/>
    </row>
    <row r="37" spans="1:11" x14ac:dyDescent="0.3">
      <c r="A37" s="76"/>
      <c r="B37" s="76"/>
      <c r="C37" s="76"/>
      <c r="D37" s="76"/>
      <c r="E37" s="76"/>
      <c r="F37" s="52" t="s">
        <v>291</v>
      </c>
      <c r="G37" s="52" t="s">
        <v>64</v>
      </c>
      <c r="H37" s="53" t="s">
        <v>309</v>
      </c>
      <c r="I37" s="52">
        <v>66</v>
      </c>
      <c r="J37" s="76"/>
      <c r="K37" s="76"/>
    </row>
    <row r="38" spans="1:11" x14ac:dyDescent="0.3">
      <c r="A38" s="76"/>
      <c r="B38" s="76"/>
      <c r="C38" s="76"/>
      <c r="D38" s="76"/>
      <c r="E38" s="76"/>
      <c r="F38" s="54" t="s">
        <v>291</v>
      </c>
      <c r="G38" s="54" t="s">
        <v>65</v>
      </c>
      <c r="H38" s="55" t="s">
        <v>309</v>
      </c>
      <c r="I38" s="54">
        <v>66</v>
      </c>
      <c r="J38" s="76"/>
      <c r="K38" s="76"/>
    </row>
    <row r="39" spans="1:11" x14ac:dyDescent="0.3">
      <c r="A39" s="76"/>
      <c r="B39" s="76"/>
      <c r="C39" s="76"/>
      <c r="D39" s="76"/>
      <c r="E39" s="76"/>
      <c r="F39" s="52" t="s">
        <v>291</v>
      </c>
      <c r="G39" s="52" t="s">
        <v>66</v>
      </c>
      <c r="H39" s="53" t="s">
        <v>309</v>
      </c>
      <c r="I39" s="52">
        <v>66.900000000000006</v>
      </c>
      <c r="J39" s="76"/>
      <c r="K39" s="76"/>
    </row>
    <row r="40" spans="1:11" x14ac:dyDescent="0.3">
      <c r="A40" s="76"/>
      <c r="B40" s="76"/>
      <c r="C40" s="76"/>
      <c r="D40" s="76"/>
      <c r="E40" s="76"/>
      <c r="F40" s="54" t="s">
        <v>291</v>
      </c>
      <c r="G40" s="54" t="s">
        <v>67</v>
      </c>
      <c r="H40" s="55" t="s">
        <v>309</v>
      </c>
      <c r="I40" s="54">
        <v>105.4</v>
      </c>
      <c r="J40" s="76"/>
      <c r="K40" s="76"/>
    </row>
    <row r="41" spans="1:11" x14ac:dyDescent="0.3">
      <c r="A41" s="76"/>
      <c r="B41" s="76"/>
      <c r="C41" s="76"/>
      <c r="D41" s="76"/>
      <c r="E41" s="76"/>
      <c r="F41" s="52" t="s">
        <v>291</v>
      </c>
      <c r="G41" s="52" t="s">
        <v>75</v>
      </c>
      <c r="H41" s="53" t="s">
        <v>309</v>
      </c>
      <c r="I41" s="52">
        <v>129.1</v>
      </c>
      <c r="J41" s="76"/>
      <c r="K41" s="76"/>
    </row>
    <row r="42" spans="1:11" x14ac:dyDescent="0.3">
      <c r="A42" s="76"/>
      <c r="B42" s="76"/>
      <c r="C42" s="76"/>
      <c r="D42" s="76"/>
      <c r="E42" s="76"/>
      <c r="F42" s="54" t="s">
        <v>291</v>
      </c>
      <c r="G42" s="54" t="s">
        <v>76</v>
      </c>
      <c r="H42" s="55" t="s">
        <v>309</v>
      </c>
      <c r="I42" s="54">
        <v>198.9</v>
      </c>
      <c r="J42" s="76"/>
      <c r="K42" s="76"/>
    </row>
    <row r="43" spans="1:11" x14ac:dyDescent="0.3">
      <c r="A43" s="76"/>
      <c r="B43" s="76"/>
      <c r="C43" s="76"/>
      <c r="D43" s="76"/>
      <c r="E43" s="76"/>
      <c r="F43" s="52" t="s">
        <v>291</v>
      </c>
      <c r="G43" s="52" t="s">
        <v>77</v>
      </c>
      <c r="H43" s="53" t="s">
        <v>309</v>
      </c>
      <c r="I43" s="52">
        <v>63.6</v>
      </c>
      <c r="J43" s="76"/>
      <c r="K43" s="76"/>
    </row>
    <row r="44" spans="1:11" x14ac:dyDescent="0.3">
      <c r="A44" s="76"/>
      <c r="B44" s="76"/>
      <c r="C44" s="76"/>
      <c r="D44" s="76"/>
      <c r="E44" s="76"/>
      <c r="F44" s="54" t="s">
        <v>291</v>
      </c>
      <c r="G44" s="54" t="s">
        <v>78</v>
      </c>
      <c r="H44" s="55" t="s">
        <v>309</v>
      </c>
      <c r="I44" s="54">
        <v>62.7</v>
      </c>
      <c r="J44" s="76"/>
      <c r="K44" s="76"/>
    </row>
    <row r="45" spans="1:11" x14ac:dyDescent="0.3">
      <c r="A45" s="76"/>
      <c r="B45" s="76"/>
      <c r="C45" s="76"/>
      <c r="D45" s="76"/>
      <c r="E45" s="76"/>
      <c r="F45" s="52" t="s">
        <v>291</v>
      </c>
      <c r="G45" s="52" t="s">
        <v>79</v>
      </c>
      <c r="H45" s="53" t="s">
        <v>309</v>
      </c>
      <c r="I45" s="52">
        <v>65.400000000000006</v>
      </c>
      <c r="J45" s="76"/>
      <c r="K45" s="76"/>
    </row>
    <row r="46" spans="1:11" x14ac:dyDescent="0.3">
      <c r="A46" s="76"/>
      <c r="B46" s="76"/>
      <c r="C46" s="76"/>
      <c r="D46" s="76"/>
      <c r="E46" s="76"/>
      <c r="F46" s="54" t="s">
        <v>291</v>
      </c>
      <c r="G46" s="54" t="s">
        <v>80</v>
      </c>
      <c r="H46" s="55" t="s">
        <v>309</v>
      </c>
      <c r="I46" s="54">
        <v>65.5</v>
      </c>
      <c r="J46" s="76"/>
      <c r="K46" s="76"/>
    </row>
    <row r="47" spans="1:11" x14ac:dyDescent="0.3">
      <c r="A47" s="76"/>
      <c r="B47" s="76"/>
      <c r="C47" s="76"/>
      <c r="D47" s="76"/>
      <c r="E47" s="76"/>
      <c r="F47" s="52" t="s">
        <v>291</v>
      </c>
      <c r="G47" s="52" t="s">
        <v>81</v>
      </c>
      <c r="H47" s="53" t="s">
        <v>309</v>
      </c>
      <c r="I47" s="52">
        <v>65.599999999999994</v>
      </c>
      <c r="J47" s="76"/>
      <c r="K47" s="76"/>
    </row>
    <row r="48" spans="1:11" x14ac:dyDescent="0.3">
      <c r="A48" s="76"/>
      <c r="B48" s="76"/>
      <c r="C48" s="76"/>
      <c r="D48" s="76"/>
      <c r="E48" s="76"/>
      <c r="F48" s="54" t="s">
        <v>291</v>
      </c>
      <c r="G48" s="54" t="s">
        <v>82</v>
      </c>
      <c r="H48" s="55" t="s">
        <v>309</v>
      </c>
      <c r="I48" s="54">
        <v>67.400000000000006</v>
      </c>
      <c r="J48" s="76"/>
      <c r="K48" s="76"/>
    </row>
    <row r="49" spans="1:11" x14ac:dyDescent="0.3">
      <c r="A49" s="76"/>
      <c r="B49" s="76"/>
      <c r="C49" s="76"/>
      <c r="D49" s="76"/>
      <c r="E49" s="76"/>
      <c r="F49" s="52" t="s">
        <v>291</v>
      </c>
      <c r="G49" s="52" t="s">
        <v>83</v>
      </c>
      <c r="H49" s="53" t="s">
        <v>309</v>
      </c>
      <c r="I49" s="52">
        <v>74.7</v>
      </c>
      <c r="J49" s="76"/>
      <c r="K49" s="76"/>
    </row>
    <row r="50" spans="1:11" x14ac:dyDescent="0.3">
      <c r="A50" s="76"/>
      <c r="B50" s="76"/>
      <c r="C50" s="76"/>
      <c r="D50" s="76"/>
      <c r="E50" s="76"/>
      <c r="F50" s="54" t="s">
        <v>291</v>
      </c>
      <c r="G50" s="54" t="s">
        <v>84</v>
      </c>
      <c r="H50" s="55" t="s">
        <v>309</v>
      </c>
      <c r="I50" s="54">
        <v>28.2</v>
      </c>
      <c r="J50" s="76"/>
      <c r="K50" s="76"/>
    </row>
    <row r="51" spans="1:11" x14ac:dyDescent="0.3">
      <c r="A51" s="76"/>
      <c r="B51" s="76"/>
      <c r="C51" s="76"/>
      <c r="D51" s="76"/>
      <c r="E51" s="76"/>
      <c r="F51" s="52" t="s">
        <v>291</v>
      </c>
      <c r="G51" s="52" t="s">
        <v>92</v>
      </c>
      <c r="H51" s="53" t="s">
        <v>309</v>
      </c>
      <c r="I51" s="52">
        <v>129.4</v>
      </c>
      <c r="J51" s="76"/>
      <c r="K51" s="76"/>
    </row>
    <row r="52" spans="1:11" x14ac:dyDescent="0.3">
      <c r="A52" s="76"/>
      <c r="B52" s="76"/>
      <c r="C52" s="76"/>
      <c r="D52" s="76"/>
      <c r="E52" s="76"/>
      <c r="F52" s="58" t="s">
        <v>291</v>
      </c>
      <c r="G52" s="58" t="s">
        <v>93</v>
      </c>
      <c r="H52" s="59" t="s">
        <v>309</v>
      </c>
      <c r="I52" s="58">
        <v>199.3</v>
      </c>
      <c r="J52" s="76"/>
      <c r="K52" s="76"/>
    </row>
    <row r="53" spans="1:11" x14ac:dyDescent="0.3">
      <c r="A53" s="76"/>
      <c r="B53" s="76"/>
      <c r="C53" s="76"/>
      <c r="D53" s="76"/>
      <c r="E53" s="76"/>
      <c r="F53" s="74" t="s">
        <v>323</v>
      </c>
      <c r="G53" s="74"/>
      <c r="H53" s="74"/>
      <c r="I53" s="47">
        <f>SUM(I35:I52)</f>
        <v>1648.3000000000002</v>
      </c>
      <c r="J53" s="76"/>
      <c r="K53" s="76"/>
    </row>
  </sheetData>
  <mergeCells count="36">
    <mergeCell ref="A37:D53"/>
    <mergeCell ref="F31:I33"/>
    <mergeCell ref="A15:D15"/>
    <mergeCell ref="E11:E53"/>
    <mergeCell ref="F14:H14"/>
    <mergeCell ref="A14:C14"/>
    <mergeCell ref="A21:C21"/>
    <mergeCell ref="A32:C32"/>
    <mergeCell ref="F30:H30"/>
    <mergeCell ref="B7:F7"/>
    <mergeCell ref="G7:I7"/>
    <mergeCell ref="B8:F8"/>
    <mergeCell ref="G8:I8"/>
    <mergeCell ref="B9:F9"/>
    <mergeCell ref="G9:I9"/>
    <mergeCell ref="A10:J10"/>
    <mergeCell ref="J11:K53"/>
    <mergeCell ref="A36:C36"/>
    <mergeCell ref="F53:H53"/>
    <mergeCell ref="F15:I15"/>
    <mergeCell ref="F22:I22"/>
    <mergeCell ref="A22:D22"/>
    <mergeCell ref="F21:H21"/>
    <mergeCell ref="A33:D33"/>
    <mergeCell ref="B4:F4"/>
    <mergeCell ref="G4:I4"/>
    <mergeCell ref="B5:F5"/>
    <mergeCell ref="G5:I5"/>
    <mergeCell ref="B6:F6"/>
    <mergeCell ref="G6:I6"/>
    <mergeCell ref="B1:F1"/>
    <mergeCell ref="G1:I1"/>
    <mergeCell ref="B2:F2"/>
    <mergeCell ref="G2:I2"/>
    <mergeCell ref="B3:F3"/>
    <mergeCell ref="G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A22" sqref="A22:XFD29"/>
    </sheetView>
  </sheetViews>
  <sheetFormatPr defaultRowHeight="15.6" x14ac:dyDescent="0.3"/>
  <cols>
    <col min="1" max="2" width="8" style="23" customWidth="1"/>
    <col min="3" max="3" width="7.44140625" style="23" customWidth="1"/>
    <col min="4" max="4" width="7.33203125" style="23" customWidth="1"/>
    <col min="5" max="5" width="12.88671875" style="23" customWidth="1"/>
    <col min="6" max="6" width="8.88671875" style="23"/>
    <col min="7" max="7" width="7.77734375" style="23" customWidth="1"/>
    <col min="8" max="8" width="8" style="23" customWidth="1"/>
    <col min="9" max="16384" width="8.88671875" style="23"/>
  </cols>
  <sheetData>
    <row r="1" spans="1:9" ht="31.2" customHeight="1" x14ac:dyDescent="0.3">
      <c r="A1" s="22" t="s">
        <v>21</v>
      </c>
      <c r="B1" s="82" t="s">
        <v>22</v>
      </c>
      <c r="C1" s="82"/>
      <c r="D1" s="82"/>
      <c r="E1" s="82"/>
      <c r="F1" s="83" t="s">
        <v>2</v>
      </c>
      <c r="G1" s="83"/>
      <c r="H1" s="22" t="s">
        <v>0</v>
      </c>
      <c r="I1" s="17" t="s">
        <v>23</v>
      </c>
    </row>
    <row r="2" spans="1:9" ht="48.6" customHeight="1" x14ac:dyDescent="0.3">
      <c r="A2" s="22">
        <v>1</v>
      </c>
      <c r="B2" s="84" t="s">
        <v>322</v>
      </c>
      <c r="C2" s="85"/>
      <c r="D2" s="85"/>
      <c r="E2" s="85"/>
      <c r="F2" s="86" t="s">
        <v>336</v>
      </c>
      <c r="G2" s="86"/>
      <c r="H2" s="22" t="s">
        <v>1</v>
      </c>
      <c r="I2" s="18">
        <f>C19+I21</f>
        <v>1787.6999999999998</v>
      </c>
    </row>
    <row r="3" spans="1:9" x14ac:dyDescent="0.3">
      <c r="A3" s="81"/>
      <c r="B3" s="81"/>
      <c r="C3" s="81"/>
      <c r="D3" s="81"/>
      <c r="E3" s="81"/>
      <c r="F3" s="81"/>
      <c r="G3" s="81"/>
      <c r="H3" s="81"/>
      <c r="I3" s="81"/>
    </row>
    <row r="4" spans="1:9" x14ac:dyDescent="0.3">
      <c r="A4" s="30" t="s">
        <v>94</v>
      </c>
      <c r="B4" s="30" t="s">
        <v>275</v>
      </c>
      <c r="C4" s="30" t="s">
        <v>313</v>
      </c>
      <c r="D4" s="80"/>
      <c r="E4" s="80"/>
      <c r="F4" s="80"/>
      <c r="G4" s="30" t="s">
        <v>94</v>
      </c>
      <c r="H4" s="30" t="s">
        <v>275</v>
      </c>
      <c r="I4" s="30" t="s">
        <v>313</v>
      </c>
    </row>
    <row r="5" spans="1:9" x14ac:dyDescent="0.3">
      <c r="A5" s="31" t="s">
        <v>291</v>
      </c>
      <c r="B5" s="31" t="s">
        <v>62</v>
      </c>
      <c r="C5" s="31">
        <v>128.30000000000001</v>
      </c>
      <c r="D5" s="80"/>
      <c r="E5" s="80"/>
      <c r="F5" s="80"/>
      <c r="G5" s="32" t="s">
        <v>291</v>
      </c>
      <c r="H5" s="32" t="s">
        <v>77</v>
      </c>
      <c r="I5" s="32">
        <v>63.6</v>
      </c>
    </row>
    <row r="6" spans="1:9" x14ac:dyDescent="0.3">
      <c r="A6" s="32" t="s">
        <v>291</v>
      </c>
      <c r="B6" s="32" t="s">
        <v>63</v>
      </c>
      <c r="C6" s="32">
        <v>65.900000000000006</v>
      </c>
      <c r="D6" s="80"/>
      <c r="E6" s="80"/>
      <c r="F6" s="80"/>
      <c r="G6" s="31" t="s">
        <v>291</v>
      </c>
      <c r="H6" s="31" t="s">
        <v>78</v>
      </c>
      <c r="I6" s="31">
        <v>62.7</v>
      </c>
    </row>
    <row r="7" spans="1:9" x14ac:dyDescent="0.3">
      <c r="A7" s="31" t="s">
        <v>291</v>
      </c>
      <c r="B7" s="31" t="s">
        <v>64</v>
      </c>
      <c r="C7" s="31">
        <v>66</v>
      </c>
      <c r="D7" s="80"/>
      <c r="E7" s="80"/>
      <c r="F7" s="80"/>
      <c r="G7" s="32" t="s">
        <v>291</v>
      </c>
      <c r="H7" s="32" t="s">
        <v>79</v>
      </c>
      <c r="I7" s="32">
        <v>65.400000000000006</v>
      </c>
    </row>
    <row r="8" spans="1:9" x14ac:dyDescent="0.3">
      <c r="A8" s="32" t="s">
        <v>291</v>
      </c>
      <c r="B8" s="32" t="s">
        <v>65</v>
      </c>
      <c r="C8" s="32">
        <v>66</v>
      </c>
      <c r="D8" s="80"/>
      <c r="E8" s="80"/>
      <c r="F8" s="80"/>
      <c r="G8" s="31" t="s">
        <v>291</v>
      </c>
      <c r="H8" s="31" t="s">
        <v>80</v>
      </c>
      <c r="I8" s="31">
        <v>65.5</v>
      </c>
    </row>
    <row r="9" spans="1:9" x14ac:dyDescent="0.3">
      <c r="A9" s="31" t="s">
        <v>291</v>
      </c>
      <c r="B9" s="31" t="s">
        <v>66</v>
      </c>
      <c r="C9" s="31">
        <v>66.900000000000006</v>
      </c>
      <c r="D9" s="80"/>
      <c r="E9" s="80"/>
      <c r="F9" s="80"/>
      <c r="G9" s="32" t="s">
        <v>291</v>
      </c>
      <c r="H9" s="32" t="s">
        <v>81</v>
      </c>
      <c r="I9" s="32">
        <v>65.599999999999994</v>
      </c>
    </row>
    <row r="10" spans="1:9" x14ac:dyDescent="0.3">
      <c r="A10" s="32" t="s">
        <v>291</v>
      </c>
      <c r="B10" s="32" t="s">
        <v>67</v>
      </c>
      <c r="C10" s="32">
        <v>105.4</v>
      </c>
      <c r="D10" s="80"/>
      <c r="E10" s="80"/>
      <c r="F10" s="80"/>
      <c r="G10" s="31" t="s">
        <v>291</v>
      </c>
      <c r="H10" s="31" t="s">
        <v>82</v>
      </c>
      <c r="I10" s="31">
        <v>67.400000000000006</v>
      </c>
    </row>
    <row r="11" spans="1:9" x14ac:dyDescent="0.3">
      <c r="A11" s="32" t="s">
        <v>284</v>
      </c>
      <c r="B11" s="32" t="s">
        <v>69</v>
      </c>
      <c r="C11" s="32">
        <v>18.3</v>
      </c>
      <c r="D11" s="80"/>
      <c r="E11" s="80"/>
      <c r="F11" s="80"/>
      <c r="G11" s="32" t="s">
        <v>291</v>
      </c>
      <c r="H11" s="32" t="s">
        <v>83</v>
      </c>
      <c r="I11" s="32">
        <v>74.7</v>
      </c>
    </row>
    <row r="12" spans="1:9" x14ac:dyDescent="0.3">
      <c r="A12" s="31" t="s">
        <v>58</v>
      </c>
      <c r="B12" s="31" t="s">
        <v>70</v>
      </c>
      <c r="C12" s="31">
        <v>5.8</v>
      </c>
      <c r="D12" s="80"/>
      <c r="E12" s="80"/>
      <c r="F12" s="80"/>
      <c r="G12" s="31" t="s">
        <v>291</v>
      </c>
      <c r="H12" s="31" t="s">
        <v>84</v>
      </c>
      <c r="I12" s="31">
        <v>28.2</v>
      </c>
    </row>
    <row r="13" spans="1:9" x14ac:dyDescent="0.3">
      <c r="A13" s="32" t="s">
        <v>280</v>
      </c>
      <c r="B13" s="32" t="s">
        <v>71</v>
      </c>
      <c r="C13" s="32">
        <v>15.1</v>
      </c>
      <c r="D13" s="80"/>
      <c r="E13" s="80"/>
      <c r="F13" s="80"/>
      <c r="G13" s="31" t="s">
        <v>284</v>
      </c>
      <c r="H13" s="31" t="s">
        <v>86</v>
      </c>
      <c r="I13" s="31">
        <v>18.3</v>
      </c>
    </row>
    <row r="14" spans="1:9" x14ac:dyDescent="0.3">
      <c r="A14" s="31" t="s">
        <v>284</v>
      </c>
      <c r="B14" s="31" t="s">
        <v>72</v>
      </c>
      <c r="C14" s="31">
        <v>18.8</v>
      </c>
      <c r="D14" s="80"/>
      <c r="E14" s="80"/>
      <c r="F14" s="80"/>
      <c r="G14" s="32" t="s">
        <v>58</v>
      </c>
      <c r="H14" s="32" t="s">
        <v>87</v>
      </c>
      <c r="I14" s="32">
        <v>5.8</v>
      </c>
    </row>
    <row r="15" spans="1:9" x14ac:dyDescent="0.3">
      <c r="A15" s="32" t="s">
        <v>58</v>
      </c>
      <c r="B15" s="32" t="s">
        <v>73</v>
      </c>
      <c r="C15" s="32">
        <v>5</v>
      </c>
      <c r="D15" s="80"/>
      <c r="E15" s="80"/>
      <c r="F15" s="80"/>
      <c r="G15" s="31" t="s">
        <v>280</v>
      </c>
      <c r="H15" s="31" t="s">
        <v>88</v>
      </c>
      <c r="I15" s="31">
        <v>14.8</v>
      </c>
    </row>
    <row r="16" spans="1:9" x14ac:dyDescent="0.3">
      <c r="A16" s="31" t="s">
        <v>284</v>
      </c>
      <c r="B16" s="31" t="s">
        <v>74</v>
      </c>
      <c r="C16" s="31">
        <v>7</v>
      </c>
      <c r="D16" s="80"/>
      <c r="E16" s="80"/>
      <c r="F16" s="80"/>
      <c r="G16" s="32" t="s">
        <v>284</v>
      </c>
      <c r="H16" s="32" t="s">
        <v>89</v>
      </c>
      <c r="I16" s="32">
        <v>18.8</v>
      </c>
    </row>
    <row r="17" spans="1:9" x14ac:dyDescent="0.3">
      <c r="A17" s="32" t="s">
        <v>291</v>
      </c>
      <c r="B17" s="32" t="s">
        <v>75</v>
      </c>
      <c r="C17" s="32">
        <v>129.1</v>
      </c>
      <c r="D17" s="80"/>
      <c r="E17" s="80"/>
      <c r="F17" s="80"/>
      <c r="G17" s="31" t="s">
        <v>58</v>
      </c>
      <c r="H17" s="31" t="s">
        <v>90</v>
      </c>
      <c r="I17" s="31">
        <v>5</v>
      </c>
    </row>
    <row r="18" spans="1:9" x14ac:dyDescent="0.3">
      <c r="A18" s="31" t="s">
        <v>291</v>
      </c>
      <c r="B18" s="31" t="s">
        <v>76</v>
      </c>
      <c r="C18" s="31">
        <v>198.9</v>
      </c>
      <c r="D18" s="80"/>
      <c r="E18" s="80"/>
      <c r="F18" s="80"/>
      <c r="G18" s="32" t="s">
        <v>284</v>
      </c>
      <c r="H18" s="32" t="s">
        <v>91</v>
      </c>
      <c r="I18" s="32">
        <v>6.7</v>
      </c>
    </row>
    <row r="19" spans="1:9" x14ac:dyDescent="0.3">
      <c r="A19" s="79" t="s">
        <v>323</v>
      </c>
      <c r="B19" s="79"/>
      <c r="C19" s="23">
        <f>SUM(C5:C18)</f>
        <v>896.49999999999989</v>
      </c>
      <c r="D19" s="80"/>
      <c r="E19" s="80"/>
      <c r="F19" s="80"/>
      <c r="G19" s="31" t="s">
        <v>291</v>
      </c>
      <c r="H19" s="31" t="s">
        <v>92</v>
      </c>
      <c r="I19" s="31">
        <v>129.4</v>
      </c>
    </row>
    <row r="20" spans="1:9" x14ac:dyDescent="0.3">
      <c r="A20" s="80"/>
      <c r="B20" s="80"/>
      <c r="C20" s="80"/>
      <c r="D20" s="80"/>
      <c r="E20" s="80"/>
      <c r="F20" s="80"/>
      <c r="G20" s="33" t="s">
        <v>291</v>
      </c>
      <c r="H20" s="33" t="s">
        <v>93</v>
      </c>
      <c r="I20" s="33">
        <v>199.3</v>
      </c>
    </row>
    <row r="21" spans="1:9" x14ac:dyDescent="0.3">
      <c r="A21" s="80"/>
      <c r="B21" s="80"/>
      <c r="C21" s="80"/>
      <c r="D21" s="80"/>
      <c r="E21" s="80"/>
      <c r="F21" s="80"/>
      <c r="G21" s="79" t="s">
        <v>323</v>
      </c>
      <c r="H21" s="79"/>
      <c r="I21" s="23">
        <f>SUM(I5:I20)</f>
        <v>891.2</v>
      </c>
    </row>
  </sheetData>
  <mergeCells count="9">
    <mergeCell ref="G21:H21"/>
    <mergeCell ref="A20:C21"/>
    <mergeCell ref="D4:F21"/>
    <mergeCell ref="A3:I3"/>
    <mergeCell ref="B1:E1"/>
    <mergeCell ref="F1:G1"/>
    <mergeCell ref="B2:E2"/>
    <mergeCell ref="F2:G2"/>
    <mergeCell ref="A19:B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E26" sqref="E26"/>
    </sheetView>
  </sheetViews>
  <sheetFormatPr defaultRowHeight="15.6" x14ac:dyDescent="0.3"/>
  <cols>
    <col min="1" max="2" width="8" style="23" customWidth="1"/>
    <col min="3" max="3" width="7.44140625" style="23" customWidth="1"/>
    <col min="4" max="4" width="7.33203125" style="23" customWidth="1"/>
    <col min="5" max="5" width="12.88671875" style="23" customWidth="1"/>
    <col min="6" max="6" width="8.88671875" style="23"/>
    <col min="7" max="7" width="7.77734375" style="23" customWidth="1"/>
    <col min="8" max="8" width="8" style="23" customWidth="1"/>
    <col min="9" max="16384" width="8.88671875" style="23"/>
  </cols>
  <sheetData>
    <row r="1" spans="1:9" ht="31.2" customHeight="1" x14ac:dyDescent="0.3">
      <c r="A1" s="22" t="s">
        <v>21</v>
      </c>
      <c r="B1" s="82" t="s">
        <v>22</v>
      </c>
      <c r="C1" s="82"/>
      <c r="D1" s="82"/>
      <c r="E1" s="82"/>
      <c r="F1" s="83" t="s">
        <v>2</v>
      </c>
      <c r="G1" s="83"/>
      <c r="H1" s="22" t="s">
        <v>0</v>
      </c>
      <c r="I1" s="17" t="s">
        <v>23</v>
      </c>
    </row>
    <row r="2" spans="1:9" ht="48.6" customHeight="1" x14ac:dyDescent="0.3">
      <c r="A2" s="22">
        <v>1</v>
      </c>
      <c r="B2" s="84" t="s">
        <v>319</v>
      </c>
      <c r="C2" s="85"/>
      <c r="D2" s="85"/>
      <c r="E2" s="85"/>
      <c r="F2" s="83" t="s">
        <v>320</v>
      </c>
      <c r="G2" s="83"/>
      <c r="H2" s="22" t="s">
        <v>1</v>
      </c>
      <c r="I2" s="18">
        <f>C20</f>
        <v>879.1</v>
      </c>
    </row>
    <row r="3" spans="1:9" x14ac:dyDescent="0.3">
      <c r="A3" s="81"/>
      <c r="B3" s="81"/>
      <c r="C3" s="81"/>
      <c r="D3" s="81"/>
      <c r="E3" s="81"/>
      <c r="F3" s="81"/>
      <c r="G3" s="81"/>
      <c r="H3" s="81"/>
    </row>
    <row r="4" spans="1:9" x14ac:dyDescent="0.3">
      <c r="A4" s="27" t="s">
        <v>94</v>
      </c>
      <c r="B4" s="27" t="s">
        <v>275</v>
      </c>
      <c r="C4" s="27" t="s">
        <v>313</v>
      </c>
      <c r="D4" s="80"/>
      <c r="E4" s="80"/>
      <c r="F4" s="80"/>
      <c r="G4" s="80"/>
      <c r="H4" s="80"/>
      <c r="I4" s="80"/>
    </row>
    <row r="5" spans="1:9" x14ac:dyDescent="0.3">
      <c r="A5" s="35" t="s">
        <v>59</v>
      </c>
      <c r="B5" s="35" t="s">
        <v>39</v>
      </c>
      <c r="C5" s="35">
        <v>129</v>
      </c>
      <c r="D5" s="80"/>
      <c r="E5" s="80"/>
      <c r="F5" s="80"/>
      <c r="G5" s="80"/>
      <c r="H5" s="80"/>
      <c r="I5" s="80"/>
    </row>
    <row r="6" spans="1:9" x14ac:dyDescent="0.3">
      <c r="A6" s="36" t="s">
        <v>59</v>
      </c>
      <c r="B6" s="36" t="s">
        <v>40</v>
      </c>
      <c r="C6" s="36">
        <v>66.2</v>
      </c>
      <c r="D6" s="80"/>
      <c r="E6" s="80"/>
      <c r="F6" s="80"/>
      <c r="G6" s="80"/>
      <c r="H6" s="80"/>
      <c r="I6" s="80"/>
    </row>
    <row r="7" spans="1:9" x14ac:dyDescent="0.3">
      <c r="A7" s="35" t="s">
        <v>59</v>
      </c>
      <c r="B7" s="35" t="s">
        <v>41</v>
      </c>
      <c r="C7" s="35">
        <v>66.400000000000006</v>
      </c>
      <c r="D7" s="80"/>
      <c r="E7" s="80"/>
      <c r="F7" s="80"/>
      <c r="G7" s="80"/>
      <c r="H7" s="80"/>
      <c r="I7" s="80"/>
    </row>
    <row r="8" spans="1:9" x14ac:dyDescent="0.3">
      <c r="A8" s="36" t="s">
        <v>59</v>
      </c>
      <c r="B8" s="36" t="s">
        <v>42</v>
      </c>
      <c r="C8" s="36">
        <v>66.400000000000006</v>
      </c>
      <c r="D8" s="80"/>
      <c r="E8" s="80"/>
      <c r="F8" s="80"/>
      <c r="G8" s="80"/>
      <c r="H8" s="80"/>
      <c r="I8" s="80"/>
    </row>
    <row r="9" spans="1:9" x14ac:dyDescent="0.3">
      <c r="A9" s="35" t="s">
        <v>59</v>
      </c>
      <c r="B9" s="35" t="s">
        <v>43</v>
      </c>
      <c r="C9" s="35">
        <v>42.4</v>
      </c>
      <c r="D9" s="80"/>
      <c r="E9" s="80"/>
      <c r="F9" s="80"/>
      <c r="G9" s="80"/>
      <c r="H9" s="80"/>
      <c r="I9" s="80"/>
    </row>
    <row r="10" spans="1:9" x14ac:dyDescent="0.3">
      <c r="A10" s="36" t="s">
        <v>59</v>
      </c>
      <c r="B10" s="36" t="s">
        <v>44</v>
      </c>
      <c r="C10" s="36">
        <v>23.6</v>
      </c>
      <c r="D10" s="80"/>
      <c r="E10" s="80"/>
      <c r="F10" s="80"/>
      <c r="G10" s="80"/>
      <c r="H10" s="80"/>
      <c r="I10" s="80"/>
    </row>
    <row r="11" spans="1:9" x14ac:dyDescent="0.3">
      <c r="A11" s="35" t="s">
        <v>276</v>
      </c>
      <c r="B11" s="35" t="s">
        <v>45</v>
      </c>
      <c r="C11" s="35">
        <v>97.5</v>
      </c>
      <c r="D11" s="80"/>
      <c r="E11" s="80"/>
      <c r="F11" s="80"/>
      <c r="G11" s="80"/>
      <c r="H11" s="80"/>
      <c r="I11" s="80"/>
    </row>
    <row r="12" spans="1:9" x14ac:dyDescent="0.3">
      <c r="A12" s="35" t="s">
        <v>279</v>
      </c>
      <c r="B12" s="35" t="s">
        <v>47</v>
      </c>
      <c r="C12" s="35">
        <v>18.3</v>
      </c>
      <c r="D12" s="80"/>
      <c r="E12" s="80"/>
      <c r="F12" s="80"/>
      <c r="G12" s="80"/>
      <c r="H12" s="80"/>
      <c r="I12" s="80"/>
    </row>
    <row r="13" spans="1:9" x14ac:dyDescent="0.3">
      <c r="A13" s="36" t="s">
        <v>57</v>
      </c>
      <c r="B13" s="36" t="s">
        <v>48</v>
      </c>
      <c r="C13" s="36">
        <v>5.8</v>
      </c>
      <c r="D13" s="80"/>
      <c r="E13" s="80"/>
      <c r="F13" s="80"/>
      <c r="G13" s="80"/>
      <c r="H13" s="80"/>
      <c r="I13" s="80"/>
    </row>
    <row r="14" spans="1:9" x14ac:dyDescent="0.3">
      <c r="A14" s="35" t="s">
        <v>276</v>
      </c>
      <c r="B14" s="35" t="s">
        <v>49</v>
      </c>
      <c r="C14" s="35">
        <v>15.2</v>
      </c>
      <c r="D14" s="80"/>
      <c r="E14" s="80"/>
      <c r="F14" s="80"/>
      <c r="G14" s="80"/>
      <c r="H14" s="80"/>
      <c r="I14" s="80"/>
    </row>
    <row r="15" spans="1:9" x14ac:dyDescent="0.3">
      <c r="A15" s="36" t="s">
        <v>279</v>
      </c>
      <c r="B15" s="36" t="s">
        <v>50</v>
      </c>
      <c r="C15" s="36">
        <v>18.8</v>
      </c>
      <c r="D15" s="80"/>
      <c r="E15" s="80"/>
      <c r="F15" s="80"/>
      <c r="G15" s="80"/>
      <c r="H15" s="80"/>
      <c r="I15" s="80"/>
    </row>
    <row r="16" spans="1:9" x14ac:dyDescent="0.3">
      <c r="A16" s="35" t="s">
        <v>279</v>
      </c>
      <c r="B16" s="35" t="s">
        <v>51</v>
      </c>
      <c r="C16" s="35">
        <v>5</v>
      </c>
      <c r="D16" s="80"/>
      <c r="E16" s="80"/>
      <c r="F16" s="80"/>
      <c r="G16" s="80"/>
      <c r="H16" s="80"/>
      <c r="I16" s="80"/>
    </row>
    <row r="17" spans="1:9" x14ac:dyDescent="0.3">
      <c r="A17" s="36" t="s">
        <v>279</v>
      </c>
      <c r="B17" s="36" t="s">
        <v>52</v>
      </c>
      <c r="C17" s="36">
        <v>7</v>
      </c>
      <c r="D17" s="80"/>
      <c r="E17" s="80"/>
      <c r="F17" s="80"/>
      <c r="G17" s="80"/>
      <c r="H17" s="80"/>
      <c r="I17" s="80"/>
    </row>
    <row r="18" spans="1:9" x14ac:dyDescent="0.3">
      <c r="A18" s="35" t="s">
        <v>59</v>
      </c>
      <c r="B18" s="35" t="s">
        <v>53</v>
      </c>
      <c r="C18" s="35">
        <v>116.4</v>
      </c>
      <c r="D18" s="80"/>
      <c r="E18" s="80"/>
      <c r="F18" s="80"/>
      <c r="G18" s="80"/>
      <c r="H18" s="80"/>
      <c r="I18" s="80"/>
    </row>
    <row r="19" spans="1:9" x14ac:dyDescent="0.3">
      <c r="A19" s="37" t="s">
        <v>59</v>
      </c>
      <c r="B19" s="37" t="s">
        <v>54</v>
      </c>
      <c r="C19" s="37">
        <v>201.1</v>
      </c>
      <c r="D19" s="80"/>
      <c r="E19" s="80"/>
      <c r="F19" s="80"/>
      <c r="G19" s="80"/>
      <c r="H19" s="80"/>
      <c r="I19" s="80"/>
    </row>
    <row r="20" spans="1:9" x14ac:dyDescent="0.3">
      <c r="A20" s="87"/>
      <c r="B20" s="87"/>
      <c r="C20" s="29">
        <f>SUM(C5:C19)</f>
        <v>879.1</v>
      </c>
      <c r="D20" s="80"/>
      <c r="E20" s="80"/>
      <c r="F20" s="80"/>
      <c r="G20" s="80"/>
      <c r="H20" s="80"/>
      <c r="I20" s="80"/>
    </row>
  </sheetData>
  <mergeCells count="7">
    <mergeCell ref="D4:I20"/>
    <mergeCell ref="A20:B20"/>
    <mergeCell ref="B1:E1"/>
    <mergeCell ref="F1:G1"/>
    <mergeCell ref="B2:E2"/>
    <mergeCell ref="F2:G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20" sqref="A4:C20"/>
    </sheetView>
  </sheetViews>
  <sheetFormatPr defaultRowHeight="15.6" x14ac:dyDescent="0.3"/>
  <cols>
    <col min="1" max="2" width="8" style="23" customWidth="1"/>
    <col min="3" max="3" width="7.44140625" style="23" customWidth="1"/>
    <col min="4" max="4" width="7.33203125" style="23" customWidth="1"/>
    <col min="5" max="5" width="10" style="23" customWidth="1"/>
    <col min="6" max="6" width="8.88671875" style="23"/>
    <col min="7" max="7" width="9.88671875" style="23" customWidth="1"/>
    <col min="8" max="16384" width="8.88671875" style="23"/>
  </cols>
  <sheetData>
    <row r="1" spans="1:9" ht="31.2" customHeight="1" x14ac:dyDescent="0.3">
      <c r="A1" s="22" t="s">
        <v>21</v>
      </c>
      <c r="B1" s="82" t="s">
        <v>22</v>
      </c>
      <c r="C1" s="82"/>
      <c r="D1" s="82"/>
      <c r="E1" s="82"/>
      <c r="F1" s="83" t="s">
        <v>2</v>
      </c>
      <c r="G1" s="83"/>
      <c r="H1" s="22" t="s">
        <v>0</v>
      </c>
      <c r="I1" s="17" t="s">
        <v>23</v>
      </c>
    </row>
    <row r="2" spans="1:9" ht="48.6" customHeight="1" x14ac:dyDescent="0.3">
      <c r="A2" s="22">
        <v>1</v>
      </c>
      <c r="B2" s="84" t="s">
        <v>318</v>
      </c>
      <c r="C2" s="85"/>
      <c r="D2" s="85"/>
      <c r="E2" s="85"/>
      <c r="F2" s="83" t="s">
        <v>321</v>
      </c>
      <c r="G2" s="83"/>
      <c r="H2" s="22" t="s">
        <v>1</v>
      </c>
      <c r="I2" s="18">
        <f>C20</f>
        <v>879.1</v>
      </c>
    </row>
    <row r="3" spans="1:9" x14ac:dyDescent="0.3">
      <c r="A3" s="81"/>
      <c r="B3" s="81"/>
      <c r="C3" s="81"/>
      <c r="D3" s="81"/>
      <c r="E3" s="81"/>
      <c r="F3" s="81"/>
      <c r="G3" s="81"/>
      <c r="H3" s="81"/>
    </row>
    <row r="4" spans="1:9" x14ac:dyDescent="0.3">
      <c r="A4" s="27" t="s">
        <v>94</v>
      </c>
      <c r="B4" s="27" t="s">
        <v>275</v>
      </c>
      <c r="C4" s="27" t="s">
        <v>313</v>
      </c>
      <c r="D4" s="80"/>
      <c r="E4" s="80"/>
      <c r="F4" s="80"/>
      <c r="G4" s="80"/>
      <c r="H4" s="80"/>
      <c r="I4" s="80"/>
    </row>
    <row r="5" spans="1:9" x14ac:dyDescent="0.3">
      <c r="A5" s="35" t="s">
        <v>59</v>
      </c>
      <c r="B5" s="35" t="s">
        <v>39</v>
      </c>
      <c r="C5" s="35">
        <v>129</v>
      </c>
      <c r="D5" s="80"/>
      <c r="E5" s="80"/>
      <c r="F5" s="80"/>
      <c r="G5" s="80"/>
      <c r="H5" s="80"/>
      <c r="I5" s="80"/>
    </row>
    <row r="6" spans="1:9" x14ac:dyDescent="0.3">
      <c r="A6" s="36" t="s">
        <v>59</v>
      </c>
      <c r="B6" s="36" t="s">
        <v>40</v>
      </c>
      <c r="C6" s="36">
        <v>66.2</v>
      </c>
      <c r="D6" s="80"/>
      <c r="E6" s="80"/>
      <c r="F6" s="80"/>
      <c r="G6" s="80"/>
      <c r="H6" s="80"/>
      <c r="I6" s="80"/>
    </row>
    <row r="7" spans="1:9" x14ac:dyDescent="0.3">
      <c r="A7" s="35" t="s">
        <v>59</v>
      </c>
      <c r="B7" s="35" t="s">
        <v>41</v>
      </c>
      <c r="C7" s="35">
        <v>66.400000000000006</v>
      </c>
      <c r="D7" s="80"/>
      <c r="E7" s="80"/>
      <c r="F7" s="80"/>
      <c r="G7" s="80"/>
      <c r="H7" s="80"/>
      <c r="I7" s="80"/>
    </row>
    <row r="8" spans="1:9" x14ac:dyDescent="0.3">
      <c r="A8" s="36" t="s">
        <v>59</v>
      </c>
      <c r="B8" s="36" t="s">
        <v>42</v>
      </c>
      <c r="C8" s="36">
        <v>66.400000000000006</v>
      </c>
      <c r="D8" s="80"/>
      <c r="E8" s="80"/>
      <c r="F8" s="80"/>
      <c r="G8" s="80"/>
      <c r="H8" s="80"/>
      <c r="I8" s="80"/>
    </row>
    <row r="9" spans="1:9" x14ac:dyDescent="0.3">
      <c r="A9" s="35" t="s">
        <v>59</v>
      </c>
      <c r="B9" s="35" t="s">
        <v>43</v>
      </c>
      <c r="C9" s="35">
        <v>42.4</v>
      </c>
      <c r="D9" s="80"/>
      <c r="E9" s="80"/>
      <c r="F9" s="80"/>
      <c r="G9" s="80"/>
      <c r="H9" s="80"/>
      <c r="I9" s="80"/>
    </row>
    <row r="10" spans="1:9" x14ac:dyDescent="0.3">
      <c r="A10" s="36" t="s">
        <v>59</v>
      </c>
      <c r="B10" s="36" t="s">
        <v>44</v>
      </c>
      <c r="C10" s="36">
        <v>23.6</v>
      </c>
      <c r="D10" s="80"/>
      <c r="E10" s="80"/>
      <c r="F10" s="80"/>
      <c r="G10" s="80"/>
      <c r="H10" s="80"/>
      <c r="I10" s="80"/>
    </row>
    <row r="11" spans="1:9" x14ac:dyDescent="0.3">
      <c r="A11" s="35" t="s">
        <v>276</v>
      </c>
      <c r="B11" s="35" t="s">
        <v>45</v>
      </c>
      <c r="C11" s="35">
        <v>97.5</v>
      </c>
      <c r="D11" s="80"/>
      <c r="E11" s="80"/>
      <c r="F11" s="80"/>
      <c r="G11" s="80"/>
      <c r="H11" s="80"/>
      <c r="I11" s="80"/>
    </row>
    <row r="12" spans="1:9" x14ac:dyDescent="0.3">
      <c r="A12" s="35" t="s">
        <v>279</v>
      </c>
      <c r="B12" s="35" t="s">
        <v>47</v>
      </c>
      <c r="C12" s="35">
        <v>18.3</v>
      </c>
      <c r="D12" s="80"/>
      <c r="E12" s="80"/>
      <c r="F12" s="80"/>
      <c r="G12" s="80"/>
      <c r="H12" s="80"/>
      <c r="I12" s="80"/>
    </row>
    <row r="13" spans="1:9" x14ac:dyDescent="0.3">
      <c r="A13" s="36" t="s">
        <v>57</v>
      </c>
      <c r="B13" s="36" t="s">
        <v>48</v>
      </c>
      <c r="C13" s="36">
        <v>5.8</v>
      </c>
      <c r="D13" s="80"/>
      <c r="E13" s="80"/>
      <c r="F13" s="80"/>
      <c r="G13" s="80"/>
      <c r="H13" s="80"/>
      <c r="I13" s="80"/>
    </row>
    <row r="14" spans="1:9" x14ac:dyDescent="0.3">
      <c r="A14" s="35" t="s">
        <v>276</v>
      </c>
      <c r="B14" s="35" t="s">
        <v>49</v>
      </c>
      <c r="C14" s="35">
        <v>15.2</v>
      </c>
      <c r="D14" s="80"/>
      <c r="E14" s="80"/>
      <c r="F14" s="80"/>
      <c r="G14" s="80"/>
      <c r="H14" s="80"/>
      <c r="I14" s="80"/>
    </row>
    <row r="15" spans="1:9" x14ac:dyDescent="0.3">
      <c r="A15" s="36" t="s">
        <v>279</v>
      </c>
      <c r="B15" s="36" t="s">
        <v>50</v>
      </c>
      <c r="C15" s="36">
        <v>18.8</v>
      </c>
      <c r="D15" s="80"/>
      <c r="E15" s="80"/>
      <c r="F15" s="80"/>
      <c r="G15" s="80"/>
      <c r="H15" s="80"/>
      <c r="I15" s="80"/>
    </row>
    <row r="16" spans="1:9" x14ac:dyDescent="0.3">
      <c r="A16" s="35" t="s">
        <v>279</v>
      </c>
      <c r="B16" s="35" t="s">
        <v>51</v>
      </c>
      <c r="C16" s="35">
        <v>5</v>
      </c>
      <c r="D16" s="80"/>
      <c r="E16" s="80"/>
      <c r="F16" s="80"/>
      <c r="G16" s="80"/>
      <c r="H16" s="80"/>
      <c r="I16" s="80"/>
    </row>
    <row r="17" spans="1:9" x14ac:dyDescent="0.3">
      <c r="A17" s="36" t="s">
        <v>279</v>
      </c>
      <c r="B17" s="36" t="s">
        <v>52</v>
      </c>
      <c r="C17" s="36">
        <v>7</v>
      </c>
      <c r="D17" s="80"/>
      <c r="E17" s="80"/>
      <c r="F17" s="80"/>
      <c r="G17" s="80"/>
      <c r="H17" s="80"/>
      <c r="I17" s="80"/>
    </row>
    <row r="18" spans="1:9" x14ac:dyDescent="0.3">
      <c r="A18" s="35" t="s">
        <v>59</v>
      </c>
      <c r="B18" s="35" t="s">
        <v>53</v>
      </c>
      <c r="C18" s="35">
        <v>116.4</v>
      </c>
      <c r="D18" s="80"/>
      <c r="E18" s="80"/>
      <c r="F18" s="80"/>
      <c r="G18" s="80"/>
      <c r="H18" s="80"/>
      <c r="I18" s="80"/>
    </row>
    <row r="19" spans="1:9" x14ac:dyDescent="0.3">
      <c r="A19" s="37" t="s">
        <v>59</v>
      </c>
      <c r="B19" s="37" t="s">
        <v>54</v>
      </c>
      <c r="C19" s="37">
        <v>201.1</v>
      </c>
      <c r="D19" s="80"/>
      <c r="E19" s="80"/>
      <c r="F19" s="80"/>
      <c r="G19" s="80"/>
      <c r="H19" s="80"/>
      <c r="I19" s="80"/>
    </row>
    <row r="20" spans="1:9" x14ac:dyDescent="0.3">
      <c r="A20" s="87"/>
      <c r="B20" s="87"/>
      <c r="C20" s="29">
        <f>SUM(C5:C19)</f>
        <v>879.1</v>
      </c>
      <c r="D20" s="80"/>
      <c r="E20" s="80"/>
      <c r="F20" s="80"/>
      <c r="G20" s="80"/>
      <c r="H20" s="80"/>
      <c r="I20" s="80"/>
    </row>
  </sheetData>
  <mergeCells count="7">
    <mergeCell ref="D4:I20"/>
    <mergeCell ref="A20:B20"/>
    <mergeCell ref="A3:H3"/>
    <mergeCell ref="B1:E1"/>
    <mergeCell ref="F1:G1"/>
    <mergeCell ref="B2:E2"/>
    <mergeCell ref="F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22" zoomScale="85" zoomScaleNormal="85" workbookViewId="0">
      <selection activeCell="J31" sqref="J31"/>
    </sheetView>
  </sheetViews>
  <sheetFormatPr defaultRowHeight="15.6" x14ac:dyDescent="0.3"/>
  <cols>
    <col min="1" max="2" width="8" style="23" customWidth="1"/>
    <col min="3" max="3" width="11" style="23" customWidth="1"/>
    <col min="4" max="4" width="3.77734375" style="23" customWidth="1"/>
    <col min="5" max="5" width="11.77734375" style="23" customWidth="1"/>
    <col min="6" max="6" width="8.88671875" style="23"/>
    <col min="7" max="7" width="12.77734375" style="23" customWidth="1"/>
    <col min="8" max="16384" width="8.88671875" style="23"/>
  </cols>
  <sheetData>
    <row r="1" spans="1:10" s="34" customFormat="1" ht="31.2" customHeight="1" x14ac:dyDescent="0.3">
      <c r="A1" s="22" t="s">
        <v>21</v>
      </c>
      <c r="B1" s="82" t="s">
        <v>22</v>
      </c>
      <c r="C1" s="82"/>
      <c r="D1" s="82"/>
      <c r="E1" s="82"/>
      <c r="F1" s="86" t="s">
        <v>2</v>
      </c>
      <c r="G1" s="86"/>
      <c r="H1" s="86"/>
      <c r="I1" s="22" t="s">
        <v>0</v>
      </c>
      <c r="J1" s="17" t="s">
        <v>23</v>
      </c>
    </row>
    <row r="2" spans="1:10" ht="52.2" customHeight="1" x14ac:dyDescent="0.3">
      <c r="A2" s="22">
        <v>1</v>
      </c>
      <c r="B2" s="84" t="s">
        <v>337</v>
      </c>
      <c r="C2" s="85"/>
      <c r="D2" s="85"/>
      <c r="E2" s="85"/>
      <c r="F2" s="83" t="s">
        <v>338</v>
      </c>
      <c r="G2" s="83"/>
      <c r="H2" s="83"/>
      <c r="I2" s="22" t="s">
        <v>1</v>
      </c>
      <c r="J2" s="18">
        <f>C5</f>
        <v>88.7</v>
      </c>
    </row>
    <row r="3" spans="1:10" x14ac:dyDescent="0.3">
      <c r="A3" s="81"/>
      <c r="B3" s="81"/>
      <c r="C3" s="81"/>
      <c r="D3" s="81"/>
      <c r="E3" s="81"/>
      <c r="F3" s="81"/>
      <c r="G3" s="81"/>
      <c r="H3" s="81"/>
      <c r="I3" s="81"/>
      <c r="J3" s="81"/>
    </row>
    <row r="4" spans="1:10" s="29" customFormat="1" ht="31.8" customHeight="1" x14ac:dyDescent="0.3">
      <c r="A4" s="60" t="s">
        <v>94</v>
      </c>
      <c r="B4" s="60" t="s">
        <v>38</v>
      </c>
      <c r="C4" s="61" t="s">
        <v>315</v>
      </c>
      <c r="D4" s="88"/>
      <c r="E4" s="88"/>
      <c r="F4" s="88"/>
      <c r="G4" s="88"/>
      <c r="H4" s="88"/>
      <c r="I4" s="88"/>
      <c r="J4" s="88"/>
    </row>
    <row r="5" spans="1:10" ht="18.600000000000001" customHeight="1" x14ac:dyDescent="0.3">
      <c r="A5" s="43" t="s">
        <v>340</v>
      </c>
      <c r="B5" s="43" t="s">
        <v>339</v>
      </c>
      <c r="C5" s="43">
        <v>88.7</v>
      </c>
      <c r="D5" s="88"/>
      <c r="E5" s="88"/>
      <c r="F5" s="88"/>
      <c r="G5" s="88"/>
      <c r="H5" s="88"/>
      <c r="I5" s="88"/>
      <c r="J5" s="88"/>
    </row>
    <row r="11" spans="1:10" s="34" customFormat="1" x14ac:dyDescent="0.3">
      <c r="A11" s="22" t="s">
        <v>21</v>
      </c>
      <c r="B11" s="82" t="s">
        <v>22</v>
      </c>
      <c r="C11" s="82"/>
      <c r="D11" s="82"/>
      <c r="E11" s="82"/>
      <c r="F11" s="86" t="s">
        <v>2</v>
      </c>
      <c r="G11" s="86"/>
      <c r="H11" s="86"/>
      <c r="I11" s="22" t="s">
        <v>0</v>
      </c>
      <c r="J11" s="17" t="s">
        <v>23</v>
      </c>
    </row>
    <row r="12" spans="1:10" ht="38.4" customHeight="1" x14ac:dyDescent="0.3">
      <c r="A12" s="22">
        <v>1</v>
      </c>
      <c r="B12" s="84" t="s">
        <v>318</v>
      </c>
      <c r="C12" s="85"/>
      <c r="D12" s="85"/>
      <c r="E12" s="85"/>
      <c r="F12" s="83" t="s">
        <v>341</v>
      </c>
      <c r="G12" s="83"/>
      <c r="H12" s="83"/>
      <c r="I12" s="22" t="s">
        <v>1</v>
      </c>
      <c r="J12" s="18">
        <f>C15</f>
        <v>88.7</v>
      </c>
    </row>
    <row r="13" spans="1:10" x14ac:dyDescent="0.3">
      <c r="A13" s="81"/>
      <c r="B13" s="81"/>
      <c r="C13" s="81"/>
      <c r="D13" s="81"/>
      <c r="E13" s="81"/>
      <c r="F13" s="81"/>
      <c r="G13" s="81"/>
      <c r="H13" s="81"/>
      <c r="I13" s="81"/>
      <c r="J13" s="81"/>
    </row>
    <row r="14" spans="1:10" ht="31.2" x14ac:dyDescent="0.3">
      <c r="A14" s="60" t="s">
        <v>94</v>
      </c>
      <c r="B14" s="60" t="s">
        <v>38</v>
      </c>
      <c r="C14" s="61" t="s">
        <v>315</v>
      </c>
      <c r="D14" s="88"/>
      <c r="E14" s="88"/>
      <c r="F14" s="88"/>
      <c r="G14" s="88"/>
      <c r="H14" s="88"/>
      <c r="I14" s="88"/>
      <c r="J14" s="88"/>
    </row>
    <row r="15" spans="1:10" x14ac:dyDescent="0.3">
      <c r="A15" s="43" t="s">
        <v>340</v>
      </c>
      <c r="B15" s="43" t="s">
        <v>339</v>
      </c>
      <c r="C15" s="43">
        <v>88.7</v>
      </c>
      <c r="D15" s="88"/>
      <c r="E15" s="88"/>
      <c r="F15" s="88"/>
      <c r="G15" s="88"/>
      <c r="H15" s="88"/>
      <c r="I15" s="88"/>
      <c r="J15" s="88"/>
    </row>
    <row r="17" spans="1:10" x14ac:dyDescent="0.3">
      <c r="A17" s="22" t="s">
        <v>21</v>
      </c>
      <c r="B17" s="82" t="s">
        <v>22</v>
      </c>
      <c r="C17" s="82"/>
      <c r="D17" s="82"/>
      <c r="E17" s="82"/>
      <c r="F17" s="86" t="s">
        <v>2</v>
      </c>
      <c r="G17" s="86"/>
      <c r="H17" s="86"/>
      <c r="I17" s="22" t="s">
        <v>0</v>
      </c>
      <c r="J17" s="17" t="s">
        <v>23</v>
      </c>
    </row>
    <row r="18" spans="1:10" ht="39.6" customHeight="1" x14ac:dyDescent="0.3">
      <c r="A18" s="22">
        <v>1</v>
      </c>
      <c r="B18" s="84" t="s">
        <v>342</v>
      </c>
      <c r="C18" s="85"/>
      <c r="D18" s="85"/>
      <c r="E18" s="85"/>
      <c r="F18" s="83" t="s">
        <v>343</v>
      </c>
      <c r="G18" s="83"/>
      <c r="H18" s="83"/>
      <c r="I18" s="22" t="s">
        <v>1</v>
      </c>
      <c r="J18" s="18">
        <f>C21</f>
        <v>88.7</v>
      </c>
    </row>
    <row r="19" spans="1:10" x14ac:dyDescent="0.3">
      <c r="A19" s="81"/>
      <c r="B19" s="81"/>
      <c r="C19" s="81"/>
      <c r="D19" s="81"/>
      <c r="E19" s="81"/>
      <c r="F19" s="81"/>
      <c r="G19" s="81"/>
      <c r="H19" s="81"/>
      <c r="I19" s="81"/>
      <c r="J19" s="81"/>
    </row>
    <row r="20" spans="1:10" ht="31.2" x14ac:dyDescent="0.3">
      <c r="A20" s="60" t="s">
        <v>94</v>
      </c>
      <c r="B20" s="60" t="s">
        <v>38</v>
      </c>
      <c r="C20" s="61" t="s">
        <v>315</v>
      </c>
      <c r="D20" s="88"/>
      <c r="E20" s="88"/>
      <c r="F20" s="88"/>
      <c r="G20" s="88"/>
      <c r="H20" s="88"/>
      <c r="I20" s="88"/>
      <c r="J20" s="88"/>
    </row>
    <row r="21" spans="1:10" x14ac:dyDescent="0.3">
      <c r="A21" s="43" t="s">
        <v>340</v>
      </c>
      <c r="B21" s="43" t="s">
        <v>339</v>
      </c>
      <c r="C21" s="43">
        <v>88.7</v>
      </c>
      <c r="D21" s="88"/>
      <c r="E21" s="88"/>
      <c r="F21" s="88"/>
      <c r="G21" s="88"/>
      <c r="H21" s="88"/>
      <c r="I21" s="88"/>
      <c r="J21" s="88"/>
    </row>
    <row r="23" spans="1:10" x14ac:dyDescent="0.3">
      <c r="A23" s="22" t="s">
        <v>21</v>
      </c>
      <c r="B23" s="82" t="s">
        <v>22</v>
      </c>
      <c r="C23" s="82"/>
      <c r="D23" s="82"/>
      <c r="E23" s="82"/>
      <c r="F23" s="86" t="s">
        <v>2</v>
      </c>
      <c r="G23" s="86"/>
      <c r="H23" s="86"/>
      <c r="I23" s="22" t="s">
        <v>0</v>
      </c>
      <c r="J23" s="17" t="s">
        <v>23</v>
      </c>
    </row>
    <row r="24" spans="1:10" ht="32.4" customHeight="1" x14ac:dyDescent="0.3">
      <c r="A24" s="22">
        <v>1</v>
      </c>
      <c r="B24" s="84" t="s">
        <v>344</v>
      </c>
      <c r="C24" s="85"/>
      <c r="D24" s="85"/>
      <c r="E24" s="85"/>
      <c r="F24" s="83" t="s">
        <v>345</v>
      </c>
      <c r="G24" s="83"/>
      <c r="H24" s="83"/>
      <c r="I24" s="22" t="s">
        <v>353</v>
      </c>
      <c r="J24" s="62">
        <f>C27*0.09</f>
        <v>7.9829999999999997</v>
      </c>
    </row>
    <row r="25" spans="1:10" x14ac:dyDescent="0.3">
      <c r="A25" s="81"/>
      <c r="B25" s="81"/>
      <c r="C25" s="81"/>
      <c r="D25" s="81"/>
      <c r="E25" s="81"/>
      <c r="F25" s="81"/>
      <c r="G25" s="81"/>
      <c r="H25" s="81"/>
      <c r="I25" s="81"/>
      <c r="J25" s="81"/>
    </row>
    <row r="26" spans="1:10" ht="31.2" customHeight="1" x14ac:dyDescent="0.3">
      <c r="A26" s="60" t="s">
        <v>94</v>
      </c>
      <c r="B26" s="60" t="s">
        <v>38</v>
      </c>
      <c r="C26" s="61" t="s">
        <v>315</v>
      </c>
      <c r="D26" s="89" t="s">
        <v>354</v>
      </c>
      <c r="E26" s="90"/>
      <c r="F26" s="93"/>
      <c r="G26" s="88"/>
      <c r="H26" s="88"/>
      <c r="I26" s="88"/>
      <c r="J26" s="88"/>
    </row>
    <row r="27" spans="1:10" x14ac:dyDescent="0.3">
      <c r="A27" s="43" t="s">
        <v>340</v>
      </c>
      <c r="B27" s="43" t="s">
        <v>339</v>
      </c>
      <c r="C27" s="43">
        <v>88.7</v>
      </c>
      <c r="D27" s="91">
        <f>C27*0.09</f>
        <v>7.9829999999999997</v>
      </c>
      <c r="E27" s="92"/>
      <c r="F27" s="93"/>
      <c r="G27" s="88"/>
      <c r="H27" s="88"/>
      <c r="I27" s="88"/>
      <c r="J27" s="88"/>
    </row>
    <row r="29" spans="1:10" x14ac:dyDescent="0.3">
      <c r="A29" s="22" t="s">
        <v>21</v>
      </c>
      <c r="B29" s="82" t="s">
        <v>22</v>
      </c>
      <c r="C29" s="82"/>
      <c r="D29" s="82"/>
      <c r="E29" s="82"/>
      <c r="F29" s="86" t="s">
        <v>2</v>
      </c>
      <c r="G29" s="86"/>
      <c r="H29" s="86"/>
      <c r="I29" s="22" t="s">
        <v>0</v>
      </c>
      <c r="J29" s="17" t="s">
        <v>23</v>
      </c>
    </row>
    <row r="30" spans="1:10" ht="48" customHeight="1" x14ac:dyDescent="0.3">
      <c r="A30" s="22">
        <v>1</v>
      </c>
      <c r="B30" s="84" t="s">
        <v>348</v>
      </c>
      <c r="C30" s="85"/>
      <c r="D30" s="85"/>
      <c r="E30" s="85"/>
      <c r="F30" s="83" t="s">
        <v>352</v>
      </c>
      <c r="G30" s="83"/>
      <c r="H30" s="83"/>
      <c r="I30" s="22" t="s">
        <v>1</v>
      </c>
      <c r="J30" s="18">
        <f>C34+C35</f>
        <v>27.900000000000002</v>
      </c>
    </row>
    <row r="31" spans="1:10" ht="48" customHeight="1" x14ac:dyDescent="0.3">
      <c r="A31" s="22">
        <v>2</v>
      </c>
      <c r="B31" s="84" t="s">
        <v>346</v>
      </c>
      <c r="C31" s="85"/>
      <c r="D31" s="85"/>
      <c r="E31" s="85"/>
      <c r="F31" s="83" t="s">
        <v>347</v>
      </c>
      <c r="G31" s="83"/>
      <c r="H31" s="83"/>
      <c r="I31" s="22" t="s">
        <v>1</v>
      </c>
      <c r="J31" s="18">
        <f>C36</f>
        <v>88.7</v>
      </c>
    </row>
    <row r="32" spans="1:10" x14ac:dyDescent="0.3">
      <c r="A32" s="81"/>
      <c r="B32" s="81"/>
      <c r="C32" s="81"/>
      <c r="D32" s="81"/>
      <c r="E32" s="81"/>
      <c r="F32" s="81"/>
      <c r="G32" s="81"/>
      <c r="H32" s="81"/>
      <c r="I32" s="81"/>
      <c r="J32" s="81"/>
    </row>
    <row r="33" spans="1:10" ht="31.2" x14ac:dyDescent="0.3">
      <c r="A33" s="60" t="s">
        <v>94</v>
      </c>
      <c r="B33" s="60" t="s">
        <v>38</v>
      </c>
      <c r="C33" s="61" t="s">
        <v>315</v>
      </c>
      <c r="D33" s="93"/>
      <c r="E33" s="94"/>
      <c r="F33" s="94"/>
      <c r="G33" s="94"/>
      <c r="H33" s="94"/>
      <c r="I33" s="94"/>
      <c r="J33" s="94"/>
    </row>
    <row r="34" spans="1:10" x14ac:dyDescent="0.3">
      <c r="A34" s="43" t="s">
        <v>349</v>
      </c>
      <c r="B34" s="43" t="s">
        <v>350</v>
      </c>
      <c r="C34" s="43">
        <v>20.100000000000001</v>
      </c>
      <c r="D34" s="93"/>
      <c r="E34" s="94"/>
      <c r="F34" s="94"/>
      <c r="G34" s="94"/>
      <c r="H34" s="94"/>
      <c r="I34" s="94"/>
      <c r="J34" s="94"/>
    </row>
    <row r="35" spans="1:10" x14ac:dyDescent="0.3">
      <c r="A35" s="43" t="s">
        <v>349</v>
      </c>
      <c r="B35" s="43" t="s">
        <v>351</v>
      </c>
      <c r="C35" s="43">
        <v>7.8</v>
      </c>
      <c r="D35" s="93"/>
      <c r="E35" s="94"/>
      <c r="F35" s="94"/>
      <c r="G35" s="94"/>
      <c r="H35" s="94"/>
      <c r="I35" s="94"/>
      <c r="J35" s="94"/>
    </row>
    <row r="36" spans="1:10" x14ac:dyDescent="0.3">
      <c r="A36" s="43" t="s">
        <v>340</v>
      </c>
      <c r="B36" s="43" t="s">
        <v>339</v>
      </c>
      <c r="C36" s="43">
        <v>88.7</v>
      </c>
      <c r="D36" s="93"/>
      <c r="E36" s="94"/>
      <c r="F36" s="94"/>
      <c r="G36" s="94"/>
      <c r="H36" s="94"/>
      <c r="I36" s="94"/>
      <c r="J36" s="94"/>
    </row>
  </sheetData>
  <mergeCells count="34">
    <mergeCell ref="D33:J36"/>
    <mergeCell ref="A32:J32"/>
    <mergeCell ref="B31:E31"/>
    <mergeCell ref="F31:H31"/>
    <mergeCell ref="A25:J25"/>
    <mergeCell ref="B29:E29"/>
    <mergeCell ref="F29:H29"/>
    <mergeCell ref="B30:E30"/>
    <mergeCell ref="F30:H30"/>
    <mergeCell ref="D26:E26"/>
    <mergeCell ref="D27:E27"/>
    <mergeCell ref="F26:J27"/>
    <mergeCell ref="A19:J19"/>
    <mergeCell ref="D20:J21"/>
    <mergeCell ref="B23:E23"/>
    <mergeCell ref="F23:H23"/>
    <mergeCell ref="B24:E24"/>
    <mergeCell ref="F24:H24"/>
    <mergeCell ref="D14:J15"/>
    <mergeCell ref="B17:E17"/>
    <mergeCell ref="F17:H17"/>
    <mergeCell ref="B18:E18"/>
    <mergeCell ref="F18:H18"/>
    <mergeCell ref="A13:J13"/>
    <mergeCell ref="B1:E1"/>
    <mergeCell ref="F1:H1"/>
    <mergeCell ref="B2:E2"/>
    <mergeCell ref="F2:H2"/>
    <mergeCell ref="D4:J5"/>
    <mergeCell ref="A3:J3"/>
    <mergeCell ref="B11:E11"/>
    <mergeCell ref="F11:H11"/>
    <mergeCell ref="B12:E12"/>
    <mergeCell ref="F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A35" sqref="A35:XFD44"/>
    </sheetView>
  </sheetViews>
  <sheetFormatPr defaultRowHeight="15.6" x14ac:dyDescent="0.3"/>
  <cols>
    <col min="1" max="2" width="8" style="23" customWidth="1"/>
    <col min="3" max="3" width="7.44140625" style="23" customWidth="1"/>
    <col min="4" max="4" width="3.77734375" style="23" customWidth="1"/>
    <col min="5" max="5" width="8.5546875" style="23" customWidth="1"/>
    <col min="6" max="6" width="8" style="23" customWidth="1"/>
    <col min="7" max="7" width="8.88671875" style="23"/>
    <col min="8" max="8" width="7.88671875" style="23" customWidth="1"/>
    <col min="9" max="16384" width="8.88671875" style="23"/>
  </cols>
  <sheetData>
    <row r="1" spans="1:11" ht="31.2" customHeight="1" x14ac:dyDescent="0.3">
      <c r="A1" s="22" t="s">
        <v>21</v>
      </c>
      <c r="B1" s="82" t="s">
        <v>22</v>
      </c>
      <c r="C1" s="82"/>
      <c r="D1" s="82"/>
      <c r="E1" s="82"/>
      <c r="F1" s="82"/>
      <c r="G1" s="83" t="s">
        <v>2</v>
      </c>
      <c r="H1" s="83"/>
      <c r="I1" s="83"/>
      <c r="J1" s="22" t="s">
        <v>0</v>
      </c>
      <c r="K1" s="17" t="s">
        <v>23</v>
      </c>
    </row>
    <row r="2" spans="1:11" ht="48.6" customHeight="1" x14ac:dyDescent="0.3">
      <c r="A2" s="22">
        <v>1</v>
      </c>
      <c r="B2" s="84" t="s">
        <v>335</v>
      </c>
      <c r="C2" s="85"/>
      <c r="D2" s="85"/>
      <c r="E2" s="85"/>
      <c r="F2" s="98"/>
      <c r="G2" s="83" t="s">
        <v>314</v>
      </c>
      <c r="H2" s="83"/>
      <c r="I2" s="83"/>
      <c r="J2" s="22" t="s">
        <v>1</v>
      </c>
      <c r="K2" s="18">
        <f>C21+G15+K17</f>
        <v>2557.3000000000002</v>
      </c>
    </row>
    <row r="3" spans="1:11" ht="33.6" customHeight="1" x14ac:dyDescent="0.3">
      <c r="A3" s="22">
        <v>2</v>
      </c>
      <c r="B3" s="84" t="s">
        <v>335</v>
      </c>
      <c r="C3" s="85"/>
      <c r="D3" s="85"/>
      <c r="E3" s="85"/>
      <c r="F3" s="98"/>
      <c r="G3" s="83" t="s">
        <v>317</v>
      </c>
      <c r="H3" s="83"/>
      <c r="I3" s="83"/>
      <c r="J3" s="22" t="s">
        <v>1</v>
      </c>
      <c r="K3" s="18">
        <f>C34</f>
        <v>109.5</v>
      </c>
    </row>
    <row r="4" spans="1:11" x14ac:dyDescent="0.3">
      <c r="A4" s="97" t="s">
        <v>323</v>
      </c>
      <c r="B4" s="97"/>
      <c r="C4" s="97"/>
      <c r="D4" s="97"/>
      <c r="E4" s="97"/>
      <c r="F4" s="97"/>
      <c r="G4" s="97"/>
      <c r="H4" s="97"/>
      <c r="I4" s="97"/>
      <c r="J4" s="97"/>
      <c r="K4" s="24">
        <f>SUM(K2:K3)</f>
        <v>2666.8</v>
      </c>
    </row>
    <row r="5" spans="1:11" s="29" customFormat="1" ht="27.6" customHeight="1" x14ac:dyDescent="0.3">
      <c r="A5" s="25" t="s">
        <v>94</v>
      </c>
      <c r="B5" s="25" t="s">
        <v>38</v>
      </c>
      <c r="C5" s="26" t="s">
        <v>315</v>
      </c>
      <c r="D5" s="88"/>
      <c r="E5" s="27" t="s">
        <v>94</v>
      </c>
      <c r="F5" s="27" t="s">
        <v>38</v>
      </c>
      <c r="G5" s="28" t="s">
        <v>315</v>
      </c>
      <c r="H5" s="88"/>
      <c r="I5" s="27" t="s">
        <v>94</v>
      </c>
      <c r="J5" s="27" t="s">
        <v>38</v>
      </c>
      <c r="K5" s="28" t="s">
        <v>315</v>
      </c>
    </row>
    <row r="6" spans="1:11" x14ac:dyDescent="0.3">
      <c r="A6" s="38" t="s">
        <v>59</v>
      </c>
      <c r="B6" s="38" t="s">
        <v>39</v>
      </c>
      <c r="C6" s="39">
        <v>129</v>
      </c>
      <c r="D6" s="88"/>
      <c r="E6" s="40" t="s">
        <v>291</v>
      </c>
      <c r="F6" s="40" t="s">
        <v>62</v>
      </c>
      <c r="G6" s="40">
        <v>128.30000000000001</v>
      </c>
      <c r="H6" s="88"/>
      <c r="I6" s="40" t="s">
        <v>291</v>
      </c>
      <c r="J6" s="40" t="s">
        <v>77</v>
      </c>
      <c r="K6" s="40">
        <v>63.6</v>
      </c>
    </row>
    <row r="7" spans="1:11" x14ac:dyDescent="0.3">
      <c r="A7" s="41" t="s">
        <v>59</v>
      </c>
      <c r="B7" s="41" t="s">
        <v>40</v>
      </c>
      <c r="C7" s="42">
        <v>66.2</v>
      </c>
      <c r="D7" s="88"/>
      <c r="E7" s="43" t="s">
        <v>291</v>
      </c>
      <c r="F7" s="43" t="s">
        <v>63</v>
      </c>
      <c r="G7" s="43">
        <v>65.900000000000006</v>
      </c>
      <c r="H7" s="88"/>
      <c r="I7" s="43" t="s">
        <v>291</v>
      </c>
      <c r="J7" s="43" t="s">
        <v>78</v>
      </c>
      <c r="K7" s="43">
        <v>62.7</v>
      </c>
    </row>
    <row r="8" spans="1:11" x14ac:dyDescent="0.3">
      <c r="A8" s="38" t="s">
        <v>59</v>
      </c>
      <c r="B8" s="38" t="s">
        <v>41</v>
      </c>
      <c r="C8" s="39">
        <v>66.400000000000006</v>
      </c>
      <c r="D8" s="88"/>
      <c r="E8" s="40" t="s">
        <v>291</v>
      </c>
      <c r="F8" s="40" t="s">
        <v>64</v>
      </c>
      <c r="G8" s="40">
        <v>66</v>
      </c>
      <c r="H8" s="88"/>
      <c r="I8" s="40" t="s">
        <v>291</v>
      </c>
      <c r="J8" s="40" t="s">
        <v>79</v>
      </c>
      <c r="K8" s="40">
        <v>65.400000000000006</v>
      </c>
    </row>
    <row r="9" spans="1:11" x14ac:dyDescent="0.3">
      <c r="A9" s="41" t="s">
        <v>59</v>
      </c>
      <c r="B9" s="41" t="s">
        <v>42</v>
      </c>
      <c r="C9" s="42">
        <v>66.400000000000006</v>
      </c>
      <c r="D9" s="88"/>
      <c r="E9" s="43" t="s">
        <v>291</v>
      </c>
      <c r="F9" s="43" t="s">
        <v>65</v>
      </c>
      <c r="G9" s="43">
        <v>66</v>
      </c>
      <c r="H9" s="88"/>
      <c r="I9" s="43" t="s">
        <v>291</v>
      </c>
      <c r="J9" s="43" t="s">
        <v>80</v>
      </c>
      <c r="K9" s="43">
        <v>65.5</v>
      </c>
    </row>
    <row r="10" spans="1:11" x14ac:dyDescent="0.3">
      <c r="A10" s="38" t="s">
        <v>59</v>
      </c>
      <c r="B10" s="38" t="s">
        <v>43</v>
      </c>
      <c r="C10" s="39">
        <v>42.4</v>
      </c>
      <c r="D10" s="88"/>
      <c r="E10" s="40" t="s">
        <v>291</v>
      </c>
      <c r="F10" s="40" t="s">
        <v>66</v>
      </c>
      <c r="G10" s="40">
        <v>66.900000000000006</v>
      </c>
      <c r="H10" s="88"/>
      <c r="I10" s="40" t="s">
        <v>291</v>
      </c>
      <c r="J10" s="40" t="s">
        <v>81</v>
      </c>
      <c r="K10" s="40">
        <v>65.599999999999994</v>
      </c>
    </row>
    <row r="11" spans="1:11" x14ac:dyDescent="0.3">
      <c r="A11" s="41" t="s">
        <v>59</v>
      </c>
      <c r="B11" s="41" t="s">
        <v>44</v>
      </c>
      <c r="C11" s="42">
        <v>23.6</v>
      </c>
      <c r="D11" s="88"/>
      <c r="E11" s="43" t="s">
        <v>291</v>
      </c>
      <c r="F11" s="43" t="s">
        <v>67</v>
      </c>
      <c r="G11" s="43">
        <v>105.4</v>
      </c>
      <c r="H11" s="88"/>
      <c r="I11" s="43" t="s">
        <v>291</v>
      </c>
      <c r="J11" s="43" t="s">
        <v>82</v>
      </c>
      <c r="K11" s="43">
        <v>67.400000000000006</v>
      </c>
    </row>
    <row r="12" spans="1:11" x14ac:dyDescent="0.3">
      <c r="A12" s="38" t="s">
        <v>276</v>
      </c>
      <c r="B12" s="38" t="s">
        <v>45</v>
      </c>
      <c r="C12" s="39">
        <v>97.5</v>
      </c>
      <c r="D12" s="88"/>
      <c r="E12" s="40" t="s">
        <v>280</v>
      </c>
      <c r="F12" s="40" t="s">
        <v>71</v>
      </c>
      <c r="G12" s="40">
        <v>15.1</v>
      </c>
      <c r="H12" s="88"/>
      <c r="I12" s="40" t="s">
        <v>291</v>
      </c>
      <c r="J12" s="40" t="s">
        <v>83</v>
      </c>
      <c r="K12" s="40">
        <v>74.7</v>
      </c>
    </row>
    <row r="13" spans="1:11" x14ac:dyDescent="0.3">
      <c r="A13" s="38" t="s">
        <v>279</v>
      </c>
      <c r="B13" s="38" t="s">
        <v>47</v>
      </c>
      <c r="C13" s="39">
        <v>18.3</v>
      </c>
      <c r="D13" s="88"/>
      <c r="E13" s="40" t="s">
        <v>291</v>
      </c>
      <c r="F13" s="40" t="s">
        <v>75</v>
      </c>
      <c r="G13" s="40">
        <v>129.1</v>
      </c>
      <c r="H13" s="88"/>
      <c r="I13" s="43" t="s">
        <v>291</v>
      </c>
      <c r="J13" s="43" t="s">
        <v>84</v>
      </c>
      <c r="K13" s="43">
        <v>28.2</v>
      </c>
    </row>
    <row r="14" spans="1:11" x14ac:dyDescent="0.3">
      <c r="A14" s="41" t="s">
        <v>57</v>
      </c>
      <c r="B14" s="41" t="s">
        <v>48</v>
      </c>
      <c r="C14" s="42">
        <v>5.8</v>
      </c>
      <c r="D14" s="88"/>
      <c r="E14" s="43" t="s">
        <v>291</v>
      </c>
      <c r="F14" s="43" t="s">
        <v>76</v>
      </c>
      <c r="G14" s="43">
        <v>198.9</v>
      </c>
      <c r="H14" s="88"/>
      <c r="I14" s="40" t="s">
        <v>280</v>
      </c>
      <c r="J14" s="40" t="s">
        <v>88</v>
      </c>
      <c r="K14" s="40">
        <v>14.8</v>
      </c>
    </row>
    <row r="15" spans="1:11" x14ac:dyDescent="0.3">
      <c r="A15" s="38" t="s">
        <v>276</v>
      </c>
      <c r="B15" s="38" t="s">
        <v>49</v>
      </c>
      <c r="C15" s="39">
        <v>15.2</v>
      </c>
      <c r="D15" s="88"/>
      <c r="E15" s="95" t="s">
        <v>316</v>
      </c>
      <c r="F15" s="96"/>
      <c r="G15" s="29">
        <f>SUM(G6:G14)</f>
        <v>841.6</v>
      </c>
      <c r="H15" s="88"/>
      <c r="I15" s="40" t="s">
        <v>291</v>
      </c>
      <c r="J15" s="40" t="s">
        <v>92</v>
      </c>
      <c r="K15" s="40">
        <v>129.4</v>
      </c>
    </row>
    <row r="16" spans="1:11" x14ac:dyDescent="0.3">
      <c r="A16" s="41" t="s">
        <v>279</v>
      </c>
      <c r="B16" s="41" t="s">
        <v>50</v>
      </c>
      <c r="C16" s="42">
        <v>18.8</v>
      </c>
      <c r="D16" s="88"/>
      <c r="E16" s="88"/>
      <c r="F16" s="88"/>
      <c r="G16" s="88"/>
      <c r="H16" s="88"/>
      <c r="I16" s="43" t="s">
        <v>291</v>
      </c>
      <c r="J16" s="43" t="s">
        <v>93</v>
      </c>
      <c r="K16" s="43">
        <v>199.3</v>
      </c>
    </row>
    <row r="17" spans="1:11" x14ac:dyDescent="0.3">
      <c r="A17" s="38" t="s">
        <v>279</v>
      </c>
      <c r="B17" s="38" t="s">
        <v>51</v>
      </c>
      <c r="C17" s="39">
        <v>5</v>
      </c>
      <c r="D17" s="88"/>
      <c r="E17" s="88"/>
      <c r="F17" s="88"/>
      <c r="G17" s="88"/>
      <c r="H17" s="88"/>
      <c r="I17" s="95" t="s">
        <v>316</v>
      </c>
      <c r="J17" s="96"/>
      <c r="K17" s="29">
        <f>SUM(K6:K16)</f>
        <v>836.60000000000014</v>
      </c>
    </row>
    <row r="18" spans="1:11" x14ac:dyDescent="0.3">
      <c r="A18" s="41" t="s">
        <v>279</v>
      </c>
      <c r="B18" s="41" t="s">
        <v>52</v>
      </c>
      <c r="C18" s="42">
        <v>7</v>
      </c>
      <c r="D18" s="88"/>
      <c r="E18" s="88"/>
      <c r="F18" s="88"/>
      <c r="G18" s="88"/>
      <c r="H18" s="88"/>
      <c r="I18" s="88"/>
      <c r="J18" s="88"/>
      <c r="K18" s="88"/>
    </row>
    <row r="19" spans="1:11" x14ac:dyDescent="0.3">
      <c r="A19" s="38" t="s">
        <v>59</v>
      </c>
      <c r="B19" s="38" t="s">
        <v>53</v>
      </c>
      <c r="C19" s="39">
        <v>116.4</v>
      </c>
      <c r="D19" s="88"/>
      <c r="E19" s="88"/>
      <c r="F19" s="88"/>
      <c r="G19" s="88"/>
      <c r="H19" s="88"/>
      <c r="I19" s="88"/>
      <c r="J19" s="88"/>
      <c r="K19" s="88"/>
    </row>
    <row r="20" spans="1:11" x14ac:dyDescent="0.3">
      <c r="A20" s="41" t="s">
        <v>59</v>
      </c>
      <c r="B20" s="41" t="s">
        <v>54</v>
      </c>
      <c r="C20" s="42">
        <v>201.1</v>
      </c>
      <c r="D20" s="88"/>
      <c r="E20" s="88"/>
      <c r="F20" s="88"/>
      <c r="G20" s="88"/>
      <c r="H20" s="88"/>
      <c r="I20" s="88"/>
      <c r="J20" s="88"/>
      <c r="K20" s="88"/>
    </row>
    <row r="21" spans="1:11" x14ac:dyDescent="0.3">
      <c r="A21" s="95" t="s">
        <v>316</v>
      </c>
      <c r="B21" s="96"/>
      <c r="C21" s="44">
        <f>SUM('1.1Стж5в'!$C$6:$C$20)</f>
        <v>879.1</v>
      </c>
      <c r="D21" s="88"/>
      <c r="E21" s="88"/>
      <c r="F21" s="88"/>
      <c r="G21" s="88"/>
      <c r="H21" s="88"/>
      <c r="I21" s="88"/>
      <c r="J21" s="88"/>
      <c r="K21" s="88"/>
    </row>
    <row r="22" spans="1:11" x14ac:dyDescent="0.3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1:11" ht="46.8" x14ac:dyDescent="0.3">
      <c r="A23" s="27" t="s">
        <v>94</v>
      </c>
      <c r="B23" s="27" t="s">
        <v>38</v>
      </c>
      <c r="C23" s="28" t="s">
        <v>315</v>
      </c>
      <c r="D23" s="88"/>
      <c r="E23" s="88"/>
      <c r="F23" s="88"/>
      <c r="G23" s="88"/>
      <c r="H23" s="88"/>
      <c r="I23" s="88"/>
      <c r="J23" s="88"/>
      <c r="K23" s="88"/>
    </row>
    <row r="24" spans="1:11" x14ac:dyDescent="0.3">
      <c r="A24" s="40" t="s">
        <v>284</v>
      </c>
      <c r="B24" s="40" t="s">
        <v>69</v>
      </c>
      <c r="C24" s="40">
        <v>18.3</v>
      </c>
      <c r="D24" s="88"/>
      <c r="E24" s="88"/>
      <c r="F24" s="88"/>
      <c r="G24" s="88"/>
      <c r="H24" s="88"/>
      <c r="I24" s="88"/>
      <c r="J24" s="88"/>
      <c r="K24" s="88"/>
    </row>
    <row r="25" spans="1:11" x14ac:dyDescent="0.3">
      <c r="A25" s="43" t="s">
        <v>58</v>
      </c>
      <c r="B25" s="43" t="s">
        <v>70</v>
      </c>
      <c r="C25" s="43">
        <v>5.8</v>
      </c>
      <c r="D25" s="88"/>
      <c r="E25" s="88"/>
      <c r="F25" s="88"/>
      <c r="G25" s="88"/>
      <c r="H25" s="88"/>
      <c r="I25" s="88"/>
      <c r="J25" s="88"/>
      <c r="K25" s="88"/>
    </row>
    <row r="26" spans="1:11" x14ac:dyDescent="0.3">
      <c r="A26" s="43" t="s">
        <v>284</v>
      </c>
      <c r="B26" s="43" t="s">
        <v>72</v>
      </c>
      <c r="C26" s="43">
        <v>18.8</v>
      </c>
      <c r="D26" s="88"/>
      <c r="E26" s="88"/>
      <c r="F26" s="88"/>
      <c r="G26" s="88"/>
      <c r="H26" s="88"/>
      <c r="I26" s="88"/>
      <c r="J26" s="88"/>
      <c r="K26" s="88"/>
    </row>
    <row r="27" spans="1:11" x14ac:dyDescent="0.3">
      <c r="A27" s="40" t="s">
        <v>58</v>
      </c>
      <c r="B27" s="40" t="s">
        <v>73</v>
      </c>
      <c r="C27" s="40">
        <v>5</v>
      </c>
      <c r="D27" s="88"/>
      <c r="E27" s="88"/>
      <c r="F27" s="88"/>
      <c r="G27" s="88"/>
      <c r="H27" s="88"/>
      <c r="I27" s="88"/>
      <c r="J27" s="88"/>
      <c r="K27" s="88"/>
    </row>
    <row r="28" spans="1:11" x14ac:dyDescent="0.3">
      <c r="A28" s="43" t="s">
        <v>284</v>
      </c>
      <c r="B28" s="43" t="s">
        <v>74</v>
      </c>
      <c r="C28" s="43">
        <v>7</v>
      </c>
      <c r="D28" s="88"/>
      <c r="E28" s="88"/>
      <c r="F28" s="88"/>
      <c r="G28" s="88"/>
      <c r="H28" s="88"/>
      <c r="I28" s="88"/>
      <c r="J28" s="88"/>
      <c r="K28" s="88"/>
    </row>
    <row r="29" spans="1:11" x14ac:dyDescent="0.3">
      <c r="A29" s="40" t="s">
        <v>284</v>
      </c>
      <c r="B29" s="40" t="s">
        <v>86</v>
      </c>
      <c r="C29" s="40">
        <v>18.3</v>
      </c>
      <c r="D29" s="88"/>
      <c r="E29" s="88"/>
      <c r="F29" s="88"/>
      <c r="G29" s="88"/>
      <c r="H29" s="88"/>
      <c r="I29" s="88"/>
      <c r="J29" s="88"/>
      <c r="K29" s="88"/>
    </row>
    <row r="30" spans="1:11" x14ac:dyDescent="0.3">
      <c r="A30" s="43" t="s">
        <v>58</v>
      </c>
      <c r="B30" s="43" t="s">
        <v>87</v>
      </c>
      <c r="C30" s="43">
        <v>5.8</v>
      </c>
      <c r="D30" s="88"/>
      <c r="E30" s="88"/>
      <c r="F30" s="88"/>
      <c r="G30" s="88"/>
      <c r="H30" s="88"/>
      <c r="I30" s="88"/>
      <c r="J30" s="88"/>
      <c r="K30" s="88"/>
    </row>
    <row r="31" spans="1:11" x14ac:dyDescent="0.3">
      <c r="A31" s="43" t="s">
        <v>284</v>
      </c>
      <c r="B31" s="43" t="s">
        <v>89</v>
      </c>
      <c r="C31" s="43">
        <v>18.8</v>
      </c>
      <c r="D31" s="88"/>
      <c r="E31" s="88"/>
      <c r="F31" s="88"/>
      <c r="G31" s="88"/>
      <c r="H31" s="88"/>
      <c r="I31" s="88"/>
      <c r="J31" s="88"/>
      <c r="K31" s="88"/>
    </row>
    <row r="32" spans="1:11" x14ac:dyDescent="0.3">
      <c r="A32" s="40" t="s">
        <v>58</v>
      </c>
      <c r="B32" s="40" t="s">
        <v>90</v>
      </c>
      <c r="C32" s="40">
        <v>5</v>
      </c>
      <c r="D32" s="88"/>
      <c r="E32" s="88"/>
      <c r="F32" s="88"/>
      <c r="G32" s="88"/>
      <c r="H32" s="88"/>
      <c r="I32" s="88"/>
      <c r="J32" s="88"/>
      <c r="K32" s="88"/>
    </row>
    <row r="33" spans="1:11" x14ac:dyDescent="0.3">
      <c r="A33" s="43" t="s">
        <v>284</v>
      </c>
      <c r="B33" s="43" t="s">
        <v>91</v>
      </c>
      <c r="C33" s="43">
        <v>6.7</v>
      </c>
      <c r="D33" s="88"/>
      <c r="E33" s="88"/>
      <c r="F33" s="88"/>
      <c r="G33" s="88"/>
      <c r="H33" s="88"/>
      <c r="I33" s="88"/>
      <c r="J33" s="88"/>
      <c r="K33" s="88"/>
    </row>
    <row r="34" spans="1:11" x14ac:dyDescent="0.3">
      <c r="A34" s="95" t="s">
        <v>316</v>
      </c>
      <c r="B34" s="96"/>
      <c r="C34" s="29">
        <f>SUM(C24:C33)</f>
        <v>109.5</v>
      </c>
      <c r="D34" s="88"/>
      <c r="E34" s="88"/>
      <c r="F34" s="88"/>
      <c r="G34" s="88"/>
      <c r="H34" s="88"/>
      <c r="I34" s="88"/>
      <c r="J34" s="88"/>
      <c r="K34" s="88"/>
    </row>
  </sheetData>
  <mergeCells count="17">
    <mergeCell ref="A4:J4"/>
    <mergeCell ref="B3:F3"/>
    <mergeCell ref="G1:I1"/>
    <mergeCell ref="G2:I2"/>
    <mergeCell ref="G3:I3"/>
    <mergeCell ref="B1:F1"/>
    <mergeCell ref="B2:F2"/>
    <mergeCell ref="I17:J17"/>
    <mergeCell ref="A22:K22"/>
    <mergeCell ref="E16:G21"/>
    <mergeCell ref="I18:K21"/>
    <mergeCell ref="D23:K34"/>
    <mergeCell ref="A34:B34"/>
    <mergeCell ref="H5:H21"/>
    <mergeCell ref="D5:D21"/>
    <mergeCell ref="A21:B21"/>
    <mergeCell ref="E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3.2" x14ac:dyDescent="0.25"/>
  <cols>
    <col min="1" max="1" width="7" style="12" customWidth="1"/>
    <col min="2" max="2" width="8.6640625" style="12" customWidth="1"/>
    <col min="3" max="3" width="7.6640625" style="12" customWidth="1"/>
    <col min="4" max="4" width="7.88671875" style="12" customWidth="1"/>
    <col min="5" max="5" width="10.21875" style="12" customWidth="1"/>
    <col min="6" max="6" width="47.5546875" style="13" customWidth="1"/>
    <col min="7" max="16384" width="8.88671875" style="13"/>
  </cols>
  <sheetData>
    <row r="1" spans="1:6" ht="39.6" x14ac:dyDescent="0.25">
      <c r="A1" s="4" t="s">
        <v>4</v>
      </c>
      <c r="B1" s="5" t="s">
        <v>3</v>
      </c>
      <c r="C1" s="6" t="s">
        <v>20</v>
      </c>
      <c r="D1" s="3" t="s">
        <v>5</v>
      </c>
      <c r="E1" s="3" t="s">
        <v>6</v>
      </c>
      <c r="F1" s="1" t="s">
        <v>7</v>
      </c>
    </row>
    <row r="2" spans="1:6" x14ac:dyDescent="0.25">
      <c r="A2" s="7">
        <v>4</v>
      </c>
      <c r="B2" s="8">
        <v>3</v>
      </c>
      <c r="C2" s="9">
        <v>4010</v>
      </c>
      <c r="D2" s="10" t="s">
        <v>8</v>
      </c>
      <c r="E2" s="11">
        <v>31</v>
      </c>
      <c r="F2" s="14" t="s">
        <v>32</v>
      </c>
    </row>
    <row r="3" spans="1:6" x14ac:dyDescent="0.25">
      <c r="A3" s="7">
        <v>4</v>
      </c>
      <c r="B3" s="8">
        <v>3</v>
      </c>
      <c r="C3" s="9">
        <v>4010</v>
      </c>
      <c r="D3" s="10" t="s">
        <v>9</v>
      </c>
      <c r="E3" s="11">
        <v>107</v>
      </c>
      <c r="F3" s="2" t="s">
        <v>31</v>
      </c>
    </row>
    <row r="4" spans="1:6" x14ac:dyDescent="0.25">
      <c r="A4" s="7">
        <v>4</v>
      </c>
      <c r="B4" s="8">
        <v>3</v>
      </c>
      <c r="C4" s="9">
        <v>4010</v>
      </c>
      <c r="D4" s="10" t="s">
        <v>10</v>
      </c>
      <c r="E4" s="11">
        <v>117.4</v>
      </c>
      <c r="F4" s="14" t="s">
        <v>30</v>
      </c>
    </row>
    <row r="5" spans="1:6" x14ac:dyDescent="0.25">
      <c r="A5" s="7">
        <v>4</v>
      </c>
      <c r="B5" s="8">
        <v>3</v>
      </c>
      <c r="C5" s="9">
        <v>4011</v>
      </c>
      <c r="D5" s="10" t="s">
        <v>13</v>
      </c>
      <c r="E5" s="11">
        <v>2.1</v>
      </c>
      <c r="F5" s="2" t="s">
        <v>28</v>
      </c>
    </row>
    <row r="6" spans="1:6" x14ac:dyDescent="0.25">
      <c r="A6" s="7">
        <v>4</v>
      </c>
      <c r="B6" s="8">
        <v>3</v>
      </c>
      <c r="C6" s="9">
        <v>4011</v>
      </c>
      <c r="D6" s="10" t="s">
        <v>16</v>
      </c>
      <c r="E6" s="11">
        <v>3.1</v>
      </c>
      <c r="F6" s="2" t="s">
        <v>27</v>
      </c>
    </row>
    <row r="7" spans="1:6" x14ac:dyDescent="0.25">
      <c r="A7" s="7">
        <v>4</v>
      </c>
      <c r="B7" s="8">
        <v>3</v>
      </c>
      <c r="C7" s="9">
        <v>4011</v>
      </c>
      <c r="D7" s="10" t="s">
        <v>14</v>
      </c>
      <c r="E7" s="11">
        <v>26.8</v>
      </c>
      <c r="F7" s="14" t="s">
        <v>24</v>
      </c>
    </row>
    <row r="8" spans="1:6" x14ac:dyDescent="0.25">
      <c r="A8" s="7">
        <v>4</v>
      </c>
      <c r="B8" s="8">
        <v>3</v>
      </c>
      <c r="C8" s="9">
        <v>4012</v>
      </c>
      <c r="D8" s="10" t="s">
        <v>12</v>
      </c>
      <c r="E8" s="11">
        <v>10</v>
      </c>
      <c r="F8" s="2" t="s">
        <v>25</v>
      </c>
    </row>
    <row r="9" spans="1:6" x14ac:dyDescent="0.25">
      <c r="A9" s="7">
        <v>4</v>
      </c>
      <c r="B9" s="8">
        <v>3</v>
      </c>
      <c r="C9" s="9">
        <v>4012</v>
      </c>
      <c r="D9" s="10" t="s">
        <v>17</v>
      </c>
      <c r="E9" s="11">
        <v>1.8</v>
      </c>
      <c r="F9" s="14" t="s">
        <v>26</v>
      </c>
    </row>
    <row r="10" spans="1:6" x14ac:dyDescent="0.25">
      <c r="A10" s="7">
        <v>4</v>
      </c>
      <c r="B10" s="8">
        <v>3</v>
      </c>
      <c r="C10" s="9">
        <v>4012</v>
      </c>
      <c r="D10" s="10" t="s">
        <v>13</v>
      </c>
      <c r="E10" s="11">
        <v>0.9</v>
      </c>
      <c r="F10" s="2" t="s">
        <v>28</v>
      </c>
    </row>
    <row r="11" spans="1:6" x14ac:dyDescent="0.25">
      <c r="A11" s="7">
        <v>4</v>
      </c>
      <c r="B11" s="8">
        <v>3</v>
      </c>
      <c r="C11" s="9">
        <v>4012</v>
      </c>
      <c r="D11" s="10" t="s">
        <v>16</v>
      </c>
      <c r="E11" s="11">
        <v>2.4</v>
      </c>
      <c r="F11" s="2" t="s">
        <v>27</v>
      </c>
    </row>
    <row r="12" spans="1:6" ht="26.4" x14ac:dyDescent="0.25">
      <c r="A12" s="7">
        <v>4</v>
      </c>
      <c r="B12" s="8">
        <v>3</v>
      </c>
      <c r="C12" s="9">
        <v>4012</v>
      </c>
      <c r="D12" s="10" t="s">
        <v>18</v>
      </c>
      <c r="E12" s="11">
        <v>0.9</v>
      </c>
      <c r="F12" s="2" t="s">
        <v>29</v>
      </c>
    </row>
    <row r="13" spans="1:6" x14ac:dyDescent="0.25">
      <c r="A13" s="7">
        <v>4</v>
      </c>
      <c r="B13" s="8">
        <v>3</v>
      </c>
      <c r="C13" s="9">
        <v>4012</v>
      </c>
      <c r="D13" s="10" t="s">
        <v>11</v>
      </c>
      <c r="E13" s="11">
        <v>1.8</v>
      </c>
      <c r="F13" s="14" t="s">
        <v>24</v>
      </c>
    </row>
    <row r="14" spans="1:6" x14ac:dyDescent="0.25">
      <c r="A14" s="7">
        <v>4</v>
      </c>
      <c r="B14" s="8">
        <v>3</v>
      </c>
      <c r="C14" s="9">
        <v>4012</v>
      </c>
      <c r="D14" s="10" t="s">
        <v>14</v>
      </c>
      <c r="E14" s="11">
        <v>9.9</v>
      </c>
      <c r="F14" s="14" t="s">
        <v>24</v>
      </c>
    </row>
    <row r="15" spans="1:6" x14ac:dyDescent="0.25">
      <c r="A15" s="7">
        <v>4</v>
      </c>
      <c r="B15" s="8">
        <v>3</v>
      </c>
      <c r="C15" s="9">
        <v>4013</v>
      </c>
      <c r="D15" s="10" t="s">
        <v>12</v>
      </c>
      <c r="E15" s="11">
        <v>10</v>
      </c>
      <c r="F15" s="2" t="s">
        <v>25</v>
      </c>
    </row>
    <row r="16" spans="1:6" x14ac:dyDescent="0.25">
      <c r="A16" s="7">
        <v>4</v>
      </c>
      <c r="B16" s="8">
        <v>3</v>
      </c>
      <c r="C16" s="9">
        <v>4013</v>
      </c>
      <c r="D16" s="10" t="s">
        <v>17</v>
      </c>
      <c r="E16" s="11">
        <v>1.8</v>
      </c>
      <c r="F16" s="2" t="s">
        <v>26</v>
      </c>
    </row>
    <row r="17" spans="1:6" x14ac:dyDescent="0.25">
      <c r="A17" s="7">
        <v>4</v>
      </c>
      <c r="B17" s="8">
        <v>3</v>
      </c>
      <c r="C17" s="9">
        <v>4013</v>
      </c>
      <c r="D17" s="10" t="s">
        <v>13</v>
      </c>
      <c r="E17" s="11">
        <v>3.1</v>
      </c>
      <c r="F17" s="2" t="s">
        <v>28</v>
      </c>
    </row>
    <row r="18" spans="1:6" x14ac:dyDescent="0.25">
      <c r="A18" s="7">
        <v>4</v>
      </c>
      <c r="B18" s="8">
        <v>3</v>
      </c>
      <c r="C18" s="9">
        <v>4013</v>
      </c>
      <c r="D18" s="10" t="s">
        <v>16</v>
      </c>
      <c r="E18" s="11">
        <v>5</v>
      </c>
      <c r="F18" s="2" t="s">
        <v>27</v>
      </c>
    </row>
    <row r="19" spans="1:6" ht="26.4" x14ac:dyDescent="0.25">
      <c r="A19" s="7">
        <v>4</v>
      </c>
      <c r="B19" s="8">
        <v>3</v>
      </c>
      <c r="C19" s="9">
        <v>4013</v>
      </c>
      <c r="D19" s="10" t="s">
        <v>18</v>
      </c>
      <c r="E19" s="11">
        <v>1.3</v>
      </c>
      <c r="F19" s="2" t="s">
        <v>29</v>
      </c>
    </row>
    <row r="20" spans="1:6" x14ac:dyDescent="0.25">
      <c r="A20" s="7">
        <v>4</v>
      </c>
      <c r="B20" s="8">
        <v>3</v>
      </c>
      <c r="C20" s="9">
        <v>4014</v>
      </c>
      <c r="D20" s="10" t="s">
        <v>8</v>
      </c>
      <c r="E20" s="11">
        <v>12.3</v>
      </c>
      <c r="F20" s="2" t="s">
        <v>32</v>
      </c>
    </row>
    <row r="21" spans="1:6" x14ac:dyDescent="0.25">
      <c r="A21" s="7">
        <v>4</v>
      </c>
      <c r="B21" s="8">
        <v>3</v>
      </c>
      <c r="C21" s="9">
        <v>4014</v>
      </c>
      <c r="D21" s="10" t="s">
        <v>9</v>
      </c>
      <c r="E21" s="11">
        <v>27.9</v>
      </c>
      <c r="F21" s="2" t="s">
        <v>31</v>
      </c>
    </row>
    <row r="22" spans="1:6" x14ac:dyDescent="0.25">
      <c r="A22" s="7">
        <v>4</v>
      </c>
      <c r="B22" s="8">
        <v>3</v>
      </c>
      <c r="C22" s="9">
        <v>4014</v>
      </c>
      <c r="D22" s="10" t="s">
        <v>10</v>
      </c>
      <c r="E22" s="11">
        <v>56.4</v>
      </c>
      <c r="F22" s="2" t="s">
        <v>30</v>
      </c>
    </row>
    <row r="23" spans="1:6" x14ac:dyDescent="0.25">
      <c r="A23" s="7">
        <v>4</v>
      </c>
      <c r="B23" s="8">
        <v>3</v>
      </c>
      <c r="C23" s="9">
        <v>4015</v>
      </c>
      <c r="D23" s="10" t="s">
        <v>16</v>
      </c>
      <c r="E23" s="11">
        <v>22.8</v>
      </c>
      <c r="F23" s="2" t="s">
        <v>27</v>
      </c>
    </row>
    <row r="24" spans="1:6" x14ac:dyDescent="0.25">
      <c r="A24" s="7">
        <v>4</v>
      </c>
      <c r="B24" s="8">
        <v>3</v>
      </c>
      <c r="C24" s="9">
        <v>4015</v>
      </c>
      <c r="D24" s="10" t="s">
        <v>11</v>
      </c>
      <c r="E24" s="11">
        <v>2.1</v>
      </c>
      <c r="F24" s="14" t="s">
        <v>24</v>
      </c>
    </row>
    <row r="25" spans="1:6" x14ac:dyDescent="0.25">
      <c r="A25" s="7">
        <v>4</v>
      </c>
      <c r="B25" s="8">
        <v>3</v>
      </c>
      <c r="C25" s="9">
        <v>4015</v>
      </c>
      <c r="D25" s="10" t="s">
        <v>15</v>
      </c>
      <c r="E25" s="11">
        <v>11.7</v>
      </c>
      <c r="F25" s="14" t="s">
        <v>24</v>
      </c>
    </row>
    <row r="26" spans="1:6" x14ac:dyDescent="0.25">
      <c r="A26" s="7">
        <v>4</v>
      </c>
      <c r="B26" s="8">
        <v>3</v>
      </c>
      <c r="C26" s="9">
        <v>4016</v>
      </c>
      <c r="D26" s="10" t="s">
        <v>16</v>
      </c>
      <c r="E26" s="11">
        <v>3.9</v>
      </c>
      <c r="F26" s="14" t="s">
        <v>27</v>
      </c>
    </row>
    <row r="27" spans="1:6" x14ac:dyDescent="0.25">
      <c r="A27" s="7">
        <v>4</v>
      </c>
      <c r="B27" s="8">
        <v>3</v>
      </c>
      <c r="C27" s="9">
        <v>4016</v>
      </c>
      <c r="D27" s="10" t="s">
        <v>14</v>
      </c>
      <c r="E27" s="11">
        <v>12.3</v>
      </c>
      <c r="F27" s="14" t="s">
        <v>24</v>
      </c>
    </row>
    <row r="28" spans="1:6" x14ac:dyDescent="0.25">
      <c r="A28" s="7">
        <v>4</v>
      </c>
      <c r="B28" s="8">
        <v>3</v>
      </c>
      <c r="C28" s="9">
        <v>4017</v>
      </c>
      <c r="D28" s="10" t="s">
        <v>12</v>
      </c>
      <c r="E28" s="11">
        <v>10.4</v>
      </c>
      <c r="F28" s="2" t="s">
        <v>25</v>
      </c>
    </row>
    <row r="29" spans="1:6" x14ac:dyDescent="0.25">
      <c r="A29" s="7">
        <v>4</v>
      </c>
      <c r="B29" s="8">
        <v>3</v>
      </c>
      <c r="C29" s="9">
        <v>4017</v>
      </c>
      <c r="D29" s="10" t="s">
        <v>17</v>
      </c>
      <c r="E29" s="11">
        <v>1.9</v>
      </c>
      <c r="F29" s="2" t="s">
        <v>26</v>
      </c>
    </row>
    <row r="30" spans="1:6" x14ac:dyDescent="0.25">
      <c r="A30" s="7">
        <v>4</v>
      </c>
      <c r="B30" s="8">
        <v>3</v>
      </c>
      <c r="C30" s="9">
        <v>4017</v>
      </c>
      <c r="D30" s="10" t="s">
        <v>13</v>
      </c>
      <c r="E30" s="11">
        <v>0.9</v>
      </c>
      <c r="F30" s="2" t="s">
        <v>28</v>
      </c>
    </row>
    <row r="31" spans="1:6" x14ac:dyDescent="0.25">
      <c r="A31" s="7">
        <v>4</v>
      </c>
      <c r="B31" s="8">
        <v>3</v>
      </c>
      <c r="C31" s="9">
        <v>4017</v>
      </c>
      <c r="D31" s="10" t="s">
        <v>11</v>
      </c>
      <c r="E31" s="11">
        <v>2.8</v>
      </c>
      <c r="F31" s="14" t="s">
        <v>24</v>
      </c>
    </row>
    <row r="32" spans="1:6" x14ac:dyDescent="0.25">
      <c r="A32" s="7">
        <v>4</v>
      </c>
      <c r="B32" s="8">
        <v>3</v>
      </c>
      <c r="C32" s="9">
        <v>4017</v>
      </c>
      <c r="D32" s="10" t="s">
        <v>14</v>
      </c>
      <c r="E32" s="11">
        <v>13.2</v>
      </c>
      <c r="F32" s="14" t="s">
        <v>24</v>
      </c>
    </row>
    <row r="33" spans="1:6" x14ac:dyDescent="0.25">
      <c r="A33" s="7">
        <v>4</v>
      </c>
      <c r="B33" s="8">
        <v>3</v>
      </c>
      <c r="C33" s="10" t="s">
        <v>19</v>
      </c>
      <c r="D33" s="10" t="s">
        <v>8</v>
      </c>
      <c r="E33" s="11">
        <v>10.9</v>
      </c>
      <c r="F33" s="2" t="s">
        <v>32</v>
      </c>
    </row>
    <row r="34" spans="1:6" x14ac:dyDescent="0.25">
      <c r="A34" s="7">
        <v>4</v>
      </c>
      <c r="B34" s="8">
        <v>3</v>
      </c>
      <c r="C34" s="10" t="s">
        <v>19</v>
      </c>
      <c r="D34" s="10" t="s">
        <v>9</v>
      </c>
      <c r="E34" s="11">
        <v>17.399999999999999</v>
      </c>
      <c r="F34" s="2" t="s">
        <v>31</v>
      </c>
    </row>
    <row r="35" spans="1:6" x14ac:dyDescent="0.25">
      <c r="A35" s="7">
        <v>4</v>
      </c>
      <c r="B35" s="8">
        <v>3</v>
      </c>
      <c r="C35" s="10" t="s">
        <v>19</v>
      </c>
      <c r="D35" s="10" t="s">
        <v>10</v>
      </c>
      <c r="E35" s="11">
        <v>51.3</v>
      </c>
      <c r="F35" s="14" t="s">
        <v>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8.1Плт3.1в</vt:lpstr>
      <vt:lpstr>Общ.</vt:lpstr>
      <vt:lpstr>5.1М200в5</vt:lpstr>
      <vt:lpstr>4.1звк5в</vt:lpstr>
      <vt:lpstr>3.1плн5в</vt:lpstr>
      <vt:lpstr>2.1изл5в</vt:lpstr>
      <vt:lpstr>1.2Стж5в</vt:lpstr>
      <vt:lpstr>1.1Стж5в</vt:lpstr>
      <vt:lpstr>3.1.8-Шт4э3с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2026-06-24T09:18:33Z</dcterms:modified>
</cp:coreProperties>
</file>