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nagatinsky\ceilling\"/>
    </mc:Choice>
  </mc:AlternateContent>
  <bookViews>
    <workbookView xWindow="0" yWindow="0" windowWidth="12216" windowHeight="5784" activeTab="2"/>
  </bookViews>
  <sheets>
    <sheet name="КП" sheetId="2" r:id="rId1"/>
    <sheet name="Расчет" sheetId="4" r:id="rId2"/>
    <sheet name="2.3в3" sheetId="15" r:id="rId3"/>
    <sheet name="1.4ШпЧНП7_3вып" sheetId="14" r:id="rId4"/>
    <sheet name="1.3ШпЧНП5_3вып" sheetId="13" r:id="rId5"/>
    <sheet name="0.3-Шт3вып" sheetId="12" r:id="rId6"/>
    <sheet name="2.2-Пт" sheetId="10" r:id="rId7"/>
    <sheet name="2.1-Пт" sheetId="6" r:id="rId8"/>
    <sheet name="1.2-Пт" sheetId="9" r:id="rId9"/>
    <sheet name="1.1-Пт" sheetId="3" r:id="rId10"/>
    <sheet name="0.2-Шт" sheetId="11" r:id="rId11"/>
    <sheet name="0.1-Шт" sheetId="8" r:id="rId1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5" l="1"/>
  <c r="D13" i="15"/>
  <c r="D9" i="15"/>
  <c r="E2" i="15" s="1"/>
  <c r="E9" i="14"/>
  <c r="E2" i="14" s="1"/>
  <c r="E3" i="14" s="1"/>
  <c r="E9" i="13"/>
  <c r="E2" i="13" s="1"/>
  <c r="E3" i="13" l="1"/>
  <c r="E8" i="12"/>
  <c r="F2" i="12" s="1"/>
  <c r="J41" i="4"/>
  <c r="J42" i="4"/>
  <c r="J43" i="4"/>
  <c r="J44" i="4"/>
  <c r="J45" i="4"/>
  <c r="J46" i="4"/>
  <c r="J47" i="4"/>
  <c r="J48" i="4"/>
  <c r="J49" i="4"/>
  <c r="J50" i="4"/>
  <c r="J51" i="4"/>
  <c r="J40" i="4"/>
  <c r="E3" i="9" l="1"/>
  <c r="B6" i="10" l="1"/>
  <c r="B7" i="10"/>
  <c r="B5" i="10"/>
  <c r="B6" i="11"/>
  <c r="B7" i="11"/>
  <c r="B5" i="11"/>
  <c r="D6" i="11"/>
  <c r="D7" i="11"/>
  <c r="D5" i="11"/>
  <c r="D6" i="10"/>
  <c r="D7" i="10"/>
  <c r="D5" i="10"/>
  <c r="D9" i="9"/>
  <c r="E2" i="9"/>
  <c r="D11" i="8"/>
  <c r="E2" i="8" s="1"/>
  <c r="D8" i="10" l="1"/>
  <c r="E2" i="10" s="1"/>
  <c r="D8" i="11"/>
  <c r="E2" i="11" s="1"/>
  <c r="D11" i="6"/>
  <c r="E2" i="6"/>
  <c r="D12" i="3"/>
  <c r="E2" i="3" s="1"/>
  <c r="E3" i="3" s="1"/>
  <c r="S27" i="4"/>
  <c r="T27" i="4" s="1"/>
  <c r="S28" i="4"/>
  <c r="T28" i="4" s="1"/>
  <c r="S29" i="4"/>
  <c r="T29" i="4" s="1"/>
  <c r="S30" i="4"/>
  <c r="T30" i="4" s="1"/>
  <c r="S31" i="4"/>
  <c r="T31" i="4" s="1"/>
  <c r="S32" i="4"/>
  <c r="T32" i="4" s="1"/>
  <c r="J7" i="4"/>
  <c r="J8" i="4"/>
  <c r="J9" i="4"/>
  <c r="J10" i="4"/>
  <c r="J11" i="4"/>
  <c r="J6" i="4"/>
</calcChain>
</file>

<file path=xl/sharedStrings.xml><?xml version="1.0" encoding="utf-8"?>
<sst xmlns="http://schemas.openxmlformats.org/spreadsheetml/2006/main" count="731" uniqueCount="277">
  <si>
    <t>Номер п/п</t>
  </si>
  <si>
    <t>Код узла ИСР</t>
  </si>
  <si>
    <t>Наименование затрат</t>
  </si>
  <si>
    <t>Комментарий по ИСР</t>
  </si>
  <si>
    <t>Ед. изм.</t>
  </si>
  <si>
    <t>Коэф.расхода</t>
  </si>
  <si>
    <t>Кол-во БО</t>
  </si>
  <si>
    <t>Общее кол-во</t>
  </si>
  <si>
    <t>1.1</t>
  </si>
  <si>
    <t>м2</t>
  </si>
  <si>
    <t>кг</t>
  </si>
  <si>
    <t>шт</t>
  </si>
  <si>
    <t>пог. м</t>
  </si>
  <si>
    <t>Грунтовка универсальный ЛАСТИМИН_ / УНКОНТ ЛЮКС LP51 А</t>
  </si>
  <si>
    <t>Грунтовка универсальный ЛАСТИМИН_ / LP-51 А</t>
  </si>
  <si>
    <t>Штукатурка гипсовая_ / Унифицированная по ПИК-СТАНДАРТ, 30кг</t>
  </si>
  <si>
    <t>Подготовка поверхности СКБ / стен / ГКЛ, ПГП / 2мм</t>
  </si>
  <si>
    <t>Шпатлевка цементная</t>
  </si>
  <si>
    <t>Шпатлевка гипсовая_ / белая / Унифицированная по ПИК-СТАНДАРТ, 30кг</t>
  </si>
  <si>
    <t>Подготовка поверхности СКБ / стен / по штукатурке / 2мм</t>
  </si>
  <si>
    <t>Штукатурка цементная</t>
  </si>
  <si>
    <t>Грунтовка БЕТОН-КОНТАКТ_/</t>
  </si>
  <si>
    <t>Краска негорючая моющаяся Protect Decor_ / RAL 9003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</si>
  <si>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</si>
  <si>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</si>
  <si>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</si>
  <si>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</si>
  <si>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</si>
  <si>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</si>
  <si>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</si>
  <si>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6.3.1.5.3.1.4.1</t>
  </si>
  <si>
    <t>Простая штукатурка потолка сухими смесями с предварительной огрунтовкой поверхности / толщ. до 6,5 мм</t>
  </si>
  <si>
    <t>Подвал, 1-4 этажи. Выравнивание цементными смесями до 5 мм с грунтом глубокого проникновения. Тип: ЧНП-2</t>
  </si>
  <si>
    <t>1.1.3.1.1.3.1.1.1</t>
  </si>
  <si>
    <t>1.1.3.1.1.3.1.1.2</t>
  </si>
  <si>
    <t>1.1.3.1.1.3.1.2</t>
  </si>
  <si>
    <t>Подвал, 1-4 этажи. Выравнивание гипсовыми смесями до 5 мм с бетоноконтактом. Тип: ЧНП-5</t>
  </si>
  <si>
    <t>1.1.3.1.1.3.1.2.1</t>
  </si>
  <si>
    <t>1.1.3.1.1.3.1.2.2</t>
  </si>
  <si>
    <t>1.1.3.1.1.3.1.3</t>
  </si>
  <si>
    <t>6.3.1.5.3.1.6.4</t>
  </si>
  <si>
    <t xml:space="preserve">1-4 этажи. Шпаклевка гипсовая базовая т.2 мм. Тип: ЧНП-3, ЧНП-6, ЧНП-7 
</t>
  </si>
  <si>
    <t>1.1.3.1.1.3.1.3.1</t>
  </si>
  <si>
    <t>1.1.3.1.1.3.1.3.2</t>
  </si>
  <si>
    <t>1.1.3.1.1.3.1.4</t>
  </si>
  <si>
    <t xml:space="preserve">1-4 этажи. Шпаклевка гипсовая базовая т.2 мм. Тип: ЧНП-3, ЧНП-6, ЧНП-7 </t>
  </si>
  <si>
    <t>1.1.3.1.1.3.1.4.1</t>
  </si>
  <si>
    <t>1.1.3.1.1.3.1.4.2</t>
  </si>
  <si>
    <t>1.1.3.1.1.3.1.5</t>
  </si>
  <si>
    <t>6.3.1.5.3.1.6.5</t>
  </si>
  <si>
    <t>Подвал, 1-4 этажи. Шпаклевка цементная базовая т.2 мм. Тип: ЧНП-2</t>
  </si>
  <si>
    <t>1.1.3.1.1.3.1.5.1</t>
  </si>
  <si>
    <t>1.1.3.1.1.3.1.5.2</t>
  </si>
  <si>
    <t>1.1.3.1.1.3.1.6</t>
  </si>
  <si>
    <t>Подвал, 1-4 этажи. Шпаклевка цементная финишная т.2 мм. Тип: ЧНП-2</t>
  </si>
  <si>
    <t>1.1.3.1.1.3.1.6.1</t>
  </si>
  <si>
    <t>1.1.3.1.1.3.1.6.2</t>
  </si>
  <si>
    <t>1.1.3.1.1.3.1.7</t>
  </si>
  <si>
    <t>6.3.1.5.3.1.6.6</t>
  </si>
  <si>
    <t>Подготовка поверхности СКБ / потолка / по штукатурке / 2мм</t>
  </si>
  <si>
    <t>Подвал, 1-4 этажи. Шпаклевка гипсовая базовая т.2 мм. Тип: ЧНП-5</t>
  </si>
  <si>
    <t>1.1.3.1.1.3.1.7.1</t>
  </si>
  <si>
    <t>Шпатлевка гипсовая_ / белая / Унифицированная по ПИК-СТАНДАРТ, 30кг (BIM)</t>
  </si>
  <si>
    <t>1.1.3.1.1.3.1.7.2</t>
  </si>
  <si>
    <t>1.1.3.1.1.3.1.8</t>
  </si>
  <si>
    <t>Подвал, 1-4 этажи. Шпаклевка гипсовая финишная т.2 мм. Тип: ЧНП-5</t>
  </si>
  <si>
    <t>1.1.3.1.1.3.1.8.1</t>
  </si>
  <si>
    <t>1.1.3.1.1.3.1.8.2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</si>
  <si>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</si>
  <si>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</si>
  <si>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</si>
  <si>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</si>
  <si>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</si>
  <si>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</si>
  <si>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Тип: ПТ-1. Матовая водно-дисперсионная моющаяся краска ANTEGA СТРОИТЕЛЬ, Класс ПБ: KM1, Износостойкость: 2 класс истирания</t>
  </si>
  <si>
    <t>1.1.3.1.1.3.2.1.1</t>
  </si>
  <si>
    <t>1.1.3.1.1.3.2.1.2</t>
  </si>
  <si>
    <t>1.1.3.1.1.3.2.2</t>
  </si>
  <si>
    <t>Тип: ПТ-1.2. Матовая водно-дисперсионная моющаяся краска ANTEGA СТРОИТЕЛЬ, Класс ПБ: KM1, Износостойкость: 2 класс истирания</t>
  </si>
  <si>
    <t>1.1.3.1.1.3.2.2.1</t>
  </si>
  <si>
    <t>1.1.3.1.1.3.2.2.2</t>
  </si>
  <si>
    <t>1.1.3.1.1.3.2.3</t>
  </si>
  <si>
    <t>Тип: ПТ-2. Матовая водно-дисперсионная моющаяся краска ANTEGA СТРОИТЕЛЬ, Класс ПБ: KM1, Износостойкость: 2 класс истирания, Цвет: RAL 7044/серый шелк</t>
  </si>
  <si>
    <t>1.1.3.1.1.3.2.3.1</t>
  </si>
  <si>
    <t>1.1.3.1.1.3.2.3.2</t>
  </si>
  <si>
    <t>1.1.3.1.1.3.2.4</t>
  </si>
  <si>
    <t>Тип: ПТ-2.1. Матовая водно-дисперсионная моющаяся краска ANTEGA СТРОИТЕЛЬ, Класс ПБ: НГ, Износостойкость: 1 класс истирания, Цвет:</t>
  </si>
  <si>
    <t>1.1.3.1.1.3.2.4.1</t>
  </si>
  <si>
    <t>1.1.3.1.1.3.2.4.2</t>
  </si>
  <si>
    <t>1.1.3.1.1.3.2.5</t>
  </si>
  <si>
    <t>Тип: ПТ-2.9. Матовая водно-дисперсионная моющаяся краска ANTEGA СТРОИТЕЛЬ, Класс ПБ: НГ, Износостойкость: 1 класс истирания, Цвет: NCS S 5020-R70B</t>
  </si>
  <si>
    <t>1.1.3.1.1.3.2.5.1</t>
  </si>
  <si>
    <t>1.1.3.1.1.3.2.5.2</t>
  </si>
  <si>
    <t>1.1.3.1.1.3.2.6</t>
  </si>
  <si>
    <t>Тип: ПТ-2.12. Матовая водно-дисперсионная моющаяся краска ANTEGA СТРОИТЕЛЬ, Класс ПБ: НГ, Износостойкость: 1 класс истирания, Цвет: NCS S 5030-R90B</t>
  </si>
  <si>
    <t>1.1.3.1.1.3.2.6.1</t>
  </si>
  <si>
    <t>1.1.3.1.1.3.2.6.2</t>
  </si>
  <si>
    <t>1.1.3.1.1.3.2.7</t>
  </si>
  <si>
    <t>Тип: ПТ-2.13. Матовая водно-дисперсионная моющаяся краска ANTEGA СТРОИТЕЛЬ, Класс ПБ: НГ, Износостойкость: 1 класс истирания, Цвет: NCS S 2030-R80B</t>
  </si>
  <si>
    <t>1.1.3.1.1.3.2.7.1</t>
  </si>
  <si>
    <t>1.1.3.1.1.3.2.7.2</t>
  </si>
  <si>
    <t>1.1.3.1.1.3.2.8</t>
  </si>
  <si>
    <t>Тип: ПТ-2.14. Матовая водно-дисперсионная моющаяся краска ANTEGA СТРОИТЕЛЬ, Класс ПБ: НГ, Износостойкость: 1 класс истирания, Цвет: NCS S 2030-R80B</t>
  </si>
  <si>
    <t>1.1.3.1.1.3.2.8.1</t>
  </si>
  <si>
    <t>1.1.3.1.1.3.2.8.2</t>
  </si>
  <si>
    <t>1.1.3.1.1.3.2.9</t>
  </si>
  <si>
    <t>Тип: ПТ-2.15. Матовая водно-дисперсионная моющаяся краска ANTEGA СТРОИТЕЛЬ, Класс ПБ: НГ, Износостойкость: 1 класс истирания, Цвет: RAL 7016</t>
  </si>
  <si>
    <t>1.1.3.1.1.3.2.9.1</t>
  </si>
  <si>
    <t>1.1.3.1.1.3.2.9.2</t>
  </si>
  <si>
    <t>1.1.3.1.1.3.2.10</t>
  </si>
  <si>
    <t>Тип: ПТ-2.16. Матовая водно-дисперсионная моющаяся краска ANTEGA СТРОИТЕЛЬ, Класс ПБ: НГ, Износостойкость: 1 класс истирания, Цвет: RAL 7044/Серый шелк</t>
  </si>
  <si>
    <t>1.1.3.1.1.3.2.10.1</t>
  </si>
  <si>
    <t>1.1.3.1.1.3.2.10.2</t>
  </si>
  <si>
    <t>1.1.3.1.1.3.2.11</t>
  </si>
  <si>
    <t>Тип: ПТ-5. Огнестойкая краска краска ANTEGA СТРОИТЕЛЬ, Класс ПБ: НГ, Износостойкость: 1 класс истирания, Цвет: RAL 9003/Белый</t>
  </si>
  <si>
    <t>1.1.3.1.1.3.2.11.1</t>
  </si>
  <si>
    <t>1.1.3.1.1.3.2.11.2</t>
  </si>
  <si>
    <t>1.1.3.1.1.4</t>
  </si>
  <si>
    <t>6.3.1.5.4</t>
  </si>
  <si>
    <t>Монтаж потолочных конструкций</t>
  </si>
  <si>
    <t>1.1.3.1.1.4.1</t>
  </si>
  <si>
    <t>6.3.1.5.4.2.1</t>
  </si>
  <si>
    <t>Надбавка за монтаж подвесного потолка при высоте более 3,2 м, включая использование лесов и подмостей</t>
  </si>
  <si>
    <t>1.1.3.1.1.4.2</t>
  </si>
  <si>
    <t>6.3.1.5.4.4.1</t>
  </si>
  <si>
    <t>Монтаж подвесного потолка СКБ / из акустических древесных плит</t>
  </si>
  <si>
    <t>1.1.3.1.1.4.2.1</t>
  </si>
  <si>
    <t>Плита древесноволокнистая ДВП s=25мм SoundBoard SuperFine</t>
  </si>
  <si>
    <t>Тип: ПТ-10. Подвесной акустический потолок из минерального стекловолокна. Производитель: Акустик Групп. В состав входит: BA1200 - Акустическая панель Baffle Acoustic Shell, Прямоугольник 1200*600*20, кромка A (упак/8шт/5,76м2) 3 225,6 м2; 165138 - Европодвес 500мм AR (P) С - 2 300 шт; 119603 - Уголок пристеночный 19х24 (3 м) RAL 9010 - 2 295 пог. м; 042387 - Т-профиль 24х33х3600 Премиум белый - 2 736 пог. м; 042389 Т-профиль 24х26х1200 белый - 5 472 пог. м.</t>
  </si>
  <si>
    <t>1.1.3.1.1.4.3</t>
  </si>
  <si>
    <t>Тип: ПТБ-1.1</t>
  </si>
  <si>
    <t>1.1.3.1.1.4.3.1</t>
  </si>
  <si>
    <t>Шумопоглощающий баффель из минерального стекловолокна. Производитель: АКУФОН ПРОЛАЙН СОЛО Размер: D800 мм Цвет: NCS S 3040-G30Y</t>
  </si>
  <si>
    <t>1.1.3.1.1.4.4</t>
  </si>
  <si>
    <t>Тип: ПТБ-1.2</t>
  </si>
  <si>
    <t>1.1.3.1.1.4.4.1</t>
  </si>
  <si>
    <t>Шумопоглощающий баффель из минерального стекловолокна. Производитель: АКУФОН ПРОЛАЙН СОЛО, Размер: D800 мм, Цвет: NCS S 1070-Y60R</t>
  </si>
  <si>
    <t>1.1.3.1.1.4.5</t>
  </si>
  <si>
    <t>Тип: ПТБ-1.3</t>
  </si>
  <si>
    <t>1.1.3.1.1.4.5.1</t>
  </si>
  <si>
    <t>1.1.3.1.1.4.6</t>
  </si>
  <si>
    <t>Тип: ПТБ-1.4</t>
  </si>
  <si>
    <t>1.1.3.1.1.4.6.1</t>
  </si>
  <si>
    <t>Шумопоглощающий баффель из минерального стекловолокна. Производитель: АКУФОН ПРОЛАЙН СОЛО, Размер: D800 мм, Цвет: NCS S 2060-Y30R</t>
  </si>
  <si>
    <t>1.1.3.1.1.4.7</t>
  </si>
  <si>
    <t>Тип: ПТБ-2.1</t>
  </si>
  <si>
    <t>1.1.3.1.1.4.7.1</t>
  </si>
  <si>
    <t>Шумопоглощающий баффель из минерального стекловолокна. Производитель: АКУФОН ПРОЛАЙН СОЛО, Размер: D800 мм, Цвет: NCS S 3040-G30Y</t>
  </si>
  <si>
    <t>1.1.3.1.1.4.8</t>
  </si>
  <si>
    <t>Тип: ПТБ-2.2</t>
  </si>
  <si>
    <t>1.1.3.1.1.4.8.1</t>
  </si>
  <si>
    <t>Шумопоглощающий баффель из минерального стекловолокна. Производитель: АКУФОН ПРОЛАЙН СОЛО, Размер: D1200 мм, Цвет: NCS S 1070-Y60R</t>
  </si>
  <si>
    <t>1.1.3.1.1.4.9</t>
  </si>
  <si>
    <t>Тип: ПТБ-2.3</t>
  </si>
  <si>
    <t>1.1.3.1.1.4.9.1</t>
  </si>
  <si>
    <t>1.1.3.1.1.4.10</t>
  </si>
  <si>
    <t>Тип: ПТБ-2.4</t>
  </si>
  <si>
    <t>1.1.3.1.1.4.10.1</t>
  </si>
  <si>
    <t>Шумопоглощающий баффель из минерального стекловолокна. Производитель: АКУФОН ПРОЛАЙН СОЛО, Размер: D1200 мм, Цвет: NCS S 2060-Y30R</t>
  </si>
  <si>
    <t>1.1.3.1.1.4.11</t>
  </si>
  <si>
    <t>Тип: ПТБ-4</t>
  </si>
  <si>
    <t>1.1.3.1.1.4.11.1</t>
  </si>
  <si>
    <t>Акустические подвесные панели из минерального стекловолокна вертикально ориентированные. Производитель: АКУФОН ПРОЛАЙН СОЛО, Размер: 1200х300 мм, Цвет: RAL 9003/Белый</t>
  </si>
  <si>
    <t>1.1.3.1.1.4.12</t>
  </si>
  <si>
    <t>Тип: ПТБ-5</t>
  </si>
  <si>
    <t>1.1.3.1.1.4.12.1</t>
  </si>
  <si>
    <t>Акустические подвесные панели из минерального стекловолокна вертикально ориентированные. Производитель: АКУФОН ПРОЛАЙН СОЛО, Размер: 1200х600 мм, Цвет: RAL 9003/Белый</t>
  </si>
  <si>
    <t>1.1.3.1.1.4.13</t>
  </si>
  <si>
    <t>6.3.1.5.4.4.3</t>
  </si>
  <si>
    <t>Монтаж подвесного потолка СКБ / из ГКЛ в 2 слоя с применением профиля ПП</t>
  </si>
  <si>
    <t>1 этаж. Зашивка потолков Файербордом с заделкой швов шпаклевкой и серпянкой. Тип: ЧНП-6</t>
  </si>
  <si>
    <t>1.1.3.1.1.4.13.1</t>
  </si>
  <si>
    <t>Шпаклевка д/заделки швов, ШОВСИЛК_/Т33</t>
  </si>
  <si>
    <t>1.1.3.1.1.4.13.2</t>
  </si>
  <si>
    <t>Удлинитель профилей_/потолочный/60*27</t>
  </si>
  <si>
    <t>1.1.3.1.1.4.13.3</t>
  </si>
  <si>
    <t>Соединитель профилей одноуровневый_/потолочный/60*27</t>
  </si>
  <si>
    <t>1.1.3.1.1.4.13.4</t>
  </si>
  <si>
    <t>Шуруп_/3,5*35</t>
  </si>
  <si>
    <t>1.1.3.1.1.4.13.5</t>
  </si>
  <si>
    <t>Плита Кнауф Файерборд_ / 2500х1200х12.5 м</t>
  </si>
  <si>
    <t>1.1.3.1.1.4.13.6</t>
  </si>
  <si>
    <t>Шуруп со сверлом_/3,5*11</t>
  </si>
  <si>
    <t>1.1.3.1.1.4.13.7</t>
  </si>
  <si>
    <t>Лента армирующая ( серпянка)_/50мм</t>
  </si>
  <si>
    <t>1.1.3.1.1.4.13.8</t>
  </si>
  <si>
    <t>Анкер-клин_/6*40</t>
  </si>
  <si>
    <t>1.1.3.1.1.4.13.9</t>
  </si>
  <si>
    <t>Профиль_/потолочный/60*27*0,40/3м</t>
  </si>
  <si>
    <t>1.1.3.1.1.4.13.10</t>
  </si>
  <si>
    <t>Подвес профиля прямой_/потолочный/60*27</t>
  </si>
  <si>
    <t>1.1.3.1.1.4.14</t>
  </si>
  <si>
    <t>Пдвал. Зашивка потолков ГВЛВ с заделкой швов шпаклевкой и серпянкой. Тип: ЧНП-3</t>
  </si>
  <si>
    <t>1.1.3.1.1.4.14.1</t>
  </si>
  <si>
    <t>1.1.3.1.1.4.14.2</t>
  </si>
  <si>
    <t>1.1.3.1.1.4.14.3</t>
  </si>
  <si>
    <t>Гипсовые строительные плиты_ / влагостойкий / 12,5*1200*2500</t>
  </si>
  <si>
    <t>1.1.3.1.1.4.14.4</t>
  </si>
  <si>
    <t>1.1.3.1.1.4.14.5</t>
  </si>
  <si>
    <t>1.1.3.1.1.4.14.6</t>
  </si>
  <si>
    <t>1.1.3.1.1.4.14.7</t>
  </si>
  <si>
    <t>1.1.3.1.1.4.14.8</t>
  </si>
  <si>
    <t>1.1.3.1.1.4.14.9</t>
  </si>
  <si>
    <t>1.1.3.1.1.4.14.10</t>
  </si>
  <si>
    <t>1.1.3.1.1.4.15</t>
  </si>
  <si>
    <t>6.3.1.5.4.4.4</t>
  </si>
  <si>
    <t>Монтаж подвесного потолка СКБ / типа Армстронг, Грильято</t>
  </si>
  <si>
    <t>1.1.3.1.1.4.15.1</t>
  </si>
  <si>
    <t>Подвесной потолок ГРИЛЬЯТО_ / белый / 100х100х40мм</t>
  </si>
  <si>
    <t>Производитель: Албес; Размер решетки: 600х600х40 b10; Размер ячейки 100х100х40; Класс ПБ: Г1, В1, Д1, Т1; Цвет: Белый матовый</t>
  </si>
  <si>
    <t>1.1.3.1.1.4.16</t>
  </si>
  <si>
    <t>Тип: ПТ-8. Кассетный металлический потолок. Albes «TEGULAR»</t>
  </si>
  <si>
    <t>1.1.3.1.1.4.16.1</t>
  </si>
  <si>
    <t>Кассетный металический потолок</t>
  </si>
  <si>
    <t>Кассетный потолок металический, Производитель: Albes Артикул: «TEGULAR» Размер плиты: 600x600 мм, кассета AP600A6/90-Т-15, Несущий профиль T 15-38 PRIM; L=3700 поперечный профиль T 15-29 PRIM; L=600 уголок PLL; L=3,0 м подвес АП (L=1,0 м) цвет: RAL 9003/белый, класс ПБ: КМ0/НГ</t>
  </si>
  <si>
    <t>Описание</t>
  </si>
  <si>
    <t>Итог:</t>
  </si>
  <si>
    <t>ЧНП</t>
  </si>
  <si>
    <t>ЧНП-8</t>
  </si>
  <si>
    <t>1.009</t>
  </si>
  <si>
    <t>1.012</t>
  </si>
  <si>
    <t>1.014</t>
  </si>
  <si>
    <t>3.017</t>
  </si>
  <si>
    <t>4.011</t>
  </si>
  <si>
    <t>4.012</t>
  </si>
  <si>
    <t>4.013</t>
  </si>
  <si>
    <t>4.015</t>
  </si>
  <si>
    <t>4.017</t>
  </si>
  <si>
    <t>4.010а</t>
  </si>
  <si>
    <t>ззеленый</t>
  </si>
  <si>
    <t>4.010</t>
  </si>
  <si>
    <t>ЧНП-5</t>
  </si>
  <si>
    <r>
      <rPr>
        <sz val="15.5"/>
        <rFont val="ISOCPEUR"/>
        <family val="2"/>
      </rPr>
      <t>Экспликация помещений 4-го этажа</t>
    </r>
  </si>
  <si>
    <r>
      <rPr>
        <sz val="11"/>
        <rFont val="ISOCPEUR"/>
        <family val="2"/>
      </rPr>
      <t>Номер пом.</t>
    </r>
  </si>
  <si>
    <r>
      <rPr>
        <sz val="11"/>
        <rFont val="ISOCPEUR"/>
        <family val="2"/>
      </rPr>
      <t>Площадь, м²</t>
    </r>
  </si>
  <si>
    <r>
      <rPr>
        <sz val="7"/>
        <rFont val="ISOCPEUR"/>
        <family val="2"/>
      </rPr>
      <t>4.010а</t>
    </r>
  </si>
  <si>
    <t>ЧНП-2</t>
  </si>
  <si>
    <t>ЧНП-4</t>
  </si>
  <si>
    <t>1.2</t>
  </si>
  <si>
    <t>фиолетовое</t>
  </si>
  <si>
    <t>Наименование работ</t>
  </si>
  <si>
    <t>1.015</t>
  </si>
  <si>
    <t>1.016</t>
  </si>
  <si>
    <t>2.014</t>
  </si>
  <si>
    <t>2.015</t>
  </si>
  <si>
    <t>3.016</t>
  </si>
  <si>
    <t>Красное не забрал</t>
  </si>
  <si>
    <t>1.007</t>
  </si>
  <si>
    <t>Рев F</t>
  </si>
  <si>
    <t>Рев E</t>
  </si>
  <si>
    <t xml:space="preserve">ЧНП-3, ЧНП-6, ЧНП-7 
</t>
  </si>
  <si>
    <t>1-3 этажи.
Тип: ЧНП-5</t>
  </si>
  <si>
    <t>1-3 этажи. Шпаклевка гипсовая базовая т.2 мм. Тип: ЧНП-5</t>
  </si>
  <si>
    <t>1.094, 1.94а</t>
  </si>
  <si>
    <t>2.047, 2.047а, 2.047б</t>
  </si>
  <si>
    <t>3.047, 3.047а, 3.047б</t>
  </si>
  <si>
    <t>1-3 этажи. Шпаклевка гипсовая финишная т.2 мм. Тип: ЧНП-5</t>
  </si>
  <si>
    <t>1.4</t>
  </si>
  <si>
    <t>1.3</t>
  </si>
  <si>
    <t>1.5</t>
  </si>
  <si>
    <t>Сумма</t>
  </si>
  <si>
    <t>В конце РД рев F есть ведомость по каждому помещению</t>
  </si>
  <si>
    <t>1.059</t>
  </si>
  <si>
    <t>1.025</t>
  </si>
  <si>
    <t>1.011</t>
  </si>
  <si>
    <t>2.010</t>
  </si>
  <si>
    <t>3.012</t>
  </si>
  <si>
    <t>ЧНП-7</t>
  </si>
  <si>
    <t>Пом</t>
  </si>
  <si>
    <t>Тип</t>
  </si>
  <si>
    <t>1 этаж.
Тип: ЧНП-5</t>
  </si>
  <si>
    <t xml:space="preserve">1-3 этажи. Шпаклевка гипсовая базовая т.2 мм. Тип: ЧНП-7 </t>
  </si>
  <si>
    <t>1-3 этажи. Шпаклевка гипсовая финишная т.2 мм. Тип: ЧНП-7</t>
  </si>
  <si>
    <t>1 этаж. Шпаклевка гипсовая финишная т.2 мм. Тип: ЧНП-5</t>
  </si>
  <si>
    <t>1 этаж. Шпаклевка гипсовая базовая т.2 мм. Тип: ЧНП-5</t>
  </si>
  <si>
    <t xml:space="preserve">Тип: ПТ-2.1. </t>
  </si>
  <si>
    <t xml:space="preserve">Тип: ПТ-2.15.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</si>
</sst>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5" formatCode="0.0"/>
    <numFmt numFmtId="166" formatCode="#,##0.0"/>
  </numFmts>
  <fonts count="20" x14ac:knownFonts="1">
    <font>
      <sz val="11"/>
      <color rgb="FF000000"/>
      <name val="Calibri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ГОСТ тип А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5.5"/>
      <name val="ISOCPEUR"/>
      <family val="2"/>
      <charset val="204"/>
    </font>
    <font>
      <sz val="15.5"/>
      <name val="ISOCPEUR"/>
      <family val="2"/>
    </font>
    <font>
      <sz val="11"/>
      <name val="ISOCPEUR"/>
      <family val="2"/>
      <charset val="204"/>
    </font>
    <font>
      <sz val="11"/>
      <name val="ISOCPEUR"/>
      <family val="2"/>
    </font>
    <font>
      <sz val="7"/>
      <color rgb="FF000000"/>
      <name val="ISOCPEUR"/>
      <family val="2"/>
    </font>
    <font>
      <sz val="7"/>
      <name val="ISOCPEUR"/>
      <family val="2"/>
      <charset val="204"/>
    </font>
    <font>
      <sz val="7"/>
      <name val="ISOCPEUR"/>
      <family val="2"/>
    </font>
    <font>
      <sz val="11"/>
      <color rgb="FFFF0000"/>
      <name val="Calibri"/>
      <family val="2"/>
      <charset val="204"/>
    </font>
    <font>
      <b/>
      <sz val="14"/>
      <color theme="4" tint="-0.249977111117893"/>
      <name val="ГОСТ тип А"/>
      <family val="2"/>
      <charset val="204"/>
    </font>
    <font>
      <sz val="14"/>
      <color rgb="FF000000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0" fillId="0" borderId="11" xfId="0" applyBorder="1"/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0" xfId="0" applyFont="1"/>
    <xf numFmtId="0" fontId="8" fillId="0" borderId="11" xfId="0" applyFont="1" applyBorder="1"/>
    <xf numFmtId="0" fontId="11" fillId="0" borderId="6" xfId="0" applyFont="1" applyFill="1" applyBorder="1" applyAlignment="1">
      <alignment horizontal="left" vertical="top" wrapText="1" indent="1"/>
    </xf>
    <xf numFmtId="0" fontId="11" fillId="0" borderId="6" xfId="0" applyFont="1" applyFill="1" applyBorder="1" applyAlignment="1">
      <alignment horizontal="center" vertical="top" wrapText="1"/>
    </xf>
    <xf numFmtId="3" fontId="13" fillId="0" borderId="6" xfId="0" applyNumberFormat="1" applyFont="1" applyFill="1" applyBorder="1" applyAlignment="1">
      <alignment horizontal="center" vertical="top" shrinkToFit="1"/>
    </xf>
    <xf numFmtId="165" fontId="13" fillId="0" borderId="6" xfId="0" applyNumberFormat="1" applyFont="1" applyFill="1" applyBorder="1" applyAlignment="1">
      <alignment horizontal="center" vertical="top" shrinkToFit="1"/>
    </xf>
    <xf numFmtId="3" fontId="13" fillId="0" borderId="6" xfId="0" applyNumberFormat="1" applyFont="1" applyFill="1" applyBorder="1" applyAlignment="1">
      <alignment horizontal="center" vertical="center" shrinkToFit="1"/>
    </xf>
    <xf numFmtId="165" fontId="13" fillId="0" borderId="6" xfId="0" applyNumberFormat="1" applyFont="1" applyFill="1" applyBorder="1" applyAlignment="1">
      <alignment horizontal="center" vertical="center" shrinkToFit="1"/>
    </xf>
    <xf numFmtId="0" fontId="14" fillId="0" borderId="6" xfId="0" applyFont="1" applyFill="1" applyBorder="1" applyAlignment="1">
      <alignment horizontal="center" vertical="top" wrapText="1"/>
    </xf>
    <xf numFmtId="49" fontId="8" fillId="0" borderId="0" xfId="0" applyNumberFormat="1" applyFont="1"/>
    <xf numFmtId="0" fontId="16" fillId="0" borderId="11" xfId="0" applyFont="1" applyBorder="1"/>
    <xf numFmtId="0" fontId="6" fillId="0" borderId="11" xfId="0" applyFont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wrapText="1"/>
    </xf>
    <xf numFmtId="0" fontId="18" fillId="0" borderId="0" xfId="0" applyFont="1"/>
    <xf numFmtId="166" fontId="6" fillId="0" borderId="1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19" fillId="0" borderId="11" xfId="0" applyFont="1" applyBorder="1"/>
    <xf numFmtId="0" fontId="7" fillId="0" borderId="11" xfId="0" applyFont="1" applyBorder="1"/>
    <xf numFmtId="0" fontId="9" fillId="0" borderId="1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165" fontId="13" fillId="0" borderId="1" xfId="0" applyNumberFormat="1" applyFont="1" applyFill="1" applyBorder="1" applyAlignment="1">
      <alignment horizontal="right" vertical="top" indent="6" shrinkToFit="1"/>
    </xf>
    <xf numFmtId="165" fontId="13" fillId="0" borderId="2" xfId="0" applyNumberFormat="1" applyFont="1" applyFill="1" applyBorder="1" applyAlignment="1">
      <alignment horizontal="right" vertical="top" indent="6" shrinkToFit="1"/>
    </xf>
    <xf numFmtId="0" fontId="10" fillId="0" borderId="1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18" fillId="0" borderId="16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13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11" totalsRowShown="0" headerRowDxfId="7" tableBorderDxfId="6">
  <autoFilter xmlns:x14="http://schemas.microsoft.com/office/spreadsheetml/2009/9/main" ref="A1:I111">
    <filterColumn colId="4">
      <filters>
        <mc:AlternateContent xmlns:mc="http://schemas.openxmlformats.org/markup-compatibility/2006">
          <mc:Choice Requires="x14">
            <x14:filter val="Тип: ПТ-1. Матовая водно-дисперсионная моющаяся краска ANTEGA СТРОИТЕЛЬ, Класс ПБ: KM1, Износостойкость: 2 класс истирания"/>
            <x14:filter val="Тип: ПТ-1.2. Матовая водно-дисперсионная моющаяся краска ANTEGA СТРОИТЕЛЬ, Класс ПБ: KM1, Износостойкость: 2 класс истирания"/>
            <x14:filter val="Тип: ПТ-10. Подвесной акустический потолок из минерального стекловолокна. Производитель: Акустик Групп. В состав входит: BA1200 - Акустическая панель Baffle Acoustic Shell, Прямоугольник 1200*600*20, кромка A (упак/8шт/5,76м2) 3 225,6 м2; 165138 - Европодвес 500мм AR (P) С - 2 300 шт; 119603 - Уголок пристеночный 19х24 (3 м) RAL 9010 - 2 295 пог. м; 042387 - Т-профиль 24х33х3600 Премиум белый - 2 736 пог. м; 042389 Т-профиль 24х26х1200 белый - 5 472 пог. м."/>
            <x14:filter val="Тип: ПТ-2. Матовая водно-дисперсионная моющаяся краска ANTEGA СТРОИТЕЛЬ, Класс ПБ: KM1, Износостойкость: 2 класс истирания, Цвет: RAL 7044/серый шелк"/>
            <x14:filter val="Тип: ПТ-2.1. Матовая водно-дисперсионная моющаяся краска ANTEGA СТРОИТЕЛЬ, Класс ПБ: НГ, Износостойкость: 1 класс истирания, Цвет:"/>
            <x14:filter val="Тип: ПТ-2.12. Матовая водно-дисперсионная моющаяся краска ANTEGA СТРОИТЕЛЬ, Класс ПБ: НГ, Износостойкость: 1 класс истирания, Цвет: NCS S 5030-R90B"/>
            <x14:filter val="Тип: ПТ-2.13. Матовая водно-дисперсионная моющаяся краска ANTEGA СТРОИТЕЛЬ, Класс ПБ: НГ, Износостойкость: 1 класс истирания, Цвет: NCS S 2030-R80B"/>
            <x14:filter val="Тип: ПТ-2.14. Матовая водно-дисперсионная моющаяся краска ANTEGA СТРОИТЕЛЬ, Класс ПБ: НГ, Износостойкость: 1 класс истирания, Цвет: NCS S 2030-R80B"/>
            <x14:filter val="Тип: ПТ-2.15. Матовая водно-дисперсионная моющаяся краска ANTEGA СТРОИТЕЛЬ, Класс ПБ: НГ, Износостойкость: 1 класс истирания, Цвет: RAL 7016"/>
            <x14:filter val="Тип: ПТ-2.16. Матовая водно-дисперсионная моющаяся краска ANTEGA СТРОИТЕЛЬ, Класс ПБ: НГ, Износостойкость: 1 класс истирания, Цвет: RAL 7044/Серый шелк"/>
            <x14:filter val="Тип: ПТ-2.9. Матовая водно-дисперсионная моющаяся краска ANTEGA СТРОИТЕЛЬ, Класс ПБ: НГ, Износостойкость: 1 класс истирания, Цвет: NCS S 5020-R70B"/>
            <x14:filter val="Тип: ПТ-5. Огнестойкая краска краска ANTEGA СТРОИТЕЛЬ, Класс ПБ: НГ, Износостойкость: 1 класс истирания, Цвет: RAL 9003/Белый"/>
            <x14:filter val="Тип: ПТ-8. Кассетный металлический потолок. Albes «TEGULAR»"/>
            <x14:filter val="Тип: ПТБ-1.1"/>
            <x14:filter val="Тип: ПТБ-1.2"/>
            <x14:filter val="Тип: ПТБ-1.3"/>
            <x14:filter val="Тип: ПТБ-1.4"/>
            <x14:filter val="Тип: ПТБ-2.1"/>
            <x14:filter val="Тип: ПТБ-2.2"/>
            <x14:filter val="Тип: ПТБ-2.3"/>
            <x14:filter val="Тип: ПТБ-2.4"/>
            <x14:filter val="Тип: ПТБ-4"/>
            <x14:filter val="Тип: ПТБ-5"/>
          </mc:Choice>
          <mc:Fallback>
            <filter val="Тип: ПТ-1. Матовая водно-дисперсионная моющаяся краска ANTEGA СТРОИТЕЛЬ, Класс ПБ: KM1, Износостойкость: 2 класс истирания"/>
            <filter val="Тип: ПТ-1.2. Матовая водно-дисперсионная моющаяся краска ANTEGA СТРОИТЕЛЬ, Класс ПБ: KM1, Износостойкость: 2 класс истирания"/>
            <filter val="Тип: ПТ-2. Матовая водно-дисперсионная моющаяся краска ANTEGA СТРОИТЕЛЬ, Класс ПБ: KM1, Износостойкость: 2 класс истирания, Цвет: RAL 7044/серый шелк"/>
            <filter val="Тип: ПТ-2.1. Матовая водно-дисперсионная моющаяся краска ANTEGA СТРОИТЕЛЬ, Класс ПБ: НГ, Износостойкость: 1 класс истирания, Цвет:"/>
            <filter val="Тип: ПТ-2.12. Матовая водно-дисперсионная моющаяся краска ANTEGA СТРОИТЕЛЬ, Класс ПБ: НГ, Износостойкость: 1 класс истирания, Цвет: NCS S 5030-R90B"/>
            <filter val="Тип: ПТ-2.13. Матовая водно-дисперсионная моющаяся краска ANTEGA СТРОИТЕЛЬ, Класс ПБ: НГ, Износостойкость: 1 класс истирания, Цвет: NCS S 2030-R80B"/>
            <filter val="Тип: ПТ-2.14. Матовая водно-дисперсионная моющаяся краска ANTEGA СТРОИТЕЛЬ, Класс ПБ: НГ, Износостойкость: 1 класс истирания, Цвет: NCS S 2030-R80B"/>
            <filter val="Тип: ПТ-2.15. Матовая водно-дисперсионная моющаяся краска ANTEGA СТРОИТЕЛЬ, Класс ПБ: НГ, Износостойкость: 1 класс истирания, Цвет: RAL 7016"/>
            <filter val="Тип: ПТ-2.16. Матовая водно-дисперсионная моющаяся краска ANTEGA СТРОИТЕЛЬ, Класс ПБ: НГ, Износостойкость: 1 класс истирания, Цвет: RAL 7044/Серый шелк"/>
            <filter val="Тип: ПТ-2.9. Матовая водно-дисперсионная моющаяся краска ANTEGA СТРОИТЕЛЬ, Класс ПБ: НГ, Износостойкость: 1 класс истирания, Цвет: NCS S 5020-R70B"/>
            <filter val="Тип: ПТ-5. Огнестойкая краска краска ANTEGA СТРОИТЕЛЬ, Класс ПБ: НГ, Износостойкость: 1 класс истирания, Цвет: RAL 9003/Белый"/>
            <filter val="Тип: ПТ-8. Кассетный металлический потолок. Albes «TEGULAR»"/>
            <filter val="Тип: ПТБ-1.1"/>
            <filter val="Тип: ПТБ-1.2"/>
            <filter val="Тип: ПТБ-1.3"/>
            <filter val="Тип: ПТБ-1.4"/>
            <filter val="Тип: ПТБ-2.1"/>
            <filter val="Тип: ПТБ-2.2"/>
            <filter val="Тип: ПТБ-2.3"/>
            <filter val="Тип: ПТБ-2.4"/>
            <filter val="Тип: ПТБ-4"/>
            <filter val="Тип: ПТБ-5"/>
          </mc:Fallback>
        </mc:AlternateContent>
      </filters>
    </filterColumn>
  </autoFilter>
  <tableColumns count="9">
    <tableColumn id="1" name="Номер п/п" dataDxfId="5"/>
    <tableColumn id="2" name="Код узла ИСР" dataDxfId="4"/>
    <tableColumn id="3" name="Наименование затрат"/>
    <tableColumn id="4" name="Комментарий по ИСР" dataDxfId="3"/>
    <tableColumn id="5" name="Описание" dataDxfId="2"/>
    <tableColumn id="6" name="Ед. изм." dataDxfId="1"/>
    <tableColumn id="7" name="Коэф.расхода" dataDxfId="0"/>
    <tableColumn id="8" name="Кол-во БО"/>
    <tableColumn id="9" name="Общее кол-во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11"/>
  <sheetViews>
    <sheetView topLeftCell="A32" zoomScale="40" zoomScaleNormal="40" workbookViewId="0">
      <selection activeCell="E38" sqref="E38"/>
    </sheetView>
  </sheetViews>
  <sheetFormatPr defaultRowHeight="14.4" x14ac:dyDescent="0.3"/>
  <cols>
    <col min="1" max="1" width="20" customWidth="1"/>
    <col min="2" max="2" width="18" customWidth="1"/>
    <col min="3" max="3" width="55.6640625" customWidth="1"/>
    <col min="4" max="4" width="12.33203125" customWidth="1"/>
    <col min="5" max="5" width="56.33203125" customWidth="1"/>
    <col min="6" max="6" width="16.44140625" customWidth="1"/>
    <col min="7" max="7" width="17.77734375" customWidth="1"/>
    <col min="8" max="8" width="9.33203125" customWidth="1"/>
    <col min="9" max="9" width="18.88671875" customWidth="1"/>
  </cols>
  <sheetData>
    <row r="1" spans="1:9" ht="40.799999999999997" customHeight="1" x14ac:dyDescent="0.3">
      <c r="A1" s="17" t="s">
        <v>0</v>
      </c>
      <c r="B1" s="12" t="s">
        <v>1</v>
      </c>
      <c r="C1" s="12" t="s">
        <v>2</v>
      </c>
      <c r="D1" s="12" t="s">
        <v>3</v>
      </c>
      <c r="E1" s="12" t="s">
        <v>215</v>
      </c>
      <c r="F1" s="12" t="s">
        <v>4</v>
      </c>
      <c r="G1" s="12" t="s">
        <v>5</v>
      </c>
      <c r="H1" s="12" t="s">
        <v>6</v>
      </c>
      <c r="I1" s="18" t="s">
        <v>7</v>
      </c>
    </row>
    <row r="2" spans="1:9" ht="16.95" hidden="1" customHeight="1" x14ac:dyDescent="0.3">
      <c r="A2" s="13" t="s">
        <v>23</v>
      </c>
      <c r="B2" s="1" t="s">
        <v>24</v>
      </c>
      <c r="C2" s="10" t="s">
        <v>25</v>
      </c>
      <c r="D2" s="11"/>
      <c r="E2" s="11"/>
      <c r="F2" s="11"/>
      <c r="G2" s="11"/>
      <c r="H2" s="11"/>
      <c r="I2" s="11"/>
    </row>
    <row r="3" spans="1:9" ht="16.95" hidden="1" customHeight="1" x14ac:dyDescent="0.3">
      <c r="A3" s="13" t="s">
        <v>26</v>
      </c>
      <c r="B3" s="1" t="s">
        <v>27</v>
      </c>
      <c r="C3" s="10" t="s">
        <v>28</v>
      </c>
      <c r="D3" s="11"/>
      <c r="E3" s="11"/>
      <c r="F3" s="11"/>
      <c r="G3" s="11"/>
      <c r="H3" s="11"/>
      <c r="I3" s="11"/>
    </row>
    <row r="4" spans="1:9" ht="54" hidden="1" x14ac:dyDescent="0.3">
      <c r="A4" s="13" t="s">
        <v>29</v>
      </c>
      <c r="B4" s="1" t="s">
        <v>30</v>
      </c>
      <c r="C4" s="2" t="s">
        <v>31</v>
      </c>
      <c r="D4" s="3"/>
      <c r="E4" s="3" t="s">
        <v>32</v>
      </c>
      <c r="F4" s="3" t="s">
        <v>9</v>
      </c>
      <c r="G4" s="4">
        <v>1</v>
      </c>
      <c r="H4" s="4"/>
      <c r="I4" s="14">
        <v>1171.2</v>
      </c>
    </row>
    <row r="5" spans="1:9" ht="18" hidden="1" x14ac:dyDescent="0.3">
      <c r="A5" s="13" t="s">
        <v>33</v>
      </c>
      <c r="B5" s="1"/>
      <c r="C5" s="5" t="s">
        <v>20</v>
      </c>
      <c r="D5" s="3"/>
      <c r="E5" s="3"/>
      <c r="F5" s="6" t="s">
        <v>10</v>
      </c>
      <c r="G5" s="7">
        <v>1.3</v>
      </c>
      <c r="H5" s="9"/>
      <c r="I5" s="15">
        <v>7612.8</v>
      </c>
    </row>
    <row r="6" spans="1:9" ht="36" hidden="1" x14ac:dyDescent="0.3">
      <c r="A6" s="13" t="s">
        <v>34</v>
      </c>
      <c r="B6" s="1"/>
      <c r="C6" s="5" t="s">
        <v>13</v>
      </c>
      <c r="D6" s="3"/>
      <c r="E6" s="3"/>
      <c r="F6" s="6" t="s">
        <v>10</v>
      </c>
      <c r="G6" s="7">
        <v>0.15</v>
      </c>
      <c r="H6" s="7"/>
      <c r="I6" s="16">
        <v>175.68</v>
      </c>
    </row>
    <row r="7" spans="1:9" ht="54" hidden="1" x14ac:dyDescent="0.3">
      <c r="A7" s="13" t="s">
        <v>35</v>
      </c>
      <c r="B7" s="1" t="s">
        <v>30</v>
      </c>
      <c r="C7" s="2" t="s">
        <v>31</v>
      </c>
      <c r="D7" s="3"/>
      <c r="E7" s="3" t="s">
        <v>36</v>
      </c>
      <c r="F7" s="3" t="s">
        <v>9</v>
      </c>
      <c r="G7" s="4">
        <v>1</v>
      </c>
      <c r="H7" s="4"/>
      <c r="I7" s="14">
        <v>7010.2</v>
      </c>
    </row>
    <row r="8" spans="1:9" ht="18" hidden="1" x14ac:dyDescent="0.3">
      <c r="A8" s="13" t="s">
        <v>37</v>
      </c>
      <c r="B8" s="1"/>
      <c r="C8" s="5" t="s">
        <v>21</v>
      </c>
      <c r="D8" s="3"/>
      <c r="E8" s="3"/>
      <c r="F8" s="6" t="s">
        <v>10</v>
      </c>
      <c r="G8" s="7">
        <v>0.25</v>
      </c>
      <c r="H8" s="7"/>
      <c r="I8" s="16">
        <v>1752.55</v>
      </c>
    </row>
    <row r="9" spans="1:9" ht="36" hidden="1" x14ac:dyDescent="0.3">
      <c r="A9" s="13" t="s">
        <v>38</v>
      </c>
      <c r="B9" s="1"/>
      <c r="C9" s="8" t="s">
        <v>15</v>
      </c>
      <c r="D9" s="3"/>
      <c r="E9" s="3"/>
      <c r="F9" s="6" t="s">
        <v>10</v>
      </c>
      <c r="G9" s="7">
        <v>1</v>
      </c>
      <c r="H9" s="9"/>
      <c r="I9" s="15">
        <v>35051</v>
      </c>
    </row>
    <row r="10" spans="1:9" ht="54" hidden="1" x14ac:dyDescent="0.3">
      <c r="A10" s="13" t="s">
        <v>39</v>
      </c>
      <c r="B10" s="1" t="s">
        <v>40</v>
      </c>
      <c r="C10" s="2" t="s">
        <v>16</v>
      </c>
      <c r="D10" s="3"/>
      <c r="E10" s="3" t="s">
        <v>41</v>
      </c>
      <c r="F10" s="3" t="s">
        <v>9</v>
      </c>
      <c r="G10" s="4">
        <v>1</v>
      </c>
      <c r="H10" s="4"/>
      <c r="I10" s="14">
        <v>827.7</v>
      </c>
    </row>
    <row r="11" spans="1:9" ht="36" hidden="1" x14ac:dyDescent="0.3">
      <c r="A11" s="13" t="s">
        <v>42</v>
      </c>
      <c r="B11" s="1"/>
      <c r="C11" s="8" t="s">
        <v>18</v>
      </c>
      <c r="D11" s="3"/>
      <c r="E11" s="3"/>
      <c r="F11" s="6" t="s">
        <v>10</v>
      </c>
      <c r="G11" s="7">
        <v>1.5</v>
      </c>
      <c r="H11" s="7"/>
      <c r="I11" s="16">
        <v>1241.55</v>
      </c>
    </row>
    <row r="12" spans="1:9" ht="36" hidden="1" x14ac:dyDescent="0.3">
      <c r="A12" s="13" t="s">
        <v>43</v>
      </c>
      <c r="B12" s="1"/>
      <c r="C12" s="5" t="s">
        <v>14</v>
      </c>
      <c r="D12" s="3"/>
      <c r="E12" s="3"/>
      <c r="F12" s="6" t="s">
        <v>10</v>
      </c>
      <c r="G12" s="7">
        <v>0.15</v>
      </c>
      <c r="H12" s="7"/>
      <c r="I12" s="16">
        <v>124.155</v>
      </c>
    </row>
    <row r="13" spans="1:9" ht="36" hidden="1" x14ac:dyDescent="0.3">
      <c r="A13" s="13" t="s">
        <v>44</v>
      </c>
      <c r="B13" s="1" t="s">
        <v>40</v>
      </c>
      <c r="C13" s="2" t="s">
        <v>16</v>
      </c>
      <c r="D13" s="3"/>
      <c r="E13" s="3" t="s">
        <v>45</v>
      </c>
      <c r="F13" s="3" t="s">
        <v>9</v>
      </c>
      <c r="G13" s="4">
        <v>1</v>
      </c>
      <c r="H13" s="4"/>
      <c r="I13" s="14">
        <v>827.7</v>
      </c>
    </row>
    <row r="14" spans="1:9" ht="36" hidden="1" x14ac:dyDescent="0.3">
      <c r="A14" s="13" t="s">
        <v>46</v>
      </c>
      <c r="B14" s="1"/>
      <c r="C14" s="5" t="s">
        <v>14</v>
      </c>
      <c r="D14" s="3"/>
      <c r="E14" s="3"/>
      <c r="F14" s="6" t="s">
        <v>10</v>
      </c>
      <c r="G14" s="7">
        <v>0.15</v>
      </c>
      <c r="H14" s="7"/>
      <c r="I14" s="16">
        <v>124.155</v>
      </c>
    </row>
    <row r="15" spans="1:9" ht="36" hidden="1" x14ac:dyDescent="0.3">
      <c r="A15" s="13" t="s">
        <v>47</v>
      </c>
      <c r="B15" s="1"/>
      <c r="C15" s="8" t="s">
        <v>18</v>
      </c>
      <c r="D15" s="3"/>
      <c r="E15" s="3"/>
      <c r="F15" s="6" t="s">
        <v>10</v>
      </c>
      <c r="G15" s="7">
        <v>1.5</v>
      </c>
      <c r="H15" s="7"/>
      <c r="I15" s="16">
        <v>1241.55</v>
      </c>
    </row>
    <row r="16" spans="1:9" ht="36" hidden="1" x14ac:dyDescent="0.3">
      <c r="A16" s="13" t="s">
        <v>48</v>
      </c>
      <c r="B16" s="1" t="s">
        <v>49</v>
      </c>
      <c r="C16" s="2" t="s">
        <v>19</v>
      </c>
      <c r="D16" s="3"/>
      <c r="E16" s="3" t="s">
        <v>50</v>
      </c>
      <c r="F16" s="3" t="s">
        <v>9</v>
      </c>
      <c r="G16" s="4">
        <v>1</v>
      </c>
      <c r="H16" s="4"/>
      <c r="I16" s="14">
        <v>1171.2</v>
      </c>
    </row>
    <row r="17" spans="1:9" ht="18" hidden="1" x14ac:dyDescent="0.3">
      <c r="A17" s="13" t="s">
        <v>51</v>
      </c>
      <c r="B17" s="1"/>
      <c r="C17" s="5" t="s">
        <v>17</v>
      </c>
      <c r="D17" s="3"/>
      <c r="E17" s="3"/>
      <c r="F17" s="6" t="s">
        <v>10</v>
      </c>
      <c r="G17" s="7">
        <v>2</v>
      </c>
      <c r="H17" s="7"/>
      <c r="I17" s="16">
        <v>2342.4</v>
      </c>
    </row>
    <row r="18" spans="1:9" ht="36" hidden="1" x14ac:dyDescent="0.3">
      <c r="A18" s="13" t="s">
        <v>52</v>
      </c>
      <c r="B18" s="1"/>
      <c r="C18" s="5" t="s">
        <v>14</v>
      </c>
      <c r="D18" s="3"/>
      <c r="E18" s="3"/>
      <c r="F18" s="6" t="s">
        <v>10</v>
      </c>
      <c r="G18" s="7">
        <v>0.15</v>
      </c>
      <c r="H18" s="7"/>
      <c r="I18" s="16">
        <v>175.68</v>
      </c>
    </row>
    <row r="19" spans="1:9" ht="36" hidden="1" x14ac:dyDescent="0.3">
      <c r="A19" s="13" t="s">
        <v>53</v>
      </c>
      <c r="B19" s="1" t="s">
        <v>49</v>
      </c>
      <c r="C19" s="2" t="s">
        <v>19</v>
      </c>
      <c r="D19" s="3"/>
      <c r="E19" s="3" t="s">
        <v>54</v>
      </c>
      <c r="F19" s="3" t="s">
        <v>9</v>
      </c>
      <c r="G19" s="4">
        <v>1</v>
      </c>
      <c r="H19" s="4"/>
      <c r="I19" s="14">
        <v>1171.2</v>
      </c>
    </row>
    <row r="20" spans="1:9" ht="36" hidden="1" x14ac:dyDescent="0.3">
      <c r="A20" s="13" t="s">
        <v>55</v>
      </c>
      <c r="B20" s="1"/>
      <c r="C20" s="5" t="s">
        <v>14</v>
      </c>
      <c r="D20" s="3"/>
      <c r="E20" s="3"/>
      <c r="F20" s="6" t="s">
        <v>10</v>
      </c>
      <c r="G20" s="7">
        <v>0.15</v>
      </c>
      <c r="H20" s="7"/>
      <c r="I20" s="16">
        <v>175.68</v>
      </c>
    </row>
    <row r="21" spans="1:9" ht="18" hidden="1" x14ac:dyDescent="0.3">
      <c r="A21" s="13" t="s">
        <v>56</v>
      </c>
      <c r="B21" s="1"/>
      <c r="C21" s="5" t="s">
        <v>17</v>
      </c>
      <c r="D21" s="3"/>
      <c r="E21" s="3"/>
      <c r="F21" s="6" t="s">
        <v>10</v>
      </c>
      <c r="G21" s="7">
        <v>2</v>
      </c>
      <c r="H21" s="7"/>
      <c r="I21" s="16">
        <v>2342.4</v>
      </c>
    </row>
    <row r="22" spans="1:9" ht="36" hidden="1" x14ac:dyDescent="0.3">
      <c r="A22" s="13" t="s">
        <v>57</v>
      </c>
      <c r="B22" s="1" t="s">
        <v>58</v>
      </c>
      <c r="C22" s="2" t="s">
        <v>59</v>
      </c>
      <c r="D22" s="3"/>
      <c r="E22" s="3" t="s">
        <v>60</v>
      </c>
      <c r="F22" s="3" t="s">
        <v>9</v>
      </c>
      <c r="G22" s="4">
        <v>1</v>
      </c>
      <c r="H22" s="4"/>
      <c r="I22" s="14">
        <v>7010.2</v>
      </c>
    </row>
    <row r="23" spans="1:9" ht="54" hidden="1" x14ac:dyDescent="0.3">
      <c r="A23" s="13" t="s">
        <v>61</v>
      </c>
      <c r="B23" s="1"/>
      <c r="C23" s="8" t="s">
        <v>62</v>
      </c>
      <c r="D23" s="3"/>
      <c r="E23" s="3"/>
      <c r="F23" s="6" t="s">
        <v>10</v>
      </c>
      <c r="G23" s="7">
        <v>1.8</v>
      </c>
      <c r="H23" s="7"/>
      <c r="I23" s="16">
        <v>12618.36</v>
      </c>
    </row>
    <row r="24" spans="1:9" ht="36" hidden="1" x14ac:dyDescent="0.3">
      <c r="A24" s="13" t="s">
        <v>63</v>
      </c>
      <c r="B24" s="1"/>
      <c r="C24" s="5" t="s">
        <v>13</v>
      </c>
      <c r="D24" s="3"/>
      <c r="E24" s="3"/>
      <c r="F24" s="6" t="s">
        <v>10</v>
      </c>
      <c r="G24" s="7">
        <v>0.15</v>
      </c>
      <c r="H24" s="7"/>
      <c r="I24" s="16">
        <v>1051.53</v>
      </c>
    </row>
    <row r="25" spans="1:9" ht="36" hidden="1" x14ac:dyDescent="0.3">
      <c r="A25" s="13" t="s">
        <v>64</v>
      </c>
      <c r="B25" s="1" t="s">
        <v>58</v>
      </c>
      <c r="C25" s="2" t="s">
        <v>59</v>
      </c>
      <c r="D25" s="3"/>
      <c r="E25" s="3" t="s">
        <v>65</v>
      </c>
      <c r="F25" s="3" t="s">
        <v>9</v>
      </c>
      <c r="G25" s="4">
        <v>1</v>
      </c>
      <c r="H25" s="4"/>
      <c r="I25" s="14">
        <v>7010.2</v>
      </c>
    </row>
    <row r="26" spans="1:9" ht="36" hidden="1" x14ac:dyDescent="0.3">
      <c r="A26" s="13" t="s">
        <v>66</v>
      </c>
      <c r="B26" s="1"/>
      <c r="C26" s="5" t="s">
        <v>13</v>
      </c>
      <c r="D26" s="3"/>
      <c r="E26" s="3"/>
      <c r="F26" s="6" t="s">
        <v>10</v>
      </c>
      <c r="G26" s="7">
        <v>0.15</v>
      </c>
      <c r="H26" s="7"/>
      <c r="I26" s="16">
        <v>1051.53</v>
      </c>
    </row>
    <row r="27" spans="1:9" ht="54" hidden="1" x14ac:dyDescent="0.3">
      <c r="A27" s="13" t="s">
        <v>67</v>
      </c>
      <c r="B27" s="1"/>
      <c r="C27" s="8" t="s">
        <v>62</v>
      </c>
      <c r="D27" s="3"/>
      <c r="E27" s="3"/>
      <c r="F27" s="6" t="s">
        <v>10</v>
      </c>
      <c r="G27" s="7">
        <v>1.8</v>
      </c>
      <c r="H27" s="7"/>
      <c r="I27" s="16">
        <v>12618.36</v>
      </c>
    </row>
    <row r="28" spans="1:9" ht="16.95" hidden="1" customHeight="1" x14ac:dyDescent="0.3">
      <c r="A28" s="13" t="s">
        <v>68</v>
      </c>
      <c r="B28" s="1" t="s">
        <v>69</v>
      </c>
      <c r="C28" s="10" t="s">
        <v>70</v>
      </c>
      <c r="D28" s="11"/>
      <c r="E28" s="11"/>
      <c r="F28" s="11"/>
      <c r="G28" s="11"/>
      <c r="H28" s="11"/>
      <c r="I28" s="11"/>
    </row>
    <row r="29" spans="1:9" ht="72" x14ac:dyDescent="0.3">
      <c r="A29" s="13" t="s">
        <v>71</v>
      </c>
      <c r="B29" s="1" t="s">
        <v>72</v>
      </c>
      <c r="C29" s="2" t="s">
        <v>73</v>
      </c>
      <c r="D29" s="3"/>
      <c r="E29" s="3" t="s">
        <v>74</v>
      </c>
      <c r="F29" s="3" t="s">
        <v>9</v>
      </c>
      <c r="G29" s="4">
        <v>1</v>
      </c>
      <c r="H29" s="4"/>
      <c r="I29" s="14">
        <v>47.78</v>
      </c>
    </row>
    <row r="30" spans="1:9" ht="36" hidden="1" x14ac:dyDescent="0.3">
      <c r="A30" s="13" t="s">
        <v>75</v>
      </c>
      <c r="B30" s="1"/>
      <c r="C30" s="5" t="s">
        <v>22</v>
      </c>
      <c r="D30" s="3"/>
      <c r="E30" s="3"/>
      <c r="F30" s="6" t="s">
        <v>10</v>
      </c>
      <c r="G30" s="7">
        <v>0.3</v>
      </c>
      <c r="H30" s="7"/>
      <c r="I30" s="16">
        <v>14.334</v>
      </c>
    </row>
    <row r="31" spans="1:9" ht="36" hidden="1" x14ac:dyDescent="0.3">
      <c r="A31" s="13" t="s">
        <v>76</v>
      </c>
      <c r="B31" s="1"/>
      <c r="C31" s="5" t="s">
        <v>14</v>
      </c>
      <c r="D31" s="3"/>
      <c r="E31" s="3"/>
      <c r="F31" s="6" t="s">
        <v>10</v>
      </c>
      <c r="G31" s="7">
        <v>0.15</v>
      </c>
      <c r="H31" s="7"/>
      <c r="I31" s="16">
        <v>7.1669999999999998</v>
      </c>
    </row>
    <row r="32" spans="1:9" ht="72" x14ac:dyDescent="0.3">
      <c r="A32" s="13" t="s">
        <v>77</v>
      </c>
      <c r="B32" s="1" t="s">
        <v>72</v>
      </c>
      <c r="C32" s="2" t="s">
        <v>73</v>
      </c>
      <c r="D32" s="3"/>
      <c r="E32" s="3" t="s">
        <v>78</v>
      </c>
      <c r="F32" s="3" t="s">
        <v>9</v>
      </c>
      <c r="G32" s="4">
        <v>1</v>
      </c>
      <c r="H32" s="4"/>
      <c r="I32" s="14">
        <v>727.11</v>
      </c>
    </row>
    <row r="33" spans="1:9" ht="36" hidden="1" x14ac:dyDescent="0.3">
      <c r="A33" s="13" t="s">
        <v>79</v>
      </c>
      <c r="B33" s="1"/>
      <c r="C33" s="5" t="s">
        <v>14</v>
      </c>
      <c r="D33" s="3"/>
      <c r="E33" s="3"/>
      <c r="F33" s="6" t="s">
        <v>10</v>
      </c>
      <c r="G33" s="7">
        <v>0.15</v>
      </c>
      <c r="H33" s="7"/>
      <c r="I33" s="16">
        <v>109.06699999999999</v>
      </c>
    </row>
    <row r="34" spans="1:9" ht="36" hidden="1" x14ac:dyDescent="0.3">
      <c r="A34" s="13" t="s">
        <v>80</v>
      </c>
      <c r="B34" s="1"/>
      <c r="C34" s="5" t="s">
        <v>22</v>
      </c>
      <c r="D34" s="3"/>
      <c r="E34" s="3"/>
      <c r="F34" s="6" t="s">
        <v>10</v>
      </c>
      <c r="G34" s="7">
        <v>0.3</v>
      </c>
      <c r="H34" s="7"/>
      <c r="I34" s="16">
        <v>218.13300000000001</v>
      </c>
    </row>
    <row r="35" spans="1:9" ht="72" x14ac:dyDescent="0.3">
      <c r="A35" s="13" t="s">
        <v>81</v>
      </c>
      <c r="B35" s="1" t="s">
        <v>72</v>
      </c>
      <c r="C35" s="2" t="s">
        <v>73</v>
      </c>
      <c r="D35" s="3"/>
      <c r="E35" s="3" t="s">
        <v>82</v>
      </c>
      <c r="F35" s="3" t="s">
        <v>9</v>
      </c>
      <c r="G35" s="4">
        <v>1</v>
      </c>
      <c r="H35" s="4"/>
      <c r="I35" s="14">
        <v>503.14</v>
      </c>
    </row>
    <row r="36" spans="1:9" ht="36" hidden="1" x14ac:dyDescent="0.3">
      <c r="A36" s="13" t="s">
        <v>83</v>
      </c>
      <c r="B36" s="1"/>
      <c r="C36" s="5" t="s">
        <v>22</v>
      </c>
      <c r="D36" s="3"/>
      <c r="E36" s="3"/>
      <c r="F36" s="6" t="s">
        <v>10</v>
      </c>
      <c r="G36" s="7">
        <v>0.3</v>
      </c>
      <c r="H36" s="7"/>
      <c r="I36" s="16">
        <v>150.94200000000001</v>
      </c>
    </row>
    <row r="37" spans="1:9" ht="36" hidden="1" x14ac:dyDescent="0.3">
      <c r="A37" s="13" t="s">
        <v>84</v>
      </c>
      <c r="B37" s="1"/>
      <c r="C37" s="5" t="s">
        <v>14</v>
      </c>
      <c r="D37" s="3"/>
      <c r="E37" s="3"/>
      <c r="F37" s="6" t="s">
        <v>10</v>
      </c>
      <c r="G37" s="7">
        <v>0.15</v>
      </c>
      <c r="H37" s="7"/>
      <c r="I37" s="16">
        <v>75.471000000000004</v>
      </c>
    </row>
    <row r="38" spans="1:9" ht="72" x14ac:dyDescent="0.3">
      <c r="A38" s="13" t="s">
        <v>85</v>
      </c>
      <c r="B38" s="1" t="s">
        <v>72</v>
      </c>
      <c r="C38" s="2" t="s">
        <v>73</v>
      </c>
      <c r="D38" s="3"/>
      <c r="E38" s="3" t="s">
        <v>86</v>
      </c>
      <c r="F38" s="3" t="s">
        <v>9</v>
      </c>
      <c r="G38" s="4">
        <v>1</v>
      </c>
      <c r="H38" s="4"/>
      <c r="I38" s="14">
        <v>2411.1799999999998</v>
      </c>
    </row>
    <row r="39" spans="1:9" ht="36" hidden="1" x14ac:dyDescent="0.3">
      <c r="A39" s="13" t="s">
        <v>87</v>
      </c>
      <c r="B39" s="1"/>
      <c r="C39" s="5" t="s">
        <v>14</v>
      </c>
      <c r="D39" s="3"/>
      <c r="E39" s="3"/>
      <c r="F39" s="6" t="s">
        <v>10</v>
      </c>
      <c r="G39" s="7">
        <v>0.15</v>
      </c>
      <c r="H39" s="7"/>
      <c r="I39" s="16">
        <v>361.67700000000002</v>
      </c>
    </row>
    <row r="40" spans="1:9" ht="36" hidden="1" x14ac:dyDescent="0.3">
      <c r="A40" s="13" t="s">
        <v>88</v>
      </c>
      <c r="B40" s="1"/>
      <c r="C40" s="5" t="s">
        <v>22</v>
      </c>
      <c r="D40" s="3"/>
      <c r="E40" s="3"/>
      <c r="F40" s="6" t="s">
        <v>10</v>
      </c>
      <c r="G40" s="7">
        <v>0.3</v>
      </c>
      <c r="H40" s="7"/>
      <c r="I40" s="16">
        <v>723.35400000000004</v>
      </c>
    </row>
    <row r="41" spans="1:9" ht="72" x14ac:dyDescent="0.3">
      <c r="A41" s="13" t="s">
        <v>89</v>
      </c>
      <c r="B41" s="1" t="s">
        <v>72</v>
      </c>
      <c r="C41" s="2" t="s">
        <v>73</v>
      </c>
      <c r="D41" s="3"/>
      <c r="E41" s="3" t="s">
        <v>90</v>
      </c>
      <c r="F41" s="3" t="s">
        <v>9</v>
      </c>
      <c r="G41" s="4">
        <v>1</v>
      </c>
      <c r="H41" s="4"/>
      <c r="I41" s="14">
        <v>18.829999999999998</v>
      </c>
    </row>
    <row r="42" spans="1:9" ht="36" hidden="1" x14ac:dyDescent="0.3">
      <c r="A42" s="13" t="s">
        <v>91</v>
      </c>
      <c r="B42" s="1"/>
      <c r="C42" s="5" t="s">
        <v>22</v>
      </c>
      <c r="D42" s="3"/>
      <c r="E42" s="3"/>
      <c r="F42" s="6" t="s">
        <v>10</v>
      </c>
      <c r="G42" s="7">
        <v>0.3</v>
      </c>
      <c r="H42" s="7"/>
      <c r="I42" s="16">
        <v>5.649</v>
      </c>
    </row>
    <row r="43" spans="1:9" ht="36" hidden="1" x14ac:dyDescent="0.3">
      <c r="A43" s="13" t="s">
        <v>92</v>
      </c>
      <c r="B43" s="1"/>
      <c r="C43" s="5" t="s">
        <v>14</v>
      </c>
      <c r="D43" s="3"/>
      <c r="E43" s="3"/>
      <c r="F43" s="6" t="s">
        <v>10</v>
      </c>
      <c r="G43" s="7">
        <v>0.15</v>
      </c>
      <c r="H43" s="7"/>
      <c r="I43" s="16">
        <v>2.8250000000000002</v>
      </c>
    </row>
    <row r="44" spans="1:9" ht="72" x14ac:dyDescent="0.3">
      <c r="A44" s="13" t="s">
        <v>93</v>
      </c>
      <c r="B44" s="1" t="s">
        <v>72</v>
      </c>
      <c r="C44" s="2" t="s">
        <v>73</v>
      </c>
      <c r="D44" s="3"/>
      <c r="E44" s="3" t="s">
        <v>94</v>
      </c>
      <c r="F44" s="3" t="s">
        <v>9</v>
      </c>
      <c r="G44" s="4">
        <v>1</v>
      </c>
      <c r="H44" s="4"/>
      <c r="I44" s="14">
        <v>57.38</v>
      </c>
    </row>
    <row r="45" spans="1:9" ht="36" hidden="1" x14ac:dyDescent="0.3">
      <c r="A45" s="13" t="s">
        <v>95</v>
      </c>
      <c r="B45" s="1"/>
      <c r="C45" s="5" t="s">
        <v>14</v>
      </c>
      <c r="D45" s="3"/>
      <c r="E45" s="3"/>
      <c r="F45" s="6" t="s">
        <v>10</v>
      </c>
      <c r="G45" s="7">
        <v>0.15</v>
      </c>
      <c r="H45" s="7"/>
      <c r="I45" s="16">
        <v>8.6069999999999993</v>
      </c>
    </row>
    <row r="46" spans="1:9" ht="36" hidden="1" x14ac:dyDescent="0.3">
      <c r="A46" s="13" t="s">
        <v>96</v>
      </c>
      <c r="B46" s="1"/>
      <c r="C46" s="5" t="s">
        <v>22</v>
      </c>
      <c r="D46" s="3"/>
      <c r="E46" s="3"/>
      <c r="F46" s="6" t="s">
        <v>10</v>
      </c>
      <c r="G46" s="7">
        <v>0.3</v>
      </c>
      <c r="H46" s="7"/>
      <c r="I46" s="16">
        <v>17.213999999999999</v>
      </c>
    </row>
    <row r="47" spans="1:9" ht="72" x14ac:dyDescent="0.3">
      <c r="A47" s="13" t="s">
        <v>97</v>
      </c>
      <c r="B47" s="1" t="s">
        <v>72</v>
      </c>
      <c r="C47" s="2" t="s">
        <v>73</v>
      </c>
      <c r="D47" s="3"/>
      <c r="E47" s="3" t="s">
        <v>98</v>
      </c>
      <c r="F47" s="3" t="s">
        <v>9</v>
      </c>
      <c r="G47" s="4">
        <v>1</v>
      </c>
      <c r="H47" s="4"/>
      <c r="I47" s="14">
        <v>57.27</v>
      </c>
    </row>
    <row r="48" spans="1:9" ht="36" hidden="1" x14ac:dyDescent="0.3">
      <c r="A48" s="13" t="s">
        <v>99</v>
      </c>
      <c r="B48" s="1"/>
      <c r="C48" s="5" t="s">
        <v>22</v>
      </c>
      <c r="D48" s="3"/>
      <c r="E48" s="3"/>
      <c r="F48" s="6" t="s">
        <v>10</v>
      </c>
      <c r="G48" s="7">
        <v>0.3</v>
      </c>
      <c r="H48" s="7"/>
      <c r="I48" s="16">
        <v>17.181000000000001</v>
      </c>
    </row>
    <row r="49" spans="1:9" ht="36" hidden="1" x14ac:dyDescent="0.3">
      <c r="A49" s="13" t="s">
        <v>100</v>
      </c>
      <c r="B49" s="1"/>
      <c r="C49" s="5" t="s">
        <v>14</v>
      </c>
      <c r="D49" s="3"/>
      <c r="E49" s="3"/>
      <c r="F49" s="6" t="s">
        <v>10</v>
      </c>
      <c r="G49" s="7">
        <v>0.15</v>
      </c>
      <c r="H49" s="7"/>
      <c r="I49" s="16">
        <v>8.5909999999999993</v>
      </c>
    </row>
    <row r="50" spans="1:9" ht="72" x14ac:dyDescent="0.3">
      <c r="A50" s="13" t="s">
        <v>101</v>
      </c>
      <c r="B50" s="1" t="s">
        <v>72</v>
      </c>
      <c r="C50" s="2" t="s">
        <v>73</v>
      </c>
      <c r="D50" s="3"/>
      <c r="E50" s="3" t="s">
        <v>102</v>
      </c>
      <c r="F50" s="3" t="s">
        <v>9</v>
      </c>
      <c r="G50" s="4">
        <v>1</v>
      </c>
      <c r="H50" s="4"/>
      <c r="I50" s="14">
        <v>28.67</v>
      </c>
    </row>
    <row r="51" spans="1:9" ht="36" hidden="1" x14ac:dyDescent="0.3">
      <c r="A51" s="13" t="s">
        <v>103</v>
      </c>
      <c r="B51" s="1"/>
      <c r="C51" s="5" t="s">
        <v>14</v>
      </c>
      <c r="D51" s="3"/>
      <c r="E51" s="3"/>
      <c r="F51" s="6" t="s">
        <v>10</v>
      </c>
      <c r="G51" s="7">
        <v>0.15</v>
      </c>
      <c r="H51" s="7"/>
      <c r="I51" s="16">
        <v>4.3010000000000002</v>
      </c>
    </row>
    <row r="52" spans="1:9" ht="36" hidden="1" x14ac:dyDescent="0.3">
      <c r="A52" s="13" t="s">
        <v>104</v>
      </c>
      <c r="B52" s="1"/>
      <c r="C52" s="5" t="s">
        <v>22</v>
      </c>
      <c r="D52" s="3"/>
      <c r="E52" s="3"/>
      <c r="F52" s="6" t="s">
        <v>10</v>
      </c>
      <c r="G52" s="7">
        <v>0.3</v>
      </c>
      <c r="H52" s="7"/>
      <c r="I52" s="16">
        <v>8.6010000000000009</v>
      </c>
    </row>
    <row r="53" spans="1:9" ht="72" x14ac:dyDescent="0.3">
      <c r="A53" s="13" t="s">
        <v>105</v>
      </c>
      <c r="B53" s="1" t="s">
        <v>72</v>
      </c>
      <c r="C53" s="2" t="s">
        <v>73</v>
      </c>
      <c r="D53" s="3"/>
      <c r="E53" s="3" t="s">
        <v>106</v>
      </c>
      <c r="F53" s="3" t="s">
        <v>9</v>
      </c>
      <c r="G53" s="4">
        <v>1</v>
      </c>
      <c r="H53" s="4"/>
      <c r="I53" s="14">
        <v>4293.76</v>
      </c>
    </row>
    <row r="54" spans="1:9" ht="36" hidden="1" x14ac:dyDescent="0.3">
      <c r="A54" s="13" t="s">
        <v>107</v>
      </c>
      <c r="B54" s="1"/>
      <c r="C54" s="5" t="s">
        <v>22</v>
      </c>
      <c r="D54" s="3"/>
      <c r="E54" s="3"/>
      <c r="F54" s="6" t="s">
        <v>10</v>
      </c>
      <c r="G54" s="7">
        <v>0.3</v>
      </c>
      <c r="H54" s="7"/>
      <c r="I54" s="16">
        <v>1288.1279999999999</v>
      </c>
    </row>
    <row r="55" spans="1:9" ht="36" hidden="1" x14ac:dyDescent="0.3">
      <c r="A55" s="13" t="s">
        <v>108</v>
      </c>
      <c r="B55" s="1"/>
      <c r="C55" s="5" t="s">
        <v>14</v>
      </c>
      <c r="D55" s="3"/>
      <c r="E55" s="3"/>
      <c r="F55" s="6" t="s">
        <v>10</v>
      </c>
      <c r="G55" s="7">
        <v>0.15</v>
      </c>
      <c r="H55" s="7"/>
      <c r="I55" s="16">
        <v>644.06399999999996</v>
      </c>
    </row>
    <row r="56" spans="1:9" ht="72" x14ac:dyDescent="0.3">
      <c r="A56" s="13" t="s">
        <v>109</v>
      </c>
      <c r="B56" s="1" t="s">
        <v>72</v>
      </c>
      <c r="C56" s="2" t="s">
        <v>73</v>
      </c>
      <c r="D56" s="3"/>
      <c r="E56" s="3" t="s">
        <v>110</v>
      </c>
      <c r="F56" s="3" t="s">
        <v>9</v>
      </c>
      <c r="G56" s="4">
        <v>1</v>
      </c>
      <c r="H56" s="4"/>
      <c r="I56" s="14">
        <v>355.1</v>
      </c>
    </row>
    <row r="57" spans="1:9" ht="36" hidden="1" x14ac:dyDescent="0.3">
      <c r="A57" s="13" t="s">
        <v>111</v>
      </c>
      <c r="B57" s="1"/>
      <c r="C57" s="5" t="s">
        <v>14</v>
      </c>
      <c r="D57" s="3"/>
      <c r="E57" s="3"/>
      <c r="F57" s="6" t="s">
        <v>10</v>
      </c>
      <c r="G57" s="7">
        <v>0.15</v>
      </c>
      <c r="H57" s="7"/>
      <c r="I57" s="16">
        <v>53.265000000000001</v>
      </c>
    </row>
    <row r="58" spans="1:9" ht="36" hidden="1" x14ac:dyDescent="0.3">
      <c r="A58" s="13" t="s">
        <v>112</v>
      </c>
      <c r="B58" s="1"/>
      <c r="C58" s="5" t="s">
        <v>22</v>
      </c>
      <c r="D58" s="3"/>
      <c r="E58" s="3"/>
      <c r="F58" s="6" t="s">
        <v>10</v>
      </c>
      <c r="G58" s="7">
        <v>0.3</v>
      </c>
      <c r="H58" s="7"/>
      <c r="I58" s="16">
        <v>106.53</v>
      </c>
    </row>
    <row r="59" spans="1:9" ht="54" x14ac:dyDescent="0.3">
      <c r="A59" s="13" t="s">
        <v>113</v>
      </c>
      <c r="B59" s="1" t="s">
        <v>72</v>
      </c>
      <c r="C59" s="2" t="s">
        <v>73</v>
      </c>
      <c r="D59" s="3"/>
      <c r="E59" s="3" t="s">
        <v>114</v>
      </c>
      <c r="F59" s="3" t="s">
        <v>9</v>
      </c>
      <c r="G59" s="4">
        <v>1</v>
      </c>
      <c r="H59" s="4"/>
      <c r="I59" s="14">
        <v>3797.28</v>
      </c>
    </row>
    <row r="60" spans="1:9" ht="36" hidden="1" x14ac:dyDescent="0.3">
      <c r="A60" s="13" t="s">
        <v>115</v>
      </c>
      <c r="B60" s="1"/>
      <c r="C60" s="5" t="s">
        <v>22</v>
      </c>
      <c r="D60" s="3"/>
      <c r="E60" s="3"/>
      <c r="F60" s="6" t="s">
        <v>10</v>
      </c>
      <c r="G60" s="7">
        <v>0.3</v>
      </c>
      <c r="H60" s="7"/>
      <c r="I60" s="16">
        <v>1139.184</v>
      </c>
    </row>
    <row r="61" spans="1:9" ht="36" hidden="1" x14ac:dyDescent="0.3">
      <c r="A61" s="13" t="s">
        <v>116</v>
      </c>
      <c r="B61" s="1"/>
      <c r="C61" s="5" t="s">
        <v>14</v>
      </c>
      <c r="D61" s="3"/>
      <c r="E61" s="3"/>
      <c r="F61" s="6" t="s">
        <v>10</v>
      </c>
      <c r="G61" s="7">
        <v>0.15</v>
      </c>
      <c r="H61" s="7"/>
      <c r="I61" s="16">
        <v>569.59199999999998</v>
      </c>
    </row>
    <row r="62" spans="1:9" ht="16.95" hidden="1" customHeight="1" x14ac:dyDescent="0.3">
      <c r="A62" s="13" t="s">
        <v>117</v>
      </c>
      <c r="B62" s="1" t="s">
        <v>118</v>
      </c>
      <c r="C62" s="10" t="s">
        <v>119</v>
      </c>
      <c r="D62" s="11"/>
      <c r="E62" s="11"/>
      <c r="F62" s="11"/>
      <c r="G62" s="11"/>
      <c r="H62" s="11"/>
      <c r="I62" s="11"/>
    </row>
    <row r="63" spans="1:9" ht="54" hidden="1" x14ac:dyDescent="0.3">
      <c r="A63" s="13" t="s">
        <v>120</v>
      </c>
      <c r="B63" s="1" t="s">
        <v>121</v>
      </c>
      <c r="C63" s="2" t="s">
        <v>122</v>
      </c>
      <c r="D63" s="3"/>
      <c r="E63" s="3"/>
      <c r="F63" s="3" t="s">
        <v>9</v>
      </c>
      <c r="G63" s="4">
        <v>1</v>
      </c>
      <c r="H63" s="4"/>
      <c r="I63" s="14">
        <v>7535.57</v>
      </c>
    </row>
    <row r="64" spans="1:9" ht="36" hidden="1" x14ac:dyDescent="0.3">
      <c r="A64" s="13" t="s">
        <v>123</v>
      </c>
      <c r="B64" s="1" t="s">
        <v>124</v>
      </c>
      <c r="C64" s="2" t="s">
        <v>125</v>
      </c>
      <c r="D64" s="3"/>
      <c r="E64" s="3"/>
      <c r="F64" s="3" t="s">
        <v>9</v>
      </c>
      <c r="G64" s="4">
        <v>1</v>
      </c>
      <c r="H64" s="4"/>
      <c r="I64" s="14">
        <v>3219.96</v>
      </c>
    </row>
    <row r="65" spans="1:9" ht="198" x14ac:dyDescent="0.3">
      <c r="A65" s="13" t="s">
        <v>126</v>
      </c>
      <c r="B65" s="1"/>
      <c r="C65" s="5" t="s">
        <v>127</v>
      </c>
      <c r="D65" s="3"/>
      <c r="E65" s="3" t="s">
        <v>128</v>
      </c>
      <c r="F65" s="6" t="s">
        <v>9</v>
      </c>
      <c r="G65" s="7">
        <v>1</v>
      </c>
      <c r="H65" s="7"/>
      <c r="I65" s="16">
        <v>3219.96</v>
      </c>
    </row>
    <row r="66" spans="1:9" ht="36" x14ac:dyDescent="0.3">
      <c r="A66" s="13" t="s">
        <v>129</v>
      </c>
      <c r="B66" s="1" t="s">
        <v>124</v>
      </c>
      <c r="C66" s="2" t="s">
        <v>125</v>
      </c>
      <c r="D66" s="3"/>
      <c r="E66" s="3" t="s">
        <v>130</v>
      </c>
      <c r="F66" s="3" t="s">
        <v>9</v>
      </c>
      <c r="G66" s="4">
        <v>1</v>
      </c>
      <c r="H66" s="4"/>
      <c r="I66" s="14">
        <v>147.91</v>
      </c>
    </row>
    <row r="67" spans="1:9" ht="72" hidden="1" x14ac:dyDescent="0.3">
      <c r="A67" s="13" t="s">
        <v>131</v>
      </c>
      <c r="B67" s="1"/>
      <c r="C67" s="5" t="s">
        <v>127</v>
      </c>
      <c r="D67" s="3"/>
      <c r="E67" s="3" t="s">
        <v>132</v>
      </c>
      <c r="F67" s="6" t="s">
        <v>9</v>
      </c>
      <c r="G67" s="7">
        <v>1</v>
      </c>
      <c r="H67" s="7"/>
      <c r="I67" s="16">
        <v>147.91</v>
      </c>
    </row>
    <row r="68" spans="1:9" ht="36" x14ac:dyDescent="0.3">
      <c r="A68" s="13" t="s">
        <v>133</v>
      </c>
      <c r="B68" s="1" t="s">
        <v>124</v>
      </c>
      <c r="C68" s="2" t="s">
        <v>125</v>
      </c>
      <c r="D68" s="3"/>
      <c r="E68" s="3" t="s">
        <v>134</v>
      </c>
      <c r="F68" s="3" t="s">
        <v>9</v>
      </c>
      <c r="G68" s="4">
        <v>1</v>
      </c>
      <c r="H68" s="4"/>
      <c r="I68" s="14">
        <v>144.66999999999999</v>
      </c>
    </row>
    <row r="69" spans="1:9" ht="72" hidden="1" x14ac:dyDescent="0.3">
      <c r="A69" s="13" t="s">
        <v>135</v>
      </c>
      <c r="B69" s="1"/>
      <c r="C69" s="5" t="s">
        <v>127</v>
      </c>
      <c r="D69" s="3"/>
      <c r="E69" s="3" t="s">
        <v>136</v>
      </c>
      <c r="F69" s="6" t="s">
        <v>9</v>
      </c>
      <c r="G69" s="7">
        <v>1</v>
      </c>
      <c r="H69" s="7"/>
      <c r="I69" s="16">
        <v>144.66999999999999</v>
      </c>
    </row>
    <row r="70" spans="1:9" ht="36" x14ac:dyDescent="0.3">
      <c r="A70" s="13" t="s">
        <v>137</v>
      </c>
      <c r="B70" s="1" t="s">
        <v>124</v>
      </c>
      <c r="C70" s="2" t="s">
        <v>125</v>
      </c>
      <c r="D70" s="3"/>
      <c r="E70" s="3" t="s">
        <v>138</v>
      </c>
      <c r="F70" s="3" t="s">
        <v>9</v>
      </c>
      <c r="G70" s="4">
        <v>1</v>
      </c>
      <c r="H70" s="4"/>
      <c r="I70" s="14">
        <v>144.31</v>
      </c>
    </row>
    <row r="71" spans="1:9" ht="72" hidden="1" x14ac:dyDescent="0.3">
      <c r="A71" s="13" t="s">
        <v>139</v>
      </c>
      <c r="B71" s="1"/>
      <c r="C71" s="5" t="s">
        <v>127</v>
      </c>
      <c r="D71" s="3"/>
      <c r="E71" s="3" t="s">
        <v>136</v>
      </c>
      <c r="F71" s="6" t="s">
        <v>9</v>
      </c>
      <c r="G71" s="7">
        <v>1</v>
      </c>
      <c r="H71" s="7"/>
      <c r="I71" s="16">
        <v>144.31</v>
      </c>
    </row>
    <row r="72" spans="1:9" ht="36" x14ac:dyDescent="0.3">
      <c r="A72" s="13" t="s">
        <v>140</v>
      </c>
      <c r="B72" s="1" t="s">
        <v>124</v>
      </c>
      <c r="C72" s="2" t="s">
        <v>125</v>
      </c>
      <c r="D72" s="3"/>
      <c r="E72" s="3" t="s">
        <v>141</v>
      </c>
      <c r="F72" s="3" t="s">
        <v>9</v>
      </c>
      <c r="G72" s="4">
        <v>1</v>
      </c>
      <c r="H72" s="4"/>
      <c r="I72" s="14">
        <v>802.27</v>
      </c>
    </row>
    <row r="73" spans="1:9" ht="72" hidden="1" x14ac:dyDescent="0.3">
      <c r="A73" s="13" t="s">
        <v>142</v>
      </c>
      <c r="B73" s="1"/>
      <c r="C73" s="5" t="s">
        <v>127</v>
      </c>
      <c r="D73" s="3"/>
      <c r="E73" s="3" t="s">
        <v>143</v>
      </c>
      <c r="F73" s="6" t="s">
        <v>9</v>
      </c>
      <c r="G73" s="7">
        <v>1</v>
      </c>
      <c r="H73" s="7"/>
      <c r="I73" s="16">
        <v>802.27</v>
      </c>
    </row>
    <row r="74" spans="1:9" ht="36" x14ac:dyDescent="0.3">
      <c r="A74" s="13" t="s">
        <v>144</v>
      </c>
      <c r="B74" s="1" t="s">
        <v>124</v>
      </c>
      <c r="C74" s="2" t="s">
        <v>125</v>
      </c>
      <c r="D74" s="3"/>
      <c r="E74" s="3" t="s">
        <v>145</v>
      </c>
      <c r="F74" s="3" t="s">
        <v>9</v>
      </c>
      <c r="G74" s="4">
        <v>1</v>
      </c>
      <c r="H74" s="4"/>
      <c r="I74" s="14">
        <v>143.38999999999999</v>
      </c>
    </row>
    <row r="75" spans="1:9" ht="72" hidden="1" x14ac:dyDescent="0.3">
      <c r="A75" s="13" t="s">
        <v>146</v>
      </c>
      <c r="B75" s="1"/>
      <c r="C75" s="5" t="s">
        <v>127</v>
      </c>
      <c r="D75" s="3"/>
      <c r="E75" s="3" t="s">
        <v>147</v>
      </c>
      <c r="F75" s="6" t="s">
        <v>9</v>
      </c>
      <c r="G75" s="7">
        <v>1</v>
      </c>
      <c r="H75" s="7"/>
      <c r="I75" s="16">
        <v>143.38999999999999</v>
      </c>
    </row>
    <row r="76" spans="1:9" ht="36" x14ac:dyDescent="0.3">
      <c r="A76" s="13" t="s">
        <v>148</v>
      </c>
      <c r="B76" s="1" t="s">
        <v>124</v>
      </c>
      <c r="C76" s="2" t="s">
        <v>125</v>
      </c>
      <c r="D76" s="3"/>
      <c r="E76" s="3" t="s">
        <v>149</v>
      </c>
      <c r="F76" s="3" t="s">
        <v>9</v>
      </c>
      <c r="G76" s="4">
        <v>1</v>
      </c>
      <c r="H76" s="4"/>
      <c r="I76" s="14">
        <v>144.66999999999999</v>
      </c>
    </row>
    <row r="77" spans="1:9" ht="72" hidden="1" x14ac:dyDescent="0.3">
      <c r="A77" s="13" t="s">
        <v>150</v>
      </c>
      <c r="B77" s="1"/>
      <c r="C77" s="5" t="s">
        <v>127</v>
      </c>
      <c r="D77" s="3"/>
      <c r="E77" s="3" t="s">
        <v>151</v>
      </c>
      <c r="F77" s="6" t="s">
        <v>9</v>
      </c>
      <c r="G77" s="7">
        <v>1</v>
      </c>
      <c r="H77" s="7"/>
      <c r="I77" s="16">
        <v>144.66999999999999</v>
      </c>
    </row>
    <row r="78" spans="1:9" ht="36" x14ac:dyDescent="0.3">
      <c r="A78" s="13" t="s">
        <v>152</v>
      </c>
      <c r="B78" s="1" t="s">
        <v>124</v>
      </c>
      <c r="C78" s="2" t="s">
        <v>125</v>
      </c>
      <c r="D78" s="3"/>
      <c r="E78" s="3" t="s">
        <v>153</v>
      </c>
      <c r="F78" s="3" t="s">
        <v>9</v>
      </c>
      <c r="G78" s="4">
        <v>1</v>
      </c>
      <c r="H78" s="4"/>
      <c r="I78" s="14">
        <v>144.31</v>
      </c>
    </row>
    <row r="79" spans="1:9" ht="72" hidden="1" x14ac:dyDescent="0.3">
      <c r="A79" s="13" t="s">
        <v>154</v>
      </c>
      <c r="B79" s="1"/>
      <c r="C79" s="5" t="s">
        <v>127</v>
      </c>
      <c r="D79" s="3"/>
      <c r="E79" s="3" t="s">
        <v>151</v>
      </c>
      <c r="F79" s="6" t="s">
        <v>9</v>
      </c>
      <c r="G79" s="7">
        <v>1</v>
      </c>
      <c r="H79" s="7"/>
      <c r="I79" s="16">
        <v>144.31</v>
      </c>
    </row>
    <row r="80" spans="1:9" ht="36" x14ac:dyDescent="0.3">
      <c r="A80" s="13" t="s">
        <v>155</v>
      </c>
      <c r="B80" s="1" t="s">
        <v>124</v>
      </c>
      <c r="C80" s="2" t="s">
        <v>125</v>
      </c>
      <c r="D80" s="3"/>
      <c r="E80" s="3" t="s">
        <v>156</v>
      </c>
      <c r="F80" s="3" t="s">
        <v>9</v>
      </c>
      <c r="G80" s="4">
        <v>1</v>
      </c>
      <c r="H80" s="4"/>
      <c r="I80" s="14">
        <v>802.41</v>
      </c>
    </row>
    <row r="81" spans="1:9" ht="72" hidden="1" x14ac:dyDescent="0.3">
      <c r="A81" s="13" t="s">
        <v>157</v>
      </c>
      <c r="B81" s="1"/>
      <c r="C81" s="5" t="s">
        <v>127</v>
      </c>
      <c r="D81" s="3"/>
      <c r="E81" s="3" t="s">
        <v>158</v>
      </c>
      <c r="F81" s="6" t="s">
        <v>9</v>
      </c>
      <c r="G81" s="7">
        <v>1</v>
      </c>
      <c r="H81" s="7"/>
      <c r="I81" s="16">
        <v>802.41</v>
      </c>
    </row>
    <row r="82" spans="1:9" ht="36" x14ac:dyDescent="0.3">
      <c r="A82" s="13" t="s">
        <v>159</v>
      </c>
      <c r="B82" s="1" t="s">
        <v>124</v>
      </c>
      <c r="C82" s="2" t="s">
        <v>125</v>
      </c>
      <c r="D82" s="3"/>
      <c r="E82" s="3" t="s">
        <v>160</v>
      </c>
      <c r="F82" s="3" t="s">
        <v>9</v>
      </c>
      <c r="G82" s="4">
        <v>1</v>
      </c>
      <c r="H82" s="4"/>
      <c r="I82" s="14">
        <v>236.15</v>
      </c>
    </row>
    <row r="83" spans="1:9" ht="90" hidden="1" x14ac:dyDescent="0.3">
      <c r="A83" s="13" t="s">
        <v>161</v>
      </c>
      <c r="B83" s="1"/>
      <c r="C83" s="5" t="s">
        <v>127</v>
      </c>
      <c r="D83" s="3"/>
      <c r="E83" s="3" t="s">
        <v>162</v>
      </c>
      <c r="F83" s="6" t="s">
        <v>9</v>
      </c>
      <c r="G83" s="7">
        <v>1</v>
      </c>
      <c r="H83" s="7"/>
      <c r="I83" s="16">
        <v>236.15</v>
      </c>
    </row>
    <row r="84" spans="1:9" ht="36" x14ac:dyDescent="0.3">
      <c r="A84" s="13" t="s">
        <v>163</v>
      </c>
      <c r="B84" s="1" t="s">
        <v>124</v>
      </c>
      <c r="C84" s="2" t="s">
        <v>125</v>
      </c>
      <c r="D84" s="3"/>
      <c r="E84" s="3" t="s">
        <v>164</v>
      </c>
      <c r="F84" s="3" t="s">
        <v>9</v>
      </c>
      <c r="G84" s="4">
        <v>1</v>
      </c>
      <c r="H84" s="4"/>
      <c r="I84" s="14">
        <v>286.12</v>
      </c>
    </row>
    <row r="85" spans="1:9" ht="90" hidden="1" x14ac:dyDescent="0.3">
      <c r="A85" s="13" t="s">
        <v>165</v>
      </c>
      <c r="B85" s="1"/>
      <c r="C85" s="5" t="s">
        <v>127</v>
      </c>
      <c r="D85" s="3"/>
      <c r="E85" s="3" t="s">
        <v>166</v>
      </c>
      <c r="F85" s="6" t="s">
        <v>9</v>
      </c>
      <c r="G85" s="7">
        <v>1</v>
      </c>
      <c r="H85" s="7"/>
      <c r="I85" s="16">
        <v>286.12</v>
      </c>
    </row>
    <row r="86" spans="1:9" ht="54" hidden="1" x14ac:dyDescent="0.3">
      <c r="A86" s="13" t="s">
        <v>167</v>
      </c>
      <c r="B86" s="1" t="s">
        <v>168</v>
      </c>
      <c r="C86" s="2" t="s">
        <v>169</v>
      </c>
      <c r="D86" s="3"/>
      <c r="E86" s="3" t="s">
        <v>170</v>
      </c>
      <c r="F86" s="3" t="s">
        <v>9</v>
      </c>
      <c r="G86" s="4">
        <v>1</v>
      </c>
      <c r="H86" s="4"/>
      <c r="I86" s="14">
        <v>37.6</v>
      </c>
    </row>
    <row r="87" spans="1:9" ht="18" hidden="1" x14ac:dyDescent="0.3">
      <c r="A87" s="13" t="s">
        <v>171</v>
      </c>
      <c r="B87" s="1"/>
      <c r="C87" s="5" t="s">
        <v>172</v>
      </c>
      <c r="D87" s="3"/>
      <c r="E87" s="3"/>
      <c r="F87" s="6" t="s">
        <v>10</v>
      </c>
      <c r="G87" s="7">
        <v>0.35</v>
      </c>
      <c r="H87" s="7"/>
      <c r="I87" s="16">
        <v>13.16</v>
      </c>
    </row>
    <row r="88" spans="1:9" ht="18" hidden="1" x14ac:dyDescent="0.3">
      <c r="A88" s="13" t="s">
        <v>173</v>
      </c>
      <c r="B88" s="1"/>
      <c r="C88" s="5" t="s">
        <v>174</v>
      </c>
      <c r="D88" s="3"/>
      <c r="E88" s="3"/>
      <c r="F88" s="6" t="s">
        <v>11</v>
      </c>
      <c r="G88" s="7">
        <v>0.3</v>
      </c>
      <c r="H88" s="7"/>
      <c r="I88" s="16">
        <v>11.28</v>
      </c>
    </row>
    <row r="89" spans="1:9" ht="36" hidden="1" x14ac:dyDescent="0.3">
      <c r="A89" s="13" t="s">
        <v>175</v>
      </c>
      <c r="B89" s="1"/>
      <c r="C89" s="8" t="s">
        <v>176</v>
      </c>
      <c r="D89" s="3"/>
      <c r="E89" s="3"/>
      <c r="F89" s="6" t="s">
        <v>11</v>
      </c>
      <c r="G89" s="7">
        <v>3.6</v>
      </c>
      <c r="H89" s="7"/>
      <c r="I89" s="16">
        <v>135.36000000000001</v>
      </c>
    </row>
    <row r="90" spans="1:9" ht="18" hidden="1" x14ac:dyDescent="0.3">
      <c r="A90" s="13" t="s">
        <v>177</v>
      </c>
      <c r="B90" s="1"/>
      <c r="C90" s="5" t="s">
        <v>178</v>
      </c>
      <c r="D90" s="3"/>
      <c r="E90" s="3"/>
      <c r="F90" s="6" t="s">
        <v>11</v>
      </c>
      <c r="G90" s="7">
        <v>30</v>
      </c>
      <c r="H90" s="7"/>
      <c r="I90" s="16">
        <v>1128</v>
      </c>
    </row>
    <row r="91" spans="1:9" ht="36" hidden="1" x14ac:dyDescent="0.3">
      <c r="A91" s="13" t="s">
        <v>179</v>
      </c>
      <c r="B91" s="1"/>
      <c r="C91" s="5" t="s">
        <v>180</v>
      </c>
      <c r="D91" s="3"/>
      <c r="E91" s="3"/>
      <c r="F91" s="6" t="s">
        <v>9</v>
      </c>
      <c r="G91" s="7">
        <v>2.0499999999999998</v>
      </c>
      <c r="H91" s="7"/>
      <c r="I91" s="16">
        <v>77.08</v>
      </c>
    </row>
    <row r="92" spans="1:9" ht="18" hidden="1" x14ac:dyDescent="0.3">
      <c r="A92" s="13" t="s">
        <v>181</v>
      </c>
      <c r="B92" s="1"/>
      <c r="C92" s="5" t="s">
        <v>182</v>
      </c>
      <c r="D92" s="3"/>
      <c r="E92" s="3"/>
      <c r="F92" s="6" t="s">
        <v>11</v>
      </c>
      <c r="G92" s="7">
        <v>15</v>
      </c>
      <c r="H92" s="7"/>
      <c r="I92" s="16">
        <v>564</v>
      </c>
    </row>
    <row r="93" spans="1:9" ht="18" hidden="1" x14ac:dyDescent="0.3">
      <c r="A93" s="13" t="s">
        <v>183</v>
      </c>
      <c r="B93" s="1"/>
      <c r="C93" s="5" t="s">
        <v>184</v>
      </c>
      <c r="D93" s="3"/>
      <c r="E93" s="3"/>
      <c r="F93" s="6" t="s">
        <v>12</v>
      </c>
      <c r="G93" s="7">
        <v>1.25</v>
      </c>
      <c r="H93" s="7"/>
      <c r="I93" s="16">
        <v>47</v>
      </c>
    </row>
    <row r="94" spans="1:9" ht="18" hidden="1" x14ac:dyDescent="0.3">
      <c r="A94" s="13" t="s">
        <v>185</v>
      </c>
      <c r="B94" s="1"/>
      <c r="C94" s="5" t="s">
        <v>186</v>
      </c>
      <c r="D94" s="3"/>
      <c r="E94" s="3"/>
      <c r="F94" s="6" t="s">
        <v>11</v>
      </c>
      <c r="G94" s="7">
        <v>0.75</v>
      </c>
      <c r="H94" s="7"/>
      <c r="I94" s="16">
        <v>28.2</v>
      </c>
    </row>
    <row r="95" spans="1:9" ht="18" hidden="1" x14ac:dyDescent="0.3">
      <c r="A95" s="13" t="s">
        <v>187</v>
      </c>
      <c r="B95" s="1"/>
      <c r="C95" s="5" t="s">
        <v>188</v>
      </c>
      <c r="D95" s="3"/>
      <c r="E95" s="3"/>
      <c r="F95" s="6" t="s">
        <v>12</v>
      </c>
      <c r="G95" s="7">
        <v>4.7</v>
      </c>
      <c r="H95" s="7"/>
      <c r="I95" s="16">
        <v>176.72</v>
      </c>
    </row>
    <row r="96" spans="1:9" ht="18" hidden="1" x14ac:dyDescent="0.3">
      <c r="A96" s="13" t="s">
        <v>189</v>
      </c>
      <c r="B96" s="1"/>
      <c r="C96" s="8" t="s">
        <v>190</v>
      </c>
      <c r="D96" s="3"/>
      <c r="E96" s="3"/>
      <c r="F96" s="6" t="s">
        <v>11</v>
      </c>
      <c r="G96" s="7">
        <v>4.2</v>
      </c>
      <c r="H96" s="7"/>
      <c r="I96" s="16">
        <v>157.91999999999999</v>
      </c>
    </row>
    <row r="97" spans="1:9" ht="36" hidden="1" x14ac:dyDescent="0.3">
      <c r="A97" s="13" t="s">
        <v>191</v>
      </c>
      <c r="B97" s="1" t="s">
        <v>168</v>
      </c>
      <c r="C97" s="2" t="s">
        <v>169</v>
      </c>
      <c r="D97" s="3"/>
      <c r="E97" s="3" t="s">
        <v>192</v>
      </c>
      <c r="F97" s="3" t="s">
        <v>9</v>
      </c>
      <c r="G97" s="4">
        <v>1</v>
      </c>
      <c r="H97" s="4"/>
      <c r="I97" s="14">
        <v>624.6</v>
      </c>
    </row>
    <row r="98" spans="1:9" ht="18" hidden="1" x14ac:dyDescent="0.3">
      <c r="A98" s="13" t="s">
        <v>193</v>
      </c>
      <c r="B98" s="1"/>
      <c r="C98" s="8" t="s">
        <v>190</v>
      </c>
      <c r="D98" s="3"/>
      <c r="E98" s="3"/>
      <c r="F98" s="6" t="s">
        <v>11</v>
      </c>
      <c r="G98" s="7">
        <v>4.2</v>
      </c>
      <c r="H98" s="7"/>
      <c r="I98" s="16">
        <v>2623.32</v>
      </c>
    </row>
    <row r="99" spans="1:9" ht="18" hidden="1" x14ac:dyDescent="0.3">
      <c r="A99" s="13" t="s">
        <v>194</v>
      </c>
      <c r="B99" s="1"/>
      <c r="C99" s="5" t="s">
        <v>188</v>
      </c>
      <c r="D99" s="3"/>
      <c r="E99" s="3"/>
      <c r="F99" s="6" t="s">
        <v>12</v>
      </c>
      <c r="G99" s="7">
        <v>4.7</v>
      </c>
      <c r="H99" s="7"/>
      <c r="I99" s="16">
        <v>2935.62</v>
      </c>
    </row>
    <row r="100" spans="1:9" ht="36" hidden="1" x14ac:dyDescent="0.3">
      <c r="A100" s="13" t="s">
        <v>195</v>
      </c>
      <c r="B100" s="1"/>
      <c r="C100" s="5" t="s">
        <v>196</v>
      </c>
      <c r="D100" s="3"/>
      <c r="E100" s="3"/>
      <c r="F100" s="6" t="s">
        <v>9</v>
      </c>
      <c r="G100" s="7">
        <v>2.0499999999999998</v>
      </c>
      <c r="H100" s="7"/>
      <c r="I100" s="16">
        <v>1280.43</v>
      </c>
    </row>
    <row r="101" spans="1:9" ht="18" hidden="1" x14ac:dyDescent="0.3">
      <c r="A101" s="13" t="s">
        <v>197</v>
      </c>
      <c r="B101" s="1"/>
      <c r="C101" s="5" t="s">
        <v>186</v>
      </c>
      <c r="D101" s="3"/>
      <c r="E101" s="3"/>
      <c r="F101" s="6" t="s">
        <v>11</v>
      </c>
      <c r="G101" s="7">
        <v>0.75</v>
      </c>
      <c r="H101" s="7"/>
      <c r="I101" s="16">
        <v>468.45</v>
      </c>
    </row>
    <row r="102" spans="1:9" ht="18" hidden="1" x14ac:dyDescent="0.3">
      <c r="A102" s="13" t="s">
        <v>198</v>
      </c>
      <c r="B102" s="1"/>
      <c r="C102" s="5" t="s">
        <v>184</v>
      </c>
      <c r="D102" s="3"/>
      <c r="E102" s="3"/>
      <c r="F102" s="6" t="s">
        <v>12</v>
      </c>
      <c r="G102" s="7">
        <v>1.25</v>
      </c>
      <c r="H102" s="7"/>
      <c r="I102" s="16">
        <v>780.75</v>
      </c>
    </row>
    <row r="103" spans="1:9" ht="18" hidden="1" x14ac:dyDescent="0.3">
      <c r="A103" s="13" t="s">
        <v>199</v>
      </c>
      <c r="B103" s="1"/>
      <c r="C103" s="5" t="s">
        <v>182</v>
      </c>
      <c r="D103" s="3"/>
      <c r="E103" s="3"/>
      <c r="F103" s="6" t="s">
        <v>11</v>
      </c>
      <c r="G103" s="7">
        <v>15</v>
      </c>
      <c r="H103" s="7"/>
      <c r="I103" s="16">
        <v>9369</v>
      </c>
    </row>
    <row r="104" spans="1:9" ht="18" hidden="1" x14ac:dyDescent="0.3">
      <c r="A104" s="13" t="s">
        <v>200</v>
      </c>
      <c r="B104" s="1"/>
      <c r="C104" s="5" t="s">
        <v>178</v>
      </c>
      <c r="D104" s="3"/>
      <c r="E104" s="3"/>
      <c r="F104" s="6" t="s">
        <v>11</v>
      </c>
      <c r="G104" s="7">
        <v>30</v>
      </c>
      <c r="H104" s="7"/>
      <c r="I104" s="16">
        <v>18738</v>
      </c>
    </row>
    <row r="105" spans="1:9" ht="36" hidden="1" x14ac:dyDescent="0.3">
      <c r="A105" s="13" t="s">
        <v>201</v>
      </c>
      <c r="B105" s="1"/>
      <c r="C105" s="8" t="s">
        <v>176</v>
      </c>
      <c r="D105" s="3"/>
      <c r="E105" s="3"/>
      <c r="F105" s="6" t="s">
        <v>11</v>
      </c>
      <c r="G105" s="7">
        <v>3.6</v>
      </c>
      <c r="H105" s="7"/>
      <c r="I105" s="16">
        <v>2248.56</v>
      </c>
    </row>
    <row r="106" spans="1:9" ht="18" hidden="1" x14ac:dyDescent="0.3">
      <c r="A106" s="13" t="s">
        <v>202</v>
      </c>
      <c r="B106" s="1"/>
      <c r="C106" s="5" t="s">
        <v>174</v>
      </c>
      <c r="D106" s="3"/>
      <c r="E106" s="3"/>
      <c r="F106" s="6" t="s">
        <v>11</v>
      </c>
      <c r="G106" s="7">
        <v>0.3</v>
      </c>
      <c r="H106" s="7"/>
      <c r="I106" s="16">
        <v>187.38</v>
      </c>
    </row>
    <row r="107" spans="1:9" ht="18" hidden="1" x14ac:dyDescent="0.3">
      <c r="A107" s="13" t="s">
        <v>203</v>
      </c>
      <c r="B107" s="1"/>
      <c r="C107" s="5" t="s">
        <v>172</v>
      </c>
      <c r="D107" s="3"/>
      <c r="E107" s="3"/>
      <c r="F107" s="6" t="s">
        <v>10</v>
      </c>
      <c r="G107" s="7">
        <v>0.35</v>
      </c>
      <c r="H107" s="7"/>
      <c r="I107" s="16">
        <v>218.61</v>
      </c>
    </row>
    <row r="108" spans="1:9" ht="36" hidden="1" x14ac:dyDescent="0.3">
      <c r="A108" s="13" t="s">
        <v>204</v>
      </c>
      <c r="B108" s="1" t="s">
        <v>205</v>
      </c>
      <c r="C108" s="2" t="s">
        <v>206</v>
      </c>
      <c r="D108" s="3"/>
      <c r="E108" s="3"/>
      <c r="F108" s="3" t="s">
        <v>9</v>
      </c>
      <c r="G108" s="4">
        <v>1</v>
      </c>
      <c r="H108" s="4"/>
      <c r="I108" s="14">
        <v>638.57000000000005</v>
      </c>
    </row>
    <row r="109" spans="1:9" ht="54" hidden="1" x14ac:dyDescent="0.3">
      <c r="A109" s="13" t="s">
        <v>207</v>
      </c>
      <c r="B109" s="1"/>
      <c r="C109" s="8" t="s">
        <v>208</v>
      </c>
      <c r="D109" s="3"/>
      <c r="E109" s="3" t="s">
        <v>209</v>
      </c>
      <c r="F109" s="6" t="s">
        <v>9</v>
      </c>
      <c r="G109" s="7">
        <v>1.1000000000000001</v>
      </c>
      <c r="H109" s="9"/>
      <c r="I109" s="15">
        <v>702.42700000000002</v>
      </c>
    </row>
    <row r="110" spans="1:9" ht="36" x14ac:dyDescent="0.3">
      <c r="A110" s="13" t="s">
        <v>210</v>
      </c>
      <c r="B110" s="1" t="s">
        <v>205</v>
      </c>
      <c r="C110" s="2" t="s">
        <v>206</v>
      </c>
      <c r="D110" s="3"/>
      <c r="E110" s="3" t="s">
        <v>211</v>
      </c>
      <c r="F110" s="3" t="s">
        <v>9</v>
      </c>
      <c r="G110" s="4">
        <v>1</v>
      </c>
      <c r="H110" s="4"/>
      <c r="I110" s="14">
        <v>163.30000000000001</v>
      </c>
    </row>
    <row r="111" spans="1:9" ht="126" hidden="1" x14ac:dyDescent="0.3">
      <c r="A111" s="19" t="s">
        <v>212</v>
      </c>
      <c r="B111" s="20"/>
      <c r="C111" s="21" t="s">
        <v>213</v>
      </c>
      <c r="D111" s="22"/>
      <c r="E111" s="22" t="s">
        <v>214</v>
      </c>
      <c r="F111" s="23" t="s">
        <v>9</v>
      </c>
      <c r="G111" s="24">
        <v>1</v>
      </c>
      <c r="H111" s="25"/>
      <c r="I111" s="26">
        <v>163.30000000000001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T57"/>
  <sheetViews>
    <sheetView topLeftCell="C8" zoomScale="70" zoomScaleNormal="70" workbookViewId="0">
      <selection activeCell="F50" sqref="F50"/>
    </sheetView>
  </sheetViews>
  <sheetFormatPr defaultRowHeight="14.4" x14ac:dyDescent="0.3"/>
  <cols>
    <col min="12" max="12" width="18.77734375" customWidth="1"/>
    <col min="13" max="13" width="6.6640625" customWidth="1"/>
    <col min="19" max="19" width="12.44140625" customWidth="1"/>
  </cols>
  <sheetData>
    <row r="1" spans="2:19" ht="20.399999999999999" customHeight="1" x14ac:dyDescent="0.3">
      <c r="B1" s="59" t="s">
        <v>261</v>
      </c>
      <c r="C1" s="60"/>
      <c r="D1" s="60"/>
      <c r="E1" s="60"/>
      <c r="F1" s="60"/>
      <c r="G1" s="60"/>
      <c r="H1" s="60"/>
      <c r="I1" s="60"/>
    </row>
    <row r="3" spans="2:19" x14ac:dyDescent="0.3">
      <c r="B3" s="30" t="s">
        <v>248</v>
      </c>
    </row>
    <row r="4" spans="2:19" ht="20.399999999999999" x14ac:dyDescent="0.3">
      <c r="B4" s="27"/>
      <c r="C4" s="27">
        <v>1</v>
      </c>
      <c r="D4" s="27">
        <v>1</v>
      </c>
      <c r="E4" s="27">
        <v>2</v>
      </c>
      <c r="F4" s="27">
        <v>2</v>
      </c>
      <c r="G4" s="27">
        <v>3</v>
      </c>
      <c r="H4" s="27">
        <v>3</v>
      </c>
      <c r="I4" s="27">
        <v>4</v>
      </c>
      <c r="Q4" s="55" t="s">
        <v>232</v>
      </c>
      <c r="R4" s="56"/>
    </row>
    <row r="5" spans="2:19" ht="28.8" x14ac:dyDescent="0.3">
      <c r="B5" s="29" t="s">
        <v>217</v>
      </c>
      <c r="C5" s="27">
        <v>1</v>
      </c>
      <c r="D5" s="27">
        <v>2.2999999999999998</v>
      </c>
      <c r="E5" s="27">
        <v>1</v>
      </c>
      <c r="F5" s="27">
        <v>2.2999999999999998</v>
      </c>
      <c r="G5" s="27">
        <v>1</v>
      </c>
      <c r="H5" s="27">
        <v>2.2999999999999998</v>
      </c>
      <c r="I5" s="27">
        <v>3</v>
      </c>
      <c r="Q5" s="32" t="s">
        <v>233</v>
      </c>
      <c r="R5" s="33" t="s">
        <v>234</v>
      </c>
    </row>
    <row r="6" spans="2:19" x14ac:dyDescent="0.3">
      <c r="B6" s="28">
        <v>2</v>
      </c>
      <c r="C6" s="27">
        <v>28.6</v>
      </c>
      <c r="D6" s="27">
        <v>309.5</v>
      </c>
      <c r="E6" s="27">
        <v>44.4</v>
      </c>
      <c r="F6" s="27">
        <v>31.5</v>
      </c>
      <c r="G6" s="27">
        <v>34.4</v>
      </c>
      <c r="H6" s="27">
        <v>10</v>
      </c>
      <c r="I6" s="27">
        <v>62.8</v>
      </c>
      <c r="J6">
        <f>SUM(C6:I6)</f>
        <v>521.19999999999993</v>
      </c>
      <c r="L6" t="s">
        <v>236</v>
      </c>
      <c r="M6">
        <v>1171.2</v>
      </c>
      <c r="Q6" s="34">
        <v>4001</v>
      </c>
      <c r="R6" s="35">
        <v>68.8</v>
      </c>
      <c r="S6" s="31" t="s">
        <v>237</v>
      </c>
    </row>
    <row r="7" spans="2:19" x14ac:dyDescent="0.3">
      <c r="B7" s="28">
        <v>4</v>
      </c>
      <c r="C7" s="27">
        <v>404.1</v>
      </c>
      <c r="D7" s="27">
        <v>501.6</v>
      </c>
      <c r="E7" s="27">
        <v>377</v>
      </c>
      <c r="F7" s="27">
        <v>695.5</v>
      </c>
      <c r="G7" s="27">
        <v>502.3</v>
      </c>
      <c r="H7" s="27">
        <v>528.1</v>
      </c>
      <c r="I7" s="27">
        <v>69.5</v>
      </c>
      <c r="J7">
        <f t="shared" ref="J7:J11" si="0">SUM(C7:I7)</f>
        <v>3078.1</v>
      </c>
      <c r="Q7" s="34">
        <v>4002</v>
      </c>
      <c r="R7" s="35">
        <v>26.9</v>
      </c>
      <c r="S7" s="31" t="s">
        <v>231</v>
      </c>
    </row>
    <row r="8" spans="2:19" x14ac:dyDescent="0.3">
      <c r="B8" s="28">
        <v>5</v>
      </c>
      <c r="C8" s="27">
        <v>418.1</v>
      </c>
      <c r="D8" s="27">
        <v>1554.8</v>
      </c>
      <c r="E8" s="27">
        <v>334.2</v>
      </c>
      <c r="F8" s="27">
        <v>1730.3</v>
      </c>
      <c r="G8" s="27">
        <v>335.1</v>
      </c>
      <c r="H8" s="27">
        <v>2263.1999999999998</v>
      </c>
      <c r="I8" s="27">
        <v>327.60000000000002</v>
      </c>
      <c r="J8">
        <f t="shared" si="0"/>
        <v>6963.3</v>
      </c>
      <c r="L8" t="s">
        <v>231</v>
      </c>
      <c r="M8">
        <v>7010.2</v>
      </c>
      <c r="Q8" s="34">
        <v>4003</v>
      </c>
      <c r="R8" s="35">
        <v>43.9</v>
      </c>
      <c r="S8" s="31" t="s">
        <v>237</v>
      </c>
    </row>
    <row r="9" spans="2:19" x14ac:dyDescent="0.3">
      <c r="B9" s="28">
        <v>6</v>
      </c>
      <c r="C9" s="27">
        <v>0</v>
      </c>
      <c r="D9" s="27">
        <v>37.6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>
        <f t="shared" si="0"/>
        <v>37.6</v>
      </c>
      <c r="Q9" s="36">
        <v>4004</v>
      </c>
      <c r="R9" s="37">
        <v>54.8</v>
      </c>
      <c r="S9" s="31" t="s">
        <v>237</v>
      </c>
    </row>
    <row r="10" spans="2:19" x14ac:dyDescent="0.3">
      <c r="B10" s="28">
        <v>7</v>
      </c>
      <c r="C10" s="27">
        <v>15.4</v>
      </c>
      <c r="D10" s="27">
        <v>71.3</v>
      </c>
      <c r="E10" s="27">
        <v>15.5</v>
      </c>
      <c r="F10" s="27">
        <v>23.9</v>
      </c>
      <c r="G10" s="27">
        <v>15.5</v>
      </c>
      <c r="H10" s="27">
        <v>23.9</v>
      </c>
      <c r="I10" s="27">
        <v>0</v>
      </c>
      <c r="J10">
        <f t="shared" si="0"/>
        <v>165.5</v>
      </c>
      <c r="Q10" s="34">
        <v>4005</v>
      </c>
      <c r="R10" s="35">
        <v>52</v>
      </c>
      <c r="S10" s="31" t="s">
        <v>237</v>
      </c>
    </row>
    <row r="11" spans="2:19" x14ac:dyDescent="0.3">
      <c r="B11" s="28">
        <v>8</v>
      </c>
      <c r="C11" s="27">
        <v>44.1</v>
      </c>
      <c r="D11" s="27">
        <v>191.4</v>
      </c>
      <c r="E11" s="27">
        <v>51.1</v>
      </c>
      <c r="F11" s="27">
        <v>200.1</v>
      </c>
      <c r="G11" s="27">
        <v>50.9</v>
      </c>
      <c r="H11" s="27">
        <v>53.6</v>
      </c>
      <c r="I11" s="27">
        <v>46.9</v>
      </c>
      <c r="J11">
        <f t="shared" si="0"/>
        <v>638.1</v>
      </c>
      <c r="L11" t="s">
        <v>250</v>
      </c>
      <c r="M11">
        <v>827.7</v>
      </c>
      <c r="Q11" s="34">
        <v>4006</v>
      </c>
      <c r="R11" s="35">
        <v>56.6</v>
      </c>
      <c r="S11" s="31" t="s">
        <v>237</v>
      </c>
    </row>
    <row r="12" spans="2:19" x14ac:dyDescent="0.3">
      <c r="Q12" s="34">
        <v>4007</v>
      </c>
      <c r="R12" s="35">
        <v>19.2</v>
      </c>
      <c r="S12" s="31" t="s">
        <v>237</v>
      </c>
    </row>
    <row r="13" spans="2:19" hidden="1" x14ac:dyDescent="0.3">
      <c r="Q13" s="34">
        <v>4008</v>
      </c>
      <c r="R13" s="35">
        <v>95.5</v>
      </c>
      <c r="S13" s="31" t="s">
        <v>237</v>
      </c>
    </row>
    <row r="14" spans="2:19" hidden="1" x14ac:dyDescent="0.3">
      <c r="Q14" s="34">
        <v>4009</v>
      </c>
      <c r="R14" s="35">
        <v>30.6</v>
      </c>
      <c r="S14" s="31" t="s">
        <v>236</v>
      </c>
    </row>
    <row r="15" spans="2:19" hidden="1" x14ac:dyDescent="0.3">
      <c r="Q15" s="34">
        <v>4010</v>
      </c>
      <c r="R15" s="35">
        <v>241.6</v>
      </c>
      <c r="S15" s="31" t="s">
        <v>231</v>
      </c>
    </row>
    <row r="16" spans="2:19" hidden="1" x14ac:dyDescent="0.3">
      <c r="Q16" s="38" t="s">
        <v>235</v>
      </c>
      <c r="R16" s="35">
        <v>72.400000000000006</v>
      </c>
      <c r="S16" s="31" t="s">
        <v>231</v>
      </c>
    </row>
    <row r="17" spans="2:20" hidden="1" x14ac:dyDescent="0.3">
      <c r="Q17" s="34">
        <v>4011</v>
      </c>
      <c r="R17" s="35">
        <v>14</v>
      </c>
      <c r="S17" s="30" t="s">
        <v>218</v>
      </c>
    </row>
    <row r="18" spans="2:20" hidden="1" x14ac:dyDescent="0.3">
      <c r="Q18" s="34">
        <v>4012</v>
      </c>
      <c r="R18" s="35">
        <v>4.2</v>
      </c>
      <c r="S18" s="30" t="s">
        <v>218</v>
      </c>
    </row>
    <row r="19" spans="2:20" hidden="1" x14ac:dyDescent="0.3">
      <c r="B19" s="31" t="s">
        <v>218</v>
      </c>
      <c r="C19" s="27"/>
      <c r="D19" s="27"/>
      <c r="E19" s="27"/>
      <c r="F19" s="27"/>
      <c r="G19" s="27"/>
      <c r="H19" s="27"/>
      <c r="I19" s="27"/>
      <c r="J19" s="30" t="s">
        <v>229</v>
      </c>
      <c r="Q19" s="34">
        <v>4013</v>
      </c>
      <c r="R19" s="35">
        <v>6.7</v>
      </c>
      <c r="S19" s="30" t="s">
        <v>218</v>
      </c>
    </row>
    <row r="20" spans="2:20" hidden="1" x14ac:dyDescent="0.3">
      <c r="B20" s="31" t="s">
        <v>219</v>
      </c>
      <c r="C20" s="27">
        <v>18.5</v>
      </c>
      <c r="D20" s="27"/>
      <c r="E20" s="27"/>
      <c r="F20" s="27"/>
      <c r="G20" s="27"/>
      <c r="H20" s="31" t="s">
        <v>223</v>
      </c>
      <c r="I20" s="27">
        <v>14</v>
      </c>
      <c r="Q20" s="34">
        <v>4014</v>
      </c>
      <c r="R20" s="35">
        <v>9.8000000000000007</v>
      </c>
      <c r="S20" s="53" t="s">
        <v>231</v>
      </c>
    </row>
    <row r="21" spans="2:20" hidden="1" x14ac:dyDescent="0.3">
      <c r="B21" s="31" t="s">
        <v>220</v>
      </c>
      <c r="C21" s="27">
        <v>19</v>
      </c>
      <c r="D21" s="27"/>
      <c r="E21" s="27"/>
      <c r="F21" s="27"/>
      <c r="G21" s="27"/>
      <c r="H21" s="31" t="s">
        <v>224</v>
      </c>
      <c r="I21" s="27">
        <v>4.2</v>
      </c>
      <c r="Q21" s="34">
        <v>4015</v>
      </c>
      <c r="R21" s="35">
        <v>16.2</v>
      </c>
      <c r="S21" s="30" t="s">
        <v>218</v>
      </c>
    </row>
    <row r="22" spans="2:20" hidden="1" x14ac:dyDescent="0.3">
      <c r="B22" s="31" t="s">
        <v>221</v>
      </c>
      <c r="C22" s="27">
        <v>7.1</v>
      </c>
      <c r="D22" s="27"/>
      <c r="E22" s="27"/>
      <c r="F22" s="27"/>
      <c r="G22" s="27"/>
      <c r="H22" s="31" t="s">
        <v>225</v>
      </c>
      <c r="I22" s="27">
        <v>6.7</v>
      </c>
      <c r="Q22" s="34">
        <v>4016</v>
      </c>
      <c r="R22" s="35">
        <v>4.9000000000000004</v>
      </c>
      <c r="S22" s="31" t="s">
        <v>236</v>
      </c>
    </row>
    <row r="23" spans="2:20" hidden="1" x14ac:dyDescent="0.3">
      <c r="B23" s="27"/>
      <c r="C23" s="27"/>
      <c r="D23" s="27"/>
      <c r="E23" s="27"/>
      <c r="F23" s="27"/>
      <c r="G23" s="27"/>
      <c r="H23" s="31" t="s">
        <v>226</v>
      </c>
      <c r="I23" s="27">
        <v>16.2</v>
      </c>
      <c r="Q23" s="34">
        <v>4017</v>
      </c>
      <c r="R23" s="35">
        <v>4.8</v>
      </c>
      <c r="S23" s="30" t="s">
        <v>218</v>
      </c>
    </row>
    <row r="24" spans="2:20" hidden="1" x14ac:dyDescent="0.3">
      <c r="B24" s="27"/>
      <c r="C24" s="27"/>
      <c r="D24" s="27"/>
      <c r="E24" s="27"/>
      <c r="F24" s="27"/>
      <c r="G24" s="27"/>
      <c r="H24" s="31" t="s">
        <v>227</v>
      </c>
      <c r="I24" s="27">
        <v>4.8</v>
      </c>
      <c r="Q24" s="34">
        <v>4018</v>
      </c>
      <c r="R24" s="35">
        <v>32</v>
      </c>
      <c r="S24" s="31" t="s">
        <v>236</v>
      </c>
    </row>
    <row r="25" spans="2:20" hidden="1" x14ac:dyDescent="0.3">
      <c r="Q25" s="57">
        <v>855</v>
      </c>
      <c r="R25" s="58"/>
    </row>
    <row r="26" spans="2:20" hidden="1" x14ac:dyDescent="0.3">
      <c r="B26" s="31" t="s">
        <v>231</v>
      </c>
      <c r="C26" s="27"/>
      <c r="D26" s="27"/>
      <c r="E26" s="27"/>
      <c r="F26" s="27"/>
      <c r="G26" s="27"/>
      <c r="H26" s="27"/>
      <c r="I26" s="27"/>
      <c r="J26" s="30" t="s">
        <v>239</v>
      </c>
    </row>
    <row r="27" spans="2:20" hidden="1" x14ac:dyDescent="0.3">
      <c r="B27" s="31" t="s">
        <v>247</v>
      </c>
      <c r="C27" s="40">
        <v>98.5</v>
      </c>
      <c r="D27" s="31" t="s">
        <v>243</v>
      </c>
      <c r="E27" s="27">
        <v>130.4</v>
      </c>
      <c r="F27" s="27">
        <v>16</v>
      </c>
      <c r="G27" s="27">
        <v>130.69999999999999</v>
      </c>
      <c r="H27" s="31" t="s">
        <v>228</v>
      </c>
      <c r="I27" s="27">
        <v>72.400000000000006</v>
      </c>
      <c r="K27" s="30" t="s">
        <v>246</v>
      </c>
      <c r="Q27" s="39" t="s">
        <v>238</v>
      </c>
      <c r="R27">
        <v>243.2</v>
      </c>
      <c r="S27">
        <f t="shared" ref="S27:S31" si="1">SUMIF($S$6:$S$24,Q27,$R$6:$R$24)</f>
        <v>0</v>
      </c>
      <c r="T27">
        <f t="shared" ref="T27:T31" si="2">R27-S27</f>
        <v>243.2</v>
      </c>
    </row>
    <row r="28" spans="2:20" hidden="1" x14ac:dyDescent="0.3">
      <c r="B28" s="31" t="s">
        <v>241</v>
      </c>
      <c r="C28" s="27">
        <v>117.6</v>
      </c>
      <c r="D28" s="31" t="s">
        <v>244</v>
      </c>
      <c r="E28" s="27">
        <v>200.9</v>
      </c>
      <c r="F28" s="27">
        <v>17</v>
      </c>
      <c r="G28" s="27">
        <v>201.3</v>
      </c>
      <c r="H28" s="31" t="s">
        <v>230</v>
      </c>
      <c r="I28" s="27">
        <v>241.6</v>
      </c>
      <c r="Q28">
        <v>4</v>
      </c>
      <c r="R28">
        <v>69.5</v>
      </c>
      <c r="S28">
        <f t="shared" si="1"/>
        <v>0</v>
      </c>
      <c r="T28">
        <f t="shared" si="2"/>
        <v>69.5</v>
      </c>
    </row>
    <row r="29" spans="2:20" hidden="1" x14ac:dyDescent="0.3">
      <c r="B29" s="31" t="s">
        <v>242</v>
      </c>
      <c r="C29" s="27">
        <v>203.1</v>
      </c>
      <c r="D29" s="27"/>
      <c r="E29" s="27"/>
      <c r="F29" s="27"/>
      <c r="G29" s="27"/>
      <c r="H29" s="31"/>
      <c r="I29" s="27"/>
      <c r="Q29" s="30" t="s">
        <v>236</v>
      </c>
      <c r="R29">
        <v>62.8</v>
      </c>
      <c r="S29">
        <f t="shared" si="1"/>
        <v>67.5</v>
      </c>
      <c r="T29">
        <f t="shared" si="2"/>
        <v>-4.7000000000000028</v>
      </c>
    </row>
    <row r="30" spans="2:20" hidden="1" x14ac:dyDescent="0.3">
      <c r="Q30" s="30" t="s">
        <v>237</v>
      </c>
      <c r="R30">
        <v>69.5</v>
      </c>
      <c r="S30">
        <f t="shared" si="1"/>
        <v>390.8</v>
      </c>
      <c r="T30">
        <f t="shared" si="2"/>
        <v>-321.3</v>
      </c>
    </row>
    <row r="31" spans="2:20" hidden="1" x14ac:dyDescent="0.3">
      <c r="Q31" s="30" t="s">
        <v>231</v>
      </c>
      <c r="R31">
        <v>327.60000000000002</v>
      </c>
      <c r="S31">
        <f t="shared" si="1"/>
        <v>350.7</v>
      </c>
      <c r="T31">
        <f t="shared" si="2"/>
        <v>-23.099999999999966</v>
      </c>
    </row>
    <row r="32" spans="2:20" hidden="1" x14ac:dyDescent="0.3">
      <c r="Q32" s="30" t="s">
        <v>218</v>
      </c>
      <c r="R32">
        <v>46.9</v>
      </c>
      <c r="S32">
        <f>SUMIF($S$6:$S$24,Q32,$R$6:$R$24)</f>
        <v>45.899999999999991</v>
      </c>
      <c r="T32">
        <f>R32-S32</f>
        <v>1.0000000000000071</v>
      </c>
    </row>
    <row r="33" spans="2:15" hidden="1" x14ac:dyDescent="0.3"/>
    <row r="34" spans="2:15" hidden="1" x14ac:dyDescent="0.3"/>
    <row r="35" spans="2:15" hidden="1" x14ac:dyDescent="0.3"/>
    <row r="37" spans="2:15" x14ac:dyDescent="0.3">
      <c r="B37" s="30" t="s">
        <v>249</v>
      </c>
    </row>
    <row r="38" spans="2:15" x14ac:dyDescent="0.3">
      <c r="B38" s="27"/>
      <c r="C38" s="27">
        <v>1</v>
      </c>
      <c r="D38" s="27">
        <v>1</v>
      </c>
      <c r="E38" s="27">
        <v>2</v>
      </c>
      <c r="F38" s="27">
        <v>2</v>
      </c>
      <c r="G38" s="27">
        <v>3</v>
      </c>
      <c r="H38" s="27">
        <v>3</v>
      </c>
      <c r="I38" s="27">
        <v>4</v>
      </c>
    </row>
    <row r="39" spans="2:15" x14ac:dyDescent="0.3">
      <c r="B39" s="29" t="s">
        <v>217</v>
      </c>
      <c r="C39" s="31">
        <v>1</v>
      </c>
      <c r="D39" s="31">
        <v>2.2999999999999998</v>
      </c>
      <c r="E39" s="31">
        <v>1</v>
      </c>
      <c r="F39" s="31">
        <v>2.2999999999999998</v>
      </c>
      <c r="G39" s="31">
        <v>1</v>
      </c>
      <c r="H39" s="31">
        <v>2.2999999999999998</v>
      </c>
      <c r="I39" s="31">
        <v>3</v>
      </c>
      <c r="J39" s="30" t="s">
        <v>260</v>
      </c>
    </row>
    <row r="40" spans="2:15" x14ac:dyDescent="0.3">
      <c r="B40" s="50" t="s">
        <v>8</v>
      </c>
      <c r="C40" s="31">
        <v>121.3</v>
      </c>
      <c r="D40" s="31">
        <v>689.9</v>
      </c>
      <c r="E40" s="31">
        <v>31.4</v>
      </c>
      <c r="F40" s="31">
        <v>153</v>
      </c>
      <c r="G40" s="31">
        <v>28.3</v>
      </c>
      <c r="H40" s="31">
        <v>760.7</v>
      </c>
      <c r="I40" s="31">
        <v>57.8</v>
      </c>
      <c r="J40" s="54">
        <f>SUM(C40:I40)</f>
        <v>1842.3999999999999</v>
      </c>
    </row>
    <row r="41" spans="2:15" x14ac:dyDescent="0.3">
      <c r="B41" s="50" t="s">
        <v>238</v>
      </c>
      <c r="C41" s="31">
        <v>319.60000000000002</v>
      </c>
      <c r="D41" s="31">
        <v>863.6</v>
      </c>
      <c r="E41" s="31">
        <v>334.2</v>
      </c>
      <c r="F41" s="31">
        <v>798.9</v>
      </c>
      <c r="G41" s="31">
        <v>335.1</v>
      </c>
      <c r="H41" s="31">
        <v>741</v>
      </c>
      <c r="I41" s="31">
        <v>556.9</v>
      </c>
      <c r="J41" s="54">
        <f t="shared" ref="J41:J51" si="3">SUM(C41:I41)</f>
        <v>3949.3</v>
      </c>
    </row>
    <row r="42" spans="2:15" x14ac:dyDescent="0.3">
      <c r="B42" s="50" t="s">
        <v>258</v>
      </c>
      <c r="C42" s="31">
        <v>0</v>
      </c>
      <c r="D42" s="31">
        <v>0</v>
      </c>
      <c r="E42" s="31">
        <v>0</v>
      </c>
      <c r="F42" s="31">
        <v>501.8</v>
      </c>
      <c r="G42" s="31">
        <v>0</v>
      </c>
      <c r="H42" s="31">
        <v>0</v>
      </c>
      <c r="I42" s="31">
        <v>0</v>
      </c>
      <c r="J42" s="54">
        <f t="shared" si="3"/>
        <v>501.8</v>
      </c>
    </row>
    <row r="43" spans="2:15" x14ac:dyDescent="0.3">
      <c r="B43" s="50" t="s">
        <v>257</v>
      </c>
      <c r="C43" s="31">
        <v>0</v>
      </c>
      <c r="D43" s="31">
        <v>98.2</v>
      </c>
      <c r="E43" s="31">
        <v>0</v>
      </c>
      <c r="F43" s="31">
        <v>486.3</v>
      </c>
      <c r="G43" s="31">
        <v>0</v>
      </c>
      <c r="H43" s="31">
        <v>1232</v>
      </c>
      <c r="I43" s="31">
        <v>0</v>
      </c>
      <c r="J43" s="54">
        <f t="shared" si="3"/>
        <v>1816.5</v>
      </c>
    </row>
    <row r="44" spans="2:15" x14ac:dyDescent="0.3">
      <c r="B44" s="50" t="s">
        <v>259</v>
      </c>
      <c r="C44" s="31">
        <v>0</v>
      </c>
      <c r="D44" s="31">
        <v>0</v>
      </c>
      <c r="E44" s="31">
        <v>0</v>
      </c>
      <c r="F44" s="31">
        <v>186.1</v>
      </c>
      <c r="G44" s="31">
        <v>0</v>
      </c>
      <c r="H44" s="31">
        <v>0</v>
      </c>
      <c r="I44" s="31">
        <v>0</v>
      </c>
      <c r="J44" s="54">
        <f t="shared" si="3"/>
        <v>186.1</v>
      </c>
    </row>
    <row r="45" spans="2:15" x14ac:dyDescent="0.3">
      <c r="B45" s="50">
        <v>2</v>
      </c>
      <c r="C45" s="31">
        <v>0</v>
      </c>
      <c r="D45" s="31">
        <v>61.3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54">
        <f t="shared" si="3"/>
        <v>61.3</v>
      </c>
    </row>
    <row r="46" spans="2:15" x14ac:dyDescent="0.3">
      <c r="B46" s="51">
        <v>3</v>
      </c>
      <c r="C46" s="31">
        <v>55.3</v>
      </c>
      <c r="D46" s="31">
        <v>245.3</v>
      </c>
      <c r="E46" s="31">
        <v>57.2</v>
      </c>
      <c r="F46" s="31">
        <v>222.2</v>
      </c>
      <c r="G46" s="31">
        <v>57</v>
      </c>
      <c r="H46" s="31">
        <v>63.7</v>
      </c>
      <c r="I46" s="31">
        <v>51.9</v>
      </c>
      <c r="J46" s="54">
        <f t="shared" si="3"/>
        <v>752.6</v>
      </c>
    </row>
    <row r="47" spans="2:15" x14ac:dyDescent="0.3">
      <c r="B47" s="51">
        <v>4</v>
      </c>
      <c r="C47" s="31">
        <v>398.8</v>
      </c>
      <c r="D47" s="31">
        <v>321.89999999999998</v>
      </c>
      <c r="E47" s="31">
        <v>377</v>
      </c>
      <c r="F47" s="31">
        <v>185.8</v>
      </c>
      <c r="G47" s="31">
        <v>570.9</v>
      </c>
      <c r="H47" s="31">
        <v>141.6</v>
      </c>
      <c r="I47" s="31">
        <v>69.5</v>
      </c>
      <c r="J47" s="54">
        <f t="shared" si="3"/>
        <v>2065.5</v>
      </c>
      <c r="O47" s="30"/>
    </row>
    <row r="48" spans="2:15" x14ac:dyDescent="0.3">
      <c r="B48" s="51">
        <v>5</v>
      </c>
      <c r="C48" s="31">
        <v>0</v>
      </c>
      <c r="D48" s="31">
        <v>39.299999999999997</v>
      </c>
      <c r="E48" s="31">
        <v>0</v>
      </c>
      <c r="F48" s="31">
        <v>0</v>
      </c>
      <c r="G48" s="31">
        <v>0</v>
      </c>
      <c r="H48" s="31">
        <v>0</v>
      </c>
      <c r="I48" s="31">
        <v>0</v>
      </c>
      <c r="J48" s="54">
        <f t="shared" si="3"/>
        <v>39.299999999999997</v>
      </c>
      <c r="O48" s="30"/>
    </row>
    <row r="49" spans="2:15" x14ac:dyDescent="0.3">
      <c r="B49" s="51">
        <v>6</v>
      </c>
      <c r="C49" s="31">
        <v>15.4</v>
      </c>
      <c r="D49" s="31">
        <v>23.6</v>
      </c>
      <c r="E49" s="31">
        <v>15.5</v>
      </c>
      <c r="F49" s="31">
        <v>23.9</v>
      </c>
      <c r="G49" s="31">
        <v>15.5</v>
      </c>
      <c r="H49" s="31">
        <v>23.9</v>
      </c>
      <c r="I49" s="31">
        <v>10.8</v>
      </c>
      <c r="J49" s="54">
        <f t="shared" si="3"/>
        <v>128.60000000000002</v>
      </c>
      <c r="O49" s="30"/>
    </row>
    <row r="50" spans="2:15" x14ac:dyDescent="0.3">
      <c r="B50" s="51">
        <v>7</v>
      </c>
      <c r="C50" s="31">
        <v>0</v>
      </c>
      <c r="D50" s="31">
        <v>367.8</v>
      </c>
      <c r="E50" s="31">
        <v>0</v>
      </c>
      <c r="F50" s="31">
        <v>0</v>
      </c>
      <c r="G50" s="31">
        <v>0</v>
      </c>
      <c r="H50" s="31">
        <v>12.4</v>
      </c>
      <c r="I50" s="31">
        <v>0</v>
      </c>
      <c r="J50" s="54">
        <f t="shared" si="3"/>
        <v>380.2</v>
      </c>
      <c r="O50" s="30"/>
    </row>
    <row r="51" spans="2:15" x14ac:dyDescent="0.3">
      <c r="B51" s="28">
        <v>8</v>
      </c>
      <c r="C51" s="31">
        <v>7.1</v>
      </c>
      <c r="D51" s="31">
        <v>6.5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54">
        <f t="shared" si="3"/>
        <v>13.6</v>
      </c>
      <c r="O51" s="30"/>
    </row>
    <row r="55" spans="2:15" x14ac:dyDescent="0.3">
      <c r="L55" s="30" t="s">
        <v>236</v>
      </c>
      <c r="M55">
        <v>1171.2</v>
      </c>
    </row>
    <row r="56" spans="2:15" x14ac:dyDescent="0.3">
      <c r="L56" s="30" t="s">
        <v>231</v>
      </c>
      <c r="M56">
        <v>7010.2</v>
      </c>
    </row>
    <row r="57" spans="2:15" ht="28.8" x14ac:dyDescent="0.3">
      <c r="L57" s="52" t="s">
        <v>250</v>
      </c>
      <c r="M57">
        <v>827.7</v>
      </c>
    </row>
  </sheetData>
  <mergeCells count="3">
    <mergeCell ref="Q4:R4"/>
    <mergeCell ref="Q25:R25"/>
    <mergeCell ref="B1:I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70" zoomScaleNormal="70" workbookViewId="0">
      <selection activeCell="C7" sqref="C7"/>
    </sheetView>
  </sheetViews>
  <sheetFormatPr defaultRowHeight="18" x14ac:dyDescent="0.35"/>
  <cols>
    <col min="1" max="1" width="11.5546875" style="48" customWidth="1"/>
    <col min="2" max="2" width="28.77734375" style="48" customWidth="1"/>
    <col min="3" max="3" width="18.7773437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58.2" customHeight="1" x14ac:dyDescent="0.35">
      <c r="A2" s="46">
        <v>1</v>
      </c>
      <c r="B2" s="42" t="s">
        <v>73</v>
      </c>
      <c r="C2" s="43" t="s">
        <v>276</v>
      </c>
      <c r="D2" s="41" t="s">
        <v>9</v>
      </c>
      <c r="E2" s="49">
        <f>D9</f>
        <v>128.68</v>
      </c>
    </row>
    <row r="3" spans="1:5" ht="58.2" customHeight="1" x14ac:dyDescent="0.35">
      <c r="A3" s="46">
        <v>2</v>
      </c>
      <c r="B3" s="42" t="s">
        <v>73</v>
      </c>
      <c r="C3" s="43" t="s">
        <v>275</v>
      </c>
      <c r="D3" s="41" t="s">
        <v>9</v>
      </c>
      <c r="E3" s="49">
        <f>D13</f>
        <v>15.43</v>
      </c>
    </row>
    <row r="4" spans="1:5" x14ac:dyDescent="0.35">
      <c r="A4" s="62"/>
      <c r="B4" s="62"/>
      <c r="C4" s="62"/>
      <c r="D4" s="62"/>
      <c r="E4" s="62"/>
    </row>
    <row r="5" spans="1:5" ht="36" x14ac:dyDescent="0.35">
      <c r="A5" s="41" t="s">
        <v>0</v>
      </c>
      <c r="B5" s="41" t="s">
        <v>215</v>
      </c>
      <c r="C5" s="41" t="s">
        <v>4</v>
      </c>
      <c r="D5" s="41" t="s">
        <v>7</v>
      </c>
      <c r="E5" s="61"/>
    </row>
    <row r="6" spans="1:5" x14ac:dyDescent="0.35">
      <c r="A6" s="46">
        <v>1</v>
      </c>
      <c r="B6" s="41" t="s">
        <v>264</v>
      </c>
      <c r="C6" s="41" t="s">
        <v>9</v>
      </c>
      <c r="D6" s="47">
        <v>15.32</v>
      </c>
      <c r="E6" s="61"/>
    </row>
    <row r="7" spans="1:5" x14ac:dyDescent="0.35">
      <c r="A7" s="46">
        <v>2</v>
      </c>
      <c r="B7" s="41" t="s">
        <v>247</v>
      </c>
      <c r="C7" s="41" t="s">
        <v>9</v>
      </c>
      <c r="D7" s="49">
        <v>97.9</v>
      </c>
      <c r="E7" s="61"/>
    </row>
    <row r="8" spans="1:5" x14ac:dyDescent="0.35">
      <c r="A8" s="46">
        <v>3</v>
      </c>
      <c r="B8" s="41" t="s">
        <v>265</v>
      </c>
      <c r="C8" s="41" t="s">
        <v>9</v>
      </c>
      <c r="D8" s="47">
        <v>15.46</v>
      </c>
      <c r="E8" s="61"/>
    </row>
    <row r="9" spans="1:5" x14ac:dyDescent="0.35">
      <c r="A9" s="46"/>
      <c r="B9" s="41" t="s">
        <v>216</v>
      </c>
      <c r="C9" s="41" t="s">
        <v>9</v>
      </c>
      <c r="D9" s="47">
        <f>SUM(D6:D8)</f>
        <v>128.68</v>
      </c>
      <c r="E9" s="61"/>
    </row>
    <row r="10" spans="1:5" x14ac:dyDescent="0.35">
      <c r="A10" s="62"/>
      <c r="B10" s="62"/>
      <c r="C10" s="62"/>
      <c r="D10" s="62"/>
      <c r="E10" s="62"/>
    </row>
    <row r="11" spans="1:5" ht="36" x14ac:dyDescent="0.35">
      <c r="A11" s="41" t="s">
        <v>0</v>
      </c>
      <c r="B11" s="41" t="s">
        <v>215</v>
      </c>
      <c r="C11" s="41" t="s">
        <v>4</v>
      </c>
      <c r="D11" s="41" t="s">
        <v>7</v>
      </c>
      <c r="E11" s="61"/>
    </row>
    <row r="12" spans="1:5" x14ac:dyDescent="0.35">
      <c r="A12" s="46">
        <v>3</v>
      </c>
      <c r="B12" s="41" t="s">
        <v>266</v>
      </c>
      <c r="C12" s="41" t="s">
        <v>9</v>
      </c>
      <c r="D12" s="47">
        <v>15.43</v>
      </c>
      <c r="E12" s="61"/>
    </row>
    <row r="13" spans="1:5" x14ac:dyDescent="0.35">
      <c r="A13" s="46"/>
      <c r="B13" s="41" t="s">
        <v>216</v>
      </c>
      <c r="C13" s="41" t="s">
        <v>9</v>
      </c>
      <c r="D13" s="47">
        <f>SUM(D12:D12)</f>
        <v>15.43</v>
      </c>
      <c r="E13" s="61"/>
    </row>
  </sheetData>
  <mergeCells count="4">
    <mergeCell ref="E5:E9"/>
    <mergeCell ref="A4:E4"/>
    <mergeCell ref="A10:E10"/>
    <mergeCell ref="E11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70" zoomScaleNormal="70" workbookViewId="0">
      <selection activeCell="E6" sqref="E6:E8"/>
    </sheetView>
  </sheetViews>
  <sheetFormatPr defaultRowHeight="18" x14ac:dyDescent="0.35"/>
  <cols>
    <col min="1" max="1" width="11.5546875" style="48" customWidth="1"/>
    <col min="2" max="2" width="30.77734375" style="48" customWidth="1"/>
    <col min="3" max="3" width="30.10937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55.8" customHeight="1" x14ac:dyDescent="0.35">
      <c r="A2" s="46">
        <v>1</v>
      </c>
      <c r="B2" s="42" t="s">
        <v>16</v>
      </c>
      <c r="C2" s="43" t="s">
        <v>271</v>
      </c>
      <c r="D2" s="41" t="s">
        <v>9</v>
      </c>
      <c r="E2" s="49">
        <f>E9</f>
        <v>46.21</v>
      </c>
    </row>
    <row r="3" spans="1:5" ht="55.8" customHeight="1" x14ac:dyDescent="0.35">
      <c r="A3" s="46">
        <v>2</v>
      </c>
      <c r="B3" s="42" t="s">
        <v>16</v>
      </c>
      <c r="C3" s="45" t="s">
        <v>272</v>
      </c>
      <c r="D3" s="41" t="s">
        <v>9</v>
      </c>
      <c r="E3" s="49">
        <f>E2</f>
        <v>46.21</v>
      </c>
    </row>
    <row r="4" spans="1:5" x14ac:dyDescent="0.35">
      <c r="A4" s="63"/>
      <c r="B4" s="63"/>
      <c r="C4" s="63"/>
      <c r="D4" s="63"/>
      <c r="E4" s="63"/>
    </row>
    <row r="5" spans="1:5" ht="36" x14ac:dyDescent="0.35">
      <c r="A5" s="41" t="s">
        <v>0</v>
      </c>
      <c r="B5" s="41" t="s">
        <v>268</v>
      </c>
      <c r="C5" s="41" t="s">
        <v>269</v>
      </c>
      <c r="D5" s="41" t="s">
        <v>4</v>
      </c>
      <c r="E5" s="41" t="s">
        <v>7</v>
      </c>
    </row>
    <row r="6" spans="1:5" x14ac:dyDescent="0.35">
      <c r="A6" s="46">
        <v>1</v>
      </c>
      <c r="B6" s="41" t="s">
        <v>264</v>
      </c>
      <c r="C6" s="41" t="s">
        <v>267</v>
      </c>
      <c r="D6" s="41" t="s">
        <v>9</v>
      </c>
      <c r="E6" s="49">
        <v>15.32</v>
      </c>
    </row>
    <row r="7" spans="1:5" x14ac:dyDescent="0.35">
      <c r="A7" s="46">
        <v>2</v>
      </c>
      <c r="B7" s="41" t="s">
        <v>265</v>
      </c>
      <c r="C7" s="41" t="s">
        <v>267</v>
      </c>
      <c r="D7" s="41" t="s">
        <v>9</v>
      </c>
      <c r="E7" s="49">
        <v>15.46</v>
      </c>
    </row>
    <row r="8" spans="1:5" x14ac:dyDescent="0.35">
      <c r="A8" s="46">
        <v>3</v>
      </c>
      <c r="B8" s="41" t="s">
        <v>266</v>
      </c>
      <c r="C8" s="41" t="s">
        <v>267</v>
      </c>
      <c r="D8" s="41" t="s">
        <v>9</v>
      </c>
      <c r="E8" s="49">
        <v>15.43</v>
      </c>
    </row>
    <row r="9" spans="1:5" x14ac:dyDescent="0.35">
      <c r="A9" s="46"/>
      <c r="B9" s="41"/>
      <c r="C9" s="41" t="s">
        <v>216</v>
      </c>
      <c r="D9" s="41" t="s">
        <v>9</v>
      </c>
      <c r="E9" s="47">
        <f>SUM(E6:E8)</f>
        <v>46.21</v>
      </c>
    </row>
  </sheetData>
  <mergeCells count="1">
    <mergeCell ref="A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70" zoomScaleNormal="70" workbookViewId="0">
      <selection activeCell="E6" sqref="E6"/>
    </sheetView>
  </sheetViews>
  <sheetFormatPr defaultRowHeight="18" x14ac:dyDescent="0.35"/>
  <cols>
    <col min="1" max="1" width="11.5546875" style="48" customWidth="1"/>
    <col min="2" max="2" width="30.77734375" style="48" customWidth="1"/>
    <col min="3" max="3" width="30.10937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55.8" customHeight="1" x14ac:dyDescent="0.35">
      <c r="A2" s="46">
        <v>1</v>
      </c>
      <c r="B2" s="42" t="s">
        <v>59</v>
      </c>
      <c r="C2" s="43" t="s">
        <v>274</v>
      </c>
      <c r="D2" s="41" t="s">
        <v>9</v>
      </c>
      <c r="E2" s="49">
        <f>E9</f>
        <v>285.2</v>
      </c>
    </row>
    <row r="3" spans="1:5" ht="55.8" customHeight="1" x14ac:dyDescent="0.35">
      <c r="A3" s="46">
        <v>2</v>
      </c>
      <c r="B3" s="44" t="s">
        <v>59</v>
      </c>
      <c r="C3" s="45" t="s">
        <v>273</v>
      </c>
      <c r="D3" s="41" t="s">
        <v>9</v>
      </c>
      <c r="E3" s="49">
        <f>E2</f>
        <v>285.2</v>
      </c>
    </row>
    <row r="4" spans="1:5" x14ac:dyDescent="0.35">
      <c r="A4" s="63"/>
      <c r="B4" s="63"/>
      <c r="C4" s="63"/>
      <c r="D4" s="63"/>
      <c r="E4" s="63"/>
    </row>
    <row r="5" spans="1:5" ht="36" x14ac:dyDescent="0.35">
      <c r="A5" s="41" t="s">
        <v>0</v>
      </c>
      <c r="B5" s="41" t="s">
        <v>268</v>
      </c>
      <c r="C5" s="41" t="s">
        <v>269</v>
      </c>
      <c r="D5" s="41" t="s">
        <v>4</v>
      </c>
      <c r="E5" s="41" t="s">
        <v>7</v>
      </c>
    </row>
    <row r="6" spans="1:5" x14ac:dyDescent="0.35">
      <c r="A6" s="46">
        <v>1</v>
      </c>
      <c r="B6" s="41" t="s">
        <v>247</v>
      </c>
      <c r="C6" s="41" t="s">
        <v>231</v>
      </c>
      <c r="D6" s="41" t="s">
        <v>9</v>
      </c>
      <c r="E6" s="49">
        <v>97.9</v>
      </c>
    </row>
    <row r="7" spans="1:5" x14ac:dyDescent="0.35">
      <c r="A7" s="46">
        <v>2</v>
      </c>
      <c r="B7" s="41" t="s">
        <v>263</v>
      </c>
      <c r="C7" s="41" t="s">
        <v>231</v>
      </c>
      <c r="D7" s="41" t="s">
        <v>9</v>
      </c>
      <c r="E7" s="49">
        <v>162.9</v>
      </c>
    </row>
    <row r="8" spans="1:5" x14ac:dyDescent="0.35">
      <c r="A8" s="46">
        <v>3</v>
      </c>
      <c r="B8" s="41" t="s">
        <v>262</v>
      </c>
      <c r="C8" s="41" t="s">
        <v>231</v>
      </c>
      <c r="D8" s="41" t="s">
        <v>9</v>
      </c>
      <c r="E8" s="49">
        <v>24.4</v>
      </c>
    </row>
    <row r="9" spans="1:5" x14ac:dyDescent="0.35">
      <c r="A9" s="46"/>
      <c r="B9" s="41"/>
      <c r="C9" s="41" t="s">
        <v>216</v>
      </c>
      <c r="D9" s="41" t="s">
        <v>9</v>
      </c>
      <c r="E9" s="47">
        <f>SUM(E6:E8)</f>
        <v>285.2</v>
      </c>
    </row>
  </sheetData>
  <mergeCells count="1">
    <mergeCell ref="A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70" zoomScaleNormal="70" workbookViewId="0">
      <selection activeCell="J7" sqref="J7"/>
    </sheetView>
  </sheetViews>
  <sheetFormatPr defaultRowHeight="18" x14ac:dyDescent="0.35"/>
  <cols>
    <col min="1" max="1" width="11.5546875" style="48" customWidth="1"/>
    <col min="2" max="2" width="21.44140625" style="48" customWidth="1"/>
    <col min="3" max="3" width="17.6640625" style="48" customWidth="1"/>
    <col min="4" max="4" width="25.77734375" style="48" customWidth="1"/>
    <col min="5" max="5" width="16.88671875" style="48" customWidth="1"/>
    <col min="6" max="6" width="18.109375" style="48" customWidth="1"/>
    <col min="7" max="16384" width="8.88671875" style="48"/>
  </cols>
  <sheetData>
    <row r="1" spans="1:6" ht="36" x14ac:dyDescent="0.35">
      <c r="A1" s="41" t="s">
        <v>0</v>
      </c>
      <c r="B1" s="64" t="s">
        <v>240</v>
      </c>
      <c r="C1" s="65"/>
      <c r="D1" s="41" t="s">
        <v>215</v>
      </c>
      <c r="E1" s="41" t="s">
        <v>4</v>
      </c>
      <c r="F1" s="41" t="s">
        <v>7</v>
      </c>
    </row>
    <row r="2" spans="1:6" ht="76.2" customHeight="1" x14ac:dyDescent="0.35">
      <c r="A2" s="46">
        <v>1</v>
      </c>
      <c r="B2" s="66" t="s">
        <v>31</v>
      </c>
      <c r="C2" s="67"/>
      <c r="D2" s="43" t="s">
        <v>270</v>
      </c>
      <c r="E2" s="41" t="s">
        <v>9</v>
      </c>
      <c r="F2" s="49">
        <f>E8</f>
        <v>285.2</v>
      </c>
    </row>
    <row r="3" spans="1:6" x14ac:dyDescent="0.35">
      <c r="A3" s="62"/>
      <c r="B3" s="62"/>
      <c r="C3" s="62"/>
      <c r="D3" s="62"/>
      <c r="E3" s="62"/>
      <c r="F3" s="62"/>
    </row>
    <row r="4" spans="1:6" ht="36" x14ac:dyDescent="0.35">
      <c r="A4" s="41" t="s">
        <v>0</v>
      </c>
      <c r="B4" s="41" t="s">
        <v>268</v>
      </c>
      <c r="C4" s="41" t="s">
        <v>269</v>
      </c>
      <c r="D4" s="41" t="s">
        <v>4</v>
      </c>
      <c r="E4" s="41" t="s">
        <v>7</v>
      </c>
      <c r="F4" s="68"/>
    </row>
    <row r="5" spans="1:6" x14ac:dyDescent="0.35">
      <c r="A5" s="46">
        <v>1</v>
      </c>
      <c r="B5" s="41" t="s">
        <v>247</v>
      </c>
      <c r="C5" s="41" t="s">
        <v>231</v>
      </c>
      <c r="D5" s="41" t="s">
        <v>9</v>
      </c>
      <c r="E5" s="49">
        <v>97.9</v>
      </c>
      <c r="F5" s="68"/>
    </row>
    <row r="6" spans="1:6" x14ac:dyDescent="0.35">
      <c r="A6" s="46">
        <v>2</v>
      </c>
      <c r="B6" s="41" t="s">
        <v>263</v>
      </c>
      <c r="C6" s="41" t="s">
        <v>231</v>
      </c>
      <c r="D6" s="41" t="s">
        <v>9</v>
      </c>
      <c r="E6" s="49">
        <v>162.9</v>
      </c>
      <c r="F6" s="68"/>
    </row>
    <row r="7" spans="1:6" x14ac:dyDescent="0.35">
      <c r="A7" s="46">
        <v>3</v>
      </c>
      <c r="B7" s="41" t="s">
        <v>262</v>
      </c>
      <c r="C7" s="41" t="s">
        <v>231</v>
      </c>
      <c r="D7" s="41" t="s">
        <v>9</v>
      </c>
      <c r="E7" s="49">
        <v>24.4</v>
      </c>
      <c r="F7" s="68"/>
    </row>
    <row r="8" spans="1:6" x14ac:dyDescent="0.35">
      <c r="A8" s="46"/>
      <c r="B8" s="41" t="s">
        <v>216</v>
      </c>
      <c r="C8" s="41"/>
      <c r="D8" s="41" t="s">
        <v>9</v>
      </c>
      <c r="E8" s="47">
        <f>SUM(E5:E7)</f>
        <v>285.2</v>
      </c>
      <c r="F8" s="68"/>
    </row>
  </sheetData>
  <mergeCells count="4">
    <mergeCell ref="B1:C1"/>
    <mergeCell ref="B2:C2"/>
    <mergeCell ref="F4:F8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70" zoomScaleNormal="70" workbookViewId="0">
      <selection activeCell="B5" sqref="B5:B7"/>
    </sheetView>
  </sheetViews>
  <sheetFormatPr defaultRowHeight="18" x14ac:dyDescent="0.35"/>
  <cols>
    <col min="1" max="1" width="11.5546875" style="48" customWidth="1"/>
    <col min="2" max="2" width="28.77734375" style="48" customWidth="1"/>
    <col min="3" max="3" width="38.664062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108" x14ac:dyDescent="0.35">
      <c r="A2" s="46">
        <v>1</v>
      </c>
      <c r="B2" s="42" t="s">
        <v>73</v>
      </c>
      <c r="C2" s="43" t="s">
        <v>106</v>
      </c>
      <c r="D2" s="41" t="s">
        <v>9</v>
      </c>
      <c r="E2" s="49">
        <f>D8</f>
        <v>891.64</v>
      </c>
    </row>
    <row r="4" spans="1:5" ht="36" x14ac:dyDescent="0.35">
      <c r="A4" s="41" t="s">
        <v>0</v>
      </c>
      <c r="B4" s="41" t="s">
        <v>215</v>
      </c>
      <c r="C4" s="41" t="s">
        <v>4</v>
      </c>
      <c r="D4" s="41" t="s">
        <v>7</v>
      </c>
    </row>
    <row r="5" spans="1:5" x14ac:dyDescent="0.35">
      <c r="A5" s="46">
        <v>1</v>
      </c>
      <c r="B5" s="41" t="str">
        <f>'1.2-Пт'!B6</f>
        <v>1.094, 1.94а</v>
      </c>
      <c r="C5" s="41" t="s">
        <v>9</v>
      </c>
      <c r="D5" s="47">
        <f>'1.2-Пт'!D6</f>
        <v>294.16000000000003</v>
      </c>
    </row>
    <row r="6" spans="1:5" x14ac:dyDescent="0.35">
      <c r="A6" s="46">
        <v>2</v>
      </c>
      <c r="B6" s="41" t="str">
        <f>'1.2-Пт'!B7</f>
        <v>2.047, 2.047а, 2.047б</v>
      </c>
      <c r="C6" s="41" t="s">
        <v>9</v>
      </c>
      <c r="D6" s="47">
        <f>'1.2-Пт'!D7</f>
        <v>285.60000000000002</v>
      </c>
    </row>
    <row r="7" spans="1:5" x14ac:dyDescent="0.35">
      <c r="A7" s="46">
        <v>3</v>
      </c>
      <c r="B7" s="41" t="str">
        <f>'1.2-Пт'!B8</f>
        <v>3.047, 3.047а, 3.047б</v>
      </c>
      <c r="C7" s="41" t="s">
        <v>9</v>
      </c>
      <c r="D7" s="47">
        <f>'1.2-Пт'!D8</f>
        <v>311.88</v>
      </c>
    </row>
    <row r="8" spans="1:5" x14ac:dyDescent="0.35">
      <c r="A8" s="46"/>
      <c r="B8" s="41" t="s">
        <v>216</v>
      </c>
      <c r="C8" s="41" t="s">
        <v>9</v>
      </c>
      <c r="D8" s="47">
        <f>SUM(D5:D7)</f>
        <v>891.64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70" zoomScaleNormal="70" workbookViewId="0">
      <selection activeCell="J19" sqref="J19"/>
    </sheetView>
  </sheetViews>
  <sheetFormatPr defaultRowHeight="18" x14ac:dyDescent="0.35"/>
  <cols>
    <col min="1" max="1" width="11.5546875" style="48" customWidth="1"/>
    <col min="2" max="2" width="28.77734375" style="48" customWidth="1"/>
    <col min="3" max="3" width="38.664062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108" x14ac:dyDescent="0.35">
      <c r="A2" s="46">
        <v>1</v>
      </c>
      <c r="B2" s="42" t="s">
        <v>73</v>
      </c>
      <c r="C2" s="43" t="s">
        <v>106</v>
      </c>
      <c r="D2" s="41" t="s">
        <v>9</v>
      </c>
      <c r="E2" s="49">
        <f>D11</f>
        <v>979.8</v>
      </c>
    </row>
    <row r="4" spans="1:5" ht="36" x14ac:dyDescent="0.35">
      <c r="A4" s="41" t="s">
        <v>0</v>
      </c>
      <c r="B4" s="41" t="s">
        <v>215</v>
      </c>
      <c r="C4" s="41" t="s">
        <v>4</v>
      </c>
      <c r="D4" s="41" t="s">
        <v>7</v>
      </c>
    </row>
    <row r="5" spans="1:5" x14ac:dyDescent="0.35">
      <c r="A5" s="46">
        <v>1</v>
      </c>
      <c r="B5" s="41" t="s">
        <v>241</v>
      </c>
      <c r="C5" s="41" t="s">
        <v>9</v>
      </c>
      <c r="D5" s="47">
        <v>116.4</v>
      </c>
    </row>
    <row r="6" spans="1:5" x14ac:dyDescent="0.35">
      <c r="A6" s="46">
        <v>2</v>
      </c>
      <c r="B6" s="41" t="s">
        <v>242</v>
      </c>
      <c r="C6" s="41" t="s">
        <v>9</v>
      </c>
      <c r="D6" s="47">
        <v>202.5</v>
      </c>
    </row>
    <row r="7" spans="1:5" x14ac:dyDescent="0.35">
      <c r="A7" s="46">
        <v>3</v>
      </c>
      <c r="B7" s="41" t="s">
        <v>243</v>
      </c>
      <c r="C7" s="41" t="s">
        <v>9</v>
      </c>
      <c r="D7" s="47">
        <v>129.80000000000001</v>
      </c>
    </row>
    <row r="8" spans="1:5" x14ac:dyDescent="0.35">
      <c r="A8" s="46">
        <v>4</v>
      </c>
      <c r="B8" s="41" t="s">
        <v>244</v>
      </c>
      <c r="C8" s="41" t="s">
        <v>9</v>
      </c>
      <c r="D8" s="47">
        <v>200.1</v>
      </c>
    </row>
    <row r="9" spans="1:5" x14ac:dyDescent="0.35">
      <c r="A9" s="46">
        <v>5</v>
      </c>
      <c r="B9" s="41" t="s">
        <v>245</v>
      </c>
      <c r="C9" s="41" t="s">
        <v>9</v>
      </c>
      <c r="D9" s="47">
        <v>130.30000000000001</v>
      </c>
    </row>
    <row r="10" spans="1:5" x14ac:dyDescent="0.35">
      <c r="A10" s="46">
        <v>6</v>
      </c>
      <c r="B10" s="41" t="s">
        <v>222</v>
      </c>
      <c r="C10" s="41" t="s">
        <v>9</v>
      </c>
      <c r="D10" s="47">
        <v>200.7</v>
      </c>
    </row>
    <row r="11" spans="1:5" x14ac:dyDescent="0.35">
      <c r="A11" s="46"/>
      <c r="B11" s="41" t="s">
        <v>216</v>
      </c>
      <c r="C11" s="41" t="s">
        <v>9</v>
      </c>
      <c r="D11" s="47">
        <f>SUM(D5:D10)</f>
        <v>979.8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70" zoomScaleNormal="70" workbookViewId="0">
      <selection activeCell="C13" sqref="C13"/>
    </sheetView>
  </sheetViews>
  <sheetFormatPr defaultRowHeight="18" x14ac:dyDescent="0.35"/>
  <cols>
    <col min="1" max="1" width="11.5546875" style="48" customWidth="1"/>
    <col min="2" max="2" width="28.77734375" style="48" customWidth="1"/>
    <col min="3" max="3" width="25.7773437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72" x14ac:dyDescent="0.35">
      <c r="A2" s="46">
        <v>1</v>
      </c>
      <c r="B2" s="42" t="s">
        <v>59</v>
      </c>
      <c r="C2" s="43" t="s">
        <v>252</v>
      </c>
      <c r="D2" s="41" t="s">
        <v>9</v>
      </c>
      <c r="E2" s="49">
        <f>D9</f>
        <v>891.64</v>
      </c>
    </row>
    <row r="3" spans="1:5" ht="72" x14ac:dyDescent="0.35">
      <c r="A3" s="46">
        <v>2</v>
      </c>
      <c r="B3" s="44" t="s">
        <v>59</v>
      </c>
      <c r="C3" s="45" t="s">
        <v>256</v>
      </c>
      <c r="D3" s="41" t="s">
        <v>9</v>
      </c>
      <c r="E3" s="49">
        <f>E2</f>
        <v>891.64</v>
      </c>
    </row>
    <row r="5" spans="1:5" ht="36" x14ac:dyDescent="0.35">
      <c r="A5" s="41" t="s">
        <v>0</v>
      </c>
      <c r="B5" s="41" t="s">
        <v>215</v>
      </c>
      <c r="C5" s="41" t="s">
        <v>4</v>
      </c>
      <c r="D5" s="41" t="s">
        <v>7</v>
      </c>
    </row>
    <row r="6" spans="1:5" x14ac:dyDescent="0.35">
      <c r="A6" s="46">
        <v>1</v>
      </c>
      <c r="B6" s="41" t="s">
        <v>253</v>
      </c>
      <c r="C6" s="41" t="s">
        <v>9</v>
      </c>
      <c r="D6" s="47">
        <v>294.16000000000003</v>
      </c>
    </row>
    <row r="7" spans="1:5" x14ac:dyDescent="0.35">
      <c r="A7" s="46">
        <v>2</v>
      </c>
      <c r="B7" s="41" t="s">
        <v>254</v>
      </c>
      <c r="C7" s="41" t="s">
        <v>9</v>
      </c>
      <c r="D7" s="47">
        <v>285.60000000000002</v>
      </c>
    </row>
    <row r="8" spans="1:5" x14ac:dyDescent="0.35">
      <c r="A8" s="46">
        <v>3</v>
      </c>
      <c r="B8" s="41" t="s">
        <v>255</v>
      </c>
      <c r="C8" s="41" t="s">
        <v>9</v>
      </c>
      <c r="D8" s="47">
        <v>311.88</v>
      </c>
    </row>
    <row r="9" spans="1:5" x14ac:dyDescent="0.35">
      <c r="A9" s="46"/>
      <c r="B9" s="41" t="s">
        <v>216</v>
      </c>
      <c r="C9" s="41" t="s">
        <v>9</v>
      </c>
      <c r="D9" s="47">
        <f>SUM(D6:D8)</f>
        <v>891.64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C3" sqref="C3"/>
    </sheetView>
  </sheetViews>
  <sheetFormatPr defaultRowHeight="18" x14ac:dyDescent="0.35"/>
  <cols>
    <col min="1" max="1" width="11.5546875" style="48" customWidth="1"/>
    <col min="2" max="2" width="28.77734375" style="48" customWidth="1"/>
    <col min="3" max="3" width="25.77734375" style="48" customWidth="1"/>
    <col min="4" max="4" width="19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72" x14ac:dyDescent="0.35">
      <c r="A2" s="46">
        <v>1</v>
      </c>
      <c r="B2" s="42" t="s">
        <v>59</v>
      </c>
      <c r="C2" s="43" t="s">
        <v>252</v>
      </c>
      <c r="D2" s="41" t="s">
        <v>9</v>
      </c>
      <c r="E2" s="49">
        <f>D12</f>
        <v>979.8</v>
      </c>
    </row>
    <row r="3" spans="1:5" ht="72" x14ac:dyDescent="0.35">
      <c r="A3" s="46">
        <v>2</v>
      </c>
      <c r="B3" s="44" t="s">
        <v>59</v>
      </c>
      <c r="C3" s="45" t="s">
        <v>256</v>
      </c>
      <c r="D3" s="41" t="s">
        <v>9</v>
      </c>
      <c r="E3" s="49">
        <f>E2</f>
        <v>979.8</v>
      </c>
    </row>
    <row r="5" spans="1:5" ht="36" x14ac:dyDescent="0.35">
      <c r="A5" s="41" t="s">
        <v>0</v>
      </c>
      <c r="B5" s="41" t="s">
        <v>215</v>
      </c>
      <c r="C5" s="41" t="s">
        <v>4</v>
      </c>
      <c r="D5" s="41" t="s">
        <v>7</v>
      </c>
    </row>
    <row r="6" spans="1:5" x14ac:dyDescent="0.35">
      <c r="A6" s="46">
        <v>1</v>
      </c>
      <c r="B6" s="41" t="s">
        <v>241</v>
      </c>
      <c r="C6" s="41" t="s">
        <v>9</v>
      </c>
      <c r="D6" s="47">
        <v>116.4</v>
      </c>
    </row>
    <row r="7" spans="1:5" x14ac:dyDescent="0.35">
      <c r="A7" s="46">
        <v>2</v>
      </c>
      <c r="B7" s="41" t="s">
        <v>242</v>
      </c>
      <c r="C7" s="41" t="s">
        <v>9</v>
      </c>
      <c r="D7" s="47">
        <v>202.5</v>
      </c>
    </row>
    <row r="8" spans="1:5" x14ac:dyDescent="0.35">
      <c r="A8" s="46">
        <v>3</v>
      </c>
      <c r="B8" s="41" t="s">
        <v>243</v>
      </c>
      <c r="C8" s="41" t="s">
        <v>9</v>
      </c>
      <c r="D8" s="47">
        <v>129.80000000000001</v>
      </c>
    </row>
    <row r="9" spans="1:5" x14ac:dyDescent="0.35">
      <c r="A9" s="46">
        <v>4</v>
      </c>
      <c r="B9" s="41" t="s">
        <v>244</v>
      </c>
      <c r="C9" s="41" t="s">
        <v>9</v>
      </c>
      <c r="D9" s="47">
        <v>200.1</v>
      </c>
    </row>
    <row r="10" spans="1:5" x14ac:dyDescent="0.35">
      <c r="A10" s="46">
        <v>5</v>
      </c>
      <c r="B10" s="41" t="s">
        <v>245</v>
      </c>
      <c r="C10" s="41" t="s">
        <v>9</v>
      </c>
      <c r="D10" s="47">
        <v>130.30000000000001</v>
      </c>
    </row>
    <row r="11" spans="1:5" x14ac:dyDescent="0.35">
      <c r="A11" s="46">
        <v>6</v>
      </c>
      <c r="B11" s="41" t="s">
        <v>222</v>
      </c>
      <c r="C11" s="41" t="s">
        <v>9</v>
      </c>
      <c r="D11" s="47">
        <v>200.7</v>
      </c>
    </row>
    <row r="12" spans="1:5" x14ac:dyDescent="0.35">
      <c r="A12" s="46"/>
      <c r="B12" s="41" t="s">
        <v>216</v>
      </c>
      <c r="C12" s="41" t="s">
        <v>9</v>
      </c>
      <c r="D12" s="47">
        <f>SUM(D6:D11)</f>
        <v>979.8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70" zoomScaleNormal="70" workbookViewId="0">
      <selection activeCell="F22" sqref="F22"/>
    </sheetView>
  </sheetViews>
  <sheetFormatPr defaultRowHeight="18" x14ac:dyDescent="0.35"/>
  <cols>
    <col min="1" max="1" width="11.5546875" style="48" customWidth="1"/>
    <col min="2" max="2" width="32.109375" style="48" customWidth="1"/>
    <col min="3" max="3" width="25.77734375" style="48" customWidth="1"/>
    <col min="4" max="4" width="16.88671875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102" customHeight="1" x14ac:dyDescent="0.35">
      <c r="A2" s="46">
        <v>1</v>
      </c>
      <c r="B2" s="42" t="s">
        <v>31</v>
      </c>
      <c r="C2" s="43" t="s">
        <v>251</v>
      </c>
      <c r="D2" s="41" t="s">
        <v>9</v>
      </c>
      <c r="E2" s="49">
        <f>D8</f>
        <v>891.64</v>
      </c>
    </row>
    <row r="4" spans="1:5" ht="36" x14ac:dyDescent="0.35">
      <c r="A4" s="41" t="s">
        <v>0</v>
      </c>
      <c r="B4" s="41" t="s">
        <v>215</v>
      </c>
      <c r="C4" s="41" t="s">
        <v>4</v>
      </c>
      <c r="D4" s="41" t="s">
        <v>7</v>
      </c>
    </row>
    <row r="5" spans="1:5" x14ac:dyDescent="0.35">
      <c r="A5" s="46">
        <v>1</v>
      </c>
      <c r="B5" s="41" t="str">
        <f>'1.2-Пт'!B6</f>
        <v>1.094, 1.94а</v>
      </c>
      <c r="C5" s="41" t="s">
        <v>9</v>
      </c>
      <c r="D5" s="47">
        <f>'1.2-Пт'!D6</f>
        <v>294.16000000000003</v>
      </c>
    </row>
    <row r="6" spans="1:5" x14ac:dyDescent="0.35">
      <c r="A6" s="46">
        <v>2</v>
      </c>
      <c r="B6" s="41" t="str">
        <f>'1.2-Пт'!B7</f>
        <v>2.047, 2.047а, 2.047б</v>
      </c>
      <c r="C6" s="41" t="s">
        <v>9</v>
      </c>
      <c r="D6" s="47">
        <f>'1.2-Пт'!D7</f>
        <v>285.60000000000002</v>
      </c>
    </row>
    <row r="7" spans="1:5" x14ac:dyDescent="0.35">
      <c r="A7" s="46">
        <v>3</v>
      </c>
      <c r="B7" s="41" t="str">
        <f>'1.2-Пт'!B8</f>
        <v>3.047, 3.047а, 3.047б</v>
      </c>
      <c r="C7" s="41" t="s">
        <v>9</v>
      </c>
      <c r="D7" s="47">
        <f>'1.2-Пт'!D8</f>
        <v>311.88</v>
      </c>
    </row>
    <row r="8" spans="1:5" x14ac:dyDescent="0.35">
      <c r="A8" s="46"/>
      <c r="B8" s="41" t="s">
        <v>216</v>
      </c>
      <c r="C8" s="41" t="s">
        <v>9</v>
      </c>
      <c r="D8" s="47">
        <f>SUM(D5:D7)</f>
        <v>891.64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70" zoomScaleNormal="70" workbookViewId="0">
      <selection activeCell="J19" sqref="J19"/>
    </sheetView>
  </sheetViews>
  <sheetFormatPr defaultRowHeight="18" x14ac:dyDescent="0.35"/>
  <cols>
    <col min="1" max="1" width="11.5546875" style="48" customWidth="1"/>
    <col min="2" max="2" width="32.109375" style="48" customWidth="1"/>
    <col min="3" max="3" width="25.77734375" style="48" customWidth="1"/>
    <col min="4" max="4" width="16.88671875" style="48" customWidth="1"/>
    <col min="5" max="5" width="18.109375" style="48" customWidth="1"/>
    <col min="6" max="16384" width="8.88671875" style="48"/>
  </cols>
  <sheetData>
    <row r="1" spans="1:5" ht="36" x14ac:dyDescent="0.35">
      <c r="A1" s="41" t="s">
        <v>0</v>
      </c>
      <c r="B1" s="41" t="s">
        <v>240</v>
      </c>
      <c r="C1" s="41" t="s">
        <v>215</v>
      </c>
      <c r="D1" s="41" t="s">
        <v>4</v>
      </c>
      <c r="E1" s="41" t="s">
        <v>7</v>
      </c>
    </row>
    <row r="2" spans="1:5" ht="102" customHeight="1" x14ac:dyDescent="0.35">
      <c r="A2" s="46">
        <v>1</v>
      </c>
      <c r="B2" s="42" t="s">
        <v>31</v>
      </c>
      <c r="C2" s="43" t="s">
        <v>251</v>
      </c>
      <c r="D2" s="41" t="s">
        <v>9</v>
      </c>
      <c r="E2" s="49">
        <f>D11</f>
        <v>979.8</v>
      </c>
    </row>
    <row r="4" spans="1:5" ht="36" x14ac:dyDescent="0.35">
      <c r="A4" s="41" t="s">
        <v>0</v>
      </c>
      <c r="B4" s="41" t="s">
        <v>215</v>
      </c>
      <c r="C4" s="41" t="s">
        <v>4</v>
      </c>
      <c r="D4" s="41" t="s">
        <v>7</v>
      </c>
    </row>
    <row r="5" spans="1:5" x14ac:dyDescent="0.35">
      <c r="A5" s="46">
        <v>1</v>
      </c>
      <c r="B5" s="41" t="s">
        <v>241</v>
      </c>
      <c r="C5" s="41" t="s">
        <v>9</v>
      </c>
      <c r="D5" s="47">
        <v>116.4</v>
      </c>
    </row>
    <row r="6" spans="1:5" x14ac:dyDescent="0.35">
      <c r="A6" s="46">
        <v>2</v>
      </c>
      <c r="B6" s="41" t="s">
        <v>242</v>
      </c>
      <c r="C6" s="41" t="s">
        <v>9</v>
      </c>
      <c r="D6" s="47">
        <v>202.5</v>
      </c>
    </row>
    <row r="7" spans="1:5" x14ac:dyDescent="0.35">
      <c r="A7" s="46">
        <v>3</v>
      </c>
      <c r="B7" s="41" t="s">
        <v>243</v>
      </c>
      <c r="C7" s="41" t="s">
        <v>9</v>
      </c>
      <c r="D7" s="47">
        <v>129.80000000000001</v>
      </c>
    </row>
    <row r="8" spans="1:5" x14ac:dyDescent="0.35">
      <c r="A8" s="46">
        <v>4</v>
      </c>
      <c r="B8" s="41" t="s">
        <v>244</v>
      </c>
      <c r="C8" s="41" t="s">
        <v>9</v>
      </c>
      <c r="D8" s="47">
        <v>200.1</v>
      </c>
    </row>
    <row r="9" spans="1:5" x14ac:dyDescent="0.35">
      <c r="A9" s="46">
        <v>5</v>
      </c>
      <c r="B9" s="41" t="s">
        <v>245</v>
      </c>
      <c r="C9" s="41" t="s">
        <v>9</v>
      </c>
      <c r="D9" s="47">
        <v>130.30000000000001</v>
      </c>
    </row>
    <row r="10" spans="1:5" x14ac:dyDescent="0.35">
      <c r="A10" s="46">
        <v>6</v>
      </c>
      <c r="B10" s="41" t="s">
        <v>222</v>
      </c>
      <c r="C10" s="41" t="s">
        <v>9</v>
      </c>
      <c r="D10" s="47">
        <v>200.7</v>
      </c>
    </row>
    <row r="11" spans="1:5" x14ac:dyDescent="0.35">
      <c r="A11" s="46"/>
      <c r="B11" s="41" t="s">
        <v>216</v>
      </c>
      <c r="C11" s="41" t="s">
        <v>9</v>
      </c>
      <c r="D11" s="47">
        <f>SUM(D5:D10)</f>
        <v>979.8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КП</vt:lpstr>
      <vt:lpstr>Расчет</vt:lpstr>
      <vt:lpstr>2.3в3</vt:lpstr>
      <vt:lpstr>1.4ШпЧНП7_3вып</vt:lpstr>
      <vt:lpstr>1.3ШпЧНП5_3вып</vt:lpstr>
      <vt:lpstr>0.3-Шт3вып</vt:lpstr>
      <vt:lpstr>2.2-Пт</vt:lpstr>
      <vt:lpstr>2.1-Пт</vt:lpstr>
      <vt:lpstr>1.2-Пт</vt:lpstr>
      <vt:lpstr>1.1-Пт</vt:lpstr>
      <vt:lpstr>0.2-Шт</vt:lpstr>
      <vt:lpstr>0.1-Шт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2026-01-27T09:00:10Z</dcterms:created>
  <dcterms:modified xsi:type="dcterms:W3CDTF">2026-04-24T14:31:48Z</dcterms:modified>
  <cp:category/>
</cp:coreProperties>
</file>