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ceilling\"/>
    </mc:Choice>
  </mc:AlternateContent>
  <bookViews>
    <workbookView xWindow="0" yWindow="0" windowWidth="12216" windowHeight="5784" tabRatio="786"/>
    <workbookView xWindow="0" yWindow="0" windowWidth="11868" windowHeight="6756" firstSheet="5" activeTab="5"/>
  </bookViews>
  <sheets>
    <sheet name="КП" sheetId="2" r:id="rId1"/>
    <sheet name="READ" sheetId="17" r:id="rId2"/>
    <sheet name="РсчКрс" sheetId="20" r:id="rId3"/>
    <sheet name="Table 1" sheetId="21" r:id="rId4"/>
    <sheet name="Расчет" sheetId="4" r:id="rId5"/>
    <sheet name="3.1Пыль3.1в" sheetId="24" r:id="rId6"/>
    <sheet name="2.4Крск3.1в" sheetId="19" r:id="rId7"/>
    <sheet name="2.3в3" sheetId="15" r:id="rId8"/>
    <sheet name="2.2-Пт" sheetId="10" r:id="rId9"/>
    <sheet name="2.1-Пт" sheetId="6" r:id="rId10"/>
    <sheet name="1.2-Пт" sheetId="9" r:id="rId11"/>
    <sheet name="1.5Шп3.1в" sheetId="18" r:id="rId12"/>
    <sheet name="1.4ШпЧНП7_3вып" sheetId="14" r:id="rId13"/>
    <sheet name="1.3ШпЧНП5_3вып" sheetId="13" r:id="rId14"/>
    <sheet name="1.1-Пт" sheetId="3" r:id="rId15"/>
    <sheet name="0.4Шт3.1в" sheetId="16" r:id="rId16"/>
    <sheet name="0.3-Шт3вып" sheetId="12" r:id="rId17"/>
    <sheet name="0.2-Шт" sheetId="11" r:id="rId18"/>
    <sheet name="0.1-Шт" sheetId="8" r:id="rId19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24" l="1"/>
  <c r="F2" i="24"/>
  <c r="F3" i="24" s="1"/>
  <c r="D49" i="20" l="1"/>
  <c r="C49" i="20"/>
  <c r="H244" i="21"/>
  <c r="D235" i="21"/>
  <c r="D238" i="21"/>
  <c r="D239" i="21"/>
  <c r="D240" i="21"/>
  <c r="D241" i="21"/>
  <c r="D242" i="21"/>
  <c r="D243" i="21"/>
  <c r="D244" i="21" l="1"/>
  <c r="A32" i="20"/>
  <c r="A31" i="20"/>
  <c r="A30" i="20"/>
  <c r="A29" i="20"/>
  <c r="A28" i="20"/>
  <c r="A27" i="20"/>
  <c r="G3" i="19"/>
  <c r="G4" i="19"/>
  <c r="G5" i="19"/>
  <c r="G2" i="19"/>
  <c r="D45" i="19"/>
  <c r="G6" i="19" l="1"/>
  <c r="G9" i="18"/>
  <c r="G8" i="18"/>
  <c r="G7" i="18"/>
  <c r="G6" i="18"/>
  <c r="D49" i="18"/>
  <c r="G5" i="18"/>
  <c r="G4" i="18"/>
  <c r="G3" i="18"/>
  <c r="G2" i="18"/>
  <c r="E9" i="14"/>
  <c r="E2" i="14" s="1"/>
  <c r="E3" i="14" s="1"/>
  <c r="D48" i="16"/>
  <c r="F3" i="16"/>
  <c r="F4" i="16"/>
  <c r="F5" i="16"/>
  <c r="F2" i="16"/>
  <c r="G10" i="18" l="1"/>
  <c r="F6" i="16"/>
  <c r="D13" i="15" l="1"/>
  <c r="E3" i="15" s="1"/>
  <c r="D9" i="15"/>
  <c r="E2" i="15" s="1"/>
  <c r="E9" i="13"/>
  <c r="E2" i="13" s="1"/>
  <c r="E3" i="13" l="1"/>
  <c r="E8" i="12"/>
  <c r="F2" i="12" s="1"/>
  <c r="J41" i="4"/>
  <c r="J42" i="4"/>
  <c r="J43" i="4"/>
  <c r="J44" i="4"/>
  <c r="J45" i="4"/>
  <c r="J46" i="4"/>
  <c r="J47" i="4"/>
  <c r="J48" i="4"/>
  <c r="J49" i="4"/>
  <c r="J50" i="4"/>
  <c r="J51" i="4"/>
  <c r="J40" i="4"/>
  <c r="B6" i="10" l="1"/>
  <c r="B7" i="10"/>
  <c r="B5" i="10"/>
  <c r="B6" i="11"/>
  <c r="B7" i="11"/>
  <c r="B5" i="11"/>
  <c r="D6" i="11"/>
  <c r="D7" i="11"/>
  <c r="D5" i="11"/>
  <c r="D6" i="10"/>
  <c r="D7" i="10"/>
  <c r="D5" i="10"/>
  <c r="D9" i="9"/>
  <c r="E2" i="9"/>
  <c r="E3" i="9" s="1"/>
  <c r="D11" i="8"/>
  <c r="E2" i="8" s="1"/>
  <c r="D8" i="10" l="1"/>
  <c r="E2" i="10" s="1"/>
  <c r="D8" i="11"/>
  <c r="E2" i="11" s="1"/>
  <c r="D11" i="6"/>
  <c r="E2" i="6"/>
  <c r="D12" i="3"/>
  <c r="E2" i="3" s="1"/>
  <c r="E3" i="3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J7" i="4"/>
  <c r="J8" i="4"/>
  <c r="J9" i="4"/>
  <c r="J10" i="4"/>
  <c r="J11" i="4"/>
  <c r="J6" i="4"/>
</calcChain>
</file>

<file path=xl/sharedStrings.xml><?xml version="1.0" encoding="utf-8"?>
<sst xmlns="http://schemas.openxmlformats.org/spreadsheetml/2006/main" count="1625" uniqueCount="379">
  <si>
    <t>Номер п/п</t>
  </si>
  <si>
    <t>Код узла ИСР</t>
  </si>
  <si>
    <t>Наименование затрат</t>
  </si>
  <si>
    <t>Комментарий по ИСР</t>
  </si>
  <si>
    <t>Ед. изм.</t>
  </si>
  <si>
    <t>Коэф.расхода</t>
  </si>
  <si>
    <t>Кол-во БО</t>
  </si>
  <si>
    <t>Общее кол-во</t>
  </si>
  <si>
    <t>1.1</t>
  </si>
  <si>
    <t>м2</t>
  </si>
  <si>
    <t>кг</t>
  </si>
  <si>
    <t>шт</t>
  </si>
  <si>
    <t>пог. м</t>
  </si>
  <si>
    <t>Грунтовка универсальный ЛАСТИМИН_ / УНКОНТ ЛЮКС LP51 А</t>
  </si>
  <si>
    <t>Грунтовка универсальный ЛАСТИМИН_ / LP-51 А</t>
  </si>
  <si>
    <t>Штукатурка гипсовая_ / Унифицированная по ПИК-СТАНДАРТ, 30кг</t>
  </si>
  <si>
    <t>Подготовка поверхности СКБ / стен / ГКЛ, ПГП / 2мм</t>
  </si>
  <si>
    <t>Шпатлевка цементная</t>
  </si>
  <si>
    <t>Шпатлевка гипсовая_ / белая / Унифицированная по ПИК-СТАНДАРТ, 30кг</t>
  </si>
  <si>
    <t>Подготовка поверхности СКБ / стен / по штукатурке / 2мм</t>
  </si>
  <si>
    <t>Штукатурка цементная</t>
  </si>
  <si>
    <t>Грунтовка БЕТОН-КОНТАКТ_/</t>
  </si>
  <si>
    <t>Краска негорючая моющаяся Protect Decor_ / RAL 9003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</si>
  <si>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</si>
  <si>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</si>
  <si>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</si>
  <si>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</si>
  <si>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</si>
  <si>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</si>
  <si>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</si>
  <si>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</si>
  <si>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</si>
  <si>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</si>
  <si>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1.1.3.1.1.3.1.1.1</t>
  </si>
  <si>
    <t>1.1.3.1.1.3.1.1.2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</si>
  <si>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</si>
  <si>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</si>
  <si>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</si>
  <si>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1.1.3.1.1.3.1.2.2</t>
  </si>
  <si>
    <t>1.1.3.1.1.3.1.3</t>
  </si>
  <si>
    <t>6.3.1.5.3.1.6.4</t>
  </si>
  <si>
    <t xml:space="preserve">1-4 этажи. Шпаклевка гипсовая базовая т.2 мм. Тип: ЧНП-3, ЧНП-6, ЧНП-7 
</t>
  </si>
  <si>
    <t>1.1.3.1.1.3.1.3.1</t>
  </si>
  <si>
    <t>1.1.3.1.1.3.1.3.2</t>
  </si>
  <si>
    <t>1.1.3.1.1.3.1.4</t>
  </si>
  <si>
    <t xml:space="preserve">1-4 этажи. Шпаклевка гипсовая базовая т.2 мм. Тип: ЧНП-3, ЧНП-6, ЧНП-7 </t>
  </si>
  <si>
    <t>1.1.3.1.1.3.1.4.1</t>
  </si>
  <si>
    <t>1.1.3.1.1.3.1.4.2</t>
  </si>
  <si>
    <t>1.1.3.1.1.3.1.5</t>
  </si>
  <si>
    <t>6.3.1.5.3.1.6.5</t>
  </si>
  <si>
    <t>Подвал, 1-4 этажи. Шпаклевка цементная базовая т.2 мм. Тип: ЧНП-2</t>
  </si>
  <si>
    <t>1.1.3.1.1.3.1.5.1</t>
  </si>
  <si>
    <t>1.1.3.1.1.3.1.5.2</t>
  </si>
  <si>
    <t>1.1.3.1.1.3.1.6</t>
  </si>
  <si>
    <t>Подвал, 1-4 этажи. Шпаклевка цементная финишная т.2 мм. Тип: ЧНП-2</t>
  </si>
  <si>
    <t>1.1.3.1.1.3.1.6.1</t>
  </si>
  <si>
    <t>1.1.3.1.1.3.1.6.2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</si>
  <si>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</si>
  <si>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</si>
  <si>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</si>
  <si>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</si>
  <si>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1.1.3.1.1.3.1.7.1</t>
  </si>
  <si>
    <t>Шпатлевка гипсовая_ / белая / Унифицированная по ПИК-СТАНДАРТ, 30кг (BIM)</t>
  </si>
  <si>
    <t>1.1.3.1.1.3.1.7.2</t>
  </si>
  <si>
    <t>1.1.3.1.1.3.1.8</t>
  </si>
  <si>
    <t>Подвал, 1-4 этажи. Шпаклевка гипсовая финишная т.2 мм. Тип: ЧНП-5</t>
  </si>
  <si>
    <t>1.1.3.1.1.3.1.8.1</t>
  </si>
  <si>
    <t>1.1.3.1.1.3.1.8.2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</si>
  <si>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</si>
  <si>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</si>
  <si>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</si>
  <si>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</si>
  <si>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</si>
  <si>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</si>
  <si>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</si>
  <si>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1.1.3.1.1.3.2.1.1</t>
  </si>
  <si>
    <t>1.1.3.1.1.3.2.1.2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</si>
  <si>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</si>
  <si>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</si>
  <si>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</si>
  <si>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1.1.3.1.1.3.2.2.2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</si>
  <si>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</si>
  <si>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</si>
  <si>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</si>
  <si>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1.1.3.1.1.3.2.3.2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</si>
  <si>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</si>
  <si>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</si>
  <si>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</si>
  <si>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1.1.3.1.1.3.2.4.2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</si>
  <si>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</si>
  <si>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</si>
  <si>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</si>
  <si>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1.1.3.1.1.3.2.5.2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</si>
  <si>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</si>
  <si>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</si>
  <si>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</si>
  <si>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1.1.3.1.1.3.2.6.2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</si>
  <si>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</si>
  <si>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</si>
  <si>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</si>
  <si>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1.1.3.1.1.3.2.7.2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</si>
  <si>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</si>
  <si>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</si>
  <si>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</si>
  <si>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1.1.3.1.1.3.2.8.2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</si>
  <si>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</si>
  <si>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</si>
  <si>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</si>
  <si>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1.1.3.1.1.3.2.9.2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</si>
  <si>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</si>
  <si>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</si>
  <si>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</si>
  <si>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1.1.3.1.1.3.2.10.2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</si>
  <si>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</si>
  <si>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</si>
  <si>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</si>
  <si>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1.1.3.1.1.3.2.11.2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</si>
  <si>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</si>
  <si>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</si>
  <si>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</si>
  <si>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</si>
  <si>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</si>
  <si>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</si>
  <si>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1.1.3.1.1.4.2</t>
  </si>
  <si>
    <t>6.3.1.5.4.4.1</t>
  </si>
  <si>
    <t>Монтаж подвесного потолка СКБ / из акустических древесных плит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</si>
  <si>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</si>
  <si>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</si>
  <si>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</si>
  <si>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</si>
  <si>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</si>
  <si>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</si>
  <si>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</si>
  <si>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</si>
  <si>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</si>
  <si>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</si>
  <si>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</si>
  <si>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1.1.3.1.1.4.5</t>
  </si>
  <si>
    <t>Тип: ПТБ-1.3</t>
  </si>
  <si>
    <t>1.1.3.1.1.4.5.1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</si>
  <si>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</si>
  <si>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</si>
  <si>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</si>
  <si>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</si>
  <si>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</si>
  <si>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</si>
  <si>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</si>
  <si>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</si>
  <si>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</si>
  <si>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</si>
  <si>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</si>
  <si>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</si>
  <si>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1.1.3.1.1.4.9</t>
  </si>
  <si>
    <t>Тип: ПТБ-2.3</t>
  </si>
  <si>
    <t>1.1.3.1.1.4.9.1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</si>
  <si>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</si>
  <si>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</si>
  <si>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</si>
  <si>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</si>
  <si>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</si>
  <si>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</si>
  <si>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</si>
  <si>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</si>
  <si>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</si>
  <si>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</si>
  <si>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</si>
  <si>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</si>
  <si>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</si>
  <si>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</si>
  <si>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</si>
  <si>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</si>
  <si>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1.1.3.1.1.4.13.1</t>
  </si>
  <si>
    <t>Шпаклевка д/заделки швов, ШОВСИЛК_/Т33</t>
  </si>
  <si>
    <t>1.1.3.1.1.4.13.2</t>
  </si>
  <si>
    <t>Удлинитель профилей_/потолочный/60*27</t>
  </si>
  <si>
    <t>1.1.3.1.1.4.13.3</t>
  </si>
  <si>
    <t>Соединитель профилей одноуровневый_/потолочный/60*27</t>
  </si>
  <si>
    <t>1.1.3.1.1.4.13.4</t>
  </si>
  <si>
    <t>Шуруп_/3,5*35</t>
  </si>
  <si>
    <t>1.1.3.1.1.4.13.5</t>
  </si>
  <si>
    <t>Плита Кнауф Файерборд_ / 2500х1200х12.5 м</t>
  </si>
  <si>
    <t>1.1.3.1.1.4.13.6</t>
  </si>
  <si>
    <t>Шуруп со сверлом_/3,5*11</t>
  </si>
  <si>
    <t>1.1.3.1.1.4.13.7</t>
  </si>
  <si>
    <t>Лента армирующая ( серпянка)_/50мм</t>
  </si>
  <si>
    <t>1.1.3.1.1.4.13.8</t>
  </si>
  <si>
    <t>Анкер-клин_/6*40</t>
  </si>
  <si>
    <t>1.1.3.1.1.4.13.9</t>
  </si>
  <si>
    <t>Профиль_/потолочный/60*27*0,40/3м</t>
  </si>
  <si>
    <t>1.1.3.1.1.4.13.10</t>
  </si>
  <si>
    <t>Подвес профиля прямой_/потолочный/60*27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</si>
  <si>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</si>
  <si>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</si>
  <si>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</si>
  <si>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1.1.3.1.1.4.14.2</t>
  </si>
  <si>
    <t>1.1.3.1.1.4.14.3</t>
  </si>
  <si>
    <t>Гипсовые строительные плиты_ / влагостойкий / 12,5*1200*2500</t>
  </si>
  <si>
    <t>1.1.3.1.1.4.14.4</t>
  </si>
  <si>
    <t>1.1.3.1.1.4.14.5</t>
  </si>
  <si>
    <t>1.1.3.1.1.4.14.6</t>
  </si>
  <si>
    <t>1.1.3.1.1.4.14.7</t>
  </si>
  <si>
    <t>1.1.3.1.1.4.14.8</t>
  </si>
  <si>
    <t>1.1.3.1.1.4.14.9</t>
  </si>
  <si>
    <t>1.1.3.1.1.4.14.10</t>
  </si>
  <si>
    <t>1.1.3.1.1.4.15</t>
  </si>
  <si>
    <t>6.3.1.5.4.4.4</t>
  </si>
  <si>
    <t>Монтаж подвесного потолка СКБ / типа Армстронг, Грильято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</si>
  <si>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</si>
  <si>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</si>
  <si>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</si>
  <si>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</si>
  <si>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</si>
  <si>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</si>
  <si>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</si>
  <si>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</si>
  <si>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Описание</t>
  </si>
  <si>
    <t>Итог:</t>
  </si>
  <si>
    <t>ЧНП</t>
  </si>
  <si>
    <t>ЧНП-8</t>
  </si>
  <si>
    <t>1.009</t>
  </si>
  <si>
    <t>1.012</t>
  </si>
  <si>
    <t>1.014</t>
  </si>
  <si>
    <t>3.017</t>
  </si>
  <si>
    <t>4.011</t>
  </si>
  <si>
    <t>4.012</t>
  </si>
  <si>
    <t>4.013</t>
  </si>
  <si>
    <t>4.015</t>
  </si>
  <si>
    <t>4.017</t>
  </si>
  <si>
    <t>4.010а</t>
  </si>
  <si>
    <t>ззеленый</t>
  </si>
  <si>
    <t>4.010</t>
  </si>
  <si>
    <t>ЧНП-5</t>
  </si>
  <si>
    <r>
      <rPr>
        <sz val="15.5"/>
        <rFont val="ISOCPEUR"/>
        <family val="2"/>
      </rPr>
      <t>Экспликация помещений 4-го этажа</t>
    </r>
  </si>
  <si>
    <r>
      <rPr>
        <sz val="11"/>
        <rFont val="ISOCPEUR"/>
        <family val="2"/>
      </rPr>
      <t>Номер пом.</t>
    </r>
  </si>
  <si>
    <r>
      <rPr>
        <sz val="11"/>
        <rFont val="ISOCPEUR"/>
        <family val="2"/>
      </rPr>
      <t>Площадь, м²</t>
    </r>
  </si>
  <si>
    <r>
      <rPr>
        <sz val="7"/>
        <rFont val="ISOCPEUR"/>
        <family val="2"/>
      </rPr>
      <t>4.010а</t>
    </r>
  </si>
  <si>
    <t>ЧНП-2</t>
  </si>
  <si>
    <t>ЧНП-4</t>
  </si>
  <si>
    <t>1.2</t>
  </si>
  <si>
    <t>фиолетовое</t>
  </si>
  <si>
    <t>Наименование работ</t>
  </si>
  <si>
    <t>1.015</t>
  </si>
  <si>
    <t>1.016</t>
  </si>
  <si>
    <t>2.014</t>
  </si>
  <si>
    <t>2.015</t>
  </si>
  <si>
    <t>3.016</t>
  </si>
  <si>
    <t>Красное не забрал</t>
  </si>
  <si>
    <t>1.007</t>
  </si>
  <si>
    <t>Рев F</t>
  </si>
  <si>
    <t>Рев E</t>
  </si>
  <si>
    <t xml:space="preserve">ЧНП-3, ЧНП-6, ЧНП-7 
</t>
  </si>
  <si>
    <t>1-3 этажи.
Тип: ЧНП-5</t>
  </si>
  <si>
    <t>1-3 этажи. Шпаклевка гипсовая базовая т.2 мм. Тип: ЧНП-5</t>
  </si>
  <si>
    <t>1.094, 1.94а</t>
  </si>
  <si>
    <t>2.047, 2.047а, 2.047б</t>
  </si>
  <si>
    <t>3.047, 3.047а, 3.047б</t>
  </si>
  <si>
    <t>1-3 этажи. Шпаклевка гипсовая финишная т.2 мм. Тип: ЧНП-5</t>
  </si>
  <si>
    <t>1.4</t>
  </si>
  <si>
    <t>1.3</t>
  </si>
  <si>
    <t>1.5</t>
  </si>
  <si>
    <t>Сумма</t>
  </si>
  <si>
    <t>В конце РД рев F есть ведомость по каждому помещению</t>
  </si>
  <si>
    <t>1.059</t>
  </si>
  <si>
    <t>1.025</t>
  </si>
  <si>
    <t>1.011</t>
  </si>
  <si>
    <t>2.010</t>
  </si>
  <si>
    <t>3.012</t>
  </si>
  <si>
    <t>ЧНП-7</t>
  </si>
  <si>
    <t>Пом</t>
  </si>
  <si>
    <t>Тип</t>
  </si>
  <si>
    <t>1 этаж.
Тип: ЧНП-5</t>
  </si>
  <si>
    <t xml:space="preserve">1-3 этажи. Шпаклевка гипсовая базовая т.2 мм. Тип: ЧНП-7 </t>
  </si>
  <si>
    <t>1-3 этажи. Шпаклевка гипсовая финишная т.2 мм. Тип: ЧНП-7</t>
  </si>
  <si>
    <t>1 этаж. Шпаклевка гипсовая финишная т.2 мм. Тип: ЧНП-5</t>
  </si>
  <si>
    <t>1 этаж. Шпаклевка гипсовая базовая т.2 мм. Тип: ЧНП-5</t>
  </si>
  <si>
    <t xml:space="preserve">Тип: ПТ-2.1. </t>
  </si>
  <si>
    <t xml:space="preserve">Тип: ПТ-2.15. </t>
  </si>
  <si>
    <t>1.092</t>
  </si>
  <si>
    <t>1.087</t>
  </si>
  <si>
    <t>1.088</t>
  </si>
  <si>
    <t>1.091</t>
  </si>
  <si>
    <t>1.093</t>
  </si>
  <si>
    <t>1.089</t>
  </si>
  <si>
    <t>1.090</t>
  </si>
  <si>
    <t>2.049</t>
  </si>
  <si>
    <t>2.043</t>
  </si>
  <si>
    <t>2.044</t>
  </si>
  <si>
    <t>2.046</t>
  </si>
  <si>
    <t>2.048</t>
  </si>
  <si>
    <t>2.045</t>
  </si>
  <si>
    <t>2.042</t>
  </si>
  <si>
    <t>3.038</t>
  </si>
  <si>
    <t>3.039</t>
  </si>
  <si>
    <t>3.051</t>
  </si>
  <si>
    <t>3.050</t>
  </si>
  <si>
    <t>3.054</t>
  </si>
  <si>
    <t>3.052</t>
  </si>
  <si>
    <t>3.058</t>
  </si>
  <si>
    <t>3.053</t>
  </si>
  <si>
    <t>3.056</t>
  </si>
  <si>
    <t>4.014</t>
  </si>
  <si>
    <t>Штукатурка</t>
  </si>
  <si>
    <t>Штукатурка находится в АР2. Рев Е вроде по КП, не проверял</t>
  </si>
  <si>
    <t>Описание (Тип)</t>
  </si>
  <si>
    <t xml:space="preserve">Простая штукатурка потолка с предварительной огрунтовкой поверхности </t>
  </si>
  <si>
    <t>нет
номера,
не по РД,</t>
  </si>
  <si>
    <t xml:space="preserve">1-4 этажи. Шпаклевка гипсовая базовая т.2 мм. Тип: ЧНП-7 </t>
  </si>
  <si>
    <t xml:space="preserve">1-4 этажи. Шпаклевка гипсовая финишная т.2 мм. Тип: ЧНП-7 </t>
  </si>
  <si>
    <t>1-4 этажи. Шпаклевка гипсовая базовая т.2 мм. Тип: ЧНП-5</t>
  </si>
  <si>
    <t>1-4 этажи. Шпаклевка гипсовая финишная т.2 мм. Тип: ЧНП-5</t>
  </si>
  <si>
    <t>Подготовка поверхности СКБ / потолка / по штукатурке /</t>
  </si>
  <si>
    <t xml:space="preserve"> 1-4 этажи. Шпаклевка цементная базовая т.2 мм. Тип: ЧНП-2</t>
  </si>
  <si>
    <t>1-4 этажи. Шпаклевка цементная финишная т.2 мм. Тип: ЧНП-2</t>
  </si>
  <si>
    <t>н/н</t>
  </si>
  <si>
    <t>Поз.</t>
  </si>
  <si>
    <t>Наименование работ
(Потолок)</t>
  </si>
  <si>
    <t>Шпаклевка</t>
  </si>
  <si>
    <t>Краска</t>
  </si>
  <si>
    <t>Для краски есть РД, соответс КП</t>
  </si>
  <si>
    <t>ПТ-2.15</t>
  </si>
  <si>
    <t>ПТ-11</t>
  </si>
  <si>
    <t>ПТ-2.1</t>
  </si>
  <si>
    <t>2.011</t>
  </si>
  <si>
    <t>2.008</t>
  </si>
  <si>
    <t>3.010</t>
  </si>
  <si>
    <t>3.013</t>
  </si>
  <si>
    <t>Общее кол-во,
м2.</t>
  </si>
  <si>
    <t>ПТ-5</t>
  </si>
  <si>
    <t>В конце РД рев F, E есть ведомость по каждому помещению</t>
  </si>
  <si>
    <t>1</t>
  </si>
  <si>
    <t>2</t>
  </si>
  <si>
    <t>2.1</t>
  </si>
  <si>
    <t>2.9</t>
  </si>
  <si>
    <t>2.12</t>
  </si>
  <si>
    <t>2.13</t>
  </si>
  <si>
    <t>2.14</t>
  </si>
  <si>
    <t>2.15</t>
  </si>
  <si>
    <t>2.16</t>
  </si>
  <si>
    <t>5</t>
  </si>
  <si>
    <t>8</t>
  </si>
  <si>
    <t>10</t>
  </si>
  <si>
    <t>11</t>
  </si>
  <si>
    <t>рд</t>
  </si>
  <si>
    <t>кп</t>
  </si>
  <si>
    <t>в АР2 ошибка в объемах надо составить полностью свою ведомость</t>
  </si>
  <si>
    <t>Нет номера,
НЗ</t>
  </si>
  <si>
    <t>ЧНП-6</t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</si>
  <si>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смесями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проникновения;</t>
    </r>
  </si>
  <si>
    <r>
      <rPr>
        <i/>
        <sz val="11"/>
        <rFont val="ISOCPEUR"/>
        <family val="2"/>
      </rPr>
      <t>ЧНП-2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</si>
  <si>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</t>
    </r>
  </si>
  <si>
    <r>
      <rPr>
        <i/>
        <sz val="11"/>
        <rFont val="ISOCPEUR"/>
        <family val="2"/>
      </rPr>
      <t>ЧНП-8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</si>
  <si>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Бетонконтактом;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смесями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</t>
    </r>
  </si>
  <si>
    <r>
      <rPr>
        <i/>
        <sz val="11"/>
        <rFont val="ISOCPEUR"/>
        <family val="2"/>
      </rPr>
      <t>ЧНП-5</t>
    </r>
  </si>
  <si>
    <r>
      <rPr>
        <i/>
        <sz val="11"/>
        <rFont val="ISOCPEUR"/>
        <family val="2"/>
      </rPr>
      <t>4.010а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</si>
  <si>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слой.</t>
    </r>
  </si>
  <si>
    <r>
      <rPr>
        <i/>
        <sz val="11"/>
        <rFont val="ISOCPEUR"/>
        <family val="2"/>
      </rPr>
      <t>ЧНП-4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</si>
  <si>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заделка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швов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серпянкой;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Knauff-тиффенгрунд;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краски.</t>
    </r>
  </si>
  <si>
    <r>
      <rPr>
        <i/>
        <sz val="11"/>
        <rFont val="ISOCPEUR"/>
        <family val="2"/>
      </rPr>
      <t>ЧНП-7</t>
    </r>
  </si>
  <si>
    <r>
      <rPr>
        <i/>
        <sz val="11"/>
        <rFont val="ISOCPEUR"/>
        <family val="2"/>
      </rPr>
      <t>3.047б</t>
    </r>
  </si>
  <si>
    <r>
      <rPr>
        <i/>
        <sz val="11"/>
        <rFont val="ISOCPEUR"/>
        <family val="2"/>
      </rPr>
      <t>3.047а</t>
    </r>
  </si>
  <si>
    <r>
      <rPr>
        <i/>
        <sz val="11"/>
        <rFont val="ISOCPEUR"/>
        <family val="2"/>
      </rPr>
      <t>2.047б</t>
    </r>
  </si>
  <si>
    <r>
      <rPr>
        <i/>
        <sz val="11"/>
        <rFont val="ISOCPEUR"/>
        <family val="2"/>
      </rPr>
      <t>2.047а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</si>
  <si>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мин.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Технофас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Оптима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(ρ=101-10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кг/м3,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λ=0,041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Вт/м°)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50мм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зашивном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потолке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Файерборда.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заделка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швов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серпянкой;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Knauff-тиффенгрунд;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краски.</t>
    </r>
  </si>
  <si>
    <r>
      <rPr>
        <i/>
        <sz val="11"/>
        <rFont val="ISOCPEUR"/>
        <family val="2"/>
      </rPr>
      <t>ЧНП-6</t>
    </r>
  </si>
  <si>
    <r>
      <rPr>
        <i/>
        <sz val="11"/>
        <rFont val="ISOCPEUR"/>
        <family val="2"/>
      </rPr>
      <t>1.094а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</si>
  <si>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</si>
  <si>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м2</t>
    </r>
  </si>
  <si>
    <r>
      <rPr>
        <i/>
        <sz val="13"/>
        <rFont val="ISOCPEUR"/>
        <family val="2"/>
      </rPr>
      <t>Состав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</si>
  <si>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</si>
  <si>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№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</si>
  <si>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t>Составил по пом.-ям общую ведомость</t>
  </si>
  <si>
    <t>ПТ</t>
  </si>
  <si>
    <t>ПО КП</t>
  </si>
  <si>
    <t xml:space="preserve">ЧНП-3, ЧНП-6, ЧНП-7 </t>
  </si>
  <si>
    <t>ЧНП-1</t>
  </si>
  <si>
    <t>ЧНП-3</t>
  </si>
  <si>
    <t>в папке "не актуально"</t>
  </si>
  <si>
    <t>Обработка полов гидрофобизирующим составом</t>
  </si>
  <si>
    <t>Обеспыливание поверхности потолка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</si>
</sst>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"/>
    <numFmt numFmtId="166" formatCode="#,##0.0"/>
  </numFmts>
  <fonts count="29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5.5"/>
      <name val="ISOCPEUR"/>
      <family val="2"/>
      <charset val="204"/>
    </font>
    <font>
      <sz val="15.5"/>
      <name val="ISOCPEUR"/>
      <family val="2"/>
    </font>
    <font>
      <sz val="11"/>
      <name val="ISOCPEUR"/>
      <family val="2"/>
      <charset val="204"/>
    </font>
    <font>
      <sz val="11"/>
      <name val="ISOCPEUR"/>
      <family val="2"/>
    </font>
    <font>
      <sz val="7"/>
      <color rgb="FF000000"/>
      <name val="ISOCPEUR"/>
      <family val="2"/>
    </font>
    <font>
      <sz val="7"/>
      <name val="ISOCPEUR"/>
      <family val="2"/>
      <charset val="204"/>
    </font>
    <font>
      <sz val="7"/>
      <name val="ISOCPEUR"/>
      <family val="2"/>
    </font>
    <font>
      <sz val="11"/>
      <color rgb="FFFF0000"/>
      <name val="Calibri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sz val="14"/>
      <color rgb="FF000000"/>
      <name val="Calibri"/>
      <family val="2"/>
      <charset val="204"/>
    </font>
    <font>
      <sz val="11"/>
      <name val="Calibri"/>
      <family val="2"/>
      <charset val="204"/>
    </font>
    <font>
      <sz val="10"/>
      <color rgb="FF000000"/>
      <name val="Times New Roman"/>
      <charset val="204"/>
    </font>
    <font>
      <i/>
      <sz val="11"/>
      <color rgb="FF000000"/>
      <name val="ISOCPEUR"/>
    </font>
    <font>
      <i/>
      <sz val="11"/>
      <name val="ISOCPEUR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3"/>
      <name val="ISOCPEUR"/>
    </font>
    <font>
      <i/>
      <sz val="13"/>
      <name val="ISOCPEUR"/>
      <family val="2"/>
    </font>
    <font>
      <sz val="13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0" fillId="0" borderId="0"/>
  </cellStyleXfs>
  <cellXfs count="116">
    <xf numFmtId="0" fontId="0" fillId="0" borderId="0" xfId="0"/>
    <xf numFmtId="0" fontId="2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7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0" fillId="0" borderId="11" xfId="0" applyBorder="1"/>
    <xf numFmtId="0" fontId="7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8" fillId="0" borderId="0" xfId="0" applyFont="1"/>
    <xf numFmtId="0" fontId="8" fillId="0" borderId="11" xfId="0" applyFont="1" applyBorder="1"/>
    <xf numFmtId="0" fontId="11" fillId="0" borderId="6" xfId="0" applyFont="1" applyFill="1" applyBorder="1" applyAlignment="1">
      <alignment horizontal="left" vertical="top" wrapText="1" indent="1"/>
    </xf>
    <xf numFmtId="0" fontId="11" fillId="0" borderId="6" xfId="0" applyFont="1" applyFill="1" applyBorder="1" applyAlignment="1">
      <alignment horizontal="center" vertical="top" wrapText="1"/>
    </xf>
    <xf numFmtId="3" fontId="13" fillId="0" borderId="6" xfId="0" applyNumberFormat="1" applyFont="1" applyFill="1" applyBorder="1" applyAlignment="1">
      <alignment horizontal="center" vertical="top" shrinkToFit="1"/>
    </xf>
    <xf numFmtId="165" fontId="13" fillId="0" borderId="6" xfId="0" applyNumberFormat="1" applyFont="1" applyFill="1" applyBorder="1" applyAlignment="1">
      <alignment horizontal="center" vertical="top" shrinkToFit="1"/>
    </xf>
    <xf numFmtId="3" fontId="13" fillId="0" borderId="6" xfId="0" applyNumberFormat="1" applyFont="1" applyFill="1" applyBorder="1" applyAlignment="1">
      <alignment horizontal="center" vertical="center" shrinkToFit="1"/>
    </xf>
    <xf numFmtId="165" fontId="13" fillId="0" borderId="6" xfId="0" applyNumberFormat="1" applyFont="1" applyFill="1" applyBorder="1" applyAlignment="1">
      <alignment horizontal="center" vertical="center" shrinkToFit="1"/>
    </xf>
    <xf numFmtId="0" fontId="14" fillId="0" borderId="6" xfId="0" applyFont="1" applyFill="1" applyBorder="1" applyAlignment="1">
      <alignment horizontal="center" vertical="top" wrapText="1"/>
    </xf>
    <xf numFmtId="49" fontId="8" fillId="0" borderId="0" xfId="0" applyNumberFormat="1" applyFont="1"/>
    <xf numFmtId="0" fontId="16" fillId="0" borderId="11" xfId="0" applyFont="1" applyBorder="1"/>
    <xf numFmtId="0" fontId="6" fillId="0" borderId="11" xfId="0" applyFont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left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166" fontId="6" fillId="0" borderId="11" xfId="0" applyNumberFormat="1" applyFont="1" applyBorder="1" applyAlignment="1">
      <alignment horizontal="center" vertical="center" wrapText="1"/>
    </xf>
    <xf numFmtId="0" fontId="18" fillId="0" borderId="0" xfId="0" applyFont="1"/>
    <xf numFmtId="166" fontId="6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/>
    </xf>
    <xf numFmtId="0" fontId="8" fillId="0" borderId="0" xfId="0" applyFont="1" applyAlignment="1">
      <alignment wrapText="1"/>
    </xf>
    <xf numFmtId="0" fontId="19" fillId="0" borderId="11" xfId="0" applyFont="1" applyBorder="1"/>
    <xf numFmtId="0" fontId="7" fillId="0" borderId="11" xfId="0" applyFont="1" applyBorder="1"/>
    <xf numFmtId="0" fontId="6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17" fillId="4" borderId="11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166" fontId="6" fillId="4" borderId="11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49" fontId="0" fillId="0" borderId="0" xfId="0" applyNumberFormat="1"/>
    <xf numFmtId="0" fontId="10" fillId="0" borderId="10" xfId="0" applyFont="1" applyFill="1" applyBorder="1" applyAlignment="1">
      <alignment horizontal="center" vertical="top" wrapText="1"/>
    </xf>
    <xf numFmtId="0" fontId="9" fillId="0" borderId="0" xfId="0" applyFont="1" applyFill="1" applyBorder="1" applyAlignment="1">
      <alignment horizontal="center" vertical="top" wrapText="1"/>
    </xf>
    <xf numFmtId="0" fontId="9" fillId="0" borderId="1" xfId="0" applyFont="1" applyFill="1" applyBorder="1" applyAlignment="1">
      <alignment horizontal="center" vertical="top" wrapText="1"/>
    </xf>
    <xf numFmtId="0" fontId="9" fillId="0" borderId="2" xfId="0" applyFont="1" applyFill="1" applyBorder="1" applyAlignment="1">
      <alignment horizontal="center" vertical="top" wrapText="1"/>
    </xf>
    <xf numFmtId="165" fontId="13" fillId="0" borderId="1" xfId="0" applyNumberFormat="1" applyFont="1" applyFill="1" applyBorder="1" applyAlignment="1">
      <alignment horizontal="right" vertical="top" indent="6" shrinkToFit="1"/>
    </xf>
    <xf numFmtId="165" fontId="13" fillId="0" borderId="2" xfId="0" applyNumberFormat="1" applyFont="1" applyFill="1" applyBorder="1" applyAlignment="1">
      <alignment horizontal="right" vertical="top" indent="6" shrinkToFit="1"/>
    </xf>
    <xf numFmtId="0" fontId="18" fillId="0" borderId="15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7" fillId="0" borderId="12" xfId="0" applyFont="1" applyFill="1" applyBorder="1" applyAlignment="1">
      <alignment horizontal="left" vertical="center" wrapText="1"/>
    </xf>
    <xf numFmtId="0" fontId="17" fillId="0" borderId="13" xfId="0" applyFont="1" applyFill="1" applyBorder="1" applyAlignment="1">
      <alignment horizontal="left" vertical="center" wrapText="1"/>
    </xf>
    <xf numFmtId="0" fontId="17" fillId="4" borderId="12" xfId="0" applyFont="1" applyFill="1" applyBorder="1" applyAlignment="1">
      <alignment horizontal="left" vertical="center" wrapText="1"/>
    </xf>
    <xf numFmtId="0" fontId="17" fillId="4" borderId="13" xfId="0" applyFont="1" applyFill="1" applyBorder="1" applyAlignment="1">
      <alignment horizontal="left" vertical="center" wrapText="1"/>
    </xf>
    <xf numFmtId="0" fontId="18" fillId="0" borderId="16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left" vertical="center" wrapText="1"/>
    </xf>
    <xf numFmtId="0" fontId="17" fillId="3" borderId="13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center"/>
    </xf>
    <xf numFmtId="0" fontId="20" fillId="0" borderId="0" xfId="1" applyFill="1" applyBorder="1" applyAlignment="1">
      <alignment horizontal="left" vertical="top"/>
    </xf>
    <xf numFmtId="0" fontId="20" fillId="0" borderId="8" xfId="1" applyFill="1" applyBorder="1" applyAlignment="1">
      <alignment horizontal="left" vertical="top" wrapText="1"/>
    </xf>
    <xf numFmtId="165" fontId="21" fillId="0" borderId="4" xfId="1" applyNumberFormat="1" applyFont="1" applyFill="1" applyBorder="1" applyAlignment="1">
      <alignment horizontal="left" vertical="top" shrinkToFit="1"/>
    </xf>
    <xf numFmtId="0" fontId="20" fillId="0" borderId="4" xfId="1" applyFill="1" applyBorder="1" applyAlignment="1">
      <alignment horizontal="left" vertical="top" wrapText="1"/>
    </xf>
    <xf numFmtId="0" fontId="22" fillId="0" borderId="4" xfId="1" applyFont="1" applyFill="1" applyBorder="1" applyAlignment="1">
      <alignment horizontal="left" vertical="top" wrapText="1"/>
    </xf>
    <xf numFmtId="3" fontId="21" fillId="0" borderId="7" xfId="1" applyNumberFormat="1" applyFont="1" applyFill="1" applyBorder="1" applyAlignment="1">
      <alignment horizontal="left" vertical="top" shrinkToFit="1"/>
    </xf>
    <xf numFmtId="165" fontId="23" fillId="0" borderId="4" xfId="1" applyNumberFormat="1" applyFont="1" applyFill="1" applyBorder="1" applyAlignment="1">
      <alignment horizontal="left" vertical="top" shrinkToFit="1"/>
    </xf>
    <xf numFmtId="3" fontId="23" fillId="0" borderId="7" xfId="1" applyNumberFormat="1" applyFont="1" applyFill="1" applyBorder="1" applyAlignment="1">
      <alignment horizontal="left" vertical="top" shrinkToFit="1"/>
    </xf>
    <xf numFmtId="0" fontId="20" fillId="0" borderId="1" xfId="1" applyFill="1" applyBorder="1" applyAlignment="1">
      <alignment horizontal="left" wrapText="1"/>
    </xf>
    <xf numFmtId="165" fontId="23" fillId="0" borderId="6" xfId="1" applyNumberFormat="1" applyFont="1" applyFill="1" applyBorder="1" applyAlignment="1">
      <alignment horizontal="left" vertical="top" shrinkToFit="1"/>
    </xf>
    <xf numFmtId="0" fontId="20" fillId="0" borderId="6" xfId="1" applyFill="1" applyBorder="1" applyAlignment="1">
      <alignment horizontal="left" vertical="top" wrapText="1"/>
    </xf>
    <xf numFmtId="0" fontId="22" fillId="0" borderId="6" xfId="1" applyFont="1" applyFill="1" applyBorder="1" applyAlignment="1">
      <alignment horizontal="left" vertical="top" wrapText="1"/>
    </xf>
    <xf numFmtId="3" fontId="23" fillId="0" borderId="3" xfId="1" applyNumberFormat="1" applyFont="1" applyFill="1" applyBorder="1" applyAlignment="1">
      <alignment horizontal="left" vertical="top" shrinkToFit="1"/>
    </xf>
    <xf numFmtId="0" fontId="20" fillId="0" borderId="1" xfId="1" applyFill="1" applyBorder="1" applyAlignment="1">
      <alignment horizontal="left" vertical="top" wrapText="1"/>
    </xf>
    <xf numFmtId="0" fontId="22" fillId="0" borderId="3" xfId="1" applyFont="1" applyFill="1" applyBorder="1" applyAlignment="1">
      <alignment horizontal="left" vertical="top" wrapText="1"/>
    </xf>
    <xf numFmtId="0" fontId="26" fillId="0" borderId="18" xfId="1" applyFont="1" applyFill="1" applyBorder="1" applyAlignment="1">
      <alignment horizontal="center" vertical="center" wrapText="1"/>
    </xf>
    <xf numFmtId="0" fontId="20" fillId="0" borderId="19" xfId="1" applyFill="1" applyBorder="1" applyAlignment="1">
      <alignment horizontal="left" vertical="top" wrapText="1" indent="1"/>
    </xf>
    <xf numFmtId="0" fontId="20" fillId="0" borderId="19" xfId="1" applyFill="1" applyBorder="1" applyAlignment="1">
      <alignment horizontal="center" vertical="center" wrapText="1"/>
    </xf>
    <xf numFmtId="0" fontId="26" fillId="0" borderId="19" xfId="1" applyFont="1" applyFill="1" applyBorder="1" applyAlignment="1">
      <alignment horizontal="left" vertical="center" wrapText="1" indent="2"/>
    </xf>
    <xf numFmtId="0" fontId="20" fillId="0" borderId="20" xfId="1" applyFill="1" applyBorder="1" applyAlignment="1">
      <alignment horizontal="center" vertical="top" wrapText="1"/>
    </xf>
    <xf numFmtId="49" fontId="0" fillId="0" borderId="11" xfId="0" applyNumberFormat="1" applyBorder="1"/>
    <xf numFmtId="0" fontId="18" fillId="0" borderId="17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166" fontId="6" fillId="4" borderId="1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17" fillId="4" borderId="11" xfId="0" applyFont="1" applyFill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21"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1:I111" totalsRowShown="0" headerRowDxfId="20" tableBorderDxfId="19">
  <autoFilter ref="A1:I111"/>
  <tableColumns count="9">
    <tableColumn id="1" name="Номер п/п" dataDxfId="18"/>
    <tableColumn id="2" name="Код узла ИСР" dataDxfId="17"/>
    <tableColumn id="3" name="Наименование затрат"/>
    <tableColumn id="4" name="Комментарий по ИСР" dataDxfId="16"/>
    <tableColumn id="5" name="Описание" dataDxfId="15"/>
    <tableColumn id="6" name="Ед. изм." dataDxfId="14"/>
    <tableColumn id="7" name="Коэф.расхода" dataDxfId="13"/>
    <tableColumn id="8" name="Кол-во БО"/>
    <tableColumn id="9" name="Общее кол-во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1:E235" totalsRowCount="1" headerRowBorderDxfId="11" tableBorderDxfId="12" totalsRowBorderDxfId="10">
  <autoFilter ref="A1:E234">
    <filterColumn colId="1">
      <filters>
        <filter val="ЧНП-4"/>
      </filters>
    </filterColumn>
  </autoFilter>
  <tableColumns count="5">
    <tableColumn id="1" name="№ помеще ния" dataDxfId="8" totalsRowDxfId="9"/>
    <tableColumn id="2" name="Марка" dataDxfId="6" totalsRowDxfId="7"/>
    <tableColumn id="3" name="Состав  отделки" dataDxfId="4" totalsRowDxfId="5"/>
    <tableColumn id="4" name="Площадь, м2" totalsRowFunction="custom" dataDxfId="2" totalsRowDxfId="3">
      <totalsRowFormula>SUM(Таблица13[Площадь, м2])</totalsRowFormula>
    </tableColumn>
    <tableColumn id="5" name="Примечание" dataDxfId="0" totalsRow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111"/>
  <sheetViews>
    <sheetView tabSelected="1" topLeftCell="B1" zoomScale="85" zoomScaleNormal="85" workbookViewId="0">
      <selection activeCell="E9" sqref="E9"/>
    </sheetView>
    <sheetView zoomScale="55" zoomScaleNormal="55" workbookViewId="1">
      <selection activeCell="E18" sqref="E18"/>
    </sheetView>
  </sheetViews>
  <sheetFormatPr defaultRowHeight="14.4" x14ac:dyDescent="0.3"/>
  <cols>
    <col min="1" max="1" width="20" customWidth="1"/>
    <col min="2" max="2" width="18" customWidth="1"/>
    <col min="3" max="3" width="55.6640625" customWidth="1"/>
    <col min="4" max="4" width="12.33203125" customWidth="1"/>
    <col min="5" max="5" width="56.33203125" customWidth="1"/>
    <col min="6" max="6" width="16.44140625" customWidth="1"/>
    <col min="7" max="7" width="17.77734375" customWidth="1"/>
    <col min="8" max="8" width="9.33203125" customWidth="1"/>
    <col min="9" max="9" width="18.88671875" customWidth="1"/>
  </cols>
  <sheetData>
    <row r="1" spans="1:9" ht="40.799999999999997" customHeight="1" x14ac:dyDescent="0.3">
      <c r="A1" s="17" t="s">
        <v>0</v>
      </c>
      <c r="B1" s="12" t="s">
        <v>1</v>
      </c>
      <c r="C1" s="12" t="s">
        <v>2</v>
      </c>
      <c r="D1" s="12" t="s">
        <v>3</v>
      </c>
      <c r="E1" s="12" t="s">
        <v>215</v>
      </c>
      <c r="F1" s="12" t="s">
        <v>4</v>
      </c>
      <c r="G1" s="12" t="s">
        <v>5</v>
      </c>
      <c r="H1" s="12" t="s">
        <v>6</v>
      </c>
      <c r="I1" s="18" t="s">
        <v>7</v>
      </c>
    </row>
    <row r="2" spans="1:9" ht="16.95" customHeight="1" x14ac:dyDescent="0.3">
      <c r="A2" s="13" t="s">
        <v>23</v>
      </c>
      <c r="B2" s="1" t="s">
        <v>24</v>
      </c>
      <c r="C2" s="10" t="s">
        <v>25</v>
      </c>
      <c r="D2" s="11"/>
      <c r="E2" s="11"/>
      <c r="F2" s="11"/>
      <c r="G2" s="11"/>
      <c r="H2" s="11"/>
      <c r="I2" s="11"/>
    </row>
    <row r="3" spans="1:9" ht="16.95" customHeight="1" x14ac:dyDescent="0.3">
      <c r="A3" s="13" t="s">
        <v>26</v>
      </c>
      <c r="B3" s="1" t="s">
        <v>27</v>
      </c>
      <c r="C3" s="10" t="s">
        <v>28</v>
      </c>
      <c r="D3" s="11"/>
      <c r="E3" s="11"/>
      <c r="F3" s="11"/>
      <c r="G3" s="11"/>
      <c r="H3" s="11"/>
      <c r="I3" s="11"/>
    </row>
    <row r="4" spans="1:9" ht="54" x14ac:dyDescent="0.3">
      <c r="A4" s="13" t="s">
        <v>29</v>
      </c>
      <c r="B4" s="1" t="s">
        <v>30</v>
      </c>
      <c r="C4" s="2" t="s">
        <v>31</v>
      </c>
      <c r="D4" s="3"/>
      <c r="E4" s="3" t="s">
        <v>32</v>
      </c>
      <c r="F4" s="3" t="s">
        <v>9</v>
      </c>
      <c r="G4" s="4">
        <v>1</v>
      </c>
      <c r="H4" s="4"/>
      <c r="I4" s="14">
        <v>1171.2</v>
      </c>
    </row>
    <row r="5" spans="1:9" ht="18" x14ac:dyDescent="0.3">
      <c r="A5" s="13" t="s">
        <v>33</v>
      </c>
      <c r="B5" s="1"/>
      <c r="C5" s="5" t="s">
        <v>20</v>
      </c>
      <c r="D5" s="3"/>
      <c r="E5" s="3"/>
      <c r="F5" s="6" t="s">
        <v>10</v>
      </c>
      <c r="G5" s="7">
        <v>1.3</v>
      </c>
      <c r="H5" s="9"/>
      <c r="I5" s="15">
        <v>7612.8</v>
      </c>
    </row>
    <row r="6" spans="1:9" ht="36" x14ac:dyDescent="0.3">
      <c r="A6" s="13" t="s">
        <v>34</v>
      </c>
      <c r="B6" s="1"/>
      <c r="C6" s="5" t="s">
        <v>13</v>
      </c>
      <c r="D6" s="3"/>
      <c r="E6" s="3"/>
      <c r="F6" s="6" t="s">
        <v>10</v>
      </c>
      <c r="G6" s="7">
        <v>0.15</v>
      </c>
      <c r="H6" s="7"/>
      <c r="I6" s="16">
        <v>175.68</v>
      </c>
    </row>
    <row r="7" spans="1:9" ht="54" x14ac:dyDescent="0.3">
      <c r="A7" s="13" t="s">
        <v>35</v>
      </c>
      <c r="B7" s="1" t="s">
        <v>30</v>
      </c>
      <c r="C7" s="2" t="s">
        <v>31</v>
      </c>
      <c r="D7" s="3"/>
      <c r="E7" s="3" t="s">
        <v>36</v>
      </c>
      <c r="F7" s="3" t="s">
        <v>9</v>
      </c>
      <c r="G7" s="4">
        <v>1</v>
      </c>
      <c r="H7" s="4"/>
      <c r="I7" s="14">
        <v>7010.2</v>
      </c>
    </row>
    <row r="8" spans="1:9" ht="18" x14ac:dyDescent="0.3">
      <c r="A8" s="13" t="s">
        <v>37</v>
      </c>
      <c r="B8" s="1"/>
      <c r="C8" s="5" t="s">
        <v>21</v>
      </c>
      <c r="D8" s="3"/>
      <c r="E8" s="3"/>
      <c r="F8" s="6" t="s">
        <v>10</v>
      </c>
      <c r="G8" s="7">
        <v>0.25</v>
      </c>
      <c r="H8" s="7"/>
      <c r="I8" s="16">
        <v>1752.55</v>
      </c>
    </row>
    <row r="9" spans="1:9" ht="36" x14ac:dyDescent="0.3">
      <c r="A9" s="13" t="s">
        <v>38</v>
      </c>
      <c r="B9" s="1"/>
      <c r="C9" s="8" t="s">
        <v>15</v>
      </c>
      <c r="D9" s="3"/>
      <c r="E9" s="3"/>
      <c r="F9" s="6" t="s">
        <v>10</v>
      </c>
      <c r="G9" s="7">
        <v>1</v>
      </c>
      <c r="H9" s="9"/>
      <c r="I9" s="15">
        <v>35051</v>
      </c>
    </row>
    <row r="10" spans="1:9" ht="54" x14ac:dyDescent="0.3">
      <c r="A10" s="13" t="s">
        <v>39</v>
      </c>
      <c r="B10" s="1" t="s">
        <v>40</v>
      </c>
      <c r="C10" s="2" t="s">
        <v>16</v>
      </c>
      <c r="D10" s="3"/>
      <c r="E10" s="3" t="s">
        <v>41</v>
      </c>
      <c r="F10" s="3" t="s">
        <v>9</v>
      </c>
      <c r="G10" s="4">
        <v>1</v>
      </c>
      <c r="H10" s="4"/>
      <c r="I10" s="14">
        <v>827.7</v>
      </c>
    </row>
    <row r="11" spans="1:9" ht="36" x14ac:dyDescent="0.3">
      <c r="A11" s="13" t="s">
        <v>42</v>
      </c>
      <c r="B11" s="1"/>
      <c r="C11" s="8" t="s">
        <v>18</v>
      </c>
      <c r="D11" s="3"/>
      <c r="E11" s="3"/>
      <c r="F11" s="6" t="s">
        <v>10</v>
      </c>
      <c r="G11" s="7">
        <v>1.5</v>
      </c>
      <c r="H11" s="7"/>
      <c r="I11" s="16">
        <v>1241.55</v>
      </c>
    </row>
    <row r="12" spans="1:9" ht="36" x14ac:dyDescent="0.3">
      <c r="A12" s="13" t="s">
        <v>43</v>
      </c>
      <c r="B12" s="1"/>
      <c r="C12" s="5" t="s">
        <v>14</v>
      </c>
      <c r="D12" s="3"/>
      <c r="E12" s="3"/>
      <c r="F12" s="6" t="s">
        <v>10</v>
      </c>
      <c r="G12" s="7">
        <v>0.15</v>
      </c>
      <c r="H12" s="7"/>
      <c r="I12" s="16">
        <v>124.155</v>
      </c>
    </row>
    <row r="13" spans="1:9" ht="36" x14ac:dyDescent="0.3">
      <c r="A13" s="13" t="s">
        <v>44</v>
      </c>
      <c r="B13" s="1" t="s">
        <v>40</v>
      </c>
      <c r="C13" s="2" t="s">
        <v>16</v>
      </c>
      <c r="D13" s="3"/>
      <c r="E13" s="3" t="s">
        <v>45</v>
      </c>
      <c r="F13" s="3" t="s">
        <v>9</v>
      </c>
      <c r="G13" s="4">
        <v>1</v>
      </c>
      <c r="H13" s="4"/>
      <c r="I13" s="14">
        <v>827.7</v>
      </c>
    </row>
    <row r="14" spans="1:9" ht="36" x14ac:dyDescent="0.3">
      <c r="A14" s="13" t="s">
        <v>46</v>
      </c>
      <c r="B14" s="1"/>
      <c r="C14" s="5" t="s">
        <v>14</v>
      </c>
      <c r="D14" s="3"/>
      <c r="E14" s="3"/>
      <c r="F14" s="6" t="s">
        <v>10</v>
      </c>
      <c r="G14" s="7">
        <v>0.15</v>
      </c>
      <c r="H14" s="7"/>
      <c r="I14" s="16">
        <v>124.155</v>
      </c>
    </row>
    <row r="15" spans="1:9" ht="36" x14ac:dyDescent="0.3">
      <c r="A15" s="13" t="s">
        <v>47</v>
      </c>
      <c r="B15" s="1"/>
      <c r="C15" s="8" t="s">
        <v>18</v>
      </c>
      <c r="D15" s="3"/>
      <c r="E15" s="3"/>
      <c r="F15" s="6" t="s">
        <v>10</v>
      </c>
      <c r="G15" s="7">
        <v>1.5</v>
      </c>
      <c r="H15" s="7"/>
      <c r="I15" s="16">
        <v>1241.55</v>
      </c>
    </row>
    <row r="16" spans="1:9" ht="36" x14ac:dyDescent="0.3">
      <c r="A16" s="13" t="s">
        <v>48</v>
      </c>
      <c r="B16" s="1" t="s">
        <v>49</v>
      </c>
      <c r="C16" s="2" t="s">
        <v>19</v>
      </c>
      <c r="D16" s="3"/>
      <c r="E16" s="3" t="s">
        <v>50</v>
      </c>
      <c r="F16" s="3" t="s">
        <v>9</v>
      </c>
      <c r="G16" s="4">
        <v>1</v>
      </c>
      <c r="H16" s="4"/>
      <c r="I16" s="14">
        <v>1171.2</v>
      </c>
    </row>
    <row r="17" spans="1:9" ht="18" x14ac:dyDescent="0.3">
      <c r="A17" s="13" t="s">
        <v>51</v>
      </c>
      <c r="B17" s="1"/>
      <c r="C17" s="5" t="s">
        <v>17</v>
      </c>
      <c r="D17" s="3"/>
      <c r="E17" s="3"/>
      <c r="F17" s="6" t="s">
        <v>10</v>
      </c>
      <c r="G17" s="7">
        <v>2</v>
      </c>
      <c r="H17" s="7"/>
      <c r="I17" s="16">
        <v>2342.4</v>
      </c>
    </row>
    <row r="18" spans="1:9" ht="36" x14ac:dyDescent="0.3">
      <c r="A18" s="13" t="s">
        <v>52</v>
      </c>
      <c r="B18" s="1"/>
      <c r="C18" s="5" t="s">
        <v>14</v>
      </c>
      <c r="D18" s="3"/>
      <c r="E18" s="3"/>
      <c r="F18" s="6" t="s">
        <v>10</v>
      </c>
      <c r="G18" s="7">
        <v>0.15</v>
      </c>
      <c r="H18" s="7"/>
      <c r="I18" s="16">
        <v>175.68</v>
      </c>
    </row>
    <row r="19" spans="1:9" ht="36" x14ac:dyDescent="0.3">
      <c r="A19" s="13" t="s">
        <v>53</v>
      </c>
      <c r="B19" s="1" t="s">
        <v>49</v>
      </c>
      <c r="C19" s="2" t="s">
        <v>19</v>
      </c>
      <c r="D19" s="3"/>
      <c r="E19" s="3" t="s">
        <v>54</v>
      </c>
      <c r="F19" s="3" t="s">
        <v>9</v>
      </c>
      <c r="G19" s="4">
        <v>1</v>
      </c>
      <c r="H19" s="4"/>
      <c r="I19" s="14">
        <v>1171.2</v>
      </c>
    </row>
    <row r="20" spans="1:9" ht="36" x14ac:dyDescent="0.3">
      <c r="A20" s="13" t="s">
        <v>55</v>
      </c>
      <c r="B20" s="1"/>
      <c r="C20" s="5" t="s">
        <v>14</v>
      </c>
      <c r="D20" s="3"/>
      <c r="E20" s="3"/>
      <c r="F20" s="6" t="s">
        <v>10</v>
      </c>
      <c r="G20" s="7">
        <v>0.15</v>
      </c>
      <c r="H20" s="7"/>
      <c r="I20" s="16">
        <v>175.68</v>
      </c>
    </row>
    <row r="21" spans="1:9" ht="18" x14ac:dyDescent="0.3">
      <c r="A21" s="13" t="s">
        <v>56</v>
      </c>
      <c r="B21" s="1"/>
      <c r="C21" s="5" t="s">
        <v>17</v>
      </c>
      <c r="D21" s="3"/>
      <c r="E21" s="3"/>
      <c r="F21" s="6" t="s">
        <v>10</v>
      </c>
      <c r="G21" s="7">
        <v>2</v>
      </c>
      <c r="H21" s="7"/>
      <c r="I21" s="16">
        <v>2342.4</v>
      </c>
    </row>
    <row r="22" spans="1:9" ht="36" x14ac:dyDescent="0.3">
      <c r="A22" s="13" t="s">
        <v>57</v>
      </c>
      <c r="B22" s="1" t="s">
        <v>58</v>
      </c>
      <c r="C22" s="2" t="s">
        <v>59</v>
      </c>
      <c r="D22" s="3"/>
      <c r="E22" s="3" t="s">
        <v>60</v>
      </c>
      <c r="F22" s="3" t="s">
        <v>9</v>
      </c>
      <c r="G22" s="4">
        <v>1</v>
      </c>
      <c r="H22" s="4"/>
      <c r="I22" s="14">
        <v>7010.2</v>
      </c>
    </row>
    <row r="23" spans="1:9" ht="54" x14ac:dyDescent="0.3">
      <c r="A23" s="13" t="s">
        <v>61</v>
      </c>
      <c r="B23" s="1"/>
      <c r="C23" s="8" t="s">
        <v>62</v>
      </c>
      <c r="D23" s="3"/>
      <c r="E23" s="3"/>
      <c r="F23" s="6" t="s">
        <v>10</v>
      </c>
      <c r="G23" s="7">
        <v>1.8</v>
      </c>
      <c r="H23" s="7"/>
      <c r="I23" s="16">
        <v>12618.36</v>
      </c>
    </row>
    <row r="24" spans="1:9" ht="36" x14ac:dyDescent="0.3">
      <c r="A24" s="13" t="s">
        <v>63</v>
      </c>
      <c r="B24" s="1"/>
      <c r="C24" s="5" t="s">
        <v>13</v>
      </c>
      <c r="D24" s="3"/>
      <c r="E24" s="3"/>
      <c r="F24" s="6" t="s">
        <v>10</v>
      </c>
      <c r="G24" s="7">
        <v>0.15</v>
      </c>
      <c r="H24" s="7"/>
      <c r="I24" s="16">
        <v>1051.53</v>
      </c>
    </row>
    <row r="25" spans="1:9" ht="36" x14ac:dyDescent="0.3">
      <c r="A25" s="13" t="s">
        <v>64</v>
      </c>
      <c r="B25" s="1" t="s">
        <v>58</v>
      </c>
      <c r="C25" s="2" t="s">
        <v>59</v>
      </c>
      <c r="D25" s="3"/>
      <c r="E25" s="3" t="s">
        <v>65</v>
      </c>
      <c r="F25" s="3" t="s">
        <v>9</v>
      </c>
      <c r="G25" s="4">
        <v>1</v>
      </c>
      <c r="H25" s="4"/>
      <c r="I25" s="14">
        <v>7010.2</v>
      </c>
    </row>
    <row r="26" spans="1:9" ht="36" x14ac:dyDescent="0.3">
      <c r="A26" s="13" t="s">
        <v>66</v>
      </c>
      <c r="B26" s="1"/>
      <c r="C26" s="5" t="s">
        <v>13</v>
      </c>
      <c r="D26" s="3"/>
      <c r="E26" s="3"/>
      <c r="F26" s="6" t="s">
        <v>10</v>
      </c>
      <c r="G26" s="7">
        <v>0.15</v>
      </c>
      <c r="H26" s="7"/>
      <c r="I26" s="16">
        <v>1051.53</v>
      </c>
    </row>
    <row r="27" spans="1:9" ht="54" x14ac:dyDescent="0.3">
      <c r="A27" s="13" t="s">
        <v>67</v>
      </c>
      <c r="B27" s="1"/>
      <c r="C27" s="8" t="s">
        <v>62</v>
      </c>
      <c r="D27" s="3"/>
      <c r="E27" s="3"/>
      <c r="F27" s="6" t="s">
        <v>10</v>
      </c>
      <c r="G27" s="7">
        <v>1.8</v>
      </c>
      <c r="H27" s="7"/>
      <c r="I27" s="16">
        <v>12618.36</v>
      </c>
    </row>
    <row r="28" spans="1:9" ht="16.95" customHeight="1" x14ac:dyDescent="0.3">
      <c r="A28" s="13" t="s">
        <v>68</v>
      </c>
      <c r="B28" s="1" t="s">
        <v>69</v>
      </c>
      <c r="C28" s="10" t="s">
        <v>70</v>
      </c>
      <c r="D28" s="11"/>
      <c r="E28" s="11"/>
      <c r="F28" s="11"/>
      <c r="G28" s="11"/>
      <c r="H28" s="11"/>
      <c r="I28" s="11"/>
    </row>
    <row r="29" spans="1:9" ht="72" x14ac:dyDescent="0.3">
      <c r="A29" s="13" t="s">
        <v>71</v>
      </c>
      <c r="B29" s="1" t="s">
        <v>72</v>
      </c>
      <c r="C29" s="2" t="s">
        <v>73</v>
      </c>
      <c r="D29" s="3"/>
      <c r="E29" s="3" t="s">
        <v>74</v>
      </c>
      <c r="F29" s="3" t="s">
        <v>9</v>
      </c>
      <c r="G29" s="4">
        <v>1</v>
      </c>
      <c r="H29" s="4"/>
      <c r="I29" s="14">
        <v>47.78</v>
      </c>
    </row>
    <row r="30" spans="1:9" ht="36" x14ac:dyDescent="0.3">
      <c r="A30" s="13" t="s">
        <v>75</v>
      </c>
      <c r="B30" s="1"/>
      <c r="C30" s="5" t="s">
        <v>22</v>
      </c>
      <c r="D30" s="3"/>
      <c r="E30" s="3"/>
      <c r="F30" s="6" t="s">
        <v>10</v>
      </c>
      <c r="G30" s="7">
        <v>0.3</v>
      </c>
      <c r="H30" s="7"/>
      <c r="I30" s="16">
        <v>14.334</v>
      </c>
    </row>
    <row r="31" spans="1:9" ht="36" x14ac:dyDescent="0.3">
      <c r="A31" s="13" t="s">
        <v>76</v>
      </c>
      <c r="B31" s="1"/>
      <c r="C31" s="5" t="s">
        <v>14</v>
      </c>
      <c r="D31" s="3"/>
      <c r="E31" s="3"/>
      <c r="F31" s="6" t="s">
        <v>10</v>
      </c>
      <c r="G31" s="7">
        <v>0.15</v>
      </c>
      <c r="H31" s="7"/>
      <c r="I31" s="16">
        <v>7.1669999999999998</v>
      </c>
    </row>
    <row r="32" spans="1:9" ht="72" x14ac:dyDescent="0.3">
      <c r="A32" s="13" t="s">
        <v>77</v>
      </c>
      <c r="B32" s="1" t="s">
        <v>72</v>
      </c>
      <c r="C32" s="2" t="s">
        <v>73</v>
      </c>
      <c r="D32" s="3"/>
      <c r="E32" s="3" t="s">
        <v>78</v>
      </c>
      <c r="F32" s="3" t="s">
        <v>9</v>
      </c>
      <c r="G32" s="4">
        <v>1</v>
      </c>
      <c r="H32" s="4"/>
      <c r="I32" s="14">
        <v>727.11</v>
      </c>
    </row>
    <row r="33" spans="1:9" ht="36" x14ac:dyDescent="0.3">
      <c r="A33" s="13" t="s">
        <v>79</v>
      </c>
      <c r="B33" s="1"/>
      <c r="C33" s="5" t="s">
        <v>14</v>
      </c>
      <c r="D33" s="3"/>
      <c r="E33" s="3"/>
      <c r="F33" s="6" t="s">
        <v>10</v>
      </c>
      <c r="G33" s="7">
        <v>0.15</v>
      </c>
      <c r="H33" s="7"/>
      <c r="I33" s="16">
        <v>109.06699999999999</v>
      </c>
    </row>
    <row r="34" spans="1:9" ht="36" x14ac:dyDescent="0.3">
      <c r="A34" s="13" t="s">
        <v>80</v>
      </c>
      <c r="B34" s="1"/>
      <c r="C34" s="5" t="s">
        <v>22</v>
      </c>
      <c r="D34" s="3"/>
      <c r="E34" s="3"/>
      <c r="F34" s="6" t="s">
        <v>10</v>
      </c>
      <c r="G34" s="7">
        <v>0.3</v>
      </c>
      <c r="H34" s="7"/>
      <c r="I34" s="16">
        <v>218.13300000000001</v>
      </c>
    </row>
    <row r="35" spans="1:9" ht="72" x14ac:dyDescent="0.3">
      <c r="A35" s="13" t="s">
        <v>81</v>
      </c>
      <c r="B35" s="1" t="s">
        <v>72</v>
      </c>
      <c r="C35" s="2" t="s">
        <v>73</v>
      </c>
      <c r="D35" s="3"/>
      <c r="E35" s="3" t="s">
        <v>82</v>
      </c>
      <c r="F35" s="3" t="s">
        <v>9</v>
      </c>
      <c r="G35" s="4">
        <v>1</v>
      </c>
      <c r="H35" s="4"/>
      <c r="I35" s="14">
        <v>503.14</v>
      </c>
    </row>
    <row r="36" spans="1:9" ht="36" x14ac:dyDescent="0.3">
      <c r="A36" s="13" t="s">
        <v>83</v>
      </c>
      <c r="B36" s="1"/>
      <c r="C36" s="5" t="s">
        <v>22</v>
      </c>
      <c r="D36" s="3"/>
      <c r="E36" s="3"/>
      <c r="F36" s="6" t="s">
        <v>10</v>
      </c>
      <c r="G36" s="7">
        <v>0.3</v>
      </c>
      <c r="H36" s="7"/>
      <c r="I36" s="16">
        <v>150.94200000000001</v>
      </c>
    </row>
    <row r="37" spans="1:9" ht="36" x14ac:dyDescent="0.3">
      <c r="A37" s="13" t="s">
        <v>84</v>
      </c>
      <c r="B37" s="1"/>
      <c r="C37" s="5" t="s">
        <v>14</v>
      </c>
      <c r="D37" s="3"/>
      <c r="E37" s="3"/>
      <c r="F37" s="6" t="s">
        <v>10</v>
      </c>
      <c r="G37" s="7">
        <v>0.15</v>
      </c>
      <c r="H37" s="7"/>
      <c r="I37" s="16">
        <v>75.471000000000004</v>
      </c>
    </row>
    <row r="38" spans="1:9" ht="72" x14ac:dyDescent="0.3">
      <c r="A38" s="13" t="s">
        <v>85</v>
      </c>
      <c r="B38" s="1" t="s">
        <v>72</v>
      </c>
      <c r="C38" s="2" t="s">
        <v>73</v>
      </c>
      <c r="D38" s="3"/>
      <c r="E38" s="3" t="s">
        <v>86</v>
      </c>
      <c r="F38" s="3" t="s">
        <v>9</v>
      </c>
      <c r="G38" s="4">
        <v>1</v>
      </c>
      <c r="H38" s="4"/>
      <c r="I38" s="14">
        <v>2411.1799999999998</v>
      </c>
    </row>
    <row r="39" spans="1:9" ht="36" x14ac:dyDescent="0.3">
      <c r="A39" s="13" t="s">
        <v>87</v>
      </c>
      <c r="B39" s="1"/>
      <c r="C39" s="5" t="s">
        <v>14</v>
      </c>
      <c r="D39" s="3"/>
      <c r="E39" s="3"/>
      <c r="F39" s="6" t="s">
        <v>10</v>
      </c>
      <c r="G39" s="7">
        <v>0.15</v>
      </c>
      <c r="H39" s="7"/>
      <c r="I39" s="16">
        <v>361.67700000000002</v>
      </c>
    </row>
    <row r="40" spans="1:9" ht="36" x14ac:dyDescent="0.3">
      <c r="A40" s="13" t="s">
        <v>88</v>
      </c>
      <c r="B40" s="1"/>
      <c r="C40" s="5" t="s">
        <v>22</v>
      </c>
      <c r="D40" s="3"/>
      <c r="E40" s="3"/>
      <c r="F40" s="6" t="s">
        <v>10</v>
      </c>
      <c r="G40" s="7">
        <v>0.3</v>
      </c>
      <c r="H40" s="7"/>
      <c r="I40" s="16">
        <v>723.35400000000004</v>
      </c>
    </row>
    <row r="41" spans="1:9" ht="72" x14ac:dyDescent="0.3">
      <c r="A41" s="13" t="s">
        <v>89</v>
      </c>
      <c r="B41" s="1" t="s">
        <v>72</v>
      </c>
      <c r="C41" s="2" t="s">
        <v>73</v>
      </c>
      <c r="D41" s="3"/>
      <c r="E41" s="3" t="s">
        <v>90</v>
      </c>
      <c r="F41" s="3" t="s">
        <v>9</v>
      </c>
      <c r="G41" s="4">
        <v>1</v>
      </c>
      <c r="H41" s="4"/>
      <c r="I41" s="14">
        <v>18.829999999999998</v>
      </c>
    </row>
    <row r="42" spans="1:9" ht="36" x14ac:dyDescent="0.3">
      <c r="A42" s="13" t="s">
        <v>91</v>
      </c>
      <c r="B42" s="1"/>
      <c r="C42" s="5" t="s">
        <v>22</v>
      </c>
      <c r="D42" s="3"/>
      <c r="E42" s="3"/>
      <c r="F42" s="6" t="s">
        <v>10</v>
      </c>
      <c r="G42" s="7">
        <v>0.3</v>
      </c>
      <c r="H42" s="7"/>
      <c r="I42" s="16">
        <v>5.649</v>
      </c>
    </row>
    <row r="43" spans="1:9" ht="36" x14ac:dyDescent="0.3">
      <c r="A43" s="13" t="s">
        <v>92</v>
      </c>
      <c r="B43" s="1"/>
      <c r="C43" s="5" t="s">
        <v>14</v>
      </c>
      <c r="D43" s="3"/>
      <c r="E43" s="3"/>
      <c r="F43" s="6" t="s">
        <v>10</v>
      </c>
      <c r="G43" s="7">
        <v>0.15</v>
      </c>
      <c r="H43" s="7"/>
      <c r="I43" s="16">
        <v>2.8250000000000002</v>
      </c>
    </row>
    <row r="44" spans="1:9" ht="72" x14ac:dyDescent="0.3">
      <c r="A44" s="13" t="s">
        <v>93</v>
      </c>
      <c r="B44" s="1" t="s">
        <v>72</v>
      </c>
      <c r="C44" s="2" t="s">
        <v>73</v>
      </c>
      <c r="D44" s="3"/>
      <c r="E44" s="3" t="s">
        <v>94</v>
      </c>
      <c r="F44" s="3" t="s">
        <v>9</v>
      </c>
      <c r="G44" s="4">
        <v>1</v>
      </c>
      <c r="H44" s="4"/>
      <c r="I44" s="14">
        <v>57.38</v>
      </c>
    </row>
    <row r="45" spans="1:9" ht="36" x14ac:dyDescent="0.3">
      <c r="A45" s="13" t="s">
        <v>95</v>
      </c>
      <c r="B45" s="1"/>
      <c r="C45" s="5" t="s">
        <v>14</v>
      </c>
      <c r="D45" s="3"/>
      <c r="E45" s="3"/>
      <c r="F45" s="6" t="s">
        <v>10</v>
      </c>
      <c r="G45" s="7">
        <v>0.15</v>
      </c>
      <c r="H45" s="7"/>
      <c r="I45" s="16">
        <v>8.6069999999999993</v>
      </c>
    </row>
    <row r="46" spans="1:9" ht="36" x14ac:dyDescent="0.3">
      <c r="A46" s="13" t="s">
        <v>96</v>
      </c>
      <c r="B46" s="1"/>
      <c r="C46" s="5" t="s">
        <v>22</v>
      </c>
      <c r="D46" s="3"/>
      <c r="E46" s="3"/>
      <c r="F46" s="6" t="s">
        <v>10</v>
      </c>
      <c r="G46" s="7">
        <v>0.3</v>
      </c>
      <c r="H46" s="7"/>
      <c r="I46" s="16">
        <v>17.213999999999999</v>
      </c>
    </row>
    <row r="47" spans="1:9" ht="72" x14ac:dyDescent="0.3">
      <c r="A47" s="13" t="s">
        <v>97</v>
      </c>
      <c r="B47" s="1" t="s">
        <v>72</v>
      </c>
      <c r="C47" s="2" t="s">
        <v>73</v>
      </c>
      <c r="D47" s="3"/>
      <c r="E47" s="3" t="s">
        <v>98</v>
      </c>
      <c r="F47" s="3" t="s">
        <v>9</v>
      </c>
      <c r="G47" s="4">
        <v>1</v>
      </c>
      <c r="H47" s="4"/>
      <c r="I47" s="14">
        <v>57.27</v>
      </c>
    </row>
    <row r="48" spans="1:9" ht="36" x14ac:dyDescent="0.3">
      <c r="A48" s="13" t="s">
        <v>99</v>
      </c>
      <c r="B48" s="1"/>
      <c r="C48" s="5" t="s">
        <v>22</v>
      </c>
      <c r="D48" s="3"/>
      <c r="E48" s="3"/>
      <c r="F48" s="6" t="s">
        <v>10</v>
      </c>
      <c r="G48" s="7">
        <v>0.3</v>
      </c>
      <c r="H48" s="7"/>
      <c r="I48" s="16">
        <v>17.181000000000001</v>
      </c>
    </row>
    <row r="49" spans="1:9" ht="36" x14ac:dyDescent="0.3">
      <c r="A49" s="13" t="s">
        <v>100</v>
      </c>
      <c r="B49" s="1"/>
      <c r="C49" s="5" t="s">
        <v>14</v>
      </c>
      <c r="D49" s="3"/>
      <c r="E49" s="3"/>
      <c r="F49" s="6" t="s">
        <v>10</v>
      </c>
      <c r="G49" s="7">
        <v>0.15</v>
      </c>
      <c r="H49" s="7"/>
      <c r="I49" s="16">
        <v>8.5909999999999993</v>
      </c>
    </row>
    <row r="50" spans="1:9" ht="72" x14ac:dyDescent="0.3">
      <c r="A50" s="13" t="s">
        <v>101</v>
      </c>
      <c r="B50" s="1" t="s">
        <v>72</v>
      </c>
      <c r="C50" s="2" t="s">
        <v>73</v>
      </c>
      <c r="D50" s="3"/>
      <c r="E50" s="3" t="s">
        <v>102</v>
      </c>
      <c r="F50" s="3" t="s">
        <v>9</v>
      </c>
      <c r="G50" s="4">
        <v>1</v>
      </c>
      <c r="H50" s="4"/>
      <c r="I50" s="14">
        <v>28.67</v>
      </c>
    </row>
    <row r="51" spans="1:9" ht="36" x14ac:dyDescent="0.3">
      <c r="A51" s="13" t="s">
        <v>103</v>
      </c>
      <c r="B51" s="1"/>
      <c r="C51" s="5" t="s">
        <v>14</v>
      </c>
      <c r="D51" s="3"/>
      <c r="E51" s="3"/>
      <c r="F51" s="6" t="s">
        <v>10</v>
      </c>
      <c r="G51" s="7">
        <v>0.15</v>
      </c>
      <c r="H51" s="7"/>
      <c r="I51" s="16">
        <v>4.3010000000000002</v>
      </c>
    </row>
    <row r="52" spans="1:9" ht="36" x14ac:dyDescent="0.3">
      <c r="A52" s="13" t="s">
        <v>104</v>
      </c>
      <c r="B52" s="1"/>
      <c r="C52" s="5" t="s">
        <v>22</v>
      </c>
      <c r="D52" s="3"/>
      <c r="E52" s="3"/>
      <c r="F52" s="6" t="s">
        <v>10</v>
      </c>
      <c r="G52" s="7">
        <v>0.3</v>
      </c>
      <c r="H52" s="7"/>
      <c r="I52" s="16">
        <v>8.6010000000000009</v>
      </c>
    </row>
    <row r="53" spans="1:9" ht="72" x14ac:dyDescent="0.3">
      <c r="A53" s="13" t="s">
        <v>105</v>
      </c>
      <c r="B53" s="1" t="s">
        <v>72</v>
      </c>
      <c r="C53" s="2" t="s">
        <v>73</v>
      </c>
      <c r="D53" s="3"/>
      <c r="E53" s="3" t="s">
        <v>106</v>
      </c>
      <c r="F53" s="3" t="s">
        <v>9</v>
      </c>
      <c r="G53" s="4">
        <v>1</v>
      </c>
      <c r="H53" s="4"/>
      <c r="I53" s="14">
        <v>4293.76</v>
      </c>
    </row>
    <row r="54" spans="1:9" ht="36" x14ac:dyDescent="0.3">
      <c r="A54" s="13" t="s">
        <v>107</v>
      </c>
      <c r="B54" s="1"/>
      <c r="C54" s="5" t="s">
        <v>22</v>
      </c>
      <c r="D54" s="3"/>
      <c r="E54" s="3"/>
      <c r="F54" s="6" t="s">
        <v>10</v>
      </c>
      <c r="G54" s="7">
        <v>0.3</v>
      </c>
      <c r="H54" s="7"/>
      <c r="I54" s="16">
        <v>1288.1279999999999</v>
      </c>
    </row>
    <row r="55" spans="1:9" ht="36" x14ac:dyDescent="0.3">
      <c r="A55" s="13" t="s">
        <v>108</v>
      </c>
      <c r="B55" s="1"/>
      <c r="C55" s="5" t="s">
        <v>14</v>
      </c>
      <c r="D55" s="3"/>
      <c r="E55" s="3"/>
      <c r="F55" s="6" t="s">
        <v>10</v>
      </c>
      <c r="G55" s="7">
        <v>0.15</v>
      </c>
      <c r="H55" s="7"/>
      <c r="I55" s="16">
        <v>644.06399999999996</v>
      </c>
    </row>
    <row r="56" spans="1:9" ht="72" x14ac:dyDescent="0.3">
      <c r="A56" s="13" t="s">
        <v>109</v>
      </c>
      <c r="B56" s="1" t="s">
        <v>72</v>
      </c>
      <c r="C56" s="2" t="s">
        <v>73</v>
      </c>
      <c r="D56" s="3"/>
      <c r="E56" s="3" t="s">
        <v>110</v>
      </c>
      <c r="F56" s="3" t="s">
        <v>9</v>
      </c>
      <c r="G56" s="4">
        <v>1</v>
      </c>
      <c r="H56" s="4"/>
      <c r="I56" s="14">
        <v>355.1</v>
      </c>
    </row>
    <row r="57" spans="1:9" ht="36" x14ac:dyDescent="0.3">
      <c r="A57" s="13" t="s">
        <v>111</v>
      </c>
      <c r="B57" s="1"/>
      <c r="C57" s="5" t="s">
        <v>14</v>
      </c>
      <c r="D57" s="3"/>
      <c r="E57" s="3"/>
      <c r="F57" s="6" t="s">
        <v>10</v>
      </c>
      <c r="G57" s="7">
        <v>0.15</v>
      </c>
      <c r="H57" s="7"/>
      <c r="I57" s="16">
        <v>53.265000000000001</v>
      </c>
    </row>
    <row r="58" spans="1:9" ht="36" x14ac:dyDescent="0.3">
      <c r="A58" s="13" t="s">
        <v>112</v>
      </c>
      <c r="B58" s="1"/>
      <c r="C58" s="5" t="s">
        <v>22</v>
      </c>
      <c r="D58" s="3"/>
      <c r="E58" s="3"/>
      <c r="F58" s="6" t="s">
        <v>10</v>
      </c>
      <c r="G58" s="7">
        <v>0.3</v>
      </c>
      <c r="H58" s="7"/>
      <c r="I58" s="16">
        <v>106.53</v>
      </c>
    </row>
    <row r="59" spans="1:9" ht="54" x14ac:dyDescent="0.3">
      <c r="A59" s="13" t="s">
        <v>113</v>
      </c>
      <c r="B59" s="1" t="s">
        <v>72</v>
      </c>
      <c r="C59" s="2" t="s">
        <v>73</v>
      </c>
      <c r="D59" s="3"/>
      <c r="E59" s="3" t="s">
        <v>114</v>
      </c>
      <c r="F59" s="3" t="s">
        <v>9</v>
      </c>
      <c r="G59" s="4">
        <v>1</v>
      </c>
      <c r="H59" s="4"/>
      <c r="I59" s="14">
        <v>3797.28</v>
      </c>
    </row>
    <row r="60" spans="1:9" ht="36" x14ac:dyDescent="0.3">
      <c r="A60" s="13" t="s">
        <v>115</v>
      </c>
      <c r="B60" s="1"/>
      <c r="C60" s="5" t="s">
        <v>22</v>
      </c>
      <c r="D60" s="3"/>
      <c r="E60" s="3"/>
      <c r="F60" s="6" t="s">
        <v>10</v>
      </c>
      <c r="G60" s="7">
        <v>0.3</v>
      </c>
      <c r="H60" s="7"/>
      <c r="I60" s="16">
        <v>1139.184</v>
      </c>
    </row>
    <row r="61" spans="1:9" ht="36" x14ac:dyDescent="0.3">
      <c r="A61" s="13" t="s">
        <v>116</v>
      </c>
      <c r="B61" s="1"/>
      <c r="C61" s="5" t="s">
        <v>14</v>
      </c>
      <c r="D61" s="3"/>
      <c r="E61" s="3"/>
      <c r="F61" s="6" t="s">
        <v>10</v>
      </c>
      <c r="G61" s="7">
        <v>0.15</v>
      </c>
      <c r="H61" s="7"/>
      <c r="I61" s="16">
        <v>569.59199999999998</v>
      </c>
    </row>
    <row r="62" spans="1:9" ht="16.95" customHeight="1" x14ac:dyDescent="0.3">
      <c r="A62" s="13" t="s">
        <v>117</v>
      </c>
      <c r="B62" s="1" t="s">
        <v>118</v>
      </c>
      <c r="C62" s="10" t="s">
        <v>119</v>
      </c>
      <c r="D62" s="11"/>
      <c r="E62" s="11"/>
      <c r="F62" s="11"/>
      <c r="G62" s="11"/>
      <c r="H62" s="11"/>
      <c r="I62" s="11"/>
    </row>
    <row r="63" spans="1:9" ht="54" x14ac:dyDescent="0.3">
      <c r="A63" s="13" t="s">
        <v>120</v>
      </c>
      <c r="B63" s="1" t="s">
        <v>121</v>
      </c>
      <c r="C63" s="2" t="s">
        <v>122</v>
      </c>
      <c r="D63" s="3"/>
      <c r="E63" s="3"/>
      <c r="F63" s="3" t="s">
        <v>9</v>
      </c>
      <c r="G63" s="4">
        <v>1</v>
      </c>
      <c r="H63" s="4"/>
      <c r="I63" s="14">
        <v>7535.57</v>
      </c>
    </row>
    <row r="64" spans="1:9" ht="36" x14ac:dyDescent="0.3">
      <c r="A64" s="13" t="s">
        <v>123</v>
      </c>
      <c r="B64" s="1" t="s">
        <v>124</v>
      </c>
      <c r="C64" s="2" t="s">
        <v>125</v>
      </c>
      <c r="D64" s="3"/>
      <c r="E64" s="3"/>
      <c r="F64" s="3" t="s">
        <v>9</v>
      </c>
      <c r="G64" s="4">
        <v>1</v>
      </c>
      <c r="H64" s="4"/>
      <c r="I64" s="14">
        <v>3219.96</v>
      </c>
    </row>
    <row r="65" spans="1:9" ht="198" x14ac:dyDescent="0.3">
      <c r="A65" s="13" t="s">
        <v>126</v>
      </c>
      <c r="B65" s="1"/>
      <c r="C65" s="5" t="s">
        <v>127</v>
      </c>
      <c r="D65" s="3"/>
      <c r="E65" s="3" t="s">
        <v>128</v>
      </c>
      <c r="F65" s="6" t="s">
        <v>9</v>
      </c>
      <c r="G65" s="7">
        <v>1</v>
      </c>
      <c r="H65" s="7"/>
      <c r="I65" s="16">
        <v>3219.96</v>
      </c>
    </row>
    <row r="66" spans="1:9" ht="36" x14ac:dyDescent="0.3">
      <c r="A66" s="13" t="s">
        <v>129</v>
      </c>
      <c r="B66" s="1" t="s">
        <v>124</v>
      </c>
      <c r="C66" s="2" t="s">
        <v>125</v>
      </c>
      <c r="D66" s="3"/>
      <c r="E66" s="3" t="s">
        <v>130</v>
      </c>
      <c r="F66" s="3" t="s">
        <v>9</v>
      </c>
      <c r="G66" s="4">
        <v>1</v>
      </c>
      <c r="H66" s="4"/>
      <c r="I66" s="14">
        <v>147.91</v>
      </c>
    </row>
    <row r="67" spans="1:9" ht="72" x14ac:dyDescent="0.3">
      <c r="A67" s="13" t="s">
        <v>131</v>
      </c>
      <c r="B67" s="1"/>
      <c r="C67" s="5" t="s">
        <v>127</v>
      </c>
      <c r="D67" s="3"/>
      <c r="E67" s="3" t="s">
        <v>132</v>
      </c>
      <c r="F67" s="6" t="s">
        <v>9</v>
      </c>
      <c r="G67" s="7">
        <v>1</v>
      </c>
      <c r="H67" s="7"/>
      <c r="I67" s="16">
        <v>147.91</v>
      </c>
    </row>
    <row r="68" spans="1:9" ht="36" x14ac:dyDescent="0.3">
      <c r="A68" s="13" t="s">
        <v>133</v>
      </c>
      <c r="B68" s="1" t="s">
        <v>124</v>
      </c>
      <c r="C68" s="2" t="s">
        <v>125</v>
      </c>
      <c r="D68" s="3"/>
      <c r="E68" s="3" t="s">
        <v>134</v>
      </c>
      <c r="F68" s="3" t="s">
        <v>9</v>
      </c>
      <c r="G68" s="4">
        <v>1</v>
      </c>
      <c r="H68" s="4"/>
      <c r="I68" s="14">
        <v>144.66999999999999</v>
      </c>
    </row>
    <row r="69" spans="1:9" ht="72" x14ac:dyDescent="0.3">
      <c r="A69" s="13" t="s">
        <v>135</v>
      </c>
      <c r="B69" s="1"/>
      <c r="C69" s="5" t="s">
        <v>127</v>
      </c>
      <c r="D69" s="3"/>
      <c r="E69" s="3" t="s">
        <v>136</v>
      </c>
      <c r="F69" s="6" t="s">
        <v>9</v>
      </c>
      <c r="G69" s="7">
        <v>1</v>
      </c>
      <c r="H69" s="7"/>
      <c r="I69" s="16">
        <v>144.66999999999999</v>
      </c>
    </row>
    <row r="70" spans="1:9" ht="36" x14ac:dyDescent="0.3">
      <c r="A70" s="13" t="s">
        <v>137</v>
      </c>
      <c r="B70" s="1" t="s">
        <v>124</v>
      </c>
      <c r="C70" s="2" t="s">
        <v>125</v>
      </c>
      <c r="D70" s="3"/>
      <c r="E70" s="3" t="s">
        <v>138</v>
      </c>
      <c r="F70" s="3" t="s">
        <v>9</v>
      </c>
      <c r="G70" s="4">
        <v>1</v>
      </c>
      <c r="H70" s="4"/>
      <c r="I70" s="14">
        <v>144.31</v>
      </c>
    </row>
    <row r="71" spans="1:9" ht="72" x14ac:dyDescent="0.3">
      <c r="A71" s="13" t="s">
        <v>139</v>
      </c>
      <c r="B71" s="1"/>
      <c r="C71" s="5" t="s">
        <v>127</v>
      </c>
      <c r="D71" s="3"/>
      <c r="E71" s="3" t="s">
        <v>136</v>
      </c>
      <c r="F71" s="6" t="s">
        <v>9</v>
      </c>
      <c r="G71" s="7">
        <v>1</v>
      </c>
      <c r="H71" s="7"/>
      <c r="I71" s="16">
        <v>144.31</v>
      </c>
    </row>
    <row r="72" spans="1:9" ht="36" x14ac:dyDescent="0.3">
      <c r="A72" s="13" t="s">
        <v>140</v>
      </c>
      <c r="B72" s="1" t="s">
        <v>124</v>
      </c>
      <c r="C72" s="2" t="s">
        <v>125</v>
      </c>
      <c r="D72" s="3"/>
      <c r="E72" s="3" t="s">
        <v>141</v>
      </c>
      <c r="F72" s="3" t="s">
        <v>9</v>
      </c>
      <c r="G72" s="4">
        <v>1</v>
      </c>
      <c r="H72" s="4"/>
      <c r="I72" s="14">
        <v>802.27</v>
      </c>
    </row>
    <row r="73" spans="1:9" ht="72" x14ac:dyDescent="0.3">
      <c r="A73" s="13" t="s">
        <v>142</v>
      </c>
      <c r="B73" s="1"/>
      <c r="C73" s="5" t="s">
        <v>127</v>
      </c>
      <c r="D73" s="3"/>
      <c r="E73" s="3" t="s">
        <v>143</v>
      </c>
      <c r="F73" s="6" t="s">
        <v>9</v>
      </c>
      <c r="G73" s="7">
        <v>1</v>
      </c>
      <c r="H73" s="7"/>
      <c r="I73" s="16">
        <v>802.27</v>
      </c>
    </row>
    <row r="74" spans="1:9" ht="36" x14ac:dyDescent="0.3">
      <c r="A74" s="13" t="s">
        <v>144</v>
      </c>
      <c r="B74" s="1" t="s">
        <v>124</v>
      </c>
      <c r="C74" s="2" t="s">
        <v>125</v>
      </c>
      <c r="D74" s="3"/>
      <c r="E74" s="3" t="s">
        <v>145</v>
      </c>
      <c r="F74" s="3" t="s">
        <v>9</v>
      </c>
      <c r="G74" s="4">
        <v>1</v>
      </c>
      <c r="H74" s="4"/>
      <c r="I74" s="14">
        <v>143.38999999999999</v>
      </c>
    </row>
    <row r="75" spans="1:9" ht="72" x14ac:dyDescent="0.3">
      <c r="A75" s="13" t="s">
        <v>146</v>
      </c>
      <c r="B75" s="1"/>
      <c r="C75" s="5" t="s">
        <v>127</v>
      </c>
      <c r="D75" s="3"/>
      <c r="E75" s="3" t="s">
        <v>147</v>
      </c>
      <c r="F75" s="6" t="s">
        <v>9</v>
      </c>
      <c r="G75" s="7">
        <v>1</v>
      </c>
      <c r="H75" s="7"/>
      <c r="I75" s="16">
        <v>143.38999999999999</v>
      </c>
    </row>
    <row r="76" spans="1:9" ht="36" x14ac:dyDescent="0.3">
      <c r="A76" s="13" t="s">
        <v>148</v>
      </c>
      <c r="B76" s="1" t="s">
        <v>124</v>
      </c>
      <c r="C76" s="2" t="s">
        <v>125</v>
      </c>
      <c r="D76" s="3"/>
      <c r="E76" s="3" t="s">
        <v>149</v>
      </c>
      <c r="F76" s="3" t="s">
        <v>9</v>
      </c>
      <c r="G76" s="4">
        <v>1</v>
      </c>
      <c r="H76" s="4"/>
      <c r="I76" s="14">
        <v>144.66999999999999</v>
      </c>
    </row>
    <row r="77" spans="1:9" ht="72" x14ac:dyDescent="0.3">
      <c r="A77" s="13" t="s">
        <v>150</v>
      </c>
      <c r="B77" s="1"/>
      <c r="C77" s="5" t="s">
        <v>127</v>
      </c>
      <c r="D77" s="3"/>
      <c r="E77" s="3" t="s">
        <v>151</v>
      </c>
      <c r="F77" s="6" t="s">
        <v>9</v>
      </c>
      <c r="G77" s="7">
        <v>1</v>
      </c>
      <c r="H77" s="7"/>
      <c r="I77" s="16">
        <v>144.66999999999999</v>
      </c>
    </row>
    <row r="78" spans="1:9" ht="36" x14ac:dyDescent="0.3">
      <c r="A78" s="13" t="s">
        <v>152</v>
      </c>
      <c r="B78" s="1" t="s">
        <v>124</v>
      </c>
      <c r="C78" s="2" t="s">
        <v>125</v>
      </c>
      <c r="D78" s="3"/>
      <c r="E78" s="3" t="s">
        <v>153</v>
      </c>
      <c r="F78" s="3" t="s">
        <v>9</v>
      </c>
      <c r="G78" s="4">
        <v>1</v>
      </c>
      <c r="H78" s="4"/>
      <c r="I78" s="14">
        <v>144.31</v>
      </c>
    </row>
    <row r="79" spans="1:9" ht="72" x14ac:dyDescent="0.3">
      <c r="A79" s="13" t="s">
        <v>154</v>
      </c>
      <c r="B79" s="1"/>
      <c r="C79" s="5" t="s">
        <v>127</v>
      </c>
      <c r="D79" s="3"/>
      <c r="E79" s="3" t="s">
        <v>151</v>
      </c>
      <c r="F79" s="6" t="s">
        <v>9</v>
      </c>
      <c r="G79" s="7">
        <v>1</v>
      </c>
      <c r="H79" s="7"/>
      <c r="I79" s="16">
        <v>144.31</v>
      </c>
    </row>
    <row r="80" spans="1:9" ht="36" x14ac:dyDescent="0.3">
      <c r="A80" s="13" t="s">
        <v>155</v>
      </c>
      <c r="B80" s="1" t="s">
        <v>124</v>
      </c>
      <c r="C80" s="2" t="s">
        <v>125</v>
      </c>
      <c r="D80" s="3"/>
      <c r="E80" s="3" t="s">
        <v>156</v>
      </c>
      <c r="F80" s="3" t="s">
        <v>9</v>
      </c>
      <c r="G80" s="4">
        <v>1</v>
      </c>
      <c r="H80" s="4"/>
      <c r="I80" s="14">
        <v>802.41</v>
      </c>
    </row>
    <row r="81" spans="1:9" ht="72" x14ac:dyDescent="0.3">
      <c r="A81" s="13" t="s">
        <v>157</v>
      </c>
      <c r="B81" s="1"/>
      <c r="C81" s="5" t="s">
        <v>127</v>
      </c>
      <c r="D81" s="3"/>
      <c r="E81" s="3" t="s">
        <v>158</v>
      </c>
      <c r="F81" s="6" t="s">
        <v>9</v>
      </c>
      <c r="G81" s="7">
        <v>1</v>
      </c>
      <c r="H81" s="7"/>
      <c r="I81" s="16">
        <v>802.41</v>
      </c>
    </row>
    <row r="82" spans="1:9" ht="36" x14ac:dyDescent="0.3">
      <c r="A82" s="13" t="s">
        <v>159</v>
      </c>
      <c r="B82" s="1" t="s">
        <v>124</v>
      </c>
      <c r="C82" s="2" t="s">
        <v>125</v>
      </c>
      <c r="D82" s="3"/>
      <c r="E82" s="3" t="s">
        <v>160</v>
      </c>
      <c r="F82" s="3" t="s">
        <v>9</v>
      </c>
      <c r="G82" s="4">
        <v>1</v>
      </c>
      <c r="H82" s="4"/>
      <c r="I82" s="14">
        <v>236.15</v>
      </c>
    </row>
    <row r="83" spans="1:9" ht="90" x14ac:dyDescent="0.3">
      <c r="A83" s="13" t="s">
        <v>161</v>
      </c>
      <c r="B83" s="1"/>
      <c r="C83" s="5" t="s">
        <v>127</v>
      </c>
      <c r="D83" s="3"/>
      <c r="E83" s="3" t="s">
        <v>162</v>
      </c>
      <c r="F83" s="6" t="s">
        <v>9</v>
      </c>
      <c r="G83" s="7">
        <v>1</v>
      </c>
      <c r="H83" s="7"/>
      <c r="I83" s="16">
        <v>236.15</v>
      </c>
    </row>
    <row r="84" spans="1:9" ht="36" x14ac:dyDescent="0.3">
      <c r="A84" s="13" t="s">
        <v>163</v>
      </c>
      <c r="B84" s="1" t="s">
        <v>124</v>
      </c>
      <c r="C84" s="2" t="s">
        <v>125</v>
      </c>
      <c r="D84" s="3"/>
      <c r="E84" s="3" t="s">
        <v>164</v>
      </c>
      <c r="F84" s="3" t="s">
        <v>9</v>
      </c>
      <c r="G84" s="4">
        <v>1</v>
      </c>
      <c r="H84" s="4"/>
      <c r="I84" s="14">
        <v>286.12</v>
      </c>
    </row>
    <row r="85" spans="1:9" ht="90" x14ac:dyDescent="0.3">
      <c r="A85" s="13" t="s">
        <v>165</v>
      </c>
      <c r="B85" s="1"/>
      <c r="C85" s="5" t="s">
        <v>127</v>
      </c>
      <c r="D85" s="3"/>
      <c r="E85" s="3" t="s">
        <v>166</v>
      </c>
      <c r="F85" s="6" t="s">
        <v>9</v>
      </c>
      <c r="G85" s="7">
        <v>1</v>
      </c>
      <c r="H85" s="7"/>
      <c r="I85" s="16">
        <v>286.12</v>
      </c>
    </row>
    <row r="86" spans="1:9" ht="54" x14ac:dyDescent="0.3">
      <c r="A86" s="13" t="s">
        <v>167</v>
      </c>
      <c r="B86" s="1" t="s">
        <v>168</v>
      </c>
      <c r="C86" s="2" t="s">
        <v>169</v>
      </c>
      <c r="D86" s="3"/>
      <c r="E86" s="3" t="s">
        <v>170</v>
      </c>
      <c r="F86" s="3" t="s">
        <v>9</v>
      </c>
      <c r="G86" s="4">
        <v>1</v>
      </c>
      <c r="H86" s="4"/>
      <c r="I86" s="14">
        <v>37.6</v>
      </c>
    </row>
    <row r="87" spans="1:9" ht="18" x14ac:dyDescent="0.3">
      <c r="A87" s="13" t="s">
        <v>171</v>
      </c>
      <c r="B87" s="1"/>
      <c r="C87" s="5" t="s">
        <v>172</v>
      </c>
      <c r="D87" s="3"/>
      <c r="E87" s="3"/>
      <c r="F87" s="6" t="s">
        <v>10</v>
      </c>
      <c r="G87" s="7">
        <v>0.35</v>
      </c>
      <c r="H87" s="7"/>
      <c r="I87" s="16">
        <v>13.16</v>
      </c>
    </row>
    <row r="88" spans="1:9" ht="18" x14ac:dyDescent="0.3">
      <c r="A88" s="13" t="s">
        <v>173</v>
      </c>
      <c r="B88" s="1"/>
      <c r="C88" s="5" t="s">
        <v>174</v>
      </c>
      <c r="D88" s="3"/>
      <c r="E88" s="3"/>
      <c r="F88" s="6" t="s">
        <v>11</v>
      </c>
      <c r="G88" s="7">
        <v>0.3</v>
      </c>
      <c r="H88" s="7"/>
      <c r="I88" s="16">
        <v>11.28</v>
      </c>
    </row>
    <row r="89" spans="1:9" ht="36" x14ac:dyDescent="0.3">
      <c r="A89" s="13" t="s">
        <v>175</v>
      </c>
      <c r="B89" s="1"/>
      <c r="C89" s="8" t="s">
        <v>176</v>
      </c>
      <c r="D89" s="3"/>
      <c r="E89" s="3"/>
      <c r="F89" s="6" t="s">
        <v>11</v>
      </c>
      <c r="G89" s="7">
        <v>3.6</v>
      </c>
      <c r="H89" s="7"/>
      <c r="I89" s="16">
        <v>135.36000000000001</v>
      </c>
    </row>
    <row r="90" spans="1:9" ht="18" x14ac:dyDescent="0.3">
      <c r="A90" s="13" t="s">
        <v>177</v>
      </c>
      <c r="B90" s="1"/>
      <c r="C90" s="5" t="s">
        <v>178</v>
      </c>
      <c r="D90" s="3"/>
      <c r="E90" s="3"/>
      <c r="F90" s="6" t="s">
        <v>11</v>
      </c>
      <c r="G90" s="7">
        <v>30</v>
      </c>
      <c r="H90" s="7"/>
      <c r="I90" s="16">
        <v>1128</v>
      </c>
    </row>
    <row r="91" spans="1:9" ht="18" x14ac:dyDescent="0.3">
      <c r="A91" s="13" t="s">
        <v>179</v>
      </c>
      <c r="B91" s="1"/>
      <c r="C91" s="5" t="s">
        <v>180</v>
      </c>
      <c r="D91" s="3"/>
      <c r="E91" s="3"/>
      <c r="F91" s="6" t="s">
        <v>9</v>
      </c>
      <c r="G91" s="7">
        <v>2.0499999999999998</v>
      </c>
      <c r="H91" s="7"/>
      <c r="I91" s="16">
        <v>77.08</v>
      </c>
    </row>
    <row r="92" spans="1:9" ht="18" x14ac:dyDescent="0.3">
      <c r="A92" s="13" t="s">
        <v>181</v>
      </c>
      <c r="B92" s="1"/>
      <c r="C92" s="5" t="s">
        <v>182</v>
      </c>
      <c r="D92" s="3"/>
      <c r="E92" s="3"/>
      <c r="F92" s="6" t="s">
        <v>11</v>
      </c>
      <c r="G92" s="7">
        <v>15</v>
      </c>
      <c r="H92" s="7"/>
      <c r="I92" s="16">
        <v>564</v>
      </c>
    </row>
    <row r="93" spans="1:9" ht="18" x14ac:dyDescent="0.3">
      <c r="A93" s="13" t="s">
        <v>183</v>
      </c>
      <c r="B93" s="1"/>
      <c r="C93" s="5" t="s">
        <v>184</v>
      </c>
      <c r="D93" s="3"/>
      <c r="E93" s="3"/>
      <c r="F93" s="6" t="s">
        <v>12</v>
      </c>
      <c r="G93" s="7">
        <v>1.25</v>
      </c>
      <c r="H93" s="7"/>
      <c r="I93" s="16">
        <v>47</v>
      </c>
    </row>
    <row r="94" spans="1:9" ht="18" x14ac:dyDescent="0.3">
      <c r="A94" s="13" t="s">
        <v>185</v>
      </c>
      <c r="B94" s="1"/>
      <c r="C94" s="5" t="s">
        <v>186</v>
      </c>
      <c r="D94" s="3"/>
      <c r="E94" s="3"/>
      <c r="F94" s="6" t="s">
        <v>11</v>
      </c>
      <c r="G94" s="7">
        <v>0.75</v>
      </c>
      <c r="H94" s="7"/>
      <c r="I94" s="16">
        <v>28.2</v>
      </c>
    </row>
    <row r="95" spans="1:9" ht="18" x14ac:dyDescent="0.3">
      <c r="A95" s="13" t="s">
        <v>187</v>
      </c>
      <c r="B95" s="1"/>
      <c r="C95" s="5" t="s">
        <v>188</v>
      </c>
      <c r="D95" s="3"/>
      <c r="E95" s="3"/>
      <c r="F95" s="6" t="s">
        <v>12</v>
      </c>
      <c r="G95" s="7">
        <v>4.7</v>
      </c>
      <c r="H95" s="7"/>
      <c r="I95" s="16">
        <v>176.72</v>
      </c>
    </row>
    <row r="96" spans="1:9" ht="18" x14ac:dyDescent="0.3">
      <c r="A96" s="13" t="s">
        <v>189</v>
      </c>
      <c r="B96" s="1"/>
      <c r="C96" s="8" t="s">
        <v>190</v>
      </c>
      <c r="D96" s="3"/>
      <c r="E96" s="3"/>
      <c r="F96" s="6" t="s">
        <v>11</v>
      </c>
      <c r="G96" s="7">
        <v>4.2</v>
      </c>
      <c r="H96" s="7"/>
      <c r="I96" s="16">
        <v>157.91999999999999</v>
      </c>
    </row>
    <row r="97" spans="1:9" ht="36" x14ac:dyDescent="0.3">
      <c r="A97" s="13" t="s">
        <v>191</v>
      </c>
      <c r="B97" s="1" t="s">
        <v>168</v>
      </c>
      <c r="C97" s="2" t="s">
        <v>169</v>
      </c>
      <c r="D97" s="3"/>
      <c r="E97" s="3" t="s">
        <v>192</v>
      </c>
      <c r="F97" s="3" t="s">
        <v>9</v>
      </c>
      <c r="G97" s="4">
        <v>1</v>
      </c>
      <c r="H97" s="4"/>
      <c r="I97" s="14">
        <v>624.6</v>
      </c>
    </row>
    <row r="98" spans="1:9" ht="18" x14ac:dyDescent="0.3">
      <c r="A98" s="13" t="s">
        <v>193</v>
      </c>
      <c r="B98" s="1"/>
      <c r="C98" s="8" t="s">
        <v>190</v>
      </c>
      <c r="D98" s="3"/>
      <c r="E98" s="3"/>
      <c r="F98" s="6" t="s">
        <v>11</v>
      </c>
      <c r="G98" s="7">
        <v>4.2</v>
      </c>
      <c r="H98" s="7"/>
      <c r="I98" s="16">
        <v>2623.32</v>
      </c>
    </row>
    <row r="99" spans="1:9" ht="18" x14ac:dyDescent="0.3">
      <c r="A99" s="13" t="s">
        <v>194</v>
      </c>
      <c r="B99" s="1"/>
      <c r="C99" s="5" t="s">
        <v>188</v>
      </c>
      <c r="D99" s="3"/>
      <c r="E99" s="3"/>
      <c r="F99" s="6" t="s">
        <v>12</v>
      </c>
      <c r="G99" s="7">
        <v>4.7</v>
      </c>
      <c r="H99" s="7"/>
      <c r="I99" s="16">
        <v>2935.62</v>
      </c>
    </row>
    <row r="100" spans="1:9" ht="36" x14ac:dyDescent="0.3">
      <c r="A100" s="13" t="s">
        <v>195</v>
      </c>
      <c r="B100" s="1"/>
      <c r="C100" s="5" t="s">
        <v>196</v>
      </c>
      <c r="D100" s="3"/>
      <c r="E100" s="3"/>
      <c r="F100" s="6" t="s">
        <v>9</v>
      </c>
      <c r="G100" s="7">
        <v>2.0499999999999998</v>
      </c>
      <c r="H100" s="7"/>
      <c r="I100" s="16">
        <v>1280.43</v>
      </c>
    </row>
    <row r="101" spans="1:9" ht="18" x14ac:dyDescent="0.3">
      <c r="A101" s="13" t="s">
        <v>197</v>
      </c>
      <c r="B101" s="1"/>
      <c r="C101" s="5" t="s">
        <v>186</v>
      </c>
      <c r="D101" s="3"/>
      <c r="E101" s="3"/>
      <c r="F101" s="6" t="s">
        <v>11</v>
      </c>
      <c r="G101" s="7">
        <v>0.75</v>
      </c>
      <c r="H101" s="7"/>
      <c r="I101" s="16">
        <v>468.45</v>
      </c>
    </row>
    <row r="102" spans="1:9" ht="18" x14ac:dyDescent="0.3">
      <c r="A102" s="13" t="s">
        <v>198</v>
      </c>
      <c r="B102" s="1"/>
      <c r="C102" s="5" t="s">
        <v>184</v>
      </c>
      <c r="D102" s="3"/>
      <c r="E102" s="3"/>
      <c r="F102" s="6" t="s">
        <v>12</v>
      </c>
      <c r="G102" s="7">
        <v>1.25</v>
      </c>
      <c r="H102" s="7"/>
      <c r="I102" s="16">
        <v>780.75</v>
      </c>
    </row>
    <row r="103" spans="1:9" ht="18" x14ac:dyDescent="0.3">
      <c r="A103" s="13" t="s">
        <v>199</v>
      </c>
      <c r="B103" s="1"/>
      <c r="C103" s="5" t="s">
        <v>182</v>
      </c>
      <c r="D103" s="3"/>
      <c r="E103" s="3"/>
      <c r="F103" s="6" t="s">
        <v>11</v>
      </c>
      <c r="G103" s="7">
        <v>15</v>
      </c>
      <c r="H103" s="7"/>
      <c r="I103" s="16">
        <v>9369</v>
      </c>
    </row>
    <row r="104" spans="1:9" ht="18" x14ac:dyDescent="0.3">
      <c r="A104" s="13" t="s">
        <v>200</v>
      </c>
      <c r="B104" s="1"/>
      <c r="C104" s="5" t="s">
        <v>178</v>
      </c>
      <c r="D104" s="3"/>
      <c r="E104" s="3"/>
      <c r="F104" s="6" t="s">
        <v>11</v>
      </c>
      <c r="G104" s="7">
        <v>30</v>
      </c>
      <c r="H104" s="7"/>
      <c r="I104" s="16">
        <v>18738</v>
      </c>
    </row>
    <row r="105" spans="1:9" ht="36" x14ac:dyDescent="0.3">
      <c r="A105" s="13" t="s">
        <v>201</v>
      </c>
      <c r="B105" s="1"/>
      <c r="C105" s="8" t="s">
        <v>176</v>
      </c>
      <c r="D105" s="3"/>
      <c r="E105" s="3"/>
      <c r="F105" s="6" t="s">
        <v>11</v>
      </c>
      <c r="G105" s="7">
        <v>3.6</v>
      </c>
      <c r="H105" s="7"/>
      <c r="I105" s="16">
        <v>2248.56</v>
      </c>
    </row>
    <row r="106" spans="1:9" ht="18" x14ac:dyDescent="0.3">
      <c r="A106" s="13" t="s">
        <v>202</v>
      </c>
      <c r="B106" s="1"/>
      <c r="C106" s="5" t="s">
        <v>174</v>
      </c>
      <c r="D106" s="3"/>
      <c r="E106" s="3"/>
      <c r="F106" s="6" t="s">
        <v>11</v>
      </c>
      <c r="G106" s="7">
        <v>0.3</v>
      </c>
      <c r="H106" s="7"/>
      <c r="I106" s="16">
        <v>187.38</v>
      </c>
    </row>
    <row r="107" spans="1:9" ht="18" x14ac:dyDescent="0.3">
      <c r="A107" s="13" t="s">
        <v>203</v>
      </c>
      <c r="B107" s="1"/>
      <c r="C107" s="5" t="s">
        <v>172</v>
      </c>
      <c r="D107" s="3"/>
      <c r="E107" s="3"/>
      <c r="F107" s="6" t="s">
        <v>10</v>
      </c>
      <c r="G107" s="7">
        <v>0.35</v>
      </c>
      <c r="H107" s="7"/>
      <c r="I107" s="16">
        <v>218.61</v>
      </c>
    </row>
    <row r="108" spans="1:9" ht="36" x14ac:dyDescent="0.3">
      <c r="A108" s="13" t="s">
        <v>204</v>
      </c>
      <c r="B108" s="1" t="s">
        <v>205</v>
      </c>
      <c r="C108" s="2" t="s">
        <v>206</v>
      </c>
      <c r="D108" s="3"/>
      <c r="E108" s="3"/>
      <c r="F108" s="3" t="s">
        <v>9</v>
      </c>
      <c r="G108" s="4">
        <v>1</v>
      </c>
      <c r="H108" s="4"/>
      <c r="I108" s="14">
        <v>638.57000000000005</v>
      </c>
    </row>
    <row r="109" spans="1:9" ht="54" x14ac:dyDescent="0.3">
      <c r="A109" s="13" t="s">
        <v>207</v>
      </c>
      <c r="B109" s="1"/>
      <c r="C109" s="8" t="s">
        <v>208</v>
      </c>
      <c r="D109" s="3"/>
      <c r="E109" s="3" t="s">
        <v>209</v>
      </c>
      <c r="F109" s="6" t="s">
        <v>9</v>
      </c>
      <c r="G109" s="7">
        <v>1.1000000000000001</v>
      </c>
      <c r="H109" s="9"/>
      <c r="I109" s="15">
        <v>702.42700000000002</v>
      </c>
    </row>
    <row r="110" spans="1:9" ht="36" x14ac:dyDescent="0.3">
      <c r="A110" s="13" t="s">
        <v>210</v>
      </c>
      <c r="B110" s="1" t="s">
        <v>205</v>
      </c>
      <c r="C110" s="2" t="s">
        <v>206</v>
      </c>
      <c r="D110" s="3"/>
      <c r="E110" s="3" t="s">
        <v>211</v>
      </c>
      <c r="F110" s="3" t="s">
        <v>9</v>
      </c>
      <c r="G110" s="4">
        <v>1</v>
      </c>
      <c r="H110" s="4"/>
      <c r="I110" s="14">
        <v>163.30000000000001</v>
      </c>
    </row>
    <row r="111" spans="1:9" ht="126" x14ac:dyDescent="0.3">
      <c r="A111" s="19" t="s">
        <v>212</v>
      </c>
      <c r="B111" s="20"/>
      <c r="C111" s="21" t="s">
        <v>213</v>
      </c>
      <c r="D111" s="22"/>
      <c r="E111" s="22" t="s">
        <v>214</v>
      </c>
      <c r="F111" s="23" t="s">
        <v>9</v>
      </c>
      <c r="G111" s="24">
        <v>1</v>
      </c>
      <c r="H111" s="25"/>
      <c r="I111" s="26">
        <v>163.30000000000001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0"/>
  <sheetViews>
    <sheetView workbookViewId="0">
      <selection activeCell="C11" sqref="C11"/>
    </sheetView>
    <sheetView workbookViewId="1">
      <selection sqref="A1:XFD1048576"/>
    </sheetView>
  </sheetViews>
  <sheetFormatPr defaultRowHeight="14.4" x14ac:dyDescent="0.3"/>
  <cols>
    <col min="1" max="1" width="8.88671875" customWidth="1"/>
    <col min="2" max="2" width="18.77734375" customWidth="1"/>
    <col min="3" max="3" width="26.77734375" customWidth="1"/>
  </cols>
  <sheetData>
    <row r="1" spans="1:3" x14ac:dyDescent="0.3">
      <c r="A1">
        <v>1</v>
      </c>
      <c r="B1" t="s">
        <v>301</v>
      </c>
      <c r="C1" t="s">
        <v>302</v>
      </c>
    </row>
    <row r="2" spans="1:3" x14ac:dyDescent="0.3">
      <c r="A2">
        <v>2</v>
      </c>
      <c r="B2" t="s">
        <v>316</v>
      </c>
    </row>
    <row r="3" spans="1:3" x14ac:dyDescent="0.3">
      <c r="A3">
        <v>3</v>
      </c>
      <c r="B3" t="s">
        <v>317</v>
      </c>
      <c r="C3" t="s">
        <v>318</v>
      </c>
    </row>
    <row r="9" spans="1:3" x14ac:dyDescent="0.3">
      <c r="C9" t="s">
        <v>344</v>
      </c>
    </row>
    <row r="10" spans="1:3" x14ac:dyDescent="0.3">
      <c r="C10" t="s">
        <v>370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56"/>
  <sheetViews>
    <sheetView zoomScaleNormal="100" workbookViewId="0">
      <selection activeCell="D63" sqref="D63"/>
    </sheetView>
    <sheetView workbookViewId="1">
      <selection sqref="A1:XFD1048576"/>
    </sheetView>
  </sheetViews>
  <sheetFormatPr defaultRowHeight="14.4" x14ac:dyDescent="0.3"/>
  <sheetData>
    <row r="1" spans="2:9" ht="20.399999999999999" customHeight="1" x14ac:dyDescent="0.3">
      <c r="B1" s="67" t="s">
        <v>328</v>
      </c>
      <c r="C1" s="68"/>
      <c r="D1" s="68"/>
      <c r="E1" s="68"/>
      <c r="F1" s="68"/>
      <c r="G1" s="68"/>
      <c r="H1" s="68"/>
      <c r="I1" s="68"/>
    </row>
    <row r="3" spans="2:9" x14ac:dyDescent="0.3">
      <c r="B3" s="30" t="s">
        <v>248</v>
      </c>
    </row>
    <row r="4" spans="2:9" ht="20.399999999999999" customHeight="1" x14ac:dyDescent="0.3">
      <c r="B4" s="27"/>
      <c r="C4" s="27">
        <v>1</v>
      </c>
      <c r="D4" s="27">
        <v>1</v>
      </c>
      <c r="E4" s="27">
        <v>2</v>
      </c>
      <c r="F4" s="27">
        <v>2</v>
      </c>
      <c r="G4" s="27">
        <v>3</v>
      </c>
      <c r="H4" s="27">
        <v>3</v>
      </c>
      <c r="I4" s="27">
        <v>4</v>
      </c>
    </row>
    <row r="5" spans="2:9" x14ac:dyDescent="0.3">
      <c r="B5" s="29"/>
      <c r="C5" s="27">
        <v>1</v>
      </c>
      <c r="D5" s="27">
        <v>2.2999999999999998</v>
      </c>
      <c r="E5" s="27">
        <v>1</v>
      </c>
      <c r="F5" s="27">
        <v>2.2999999999999998</v>
      </c>
      <c r="G5" s="27">
        <v>1</v>
      </c>
      <c r="H5" s="27">
        <v>2.2999999999999998</v>
      </c>
      <c r="I5" s="27">
        <v>3</v>
      </c>
    </row>
    <row r="9" spans="2:9" x14ac:dyDescent="0.3">
      <c r="B9" s="27" t="s">
        <v>371</v>
      </c>
      <c r="C9" s="27" t="s">
        <v>342</v>
      </c>
      <c r="D9" s="27" t="s">
        <v>343</v>
      </c>
    </row>
    <row r="10" spans="2:9" x14ac:dyDescent="0.3">
      <c r="B10" s="110" t="s">
        <v>329</v>
      </c>
      <c r="C10" s="27">
        <v>47.78</v>
      </c>
      <c r="D10" s="27">
        <v>47.78</v>
      </c>
    </row>
    <row r="11" spans="2:9" x14ac:dyDescent="0.3">
      <c r="B11" s="110" t="s">
        <v>238</v>
      </c>
      <c r="C11" s="27">
        <v>727.11</v>
      </c>
      <c r="D11" s="27">
        <v>727.11</v>
      </c>
    </row>
    <row r="12" spans="2:9" x14ac:dyDescent="0.3">
      <c r="B12" s="110" t="s">
        <v>330</v>
      </c>
      <c r="C12" s="27">
        <v>503.14</v>
      </c>
      <c r="D12" s="27">
        <v>503.14</v>
      </c>
    </row>
    <row r="13" spans="2:9" x14ac:dyDescent="0.3">
      <c r="B13" s="110"/>
      <c r="C13" s="27"/>
      <c r="D13" s="27"/>
    </row>
    <row r="14" spans="2:9" x14ac:dyDescent="0.3">
      <c r="B14" s="110"/>
      <c r="C14" s="27"/>
      <c r="D14" s="27"/>
    </row>
    <row r="15" spans="2:9" x14ac:dyDescent="0.3">
      <c r="B15" s="110"/>
      <c r="C15" s="27"/>
      <c r="D15" s="27"/>
    </row>
    <row r="16" spans="2:9" x14ac:dyDescent="0.3">
      <c r="B16" s="110"/>
      <c r="C16" s="27"/>
      <c r="D16" s="27"/>
    </row>
    <row r="17" spans="1:4" x14ac:dyDescent="0.3">
      <c r="B17" s="110"/>
      <c r="C17" s="27"/>
      <c r="D17" s="27"/>
    </row>
    <row r="18" spans="1:4" x14ac:dyDescent="0.3">
      <c r="B18" s="110"/>
      <c r="C18" s="27"/>
      <c r="D18" s="27"/>
    </row>
    <row r="19" spans="1:4" x14ac:dyDescent="0.3">
      <c r="B19" s="110"/>
      <c r="C19" s="27"/>
      <c r="D19" s="27"/>
    </row>
    <row r="20" spans="1:4" x14ac:dyDescent="0.3">
      <c r="B20" s="110"/>
      <c r="C20" s="27"/>
      <c r="D20" s="27"/>
    </row>
    <row r="21" spans="1:4" x14ac:dyDescent="0.3">
      <c r="B21" s="110"/>
      <c r="C21" s="27"/>
      <c r="D21" s="27"/>
    </row>
    <row r="22" spans="1:4" x14ac:dyDescent="0.3">
      <c r="B22" s="110"/>
      <c r="C22" s="27"/>
      <c r="D22" s="27"/>
    </row>
    <row r="23" spans="1:4" x14ac:dyDescent="0.3">
      <c r="B23" s="110"/>
      <c r="C23" s="27"/>
      <c r="D23" s="27"/>
    </row>
    <row r="24" spans="1:4" x14ac:dyDescent="0.3">
      <c r="B24" s="110"/>
      <c r="C24" s="27"/>
      <c r="D24" s="27"/>
    </row>
    <row r="25" spans="1:4" ht="14.4" customHeight="1" x14ac:dyDescent="0.3">
      <c r="B25" s="110"/>
      <c r="C25" s="27"/>
      <c r="D25" s="27"/>
    </row>
    <row r="26" spans="1:4" x14ac:dyDescent="0.3">
      <c r="B26" s="110"/>
      <c r="C26" s="27"/>
      <c r="D26" s="27"/>
    </row>
    <row r="27" spans="1:4" x14ac:dyDescent="0.3">
      <c r="A27" t="e">
        <f>#REF!-#REF!</f>
        <v>#REF!</v>
      </c>
      <c r="B27" s="110"/>
      <c r="C27" s="27"/>
      <c r="D27" s="27"/>
    </row>
    <row r="28" spans="1:4" x14ac:dyDescent="0.3">
      <c r="A28" t="e">
        <f>#REF!-#REF!</f>
        <v>#REF!</v>
      </c>
      <c r="B28" s="110"/>
      <c r="C28" s="27"/>
      <c r="D28" s="27"/>
    </row>
    <row r="29" spans="1:4" x14ac:dyDescent="0.3">
      <c r="A29" t="e">
        <f>#REF!-#REF!</f>
        <v>#REF!</v>
      </c>
      <c r="B29" s="110"/>
      <c r="C29" s="27"/>
      <c r="D29" s="27"/>
    </row>
    <row r="30" spans="1:4" x14ac:dyDescent="0.3">
      <c r="A30" t="e">
        <f>#REF!-#REF!</f>
        <v>#REF!</v>
      </c>
      <c r="B30" s="110"/>
      <c r="C30" s="27"/>
      <c r="D30" s="27"/>
    </row>
    <row r="31" spans="1:4" x14ac:dyDescent="0.3">
      <c r="A31" t="e">
        <f>#REF!-#REF!</f>
        <v>#REF!</v>
      </c>
      <c r="B31" s="110"/>
      <c r="C31" s="27"/>
      <c r="D31" s="27"/>
    </row>
    <row r="32" spans="1:4" x14ac:dyDescent="0.3">
      <c r="A32" t="e">
        <f>#REF!-#REF!</f>
        <v>#REF!</v>
      </c>
      <c r="B32" s="110"/>
      <c r="C32" s="27"/>
      <c r="D32" s="27"/>
    </row>
    <row r="33" spans="2:4" x14ac:dyDescent="0.3">
      <c r="B33" s="110"/>
      <c r="C33" s="27"/>
      <c r="D33" s="27"/>
    </row>
    <row r="34" spans="2:4" x14ac:dyDescent="0.3">
      <c r="B34" s="110"/>
      <c r="C34" s="27"/>
      <c r="D34" s="27"/>
    </row>
    <row r="35" spans="2:4" x14ac:dyDescent="0.3">
      <c r="B35" s="110"/>
      <c r="C35" s="27"/>
      <c r="D35" s="27"/>
    </row>
    <row r="36" spans="2:4" x14ac:dyDescent="0.3">
      <c r="B36" s="110" t="s">
        <v>331</v>
      </c>
      <c r="C36" s="27">
        <v>2411.1799999999998</v>
      </c>
      <c r="D36" s="27">
        <v>2411.1799999999998</v>
      </c>
    </row>
    <row r="37" spans="2:4" x14ac:dyDescent="0.3">
      <c r="B37" s="110" t="s">
        <v>332</v>
      </c>
      <c r="C37" s="27">
        <v>18.829999999999998</v>
      </c>
      <c r="D37" s="27">
        <v>18.829999999999998</v>
      </c>
    </row>
    <row r="38" spans="2:4" x14ac:dyDescent="0.3">
      <c r="B38" s="110" t="s">
        <v>333</v>
      </c>
      <c r="C38" s="27">
        <v>57.38</v>
      </c>
      <c r="D38" s="27">
        <v>57.38</v>
      </c>
    </row>
    <row r="39" spans="2:4" x14ac:dyDescent="0.3">
      <c r="B39" s="110" t="s">
        <v>334</v>
      </c>
      <c r="C39" s="27">
        <v>57.27</v>
      </c>
      <c r="D39" s="27">
        <v>57.27</v>
      </c>
    </row>
    <row r="40" spans="2:4" x14ac:dyDescent="0.3">
      <c r="B40" s="110" t="s">
        <v>335</v>
      </c>
      <c r="C40" s="27">
        <v>28.67</v>
      </c>
      <c r="D40" s="27">
        <v>28.67</v>
      </c>
    </row>
    <row r="41" spans="2:4" x14ac:dyDescent="0.3">
      <c r="B41" s="110" t="s">
        <v>336</v>
      </c>
      <c r="C41" s="27">
        <v>4293.76</v>
      </c>
      <c r="D41" s="27">
        <v>4293.76</v>
      </c>
    </row>
    <row r="42" spans="2:4" x14ac:dyDescent="0.3">
      <c r="B42" s="110" t="s">
        <v>337</v>
      </c>
      <c r="C42" s="27">
        <v>355.1</v>
      </c>
      <c r="D42" s="27">
        <v>355.1</v>
      </c>
    </row>
    <row r="43" spans="2:4" x14ac:dyDescent="0.3">
      <c r="B43" s="110" t="s">
        <v>338</v>
      </c>
      <c r="C43" s="27">
        <v>3797.28</v>
      </c>
      <c r="D43" s="27">
        <v>3797.28</v>
      </c>
    </row>
    <row r="44" spans="2:4" x14ac:dyDescent="0.3">
      <c r="B44" s="110" t="s">
        <v>339</v>
      </c>
      <c r="C44" s="27">
        <v>163.30000000000001</v>
      </c>
      <c r="D44" s="27"/>
    </row>
    <row r="45" spans="2:4" x14ac:dyDescent="0.3">
      <c r="B45" s="110" t="s">
        <v>340</v>
      </c>
      <c r="C45" s="27">
        <v>3219.96</v>
      </c>
      <c r="D45" s="27">
        <v>3219.96</v>
      </c>
    </row>
    <row r="46" spans="2:4" x14ac:dyDescent="0.3">
      <c r="B46" s="110" t="s">
        <v>341</v>
      </c>
      <c r="C46" s="27">
        <v>638.57000000000005</v>
      </c>
      <c r="D46" s="27"/>
    </row>
    <row r="47" spans="2:4" x14ac:dyDescent="0.3">
      <c r="B47" s="66"/>
    </row>
    <row r="48" spans="2:4" x14ac:dyDescent="0.3">
      <c r="B48" s="66"/>
    </row>
    <row r="49" spans="2:4" x14ac:dyDescent="0.3">
      <c r="B49" s="66"/>
      <c r="C49">
        <f>SUM(C10:C46)</f>
        <v>16319.330000000002</v>
      </c>
      <c r="D49">
        <f>SUM(D10:D46)</f>
        <v>15517.460000000003</v>
      </c>
    </row>
    <row r="50" spans="2:4" x14ac:dyDescent="0.3">
      <c r="B50" s="66"/>
    </row>
    <row r="51" spans="2:4" x14ac:dyDescent="0.3">
      <c r="B51" s="66"/>
    </row>
    <row r="52" spans="2:4" x14ac:dyDescent="0.3">
      <c r="B52" s="66"/>
    </row>
    <row r="53" spans="2:4" x14ac:dyDescent="0.3">
      <c r="B53" s="66"/>
    </row>
    <row r="54" spans="2:4" x14ac:dyDescent="0.3">
      <c r="B54" s="66"/>
    </row>
    <row r="55" spans="2:4" x14ac:dyDescent="0.3">
      <c r="B55" s="66"/>
    </row>
    <row r="56" spans="2:4" x14ac:dyDescent="0.3">
      <c r="B56" s="66"/>
    </row>
  </sheetData>
  <mergeCells count="1">
    <mergeCell ref="B1:I1"/>
  </mergeCells>
  <pageMargins left="0.7" right="0.7" top="0.75" bottom="0.75" header="0.3" footer="0.3"/>
  <pageSetup paperSize="9" orientation="portrait" horizontalDpi="300" verticalDpi="300" r:id="rId1"/>
  <ignoredErrors>
    <ignoredError sqref="B10:B38 B43:B46" numberStoredAsText="1"/>
    <ignoredError sqref="B39:B42" twoDigitTextYear="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8"/>
  <sheetViews>
    <sheetView zoomScale="85" zoomScaleNormal="85" workbookViewId="0">
      <selection activeCell="B2" sqref="B2"/>
    </sheetView>
    <sheetView workbookViewId="1">
      <selection sqref="A1:XFD1048576"/>
    </sheetView>
  </sheetViews>
  <sheetFormatPr defaultRowHeight="13.2" x14ac:dyDescent="0.3"/>
  <cols>
    <col min="1" max="1" width="12" style="90" customWidth="1"/>
    <col min="2" max="2" width="11.44140625" style="90" customWidth="1"/>
    <col min="3" max="3" width="73.109375" style="90" hidden="1" customWidth="1"/>
    <col min="4" max="4" width="10.77734375" style="90" customWidth="1"/>
    <col min="5" max="5" width="46.88671875" style="90" hidden="1" customWidth="1"/>
    <col min="6" max="16384" width="8.88671875" style="90"/>
  </cols>
  <sheetData>
    <row r="1" spans="1:5" ht="34.799999999999997" x14ac:dyDescent="0.3">
      <c r="A1" s="109" t="s">
        <v>369</v>
      </c>
      <c r="B1" s="108" t="s">
        <v>368</v>
      </c>
      <c r="C1" s="107" t="s">
        <v>367</v>
      </c>
      <c r="D1" s="106" t="s">
        <v>366</v>
      </c>
      <c r="E1" s="105" t="s">
        <v>365</v>
      </c>
    </row>
    <row r="2" spans="1:5" ht="15" customHeight="1" x14ac:dyDescent="0.25">
      <c r="A2" s="102">
        <v>1001</v>
      </c>
      <c r="B2" s="101" t="s">
        <v>355</v>
      </c>
      <c r="C2" s="100" t="s">
        <v>354</v>
      </c>
      <c r="D2" s="99">
        <v>129.6</v>
      </c>
      <c r="E2" s="98"/>
    </row>
    <row r="3" spans="1:5" ht="15" customHeight="1" x14ac:dyDescent="0.25">
      <c r="A3" s="102">
        <v>1002</v>
      </c>
      <c r="B3" s="101" t="s">
        <v>355</v>
      </c>
      <c r="C3" s="100" t="s">
        <v>354</v>
      </c>
      <c r="D3" s="99">
        <v>66.900000000000006</v>
      </c>
      <c r="E3" s="98"/>
    </row>
    <row r="4" spans="1:5" ht="15" customHeight="1" x14ac:dyDescent="0.25">
      <c r="A4" s="102">
        <v>1003</v>
      </c>
      <c r="B4" s="101" t="s">
        <v>355</v>
      </c>
      <c r="C4" s="100" t="s">
        <v>354</v>
      </c>
      <c r="D4" s="99">
        <v>67.099999999999994</v>
      </c>
      <c r="E4" s="98"/>
    </row>
    <row r="5" spans="1:5" ht="15" customHeight="1" x14ac:dyDescent="0.25">
      <c r="A5" s="102">
        <v>1004</v>
      </c>
      <c r="B5" s="101" t="s">
        <v>355</v>
      </c>
      <c r="C5" s="100" t="s">
        <v>354</v>
      </c>
      <c r="D5" s="99">
        <v>68.2</v>
      </c>
      <c r="E5" s="98"/>
    </row>
    <row r="6" spans="1:5" ht="15" customHeight="1" x14ac:dyDescent="0.25">
      <c r="A6" s="102">
        <v>1005</v>
      </c>
      <c r="B6" s="101" t="s">
        <v>355</v>
      </c>
      <c r="C6" s="100" t="s">
        <v>354</v>
      </c>
      <c r="D6" s="99">
        <v>43</v>
      </c>
      <c r="E6" s="98"/>
    </row>
    <row r="7" spans="1:5" ht="15" customHeight="1" x14ac:dyDescent="0.25">
      <c r="A7" s="102">
        <v>1006</v>
      </c>
      <c r="B7" s="101" t="s">
        <v>355</v>
      </c>
      <c r="C7" s="100" t="s">
        <v>354</v>
      </c>
      <c r="D7" s="99">
        <v>23.9</v>
      </c>
      <c r="E7" s="98"/>
    </row>
    <row r="8" spans="1:5" ht="15" customHeight="1" x14ac:dyDescent="0.3">
      <c r="A8" s="102">
        <v>1007</v>
      </c>
      <c r="B8" s="101" t="s">
        <v>352</v>
      </c>
      <c r="C8" s="100" t="s">
        <v>351</v>
      </c>
      <c r="D8" s="99">
        <v>98.4</v>
      </c>
      <c r="E8" s="103"/>
    </row>
    <row r="9" spans="1:5" ht="15" customHeight="1" x14ac:dyDescent="0.3">
      <c r="A9" s="102">
        <v>1008</v>
      </c>
      <c r="B9" s="101" t="s">
        <v>348</v>
      </c>
      <c r="C9" s="100" t="s">
        <v>347</v>
      </c>
      <c r="D9" s="99">
        <v>9</v>
      </c>
      <c r="E9" s="103"/>
    </row>
    <row r="10" spans="1:5" ht="15" customHeight="1" x14ac:dyDescent="0.25">
      <c r="A10" s="102">
        <v>1009</v>
      </c>
      <c r="B10" s="101" t="s">
        <v>350</v>
      </c>
      <c r="C10" s="100" t="s">
        <v>349</v>
      </c>
      <c r="D10" s="99">
        <v>18.399999999999999</v>
      </c>
      <c r="E10" s="98"/>
    </row>
    <row r="11" spans="1:5" ht="15" customHeight="1" x14ac:dyDescent="0.3">
      <c r="A11" s="102">
        <v>1010</v>
      </c>
      <c r="B11" s="101" t="s">
        <v>348</v>
      </c>
      <c r="C11" s="100" t="s">
        <v>347</v>
      </c>
      <c r="D11" s="99">
        <v>5.8</v>
      </c>
      <c r="E11" s="103"/>
    </row>
    <row r="12" spans="1:5" ht="15" customHeight="1" x14ac:dyDescent="0.3">
      <c r="A12" s="102">
        <v>1011</v>
      </c>
      <c r="B12" s="101" t="s">
        <v>357</v>
      </c>
      <c r="C12" s="100" t="s">
        <v>356</v>
      </c>
      <c r="D12" s="99">
        <v>15.4</v>
      </c>
      <c r="E12" s="103"/>
    </row>
    <row r="13" spans="1:5" ht="15" customHeight="1" x14ac:dyDescent="0.25">
      <c r="A13" s="102">
        <v>1012</v>
      </c>
      <c r="B13" s="101" t="s">
        <v>350</v>
      </c>
      <c r="C13" s="100" t="s">
        <v>349</v>
      </c>
      <c r="D13" s="99">
        <v>18.8</v>
      </c>
      <c r="E13" s="98"/>
    </row>
    <row r="14" spans="1:5" ht="15" customHeight="1" x14ac:dyDescent="0.25">
      <c r="A14" s="102">
        <v>1013</v>
      </c>
      <c r="B14" s="101" t="s">
        <v>355</v>
      </c>
      <c r="C14" s="100" t="s">
        <v>354</v>
      </c>
      <c r="D14" s="99">
        <v>5.4</v>
      </c>
      <c r="E14" s="98"/>
    </row>
    <row r="15" spans="1:5" ht="15" customHeight="1" x14ac:dyDescent="0.25">
      <c r="A15" s="102">
        <v>1014</v>
      </c>
      <c r="B15" s="101" t="s">
        <v>350</v>
      </c>
      <c r="C15" s="100" t="s">
        <v>349</v>
      </c>
      <c r="D15" s="99">
        <v>7</v>
      </c>
      <c r="E15" s="98"/>
    </row>
    <row r="16" spans="1:5" ht="15" customHeight="1" x14ac:dyDescent="0.3">
      <c r="A16" s="102">
        <v>1015</v>
      </c>
      <c r="B16" s="101" t="s">
        <v>352</v>
      </c>
      <c r="C16" s="100" t="s">
        <v>351</v>
      </c>
      <c r="D16" s="99">
        <v>116.7</v>
      </c>
      <c r="E16" s="103"/>
    </row>
    <row r="17" spans="1:5" ht="15" customHeight="1" x14ac:dyDescent="0.3">
      <c r="A17" s="102">
        <v>1016</v>
      </c>
      <c r="B17" s="101" t="s">
        <v>352</v>
      </c>
      <c r="C17" s="100" t="s">
        <v>351</v>
      </c>
      <c r="D17" s="99">
        <v>202.9</v>
      </c>
      <c r="E17" s="103"/>
    </row>
    <row r="18" spans="1:5" ht="15" customHeight="1" x14ac:dyDescent="0.3">
      <c r="A18" s="102">
        <v>1017</v>
      </c>
      <c r="B18" s="101" t="s">
        <v>352</v>
      </c>
      <c r="C18" s="100" t="s">
        <v>351</v>
      </c>
      <c r="D18" s="99">
        <v>42.3</v>
      </c>
      <c r="E18" s="103"/>
    </row>
    <row r="19" spans="1:5" ht="15" customHeight="1" x14ac:dyDescent="0.3">
      <c r="A19" s="102">
        <v>1018</v>
      </c>
      <c r="B19" s="101" t="s">
        <v>352</v>
      </c>
      <c r="C19" s="100" t="s">
        <v>351</v>
      </c>
      <c r="D19" s="99">
        <v>1.8</v>
      </c>
      <c r="E19" s="103"/>
    </row>
    <row r="20" spans="1:5" ht="15" customHeight="1" x14ac:dyDescent="0.3">
      <c r="A20" s="102">
        <v>1018</v>
      </c>
      <c r="B20" s="101" t="s">
        <v>363</v>
      </c>
      <c r="C20" s="100" t="s">
        <v>362</v>
      </c>
      <c r="D20" s="99">
        <v>14.6</v>
      </c>
      <c r="E20" s="103"/>
    </row>
    <row r="21" spans="1:5" ht="15" customHeight="1" x14ac:dyDescent="0.3">
      <c r="A21" s="102">
        <v>1019</v>
      </c>
      <c r="B21" s="101" t="s">
        <v>352</v>
      </c>
      <c r="C21" s="100" t="s">
        <v>351</v>
      </c>
      <c r="D21" s="99">
        <v>94.3</v>
      </c>
      <c r="E21" s="103"/>
    </row>
    <row r="22" spans="1:5" ht="15" customHeight="1" x14ac:dyDescent="0.3">
      <c r="A22" s="102">
        <v>1020</v>
      </c>
      <c r="B22" s="101" t="s">
        <v>352</v>
      </c>
      <c r="C22" s="100" t="s">
        <v>351</v>
      </c>
      <c r="D22" s="99">
        <v>45.1</v>
      </c>
      <c r="E22" s="103"/>
    </row>
    <row r="23" spans="1:5" ht="15" customHeight="1" x14ac:dyDescent="0.3">
      <c r="A23" s="102">
        <v>1021</v>
      </c>
      <c r="B23" s="101" t="s">
        <v>357</v>
      </c>
      <c r="C23" s="100" t="s">
        <v>356</v>
      </c>
      <c r="D23" s="99">
        <v>17.7</v>
      </c>
      <c r="E23" s="103"/>
    </row>
    <row r="24" spans="1:5" ht="15" customHeight="1" x14ac:dyDescent="0.25">
      <c r="A24" s="102">
        <v>1022</v>
      </c>
      <c r="B24" s="101" t="s">
        <v>350</v>
      </c>
      <c r="C24" s="100" t="s">
        <v>349</v>
      </c>
      <c r="D24" s="99">
        <v>7.1</v>
      </c>
      <c r="E24" s="98"/>
    </row>
    <row r="25" spans="1:5" ht="15" customHeight="1" x14ac:dyDescent="0.3">
      <c r="A25" s="102">
        <v>1023</v>
      </c>
      <c r="B25" s="101" t="s">
        <v>348</v>
      </c>
      <c r="C25" s="100" t="s">
        <v>347</v>
      </c>
      <c r="D25" s="99">
        <v>25.7</v>
      </c>
      <c r="E25" s="103"/>
    </row>
    <row r="26" spans="1:5" ht="15" customHeight="1" x14ac:dyDescent="0.3">
      <c r="A26" s="102">
        <v>1024</v>
      </c>
      <c r="B26" s="101" t="s">
        <v>357</v>
      </c>
      <c r="C26" s="100" t="s">
        <v>356</v>
      </c>
      <c r="D26" s="99">
        <v>13</v>
      </c>
      <c r="E26" s="103"/>
    </row>
    <row r="27" spans="1:5" ht="15" customHeight="1" x14ac:dyDescent="0.3">
      <c r="A27" s="102">
        <v>1025</v>
      </c>
      <c r="B27" s="101" t="s">
        <v>352</v>
      </c>
      <c r="C27" s="100" t="s">
        <v>351</v>
      </c>
      <c r="D27" s="99">
        <v>163.19999999999999</v>
      </c>
      <c r="E27" s="103"/>
    </row>
    <row r="28" spans="1:5" ht="15" customHeight="1" x14ac:dyDescent="0.25">
      <c r="A28" s="102">
        <v>1026</v>
      </c>
      <c r="B28" s="101" t="s">
        <v>355</v>
      </c>
      <c r="C28" s="100" t="s">
        <v>354</v>
      </c>
      <c r="D28" s="99">
        <v>17.7</v>
      </c>
      <c r="E28" s="98"/>
    </row>
    <row r="29" spans="1:5" ht="15" customHeight="1" x14ac:dyDescent="0.3">
      <c r="A29" s="102">
        <v>1027</v>
      </c>
      <c r="B29" s="101" t="s">
        <v>348</v>
      </c>
      <c r="C29" s="100" t="s">
        <v>347</v>
      </c>
      <c r="D29" s="99">
        <v>5</v>
      </c>
      <c r="E29" s="103"/>
    </row>
    <row r="30" spans="1:5" ht="15" customHeight="1" x14ac:dyDescent="0.25">
      <c r="A30" s="102">
        <v>1028</v>
      </c>
      <c r="B30" s="101" t="s">
        <v>355</v>
      </c>
      <c r="C30" s="100" t="s">
        <v>354</v>
      </c>
      <c r="D30" s="99">
        <v>6.4</v>
      </c>
      <c r="E30" s="98"/>
    </row>
    <row r="31" spans="1:5" ht="15" customHeight="1" x14ac:dyDescent="0.25">
      <c r="A31" s="102">
        <v>1028</v>
      </c>
      <c r="B31" s="101" t="s">
        <v>350</v>
      </c>
      <c r="C31" s="100" t="s">
        <v>349</v>
      </c>
      <c r="D31" s="99">
        <v>4.7</v>
      </c>
      <c r="E31" s="98"/>
    </row>
    <row r="32" spans="1:5" ht="15" customHeight="1" x14ac:dyDescent="0.3">
      <c r="A32" s="102">
        <v>1029</v>
      </c>
      <c r="B32" s="101" t="s">
        <v>348</v>
      </c>
      <c r="C32" s="100" t="s">
        <v>347</v>
      </c>
      <c r="D32" s="99">
        <v>37.200000000000003</v>
      </c>
      <c r="E32" s="103"/>
    </row>
    <row r="33" spans="1:5" ht="15" customHeight="1" x14ac:dyDescent="0.3">
      <c r="A33" s="102">
        <v>1030</v>
      </c>
      <c r="B33" s="101" t="s">
        <v>352</v>
      </c>
      <c r="C33" s="100" t="s">
        <v>351</v>
      </c>
      <c r="D33" s="99">
        <v>18.7</v>
      </c>
      <c r="E33" s="103"/>
    </row>
    <row r="34" spans="1:5" ht="15" customHeight="1" x14ac:dyDescent="0.25">
      <c r="A34" s="102">
        <v>1031</v>
      </c>
      <c r="B34" s="101" t="s">
        <v>350</v>
      </c>
      <c r="C34" s="100" t="s">
        <v>349</v>
      </c>
      <c r="D34" s="99">
        <v>16.7</v>
      </c>
      <c r="E34" s="98"/>
    </row>
    <row r="35" spans="1:5" ht="15" customHeight="1" x14ac:dyDescent="0.25">
      <c r="A35" s="102">
        <v>1032</v>
      </c>
      <c r="B35" s="101" t="s">
        <v>350</v>
      </c>
      <c r="C35" s="100" t="s">
        <v>349</v>
      </c>
      <c r="D35" s="99">
        <v>8.1999999999999993</v>
      </c>
      <c r="E35" s="98"/>
    </row>
    <row r="36" spans="1:5" ht="15" customHeight="1" x14ac:dyDescent="0.25">
      <c r="A36" s="102">
        <v>1033</v>
      </c>
      <c r="B36" s="101" t="s">
        <v>350</v>
      </c>
      <c r="C36" s="100" t="s">
        <v>349</v>
      </c>
      <c r="D36" s="99">
        <v>7.9</v>
      </c>
      <c r="E36" s="98"/>
    </row>
    <row r="37" spans="1:5" ht="15" customHeight="1" x14ac:dyDescent="0.25">
      <c r="A37" s="102">
        <v>1034</v>
      </c>
      <c r="B37" s="101" t="s">
        <v>350</v>
      </c>
      <c r="C37" s="100" t="s">
        <v>349</v>
      </c>
      <c r="D37" s="99">
        <v>12.7</v>
      </c>
      <c r="E37" s="98"/>
    </row>
    <row r="38" spans="1:5" ht="15" customHeight="1" x14ac:dyDescent="0.25">
      <c r="A38" s="102">
        <v>1035</v>
      </c>
      <c r="B38" s="101" t="s">
        <v>350</v>
      </c>
      <c r="C38" s="100" t="s">
        <v>349</v>
      </c>
      <c r="D38" s="99">
        <v>12.2</v>
      </c>
      <c r="E38" s="98"/>
    </row>
    <row r="39" spans="1:5" ht="15" customHeight="1" x14ac:dyDescent="0.25">
      <c r="A39" s="102">
        <v>1036</v>
      </c>
      <c r="B39" s="101" t="s">
        <v>350</v>
      </c>
      <c r="C39" s="100" t="s">
        <v>349</v>
      </c>
      <c r="D39" s="99">
        <v>34.6</v>
      </c>
      <c r="E39" s="98"/>
    </row>
    <row r="40" spans="1:5" ht="15" customHeight="1" x14ac:dyDescent="0.25">
      <c r="A40" s="102">
        <v>1037</v>
      </c>
      <c r="B40" s="101" t="s">
        <v>350</v>
      </c>
      <c r="C40" s="100" t="s">
        <v>349</v>
      </c>
      <c r="D40" s="99">
        <v>18.8</v>
      </c>
      <c r="E40" s="98"/>
    </row>
    <row r="41" spans="1:5" ht="15" customHeight="1" x14ac:dyDescent="0.3">
      <c r="A41" s="102">
        <v>1038</v>
      </c>
      <c r="B41" s="101" t="s">
        <v>352</v>
      </c>
      <c r="C41" s="100" t="s">
        <v>351</v>
      </c>
      <c r="D41" s="99">
        <v>75.5</v>
      </c>
      <c r="E41" s="103"/>
    </row>
    <row r="42" spans="1:5" ht="15" customHeight="1" x14ac:dyDescent="0.3">
      <c r="A42" s="102">
        <v>1039</v>
      </c>
      <c r="B42" s="101" t="s">
        <v>352</v>
      </c>
      <c r="C42" s="100" t="s">
        <v>351</v>
      </c>
      <c r="D42" s="99">
        <v>165.2</v>
      </c>
      <c r="E42" s="103"/>
    </row>
    <row r="43" spans="1:5" ht="15" customHeight="1" x14ac:dyDescent="0.3">
      <c r="A43" s="102">
        <v>1040</v>
      </c>
      <c r="B43" s="101" t="s">
        <v>352</v>
      </c>
      <c r="C43" s="100" t="s">
        <v>351</v>
      </c>
      <c r="D43" s="99">
        <v>133.9</v>
      </c>
      <c r="E43" s="103"/>
    </row>
    <row r="44" spans="1:5" ht="15" customHeight="1" x14ac:dyDescent="0.3">
      <c r="A44" s="102">
        <v>1041</v>
      </c>
      <c r="B44" s="101" t="s">
        <v>352</v>
      </c>
      <c r="C44" s="100" t="s">
        <v>351</v>
      </c>
      <c r="D44" s="99">
        <v>44.8</v>
      </c>
      <c r="E44" s="103"/>
    </row>
    <row r="45" spans="1:5" ht="15" customHeight="1" x14ac:dyDescent="0.3">
      <c r="A45" s="102">
        <v>1042</v>
      </c>
      <c r="B45" s="101" t="s">
        <v>352</v>
      </c>
      <c r="C45" s="100" t="s">
        <v>351</v>
      </c>
      <c r="D45" s="99">
        <v>11.2</v>
      </c>
      <c r="E45" s="103"/>
    </row>
    <row r="46" spans="1:5" ht="15" customHeight="1" x14ac:dyDescent="0.3">
      <c r="A46" s="102">
        <v>1043</v>
      </c>
      <c r="B46" s="101" t="s">
        <v>348</v>
      </c>
      <c r="C46" s="100" t="s">
        <v>347</v>
      </c>
      <c r="D46" s="99">
        <v>55</v>
      </c>
      <c r="E46" s="103"/>
    </row>
    <row r="47" spans="1:5" ht="15" customHeight="1" x14ac:dyDescent="0.3">
      <c r="A47" s="102">
        <v>1044</v>
      </c>
      <c r="B47" s="101" t="s">
        <v>348</v>
      </c>
      <c r="C47" s="100" t="s">
        <v>347</v>
      </c>
      <c r="D47" s="99">
        <v>17.2</v>
      </c>
      <c r="E47" s="103"/>
    </row>
    <row r="48" spans="1:5" ht="15" customHeight="1" x14ac:dyDescent="0.3">
      <c r="A48" s="102">
        <v>1045</v>
      </c>
      <c r="B48" s="101" t="s">
        <v>348</v>
      </c>
      <c r="C48" s="100" t="s">
        <v>347</v>
      </c>
      <c r="D48" s="99">
        <v>19.600000000000001</v>
      </c>
      <c r="E48" s="103"/>
    </row>
    <row r="49" spans="1:5" ht="15" customHeight="1" x14ac:dyDescent="0.3">
      <c r="A49" s="102">
        <v>1046</v>
      </c>
      <c r="B49" s="101" t="s">
        <v>348</v>
      </c>
      <c r="C49" s="100" t="s">
        <v>347</v>
      </c>
      <c r="D49" s="99">
        <v>10.1</v>
      </c>
      <c r="E49" s="103"/>
    </row>
    <row r="50" spans="1:5" ht="15" customHeight="1" x14ac:dyDescent="0.3">
      <c r="A50" s="102">
        <v>1047</v>
      </c>
      <c r="B50" s="101" t="s">
        <v>348</v>
      </c>
      <c r="C50" s="100" t="s">
        <v>347</v>
      </c>
      <c r="D50" s="99">
        <v>11.6</v>
      </c>
      <c r="E50" s="103"/>
    </row>
    <row r="51" spans="1:5" ht="15" customHeight="1" x14ac:dyDescent="0.3">
      <c r="A51" s="102">
        <v>1048</v>
      </c>
      <c r="B51" s="101" t="s">
        <v>348</v>
      </c>
      <c r="C51" s="100" t="s">
        <v>347</v>
      </c>
      <c r="D51" s="99">
        <v>20.5</v>
      </c>
      <c r="E51" s="103"/>
    </row>
    <row r="52" spans="1:5" ht="15" customHeight="1" x14ac:dyDescent="0.3">
      <c r="A52" s="102">
        <v>1049</v>
      </c>
      <c r="B52" s="101" t="s">
        <v>348</v>
      </c>
      <c r="C52" s="100" t="s">
        <v>347</v>
      </c>
      <c r="D52" s="99">
        <v>10.5</v>
      </c>
      <c r="E52" s="103"/>
    </row>
    <row r="53" spans="1:5" ht="15" customHeight="1" x14ac:dyDescent="0.3">
      <c r="A53" s="102">
        <v>1050</v>
      </c>
      <c r="B53" s="101" t="s">
        <v>348</v>
      </c>
      <c r="C53" s="100" t="s">
        <v>347</v>
      </c>
      <c r="D53" s="99">
        <v>47.4</v>
      </c>
      <c r="E53" s="103"/>
    </row>
    <row r="54" spans="1:5" ht="15" customHeight="1" x14ac:dyDescent="0.3">
      <c r="A54" s="102">
        <v>1051</v>
      </c>
      <c r="B54" s="101" t="s">
        <v>348</v>
      </c>
      <c r="C54" s="100" t="s">
        <v>347</v>
      </c>
      <c r="D54" s="99">
        <v>30.1</v>
      </c>
      <c r="E54" s="103"/>
    </row>
    <row r="55" spans="1:5" ht="15" customHeight="1" x14ac:dyDescent="0.3">
      <c r="A55" s="102">
        <v>1052</v>
      </c>
      <c r="B55" s="101" t="s">
        <v>348</v>
      </c>
      <c r="C55" s="100" t="s">
        <v>347</v>
      </c>
      <c r="D55" s="99">
        <v>10.4</v>
      </c>
      <c r="E55" s="103"/>
    </row>
    <row r="56" spans="1:5" ht="15" customHeight="1" x14ac:dyDescent="0.3">
      <c r="A56" s="102">
        <v>1053</v>
      </c>
      <c r="B56" s="101" t="s">
        <v>348</v>
      </c>
      <c r="C56" s="100" t="s">
        <v>347</v>
      </c>
      <c r="D56" s="99">
        <v>8.6</v>
      </c>
      <c r="E56" s="103"/>
    </row>
    <row r="57" spans="1:5" ht="15" customHeight="1" x14ac:dyDescent="0.3">
      <c r="A57" s="102">
        <v>1054</v>
      </c>
      <c r="B57" s="101" t="s">
        <v>348</v>
      </c>
      <c r="C57" s="100" t="s">
        <v>347</v>
      </c>
      <c r="D57" s="99">
        <v>21.5</v>
      </c>
      <c r="E57" s="103"/>
    </row>
    <row r="58" spans="1:5" ht="15" customHeight="1" x14ac:dyDescent="0.3">
      <c r="A58" s="102">
        <v>1055</v>
      </c>
      <c r="B58" s="101" t="s">
        <v>348</v>
      </c>
      <c r="C58" s="100" t="s">
        <v>347</v>
      </c>
      <c r="D58" s="99">
        <v>4.2</v>
      </c>
      <c r="E58" s="103"/>
    </row>
    <row r="59" spans="1:5" ht="15" customHeight="1" x14ac:dyDescent="0.3">
      <c r="A59" s="102">
        <v>1056</v>
      </c>
      <c r="B59" s="101" t="s">
        <v>348</v>
      </c>
      <c r="C59" s="100" t="s">
        <v>347</v>
      </c>
      <c r="D59" s="99">
        <v>8.5</v>
      </c>
      <c r="E59" s="103"/>
    </row>
    <row r="60" spans="1:5" ht="15" customHeight="1" x14ac:dyDescent="0.3">
      <c r="A60" s="102">
        <v>1058</v>
      </c>
      <c r="B60" s="101" t="s">
        <v>348</v>
      </c>
      <c r="C60" s="100" t="s">
        <v>347</v>
      </c>
      <c r="D60" s="99">
        <v>8.8000000000000007</v>
      </c>
      <c r="E60" s="103"/>
    </row>
    <row r="61" spans="1:5" ht="15" customHeight="1" x14ac:dyDescent="0.3">
      <c r="A61" s="102">
        <v>1059</v>
      </c>
      <c r="B61" s="101" t="s">
        <v>352</v>
      </c>
      <c r="C61" s="100" t="s">
        <v>351</v>
      </c>
      <c r="D61" s="99">
        <v>24.6</v>
      </c>
      <c r="E61" s="103"/>
    </row>
    <row r="62" spans="1:5" ht="15" customHeight="1" x14ac:dyDescent="0.25">
      <c r="A62" s="102">
        <v>1060</v>
      </c>
      <c r="B62" s="101" t="s">
        <v>355</v>
      </c>
      <c r="C62" s="100" t="s">
        <v>354</v>
      </c>
      <c r="D62" s="99">
        <v>12.5</v>
      </c>
      <c r="E62" s="98"/>
    </row>
    <row r="63" spans="1:5" ht="15" customHeight="1" x14ac:dyDescent="0.25">
      <c r="A63" s="102">
        <v>1061</v>
      </c>
      <c r="B63" s="101" t="s">
        <v>355</v>
      </c>
      <c r="C63" s="100" t="s">
        <v>354</v>
      </c>
      <c r="D63" s="99">
        <v>23.6</v>
      </c>
      <c r="E63" s="98"/>
    </row>
    <row r="64" spans="1:5" ht="15" customHeight="1" x14ac:dyDescent="0.25">
      <c r="A64" s="102">
        <v>1062</v>
      </c>
      <c r="B64" s="101" t="s">
        <v>355</v>
      </c>
      <c r="C64" s="100" t="s">
        <v>354</v>
      </c>
      <c r="D64" s="99">
        <v>14</v>
      </c>
      <c r="E64" s="98"/>
    </row>
    <row r="65" spans="1:5" ht="15" customHeight="1" x14ac:dyDescent="0.25">
      <c r="A65" s="102">
        <v>1063</v>
      </c>
      <c r="B65" s="101" t="s">
        <v>355</v>
      </c>
      <c r="C65" s="100" t="s">
        <v>354</v>
      </c>
      <c r="D65" s="99">
        <v>5.0999999999999996</v>
      </c>
      <c r="E65" s="98"/>
    </row>
    <row r="66" spans="1:5" ht="15" customHeight="1" x14ac:dyDescent="0.25">
      <c r="A66" s="102">
        <v>1064</v>
      </c>
      <c r="B66" s="101" t="s">
        <v>355</v>
      </c>
      <c r="C66" s="100" t="s">
        <v>354</v>
      </c>
      <c r="D66" s="99">
        <v>6.2</v>
      </c>
      <c r="E66" s="98"/>
    </row>
    <row r="67" spans="1:5" ht="15" customHeight="1" x14ac:dyDescent="0.3">
      <c r="A67" s="102">
        <v>1065</v>
      </c>
      <c r="B67" s="101" t="s">
        <v>348</v>
      </c>
      <c r="C67" s="100" t="s">
        <v>347</v>
      </c>
      <c r="D67" s="99">
        <v>5.2</v>
      </c>
      <c r="E67" s="103"/>
    </row>
    <row r="68" spans="1:5" ht="15" customHeight="1" x14ac:dyDescent="0.25">
      <c r="A68" s="102">
        <v>1066</v>
      </c>
      <c r="B68" s="101" t="s">
        <v>350</v>
      </c>
      <c r="C68" s="100" t="s">
        <v>349</v>
      </c>
      <c r="D68" s="99">
        <v>7.8</v>
      </c>
      <c r="E68" s="98"/>
    </row>
    <row r="69" spans="1:5" ht="15" customHeight="1" x14ac:dyDescent="0.3">
      <c r="A69" s="102">
        <v>1067</v>
      </c>
      <c r="B69" s="101" t="s">
        <v>352</v>
      </c>
      <c r="C69" s="100" t="s">
        <v>351</v>
      </c>
      <c r="D69" s="99">
        <v>284.60000000000002</v>
      </c>
      <c r="E69" s="103"/>
    </row>
    <row r="70" spans="1:5" ht="15" customHeight="1" x14ac:dyDescent="0.3">
      <c r="A70" s="102">
        <v>1068</v>
      </c>
      <c r="B70" s="101" t="s">
        <v>352</v>
      </c>
      <c r="C70" s="100" t="s">
        <v>351</v>
      </c>
      <c r="D70" s="99">
        <v>286.10000000000002</v>
      </c>
      <c r="E70" s="103"/>
    </row>
    <row r="71" spans="1:5" ht="15" customHeight="1" x14ac:dyDescent="0.3">
      <c r="A71" s="102">
        <v>1069</v>
      </c>
      <c r="B71" s="101" t="s">
        <v>352</v>
      </c>
      <c r="C71" s="100" t="s">
        <v>351</v>
      </c>
      <c r="D71" s="99">
        <v>10</v>
      </c>
      <c r="E71" s="103"/>
    </row>
    <row r="72" spans="1:5" ht="15" customHeight="1" x14ac:dyDescent="0.3">
      <c r="A72" s="102">
        <v>1070</v>
      </c>
      <c r="B72" s="101" t="s">
        <v>352</v>
      </c>
      <c r="C72" s="100" t="s">
        <v>351</v>
      </c>
      <c r="D72" s="99">
        <v>10.3</v>
      </c>
      <c r="E72" s="103"/>
    </row>
    <row r="73" spans="1:5" ht="15" customHeight="1" x14ac:dyDescent="0.3">
      <c r="A73" s="102">
        <v>1071</v>
      </c>
      <c r="B73" s="101" t="s">
        <v>352</v>
      </c>
      <c r="C73" s="100" t="s">
        <v>351</v>
      </c>
      <c r="D73" s="99">
        <v>10.3</v>
      </c>
      <c r="E73" s="103"/>
    </row>
    <row r="74" spans="1:5" ht="15" customHeight="1" x14ac:dyDescent="0.3">
      <c r="A74" s="102">
        <v>1072</v>
      </c>
      <c r="B74" s="101" t="s">
        <v>363</v>
      </c>
      <c r="C74" s="100" t="s">
        <v>362</v>
      </c>
      <c r="D74" s="99">
        <v>20.3</v>
      </c>
      <c r="E74" s="103"/>
    </row>
    <row r="75" spans="1:5" ht="15" customHeight="1" x14ac:dyDescent="0.3">
      <c r="A75" s="102">
        <v>1073</v>
      </c>
      <c r="B75" s="101" t="s">
        <v>352</v>
      </c>
      <c r="C75" s="100" t="s">
        <v>351</v>
      </c>
      <c r="D75" s="99">
        <v>24</v>
      </c>
      <c r="E75" s="103"/>
    </row>
    <row r="76" spans="1:5" ht="15" customHeight="1" x14ac:dyDescent="0.3">
      <c r="A76" s="102">
        <v>1074</v>
      </c>
      <c r="B76" s="101" t="s">
        <v>352</v>
      </c>
      <c r="C76" s="100" t="s">
        <v>351</v>
      </c>
      <c r="D76" s="99">
        <v>69.8</v>
      </c>
      <c r="E76" s="103"/>
    </row>
    <row r="77" spans="1:5" ht="15" customHeight="1" x14ac:dyDescent="0.3">
      <c r="A77" s="102">
        <v>1075</v>
      </c>
      <c r="B77" s="101" t="s">
        <v>352</v>
      </c>
      <c r="C77" s="100" t="s">
        <v>351</v>
      </c>
      <c r="D77" s="99">
        <v>85.7</v>
      </c>
      <c r="E77" s="103"/>
    </row>
    <row r="78" spans="1:5" ht="15" customHeight="1" x14ac:dyDescent="0.3">
      <c r="A78" s="102">
        <v>1076</v>
      </c>
      <c r="B78" s="101" t="s">
        <v>352</v>
      </c>
      <c r="C78" s="100" t="s">
        <v>351</v>
      </c>
      <c r="D78" s="99">
        <v>66.5</v>
      </c>
      <c r="E78" s="103"/>
    </row>
    <row r="79" spans="1:5" ht="15" customHeight="1" x14ac:dyDescent="0.3">
      <c r="A79" s="102">
        <v>1077</v>
      </c>
      <c r="B79" s="101" t="s">
        <v>352</v>
      </c>
      <c r="C79" s="100" t="s">
        <v>351</v>
      </c>
      <c r="D79" s="99">
        <v>21.1</v>
      </c>
      <c r="E79" s="103"/>
    </row>
    <row r="80" spans="1:5" ht="15" customHeight="1" x14ac:dyDescent="0.3">
      <c r="A80" s="102">
        <v>1078</v>
      </c>
      <c r="B80" s="101" t="s">
        <v>357</v>
      </c>
      <c r="C80" s="100" t="s">
        <v>356</v>
      </c>
      <c r="D80" s="99">
        <v>30.1</v>
      </c>
      <c r="E80" s="103"/>
    </row>
    <row r="81" spans="1:5" ht="15" customHeight="1" x14ac:dyDescent="0.25">
      <c r="A81" s="102">
        <v>1079</v>
      </c>
      <c r="B81" s="101" t="s">
        <v>355</v>
      </c>
      <c r="C81" s="100" t="s">
        <v>354</v>
      </c>
      <c r="D81" s="99">
        <v>80.900000000000006</v>
      </c>
      <c r="E81" s="98"/>
    </row>
    <row r="82" spans="1:5" ht="15" customHeight="1" x14ac:dyDescent="0.3">
      <c r="A82" s="102">
        <v>1080</v>
      </c>
      <c r="B82" s="101" t="s">
        <v>352</v>
      </c>
      <c r="C82" s="100" t="s">
        <v>351</v>
      </c>
      <c r="D82" s="99">
        <v>17.3</v>
      </c>
      <c r="E82" s="103"/>
    </row>
    <row r="83" spans="1:5" ht="15" customHeight="1" x14ac:dyDescent="0.25">
      <c r="A83" s="102">
        <v>1081</v>
      </c>
      <c r="B83" s="101" t="s">
        <v>355</v>
      </c>
      <c r="C83" s="100" t="s">
        <v>354</v>
      </c>
      <c r="D83" s="99">
        <v>64</v>
      </c>
      <c r="E83" s="98"/>
    </row>
    <row r="84" spans="1:5" ht="15" customHeight="1" x14ac:dyDescent="0.25">
      <c r="A84" s="102">
        <v>1082</v>
      </c>
      <c r="B84" s="101" t="s">
        <v>355</v>
      </c>
      <c r="C84" s="100" t="s">
        <v>354</v>
      </c>
      <c r="D84" s="99">
        <v>65.400000000000006</v>
      </c>
      <c r="E84" s="98"/>
    </row>
    <row r="85" spans="1:5" ht="15" customHeight="1" x14ac:dyDescent="0.25">
      <c r="A85" s="102">
        <v>1083</v>
      </c>
      <c r="B85" s="101" t="s">
        <v>355</v>
      </c>
      <c r="C85" s="100" t="s">
        <v>354</v>
      </c>
      <c r="D85" s="99">
        <v>64</v>
      </c>
      <c r="E85" s="98"/>
    </row>
    <row r="86" spans="1:5" ht="15" customHeight="1" x14ac:dyDescent="0.25">
      <c r="A86" s="102">
        <v>1084</v>
      </c>
      <c r="B86" s="101" t="s">
        <v>355</v>
      </c>
      <c r="C86" s="100" t="s">
        <v>354</v>
      </c>
      <c r="D86" s="99">
        <v>64.099999999999994</v>
      </c>
      <c r="E86" s="98"/>
    </row>
    <row r="87" spans="1:5" ht="15" customHeight="1" x14ac:dyDescent="0.25">
      <c r="A87" s="102">
        <v>1085</v>
      </c>
      <c r="B87" s="101" t="s">
        <v>355</v>
      </c>
      <c r="C87" s="100" t="s">
        <v>354</v>
      </c>
      <c r="D87" s="99">
        <v>64.3</v>
      </c>
      <c r="E87" s="98"/>
    </row>
    <row r="88" spans="1:5" ht="15" customHeight="1" x14ac:dyDescent="0.3">
      <c r="A88" s="102">
        <v>1086</v>
      </c>
      <c r="B88" s="101" t="s">
        <v>348</v>
      </c>
      <c r="C88" s="100" t="s">
        <v>347</v>
      </c>
      <c r="D88" s="99">
        <v>21.1</v>
      </c>
      <c r="E88" s="103"/>
    </row>
    <row r="89" spans="1:5" ht="15" customHeight="1" x14ac:dyDescent="0.25">
      <c r="A89" s="102">
        <v>1087</v>
      </c>
      <c r="B89" s="101" t="s">
        <v>350</v>
      </c>
      <c r="C89" s="100" t="s">
        <v>349</v>
      </c>
      <c r="D89" s="99">
        <v>13.8</v>
      </c>
      <c r="E89" s="98"/>
    </row>
    <row r="90" spans="1:5" ht="15" customHeight="1" x14ac:dyDescent="0.25">
      <c r="A90" s="102">
        <v>1088</v>
      </c>
      <c r="B90" s="101" t="s">
        <v>350</v>
      </c>
      <c r="C90" s="100" t="s">
        <v>349</v>
      </c>
      <c r="D90" s="99">
        <v>13.8</v>
      </c>
      <c r="E90" s="98"/>
    </row>
    <row r="91" spans="1:5" ht="15" customHeight="1" x14ac:dyDescent="0.25">
      <c r="A91" s="102">
        <v>1089</v>
      </c>
      <c r="B91" s="101" t="s">
        <v>350</v>
      </c>
      <c r="C91" s="100" t="s">
        <v>349</v>
      </c>
      <c r="D91" s="99">
        <v>6.6</v>
      </c>
      <c r="E91" s="98"/>
    </row>
    <row r="92" spans="1:5" ht="15" customHeight="1" x14ac:dyDescent="0.25">
      <c r="A92" s="102">
        <v>1090</v>
      </c>
      <c r="B92" s="101" t="s">
        <v>350</v>
      </c>
      <c r="C92" s="100" t="s">
        <v>349</v>
      </c>
      <c r="D92" s="99">
        <v>16.7</v>
      </c>
      <c r="E92" s="98"/>
    </row>
    <row r="93" spans="1:5" ht="15" customHeight="1" x14ac:dyDescent="0.3">
      <c r="A93" s="102">
        <v>1091</v>
      </c>
      <c r="B93" s="101" t="s">
        <v>357</v>
      </c>
      <c r="C93" s="100" t="s">
        <v>356</v>
      </c>
      <c r="D93" s="99">
        <v>10.6</v>
      </c>
      <c r="E93" s="103"/>
    </row>
    <row r="94" spans="1:5" ht="15" customHeight="1" x14ac:dyDescent="0.25">
      <c r="A94" s="102">
        <v>1092</v>
      </c>
      <c r="B94" s="101" t="s">
        <v>350</v>
      </c>
      <c r="C94" s="100" t="s">
        <v>349</v>
      </c>
      <c r="D94" s="99">
        <v>4.9000000000000004</v>
      </c>
      <c r="E94" s="98"/>
    </row>
    <row r="95" spans="1:5" ht="15" customHeight="1" x14ac:dyDescent="0.3">
      <c r="A95" s="102">
        <v>1093</v>
      </c>
      <c r="B95" s="101" t="s">
        <v>348</v>
      </c>
      <c r="C95" s="100" t="s">
        <v>347</v>
      </c>
      <c r="D95" s="99">
        <v>4.7</v>
      </c>
      <c r="E95" s="103"/>
    </row>
    <row r="96" spans="1:5" ht="15" customHeight="1" x14ac:dyDescent="0.3">
      <c r="A96" s="102">
        <v>1094</v>
      </c>
      <c r="B96" s="101" t="s">
        <v>352</v>
      </c>
      <c r="C96" s="100" t="s">
        <v>351</v>
      </c>
      <c r="D96" s="99">
        <v>183.7</v>
      </c>
      <c r="E96" s="103"/>
    </row>
    <row r="97" spans="1:5" ht="15" customHeight="1" x14ac:dyDescent="0.3">
      <c r="A97" s="104" t="s">
        <v>364</v>
      </c>
      <c r="B97" s="101" t="s">
        <v>352</v>
      </c>
      <c r="C97" s="100" t="s">
        <v>351</v>
      </c>
      <c r="D97" s="99">
        <v>114.1</v>
      </c>
      <c r="E97" s="103"/>
    </row>
    <row r="98" spans="1:5" ht="15" customHeight="1" x14ac:dyDescent="0.3">
      <c r="A98" s="102">
        <v>1095</v>
      </c>
      <c r="B98" s="101" t="s">
        <v>348</v>
      </c>
      <c r="C98" s="100" t="s">
        <v>347</v>
      </c>
      <c r="D98" s="99">
        <v>29.6</v>
      </c>
      <c r="E98" s="103"/>
    </row>
    <row r="99" spans="1:5" ht="15" customHeight="1" x14ac:dyDescent="0.25">
      <c r="A99" s="102">
        <v>1097</v>
      </c>
      <c r="B99" s="101" t="s">
        <v>355</v>
      </c>
      <c r="C99" s="100" t="s">
        <v>354</v>
      </c>
      <c r="D99" s="99">
        <v>13.4</v>
      </c>
      <c r="E99" s="98"/>
    </row>
    <row r="100" spans="1:5" ht="15" customHeight="1" x14ac:dyDescent="0.3">
      <c r="A100" s="102">
        <v>1098</v>
      </c>
      <c r="B100" s="101" t="s">
        <v>363</v>
      </c>
      <c r="C100" s="100" t="s">
        <v>362</v>
      </c>
      <c r="D100" s="99">
        <v>2.7</v>
      </c>
      <c r="E100" s="103"/>
    </row>
    <row r="101" spans="1:5" ht="15" customHeight="1" x14ac:dyDescent="0.25">
      <c r="A101" s="102">
        <v>1100</v>
      </c>
      <c r="B101" s="101" t="s">
        <v>350</v>
      </c>
      <c r="C101" s="100" t="s">
        <v>349</v>
      </c>
      <c r="D101" s="99">
        <v>5.4</v>
      </c>
      <c r="E101" s="98"/>
    </row>
    <row r="102" spans="1:5" ht="15" customHeight="1" x14ac:dyDescent="0.25">
      <c r="A102" s="102">
        <v>2001</v>
      </c>
      <c r="B102" s="101" t="s">
        <v>355</v>
      </c>
      <c r="C102" s="100" t="s">
        <v>354</v>
      </c>
      <c r="D102" s="99">
        <v>130.4</v>
      </c>
      <c r="E102" s="98"/>
    </row>
    <row r="103" spans="1:5" ht="15" customHeight="1" x14ac:dyDescent="0.25">
      <c r="A103" s="102">
        <v>2002</v>
      </c>
      <c r="B103" s="101" t="s">
        <v>355</v>
      </c>
      <c r="C103" s="100" t="s">
        <v>354</v>
      </c>
      <c r="D103" s="99">
        <v>67.2</v>
      </c>
      <c r="E103" s="98"/>
    </row>
    <row r="104" spans="1:5" ht="15" customHeight="1" x14ac:dyDescent="0.25">
      <c r="A104" s="102">
        <v>2003</v>
      </c>
      <c r="B104" s="101" t="s">
        <v>355</v>
      </c>
      <c r="C104" s="100" t="s">
        <v>354</v>
      </c>
      <c r="D104" s="99">
        <v>67.2</v>
      </c>
      <c r="E104" s="98"/>
    </row>
    <row r="105" spans="1:5" ht="15" customHeight="1" x14ac:dyDescent="0.25">
      <c r="A105" s="102">
        <v>2004</v>
      </c>
      <c r="B105" s="101" t="s">
        <v>355</v>
      </c>
      <c r="C105" s="100" t="s">
        <v>354</v>
      </c>
      <c r="D105" s="99">
        <v>67.3</v>
      </c>
      <c r="E105" s="98"/>
    </row>
    <row r="106" spans="1:5" ht="15" customHeight="1" x14ac:dyDescent="0.25">
      <c r="A106" s="102">
        <v>2005</v>
      </c>
      <c r="B106" s="101" t="s">
        <v>355</v>
      </c>
      <c r="C106" s="100" t="s">
        <v>354</v>
      </c>
      <c r="D106" s="99">
        <v>68.2</v>
      </c>
      <c r="E106" s="98"/>
    </row>
    <row r="107" spans="1:5" ht="15" customHeight="1" x14ac:dyDescent="0.25">
      <c r="A107" s="102">
        <v>2006</v>
      </c>
      <c r="B107" s="101" t="s">
        <v>355</v>
      </c>
      <c r="C107" s="100" t="s">
        <v>354</v>
      </c>
      <c r="D107" s="99">
        <v>107.2</v>
      </c>
      <c r="E107" s="98"/>
    </row>
    <row r="108" spans="1:5" ht="15" customHeight="1" x14ac:dyDescent="0.3">
      <c r="A108" s="102">
        <v>2007</v>
      </c>
      <c r="B108" s="101" t="s">
        <v>348</v>
      </c>
      <c r="C108" s="100" t="s">
        <v>347</v>
      </c>
      <c r="D108" s="99">
        <v>38.299999999999997</v>
      </c>
      <c r="E108" s="103"/>
    </row>
    <row r="109" spans="1:5" ht="15" customHeight="1" x14ac:dyDescent="0.25">
      <c r="A109" s="102">
        <v>2008</v>
      </c>
      <c r="B109" s="101" t="s">
        <v>350</v>
      </c>
      <c r="C109" s="100" t="s">
        <v>349</v>
      </c>
      <c r="D109" s="99">
        <v>18.8</v>
      </c>
      <c r="E109" s="98"/>
    </row>
    <row r="110" spans="1:5" ht="15" customHeight="1" x14ac:dyDescent="0.3">
      <c r="A110" s="102">
        <v>2009</v>
      </c>
      <c r="B110" s="101" t="s">
        <v>348</v>
      </c>
      <c r="C110" s="100" t="s">
        <v>347</v>
      </c>
      <c r="D110" s="99">
        <v>6.1</v>
      </c>
      <c r="E110" s="103"/>
    </row>
    <row r="111" spans="1:5" ht="15" customHeight="1" x14ac:dyDescent="0.3">
      <c r="A111" s="102">
        <v>2010</v>
      </c>
      <c r="B111" s="101" t="s">
        <v>357</v>
      </c>
      <c r="C111" s="100" t="s">
        <v>356</v>
      </c>
      <c r="D111" s="99">
        <v>15.5</v>
      </c>
      <c r="E111" s="103"/>
    </row>
    <row r="112" spans="1:5" ht="15" customHeight="1" x14ac:dyDescent="0.25">
      <c r="A112" s="102">
        <v>2011</v>
      </c>
      <c r="B112" s="101" t="s">
        <v>350</v>
      </c>
      <c r="C112" s="100" t="s">
        <v>349</v>
      </c>
      <c r="D112" s="99">
        <v>19.3</v>
      </c>
      <c r="E112" s="98"/>
    </row>
    <row r="113" spans="1:5" ht="15" customHeight="1" x14ac:dyDescent="0.25">
      <c r="A113" s="102">
        <v>2012</v>
      </c>
      <c r="B113" s="101" t="s">
        <v>350</v>
      </c>
      <c r="C113" s="100" t="s">
        <v>349</v>
      </c>
      <c r="D113" s="99">
        <v>5.7</v>
      </c>
      <c r="E113" s="98"/>
    </row>
    <row r="114" spans="1:5" ht="15" customHeight="1" x14ac:dyDescent="0.25">
      <c r="A114" s="102">
        <v>2013</v>
      </c>
      <c r="B114" s="101" t="s">
        <v>350</v>
      </c>
      <c r="C114" s="100" t="s">
        <v>349</v>
      </c>
      <c r="D114" s="99">
        <v>7.3</v>
      </c>
      <c r="E114" s="98"/>
    </row>
    <row r="115" spans="1:5" ht="15" customHeight="1" x14ac:dyDescent="0.3">
      <c r="A115" s="102">
        <v>2014</v>
      </c>
      <c r="B115" s="101" t="s">
        <v>352</v>
      </c>
      <c r="C115" s="100" t="s">
        <v>351</v>
      </c>
      <c r="D115" s="99">
        <v>131.6</v>
      </c>
      <c r="E115" s="103"/>
    </row>
    <row r="116" spans="1:5" ht="15" customHeight="1" x14ac:dyDescent="0.3">
      <c r="A116" s="102">
        <v>2015</v>
      </c>
      <c r="B116" s="101" t="s">
        <v>352</v>
      </c>
      <c r="C116" s="100" t="s">
        <v>351</v>
      </c>
      <c r="D116" s="99">
        <v>202.6</v>
      </c>
      <c r="E116" s="103"/>
    </row>
    <row r="117" spans="1:5" ht="15" customHeight="1" x14ac:dyDescent="0.3">
      <c r="A117" s="102">
        <v>2016</v>
      </c>
      <c r="B117" s="101" t="s">
        <v>352</v>
      </c>
      <c r="C117" s="100" t="s">
        <v>351</v>
      </c>
      <c r="D117" s="99">
        <v>55.9</v>
      </c>
      <c r="E117" s="103"/>
    </row>
    <row r="118" spans="1:5" ht="15" customHeight="1" x14ac:dyDescent="0.25">
      <c r="A118" s="102">
        <v>2017</v>
      </c>
      <c r="B118" s="101" t="s">
        <v>355</v>
      </c>
      <c r="C118" s="100" t="s">
        <v>354</v>
      </c>
      <c r="D118" s="99">
        <v>121.4</v>
      </c>
      <c r="E118" s="98"/>
    </row>
    <row r="119" spans="1:5" ht="15" customHeight="1" x14ac:dyDescent="0.3">
      <c r="A119" s="102">
        <v>2018</v>
      </c>
      <c r="B119" s="101" t="s">
        <v>348</v>
      </c>
      <c r="C119" s="100" t="s">
        <v>347</v>
      </c>
      <c r="D119" s="99">
        <v>30.7</v>
      </c>
      <c r="E119" s="103"/>
    </row>
    <row r="120" spans="1:5" ht="15" customHeight="1" x14ac:dyDescent="0.3">
      <c r="A120" s="102">
        <v>2019</v>
      </c>
      <c r="B120" s="101" t="s">
        <v>357</v>
      </c>
      <c r="C120" s="100" t="s">
        <v>356</v>
      </c>
      <c r="D120" s="99">
        <v>13.1</v>
      </c>
      <c r="E120" s="103"/>
    </row>
    <row r="121" spans="1:5" ht="15" customHeight="1" x14ac:dyDescent="0.3">
      <c r="A121" s="102">
        <v>2020</v>
      </c>
      <c r="B121" s="101" t="s">
        <v>352</v>
      </c>
      <c r="C121" s="100" t="s">
        <v>351</v>
      </c>
      <c r="D121" s="99">
        <v>584.70000000000005</v>
      </c>
      <c r="E121" s="103"/>
    </row>
    <row r="122" spans="1:5" ht="15" customHeight="1" x14ac:dyDescent="0.25">
      <c r="A122" s="102">
        <v>2021</v>
      </c>
      <c r="B122" s="101" t="s">
        <v>355</v>
      </c>
      <c r="C122" s="100" t="s">
        <v>354</v>
      </c>
      <c r="D122" s="99">
        <v>4.7</v>
      </c>
      <c r="E122" s="98"/>
    </row>
    <row r="123" spans="1:5" ht="15" customHeight="1" x14ac:dyDescent="0.25">
      <c r="A123" s="102">
        <v>2022</v>
      </c>
      <c r="B123" s="101" t="s">
        <v>355</v>
      </c>
      <c r="C123" s="100" t="s">
        <v>354</v>
      </c>
      <c r="D123" s="99">
        <v>7.2</v>
      </c>
      <c r="E123" s="98"/>
    </row>
    <row r="124" spans="1:5" ht="15" customHeight="1" x14ac:dyDescent="0.25">
      <c r="A124" s="102">
        <v>2022</v>
      </c>
      <c r="B124" s="101" t="s">
        <v>350</v>
      </c>
      <c r="C124" s="100" t="s">
        <v>349</v>
      </c>
      <c r="D124" s="99">
        <v>5.0999999999999996</v>
      </c>
      <c r="E124" s="98"/>
    </row>
    <row r="125" spans="1:5" ht="15" customHeight="1" x14ac:dyDescent="0.25">
      <c r="A125" s="102">
        <v>2023</v>
      </c>
      <c r="B125" s="101" t="s">
        <v>355</v>
      </c>
      <c r="C125" s="100" t="s">
        <v>354</v>
      </c>
      <c r="D125" s="99">
        <v>47.2</v>
      </c>
      <c r="E125" s="98"/>
    </row>
    <row r="126" spans="1:5" ht="15" customHeight="1" x14ac:dyDescent="0.25">
      <c r="A126" s="102">
        <v>2024</v>
      </c>
      <c r="B126" s="101" t="s">
        <v>350</v>
      </c>
      <c r="C126" s="100" t="s">
        <v>349</v>
      </c>
      <c r="D126" s="99">
        <v>39.5</v>
      </c>
      <c r="E126" s="98"/>
    </row>
    <row r="127" spans="1:5" ht="15" customHeight="1" x14ac:dyDescent="0.25">
      <c r="A127" s="102">
        <v>2025</v>
      </c>
      <c r="B127" s="101" t="s">
        <v>350</v>
      </c>
      <c r="C127" s="100" t="s">
        <v>349</v>
      </c>
      <c r="D127" s="99">
        <v>22.1</v>
      </c>
      <c r="E127" s="98"/>
    </row>
    <row r="128" spans="1:5" ht="15" customHeight="1" x14ac:dyDescent="0.25">
      <c r="A128" s="102">
        <v>2026</v>
      </c>
      <c r="B128" s="101" t="s">
        <v>350</v>
      </c>
      <c r="C128" s="100" t="s">
        <v>349</v>
      </c>
      <c r="D128" s="99">
        <v>8.6999999999999993</v>
      </c>
      <c r="E128" s="98"/>
    </row>
    <row r="129" spans="1:5" ht="15" customHeight="1" x14ac:dyDescent="0.25">
      <c r="A129" s="102">
        <v>2027</v>
      </c>
      <c r="B129" s="101" t="s">
        <v>350</v>
      </c>
      <c r="C129" s="100" t="s">
        <v>349</v>
      </c>
      <c r="D129" s="99">
        <v>42.4</v>
      </c>
      <c r="E129" s="98"/>
    </row>
    <row r="130" spans="1:5" ht="15" customHeight="1" x14ac:dyDescent="0.25">
      <c r="A130" s="102">
        <v>2028</v>
      </c>
      <c r="B130" s="101" t="s">
        <v>350</v>
      </c>
      <c r="C130" s="100" t="s">
        <v>349</v>
      </c>
      <c r="D130" s="99">
        <v>16.2</v>
      </c>
      <c r="E130" s="98"/>
    </row>
    <row r="131" spans="1:5" ht="15" customHeight="1" x14ac:dyDescent="0.25">
      <c r="A131" s="102">
        <v>2029</v>
      </c>
      <c r="B131" s="101" t="s">
        <v>350</v>
      </c>
      <c r="C131" s="100" t="s">
        <v>349</v>
      </c>
      <c r="D131" s="99">
        <v>9.6999999999999993</v>
      </c>
      <c r="E131" s="98"/>
    </row>
    <row r="132" spans="1:5" ht="15" customHeight="1" x14ac:dyDescent="0.3">
      <c r="A132" s="102">
        <v>2030</v>
      </c>
      <c r="B132" s="101" t="s">
        <v>348</v>
      </c>
      <c r="C132" s="100" t="s">
        <v>347</v>
      </c>
      <c r="D132" s="99">
        <v>5.2</v>
      </c>
      <c r="E132" s="103"/>
    </row>
    <row r="133" spans="1:5" ht="15" customHeight="1" x14ac:dyDescent="0.25">
      <c r="A133" s="102">
        <v>2031</v>
      </c>
      <c r="B133" s="101" t="s">
        <v>350</v>
      </c>
      <c r="C133" s="100" t="s">
        <v>349</v>
      </c>
      <c r="D133" s="99">
        <v>9.6</v>
      </c>
      <c r="E133" s="98"/>
    </row>
    <row r="134" spans="1:5" ht="15" customHeight="1" x14ac:dyDescent="0.3">
      <c r="A134" s="102">
        <v>2032</v>
      </c>
      <c r="B134" s="101" t="s">
        <v>348</v>
      </c>
      <c r="C134" s="100" t="s">
        <v>347</v>
      </c>
      <c r="D134" s="99">
        <v>26.3</v>
      </c>
      <c r="E134" s="103"/>
    </row>
    <row r="135" spans="1:5" ht="15" customHeight="1" x14ac:dyDescent="0.3">
      <c r="A135" s="102">
        <v>2033</v>
      </c>
      <c r="B135" s="101" t="s">
        <v>352</v>
      </c>
      <c r="C135" s="100" t="s">
        <v>351</v>
      </c>
      <c r="D135" s="99">
        <v>501.8</v>
      </c>
      <c r="E135" s="103"/>
    </row>
    <row r="136" spans="1:5" ht="15" customHeight="1" x14ac:dyDescent="0.25">
      <c r="A136" s="102">
        <v>2034</v>
      </c>
      <c r="B136" s="101" t="s">
        <v>355</v>
      </c>
      <c r="C136" s="100" t="s">
        <v>354</v>
      </c>
      <c r="D136" s="99">
        <v>81.2</v>
      </c>
      <c r="E136" s="98"/>
    </row>
    <row r="137" spans="1:5" ht="15" customHeight="1" x14ac:dyDescent="0.3">
      <c r="A137" s="102">
        <v>2035</v>
      </c>
      <c r="B137" s="101" t="s">
        <v>352</v>
      </c>
      <c r="C137" s="100" t="s">
        <v>351</v>
      </c>
      <c r="D137" s="99">
        <v>16.5</v>
      </c>
      <c r="E137" s="103"/>
    </row>
    <row r="138" spans="1:5" ht="15" customHeight="1" x14ac:dyDescent="0.25">
      <c r="A138" s="102">
        <v>2036</v>
      </c>
      <c r="B138" s="101" t="s">
        <v>355</v>
      </c>
      <c r="C138" s="100" t="s">
        <v>354</v>
      </c>
      <c r="D138" s="99">
        <v>142.6</v>
      </c>
      <c r="E138" s="98"/>
    </row>
    <row r="139" spans="1:5" ht="15" customHeight="1" x14ac:dyDescent="0.3">
      <c r="A139" s="102">
        <v>2037</v>
      </c>
      <c r="B139" s="101" t="s">
        <v>352</v>
      </c>
      <c r="C139" s="100" t="s">
        <v>351</v>
      </c>
      <c r="D139" s="99">
        <v>19.3</v>
      </c>
      <c r="E139" s="103"/>
    </row>
    <row r="140" spans="1:5" ht="15" customHeight="1" x14ac:dyDescent="0.25">
      <c r="A140" s="102">
        <v>2038</v>
      </c>
      <c r="B140" s="101" t="s">
        <v>355</v>
      </c>
      <c r="C140" s="100" t="s">
        <v>354</v>
      </c>
      <c r="D140" s="99">
        <v>16.899999999999999</v>
      </c>
      <c r="E140" s="98"/>
    </row>
    <row r="141" spans="1:5" ht="15" customHeight="1" x14ac:dyDescent="0.25">
      <c r="A141" s="102">
        <v>2039</v>
      </c>
      <c r="B141" s="101" t="s">
        <v>355</v>
      </c>
      <c r="C141" s="100" t="s">
        <v>354</v>
      </c>
      <c r="D141" s="99">
        <v>79.5</v>
      </c>
      <c r="E141" s="98"/>
    </row>
    <row r="142" spans="1:5" ht="15" customHeight="1" x14ac:dyDescent="0.25">
      <c r="A142" s="102">
        <v>2040</v>
      </c>
      <c r="B142" s="101" t="s">
        <v>355</v>
      </c>
      <c r="C142" s="100" t="s">
        <v>354</v>
      </c>
      <c r="D142" s="99">
        <v>64.400000000000006</v>
      </c>
      <c r="E142" s="98"/>
    </row>
    <row r="143" spans="1:5" ht="15" customHeight="1" x14ac:dyDescent="0.3">
      <c r="A143" s="102">
        <v>2041</v>
      </c>
      <c r="B143" s="101" t="s">
        <v>348</v>
      </c>
      <c r="C143" s="100" t="s">
        <v>347</v>
      </c>
      <c r="D143" s="99">
        <v>30.9</v>
      </c>
      <c r="E143" s="103"/>
    </row>
    <row r="144" spans="1:5" ht="15" customHeight="1" x14ac:dyDescent="0.25">
      <c r="A144" s="102">
        <v>2042</v>
      </c>
      <c r="B144" s="101" t="s">
        <v>350</v>
      </c>
      <c r="C144" s="100" t="s">
        <v>349</v>
      </c>
      <c r="D144" s="99">
        <v>17.100000000000001</v>
      </c>
      <c r="E144" s="98"/>
    </row>
    <row r="145" spans="1:5" ht="15" customHeight="1" x14ac:dyDescent="0.25">
      <c r="A145" s="102">
        <v>2043</v>
      </c>
      <c r="B145" s="101" t="s">
        <v>350</v>
      </c>
      <c r="C145" s="100" t="s">
        <v>349</v>
      </c>
      <c r="D145" s="99">
        <v>14.1</v>
      </c>
      <c r="E145" s="98"/>
    </row>
    <row r="146" spans="1:5" ht="15" customHeight="1" x14ac:dyDescent="0.3">
      <c r="A146" s="102">
        <v>2044</v>
      </c>
      <c r="B146" s="101" t="s">
        <v>352</v>
      </c>
      <c r="C146" s="100" t="s">
        <v>351</v>
      </c>
      <c r="D146" s="99">
        <v>14.3</v>
      </c>
      <c r="E146" s="103"/>
    </row>
    <row r="147" spans="1:5" ht="15" customHeight="1" x14ac:dyDescent="0.25">
      <c r="A147" s="102">
        <v>2045</v>
      </c>
      <c r="B147" s="101" t="s">
        <v>350</v>
      </c>
      <c r="C147" s="100" t="s">
        <v>349</v>
      </c>
      <c r="D147" s="99">
        <v>6.8</v>
      </c>
      <c r="E147" s="98"/>
    </row>
    <row r="148" spans="1:5" ht="15" customHeight="1" x14ac:dyDescent="0.3">
      <c r="A148" s="102">
        <v>2046</v>
      </c>
      <c r="B148" s="101" t="s">
        <v>357</v>
      </c>
      <c r="C148" s="100" t="s">
        <v>356</v>
      </c>
      <c r="D148" s="99">
        <v>10.8</v>
      </c>
      <c r="E148" s="103"/>
    </row>
    <row r="149" spans="1:5" ht="15" customHeight="1" x14ac:dyDescent="0.3">
      <c r="A149" s="102">
        <v>2047</v>
      </c>
      <c r="B149" s="101" t="s">
        <v>352</v>
      </c>
      <c r="C149" s="100" t="s">
        <v>351</v>
      </c>
      <c r="D149" s="99">
        <v>54.5</v>
      </c>
      <c r="E149" s="103"/>
    </row>
    <row r="150" spans="1:5" ht="15" customHeight="1" x14ac:dyDescent="0.3">
      <c r="A150" s="104" t="s">
        <v>361</v>
      </c>
      <c r="B150" s="101" t="s">
        <v>352</v>
      </c>
      <c r="C150" s="100" t="s">
        <v>351</v>
      </c>
      <c r="D150" s="99">
        <v>167.3</v>
      </c>
      <c r="E150" s="103"/>
    </row>
    <row r="151" spans="1:5" ht="15" customHeight="1" x14ac:dyDescent="0.3">
      <c r="A151" s="104" t="s">
        <v>360</v>
      </c>
      <c r="B151" s="101" t="s">
        <v>352</v>
      </c>
      <c r="C151" s="100" t="s">
        <v>351</v>
      </c>
      <c r="D151" s="99">
        <v>67.3</v>
      </c>
      <c r="E151" s="103"/>
    </row>
    <row r="152" spans="1:5" ht="15" customHeight="1" x14ac:dyDescent="0.3">
      <c r="A152" s="102">
        <v>2048</v>
      </c>
      <c r="B152" s="101" t="s">
        <v>348</v>
      </c>
      <c r="C152" s="100" t="s">
        <v>347</v>
      </c>
      <c r="D152" s="99">
        <v>5</v>
      </c>
      <c r="E152" s="103"/>
    </row>
    <row r="153" spans="1:5" ht="15" customHeight="1" x14ac:dyDescent="0.25">
      <c r="A153" s="102">
        <v>2049</v>
      </c>
      <c r="B153" s="101" t="s">
        <v>350</v>
      </c>
      <c r="C153" s="100" t="s">
        <v>349</v>
      </c>
      <c r="D153" s="99">
        <v>5</v>
      </c>
      <c r="E153" s="98"/>
    </row>
    <row r="154" spans="1:5" ht="15" customHeight="1" x14ac:dyDescent="0.3">
      <c r="A154" s="102">
        <v>2050</v>
      </c>
      <c r="B154" s="101" t="s">
        <v>348</v>
      </c>
      <c r="C154" s="100" t="s">
        <v>347</v>
      </c>
      <c r="D154" s="99">
        <v>32.6</v>
      </c>
      <c r="E154" s="103"/>
    </row>
    <row r="155" spans="1:5" ht="15" customHeight="1" x14ac:dyDescent="0.3">
      <c r="A155" s="102">
        <v>2051</v>
      </c>
      <c r="B155" s="101" t="s">
        <v>352</v>
      </c>
      <c r="C155" s="100" t="s">
        <v>351</v>
      </c>
      <c r="D155" s="99">
        <v>365.6</v>
      </c>
      <c r="E155" s="103"/>
    </row>
    <row r="156" spans="1:5" ht="15" customHeight="1" x14ac:dyDescent="0.3">
      <c r="A156" s="102">
        <v>2052</v>
      </c>
      <c r="B156" s="101" t="s">
        <v>352</v>
      </c>
      <c r="C156" s="100" t="s">
        <v>351</v>
      </c>
      <c r="D156" s="99">
        <v>219.1</v>
      </c>
      <c r="E156" s="103"/>
    </row>
    <row r="157" spans="1:5" ht="15" customHeight="1" x14ac:dyDescent="0.25">
      <c r="A157" s="102">
        <v>2053</v>
      </c>
      <c r="B157" s="101" t="s">
        <v>350</v>
      </c>
      <c r="C157" s="100" t="s">
        <v>349</v>
      </c>
      <c r="D157" s="99">
        <v>3.8</v>
      </c>
      <c r="E157" s="98"/>
    </row>
    <row r="158" spans="1:5" ht="15" customHeight="1" x14ac:dyDescent="0.25">
      <c r="A158" s="102">
        <v>3001</v>
      </c>
      <c r="B158" s="101" t="s">
        <v>355</v>
      </c>
      <c r="C158" s="100" t="s">
        <v>354</v>
      </c>
      <c r="D158" s="99">
        <v>64.599999999999994</v>
      </c>
      <c r="E158" s="98"/>
    </row>
    <row r="159" spans="1:5" ht="15" customHeight="1" x14ac:dyDescent="0.25">
      <c r="A159" s="102">
        <v>3002</v>
      </c>
      <c r="B159" s="101" t="s">
        <v>355</v>
      </c>
      <c r="C159" s="100" t="s">
        <v>354</v>
      </c>
      <c r="D159" s="99">
        <v>63.9</v>
      </c>
      <c r="E159" s="98"/>
    </row>
    <row r="160" spans="1:5" ht="15" customHeight="1" x14ac:dyDescent="0.25">
      <c r="A160" s="102">
        <v>3003</v>
      </c>
      <c r="B160" s="101" t="s">
        <v>355</v>
      </c>
      <c r="C160" s="100" t="s">
        <v>354</v>
      </c>
      <c r="D160" s="99">
        <v>66.7</v>
      </c>
      <c r="E160" s="98"/>
    </row>
    <row r="161" spans="1:5" ht="15" customHeight="1" x14ac:dyDescent="0.25">
      <c r="A161" s="102">
        <v>3004</v>
      </c>
      <c r="B161" s="101" t="s">
        <v>355</v>
      </c>
      <c r="C161" s="100" t="s">
        <v>354</v>
      </c>
      <c r="D161" s="99">
        <v>66.7</v>
      </c>
      <c r="E161" s="98"/>
    </row>
    <row r="162" spans="1:5" ht="15" customHeight="1" x14ac:dyDescent="0.25">
      <c r="A162" s="102">
        <v>3005</v>
      </c>
      <c r="B162" s="101" t="s">
        <v>355</v>
      </c>
      <c r="C162" s="100" t="s">
        <v>354</v>
      </c>
      <c r="D162" s="99">
        <v>66.8</v>
      </c>
      <c r="E162" s="98"/>
    </row>
    <row r="163" spans="1:5" ht="15" customHeight="1" x14ac:dyDescent="0.25">
      <c r="A163" s="102">
        <v>3006</v>
      </c>
      <c r="B163" s="101" t="s">
        <v>355</v>
      </c>
      <c r="C163" s="100" t="s">
        <v>354</v>
      </c>
      <c r="D163" s="99">
        <v>68.599999999999994</v>
      </c>
      <c r="E163" s="98"/>
    </row>
    <row r="164" spans="1:5" ht="15" customHeight="1" x14ac:dyDescent="0.25">
      <c r="A164" s="102">
        <v>3007</v>
      </c>
      <c r="B164" s="101" t="s">
        <v>355</v>
      </c>
      <c r="C164" s="100" t="s">
        <v>354</v>
      </c>
      <c r="D164" s="99">
        <v>76.099999999999994</v>
      </c>
      <c r="E164" s="98"/>
    </row>
    <row r="165" spans="1:5" ht="15" customHeight="1" x14ac:dyDescent="0.25">
      <c r="A165" s="102">
        <v>3008</v>
      </c>
      <c r="B165" s="101" t="s">
        <v>355</v>
      </c>
      <c r="C165" s="100" t="s">
        <v>354</v>
      </c>
      <c r="D165" s="99">
        <v>28.8</v>
      </c>
      <c r="E165" s="98"/>
    </row>
    <row r="166" spans="1:5" ht="15" customHeight="1" x14ac:dyDescent="0.3">
      <c r="A166" s="102">
        <v>3009</v>
      </c>
      <c r="B166" s="101" t="s">
        <v>348</v>
      </c>
      <c r="C166" s="100" t="s">
        <v>347</v>
      </c>
      <c r="D166" s="99">
        <v>28.3</v>
      </c>
      <c r="E166" s="103"/>
    </row>
    <row r="167" spans="1:5" ht="15" customHeight="1" x14ac:dyDescent="0.25">
      <c r="A167" s="102">
        <v>3010</v>
      </c>
      <c r="B167" s="101" t="s">
        <v>350</v>
      </c>
      <c r="C167" s="100" t="s">
        <v>349</v>
      </c>
      <c r="D167" s="99">
        <v>18.8</v>
      </c>
      <c r="E167" s="98"/>
    </row>
    <row r="168" spans="1:5" ht="15" customHeight="1" x14ac:dyDescent="0.3">
      <c r="A168" s="102">
        <v>3011</v>
      </c>
      <c r="B168" s="101" t="s">
        <v>348</v>
      </c>
      <c r="C168" s="100" t="s">
        <v>347</v>
      </c>
      <c r="D168" s="99">
        <v>6.1</v>
      </c>
      <c r="E168" s="103"/>
    </row>
    <row r="169" spans="1:5" ht="15" customHeight="1" x14ac:dyDescent="0.3">
      <c r="A169" s="102">
        <v>3012</v>
      </c>
      <c r="B169" s="101" t="s">
        <v>357</v>
      </c>
      <c r="C169" s="100" t="s">
        <v>356</v>
      </c>
      <c r="D169" s="99">
        <v>15.5</v>
      </c>
      <c r="E169" s="103"/>
    </row>
    <row r="170" spans="1:5" ht="15" customHeight="1" x14ac:dyDescent="0.25">
      <c r="A170" s="102">
        <v>3013</v>
      </c>
      <c r="B170" s="101" t="s">
        <v>350</v>
      </c>
      <c r="C170" s="100" t="s">
        <v>349</v>
      </c>
      <c r="D170" s="99">
        <v>19.3</v>
      </c>
      <c r="E170" s="98"/>
    </row>
    <row r="171" spans="1:5" ht="15" customHeight="1" x14ac:dyDescent="0.25">
      <c r="A171" s="102">
        <v>3014</v>
      </c>
      <c r="B171" s="101" t="s">
        <v>350</v>
      </c>
      <c r="C171" s="100" t="s">
        <v>349</v>
      </c>
      <c r="D171" s="99">
        <v>5.7</v>
      </c>
      <c r="E171" s="98"/>
    </row>
    <row r="172" spans="1:5" ht="15" customHeight="1" x14ac:dyDescent="0.25">
      <c r="A172" s="102">
        <v>3015</v>
      </c>
      <c r="B172" s="101" t="s">
        <v>350</v>
      </c>
      <c r="C172" s="100" t="s">
        <v>349</v>
      </c>
      <c r="D172" s="99">
        <v>7</v>
      </c>
      <c r="E172" s="98"/>
    </row>
    <row r="173" spans="1:5" ht="15" customHeight="1" x14ac:dyDescent="0.3">
      <c r="A173" s="102">
        <v>3016</v>
      </c>
      <c r="B173" s="101" t="s">
        <v>352</v>
      </c>
      <c r="C173" s="100" t="s">
        <v>351</v>
      </c>
      <c r="D173" s="99">
        <v>132.1</v>
      </c>
      <c r="E173" s="103"/>
    </row>
    <row r="174" spans="1:5" ht="15" customHeight="1" x14ac:dyDescent="0.3">
      <c r="A174" s="102">
        <v>3017</v>
      </c>
      <c r="B174" s="101" t="s">
        <v>352</v>
      </c>
      <c r="C174" s="100" t="s">
        <v>351</v>
      </c>
      <c r="D174" s="99">
        <v>202.9</v>
      </c>
      <c r="E174" s="103"/>
    </row>
    <row r="175" spans="1:5" ht="15" customHeight="1" x14ac:dyDescent="0.3">
      <c r="A175" s="102">
        <v>3019</v>
      </c>
      <c r="B175" s="101" t="s">
        <v>352</v>
      </c>
      <c r="C175" s="100" t="s">
        <v>351</v>
      </c>
      <c r="D175" s="99">
        <v>55.8</v>
      </c>
      <c r="E175" s="103"/>
    </row>
    <row r="176" spans="1:5" ht="15" customHeight="1" x14ac:dyDescent="0.3">
      <c r="A176" s="102">
        <v>3020</v>
      </c>
      <c r="B176" s="101" t="s">
        <v>348</v>
      </c>
      <c r="C176" s="100" t="s">
        <v>347</v>
      </c>
      <c r="D176" s="99">
        <v>25.6</v>
      </c>
      <c r="E176" s="103"/>
    </row>
    <row r="177" spans="1:5" ht="15" customHeight="1" x14ac:dyDescent="0.3">
      <c r="A177" s="102">
        <v>3021</v>
      </c>
      <c r="B177" s="101" t="s">
        <v>352</v>
      </c>
      <c r="C177" s="100" t="s">
        <v>351</v>
      </c>
      <c r="D177" s="99">
        <v>12.4</v>
      </c>
      <c r="E177" s="103"/>
    </row>
    <row r="178" spans="1:5" ht="15" customHeight="1" x14ac:dyDescent="0.3">
      <c r="A178" s="102">
        <v>3022</v>
      </c>
      <c r="B178" s="101" t="s">
        <v>357</v>
      </c>
      <c r="C178" s="100" t="s">
        <v>356</v>
      </c>
      <c r="D178" s="99">
        <v>13.1</v>
      </c>
      <c r="E178" s="103"/>
    </row>
    <row r="179" spans="1:5" ht="15" customHeight="1" x14ac:dyDescent="0.3">
      <c r="A179" s="102">
        <v>3023</v>
      </c>
      <c r="B179" s="101" t="s">
        <v>352</v>
      </c>
      <c r="C179" s="100" t="s">
        <v>351</v>
      </c>
      <c r="D179" s="99">
        <v>169.6</v>
      </c>
      <c r="E179" s="103"/>
    </row>
    <row r="180" spans="1:5" ht="15" customHeight="1" x14ac:dyDescent="0.3">
      <c r="A180" s="102">
        <v>3024</v>
      </c>
      <c r="B180" s="101" t="s">
        <v>352</v>
      </c>
      <c r="C180" s="100" t="s">
        <v>351</v>
      </c>
      <c r="D180" s="99">
        <v>70.5</v>
      </c>
      <c r="E180" s="103"/>
    </row>
    <row r="181" spans="1:5" ht="15" customHeight="1" x14ac:dyDescent="0.3">
      <c r="A181" s="102">
        <v>3025</v>
      </c>
      <c r="B181" s="101" t="s">
        <v>352</v>
      </c>
      <c r="C181" s="100" t="s">
        <v>351</v>
      </c>
      <c r="D181" s="99">
        <v>44.1</v>
      </c>
      <c r="E181" s="103"/>
    </row>
    <row r="182" spans="1:5" ht="15" customHeight="1" x14ac:dyDescent="0.3">
      <c r="A182" s="102">
        <v>3026</v>
      </c>
      <c r="B182" s="101" t="s">
        <v>352</v>
      </c>
      <c r="C182" s="100" t="s">
        <v>351</v>
      </c>
      <c r="D182" s="99">
        <v>50.5</v>
      </c>
      <c r="E182" s="103"/>
    </row>
    <row r="183" spans="1:5" ht="15" customHeight="1" x14ac:dyDescent="0.3">
      <c r="A183" s="102">
        <v>3027</v>
      </c>
      <c r="B183" s="101" t="s">
        <v>352</v>
      </c>
      <c r="C183" s="100" t="s">
        <v>351</v>
      </c>
      <c r="D183" s="99">
        <v>71</v>
      </c>
      <c r="E183" s="103"/>
    </row>
    <row r="184" spans="1:5" ht="15" customHeight="1" x14ac:dyDescent="0.3">
      <c r="A184" s="102">
        <v>3028</v>
      </c>
      <c r="B184" s="101" t="s">
        <v>352</v>
      </c>
      <c r="C184" s="100" t="s">
        <v>351</v>
      </c>
      <c r="D184" s="99">
        <v>6.2</v>
      </c>
      <c r="E184" s="103"/>
    </row>
    <row r="185" spans="1:5" ht="15" customHeight="1" x14ac:dyDescent="0.3">
      <c r="A185" s="102">
        <v>3029</v>
      </c>
      <c r="B185" s="101" t="s">
        <v>352</v>
      </c>
      <c r="C185" s="100" t="s">
        <v>351</v>
      </c>
      <c r="D185" s="99">
        <v>11.6</v>
      </c>
      <c r="E185" s="103"/>
    </row>
    <row r="186" spans="1:5" ht="15" customHeight="1" x14ac:dyDescent="0.3">
      <c r="A186" s="102">
        <v>3030</v>
      </c>
      <c r="B186" s="101" t="s">
        <v>352</v>
      </c>
      <c r="C186" s="100" t="s">
        <v>351</v>
      </c>
      <c r="D186" s="99">
        <v>30.5</v>
      </c>
      <c r="E186" s="103"/>
    </row>
    <row r="187" spans="1:5" ht="15" customHeight="1" x14ac:dyDescent="0.3">
      <c r="A187" s="102">
        <v>3031</v>
      </c>
      <c r="B187" s="101" t="s">
        <v>352</v>
      </c>
      <c r="C187" s="100" t="s">
        <v>351</v>
      </c>
      <c r="D187" s="99">
        <v>460.4</v>
      </c>
      <c r="E187" s="103"/>
    </row>
    <row r="188" spans="1:5" ht="15" customHeight="1" x14ac:dyDescent="0.3">
      <c r="A188" s="102">
        <v>3032</v>
      </c>
      <c r="B188" s="101" t="s">
        <v>352</v>
      </c>
      <c r="C188" s="100" t="s">
        <v>351</v>
      </c>
      <c r="D188" s="99">
        <v>35</v>
      </c>
      <c r="E188" s="103"/>
    </row>
    <row r="189" spans="1:5" ht="15" customHeight="1" x14ac:dyDescent="0.3">
      <c r="A189" s="102">
        <v>3033</v>
      </c>
      <c r="B189" s="101" t="s">
        <v>352</v>
      </c>
      <c r="C189" s="100" t="s">
        <v>351</v>
      </c>
      <c r="D189" s="99">
        <v>31.5</v>
      </c>
      <c r="E189" s="103"/>
    </row>
    <row r="190" spans="1:5" ht="15" customHeight="1" x14ac:dyDescent="0.3">
      <c r="A190" s="102">
        <v>3034</v>
      </c>
      <c r="B190" s="101" t="s">
        <v>348</v>
      </c>
      <c r="C190" s="100" t="s">
        <v>347</v>
      </c>
      <c r="D190" s="99">
        <v>29.4</v>
      </c>
      <c r="E190" s="103"/>
    </row>
    <row r="191" spans="1:5" ht="15" customHeight="1" x14ac:dyDescent="0.25">
      <c r="A191" s="102">
        <v>3036</v>
      </c>
      <c r="B191" s="101" t="s">
        <v>355</v>
      </c>
      <c r="C191" s="100" t="s">
        <v>354</v>
      </c>
      <c r="D191" s="99">
        <v>100.9</v>
      </c>
      <c r="E191" s="98"/>
    </row>
    <row r="192" spans="1:5" ht="15" customHeight="1" x14ac:dyDescent="0.3">
      <c r="A192" s="102">
        <v>3036</v>
      </c>
      <c r="B192" s="101" t="s">
        <v>352</v>
      </c>
      <c r="C192" s="100" t="s">
        <v>351</v>
      </c>
      <c r="D192" s="99">
        <v>67.3</v>
      </c>
      <c r="E192" s="103"/>
    </row>
    <row r="193" spans="1:5" ht="15" customHeight="1" x14ac:dyDescent="0.25">
      <c r="A193" s="102">
        <v>3037</v>
      </c>
      <c r="B193" s="101" t="s">
        <v>355</v>
      </c>
      <c r="C193" s="100" t="s">
        <v>354</v>
      </c>
      <c r="D193" s="99">
        <v>40.700000000000003</v>
      </c>
      <c r="E193" s="98"/>
    </row>
    <row r="194" spans="1:5" ht="15" customHeight="1" x14ac:dyDescent="0.25">
      <c r="A194" s="102">
        <v>3038</v>
      </c>
      <c r="B194" s="101" t="s">
        <v>350</v>
      </c>
      <c r="C194" s="100" t="s">
        <v>349</v>
      </c>
      <c r="D194" s="99">
        <v>5.3</v>
      </c>
      <c r="E194" s="98"/>
    </row>
    <row r="195" spans="1:5" ht="15" customHeight="1" x14ac:dyDescent="0.3">
      <c r="A195" s="102">
        <v>3039</v>
      </c>
      <c r="B195" s="101" t="s">
        <v>348</v>
      </c>
      <c r="C195" s="100" t="s">
        <v>347</v>
      </c>
      <c r="D195" s="99">
        <v>5</v>
      </c>
      <c r="E195" s="103"/>
    </row>
    <row r="196" spans="1:5" ht="15" customHeight="1" x14ac:dyDescent="0.25">
      <c r="A196" s="102">
        <v>3040</v>
      </c>
      <c r="B196" s="101" t="s">
        <v>355</v>
      </c>
      <c r="C196" s="100" t="s">
        <v>354</v>
      </c>
      <c r="D196" s="99">
        <v>80.7</v>
      </c>
      <c r="E196" s="98"/>
    </row>
    <row r="197" spans="1:5" ht="15" customHeight="1" x14ac:dyDescent="0.3">
      <c r="A197" s="102">
        <v>3041</v>
      </c>
      <c r="B197" s="101" t="s">
        <v>352</v>
      </c>
      <c r="C197" s="100" t="s">
        <v>351</v>
      </c>
      <c r="D197" s="99">
        <v>16</v>
      </c>
      <c r="E197" s="103"/>
    </row>
    <row r="198" spans="1:5" ht="15" customHeight="1" x14ac:dyDescent="0.3">
      <c r="A198" s="102">
        <v>3042</v>
      </c>
      <c r="B198" s="101" t="s">
        <v>352</v>
      </c>
      <c r="C198" s="100" t="s">
        <v>351</v>
      </c>
      <c r="D198" s="99">
        <v>17.899999999999999</v>
      </c>
      <c r="E198" s="103"/>
    </row>
    <row r="199" spans="1:5" ht="15" customHeight="1" x14ac:dyDescent="0.25">
      <c r="A199" s="102">
        <v>3043</v>
      </c>
      <c r="B199" s="101" t="s">
        <v>355</v>
      </c>
      <c r="C199" s="100" t="s">
        <v>354</v>
      </c>
      <c r="D199" s="99">
        <v>73.8</v>
      </c>
      <c r="E199" s="98"/>
    </row>
    <row r="200" spans="1:5" ht="15" customHeight="1" x14ac:dyDescent="0.25">
      <c r="A200" s="102">
        <v>3044</v>
      </c>
      <c r="B200" s="101" t="s">
        <v>355</v>
      </c>
      <c r="C200" s="100" t="s">
        <v>354</v>
      </c>
      <c r="D200" s="99">
        <v>69.7</v>
      </c>
      <c r="E200" s="98"/>
    </row>
    <row r="201" spans="1:5" ht="15" customHeight="1" x14ac:dyDescent="0.25">
      <c r="A201" s="102">
        <v>3045</v>
      </c>
      <c r="B201" s="101" t="s">
        <v>355</v>
      </c>
      <c r="C201" s="100" t="s">
        <v>354</v>
      </c>
      <c r="D201" s="99">
        <v>66.2</v>
      </c>
      <c r="E201" s="98"/>
    </row>
    <row r="202" spans="1:5" ht="15" customHeight="1" x14ac:dyDescent="0.25">
      <c r="A202" s="102">
        <v>3046</v>
      </c>
      <c r="B202" s="101" t="s">
        <v>355</v>
      </c>
      <c r="C202" s="100" t="s">
        <v>354</v>
      </c>
      <c r="D202" s="99">
        <v>96.1</v>
      </c>
      <c r="E202" s="98"/>
    </row>
    <row r="203" spans="1:5" ht="15" customHeight="1" x14ac:dyDescent="0.3">
      <c r="A203" s="102">
        <v>3047</v>
      </c>
      <c r="B203" s="101" t="s">
        <v>352</v>
      </c>
      <c r="C203" s="100" t="s">
        <v>351</v>
      </c>
      <c r="D203" s="99">
        <v>174.1</v>
      </c>
      <c r="E203" s="103"/>
    </row>
    <row r="204" spans="1:5" ht="15" customHeight="1" x14ac:dyDescent="0.3">
      <c r="A204" s="104" t="s">
        <v>359</v>
      </c>
      <c r="B204" s="101" t="s">
        <v>352</v>
      </c>
      <c r="C204" s="100" t="s">
        <v>351</v>
      </c>
      <c r="D204" s="99">
        <v>73.599999999999994</v>
      </c>
      <c r="E204" s="103"/>
    </row>
    <row r="205" spans="1:5" ht="15" customHeight="1" x14ac:dyDescent="0.3">
      <c r="A205" s="104" t="s">
        <v>358</v>
      </c>
      <c r="B205" s="101" t="s">
        <v>352</v>
      </c>
      <c r="C205" s="100" t="s">
        <v>351</v>
      </c>
      <c r="D205" s="99">
        <v>67.400000000000006</v>
      </c>
      <c r="E205" s="103"/>
    </row>
    <row r="206" spans="1:5" ht="15" customHeight="1" x14ac:dyDescent="0.3">
      <c r="A206" s="102">
        <v>3048</v>
      </c>
      <c r="B206" s="101" t="s">
        <v>348</v>
      </c>
      <c r="C206" s="100" t="s">
        <v>347</v>
      </c>
      <c r="D206" s="99">
        <v>32.299999999999997</v>
      </c>
      <c r="E206" s="103"/>
    </row>
    <row r="207" spans="1:5" ht="15" customHeight="1" x14ac:dyDescent="0.25">
      <c r="A207" s="102">
        <v>3050</v>
      </c>
      <c r="B207" s="101" t="s">
        <v>350</v>
      </c>
      <c r="C207" s="100" t="s">
        <v>349</v>
      </c>
      <c r="D207" s="99">
        <v>14.2</v>
      </c>
      <c r="E207" s="98"/>
    </row>
    <row r="208" spans="1:5" ht="15" customHeight="1" x14ac:dyDescent="0.25">
      <c r="A208" s="102">
        <v>3051</v>
      </c>
      <c r="B208" s="101" t="s">
        <v>350</v>
      </c>
      <c r="C208" s="100" t="s">
        <v>349</v>
      </c>
      <c r="D208" s="99">
        <v>5</v>
      </c>
      <c r="E208" s="98"/>
    </row>
    <row r="209" spans="1:5" ht="15" customHeight="1" x14ac:dyDescent="0.25">
      <c r="A209" s="102">
        <v>3052</v>
      </c>
      <c r="B209" s="101" t="s">
        <v>350</v>
      </c>
      <c r="C209" s="100" t="s">
        <v>349</v>
      </c>
      <c r="D209" s="99">
        <v>5.6</v>
      </c>
      <c r="E209" s="98"/>
    </row>
    <row r="210" spans="1:5" ht="15" customHeight="1" x14ac:dyDescent="0.25">
      <c r="A210" s="102">
        <v>3053</v>
      </c>
      <c r="B210" s="101" t="s">
        <v>350</v>
      </c>
      <c r="C210" s="100" t="s">
        <v>349</v>
      </c>
      <c r="D210" s="99">
        <v>6.8</v>
      </c>
      <c r="E210" s="98"/>
    </row>
    <row r="211" spans="1:5" ht="15" customHeight="1" x14ac:dyDescent="0.3">
      <c r="A211" s="102">
        <v>3054</v>
      </c>
      <c r="B211" s="101" t="s">
        <v>357</v>
      </c>
      <c r="C211" s="100" t="s">
        <v>356</v>
      </c>
      <c r="D211" s="99">
        <v>10.8</v>
      </c>
      <c r="E211" s="103"/>
    </row>
    <row r="212" spans="1:5" ht="15" customHeight="1" x14ac:dyDescent="0.3">
      <c r="A212" s="102">
        <v>3055</v>
      </c>
      <c r="B212" s="101" t="s">
        <v>348</v>
      </c>
      <c r="C212" s="100" t="s">
        <v>347</v>
      </c>
      <c r="D212" s="99">
        <v>5.0999999999999996</v>
      </c>
      <c r="E212" s="103"/>
    </row>
    <row r="213" spans="1:5" ht="15" customHeight="1" x14ac:dyDescent="0.25">
      <c r="A213" s="102">
        <v>3056</v>
      </c>
      <c r="B213" s="101" t="s">
        <v>350</v>
      </c>
      <c r="C213" s="100" t="s">
        <v>349</v>
      </c>
      <c r="D213" s="99">
        <v>16.8</v>
      </c>
      <c r="E213" s="98"/>
    </row>
    <row r="214" spans="1:5" ht="15" customHeight="1" x14ac:dyDescent="0.3">
      <c r="A214" s="102">
        <v>3057</v>
      </c>
      <c r="B214" s="101" t="s">
        <v>348</v>
      </c>
      <c r="C214" s="100" t="s">
        <v>347</v>
      </c>
      <c r="D214" s="99">
        <v>20.8</v>
      </c>
      <c r="E214" s="103"/>
    </row>
    <row r="215" spans="1:5" ht="15" customHeight="1" x14ac:dyDescent="0.3">
      <c r="A215" s="102">
        <v>3058</v>
      </c>
      <c r="B215" s="101" t="s">
        <v>352</v>
      </c>
      <c r="C215" s="100" t="s">
        <v>351</v>
      </c>
      <c r="D215" s="99">
        <v>12.4</v>
      </c>
      <c r="E215" s="103"/>
    </row>
    <row r="216" spans="1:5" ht="15" customHeight="1" x14ac:dyDescent="0.25">
      <c r="A216" s="102">
        <v>4001</v>
      </c>
      <c r="B216" s="101" t="s">
        <v>355</v>
      </c>
      <c r="C216" s="100" t="s">
        <v>354</v>
      </c>
      <c r="D216" s="99">
        <v>69.5</v>
      </c>
      <c r="E216" s="98"/>
    </row>
    <row r="217" spans="1:5" ht="15" customHeight="1" x14ac:dyDescent="0.3">
      <c r="A217" s="102">
        <v>4002</v>
      </c>
      <c r="B217" s="101" t="s">
        <v>352</v>
      </c>
      <c r="C217" s="100" t="s">
        <v>351</v>
      </c>
      <c r="D217" s="99">
        <v>27.4</v>
      </c>
      <c r="E217" s="103"/>
    </row>
    <row r="218" spans="1:5" ht="15" customHeight="1" x14ac:dyDescent="0.25">
      <c r="A218" s="102">
        <v>4003</v>
      </c>
      <c r="B218" s="101" t="s">
        <v>355</v>
      </c>
      <c r="C218" s="100" t="s">
        <v>354</v>
      </c>
      <c r="D218" s="99">
        <v>44.4</v>
      </c>
      <c r="E218" s="98"/>
    </row>
    <row r="219" spans="1:5" ht="15" customHeight="1" x14ac:dyDescent="0.25">
      <c r="A219" s="102">
        <v>4004</v>
      </c>
      <c r="B219" s="101" t="s">
        <v>355</v>
      </c>
      <c r="C219" s="100" t="s">
        <v>354</v>
      </c>
      <c r="D219" s="99">
        <v>55.4</v>
      </c>
      <c r="E219" s="98"/>
    </row>
    <row r="220" spans="1:5" ht="15" customHeight="1" x14ac:dyDescent="0.25">
      <c r="A220" s="102">
        <v>4005</v>
      </c>
      <c r="B220" s="101" t="s">
        <v>355</v>
      </c>
      <c r="C220" s="100" t="s">
        <v>354</v>
      </c>
      <c r="D220" s="99">
        <v>51.7</v>
      </c>
      <c r="E220" s="98"/>
    </row>
    <row r="221" spans="1:5" ht="15" customHeight="1" x14ac:dyDescent="0.25">
      <c r="A221" s="102">
        <v>4006</v>
      </c>
      <c r="B221" s="101" t="s">
        <v>355</v>
      </c>
      <c r="C221" s="100" t="s">
        <v>354</v>
      </c>
      <c r="D221" s="99">
        <v>57.4</v>
      </c>
      <c r="E221" s="98"/>
    </row>
    <row r="222" spans="1:5" ht="15" customHeight="1" x14ac:dyDescent="0.3">
      <c r="A222" s="102">
        <v>4007</v>
      </c>
      <c r="B222" s="101" t="s">
        <v>352</v>
      </c>
      <c r="C222" s="100" t="s">
        <v>351</v>
      </c>
      <c r="D222" s="99">
        <v>19.600000000000001</v>
      </c>
      <c r="E222" s="103"/>
    </row>
    <row r="223" spans="1:5" ht="15" customHeight="1" x14ac:dyDescent="0.25">
      <c r="A223" s="102">
        <v>4008</v>
      </c>
      <c r="B223" s="101" t="s">
        <v>355</v>
      </c>
      <c r="C223" s="100" t="s">
        <v>354</v>
      </c>
      <c r="D223" s="99">
        <v>96.3</v>
      </c>
      <c r="E223" s="98"/>
    </row>
    <row r="224" spans="1:5" ht="15" customHeight="1" x14ac:dyDescent="0.3">
      <c r="A224" s="102">
        <v>4009</v>
      </c>
      <c r="B224" s="101" t="s">
        <v>348</v>
      </c>
      <c r="C224" s="100" t="s">
        <v>347</v>
      </c>
      <c r="D224" s="99">
        <v>28</v>
      </c>
      <c r="E224" s="103"/>
    </row>
    <row r="225" spans="1:8" ht="15" customHeight="1" x14ac:dyDescent="0.3">
      <c r="A225" s="102">
        <v>4010</v>
      </c>
      <c r="B225" s="101" t="s">
        <v>352</v>
      </c>
      <c r="C225" s="100" t="s">
        <v>351</v>
      </c>
      <c r="D225" s="99">
        <v>243</v>
      </c>
      <c r="E225" s="103"/>
    </row>
    <row r="226" spans="1:8" ht="15" customHeight="1" x14ac:dyDescent="0.3">
      <c r="A226" s="104" t="s">
        <v>353</v>
      </c>
      <c r="B226" s="101" t="s">
        <v>352</v>
      </c>
      <c r="C226" s="100" t="s">
        <v>351</v>
      </c>
      <c r="D226" s="99">
        <v>73.7</v>
      </c>
      <c r="E226" s="103"/>
    </row>
    <row r="227" spans="1:8" ht="15" customHeight="1" x14ac:dyDescent="0.25">
      <c r="A227" s="102">
        <v>4011</v>
      </c>
      <c r="B227" s="101" t="s">
        <v>350</v>
      </c>
      <c r="C227" s="100" t="s">
        <v>349</v>
      </c>
      <c r="D227" s="99">
        <v>14.2</v>
      </c>
      <c r="E227" s="98"/>
    </row>
    <row r="228" spans="1:8" ht="15" customHeight="1" x14ac:dyDescent="0.25">
      <c r="A228" s="102">
        <v>4012</v>
      </c>
      <c r="B228" s="101" t="s">
        <v>350</v>
      </c>
      <c r="C228" s="100" t="s">
        <v>349</v>
      </c>
      <c r="D228" s="99">
        <v>4.4000000000000004</v>
      </c>
      <c r="E228" s="98"/>
    </row>
    <row r="229" spans="1:8" ht="15" customHeight="1" x14ac:dyDescent="0.25">
      <c r="A229" s="102">
        <v>4013</v>
      </c>
      <c r="B229" s="101" t="s">
        <v>350</v>
      </c>
      <c r="C229" s="100" t="s">
        <v>349</v>
      </c>
      <c r="D229" s="99">
        <v>6.7</v>
      </c>
      <c r="E229" s="98"/>
    </row>
    <row r="230" spans="1:8" ht="15" customHeight="1" x14ac:dyDescent="0.3">
      <c r="A230" s="102">
        <v>4014</v>
      </c>
      <c r="B230" s="101" t="s">
        <v>352</v>
      </c>
      <c r="C230" s="100" t="s">
        <v>351</v>
      </c>
      <c r="D230" s="99">
        <v>10.8</v>
      </c>
      <c r="E230" s="103"/>
    </row>
    <row r="231" spans="1:8" ht="15" customHeight="1" x14ac:dyDescent="0.25">
      <c r="A231" s="102">
        <v>4015</v>
      </c>
      <c r="B231" s="101" t="s">
        <v>350</v>
      </c>
      <c r="C231" s="100" t="s">
        <v>349</v>
      </c>
      <c r="D231" s="99">
        <v>16.5</v>
      </c>
      <c r="E231" s="98"/>
    </row>
    <row r="232" spans="1:8" ht="15" customHeight="1" x14ac:dyDescent="0.3">
      <c r="A232" s="102">
        <v>4016</v>
      </c>
      <c r="B232" s="101" t="s">
        <v>348</v>
      </c>
      <c r="C232" s="100" t="s">
        <v>347</v>
      </c>
      <c r="D232" s="99">
        <v>5</v>
      </c>
      <c r="E232" s="103"/>
    </row>
    <row r="233" spans="1:8" ht="15" customHeight="1" x14ac:dyDescent="0.25">
      <c r="A233" s="102">
        <v>4017</v>
      </c>
      <c r="B233" s="101" t="s">
        <v>350</v>
      </c>
      <c r="C233" s="100" t="s">
        <v>349</v>
      </c>
      <c r="D233" s="99">
        <v>5.0999999999999996</v>
      </c>
      <c r="E233" s="98"/>
    </row>
    <row r="234" spans="1:8" ht="15" customHeight="1" x14ac:dyDescent="0.3">
      <c r="A234" s="97">
        <v>4018</v>
      </c>
      <c r="B234" s="94" t="s">
        <v>348</v>
      </c>
      <c r="C234" s="93" t="s">
        <v>347</v>
      </c>
      <c r="D234" s="96">
        <v>29.8</v>
      </c>
      <c r="E234" s="91"/>
    </row>
    <row r="235" spans="1:8" ht="14.4" x14ac:dyDescent="0.3">
      <c r="A235" s="95"/>
      <c r="B235" s="94"/>
      <c r="C235" s="93"/>
      <c r="D235" s="92">
        <f>SUM(Таблица13[Площадь, м2])</f>
        <v>12052.9</v>
      </c>
      <c r="E235" s="91"/>
    </row>
    <row r="237" spans="1:8" x14ac:dyDescent="0.3">
      <c r="G237" s="90" t="s">
        <v>372</v>
      </c>
    </row>
    <row r="238" spans="1:8" ht="14.4" x14ac:dyDescent="0.3">
      <c r="B238" s="90" t="s">
        <v>236</v>
      </c>
      <c r="D238" s="90">
        <f>SUMIF(Таблица13[Марка],B238,Таблица13[Площадь, м2])</f>
        <v>817.79999999999984</v>
      </c>
      <c r="G238" s="30" t="s">
        <v>236</v>
      </c>
      <c r="H238">
        <v>1171.2</v>
      </c>
    </row>
    <row r="239" spans="1:8" ht="14.4" x14ac:dyDescent="0.3">
      <c r="B239" s="90" t="s">
        <v>237</v>
      </c>
      <c r="D239" s="90">
        <f>SUMIF(Таблица13[Марка],B239,Таблица13[Площадь, м2])</f>
        <v>3383.2999999999997</v>
      </c>
      <c r="G239" s="30" t="s">
        <v>231</v>
      </c>
      <c r="H239">
        <v>7010.2</v>
      </c>
    </row>
    <row r="240" spans="1:8" ht="43.2" x14ac:dyDescent="0.3">
      <c r="B240" s="90" t="s">
        <v>231</v>
      </c>
      <c r="D240" s="90">
        <f>SUMIF(Таблица13[Марка],B240,Таблица13[Площадь, м2])</f>
        <v>7009.9000000000015</v>
      </c>
      <c r="G240" s="52" t="s">
        <v>373</v>
      </c>
      <c r="H240">
        <v>827.7</v>
      </c>
    </row>
    <row r="241" spans="1:8" x14ac:dyDescent="0.3">
      <c r="B241" s="90" t="s">
        <v>346</v>
      </c>
      <c r="D241" s="90">
        <f>SUMIF(Таблица13[Марка],B241,Таблица13[Площадь, м2])</f>
        <v>37.6</v>
      </c>
    </row>
    <row r="242" spans="1:8" x14ac:dyDescent="0.3">
      <c r="B242" s="90" t="s">
        <v>267</v>
      </c>
      <c r="D242" s="90">
        <f>SUMIF(Таблица13[Марка],B242,Таблица13[Площадь, м2])</f>
        <v>165.6</v>
      </c>
    </row>
    <row r="243" spans="1:8" x14ac:dyDescent="0.3">
      <c r="B243" s="90" t="s">
        <v>218</v>
      </c>
      <c r="D243" s="90">
        <f>SUMIF(Таблица13[Марка],B243,Таблица13[Площадь, м2])</f>
        <v>638.70000000000016</v>
      </c>
    </row>
    <row r="244" spans="1:8" x14ac:dyDescent="0.3">
      <c r="D244" s="90">
        <f>SUM(D238:D243)</f>
        <v>12052.900000000001</v>
      </c>
      <c r="H244" s="90">
        <f>SUM(H238:H243)</f>
        <v>9009.1</v>
      </c>
    </row>
    <row r="247" spans="1:8" x14ac:dyDescent="0.3">
      <c r="A247" s="90" t="s">
        <v>376</v>
      </c>
      <c r="B247" s="90" t="s">
        <v>374</v>
      </c>
      <c r="D247" s="90">
        <v>3291.4</v>
      </c>
    </row>
    <row r="248" spans="1:8" x14ac:dyDescent="0.3">
      <c r="B248" s="90" t="s">
        <v>375</v>
      </c>
      <c r="D248" s="90">
        <v>1171.2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T57"/>
  <sheetViews>
    <sheetView zoomScale="85" zoomScaleNormal="85" workbookViewId="0">
      <selection activeCell="L55" sqref="L55:M57"/>
    </sheetView>
    <sheetView workbookViewId="1">
      <selection sqref="A1:XFD1048576"/>
    </sheetView>
  </sheetViews>
  <sheetFormatPr defaultRowHeight="14.4" x14ac:dyDescent="0.3"/>
  <cols>
    <col min="12" max="12" width="18.77734375" customWidth="1"/>
    <col min="13" max="13" width="6.6640625" customWidth="1"/>
    <col min="19" max="19" width="12.44140625" customWidth="1"/>
  </cols>
  <sheetData>
    <row r="1" spans="2:19" ht="20.399999999999999" customHeight="1" x14ac:dyDescent="0.3">
      <c r="B1" s="67" t="s">
        <v>261</v>
      </c>
      <c r="C1" s="68"/>
      <c r="D1" s="68"/>
      <c r="E1" s="68"/>
      <c r="F1" s="68"/>
      <c r="G1" s="68"/>
      <c r="H1" s="68"/>
      <c r="I1" s="68"/>
    </row>
    <row r="3" spans="2:19" x14ac:dyDescent="0.3">
      <c r="B3" s="30" t="s">
        <v>248</v>
      </c>
    </row>
    <row r="4" spans="2:19" ht="20.399999999999999" x14ac:dyDescent="0.3">
      <c r="B4" s="27"/>
      <c r="C4" s="27">
        <v>1</v>
      </c>
      <c r="D4" s="27">
        <v>1</v>
      </c>
      <c r="E4" s="27">
        <v>2</v>
      </c>
      <c r="F4" s="27">
        <v>2</v>
      </c>
      <c r="G4" s="27">
        <v>3</v>
      </c>
      <c r="H4" s="27">
        <v>3</v>
      </c>
      <c r="I4" s="27">
        <v>4</v>
      </c>
      <c r="Q4" s="69" t="s">
        <v>232</v>
      </c>
      <c r="R4" s="70"/>
    </row>
    <row r="5" spans="2:19" ht="28.8" x14ac:dyDescent="0.3">
      <c r="B5" s="29" t="s">
        <v>217</v>
      </c>
      <c r="C5" s="27">
        <v>1</v>
      </c>
      <c r="D5" s="27">
        <v>2.2999999999999998</v>
      </c>
      <c r="E5" s="27">
        <v>1</v>
      </c>
      <c r="F5" s="27">
        <v>2.2999999999999998</v>
      </c>
      <c r="G5" s="27">
        <v>1</v>
      </c>
      <c r="H5" s="27">
        <v>2.2999999999999998</v>
      </c>
      <c r="I5" s="27">
        <v>3</v>
      </c>
      <c r="Q5" s="32" t="s">
        <v>233</v>
      </c>
      <c r="R5" s="33" t="s">
        <v>234</v>
      </c>
    </row>
    <row r="6" spans="2:19" x14ac:dyDescent="0.3">
      <c r="B6" s="28">
        <v>2</v>
      </c>
      <c r="C6" s="27">
        <v>28.6</v>
      </c>
      <c r="D6" s="27">
        <v>309.5</v>
      </c>
      <c r="E6" s="27">
        <v>44.4</v>
      </c>
      <c r="F6" s="27">
        <v>31.5</v>
      </c>
      <c r="G6" s="27">
        <v>34.4</v>
      </c>
      <c r="H6" s="27">
        <v>10</v>
      </c>
      <c r="I6" s="27">
        <v>62.8</v>
      </c>
      <c r="J6">
        <f>SUM(C6:I6)</f>
        <v>521.19999999999993</v>
      </c>
      <c r="L6" t="s">
        <v>236</v>
      </c>
      <c r="M6">
        <v>1171.2</v>
      </c>
      <c r="Q6" s="34">
        <v>4001</v>
      </c>
      <c r="R6" s="35">
        <v>68.8</v>
      </c>
      <c r="S6" s="31" t="s">
        <v>237</v>
      </c>
    </row>
    <row r="7" spans="2:19" x14ac:dyDescent="0.3">
      <c r="B7" s="28">
        <v>4</v>
      </c>
      <c r="C7" s="27">
        <v>404.1</v>
      </c>
      <c r="D7" s="27">
        <v>501.6</v>
      </c>
      <c r="E7" s="27">
        <v>377</v>
      </c>
      <c r="F7" s="27">
        <v>695.5</v>
      </c>
      <c r="G7" s="27">
        <v>502.3</v>
      </c>
      <c r="H7" s="27">
        <v>528.1</v>
      </c>
      <c r="I7" s="27">
        <v>69.5</v>
      </c>
      <c r="J7">
        <f t="shared" ref="J7:J11" si="0">SUM(C7:I7)</f>
        <v>3078.1</v>
      </c>
      <c r="Q7" s="34">
        <v>4002</v>
      </c>
      <c r="R7" s="35">
        <v>26.9</v>
      </c>
      <c r="S7" s="31" t="s">
        <v>231</v>
      </c>
    </row>
    <row r="8" spans="2:19" x14ac:dyDescent="0.3">
      <c r="B8" s="28">
        <v>5</v>
      </c>
      <c r="C8" s="27">
        <v>418.1</v>
      </c>
      <c r="D8" s="27">
        <v>1554.8</v>
      </c>
      <c r="E8" s="27">
        <v>334.2</v>
      </c>
      <c r="F8" s="27">
        <v>1730.3</v>
      </c>
      <c r="G8" s="27">
        <v>335.1</v>
      </c>
      <c r="H8" s="27">
        <v>2263.1999999999998</v>
      </c>
      <c r="I8" s="27">
        <v>327.60000000000002</v>
      </c>
      <c r="J8">
        <f t="shared" si="0"/>
        <v>6963.3</v>
      </c>
      <c r="L8" t="s">
        <v>231</v>
      </c>
      <c r="M8">
        <v>7010.2</v>
      </c>
      <c r="Q8" s="34">
        <v>4003</v>
      </c>
      <c r="R8" s="35">
        <v>43.9</v>
      </c>
      <c r="S8" s="31" t="s">
        <v>237</v>
      </c>
    </row>
    <row r="9" spans="2:19" x14ac:dyDescent="0.3">
      <c r="B9" s="28">
        <v>6</v>
      </c>
      <c r="C9" s="27">
        <v>0</v>
      </c>
      <c r="D9" s="27">
        <v>37.6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>
        <f t="shared" si="0"/>
        <v>37.6</v>
      </c>
      <c r="Q9" s="36">
        <v>4004</v>
      </c>
      <c r="R9" s="37">
        <v>54.8</v>
      </c>
      <c r="S9" s="31" t="s">
        <v>237</v>
      </c>
    </row>
    <row r="10" spans="2:19" x14ac:dyDescent="0.3">
      <c r="B10" s="28">
        <v>7</v>
      </c>
      <c r="C10" s="27">
        <v>15.4</v>
      </c>
      <c r="D10" s="27">
        <v>71.3</v>
      </c>
      <c r="E10" s="27">
        <v>15.5</v>
      </c>
      <c r="F10" s="27">
        <v>23.9</v>
      </c>
      <c r="G10" s="27">
        <v>15.5</v>
      </c>
      <c r="H10" s="27">
        <v>23.9</v>
      </c>
      <c r="I10" s="27">
        <v>0</v>
      </c>
      <c r="J10">
        <f t="shared" si="0"/>
        <v>165.5</v>
      </c>
      <c r="Q10" s="34">
        <v>4005</v>
      </c>
      <c r="R10" s="35">
        <v>52</v>
      </c>
      <c r="S10" s="31" t="s">
        <v>237</v>
      </c>
    </row>
    <row r="11" spans="2:19" x14ac:dyDescent="0.3">
      <c r="B11" s="28">
        <v>8</v>
      </c>
      <c r="C11" s="27">
        <v>44.1</v>
      </c>
      <c r="D11" s="27">
        <v>191.4</v>
      </c>
      <c r="E11" s="27">
        <v>51.1</v>
      </c>
      <c r="F11" s="27">
        <v>200.1</v>
      </c>
      <c r="G11" s="27">
        <v>50.9</v>
      </c>
      <c r="H11" s="27">
        <v>53.6</v>
      </c>
      <c r="I11" s="27">
        <v>46.9</v>
      </c>
      <c r="J11">
        <f t="shared" si="0"/>
        <v>638.1</v>
      </c>
      <c r="L11" t="s">
        <v>250</v>
      </c>
      <c r="M11">
        <v>827.7</v>
      </c>
      <c r="Q11" s="34">
        <v>4006</v>
      </c>
      <c r="R11" s="35">
        <v>56.6</v>
      </c>
      <c r="S11" s="31" t="s">
        <v>237</v>
      </c>
    </row>
    <row r="12" spans="2:19" x14ac:dyDescent="0.3">
      <c r="Q12" s="34">
        <v>4007</v>
      </c>
      <c r="R12" s="35">
        <v>19.2</v>
      </c>
      <c r="S12" s="31" t="s">
        <v>237</v>
      </c>
    </row>
    <row r="13" spans="2:19" x14ac:dyDescent="0.3">
      <c r="Q13" s="34">
        <v>4008</v>
      </c>
      <c r="R13" s="35">
        <v>95.5</v>
      </c>
      <c r="S13" s="31" t="s">
        <v>237</v>
      </c>
    </row>
    <row r="14" spans="2:19" x14ac:dyDescent="0.3">
      <c r="Q14" s="34">
        <v>4009</v>
      </c>
      <c r="R14" s="35">
        <v>30.6</v>
      </c>
      <c r="S14" s="31" t="s">
        <v>236</v>
      </c>
    </row>
    <row r="15" spans="2:19" x14ac:dyDescent="0.3">
      <c r="Q15" s="34">
        <v>4010</v>
      </c>
      <c r="R15" s="35">
        <v>241.6</v>
      </c>
      <c r="S15" s="31" t="s">
        <v>231</v>
      </c>
    </row>
    <row r="16" spans="2:19" x14ac:dyDescent="0.3">
      <c r="Q16" s="38" t="s">
        <v>235</v>
      </c>
      <c r="R16" s="35">
        <v>72.400000000000006</v>
      </c>
      <c r="S16" s="31" t="s">
        <v>231</v>
      </c>
    </row>
    <row r="17" spans="2:20" x14ac:dyDescent="0.3">
      <c r="Q17" s="34">
        <v>4011</v>
      </c>
      <c r="R17" s="35">
        <v>14</v>
      </c>
      <c r="S17" s="30" t="s">
        <v>218</v>
      </c>
    </row>
    <row r="18" spans="2:20" x14ac:dyDescent="0.3">
      <c r="Q18" s="34">
        <v>4012</v>
      </c>
      <c r="R18" s="35">
        <v>4.2</v>
      </c>
      <c r="S18" s="30" t="s">
        <v>218</v>
      </c>
    </row>
    <row r="19" spans="2:20" x14ac:dyDescent="0.3">
      <c r="B19" s="31" t="s">
        <v>218</v>
      </c>
      <c r="C19" s="27"/>
      <c r="D19" s="27"/>
      <c r="E19" s="27"/>
      <c r="F19" s="27"/>
      <c r="G19" s="27"/>
      <c r="H19" s="27"/>
      <c r="I19" s="27"/>
      <c r="J19" s="30" t="s">
        <v>229</v>
      </c>
      <c r="Q19" s="34">
        <v>4013</v>
      </c>
      <c r="R19" s="35">
        <v>6.7</v>
      </c>
      <c r="S19" s="30" t="s">
        <v>218</v>
      </c>
    </row>
    <row r="20" spans="2:20" x14ac:dyDescent="0.3">
      <c r="B20" s="31" t="s">
        <v>219</v>
      </c>
      <c r="C20" s="27">
        <v>18.5</v>
      </c>
      <c r="D20" s="27"/>
      <c r="E20" s="27"/>
      <c r="F20" s="27"/>
      <c r="G20" s="27"/>
      <c r="H20" s="31" t="s">
        <v>223</v>
      </c>
      <c r="I20" s="27">
        <v>14</v>
      </c>
      <c r="Q20" s="34">
        <v>4014</v>
      </c>
      <c r="R20" s="35">
        <v>9.8000000000000007</v>
      </c>
      <c r="S20" s="53" t="s">
        <v>231</v>
      </c>
    </row>
    <row r="21" spans="2:20" x14ac:dyDescent="0.3">
      <c r="B21" s="31" t="s">
        <v>220</v>
      </c>
      <c r="C21" s="27">
        <v>19</v>
      </c>
      <c r="D21" s="27"/>
      <c r="E21" s="27"/>
      <c r="F21" s="27"/>
      <c r="G21" s="27"/>
      <c r="H21" s="31" t="s">
        <v>224</v>
      </c>
      <c r="I21" s="27">
        <v>4.2</v>
      </c>
      <c r="Q21" s="34">
        <v>4015</v>
      </c>
      <c r="R21" s="35">
        <v>16.2</v>
      </c>
      <c r="S21" s="30" t="s">
        <v>218</v>
      </c>
    </row>
    <row r="22" spans="2:20" x14ac:dyDescent="0.3">
      <c r="B22" s="31" t="s">
        <v>221</v>
      </c>
      <c r="C22" s="27">
        <v>7.1</v>
      </c>
      <c r="D22" s="27"/>
      <c r="E22" s="27"/>
      <c r="F22" s="27"/>
      <c r="G22" s="27"/>
      <c r="H22" s="31" t="s">
        <v>225</v>
      </c>
      <c r="I22" s="27">
        <v>6.7</v>
      </c>
      <c r="Q22" s="34">
        <v>4016</v>
      </c>
      <c r="R22" s="35">
        <v>4.9000000000000004</v>
      </c>
      <c r="S22" s="31" t="s">
        <v>236</v>
      </c>
    </row>
    <row r="23" spans="2:20" x14ac:dyDescent="0.3">
      <c r="B23" s="27"/>
      <c r="C23" s="27"/>
      <c r="D23" s="27"/>
      <c r="E23" s="27"/>
      <c r="F23" s="27"/>
      <c r="G23" s="27"/>
      <c r="H23" s="31" t="s">
        <v>226</v>
      </c>
      <c r="I23" s="27">
        <v>16.2</v>
      </c>
      <c r="Q23" s="34">
        <v>4017</v>
      </c>
      <c r="R23" s="35">
        <v>4.8</v>
      </c>
      <c r="S23" s="30" t="s">
        <v>218</v>
      </c>
    </row>
    <row r="24" spans="2:20" x14ac:dyDescent="0.3">
      <c r="B24" s="27"/>
      <c r="C24" s="27"/>
      <c r="D24" s="27"/>
      <c r="E24" s="27"/>
      <c r="F24" s="27"/>
      <c r="G24" s="27"/>
      <c r="H24" s="31" t="s">
        <v>227</v>
      </c>
      <c r="I24" s="27">
        <v>4.8</v>
      </c>
      <c r="Q24" s="34">
        <v>4018</v>
      </c>
      <c r="R24" s="35">
        <v>32</v>
      </c>
      <c r="S24" s="31" t="s">
        <v>236</v>
      </c>
    </row>
    <row r="25" spans="2:20" x14ac:dyDescent="0.3">
      <c r="Q25" s="71">
        <v>855</v>
      </c>
      <c r="R25" s="72"/>
    </row>
    <row r="26" spans="2:20" x14ac:dyDescent="0.3">
      <c r="B26" s="31" t="s">
        <v>231</v>
      </c>
      <c r="C26" s="27"/>
      <c r="D26" s="27"/>
      <c r="E26" s="27"/>
      <c r="F26" s="27"/>
      <c r="G26" s="27"/>
      <c r="H26" s="27"/>
      <c r="I26" s="27"/>
      <c r="J26" s="30" t="s">
        <v>239</v>
      </c>
    </row>
    <row r="27" spans="2:20" x14ac:dyDescent="0.3">
      <c r="B27" s="31" t="s">
        <v>247</v>
      </c>
      <c r="C27" s="40">
        <v>98.5</v>
      </c>
      <c r="D27" s="31" t="s">
        <v>243</v>
      </c>
      <c r="E27" s="27">
        <v>130.4</v>
      </c>
      <c r="F27" s="27">
        <v>16</v>
      </c>
      <c r="G27" s="27">
        <v>130.69999999999999</v>
      </c>
      <c r="H27" s="31" t="s">
        <v>228</v>
      </c>
      <c r="I27" s="27">
        <v>72.400000000000006</v>
      </c>
      <c r="K27" s="30" t="s">
        <v>246</v>
      </c>
      <c r="Q27" s="39" t="s">
        <v>238</v>
      </c>
      <c r="R27">
        <v>243.2</v>
      </c>
      <c r="S27">
        <f t="shared" ref="S27:S31" si="1">SUMIF($S$6:$S$24,Q27,$R$6:$R$24)</f>
        <v>0</v>
      </c>
      <c r="T27">
        <f t="shared" ref="T27:T31" si="2">R27-S27</f>
        <v>243.2</v>
      </c>
    </row>
    <row r="28" spans="2:20" x14ac:dyDescent="0.3">
      <c r="B28" s="31" t="s">
        <v>241</v>
      </c>
      <c r="C28" s="27">
        <v>117.6</v>
      </c>
      <c r="D28" s="31" t="s">
        <v>244</v>
      </c>
      <c r="E28" s="27">
        <v>200.9</v>
      </c>
      <c r="F28" s="27">
        <v>17</v>
      </c>
      <c r="G28" s="27">
        <v>201.3</v>
      </c>
      <c r="H28" s="31" t="s">
        <v>230</v>
      </c>
      <c r="I28" s="27">
        <v>241.6</v>
      </c>
      <c r="Q28">
        <v>4</v>
      </c>
      <c r="R28">
        <v>69.5</v>
      </c>
      <c r="S28">
        <f t="shared" si="1"/>
        <v>0</v>
      </c>
      <c r="T28">
        <f t="shared" si="2"/>
        <v>69.5</v>
      </c>
    </row>
    <row r="29" spans="2:20" x14ac:dyDescent="0.3">
      <c r="B29" s="31" t="s">
        <v>242</v>
      </c>
      <c r="C29" s="27">
        <v>203.1</v>
      </c>
      <c r="D29" s="27"/>
      <c r="E29" s="27"/>
      <c r="F29" s="27"/>
      <c r="G29" s="27"/>
      <c r="H29" s="31"/>
      <c r="I29" s="27"/>
      <c r="Q29" s="30" t="s">
        <v>236</v>
      </c>
      <c r="R29">
        <v>62.8</v>
      </c>
      <c r="S29">
        <f t="shared" si="1"/>
        <v>67.5</v>
      </c>
      <c r="T29">
        <f t="shared" si="2"/>
        <v>-4.7000000000000028</v>
      </c>
    </row>
    <row r="30" spans="2:20" x14ac:dyDescent="0.3">
      <c r="Q30" s="30" t="s">
        <v>237</v>
      </c>
      <c r="R30">
        <v>69.5</v>
      </c>
      <c r="S30">
        <f t="shared" si="1"/>
        <v>390.8</v>
      </c>
      <c r="T30">
        <f t="shared" si="2"/>
        <v>-321.3</v>
      </c>
    </row>
    <row r="31" spans="2:20" x14ac:dyDescent="0.3">
      <c r="Q31" s="30" t="s">
        <v>231</v>
      </c>
      <c r="R31">
        <v>327.60000000000002</v>
      </c>
      <c r="S31">
        <f t="shared" si="1"/>
        <v>350.7</v>
      </c>
      <c r="T31">
        <f t="shared" si="2"/>
        <v>-23.099999999999966</v>
      </c>
    </row>
    <row r="32" spans="2:20" x14ac:dyDescent="0.3">
      <c r="Q32" s="30" t="s">
        <v>218</v>
      </c>
      <c r="R32">
        <v>46.9</v>
      </c>
      <c r="S32">
        <f>SUMIF($S$6:$S$24,Q32,$R$6:$R$24)</f>
        <v>45.899999999999991</v>
      </c>
      <c r="T32">
        <f>R32-S32</f>
        <v>1.0000000000000071</v>
      </c>
    </row>
    <row r="37" spans="2:15" x14ac:dyDescent="0.3">
      <c r="B37" s="30" t="s">
        <v>249</v>
      </c>
    </row>
    <row r="38" spans="2:15" x14ac:dyDescent="0.3">
      <c r="B38" s="27"/>
      <c r="C38" s="27">
        <v>1</v>
      </c>
      <c r="D38" s="27">
        <v>1</v>
      </c>
      <c r="E38" s="27">
        <v>2</v>
      </c>
      <c r="F38" s="27">
        <v>2</v>
      </c>
      <c r="G38" s="27">
        <v>3</v>
      </c>
      <c r="H38" s="27">
        <v>3</v>
      </c>
      <c r="I38" s="27">
        <v>4</v>
      </c>
    </row>
    <row r="39" spans="2:15" x14ac:dyDescent="0.3">
      <c r="B39" s="29" t="s">
        <v>217</v>
      </c>
      <c r="C39" s="31">
        <v>1</v>
      </c>
      <c r="D39" s="31">
        <v>2.2999999999999998</v>
      </c>
      <c r="E39" s="31">
        <v>1</v>
      </c>
      <c r="F39" s="31">
        <v>2.2999999999999998</v>
      </c>
      <c r="G39" s="31">
        <v>1</v>
      </c>
      <c r="H39" s="31">
        <v>2.2999999999999998</v>
      </c>
      <c r="I39" s="31">
        <v>3</v>
      </c>
      <c r="J39" s="30" t="s">
        <v>260</v>
      </c>
    </row>
    <row r="40" spans="2:15" x14ac:dyDescent="0.3">
      <c r="B40" s="50" t="s">
        <v>8</v>
      </c>
      <c r="C40" s="31">
        <v>121.3</v>
      </c>
      <c r="D40" s="31">
        <v>689.9</v>
      </c>
      <c r="E40" s="31">
        <v>31.4</v>
      </c>
      <c r="F40" s="31">
        <v>153</v>
      </c>
      <c r="G40" s="31">
        <v>28.3</v>
      </c>
      <c r="H40" s="31">
        <v>760.7</v>
      </c>
      <c r="I40" s="31">
        <v>57.8</v>
      </c>
      <c r="J40" s="54">
        <f>SUM(C40:I40)</f>
        <v>1842.3999999999999</v>
      </c>
    </row>
    <row r="41" spans="2:15" x14ac:dyDescent="0.3">
      <c r="B41" s="50" t="s">
        <v>238</v>
      </c>
      <c r="C41" s="31">
        <v>319.60000000000002</v>
      </c>
      <c r="D41" s="31">
        <v>863.6</v>
      </c>
      <c r="E41" s="31">
        <v>334.2</v>
      </c>
      <c r="F41" s="31">
        <v>798.9</v>
      </c>
      <c r="G41" s="31">
        <v>335.1</v>
      </c>
      <c r="H41" s="31">
        <v>741</v>
      </c>
      <c r="I41" s="31">
        <v>556.9</v>
      </c>
      <c r="J41" s="54">
        <f t="shared" ref="J41:J51" si="3">SUM(C41:I41)</f>
        <v>3949.3</v>
      </c>
    </row>
    <row r="42" spans="2:15" x14ac:dyDescent="0.3">
      <c r="B42" s="50" t="s">
        <v>258</v>
      </c>
      <c r="C42" s="31">
        <v>0</v>
      </c>
      <c r="D42" s="31">
        <v>0</v>
      </c>
      <c r="E42" s="31">
        <v>0</v>
      </c>
      <c r="F42" s="31">
        <v>501.8</v>
      </c>
      <c r="G42" s="31">
        <v>0</v>
      </c>
      <c r="H42" s="31">
        <v>0</v>
      </c>
      <c r="I42" s="31">
        <v>0</v>
      </c>
      <c r="J42" s="54">
        <f t="shared" si="3"/>
        <v>501.8</v>
      </c>
    </row>
    <row r="43" spans="2:15" x14ac:dyDescent="0.3">
      <c r="B43" s="50" t="s">
        <v>257</v>
      </c>
      <c r="C43" s="31">
        <v>0</v>
      </c>
      <c r="D43" s="31">
        <v>98.2</v>
      </c>
      <c r="E43" s="31">
        <v>0</v>
      </c>
      <c r="F43" s="31">
        <v>486.3</v>
      </c>
      <c r="G43" s="31">
        <v>0</v>
      </c>
      <c r="H43" s="31">
        <v>1232</v>
      </c>
      <c r="I43" s="31">
        <v>0</v>
      </c>
      <c r="J43" s="54">
        <f t="shared" si="3"/>
        <v>1816.5</v>
      </c>
    </row>
    <row r="44" spans="2:15" x14ac:dyDescent="0.3">
      <c r="B44" s="50" t="s">
        <v>259</v>
      </c>
      <c r="C44" s="31">
        <v>0</v>
      </c>
      <c r="D44" s="31">
        <v>0</v>
      </c>
      <c r="E44" s="31">
        <v>0</v>
      </c>
      <c r="F44" s="31">
        <v>186.1</v>
      </c>
      <c r="G44" s="31">
        <v>0</v>
      </c>
      <c r="H44" s="31">
        <v>0</v>
      </c>
      <c r="I44" s="31">
        <v>0</v>
      </c>
      <c r="J44" s="54">
        <f t="shared" si="3"/>
        <v>186.1</v>
      </c>
    </row>
    <row r="45" spans="2:15" x14ac:dyDescent="0.3">
      <c r="B45" s="50">
        <v>2</v>
      </c>
      <c r="C45" s="31">
        <v>0</v>
      </c>
      <c r="D45" s="31">
        <v>61.3</v>
      </c>
      <c r="E45" s="31">
        <v>0</v>
      </c>
      <c r="F45" s="31">
        <v>0</v>
      </c>
      <c r="G45" s="31">
        <v>0</v>
      </c>
      <c r="H45" s="31">
        <v>0</v>
      </c>
      <c r="I45" s="31">
        <v>0</v>
      </c>
      <c r="J45" s="54">
        <f t="shared" si="3"/>
        <v>61.3</v>
      </c>
    </row>
    <row r="46" spans="2:15" x14ac:dyDescent="0.3">
      <c r="B46" s="51">
        <v>3</v>
      </c>
      <c r="C46" s="31">
        <v>55.3</v>
      </c>
      <c r="D46" s="31">
        <v>245.3</v>
      </c>
      <c r="E46" s="31">
        <v>57.2</v>
      </c>
      <c r="F46" s="31">
        <v>222.2</v>
      </c>
      <c r="G46" s="31">
        <v>57</v>
      </c>
      <c r="H46" s="31">
        <v>63.7</v>
      </c>
      <c r="I46" s="31">
        <v>51.9</v>
      </c>
      <c r="J46" s="54">
        <f t="shared" si="3"/>
        <v>752.6</v>
      </c>
    </row>
    <row r="47" spans="2:15" x14ac:dyDescent="0.3">
      <c r="B47" s="51">
        <v>4</v>
      </c>
      <c r="C47" s="31">
        <v>398.8</v>
      </c>
      <c r="D47" s="31">
        <v>321.89999999999998</v>
      </c>
      <c r="E47" s="31">
        <v>377</v>
      </c>
      <c r="F47" s="31">
        <v>185.8</v>
      </c>
      <c r="G47" s="31">
        <v>570.9</v>
      </c>
      <c r="H47" s="31">
        <v>141.6</v>
      </c>
      <c r="I47" s="31">
        <v>69.5</v>
      </c>
      <c r="J47" s="54">
        <f t="shared" si="3"/>
        <v>2065.5</v>
      </c>
      <c r="O47" s="30"/>
    </row>
    <row r="48" spans="2:15" x14ac:dyDescent="0.3">
      <c r="B48" s="51">
        <v>5</v>
      </c>
      <c r="C48" s="31">
        <v>0</v>
      </c>
      <c r="D48" s="31">
        <v>39.299999999999997</v>
      </c>
      <c r="E48" s="31">
        <v>0</v>
      </c>
      <c r="F48" s="31">
        <v>0</v>
      </c>
      <c r="G48" s="31">
        <v>0</v>
      </c>
      <c r="H48" s="31">
        <v>0</v>
      </c>
      <c r="I48" s="31">
        <v>0</v>
      </c>
      <c r="J48" s="54">
        <f t="shared" si="3"/>
        <v>39.299999999999997</v>
      </c>
      <c r="O48" s="30"/>
    </row>
    <row r="49" spans="2:15" x14ac:dyDescent="0.3">
      <c r="B49" s="51">
        <v>6</v>
      </c>
      <c r="C49" s="31">
        <v>15.4</v>
      </c>
      <c r="D49" s="31">
        <v>23.6</v>
      </c>
      <c r="E49" s="31">
        <v>15.5</v>
      </c>
      <c r="F49" s="31">
        <v>23.9</v>
      </c>
      <c r="G49" s="31">
        <v>15.5</v>
      </c>
      <c r="H49" s="31">
        <v>23.9</v>
      </c>
      <c r="I49" s="31">
        <v>10.8</v>
      </c>
      <c r="J49" s="54">
        <f t="shared" si="3"/>
        <v>128.60000000000002</v>
      </c>
      <c r="O49" s="30"/>
    </row>
    <row r="50" spans="2:15" x14ac:dyDescent="0.3">
      <c r="B50" s="51">
        <v>7</v>
      </c>
      <c r="C50" s="31">
        <v>0</v>
      </c>
      <c r="D50" s="31">
        <v>367.8</v>
      </c>
      <c r="E50" s="31">
        <v>0</v>
      </c>
      <c r="F50" s="31">
        <v>0</v>
      </c>
      <c r="G50" s="31">
        <v>0</v>
      </c>
      <c r="H50" s="31">
        <v>12.4</v>
      </c>
      <c r="I50" s="31">
        <v>0</v>
      </c>
      <c r="J50" s="54">
        <f t="shared" si="3"/>
        <v>380.2</v>
      </c>
      <c r="O50" s="30"/>
    </row>
    <row r="51" spans="2:15" x14ac:dyDescent="0.3">
      <c r="B51" s="28">
        <v>8</v>
      </c>
      <c r="C51" s="31">
        <v>7.1</v>
      </c>
      <c r="D51" s="31">
        <v>6.5</v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54">
        <f t="shared" si="3"/>
        <v>13.6</v>
      </c>
      <c r="O51" s="30"/>
    </row>
    <row r="55" spans="2:15" x14ac:dyDescent="0.3">
      <c r="L55" s="30" t="s">
        <v>236</v>
      </c>
      <c r="M55">
        <v>1171.2</v>
      </c>
    </row>
    <row r="56" spans="2:15" x14ac:dyDescent="0.3">
      <c r="L56" s="30" t="s">
        <v>231</v>
      </c>
      <c r="M56">
        <v>7010.2</v>
      </c>
    </row>
    <row r="57" spans="2:15" ht="28.8" x14ac:dyDescent="0.3">
      <c r="L57" s="52" t="s">
        <v>250</v>
      </c>
      <c r="M57">
        <v>827.7</v>
      </c>
    </row>
  </sheetData>
  <mergeCells count="3">
    <mergeCell ref="Q4:R4"/>
    <mergeCell ref="Q25:R25"/>
    <mergeCell ref="B1:I1"/>
  </mergeCells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opLeftCell="A9" zoomScale="70" zoomScaleNormal="70" workbookViewId="0">
      <selection activeCell="D43" sqref="D43:D47"/>
    </sheetView>
    <sheetView tabSelected="1" workbookViewId="1">
      <selection activeCell="E4" sqref="E4:F34"/>
    </sheetView>
  </sheetViews>
  <sheetFormatPr defaultRowHeight="18" x14ac:dyDescent="0.35"/>
  <cols>
    <col min="1" max="1" width="8.33203125" style="48" customWidth="1"/>
    <col min="2" max="2" width="9.44140625" style="48" customWidth="1"/>
    <col min="3" max="3" width="25.21875" style="48" customWidth="1"/>
    <col min="4" max="4" width="19" style="48" customWidth="1"/>
    <col min="5" max="5" width="10.3320312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65" t="s">
        <v>314</v>
      </c>
      <c r="C1" s="114" t="s">
        <v>240</v>
      </c>
      <c r="D1" s="114" t="s">
        <v>215</v>
      </c>
      <c r="E1" s="41" t="s">
        <v>269</v>
      </c>
      <c r="F1" s="41" t="s">
        <v>326</v>
      </c>
    </row>
    <row r="2" spans="1:6" ht="75" customHeight="1" x14ac:dyDescent="0.35">
      <c r="A2" s="59">
        <v>1</v>
      </c>
      <c r="B2" s="63">
        <v>121</v>
      </c>
      <c r="C2" s="115" t="s">
        <v>377</v>
      </c>
      <c r="D2" s="115" t="s">
        <v>378</v>
      </c>
      <c r="E2" s="61" t="s">
        <v>218</v>
      </c>
      <c r="F2" s="64">
        <f>SUMIF($C$5:$C$33,E2,$D$5:$D$33)</f>
        <v>318.29999999999995</v>
      </c>
    </row>
    <row r="3" spans="1:6" x14ac:dyDescent="0.35">
      <c r="A3" s="73"/>
      <c r="B3" s="73"/>
      <c r="C3" s="73"/>
      <c r="D3" s="74"/>
      <c r="E3" s="41" t="s">
        <v>216</v>
      </c>
      <c r="F3" s="41">
        <f>SUM(F2:F2)</f>
        <v>318.29999999999995</v>
      </c>
    </row>
    <row r="4" spans="1:6" ht="36" x14ac:dyDescent="0.35">
      <c r="A4" s="41" t="s">
        <v>0</v>
      </c>
      <c r="B4" s="41" t="s">
        <v>268</v>
      </c>
      <c r="C4" s="41" t="s">
        <v>269</v>
      </c>
      <c r="D4" s="41" t="s">
        <v>326</v>
      </c>
      <c r="E4" s="111"/>
      <c r="F4" s="82"/>
    </row>
    <row r="5" spans="1:6" x14ac:dyDescent="0.35">
      <c r="A5" s="46">
        <v>1</v>
      </c>
      <c r="B5" s="62" t="s">
        <v>219</v>
      </c>
      <c r="C5" s="41" t="s">
        <v>218</v>
      </c>
      <c r="D5" s="49">
        <v>18.100000000000001</v>
      </c>
      <c r="E5" s="81"/>
      <c r="F5" s="112"/>
    </row>
    <row r="6" spans="1:6" x14ac:dyDescent="0.35">
      <c r="A6" s="46">
        <v>2</v>
      </c>
      <c r="B6" s="62" t="s">
        <v>220</v>
      </c>
      <c r="C6" s="41" t="s">
        <v>218</v>
      </c>
      <c r="D6" s="49">
        <v>18.600000000000001</v>
      </c>
      <c r="E6" s="81"/>
      <c r="F6" s="112"/>
    </row>
    <row r="7" spans="1:6" x14ac:dyDescent="0.35">
      <c r="A7" s="46">
        <v>3</v>
      </c>
      <c r="B7" s="62" t="s">
        <v>277</v>
      </c>
      <c r="C7" s="62" t="s">
        <v>218</v>
      </c>
      <c r="D7" s="113">
        <v>4.8</v>
      </c>
      <c r="E7" s="81"/>
      <c r="F7" s="112"/>
    </row>
    <row r="8" spans="1:6" x14ac:dyDescent="0.35">
      <c r="A8" s="46">
        <v>4</v>
      </c>
      <c r="B8" s="41" t="s">
        <v>278</v>
      </c>
      <c r="C8" s="41" t="s">
        <v>218</v>
      </c>
      <c r="D8" s="49">
        <v>13.5</v>
      </c>
      <c r="E8" s="81"/>
      <c r="F8" s="112"/>
    </row>
    <row r="9" spans="1:6" x14ac:dyDescent="0.35">
      <c r="A9" s="46">
        <v>5</v>
      </c>
      <c r="B9" s="62" t="s">
        <v>279</v>
      </c>
      <c r="C9" s="62" t="s">
        <v>218</v>
      </c>
      <c r="D9" s="113">
        <v>13.6</v>
      </c>
      <c r="E9" s="81"/>
      <c r="F9" s="112"/>
    </row>
    <row r="10" spans="1:6" x14ac:dyDescent="0.35">
      <c r="A10" s="46">
        <v>6</v>
      </c>
      <c r="B10" s="41" t="s">
        <v>282</v>
      </c>
      <c r="C10" s="41" t="s">
        <v>218</v>
      </c>
      <c r="D10" s="49">
        <v>6.5</v>
      </c>
      <c r="E10" s="81"/>
      <c r="F10" s="112"/>
    </row>
    <row r="11" spans="1:6" x14ac:dyDescent="0.35">
      <c r="A11" s="46">
        <v>7</v>
      </c>
      <c r="B11" s="62" t="s">
        <v>283</v>
      </c>
      <c r="C11" s="62" t="s">
        <v>218</v>
      </c>
      <c r="D11" s="113">
        <v>16.399999999999999</v>
      </c>
      <c r="E11" s="81"/>
      <c r="F11" s="112"/>
    </row>
    <row r="12" spans="1:6" x14ac:dyDescent="0.35">
      <c r="A12" s="46"/>
      <c r="B12" s="62"/>
      <c r="C12" s="62"/>
      <c r="D12" s="113"/>
      <c r="E12" s="81"/>
      <c r="F12" s="112"/>
    </row>
    <row r="13" spans="1:6" ht="18.600000000000001" customHeight="1" x14ac:dyDescent="0.35">
      <c r="A13" s="46">
        <v>8</v>
      </c>
      <c r="B13" s="62" t="s">
        <v>322</v>
      </c>
      <c r="C13" s="41" t="s">
        <v>218</v>
      </c>
      <c r="D13" s="49">
        <v>19.100000000000001</v>
      </c>
      <c r="E13" s="81"/>
      <c r="F13" s="112"/>
    </row>
    <row r="14" spans="1:6" x14ac:dyDescent="0.35">
      <c r="A14" s="46">
        <v>9</v>
      </c>
      <c r="B14" s="62" t="s">
        <v>323</v>
      </c>
      <c r="C14" s="41" t="s">
        <v>218</v>
      </c>
      <c r="D14" s="49">
        <v>18.600000000000001</v>
      </c>
      <c r="E14" s="81"/>
      <c r="F14" s="112"/>
    </row>
    <row r="15" spans="1:6" x14ac:dyDescent="0.35">
      <c r="A15" s="46">
        <v>10</v>
      </c>
      <c r="B15" s="41" t="s">
        <v>284</v>
      </c>
      <c r="C15" s="41" t="s">
        <v>218</v>
      </c>
      <c r="D15" s="49">
        <v>5</v>
      </c>
      <c r="E15" s="81"/>
      <c r="F15" s="112"/>
    </row>
    <row r="16" spans="1:6" x14ac:dyDescent="0.35">
      <c r="A16" s="46">
        <v>11</v>
      </c>
      <c r="B16" s="62" t="s">
        <v>285</v>
      </c>
      <c r="C16" s="62" t="s">
        <v>218</v>
      </c>
      <c r="D16" s="113">
        <v>13.7</v>
      </c>
      <c r="E16" s="81"/>
      <c r="F16" s="112"/>
    </row>
    <row r="17" spans="1:6" x14ac:dyDescent="0.35">
      <c r="A17" s="46">
        <v>12</v>
      </c>
      <c r="B17" s="41" t="s">
        <v>289</v>
      </c>
      <c r="C17" s="41" t="s">
        <v>218</v>
      </c>
      <c r="D17" s="49">
        <v>6.7</v>
      </c>
      <c r="E17" s="81"/>
      <c r="F17" s="112"/>
    </row>
    <row r="18" spans="1:6" x14ac:dyDescent="0.35">
      <c r="A18" s="46">
        <v>13</v>
      </c>
      <c r="B18" s="62" t="s">
        <v>290</v>
      </c>
      <c r="C18" s="62" t="s">
        <v>218</v>
      </c>
      <c r="D18" s="113">
        <v>16.8</v>
      </c>
      <c r="E18" s="81"/>
      <c r="F18" s="112"/>
    </row>
    <row r="19" spans="1:6" x14ac:dyDescent="0.35">
      <c r="A19" s="59"/>
      <c r="B19" s="62"/>
      <c r="C19" s="62"/>
      <c r="D19" s="113"/>
      <c r="E19" s="81"/>
      <c r="F19" s="112"/>
    </row>
    <row r="20" spans="1:6" x14ac:dyDescent="0.35">
      <c r="A20" s="46">
        <v>14</v>
      </c>
      <c r="B20" s="62" t="s">
        <v>324</v>
      </c>
      <c r="C20" s="41" t="s">
        <v>218</v>
      </c>
      <c r="D20" s="49">
        <v>28.6</v>
      </c>
      <c r="E20" s="81"/>
      <c r="F20" s="112"/>
    </row>
    <row r="21" spans="1:6" x14ac:dyDescent="0.35">
      <c r="A21" s="46">
        <v>15</v>
      </c>
      <c r="B21" s="62" t="s">
        <v>325</v>
      </c>
      <c r="C21" s="41" t="s">
        <v>218</v>
      </c>
      <c r="D21" s="49">
        <v>19.100000000000001</v>
      </c>
      <c r="E21" s="81"/>
      <c r="F21" s="112"/>
    </row>
    <row r="22" spans="1:6" x14ac:dyDescent="0.35">
      <c r="A22" s="46">
        <v>16</v>
      </c>
      <c r="B22" s="62" t="s">
        <v>291</v>
      </c>
      <c r="C22" s="62" t="s">
        <v>218</v>
      </c>
      <c r="D22" s="113">
        <v>5.2</v>
      </c>
      <c r="E22" s="81"/>
      <c r="F22" s="112"/>
    </row>
    <row r="23" spans="1:6" x14ac:dyDescent="0.35">
      <c r="A23" s="46">
        <v>17</v>
      </c>
      <c r="B23" s="41" t="s">
        <v>293</v>
      </c>
      <c r="C23" s="41" t="s">
        <v>218</v>
      </c>
      <c r="D23" s="49">
        <v>5</v>
      </c>
      <c r="E23" s="81"/>
      <c r="F23" s="112"/>
    </row>
    <row r="24" spans="1:6" x14ac:dyDescent="0.35">
      <c r="A24" s="46">
        <v>18</v>
      </c>
      <c r="B24" s="62" t="s">
        <v>294</v>
      </c>
      <c r="C24" s="62" t="s">
        <v>218</v>
      </c>
      <c r="D24" s="113">
        <v>13.9</v>
      </c>
      <c r="E24" s="81"/>
      <c r="F24" s="112"/>
    </row>
    <row r="25" spans="1:6" x14ac:dyDescent="0.35">
      <c r="A25" s="46">
        <v>19</v>
      </c>
      <c r="B25" s="41" t="s">
        <v>296</v>
      </c>
      <c r="C25" s="41" t="s">
        <v>218</v>
      </c>
      <c r="D25" s="49">
        <v>5.5</v>
      </c>
      <c r="E25" s="81"/>
      <c r="F25" s="112"/>
    </row>
    <row r="26" spans="1:6" x14ac:dyDescent="0.35">
      <c r="A26" s="46">
        <v>20</v>
      </c>
      <c r="B26" s="62" t="s">
        <v>298</v>
      </c>
      <c r="C26" s="62" t="s">
        <v>218</v>
      </c>
      <c r="D26" s="113">
        <v>6.7</v>
      </c>
      <c r="E26" s="81"/>
      <c r="F26" s="112"/>
    </row>
    <row r="27" spans="1:6" x14ac:dyDescent="0.35">
      <c r="A27" s="46">
        <v>21</v>
      </c>
      <c r="B27" s="41" t="s">
        <v>299</v>
      </c>
      <c r="C27" s="41" t="s">
        <v>218</v>
      </c>
      <c r="D27" s="49">
        <v>16.399999999999999</v>
      </c>
      <c r="E27" s="81"/>
      <c r="F27" s="112"/>
    </row>
    <row r="28" spans="1:6" x14ac:dyDescent="0.35">
      <c r="A28" s="46"/>
      <c r="B28" s="41"/>
      <c r="C28" s="41"/>
      <c r="D28" s="49"/>
      <c r="E28" s="81"/>
      <c r="F28" s="112"/>
    </row>
    <row r="29" spans="1:6" x14ac:dyDescent="0.35">
      <c r="A29" s="46">
        <v>22</v>
      </c>
      <c r="B29" s="41" t="s">
        <v>227</v>
      </c>
      <c r="C29" s="41" t="s">
        <v>218</v>
      </c>
      <c r="D29" s="49">
        <v>5</v>
      </c>
      <c r="E29" s="81"/>
      <c r="F29" s="112"/>
    </row>
    <row r="30" spans="1:6" x14ac:dyDescent="0.35">
      <c r="A30" s="46">
        <v>23</v>
      </c>
      <c r="B30" s="62" t="s">
        <v>223</v>
      </c>
      <c r="C30" s="62" t="s">
        <v>218</v>
      </c>
      <c r="D30" s="113">
        <v>14</v>
      </c>
      <c r="E30" s="81"/>
      <c r="F30" s="112"/>
    </row>
    <row r="31" spans="1:6" x14ac:dyDescent="0.35">
      <c r="A31" s="46">
        <v>24</v>
      </c>
      <c r="B31" s="41" t="s">
        <v>224</v>
      </c>
      <c r="C31" s="41" t="s">
        <v>218</v>
      </c>
      <c r="D31" s="49">
        <v>4.4000000000000004</v>
      </c>
      <c r="E31" s="81"/>
      <c r="F31" s="112"/>
    </row>
    <row r="32" spans="1:6" x14ac:dyDescent="0.35">
      <c r="A32" s="46">
        <v>25</v>
      </c>
      <c r="B32" s="62" t="s">
        <v>225</v>
      </c>
      <c r="C32" s="62" t="s">
        <v>218</v>
      </c>
      <c r="D32" s="113">
        <v>6.6</v>
      </c>
      <c r="E32" s="81"/>
      <c r="F32" s="112"/>
    </row>
    <row r="33" spans="1:6" x14ac:dyDescent="0.35">
      <c r="A33" s="46">
        <v>26</v>
      </c>
      <c r="B33" s="41" t="s">
        <v>226</v>
      </c>
      <c r="C33" s="41" t="s">
        <v>218</v>
      </c>
      <c r="D33" s="49">
        <v>16.5</v>
      </c>
      <c r="E33" s="81"/>
      <c r="F33" s="112"/>
    </row>
    <row r="34" spans="1:6" x14ac:dyDescent="0.35">
      <c r="A34" s="46"/>
      <c r="B34" s="41"/>
      <c r="C34" s="41" t="s">
        <v>216</v>
      </c>
      <c r="D34" s="47">
        <f>SUM(D5:D33)</f>
        <v>318.29999999999995</v>
      </c>
      <c r="E34" s="81"/>
      <c r="F34" s="112"/>
    </row>
  </sheetData>
  <mergeCells count="2">
    <mergeCell ref="E4:F34"/>
    <mergeCell ref="A3:D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zoomScale="55" zoomScaleNormal="55" workbookViewId="0">
      <selection activeCell="E7" sqref="E7:G45"/>
    </sheetView>
    <sheetView workbookViewId="1">
      <selection sqref="A1:XFD1048576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109375" style="48" customWidth="1"/>
    <col min="4" max="4" width="20.88671875" style="48" customWidth="1"/>
    <col min="5" max="5" width="15.33203125" style="48" customWidth="1"/>
    <col min="6" max="6" width="16.88671875" style="48" customWidth="1"/>
    <col min="7" max="7" width="18.109375" style="48" customWidth="1"/>
    <col min="8" max="16384" width="8.88671875" style="48"/>
  </cols>
  <sheetData>
    <row r="1" spans="1:7" ht="36" customHeight="1" x14ac:dyDescent="0.35">
      <c r="A1" s="41" t="s">
        <v>0</v>
      </c>
      <c r="B1" s="56" t="s">
        <v>314</v>
      </c>
      <c r="C1" s="75" t="s">
        <v>315</v>
      </c>
      <c r="D1" s="76"/>
      <c r="E1" s="41" t="s">
        <v>269</v>
      </c>
      <c r="F1" s="41" t="s">
        <v>4</v>
      </c>
      <c r="G1" s="41" t="s">
        <v>7</v>
      </c>
    </row>
    <row r="2" spans="1:7" ht="51.6" customHeight="1" x14ac:dyDescent="0.35">
      <c r="A2" s="46">
        <v>1</v>
      </c>
      <c r="B2" s="57">
        <v>510</v>
      </c>
      <c r="C2" s="77" t="s">
        <v>73</v>
      </c>
      <c r="D2" s="78"/>
      <c r="E2" s="58" t="s">
        <v>321</v>
      </c>
      <c r="F2" s="41" t="s">
        <v>9</v>
      </c>
      <c r="G2" s="49">
        <f>SUMIF($C$8:$C$44,E2,$D$8:$D$44)</f>
        <v>14.6</v>
      </c>
    </row>
    <row r="3" spans="1:7" ht="51.6" customHeight="1" x14ac:dyDescent="0.35">
      <c r="A3" s="46">
        <v>2</v>
      </c>
      <c r="B3" s="60">
        <v>525</v>
      </c>
      <c r="C3" s="79" t="s">
        <v>73</v>
      </c>
      <c r="D3" s="80"/>
      <c r="E3" s="61" t="s">
        <v>319</v>
      </c>
      <c r="F3" s="62" t="s">
        <v>9</v>
      </c>
      <c r="G3" s="62">
        <f>SUMIF($C$8:$C$44,E3,$D$8:$D$44)</f>
        <v>368.50000000000006</v>
      </c>
    </row>
    <row r="4" spans="1:7" ht="51.6" customHeight="1" x14ac:dyDescent="0.35">
      <c r="A4" s="46">
        <v>3</v>
      </c>
      <c r="B4" s="56">
        <v>531</v>
      </c>
      <c r="C4" s="77" t="s">
        <v>73</v>
      </c>
      <c r="D4" s="78"/>
      <c r="E4" s="58" t="s">
        <v>327</v>
      </c>
      <c r="F4" s="41" t="s">
        <v>9</v>
      </c>
      <c r="G4" s="49">
        <f>SUMIF($C$8:$C$44,E4,$D$8:$D$44)</f>
        <v>13.9</v>
      </c>
    </row>
    <row r="5" spans="1:7" ht="51.6" customHeight="1" x14ac:dyDescent="0.35">
      <c r="A5" s="46">
        <v>4</v>
      </c>
      <c r="B5" s="63" t="s">
        <v>345</v>
      </c>
      <c r="C5" s="79" t="s">
        <v>73</v>
      </c>
      <c r="D5" s="80"/>
      <c r="E5" s="61" t="s">
        <v>320</v>
      </c>
      <c r="F5" s="62" t="s">
        <v>9</v>
      </c>
      <c r="G5" s="62">
        <f>SUMIF($C$8:$C$44,E5,$D$8:$D$44)</f>
        <v>318.29999999999995</v>
      </c>
    </row>
    <row r="6" spans="1:7" x14ac:dyDescent="0.35">
      <c r="A6" s="73"/>
      <c r="B6" s="73"/>
      <c r="C6" s="73"/>
      <c r="D6" s="73"/>
      <c r="E6" s="74"/>
      <c r="F6" s="41" t="s">
        <v>216</v>
      </c>
      <c r="G6" s="47">
        <f>SUM(G2:G5)</f>
        <v>715.3</v>
      </c>
    </row>
    <row r="7" spans="1:7" ht="36" x14ac:dyDescent="0.35">
      <c r="A7" s="41" t="s">
        <v>0</v>
      </c>
      <c r="B7" s="41" t="s">
        <v>268</v>
      </c>
      <c r="C7" s="41" t="s">
        <v>269</v>
      </c>
      <c r="D7" s="41" t="s">
        <v>7</v>
      </c>
      <c r="E7" s="83"/>
      <c r="F7" s="84"/>
      <c r="G7" s="84"/>
    </row>
    <row r="8" spans="1:7" x14ac:dyDescent="0.35">
      <c r="A8" s="46">
        <v>1</v>
      </c>
      <c r="B8" s="62" t="s">
        <v>219</v>
      </c>
      <c r="C8" s="41" t="s">
        <v>320</v>
      </c>
      <c r="D8" s="49">
        <v>18.100000000000001</v>
      </c>
      <c r="E8" s="85"/>
      <c r="F8" s="86"/>
      <c r="G8" s="86"/>
    </row>
    <row r="9" spans="1:7" x14ac:dyDescent="0.35">
      <c r="A9" s="46">
        <v>2</v>
      </c>
      <c r="B9" s="62" t="s">
        <v>220</v>
      </c>
      <c r="C9" s="41" t="s">
        <v>320</v>
      </c>
      <c r="D9" s="49">
        <v>18.600000000000001</v>
      </c>
      <c r="E9" s="85"/>
      <c r="F9" s="86"/>
      <c r="G9" s="86"/>
    </row>
    <row r="10" spans="1:7" x14ac:dyDescent="0.35">
      <c r="A10" s="46">
        <v>3</v>
      </c>
      <c r="B10" s="41" t="s">
        <v>281</v>
      </c>
      <c r="C10" s="41" t="s">
        <v>321</v>
      </c>
      <c r="D10" s="49">
        <v>4.5999999999999996</v>
      </c>
      <c r="E10" s="85"/>
      <c r="F10" s="86"/>
      <c r="G10" s="86"/>
    </row>
    <row r="11" spans="1:7" x14ac:dyDescent="0.35">
      <c r="A11" s="59">
        <v>4</v>
      </c>
      <c r="B11" s="62" t="s">
        <v>280</v>
      </c>
      <c r="C11" s="62" t="s">
        <v>319</v>
      </c>
      <c r="D11" s="113">
        <v>10.5</v>
      </c>
      <c r="E11" s="85"/>
      <c r="F11" s="86"/>
      <c r="G11" s="86"/>
    </row>
    <row r="12" spans="1:7" x14ac:dyDescent="0.35">
      <c r="A12" s="46">
        <v>5</v>
      </c>
      <c r="B12" s="41" t="s">
        <v>277</v>
      </c>
      <c r="C12" s="41" t="s">
        <v>320</v>
      </c>
      <c r="D12" s="49">
        <v>4.8</v>
      </c>
      <c r="E12" s="85"/>
      <c r="F12" s="86"/>
      <c r="G12" s="86"/>
    </row>
    <row r="13" spans="1:7" x14ac:dyDescent="0.35">
      <c r="A13" s="59">
        <v>6</v>
      </c>
      <c r="B13" s="62" t="s">
        <v>278</v>
      </c>
      <c r="C13" s="62" t="s">
        <v>320</v>
      </c>
      <c r="D13" s="113">
        <v>13.5</v>
      </c>
      <c r="E13" s="85"/>
      <c r="F13" s="86"/>
      <c r="G13" s="86"/>
    </row>
    <row r="14" spans="1:7" x14ac:dyDescent="0.35">
      <c r="A14" s="46">
        <v>7</v>
      </c>
      <c r="B14" s="41" t="s">
        <v>279</v>
      </c>
      <c r="C14" s="41" t="s">
        <v>320</v>
      </c>
      <c r="D14" s="49">
        <v>13.6</v>
      </c>
      <c r="E14" s="85"/>
      <c r="F14" s="86"/>
      <c r="G14" s="86"/>
    </row>
    <row r="15" spans="1:7" x14ac:dyDescent="0.35">
      <c r="A15" s="59">
        <v>8</v>
      </c>
      <c r="B15" s="62" t="s">
        <v>282</v>
      </c>
      <c r="C15" s="62" t="s">
        <v>320</v>
      </c>
      <c r="D15" s="113">
        <v>6.5</v>
      </c>
      <c r="E15" s="85"/>
      <c r="F15" s="86"/>
      <c r="G15" s="86"/>
    </row>
    <row r="16" spans="1:7" x14ac:dyDescent="0.35">
      <c r="A16" s="46">
        <v>9</v>
      </c>
      <c r="B16" s="41" t="s">
        <v>283</v>
      </c>
      <c r="C16" s="41" t="s">
        <v>320</v>
      </c>
      <c r="D16" s="49">
        <v>16.399999999999999</v>
      </c>
      <c r="E16" s="85"/>
      <c r="F16" s="86"/>
      <c r="G16" s="86"/>
    </row>
    <row r="17" spans="1:7" x14ac:dyDescent="0.35">
      <c r="A17" s="46">
        <v>10</v>
      </c>
      <c r="B17" s="62" t="s">
        <v>322</v>
      </c>
      <c r="C17" s="41" t="s">
        <v>320</v>
      </c>
      <c r="D17" s="49">
        <v>19.100000000000001</v>
      </c>
      <c r="E17" s="85"/>
      <c r="F17" s="86"/>
      <c r="G17" s="86"/>
    </row>
    <row r="18" spans="1:7" x14ac:dyDescent="0.35">
      <c r="A18" s="46">
        <v>11</v>
      </c>
      <c r="B18" s="62" t="s">
        <v>323</v>
      </c>
      <c r="C18" s="41" t="s">
        <v>320</v>
      </c>
      <c r="D18" s="49">
        <v>18.600000000000001</v>
      </c>
      <c r="E18" s="85"/>
      <c r="F18" s="86"/>
      <c r="G18" s="86"/>
    </row>
    <row r="19" spans="1:7" x14ac:dyDescent="0.35">
      <c r="A19" s="46">
        <v>12</v>
      </c>
      <c r="B19" s="41" t="s">
        <v>288</v>
      </c>
      <c r="C19" s="41" t="s">
        <v>321</v>
      </c>
      <c r="D19" s="49">
        <v>5</v>
      </c>
      <c r="E19" s="85"/>
      <c r="F19" s="86"/>
      <c r="G19" s="86"/>
    </row>
    <row r="20" spans="1:7" x14ac:dyDescent="0.35">
      <c r="A20" s="59">
        <v>13</v>
      </c>
      <c r="B20" s="62" t="s">
        <v>286</v>
      </c>
      <c r="C20" s="62" t="s">
        <v>327</v>
      </c>
      <c r="D20" s="113">
        <v>13.9</v>
      </c>
      <c r="E20" s="85"/>
      <c r="F20" s="86"/>
      <c r="G20" s="86"/>
    </row>
    <row r="21" spans="1:7" x14ac:dyDescent="0.35">
      <c r="A21" s="46">
        <v>14</v>
      </c>
      <c r="B21" s="41" t="s">
        <v>287</v>
      </c>
      <c r="C21" s="41" t="s">
        <v>319</v>
      </c>
      <c r="D21" s="49">
        <v>10.4</v>
      </c>
      <c r="E21" s="85"/>
      <c r="F21" s="86"/>
      <c r="G21" s="86"/>
    </row>
    <row r="22" spans="1:7" x14ac:dyDescent="0.35">
      <c r="A22" s="59">
        <v>15</v>
      </c>
      <c r="B22" s="62" t="s">
        <v>284</v>
      </c>
      <c r="C22" s="62" t="s">
        <v>320</v>
      </c>
      <c r="D22" s="113">
        <v>5</v>
      </c>
      <c r="E22" s="85"/>
      <c r="F22" s="86"/>
      <c r="G22" s="86"/>
    </row>
    <row r="23" spans="1:7" x14ac:dyDescent="0.35">
      <c r="A23" s="46">
        <v>16</v>
      </c>
      <c r="B23" s="41" t="s">
        <v>285</v>
      </c>
      <c r="C23" s="41" t="s">
        <v>320</v>
      </c>
      <c r="D23" s="49">
        <v>13.7</v>
      </c>
      <c r="E23" s="85"/>
      <c r="F23" s="86"/>
      <c r="G23" s="86"/>
    </row>
    <row r="24" spans="1:7" x14ac:dyDescent="0.35">
      <c r="A24" s="59">
        <v>17</v>
      </c>
      <c r="B24" s="62" t="s">
        <v>289</v>
      </c>
      <c r="C24" s="62" t="s">
        <v>320</v>
      </c>
      <c r="D24" s="113">
        <v>6.7</v>
      </c>
      <c r="E24" s="85"/>
      <c r="F24" s="86"/>
      <c r="G24" s="86"/>
    </row>
    <row r="25" spans="1:7" x14ac:dyDescent="0.35">
      <c r="A25" s="46">
        <v>18</v>
      </c>
      <c r="B25" s="41" t="s">
        <v>290</v>
      </c>
      <c r="C25" s="41" t="s">
        <v>320</v>
      </c>
      <c r="D25" s="49">
        <v>16.8</v>
      </c>
      <c r="E25" s="85"/>
      <c r="F25" s="86"/>
      <c r="G25" s="86"/>
    </row>
    <row r="26" spans="1:7" x14ac:dyDescent="0.35">
      <c r="A26" s="46">
        <v>19</v>
      </c>
      <c r="B26" s="62" t="s">
        <v>324</v>
      </c>
      <c r="C26" s="41" t="s">
        <v>320</v>
      </c>
      <c r="D26" s="49">
        <v>28.6</v>
      </c>
      <c r="E26" s="85"/>
      <c r="F26" s="86"/>
      <c r="G26" s="86"/>
    </row>
    <row r="27" spans="1:7" x14ac:dyDescent="0.35">
      <c r="A27" s="46">
        <v>20</v>
      </c>
      <c r="B27" s="62" t="s">
        <v>325</v>
      </c>
      <c r="C27" s="41" t="s">
        <v>320</v>
      </c>
      <c r="D27" s="49">
        <v>19.100000000000001</v>
      </c>
      <c r="E27" s="85"/>
      <c r="F27" s="86"/>
      <c r="G27" s="86"/>
    </row>
    <row r="28" spans="1:7" x14ac:dyDescent="0.35">
      <c r="A28" s="46">
        <v>21</v>
      </c>
      <c r="B28" s="41" t="s">
        <v>292</v>
      </c>
      <c r="C28" s="41" t="s">
        <v>321</v>
      </c>
      <c r="D28" s="49">
        <v>5</v>
      </c>
      <c r="E28" s="85"/>
      <c r="F28" s="86"/>
      <c r="G28" s="86"/>
    </row>
    <row r="29" spans="1:7" x14ac:dyDescent="0.35">
      <c r="A29" s="59">
        <v>22</v>
      </c>
      <c r="B29" s="62" t="s">
        <v>297</v>
      </c>
      <c r="C29" s="62" t="s">
        <v>319</v>
      </c>
      <c r="D29" s="113">
        <v>12.1</v>
      </c>
      <c r="E29" s="85"/>
      <c r="F29" s="86"/>
      <c r="G29" s="86"/>
    </row>
    <row r="30" spans="1:7" x14ac:dyDescent="0.35">
      <c r="A30" s="46">
        <v>23</v>
      </c>
      <c r="B30" s="41" t="s">
        <v>295</v>
      </c>
      <c r="C30" s="41" t="s">
        <v>319</v>
      </c>
      <c r="D30" s="49">
        <v>10.5</v>
      </c>
      <c r="E30" s="85"/>
      <c r="F30" s="86"/>
      <c r="G30" s="86"/>
    </row>
    <row r="31" spans="1:7" x14ac:dyDescent="0.35">
      <c r="A31" s="59">
        <v>24</v>
      </c>
      <c r="B31" s="62" t="s">
        <v>291</v>
      </c>
      <c r="C31" s="62" t="s">
        <v>320</v>
      </c>
      <c r="D31" s="113">
        <v>5.2</v>
      </c>
      <c r="E31" s="85"/>
      <c r="F31" s="86"/>
      <c r="G31" s="86"/>
    </row>
    <row r="32" spans="1:7" x14ac:dyDescent="0.35">
      <c r="A32" s="46">
        <v>25</v>
      </c>
      <c r="B32" s="41" t="s">
        <v>293</v>
      </c>
      <c r="C32" s="41" t="s">
        <v>320</v>
      </c>
      <c r="D32" s="49">
        <v>5</v>
      </c>
      <c r="E32" s="85"/>
      <c r="F32" s="86"/>
      <c r="G32" s="86"/>
    </row>
    <row r="33" spans="1:7" x14ac:dyDescent="0.35">
      <c r="A33" s="46">
        <v>26</v>
      </c>
      <c r="B33" s="41" t="s">
        <v>294</v>
      </c>
      <c r="C33" s="41" t="s">
        <v>320</v>
      </c>
      <c r="D33" s="49">
        <v>13.9</v>
      </c>
      <c r="E33" s="85"/>
      <c r="F33" s="86"/>
      <c r="G33" s="86"/>
    </row>
    <row r="34" spans="1:7" x14ac:dyDescent="0.35">
      <c r="A34" s="59">
        <v>27</v>
      </c>
      <c r="B34" s="62" t="s">
        <v>296</v>
      </c>
      <c r="C34" s="62" t="s">
        <v>320</v>
      </c>
      <c r="D34" s="113">
        <v>5.5</v>
      </c>
      <c r="E34" s="85"/>
      <c r="F34" s="86"/>
      <c r="G34" s="86"/>
    </row>
    <row r="35" spans="1:7" x14ac:dyDescent="0.35">
      <c r="A35" s="46">
        <v>28</v>
      </c>
      <c r="B35" s="41" t="s">
        <v>298</v>
      </c>
      <c r="C35" s="41" t="s">
        <v>320</v>
      </c>
      <c r="D35" s="49">
        <v>6.7</v>
      </c>
      <c r="E35" s="85"/>
      <c r="F35" s="86"/>
      <c r="G35" s="86"/>
    </row>
    <row r="36" spans="1:7" x14ac:dyDescent="0.35">
      <c r="A36" s="59">
        <v>29</v>
      </c>
      <c r="B36" s="62" t="s">
        <v>299</v>
      </c>
      <c r="C36" s="62" t="s">
        <v>320</v>
      </c>
      <c r="D36" s="113">
        <v>16.399999999999999</v>
      </c>
      <c r="E36" s="85"/>
      <c r="F36" s="86"/>
      <c r="G36" s="86"/>
    </row>
    <row r="37" spans="1:7" x14ac:dyDescent="0.35">
      <c r="A37" s="46">
        <v>30</v>
      </c>
      <c r="B37" s="41" t="s">
        <v>230</v>
      </c>
      <c r="C37" s="41" t="s">
        <v>319</v>
      </c>
      <c r="D37" s="49">
        <v>241.8</v>
      </c>
      <c r="E37" s="85"/>
      <c r="F37" s="86"/>
      <c r="G37" s="86"/>
    </row>
    <row r="38" spans="1:7" x14ac:dyDescent="0.35">
      <c r="A38" s="59">
        <v>31</v>
      </c>
      <c r="B38" s="62" t="s">
        <v>228</v>
      </c>
      <c r="C38" s="62" t="s">
        <v>319</v>
      </c>
      <c r="D38" s="113">
        <v>72.900000000000006</v>
      </c>
      <c r="E38" s="85"/>
      <c r="F38" s="86"/>
      <c r="G38" s="86"/>
    </row>
    <row r="39" spans="1:7" x14ac:dyDescent="0.35">
      <c r="A39" s="46">
        <v>32</v>
      </c>
      <c r="B39" s="41" t="s">
        <v>300</v>
      </c>
      <c r="C39" s="41" t="s">
        <v>319</v>
      </c>
      <c r="D39" s="49">
        <v>10.3</v>
      </c>
      <c r="E39" s="85"/>
      <c r="F39" s="86"/>
      <c r="G39" s="86"/>
    </row>
    <row r="40" spans="1:7" x14ac:dyDescent="0.35">
      <c r="A40" s="46">
        <v>33</v>
      </c>
      <c r="B40" s="41" t="s">
        <v>227</v>
      </c>
      <c r="C40" s="41" t="s">
        <v>320</v>
      </c>
      <c r="D40" s="49">
        <v>5</v>
      </c>
      <c r="E40" s="85"/>
      <c r="F40" s="86"/>
      <c r="G40" s="86"/>
    </row>
    <row r="41" spans="1:7" x14ac:dyDescent="0.35">
      <c r="A41" s="59">
        <v>34</v>
      </c>
      <c r="B41" s="62" t="s">
        <v>223</v>
      </c>
      <c r="C41" s="62" t="s">
        <v>320</v>
      </c>
      <c r="D41" s="113">
        <v>14</v>
      </c>
      <c r="E41" s="85"/>
      <c r="F41" s="86"/>
      <c r="G41" s="86"/>
    </row>
    <row r="42" spans="1:7" x14ac:dyDescent="0.35">
      <c r="A42" s="46">
        <v>35</v>
      </c>
      <c r="B42" s="41" t="s">
        <v>224</v>
      </c>
      <c r="C42" s="41" t="s">
        <v>320</v>
      </c>
      <c r="D42" s="49">
        <v>4.4000000000000004</v>
      </c>
      <c r="E42" s="85"/>
      <c r="F42" s="86"/>
      <c r="G42" s="86"/>
    </row>
    <row r="43" spans="1:7" x14ac:dyDescent="0.35">
      <c r="A43" s="59">
        <v>36</v>
      </c>
      <c r="B43" s="62" t="s">
        <v>225</v>
      </c>
      <c r="C43" s="62" t="s">
        <v>320</v>
      </c>
      <c r="D43" s="113">
        <v>6.6</v>
      </c>
      <c r="E43" s="85"/>
      <c r="F43" s="86"/>
      <c r="G43" s="86"/>
    </row>
    <row r="44" spans="1:7" x14ac:dyDescent="0.35">
      <c r="A44" s="46">
        <v>37</v>
      </c>
      <c r="B44" s="41" t="s">
        <v>226</v>
      </c>
      <c r="C44" s="41" t="s">
        <v>320</v>
      </c>
      <c r="D44" s="49">
        <v>16.5</v>
      </c>
      <c r="E44" s="85"/>
      <c r="F44" s="86"/>
      <c r="G44" s="86"/>
    </row>
    <row r="45" spans="1:7" x14ac:dyDescent="0.35">
      <c r="A45" s="46"/>
      <c r="B45" s="41"/>
      <c r="C45" s="41" t="s">
        <v>216</v>
      </c>
      <c r="D45" s="47">
        <f>SUM(D8:D44)</f>
        <v>715.29999999999984</v>
      </c>
      <c r="E45" s="85"/>
      <c r="F45" s="86"/>
      <c r="G45" s="86"/>
    </row>
  </sheetData>
  <mergeCells count="7">
    <mergeCell ref="E7:G45"/>
    <mergeCell ref="A6:E6"/>
    <mergeCell ref="C1:D1"/>
    <mergeCell ref="C2:D2"/>
    <mergeCell ref="C3:D3"/>
    <mergeCell ref="C4:D4"/>
    <mergeCell ref="C5:D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70" zoomScaleNormal="70" workbookViewId="0">
      <selection activeCell="A10" sqref="A10:E10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18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8.2" customHeight="1" x14ac:dyDescent="0.35">
      <c r="A2" s="46">
        <v>1</v>
      </c>
      <c r="B2" s="42" t="s">
        <v>73</v>
      </c>
      <c r="C2" s="43" t="s">
        <v>276</v>
      </c>
      <c r="D2" s="41" t="s">
        <v>9</v>
      </c>
      <c r="E2" s="49">
        <f>D9</f>
        <v>128.68</v>
      </c>
    </row>
    <row r="3" spans="1:5" ht="58.2" customHeight="1" x14ac:dyDescent="0.35">
      <c r="A3" s="46">
        <v>2</v>
      </c>
      <c r="B3" s="42" t="s">
        <v>73</v>
      </c>
      <c r="C3" s="43" t="s">
        <v>275</v>
      </c>
      <c r="D3" s="41" t="s">
        <v>9</v>
      </c>
      <c r="E3" s="49">
        <f>D13</f>
        <v>15.43</v>
      </c>
    </row>
    <row r="4" spans="1:5" x14ac:dyDescent="0.35">
      <c r="A4" s="82"/>
      <c r="B4" s="82"/>
      <c r="C4" s="82"/>
      <c r="D4" s="82"/>
      <c r="E4" s="82"/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  <c r="E5" s="81"/>
    </row>
    <row r="6" spans="1:5" x14ac:dyDescent="0.35">
      <c r="A6" s="46">
        <v>1</v>
      </c>
      <c r="B6" s="41" t="s">
        <v>264</v>
      </c>
      <c r="C6" s="41" t="s">
        <v>9</v>
      </c>
      <c r="D6" s="47">
        <v>15.32</v>
      </c>
      <c r="E6" s="81"/>
    </row>
    <row r="7" spans="1:5" x14ac:dyDescent="0.35">
      <c r="A7" s="46">
        <v>2</v>
      </c>
      <c r="B7" s="41" t="s">
        <v>247</v>
      </c>
      <c r="C7" s="41" t="s">
        <v>9</v>
      </c>
      <c r="D7" s="49">
        <v>97.9</v>
      </c>
      <c r="E7" s="81"/>
    </row>
    <row r="8" spans="1:5" x14ac:dyDescent="0.35">
      <c r="A8" s="46">
        <v>3</v>
      </c>
      <c r="B8" s="41" t="s">
        <v>265</v>
      </c>
      <c r="C8" s="41" t="s">
        <v>9</v>
      </c>
      <c r="D8" s="47">
        <v>15.46</v>
      </c>
      <c r="E8" s="81"/>
    </row>
    <row r="9" spans="1:5" x14ac:dyDescent="0.35">
      <c r="A9" s="46"/>
      <c r="B9" s="41" t="s">
        <v>216</v>
      </c>
      <c r="C9" s="41" t="s">
        <v>9</v>
      </c>
      <c r="D9" s="47">
        <f>SUM(D6:D8)</f>
        <v>128.68</v>
      </c>
      <c r="E9" s="81"/>
    </row>
    <row r="10" spans="1:5" x14ac:dyDescent="0.35">
      <c r="A10" s="82"/>
      <c r="B10" s="82"/>
      <c r="C10" s="82"/>
      <c r="D10" s="82"/>
      <c r="E10" s="82"/>
    </row>
    <row r="11" spans="1:5" ht="36" x14ac:dyDescent="0.35">
      <c r="A11" s="41" t="s">
        <v>0</v>
      </c>
      <c r="B11" s="41" t="s">
        <v>215</v>
      </c>
      <c r="C11" s="41" t="s">
        <v>4</v>
      </c>
      <c r="D11" s="41" t="s">
        <v>7</v>
      </c>
      <c r="E11" s="81"/>
    </row>
    <row r="12" spans="1:5" x14ac:dyDescent="0.35">
      <c r="A12" s="46">
        <v>3</v>
      </c>
      <c r="B12" s="41" t="s">
        <v>266</v>
      </c>
      <c r="C12" s="41" t="s">
        <v>9</v>
      </c>
      <c r="D12" s="47">
        <v>15.43</v>
      </c>
      <c r="E12" s="81"/>
    </row>
    <row r="13" spans="1:5" x14ac:dyDescent="0.35">
      <c r="A13" s="46"/>
      <c r="B13" s="41" t="s">
        <v>216</v>
      </c>
      <c r="C13" s="41" t="s">
        <v>9</v>
      </c>
      <c r="D13" s="47">
        <f>SUM(D12:D12)</f>
        <v>15.43</v>
      </c>
      <c r="E13" s="81"/>
    </row>
  </sheetData>
  <mergeCells count="4">
    <mergeCell ref="E5:E9"/>
    <mergeCell ref="A4:E4"/>
    <mergeCell ref="A10:E10"/>
    <mergeCell ref="E11:E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B5" sqref="B5:B7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J19" sqref="J19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C13" sqref="C13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D9</f>
        <v>891.64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891.64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253</v>
      </c>
      <c r="C6" s="41" t="s">
        <v>9</v>
      </c>
      <c r="D6" s="47">
        <v>294.16000000000003</v>
      </c>
    </row>
    <row r="7" spans="1:5" x14ac:dyDescent="0.35">
      <c r="A7" s="46">
        <v>2</v>
      </c>
      <c r="B7" s="41" t="s">
        <v>254</v>
      </c>
      <c r="C7" s="41" t="s">
        <v>9</v>
      </c>
      <c r="D7" s="47">
        <v>285.60000000000002</v>
      </c>
    </row>
    <row r="8" spans="1:5" x14ac:dyDescent="0.35">
      <c r="A8" s="46">
        <v>3</v>
      </c>
      <c r="B8" s="41" t="s">
        <v>255</v>
      </c>
      <c r="C8" s="41" t="s">
        <v>9</v>
      </c>
      <c r="D8" s="47">
        <v>311.88</v>
      </c>
    </row>
    <row r="9" spans="1:5" x14ac:dyDescent="0.35">
      <c r="A9" s="46"/>
      <c r="B9" s="41" t="s">
        <v>216</v>
      </c>
      <c r="C9" s="41" t="s">
        <v>9</v>
      </c>
      <c r="D9" s="47">
        <f>SUM(D6:D8)</f>
        <v>891.64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zoomScale="70" zoomScaleNormal="70" workbookViewId="0">
      <selection activeCell="D30" activeCellId="2" sqref="D12:D13 D21:D22 D30:D31"/>
    </sheetView>
    <sheetView workbookViewId="1">
      <selection sqref="A1:XFD1048576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109375" style="48" customWidth="1"/>
    <col min="4" max="4" width="20.88671875" style="48" customWidth="1"/>
    <col min="5" max="5" width="9.6640625" style="48" customWidth="1"/>
    <col min="6" max="6" width="30.77734375" style="48" customWidth="1"/>
    <col min="7" max="7" width="18.109375" style="48" customWidth="1"/>
    <col min="8" max="16384" width="8.88671875" style="48"/>
  </cols>
  <sheetData>
    <row r="1" spans="1:7" ht="36" customHeight="1" x14ac:dyDescent="0.35">
      <c r="A1" s="41" t="s">
        <v>0</v>
      </c>
      <c r="B1" s="55" t="s">
        <v>314</v>
      </c>
      <c r="C1" s="75" t="s">
        <v>315</v>
      </c>
      <c r="D1" s="76"/>
      <c r="E1" s="41" t="s">
        <v>269</v>
      </c>
      <c r="F1" s="41" t="s">
        <v>215</v>
      </c>
      <c r="G1" s="41" t="s">
        <v>326</v>
      </c>
    </row>
    <row r="2" spans="1:7" ht="55.8" customHeight="1" x14ac:dyDescent="0.35">
      <c r="A2" s="46">
        <v>1</v>
      </c>
      <c r="B2" s="57">
        <v>488</v>
      </c>
      <c r="C2" s="77" t="s">
        <v>19</v>
      </c>
      <c r="D2" s="78"/>
      <c r="E2" s="58" t="s">
        <v>236</v>
      </c>
      <c r="F2" s="58" t="s">
        <v>311</v>
      </c>
      <c r="G2" s="49">
        <f t="shared" ref="G2:G9" si="0">SUMIF($C$12:$C$48,E2,$D$12:$D$48)</f>
        <v>14.6</v>
      </c>
    </row>
    <row r="3" spans="1:7" ht="55.8" customHeight="1" x14ac:dyDescent="0.35">
      <c r="A3" s="46">
        <v>2</v>
      </c>
      <c r="B3" s="60">
        <v>491</v>
      </c>
      <c r="C3" s="79" t="s">
        <v>19</v>
      </c>
      <c r="D3" s="80"/>
      <c r="E3" s="61" t="s">
        <v>236</v>
      </c>
      <c r="F3" s="61" t="s">
        <v>312</v>
      </c>
      <c r="G3" s="64">
        <f t="shared" si="0"/>
        <v>14.6</v>
      </c>
    </row>
    <row r="4" spans="1:7" ht="55.8" customHeight="1" x14ac:dyDescent="0.35">
      <c r="A4" s="46">
        <v>3</v>
      </c>
      <c r="B4" s="55">
        <v>494</v>
      </c>
      <c r="C4" s="77" t="s">
        <v>59</v>
      </c>
      <c r="D4" s="78"/>
      <c r="E4" s="58" t="s">
        <v>231</v>
      </c>
      <c r="F4" s="58" t="s">
        <v>308</v>
      </c>
      <c r="G4" s="49">
        <f t="shared" si="0"/>
        <v>351.00000000000006</v>
      </c>
    </row>
    <row r="5" spans="1:7" ht="55.8" customHeight="1" x14ac:dyDescent="0.35">
      <c r="A5" s="46">
        <v>4</v>
      </c>
      <c r="B5" s="63">
        <v>497</v>
      </c>
      <c r="C5" s="79" t="s">
        <v>59</v>
      </c>
      <c r="D5" s="80"/>
      <c r="E5" s="61" t="s">
        <v>231</v>
      </c>
      <c r="F5" s="61" t="s">
        <v>309</v>
      </c>
      <c r="G5" s="64">
        <f t="shared" si="0"/>
        <v>351.00000000000006</v>
      </c>
    </row>
    <row r="6" spans="1:7" ht="55.8" customHeight="1" x14ac:dyDescent="0.35">
      <c r="A6" s="46">
        <v>5</v>
      </c>
      <c r="B6" s="55">
        <v>482</v>
      </c>
      <c r="C6" s="77" t="s">
        <v>16</v>
      </c>
      <c r="D6" s="78"/>
      <c r="E6" s="58" t="s">
        <v>267</v>
      </c>
      <c r="F6" s="58" t="s">
        <v>306</v>
      </c>
      <c r="G6" s="49">
        <f t="shared" si="0"/>
        <v>31.4</v>
      </c>
    </row>
    <row r="7" spans="1:7" ht="55.8" customHeight="1" x14ac:dyDescent="0.35">
      <c r="A7" s="46">
        <v>6</v>
      </c>
      <c r="B7" s="63">
        <v>485</v>
      </c>
      <c r="C7" s="79" t="s">
        <v>16</v>
      </c>
      <c r="D7" s="80"/>
      <c r="E7" s="61" t="s">
        <v>267</v>
      </c>
      <c r="F7" s="61" t="s">
        <v>307</v>
      </c>
      <c r="G7" s="64">
        <f t="shared" si="0"/>
        <v>31.4</v>
      </c>
    </row>
    <row r="8" spans="1:7" ht="56.4" customHeight="1" x14ac:dyDescent="0.35">
      <c r="A8" s="46">
        <v>7</v>
      </c>
      <c r="B8" s="55" t="s">
        <v>305</v>
      </c>
      <c r="C8" s="77" t="s">
        <v>310</v>
      </c>
      <c r="D8" s="78"/>
      <c r="E8" s="58" t="s">
        <v>218</v>
      </c>
      <c r="F8" s="58" t="s">
        <v>313</v>
      </c>
      <c r="G8" s="49">
        <f t="shared" si="0"/>
        <v>318.29999999999995</v>
      </c>
    </row>
    <row r="9" spans="1:7" ht="56.4" customHeight="1" x14ac:dyDescent="0.35">
      <c r="A9" s="46">
        <v>8</v>
      </c>
      <c r="B9" s="63" t="s">
        <v>305</v>
      </c>
      <c r="C9" s="79" t="s">
        <v>310</v>
      </c>
      <c r="D9" s="80"/>
      <c r="E9" s="61" t="s">
        <v>218</v>
      </c>
      <c r="F9" s="61" t="s">
        <v>313</v>
      </c>
      <c r="G9" s="64">
        <f t="shared" si="0"/>
        <v>318.29999999999995</v>
      </c>
    </row>
    <row r="10" spans="1:7" x14ac:dyDescent="0.35">
      <c r="A10" s="73"/>
      <c r="B10" s="73"/>
      <c r="C10" s="73"/>
      <c r="D10" s="73"/>
      <c r="E10" s="74"/>
      <c r="F10" s="41" t="s">
        <v>216</v>
      </c>
      <c r="G10" s="47">
        <f>SUM(G2:G9)</f>
        <v>1430.6</v>
      </c>
    </row>
    <row r="11" spans="1:7" ht="36" x14ac:dyDescent="0.35">
      <c r="A11" s="41" t="s">
        <v>0</v>
      </c>
      <c r="B11" s="41" t="s">
        <v>268</v>
      </c>
      <c r="C11" s="41" t="s">
        <v>269</v>
      </c>
      <c r="D11" s="41" t="s">
        <v>7</v>
      </c>
      <c r="E11" s="83"/>
      <c r="F11" s="84"/>
      <c r="G11" s="84"/>
    </row>
    <row r="12" spans="1:7" x14ac:dyDescent="0.35">
      <c r="A12" s="59">
        <v>1</v>
      </c>
      <c r="B12" s="62" t="s">
        <v>219</v>
      </c>
      <c r="C12" s="62" t="s">
        <v>218</v>
      </c>
      <c r="D12" s="113">
        <v>18.100000000000001</v>
      </c>
      <c r="E12" s="85"/>
      <c r="F12" s="86"/>
      <c r="G12" s="86"/>
    </row>
    <row r="13" spans="1:7" x14ac:dyDescent="0.35">
      <c r="A13" s="46">
        <v>2</v>
      </c>
      <c r="B13" s="41" t="s">
        <v>220</v>
      </c>
      <c r="C13" s="41" t="s">
        <v>218</v>
      </c>
      <c r="D13" s="49">
        <v>18.600000000000001</v>
      </c>
      <c r="E13" s="85"/>
      <c r="F13" s="86"/>
      <c r="G13" s="86"/>
    </row>
    <row r="14" spans="1:7" x14ac:dyDescent="0.35">
      <c r="A14" s="59">
        <v>3</v>
      </c>
      <c r="B14" s="62" t="s">
        <v>281</v>
      </c>
      <c r="C14" s="62" t="s">
        <v>236</v>
      </c>
      <c r="D14" s="113">
        <v>4.5999999999999996</v>
      </c>
      <c r="E14" s="85"/>
      <c r="F14" s="86"/>
      <c r="G14" s="86"/>
    </row>
    <row r="15" spans="1:7" x14ac:dyDescent="0.35">
      <c r="A15" s="46">
        <v>4</v>
      </c>
      <c r="B15" s="41" t="s">
        <v>280</v>
      </c>
      <c r="C15" s="41" t="s">
        <v>267</v>
      </c>
      <c r="D15" s="49">
        <v>10.5</v>
      </c>
      <c r="E15" s="85"/>
      <c r="F15" s="86"/>
      <c r="G15" s="86"/>
    </row>
    <row r="16" spans="1:7" x14ac:dyDescent="0.35">
      <c r="A16" s="46">
        <v>5</v>
      </c>
      <c r="B16" s="41" t="s">
        <v>277</v>
      </c>
      <c r="C16" s="41" t="s">
        <v>218</v>
      </c>
      <c r="D16" s="49">
        <v>4.8</v>
      </c>
      <c r="E16" s="85"/>
      <c r="F16" s="86"/>
      <c r="G16" s="86"/>
    </row>
    <row r="17" spans="1:7" x14ac:dyDescent="0.35">
      <c r="A17" s="59">
        <v>6</v>
      </c>
      <c r="B17" s="62" t="s">
        <v>278</v>
      </c>
      <c r="C17" s="62" t="s">
        <v>218</v>
      </c>
      <c r="D17" s="113">
        <v>13.5</v>
      </c>
      <c r="E17" s="85"/>
      <c r="F17" s="86"/>
      <c r="G17" s="86"/>
    </row>
    <row r="18" spans="1:7" x14ac:dyDescent="0.35">
      <c r="A18" s="46">
        <v>7</v>
      </c>
      <c r="B18" s="41" t="s">
        <v>279</v>
      </c>
      <c r="C18" s="41" t="s">
        <v>218</v>
      </c>
      <c r="D18" s="49">
        <v>13.6</v>
      </c>
      <c r="E18" s="85"/>
      <c r="F18" s="86"/>
      <c r="G18" s="86"/>
    </row>
    <row r="19" spans="1:7" x14ac:dyDescent="0.35">
      <c r="A19" s="59">
        <v>8</v>
      </c>
      <c r="B19" s="62" t="s">
        <v>282</v>
      </c>
      <c r="C19" s="62" t="s">
        <v>218</v>
      </c>
      <c r="D19" s="113">
        <v>6.5</v>
      </c>
      <c r="E19" s="85"/>
      <c r="F19" s="86"/>
      <c r="G19" s="86"/>
    </row>
    <row r="20" spans="1:7" x14ac:dyDescent="0.35">
      <c r="A20" s="46">
        <v>9</v>
      </c>
      <c r="B20" s="41" t="s">
        <v>283</v>
      </c>
      <c r="C20" s="41" t="s">
        <v>218</v>
      </c>
      <c r="D20" s="49">
        <v>16.399999999999999</v>
      </c>
      <c r="E20" s="85"/>
      <c r="F20" s="86"/>
      <c r="G20" s="86"/>
    </row>
    <row r="21" spans="1:7" x14ac:dyDescent="0.35">
      <c r="A21" s="46">
        <v>10</v>
      </c>
      <c r="B21" s="62" t="s">
        <v>322</v>
      </c>
      <c r="C21" s="41" t="s">
        <v>218</v>
      </c>
      <c r="D21" s="49">
        <v>19.100000000000001</v>
      </c>
      <c r="E21" s="85"/>
      <c r="F21" s="86"/>
      <c r="G21" s="86"/>
    </row>
    <row r="22" spans="1:7" x14ac:dyDescent="0.35">
      <c r="A22" s="46">
        <v>11</v>
      </c>
      <c r="B22" s="62" t="s">
        <v>323</v>
      </c>
      <c r="C22" s="41" t="s">
        <v>218</v>
      </c>
      <c r="D22" s="49">
        <v>18.600000000000001</v>
      </c>
      <c r="E22" s="85"/>
      <c r="F22" s="86"/>
      <c r="G22" s="86"/>
    </row>
    <row r="23" spans="1:7" x14ac:dyDescent="0.35">
      <c r="A23" s="46">
        <v>12</v>
      </c>
      <c r="B23" s="41" t="s">
        <v>288</v>
      </c>
      <c r="C23" s="41" t="s">
        <v>236</v>
      </c>
      <c r="D23" s="49">
        <v>5</v>
      </c>
      <c r="E23" s="85"/>
      <c r="F23" s="86"/>
      <c r="G23" s="86"/>
    </row>
    <row r="24" spans="1:7" x14ac:dyDescent="0.35">
      <c r="A24" s="59">
        <v>13</v>
      </c>
      <c r="B24" s="62" t="s">
        <v>286</v>
      </c>
      <c r="C24" s="62" t="s">
        <v>231</v>
      </c>
      <c r="D24" s="113">
        <v>13.9</v>
      </c>
      <c r="E24" s="85"/>
      <c r="F24" s="86"/>
      <c r="G24" s="86"/>
    </row>
    <row r="25" spans="1:7" x14ac:dyDescent="0.35">
      <c r="A25" s="46">
        <v>14</v>
      </c>
      <c r="B25" s="41" t="s">
        <v>287</v>
      </c>
      <c r="C25" s="41" t="s">
        <v>267</v>
      </c>
      <c r="D25" s="49">
        <v>10.4</v>
      </c>
      <c r="E25" s="85"/>
      <c r="F25" s="86"/>
      <c r="G25" s="86"/>
    </row>
    <row r="26" spans="1:7" x14ac:dyDescent="0.35">
      <c r="A26" s="59">
        <v>15</v>
      </c>
      <c r="B26" s="62" t="s">
        <v>284</v>
      </c>
      <c r="C26" s="62" t="s">
        <v>218</v>
      </c>
      <c r="D26" s="113">
        <v>5</v>
      </c>
      <c r="E26" s="85"/>
      <c r="F26" s="86"/>
      <c r="G26" s="86"/>
    </row>
    <row r="27" spans="1:7" x14ac:dyDescent="0.35">
      <c r="A27" s="46">
        <v>16</v>
      </c>
      <c r="B27" s="41" t="s">
        <v>285</v>
      </c>
      <c r="C27" s="41" t="s">
        <v>218</v>
      </c>
      <c r="D27" s="49">
        <v>13.7</v>
      </c>
      <c r="E27" s="85"/>
      <c r="F27" s="86"/>
      <c r="G27" s="86"/>
    </row>
    <row r="28" spans="1:7" x14ac:dyDescent="0.35">
      <c r="A28" s="59">
        <v>17</v>
      </c>
      <c r="B28" s="62" t="s">
        <v>289</v>
      </c>
      <c r="C28" s="62" t="s">
        <v>218</v>
      </c>
      <c r="D28" s="113">
        <v>6.7</v>
      </c>
      <c r="E28" s="85"/>
      <c r="F28" s="86"/>
      <c r="G28" s="86"/>
    </row>
    <row r="29" spans="1:7" x14ac:dyDescent="0.35">
      <c r="A29" s="46">
        <v>18</v>
      </c>
      <c r="B29" s="41" t="s">
        <v>290</v>
      </c>
      <c r="C29" s="41" t="s">
        <v>218</v>
      </c>
      <c r="D29" s="49">
        <v>16.8</v>
      </c>
      <c r="E29" s="85"/>
      <c r="F29" s="86"/>
      <c r="G29" s="86"/>
    </row>
    <row r="30" spans="1:7" x14ac:dyDescent="0.35">
      <c r="A30" s="46">
        <v>19</v>
      </c>
      <c r="B30" s="62" t="s">
        <v>324</v>
      </c>
      <c r="C30" s="41" t="s">
        <v>218</v>
      </c>
      <c r="D30" s="49">
        <v>28.6</v>
      </c>
      <c r="E30" s="85"/>
      <c r="F30" s="86"/>
      <c r="G30" s="86"/>
    </row>
    <row r="31" spans="1:7" x14ac:dyDescent="0.35">
      <c r="A31" s="46">
        <v>20</v>
      </c>
      <c r="B31" s="62" t="s">
        <v>325</v>
      </c>
      <c r="C31" s="41" t="s">
        <v>218</v>
      </c>
      <c r="D31" s="49">
        <v>19.100000000000001</v>
      </c>
      <c r="E31" s="85"/>
      <c r="F31" s="86"/>
      <c r="G31" s="86"/>
    </row>
    <row r="32" spans="1:7" x14ac:dyDescent="0.35">
      <c r="A32" s="46">
        <v>21</v>
      </c>
      <c r="B32" s="41" t="s">
        <v>292</v>
      </c>
      <c r="C32" s="41" t="s">
        <v>236</v>
      </c>
      <c r="D32" s="49">
        <v>5</v>
      </c>
      <c r="E32" s="85"/>
      <c r="F32" s="86"/>
      <c r="G32" s="86"/>
    </row>
    <row r="33" spans="1:7" x14ac:dyDescent="0.35">
      <c r="A33" s="59">
        <v>22</v>
      </c>
      <c r="B33" s="62" t="s">
        <v>297</v>
      </c>
      <c r="C33" s="62" t="s">
        <v>231</v>
      </c>
      <c r="D33" s="113">
        <v>12.1</v>
      </c>
      <c r="E33" s="85"/>
      <c r="F33" s="86"/>
      <c r="G33" s="86"/>
    </row>
    <row r="34" spans="1:7" x14ac:dyDescent="0.35">
      <c r="A34" s="46">
        <v>23</v>
      </c>
      <c r="B34" s="41" t="s">
        <v>295</v>
      </c>
      <c r="C34" s="41" t="s">
        <v>267</v>
      </c>
      <c r="D34" s="49">
        <v>10.5</v>
      </c>
      <c r="E34" s="85"/>
      <c r="F34" s="86"/>
      <c r="G34" s="86"/>
    </row>
    <row r="35" spans="1:7" x14ac:dyDescent="0.35">
      <c r="A35" s="59">
        <v>24</v>
      </c>
      <c r="B35" s="62" t="s">
        <v>291</v>
      </c>
      <c r="C35" s="62" t="s">
        <v>218</v>
      </c>
      <c r="D35" s="113">
        <v>5.2</v>
      </c>
      <c r="E35" s="85"/>
      <c r="F35" s="86"/>
      <c r="G35" s="86"/>
    </row>
    <row r="36" spans="1:7" x14ac:dyDescent="0.35">
      <c r="A36" s="46">
        <v>25</v>
      </c>
      <c r="B36" s="41" t="s">
        <v>293</v>
      </c>
      <c r="C36" s="41" t="s">
        <v>218</v>
      </c>
      <c r="D36" s="49">
        <v>5</v>
      </c>
      <c r="E36" s="85"/>
      <c r="F36" s="86"/>
      <c r="G36" s="86"/>
    </row>
    <row r="37" spans="1:7" x14ac:dyDescent="0.35">
      <c r="A37" s="59">
        <v>26</v>
      </c>
      <c r="B37" s="62" t="s">
        <v>294</v>
      </c>
      <c r="C37" s="62" t="s">
        <v>218</v>
      </c>
      <c r="D37" s="113">
        <v>13.9</v>
      </c>
      <c r="E37" s="85"/>
      <c r="F37" s="86"/>
      <c r="G37" s="86"/>
    </row>
    <row r="38" spans="1:7" x14ac:dyDescent="0.35">
      <c r="A38" s="46">
        <v>27</v>
      </c>
      <c r="B38" s="41" t="s">
        <v>296</v>
      </c>
      <c r="C38" s="41" t="s">
        <v>218</v>
      </c>
      <c r="D38" s="49">
        <v>5.5</v>
      </c>
      <c r="E38" s="85"/>
      <c r="F38" s="86"/>
      <c r="G38" s="86"/>
    </row>
    <row r="39" spans="1:7" x14ac:dyDescent="0.35">
      <c r="A39" s="59">
        <v>28</v>
      </c>
      <c r="B39" s="62" t="s">
        <v>298</v>
      </c>
      <c r="C39" s="62" t="s">
        <v>218</v>
      </c>
      <c r="D39" s="113">
        <v>6.7</v>
      </c>
      <c r="E39" s="85"/>
      <c r="F39" s="86"/>
      <c r="G39" s="86"/>
    </row>
    <row r="40" spans="1:7" x14ac:dyDescent="0.35">
      <c r="A40" s="46">
        <v>29</v>
      </c>
      <c r="B40" s="41" t="s">
        <v>299</v>
      </c>
      <c r="C40" s="41" t="s">
        <v>218</v>
      </c>
      <c r="D40" s="49">
        <v>16.399999999999999</v>
      </c>
      <c r="E40" s="85"/>
      <c r="F40" s="86"/>
      <c r="G40" s="86"/>
    </row>
    <row r="41" spans="1:7" x14ac:dyDescent="0.35">
      <c r="A41" s="59">
        <v>30</v>
      </c>
      <c r="B41" s="62" t="s">
        <v>230</v>
      </c>
      <c r="C41" s="62" t="s">
        <v>231</v>
      </c>
      <c r="D41" s="113">
        <v>241.8</v>
      </c>
      <c r="E41" s="85"/>
      <c r="F41" s="86"/>
      <c r="G41" s="86"/>
    </row>
    <row r="42" spans="1:7" x14ac:dyDescent="0.35">
      <c r="A42" s="46">
        <v>31</v>
      </c>
      <c r="B42" s="41" t="s">
        <v>228</v>
      </c>
      <c r="C42" s="41" t="s">
        <v>231</v>
      </c>
      <c r="D42" s="49">
        <v>72.900000000000006</v>
      </c>
      <c r="E42" s="85"/>
      <c r="F42" s="86"/>
      <c r="G42" s="86"/>
    </row>
    <row r="43" spans="1:7" x14ac:dyDescent="0.35">
      <c r="A43" s="59">
        <v>32</v>
      </c>
      <c r="B43" s="62" t="s">
        <v>300</v>
      </c>
      <c r="C43" s="62" t="s">
        <v>231</v>
      </c>
      <c r="D43" s="113">
        <v>10.3</v>
      </c>
      <c r="E43" s="85"/>
      <c r="F43" s="86"/>
      <c r="G43" s="86"/>
    </row>
    <row r="44" spans="1:7" x14ac:dyDescent="0.35">
      <c r="A44" s="46">
        <v>33</v>
      </c>
      <c r="B44" s="41" t="s">
        <v>227</v>
      </c>
      <c r="C44" s="41" t="s">
        <v>218</v>
      </c>
      <c r="D44" s="49">
        <v>5</v>
      </c>
      <c r="E44" s="85"/>
      <c r="F44" s="86"/>
      <c r="G44" s="86"/>
    </row>
    <row r="45" spans="1:7" x14ac:dyDescent="0.35">
      <c r="A45" s="59">
        <v>34</v>
      </c>
      <c r="B45" s="62" t="s">
        <v>223</v>
      </c>
      <c r="C45" s="62" t="s">
        <v>218</v>
      </c>
      <c r="D45" s="113">
        <v>14</v>
      </c>
      <c r="E45" s="85"/>
      <c r="F45" s="86"/>
      <c r="G45" s="86"/>
    </row>
    <row r="46" spans="1:7" x14ac:dyDescent="0.35">
      <c r="A46" s="46">
        <v>35</v>
      </c>
      <c r="B46" s="41" t="s">
        <v>224</v>
      </c>
      <c r="C46" s="41" t="s">
        <v>218</v>
      </c>
      <c r="D46" s="49">
        <v>4.4000000000000004</v>
      </c>
      <c r="E46" s="85"/>
      <c r="F46" s="86"/>
      <c r="G46" s="86"/>
    </row>
    <row r="47" spans="1:7" x14ac:dyDescent="0.35">
      <c r="A47" s="59">
        <v>36</v>
      </c>
      <c r="B47" s="62" t="s">
        <v>225</v>
      </c>
      <c r="C47" s="62" t="s">
        <v>218</v>
      </c>
      <c r="D47" s="113">
        <v>6.6</v>
      </c>
      <c r="E47" s="85"/>
      <c r="F47" s="86"/>
      <c r="G47" s="86"/>
    </row>
    <row r="48" spans="1:7" x14ac:dyDescent="0.35">
      <c r="A48" s="46">
        <v>37</v>
      </c>
      <c r="B48" s="41" t="s">
        <v>226</v>
      </c>
      <c r="C48" s="41" t="s">
        <v>218</v>
      </c>
      <c r="D48" s="49">
        <v>16.5</v>
      </c>
      <c r="E48" s="85"/>
      <c r="F48" s="86"/>
      <c r="G48" s="86"/>
    </row>
    <row r="49" spans="1:7" x14ac:dyDescent="0.35">
      <c r="A49" s="46"/>
      <c r="B49" s="41"/>
      <c r="C49" s="41" t="s">
        <v>216</v>
      </c>
      <c r="D49" s="47">
        <f>SUM(D12:D48)</f>
        <v>715.29999999999984</v>
      </c>
      <c r="E49" s="85"/>
      <c r="F49" s="86"/>
      <c r="G49" s="86"/>
    </row>
  </sheetData>
  <mergeCells count="11">
    <mergeCell ref="E11:G49"/>
    <mergeCell ref="C1:D1"/>
    <mergeCell ref="C2:D2"/>
    <mergeCell ref="C3:D3"/>
    <mergeCell ref="C4:D4"/>
    <mergeCell ref="C5:D5"/>
    <mergeCell ref="A10:E10"/>
    <mergeCell ref="C6:D6"/>
    <mergeCell ref="C7:D7"/>
    <mergeCell ref="C8:D8"/>
    <mergeCell ref="C9:D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C31" sqref="C31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30.77734375" style="48" customWidth="1"/>
    <col min="3" max="3" width="30.109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5.8" customHeight="1" x14ac:dyDescent="0.35">
      <c r="A2" s="46">
        <v>1</v>
      </c>
      <c r="B2" s="42" t="s">
        <v>16</v>
      </c>
      <c r="C2" s="43" t="s">
        <v>271</v>
      </c>
      <c r="D2" s="41" t="s">
        <v>9</v>
      </c>
      <c r="E2" s="49">
        <f>E9</f>
        <v>46.21</v>
      </c>
    </row>
    <row r="3" spans="1:5" ht="55.8" customHeight="1" x14ac:dyDescent="0.35">
      <c r="A3" s="46">
        <v>2</v>
      </c>
      <c r="B3" s="42" t="s">
        <v>16</v>
      </c>
      <c r="C3" s="45" t="s">
        <v>272</v>
      </c>
      <c r="D3" s="41" t="s">
        <v>9</v>
      </c>
      <c r="E3" s="49">
        <f>E2</f>
        <v>46.21</v>
      </c>
    </row>
    <row r="4" spans="1:5" x14ac:dyDescent="0.35">
      <c r="A4" s="73"/>
      <c r="B4" s="73"/>
      <c r="C4" s="73"/>
      <c r="D4" s="73"/>
      <c r="E4" s="73"/>
    </row>
    <row r="5" spans="1:5" ht="36" x14ac:dyDescent="0.35">
      <c r="A5" s="41" t="s">
        <v>0</v>
      </c>
      <c r="B5" s="41" t="s">
        <v>268</v>
      </c>
      <c r="C5" s="41" t="s">
        <v>269</v>
      </c>
      <c r="D5" s="41" t="s">
        <v>4</v>
      </c>
      <c r="E5" s="41" t="s">
        <v>7</v>
      </c>
    </row>
    <row r="6" spans="1:5" x14ac:dyDescent="0.35">
      <c r="A6" s="46">
        <v>1</v>
      </c>
      <c r="B6" s="41" t="s">
        <v>264</v>
      </c>
      <c r="C6" s="41" t="s">
        <v>267</v>
      </c>
      <c r="D6" s="41" t="s">
        <v>9</v>
      </c>
      <c r="E6" s="49">
        <v>15.32</v>
      </c>
    </row>
    <row r="7" spans="1:5" x14ac:dyDescent="0.35">
      <c r="A7" s="46">
        <v>2</v>
      </c>
      <c r="B7" s="41" t="s">
        <v>265</v>
      </c>
      <c r="C7" s="41" t="s">
        <v>267</v>
      </c>
      <c r="D7" s="41" t="s">
        <v>9</v>
      </c>
      <c r="E7" s="49">
        <v>15.46</v>
      </c>
    </row>
    <row r="8" spans="1:5" x14ac:dyDescent="0.35">
      <c r="A8" s="46">
        <v>3</v>
      </c>
      <c r="B8" s="41" t="s">
        <v>266</v>
      </c>
      <c r="C8" s="41" t="s">
        <v>267</v>
      </c>
      <c r="D8" s="41" t="s">
        <v>9</v>
      </c>
      <c r="E8" s="49">
        <v>15.43</v>
      </c>
    </row>
    <row r="9" spans="1:5" x14ac:dyDescent="0.35">
      <c r="A9" s="46"/>
      <c r="B9" s="41"/>
      <c r="C9" s="41" t="s">
        <v>216</v>
      </c>
      <c r="D9" s="41" t="s">
        <v>9</v>
      </c>
      <c r="E9" s="47">
        <f>SUM(E6:E8)</f>
        <v>46.21</v>
      </c>
    </row>
  </sheetData>
  <mergeCells count="1">
    <mergeCell ref="A4:E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E6" sqref="E6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30.77734375" style="48" customWidth="1"/>
    <col min="3" max="3" width="30.109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5.8" customHeight="1" x14ac:dyDescent="0.35">
      <c r="A2" s="46">
        <v>1</v>
      </c>
      <c r="B2" s="42" t="s">
        <v>59</v>
      </c>
      <c r="C2" s="43" t="s">
        <v>274</v>
      </c>
      <c r="D2" s="41" t="s">
        <v>9</v>
      </c>
      <c r="E2" s="49">
        <f>E9</f>
        <v>285.2</v>
      </c>
    </row>
    <row r="3" spans="1:5" ht="55.8" customHeight="1" x14ac:dyDescent="0.35">
      <c r="A3" s="46">
        <v>2</v>
      </c>
      <c r="B3" s="44" t="s">
        <v>59</v>
      </c>
      <c r="C3" s="45" t="s">
        <v>273</v>
      </c>
      <c r="D3" s="41" t="s">
        <v>9</v>
      </c>
      <c r="E3" s="49">
        <f>E2</f>
        <v>285.2</v>
      </c>
    </row>
    <row r="4" spans="1:5" x14ac:dyDescent="0.35">
      <c r="A4" s="73"/>
      <c r="B4" s="73"/>
      <c r="C4" s="73"/>
      <c r="D4" s="73"/>
      <c r="E4" s="73"/>
    </row>
    <row r="5" spans="1:5" ht="36" x14ac:dyDescent="0.35">
      <c r="A5" s="41" t="s">
        <v>0</v>
      </c>
      <c r="B5" s="41" t="s">
        <v>268</v>
      </c>
      <c r="C5" s="41" t="s">
        <v>269</v>
      </c>
      <c r="D5" s="41" t="s">
        <v>4</v>
      </c>
      <c r="E5" s="41" t="s">
        <v>7</v>
      </c>
    </row>
    <row r="6" spans="1:5" x14ac:dyDescent="0.35">
      <c r="A6" s="46">
        <v>1</v>
      </c>
      <c r="B6" s="41" t="s">
        <v>247</v>
      </c>
      <c r="C6" s="41" t="s">
        <v>231</v>
      </c>
      <c r="D6" s="41" t="s">
        <v>9</v>
      </c>
      <c r="E6" s="49">
        <v>97.9</v>
      </c>
    </row>
    <row r="7" spans="1:5" x14ac:dyDescent="0.35">
      <c r="A7" s="46">
        <v>2</v>
      </c>
      <c r="B7" s="41" t="s">
        <v>263</v>
      </c>
      <c r="C7" s="41" t="s">
        <v>231</v>
      </c>
      <c r="D7" s="41" t="s">
        <v>9</v>
      </c>
      <c r="E7" s="49">
        <v>162.9</v>
      </c>
    </row>
    <row r="8" spans="1:5" x14ac:dyDescent="0.35">
      <c r="A8" s="46">
        <v>3</v>
      </c>
      <c r="B8" s="41" t="s">
        <v>262</v>
      </c>
      <c r="C8" s="41" t="s">
        <v>231</v>
      </c>
      <c r="D8" s="41" t="s">
        <v>9</v>
      </c>
      <c r="E8" s="49">
        <v>24.4</v>
      </c>
    </row>
    <row r="9" spans="1:5" x14ac:dyDescent="0.35">
      <c r="A9" s="46"/>
      <c r="B9" s="41"/>
      <c r="C9" s="41" t="s">
        <v>216</v>
      </c>
      <c r="D9" s="41" t="s">
        <v>9</v>
      </c>
      <c r="E9" s="47">
        <f>SUM(E6:E8)</f>
        <v>285.2</v>
      </c>
    </row>
  </sheetData>
  <mergeCells count="1">
    <mergeCell ref="A4:E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Normal="100" workbookViewId="0">
      <selection activeCell="C3" sqref="C3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D12</f>
        <v>979.8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979.8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241</v>
      </c>
      <c r="C6" s="41" t="s">
        <v>9</v>
      </c>
      <c r="D6" s="47">
        <v>116.4</v>
      </c>
    </row>
    <row r="7" spans="1:5" x14ac:dyDescent="0.35">
      <c r="A7" s="46">
        <v>2</v>
      </c>
      <c r="B7" s="41" t="s">
        <v>242</v>
      </c>
      <c r="C7" s="41" t="s">
        <v>9</v>
      </c>
      <c r="D7" s="47">
        <v>202.5</v>
      </c>
    </row>
    <row r="8" spans="1:5" x14ac:dyDescent="0.35">
      <c r="A8" s="46">
        <v>3</v>
      </c>
      <c r="B8" s="41" t="s">
        <v>243</v>
      </c>
      <c r="C8" s="41" t="s">
        <v>9</v>
      </c>
      <c r="D8" s="47">
        <v>129.80000000000001</v>
      </c>
    </row>
    <row r="9" spans="1:5" x14ac:dyDescent="0.35">
      <c r="A9" s="46">
        <v>4</v>
      </c>
      <c r="B9" s="41" t="s">
        <v>244</v>
      </c>
      <c r="C9" s="41" t="s">
        <v>9</v>
      </c>
      <c r="D9" s="47">
        <v>200.1</v>
      </c>
    </row>
    <row r="10" spans="1:5" x14ac:dyDescent="0.35">
      <c r="A10" s="46">
        <v>5</v>
      </c>
      <c r="B10" s="41" t="s">
        <v>245</v>
      </c>
      <c r="C10" s="41" t="s">
        <v>9</v>
      </c>
      <c r="D10" s="47">
        <v>130.30000000000001</v>
      </c>
    </row>
    <row r="11" spans="1:5" x14ac:dyDescent="0.35">
      <c r="A11" s="46">
        <v>6</v>
      </c>
      <c r="B11" s="41" t="s">
        <v>222</v>
      </c>
      <c r="C11" s="41" t="s">
        <v>9</v>
      </c>
      <c r="D11" s="47">
        <v>200.7</v>
      </c>
    </row>
    <row r="12" spans="1:5" x14ac:dyDescent="0.35">
      <c r="A12" s="46"/>
      <c r="B12" s="41" t="s">
        <v>216</v>
      </c>
      <c r="C12" s="41" t="s">
        <v>9</v>
      </c>
      <c r="D12" s="47">
        <f>SUM(D6:D11)</f>
        <v>979.8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topLeftCell="A7" zoomScale="70" zoomScaleNormal="70" workbookViewId="0">
      <selection activeCell="D43" sqref="D43:D47"/>
    </sheetView>
    <sheetView topLeftCell="A3" workbookViewId="1">
      <selection sqref="A1:XFD1048576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44140625" style="48" customWidth="1"/>
    <col min="4" max="4" width="20.88671875" style="48" customWidth="1"/>
    <col min="5" max="5" width="12.554687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55"/>
      <c r="C1" s="75" t="s">
        <v>240</v>
      </c>
      <c r="D1" s="76"/>
      <c r="E1" s="41" t="s">
        <v>303</v>
      </c>
      <c r="F1" s="41" t="s">
        <v>326</v>
      </c>
    </row>
    <row r="2" spans="1:6" ht="75" customHeight="1" x14ac:dyDescent="0.35">
      <c r="A2" s="46">
        <v>1</v>
      </c>
      <c r="B2" s="57">
        <v>476</v>
      </c>
      <c r="C2" s="77" t="s">
        <v>31</v>
      </c>
      <c r="D2" s="78"/>
      <c r="E2" s="58" t="s">
        <v>236</v>
      </c>
      <c r="F2" s="49">
        <f>SUMIF($C$9:$C$47,E2,$D$9:$D$47)</f>
        <v>10</v>
      </c>
    </row>
    <row r="3" spans="1:6" ht="85.8" customHeight="1" x14ac:dyDescent="0.35">
      <c r="A3" s="59">
        <v>2</v>
      </c>
      <c r="B3" s="60">
        <v>479</v>
      </c>
      <c r="C3" s="79" t="s">
        <v>31</v>
      </c>
      <c r="D3" s="80"/>
      <c r="E3" s="61" t="s">
        <v>231</v>
      </c>
      <c r="F3" s="64">
        <f>SUMIF($C$9:$C$47,E3,$D$9:$D$47)</f>
        <v>351.00000000000006</v>
      </c>
    </row>
    <row r="4" spans="1:6" ht="69.599999999999994" customHeight="1" x14ac:dyDescent="0.35">
      <c r="A4" s="46">
        <v>3</v>
      </c>
      <c r="B4" s="55" t="s">
        <v>305</v>
      </c>
      <c r="C4" s="77" t="s">
        <v>304</v>
      </c>
      <c r="D4" s="78"/>
      <c r="E4" s="58" t="s">
        <v>267</v>
      </c>
      <c r="F4" s="49">
        <f>SUMIF($C$9:$C$47,E4,$D$9:$D$47)</f>
        <v>77.2</v>
      </c>
    </row>
    <row r="5" spans="1:6" ht="75" customHeight="1" x14ac:dyDescent="0.35">
      <c r="A5" s="59">
        <v>4</v>
      </c>
      <c r="B5" s="63" t="s">
        <v>305</v>
      </c>
      <c r="C5" s="79" t="s">
        <v>304</v>
      </c>
      <c r="D5" s="80"/>
      <c r="E5" s="61" t="s">
        <v>218</v>
      </c>
      <c r="F5" s="64">
        <f>SUMIF($C$9:$C$47,E5,$D$9:$D$47)</f>
        <v>318.29999999999995</v>
      </c>
    </row>
    <row r="6" spans="1:6" x14ac:dyDescent="0.35">
      <c r="A6" s="73"/>
      <c r="B6" s="73"/>
      <c r="C6" s="73"/>
      <c r="D6" s="74"/>
      <c r="E6" s="41" t="s">
        <v>216</v>
      </c>
      <c r="F6" s="41">
        <f>SUM(F2:F5)</f>
        <v>756.5</v>
      </c>
    </row>
    <row r="7" spans="1:6" ht="36" x14ac:dyDescent="0.35">
      <c r="A7" s="41" t="s">
        <v>0</v>
      </c>
      <c r="B7" s="41" t="s">
        <v>268</v>
      </c>
      <c r="C7" s="41" t="s">
        <v>269</v>
      </c>
      <c r="D7" s="41" t="s">
        <v>326</v>
      </c>
      <c r="E7" s="111"/>
      <c r="F7" s="82"/>
    </row>
    <row r="8" spans="1:6" x14ac:dyDescent="0.35">
      <c r="A8" s="59">
        <v>1</v>
      </c>
      <c r="B8" s="62" t="s">
        <v>281</v>
      </c>
      <c r="C8" s="62" t="s">
        <v>236</v>
      </c>
      <c r="D8" s="113">
        <v>4.5999999999999996</v>
      </c>
      <c r="E8" s="81"/>
      <c r="F8" s="112"/>
    </row>
    <row r="9" spans="1:6" x14ac:dyDescent="0.35">
      <c r="A9" s="46">
        <v>2</v>
      </c>
      <c r="B9" s="41" t="s">
        <v>264</v>
      </c>
      <c r="C9" s="41" t="s">
        <v>267</v>
      </c>
      <c r="D9" s="49">
        <v>15.2</v>
      </c>
      <c r="E9" s="81"/>
      <c r="F9" s="112"/>
    </row>
    <row r="10" spans="1:6" x14ac:dyDescent="0.35">
      <c r="A10" s="46">
        <v>3</v>
      </c>
      <c r="B10" s="62" t="s">
        <v>219</v>
      </c>
      <c r="C10" s="41" t="s">
        <v>218</v>
      </c>
      <c r="D10" s="49">
        <v>18.100000000000001</v>
      </c>
      <c r="E10" s="81"/>
      <c r="F10" s="112"/>
    </row>
    <row r="11" spans="1:6" x14ac:dyDescent="0.35">
      <c r="A11" s="46">
        <v>4</v>
      </c>
      <c r="B11" s="62" t="s">
        <v>220</v>
      </c>
      <c r="C11" s="41" t="s">
        <v>218</v>
      </c>
      <c r="D11" s="49">
        <v>18.600000000000001</v>
      </c>
      <c r="E11" s="81"/>
      <c r="F11" s="112"/>
    </row>
    <row r="12" spans="1:6" x14ac:dyDescent="0.35">
      <c r="A12" s="46">
        <v>5</v>
      </c>
      <c r="B12" s="41" t="s">
        <v>280</v>
      </c>
      <c r="C12" s="41" t="s">
        <v>267</v>
      </c>
      <c r="D12" s="49">
        <v>10.5</v>
      </c>
      <c r="E12" s="81"/>
      <c r="F12" s="112"/>
    </row>
    <row r="13" spans="1:6" x14ac:dyDescent="0.35">
      <c r="A13" s="59">
        <v>6</v>
      </c>
      <c r="B13" s="62" t="s">
        <v>277</v>
      </c>
      <c r="C13" s="62" t="s">
        <v>218</v>
      </c>
      <c r="D13" s="113">
        <v>4.8</v>
      </c>
      <c r="E13" s="81"/>
      <c r="F13" s="112"/>
    </row>
    <row r="14" spans="1:6" x14ac:dyDescent="0.35">
      <c r="A14" s="46">
        <v>7</v>
      </c>
      <c r="B14" s="41" t="s">
        <v>278</v>
      </c>
      <c r="C14" s="41" t="s">
        <v>218</v>
      </c>
      <c r="D14" s="49">
        <v>13.5</v>
      </c>
      <c r="E14" s="81"/>
      <c r="F14" s="112"/>
    </row>
    <row r="15" spans="1:6" x14ac:dyDescent="0.35">
      <c r="A15" s="59">
        <v>8</v>
      </c>
      <c r="B15" s="62" t="s">
        <v>279</v>
      </c>
      <c r="C15" s="62" t="s">
        <v>218</v>
      </c>
      <c r="D15" s="113">
        <v>13.6</v>
      </c>
      <c r="E15" s="81"/>
      <c r="F15" s="112"/>
    </row>
    <row r="16" spans="1:6" x14ac:dyDescent="0.35">
      <c r="A16" s="46">
        <v>9</v>
      </c>
      <c r="B16" s="41" t="s">
        <v>282</v>
      </c>
      <c r="C16" s="41" t="s">
        <v>218</v>
      </c>
      <c r="D16" s="49">
        <v>6.5</v>
      </c>
      <c r="E16" s="81"/>
      <c r="F16" s="112"/>
    </row>
    <row r="17" spans="1:6" x14ac:dyDescent="0.35">
      <c r="A17" s="59">
        <v>10</v>
      </c>
      <c r="B17" s="62" t="s">
        <v>283</v>
      </c>
      <c r="C17" s="62" t="s">
        <v>218</v>
      </c>
      <c r="D17" s="113">
        <v>16.399999999999999</v>
      </c>
      <c r="E17" s="81"/>
      <c r="F17" s="112"/>
    </row>
    <row r="18" spans="1:6" x14ac:dyDescent="0.35">
      <c r="A18" s="46">
        <v>11</v>
      </c>
      <c r="B18" s="41" t="s">
        <v>288</v>
      </c>
      <c r="C18" s="41" t="s">
        <v>236</v>
      </c>
      <c r="D18" s="49">
        <v>5</v>
      </c>
      <c r="E18" s="81"/>
      <c r="F18" s="112"/>
    </row>
    <row r="19" spans="1:6" x14ac:dyDescent="0.35">
      <c r="A19" s="59">
        <v>12</v>
      </c>
      <c r="B19" s="62" t="s">
        <v>286</v>
      </c>
      <c r="C19" s="62" t="s">
        <v>231</v>
      </c>
      <c r="D19" s="113">
        <v>13.9</v>
      </c>
      <c r="E19" s="81"/>
      <c r="F19" s="112"/>
    </row>
    <row r="20" spans="1:6" x14ac:dyDescent="0.35">
      <c r="A20" s="46">
        <v>13</v>
      </c>
      <c r="B20" s="41" t="s">
        <v>265</v>
      </c>
      <c r="C20" s="41" t="s">
        <v>267</v>
      </c>
      <c r="D20" s="49">
        <v>15.3</v>
      </c>
      <c r="E20" s="81"/>
      <c r="F20" s="112"/>
    </row>
    <row r="21" spans="1:6" x14ac:dyDescent="0.35">
      <c r="A21" s="46">
        <v>14</v>
      </c>
      <c r="B21" s="41" t="s">
        <v>287</v>
      </c>
      <c r="C21" s="41" t="s">
        <v>267</v>
      </c>
      <c r="D21" s="49">
        <v>10.4</v>
      </c>
      <c r="E21" s="81"/>
      <c r="F21" s="112"/>
    </row>
    <row r="22" spans="1:6" x14ac:dyDescent="0.35">
      <c r="A22" s="46">
        <v>15</v>
      </c>
      <c r="B22" s="62" t="s">
        <v>322</v>
      </c>
      <c r="C22" s="41" t="s">
        <v>218</v>
      </c>
      <c r="D22" s="49">
        <v>19.100000000000001</v>
      </c>
      <c r="E22" s="81"/>
      <c r="F22" s="112"/>
    </row>
    <row r="23" spans="1:6" x14ac:dyDescent="0.35">
      <c r="A23" s="46">
        <v>16</v>
      </c>
      <c r="B23" s="62" t="s">
        <v>323</v>
      </c>
      <c r="C23" s="41" t="s">
        <v>218</v>
      </c>
      <c r="D23" s="49">
        <v>18.600000000000001</v>
      </c>
      <c r="E23" s="81"/>
      <c r="F23" s="112"/>
    </row>
    <row r="24" spans="1:6" x14ac:dyDescent="0.35">
      <c r="A24" s="46">
        <v>17</v>
      </c>
      <c r="B24" s="41" t="s">
        <v>284</v>
      </c>
      <c r="C24" s="41" t="s">
        <v>218</v>
      </c>
      <c r="D24" s="49">
        <v>5</v>
      </c>
      <c r="E24" s="81"/>
      <c r="F24" s="112"/>
    </row>
    <row r="25" spans="1:6" x14ac:dyDescent="0.35">
      <c r="A25" s="59">
        <v>18</v>
      </c>
      <c r="B25" s="62" t="s">
        <v>285</v>
      </c>
      <c r="C25" s="62" t="s">
        <v>218</v>
      </c>
      <c r="D25" s="113">
        <v>13.7</v>
      </c>
      <c r="E25" s="81"/>
      <c r="F25" s="112"/>
    </row>
    <row r="26" spans="1:6" x14ac:dyDescent="0.35">
      <c r="A26" s="46">
        <v>19</v>
      </c>
      <c r="B26" s="41" t="s">
        <v>289</v>
      </c>
      <c r="C26" s="41" t="s">
        <v>218</v>
      </c>
      <c r="D26" s="49">
        <v>6.7</v>
      </c>
      <c r="E26" s="81"/>
      <c r="F26" s="112"/>
    </row>
    <row r="27" spans="1:6" x14ac:dyDescent="0.35">
      <c r="A27" s="59">
        <v>20</v>
      </c>
      <c r="B27" s="62" t="s">
        <v>290</v>
      </c>
      <c r="C27" s="62" t="s">
        <v>218</v>
      </c>
      <c r="D27" s="113">
        <v>16.8</v>
      </c>
      <c r="E27" s="81"/>
      <c r="F27" s="112"/>
    </row>
    <row r="28" spans="1:6" x14ac:dyDescent="0.35">
      <c r="A28" s="46">
        <v>21</v>
      </c>
      <c r="B28" s="41" t="s">
        <v>292</v>
      </c>
      <c r="C28" s="41" t="s">
        <v>236</v>
      </c>
      <c r="D28" s="49">
        <v>5</v>
      </c>
      <c r="E28" s="81"/>
      <c r="F28" s="112"/>
    </row>
    <row r="29" spans="1:6" x14ac:dyDescent="0.35">
      <c r="A29" s="59">
        <v>22</v>
      </c>
      <c r="B29" s="62" t="s">
        <v>297</v>
      </c>
      <c r="C29" s="62" t="s">
        <v>231</v>
      </c>
      <c r="D29" s="113">
        <v>12.1</v>
      </c>
      <c r="E29" s="81"/>
      <c r="F29" s="112"/>
    </row>
    <row r="30" spans="1:6" x14ac:dyDescent="0.35">
      <c r="A30" s="46">
        <v>23</v>
      </c>
      <c r="B30" s="41" t="s">
        <v>266</v>
      </c>
      <c r="C30" s="41" t="s">
        <v>267</v>
      </c>
      <c r="D30" s="49">
        <v>15.3</v>
      </c>
      <c r="E30" s="81"/>
      <c r="F30" s="112"/>
    </row>
    <row r="31" spans="1:6" x14ac:dyDescent="0.35">
      <c r="A31" s="46">
        <v>24</v>
      </c>
      <c r="B31" s="62" t="s">
        <v>324</v>
      </c>
      <c r="C31" s="41" t="s">
        <v>218</v>
      </c>
      <c r="D31" s="49">
        <v>28.6</v>
      </c>
      <c r="E31" s="81"/>
      <c r="F31" s="112"/>
    </row>
    <row r="32" spans="1:6" x14ac:dyDescent="0.35">
      <c r="A32" s="46">
        <v>25</v>
      </c>
      <c r="B32" s="62" t="s">
        <v>325</v>
      </c>
      <c r="C32" s="41" t="s">
        <v>218</v>
      </c>
      <c r="D32" s="49">
        <v>19.100000000000001</v>
      </c>
      <c r="E32" s="81"/>
      <c r="F32" s="112"/>
    </row>
    <row r="33" spans="1:6" x14ac:dyDescent="0.35">
      <c r="A33" s="46">
        <v>26</v>
      </c>
      <c r="B33" s="41" t="s">
        <v>295</v>
      </c>
      <c r="C33" s="41" t="s">
        <v>267</v>
      </c>
      <c r="D33" s="49">
        <v>10.5</v>
      </c>
      <c r="E33" s="81"/>
      <c r="F33" s="112"/>
    </row>
    <row r="34" spans="1:6" x14ac:dyDescent="0.35">
      <c r="A34" s="59">
        <v>27</v>
      </c>
      <c r="B34" s="62" t="s">
        <v>291</v>
      </c>
      <c r="C34" s="62" t="s">
        <v>218</v>
      </c>
      <c r="D34" s="113">
        <v>5.2</v>
      </c>
      <c r="E34" s="81"/>
      <c r="F34" s="112"/>
    </row>
    <row r="35" spans="1:6" x14ac:dyDescent="0.35">
      <c r="A35" s="46">
        <v>28</v>
      </c>
      <c r="B35" s="41" t="s">
        <v>293</v>
      </c>
      <c r="C35" s="41" t="s">
        <v>218</v>
      </c>
      <c r="D35" s="49">
        <v>5</v>
      </c>
      <c r="E35" s="81"/>
      <c r="F35" s="112"/>
    </row>
    <row r="36" spans="1:6" x14ac:dyDescent="0.35">
      <c r="A36" s="59">
        <v>29</v>
      </c>
      <c r="B36" s="62" t="s">
        <v>294</v>
      </c>
      <c r="C36" s="62" t="s">
        <v>218</v>
      </c>
      <c r="D36" s="113">
        <v>13.9</v>
      </c>
      <c r="E36" s="81"/>
      <c r="F36" s="112"/>
    </row>
    <row r="37" spans="1:6" x14ac:dyDescent="0.35">
      <c r="A37" s="46">
        <v>30</v>
      </c>
      <c r="B37" s="41" t="s">
        <v>296</v>
      </c>
      <c r="C37" s="41" t="s">
        <v>218</v>
      </c>
      <c r="D37" s="49">
        <v>5.5</v>
      </c>
      <c r="E37" s="81"/>
      <c r="F37" s="112"/>
    </row>
    <row r="38" spans="1:6" x14ac:dyDescent="0.35">
      <c r="A38" s="59">
        <v>31</v>
      </c>
      <c r="B38" s="62" t="s">
        <v>298</v>
      </c>
      <c r="C38" s="62" t="s">
        <v>218</v>
      </c>
      <c r="D38" s="113">
        <v>6.7</v>
      </c>
      <c r="E38" s="81"/>
      <c r="F38" s="112"/>
    </row>
    <row r="39" spans="1:6" x14ac:dyDescent="0.35">
      <c r="A39" s="46">
        <v>32</v>
      </c>
      <c r="B39" s="41" t="s">
        <v>299</v>
      </c>
      <c r="C39" s="41" t="s">
        <v>218</v>
      </c>
      <c r="D39" s="49">
        <v>16.399999999999999</v>
      </c>
      <c r="E39" s="81"/>
      <c r="F39" s="112"/>
    </row>
    <row r="40" spans="1:6" x14ac:dyDescent="0.35">
      <c r="A40" s="59">
        <v>33</v>
      </c>
      <c r="B40" s="62" t="s">
        <v>230</v>
      </c>
      <c r="C40" s="62" t="s">
        <v>231</v>
      </c>
      <c r="D40" s="113">
        <v>241.8</v>
      </c>
      <c r="E40" s="81"/>
      <c r="F40" s="112"/>
    </row>
    <row r="41" spans="1:6" x14ac:dyDescent="0.35">
      <c r="A41" s="46">
        <v>34</v>
      </c>
      <c r="B41" s="41" t="s">
        <v>228</v>
      </c>
      <c r="C41" s="41" t="s">
        <v>231</v>
      </c>
      <c r="D41" s="49">
        <v>72.900000000000006</v>
      </c>
      <c r="E41" s="81"/>
      <c r="F41" s="112"/>
    </row>
    <row r="42" spans="1:6" x14ac:dyDescent="0.35">
      <c r="A42" s="59">
        <v>35</v>
      </c>
      <c r="B42" s="62" t="s">
        <v>300</v>
      </c>
      <c r="C42" s="62" t="s">
        <v>231</v>
      </c>
      <c r="D42" s="113">
        <v>10.3</v>
      </c>
      <c r="E42" s="81"/>
      <c r="F42" s="112"/>
    </row>
    <row r="43" spans="1:6" x14ac:dyDescent="0.35">
      <c r="A43" s="46">
        <v>36</v>
      </c>
      <c r="B43" s="41" t="s">
        <v>227</v>
      </c>
      <c r="C43" s="41" t="s">
        <v>218</v>
      </c>
      <c r="D43" s="49">
        <v>5</v>
      </c>
      <c r="E43" s="81"/>
      <c r="F43" s="112"/>
    </row>
    <row r="44" spans="1:6" x14ac:dyDescent="0.35">
      <c r="A44" s="59">
        <v>37</v>
      </c>
      <c r="B44" s="62" t="s">
        <v>223</v>
      </c>
      <c r="C44" s="62" t="s">
        <v>218</v>
      </c>
      <c r="D44" s="113">
        <v>14</v>
      </c>
      <c r="E44" s="81"/>
      <c r="F44" s="112"/>
    </row>
    <row r="45" spans="1:6" x14ac:dyDescent="0.35">
      <c r="A45" s="46">
        <v>38</v>
      </c>
      <c r="B45" s="41" t="s">
        <v>224</v>
      </c>
      <c r="C45" s="41" t="s">
        <v>218</v>
      </c>
      <c r="D45" s="49">
        <v>4.4000000000000004</v>
      </c>
      <c r="E45" s="81"/>
      <c r="F45" s="112"/>
    </row>
    <row r="46" spans="1:6" x14ac:dyDescent="0.35">
      <c r="A46" s="59">
        <v>39</v>
      </c>
      <c r="B46" s="62" t="s">
        <v>225</v>
      </c>
      <c r="C46" s="62" t="s">
        <v>218</v>
      </c>
      <c r="D46" s="113">
        <v>6.6</v>
      </c>
      <c r="E46" s="81"/>
      <c r="F46" s="112"/>
    </row>
    <row r="47" spans="1:6" x14ac:dyDescent="0.35">
      <c r="A47" s="46">
        <v>40</v>
      </c>
      <c r="B47" s="41" t="s">
        <v>226</v>
      </c>
      <c r="C47" s="41" t="s">
        <v>218</v>
      </c>
      <c r="D47" s="49">
        <v>16.5</v>
      </c>
      <c r="E47" s="81"/>
      <c r="F47" s="112"/>
    </row>
    <row r="48" spans="1:6" x14ac:dyDescent="0.35">
      <c r="A48" s="46"/>
      <c r="B48" s="41"/>
      <c r="C48" s="41" t="s">
        <v>216</v>
      </c>
      <c r="D48" s="47">
        <f>SUM(D9:D47)</f>
        <v>756.49999999999989</v>
      </c>
      <c r="E48" s="81"/>
      <c r="F48" s="112"/>
    </row>
  </sheetData>
  <mergeCells count="7">
    <mergeCell ref="E7:F48"/>
    <mergeCell ref="A6:D6"/>
    <mergeCell ref="C5:D5"/>
    <mergeCell ref="C1:D1"/>
    <mergeCell ref="C2:D2"/>
    <mergeCell ref="C4:D4"/>
    <mergeCell ref="C3:D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zoomScale="70" zoomScaleNormal="70" workbookViewId="0">
      <selection activeCell="J7" sqref="J7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21.44140625" style="48" customWidth="1"/>
    <col min="3" max="3" width="17.6640625" style="48" customWidth="1"/>
    <col min="4" max="4" width="25.77734375" style="48" customWidth="1"/>
    <col min="5" max="5" width="16.8867187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75" t="s">
        <v>240</v>
      </c>
      <c r="C1" s="76"/>
      <c r="D1" s="41" t="s">
        <v>215</v>
      </c>
      <c r="E1" s="41" t="s">
        <v>4</v>
      </c>
      <c r="F1" s="41" t="s">
        <v>7</v>
      </c>
    </row>
    <row r="2" spans="1:6" ht="76.2" customHeight="1" x14ac:dyDescent="0.35">
      <c r="A2" s="46">
        <v>1</v>
      </c>
      <c r="B2" s="87" t="s">
        <v>31</v>
      </c>
      <c r="C2" s="88"/>
      <c r="D2" s="43" t="s">
        <v>270</v>
      </c>
      <c r="E2" s="41" t="s">
        <v>9</v>
      </c>
      <c r="F2" s="49">
        <f>E8</f>
        <v>285.2</v>
      </c>
    </row>
    <row r="3" spans="1:6" x14ac:dyDescent="0.35">
      <c r="A3" s="82"/>
      <c r="B3" s="82"/>
      <c r="C3" s="82"/>
      <c r="D3" s="82"/>
      <c r="E3" s="82"/>
      <c r="F3" s="82"/>
    </row>
    <row r="4" spans="1:6" ht="36" x14ac:dyDescent="0.35">
      <c r="A4" s="41" t="s">
        <v>0</v>
      </c>
      <c r="B4" s="41" t="s">
        <v>268</v>
      </c>
      <c r="C4" s="41" t="s">
        <v>269</v>
      </c>
      <c r="D4" s="41" t="s">
        <v>4</v>
      </c>
      <c r="E4" s="41" t="s">
        <v>7</v>
      </c>
      <c r="F4" s="89"/>
    </row>
    <row r="5" spans="1:6" x14ac:dyDescent="0.35">
      <c r="A5" s="46">
        <v>1</v>
      </c>
      <c r="B5" s="41" t="s">
        <v>247</v>
      </c>
      <c r="C5" s="41" t="s">
        <v>231</v>
      </c>
      <c r="D5" s="41" t="s">
        <v>9</v>
      </c>
      <c r="E5" s="49">
        <v>97.9</v>
      </c>
      <c r="F5" s="89"/>
    </row>
    <row r="6" spans="1:6" x14ac:dyDescent="0.35">
      <c r="A6" s="46">
        <v>2</v>
      </c>
      <c r="B6" s="41" t="s">
        <v>263</v>
      </c>
      <c r="C6" s="41" t="s">
        <v>231</v>
      </c>
      <c r="D6" s="41" t="s">
        <v>9</v>
      </c>
      <c r="E6" s="49">
        <v>162.9</v>
      </c>
      <c r="F6" s="89"/>
    </row>
    <row r="7" spans="1:6" x14ac:dyDescent="0.35">
      <c r="A7" s="46">
        <v>3</v>
      </c>
      <c r="B7" s="41" t="s">
        <v>262</v>
      </c>
      <c r="C7" s="41" t="s">
        <v>231</v>
      </c>
      <c r="D7" s="41" t="s">
        <v>9</v>
      </c>
      <c r="E7" s="49">
        <v>24.4</v>
      </c>
      <c r="F7" s="89"/>
    </row>
    <row r="8" spans="1:6" x14ac:dyDescent="0.35">
      <c r="A8" s="46"/>
      <c r="B8" s="41" t="s">
        <v>216</v>
      </c>
      <c r="C8" s="41"/>
      <c r="D8" s="41" t="s">
        <v>9</v>
      </c>
      <c r="E8" s="47">
        <f>SUM(E5:E7)</f>
        <v>285.2</v>
      </c>
      <c r="F8" s="89"/>
    </row>
  </sheetData>
  <mergeCells count="4">
    <mergeCell ref="B1:C1"/>
    <mergeCell ref="B2:C2"/>
    <mergeCell ref="F4:F8"/>
    <mergeCell ref="A3:F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F22" sqref="F22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J19" sqref="J19"/>
    </sheetView>
    <sheetView workbookViewId="1">
      <selection sqref="A1:XFD1048576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КП</vt:lpstr>
      <vt:lpstr>READ</vt:lpstr>
      <vt:lpstr>РсчКрс</vt:lpstr>
      <vt:lpstr>Table 1</vt:lpstr>
      <vt:lpstr>Расчет</vt:lpstr>
      <vt:lpstr>3.1Пыль3.1в</vt:lpstr>
      <vt:lpstr>2.4Крск3.1в</vt:lpstr>
      <vt:lpstr>2.3в3</vt:lpstr>
      <vt:lpstr>2.2-Пт</vt:lpstr>
      <vt:lpstr>2.1-Пт</vt:lpstr>
      <vt:lpstr>1.2-Пт</vt:lpstr>
      <vt:lpstr>1.5Шп3.1в</vt:lpstr>
      <vt:lpstr>1.4ШпЧНП7_3вып</vt:lpstr>
      <vt:lpstr>1.3ШпЧНП5_3вып</vt:lpstr>
      <vt:lpstr>1.1-Пт</vt:lpstr>
      <vt:lpstr>0.4Шт3.1в</vt:lpstr>
      <vt:lpstr>0.3-Шт3вып</vt:lpstr>
      <vt:lpstr>0.2-Шт</vt:lpstr>
      <vt:lpstr>0.1-Шт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2026-05-02T11:24:31Z</dcterms:modified>
  <cp:category/>
</cp:coreProperties>
</file>