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"/>
    </mc:Choice>
  </mc:AlternateContent>
  <bookViews>
    <workbookView minimized="1" xWindow="0" yWindow="0" windowWidth="23040" windowHeight="10416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86" i="2" l="1"/>
  <c r="AA586" i="2" s="1"/>
  <c r="W586" i="2"/>
  <c r="U586" i="2"/>
  <c r="T586" i="2"/>
  <c r="R586" i="2"/>
  <c r="X586" i="2" s="1"/>
  <c r="N586" i="2"/>
  <c r="O586" i="2" s="1"/>
  <c r="L586" i="2"/>
  <c r="Z585" i="2"/>
  <c r="X585" i="2"/>
  <c r="W585" i="2"/>
  <c r="T585" i="2"/>
  <c r="T584" i="2" s="1"/>
  <c r="R585" i="2"/>
  <c r="O585" i="2"/>
  <c r="O584" i="2" s="1"/>
  <c r="N585" i="2"/>
  <c r="L585" i="2"/>
  <c r="Y584" i="2"/>
  <c r="S584" i="2"/>
  <c r="N584" i="2"/>
  <c r="M584" i="2"/>
  <c r="Y583" i="2"/>
  <c r="V583" i="2"/>
  <c r="S583" i="2"/>
  <c r="M583" i="2"/>
  <c r="Z582" i="2"/>
  <c r="W582" i="2"/>
  <c r="T582" i="2"/>
  <c r="P582" i="2"/>
  <c r="N582" i="2"/>
  <c r="J582" i="2"/>
  <c r="V581" i="2"/>
  <c r="S581" i="2"/>
  <c r="Y581" i="2" s="1"/>
  <c r="M581" i="2"/>
  <c r="W580" i="2"/>
  <c r="V580" i="2"/>
  <c r="T580" i="2"/>
  <c r="Z580" i="2" s="1"/>
  <c r="P580" i="2"/>
  <c r="N580" i="2"/>
  <c r="O580" i="2" s="1"/>
  <c r="L580" i="2"/>
  <c r="J580" i="2"/>
  <c r="M580" i="2" s="1"/>
  <c r="Y579" i="2"/>
  <c r="V579" i="2"/>
  <c r="S579" i="2"/>
  <c r="M579" i="2"/>
  <c r="V578" i="2"/>
  <c r="S578" i="2"/>
  <c r="Y578" i="2" s="1"/>
  <c r="M578" i="2"/>
  <c r="Y577" i="2"/>
  <c r="V577" i="2"/>
  <c r="S577" i="2"/>
  <c r="M577" i="2"/>
  <c r="V576" i="2"/>
  <c r="S576" i="2"/>
  <c r="Y576" i="2" s="1"/>
  <c r="M576" i="2"/>
  <c r="Y575" i="2"/>
  <c r="V575" i="2"/>
  <c r="S575" i="2"/>
  <c r="M575" i="2"/>
  <c r="V574" i="2"/>
  <c r="S574" i="2"/>
  <c r="Y574" i="2" s="1"/>
  <c r="M574" i="2"/>
  <c r="Y573" i="2"/>
  <c r="V573" i="2"/>
  <c r="S573" i="2"/>
  <c r="M573" i="2"/>
  <c r="V572" i="2"/>
  <c r="S572" i="2"/>
  <c r="Y572" i="2" s="1"/>
  <c r="M572" i="2"/>
  <c r="Y571" i="2"/>
  <c r="V571" i="2"/>
  <c r="S571" i="2"/>
  <c r="M571" i="2"/>
  <c r="V570" i="2"/>
  <c r="S570" i="2"/>
  <c r="M570" i="2"/>
  <c r="J569" i="2" s="1"/>
  <c r="L569" i="2" s="1"/>
  <c r="W569" i="2"/>
  <c r="T569" i="2"/>
  <c r="Z569" i="2" s="1"/>
  <c r="N569" i="2"/>
  <c r="M569" i="2"/>
  <c r="O569" i="2" s="1"/>
  <c r="V568" i="2"/>
  <c r="S568" i="2"/>
  <c r="Y568" i="2" s="1"/>
  <c r="M568" i="2"/>
  <c r="V567" i="2"/>
  <c r="S567" i="2"/>
  <c r="Y567" i="2" s="1"/>
  <c r="M567" i="2"/>
  <c r="Y566" i="2"/>
  <c r="V566" i="2"/>
  <c r="S566" i="2"/>
  <c r="M566" i="2"/>
  <c r="Y565" i="2"/>
  <c r="V565" i="2"/>
  <c r="S565" i="2"/>
  <c r="M565" i="2"/>
  <c r="V564" i="2"/>
  <c r="S564" i="2"/>
  <c r="Y564" i="2" s="1"/>
  <c r="M564" i="2"/>
  <c r="V563" i="2"/>
  <c r="S563" i="2"/>
  <c r="Y563" i="2" s="1"/>
  <c r="M563" i="2"/>
  <c r="Y562" i="2"/>
  <c r="V562" i="2"/>
  <c r="S562" i="2"/>
  <c r="M562" i="2"/>
  <c r="V561" i="2"/>
  <c r="S561" i="2"/>
  <c r="Y561" i="2" s="1"/>
  <c r="M561" i="2"/>
  <c r="V560" i="2"/>
  <c r="S560" i="2"/>
  <c r="Y560" i="2" s="1"/>
  <c r="M560" i="2"/>
  <c r="J558" i="2" s="1"/>
  <c r="Y559" i="2"/>
  <c r="V559" i="2"/>
  <c r="S559" i="2"/>
  <c r="M559" i="2"/>
  <c r="Z558" i="2"/>
  <c r="W558" i="2"/>
  <c r="T558" i="2"/>
  <c r="N558" i="2"/>
  <c r="Y557" i="2"/>
  <c r="V557" i="2"/>
  <c r="S557" i="2"/>
  <c r="M557" i="2"/>
  <c r="W556" i="2"/>
  <c r="T556" i="2"/>
  <c r="Z556" i="2" s="1"/>
  <c r="P556" i="2"/>
  <c r="N556" i="2"/>
  <c r="M556" i="2"/>
  <c r="O556" i="2" s="1"/>
  <c r="J556" i="2"/>
  <c r="L556" i="2" s="1"/>
  <c r="V555" i="2"/>
  <c r="S555" i="2"/>
  <c r="M555" i="2"/>
  <c r="J554" i="2" s="1"/>
  <c r="L554" i="2" s="1"/>
  <c r="Z554" i="2"/>
  <c r="W554" i="2"/>
  <c r="T554" i="2"/>
  <c r="N554" i="2"/>
  <c r="M554" i="2"/>
  <c r="O554" i="2" s="1"/>
  <c r="V553" i="2"/>
  <c r="S553" i="2"/>
  <c r="M553" i="2"/>
  <c r="W552" i="2"/>
  <c r="T552" i="2"/>
  <c r="Z552" i="2" s="1"/>
  <c r="N552" i="2"/>
  <c r="J552" i="2"/>
  <c r="Y551" i="2"/>
  <c r="V551" i="2"/>
  <c r="S551" i="2"/>
  <c r="P550" i="2" s="1"/>
  <c r="M551" i="2"/>
  <c r="Z550" i="2"/>
  <c r="W550" i="2"/>
  <c r="T550" i="2"/>
  <c r="N550" i="2"/>
  <c r="J550" i="2"/>
  <c r="M550" i="2" s="1"/>
  <c r="Y549" i="2"/>
  <c r="V549" i="2"/>
  <c r="S549" i="2"/>
  <c r="M549" i="2"/>
  <c r="Z548" i="2"/>
  <c r="AA548" i="2" s="1"/>
  <c r="W548" i="2"/>
  <c r="U548" i="2"/>
  <c r="T548" i="2"/>
  <c r="S548" i="2"/>
  <c r="Y548" i="2" s="1"/>
  <c r="P548" i="2"/>
  <c r="N548" i="2"/>
  <c r="J548" i="2"/>
  <c r="L548" i="2" s="1"/>
  <c r="Y547" i="2"/>
  <c r="V547" i="2"/>
  <c r="S547" i="2"/>
  <c r="P546" i="2" s="1"/>
  <c r="M547" i="2"/>
  <c r="J546" i="2" s="1"/>
  <c r="W546" i="2"/>
  <c r="T546" i="2"/>
  <c r="Z546" i="2" s="1"/>
  <c r="R546" i="2"/>
  <c r="X546" i="2" s="1"/>
  <c r="N546" i="2"/>
  <c r="V545" i="2"/>
  <c r="S545" i="2"/>
  <c r="Y545" i="2" s="1"/>
  <c r="M545" i="2"/>
  <c r="W544" i="2"/>
  <c r="T544" i="2"/>
  <c r="Z544" i="2" s="1"/>
  <c r="P544" i="2"/>
  <c r="S544" i="2" s="1"/>
  <c r="N544" i="2"/>
  <c r="O544" i="2" s="1"/>
  <c r="J544" i="2"/>
  <c r="M544" i="2" s="1"/>
  <c r="V543" i="2"/>
  <c r="S543" i="2"/>
  <c r="Y543" i="2" s="1"/>
  <c r="M543" i="2"/>
  <c r="J542" i="2" s="1"/>
  <c r="Z542" i="2"/>
  <c r="W542" i="2"/>
  <c r="T542" i="2"/>
  <c r="P542" i="2"/>
  <c r="N542" i="2"/>
  <c r="Y541" i="2"/>
  <c r="V541" i="2"/>
  <c r="S541" i="2"/>
  <c r="M541" i="2"/>
  <c r="J540" i="2" s="1"/>
  <c r="W540" i="2"/>
  <c r="V540" i="2"/>
  <c r="T540" i="2"/>
  <c r="Z540" i="2" s="1"/>
  <c r="S540" i="2"/>
  <c r="P540" i="2"/>
  <c r="R540" i="2" s="1"/>
  <c r="X540" i="2" s="1"/>
  <c r="N540" i="2"/>
  <c r="Y539" i="2"/>
  <c r="V539" i="2"/>
  <c r="S539" i="2"/>
  <c r="P538" i="2" s="1"/>
  <c r="M539" i="2"/>
  <c r="W538" i="2"/>
  <c r="T538" i="2"/>
  <c r="R538" i="2"/>
  <c r="X538" i="2" s="1"/>
  <c r="N538" i="2"/>
  <c r="J538" i="2"/>
  <c r="Y537" i="2"/>
  <c r="V537" i="2"/>
  <c r="S537" i="2"/>
  <c r="M537" i="2"/>
  <c r="W536" i="2"/>
  <c r="T536" i="2"/>
  <c r="Z536" i="2" s="1"/>
  <c r="P536" i="2"/>
  <c r="N536" i="2"/>
  <c r="J536" i="2"/>
  <c r="M536" i="2" s="1"/>
  <c r="X535" i="2"/>
  <c r="W535" i="2"/>
  <c r="T535" i="2"/>
  <c r="R535" i="2"/>
  <c r="O535" i="2"/>
  <c r="N535" i="2"/>
  <c r="L535" i="2"/>
  <c r="V533" i="2"/>
  <c r="S533" i="2"/>
  <c r="Y533" i="2" s="1"/>
  <c r="M533" i="2"/>
  <c r="Y532" i="2"/>
  <c r="V532" i="2"/>
  <c r="S532" i="2"/>
  <c r="M532" i="2"/>
  <c r="Z531" i="2"/>
  <c r="W531" i="2"/>
  <c r="T531" i="2"/>
  <c r="N531" i="2"/>
  <c r="M531" i="2"/>
  <c r="O531" i="2" s="1"/>
  <c r="L531" i="2"/>
  <c r="J531" i="2"/>
  <c r="V530" i="2"/>
  <c r="S530" i="2"/>
  <c r="M530" i="2"/>
  <c r="Y529" i="2"/>
  <c r="V529" i="2"/>
  <c r="S529" i="2"/>
  <c r="M529" i="2"/>
  <c r="J528" i="2" s="1"/>
  <c r="L528" i="2" s="1"/>
  <c r="W528" i="2"/>
  <c r="T528" i="2"/>
  <c r="Z528" i="2" s="1"/>
  <c r="N528" i="2"/>
  <c r="O528" i="2" s="1"/>
  <c r="M528" i="2"/>
  <c r="V527" i="2"/>
  <c r="S527" i="2"/>
  <c r="M527" i="2"/>
  <c r="Y526" i="2"/>
  <c r="V526" i="2"/>
  <c r="S526" i="2"/>
  <c r="M526" i="2"/>
  <c r="Z525" i="2"/>
  <c r="W525" i="2"/>
  <c r="T525" i="2"/>
  <c r="N525" i="2"/>
  <c r="J525" i="2"/>
  <c r="L525" i="2" s="1"/>
  <c r="Y524" i="2"/>
  <c r="V524" i="2"/>
  <c r="S524" i="2"/>
  <c r="M524" i="2"/>
  <c r="Y523" i="2"/>
  <c r="V523" i="2"/>
  <c r="S523" i="2"/>
  <c r="M523" i="2"/>
  <c r="W522" i="2"/>
  <c r="T522" i="2"/>
  <c r="Z522" i="2" s="1"/>
  <c r="S522" i="2"/>
  <c r="R522" i="2"/>
  <c r="X522" i="2" s="1"/>
  <c r="P522" i="2"/>
  <c r="V522" i="2" s="1"/>
  <c r="N522" i="2"/>
  <c r="J522" i="2"/>
  <c r="L522" i="2" s="1"/>
  <c r="Y521" i="2"/>
  <c r="V521" i="2"/>
  <c r="S521" i="2"/>
  <c r="M521" i="2"/>
  <c r="Y520" i="2"/>
  <c r="V520" i="2"/>
  <c r="S520" i="2"/>
  <c r="M520" i="2"/>
  <c r="W519" i="2"/>
  <c r="T519" i="2"/>
  <c r="Z519" i="2" s="1"/>
  <c r="P519" i="2"/>
  <c r="N519" i="2"/>
  <c r="M519" i="2"/>
  <c r="J519" i="2"/>
  <c r="L519" i="2" s="1"/>
  <c r="Y518" i="2"/>
  <c r="V518" i="2"/>
  <c r="S518" i="2"/>
  <c r="M518" i="2"/>
  <c r="J516" i="2" s="1"/>
  <c r="Y517" i="2"/>
  <c r="V517" i="2"/>
  <c r="S517" i="2"/>
  <c r="M517" i="2"/>
  <c r="W516" i="2"/>
  <c r="V516" i="2"/>
  <c r="T516" i="2"/>
  <c r="Z516" i="2" s="1"/>
  <c r="P516" i="2"/>
  <c r="S516" i="2" s="1"/>
  <c r="N516" i="2"/>
  <c r="Y515" i="2"/>
  <c r="V515" i="2"/>
  <c r="S515" i="2"/>
  <c r="M515" i="2"/>
  <c r="V514" i="2"/>
  <c r="S514" i="2"/>
  <c r="M514" i="2"/>
  <c r="Z513" i="2"/>
  <c r="W513" i="2"/>
  <c r="T513" i="2"/>
  <c r="N513" i="2"/>
  <c r="J513" i="2"/>
  <c r="M513" i="2" s="1"/>
  <c r="O513" i="2" s="1"/>
  <c r="V512" i="2"/>
  <c r="S512" i="2"/>
  <c r="M512" i="2"/>
  <c r="Y511" i="2"/>
  <c r="V511" i="2"/>
  <c r="S511" i="2"/>
  <c r="M511" i="2"/>
  <c r="W510" i="2"/>
  <c r="T510" i="2"/>
  <c r="Z510" i="2" s="1"/>
  <c r="N510" i="2"/>
  <c r="Y509" i="2"/>
  <c r="V509" i="2"/>
  <c r="S509" i="2"/>
  <c r="M509" i="2"/>
  <c r="Y508" i="2"/>
  <c r="V508" i="2"/>
  <c r="S508" i="2"/>
  <c r="M508" i="2"/>
  <c r="W507" i="2"/>
  <c r="T507" i="2"/>
  <c r="Z507" i="2" s="1"/>
  <c r="P507" i="2"/>
  <c r="N507" i="2"/>
  <c r="M507" i="2"/>
  <c r="O507" i="2" s="1"/>
  <c r="L507" i="2"/>
  <c r="J507" i="2"/>
  <c r="V506" i="2"/>
  <c r="S506" i="2"/>
  <c r="Y506" i="2" s="1"/>
  <c r="M506" i="2"/>
  <c r="V505" i="2"/>
  <c r="S505" i="2"/>
  <c r="M505" i="2"/>
  <c r="J504" i="2" s="1"/>
  <c r="M504" i="2" s="1"/>
  <c r="O504" i="2" s="1"/>
  <c r="W504" i="2"/>
  <c r="T504" i="2"/>
  <c r="Z504" i="2" s="1"/>
  <c r="N504" i="2"/>
  <c r="L504" i="2"/>
  <c r="V503" i="2"/>
  <c r="S503" i="2"/>
  <c r="Y503" i="2" s="1"/>
  <c r="M503" i="2"/>
  <c r="Y502" i="2"/>
  <c r="V502" i="2"/>
  <c r="S502" i="2"/>
  <c r="M502" i="2"/>
  <c r="J501" i="2" s="1"/>
  <c r="W501" i="2"/>
  <c r="T501" i="2"/>
  <c r="S501" i="2"/>
  <c r="P501" i="2"/>
  <c r="N501" i="2"/>
  <c r="Y499" i="2"/>
  <c r="V499" i="2"/>
  <c r="S499" i="2"/>
  <c r="M499" i="2"/>
  <c r="J497" i="2" s="1"/>
  <c r="Y498" i="2"/>
  <c r="V498" i="2"/>
  <c r="S498" i="2"/>
  <c r="P497" i="2" s="1"/>
  <c r="M498" i="2"/>
  <c r="Z497" i="2"/>
  <c r="W497" i="2"/>
  <c r="V497" i="2"/>
  <c r="T497" i="2"/>
  <c r="N497" i="2"/>
  <c r="Y496" i="2"/>
  <c r="V496" i="2"/>
  <c r="S496" i="2"/>
  <c r="M496" i="2"/>
  <c r="Y495" i="2"/>
  <c r="V495" i="2"/>
  <c r="S495" i="2"/>
  <c r="M495" i="2"/>
  <c r="J494" i="2" s="1"/>
  <c r="W494" i="2"/>
  <c r="T494" i="2"/>
  <c r="Z494" i="2" s="1"/>
  <c r="S494" i="2"/>
  <c r="R494" i="2"/>
  <c r="X494" i="2" s="1"/>
  <c r="P494" i="2"/>
  <c r="V494" i="2" s="1"/>
  <c r="N494" i="2"/>
  <c r="Y493" i="2"/>
  <c r="V493" i="2"/>
  <c r="S493" i="2"/>
  <c r="M493" i="2"/>
  <c r="Y492" i="2"/>
  <c r="V492" i="2"/>
  <c r="S492" i="2"/>
  <c r="P491" i="2" s="1"/>
  <c r="M492" i="2"/>
  <c r="Z491" i="2"/>
  <c r="W491" i="2"/>
  <c r="V491" i="2"/>
  <c r="T491" i="2"/>
  <c r="N491" i="2"/>
  <c r="J491" i="2"/>
  <c r="Y490" i="2"/>
  <c r="V490" i="2"/>
  <c r="S490" i="2"/>
  <c r="M490" i="2"/>
  <c r="Y489" i="2"/>
  <c r="V489" i="2"/>
  <c r="S489" i="2"/>
  <c r="P488" i="2" s="1"/>
  <c r="M489" i="2"/>
  <c r="Z488" i="2"/>
  <c r="X488" i="2"/>
  <c r="W488" i="2"/>
  <c r="T488" i="2"/>
  <c r="R488" i="2"/>
  <c r="N488" i="2"/>
  <c r="Y487" i="2"/>
  <c r="V487" i="2"/>
  <c r="S487" i="2"/>
  <c r="M487" i="2"/>
  <c r="J485" i="2" s="1"/>
  <c r="V486" i="2"/>
  <c r="S486" i="2"/>
  <c r="M486" i="2"/>
  <c r="Z485" i="2"/>
  <c r="W485" i="2"/>
  <c r="T485" i="2"/>
  <c r="N485" i="2"/>
  <c r="Y484" i="2"/>
  <c r="V484" i="2"/>
  <c r="S484" i="2"/>
  <c r="M484" i="2"/>
  <c r="Y483" i="2"/>
  <c r="V483" i="2"/>
  <c r="S483" i="2"/>
  <c r="M483" i="2"/>
  <c r="W482" i="2"/>
  <c r="T482" i="2"/>
  <c r="Z482" i="2" s="1"/>
  <c r="P482" i="2"/>
  <c r="N482" i="2"/>
  <c r="J482" i="2"/>
  <c r="M482" i="2" s="1"/>
  <c r="O482" i="2" s="1"/>
  <c r="Y481" i="2"/>
  <c r="V481" i="2"/>
  <c r="S481" i="2"/>
  <c r="M481" i="2"/>
  <c r="V480" i="2"/>
  <c r="S480" i="2"/>
  <c r="M480" i="2"/>
  <c r="J479" i="2" s="1"/>
  <c r="M479" i="2" s="1"/>
  <c r="W479" i="2"/>
  <c r="T479" i="2"/>
  <c r="O479" i="2"/>
  <c r="N479" i="2"/>
  <c r="L479" i="2"/>
  <c r="Y478" i="2"/>
  <c r="V478" i="2"/>
  <c r="S478" i="2"/>
  <c r="M478" i="2"/>
  <c r="V477" i="2"/>
  <c r="S477" i="2"/>
  <c r="M477" i="2"/>
  <c r="J476" i="2" s="1"/>
  <c r="L476" i="2" s="1"/>
  <c r="Z476" i="2"/>
  <c r="W476" i="2"/>
  <c r="T476" i="2"/>
  <c r="N476" i="2"/>
  <c r="V473" i="2"/>
  <c r="S473" i="2"/>
  <c r="Y473" i="2" s="1"/>
  <c r="M473" i="2"/>
  <c r="Y472" i="2"/>
  <c r="V472" i="2"/>
  <c r="S472" i="2"/>
  <c r="M472" i="2"/>
  <c r="V471" i="2"/>
  <c r="S471" i="2"/>
  <c r="M471" i="2"/>
  <c r="Y470" i="2"/>
  <c r="V470" i="2"/>
  <c r="S470" i="2"/>
  <c r="M470" i="2"/>
  <c r="Z469" i="2"/>
  <c r="W469" i="2"/>
  <c r="T469" i="2"/>
  <c r="N469" i="2"/>
  <c r="J469" i="2"/>
  <c r="L469" i="2" s="1"/>
  <c r="V468" i="2"/>
  <c r="S468" i="2"/>
  <c r="Y468" i="2" s="1"/>
  <c r="M468" i="2"/>
  <c r="V467" i="2"/>
  <c r="S467" i="2"/>
  <c r="Y467" i="2" s="1"/>
  <c r="M467" i="2"/>
  <c r="Y466" i="2"/>
  <c r="V466" i="2"/>
  <c r="S466" i="2"/>
  <c r="M466" i="2"/>
  <c r="Y465" i="2"/>
  <c r="V465" i="2"/>
  <c r="S465" i="2"/>
  <c r="M465" i="2"/>
  <c r="J464" i="2" s="1"/>
  <c r="Z464" i="2"/>
  <c r="W464" i="2"/>
  <c r="T464" i="2"/>
  <c r="N464" i="2"/>
  <c r="V463" i="2"/>
  <c r="S463" i="2"/>
  <c r="Y463" i="2" s="1"/>
  <c r="M463" i="2"/>
  <c r="V462" i="2"/>
  <c r="S462" i="2"/>
  <c r="Y462" i="2" s="1"/>
  <c r="M462" i="2"/>
  <c r="V461" i="2"/>
  <c r="S461" i="2"/>
  <c r="P460" i="2" s="1"/>
  <c r="M461" i="2"/>
  <c r="Z460" i="2"/>
  <c r="W460" i="2"/>
  <c r="T460" i="2"/>
  <c r="N460" i="2"/>
  <c r="Y459" i="2"/>
  <c r="V459" i="2"/>
  <c r="S459" i="2"/>
  <c r="M459" i="2"/>
  <c r="V458" i="2"/>
  <c r="S458" i="2"/>
  <c r="Y458" i="2" s="1"/>
  <c r="M458" i="2"/>
  <c r="Y457" i="2"/>
  <c r="V457" i="2"/>
  <c r="S457" i="2"/>
  <c r="M457" i="2"/>
  <c r="V456" i="2"/>
  <c r="S456" i="2"/>
  <c r="M456" i="2"/>
  <c r="J455" i="2" s="1"/>
  <c r="Z455" i="2"/>
  <c r="W455" i="2"/>
  <c r="T455" i="2"/>
  <c r="N455" i="2"/>
  <c r="Y454" i="2"/>
  <c r="V454" i="2"/>
  <c r="S454" i="2"/>
  <c r="M454" i="2"/>
  <c r="V453" i="2"/>
  <c r="S453" i="2"/>
  <c r="Y453" i="2" s="1"/>
  <c r="M453" i="2"/>
  <c r="Y452" i="2"/>
  <c r="V452" i="2"/>
  <c r="S452" i="2"/>
  <c r="M452" i="2"/>
  <c r="J450" i="2" s="1"/>
  <c r="V451" i="2"/>
  <c r="S451" i="2"/>
  <c r="Y451" i="2" s="1"/>
  <c r="M451" i="2"/>
  <c r="W450" i="2"/>
  <c r="T450" i="2"/>
  <c r="Z450" i="2" s="1"/>
  <c r="P450" i="2"/>
  <c r="N450" i="2"/>
  <c r="Y449" i="2"/>
  <c r="V449" i="2"/>
  <c r="S449" i="2"/>
  <c r="M449" i="2"/>
  <c r="V448" i="2"/>
  <c r="S448" i="2"/>
  <c r="Y448" i="2" s="1"/>
  <c r="M448" i="2"/>
  <c r="V447" i="2"/>
  <c r="S447" i="2"/>
  <c r="Y447" i="2" s="1"/>
  <c r="M447" i="2"/>
  <c r="Y446" i="2"/>
  <c r="V446" i="2"/>
  <c r="S446" i="2"/>
  <c r="M446" i="2"/>
  <c r="Z445" i="2"/>
  <c r="W445" i="2"/>
  <c r="T445" i="2"/>
  <c r="N445" i="2"/>
  <c r="Y444" i="2"/>
  <c r="V444" i="2"/>
  <c r="S444" i="2"/>
  <c r="M444" i="2"/>
  <c r="V443" i="2"/>
  <c r="S443" i="2"/>
  <c r="Y443" i="2" s="1"/>
  <c r="M443" i="2"/>
  <c r="Y442" i="2"/>
  <c r="V442" i="2"/>
  <c r="S442" i="2"/>
  <c r="M442" i="2"/>
  <c r="V441" i="2"/>
  <c r="S441" i="2"/>
  <c r="Y441" i="2" s="1"/>
  <c r="M441" i="2"/>
  <c r="W440" i="2"/>
  <c r="T440" i="2"/>
  <c r="Z440" i="2" s="1"/>
  <c r="N440" i="2"/>
  <c r="Y439" i="2"/>
  <c r="V439" i="2"/>
  <c r="S439" i="2"/>
  <c r="M439" i="2"/>
  <c r="V438" i="2"/>
  <c r="S438" i="2"/>
  <c r="Y438" i="2" s="1"/>
  <c r="M438" i="2"/>
  <c r="V437" i="2"/>
  <c r="S437" i="2"/>
  <c r="Y437" i="2" s="1"/>
  <c r="M437" i="2"/>
  <c r="J435" i="2" s="1"/>
  <c r="Y436" i="2"/>
  <c r="V436" i="2"/>
  <c r="S436" i="2"/>
  <c r="M436" i="2"/>
  <c r="W435" i="2"/>
  <c r="T435" i="2"/>
  <c r="Z435" i="2" s="1"/>
  <c r="N435" i="2"/>
  <c r="Y434" i="2"/>
  <c r="V434" i="2"/>
  <c r="S434" i="2"/>
  <c r="M434" i="2"/>
  <c r="V433" i="2"/>
  <c r="S433" i="2"/>
  <c r="M433" i="2"/>
  <c r="Y432" i="2"/>
  <c r="V432" i="2"/>
  <c r="S432" i="2"/>
  <c r="M432" i="2"/>
  <c r="Y431" i="2"/>
  <c r="V431" i="2"/>
  <c r="S431" i="2"/>
  <c r="M431" i="2"/>
  <c r="Z430" i="2"/>
  <c r="W430" i="2"/>
  <c r="T430" i="2"/>
  <c r="N430" i="2"/>
  <c r="M430" i="2"/>
  <c r="O430" i="2" s="1"/>
  <c r="L430" i="2"/>
  <c r="J430" i="2"/>
  <c r="Y429" i="2"/>
  <c r="V429" i="2"/>
  <c r="S429" i="2"/>
  <c r="M429" i="2"/>
  <c r="V428" i="2"/>
  <c r="S428" i="2"/>
  <c r="Y428" i="2" s="1"/>
  <c r="M428" i="2"/>
  <c r="V427" i="2"/>
  <c r="S427" i="2"/>
  <c r="Y427" i="2" s="1"/>
  <c r="M427" i="2"/>
  <c r="V426" i="2"/>
  <c r="S426" i="2"/>
  <c r="M426" i="2"/>
  <c r="J425" i="2" s="1"/>
  <c r="W425" i="2"/>
  <c r="T425" i="2"/>
  <c r="Z425" i="2" s="1"/>
  <c r="N425" i="2"/>
  <c r="Y424" i="2"/>
  <c r="V424" i="2"/>
  <c r="S424" i="2"/>
  <c r="M424" i="2"/>
  <c r="V423" i="2"/>
  <c r="S423" i="2"/>
  <c r="M423" i="2"/>
  <c r="J422" i="2" s="1"/>
  <c r="L422" i="2" s="1"/>
  <c r="Z422" i="2"/>
  <c r="W422" i="2"/>
  <c r="T422" i="2"/>
  <c r="N422" i="2"/>
  <c r="M422" i="2"/>
  <c r="O422" i="2" s="1"/>
  <c r="V421" i="2"/>
  <c r="S421" i="2"/>
  <c r="Y421" i="2" s="1"/>
  <c r="M421" i="2"/>
  <c r="V420" i="2"/>
  <c r="S420" i="2"/>
  <c r="M420" i="2"/>
  <c r="W419" i="2"/>
  <c r="T419" i="2"/>
  <c r="Z419" i="2" s="1"/>
  <c r="N419" i="2"/>
  <c r="Y418" i="2"/>
  <c r="V418" i="2"/>
  <c r="S418" i="2"/>
  <c r="M418" i="2"/>
  <c r="V417" i="2"/>
  <c r="S417" i="2"/>
  <c r="M417" i="2"/>
  <c r="J416" i="2" s="1"/>
  <c r="L416" i="2" s="1"/>
  <c r="W416" i="2"/>
  <c r="T416" i="2"/>
  <c r="Z416" i="2" s="1"/>
  <c r="N416" i="2"/>
  <c r="M416" i="2"/>
  <c r="O416" i="2" s="1"/>
  <c r="V415" i="2"/>
  <c r="S415" i="2"/>
  <c r="Y415" i="2" s="1"/>
  <c r="M415" i="2"/>
  <c r="V414" i="2"/>
  <c r="S414" i="2"/>
  <c r="M414" i="2"/>
  <c r="J413" i="2" s="1"/>
  <c r="W413" i="2"/>
  <c r="T413" i="2"/>
  <c r="Z413" i="2" s="1"/>
  <c r="N413" i="2"/>
  <c r="Y412" i="2"/>
  <c r="V412" i="2"/>
  <c r="S412" i="2"/>
  <c r="M412" i="2"/>
  <c r="J410" i="2" s="1"/>
  <c r="V411" i="2"/>
  <c r="S411" i="2"/>
  <c r="M411" i="2"/>
  <c r="W410" i="2"/>
  <c r="T410" i="2"/>
  <c r="Z410" i="2" s="1"/>
  <c r="N410" i="2"/>
  <c r="Y409" i="2"/>
  <c r="V409" i="2"/>
  <c r="S409" i="2"/>
  <c r="M409" i="2"/>
  <c r="V408" i="2"/>
  <c r="S408" i="2"/>
  <c r="Y408" i="2" s="1"/>
  <c r="M408" i="2"/>
  <c r="W407" i="2"/>
  <c r="T407" i="2"/>
  <c r="Z407" i="2" s="1"/>
  <c r="P407" i="2"/>
  <c r="N407" i="2"/>
  <c r="J407" i="2"/>
  <c r="M407" i="2" s="1"/>
  <c r="O407" i="2" s="1"/>
  <c r="Y406" i="2"/>
  <c r="V406" i="2"/>
  <c r="S406" i="2"/>
  <c r="M406" i="2"/>
  <c r="V405" i="2"/>
  <c r="S405" i="2"/>
  <c r="M405" i="2"/>
  <c r="W404" i="2"/>
  <c r="T404" i="2"/>
  <c r="Z404" i="2" s="1"/>
  <c r="N404" i="2"/>
  <c r="J404" i="2"/>
  <c r="L404" i="2" s="1"/>
  <c r="Y403" i="2"/>
  <c r="V403" i="2"/>
  <c r="S403" i="2"/>
  <c r="M403" i="2"/>
  <c r="Y402" i="2"/>
  <c r="V402" i="2"/>
  <c r="S402" i="2"/>
  <c r="M402" i="2"/>
  <c r="J401" i="2" s="1"/>
  <c r="W401" i="2"/>
  <c r="T401" i="2"/>
  <c r="Z401" i="2" s="1"/>
  <c r="P401" i="2"/>
  <c r="V401" i="2" s="1"/>
  <c r="N401" i="2"/>
  <c r="Y400" i="2"/>
  <c r="V400" i="2"/>
  <c r="S400" i="2"/>
  <c r="M400" i="2"/>
  <c r="V399" i="2"/>
  <c r="S399" i="2"/>
  <c r="M399" i="2"/>
  <c r="Z398" i="2"/>
  <c r="W398" i="2"/>
  <c r="T398" i="2"/>
  <c r="N398" i="2"/>
  <c r="J398" i="2"/>
  <c r="V397" i="2"/>
  <c r="S397" i="2"/>
  <c r="Y397" i="2" s="1"/>
  <c r="M397" i="2"/>
  <c r="Y396" i="2"/>
  <c r="V396" i="2"/>
  <c r="S396" i="2"/>
  <c r="M396" i="2"/>
  <c r="W395" i="2"/>
  <c r="T395" i="2"/>
  <c r="Z395" i="2" s="1"/>
  <c r="P395" i="2"/>
  <c r="N395" i="2"/>
  <c r="Y394" i="2"/>
  <c r="V394" i="2"/>
  <c r="S394" i="2"/>
  <c r="M394" i="2"/>
  <c r="J392" i="2" s="1"/>
  <c r="M392" i="2" s="1"/>
  <c r="O392" i="2" s="1"/>
  <c r="V393" i="2"/>
  <c r="S393" i="2"/>
  <c r="M393" i="2"/>
  <c r="W392" i="2"/>
  <c r="T392" i="2"/>
  <c r="Z392" i="2" s="1"/>
  <c r="N392" i="2"/>
  <c r="L392" i="2"/>
  <c r="V391" i="2"/>
  <c r="S391" i="2"/>
  <c r="Y391" i="2" s="1"/>
  <c r="M391" i="2"/>
  <c r="V390" i="2"/>
  <c r="S390" i="2"/>
  <c r="Y390" i="2" s="1"/>
  <c r="M390" i="2"/>
  <c r="J389" i="2" s="1"/>
  <c r="Z389" i="2"/>
  <c r="W389" i="2"/>
  <c r="T389" i="2"/>
  <c r="P389" i="2"/>
  <c r="N389" i="2"/>
  <c r="Y388" i="2"/>
  <c r="V388" i="2"/>
  <c r="S388" i="2"/>
  <c r="M388" i="2"/>
  <c r="J386" i="2" s="1"/>
  <c r="V387" i="2"/>
  <c r="S387" i="2"/>
  <c r="M387" i="2"/>
  <c r="Z386" i="2"/>
  <c r="W386" i="2"/>
  <c r="T386" i="2"/>
  <c r="N386" i="2"/>
  <c r="Y385" i="2"/>
  <c r="V385" i="2"/>
  <c r="S385" i="2"/>
  <c r="M385" i="2"/>
  <c r="Y384" i="2"/>
  <c r="V384" i="2"/>
  <c r="S384" i="2"/>
  <c r="P383" i="2" s="1"/>
  <c r="M384" i="2"/>
  <c r="W383" i="2"/>
  <c r="T383" i="2"/>
  <c r="Z383" i="2" s="1"/>
  <c r="N383" i="2"/>
  <c r="Y382" i="2"/>
  <c r="V382" i="2"/>
  <c r="S382" i="2"/>
  <c r="M382" i="2"/>
  <c r="V381" i="2"/>
  <c r="S381" i="2"/>
  <c r="Y381" i="2" s="1"/>
  <c r="M381" i="2"/>
  <c r="J380" i="2" s="1"/>
  <c r="L380" i="2" s="1"/>
  <c r="W380" i="2"/>
  <c r="T380" i="2"/>
  <c r="Z380" i="2" s="1"/>
  <c r="P380" i="2"/>
  <c r="R380" i="2" s="1"/>
  <c r="X380" i="2" s="1"/>
  <c r="N380" i="2"/>
  <c r="V379" i="2"/>
  <c r="S379" i="2"/>
  <c r="Y379" i="2" s="1"/>
  <c r="M379" i="2"/>
  <c r="AA378" i="2"/>
  <c r="Z378" i="2"/>
  <c r="Y378" i="2"/>
  <c r="W378" i="2"/>
  <c r="V378" i="2"/>
  <c r="U378" i="2"/>
  <c r="T378" i="2"/>
  <c r="R378" i="2"/>
  <c r="X378" i="2" s="1"/>
  <c r="P378" i="2"/>
  <c r="S378" i="2" s="1"/>
  <c r="N378" i="2"/>
  <c r="L378" i="2"/>
  <c r="J378" i="2"/>
  <c r="M378" i="2" s="1"/>
  <c r="V377" i="2"/>
  <c r="S377" i="2"/>
  <c r="M377" i="2"/>
  <c r="J376" i="2" s="1"/>
  <c r="Z376" i="2"/>
  <c r="Z373" i="2" s="1"/>
  <c r="W376" i="2"/>
  <c r="T376" i="2"/>
  <c r="N376" i="2"/>
  <c r="V375" i="2"/>
  <c r="S375" i="2"/>
  <c r="P374" i="2" s="1"/>
  <c r="M375" i="2"/>
  <c r="Z374" i="2"/>
  <c r="W374" i="2"/>
  <c r="T374" i="2"/>
  <c r="N374" i="2"/>
  <c r="J374" i="2"/>
  <c r="T373" i="2"/>
  <c r="Y372" i="2"/>
  <c r="V372" i="2"/>
  <c r="S372" i="2"/>
  <c r="M372" i="2"/>
  <c r="V371" i="2"/>
  <c r="S371" i="2"/>
  <c r="Y371" i="2" s="1"/>
  <c r="M371" i="2"/>
  <c r="V370" i="2"/>
  <c r="S370" i="2"/>
  <c r="M370" i="2"/>
  <c r="J369" i="2" s="1"/>
  <c r="Z369" i="2"/>
  <c r="W369" i="2"/>
  <c r="T369" i="2"/>
  <c r="N369" i="2"/>
  <c r="Y368" i="2"/>
  <c r="V368" i="2"/>
  <c r="S368" i="2"/>
  <c r="M368" i="2"/>
  <c r="Y367" i="2"/>
  <c r="V367" i="2"/>
  <c r="S367" i="2"/>
  <c r="M367" i="2"/>
  <c r="J365" i="2" s="1"/>
  <c r="V366" i="2"/>
  <c r="S366" i="2"/>
  <c r="M366" i="2"/>
  <c r="W365" i="2"/>
  <c r="T365" i="2"/>
  <c r="Z365" i="2" s="1"/>
  <c r="N365" i="2"/>
  <c r="V364" i="2"/>
  <c r="S364" i="2"/>
  <c r="Y364" i="2" s="1"/>
  <c r="M364" i="2"/>
  <c r="Y363" i="2"/>
  <c r="V363" i="2"/>
  <c r="S363" i="2"/>
  <c r="M363" i="2"/>
  <c r="J361" i="2" s="1"/>
  <c r="V362" i="2"/>
  <c r="S362" i="2"/>
  <c r="M362" i="2"/>
  <c r="Z361" i="2"/>
  <c r="W361" i="2"/>
  <c r="T361" i="2"/>
  <c r="N361" i="2"/>
  <c r="V360" i="2"/>
  <c r="S360" i="2"/>
  <c r="Y360" i="2" s="1"/>
  <c r="M360" i="2"/>
  <c r="Y359" i="2"/>
  <c r="V359" i="2"/>
  <c r="S359" i="2"/>
  <c r="M359" i="2"/>
  <c r="J357" i="2" s="1"/>
  <c r="L357" i="2" s="1"/>
  <c r="Y358" i="2"/>
  <c r="V358" i="2"/>
  <c r="S358" i="2"/>
  <c r="M358" i="2"/>
  <c r="Z357" i="2"/>
  <c r="W357" i="2"/>
  <c r="T357" i="2"/>
  <c r="N357" i="2"/>
  <c r="O357" i="2" s="1"/>
  <c r="M357" i="2"/>
  <c r="Y356" i="2"/>
  <c r="V356" i="2"/>
  <c r="S356" i="2"/>
  <c r="M356" i="2"/>
  <c r="V355" i="2"/>
  <c r="S355" i="2"/>
  <c r="Y355" i="2" s="1"/>
  <c r="M355" i="2"/>
  <c r="Y354" i="2"/>
  <c r="V354" i="2"/>
  <c r="S354" i="2"/>
  <c r="M354" i="2"/>
  <c r="Z353" i="2"/>
  <c r="W353" i="2"/>
  <c r="T353" i="2"/>
  <c r="N353" i="2"/>
  <c r="J353" i="2"/>
  <c r="M353" i="2" s="1"/>
  <c r="O353" i="2" s="1"/>
  <c r="Y352" i="2"/>
  <c r="V352" i="2"/>
  <c r="S352" i="2"/>
  <c r="P349" i="2" s="1"/>
  <c r="M352" i="2"/>
  <c r="V351" i="2"/>
  <c r="S351" i="2"/>
  <c r="Y351" i="2" s="1"/>
  <c r="M351" i="2"/>
  <c r="J349" i="2" s="1"/>
  <c r="Y350" i="2"/>
  <c r="V350" i="2"/>
  <c r="S350" i="2"/>
  <c r="M350" i="2"/>
  <c r="W349" i="2"/>
  <c r="V349" i="2"/>
  <c r="T349" i="2"/>
  <c r="Z349" i="2" s="1"/>
  <c r="N349" i="2"/>
  <c r="Y348" i="2"/>
  <c r="V348" i="2"/>
  <c r="S348" i="2"/>
  <c r="M348" i="2"/>
  <c r="V347" i="2"/>
  <c r="S347" i="2"/>
  <c r="Y347" i="2" s="1"/>
  <c r="M347" i="2"/>
  <c r="J345" i="2" s="1"/>
  <c r="V346" i="2"/>
  <c r="S346" i="2"/>
  <c r="P345" i="2" s="1"/>
  <c r="M346" i="2"/>
  <c r="Z345" i="2"/>
  <c r="W345" i="2"/>
  <c r="V345" i="2"/>
  <c r="T345" i="2"/>
  <c r="N345" i="2"/>
  <c r="Y344" i="2"/>
  <c r="V344" i="2"/>
  <c r="S344" i="2"/>
  <c r="M344" i="2"/>
  <c r="V343" i="2"/>
  <c r="S343" i="2"/>
  <c r="Y343" i="2" s="1"/>
  <c r="M343" i="2"/>
  <c r="J341" i="2" s="1"/>
  <c r="L341" i="2" s="1"/>
  <c r="Y342" i="2"/>
  <c r="V342" i="2"/>
  <c r="S342" i="2"/>
  <c r="M342" i="2"/>
  <c r="Z341" i="2"/>
  <c r="W341" i="2"/>
  <c r="T341" i="2"/>
  <c r="N341" i="2"/>
  <c r="Y340" i="2"/>
  <c r="V340" i="2"/>
  <c r="S340" i="2"/>
  <c r="M340" i="2"/>
  <c r="V339" i="2"/>
  <c r="S339" i="2"/>
  <c r="M339" i="2"/>
  <c r="Y338" i="2"/>
  <c r="V338" i="2"/>
  <c r="S338" i="2"/>
  <c r="M338" i="2"/>
  <c r="J337" i="2" s="1"/>
  <c r="W337" i="2"/>
  <c r="T337" i="2"/>
  <c r="Z337" i="2" s="1"/>
  <c r="N337" i="2"/>
  <c r="V336" i="2"/>
  <c r="S336" i="2"/>
  <c r="Y336" i="2" s="1"/>
  <c r="M336" i="2"/>
  <c r="Y335" i="2"/>
  <c r="V335" i="2"/>
  <c r="S335" i="2"/>
  <c r="M335" i="2"/>
  <c r="V334" i="2"/>
  <c r="S334" i="2"/>
  <c r="M334" i="2"/>
  <c r="Z333" i="2"/>
  <c r="W333" i="2"/>
  <c r="T333" i="2"/>
  <c r="N333" i="2"/>
  <c r="V332" i="2"/>
  <c r="S332" i="2"/>
  <c r="Y332" i="2" s="1"/>
  <c r="M332" i="2"/>
  <c r="J330" i="2" s="1"/>
  <c r="V331" i="2"/>
  <c r="S331" i="2"/>
  <c r="M331" i="2"/>
  <c r="Z330" i="2"/>
  <c r="W330" i="2"/>
  <c r="T330" i="2"/>
  <c r="N330" i="2"/>
  <c r="V329" i="2"/>
  <c r="S329" i="2"/>
  <c r="Y329" i="2" s="1"/>
  <c r="M329" i="2"/>
  <c r="J326" i="2" s="1"/>
  <c r="V328" i="2"/>
  <c r="S328" i="2"/>
  <c r="M328" i="2"/>
  <c r="Y327" i="2"/>
  <c r="V327" i="2"/>
  <c r="S327" i="2"/>
  <c r="M327" i="2"/>
  <c r="W326" i="2"/>
  <c r="T326" i="2"/>
  <c r="Z326" i="2" s="1"/>
  <c r="N326" i="2"/>
  <c r="Y325" i="2"/>
  <c r="V325" i="2"/>
  <c r="S325" i="2"/>
  <c r="M325" i="2"/>
  <c r="V324" i="2"/>
  <c r="S324" i="2"/>
  <c r="Y324" i="2" s="1"/>
  <c r="M324" i="2"/>
  <c r="J323" i="2" s="1"/>
  <c r="W323" i="2"/>
  <c r="T323" i="2"/>
  <c r="Z323" i="2" s="1"/>
  <c r="P323" i="2"/>
  <c r="N323" i="2"/>
  <c r="Y322" i="2"/>
  <c r="V322" i="2"/>
  <c r="S322" i="2"/>
  <c r="M322" i="2"/>
  <c r="Y321" i="2"/>
  <c r="V321" i="2"/>
  <c r="S321" i="2"/>
  <c r="M321" i="2"/>
  <c r="V320" i="2"/>
  <c r="S320" i="2"/>
  <c r="P319" i="2" s="1"/>
  <c r="M320" i="2"/>
  <c r="J319" i="2" s="1"/>
  <c r="M319" i="2" s="1"/>
  <c r="O319" i="2" s="1"/>
  <c r="Z319" i="2"/>
  <c r="W319" i="2"/>
  <c r="V319" i="2"/>
  <c r="T319" i="2"/>
  <c r="N319" i="2"/>
  <c r="L319" i="2"/>
  <c r="Y318" i="2"/>
  <c r="V318" i="2"/>
  <c r="S318" i="2"/>
  <c r="M318" i="2"/>
  <c r="J316" i="2" s="1"/>
  <c r="Y317" i="2"/>
  <c r="V317" i="2"/>
  <c r="S317" i="2"/>
  <c r="M317" i="2"/>
  <c r="Z316" i="2"/>
  <c r="W316" i="2"/>
  <c r="T316" i="2"/>
  <c r="P316" i="2"/>
  <c r="V316" i="2" s="1"/>
  <c r="N316" i="2"/>
  <c r="V315" i="2"/>
  <c r="S315" i="2"/>
  <c r="M315" i="2"/>
  <c r="Y314" i="2"/>
  <c r="V314" i="2"/>
  <c r="S314" i="2"/>
  <c r="M314" i="2"/>
  <c r="Y313" i="2"/>
  <c r="V313" i="2"/>
  <c r="S313" i="2"/>
  <c r="M313" i="2"/>
  <c r="W312" i="2"/>
  <c r="T312" i="2"/>
  <c r="Z312" i="2" s="1"/>
  <c r="N312" i="2"/>
  <c r="Y311" i="2"/>
  <c r="V311" i="2"/>
  <c r="S311" i="2"/>
  <c r="M311" i="2"/>
  <c r="V310" i="2"/>
  <c r="S310" i="2"/>
  <c r="Y310" i="2" s="1"/>
  <c r="M310" i="2"/>
  <c r="V309" i="2"/>
  <c r="S309" i="2"/>
  <c r="M309" i="2"/>
  <c r="J308" i="2" s="1"/>
  <c r="Z308" i="2"/>
  <c r="W308" i="2"/>
  <c r="T308" i="2"/>
  <c r="N308" i="2"/>
  <c r="V307" i="2"/>
  <c r="S307" i="2"/>
  <c r="Y307" i="2" s="1"/>
  <c r="M307" i="2"/>
  <c r="J304" i="2" s="1"/>
  <c r="Y306" i="2"/>
  <c r="V306" i="2"/>
  <c r="S306" i="2"/>
  <c r="M306" i="2"/>
  <c r="V305" i="2"/>
  <c r="S305" i="2"/>
  <c r="M305" i="2"/>
  <c r="W304" i="2"/>
  <c r="T304" i="2"/>
  <c r="Z304" i="2" s="1"/>
  <c r="N304" i="2"/>
  <c r="Y303" i="2"/>
  <c r="V303" i="2"/>
  <c r="S303" i="2"/>
  <c r="M303" i="2"/>
  <c r="V302" i="2"/>
  <c r="S302" i="2"/>
  <c r="Y302" i="2" s="1"/>
  <c r="M302" i="2"/>
  <c r="J300" i="2" s="1"/>
  <c r="V301" i="2"/>
  <c r="S301" i="2"/>
  <c r="M301" i="2"/>
  <c r="W300" i="2"/>
  <c r="T300" i="2"/>
  <c r="Z300" i="2" s="1"/>
  <c r="N300" i="2"/>
  <c r="Y299" i="2"/>
  <c r="V299" i="2"/>
  <c r="S299" i="2"/>
  <c r="M299" i="2"/>
  <c r="J297" i="2" s="1"/>
  <c r="V298" i="2"/>
  <c r="S298" i="2"/>
  <c r="M298" i="2"/>
  <c r="Z297" i="2"/>
  <c r="W297" i="2"/>
  <c r="T297" i="2"/>
  <c r="N297" i="2"/>
  <c r="V296" i="2"/>
  <c r="S296" i="2"/>
  <c r="Y296" i="2" s="1"/>
  <c r="M296" i="2"/>
  <c r="V295" i="2"/>
  <c r="S295" i="2"/>
  <c r="Y295" i="2" s="1"/>
  <c r="M295" i="2"/>
  <c r="Y294" i="2"/>
  <c r="V294" i="2"/>
  <c r="S294" i="2"/>
  <c r="M294" i="2"/>
  <c r="J293" i="2" s="1"/>
  <c r="Z293" i="2"/>
  <c r="W293" i="2"/>
  <c r="T293" i="2"/>
  <c r="N293" i="2"/>
  <c r="V292" i="2"/>
  <c r="S292" i="2"/>
  <c r="Y292" i="2" s="1"/>
  <c r="M292" i="2"/>
  <c r="Y291" i="2"/>
  <c r="V291" i="2"/>
  <c r="S291" i="2"/>
  <c r="M291" i="2"/>
  <c r="W290" i="2"/>
  <c r="T290" i="2"/>
  <c r="P290" i="2"/>
  <c r="S290" i="2" s="1"/>
  <c r="U290" i="2" s="1"/>
  <c r="N290" i="2"/>
  <c r="J290" i="2"/>
  <c r="V287" i="2"/>
  <c r="S287" i="2"/>
  <c r="Y287" i="2" s="1"/>
  <c r="M287" i="2"/>
  <c r="W286" i="2"/>
  <c r="T286" i="2"/>
  <c r="P286" i="2"/>
  <c r="V286" i="2" s="1"/>
  <c r="N286" i="2"/>
  <c r="J286" i="2"/>
  <c r="N285" i="2"/>
  <c r="V284" i="2"/>
  <c r="S284" i="2"/>
  <c r="Y284" i="2" s="1"/>
  <c r="M284" i="2"/>
  <c r="V283" i="2"/>
  <c r="S283" i="2"/>
  <c r="Y283" i="2" s="1"/>
  <c r="M283" i="2"/>
  <c r="V282" i="2"/>
  <c r="S282" i="2"/>
  <c r="M282" i="2"/>
  <c r="V281" i="2"/>
  <c r="S281" i="2"/>
  <c r="Y281" i="2" s="1"/>
  <c r="M281" i="2"/>
  <c r="Z280" i="2"/>
  <c r="W280" i="2"/>
  <c r="T280" i="2"/>
  <c r="N280" i="2"/>
  <c r="V279" i="2"/>
  <c r="S279" i="2"/>
  <c r="Y279" i="2" s="1"/>
  <c r="M279" i="2"/>
  <c r="V278" i="2"/>
  <c r="S278" i="2"/>
  <c r="Y278" i="2" s="1"/>
  <c r="M278" i="2"/>
  <c r="V277" i="2"/>
  <c r="S277" i="2"/>
  <c r="Y277" i="2" s="1"/>
  <c r="M277" i="2"/>
  <c r="J275" i="2" s="1"/>
  <c r="V276" i="2"/>
  <c r="S276" i="2"/>
  <c r="M276" i="2"/>
  <c r="W275" i="2"/>
  <c r="T275" i="2"/>
  <c r="Z275" i="2" s="1"/>
  <c r="N275" i="2"/>
  <c r="Y274" i="2"/>
  <c r="V274" i="2"/>
  <c r="S274" i="2"/>
  <c r="M274" i="2"/>
  <c r="V273" i="2"/>
  <c r="S273" i="2"/>
  <c r="Y273" i="2" s="1"/>
  <c r="M273" i="2"/>
  <c r="V272" i="2"/>
  <c r="S272" i="2"/>
  <c r="M272" i="2"/>
  <c r="Y271" i="2"/>
  <c r="V271" i="2"/>
  <c r="S271" i="2"/>
  <c r="M271" i="2"/>
  <c r="J270" i="2" s="1"/>
  <c r="L270" i="2" s="1"/>
  <c r="W270" i="2"/>
  <c r="T270" i="2"/>
  <c r="Z270" i="2" s="1"/>
  <c r="N270" i="2"/>
  <c r="M270" i="2"/>
  <c r="O270" i="2" s="1"/>
  <c r="V269" i="2"/>
  <c r="S269" i="2"/>
  <c r="Y269" i="2" s="1"/>
  <c r="M269" i="2"/>
  <c r="V268" i="2"/>
  <c r="S268" i="2"/>
  <c r="Y268" i="2" s="1"/>
  <c r="M268" i="2"/>
  <c r="V267" i="2"/>
  <c r="S267" i="2"/>
  <c r="Y267" i="2" s="1"/>
  <c r="M267" i="2"/>
  <c r="J265" i="2" s="1"/>
  <c r="M265" i="2" s="1"/>
  <c r="O265" i="2" s="1"/>
  <c r="Y266" i="2"/>
  <c r="V266" i="2"/>
  <c r="S266" i="2"/>
  <c r="M266" i="2"/>
  <c r="Z265" i="2"/>
  <c r="W265" i="2"/>
  <c r="T265" i="2"/>
  <c r="P265" i="2"/>
  <c r="N265" i="2"/>
  <c r="V264" i="2"/>
  <c r="S264" i="2"/>
  <c r="Y264" i="2" s="1"/>
  <c r="M264" i="2"/>
  <c r="V263" i="2"/>
  <c r="S263" i="2"/>
  <c r="Y263" i="2" s="1"/>
  <c r="M263" i="2"/>
  <c r="Y262" i="2"/>
  <c r="V262" i="2"/>
  <c r="S262" i="2"/>
  <c r="M262" i="2"/>
  <c r="V261" i="2"/>
  <c r="S261" i="2"/>
  <c r="M261" i="2"/>
  <c r="Z260" i="2"/>
  <c r="W260" i="2"/>
  <c r="T260" i="2"/>
  <c r="N260" i="2"/>
  <c r="V259" i="2"/>
  <c r="S259" i="2"/>
  <c r="Y259" i="2" s="1"/>
  <c r="M259" i="2"/>
  <c r="V258" i="2"/>
  <c r="S258" i="2"/>
  <c r="Y258" i="2" s="1"/>
  <c r="M258" i="2"/>
  <c r="Y257" i="2"/>
  <c r="V257" i="2"/>
  <c r="S257" i="2"/>
  <c r="M257" i="2"/>
  <c r="V256" i="2"/>
  <c r="S256" i="2"/>
  <c r="Y256" i="2" s="1"/>
  <c r="M256" i="2"/>
  <c r="W255" i="2"/>
  <c r="T255" i="2"/>
  <c r="Z255" i="2" s="1"/>
  <c r="N255" i="2"/>
  <c r="Y254" i="2"/>
  <c r="V254" i="2"/>
  <c r="S254" i="2"/>
  <c r="M254" i="2"/>
  <c r="V253" i="2"/>
  <c r="S253" i="2"/>
  <c r="Y253" i="2" s="1"/>
  <c r="M253" i="2"/>
  <c r="Y252" i="2"/>
  <c r="V252" i="2"/>
  <c r="S252" i="2"/>
  <c r="M252" i="2"/>
  <c r="J250" i="2" s="1"/>
  <c r="Y251" i="2"/>
  <c r="V251" i="2"/>
  <c r="S251" i="2"/>
  <c r="M251" i="2"/>
  <c r="W250" i="2"/>
  <c r="T250" i="2"/>
  <c r="Z250" i="2" s="1"/>
  <c r="N250" i="2"/>
  <c r="V249" i="2"/>
  <c r="S249" i="2"/>
  <c r="Y249" i="2" s="1"/>
  <c r="M249" i="2"/>
  <c r="V248" i="2"/>
  <c r="S248" i="2"/>
  <c r="Y248" i="2" s="1"/>
  <c r="M248" i="2"/>
  <c r="V247" i="2"/>
  <c r="S247" i="2"/>
  <c r="P245" i="2" s="1"/>
  <c r="M247" i="2"/>
  <c r="V246" i="2"/>
  <c r="S246" i="2"/>
  <c r="Y246" i="2" s="1"/>
  <c r="M246" i="2"/>
  <c r="W245" i="2"/>
  <c r="T245" i="2"/>
  <c r="Z245" i="2" s="1"/>
  <c r="N245" i="2"/>
  <c r="V244" i="2"/>
  <c r="S244" i="2"/>
  <c r="Y244" i="2" s="1"/>
  <c r="M244" i="2"/>
  <c r="V243" i="2"/>
  <c r="S243" i="2"/>
  <c r="Y243" i="2" s="1"/>
  <c r="M243" i="2"/>
  <c r="Y242" i="2"/>
  <c r="V242" i="2"/>
  <c r="S242" i="2"/>
  <c r="M242" i="2"/>
  <c r="V241" i="2"/>
  <c r="S241" i="2"/>
  <c r="M241" i="2"/>
  <c r="J240" i="2" s="1"/>
  <c r="L240" i="2" s="1"/>
  <c r="W240" i="2"/>
  <c r="T240" i="2"/>
  <c r="Z240" i="2" s="1"/>
  <c r="N240" i="2"/>
  <c r="Y239" i="2"/>
  <c r="V239" i="2"/>
  <c r="S239" i="2"/>
  <c r="M239" i="2"/>
  <c r="J238" i="2" s="1"/>
  <c r="W238" i="2"/>
  <c r="V238" i="2"/>
  <c r="T238" i="2"/>
  <c r="Z238" i="2" s="1"/>
  <c r="P238" i="2"/>
  <c r="S238" i="2" s="1"/>
  <c r="Y238" i="2" s="1"/>
  <c r="AA238" i="2" s="1"/>
  <c r="N238" i="2"/>
  <c r="V237" i="2"/>
  <c r="S237" i="2"/>
  <c r="Y237" i="2" s="1"/>
  <c r="M237" i="2"/>
  <c r="V236" i="2"/>
  <c r="S236" i="2"/>
  <c r="M236" i="2"/>
  <c r="Z235" i="2"/>
  <c r="W235" i="2"/>
  <c r="T235" i="2"/>
  <c r="N235" i="2"/>
  <c r="M235" i="2"/>
  <c r="O235" i="2" s="1"/>
  <c r="L235" i="2"/>
  <c r="J235" i="2"/>
  <c r="V234" i="2"/>
  <c r="S234" i="2"/>
  <c r="Y234" i="2" s="1"/>
  <c r="M234" i="2"/>
  <c r="J231" i="2" s="1"/>
  <c r="Y233" i="2"/>
  <c r="V233" i="2"/>
  <c r="S233" i="2"/>
  <c r="M233" i="2"/>
  <c r="V232" i="2"/>
  <c r="S232" i="2"/>
  <c r="Y232" i="2" s="1"/>
  <c r="M232" i="2"/>
  <c r="W231" i="2"/>
  <c r="T231" i="2"/>
  <c r="Z231" i="2" s="1"/>
  <c r="P231" i="2"/>
  <c r="N231" i="2"/>
  <c r="Y230" i="2"/>
  <c r="V230" i="2"/>
  <c r="S230" i="2"/>
  <c r="M230" i="2"/>
  <c r="V229" i="2"/>
  <c r="S229" i="2"/>
  <c r="Y229" i="2" s="1"/>
  <c r="M229" i="2"/>
  <c r="Y228" i="2"/>
  <c r="V228" i="2"/>
  <c r="S228" i="2"/>
  <c r="M228" i="2"/>
  <c r="W227" i="2"/>
  <c r="T227" i="2"/>
  <c r="Z227" i="2" s="1"/>
  <c r="N227" i="2"/>
  <c r="V226" i="2"/>
  <c r="S226" i="2"/>
  <c r="Y226" i="2" s="1"/>
  <c r="M226" i="2"/>
  <c r="V225" i="2"/>
  <c r="S225" i="2"/>
  <c r="Y225" i="2" s="1"/>
  <c r="M225" i="2"/>
  <c r="V224" i="2"/>
  <c r="S224" i="2"/>
  <c r="Y224" i="2" s="1"/>
  <c r="M224" i="2"/>
  <c r="V223" i="2"/>
  <c r="S223" i="2"/>
  <c r="M223" i="2"/>
  <c r="J222" i="2" s="1"/>
  <c r="Z222" i="2"/>
  <c r="W222" i="2"/>
  <c r="T222" i="2"/>
  <c r="N222" i="2"/>
  <c r="V221" i="2"/>
  <c r="S221" i="2"/>
  <c r="Y221" i="2" s="1"/>
  <c r="M221" i="2"/>
  <c r="V220" i="2"/>
  <c r="S220" i="2"/>
  <c r="Y220" i="2" s="1"/>
  <c r="M220" i="2"/>
  <c r="J217" i="2" s="1"/>
  <c r="Y219" i="2"/>
  <c r="V219" i="2"/>
  <c r="S219" i="2"/>
  <c r="M219" i="2"/>
  <c r="Y218" i="2"/>
  <c r="V218" i="2"/>
  <c r="S218" i="2"/>
  <c r="M218" i="2"/>
  <c r="Z217" i="2"/>
  <c r="W217" i="2"/>
  <c r="T217" i="2"/>
  <c r="N217" i="2"/>
  <c r="Y215" i="2"/>
  <c r="V215" i="2"/>
  <c r="S215" i="2"/>
  <c r="P214" i="2" s="1"/>
  <c r="M215" i="2"/>
  <c r="J214" i="2" s="1"/>
  <c r="L214" i="2" s="1"/>
  <c r="Z214" i="2"/>
  <c r="W214" i="2"/>
  <c r="T214" i="2"/>
  <c r="N214" i="2"/>
  <c r="M214" i="2"/>
  <c r="O214" i="2" s="1"/>
  <c r="V213" i="2"/>
  <c r="S213" i="2"/>
  <c r="M213" i="2"/>
  <c r="J212" i="2" s="1"/>
  <c r="Z212" i="2"/>
  <c r="W212" i="2"/>
  <c r="T212" i="2"/>
  <c r="N212" i="2"/>
  <c r="Y211" i="2"/>
  <c r="V211" i="2"/>
  <c r="S211" i="2"/>
  <c r="M211" i="2"/>
  <c r="Z210" i="2"/>
  <c r="Y210" i="2"/>
  <c r="AA210" i="2" s="1"/>
  <c r="X210" i="2"/>
  <c r="W210" i="2"/>
  <c r="U210" i="2"/>
  <c r="T210" i="2"/>
  <c r="S210" i="2"/>
  <c r="R210" i="2"/>
  <c r="P210" i="2"/>
  <c r="V210" i="2" s="1"/>
  <c r="N210" i="2"/>
  <c r="O210" i="2" s="1"/>
  <c r="M210" i="2"/>
  <c r="J210" i="2"/>
  <c r="L210" i="2" s="1"/>
  <c r="V209" i="2"/>
  <c r="S209" i="2"/>
  <c r="M209" i="2"/>
  <c r="J208" i="2" s="1"/>
  <c r="Z208" i="2"/>
  <c r="W208" i="2"/>
  <c r="T208" i="2"/>
  <c r="N208" i="2"/>
  <c r="V207" i="2"/>
  <c r="S207" i="2"/>
  <c r="M207" i="2"/>
  <c r="J206" i="2" s="1"/>
  <c r="Z206" i="2"/>
  <c r="W206" i="2"/>
  <c r="T206" i="2"/>
  <c r="N206" i="2"/>
  <c r="Y205" i="2"/>
  <c r="V205" i="2"/>
  <c r="S205" i="2"/>
  <c r="M205" i="2"/>
  <c r="W204" i="2"/>
  <c r="V204" i="2"/>
  <c r="T204" i="2"/>
  <c r="Z204" i="2" s="1"/>
  <c r="P204" i="2"/>
  <c r="S204" i="2" s="1"/>
  <c r="N204" i="2"/>
  <c r="M204" i="2"/>
  <c r="O204" i="2" s="1"/>
  <c r="J204" i="2"/>
  <c r="L204" i="2" s="1"/>
  <c r="Y203" i="2"/>
  <c r="V203" i="2"/>
  <c r="S203" i="2"/>
  <c r="M203" i="2"/>
  <c r="Z202" i="2"/>
  <c r="W202" i="2"/>
  <c r="T202" i="2"/>
  <c r="P202" i="2"/>
  <c r="R202" i="2" s="1"/>
  <c r="X202" i="2" s="1"/>
  <c r="O202" i="2"/>
  <c r="N202" i="2"/>
  <c r="M202" i="2"/>
  <c r="J202" i="2"/>
  <c r="L202" i="2" s="1"/>
  <c r="V201" i="2"/>
  <c r="S201" i="2"/>
  <c r="M201" i="2"/>
  <c r="J200" i="2" s="1"/>
  <c r="W200" i="2"/>
  <c r="T200" i="2"/>
  <c r="Z200" i="2" s="1"/>
  <c r="N200" i="2"/>
  <c r="Y199" i="2"/>
  <c r="V199" i="2"/>
  <c r="S199" i="2"/>
  <c r="P198" i="2" s="1"/>
  <c r="M199" i="2"/>
  <c r="Z198" i="2"/>
  <c r="W198" i="2"/>
  <c r="T198" i="2"/>
  <c r="N198" i="2"/>
  <c r="J198" i="2"/>
  <c r="M198" i="2" s="1"/>
  <c r="O198" i="2" s="1"/>
  <c r="V197" i="2"/>
  <c r="S197" i="2"/>
  <c r="P196" i="2" s="1"/>
  <c r="M197" i="2"/>
  <c r="J196" i="2" s="1"/>
  <c r="Z196" i="2"/>
  <c r="W196" i="2"/>
  <c r="T196" i="2"/>
  <c r="N196" i="2"/>
  <c r="Y195" i="2"/>
  <c r="V195" i="2"/>
  <c r="S195" i="2"/>
  <c r="M195" i="2"/>
  <c r="Z194" i="2"/>
  <c r="Z193" i="2" s="1"/>
  <c r="Y194" i="2"/>
  <c r="W194" i="2"/>
  <c r="U194" i="2"/>
  <c r="T194" i="2"/>
  <c r="S194" i="2"/>
  <c r="P194" i="2"/>
  <c r="V194" i="2" s="1"/>
  <c r="N194" i="2"/>
  <c r="M194" i="2"/>
  <c r="O194" i="2" s="1"/>
  <c r="J194" i="2"/>
  <c r="L194" i="2" s="1"/>
  <c r="V192" i="2"/>
  <c r="S192" i="2"/>
  <c r="Y192" i="2" s="1"/>
  <c r="M192" i="2"/>
  <c r="Y191" i="2"/>
  <c r="V191" i="2"/>
  <c r="S191" i="2"/>
  <c r="M191" i="2"/>
  <c r="V190" i="2"/>
  <c r="S190" i="2"/>
  <c r="Y190" i="2" s="1"/>
  <c r="M190" i="2"/>
  <c r="J189" i="2" s="1"/>
  <c r="M189" i="2" s="1"/>
  <c r="O189" i="2" s="1"/>
  <c r="Z189" i="2"/>
  <c r="W189" i="2"/>
  <c r="T189" i="2"/>
  <c r="N189" i="2"/>
  <c r="V188" i="2"/>
  <c r="S188" i="2"/>
  <c r="Y188" i="2" s="1"/>
  <c r="M188" i="2"/>
  <c r="V187" i="2"/>
  <c r="S187" i="2"/>
  <c r="Y187" i="2" s="1"/>
  <c r="M187" i="2"/>
  <c r="Y186" i="2"/>
  <c r="V186" i="2"/>
  <c r="S186" i="2"/>
  <c r="M186" i="2"/>
  <c r="Z185" i="2"/>
  <c r="W185" i="2"/>
  <c r="T185" i="2"/>
  <c r="N185" i="2"/>
  <c r="V184" i="2"/>
  <c r="S184" i="2"/>
  <c r="Y184" i="2" s="1"/>
  <c r="M184" i="2"/>
  <c r="V183" i="2"/>
  <c r="S183" i="2"/>
  <c r="Y183" i="2" s="1"/>
  <c r="M183" i="2"/>
  <c r="V182" i="2"/>
  <c r="S182" i="2"/>
  <c r="P181" i="2" s="1"/>
  <c r="M182" i="2"/>
  <c r="W181" i="2"/>
  <c r="T181" i="2"/>
  <c r="Z181" i="2" s="1"/>
  <c r="N181" i="2"/>
  <c r="Y180" i="2"/>
  <c r="V180" i="2"/>
  <c r="S180" i="2"/>
  <c r="M180" i="2"/>
  <c r="Y179" i="2"/>
  <c r="AA179" i="2" s="1"/>
  <c r="W179" i="2"/>
  <c r="V179" i="2"/>
  <c r="T179" i="2"/>
  <c r="Z179" i="2" s="1"/>
  <c r="S179" i="2"/>
  <c r="R179" i="2"/>
  <c r="X179" i="2" s="1"/>
  <c r="P179" i="2"/>
  <c r="N179" i="2"/>
  <c r="O179" i="2" s="1"/>
  <c r="M179" i="2"/>
  <c r="L179" i="2"/>
  <c r="J179" i="2"/>
  <c r="V178" i="2"/>
  <c r="S178" i="2"/>
  <c r="P176" i="2" s="1"/>
  <c r="M178" i="2"/>
  <c r="Y177" i="2"/>
  <c r="V177" i="2"/>
  <c r="S177" i="2"/>
  <c r="M177" i="2"/>
  <c r="Z176" i="2"/>
  <c r="W176" i="2"/>
  <c r="T176" i="2"/>
  <c r="N176" i="2"/>
  <c r="V175" i="2"/>
  <c r="S175" i="2"/>
  <c r="Y175" i="2" s="1"/>
  <c r="M175" i="2"/>
  <c r="J173" i="2" s="1"/>
  <c r="Y174" i="2"/>
  <c r="V174" i="2"/>
  <c r="S174" i="2"/>
  <c r="M174" i="2"/>
  <c r="W173" i="2"/>
  <c r="T173" i="2"/>
  <c r="Z173" i="2" s="1"/>
  <c r="N173" i="2"/>
  <c r="V172" i="2"/>
  <c r="S172" i="2"/>
  <c r="P170" i="2" s="1"/>
  <c r="M172" i="2"/>
  <c r="Y171" i="2"/>
  <c r="V171" i="2"/>
  <c r="S171" i="2"/>
  <c r="M171" i="2"/>
  <c r="J170" i="2" s="1"/>
  <c r="L170" i="2" s="1"/>
  <c r="Z170" i="2"/>
  <c r="W170" i="2"/>
  <c r="T170" i="2"/>
  <c r="N170" i="2"/>
  <c r="M170" i="2"/>
  <c r="O170" i="2" s="1"/>
  <c r="V169" i="2"/>
  <c r="S169" i="2"/>
  <c r="Y169" i="2" s="1"/>
  <c r="M169" i="2"/>
  <c r="J166" i="2" s="1"/>
  <c r="L166" i="2" s="1"/>
  <c r="Y168" i="2"/>
  <c r="V168" i="2"/>
  <c r="S168" i="2"/>
  <c r="M168" i="2"/>
  <c r="Y167" i="2"/>
  <c r="V167" i="2"/>
  <c r="S167" i="2"/>
  <c r="M167" i="2"/>
  <c r="W166" i="2"/>
  <c r="T166" i="2"/>
  <c r="Z166" i="2" s="1"/>
  <c r="N166" i="2"/>
  <c r="V165" i="2"/>
  <c r="S165" i="2"/>
  <c r="Y165" i="2" s="1"/>
  <c r="M165" i="2"/>
  <c r="Y164" i="2"/>
  <c r="V164" i="2"/>
  <c r="S164" i="2"/>
  <c r="M164" i="2"/>
  <c r="Y163" i="2"/>
  <c r="V163" i="2"/>
  <c r="S163" i="2"/>
  <c r="M163" i="2"/>
  <c r="Z162" i="2"/>
  <c r="W162" i="2"/>
  <c r="T162" i="2"/>
  <c r="P162" i="2"/>
  <c r="V162" i="2" s="1"/>
  <c r="N162" i="2"/>
  <c r="V161" i="2"/>
  <c r="S161" i="2"/>
  <c r="Y161" i="2" s="1"/>
  <c r="M161" i="2"/>
  <c r="V160" i="2"/>
  <c r="S160" i="2"/>
  <c r="Y160" i="2" s="1"/>
  <c r="M160" i="2"/>
  <c r="Y159" i="2"/>
  <c r="V159" i="2"/>
  <c r="S159" i="2"/>
  <c r="M159" i="2"/>
  <c r="W158" i="2"/>
  <c r="T158" i="2"/>
  <c r="Z158" i="2" s="1"/>
  <c r="N158" i="2"/>
  <c r="J158" i="2"/>
  <c r="M158" i="2" s="1"/>
  <c r="O158" i="2" s="1"/>
  <c r="Y157" i="2"/>
  <c r="V157" i="2"/>
  <c r="S157" i="2"/>
  <c r="M157" i="2"/>
  <c r="V156" i="2"/>
  <c r="S156" i="2"/>
  <c r="M156" i="2"/>
  <c r="Y155" i="2"/>
  <c r="V155" i="2"/>
  <c r="S155" i="2"/>
  <c r="M155" i="2"/>
  <c r="J154" i="2" s="1"/>
  <c r="Z154" i="2"/>
  <c r="W154" i="2"/>
  <c r="T154" i="2"/>
  <c r="N154" i="2"/>
  <c r="M154" i="2"/>
  <c r="O154" i="2" s="1"/>
  <c r="L154" i="2"/>
  <c r="V153" i="2"/>
  <c r="S153" i="2"/>
  <c r="Y153" i="2" s="1"/>
  <c r="M153" i="2"/>
  <c r="Y152" i="2"/>
  <c r="V152" i="2"/>
  <c r="S152" i="2"/>
  <c r="M152" i="2"/>
  <c r="Y151" i="2"/>
  <c r="V151" i="2"/>
  <c r="S151" i="2"/>
  <c r="M151" i="2"/>
  <c r="Z150" i="2"/>
  <c r="W150" i="2"/>
  <c r="T150" i="2"/>
  <c r="N150" i="2"/>
  <c r="J150" i="2"/>
  <c r="M150" i="2" s="1"/>
  <c r="O150" i="2" s="1"/>
  <c r="Y149" i="2"/>
  <c r="V149" i="2"/>
  <c r="S149" i="2"/>
  <c r="M149" i="2"/>
  <c r="V148" i="2"/>
  <c r="S148" i="2"/>
  <c r="P146" i="2" s="1"/>
  <c r="M148" i="2"/>
  <c r="Y147" i="2"/>
  <c r="V147" i="2"/>
  <c r="S147" i="2"/>
  <c r="M147" i="2"/>
  <c r="Z146" i="2"/>
  <c r="W146" i="2"/>
  <c r="T146" i="2"/>
  <c r="N146" i="2"/>
  <c r="V145" i="2"/>
  <c r="S145" i="2"/>
  <c r="Y145" i="2" s="1"/>
  <c r="M145" i="2"/>
  <c r="J142" i="2" s="1"/>
  <c r="V144" i="2"/>
  <c r="S144" i="2"/>
  <c r="P142" i="2" s="1"/>
  <c r="M144" i="2"/>
  <c r="Y143" i="2"/>
  <c r="V143" i="2"/>
  <c r="S143" i="2"/>
  <c r="M143" i="2"/>
  <c r="W142" i="2"/>
  <c r="T142" i="2"/>
  <c r="Z142" i="2" s="1"/>
  <c r="N142" i="2"/>
  <c r="Y141" i="2"/>
  <c r="V141" i="2"/>
  <c r="S141" i="2"/>
  <c r="M141" i="2"/>
  <c r="V140" i="2"/>
  <c r="S140" i="2"/>
  <c r="Y140" i="2" s="1"/>
  <c r="M140" i="2"/>
  <c r="V139" i="2"/>
  <c r="S139" i="2"/>
  <c r="M139" i="2"/>
  <c r="J138" i="2" s="1"/>
  <c r="L138" i="2" s="1"/>
  <c r="Z138" i="2"/>
  <c r="W138" i="2"/>
  <c r="T138" i="2"/>
  <c r="N138" i="2"/>
  <c r="M138" i="2"/>
  <c r="O138" i="2" s="1"/>
  <c r="V137" i="2"/>
  <c r="S137" i="2"/>
  <c r="Y137" i="2" s="1"/>
  <c r="M137" i="2"/>
  <c r="Y136" i="2"/>
  <c r="V136" i="2"/>
  <c r="S136" i="2"/>
  <c r="M136" i="2"/>
  <c r="Y135" i="2"/>
  <c r="V135" i="2"/>
  <c r="S135" i="2"/>
  <c r="M135" i="2"/>
  <c r="Z134" i="2"/>
  <c r="W134" i="2"/>
  <c r="T134" i="2"/>
  <c r="N134" i="2"/>
  <c r="J134" i="2"/>
  <c r="M134" i="2" s="1"/>
  <c r="O134" i="2" s="1"/>
  <c r="Y133" i="2"/>
  <c r="V133" i="2"/>
  <c r="S133" i="2"/>
  <c r="M133" i="2"/>
  <c r="V132" i="2"/>
  <c r="S132" i="2"/>
  <c r="P130" i="2" s="1"/>
  <c r="M132" i="2"/>
  <c r="Y131" i="2"/>
  <c r="V131" i="2"/>
  <c r="S131" i="2"/>
  <c r="M131" i="2"/>
  <c r="W130" i="2"/>
  <c r="T130" i="2"/>
  <c r="Z130" i="2" s="1"/>
  <c r="N130" i="2"/>
  <c r="V129" i="2"/>
  <c r="S129" i="2"/>
  <c r="Y129" i="2" s="1"/>
  <c r="M129" i="2"/>
  <c r="V128" i="2"/>
  <c r="S128" i="2"/>
  <c r="Y128" i="2" s="1"/>
  <c r="M128" i="2"/>
  <c r="V127" i="2"/>
  <c r="S127" i="2"/>
  <c r="M127" i="2"/>
  <c r="Y126" i="2"/>
  <c r="V126" i="2"/>
  <c r="S126" i="2"/>
  <c r="M126" i="2"/>
  <c r="W125" i="2"/>
  <c r="T125" i="2"/>
  <c r="Z125" i="2" s="1"/>
  <c r="N125" i="2"/>
  <c r="V124" i="2"/>
  <c r="S124" i="2"/>
  <c r="M124" i="2"/>
  <c r="W123" i="2"/>
  <c r="T123" i="2"/>
  <c r="Z123" i="2" s="1"/>
  <c r="N123" i="2"/>
  <c r="J123" i="2"/>
  <c r="M123" i="2" s="1"/>
  <c r="O123" i="2" s="1"/>
  <c r="V122" i="2"/>
  <c r="S122" i="2"/>
  <c r="Y122" i="2" s="1"/>
  <c r="M122" i="2"/>
  <c r="Z121" i="2"/>
  <c r="W121" i="2"/>
  <c r="T121" i="2"/>
  <c r="P121" i="2"/>
  <c r="S121" i="2" s="1"/>
  <c r="N121" i="2"/>
  <c r="J121" i="2"/>
  <c r="M121" i="2" s="1"/>
  <c r="O121" i="2" s="1"/>
  <c r="V120" i="2"/>
  <c r="S120" i="2"/>
  <c r="Y120" i="2" s="1"/>
  <c r="M120" i="2"/>
  <c r="W119" i="2"/>
  <c r="T119" i="2"/>
  <c r="Z119" i="2" s="1"/>
  <c r="P119" i="2"/>
  <c r="S119" i="2" s="1"/>
  <c r="N119" i="2"/>
  <c r="J119" i="2"/>
  <c r="M119" i="2" s="1"/>
  <c r="O119" i="2" s="1"/>
  <c r="Y118" i="2"/>
  <c r="V118" i="2"/>
  <c r="S118" i="2"/>
  <c r="M118" i="2"/>
  <c r="W117" i="2"/>
  <c r="T117" i="2"/>
  <c r="Z117" i="2" s="1"/>
  <c r="P117" i="2"/>
  <c r="S117" i="2" s="1"/>
  <c r="N117" i="2"/>
  <c r="O117" i="2" s="1"/>
  <c r="M117" i="2"/>
  <c r="L117" i="2"/>
  <c r="J117" i="2"/>
  <c r="Y116" i="2"/>
  <c r="V116" i="2"/>
  <c r="S116" i="2"/>
  <c r="P115" i="2" s="1"/>
  <c r="R115" i="2" s="1"/>
  <c r="M116" i="2"/>
  <c r="J115" i="2" s="1"/>
  <c r="X115" i="2"/>
  <c r="W115" i="2"/>
  <c r="V115" i="2"/>
  <c r="T115" i="2"/>
  <c r="S115" i="2"/>
  <c r="U115" i="2" s="1"/>
  <c r="N115" i="2"/>
  <c r="V114" i="2"/>
  <c r="S114" i="2"/>
  <c r="M114" i="2"/>
  <c r="Z113" i="2"/>
  <c r="W113" i="2"/>
  <c r="T113" i="2"/>
  <c r="N113" i="2"/>
  <c r="J113" i="2"/>
  <c r="AA112" i="2"/>
  <c r="Z112" i="2"/>
  <c r="X112" i="2"/>
  <c r="W112" i="2"/>
  <c r="U112" i="2"/>
  <c r="T112" i="2"/>
  <c r="R112" i="2"/>
  <c r="N112" i="2"/>
  <c r="L112" i="2"/>
  <c r="V106" i="2"/>
  <c r="S106" i="2"/>
  <c r="Y106" i="2" s="1"/>
  <c r="M106" i="2"/>
  <c r="V105" i="2"/>
  <c r="S105" i="2"/>
  <c r="Y105" i="2" s="1"/>
  <c r="M105" i="2"/>
  <c r="Y104" i="2"/>
  <c r="V104" i="2"/>
  <c r="S104" i="2"/>
  <c r="M104" i="2"/>
  <c r="W103" i="2"/>
  <c r="T103" i="2"/>
  <c r="T102" i="2" s="1"/>
  <c r="T101" i="2" s="1"/>
  <c r="N103" i="2"/>
  <c r="J103" i="2"/>
  <c r="L103" i="2" s="1"/>
  <c r="N102" i="2"/>
  <c r="N101" i="2" s="1"/>
  <c r="W100" i="2"/>
  <c r="U100" i="2"/>
  <c r="U99" i="2" s="1"/>
  <c r="T100" i="2"/>
  <c r="Z100" i="2" s="1"/>
  <c r="AA100" i="2" s="1"/>
  <c r="R100" i="2"/>
  <c r="X100" i="2" s="1"/>
  <c r="N100" i="2"/>
  <c r="N99" i="2" s="1"/>
  <c r="L100" i="2"/>
  <c r="AA99" i="2"/>
  <c r="Z99" i="2"/>
  <c r="Y99" i="2"/>
  <c r="T99" i="2"/>
  <c r="S99" i="2"/>
  <c r="M99" i="2"/>
  <c r="V98" i="2"/>
  <c r="S98" i="2"/>
  <c r="M98" i="2"/>
  <c r="J97" i="2" s="1"/>
  <c r="W97" i="2"/>
  <c r="T97" i="2"/>
  <c r="Z97" i="2" s="1"/>
  <c r="N97" i="2"/>
  <c r="Y96" i="2"/>
  <c r="V96" i="2"/>
  <c r="S96" i="2"/>
  <c r="M96" i="2"/>
  <c r="Z95" i="2"/>
  <c r="W95" i="2"/>
  <c r="T95" i="2"/>
  <c r="P95" i="2"/>
  <c r="N95" i="2"/>
  <c r="J95" i="2"/>
  <c r="Y94" i="2"/>
  <c r="V94" i="2"/>
  <c r="S94" i="2"/>
  <c r="M94" i="2"/>
  <c r="W93" i="2"/>
  <c r="T93" i="2"/>
  <c r="Z93" i="2" s="1"/>
  <c r="P93" i="2"/>
  <c r="S93" i="2" s="1"/>
  <c r="N93" i="2"/>
  <c r="J93" i="2"/>
  <c r="M93" i="2" s="1"/>
  <c r="O93" i="2" s="1"/>
  <c r="Y92" i="2"/>
  <c r="V92" i="2"/>
  <c r="S92" i="2"/>
  <c r="M92" i="2"/>
  <c r="V91" i="2"/>
  <c r="S91" i="2"/>
  <c r="M91" i="2"/>
  <c r="J90" i="2" s="1"/>
  <c r="W90" i="2"/>
  <c r="T90" i="2"/>
  <c r="Z90" i="2" s="1"/>
  <c r="N90" i="2"/>
  <c r="V89" i="2"/>
  <c r="S89" i="2"/>
  <c r="Y89" i="2" s="1"/>
  <c r="M89" i="2"/>
  <c r="Y88" i="2"/>
  <c r="V88" i="2"/>
  <c r="S88" i="2"/>
  <c r="M88" i="2"/>
  <c r="Y87" i="2"/>
  <c r="V87" i="2"/>
  <c r="S87" i="2"/>
  <c r="M87" i="2"/>
  <c r="W86" i="2"/>
  <c r="T86" i="2"/>
  <c r="Z86" i="2" s="1"/>
  <c r="N86" i="2"/>
  <c r="V85" i="2"/>
  <c r="S85" i="2"/>
  <c r="Y85" i="2" s="1"/>
  <c r="M85" i="2"/>
  <c r="Y84" i="2"/>
  <c r="V84" i="2"/>
  <c r="S84" i="2"/>
  <c r="M84" i="2"/>
  <c r="V83" i="2"/>
  <c r="S83" i="2"/>
  <c r="P82" i="2" s="1"/>
  <c r="M83" i="2"/>
  <c r="J82" i="2" s="1"/>
  <c r="W82" i="2"/>
  <c r="V82" i="2"/>
  <c r="T82" i="2"/>
  <c r="Z82" i="2" s="1"/>
  <c r="N82" i="2"/>
  <c r="Y81" i="2"/>
  <c r="V81" i="2"/>
  <c r="S81" i="2"/>
  <c r="M81" i="2"/>
  <c r="Y80" i="2"/>
  <c r="V80" i="2"/>
  <c r="S80" i="2"/>
  <c r="P78" i="2" s="1"/>
  <c r="M80" i="2"/>
  <c r="V79" i="2"/>
  <c r="S79" i="2"/>
  <c r="Y79" i="2" s="1"/>
  <c r="M79" i="2"/>
  <c r="J78" i="2" s="1"/>
  <c r="L78" i="2" s="1"/>
  <c r="Z78" i="2"/>
  <c r="W78" i="2"/>
  <c r="T78" i="2"/>
  <c r="N78" i="2"/>
  <c r="M78" i="2"/>
  <c r="O78" i="2" s="1"/>
  <c r="V77" i="2"/>
  <c r="S77" i="2"/>
  <c r="Y77" i="2" s="1"/>
  <c r="M77" i="2"/>
  <c r="J75" i="2" s="1"/>
  <c r="Y76" i="2"/>
  <c r="V76" i="2"/>
  <c r="S76" i="2"/>
  <c r="M76" i="2"/>
  <c r="Z75" i="2"/>
  <c r="W75" i="2"/>
  <c r="T75" i="2"/>
  <c r="N75" i="2"/>
  <c r="N74" i="2" s="1"/>
  <c r="T74" i="2"/>
  <c r="Y73" i="2"/>
  <c r="V73" i="2"/>
  <c r="S73" i="2"/>
  <c r="M73" i="2"/>
  <c r="Y72" i="2"/>
  <c r="V72" i="2"/>
  <c r="S72" i="2"/>
  <c r="M72" i="2"/>
  <c r="V71" i="2"/>
  <c r="S71" i="2"/>
  <c r="Y71" i="2" s="1"/>
  <c r="M71" i="2"/>
  <c r="J69" i="2" s="1"/>
  <c r="V70" i="2"/>
  <c r="S70" i="2"/>
  <c r="P69" i="2" s="1"/>
  <c r="M70" i="2"/>
  <c r="Z69" i="2"/>
  <c r="W69" i="2"/>
  <c r="T69" i="2"/>
  <c r="N69" i="2"/>
  <c r="N57" i="2" s="1"/>
  <c r="V68" i="2"/>
  <c r="S68" i="2"/>
  <c r="Y68" i="2" s="1"/>
  <c r="M68" i="2"/>
  <c r="Y67" i="2"/>
  <c r="V67" i="2"/>
  <c r="S67" i="2"/>
  <c r="M67" i="2"/>
  <c r="Y66" i="2"/>
  <c r="V66" i="2"/>
  <c r="S66" i="2"/>
  <c r="M66" i="2"/>
  <c r="V65" i="2"/>
  <c r="S65" i="2"/>
  <c r="M65" i="2"/>
  <c r="J64" i="2" s="1"/>
  <c r="Z64" i="2"/>
  <c r="W64" i="2"/>
  <c r="T64" i="2"/>
  <c r="N64" i="2"/>
  <c r="V63" i="2"/>
  <c r="S63" i="2"/>
  <c r="Y63" i="2" s="1"/>
  <c r="M63" i="2"/>
  <c r="Y62" i="2"/>
  <c r="V62" i="2"/>
  <c r="S62" i="2"/>
  <c r="M62" i="2"/>
  <c r="V61" i="2"/>
  <c r="S61" i="2"/>
  <c r="Y61" i="2" s="1"/>
  <c r="M61" i="2"/>
  <c r="V60" i="2"/>
  <c r="S60" i="2"/>
  <c r="Y60" i="2" s="1"/>
  <c r="M60" i="2"/>
  <c r="V59" i="2"/>
  <c r="S59" i="2"/>
  <c r="Y59" i="2" s="1"/>
  <c r="M59" i="2"/>
  <c r="W58" i="2"/>
  <c r="T58" i="2"/>
  <c r="Z58" i="2" s="1"/>
  <c r="N58" i="2"/>
  <c r="T57" i="2"/>
  <c r="Y56" i="2"/>
  <c r="V56" i="2"/>
  <c r="S56" i="2"/>
  <c r="M56" i="2"/>
  <c r="Y55" i="2"/>
  <c r="V55" i="2"/>
  <c r="S55" i="2"/>
  <c r="M55" i="2"/>
  <c r="V54" i="2"/>
  <c r="S54" i="2"/>
  <c r="Y54" i="2" s="1"/>
  <c r="M54" i="2"/>
  <c r="V53" i="2"/>
  <c r="S53" i="2"/>
  <c r="P52" i="2" s="1"/>
  <c r="M53" i="2"/>
  <c r="Z52" i="2"/>
  <c r="W52" i="2"/>
  <c r="V52" i="2"/>
  <c r="T52" i="2"/>
  <c r="N52" i="2"/>
  <c r="N51" i="2" s="1"/>
  <c r="N43" i="2" s="1"/>
  <c r="J52" i="2"/>
  <c r="L52" i="2" s="1"/>
  <c r="Z51" i="2"/>
  <c r="T51" i="2"/>
  <c r="V50" i="2"/>
  <c r="S50" i="2"/>
  <c r="Y50" i="2" s="1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V46" i="2"/>
  <c r="S46" i="2"/>
  <c r="M46" i="2"/>
  <c r="W45" i="2"/>
  <c r="T45" i="2"/>
  <c r="N45" i="2"/>
  <c r="N44" i="2"/>
  <c r="Y42" i="2"/>
  <c r="V42" i="2"/>
  <c r="S42" i="2"/>
  <c r="M42" i="2"/>
  <c r="Y41" i="2"/>
  <c r="V41" i="2"/>
  <c r="S41" i="2"/>
  <c r="P40" i="2" s="1"/>
  <c r="M41" i="2"/>
  <c r="W40" i="2"/>
  <c r="V40" i="2"/>
  <c r="T40" i="2"/>
  <c r="Z40" i="2" s="1"/>
  <c r="S40" i="2"/>
  <c r="Y40" i="2" s="1"/>
  <c r="AA40" i="2" s="1"/>
  <c r="R40" i="2"/>
  <c r="X40" i="2" s="1"/>
  <c r="N40" i="2"/>
  <c r="N34" i="2" s="1"/>
  <c r="J40" i="2"/>
  <c r="M40" i="2" s="1"/>
  <c r="Y39" i="2"/>
  <c r="V39" i="2"/>
  <c r="S39" i="2"/>
  <c r="M39" i="2"/>
  <c r="V38" i="2"/>
  <c r="S38" i="2"/>
  <c r="Y38" i="2" s="1"/>
  <c r="M38" i="2"/>
  <c r="Y37" i="2"/>
  <c r="V37" i="2"/>
  <c r="S37" i="2"/>
  <c r="M37" i="2"/>
  <c r="J35" i="2" s="1"/>
  <c r="Y36" i="2"/>
  <c r="V36" i="2"/>
  <c r="S36" i="2"/>
  <c r="M36" i="2"/>
  <c r="W35" i="2"/>
  <c r="V35" i="2"/>
  <c r="T35" i="2"/>
  <c r="Z35" i="2" s="1"/>
  <c r="S35" i="2"/>
  <c r="P35" i="2"/>
  <c r="R35" i="2" s="1"/>
  <c r="X35" i="2" s="1"/>
  <c r="N35" i="2"/>
  <c r="V31" i="2"/>
  <c r="S31" i="2"/>
  <c r="Y31" i="2" s="1"/>
  <c r="M31" i="2"/>
  <c r="Y30" i="2"/>
  <c r="V30" i="2"/>
  <c r="S30" i="2"/>
  <c r="M30" i="2"/>
  <c r="V29" i="2"/>
  <c r="S29" i="2"/>
  <c r="Y29" i="2" s="1"/>
  <c r="M29" i="2"/>
  <c r="Y28" i="2"/>
  <c r="V28" i="2"/>
  <c r="S28" i="2"/>
  <c r="M28" i="2"/>
  <c r="V27" i="2"/>
  <c r="S27" i="2"/>
  <c r="Y27" i="2" s="1"/>
  <c r="M27" i="2"/>
  <c r="W26" i="2"/>
  <c r="T26" i="2"/>
  <c r="Z26" i="2" s="1"/>
  <c r="Z25" i="2" s="1"/>
  <c r="N26" i="2"/>
  <c r="N25" i="2" s="1"/>
  <c r="T25" i="2"/>
  <c r="V24" i="2"/>
  <c r="S24" i="2"/>
  <c r="Y24" i="2" s="1"/>
  <c r="M24" i="2"/>
  <c r="V23" i="2"/>
  <c r="S23" i="2"/>
  <c r="Y23" i="2" s="1"/>
  <c r="M23" i="2"/>
  <c r="Y22" i="2"/>
  <c r="V22" i="2"/>
  <c r="S22" i="2"/>
  <c r="M22" i="2"/>
  <c r="Y21" i="2"/>
  <c r="V21" i="2"/>
  <c r="S21" i="2"/>
  <c r="M21" i="2"/>
  <c r="W20" i="2"/>
  <c r="T20" i="2"/>
  <c r="N20" i="2"/>
  <c r="J20" i="2"/>
  <c r="M20" i="2" s="1"/>
  <c r="N19" i="2"/>
  <c r="W14" i="2"/>
  <c r="T14" i="2"/>
  <c r="R14" i="2"/>
  <c r="X14" i="2" s="1"/>
  <c r="N14" i="2"/>
  <c r="N13" i="2" s="1"/>
  <c r="N12" i="2" s="1"/>
  <c r="N11" i="2" s="1"/>
  <c r="N10" i="2" s="1"/>
  <c r="L14" i="2"/>
  <c r="Y13" i="2"/>
  <c r="S13" i="2"/>
  <c r="M13" i="2"/>
  <c r="M12" i="2" s="1"/>
  <c r="Y12" i="2"/>
  <c r="S12" i="2"/>
  <c r="S11" i="2" s="1"/>
  <c r="S10" i="2" s="1"/>
  <c r="Y11" i="2"/>
  <c r="Y10" i="2" s="1"/>
  <c r="M11" i="2"/>
  <c r="M10" i="2" s="1"/>
  <c r="M142" i="2" l="1"/>
  <c r="O142" i="2" s="1"/>
  <c r="L142" i="2"/>
  <c r="L326" i="2"/>
  <c r="M326" i="2"/>
  <c r="O326" i="2" s="1"/>
  <c r="R130" i="2"/>
  <c r="X130" i="2" s="1"/>
  <c r="S130" i="2"/>
  <c r="V130" i="2"/>
  <c r="U544" i="2"/>
  <c r="Y544" i="2"/>
  <c r="AA544" i="2" s="1"/>
  <c r="M69" i="2"/>
  <c r="O69" i="2" s="1"/>
  <c r="L69" i="2"/>
  <c r="M231" i="2"/>
  <c r="O231" i="2" s="1"/>
  <c r="L231" i="2"/>
  <c r="M217" i="2"/>
  <c r="L217" i="2"/>
  <c r="M386" i="2"/>
  <c r="O386" i="2" s="1"/>
  <c r="L386" i="2"/>
  <c r="V181" i="2"/>
  <c r="S181" i="2"/>
  <c r="R181" i="2"/>
  <c r="X181" i="2" s="1"/>
  <c r="V231" i="2"/>
  <c r="S231" i="2"/>
  <c r="R231" i="2"/>
  <c r="X231" i="2" s="1"/>
  <c r="P469" i="2"/>
  <c r="Y471" i="2"/>
  <c r="V95" i="2"/>
  <c r="S95" i="2"/>
  <c r="R95" i="2"/>
  <c r="X95" i="2" s="1"/>
  <c r="U121" i="2"/>
  <c r="Y121" i="2"/>
  <c r="AA121" i="2" s="1"/>
  <c r="M35" i="2"/>
  <c r="L35" i="2"/>
  <c r="Y172" i="2"/>
  <c r="M19" i="2"/>
  <c r="O20" i="2"/>
  <c r="O19" i="2" s="1"/>
  <c r="L20" i="2"/>
  <c r="M103" i="2"/>
  <c r="L119" i="2"/>
  <c r="M166" i="2"/>
  <c r="O166" i="2" s="1"/>
  <c r="V582" i="2"/>
  <c r="S582" i="2"/>
  <c r="Y305" i="2"/>
  <c r="P304" i="2"/>
  <c r="V146" i="2"/>
  <c r="S146" i="2"/>
  <c r="R146" i="2"/>
  <c r="X146" i="2" s="1"/>
  <c r="AA194" i="2"/>
  <c r="L198" i="2"/>
  <c r="V142" i="2"/>
  <c r="S142" i="2"/>
  <c r="R142" i="2"/>
  <c r="X142" i="2" s="1"/>
  <c r="P369" i="2"/>
  <c r="Y370" i="2"/>
  <c r="Y70" i="2"/>
  <c r="Y148" i="2"/>
  <c r="M300" i="2"/>
  <c r="O300" i="2" s="1"/>
  <c r="L300" i="2"/>
  <c r="P361" i="2"/>
  <c r="Y362" i="2"/>
  <c r="Y35" i="2"/>
  <c r="S34" i="2"/>
  <c r="U35" i="2"/>
  <c r="L123" i="2"/>
  <c r="V176" i="2"/>
  <c r="S176" i="2"/>
  <c r="R176" i="2"/>
  <c r="X176" i="2" s="1"/>
  <c r="L189" i="2"/>
  <c r="P510" i="2"/>
  <c r="Y512" i="2"/>
  <c r="J58" i="2"/>
  <c r="M82" i="2"/>
  <c r="O82" i="2" s="1"/>
  <c r="L82" i="2"/>
  <c r="O100" i="2"/>
  <c r="O99" i="2" s="1"/>
  <c r="M404" i="2"/>
  <c r="O404" i="2" s="1"/>
  <c r="V407" i="2"/>
  <c r="R407" i="2"/>
  <c r="X407" i="2" s="1"/>
  <c r="M548" i="2"/>
  <c r="O548" i="2" s="1"/>
  <c r="T193" i="2"/>
  <c r="P275" i="2"/>
  <c r="Y276" i="2"/>
  <c r="M398" i="2"/>
  <c r="O398" i="2" s="1"/>
  <c r="L398" i="2"/>
  <c r="R401" i="2"/>
  <c r="X401" i="2" s="1"/>
  <c r="S407" i="2"/>
  <c r="U501" i="2"/>
  <c r="Y501" i="2"/>
  <c r="P504" i="2"/>
  <c r="Y505" i="2"/>
  <c r="M52" i="2"/>
  <c r="Y83" i="2"/>
  <c r="L121" i="2"/>
  <c r="S198" i="2"/>
  <c r="V198" i="2"/>
  <c r="R198" i="2"/>
  <c r="X198" i="2" s="1"/>
  <c r="U238" i="2"/>
  <c r="M297" i="2"/>
  <c r="O297" i="2" s="1"/>
  <c r="L297" i="2"/>
  <c r="S401" i="2"/>
  <c r="M410" i="2"/>
  <c r="O410" i="2" s="1"/>
  <c r="L410" i="2"/>
  <c r="L435" i="2"/>
  <c r="M435" i="2"/>
  <c r="O435" i="2" s="1"/>
  <c r="L485" i="2"/>
  <c r="M485" i="2"/>
  <c r="O485" i="2" s="1"/>
  <c r="Z501" i="2"/>
  <c r="Z500" i="2" s="1"/>
  <c r="T500" i="2"/>
  <c r="M64" i="2"/>
  <c r="O64" i="2" s="1"/>
  <c r="L64" i="2"/>
  <c r="P208" i="2"/>
  <c r="Y209" i="2"/>
  <c r="Y223" i="2"/>
  <c r="P222" i="2"/>
  <c r="Y433" i="2"/>
  <c r="P430" i="2"/>
  <c r="P64" i="2"/>
  <c r="Y65" i="2"/>
  <c r="L196" i="2"/>
  <c r="M196" i="2"/>
  <c r="V323" i="2"/>
  <c r="R323" i="2"/>
  <c r="X323" i="2" s="1"/>
  <c r="S323" i="2"/>
  <c r="L353" i="2"/>
  <c r="Y494" i="2"/>
  <c r="AA494" i="2" s="1"/>
  <c r="U494" i="2"/>
  <c r="V542" i="2"/>
  <c r="S542" i="2"/>
  <c r="R542" i="2"/>
  <c r="X542" i="2" s="1"/>
  <c r="L250" i="2"/>
  <c r="M250" i="2"/>
  <c r="O250" i="2" s="1"/>
  <c r="R316" i="2"/>
  <c r="X316" i="2" s="1"/>
  <c r="L425" i="2"/>
  <c r="M425" i="2"/>
  <c r="O425" i="2" s="1"/>
  <c r="L536" i="2"/>
  <c r="O14" i="2"/>
  <c r="O13" i="2" s="1"/>
  <c r="O12" i="2" s="1"/>
  <c r="O11" i="2" s="1"/>
  <c r="O10" i="2" s="1"/>
  <c r="T44" i="2"/>
  <c r="T43" i="2" s="1"/>
  <c r="Z45" i="2"/>
  <c r="Z44" i="2" s="1"/>
  <c r="Z43" i="2" s="1"/>
  <c r="Y132" i="2"/>
  <c r="L158" i="2"/>
  <c r="Y247" i="2"/>
  <c r="S316" i="2"/>
  <c r="P425" i="2"/>
  <c r="Y426" i="2"/>
  <c r="M522" i="2"/>
  <c r="O522" i="2" s="1"/>
  <c r="M525" i="2"/>
  <c r="O525" i="2" s="1"/>
  <c r="M374" i="2"/>
  <c r="L374" i="2"/>
  <c r="M455" i="2"/>
  <c r="O455" i="2" s="1"/>
  <c r="L455" i="2"/>
  <c r="M494" i="2"/>
  <c r="O494" i="2" s="1"/>
  <c r="L494" i="2"/>
  <c r="T13" i="2"/>
  <c r="T12" i="2" s="1"/>
  <c r="T11" i="2" s="1"/>
  <c r="T10" i="2" s="1"/>
  <c r="Z14" i="2"/>
  <c r="Y328" i="2"/>
  <c r="P326" i="2"/>
  <c r="Y456" i="2"/>
  <c r="P455" i="2"/>
  <c r="R582" i="2"/>
  <c r="X582" i="2" s="1"/>
  <c r="U14" i="2"/>
  <c r="U13" i="2" s="1"/>
  <c r="U12" i="2" s="1"/>
  <c r="U11" i="2" s="1"/>
  <c r="U10" i="2" s="1"/>
  <c r="P58" i="2"/>
  <c r="P86" i="2"/>
  <c r="M212" i="2"/>
  <c r="O212" i="2" s="1"/>
  <c r="L212" i="2"/>
  <c r="P365" i="2"/>
  <c r="Y366" i="2"/>
  <c r="L497" i="2"/>
  <c r="M497" i="2"/>
  <c r="O497" i="2" s="1"/>
  <c r="Y93" i="2"/>
  <c r="AA93" i="2" s="1"/>
  <c r="U93" i="2"/>
  <c r="P212" i="2"/>
  <c r="Y213" i="2"/>
  <c r="N373" i="2"/>
  <c r="Y516" i="2"/>
  <c r="AA516" i="2" s="1"/>
  <c r="U516" i="2"/>
  <c r="Y144" i="2"/>
  <c r="L407" i="2"/>
  <c r="S482" i="2"/>
  <c r="V482" i="2"/>
  <c r="R482" i="2"/>
  <c r="X482" i="2" s="1"/>
  <c r="P75" i="2"/>
  <c r="Y114" i="2"/>
  <c r="P113" i="2"/>
  <c r="M361" i="2"/>
  <c r="O361" i="2" s="1"/>
  <c r="L361" i="2"/>
  <c r="V544" i="2"/>
  <c r="R544" i="2"/>
  <c r="X544" i="2" s="1"/>
  <c r="Y178" i="2"/>
  <c r="L293" i="2"/>
  <c r="M293" i="2"/>
  <c r="O293" i="2" s="1"/>
  <c r="M304" i="2"/>
  <c r="O304" i="2" s="1"/>
  <c r="L304" i="2"/>
  <c r="V78" i="2"/>
  <c r="R78" i="2"/>
  <c r="X78" i="2" s="1"/>
  <c r="S78" i="2"/>
  <c r="M95" i="2"/>
  <c r="O95" i="2" s="1"/>
  <c r="L95" i="2"/>
  <c r="M275" i="2"/>
  <c r="O275" i="2" s="1"/>
  <c r="L275" i="2"/>
  <c r="Z538" i="2"/>
  <c r="T534" i="2"/>
  <c r="V170" i="2"/>
  <c r="S170" i="2"/>
  <c r="R170" i="2"/>
  <c r="X170" i="2" s="1"/>
  <c r="S245" i="2"/>
  <c r="R245" i="2"/>
  <c r="X245" i="2" s="1"/>
  <c r="V245" i="2"/>
  <c r="M330" i="2"/>
  <c r="O330" i="2" s="1"/>
  <c r="L330" i="2"/>
  <c r="N500" i="2"/>
  <c r="O536" i="2"/>
  <c r="Y182" i="2"/>
  <c r="V196" i="2"/>
  <c r="R196" i="2"/>
  <c r="X196" i="2" s="1"/>
  <c r="S196" i="2"/>
  <c r="R395" i="2"/>
  <c r="X395" i="2" s="1"/>
  <c r="V395" i="2"/>
  <c r="S395" i="2"/>
  <c r="M558" i="2"/>
  <c r="O558" i="2" s="1"/>
  <c r="L558" i="2"/>
  <c r="L582" i="2"/>
  <c r="M582" i="2"/>
  <c r="O582" i="2" s="1"/>
  <c r="V265" i="2"/>
  <c r="S265" i="2"/>
  <c r="R265" i="2"/>
  <c r="X265" i="2" s="1"/>
  <c r="Y197" i="2"/>
  <c r="L93" i="2"/>
  <c r="M308" i="2"/>
  <c r="O308" i="2" s="1"/>
  <c r="L308" i="2"/>
  <c r="M413" i="2"/>
  <c r="O413" i="2" s="1"/>
  <c r="L413" i="2"/>
  <c r="M450" i="2"/>
  <c r="O450" i="2" s="1"/>
  <c r="L450" i="2"/>
  <c r="P552" i="2"/>
  <c r="Y553" i="2"/>
  <c r="Z20" i="2"/>
  <c r="Z19" i="2" s="1"/>
  <c r="Z18" i="2" s="1"/>
  <c r="Z17" i="2" s="1"/>
  <c r="Z16" i="2" s="1"/>
  <c r="T19" i="2"/>
  <c r="T18" i="2" s="1"/>
  <c r="T17" i="2" s="1"/>
  <c r="T16" i="2" s="1"/>
  <c r="V69" i="2"/>
  <c r="R69" i="2"/>
  <c r="X69" i="2" s="1"/>
  <c r="S69" i="2"/>
  <c r="N216" i="2"/>
  <c r="P260" i="2"/>
  <c r="Y261" i="2"/>
  <c r="P300" i="2"/>
  <c r="Y301" i="2"/>
  <c r="M369" i="2"/>
  <c r="O369" i="2" s="1"/>
  <c r="L369" i="2"/>
  <c r="Y414" i="2"/>
  <c r="P413" i="2"/>
  <c r="M469" i="2"/>
  <c r="O469" i="2" s="1"/>
  <c r="M206" i="2"/>
  <c r="O206" i="2" s="1"/>
  <c r="L206" i="2"/>
  <c r="R389" i="2"/>
  <c r="X389" i="2" s="1"/>
  <c r="S389" i="2"/>
  <c r="V389" i="2"/>
  <c r="Y204" i="2"/>
  <c r="AA204" i="2" s="1"/>
  <c r="U204" i="2"/>
  <c r="P217" i="2"/>
  <c r="L365" i="2"/>
  <c r="M365" i="2"/>
  <c r="O365" i="2" s="1"/>
  <c r="L345" i="2"/>
  <c r="M345" i="2"/>
  <c r="O345" i="2" s="1"/>
  <c r="P26" i="2"/>
  <c r="O112" i="2"/>
  <c r="N111" i="2"/>
  <c r="N110" i="2" s="1"/>
  <c r="N109" i="2" s="1"/>
  <c r="N108" i="2" s="1"/>
  <c r="N107" i="2" s="1"/>
  <c r="Y339" i="2"/>
  <c r="P337" i="2"/>
  <c r="T475" i="2"/>
  <c r="Z479" i="2"/>
  <c r="R82" i="2"/>
  <c r="X82" i="2" s="1"/>
  <c r="S82" i="2"/>
  <c r="Y117" i="2"/>
  <c r="AA117" i="2" s="1"/>
  <c r="U117" i="2"/>
  <c r="M173" i="2"/>
  <c r="O173" i="2" s="1"/>
  <c r="L173" i="2"/>
  <c r="S202" i="2"/>
  <c r="V202" i="2"/>
  <c r="P297" i="2"/>
  <c r="Y298" i="2"/>
  <c r="N33" i="2"/>
  <c r="N32" i="2" s="1"/>
  <c r="O40" i="2"/>
  <c r="P125" i="2"/>
  <c r="J181" i="2"/>
  <c r="M208" i="2"/>
  <c r="O208" i="2" s="1"/>
  <c r="L208" i="2"/>
  <c r="L222" i="2"/>
  <c r="M222" i="2"/>
  <c r="O222" i="2" s="1"/>
  <c r="P255" i="2"/>
  <c r="P270" i="2"/>
  <c r="Y272" i="2"/>
  <c r="Y331" i="2"/>
  <c r="P330" i="2"/>
  <c r="R519" i="2"/>
  <c r="X519" i="2" s="1"/>
  <c r="V519" i="2"/>
  <c r="S519" i="2"/>
  <c r="P308" i="2"/>
  <c r="Y309" i="2"/>
  <c r="L513" i="2"/>
  <c r="R93" i="2"/>
  <c r="X93" i="2" s="1"/>
  <c r="L113" i="2"/>
  <c r="M113" i="2"/>
  <c r="N289" i="2"/>
  <c r="N288" i="2" s="1"/>
  <c r="R460" i="2"/>
  <c r="X460" i="2" s="1"/>
  <c r="S460" i="2"/>
  <c r="V460" i="2"/>
  <c r="J45" i="2"/>
  <c r="M97" i="2"/>
  <c r="O97" i="2" s="1"/>
  <c r="L97" i="2"/>
  <c r="N193" i="2"/>
  <c r="P293" i="2"/>
  <c r="J26" i="2"/>
  <c r="R119" i="2"/>
  <c r="X119" i="2" s="1"/>
  <c r="M238" i="2"/>
  <c r="O238" i="2" s="1"/>
  <c r="L238" i="2"/>
  <c r="R290" i="2"/>
  <c r="X290" i="2" s="1"/>
  <c r="P435" i="2"/>
  <c r="Y540" i="2"/>
  <c r="AA540" i="2" s="1"/>
  <c r="U540" i="2"/>
  <c r="V93" i="2"/>
  <c r="Z103" i="2"/>
  <c r="Z102" i="2" s="1"/>
  <c r="Z101" i="2" s="1"/>
  <c r="V117" i="2"/>
  <c r="L150" i="2"/>
  <c r="R162" i="2"/>
  <c r="X162" i="2" s="1"/>
  <c r="P250" i="2"/>
  <c r="P280" i="2"/>
  <c r="Y282" i="2"/>
  <c r="T289" i="2"/>
  <c r="T288" i="2" s="1"/>
  <c r="Z290" i="2"/>
  <c r="Z289" i="2" s="1"/>
  <c r="Z288" i="2" s="1"/>
  <c r="R507" i="2"/>
  <c r="X507" i="2" s="1"/>
  <c r="V507" i="2"/>
  <c r="Y530" i="2"/>
  <c r="P528" i="2"/>
  <c r="N18" i="2"/>
  <c r="N17" i="2" s="1"/>
  <c r="N16" i="2" s="1"/>
  <c r="Y53" i="2"/>
  <c r="Z74" i="2"/>
  <c r="J86" i="2"/>
  <c r="M90" i="2"/>
  <c r="O90" i="2" s="1"/>
  <c r="L90" i="2"/>
  <c r="Y115" i="2"/>
  <c r="AA115" i="2" s="1"/>
  <c r="V119" i="2"/>
  <c r="Y127" i="2"/>
  <c r="S162" i="2"/>
  <c r="U179" i="2"/>
  <c r="L200" i="2"/>
  <c r="M200" i="2"/>
  <c r="O200" i="2" s="1"/>
  <c r="S214" i="2"/>
  <c r="R214" i="2"/>
  <c r="X214" i="2" s="1"/>
  <c r="V214" i="2"/>
  <c r="L265" i="2"/>
  <c r="S349" i="2"/>
  <c r="R349" i="2"/>
  <c r="X349" i="2" s="1"/>
  <c r="Y375" i="2"/>
  <c r="V380" i="2"/>
  <c r="N475" i="2"/>
  <c r="N474" i="2" s="1"/>
  <c r="L482" i="2"/>
  <c r="S507" i="2"/>
  <c r="M546" i="2"/>
  <c r="O546" i="2" s="1"/>
  <c r="L546" i="2"/>
  <c r="P206" i="2"/>
  <c r="Y207" i="2"/>
  <c r="M290" i="2"/>
  <c r="L290" i="2"/>
  <c r="Y423" i="2"/>
  <c r="P422" i="2"/>
  <c r="T111" i="2"/>
  <c r="Z115" i="2"/>
  <c r="Z111" i="2" s="1"/>
  <c r="Z110" i="2" s="1"/>
  <c r="Y241" i="2"/>
  <c r="P240" i="2"/>
  <c r="U522" i="2"/>
  <c r="Y522" i="2"/>
  <c r="AA522" i="2" s="1"/>
  <c r="M552" i="2"/>
  <c r="O552" i="2" s="1"/>
  <c r="L552" i="2"/>
  <c r="M349" i="2"/>
  <c r="O349" i="2" s="1"/>
  <c r="L349" i="2"/>
  <c r="S450" i="2"/>
  <c r="V450" i="2"/>
  <c r="U40" i="2"/>
  <c r="P97" i="2"/>
  <c r="Y98" i="2"/>
  <c r="P123" i="2"/>
  <c r="Y124" i="2"/>
  <c r="P189" i="2"/>
  <c r="S286" i="2"/>
  <c r="R286" i="2"/>
  <c r="X286" i="2" s="1"/>
  <c r="S380" i="2"/>
  <c r="Y399" i="2"/>
  <c r="P398" i="2"/>
  <c r="R450" i="2"/>
  <c r="X450" i="2" s="1"/>
  <c r="Y461" i="2"/>
  <c r="M542" i="2"/>
  <c r="O542" i="2" s="1"/>
  <c r="L542" i="2"/>
  <c r="J280" i="2"/>
  <c r="Y320" i="2"/>
  <c r="R374" i="2"/>
  <c r="X374" i="2" s="1"/>
  <c r="V374" i="2"/>
  <c r="S374" i="2"/>
  <c r="P20" i="2"/>
  <c r="P90" i="2"/>
  <c r="Y91" i="2"/>
  <c r="L115" i="2"/>
  <c r="M115" i="2"/>
  <c r="O115" i="2" s="1"/>
  <c r="P200" i="2"/>
  <c r="Y201" i="2"/>
  <c r="P235" i="2"/>
  <c r="Y236" i="2"/>
  <c r="V290" i="2"/>
  <c r="M337" i="2"/>
  <c r="O337" i="2" s="1"/>
  <c r="L337" i="2"/>
  <c r="Y387" i="2"/>
  <c r="P386" i="2"/>
  <c r="P513" i="2"/>
  <c r="Y514" i="2"/>
  <c r="O550" i="2"/>
  <c r="L464" i="2"/>
  <c r="M464" i="2"/>
  <c r="O464" i="2" s="1"/>
  <c r="V121" i="2"/>
  <c r="R121" i="2"/>
  <c r="X121" i="2" s="1"/>
  <c r="R117" i="2"/>
  <c r="X117" i="2" s="1"/>
  <c r="V536" i="2"/>
  <c r="S536" i="2"/>
  <c r="R536" i="2"/>
  <c r="X536" i="2" s="1"/>
  <c r="Z584" i="2"/>
  <c r="AA585" i="2"/>
  <c r="AA584" i="2" s="1"/>
  <c r="P138" i="2"/>
  <c r="Y139" i="2"/>
  <c r="S319" i="2"/>
  <c r="R319" i="2"/>
  <c r="X319" i="2" s="1"/>
  <c r="M341" i="2"/>
  <c r="O341" i="2" s="1"/>
  <c r="Y119" i="2"/>
  <c r="AA119" i="2" s="1"/>
  <c r="U119" i="2"/>
  <c r="L134" i="2"/>
  <c r="Y290" i="2"/>
  <c r="P554" i="2"/>
  <c r="Y555" i="2"/>
  <c r="S52" i="2"/>
  <c r="R52" i="2"/>
  <c r="X52" i="2" s="1"/>
  <c r="M491" i="2"/>
  <c r="O491" i="2" s="1"/>
  <c r="L491" i="2"/>
  <c r="P103" i="2"/>
  <c r="Y156" i="2"/>
  <c r="P154" i="2"/>
  <c r="J176" i="2"/>
  <c r="M240" i="2"/>
  <c r="O240" i="2" s="1"/>
  <c r="Y315" i="2"/>
  <c r="P312" i="2"/>
  <c r="P440" i="2"/>
  <c r="J510" i="2"/>
  <c r="L516" i="2"/>
  <c r="M516" i="2"/>
  <c r="O516" i="2" s="1"/>
  <c r="M538" i="2"/>
  <c r="O538" i="2" s="1"/>
  <c r="L538" i="2"/>
  <c r="L540" i="2"/>
  <c r="M540" i="2"/>
  <c r="O540" i="2" s="1"/>
  <c r="L550" i="2"/>
  <c r="Z34" i="2"/>
  <c r="Z216" i="2"/>
  <c r="J227" i="2"/>
  <c r="J383" i="2"/>
  <c r="L401" i="2"/>
  <c r="M401" i="2"/>
  <c r="O401" i="2" s="1"/>
  <c r="J488" i="2"/>
  <c r="Y527" i="2"/>
  <c r="P525" i="2"/>
  <c r="J130" i="2"/>
  <c r="R194" i="2"/>
  <c r="X194" i="2" s="1"/>
  <c r="P227" i="2"/>
  <c r="M286" i="2"/>
  <c r="L286" i="2"/>
  <c r="M323" i="2"/>
  <c r="O323" i="2" s="1"/>
  <c r="L323" i="2"/>
  <c r="V383" i="2"/>
  <c r="S383" i="2"/>
  <c r="R383" i="2"/>
  <c r="X383" i="2" s="1"/>
  <c r="L389" i="2"/>
  <c r="M389" i="2"/>
  <c r="O389" i="2" s="1"/>
  <c r="J395" i="2"/>
  <c r="Y411" i="2"/>
  <c r="P410" i="2"/>
  <c r="J440" i="2"/>
  <c r="P476" i="2"/>
  <c r="Y477" i="2"/>
  <c r="R501" i="2"/>
  <c r="X501" i="2" s="1"/>
  <c r="V501" i="2"/>
  <c r="V550" i="2"/>
  <c r="S550" i="2"/>
  <c r="R550" i="2"/>
  <c r="X550" i="2" s="1"/>
  <c r="R556" i="2"/>
  <c r="X556" i="2" s="1"/>
  <c r="S556" i="2"/>
  <c r="V556" i="2"/>
  <c r="S580" i="2"/>
  <c r="R580" i="2"/>
  <c r="X580" i="2" s="1"/>
  <c r="P45" i="2"/>
  <c r="Y46" i="2"/>
  <c r="J260" i="2"/>
  <c r="S345" i="2"/>
  <c r="R345" i="2"/>
  <c r="X345" i="2" s="1"/>
  <c r="L40" i="2"/>
  <c r="P134" i="2"/>
  <c r="P158" i="2"/>
  <c r="P166" i="2"/>
  <c r="P185" i="2"/>
  <c r="R204" i="2"/>
  <c r="X204" i="2" s="1"/>
  <c r="R238" i="2"/>
  <c r="X238" i="2" s="1"/>
  <c r="J255" i="2"/>
  <c r="T285" i="2"/>
  <c r="Z286" i="2"/>
  <c r="Z285" i="2" s="1"/>
  <c r="J312" i="2"/>
  <c r="Y334" i="2"/>
  <c r="P333" i="2"/>
  <c r="M376" i="2"/>
  <c r="O376" i="2" s="1"/>
  <c r="L376" i="2"/>
  <c r="P464" i="2"/>
  <c r="Z535" i="2"/>
  <c r="U535" i="2"/>
  <c r="Z57" i="2"/>
  <c r="T34" i="2"/>
  <c r="T33" i="2" s="1"/>
  <c r="T32" i="2" s="1"/>
  <c r="J125" i="2"/>
  <c r="P150" i="2"/>
  <c r="P173" i="2"/>
  <c r="J245" i="2"/>
  <c r="P341" i="2"/>
  <c r="Y346" i="2"/>
  <c r="J445" i="2"/>
  <c r="M476" i="2"/>
  <c r="J146" i="2"/>
  <c r="T216" i="2"/>
  <c r="P445" i="2"/>
  <c r="Z475" i="2"/>
  <c r="M501" i="2"/>
  <c r="L501" i="2"/>
  <c r="V546" i="2"/>
  <c r="S546" i="2"/>
  <c r="M75" i="2"/>
  <c r="L75" i="2"/>
  <c r="J162" i="2"/>
  <c r="J185" i="2"/>
  <c r="V488" i="2"/>
  <c r="S488" i="2"/>
  <c r="P558" i="2"/>
  <c r="P353" i="2"/>
  <c r="J460" i="2"/>
  <c r="P485" i="2"/>
  <c r="Y486" i="2"/>
  <c r="P569" i="2"/>
  <c r="Y570" i="2"/>
  <c r="P479" i="2"/>
  <c r="Y480" i="2"/>
  <c r="R516" i="2"/>
  <c r="X516" i="2" s="1"/>
  <c r="Y377" i="2"/>
  <c r="P376" i="2"/>
  <c r="O378" i="2"/>
  <c r="Y393" i="2"/>
  <c r="P392" i="2"/>
  <c r="Y405" i="2"/>
  <c r="P404" i="2"/>
  <c r="J419" i="2"/>
  <c r="V538" i="2"/>
  <c r="S538" i="2"/>
  <c r="L544" i="2"/>
  <c r="R548" i="2"/>
  <c r="X548" i="2" s="1"/>
  <c r="V548" i="2"/>
  <c r="L316" i="2"/>
  <c r="M316" i="2"/>
  <c r="O316" i="2" s="1"/>
  <c r="P357" i="2"/>
  <c r="M380" i="2"/>
  <c r="O380" i="2" s="1"/>
  <c r="P419" i="2"/>
  <c r="Y420" i="2"/>
  <c r="S497" i="2"/>
  <c r="R497" i="2"/>
  <c r="X497" i="2" s="1"/>
  <c r="O519" i="2"/>
  <c r="S491" i="2"/>
  <c r="R491" i="2"/>
  <c r="X491" i="2" s="1"/>
  <c r="N534" i="2"/>
  <c r="P531" i="2"/>
  <c r="U585" i="2"/>
  <c r="U584" i="2" s="1"/>
  <c r="J333" i="2"/>
  <c r="Y417" i="2"/>
  <c r="P416" i="2"/>
  <c r="X586" i="1"/>
  <c r="W586" i="1"/>
  <c r="T586" i="1"/>
  <c r="R586" i="1"/>
  <c r="O586" i="1"/>
  <c r="N586" i="1"/>
  <c r="L586" i="1"/>
  <c r="Z585" i="1"/>
  <c r="AA585" i="1" s="1"/>
  <c r="W585" i="1"/>
  <c r="U585" i="1"/>
  <c r="T585" i="1"/>
  <c r="T584" i="1" s="1"/>
  <c r="R585" i="1"/>
  <c r="X585" i="1" s="1"/>
  <c r="N585" i="1"/>
  <c r="O585" i="1" s="1"/>
  <c r="O584" i="1" s="1"/>
  <c r="L585" i="1"/>
  <c r="Y584" i="1"/>
  <c r="S584" i="1"/>
  <c r="N584" i="1"/>
  <c r="M584" i="1"/>
  <c r="Y583" i="1"/>
  <c r="V583" i="1"/>
  <c r="S583" i="1"/>
  <c r="M583" i="1"/>
  <c r="W582" i="1"/>
  <c r="T582" i="1"/>
  <c r="Z582" i="1" s="1"/>
  <c r="P582" i="1"/>
  <c r="S582" i="1" s="1"/>
  <c r="N582" i="1"/>
  <c r="M582" i="1"/>
  <c r="J582" i="1"/>
  <c r="L582" i="1" s="1"/>
  <c r="V581" i="1"/>
  <c r="S581" i="1"/>
  <c r="P580" i="1" s="1"/>
  <c r="M581" i="1"/>
  <c r="Z580" i="1"/>
  <c r="W580" i="1"/>
  <c r="T580" i="1"/>
  <c r="N580" i="1"/>
  <c r="L580" i="1"/>
  <c r="J580" i="1"/>
  <c r="M580" i="1" s="1"/>
  <c r="O580" i="1" s="1"/>
  <c r="Y579" i="1"/>
  <c r="V579" i="1"/>
  <c r="S579" i="1"/>
  <c r="M579" i="1"/>
  <c r="V578" i="1"/>
  <c r="S578" i="1"/>
  <c r="Y578" i="1" s="1"/>
  <c r="M578" i="1"/>
  <c r="Y577" i="1"/>
  <c r="V577" i="1"/>
  <c r="S577" i="1"/>
  <c r="M577" i="1"/>
  <c r="V576" i="1"/>
  <c r="S576" i="1"/>
  <c r="Y576" i="1" s="1"/>
  <c r="M576" i="1"/>
  <c r="Y575" i="1"/>
  <c r="V575" i="1"/>
  <c r="S575" i="1"/>
  <c r="M575" i="1"/>
  <c r="V574" i="1"/>
  <c r="S574" i="1"/>
  <c r="Y574" i="1" s="1"/>
  <c r="M574" i="1"/>
  <c r="Y573" i="1"/>
  <c r="V573" i="1"/>
  <c r="S573" i="1"/>
  <c r="M573" i="1"/>
  <c r="V572" i="1"/>
  <c r="S572" i="1"/>
  <c r="Y572" i="1" s="1"/>
  <c r="M572" i="1"/>
  <c r="Y571" i="1"/>
  <c r="V571" i="1"/>
  <c r="S571" i="1"/>
  <c r="M571" i="1"/>
  <c r="V570" i="1"/>
  <c r="S570" i="1"/>
  <c r="P569" i="1" s="1"/>
  <c r="M570" i="1"/>
  <c r="Z569" i="1"/>
  <c r="W569" i="1"/>
  <c r="T569" i="1"/>
  <c r="S569" i="1"/>
  <c r="N569" i="1"/>
  <c r="L569" i="1"/>
  <c r="J569" i="1"/>
  <c r="M569" i="1" s="1"/>
  <c r="O569" i="1" s="1"/>
  <c r="Y568" i="1"/>
  <c r="V568" i="1"/>
  <c r="S568" i="1"/>
  <c r="M568" i="1"/>
  <c r="V567" i="1"/>
  <c r="S567" i="1"/>
  <c r="Y567" i="1" s="1"/>
  <c r="M567" i="1"/>
  <c r="Y566" i="1"/>
  <c r="V566" i="1"/>
  <c r="S566" i="1"/>
  <c r="M566" i="1"/>
  <c r="V565" i="1"/>
  <c r="S565" i="1"/>
  <c r="Y565" i="1" s="1"/>
  <c r="M565" i="1"/>
  <c r="Y564" i="1"/>
  <c r="V564" i="1"/>
  <c r="S564" i="1"/>
  <c r="M564" i="1"/>
  <c r="V563" i="1"/>
  <c r="S563" i="1"/>
  <c r="Y563" i="1" s="1"/>
  <c r="M563" i="1"/>
  <c r="Y562" i="1"/>
  <c r="V562" i="1"/>
  <c r="S562" i="1"/>
  <c r="M562" i="1"/>
  <c r="V561" i="1"/>
  <c r="S561" i="1"/>
  <c r="Y561" i="1" s="1"/>
  <c r="M561" i="1"/>
  <c r="Y560" i="1"/>
  <c r="V560" i="1"/>
  <c r="S560" i="1"/>
  <c r="M560" i="1"/>
  <c r="V559" i="1"/>
  <c r="S559" i="1"/>
  <c r="P558" i="1" s="1"/>
  <c r="M559" i="1"/>
  <c r="Z558" i="1"/>
  <c r="W558" i="1"/>
  <c r="T558" i="1"/>
  <c r="S558" i="1"/>
  <c r="N558" i="1"/>
  <c r="L558" i="1"/>
  <c r="J558" i="1"/>
  <c r="M558" i="1" s="1"/>
  <c r="O558" i="1" s="1"/>
  <c r="Y557" i="1"/>
  <c r="V557" i="1"/>
  <c r="S557" i="1"/>
  <c r="M557" i="1"/>
  <c r="Z556" i="1"/>
  <c r="W556" i="1"/>
  <c r="T556" i="1"/>
  <c r="P556" i="1"/>
  <c r="S556" i="1" s="1"/>
  <c r="N556" i="1"/>
  <c r="M556" i="1"/>
  <c r="L556" i="1"/>
  <c r="J556" i="1"/>
  <c r="V555" i="1"/>
  <c r="S555" i="1"/>
  <c r="P554" i="1" s="1"/>
  <c r="M555" i="1"/>
  <c r="Z554" i="1"/>
  <c r="W554" i="1"/>
  <c r="T554" i="1"/>
  <c r="N554" i="1"/>
  <c r="L554" i="1"/>
  <c r="J554" i="1"/>
  <c r="M554" i="1" s="1"/>
  <c r="O554" i="1" s="1"/>
  <c r="Y553" i="1"/>
  <c r="V553" i="1"/>
  <c r="S553" i="1"/>
  <c r="M553" i="1"/>
  <c r="Z552" i="1"/>
  <c r="W552" i="1"/>
  <c r="T552" i="1"/>
  <c r="P552" i="1"/>
  <c r="S552" i="1" s="1"/>
  <c r="N552" i="1"/>
  <c r="M552" i="1"/>
  <c r="O552" i="1" s="1"/>
  <c r="L552" i="1"/>
  <c r="J552" i="1"/>
  <c r="V551" i="1"/>
  <c r="S551" i="1"/>
  <c r="P550" i="1" s="1"/>
  <c r="M551" i="1"/>
  <c r="Z550" i="1"/>
  <c r="W550" i="1"/>
  <c r="T550" i="1"/>
  <c r="N550" i="1"/>
  <c r="L550" i="1"/>
  <c r="J550" i="1"/>
  <c r="M550" i="1" s="1"/>
  <c r="O550" i="1" s="1"/>
  <c r="Y549" i="1"/>
  <c r="V549" i="1"/>
  <c r="S549" i="1"/>
  <c r="M549" i="1"/>
  <c r="Z548" i="1"/>
  <c r="W548" i="1"/>
  <c r="T548" i="1"/>
  <c r="P548" i="1"/>
  <c r="S548" i="1" s="1"/>
  <c r="N548" i="1"/>
  <c r="M548" i="1"/>
  <c r="L548" i="1"/>
  <c r="J548" i="1"/>
  <c r="V547" i="1"/>
  <c r="S547" i="1"/>
  <c r="P546" i="1" s="1"/>
  <c r="M547" i="1"/>
  <c r="Z546" i="1"/>
  <c r="W546" i="1"/>
  <c r="T546" i="1"/>
  <c r="S546" i="1"/>
  <c r="N546" i="1"/>
  <c r="L546" i="1"/>
  <c r="J546" i="1"/>
  <c r="M546" i="1" s="1"/>
  <c r="O546" i="1" s="1"/>
  <c r="Y545" i="1"/>
  <c r="V545" i="1"/>
  <c r="S545" i="1"/>
  <c r="M545" i="1"/>
  <c r="Z544" i="1"/>
  <c r="W544" i="1"/>
  <c r="T544" i="1"/>
  <c r="P544" i="1"/>
  <c r="S544" i="1" s="1"/>
  <c r="N544" i="1"/>
  <c r="M544" i="1"/>
  <c r="O544" i="1" s="1"/>
  <c r="J544" i="1"/>
  <c r="L544" i="1" s="1"/>
  <c r="V543" i="1"/>
  <c r="S543" i="1"/>
  <c r="P542" i="1" s="1"/>
  <c r="M543" i="1"/>
  <c r="Z542" i="1"/>
  <c r="W542" i="1"/>
  <c r="T542" i="1"/>
  <c r="N542" i="1"/>
  <c r="L542" i="1"/>
  <c r="J542" i="1"/>
  <c r="M542" i="1" s="1"/>
  <c r="O542" i="1" s="1"/>
  <c r="Y541" i="1"/>
  <c r="V541" i="1"/>
  <c r="S541" i="1"/>
  <c r="M541" i="1"/>
  <c r="Z540" i="1"/>
  <c r="W540" i="1"/>
  <c r="T540" i="1"/>
  <c r="P540" i="1"/>
  <c r="S540" i="1" s="1"/>
  <c r="N540" i="1"/>
  <c r="M540" i="1"/>
  <c r="O540" i="1" s="1"/>
  <c r="J540" i="1"/>
  <c r="L540" i="1" s="1"/>
  <c r="V539" i="1"/>
  <c r="S539" i="1"/>
  <c r="P538" i="1" s="1"/>
  <c r="M539" i="1"/>
  <c r="Z538" i="1"/>
  <c r="W538" i="1"/>
  <c r="T538" i="1"/>
  <c r="S538" i="1"/>
  <c r="N538" i="1"/>
  <c r="L538" i="1"/>
  <c r="J538" i="1"/>
  <c r="M538" i="1" s="1"/>
  <c r="Y537" i="1"/>
  <c r="V537" i="1"/>
  <c r="S537" i="1"/>
  <c r="M537" i="1"/>
  <c r="Z536" i="1"/>
  <c r="W536" i="1"/>
  <c r="T536" i="1"/>
  <c r="P536" i="1"/>
  <c r="S536" i="1" s="1"/>
  <c r="N536" i="1"/>
  <c r="M536" i="1"/>
  <c r="O536" i="1" s="1"/>
  <c r="J536" i="1"/>
  <c r="L536" i="1" s="1"/>
  <c r="X535" i="1"/>
  <c r="W535" i="1"/>
  <c r="U535" i="1"/>
  <c r="T535" i="1"/>
  <c r="T534" i="1" s="1"/>
  <c r="R535" i="1"/>
  <c r="O535" i="1"/>
  <c r="N535" i="1"/>
  <c r="L535" i="1"/>
  <c r="V533" i="1"/>
  <c r="S533" i="1"/>
  <c r="Y533" i="1" s="1"/>
  <c r="M533" i="1"/>
  <c r="V532" i="1"/>
  <c r="S532" i="1"/>
  <c r="Y532" i="1" s="1"/>
  <c r="M532" i="1"/>
  <c r="Z531" i="1"/>
  <c r="W531" i="1"/>
  <c r="T531" i="1"/>
  <c r="R531" i="1"/>
  <c r="X531" i="1" s="1"/>
  <c r="P531" i="1"/>
  <c r="V531" i="1" s="1"/>
  <c r="N531" i="1"/>
  <c r="J531" i="1"/>
  <c r="M531" i="1" s="1"/>
  <c r="O531" i="1" s="1"/>
  <c r="V530" i="1"/>
  <c r="S530" i="1"/>
  <c r="Y530" i="1" s="1"/>
  <c r="M530" i="1"/>
  <c r="V529" i="1"/>
  <c r="S529" i="1"/>
  <c r="Y529" i="1" s="1"/>
  <c r="M529" i="1"/>
  <c r="Z528" i="1"/>
  <c r="W528" i="1"/>
  <c r="T528" i="1"/>
  <c r="R528" i="1"/>
  <c r="X528" i="1" s="1"/>
  <c r="P528" i="1"/>
  <c r="V528" i="1" s="1"/>
  <c r="N528" i="1"/>
  <c r="J528" i="1"/>
  <c r="M528" i="1" s="1"/>
  <c r="O528" i="1" s="1"/>
  <c r="V527" i="1"/>
  <c r="S527" i="1"/>
  <c r="Y527" i="1" s="1"/>
  <c r="M527" i="1"/>
  <c r="V526" i="1"/>
  <c r="S526" i="1"/>
  <c r="Y526" i="1" s="1"/>
  <c r="M526" i="1"/>
  <c r="Z525" i="1"/>
  <c r="W525" i="1"/>
  <c r="T525" i="1"/>
  <c r="R525" i="1"/>
  <c r="X525" i="1" s="1"/>
  <c r="P525" i="1"/>
  <c r="V525" i="1" s="1"/>
  <c r="N525" i="1"/>
  <c r="J525" i="1"/>
  <c r="M525" i="1" s="1"/>
  <c r="O525" i="1" s="1"/>
  <c r="V524" i="1"/>
  <c r="S524" i="1"/>
  <c r="Y524" i="1" s="1"/>
  <c r="M524" i="1"/>
  <c r="V523" i="1"/>
  <c r="S523" i="1"/>
  <c r="Y523" i="1" s="1"/>
  <c r="M523" i="1"/>
  <c r="Z522" i="1"/>
  <c r="W522" i="1"/>
  <c r="T522" i="1"/>
  <c r="R522" i="1"/>
  <c r="X522" i="1" s="1"/>
  <c r="P522" i="1"/>
  <c r="V522" i="1" s="1"/>
  <c r="N522" i="1"/>
  <c r="J522" i="1"/>
  <c r="M522" i="1" s="1"/>
  <c r="O522" i="1" s="1"/>
  <c r="V521" i="1"/>
  <c r="S521" i="1"/>
  <c r="Y521" i="1" s="1"/>
  <c r="M521" i="1"/>
  <c r="V520" i="1"/>
  <c r="S520" i="1"/>
  <c r="Y520" i="1" s="1"/>
  <c r="M520" i="1"/>
  <c r="Z519" i="1"/>
  <c r="W519" i="1"/>
  <c r="T519" i="1"/>
  <c r="R519" i="1"/>
  <c r="X519" i="1" s="1"/>
  <c r="P519" i="1"/>
  <c r="V519" i="1" s="1"/>
  <c r="N519" i="1"/>
  <c r="J519" i="1"/>
  <c r="M519" i="1" s="1"/>
  <c r="O519" i="1" s="1"/>
  <c r="V518" i="1"/>
  <c r="S518" i="1"/>
  <c r="Y518" i="1" s="1"/>
  <c r="M518" i="1"/>
  <c r="V517" i="1"/>
  <c r="S517" i="1"/>
  <c r="Y517" i="1" s="1"/>
  <c r="M517" i="1"/>
  <c r="Z516" i="1"/>
  <c r="W516" i="1"/>
  <c r="T516" i="1"/>
  <c r="R516" i="1"/>
  <c r="X516" i="1" s="1"/>
  <c r="P516" i="1"/>
  <c r="V516" i="1" s="1"/>
  <c r="N516" i="1"/>
  <c r="J516" i="1"/>
  <c r="M516" i="1" s="1"/>
  <c r="O516" i="1" s="1"/>
  <c r="V515" i="1"/>
  <c r="S515" i="1"/>
  <c r="Y515" i="1" s="1"/>
  <c r="M515" i="1"/>
  <c r="V514" i="1"/>
  <c r="S514" i="1"/>
  <c r="Y514" i="1" s="1"/>
  <c r="M514" i="1"/>
  <c r="Z513" i="1"/>
  <c r="W513" i="1"/>
  <c r="T513" i="1"/>
  <c r="R513" i="1"/>
  <c r="X513" i="1" s="1"/>
  <c r="P513" i="1"/>
  <c r="V513" i="1" s="1"/>
  <c r="N513" i="1"/>
  <c r="J513" i="1"/>
  <c r="V512" i="1"/>
  <c r="S512" i="1"/>
  <c r="Y512" i="1" s="1"/>
  <c r="M512" i="1"/>
  <c r="V511" i="1"/>
  <c r="S511" i="1"/>
  <c r="Y511" i="1" s="1"/>
  <c r="M511" i="1"/>
  <c r="W510" i="1"/>
  <c r="T510" i="1"/>
  <c r="Z510" i="1" s="1"/>
  <c r="R510" i="1"/>
  <c r="X510" i="1" s="1"/>
  <c r="P510" i="1"/>
  <c r="V510" i="1" s="1"/>
  <c r="N510" i="1"/>
  <c r="J510" i="1"/>
  <c r="V509" i="1"/>
  <c r="S509" i="1"/>
  <c r="Y509" i="1" s="1"/>
  <c r="M509" i="1"/>
  <c r="V508" i="1"/>
  <c r="S508" i="1"/>
  <c r="Y508" i="1" s="1"/>
  <c r="M508" i="1"/>
  <c r="J507" i="1" s="1"/>
  <c r="W507" i="1"/>
  <c r="T507" i="1"/>
  <c r="Z507" i="1" s="1"/>
  <c r="R507" i="1"/>
  <c r="X507" i="1" s="1"/>
  <c r="P507" i="1"/>
  <c r="V507" i="1" s="1"/>
  <c r="N507" i="1"/>
  <c r="V506" i="1"/>
  <c r="S506" i="1"/>
  <c r="Y506" i="1" s="1"/>
  <c r="M506" i="1"/>
  <c r="V505" i="1"/>
  <c r="S505" i="1"/>
  <c r="Y505" i="1" s="1"/>
  <c r="M505" i="1"/>
  <c r="Z504" i="1"/>
  <c r="W504" i="1"/>
  <c r="T504" i="1"/>
  <c r="R504" i="1"/>
  <c r="X504" i="1" s="1"/>
  <c r="P504" i="1"/>
  <c r="V504" i="1" s="1"/>
  <c r="N504" i="1"/>
  <c r="J504" i="1"/>
  <c r="V503" i="1"/>
  <c r="S503" i="1"/>
  <c r="Y503" i="1" s="1"/>
  <c r="M503" i="1"/>
  <c r="V502" i="1"/>
  <c r="S502" i="1"/>
  <c r="Y502" i="1" s="1"/>
  <c r="M502" i="1"/>
  <c r="W501" i="1"/>
  <c r="T501" i="1"/>
  <c r="P501" i="1"/>
  <c r="R501" i="1" s="1"/>
  <c r="X501" i="1" s="1"/>
  <c r="N501" i="1"/>
  <c r="J501" i="1"/>
  <c r="N500" i="1"/>
  <c r="Y499" i="1"/>
  <c r="V499" i="1"/>
  <c r="S499" i="1"/>
  <c r="M499" i="1"/>
  <c r="J497" i="1" s="1"/>
  <c r="M497" i="1" s="1"/>
  <c r="O497" i="1" s="1"/>
  <c r="V498" i="1"/>
  <c r="S498" i="1"/>
  <c r="M498" i="1"/>
  <c r="Z497" i="1"/>
  <c r="W497" i="1"/>
  <c r="T497" i="1"/>
  <c r="N497" i="1"/>
  <c r="L497" i="1"/>
  <c r="Y496" i="1"/>
  <c r="V496" i="1"/>
  <c r="S496" i="1"/>
  <c r="M496" i="1"/>
  <c r="J494" i="1" s="1"/>
  <c r="M494" i="1" s="1"/>
  <c r="O494" i="1" s="1"/>
  <c r="V495" i="1"/>
  <c r="S495" i="1"/>
  <c r="M495" i="1"/>
  <c r="Z494" i="1"/>
  <c r="W494" i="1"/>
  <c r="T494" i="1"/>
  <c r="N494" i="1"/>
  <c r="L494" i="1"/>
  <c r="Y493" i="1"/>
  <c r="V493" i="1"/>
  <c r="S493" i="1"/>
  <c r="M493" i="1"/>
  <c r="J491" i="1" s="1"/>
  <c r="M491" i="1" s="1"/>
  <c r="O491" i="1" s="1"/>
  <c r="V492" i="1"/>
  <c r="S492" i="1"/>
  <c r="M492" i="1"/>
  <c r="Z491" i="1"/>
  <c r="W491" i="1"/>
  <c r="T491" i="1"/>
  <c r="N491" i="1"/>
  <c r="L491" i="1"/>
  <c r="Y490" i="1"/>
  <c r="V490" i="1"/>
  <c r="S490" i="1"/>
  <c r="M490" i="1"/>
  <c r="J488" i="1" s="1"/>
  <c r="M488" i="1" s="1"/>
  <c r="O488" i="1" s="1"/>
  <c r="V489" i="1"/>
  <c r="S489" i="1"/>
  <c r="M489" i="1"/>
  <c r="Z488" i="1"/>
  <c r="W488" i="1"/>
  <c r="T488" i="1"/>
  <c r="N488" i="1"/>
  <c r="Y487" i="1"/>
  <c r="V487" i="1"/>
  <c r="S487" i="1"/>
  <c r="M487" i="1"/>
  <c r="J485" i="1" s="1"/>
  <c r="M485" i="1" s="1"/>
  <c r="O485" i="1" s="1"/>
  <c r="V486" i="1"/>
  <c r="S486" i="1"/>
  <c r="M486" i="1"/>
  <c r="Z485" i="1"/>
  <c r="W485" i="1"/>
  <c r="T485" i="1"/>
  <c r="N485" i="1"/>
  <c r="Y484" i="1"/>
  <c r="V484" i="1"/>
  <c r="S484" i="1"/>
  <c r="M484" i="1"/>
  <c r="J482" i="1" s="1"/>
  <c r="M482" i="1" s="1"/>
  <c r="O482" i="1" s="1"/>
  <c r="V483" i="1"/>
  <c r="S483" i="1"/>
  <c r="M483" i="1"/>
  <c r="Z482" i="1"/>
  <c r="W482" i="1"/>
  <c r="T482" i="1"/>
  <c r="N482" i="1"/>
  <c r="Y481" i="1"/>
  <c r="V481" i="1"/>
  <c r="S481" i="1"/>
  <c r="M481" i="1"/>
  <c r="V480" i="1"/>
  <c r="S480" i="1"/>
  <c r="M480" i="1"/>
  <c r="Z479" i="1"/>
  <c r="W479" i="1"/>
  <c r="T479" i="1"/>
  <c r="N479" i="1"/>
  <c r="M479" i="1"/>
  <c r="O479" i="1" s="1"/>
  <c r="L479" i="1"/>
  <c r="J479" i="1"/>
  <c r="Y478" i="1"/>
  <c r="V478" i="1"/>
  <c r="S478" i="1"/>
  <c r="M478" i="1"/>
  <c r="V477" i="1"/>
  <c r="S477" i="1"/>
  <c r="M477" i="1"/>
  <c r="Z476" i="1"/>
  <c r="W476" i="1"/>
  <c r="T476" i="1"/>
  <c r="T475" i="1" s="1"/>
  <c r="N476" i="1"/>
  <c r="M476" i="1"/>
  <c r="O476" i="1" s="1"/>
  <c r="O475" i="1" s="1"/>
  <c r="L476" i="1"/>
  <c r="J476" i="1"/>
  <c r="N475" i="1"/>
  <c r="M475" i="1"/>
  <c r="N474" i="1"/>
  <c r="Y473" i="1"/>
  <c r="V473" i="1"/>
  <c r="S473" i="1"/>
  <c r="M473" i="1"/>
  <c r="V472" i="1"/>
  <c r="S472" i="1"/>
  <c r="Y472" i="1" s="1"/>
  <c r="M472" i="1"/>
  <c r="V471" i="1"/>
  <c r="S471" i="1"/>
  <c r="Y471" i="1" s="1"/>
  <c r="M471" i="1"/>
  <c r="Y470" i="1"/>
  <c r="V470" i="1"/>
  <c r="S470" i="1"/>
  <c r="P469" i="1" s="1"/>
  <c r="M470" i="1"/>
  <c r="J469" i="1" s="1"/>
  <c r="M469" i="1" s="1"/>
  <c r="O469" i="1" s="1"/>
  <c r="W469" i="1"/>
  <c r="T469" i="1"/>
  <c r="Z469" i="1" s="1"/>
  <c r="N469" i="1"/>
  <c r="L469" i="1"/>
  <c r="V468" i="1"/>
  <c r="S468" i="1"/>
  <c r="Y468" i="1" s="1"/>
  <c r="M468" i="1"/>
  <c r="Y467" i="1"/>
  <c r="V467" i="1"/>
  <c r="S467" i="1"/>
  <c r="M467" i="1"/>
  <c r="J464" i="1" s="1"/>
  <c r="V466" i="1"/>
  <c r="S466" i="1"/>
  <c r="Y466" i="1" s="1"/>
  <c r="M466" i="1"/>
  <c r="Y465" i="1"/>
  <c r="V465" i="1"/>
  <c r="S465" i="1"/>
  <c r="P464" i="1" s="1"/>
  <c r="M465" i="1"/>
  <c r="W464" i="1"/>
  <c r="T464" i="1"/>
  <c r="Z464" i="1" s="1"/>
  <c r="N464" i="1"/>
  <c r="V463" i="1"/>
  <c r="S463" i="1"/>
  <c r="Y463" i="1" s="1"/>
  <c r="M463" i="1"/>
  <c r="V462" i="1"/>
  <c r="S462" i="1"/>
  <c r="P460" i="1" s="1"/>
  <c r="M462" i="1"/>
  <c r="J460" i="1" s="1"/>
  <c r="V461" i="1"/>
  <c r="S461" i="1"/>
  <c r="Y461" i="1" s="1"/>
  <c r="M461" i="1"/>
  <c r="W460" i="1"/>
  <c r="T460" i="1"/>
  <c r="Z460" i="1" s="1"/>
  <c r="N460" i="1"/>
  <c r="V459" i="1"/>
  <c r="S459" i="1"/>
  <c r="Y459" i="1" s="1"/>
  <c r="M459" i="1"/>
  <c r="V458" i="1"/>
  <c r="S458" i="1"/>
  <c r="Y458" i="1" s="1"/>
  <c r="M458" i="1"/>
  <c r="Y457" i="1"/>
  <c r="V457" i="1"/>
  <c r="S457" i="1"/>
  <c r="P455" i="1" s="1"/>
  <c r="M457" i="1"/>
  <c r="V456" i="1"/>
  <c r="S456" i="1"/>
  <c r="Y456" i="1" s="1"/>
  <c r="M456" i="1"/>
  <c r="W455" i="1"/>
  <c r="T455" i="1"/>
  <c r="Z455" i="1" s="1"/>
  <c r="N455" i="1"/>
  <c r="J455" i="1"/>
  <c r="V454" i="1"/>
  <c r="S454" i="1"/>
  <c r="Y454" i="1" s="1"/>
  <c r="M454" i="1"/>
  <c r="J450" i="1" s="1"/>
  <c r="V453" i="1"/>
  <c r="S453" i="1"/>
  <c r="Y453" i="1" s="1"/>
  <c r="M453" i="1"/>
  <c r="Y452" i="1"/>
  <c r="V452" i="1"/>
  <c r="S452" i="1"/>
  <c r="P450" i="1" s="1"/>
  <c r="M452" i="1"/>
  <c r="V451" i="1"/>
  <c r="S451" i="1"/>
  <c r="Y451" i="1" s="1"/>
  <c r="M451" i="1"/>
  <c r="W450" i="1"/>
  <c r="T450" i="1"/>
  <c r="Z450" i="1" s="1"/>
  <c r="N450" i="1"/>
  <c r="Y449" i="1"/>
  <c r="V449" i="1"/>
  <c r="S449" i="1"/>
  <c r="M449" i="1"/>
  <c r="Y448" i="1"/>
  <c r="V448" i="1"/>
  <c r="S448" i="1"/>
  <c r="M448" i="1"/>
  <c r="Y447" i="1"/>
  <c r="V447" i="1"/>
  <c r="S447" i="1"/>
  <c r="M447" i="1"/>
  <c r="Y446" i="1"/>
  <c r="V446" i="1"/>
  <c r="S446" i="1"/>
  <c r="P445" i="1" s="1"/>
  <c r="M446" i="1"/>
  <c r="W445" i="1"/>
  <c r="T445" i="1"/>
  <c r="Z445" i="1" s="1"/>
  <c r="N445" i="1"/>
  <c r="L445" i="1"/>
  <c r="J445" i="1"/>
  <c r="M445" i="1" s="1"/>
  <c r="O445" i="1" s="1"/>
  <c r="Y444" i="1"/>
  <c r="V444" i="1"/>
  <c r="S444" i="1"/>
  <c r="M444" i="1"/>
  <c r="Y443" i="1"/>
  <c r="V443" i="1"/>
  <c r="S443" i="1"/>
  <c r="M443" i="1"/>
  <c r="Y442" i="1"/>
  <c r="V442" i="1"/>
  <c r="S442" i="1"/>
  <c r="M442" i="1"/>
  <c r="Y441" i="1"/>
  <c r="V441" i="1"/>
  <c r="S441" i="1"/>
  <c r="P440" i="1" s="1"/>
  <c r="M441" i="1"/>
  <c r="W440" i="1"/>
  <c r="T440" i="1"/>
  <c r="Z440" i="1" s="1"/>
  <c r="N440" i="1"/>
  <c r="L440" i="1"/>
  <c r="J440" i="1"/>
  <c r="M440" i="1" s="1"/>
  <c r="O440" i="1" s="1"/>
  <c r="Y439" i="1"/>
  <c r="V439" i="1"/>
  <c r="S439" i="1"/>
  <c r="M439" i="1"/>
  <c r="Y438" i="1"/>
  <c r="V438" i="1"/>
  <c r="S438" i="1"/>
  <c r="M438" i="1"/>
  <c r="Y437" i="1"/>
  <c r="V437" i="1"/>
  <c r="S437" i="1"/>
  <c r="M437" i="1"/>
  <c r="Y436" i="1"/>
  <c r="V436" i="1"/>
  <c r="S436" i="1"/>
  <c r="P435" i="1" s="1"/>
  <c r="M436" i="1"/>
  <c r="W435" i="1"/>
  <c r="T435" i="1"/>
  <c r="Z435" i="1" s="1"/>
  <c r="N435" i="1"/>
  <c r="L435" i="1"/>
  <c r="J435" i="1"/>
  <c r="M435" i="1" s="1"/>
  <c r="Y434" i="1"/>
  <c r="V434" i="1"/>
  <c r="S434" i="1"/>
  <c r="M434" i="1"/>
  <c r="Y433" i="1"/>
  <c r="V433" i="1"/>
  <c r="S433" i="1"/>
  <c r="M433" i="1"/>
  <c r="Y432" i="1"/>
  <c r="V432" i="1"/>
  <c r="S432" i="1"/>
  <c r="M432" i="1"/>
  <c r="Y431" i="1"/>
  <c r="V431" i="1"/>
  <c r="S431" i="1"/>
  <c r="P430" i="1" s="1"/>
  <c r="M431" i="1"/>
  <c r="W430" i="1"/>
  <c r="T430" i="1"/>
  <c r="Z430" i="1" s="1"/>
  <c r="N430" i="1"/>
  <c r="L430" i="1"/>
  <c r="J430" i="1"/>
  <c r="M430" i="1" s="1"/>
  <c r="Y429" i="1"/>
  <c r="V429" i="1"/>
  <c r="S429" i="1"/>
  <c r="M429" i="1"/>
  <c r="Y428" i="1"/>
  <c r="V428" i="1"/>
  <c r="S428" i="1"/>
  <c r="M428" i="1"/>
  <c r="Y427" i="1"/>
  <c r="V427" i="1"/>
  <c r="S427" i="1"/>
  <c r="M427" i="1"/>
  <c r="Y426" i="1"/>
  <c r="V426" i="1"/>
  <c r="S426" i="1"/>
  <c r="P425" i="1" s="1"/>
  <c r="M426" i="1"/>
  <c r="W425" i="1"/>
  <c r="T425" i="1"/>
  <c r="Z425" i="1" s="1"/>
  <c r="N425" i="1"/>
  <c r="L425" i="1"/>
  <c r="J425" i="1"/>
  <c r="M425" i="1" s="1"/>
  <c r="O425" i="1" s="1"/>
  <c r="Y424" i="1"/>
  <c r="V424" i="1"/>
  <c r="S424" i="1"/>
  <c r="M424" i="1"/>
  <c r="Y423" i="1"/>
  <c r="V423" i="1"/>
  <c r="S423" i="1"/>
  <c r="P422" i="1" s="1"/>
  <c r="M423" i="1"/>
  <c r="W422" i="1"/>
  <c r="T422" i="1"/>
  <c r="Z422" i="1" s="1"/>
  <c r="N422" i="1"/>
  <c r="L422" i="1"/>
  <c r="J422" i="1"/>
  <c r="M422" i="1" s="1"/>
  <c r="O422" i="1" s="1"/>
  <c r="Y421" i="1"/>
  <c r="V421" i="1"/>
  <c r="S421" i="1"/>
  <c r="M421" i="1"/>
  <c r="Y420" i="1"/>
  <c r="V420" i="1"/>
  <c r="S420" i="1"/>
  <c r="P419" i="1" s="1"/>
  <c r="M420" i="1"/>
  <c r="W419" i="1"/>
  <c r="T419" i="1"/>
  <c r="Z419" i="1" s="1"/>
  <c r="N419" i="1"/>
  <c r="L419" i="1"/>
  <c r="J419" i="1"/>
  <c r="M419" i="1" s="1"/>
  <c r="Y418" i="1"/>
  <c r="V418" i="1"/>
  <c r="S418" i="1"/>
  <c r="M418" i="1"/>
  <c r="Y417" i="1"/>
  <c r="V417" i="1"/>
  <c r="S417" i="1"/>
  <c r="P416" i="1" s="1"/>
  <c r="M417" i="1"/>
  <c r="W416" i="1"/>
  <c r="T416" i="1"/>
  <c r="Z416" i="1" s="1"/>
  <c r="N416" i="1"/>
  <c r="L416" i="1"/>
  <c r="J416" i="1"/>
  <c r="M416" i="1" s="1"/>
  <c r="Y415" i="1"/>
  <c r="V415" i="1"/>
  <c r="S415" i="1"/>
  <c r="M415" i="1"/>
  <c r="Y414" i="1"/>
  <c r="V414" i="1"/>
  <c r="S414" i="1"/>
  <c r="P413" i="1" s="1"/>
  <c r="M414" i="1"/>
  <c r="W413" i="1"/>
  <c r="T413" i="1"/>
  <c r="Z413" i="1" s="1"/>
  <c r="N413" i="1"/>
  <c r="L413" i="1"/>
  <c r="J413" i="1"/>
  <c r="M413" i="1" s="1"/>
  <c r="O413" i="1" s="1"/>
  <c r="Y412" i="1"/>
  <c r="V412" i="1"/>
  <c r="S412" i="1"/>
  <c r="M412" i="1"/>
  <c r="Y411" i="1"/>
  <c r="V411" i="1"/>
  <c r="S411" i="1"/>
  <c r="P410" i="1" s="1"/>
  <c r="M411" i="1"/>
  <c r="W410" i="1"/>
  <c r="T410" i="1"/>
  <c r="Z410" i="1" s="1"/>
  <c r="N410" i="1"/>
  <c r="J410" i="1"/>
  <c r="L410" i="1" s="1"/>
  <c r="Y409" i="1"/>
  <c r="V409" i="1"/>
  <c r="S409" i="1"/>
  <c r="M409" i="1"/>
  <c r="Y408" i="1"/>
  <c r="V408" i="1"/>
  <c r="S408" i="1"/>
  <c r="P407" i="1" s="1"/>
  <c r="M408" i="1"/>
  <c r="W407" i="1"/>
  <c r="T407" i="1"/>
  <c r="Z407" i="1" s="1"/>
  <c r="N407" i="1"/>
  <c r="J407" i="1"/>
  <c r="L407" i="1" s="1"/>
  <c r="Y406" i="1"/>
  <c r="V406" i="1"/>
  <c r="S406" i="1"/>
  <c r="M406" i="1"/>
  <c r="Y405" i="1"/>
  <c r="V405" i="1"/>
  <c r="S405" i="1"/>
  <c r="P404" i="1" s="1"/>
  <c r="M405" i="1"/>
  <c r="W404" i="1"/>
  <c r="T404" i="1"/>
  <c r="Z404" i="1" s="1"/>
  <c r="N404" i="1"/>
  <c r="J404" i="1"/>
  <c r="L404" i="1" s="1"/>
  <c r="Y403" i="1"/>
  <c r="V403" i="1"/>
  <c r="S403" i="1"/>
  <c r="M403" i="1"/>
  <c r="Y402" i="1"/>
  <c r="V402" i="1"/>
  <c r="S402" i="1"/>
  <c r="P401" i="1" s="1"/>
  <c r="M402" i="1"/>
  <c r="W401" i="1"/>
  <c r="T401" i="1"/>
  <c r="Z401" i="1" s="1"/>
  <c r="N401" i="1"/>
  <c r="J401" i="1"/>
  <c r="L401" i="1" s="1"/>
  <c r="Y400" i="1"/>
  <c r="V400" i="1"/>
  <c r="S400" i="1"/>
  <c r="M400" i="1"/>
  <c r="Y399" i="1"/>
  <c r="V399" i="1"/>
  <c r="S399" i="1"/>
  <c r="P398" i="1" s="1"/>
  <c r="M399" i="1"/>
  <c r="W398" i="1"/>
  <c r="T398" i="1"/>
  <c r="Z398" i="1" s="1"/>
  <c r="N398" i="1"/>
  <c r="J398" i="1"/>
  <c r="L398" i="1" s="1"/>
  <c r="Y397" i="1"/>
  <c r="V397" i="1"/>
  <c r="S397" i="1"/>
  <c r="M397" i="1"/>
  <c r="Y396" i="1"/>
  <c r="V396" i="1"/>
  <c r="S396" i="1"/>
  <c r="P395" i="1" s="1"/>
  <c r="M396" i="1"/>
  <c r="W395" i="1"/>
  <c r="T395" i="1"/>
  <c r="Z395" i="1" s="1"/>
  <c r="N395" i="1"/>
  <c r="J395" i="1"/>
  <c r="Y394" i="1"/>
  <c r="V394" i="1"/>
  <c r="S394" i="1"/>
  <c r="M394" i="1"/>
  <c r="Y393" i="1"/>
  <c r="V393" i="1"/>
  <c r="S393" i="1"/>
  <c r="P392" i="1" s="1"/>
  <c r="M393" i="1"/>
  <c r="J392" i="1" s="1"/>
  <c r="W392" i="1"/>
  <c r="T392" i="1"/>
  <c r="Z392" i="1" s="1"/>
  <c r="N392" i="1"/>
  <c r="Y391" i="1"/>
  <c r="V391" i="1"/>
  <c r="S391" i="1"/>
  <c r="M391" i="1"/>
  <c r="Y390" i="1"/>
  <c r="V390" i="1"/>
  <c r="S390" i="1"/>
  <c r="P389" i="1" s="1"/>
  <c r="M390" i="1"/>
  <c r="W389" i="1"/>
  <c r="T389" i="1"/>
  <c r="Z389" i="1" s="1"/>
  <c r="N389" i="1"/>
  <c r="J389" i="1"/>
  <c r="Y388" i="1"/>
  <c r="V388" i="1"/>
  <c r="S388" i="1"/>
  <c r="M388" i="1"/>
  <c r="Y387" i="1"/>
  <c r="V387" i="1"/>
  <c r="S387" i="1"/>
  <c r="P386" i="1" s="1"/>
  <c r="M387" i="1"/>
  <c r="J386" i="1" s="1"/>
  <c r="W386" i="1"/>
  <c r="T386" i="1"/>
  <c r="Z386" i="1" s="1"/>
  <c r="N386" i="1"/>
  <c r="Y385" i="1"/>
  <c r="V385" i="1"/>
  <c r="S385" i="1"/>
  <c r="M385" i="1"/>
  <c r="Y384" i="1"/>
  <c r="V384" i="1"/>
  <c r="S384" i="1"/>
  <c r="P383" i="1" s="1"/>
  <c r="M384" i="1"/>
  <c r="W383" i="1"/>
  <c r="T383" i="1"/>
  <c r="Z383" i="1" s="1"/>
  <c r="N383" i="1"/>
  <c r="J383" i="1"/>
  <c r="Y382" i="1"/>
  <c r="V382" i="1"/>
  <c r="S382" i="1"/>
  <c r="M382" i="1"/>
  <c r="Y381" i="1"/>
  <c r="V381" i="1"/>
  <c r="S381" i="1"/>
  <c r="P380" i="1" s="1"/>
  <c r="M381" i="1"/>
  <c r="J380" i="1" s="1"/>
  <c r="W380" i="1"/>
  <c r="T380" i="1"/>
  <c r="Z380" i="1" s="1"/>
  <c r="N380" i="1"/>
  <c r="Y379" i="1"/>
  <c r="V379" i="1"/>
  <c r="S379" i="1"/>
  <c r="M379" i="1"/>
  <c r="W378" i="1"/>
  <c r="T378" i="1"/>
  <c r="Z378" i="1" s="1"/>
  <c r="P378" i="1"/>
  <c r="N378" i="1"/>
  <c r="L378" i="1"/>
  <c r="J378" i="1"/>
  <c r="M378" i="1" s="1"/>
  <c r="O378" i="1" s="1"/>
  <c r="V377" i="1"/>
  <c r="S377" i="1"/>
  <c r="P376" i="1" s="1"/>
  <c r="M377" i="1"/>
  <c r="J376" i="1" s="1"/>
  <c r="W376" i="1"/>
  <c r="T376" i="1"/>
  <c r="N376" i="1"/>
  <c r="Y375" i="1"/>
  <c r="V375" i="1"/>
  <c r="S375" i="1"/>
  <c r="M375" i="1"/>
  <c r="W374" i="1"/>
  <c r="T374" i="1"/>
  <c r="Z374" i="1" s="1"/>
  <c r="S374" i="1"/>
  <c r="P374" i="1"/>
  <c r="N374" i="1"/>
  <c r="J374" i="1"/>
  <c r="M374" i="1" s="1"/>
  <c r="O374" i="1" s="1"/>
  <c r="V372" i="1"/>
  <c r="S372" i="1"/>
  <c r="Y372" i="1" s="1"/>
  <c r="M372" i="1"/>
  <c r="V371" i="1"/>
  <c r="S371" i="1"/>
  <c r="Y371" i="1" s="1"/>
  <c r="M371" i="1"/>
  <c r="V370" i="1"/>
  <c r="S370" i="1"/>
  <c r="M370" i="1"/>
  <c r="W369" i="1"/>
  <c r="T369" i="1"/>
  <c r="Z369" i="1" s="1"/>
  <c r="N369" i="1"/>
  <c r="J369" i="1"/>
  <c r="M369" i="1" s="1"/>
  <c r="O369" i="1" s="1"/>
  <c r="V368" i="1"/>
  <c r="S368" i="1"/>
  <c r="Y368" i="1" s="1"/>
  <c r="M368" i="1"/>
  <c r="V367" i="1"/>
  <c r="S367" i="1"/>
  <c r="M367" i="1"/>
  <c r="V366" i="1"/>
  <c r="S366" i="1"/>
  <c r="Y366" i="1" s="1"/>
  <c r="M366" i="1"/>
  <c r="W365" i="1"/>
  <c r="T365" i="1"/>
  <c r="Z365" i="1" s="1"/>
  <c r="N365" i="1"/>
  <c r="J365" i="1"/>
  <c r="V364" i="1"/>
  <c r="S364" i="1"/>
  <c r="Y364" i="1" s="1"/>
  <c r="M364" i="1"/>
  <c r="V363" i="1"/>
  <c r="S363" i="1"/>
  <c r="Y363" i="1" s="1"/>
  <c r="M363" i="1"/>
  <c r="V362" i="1"/>
  <c r="S362" i="1"/>
  <c r="M362" i="1"/>
  <c r="J361" i="1" s="1"/>
  <c r="W361" i="1"/>
  <c r="T361" i="1"/>
  <c r="Z361" i="1" s="1"/>
  <c r="N361" i="1"/>
  <c r="V360" i="1"/>
  <c r="S360" i="1"/>
  <c r="Y360" i="1" s="1"/>
  <c r="M360" i="1"/>
  <c r="V359" i="1"/>
  <c r="S359" i="1"/>
  <c r="Y359" i="1" s="1"/>
  <c r="M359" i="1"/>
  <c r="J357" i="1" s="1"/>
  <c r="V358" i="1"/>
  <c r="S358" i="1"/>
  <c r="Y358" i="1" s="1"/>
  <c r="M358" i="1"/>
  <c r="W357" i="1"/>
  <c r="T357" i="1"/>
  <c r="Z357" i="1" s="1"/>
  <c r="N357" i="1"/>
  <c r="V356" i="1"/>
  <c r="S356" i="1"/>
  <c r="M356" i="1"/>
  <c r="V355" i="1"/>
  <c r="S355" i="1"/>
  <c r="Y355" i="1" s="1"/>
  <c r="M355" i="1"/>
  <c r="V354" i="1"/>
  <c r="S354" i="1"/>
  <c r="Y354" i="1" s="1"/>
  <c r="M354" i="1"/>
  <c r="J353" i="1" s="1"/>
  <c r="W353" i="1"/>
  <c r="T353" i="1"/>
  <c r="Z353" i="1" s="1"/>
  <c r="N353" i="1"/>
  <c r="V352" i="1"/>
  <c r="S352" i="1"/>
  <c r="Y352" i="1" s="1"/>
  <c r="M352" i="1"/>
  <c r="V351" i="1"/>
  <c r="S351" i="1"/>
  <c r="Y351" i="1" s="1"/>
  <c r="M351" i="1"/>
  <c r="V350" i="1"/>
  <c r="S350" i="1"/>
  <c r="Y350" i="1" s="1"/>
  <c r="M350" i="1"/>
  <c r="J349" i="1" s="1"/>
  <c r="L349" i="1" s="1"/>
  <c r="W349" i="1"/>
  <c r="T349" i="1"/>
  <c r="Z349" i="1" s="1"/>
  <c r="N349" i="1"/>
  <c r="V348" i="1"/>
  <c r="S348" i="1"/>
  <c r="Y348" i="1" s="1"/>
  <c r="M348" i="1"/>
  <c r="V347" i="1"/>
  <c r="S347" i="1"/>
  <c r="Y347" i="1" s="1"/>
  <c r="M347" i="1"/>
  <c r="J345" i="1" s="1"/>
  <c r="V346" i="1"/>
  <c r="S346" i="1"/>
  <c r="Y346" i="1" s="1"/>
  <c r="M346" i="1"/>
  <c r="W345" i="1"/>
  <c r="T345" i="1"/>
  <c r="Z345" i="1" s="1"/>
  <c r="N345" i="1"/>
  <c r="V344" i="1"/>
  <c r="S344" i="1"/>
  <c r="Y344" i="1" s="1"/>
  <c r="M344" i="1"/>
  <c r="Y343" i="1"/>
  <c r="V343" i="1"/>
  <c r="S343" i="1"/>
  <c r="M343" i="1"/>
  <c r="V342" i="1"/>
  <c r="S342" i="1"/>
  <c r="P341" i="1" s="1"/>
  <c r="M342" i="1"/>
  <c r="W341" i="1"/>
  <c r="T341" i="1"/>
  <c r="Z341" i="1" s="1"/>
  <c r="N341" i="1"/>
  <c r="J341" i="1"/>
  <c r="M341" i="1" s="1"/>
  <c r="O341" i="1" s="1"/>
  <c r="Y340" i="1"/>
  <c r="V340" i="1"/>
  <c r="S340" i="1"/>
  <c r="M340" i="1"/>
  <c r="V339" i="1"/>
  <c r="S339" i="1"/>
  <c r="Y339" i="1" s="1"/>
  <c r="M339" i="1"/>
  <c r="J337" i="1" s="1"/>
  <c r="Y338" i="1"/>
  <c r="V338" i="1"/>
  <c r="S338" i="1"/>
  <c r="M338" i="1"/>
  <c r="W337" i="1"/>
  <c r="T337" i="1"/>
  <c r="Z337" i="1" s="1"/>
  <c r="P337" i="1"/>
  <c r="V337" i="1" s="1"/>
  <c r="N337" i="1"/>
  <c r="V336" i="1"/>
  <c r="S336" i="1"/>
  <c r="Y336" i="1" s="1"/>
  <c r="M336" i="1"/>
  <c r="Y335" i="1"/>
  <c r="V335" i="1"/>
  <c r="S335" i="1"/>
  <c r="M335" i="1"/>
  <c r="V334" i="1"/>
  <c r="S334" i="1"/>
  <c r="P333" i="1" s="1"/>
  <c r="M334" i="1"/>
  <c r="W333" i="1"/>
  <c r="T333" i="1"/>
  <c r="Z333" i="1" s="1"/>
  <c r="N333" i="1"/>
  <c r="J333" i="1"/>
  <c r="M333" i="1" s="1"/>
  <c r="O333" i="1" s="1"/>
  <c r="Y332" i="1"/>
  <c r="V332" i="1"/>
  <c r="S332" i="1"/>
  <c r="M332" i="1"/>
  <c r="V331" i="1"/>
  <c r="S331" i="1"/>
  <c r="P330" i="1" s="1"/>
  <c r="M331" i="1"/>
  <c r="W330" i="1"/>
  <c r="T330" i="1"/>
  <c r="Z330" i="1" s="1"/>
  <c r="S330" i="1"/>
  <c r="N330" i="1"/>
  <c r="J330" i="1"/>
  <c r="M330" i="1" s="1"/>
  <c r="O330" i="1" s="1"/>
  <c r="Y329" i="1"/>
  <c r="V329" i="1"/>
  <c r="S329" i="1"/>
  <c r="M329" i="1"/>
  <c r="V328" i="1"/>
  <c r="S328" i="1"/>
  <c r="Y328" i="1" s="1"/>
  <c r="M328" i="1"/>
  <c r="J326" i="1" s="1"/>
  <c r="Y327" i="1"/>
  <c r="V327" i="1"/>
  <c r="S327" i="1"/>
  <c r="M327" i="1"/>
  <c r="W326" i="1"/>
  <c r="T326" i="1"/>
  <c r="Z326" i="1" s="1"/>
  <c r="P326" i="1"/>
  <c r="V326" i="1" s="1"/>
  <c r="N326" i="1"/>
  <c r="V325" i="1"/>
  <c r="S325" i="1"/>
  <c r="Y325" i="1" s="1"/>
  <c r="M325" i="1"/>
  <c r="J323" i="1" s="1"/>
  <c r="Y324" i="1"/>
  <c r="V324" i="1"/>
  <c r="S324" i="1"/>
  <c r="M324" i="1"/>
  <c r="W323" i="1"/>
  <c r="T323" i="1"/>
  <c r="Z323" i="1" s="1"/>
  <c r="P323" i="1"/>
  <c r="V323" i="1" s="1"/>
  <c r="N323" i="1"/>
  <c r="V322" i="1"/>
  <c r="S322" i="1"/>
  <c r="Y322" i="1" s="1"/>
  <c r="M322" i="1"/>
  <c r="Y321" i="1"/>
  <c r="V321" i="1"/>
  <c r="S321" i="1"/>
  <c r="M321" i="1"/>
  <c r="V320" i="1"/>
  <c r="S320" i="1"/>
  <c r="P319" i="1" s="1"/>
  <c r="M320" i="1"/>
  <c r="W319" i="1"/>
  <c r="T319" i="1"/>
  <c r="Z319" i="1" s="1"/>
  <c r="N319" i="1"/>
  <c r="J319" i="1"/>
  <c r="M319" i="1" s="1"/>
  <c r="O319" i="1" s="1"/>
  <c r="Y318" i="1"/>
  <c r="V318" i="1"/>
  <c r="S318" i="1"/>
  <c r="M318" i="1"/>
  <c r="V317" i="1"/>
  <c r="S317" i="1"/>
  <c r="P316" i="1" s="1"/>
  <c r="M317" i="1"/>
  <c r="W316" i="1"/>
  <c r="T316" i="1"/>
  <c r="Z316" i="1" s="1"/>
  <c r="S316" i="1"/>
  <c r="N316" i="1"/>
  <c r="J316" i="1"/>
  <c r="M316" i="1" s="1"/>
  <c r="O316" i="1" s="1"/>
  <c r="Y315" i="1"/>
  <c r="V315" i="1"/>
  <c r="S315" i="1"/>
  <c r="M315" i="1"/>
  <c r="V314" i="1"/>
  <c r="S314" i="1"/>
  <c r="Y314" i="1" s="1"/>
  <c r="M314" i="1"/>
  <c r="J312" i="1" s="1"/>
  <c r="Y313" i="1"/>
  <c r="V313" i="1"/>
  <c r="S313" i="1"/>
  <c r="M313" i="1"/>
  <c r="W312" i="1"/>
  <c r="T312" i="1"/>
  <c r="Z312" i="1" s="1"/>
  <c r="P312" i="1"/>
  <c r="V312" i="1" s="1"/>
  <c r="N312" i="1"/>
  <c r="V311" i="1"/>
  <c r="S311" i="1"/>
  <c r="Y311" i="1" s="1"/>
  <c r="M311" i="1"/>
  <c r="Y310" i="1"/>
  <c r="V310" i="1"/>
  <c r="S310" i="1"/>
  <c r="M310" i="1"/>
  <c r="V309" i="1"/>
  <c r="S309" i="1"/>
  <c r="P308" i="1" s="1"/>
  <c r="S308" i="1" s="1"/>
  <c r="M309" i="1"/>
  <c r="W308" i="1"/>
  <c r="T308" i="1"/>
  <c r="Z308" i="1" s="1"/>
  <c r="N308" i="1"/>
  <c r="J308" i="1"/>
  <c r="M308" i="1" s="1"/>
  <c r="O308" i="1" s="1"/>
  <c r="Y307" i="1"/>
  <c r="V307" i="1"/>
  <c r="S307" i="1"/>
  <c r="M307" i="1"/>
  <c r="V306" i="1"/>
  <c r="S306" i="1"/>
  <c r="Y306" i="1" s="1"/>
  <c r="M306" i="1"/>
  <c r="J304" i="1" s="1"/>
  <c r="Y305" i="1"/>
  <c r="V305" i="1"/>
  <c r="S305" i="1"/>
  <c r="M305" i="1"/>
  <c r="W304" i="1"/>
  <c r="T304" i="1"/>
  <c r="Z304" i="1" s="1"/>
  <c r="P304" i="1"/>
  <c r="V304" i="1" s="1"/>
  <c r="N304" i="1"/>
  <c r="V303" i="1"/>
  <c r="S303" i="1"/>
  <c r="Y303" i="1" s="1"/>
  <c r="M303" i="1"/>
  <c r="Y302" i="1"/>
  <c r="V302" i="1"/>
  <c r="S302" i="1"/>
  <c r="M302" i="1"/>
  <c r="V301" i="1"/>
  <c r="S301" i="1"/>
  <c r="P300" i="1" s="1"/>
  <c r="S300" i="1" s="1"/>
  <c r="M301" i="1"/>
  <c r="W300" i="1"/>
  <c r="T300" i="1"/>
  <c r="Z300" i="1" s="1"/>
  <c r="N300" i="1"/>
  <c r="J300" i="1"/>
  <c r="M300" i="1" s="1"/>
  <c r="O300" i="1" s="1"/>
  <c r="Y299" i="1"/>
  <c r="V299" i="1"/>
  <c r="S299" i="1"/>
  <c r="M299" i="1"/>
  <c r="V298" i="1"/>
  <c r="S298" i="1"/>
  <c r="P297" i="1" s="1"/>
  <c r="M298" i="1"/>
  <c r="W297" i="1"/>
  <c r="T297" i="1"/>
  <c r="Z297" i="1" s="1"/>
  <c r="N297" i="1"/>
  <c r="J297" i="1"/>
  <c r="M297" i="1" s="1"/>
  <c r="O297" i="1" s="1"/>
  <c r="Y296" i="1"/>
  <c r="V296" i="1"/>
  <c r="S296" i="1"/>
  <c r="M296" i="1"/>
  <c r="V295" i="1"/>
  <c r="S295" i="1"/>
  <c r="Y295" i="1" s="1"/>
  <c r="M295" i="1"/>
  <c r="J293" i="1" s="1"/>
  <c r="Y294" i="1"/>
  <c r="V294" i="1"/>
  <c r="S294" i="1"/>
  <c r="M294" i="1"/>
  <c r="W293" i="1"/>
  <c r="T293" i="1"/>
  <c r="Z293" i="1" s="1"/>
  <c r="P293" i="1"/>
  <c r="V293" i="1" s="1"/>
  <c r="N293" i="1"/>
  <c r="V292" i="1"/>
  <c r="S292" i="1"/>
  <c r="Y292" i="1" s="1"/>
  <c r="M292" i="1"/>
  <c r="J290" i="1" s="1"/>
  <c r="Y291" i="1"/>
  <c r="V291" i="1"/>
  <c r="S291" i="1"/>
  <c r="M291" i="1"/>
  <c r="W290" i="1"/>
  <c r="T290" i="1"/>
  <c r="Z290" i="1" s="1"/>
  <c r="P290" i="1"/>
  <c r="V290" i="1" s="1"/>
  <c r="N290" i="1"/>
  <c r="T289" i="1"/>
  <c r="V287" i="1"/>
  <c r="S287" i="1"/>
  <c r="M287" i="1"/>
  <c r="Z286" i="1"/>
  <c r="W286" i="1"/>
  <c r="T286" i="1"/>
  <c r="N286" i="1"/>
  <c r="N285" i="1" s="1"/>
  <c r="M286" i="1"/>
  <c r="M285" i="1" s="1"/>
  <c r="L286" i="1"/>
  <c r="J286" i="1"/>
  <c r="Z285" i="1"/>
  <c r="T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J280" i="1" s="1"/>
  <c r="L280" i="1" s="1"/>
  <c r="Y281" i="1"/>
  <c r="V281" i="1"/>
  <c r="S281" i="1"/>
  <c r="P280" i="1" s="1"/>
  <c r="M281" i="1"/>
  <c r="W280" i="1"/>
  <c r="V280" i="1"/>
  <c r="T280" i="1"/>
  <c r="Z280" i="1" s="1"/>
  <c r="N280" i="1"/>
  <c r="Y279" i="1"/>
  <c r="V279" i="1"/>
  <c r="S279" i="1"/>
  <c r="M279" i="1"/>
  <c r="Y278" i="1"/>
  <c r="V278" i="1"/>
  <c r="S278" i="1"/>
  <c r="M278" i="1"/>
  <c r="Y277" i="1"/>
  <c r="V277" i="1"/>
  <c r="S277" i="1"/>
  <c r="M277" i="1"/>
  <c r="J275" i="1" s="1"/>
  <c r="Y276" i="1"/>
  <c r="V276" i="1"/>
  <c r="S276" i="1"/>
  <c r="P275" i="1" s="1"/>
  <c r="V275" i="1" s="1"/>
  <c r="M276" i="1"/>
  <c r="W275" i="1"/>
  <c r="T275" i="1"/>
  <c r="Z275" i="1" s="1"/>
  <c r="N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J270" i="1" s="1"/>
  <c r="L270" i="1" s="1"/>
  <c r="Y271" i="1"/>
  <c r="V271" i="1"/>
  <c r="S271" i="1"/>
  <c r="P270" i="1" s="1"/>
  <c r="M271" i="1"/>
  <c r="W270" i="1"/>
  <c r="T270" i="1"/>
  <c r="Z270" i="1" s="1"/>
  <c r="N270" i="1"/>
  <c r="M270" i="1"/>
  <c r="O270" i="1" s="1"/>
  <c r="Y269" i="1"/>
  <c r="V269" i="1"/>
  <c r="S269" i="1"/>
  <c r="M269" i="1"/>
  <c r="Y268" i="1"/>
  <c r="V268" i="1"/>
  <c r="S268" i="1"/>
  <c r="M268" i="1"/>
  <c r="Y267" i="1"/>
  <c r="V267" i="1"/>
  <c r="S267" i="1"/>
  <c r="M267" i="1"/>
  <c r="Y266" i="1"/>
  <c r="V266" i="1"/>
  <c r="S266" i="1"/>
  <c r="P265" i="1" s="1"/>
  <c r="M266" i="1"/>
  <c r="W265" i="1"/>
  <c r="V265" i="1"/>
  <c r="T265" i="1"/>
  <c r="Z265" i="1" s="1"/>
  <c r="N265" i="1"/>
  <c r="M265" i="1"/>
  <c r="O265" i="1" s="1"/>
  <c r="J265" i="1"/>
  <c r="L265" i="1" s="1"/>
  <c r="Y264" i="1"/>
  <c r="V264" i="1"/>
  <c r="S264" i="1"/>
  <c r="M264" i="1"/>
  <c r="Y263" i="1"/>
  <c r="V263" i="1"/>
  <c r="S263" i="1"/>
  <c r="M263" i="1"/>
  <c r="Y262" i="1"/>
  <c r="V262" i="1"/>
  <c r="S262" i="1"/>
  <c r="M262" i="1"/>
  <c r="Y261" i="1"/>
  <c r="V261" i="1"/>
  <c r="S261" i="1"/>
  <c r="P260" i="1" s="1"/>
  <c r="V260" i="1" s="1"/>
  <c r="M261" i="1"/>
  <c r="W260" i="1"/>
  <c r="T260" i="1"/>
  <c r="Z260" i="1" s="1"/>
  <c r="N260" i="1"/>
  <c r="M260" i="1"/>
  <c r="O260" i="1" s="1"/>
  <c r="J260" i="1"/>
  <c r="L260" i="1" s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P255" i="1" s="1"/>
  <c r="V255" i="1" s="1"/>
  <c r="M256" i="1"/>
  <c r="W255" i="1"/>
  <c r="T255" i="1"/>
  <c r="Z255" i="1" s="1"/>
  <c r="N255" i="1"/>
  <c r="M255" i="1"/>
  <c r="O255" i="1" s="1"/>
  <c r="J255" i="1"/>
  <c r="L255" i="1" s="1"/>
  <c r="Y254" i="1"/>
  <c r="V254" i="1"/>
  <c r="S254" i="1"/>
  <c r="M254" i="1"/>
  <c r="Y253" i="1"/>
  <c r="V253" i="1"/>
  <c r="S253" i="1"/>
  <c r="M253" i="1"/>
  <c r="Y252" i="1"/>
  <c r="V252" i="1"/>
  <c r="S252" i="1"/>
  <c r="M252" i="1"/>
  <c r="Y251" i="1"/>
  <c r="V251" i="1"/>
  <c r="S251" i="1"/>
  <c r="P250" i="1" s="1"/>
  <c r="M251" i="1"/>
  <c r="W250" i="1"/>
  <c r="V250" i="1"/>
  <c r="T250" i="1"/>
  <c r="Z250" i="1" s="1"/>
  <c r="N250" i="1"/>
  <c r="M250" i="1"/>
  <c r="O250" i="1" s="1"/>
  <c r="J250" i="1"/>
  <c r="L250" i="1" s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P245" i="1" s="1"/>
  <c r="M246" i="1"/>
  <c r="W245" i="1"/>
  <c r="V245" i="1"/>
  <c r="T245" i="1"/>
  <c r="Z245" i="1" s="1"/>
  <c r="N245" i="1"/>
  <c r="M245" i="1"/>
  <c r="O245" i="1" s="1"/>
  <c r="J245" i="1"/>
  <c r="L245" i="1" s="1"/>
  <c r="Y244" i="1"/>
  <c r="V244" i="1"/>
  <c r="S244" i="1"/>
  <c r="M244" i="1"/>
  <c r="Y243" i="1"/>
  <c r="V243" i="1"/>
  <c r="S243" i="1"/>
  <c r="M243" i="1"/>
  <c r="Y242" i="1"/>
  <c r="V242" i="1"/>
  <c r="S242" i="1"/>
  <c r="M242" i="1"/>
  <c r="Y241" i="1"/>
  <c r="V241" i="1"/>
  <c r="S241" i="1"/>
  <c r="P240" i="1" s="1"/>
  <c r="V240" i="1" s="1"/>
  <c r="M241" i="1"/>
  <c r="W240" i="1"/>
  <c r="T240" i="1"/>
  <c r="Z240" i="1" s="1"/>
  <c r="N240" i="1"/>
  <c r="M240" i="1"/>
  <c r="J240" i="1"/>
  <c r="L240" i="1" s="1"/>
  <c r="Y239" i="1"/>
  <c r="V239" i="1"/>
  <c r="S239" i="1"/>
  <c r="M239" i="1"/>
  <c r="Z238" i="1"/>
  <c r="W238" i="1"/>
  <c r="T238" i="1"/>
  <c r="S238" i="1"/>
  <c r="R238" i="1"/>
  <c r="X238" i="1" s="1"/>
  <c r="P238" i="1"/>
  <c r="V238" i="1" s="1"/>
  <c r="N238" i="1"/>
  <c r="J238" i="1"/>
  <c r="M238" i="1" s="1"/>
  <c r="O238" i="1" s="1"/>
  <c r="Y237" i="1"/>
  <c r="V237" i="1"/>
  <c r="S237" i="1"/>
  <c r="M237" i="1"/>
  <c r="J235" i="1" s="1"/>
  <c r="Y236" i="1"/>
  <c r="V236" i="1"/>
  <c r="S236" i="1"/>
  <c r="M236" i="1"/>
  <c r="Z235" i="1"/>
  <c r="W235" i="1"/>
  <c r="T235" i="1"/>
  <c r="S235" i="1"/>
  <c r="R235" i="1"/>
  <c r="X235" i="1" s="1"/>
  <c r="P235" i="1"/>
  <c r="V235" i="1" s="1"/>
  <c r="N235" i="1"/>
  <c r="Y234" i="1"/>
  <c r="V234" i="1"/>
  <c r="S234" i="1"/>
  <c r="M234" i="1"/>
  <c r="Y233" i="1"/>
  <c r="V233" i="1"/>
  <c r="S233" i="1"/>
  <c r="M233" i="1"/>
  <c r="Y232" i="1"/>
  <c r="V232" i="1"/>
  <c r="S232" i="1"/>
  <c r="P231" i="1" s="1"/>
  <c r="V231" i="1" s="1"/>
  <c r="M232" i="1"/>
  <c r="W231" i="1"/>
  <c r="T231" i="1"/>
  <c r="Z231" i="1" s="1"/>
  <c r="N231" i="1"/>
  <c r="M231" i="1"/>
  <c r="O231" i="1" s="1"/>
  <c r="J231" i="1"/>
  <c r="L231" i="1" s="1"/>
  <c r="Y230" i="1"/>
  <c r="V230" i="1"/>
  <c r="S230" i="1"/>
  <c r="M230" i="1"/>
  <c r="Y229" i="1"/>
  <c r="V229" i="1"/>
  <c r="S229" i="1"/>
  <c r="M229" i="1"/>
  <c r="J227" i="1" s="1"/>
  <c r="Y228" i="1"/>
  <c r="V228" i="1"/>
  <c r="S228" i="1"/>
  <c r="M228" i="1"/>
  <c r="Z227" i="1"/>
  <c r="X227" i="1"/>
  <c r="W227" i="1"/>
  <c r="T227" i="1"/>
  <c r="S227" i="1"/>
  <c r="R227" i="1"/>
  <c r="P227" i="1"/>
  <c r="V227" i="1" s="1"/>
  <c r="N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Y223" i="1"/>
  <c r="V223" i="1"/>
  <c r="S223" i="1"/>
  <c r="M223" i="1"/>
  <c r="Z222" i="1"/>
  <c r="W222" i="1"/>
  <c r="T222" i="1"/>
  <c r="P222" i="1"/>
  <c r="N222" i="1"/>
  <c r="N216" i="1" s="1"/>
  <c r="J222" i="1"/>
  <c r="V221" i="1"/>
  <c r="S221" i="1"/>
  <c r="Y221" i="1" s="1"/>
  <c r="M221" i="1"/>
  <c r="Y220" i="1"/>
  <c r="V220" i="1"/>
  <c r="S220" i="1"/>
  <c r="M220" i="1"/>
  <c r="V219" i="1"/>
  <c r="S219" i="1"/>
  <c r="Y219" i="1" s="1"/>
  <c r="M219" i="1"/>
  <c r="Y218" i="1"/>
  <c r="V218" i="1"/>
  <c r="S218" i="1"/>
  <c r="M218" i="1"/>
  <c r="J217" i="1" s="1"/>
  <c r="W217" i="1"/>
  <c r="T217" i="1"/>
  <c r="T216" i="1" s="1"/>
  <c r="N217" i="1"/>
  <c r="V215" i="1"/>
  <c r="S215" i="1"/>
  <c r="P214" i="1" s="1"/>
  <c r="M215" i="1"/>
  <c r="J214" i="1" s="1"/>
  <c r="W214" i="1"/>
  <c r="T214" i="1"/>
  <c r="Z214" i="1" s="1"/>
  <c r="N214" i="1"/>
  <c r="Y213" i="1"/>
  <c r="V213" i="1"/>
  <c r="S213" i="1"/>
  <c r="P212" i="1" s="1"/>
  <c r="M213" i="1"/>
  <c r="W212" i="1"/>
  <c r="T212" i="1"/>
  <c r="Z212" i="1" s="1"/>
  <c r="N212" i="1"/>
  <c r="M212" i="1"/>
  <c r="O212" i="1" s="1"/>
  <c r="J212" i="1"/>
  <c r="L212" i="1" s="1"/>
  <c r="V211" i="1"/>
  <c r="S211" i="1"/>
  <c r="Y211" i="1" s="1"/>
  <c r="M211" i="1"/>
  <c r="Z210" i="1"/>
  <c r="W210" i="1"/>
  <c r="T210" i="1"/>
  <c r="S210" i="1"/>
  <c r="R210" i="1"/>
  <c r="X210" i="1" s="1"/>
  <c r="P210" i="1"/>
  <c r="V210" i="1" s="1"/>
  <c r="N210" i="1"/>
  <c r="J210" i="1"/>
  <c r="M210" i="1" s="1"/>
  <c r="O210" i="1" s="1"/>
  <c r="Y209" i="1"/>
  <c r="V209" i="1"/>
  <c r="S209" i="1"/>
  <c r="P208" i="1" s="1"/>
  <c r="M209" i="1"/>
  <c r="W208" i="1"/>
  <c r="T208" i="1"/>
  <c r="Z208" i="1" s="1"/>
  <c r="N208" i="1"/>
  <c r="M208" i="1"/>
  <c r="O208" i="1" s="1"/>
  <c r="J208" i="1"/>
  <c r="L208" i="1" s="1"/>
  <c r="V207" i="1"/>
  <c r="S207" i="1"/>
  <c r="Y207" i="1" s="1"/>
  <c r="M207" i="1"/>
  <c r="Z206" i="1"/>
  <c r="W206" i="1"/>
  <c r="T206" i="1"/>
  <c r="S206" i="1"/>
  <c r="R206" i="1"/>
  <c r="X206" i="1" s="1"/>
  <c r="P206" i="1"/>
  <c r="V206" i="1" s="1"/>
  <c r="N206" i="1"/>
  <c r="J206" i="1"/>
  <c r="M206" i="1" s="1"/>
  <c r="O206" i="1" s="1"/>
  <c r="Y205" i="1"/>
  <c r="V205" i="1"/>
  <c r="S205" i="1"/>
  <c r="P204" i="1" s="1"/>
  <c r="M205" i="1"/>
  <c r="W204" i="1"/>
  <c r="T204" i="1"/>
  <c r="Z204" i="1" s="1"/>
  <c r="N204" i="1"/>
  <c r="M204" i="1"/>
  <c r="J204" i="1"/>
  <c r="L204" i="1" s="1"/>
  <c r="V203" i="1"/>
  <c r="S203" i="1"/>
  <c r="Y203" i="1" s="1"/>
  <c r="M203" i="1"/>
  <c r="Z202" i="1"/>
  <c r="W202" i="1"/>
  <c r="T202" i="1"/>
  <c r="S202" i="1"/>
  <c r="R202" i="1"/>
  <c r="X202" i="1" s="1"/>
  <c r="P202" i="1"/>
  <c r="V202" i="1" s="1"/>
  <c r="N202" i="1"/>
  <c r="J202" i="1"/>
  <c r="M202" i="1" s="1"/>
  <c r="O202" i="1" s="1"/>
  <c r="Y201" i="1"/>
  <c r="V201" i="1"/>
  <c r="S201" i="1"/>
  <c r="P200" i="1" s="1"/>
  <c r="M201" i="1"/>
  <c r="W200" i="1"/>
  <c r="T200" i="1"/>
  <c r="Z200" i="1" s="1"/>
  <c r="N200" i="1"/>
  <c r="M200" i="1"/>
  <c r="O200" i="1" s="1"/>
  <c r="J200" i="1"/>
  <c r="L200" i="1" s="1"/>
  <c r="V199" i="1"/>
  <c r="S199" i="1"/>
  <c r="Y199" i="1" s="1"/>
  <c r="M199" i="1"/>
  <c r="Z198" i="1"/>
  <c r="W198" i="1"/>
  <c r="T198" i="1"/>
  <c r="S198" i="1"/>
  <c r="R198" i="1"/>
  <c r="X198" i="1" s="1"/>
  <c r="P198" i="1"/>
  <c r="V198" i="1" s="1"/>
  <c r="N198" i="1"/>
  <c r="J198" i="1"/>
  <c r="M198" i="1" s="1"/>
  <c r="O198" i="1" s="1"/>
  <c r="Y197" i="1"/>
  <c r="V197" i="1"/>
  <c r="S197" i="1"/>
  <c r="P196" i="1" s="1"/>
  <c r="M197" i="1"/>
  <c r="W196" i="1"/>
  <c r="T196" i="1"/>
  <c r="Z196" i="1" s="1"/>
  <c r="Z193" i="1" s="1"/>
  <c r="N196" i="1"/>
  <c r="M196" i="1"/>
  <c r="J196" i="1"/>
  <c r="L196" i="1" s="1"/>
  <c r="V195" i="1"/>
  <c r="S195" i="1"/>
  <c r="Y195" i="1" s="1"/>
  <c r="M195" i="1"/>
  <c r="Z194" i="1"/>
  <c r="W194" i="1"/>
  <c r="T194" i="1"/>
  <c r="T193" i="1" s="1"/>
  <c r="S194" i="1"/>
  <c r="R194" i="1"/>
  <c r="X194" i="1" s="1"/>
  <c r="P194" i="1"/>
  <c r="V194" i="1" s="1"/>
  <c r="N194" i="1"/>
  <c r="J194" i="1"/>
  <c r="M194" i="1" s="1"/>
  <c r="Y192" i="1"/>
  <c r="V192" i="1"/>
  <c r="S192" i="1"/>
  <c r="M192" i="1"/>
  <c r="V191" i="1"/>
  <c r="S191" i="1"/>
  <c r="Y191" i="1" s="1"/>
  <c r="M191" i="1"/>
  <c r="J189" i="1" s="1"/>
  <c r="Y190" i="1"/>
  <c r="V190" i="1"/>
  <c r="S190" i="1"/>
  <c r="P189" i="1" s="1"/>
  <c r="M190" i="1"/>
  <c r="Z189" i="1"/>
  <c r="W189" i="1"/>
  <c r="T189" i="1"/>
  <c r="N189" i="1"/>
  <c r="V188" i="1"/>
  <c r="S188" i="1"/>
  <c r="Y188" i="1" s="1"/>
  <c r="M188" i="1"/>
  <c r="J185" i="1" s="1"/>
  <c r="Y187" i="1"/>
  <c r="V187" i="1"/>
  <c r="S187" i="1"/>
  <c r="M187" i="1"/>
  <c r="V186" i="1"/>
  <c r="S186" i="1"/>
  <c r="Y186" i="1" s="1"/>
  <c r="M186" i="1"/>
  <c r="W185" i="1"/>
  <c r="T185" i="1"/>
  <c r="Z185" i="1" s="1"/>
  <c r="S185" i="1"/>
  <c r="Y185" i="1" s="1"/>
  <c r="AA185" i="1" s="1"/>
  <c r="P185" i="1"/>
  <c r="R185" i="1" s="1"/>
  <c r="X185" i="1" s="1"/>
  <c r="N185" i="1"/>
  <c r="Y184" i="1"/>
  <c r="V184" i="1"/>
  <c r="S184" i="1"/>
  <c r="M184" i="1"/>
  <c r="V183" i="1"/>
  <c r="S183" i="1"/>
  <c r="Y183" i="1" s="1"/>
  <c r="M183" i="1"/>
  <c r="J181" i="1" s="1"/>
  <c r="Y182" i="1"/>
  <c r="V182" i="1"/>
  <c r="S182" i="1"/>
  <c r="P181" i="1" s="1"/>
  <c r="M182" i="1"/>
  <c r="W181" i="1"/>
  <c r="T181" i="1"/>
  <c r="Z181" i="1" s="1"/>
  <c r="N181" i="1"/>
  <c r="V180" i="1"/>
  <c r="S180" i="1"/>
  <c r="Y180" i="1" s="1"/>
  <c r="M180" i="1"/>
  <c r="J179" i="1" s="1"/>
  <c r="W179" i="1"/>
  <c r="T179" i="1"/>
  <c r="Z179" i="1" s="1"/>
  <c r="S179" i="1"/>
  <c r="Y179" i="1" s="1"/>
  <c r="P179" i="1"/>
  <c r="R179" i="1" s="1"/>
  <c r="X179" i="1" s="1"/>
  <c r="N179" i="1"/>
  <c r="Y178" i="1"/>
  <c r="V178" i="1"/>
  <c r="S178" i="1"/>
  <c r="M178" i="1"/>
  <c r="V177" i="1"/>
  <c r="S177" i="1"/>
  <c r="Y177" i="1" s="1"/>
  <c r="M177" i="1"/>
  <c r="W176" i="1"/>
  <c r="T176" i="1"/>
  <c r="Z176" i="1" s="1"/>
  <c r="S176" i="1"/>
  <c r="Y176" i="1" s="1"/>
  <c r="AA176" i="1" s="1"/>
  <c r="P176" i="1"/>
  <c r="R176" i="1" s="1"/>
  <c r="X176" i="1" s="1"/>
  <c r="N176" i="1"/>
  <c r="J176" i="1"/>
  <c r="Y175" i="1"/>
  <c r="V175" i="1"/>
  <c r="S175" i="1"/>
  <c r="M175" i="1"/>
  <c r="V174" i="1"/>
  <c r="S174" i="1"/>
  <c r="Y174" i="1" s="1"/>
  <c r="M174" i="1"/>
  <c r="J173" i="1" s="1"/>
  <c r="W173" i="1"/>
  <c r="T173" i="1"/>
  <c r="Z173" i="1" s="1"/>
  <c r="S173" i="1"/>
  <c r="Y173" i="1" s="1"/>
  <c r="P173" i="1"/>
  <c r="R173" i="1" s="1"/>
  <c r="X173" i="1" s="1"/>
  <c r="N173" i="1"/>
  <c r="Y172" i="1"/>
  <c r="V172" i="1"/>
  <c r="S172" i="1"/>
  <c r="M172" i="1"/>
  <c r="V171" i="1"/>
  <c r="S171" i="1"/>
  <c r="Y171" i="1" s="1"/>
  <c r="M171" i="1"/>
  <c r="J170" i="1" s="1"/>
  <c r="W170" i="1"/>
  <c r="T170" i="1"/>
  <c r="Z170" i="1" s="1"/>
  <c r="S170" i="1"/>
  <c r="Y170" i="1" s="1"/>
  <c r="AA170" i="1" s="1"/>
  <c r="P170" i="1"/>
  <c r="R170" i="1" s="1"/>
  <c r="X170" i="1" s="1"/>
  <c r="N170" i="1"/>
  <c r="Y169" i="1"/>
  <c r="V169" i="1"/>
  <c r="S169" i="1"/>
  <c r="M169" i="1"/>
  <c r="V168" i="1"/>
  <c r="S168" i="1"/>
  <c r="Y168" i="1" s="1"/>
  <c r="M168" i="1"/>
  <c r="J166" i="1" s="1"/>
  <c r="Y167" i="1"/>
  <c r="V167" i="1"/>
  <c r="S167" i="1"/>
  <c r="P166" i="1" s="1"/>
  <c r="M167" i="1"/>
  <c r="W166" i="1"/>
  <c r="T166" i="1"/>
  <c r="Z166" i="1" s="1"/>
  <c r="N166" i="1"/>
  <c r="V165" i="1"/>
  <c r="S165" i="1"/>
  <c r="Y165" i="1" s="1"/>
  <c r="M165" i="1"/>
  <c r="Y164" i="1"/>
  <c r="V164" i="1"/>
  <c r="S164" i="1"/>
  <c r="M164" i="1"/>
  <c r="V163" i="1"/>
  <c r="S163" i="1"/>
  <c r="Y163" i="1" s="1"/>
  <c r="M163" i="1"/>
  <c r="J162" i="1" s="1"/>
  <c r="W162" i="1"/>
  <c r="T162" i="1"/>
  <c r="Z162" i="1" s="1"/>
  <c r="S162" i="1"/>
  <c r="Y162" i="1" s="1"/>
  <c r="AA162" i="1" s="1"/>
  <c r="P162" i="1"/>
  <c r="R162" i="1" s="1"/>
  <c r="X162" i="1" s="1"/>
  <c r="N162" i="1"/>
  <c r="Y161" i="1"/>
  <c r="V161" i="1"/>
  <c r="S161" i="1"/>
  <c r="M161" i="1"/>
  <c r="V160" i="1"/>
  <c r="S160" i="1"/>
  <c r="Y160" i="1" s="1"/>
  <c r="M160" i="1"/>
  <c r="J158" i="1" s="1"/>
  <c r="Y159" i="1"/>
  <c r="V159" i="1"/>
  <c r="S159" i="1"/>
  <c r="P158" i="1" s="1"/>
  <c r="M159" i="1"/>
  <c r="W158" i="1"/>
  <c r="T158" i="1"/>
  <c r="Z158" i="1" s="1"/>
  <c r="N158" i="1"/>
  <c r="V157" i="1"/>
  <c r="S157" i="1"/>
  <c r="Y157" i="1" s="1"/>
  <c r="M157" i="1"/>
  <c r="Y156" i="1"/>
  <c r="V156" i="1"/>
  <c r="S156" i="1"/>
  <c r="M156" i="1"/>
  <c r="V155" i="1"/>
  <c r="S155" i="1"/>
  <c r="Y155" i="1" s="1"/>
  <c r="M155" i="1"/>
  <c r="J154" i="1" s="1"/>
  <c r="W154" i="1"/>
  <c r="T154" i="1"/>
  <c r="Z154" i="1" s="1"/>
  <c r="S154" i="1"/>
  <c r="Y154" i="1" s="1"/>
  <c r="AA154" i="1" s="1"/>
  <c r="P154" i="1"/>
  <c r="R154" i="1" s="1"/>
  <c r="X154" i="1" s="1"/>
  <c r="N154" i="1"/>
  <c r="Y153" i="1"/>
  <c r="V153" i="1"/>
  <c r="S153" i="1"/>
  <c r="M153" i="1"/>
  <c r="V152" i="1"/>
  <c r="S152" i="1"/>
  <c r="Y152" i="1" s="1"/>
  <c r="M152" i="1"/>
  <c r="J150" i="1" s="1"/>
  <c r="Y151" i="1"/>
  <c r="V151" i="1"/>
  <c r="S151" i="1"/>
  <c r="P150" i="1" s="1"/>
  <c r="M151" i="1"/>
  <c r="W150" i="1"/>
  <c r="T150" i="1"/>
  <c r="Z150" i="1" s="1"/>
  <c r="N150" i="1"/>
  <c r="V149" i="1"/>
  <c r="S149" i="1"/>
  <c r="Y149" i="1" s="1"/>
  <c r="M149" i="1"/>
  <c r="Y148" i="1"/>
  <c r="V148" i="1"/>
  <c r="S148" i="1"/>
  <c r="M148" i="1"/>
  <c r="V147" i="1"/>
  <c r="S147" i="1"/>
  <c r="Y147" i="1" s="1"/>
  <c r="M147" i="1"/>
  <c r="J146" i="1" s="1"/>
  <c r="W146" i="1"/>
  <c r="T146" i="1"/>
  <c r="Z146" i="1" s="1"/>
  <c r="S146" i="1"/>
  <c r="Y146" i="1" s="1"/>
  <c r="AA146" i="1" s="1"/>
  <c r="P146" i="1"/>
  <c r="R146" i="1" s="1"/>
  <c r="X146" i="1" s="1"/>
  <c r="N146" i="1"/>
  <c r="Y145" i="1"/>
  <c r="V145" i="1"/>
  <c r="S145" i="1"/>
  <c r="M145" i="1"/>
  <c r="V144" i="1"/>
  <c r="S144" i="1"/>
  <c r="Y144" i="1" s="1"/>
  <c r="M144" i="1"/>
  <c r="J142" i="1" s="1"/>
  <c r="Y143" i="1"/>
  <c r="V143" i="1"/>
  <c r="S143" i="1"/>
  <c r="P142" i="1" s="1"/>
  <c r="M143" i="1"/>
  <c r="W142" i="1"/>
  <c r="T142" i="1"/>
  <c r="Z142" i="1" s="1"/>
  <c r="N142" i="1"/>
  <c r="V141" i="1"/>
  <c r="S141" i="1"/>
  <c r="Y141" i="1" s="1"/>
  <c r="M141" i="1"/>
  <c r="Y140" i="1"/>
  <c r="V140" i="1"/>
  <c r="S140" i="1"/>
  <c r="M140" i="1"/>
  <c r="V139" i="1"/>
  <c r="S139" i="1"/>
  <c r="Y139" i="1" s="1"/>
  <c r="M139" i="1"/>
  <c r="W138" i="1"/>
  <c r="T138" i="1"/>
  <c r="Z138" i="1" s="1"/>
  <c r="S138" i="1"/>
  <c r="P138" i="1"/>
  <c r="R138" i="1" s="1"/>
  <c r="X138" i="1" s="1"/>
  <c r="N138" i="1"/>
  <c r="J138" i="1"/>
  <c r="Y137" i="1"/>
  <c r="V137" i="1"/>
  <c r="S137" i="1"/>
  <c r="M137" i="1"/>
  <c r="V136" i="1"/>
  <c r="S136" i="1"/>
  <c r="Y136" i="1" s="1"/>
  <c r="M136" i="1"/>
  <c r="J134" i="1" s="1"/>
  <c r="M134" i="1" s="1"/>
  <c r="Y135" i="1"/>
  <c r="V135" i="1"/>
  <c r="S135" i="1"/>
  <c r="P134" i="1" s="1"/>
  <c r="M135" i="1"/>
  <c r="W134" i="1"/>
  <c r="T134" i="1"/>
  <c r="Z134" i="1" s="1"/>
  <c r="O134" i="1"/>
  <c r="N134" i="1"/>
  <c r="L134" i="1"/>
  <c r="V133" i="1"/>
  <c r="S133" i="1"/>
  <c r="Y133" i="1" s="1"/>
  <c r="M133" i="1"/>
  <c r="Y132" i="1"/>
  <c r="V132" i="1"/>
  <c r="S132" i="1"/>
  <c r="P130" i="1" s="1"/>
  <c r="M132" i="1"/>
  <c r="V131" i="1"/>
  <c r="S131" i="1"/>
  <c r="Y131" i="1" s="1"/>
  <c r="M131" i="1"/>
  <c r="J130" i="1" s="1"/>
  <c r="W130" i="1"/>
  <c r="T130" i="1"/>
  <c r="Z130" i="1" s="1"/>
  <c r="N130" i="1"/>
  <c r="Y129" i="1"/>
  <c r="V129" i="1"/>
  <c r="S129" i="1"/>
  <c r="M129" i="1"/>
  <c r="V128" i="1"/>
  <c r="S128" i="1"/>
  <c r="Y128" i="1" s="1"/>
  <c r="M128" i="1"/>
  <c r="J125" i="1" s="1"/>
  <c r="Y127" i="1"/>
  <c r="V127" i="1"/>
  <c r="S127" i="1"/>
  <c r="P125" i="1" s="1"/>
  <c r="M127" i="1"/>
  <c r="V126" i="1"/>
  <c r="S126" i="1"/>
  <c r="Y126" i="1" s="1"/>
  <c r="M126" i="1"/>
  <c r="W125" i="1"/>
  <c r="T125" i="1"/>
  <c r="Z125" i="1" s="1"/>
  <c r="N125" i="1"/>
  <c r="V124" i="1"/>
  <c r="S124" i="1"/>
  <c r="P123" i="1" s="1"/>
  <c r="M124" i="1"/>
  <c r="W123" i="1"/>
  <c r="T123" i="1"/>
  <c r="Z123" i="1" s="1"/>
  <c r="N123" i="1"/>
  <c r="L123" i="1"/>
  <c r="J123" i="1"/>
  <c r="M123" i="1" s="1"/>
  <c r="O123" i="1" s="1"/>
  <c r="V122" i="1"/>
  <c r="S122" i="1"/>
  <c r="Y122" i="1" s="1"/>
  <c r="M122" i="1"/>
  <c r="W121" i="1"/>
  <c r="T121" i="1"/>
  <c r="Z121" i="1" s="1"/>
  <c r="P121" i="1"/>
  <c r="N121" i="1"/>
  <c r="J121" i="1"/>
  <c r="M121" i="1" s="1"/>
  <c r="O121" i="1" s="1"/>
  <c r="Y120" i="1"/>
  <c r="V120" i="1"/>
  <c r="S120" i="1"/>
  <c r="P119" i="1" s="1"/>
  <c r="M120" i="1"/>
  <c r="W119" i="1"/>
  <c r="T119" i="1"/>
  <c r="O119" i="1"/>
  <c r="N119" i="1"/>
  <c r="L119" i="1"/>
  <c r="J119" i="1"/>
  <c r="M119" i="1" s="1"/>
  <c r="V118" i="1"/>
  <c r="S118" i="1"/>
  <c r="Y118" i="1" s="1"/>
  <c r="M118" i="1"/>
  <c r="J117" i="1" s="1"/>
  <c r="W117" i="1"/>
  <c r="T117" i="1"/>
  <c r="Z117" i="1" s="1"/>
  <c r="P117" i="1"/>
  <c r="N117" i="1"/>
  <c r="V116" i="1"/>
  <c r="S116" i="1"/>
  <c r="Y116" i="1" s="1"/>
  <c r="M116" i="1"/>
  <c r="J115" i="1" s="1"/>
  <c r="W115" i="1"/>
  <c r="T115" i="1"/>
  <c r="Z115" i="1" s="1"/>
  <c r="N115" i="1"/>
  <c r="V114" i="1"/>
  <c r="S114" i="1"/>
  <c r="Y114" i="1" s="1"/>
  <c r="M114" i="1"/>
  <c r="W113" i="1"/>
  <c r="T113" i="1"/>
  <c r="Z113" i="1" s="1"/>
  <c r="N113" i="1"/>
  <c r="L113" i="1"/>
  <c r="J113" i="1"/>
  <c r="M113" i="1" s="1"/>
  <c r="O113" i="1" s="1"/>
  <c r="AA112" i="1"/>
  <c r="W112" i="1"/>
  <c r="T112" i="1"/>
  <c r="Z112" i="1" s="1"/>
  <c r="R112" i="1"/>
  <c r="X112" i="1" s="1"/>
  <c r="N112" i="1"/>
  <c r="L112" i="1"/>
  <c r="Y106" i="1"/>
  <c r="V106" i="1"/>
  <c r="S106" i="1"/>
  <c r="M106" i="1"/>
  <c r="Y105" i="1"/>
  <c r="V105" i="1"/>
  <c r="S105" i="1"/>
  <c r="M105" i="1"/>
  <c r="J103" i="1" s="1"/>
  <c r="Y104" i="1"/>
  <c r="V104" i="1"/>
  <c r="S104" i="1"/>
  <c r="P103" i="1" s="1"/>
  <c r="M104" i="1"/>
  <c r="Z103" i="1"/>
  <c r="W103" i="1"/>
  <c r="T103" i="1"/>
  <c r="N103" i="1"/>
  <c r="N102" i="1" s="1"/>
  <c r="N101" i="1" s="1"/>
  <c r="Z102" i="1"/>
  <c r="T102" i="1"/>
  <c r="T101" i="1" s="1"/>
  <c r="Z101" i="1"/>
  <c r="Z100" i="1"/>
  <c r="AA100" i="1" s="1"/>
  <c r="X100" i="1"/>
  <c r="W100" i="1"/>
  <c r="U100" i="1"/>
  <c r="U99" i="1" s="1"/>
  <c r="T100" i="1"/>
  <c r="R100" i="1"/>
  <c r="N100" i="1"/>
  <c r="O100" i="1" s="1"/>
  <c r="O99" i="1" s="1"/>
  <c r="L100" i="1"/>
  <c r="AA99" i="1"/>
  <c r="Z99" i="1"/>
  <c r="Y99" i="1"/>
  <c r="T99" i="1"/>
  <c r="S99" i="1"/>
  <c r="N99" i="1"/>
  <c r="M99" i="1"/>
  <c r="Y98" i="1"/>
  <c r="V98" i="1"/>
  <c r="S98" i="1"/>
  <c r="M98" i="1"/>
  <c r="W97" i="1"/>
  <c r="V97" i="1"/>
  <c r="T97" i="1"/>
  <c r="Z97" i="1" s="1"/>
  <c r="P97" i="1"/>
  <c r="S97" i="1" s="1"/>
  <c r="O97" i="1"/>
  <c r="N97" i="1"/>
  <c r="M97" i="1"/>
  <c r="J97" i="1"/>
  <c r="L97" i="1" s="1"/>
  <c r="V96" i="1"/>
  <c r="S96" i="1"/>
  <c r="P95" i="1" s="1"/>
  <c r="M96" i="1"/>
  <c r="W95" i="1"/>
  <c r="T95" i="1"/>
  <c r="Z95" i="1" s="1"/>
  <c r="N95" i="1"/>
  <c r="J95" i="1"/>
  <c r="Y94" i="1"/>
  <c r="V94" i="1"/>
  <c r="S94" i="1"/>
  <c r="M94" i="1"/>
  <c r="W93" i="1"/>
  <c r="V93" i="1"/>
  <c r="T93" i="1"/>
  <c r="Z93" i="1" s="1"/>
  <c r="P93" i="1"/>
  <c r="S93" i="1" s="1"/>
  <c r="O93" i="1"/>
  <c r="N93" i="1"/>
  <c r="M93" i="1"/>
  <c r="J93" i="1"/>
  <c r="L93" i="1" s="1"/>
  <c r="V92" i="1"/>
  <c r="S92" i="1"/>
  <c r="Y92" i="1" s="1"/>
  <c r="M92" i="1"/>
  <c r="J90" i="1" s="1"/>
  <c r="Y91" i="1"/>
  <c r="V91" i="1"/>
  <c r="S91" i="1"/>
  <c r="M91" i="1"/>
  <c r="W90" i="1"/>
  <c r="V90" i="1"/>
  <c r="T90" i="1"/>
  <c r="Z90" i="1" s="1"/>
  <c r="P90" i="1"/>
  <c r="S90" i="1" s="1"/>
  <c r="N90" i="1"/>
  <c r="V89" i="1"/>
  <c r="S89" i="1"/>
  <c r="Y89" i="1" s="1"/>
  <c r="M89" i="1"/>
  <c r="Y88" i="1"/>
  <c r="V88" i="1"/>
  <c r="S88" i="1"/>
  <c r="M88" i="1"/>
  <c r="V87" i="1"/>
  <c r="S87" i="1"/>
  <c r="P86" i="1" s="1"/>
  <c r="M87" i="1"/>
  <c r="W86" i="1"/>
  <c r="T86" i="1"/>
  <c r="Z86" i="1" s="1"/>
  <c r="N86" i="1"/>
  <c r="J86" i="1"/>
  <c r="Y85" i="1"/>
  <c r="V85" i="1"/>
  <c r="S85" i="1"/>
  <c r="M85" i="1"/>
  <c r="V84" i="1"/>
  <c r="S84" i="1"/>
  <c r="Y84" i="1" s="1"/>
  <c r="M84" i="1"/>
  <c r="J82" i="1" s="1"/>
  <c r="Y83" i="1"/>
  <c r="V83" i="1"/>
  <c r="S83" i="1"/>
  <c r="M83" i="1"/>
  <c r="W82" i="1"/>
  <c r="V82" i="1"/>
  <c r="T82" i="1"/>
  <c r="Z82" i="1" s="1"/>
  <c r="P82" i="1"/>
  <c r="S82" i="1" s="1"/>
  <c r="N82" i="1"/>
  <c r="V81" i="1"/>
  <c r="S81" i="1"/>
  <c r="Y81" i="1" s="1"/>
  <c r="M81" i="1"/>
  <c r="Y80" i="1"/>
  <c r="V80" i="1"/>
  <c r="S80" i="1"/>
  <c r="M80" i="1"/>
  <c r="V79" i="1"/>
  <c r="S79" i="1"/>
  <c r="P78" i="1" s="1"/>
  <c r="M79" i="1"/>
  <c r="W78" i="1"/>
  <c r="T78" i="1"/>
  <c r="Z78" i="1" s="1"/>
  <c r="N78" i="1"/>
  <c r="J78" i="1"/>
  <c r="Y77" i="1"/>
  <c r="V77" i="1"/>
  <c r="S77" i="1"/>
  <c r="M77" i="1"/>
  <c r="V76" i="1"/>
  <c r="S76" i="1"/>
  <c r="P75" i="1" s="1"/>
  <c r="M76" i="1"/>
  <c r="J75" i="1" s="1"/>
  <c r="W75" i="1"/>
  <c r="T75" i="1"/>
  <c r="N75" i="1"/>
  <c r="N74" i="1"/>
  <c r="Y73" i="1"/>
  <c r="V73" i="1"/>
  <c r="S73" i="1"/>
  <c r="M73" i="1"/>
  <c r="V72" i="1"/>
  <c r="S72" i="1"/>
  <c r="Y72" i="1" s="1"/>
  <c r="M72" i="1"/>
  <c r="J69" i="1" s="1"/>
  <c r="Y71" i="1"/>
  <c r="V71" i="1"/>
  <c r="S71" i="1"/>
  <c r="M71" i="1"/>
  <c r="V70" i="1"/>
  <c r="S70" i="1"/>
  <c r="M70" i="1"/>
  <c r="W69" i="1"/>
  <c r="T69" i="1"/>
  <c r="Z69" i="1" s="1"/>
  <c r="N69" i="1"/>
  <c r="Y68" i="1"/>
  <c r="V68" i="1"/>
  <c r="S68" i="1"/>
  <c r="M68" i="1"/>
  <c r="V67" i="1"/>
  <c r="S67" i="1"/>
  <c r="Y67" i="1" s="1"/>
  <c r="M67" i="1"/>
  <c r="Y66" i="1"/>
  <c r="V66" i="1"/>
  <c r="S66" i="1"/>
  <c r="M66" i="1"/>
  <c r="V65" i="1"/>
  <c r="S65" i="1"/>
  <c r="M65" i="1"/>
  <c r="W64" i="1"/>
  <c r="T64" i="1"/>
  <c r="Z64" i="1" s="1"/>
  <c r="N64" i="1"/>
  <c r="L64" i="1"/>
  <c r="J64" i="1"/>
  <c r="M64" i="1" s="1"/>
  <c r="O64" i="1" s="1"/>
  <c r="Y63" i="1"/>
  <c r="V63" i="1"/>
  <c r="S63" i="1"/>
  <c r="M63" i="1"/>
  <c r="V62" i="1"/>
  <c r="S62" i="1"/>
  <c r="Y62" i="1" s="1"/>
  <c r="M62" i="1"/>
  <c r="Y61" i="1"/>
  <c r="V61" i="1"/>
  <c r="S61" i="1"/>
  <c r="M61" i="1"/>
  <c r="V60" i="1"/>
  <c r="S60" i="1"/>
  <c r="Y60" i="1" s="1"/>
  <c r="M60" i="1"/>
  <c r="Y59" i="1"/>
  <c r="V59" i="1"/>
  <c r="S59" i="1"/>
  <c r="M59" i="1"/>
  <c r="Z58" i="1"/>
  <c r="W58" i="1"/>
  <c r="T58" i="1"/>
  <c r="N58" i="1"/>
  <c r="N57" i="1" s="1"/>
  <c r="V56" i="1"/>
  <c r="S56" i="1"/>
  <c r="Y56" i="1" s="1"/>
  <c r="M56" i="1"/>
  <c r="V55" i="1"/>
  <c r="S55" i="1"/>
  <c r="Y55" i="1" s="1"/>
  <c r="M55" i="1"/>
  <c r="V54" i="1"/>
  <c r="S54" i="1"/>
  <c r="Y54" i="1" s="1"/>
  <c r="M54" i="1"/>
  <c r="J52" i="1" s="1"/>
  <c r="V53" i="1"/>
  <c r="S53" i="1"/>
  <c r="Y53" i="1" s="1"/>
  <c r="M53" i="1"/>
  <c r="Z52" i="1"/>
  <c r="W52" i="1"/>
  <c r="T52" i="1"/>
  <c r="T51" i="1" s="1"/>
  <c r="N52" i="1"/>
  <c r="Z51" i="1"/>
  <c r="N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J45" i="1" s="1"/>
  <c r="M45" i="1" s="1"/>
  <c r="Y46" i="1"/>
  <c r="V46" i="1"/>
  <c r="S46" i="1"/>
  <c r="P45" i="1" s="1"/>
  <c r="V45" i="1" s="1"/>
  <c r="M46" i="1"/>
  <c r="W45" i="1"/>
  <c r="T45" i="1"/>
  <c r="Z45" i="1" s="1"/>
  <c r="Z44" i="1" s="1"/>
  <c r="N45" i="1"/>
  <c r="N44" i="1" s="1"/>
  <c r="N43" i="1" s="1"/>
  <c r="T44" i="1"/>
  <c r="V42" i="1"/>
  <c r="S42" i="1"/>
  <c r="Y42" i="1" s="1"/>
  <c r="M42" i="1"/>
  <c r="J40" i="1" s="1"/>
  <c r="Y41" i="1"/>
  <c r="V41" i="1"/>
  <c r="S41" i="1"/>
  <c r="M41" i="1"/>
  <c r="Z40" i="1"/>
  <c r="W40" i="1"/>
  <c r="T40" i="1"/>
  <c r="P40" i="1"/>
  <c r="R40" i="1" s="1"/>
  <c r="X40" i="1" s="1"/>
  <c r="N40" i="1"/>
  <c r="V39" i="1"/>
  <c r="S39" i="1"/>
  <c r="Y39" i="1" s="1"/>
  <c r="M39" i="1"/>
  <c r="Y38" i="1"/>
  <c r="V38" i="1"/>
  <c r="S38" i="1"/>
  <c r="M38" i="1"/>
  <c r="V37" i="1"/>
  <c r="S37" i="1"/>
  <c r="Y37" i="1" s="1"/>
  <c r="M37" i="1"/>
  <c r="J35" i="1" s="1"/>
  <c r="Y36" i="1"/>
  <c r="V36" i="1"/>
  <c r="S36" i="1"/>
  <c r="M36" i="1"/>
  <c r="Z35" i="1"/>
  <c r="Z34" i="1" s="1"/>
  <c r="W35" i="1"/>
  <c r="T35" i="1"/>
  <c r="P35" i="1"/>
  <c r="N35" i="1"/>
  <c r="N34" i="1" s="1"/>
  <c r="T34" i="1"/>
  <c r="Y31" i="1"/>
  <c r="V31" i="1"/>
  <c r="S31" i="1"/>
  <c r="M31" i="1"/>
  <c r="V30" i="1"/>
  <c r="S30" i="1"/>
  <c r="Y30" i="1" s="1"/>
  <c r="M30" i="1"/>
  <c r="Y29" i="1"/>
  <c r="V29" i="1"/>
  <c r="S29" i="1"/>
  <c r="M29" i="1"/>
  <c r="V28" i="1"/>
  <c r="S28" i="1"/>
  <c r="Y28" i="1" s="1"/>
  <c r="M28" i="1"/>
  <c r="J26" i="1" s="1"/>
  <c r="L26" i="1" s="1"/>
  <c r="Y27" i="1"/>
  <c r="V27" i="1"/>
  <c r="S27" i="1"/>
  <c r="M27" i="1"/>
  <c r="W26" i="1"/>
  <c r="T26" i="1"/>
  <c r="Z26" i="1" s="1"/>
  <c r="Z25" i="1" s="1"/>
  <c r="P26" i="1"/>
  <c r="V26" i="1" s="1"/>
  <c r="N26" i="1"/>
  <c r="N25" i="1" s="1"/>
  <c r="T25" i="1"/>
  <c r="V24" i="1"/>
  <c r="S24" i="1"/>
  <c r="Y24" i="1" s="1"/>
  <c r="M24" i="1"/>
  <c r="Y23" i="1"/>
  <c r="V23" i="1"/>
  <c r="S23" i="1"/>
  <c r="M23" i="1"/>
  <c r="V22" i="1"/>
  <c r="S22" i="1"/>
  <c r="Y22" i="1" s="1"/>
  <c r="M22" i="1"/>
  <c r="J20" i="1" s="1"/>
  <c r="Y21" i="1"/>
  <c r="V21" i="1"/>
  <c r="S21" i="1"/>
  <c r="M21" i="1"/>
  <c r="Z20" i="1"/>
  <c r="Z19" i="1" s="1"/>
  <c r="Z18" i="1" s="1"/>
  <c r="Z17" i="1" s="1"/>
  <c r="Z16" i="1" s="1"/>
  <c r="W20" i="1"/>
  <c r="T20" i="1"/>
  <c r="N20" i="1"/>
  <c r="N19" i="1" s="1"/>
  <c r="N18" i="1" s="1"/>
  <c r="N17" i="1" s="1"/>
  <c r="N16" i="1" s="1"/>
  <c r="T19" i="1"/>
  <c r="T18" i="1" s="1"/>
  <c r="T17" i="1" s="1"/>
  <c r="T16" i="1" s="1"/>
  <c r="W14" i="1"/>
  <c r="T14" i="1"/>
  <c r="Z14" i="1" s="1"/>
  <c r="R14" i="1"/>
  <c r="X14" i="1" s="1"/>
  <c r="O14" i="1"/>
  <c r="O13" i="1" s="1"/>
  <c r="O12" i="1" s="1"/>
  <c r="O11" i="1" s="1"/>
  <c r="O10" i="1" s="1"/>
  <c r="N14" i="1"/>
  <c r="L14" i="1"/>
  <c r="Y13" i="1"/>
  <c r="Y12" i="1" s="1"/>
  <c r="Y11" i="1" s="1"/>
  <c r="Y10" i="1" s="1"/>
  <c r="S13" i="1"/>
  <c r="S12" i="1" s="1"/>
  <c r="S11" i="1" s="1"/>
  <c r="S10" i="1" s="1"/>
  <c r="N13" i="1"/>
  <c r="N12" i="1" s="1"/>
  <c r="N11" i="1" s="1"/>
  <c r="N10" i="1" s="1"/>
  <c r="M13" i="1"/>
  <c r="M12" i="1"/>
  <c r="M11" i="1"/>
  <c r="M10" i="1" s="1"/>
  <c r="M125" i="2" l="1"/>
  <c r="O125" i="2" s="1"/>
  <c r="L125" i="2"/>
  <c r="Y550" i="2"/>
  <c r="AA550" i="2" s="1"/>
  <c r="U550" i="2"/>
  <c r="S206" i="2"/>
  <c r="R206" i="2"/>
  <c r="X206" i="2" s="1"/>
  <c r="V206" i="2"/>
  <c r="U519" i="2"/>
  <c r="Y519" i="2"/>
  <c r="AA519" i="2" s="1"/>
  <c r="V552" i="2"/>
  <c r="S552" i="2"/>
  <c r="R552" i="2"/>
  <c r="X552" i="2" s="1"/>
  <c r="S357" i="2"/>
  <c r="V357" i="2"/>
  <c r="R357" i="2"/>
  <c r="X357" i="2" s="1"/>
  <c r="S293" i="2"/>
  <c r="R293" i="2"/>
  <c r="X293" i="2" s="1"/>
  <c r="V293" i="2"/>
  <c r="O217" i="2"/>
  <c r="M285" i="2"/>
  <c r="O286" i="2"/>
  <c r="O285" i="2" s="1"/>
  <c r="U536" i="2"/>
  <c r="Y536" i="2"/>
  <c r="M51" i="2"/>
  <c r="O52" i="2"/>
  <c r="O51" i="2" s="1"/>
  <c r="R416" i="2"/>
  <c r="X416" i="2" s="1"/>
  <c r="S416" i="2"/>
  <c r="V416" i="2"/>
  <c r="U507" i="2"/>
  <c r="Y507" i="2"/>
  <c r="AA507" i="2" s="1"/>
  <c r="S250" i="2"/>
  <c r="R250" i="2"/>
  <c r="X250" i="2" s="1"/>
  <c r="V250" i="2"/>
  <c r="R330" i="2"/>
  <c r="X330" i="2" s="1"/>
  <c r="S330" i="2"/>
  <c r="V330" i="2"/>
  <c r="Y196" i="2"/>
  <c r="U196" i="2"/>
  <c r="S361" i="2"/>
  <c r="R361" i="2"/>
  <c r="X361" i="2" s="1"/>
  <c r="V361" i="2"/>
  <c r="O501" i="2"/>
  <c r="O500" i="2" s="1"/>
  <c r="M500" i="2"/>
  <c r="V113" i="2"/>
  <c r="S113" i="2"/>
  <c r="R113" i="2"/>
  <c r="X113" i="2" s="1"/>
  <c r="M333" i="2"/>
  <c r="O333" i="2" s="1"/>
  <c r="L333" i="2"/>
  <c r="Z474" i="2"/>
  <c r="R476" i="2"/>
  <c r="X476" i="2" s="1"/>
  <c r="S476" i="2"/>
  <c r="V476" i="2"/>
  <c r="U202" i="2"/>
  <c r="Y202" i="2"/>
  <c r="AA202" i="2" s="1"/>
  <c r="AA501" i="2"/>
  <c r="V445" i="2"/>
  <c r="S445" i="2"/>
  <c r="R445" i="2"/>
  <c r="X445" i="2" s="1"/>
  <c r="Y345" i="2"/>
  <c r="AA345" i="2" s="1"/>
  <c r="U345" i="2"/>
  <c r="M510" i="2"/>
  <c r="O510" i="2" s="1"/>
  <c r="L510" i="2"/>
  <c r="R270" i="2"/>
  <c r="X270" i="2" s="1"/>
  <c r="V270" i="2"/>
  <c r="S270" i="2"/>
  <c r="R531" i="2"/>
  <c r="X531" i="2" s="1"/>
  <c r="V531" i="2"/>
  <c r="S531" i="2"/>
  <c r="Y538" i="2"/>
  <c r="AA538" i="2" s="1"/>
  <c r="U538" i="2"/>
  <c r="L260" i="2"/>
  <c r="M260" i="2"/>
  <c r="O260" i="2" s="1"/>
  <c r="R440" i="2"/>
  <c r="X440" i="2" s="1"/>
  <c r="S440" i="2"/>
  <c r="S373" i="2" s="1"/>
  <c r="V440" i="2"/>
  <c r="S240" i="2"/>
  <c r="R240" i="2"/>
  <c r="X240" i="2" s="1"/>
  <c r="V240" i="2"/>
  <c r="M86" i="2"/>
  <c r="O86" i="2" s="1"/>
  <c r="L86" i="2"/>
  <c r="Y460" i="2"/>
  <c r="AA460" i="2" s="1"/>
  <c r="U460" i="2"/>
  <c r="L460" i="2"/>
  <c r="M460" i="2"/>
  <c r="O460" i="2" s="1"/>
  <c r="M146" i="2"/>
  <c r="O146" i="2" s="1"/>
  <c r="L146" i="2"/>
  <c r="L488" i="2"/>
  <c r="M488" i="2"/>
  <c r="O488" i="2" s="1"/>
  <c r="V217" i="2"/>
  <c r="S217" i="2"/>
  <c r="R217" i="2"/>
  <c r="X217" i="2" s="1"/>
  <c r="O534" i="2"/>
  <c r="V430" i="2"/>
  <c r="S430" i="2"/>
  <c r="R430" i="2"/>
  <c r="X430" i="2" s="1"/>
  <c r="S353" i="2"/>
  <c r="R353" i="2"/>
  <c r="X353" i="2" s="1"/>
  <c r="V353" i="2"/>
  <c r="O476" i="2"/>
  <c r="M395" i="2"/>
  <c r="O395" i="2" s="1"/>
  <c r="L395" i="2"/>
  <c r="R90" i="2"/>
  <c r="X90" i="2" s="1"/>
  <c r="V90" i="2"/>
  <c r="S90" i="2"/>
  <c r="V510" i="2"/>
  <c r="S510" i="2"/>
  <c r="R510" i="2"/>
  <c r="X510" i="2" s="1"/>
  <c r="V369" i="2"/>
  <c r="R369" i="2"/>
  <c r="X369" i="2" s="1"/>
  <c r="S369" i="2"/>
  <c r="M102" i="2"/>
  <c r="M101" i="2" s="1"/>
  <c r="O103" i="2"/>
  <c r="O102" i="2" s="1"/>
  <c r="O101" i="2" s="1"/>
  <c r="S558" i="2"/>
  <c r="R558" i="2"/>
  <c r="X558" i="2" s="1"/>
  <c r="V558" i="2"/>
  <c r="L312" i="2"/>
  <c r="M312" i="2"/>
  <c r="O312" i="2" s="1"/>
  <c r="T110" i="2"/>
  <c r="S58" i="2"/>
  <c r="V58" i="2"/>
  <c r="R58" i="2"/>
  <c r="X58" i="2" s="1"/>
  <c r="V222" i="2"/>
  <c r="S222" i="2"/>
  <c r="R222" i="2"/>
  <c r="X222" i="2" s="1"/>
  <c r="Y488" i="2"/>
  <c r="AA488" i="2" s="1"/>
  <c r="U488" i="2"/>
  <c r="Y580" i="2"/>
  <c r="AA580" i="2" s="1"/>
  <c r="U580" i="2"/>
  <c r="M383" i="2"/>
  <c r="O383" i="2" s="1"/>
  <c r="L383" i="2"/>
  <c r="M176" i="2"/>
  <c r="O176" i="2" s="1"/>
  <c r="L176" i="2"/>
  <c r="R513" i="2"/>
  <c r="X513" i="2" s="1"/>
  <c r="V513" i="2"/>
  <c r="S513" i="2"/>
  <c r="Y374" i="2"/>
  <c r="U374" i="2"/>
  <c r="R123" i="2"/>
  <c r="X123" i="2" s="1"/>
  <c r="S123" i="2"/>
  <c r="V123" i="2"/>
  <c r="V422" i="2"/>
  <c r="S422" i="2"/>
  <c r="R422" i="2"/>
  <c r="X422" i="2" s="1"/>
  <c r="V528" i="2"/>
  <c r="S528" i="2"/>
  <c r="R528" i="2"/>
  <c r="X528" i="2" s="1"/>
  <c r="S435" i="2"/>
  <c r="R435" i="2"/>
  <c r="X435" i="2" s="1"/>
  <c r="V435" i="2"/>
  <c r="Y142" i="2"/>
  <c r="AA142" i="2" s="1"/>
  <c r="U142" i="2"/>
  <c r="Y181" i="2"/>
  <c r="AA181" i="2" s="1"/>
  <c r="U181" i="2"/>
  <c r="V392" i="2"/>
  <c r="R392" i="2"/>
  <c r="X392" i="2" s="1"/>
  <c r="S392" i="2"/>
  <c r="V341" i="2"/>
  <c r="R341" i="2"/>
  <c r="X341" i="2" s="1"/>
  <c r="S341" i="2"/>
  <c r="L227" i="2"/>
  <c r="M227" i="2"/>
  <c r="O227" i="2" s="1"/>
  <c r="V154" i="2"/>
  <c r="S154" i="2"/>
  <c r="R154" i="2"/>
  <c r="X154" i="2" s="1"/>
  <c r="U319" i="2"/>
  <c r="Y319" i="2"/>
  <c r="AA319" i="2" s="1"/>
  <c r="R386" i="2"/>
  <c r="X386" i="2" s="1"/>
  <c r="S386" i="2"/>
  <c r="V386" i="2"/>
  <c r="Y389" i="2"/>
  <c r="AA389" i="2" s="1"/>
  <c r="U389" i="2"/>
  <c r="R425" i="2"/>
  <c r="X425" i="2" s="1"/>
  <c r="S425" i="2"/>
  <c r="V425" i="2"/>
  <c r="U176" i="2"/>
  <c r="Y176" i="2"/>
  <c r="AA176" i="2" s="1"/>
  <c r="U497" i="2"/>
  <c r="Y497" i="2"/>
  <c r="AA497" i="2" s="1"/>
  <c r="M185" i="2"/>
  <c r="O185" i="2" s="1"/>
  <c r="L185" i="2"/>
  <c r="L245" i="2"/>
  <c r="M245" i="2"/>
  <c r="O245" i="2" s="1"/>
  <c r="M255" i="2"/>
  <c r="O255" i="2" s="1"/>
  <c r="L255" i="2"/>
  <c r="U556" i="2"/>
  <c r="Y556" i="2"/>
  <c r="AA556" i="2" s="1"/>
  <c r="Y383" i="2"/>
  <c r="AA383" i="2" s="1"/>
  <c r="U383" i="2"/>
  <c r="R97" i="2"/>
  <c r="X97" i="2" s="1"/>
  <c r="V97" i="2"/>
  <c r="S97" i="2"/>
  <c r="U214" i="2"/>
  <c r="Y214" i="2"/>
  <c r="AA214" i="2" s="1"/>
  <c r="M181" i="2"/>
  <c r="O181" i="2" s="1"/>
  <c r="L181" i="2"/>
  <c r="T474" i="2"/>
  <c r="T15" i="2"/>
  <c r="V455" i="2"/>
  <c r="S455" i="2"/>
  <c r="R455" i="2"/>
  <c r="X455" i="2" s="1"/>
  <c r="Y316" i="2"/>
  <c r="AA316" i="2" s="1"/>
  <c r="U316" i="2"/>
  <c r="S208" i="2"/>
  <c r="R208" i="2"/>
  <c r="X208" i="2" s="1"/>
  <c r="V208" i="2"/>
  <c r="O75" i="2"/>
  <c r="O74" i="2" s="1"/>
  <c r="M74" i="2"/>
  <c r="Y450" i="2"/>
  <c r="AA450" i="2" s="1"/>
  <c r="U450" i="2"/>
  <c r="M26" i="2"/>
  <c r="L26" i="2"/>
  <c r="U170" i="2"/>
  <c r="Y170" i="2"/>
  <c r="AA170" i="2" s="1"/>
  <c r="U546" i="2"/>
  <c r="Y546" i="2"/>
  <c r="AA546" i="2" s="1"/>
  <c r="U162" i="2"/>
  <c r="Y162" i="2"/>
  <c r="AA162" i="2" s="1"/>
  <c r="S413" i="2"/>
  <c r="V413" i="2"/>
  <c r="R413" i="2"/>
  <c r="X413" i="2" s="1"/>
  <c r="U146" i="2"/>
  <c r="Y146" i="2"/>
  <c r="AA146" i="2" s="1"/>
  <c r="S51" i="2"/>
  <c r="Y52" i="2"/>
  <c r="U52" i="2"/>
  <c r="U51" i="2" s="1"/>
  <c r="S280" i="2"/>
  <c r="V280" i="2"/>
  <c r="R280" i="2"/>
  <c r="X280" i="2" s="1"/>
  <c r="V26" i="2"/>
  <c r="S26" i="2"/>
  <c r="R26" i="2"/>
  <c r="X26" i="2" s="1"/>
  <c r="R227" i="2"/>
  <c r="X227" i="2" s="1"/>
  <c r="V227" i="2"/>
  <c r="S227" i="2"/>
  <c r="V304" i="2"/>
  <c r="R304" i="2"/>
  <c r="X304" i="2" s="1"/>
  <c r="S304" i="2"/>
  <c r="AA535" i="2"/>
  <c r="Z534" i="2"/>
  <c r="Z109" i="2" s="1"/>
  <c r="Z108" i="2" s="1"/>
  <c r="Z107" i="2" s="1"/>
  <c r="V554" i="2"/>
  <c r="S554" i="2"/>
  <c r="R554" i="2"/>
  <c r="X554" i="2" s="1"/>
  <c r="V398" i="2"/>
  <c r="S398" i="2"/>
  <c r="R398" i="2"/>
  <c r="X398" i="2" s="1"/>
  <c r="V464" i="2"/>
  <c r="R464" i="2"/>
  <c r="X464" i="2" s="1"/>
  <c r="S464" i="2"/>
  <c r="M130" i="2"/>
  <c r="O130" i="2" s="1"/>
  <c r="L130" i="2"/>
  <c r="L45" i="2"/>
  <c r="M45" i="2"/>
  <c r="U582" i="2"/>
  <c r="Y582" i="2"/>
  <c r="AA582" i="2" s="1"/>
  <c r="M440" i="2"/>
  <c r="O440" i="2" s="1"/>
  <c r="L440" i="2"/>
  <c r="Y380" i="2"/>
  <c r="AA380" i="2" s="1"/>
  <c r="U380" i="2"/>
  <c r="S75" i="2"/>
  <c r="R75" i="2"/>
  <c r="X75" i="2" s="1"/>
  <c r="V75" i="2"/>
  <c r="S469" i="2"/>
  <c r="R469" i="2"/>
  <c r="X469" i="2" s="1"/>
  <c r="V469" i="2"/>
  <c r="S485" i="2"/>
  <c r="V485" i="2"/>
  <c r="R485" i="2"/>
  <c r="X485" i="2" s="1"/>
  <c r="S410" i="2"/>
  <c r="R410" i="2"/>
  <c r="X410" i="2" s="1"/>
  <c r="V410" i="2"/>
  <c r="V255" i="2"/>
  <c r="S255" i="2"/>
  <c r="R255" i="2"/>
  <c r="X255" i="2" s="1"/>
  <c r="M534" i="2"/>
  <c r="V64" i="2"/>
  <c r="R64" i="2"/>
  <c r="X64" i="2" s="1"/>
  <c r="S64" i="2"/>
  <c r="M58" i="2"/>
  <c r="L58" i="2"/>
  <c r="V333" i="2"/>
  <c r="R333" i="2"/>
  <c r="X333" i="2" s="1"/>
  <c r="S333" i="2"/>
  <c r="V312" i="2"/>
  <c r="R312" i="2"/>
  <c r="X312" i="2" s="1"/>
  <c r="S312" i="2"/>
  <c r="S285" i="2"/>
  <c r="Y286" i="2"/>
  <c r="U286" i="2"/>
  <c r="U285" i="2" s="1"/>
  <c r="R260" i="2"/>
  <c r="X260" i="2" s="1"/>
  <c r="S260" i="2"/>
  <c r="V260" i="2"/>
  <c r="U78" i="2"/>
  <c r="Y78" i="2"/>
  <c r="AA78" i="2" s="1"/>
  <c r="O374" i="2"/>
  <c r="Y401" i="2"/>
  <c r="AA401" i="2" s="1"/>
  <c r="U401" i="2"/>
  <c r="V45" i="2"/>
  <c r="R45" i="2"/>
  <c r="X45" i="2" s="1"/>
  <c r="S45" i="2"/>
  <c r="Y482" i="2"/>
  <c r="AA482" i="2" s="1"/>
  <c r="U482" i="2"/>
  <c r="U130" i="2"/>
  <c r="Y130" i="2"/>
  <c r="AA130" i="2" s="1"/>
  <c r="U491" i="2"/>
  <c r="Y491" i="2"/>
  <c r="AA491" i="2" s="1"/>
  <c r="L445" i="2"/>
  <c r="M445" i="2"/>
  <c r="O445" i="2" s="1"/>
  <c r="O113" i="2"/>
  <c r="O111" i="2" s="1"/>
  <c r="U69" i="2"/>
  <c r="Y69" i="2"/>
  <c r="AA69" i="2" s="1"/>
  <c r="M162" i="2"/>
  <c r="O162" i="2" s="1"/>
  <c r="L162" i="2"/>
  <c r="S173" i="2"/>
  <c r="V173" i="2"/>
  <c r="R173" i="2"/>
  <c r="X173" i="2" s="1"/>
  <c r="Z33" i="2"/>
  <c r="Z32" i="2" s="1"/>
  <c r="Z15" i="2" s="1"/>
  <c r="V103" i="2"/>
  <c r="R103" i="2"/>
  <c r="X103" i="2" s="1"/>
  <c r="S103" i="2"/>
  <c r="V138" i="2"/>
  <c r="S138" i="2"/>
  <c r="R138" i="2"/>
  <c r="X138" i="2" s="1"/>
  <c r="O290" i="2"/>
  <c r="R125" i="2"/>
  <c r="X125" i="2" s="1"/>
  <c r="S125" i="2"/>
  <c r="V125" i="2"/>
  <c r="V337" i="2"/>
  <c r="R337" i="2"/>
  <c r="X337" i="2" s="1"/>
  <c r="S337" i="2"/>
  <c r="U245" i="2"/>
  <c r="Y245" i="2"/>
  <c r="AA245" i="2" s="1"/>
  <c r="U198" i="2"/>
  <c r="Y198" i="2"/>
  <c r="AA198" i="2" s="1"/>
  <c r="R275" i="2"/>
  <c r="X275" i="2" s="1"/>
  <c r="S275" i="2"/>
  <c r="V275" i="2"/>
  <c r="R185" i="2"/>
  <c r="X185" i="2" s="1"/>
  <c r="V185" i="2"/>
  <c r="S185" i="2"/>
  <c r="Y395" i="2"/>
  <c r="AA395" i="2" s="1"/>
  <c r="U395" i="2"/>
  <c r="S212" i="2"/>
  <c r="R212" i="2"/>
  <c r="X212" i="2" s="1"/>
  <c r="V212" i="2"/>
  <c r="Y323" i="2"/>
  <c r="AA323" i="2" s="1"/>
  <c r="U323" i="2"/>
  <c r="R166" i="2"/>
  <c r="X166" i="2" s="1"/>
  <c r="V166" i="2"/>
  <c r="S166" i="2"/>
  <c r="Z13" i="2"/>
  <c r="Z12" i="2" s="1"/>
  <c r="Z11" i="2" s="1"/>
  <c r="Z10" i="2" s="1"/>
  <c r="AA14" i="2"/>
  <c r="AA13" i="2" s="1"/>
  <c r="AA12" i="2" s="1"/>
  <c r="AA11" i="2" s="1"/>
  <c r="AA10" i="2" s="1"/>
  <c r="AA35" i="2"/>
  <c r="AA34" i="2" s="1"/>
  <c r="Y34" i="2"/>
  <c r="V158" i="2"/>
  <c r="S158" i="2"/>
  <c r="R158" i="2"/>
  <c r="X158" i="2" s="1"/>
  <c r="S235" i="2"/>
  <c r="R235" i="2"/>
  <c r="X235" i="2" s="1"/>
  <c r="V235" i="2"/>
  <c r="S479" i="2"/>
  <c r="R479" i="2"/>
  <c r="X479" i="2" s="1"/>
  <c r="V479" i="2"/>
  <c r="R134" i="2"/>
  <c r="X134" i="2" s="1"/>
  <c r="V134" i="2"/>
  <c r="S134" i="2"/>
  <c r="V297" i="2"/>
  <c r="R297" i="2"/>
  <c r="X297" i="2" s="1"/>
  <c r="S297" i="2"/>
  <c r="O196" i="2"/>
  <c r="O193" i="2" s="1"/>
  <c r="M193" i="2"/>
  <c r="U95" i="2"/>
  <c r="Y95" i="2"/>
  <c r="AA95" i="2" s="1"/>
  <c r="V200" i="2"/>
  <c r="S200" i="2"/>
  <c r="R200" i="2"/>
  <c r="X200" i="2" s="1"/>
  <c r="R504" i="2"/>
  <c r="X504" i="2" s="1"/>
  <c r="S504" i="2"/>
  <c r="V504" i="2"/>
  <c r="V569" i="2"/>
  <c r="S569" i="2"/>
  <c r="R569" i="2"/>
  <c r="X569" i="2" s="1"/>
  <c r="AA290" i="2"/>
  <c r="R525" i="2"/>
  <c r="X525" i="2" s="1"/>
  <c r="S525" i="2"/>
  <c r="V525" i="2"/>
  <c r="S300" i="2"/>
  <c r="R300" i="2"/>
  <c r="X300" i="2" s="1"/>
  <c r="V300" i="2"/>
  <c r="V365" i="2"/>
  <c r="S365" i="2"/>
  <c r="R365" i="2"/>
  <c r="X365" i="2" s="1"/>
  <c r="Y407" i="2"/>
  <c r="AA407" i="2" s="1"/>
  <c r="U407" i="2"/>
  <c r="Y231" i="2"/>
  <c r="AA231" i="2" s="1"/>
  <c r="U231" i="2"/>
  <c r="M419" i="2"/>
  <c r="O419" i="2" s="1"/>
  <c r="L419" i="2"/>
  <c r="R189" i="2"/>
  <c r="X189" i="2" s="1"/>
  <c r="S189" i="2"/>
  <c r="V189" i="2"/>
  <c r="Y349" i="2"/>
  <c r="AA349" i="2" s="1"/>
  <c r="U349" i="2"/>
  <c r="V86" i="2"/>
  <c r="S86" i="2"/>
  <c r="R86" i="2"/>
  <c r="X86" i="2" s="1"/>
  <c r="R404" i="2"/>
  <c r="X404" i="2" s="1"/>
  <c r="V404" i="2"/>
  <c r="S404" i="2"/>
  <c r="S20" i="2"/>
  <c r="R20" i="2"/>
  <c r="X20" i="2" s="1"/>
  <c r="V20" i="2"/>
  <c r="N15" i="2"/>
  <c r="N9" i="2" s="1"/>
  <c r="N8" i="2" s="1"/>
  <c r="N587" i="2" s="1"/>
  <c r="Y82" i="2"/>
  <c r="AA82" i="2" s="1"/>
  <c r="U82" i="2"/>
  <c r="U265" i="2"/>
  <c r="Y265" i="2"/>
  <c r="AA265" i="2" s="1"/>
  <c r="Y542" i="2"/>
  <c r="AA542" i="2" s="1"/>
  <c r="U542" i="2"/>
  <c r="V419" i="2"/>
  <c r="S419" i="2"/>
  <c r="R419" i="2"/>
  <c r="X419" i="2" s="1"/>
  <c r="R376" i="2"/>
  <c r="X376" i="2" s="1"/>
  <c r="V376" i="2"/>
  <c r="S376" i="2"/>
  <c r="R150" i="2"/>
  <c r="X150" i="2" s="1"/>
  <c r="V150" i="2"/>
  <c r="S150" i="2"/>
  <c r="L280" i="2"/>
  <c r="M280" i="2"/>
  <c r="O280" i="2" s="1"/>
  <c r="S308" i="2"/>
  <c r="R308" i="2"/>
  <c r="X308" i="2" s="1"/>
  <c r="V308" i="2"/>
  <c r="S326" i="2"/>
  <c r="V326" i="2"/>
  <c r="R326" i="2"/>
  <c r="X326" i="2" s="1"/>
  <c r="U34" i="2"/>
  <c r="O35" i="2"/>
  <c r="O34" i="2" s="1"/>
  <c r="M34" i="2"/>
  <c r="M75" i="1"/>
  <c r="L75" i="1"/>
  <c r="M130" i="1"/>
  <c r="O130" i="1" s="1"/>
  <c r="L130" i="1"/>
  <c r="M44" i="1"/>
  <c r="O45" i="1"/>
  <c r="O44" i="1" s="1"/>
  <c r="M69" i="1"/>
  <c r="O69" i="1" s="1"/>
  <c r="L69" i="1"/>
  <c r="U93" i="1"/>
  <c r="Y93" i="1"/>
  <c r="AA93" i="1" s="1"/>
  <c r="M103" i="1"/>
  <c r="L103" i="1"/>
  <c r="O194" i="1"/>
  <c r="U14" i="1"/>
  <c r="U13" i="1" s="1"/>
  <c r="U12" i="1" s="1"/>
  <c r="U11" i="1" s="1"/>
  <c r="U10" i="1" s="1"/>
  <c r="V35" i="1"/>
  <c r="S35" i="1"/>
  <c r="M95" i="1"/>
  <c r="O95" i="1" s="1"/>
  <c r="L95" i="1"/>
  <c r="R35" i="1"/>
  <c r="X35" i="1" s="1"/>
  <c r="T57" i="1"/>
  <c r="T43" i="1" s="1"/>
  <c r="T33" i="1" s="1"/>
  <c r="T32" i="1" s="1"/>
  <c r="T15" i="1" s="1"/>
  <c r="S75" i="1"/>
  <c r="R75" i="1"/>
  <c r="X75" i="1" s="1"/>
  <c r="V75" i="1"/>
  <c r="M154" i="1"/>
  <c r="O154" i="1" s="1"/>
  <c r="L154" i="1"/>
  <c r="M20" i="1"/>
  <c r="L20" i="1"/>
  <c r="V40" i="1"/>
  <c r="S40" i="1"/>
  <c r="M86" i="1"/>
  <c r="O86" i="1" s="1"/>
  <c r="L86" i="1"/>
  <c r="T13" i="1"/>
  <c r="T12" i="1" s="1"/>
  <c r="T11" i="1" s="1"/>
  <c r="T10" i="1" s="1"/>
  <c r="M52" i="1"/>
  <c r="L52" i="1"/>
  <c r="R125" i="1"/>
  <c r="X125" i="1" s="1"/>
  <c r="V125" i="1"/>
  <c r="S125" i="1"/>
  <c r="M40" i="1"/>
  <c r="O40" i="1" s="1"/>
  <c r="L40" i="1"/>
  <c r="Z57" i="1"/>
  <c r="Z119" i="1"/>
  <c r="Z111" i="1" s="1"/>
  <c r="Z110" i="1" s="1"/>
  <c r="T111" i="1"/>
  <c r="T110" i="1" s="1"/>
  <c r="R130" i="1"/>
  <c r="X130" i="1" s="1"/>
  <c r="V130" i="1"/>
  <c r="S130" i="1"/>
  <c r="S26" i="1"/>
  <c r="R26" i="1"/>
  <c r="X26" i="1" s="1"/>
  <c r="Z43" i="1"/>
  <c r="Z33" i="1" s="1"/>
  <c r="Z32" i="1" s="1"/>
  <c r="Z15" i="1" s="1"/>
  <c r="M35" i="1"/>
  <c r="L35" i="1"/>
  <c r="U97" i="1"/>
  <c r="Y97" i="1"/>
  <c r="AA97" i="1" s="1"/>
  <c r="N111" i="1"/>
  <c r="N110" i="1" s="1"/>
  <c r="O112" i="1"/>
  <c r="M117" i="1"/>
  <c r="O117" i="1" s="1"/>
  <c r="L117" i="1"/>
  <c r="M125" i="1"/>
  <c r="O125" i="1" s="1"/>
  <c r="L125" i="1"/>
  <c r="M170" i="1"/>
  <c r="O170" i="1" s="1"/>
  <c r="L170" i="1"/>
  <c r="P64" i="1"/>
  <c r="Y65" i="1"/>
  <c r="M173" i="1"/>
  <c r="O173" i="1" s="1"/>
  <c r="L173" i="1"/>
  <c r="M82" i="1"/>
  <c r="O82" i="1" s="1"/>
  <c r="L82" i="1"/>
  <c r="P20" i="1"/>
  <c r="S78" i="1"/>
  <c r="R78" i="1"/>
  <c r="X78" i="1" s="1"/>
  <c r="V78" i="1"/>
  <c r="S86" i="1"/>
  <c r="R86" i="1"/>
  <c r="X86" i="1" s="1"/>
  <c r="V86" i="1"/>
  <c r="V103" i="1"/>
  <c r="S103" i="1"/>
  <c r="R103" i="1"/>
  <c r="X103" i="1" s="1"/>
  <c r="M115" i="1"/>
  <c r="O115" i="1" s="1"/>
  <c r="L115" i="1"/>
  <c r="M146" i="1"/>
  <c r="O146" i="1" s="1"/>
  <c r="L146" i="1"/>
  <c r="Y210" i="1"/>
  <c r="AA210" i="1" s="1"/>
  <c r="U210" i="1"/>
  <c r="AA14" i="1"/>
  <c r="AA13" i="1" s="1"/>
  <c r="AA12" i="1" s="1"/>
  <c r="AA11" i="1" s="1"/>
  <c r="AA10" i="1" s="1"/>
  <c r="Z13" i="1"/>
  <c r="Z12" i="1" s="1"/>
  <c r="Z11" i="1" s="1"/>
  <c r="Z10" i="1" s="1"/>
  <c r="U82" i="1"/>
  <c r="Y82" i="1"/>
  <c r="AA82" i="1" s="1"/>
  <c r="U90" i="1"/>
  <c r="Y90" i="1"/>
  <c r="AA90" i="1" s="1"/>
  <c r="J58" i="1"/>
  <c r="M90" i="1"/>
  <c r="O90" i="1" s="1"/>
  <c r="L90" i="1"/>
  <c r="R117" i="1"/>
  <c r="X117" i="1" s="1"/>
  <c r="V117" i="1"/>
  <c r="S117" i="1"/>
  <c r="M179" i="1"/>
  <c r="O179" i="1" s="1"/>
  <c r="L179" i="1"/>
  <c r="M26" i="1"/>
  <c r="L45" i="1"/>
  <c r="S45" i="1"/>
  <c r="R45" i="1"/>
  <c r="X45" i="1" s="1"/>
  <c r="P69" i="1"/>
  <c r="Y70" i="1"/>
  <c r="S95" i="1"/>
  <c r="R95" i="1"/>
  <c r="X95" i="1" s="1"/>
  <c r="V95" i="1"/>
  <c r="V119" i="1"/>
  <c r="S119" i="1"/>
  <c r="R119" i="1"/>
  <c r="X119" i="1" s="1"/>
  <c r="M185" i="1"/>
  <c r="O185" i="1" s="1"/>
  <c r="L185" i="1"/>
  <c r="M78" i="1"/>
  <c r="O78" i="1" s="1"/>
  <c r="L78" i="1"/>
  <c r="L386" i="1"/>
  <c r="M386" i="1"/>
  <c r="O386" i="1" s="1"/>
  <c r="N33" i="1"/>
  <c r="N32" i="1" s="1"/>
  <c r="N15" i="1" s="1"/>
  <c r="P52" i="1"/>
  <c r="P58" i="1"/>
  <c r="Z75" i="1"/>
  <c r="Z74" i="1" s="1"/>
  <c r="T74" i="1"/>
  <c r="M162" i="1"/>
  <c r="O162" i="1" s="1"/>
  <c r="L162" i="1"/>
  <c r="Y124" i="1"/>
  <c r="Y198" i="1"/>
  <c r="AA198" i="1" s="1"/>
  <c r="U198" i="1"/>
  <c r="V208" i="1"/>
  <c r="S208" i="1"/>
  <c r="R208" i="1"/>
  <c r="X208" i="1" s="1"/>
  <c r="M361" i="1"/>
  <c r="O361" i="1" s="1"/>
  <c r="L361" i="1"/>
  <c r="R82" i="1"/>
  <c r="X82" i="1" s="1"/>
  <c r="R90" i="1"/>
  <c r="X90" i="1" s="1"/>
  <c r="R93" i="1"/>
  <c r="X93" i="1" s="1"/>
  <c r="R97" i="1"/>
  <c r="X97" i="1" s="1"/>
  <c r="P115" i="1"/>
  <c r="L121" i="1"/>
  <c r="V134" i="1"/>
  <c r="S134" i="1"/>
  <c r="R134" i="1"/>
  <c r="X134" i="1" s="1"/>
  <c r="V196" i="1"/>
  <c r="S196" i="1"/>
  <c r="R196" i="1"/>
  <c r="X196" i="1" s="1"/>
  <c r="Y308" i="1"/>
  <c r="AA308" i="1" s="1"/>
  <c r="U308" i="1"/>
  <c r="Y76" i="1"/>
  <c r="Y79" i="1"/>
  <c r="Y87" i="1"/>
  <c r="Y96" i="1"/>
  <c r="P113" i="1"/>
  <c r="V142" i="1"/>
  <c r="S142" i="1"/>
  <c r="R142" i="1"/>
  <c r="X142" i="1" s="1"/>
  <c r="V150" i="1"/>
  <c r="S150" i="1"/>
  <c r="R150" i="1"/>
  <c r="X150" i="1" s="1"/>
  <c r="V158" i="1"/>
  <c r="S158" i="1"/>
  <c r="R158" i="1"/>
  <c r="X158" i="1" s="1"/>
  <c r="V166" i="1"/>
  <c r="S166" i="1"/>
  <c r="R166" i="1"/>
  <c r="X166" i="1" s="1"/>
  <c r="V181" i="1"/>
  <c r="S181" i="1"/>
  <c r="R181" i="1"/>
  <c r="X181" i="1" s="1"/>
  <c r="Y206" i="1"/>
  <c r="AA206" i="1" s="1"/>
  <c r="U206" i="1"/>
  <c r="M217" i="1"/>
  <c r="L217" i="1"/>
  <c r="V222" i="1"/>
  <c r="S222" i="1"/>
  <c r="R222" i="1"/>
  <c r="X222" i="1" s="1"/>
  <c r="R121" i="1"/>
  <c r="X121" i="1" s="1"/>
  <c r="V121" i="1"/>
  <c r="M138" i="1"/>
  <c r="O138" i="1" s="1"/>
  <c r="L138" i="1"/>
  <c r="V189" i="1"/>
  <c r="S189" i="1"/>
  <c r="R189" i="1"/>
  <c r="X189" i="1" s="1"/>
  <c r="Y194" i="1"/>
  <c r="S193" i="1"/>
  <c r="U194" i="1"/>
  <c r="V204" i="1"/>
  <c r="S204" i="1"/>
  <c r="R204" i="1"/>
  <c r="X204" i="1" s="1"/>
  <c r="M214" i="1"/>
  <c r="O214" i="1" s="1"/>
  <c r="L214" i="1"/>
  <c r="Y316" i="1"/>
  <c r="AA316" i="1" s="1"/>
  <c r="U316" i="1"/>
  <c r="S121" i="1"/>
  <c r="AA173" i="1"/>
  <c r="O196" i="1"/>
  <c r="S214" i="1"/>
  <c r="R214" i="1"/>
  <c r="X214" i="1" s="1"/>
  <c r="V214" i="1"/>
  <c r="L275" i="1"/>
  <c r="M275" i="1"/>
  <c r="O275" i="1" s="1"/>
  <c r="Y300" i="1"/>
  <c r="AA300" i="1" s="1"/>
  <c r="U300" i="1"/>
  <c r="R341" i="1"/>
  <c r="X341" i="1" s="1"/>
  <c r="V341" i="1"/>
  <c r="S341" i="1"/>
  <c r="M142" i="1"/>
  <c r="O142" i="1" s="1"/>
  <c r="L142" i="1"/>
  <c r="M150" i="1"/>
  <c r="O150" i="1" s="1"/>
  <c r="L150" i="1"/>
  <c r="M158" i="1"/>
  <c r="O158" i="1" s="1"/>
  <c r="L158" i="1"/>
  <c r="M166" i="1"/>
  <c r="O166" i="1" s="1"/>
  <c r="L166" i="1"/>
  <c r="M181" i="1"/>
  <c r="O181" i="1" s="1"/>
  <c r="L181" i="1"/>
  <c r="N193" i="1"/>
  <c r="Y202" i="1"/>
  <c r="AA202" i="1" s="1"/>
  <c r="U202" i="1"/>
  <c r="V212" i="1"/>
  <c r="S212" i="1"/>
  <c r="R212" i="1"/>
  <c r="X212" i="1" s="1"/>
  <c r="M304" i="1"/>
  <c r="O304" i="1" s="1"/>
  <c r="L304" i="1"/>
  <c r="V123" i="1"/>
  <c r="S123" i="1"/>
  <c r="R123" i="1"/>
  <c r="X123" i="1" s="1"/>
  <c r="Y138" i="1"/>
  <c r="AA138" i="1" s="1"/>
  <c r="U138" i="1"/>
  <c r="M176" i="1"/>
  <c r="O176" i="1" s="1"/>
  <c r="L176" i="1"/>
  <c r="AA179" i="1"/>
  <c r="M189" i="1"/>
  <c r="O189" i="1" s="1"/>
  <c r="L189" i="1"/>
  <c r="V200" i="1"/>
  <c r="S200" i="1"/>
  <c r="R200" i="1"/>
  <c r="X200" i="1" s="1"/>
  <c r="O204" i="1"/>
  <c r="S270" i="1"/>
  <c r="R270" i="1"/>
  <c r="X270" i="1" s="1"/>
  <c r="V270" i="1"/>
  <c r="U146" i="1"/>
  <c r="U154" i="1"/>
  <c r="U162" i="1"/>
  <c r="U170" i="1"/>
  <c r="U173" i="1"/>
  <c r="U176" i="1"/>
  <c r="U179" i="1"/>
  <c r="U185" i="1"/>
  <c r="Y215" i="1"/>
  <c r="S250" i="1"/>
  <c r="R250" i="1"/>
  <c r="X250" i="1" s="1"/>
  <c r="N289" i="1"/>
  <c r="M290" i="1"/>
  <c r="L290" i="1"/>
  <c r="R333" i="1"/>
  <c r="X333" i="1" s="1"/>
  <c r="V333" i="1"/>
  <c r="Y367" i="1"/>
  <c r="P365" i="1"/>
  <c r="M376" i="1"/>
  <c r="L376" i="1"/>
  <c r="M380" i="1"/>
  <c r="O380" i="1" s="1"/>
  <c r="L380" i="1"/>
  <c r="V138" i="1"/>
  <c r="V146" i="1"/>
  <c r="V154" i="1"/>
  <c r="V162" i="1"/>
  <c r="V170" i="1"/>
  <c r="V173" i="1"/>
  <c r="V176" i="1"/>
  <c r="V179" i="1"/>
  <c r="V185" i="1"/>
  <c r="L194" i="1"/>
  <c r="L198" i="1"/>
  <c r="L202" i="1"/>
  <c r="L206" i="1"/>
  <c r="L210" i="1"/>
  <c r="S280" i="1"/>
  <c r="R280" i="1"/>
  <c r="X280" i="1" s="1"/>
  <c r="R297" i="1"/>
  <c r="X297" i="1" s="1"/>
  <c r="V297" i="1"/>
  <c r="R319" i="1"/>
  <c r="X319" i="1" s="1"/>
  <c r="V319" i="1"/>
  <c r="M337" i="1"/>
  <c r="O337" i="1" s="1"/>
  <c r="L337" i="1"/>
  <c r="U112" i="1"/>
  <c r="Z217" i="1"/>
  <c r="Z216" i="1" s="1"/>
  <c r="S245" i="1"/>
  <c r="R245" i="1"/>
  <c r="X245" i="1" s="1"/>
  <c r="S265" i="1"/>
  <c r="R265" i="1"/>
  <c r="X265" i="1" s="1"/>
  <c r="Z289" i="1"/>
  <c r="M323" i="1"/>
  <c r="O323" i="1" s="1"/>
  <c r="L323" i="1"/>
  <c r="P369" i="1"/>
  <c r="Y370" i="1"/>
  <c r="P217" i="1"/>
  <c r="Y235" i="1"/>
  <c r="AA235" i="1" s="1"/>
  <c r="U235" i="1"/>
  <c r="M280" i="1"/>
  <c r="O280" i="1" s="1"/>
  <c r="M293" i="1"/>
  <c r="O293" i="1" s="1"/>
  <c r="L293" i="1"/>
  <c r="R330" i="1"/>
  <c r="X330" i="1" s="1"/>
  <c r="V330" i="1"/>
  <c r="S333" i="1"/>
  <c r="M455" i="1"/>
  <c r="O455" i="1" s="1"/>
  <c r="L455" i="1"/>
  <c r="M222" i="1"/>
  <c r="O222" i="1" s="1"/>
  <c r="L222" i="1"/>
  <c r="Y227" i="1"/>
  <c r="AA227" i="1" s="1"/>
  <c r="U227" i="1"/>
  <c r="M235" i="1"/>
  <c r="O235" i="1" s="1"/>
  <c r="L235" i="1"/>
  <c r="Y238" i="1"/>
  <c r="AA238" i="1" s="1"/>
  <c r="U238" i="1"/>
  <c r="S240" i="1"/>
  <c r="R240" i="1"/>
  <c r="X240" i="1" s="1"/>
  <c r="S260" i="1"/>
  <c r="R260" i="1"/>
  <c r="X260" i="1" s="1"/>
  <c r="S275" i="1"/>
  <c r="R275" i="1"/>
  <c r="X275" i="1" s="1"/>
  <c r="P286" i="1"/>
  <c r="Y287" i="1"/>
  <c r="S297" i="1"/>
  <c r="R316" i="1"/>
  <c r="X316" i="1" s="1"/>
  <c r="V316" i="1"/>
  <c r="S319" i="1"/>
  <c r="M349" i="1"/>
  <c r="O349" i="1" s="1"/>
  <c r="Y356" i="1"/>
  <c r="P353" i="1"/>
  <c r="M357" i="1"/>
  <c r="O357" i="1" s="1"/>
  <c r="L357" i="1"/>
  <c r="S231" i="1"/>
  <c r="R231" i="1"/>
  <c r="X231" i="1" s="1"/>
  <c r="R308" i="1"/>
  <c r="X308" i="1" s="1"/>
  <c r="V308" i="1"/>
  <c r="M326" i="1"/>
  <c r="O326" i="1" s="1"/>
  <c r="L326" i="1"/>
  <c r="M353" i="1"/>
  <c r="O353" i="1" s="1"/>
  <c r="L353" i="1"/>
  <c r="S430" i="1"/>
  <c r="R430" i="1"/>
  <c r="X430" i="1" s="1"/>
  <c r="V430" i="1"/>
  <c r="M227" i="1"/>
  <c r="O227" i="1" s="1"/>
  <c r="L227" i="1"/>
  <c r="O240" i="1"/>
  <c r="S255" i="1"/>
  <c r="R255" i="1"/>
  <c r="X255" i="1" s="1"/>
  <c r="R300" i="1"/>
  <c r="X300" i="1" s="1"/>
  <c r="V300" i="1"/>
  <c r="M312" i="1"/>
  <c r="O312" i="1" s="1"/>
  <c r="L312" i="1"/>
  <c r="Y330" i="1"/>
  <c r="AA330" i="1" s="1"/>
  <c r="U330" i="1"/>
  <c r="M345" i="1"/>
  <c r="O345" i="1" s="1"/>
  <c r="L345" i="1"/>
  <c r="U374" i="1"/>
  <c r="Y374" i="1"/>
  <c r="V378" i="1"/>
  <c r="R378" i="1"/>
  <c r="X378" i="1" s="1"/>
  <c r="S378" i="1"/>
  <c r="L392" i="1"/>
  <c r="M392" i="1"/>
  <c r="O392" i="1" s="1"/>
  <c r="S376" i="1"/>
  <c r="S373" i="1" s="1"/>
  <c r="R376" i="1"/>
  <c r="X376" i="1" s="1"/>
  <c r="V376" i="1"/>
  <c r="L383" i="1"/>
  <c r="M383" i="1"/>
  <c r="O383" i="1" s="1"/>
  <c r="L389" i="1"/>
  <c r="M389" i="1"/>
  <c r="O389" i="1" s="1"/>
  <c r="L395" i="1"/>
  <c r="M395" i="1"/>
  <c r="O395" i="1" s="1"/>
  <c r="S419" i="1"/>
  <c r="R419" i="1"/>
  <c r="X419" i="1" s="1"/>
  <c r="V419" i="1"/>
  <c r="V455" i="1"/>
  <c r="R455" i="1"/>
  <c r="X455" i="1" s="1"/>
  <c r="S455" i="1"/>
  <c r="M464" i="1"/>
  <c r="O464" i="1" s="1"/>
  <c r="L464" i="1"/>
  <c r="V580" i="1"/>
  <c r="R580" i="1"/>
  <c r="X580" i="1" s="1"/>
  <c r="S580" i="1"/>
  <c r="L297" i="1"/>
  <c r="L300" i="1"/>
  <c r="L308" i="1"/>
  <c r="L316" i="1"/>
  <c r="L319" i="1"/>
  <c r="L330" i="1"/>
  <c r="L333" i="1"/>
  <c r="L341" i="1"/>
  <c r="P345" i="1"/>
  <c r="P361" i="1"/>
  <c r="Y362" i="1"/>
  <c r="M365" i="1"/>
  <c r="O365" i="1" s="1"/>
  <c r="L365" i="1"/>
  <c r="S380" i="1"/>
  <c r="R380" i="1"/>
  <c r="X380" i="1" s="1"/>
  <c r="V380" i="1"/>
  <c r="S386" i="1"/>
  <c r="R386" i="1"/>
  <c r="X386" i="1" s="1"/>
  <c r="V386" i="1"/>
  <c r="S392" i="1"/>
  <c r="R392" i="1"/>
  <c r="X392" i="1" s="1"/>
  <c r="V392" i="1"/>
  <c r="S398" i="1"/>
  <c r="R398" i="1"/>
  <c r="X398" i="1" s="1"/>
  <c r="V398" i="1"/>
  <c r="S404" i="1"/>
  <c r="R404" i="1"/>
  <c r="X404" i="1" s="1"/>
  <c r="V404" i="1"/>
  <c r="S410" i="1"/>
  <c r="R410" i="1"/>
  <c r="X410" i="1" s="1"/>
  <c r="V410" i="1"/>
  <c r="O430" i="1"/>
  <c r="S440" i="1"/>
  <c r="R440" i="1"/>
  <c r="X440" i="1" s="1"/>
  <c r="V440" i="1"/>
  <c r="V460" i="1"/>
  <c r="R460" i="1"/>
  <c r="X460" i="1" s="1"/>
  <c r="S460" i="1"/>
  <c r="T500" i="1"/>
  <c r="Z501" i="1"/>
  <c r="Z500" i="1" s="1"/>
  <c r="L238" i="1"/>
  <c r="O286" i="1"/>
  <c r="O285" i="1" s="1"/>
  <c r="R290" i="1"/>
  <c r="X290" i="1" s="1"/>
  <c r="R293" i="1"/>
  <c r="X293" i="1" s="1"/>
  <c r="R304" i="1"/>
  <c r="X304" i="1" s="1"/>
  <c r="R312" i="1"/>
  <c r="X312" i="1" s="1"/>
  <c r="R323" i="1"/>
  <c r="X323" i="1" s="1"/>
  <c r="R326" i="1"/>
  <c r="X326" i="1" s="1"/>
  <c r="R337" i="1"/>
  <c r="X337" i="1" s="1"/>
  <c r="P349" i="1"/>
  <c r="Y377" i="1"/>
  <c r="O419" i="1"/>
  <c r="S425" i="1"/>
  <c r="R425" i="1"/>
  <c r="X425" i="1" s="1"/>
  <c r="V425" i="1"/>
  <c r="Z475" i="1"/>
  <c r="Z474" i="1" s="1"/>
  <c r="S290" i="1"/>
  <c r="S293" i="1"/>
  <c r="Y298" i="1"/>
  <c r="Y301" i="1"/>
  <c r="S304" i="1"/>
  <c r="Y309" i="1"/>
  <c r="S312" i="1"/>
  <c r="Y317" i="1"/>
  <c r="Y320" i="1"/>
  <c r="S323" i="1"/>
  <c r="S326" i="1"/>
  <c r="Y331" i="1"/>
  <c r="Y334" i="1"/>
  <c r="S337" i="1"/>
  <c r="Y342" i="1"/>
  <c r="S416" i="1"/>
  <c r="R416" i="1"/>
  <c r="X416" i="1" s="1"/>
  <c r="V416" i="1"/>
  <c r="M507" i="1"/>
  <c r="O507" i="1" s="1"/>
  <c r="L507" i="1"/>
  <c r="U536" i="1"/>
  <c r="S534" i="1"/>
  <c r="Y536" i="1"/>
  <c r="O538" i="1"/>
  <c r="O534" i="1" s="1"/>
  <c r="M534" i="1"/>
  <c r="N373" i="1"/>
  <c r="T373" i="1"/>
  <c r="T288" i="1" s="1"/>
  <c r="Z376" i="1"/>
  <c r="Z373" i="1" s="1"/>
  <c r="S435" i="1"/>
  <c r="R435" i="1"/>
  <c r="X435" i="1" s="1"/>
  <c r="V435" i="1"/>
  <c r="M450" i="1"/>
  <c r="O450" i="1" s="1"/>
  <c r="L450" i="1"/>
  <c r="P357" i="1"/>
  <c r="L369" i="1"/>
  <c r="S383" i="1"/>
  <c r="R383" i="1"/>
  <c r="X383" i="1" s="1"/>
  <c r="V383" i="1"/>
  <c r="S389" i="1"/>
  <c r="R389" i="1"/>
  <c r="X389" i="1" s="1"/>
  <c r="V389" i="1"/>
  <c r="S395" i="1"/>
  <c r="R395" i="1"/>
  <c r="X395" i="1" s="1"/>
  <c r="V395" i="1"/>
  <c r="S401" i="1"/>
  <c r="R401" i="1"/>
  <c r="X401" i="1" s="1"/>
  <c r="V401" i="1"/>
  <c r="S407" i="1"/>
  <c r="R407" i="1"/>
  <c r="X407" i="1" s="1"/>
  <c r="V407" i="1"/>
  <c r="O416" i="1"/>
  <c r="S422" i="1"/>
  <c r="R422" i="1"/>
  <c r="X422" i="1" s="1"/>
  <c r="V422" i="1"/>
  <c r="V374" i="1"/>
  <c r="R374" i="1"/>
  <c r="X374" i="1" s="1"/>
  <c r="S413" i="1"/>
  <c r="R413" i="1"/>
  <c r="X413" i="1" s="1"/>
  <c r="V413" i="1"/>
  <c r="O435" i="1"/>
  <c r="S445" i="1"/>
  <c r="R445" i="1"/>
  <c r="X445" i="1" s="1"/>
  <c r="V445" i="1"/>
  <c r="V450" i="1"/>
  <c r="S450" i="1"/>
  <c r="R450" i="1"/>
  <c r="X450" i="1" s="1"/>
  <c r="M398" i="1"/>
  <c r="O398" i="1" s="1"/>
  <c r="M401" i="1"/>
  <c r="O401" i="1" s="1"/>
  <c r="M404" i="1"/>
  <c r="O404" i="1" s="1"/>
  <c r="M407" i="1"/>
  <c r="O407" i="1" s="1"/>
  <c r="M410" i="1"/>
  <c r="O410" i="1" s="1"/>
  <c r="Y462" i="1"/>
  <c r="N534" i="1"/>
  <c r="V542" i="1"/>
  <c r="R542" i="1"/>
  <c r="X542" i="1" s="1"/>
  <c r="Y546" i="1"/>
  <c r="AA546" i="1" s="1"/>
  <c r="U546" i="1"/>
  <c r="O556" i="1"/>
  <c r="Y569" i="1"/>
  <c r="AA569" i="1" s="1"/>
  <c r="U569" i="1"/>
  <c r="P476" i="1"/>
  <c r="Y477" i="1"/>
  <c r="L482" i="1"/>
  <c r="L485" i="1"/>
  <c r="L488" i="1"/>
  <c r="M513" i="1"/>
  <c r="O513" i="1" s="1"/>
  <c r="L513" i="1"/>
  <c r="V538" i="1"/>
  <c r="R538" i="1"/>
  <c r="X538" i="1" s="1"/>
  <c r="S542" i="1"/>
  <c r="O548" i="1"/>
  <c r="U556" i="1"/>
  <c r="Y556" i="1"/>
  <c r="AA556" i="1" s="1"/>
  <c r="L374" i="1"/>
  <c r="S464" i="1"/>
  <c r="R464" i="1"/>
  <c r="X464" i="1" s="1"/>
  <c r="V464" i="1"/>
  <c r="M504" i="1"/>
  <c r="O504" i="1" s="1"/>
  <c r="L504" i="1"/>
  <c r="U552" i="1"/>
  <c r="Y552" i="1"/>
  <c r="AA552" i="1" s="1"/>
  <c r="V558" i="1"/>
  <c r="R558" i="1"/>
  <c r="X558" i="1" s="1"/>
  <c r="T474" i="1"/>
  <c r="P479" i="1"/>
  <c r="Y480" i="1"/>
  <c r="P482" i="1"/>
  <c r="Y483" i="1"/>
  <c r="P485" i="1"/>
  <c r="Y486" i="1"/>
  <c r="P488" i="1"/>
  <c r="Y489" i="1"/>
  <c r="P491" i="1"/>
  <c r="Y492" i="1"/>
  <c r="P494" i="1"/>
  <c r="Y495" i="1"/>
  <c r="P497" i="1"/>
  <c r="Y498" i="1"/>
  <c r="Y538" i="1"/>
  <c r="AA538" i="1" s="1"/>
  <c r="U538" i="1"/>
  <c r="U548" i="1"/>
  <c r="Y548" i="1"/>
  <c r="AA548" i="1" s="1"/>
  <c r="V554" i="1"/>
  <c r="R554" i="1"/>
  <c r="X554" i="1" s="1"/>
  <c r="O582" i="1"/>
  <c r="M460" i="1"/>
  <c r="O460" i="1" s="1"/>
  <c r="L460" i="1"/>
  <c r="M501" i="1"/>
  <c r="L501" i="1"/>
  <c r="M510" i="1"/>
  <c r="O510" i="1" s="1"/>
  <c r="L510" i="1"/>
  <c r="U544" i="1"/>
  <c r="Y544" i="1"/>
  <c r="AA544" i="1" s="1"/>
  <c r="V550" i="1"/>
  <c r="R550" i="1"/>
  <c r="X550" i="1" s="1"/>
  <c r="Y558" i="1"/>
  <c r="AA558" i="1" s="1"/>
  <c r="U558" i="1"/>
  <c r="Z586" i="1"/>
  <c r="U586" i="1"/>
  <c r="V546" i="1"/>
  <c r="R546" i="1"/>
  <c r="X546" i="1" s="1"/>
  <c r="S554" i="1"/>
  <c r="V569" i="1"/>
  <c r="R569" i="1"/>
  <c r="X569" i="1" s="1"/>
  <c r="U582" i="1"/>
  <c r="Y582" i="1"/>
  <c r="AA582" i="1" s="1"/>
  <c r="U584" i="1"/>
  <c r="S469" i="1"/>
  <c r="R469" i="1"/>
  <c r="X469" i="1" s="1"/>
  <c r="V469" i="1"/>
  <c r="V501" i="1"/>
  <c r="S501" i="1"/>
  <c r="U540" i="1"/>
  <c r="Y540" i="1"/>
  <c r="AA540" i="1" s="1"/>
  <c r="S550" i="1"/>
  <c r="V536" i="1"/>
  <c r="V540" i="1"/>
  <c r="V544" i="1"/>
  <c r="V548" i="1"/>
  <c r="V552" i="1"/>
  <c r="V556" i="1"/>
  <c r="V582" i="1"/>
  <c r="S504" i="1"/>
  <c r="S507" i="1"/>
  <c r="S510" i="1"/>
  <c r="S513" i="1"/>
  <c r="S516" i="1"/>
  <c r="S519" i="1"/>
  <c r="S522" i="1"/>
  <c r="S525" i="1"/>
  <c r="S528" i="1"/>
  <c r="S531" i="1"/>
  <c r="L516" i="1"/>
  <c r="L519" i="1"/>
  <c r="L522" i="1"/>
  <c r="L525" i="1"/>
  <c r="L528" i="1"/>
  <c r="L531" i="1"/>
  <c r="Z535" i="1"/>
  <c r="R536" i="1"/>
  <c r="X536" i="1" s="1"/>
  <c r="R540" i="1"/>
  <c r="X540" i="1" s="1"/>
  <c r="R544" i="1"/>
  <c r="X544" i="1" s="1"/>
  <c r="R548" i="1"/>
  <c r="X548" i="1" s="1"/>
  <c r="R552" i="1"/>
  <c r="X552" i="1" s="1"/>
  <c r="R556" i="1"/>
  <c r="X556" i="1" s="1"/>
  <c r="R582" i="1"/>
  <c r="X582" i="1" s="1"/>
  <c r="Y539" i="1"/>
  <c r="Y543" i="1"/>
  <c r="Y547" i="1"/>
  <c r="Y551" i="1"/>
  <c r="Y555" i="1"/>
  <c r="Y559" i="1"/>
  <c r="Y570" i="1"/>
  <c r="Y581" i="1"/>
  <c r="AA374" i="2" l="1"/>
  <c r="S216" i="2"/>
  <c r="Y217" i="2"/>
  <c r="U217" i="2"/>
  <c r="U293" i="2"/>
  <c r="Y293" i="2"/>
  <c r="S289" i="2"/>
  <c r="S288" i="2" s="1"/>
  <c r="U569" i="2"/>
  <c r="Y569" i="2"/>
  <c r="AA569" i="2" s="1"/>
  <c r="U554" i="2"/>
  <c r="U534" i="2" s="1"/>
  <c r="Y554" i="2"/>
  <c r="AA554" i="2" s="1"/>
  <c r="Y445" i="2"/>
  <c r="AA445" i="2" s="1"/>
  <c r="U445" i="2"/>
  <c r="Y58" i="2"/>
  <c r="U58" i="2"/>
  <c r="S57" i="2"/>
  <c r="U376" i="2"/>
  <c r="Y376" i="2"/>
  <c r="AA376" i="2" s="1"/>
  <c r="AA286" i="2"/>
  <c r="AA285" i="2" s="1"/>
  <c r="Y285" i="2"/>
  <c r="T109" i="2"/>
  <c r="T108" i="2" s="1"/>
  <c r="T107" i="2" s="1"/>
  <c r="T9" i="2" s="1"/>
  <c r="T8" i="2" s="1"/>
  <c r="T587" i="2" s="1"/>
  <c r="Y357" i="2"/>
  <c r="AA357" i="2" s="1"/>
  <c r="U357" i="2"/>
  <c r="U337" i="2"/>
  <c r="Y337" i="2"/>
  <c r="AA337" i="2" s="1"/>
  <c r="Y435" i="2"/>
  <c r="AA435" i="2" s="1"/>
  <c r="U435" i="2"/>
  <c r="U552" i="2"/>
  <c r="Y552" i="2"/>
  <c r="AA552" i="2" s="1"/>
  <c r="O45" i="2"/>
  <c r="O44" i="2" s="1"/>
  <c r="M44" i="2"/>
  <c r="M475" i="2"/>
  <c r="M474" i="2" s="1"/>
  <c r="U531" i="2"/>
  <c r="Y531" i="2"/>
  <c r="AA531" i="2" s="1"/>
  <c r="Y86" i="2"/>
  <c r="AA86" i="2" s="1"/>
  <c r="U86" i="2"/>
  <c r="U200" i="2"/>
  <c r="U193" i="2" s="1"/>
  <c r="Y200" i="2"/>
  <c r="AA200" i="2" s="1"/>
  <c r="Y341" i="2"/>
  <c r="AA341" i="2" s="1"/>
  <c r="U341" i="2"/>
  <c r="S193" i="2"/>
  <c r="U235" i="2"/>
  <c r="Y235" i="2"/>
  <c r="AA235" i="2" s="1"/>
  <c r="U485" i="2"/>
  <c r="Y485" i="2"/>
  <c r="AA485" i="2" s="1"/>
  <c r="Y227" i="2"/>
  <c r="AA227" i="2" s="1"/>
  <c r="U227" i="2"/>
  <c r="Y270" i="2"/>
  <c r="AA270" i="2" s="1"/>
  <c r="U270" i="2"/>
  <c r="Y476" i="2"/>
  <c r="S475" i="2"/>
  <c r="S474" i="2" s="1"/>
  <c r="U476" i="2"/>
  <c r="Y413" i="2"/>
  <c r="AA413" i="2" s="1"/>
  <c r="U413" i="2"/>
  <c r="U353" i="2"/>
  <c r="Y353" i="2"/>
  <c r="AA353" i="2" s="1"/>
  <c r="O289" i="2"/>
  <c r="O288" i="2" s="1"/>
  <c r="M373" i="2"/>
  <c r="U369" i="2"/>
  <c r="Y369" i="2"/>
  <c r="AA369" i="2" s="1"/>
  <c r="O216" i="2"/>
  <c r="O110" i="2" s="1"/>
  <c r="O109" i="2" s="1"/>
  <c r="O108" i="2" s="1"/>
  <c r="O107" i="2" s="1"/>
  <c r="U206" i="2"/>
  <c r="Y206" i="2"/>
  <c r="AA206" i="2" s="1"/>
  <c r="Y189" i="2"/>
  <c r="AA189" i="2" s="1"/>
  <c r="U189" i="2"/>
  <c r="U525" i="2"/>
  <c r="Y525" i="2"/>
  <c r="AA525" i="2" s="1"/>
  <c r="M289" i="2"/>
  <c r="M111" i="2"/>
  <c r="M110" i="2" s="1"/>
  <c r="O373" i="2"/>
  <c r="M57" i="2"/>
  <c r="O58" i="2"/>
  <c r="O57" i="2" s="1"/>
  <c r="U469" i="2"/>
  <c r="Y469" i="2"/>
  <c r="AA469" i="2" s="1"/>
  <c r="Y430" i="2"/>
  <c r="AA430" i="2" s="1"/>
  <c r="U430" i="2"/>
  <c r="M216" i="2"/>
  <c r="U308" i="2"/>
  <c r="Y308" i="2"/>
  <c r="AA308" i="2" s="1"/>
  <c r="Y297" i="2"/>
  <c r="AA297" i="2" s="1"/>
  <c r="U297" i="2"/>
  <c r="U64" i="2"/>
  <c r="Y64" i="2"/>
  <c r="AA64" i="2" s="1"/>
  <c r="Y123" i="2"/>
  <c r="AA123" i="2" s="1"/>
  <c r="U123" i="2"/>
  <c r="Y250" i="2"/>
  <c r="AA250" i="2" s="1"/>
  <c r="U250" i="2"/>
  <c r="U134" i="2"/>
  <c r="Y134" i="2"/>
  <c r="AA134" i="2" s="1"/>
  <c r="Y103" i="2"/>
  <c r="U103" i="2"/>
  <c r="U102" i="2" s="1"/>
  <c r="U101" i="2" s="1"/>
  <c r="S102" i="2"/>
  <c r="S101" i="2" s="1"/>
  <c r="U90" i="2"/>
  <c r="Y90" i="2"/>
  <c r="AA90" i="2" s="1"/>
  <c r="Y416" i="2"/>
  <c r="AA416" i="2" s="1"/>
  <c r="U416" i="2"/>
  <c r="S19" i="2"/>
  <c r="S18" i="2" s="1"/>
  <c r="S17" i="2" s="1"/>
  <c r="S16" i="2" s="1"/>
  <c r="Y20" i="2"/>
  <c r="U20" i="2"/>
  <c r="U19" i="2" s="1"/>
  <c r="U18" i="2" s="1"/>
  <c r="U17" i="2" s="1"/>
  <c r="U16" i="2" s="1"/>
  <c r="U255" i="2"/>
  <c r="Y255" i="2"/>
  <c r="AA255" i="2" s="1"/>
  <c r="Y280" i="2"/>
  <c r="AA280" i="2" s="1"/>
  <c r="U280" i="2"/>
  <c r="U513" i="2"/>
  <c r="Y513" i="2"/>
  <c r="AA513" i="2" s="1"/>
  <c r="M25" i="2"/>
  <c r="M18" i="2" s="1"/>
  <c r="M17" i="2" s="1"/>
  <c r="M16" i="2" s="1"/>
  <c r="O26" i="2"/>
  <c r="O25" i="2" s="1"/>
  <c r="O18" i="2" s="1"/>
  <c r="O17" i="2" s="1"/>
  <c r="O16" i="2" s="1"/>
  <c r="U154" i="2"/>
  <c r="Y154" i="2"/>
  <c r="AA154" i="2" s="1"/>
  <c r="U504" i="2"/>
  <c r="Y504" i="2"/>
  <c r="S500" i="2"/>
  <c r="AA52" i="2"/>
  <c r="AA51" i="2" s="1"/>
  <c r="Y51" i="2"/>
  <c r="Y479" i="2"/>
  <c r="AA479" i="2" s="1"/>
  <c r="U479" i="2"/>
  <c r="Y312" i="2"/>
  <c r="AA312" i="2" s="1"/>
  <c r="U312" i="2"/>
  <c r="Y365" i="2"/>
  <c r="AA365" i="2" s="1"/>
  <c r="U365" i="2"/>
  <c r="U173" i="2"/>
  <c r="Y173" i="2"/>
  <c r="AA173" i="2" s="1"/>
  <c r="U410" i="2"/>
  <c r="Y410" i="2"/>
  <c r="AA410" i="2" s="1"/>
  <c r="S534" i="2"/>
  <c r="Y212" i="2"/>
  <c r="AA212" i="2" s="1"/>
  <c r="U212" i="2"/>
  <c r="Y528" i="2"/>
  <c r="AA528" i="2" s="1"/>
  <c r="U528" i="2"/>
  <c r="O475" i="2"/>
  <c r="O474" i="2" s="1"/>
  <c r="AA536" i="2"/>
  <c r="AA534" i="2" s="1"/>
  <c r="Y125" i="2"/>
  <c r="AA125" i="2" s="1"/>
  <c r="U125" i="2"/>
  <c r="Y425" i="2"/>
  <c r="AA425" i="2" s="1"/>
  <c r="U425" i="2"/>
  <c r="Y326" i="2"/>
  <c r="AA326" i="2" s="1"/>
  <c r="U326" i="2"/>
  <c r="U300" i="2"/>
  <c r="Y300" i="2"/>
  <c r="AA300" i="2" s="1"/>
  <c r="U185" i="2"/>
  <c r="Y185" i="2"/>
  <c r="AA185" i="2" s="1"/>
  <c r="Y208" i="2"/>
  <c r="AA208" i="2" s="1"/>
  <c r="U208" i="2"/>
  <c r="Y392" i="2"/>
  <c r="AA392" i="2" s="1"/>
  <c r="U392" i="2"/>
  <c r="U373" i="2" s="1"/>
  <c r="Y275" i="2"/>
  <c r="AA275" i="2" s="1"/>
  <c r="U275" i="2"/>
  <c r="U138" i="2"/>
  <c r="Y138" i="2"/>
  <c r="AA138" i="2" s="1"/>
  <c r="U398" i="2"/>
  <c r="Y398" i="2"/>
  <c r="AA398" i="2" s="1"/>
  <c r="Y26" i="2"/>
  <c r="S25" i="2"/>
  <c r="U26" i="2"/>
  <c r="U25" i="2" s="1"/>
  <c r="Y455" i="2"/>
  <c r="AA455" i="2" s="1"/>
  <c r="U455" i="2"/>
  <c r="Y386" i="2"/>
  <c r="AA386" i="2" s="1"/>
  <c r="U386" i="2"/>
  <c r="Y222" i="2"/>
  <c r="AA222" i="2" s="1"/>
  <c r="U222" i="2"/>
  <c r="Y240" i="2"/>
  <c r="AA240" i="2" s="1"/>
  <c r="U240" i="2"/>
  <c r="Y150" i="2"/>
  <c r="AA150" i="2" s="1"/>
  <c r="U150" i="2"/>
  <c r="Y166" i="2"/>
  <c r="AA166" i="2" s="1"/>
  <c r="U166" i="2"/>
  <c r="U260" i="2"/>
  <c r="Y260" i="2"/>
  <c r="AA260" i="2" s="1"/>
  <c r="Y440" i="2"/>
  <c r="AA440" i="2" s="1"/>
  <c r="U440" i="2"/>
  <c r="U404" i="2"/>
  <c r="Y404" i="2"/>
  <c r="AA404" i="2" s="1"/>
  <c r="Y304" i="2"/>
  <c r="AA304" i="2" s="1"/>
  <c r="U304" i="2"/>
  <c r="Y361" i="2"/>
  <c r="AA361" i="2" s="1"/>
  <c r="U361" i="2"/>
  <c r="Y45" i="2"/>
  <c r="S44" i="2"/>
  <c r="S43" i="2" s="1"/>
  <c r="S33" i="2" s="1"/>
  <c r="S32" i="2" s="1"/>
  <c r="U45" i="2"/>
  <c r="U44" i="2" s="1"/>
  <c r="Y97" i="2"/>
  <c r="AA97" i="2" s="1"/>
  <c r="U97" i="2"/>
  <c r="Y419" i="2"/>
  <c r="AA419" i="2" s="1"/>
  <c r="U419" i="2"/>
  <c r="AA196" i="2"/>
  <c r="Y333" i="2"/>
  <c r="AA333" i="2" s="1"/>
  <c r="U333" i="2"/>
  <c r="Y558" i="2"/>
  <c r="AA558" i="2" s="1"/>
  <c r="U558" i="2"/>
  <c r="U330" i="2"/>
  <c r="Y330" i="2"/>
  <c r="AA330" i="2" s="1"/>
  <c r="Y158" i="2"/>
  <c r="AA158" i="2" s="1"/>
  <c r="U158" i="2"/>
  <c r="Y464" i="2"/>
  <c r="AA464" i="2" s="1"/>
  <c r="U464" i="2"/>
  <c r="U422" i="2"/>
  <c r="Y422" i="2"/>
  <c r="AA422" i="2" s="1"/>
  <c r="Z9" i="2"/>
  <c r="Z8" i="2" s="1"/>
  <c r="Z587" i="2" s="1"/>
  <c r="U75" i="2"/>
  <c r="U74" i="2" s="1"/>
  <c r="Y75" i="2"/>
  <c r="S74" i="2"/>
  <c r="U510" i="2"/>
  <c r="Y510" i="2"/>
  <c r="AA510" i="2" s="1"/>
  <c r="U113" i="2"/>
  <c r="S111" i="2"/>
  <c r="Y113" i="2"/>
  <c r="N9" i="1"/>
  <c r="N8" i="1" s="1"/>
  <c r="N587" i="1" s="1"/>
  <c r="U534" i="1"/>
  <c r="U383" i="1"/>
  <c r="Y383" i="1"/>
  <c r="AA383" i="1" s="1"/>
  <c r="S369" i="1"/>
  <c r="R369" i="1"/>
  <c r="X369" i="1" s="1"/>
  <c r="V369" i="1"/>
  <c r="V488" i="1"/>
  <c r="S488" i="1"/>
  <c r="R488" i="1"/>
  <c r="X488" i="1" s="1"/>
  <c r="U522" i="1"/>
  <c r="Y522" i="1"/>
  <c r="AA522" i="1" s="1"/>
  <c r="V491" i="1"/>
  <c r="S491" i="1"/>
  <c r="R491" i="1"/>
  <c r="X491" i="1" s="1"/>
  <c r="V479" i="1"/>
  <c r="S479" i="1"/>
  <c r="R479" i="1"/>
  <c r="X479" i="1" s="1"/>
  <c r="Y542" i="1"/>
  <c r="AA542" i="1" s="1"/>
  <c r="U542" i="1"/>
  <c r="U445" i="1"/>
  <c r="Y445" i="1"/>
  <c r="AA445" i="1" s="1"/>
  <c r="U401" i="1"/>
  <c r="Y401" i="1"/>
  <c r="AA401" i="1" s="1"/>
  <c r="U435" i="1"/>
  <c r="Y435" i="1"/>
  <c r="AA435" i="1" s="1"/>
  <c r="U304" i="1"/>
  <c r="Y304" i="1"/>
  <c r="AA304" i="1" s="1"/>
  <c r="U460" i="1"/>
  <c r="Y460" i="1"/>
  <c r="AA460" i="1" s="1"/>
  <c r="Y380" i="1"/>
  <c r="AA380" i="1" s="1"/>
  <c r="U380" i="1"/>
  <c r="U373" i="1" s="1"/>
  <c r="U419" i="1"/>
  <c r="Y419" i="1"/>
  <c r="AA419" i="1" s="1"/>
  <c r="AA374" i="1"/>
  <c r="Y319" i="1"/>
  <c r="AA319" i="1" s="1"/>
  <c r="U319" i="1"/>
  <c r="U245" i="1"/>
  <c r="Y245" i="1"/>
  <c r="AA245" i="1" s="1"/>
  <c r="Y193" i="1"/>
  <c r="AA194" i="1"/>
  <c r="U181" i="1"/>
  <c r="Y181" i="1"/>
  <c r="AA181" i="1" s="1"/>
  <c r="V52" i="1"/>
  <c r="S52" i="1"/>
  <c r="R52" i="1"/>
  <c r="X52" i="1" s="1"/>
  <c r="Y117" i="1"/>
  <c r="AA117" i="1" s="1"/>
  <c r="U117" i="1"/>
  <c r="O111" i="1"/>
  <c r="U26" i="1"/>
  <c r="U25" i="1" s="1"/>
  <c r="Y26" i="1"/>
  <c r="S25" i="1"/>
  <c r="O501" i="1"/>
  <c r="O500" i="1" s="1"/>
  <c r="O474" i="1" s="1"/>
  <c r="M500" i="1"/>
  <c r="M474" i="1" s="1"/>
  <c r="V476" i="1"/>
  <c r="S476" i="1"/>
  <c r="R476" i="1"/>
  <c r="X476" i="1" s="1"/>
  <c r="U410" i="1"/>
  <c r="Y410" i="1"/>
  <c r="AA410" i="1" s="1"/>
  <c r="U260" i="1"/>
  <c r="Y260" i="1"/>
  <c r="AA260" i="1" s="1"/>
  <c r="U222" i="1"/>
  <c r="Y222" i="1"/>
  <c r="AA222" i="1" s="1"/>
  <c r="N109" i="1"/>
  <c r="N108" i="1" s="1"/>
  <c r="N107" i="1" s="1"/>
  <c r="U130" i="1"/>
  <c r="Y130" i="1"/>
  <c r="AA130" i="1" s="1"/>
  <c r="U516" i="1"/>
  <c r="Y516" i="1"/>
  <c r="AA516" i="1" s="1"/>
  <c r="U231" i="1"/>
  <c r="Y231" i="1"/>
  <c r="AA231" i="1" s="1"/>
  <c r="M289" i="1"/>
  <c r="M288" i="1" s="1"/>
  <c r="O290" i="1"/>
  <c r="O289" i="1" s="1"/>
  <c r="U189" i="1"/>
  <c r="Y189" i="1"/>
  <c r="AA189" i="1" s="1"/>
  <c r="Y78" i="1"/>
  <c r="AA78" i="1" s="1"/>
  <c r="U78" i="1"/>
  <c r="U40" i="1"/>
  <c r="Y40" i="1"/>
  <c r="AA40" i="1" s="1"/>
  <c r="Y75" i="1"/>
  <c r="S74" i="1"/>
  <c r="U75" i="1"/>
  <c r="U513" i="1"/>
  <c r="Y513" i="1"/>
  <c r="AA513" i="1" s="1"/>
  <c r="Y554" i="1"/>
  <c r="AA554" i="1" s="1"/>
  <c r="U554" i="1"/>
  <c r="Y464" i="1"/>
  <c r="AA464" i="1" s="1"/>
  <c r="U464" i="1"/>
  <c r="U395" i="1"/>
  <c r="Y395" i="1"/>
  <c r="AA395" i="1" s="1"/>
  <c r="V357" i="1"/>
  <c r="S357" i="1"/>
  <c r="R357" i="1"/>
  <c r="X357" i="1" s="1"/>
  <c r="U323" i="1"/>
  <c r="Y323" i="1"/>
  <c r="AA323" i="1" s="1"/>
  <c r="U293" i="1"/>
  <c r="Y293" i="1"/>
  <c r="AA293" i="1" s="1"/>
  <c r="U455" i="1"/>
  <c r="Y455" i="1"/>
  <c r="AA455" i="1" s="1"/>
  <c r="Y297" i="1"/>
  <c r="AA297" i="1" s="1"/>
  <c r="U297" i="1"/>
  <c r="U240" i="1"/>
  <c r="Y240" i="1"/>
  <c r="AA240" i="1" s="1"/>
  <c r="N288" i="1"/>
  <c r="U212" i="1"/>
  <c r="Y212" i="1"/>
  <c r="AA212" i="1" s="1"/>
  <c r="Y214" i="1"/>
  <c r="AA214" i="1" s="1"/>
  <c r="U214" i="1"/>
  <c r="U166" i="1"/>
  <c r="Y166" i="1"/>
  <c r="AA166" i="1" s="1"/>
  <c r="Y45" i="1"/>
  <c r="S44" i="1"/>
  <c r="U45" i="1"/>
  <c r="U44" i="1" s="1"/>
  <c r="S102" i="1"/>
  <c r="S101" i="1" s="1"/>
  <c r="U103" i="1"/>
  <c r="U102" i="1" s="1"/>
  <c r="U101" i="1" s="1"/>
  <c r="Y103" i="1"/>
  <c r="V20" i="1"/>
  <c r="S20" i="1"/>
  <c r="R20" i="1"/>
  <c r="X20" i="1" s="1"/>
  <c r="O193" i="1"/>
  <c r="Y376" i="1"/>
  <c r="AA376" i="1" s="1"/>
  <c r="U376" i="1"/>
  <c r="U270" i="1"/>
  <c r="Y270" i="1"/>
  <c r="AA270" i="1" s="1"/>
  <c r="U150" i="1"/>
  <c r="Y150" i="1"/>
  <c r="AA150" i="1" s="1"/>
  <c r="R64" i="1"/>
  <c r="X64" i="1" s="1"/>
  <c r="V64" i="1"/>
  <c r="S64" i="1"/>
  <c r="U280" i="1"/>
  <c r="Y280" i="1"/>
  <c r="AA280" i="1" s="1"/>
  <c r="M111" i="1"/>
  <c r="M110" i="1" s="1"/>
  <c r="M109" i="1" s="1"/>
  <c r="M108" i="1" s="1"/>
  <c r="M107" i="1" s="1"/>
  <c r="Y119" i="1"/>
  <c r="AA119" i="1" s="1"/>
  <c r="U119" i="1"/>
  <c r="U125" i="1"/>
  <c r="Y125" i="1"/>
  <c r="AA125" i="1" s="1"/>
  <c r="M193" i="1"/>
  <c r="U510" i="1"/>
  <c r="Y510" i="1"/>
  <c r="AA510" i="1" s="1"/>
  <c r="V497" i="1"/>
  <c r="S497" i="1"/>
  <c r="R497" i="1"/>
  <c r="X497" i="1" s="1"/>
  <c r="V485" i="1"/>
  <c r="S485" i="1"/>
  <c r="R485" i="1"/>
  <c r="X485" i="1" s="1"/>
  <c r="U450" i="1"/>
  <c r="Y450" i="1"/>
  <c r="AA450" i="1" s="1"/>
  <c r="U413" i="1"/>
  <c r="Y413" i="1"/>
  <c r="AA413" i="1" s="1"/>
  <c r="U290" i="1"/>
  <c r="Y290" i="1"/>
  <c r="S349" i="1"/>
  <c r="V349" i="1"/>
  <c r="R349" i="1"/>
  <c r="X349" i="1" s="1"/>
  <c r="U404" i="1"/>
  <c r="Y404" i="1"/>
  <c r="AA404" i="1" s="1"/>
  <c r="S361" i="1"/>
  <c r="R361" i="1"/>
  <c r="X361" i="1" s="1"/>
  <c r="V361" i="1"/>
  <c r="U255" i="1"/>
  <c r="Y255" i="1"/>
  <c r="AA255" i="1" s="1"/>
  <c r="Z288" i="1"/>
  <c r="Z109" i="1" s="1"/>
  <c r="Z108" i="1" s="1"/>
  <c r="Z107" i="1" s="1"/>
  <c r="Z9" i="1" s="1"/>
  <c r="Z8" i="1" s="1"/>
  <c r="Z587" i="1" s="1"/>
  <c r="O376" i="1"/>
  <c r="O373" i="1" s="1"/>
  <c r="M373" i="1"/>
  <c r="U200" i="1"/>
  <c r="Y200" i="1"/>
  <c r="AA200" i="1" s="1"/>
  <c r="U204" i="1"/>
  <c r="Y204" i="1"/>
  <c r="AA204" i="1" s="1"/>
  <c r="O217" i="1"/>
  <c r="O216" i="1" s="1"/>
  <c r="M216" i="1"/>
  <c r="U142" i="1"/>
  <c r="Y142" i="1"/>
  <c r="AA142" i="1" s="1"/>
  <c r="V115" i="1"/>
  <c r="S115" i="1"/>
  <c r="R115" i="1"/>
  <c r="X115" i="1" s="1"/>
  <c r="T109" i="1"/>
  <c r="T108" i="1" s="1"/>
  <c r="T107" i="1" s="1"/>
  <c r="U326" i="1"/>
  <c r="Y326" i="1"/>
  <c r="AA326" i="1" s="1"/>
  <c r="U507" i="1"/>
  <c r="Y507" i="1"/>
  <c r="AA507" i="1" s="1"/>
  <c r="U416" i="1"/>
  <c r="Y416" i="1"/>
  <c r="AA416" i="1" s="1"/>
  <c r="V345" i="1"/>
  <c r="S345" i="1"/>
  <c r="R345" i="1"/>
  <c r="X345" i="1" s="1"/>
  <c r="U378" i="1"/>
  <c r="Y378" i="1"/>
  <c r="AA378" i="1" s="1"/>
  <c r="S353" i="1"/>
  <c r="R353" i="1"/>
  <c r="X353" i="1" s="1"/>
  <c r="V353" i="1"/>
  <c r="S286" i="1"/>
  <c r="R286" i="1"/>
  <c r="X286" i="1" s="1"/>
  <c r="V286" i="1"/>
  <c r="V365" i="1"/>
  <c r="S365" i="1"/>
  <c r="R365" i="1"/>
  <c r="X365" i="1" s="1"/>
  <c r="U250" i="1"/>
  <c r="Y250" i="1"/>
  <c r="AA250" i="1" s="1"/>
  <c r="U208" i="1"/>
  <c r="Y208" i="1"/>
  <c r="AA208" i="1" s="1"/>
  <c r="M25" i="1"/>
  <c r="O26" i="1"/>
  <c r="O25" i="1" s="1"/>
  <c r="M58" i="1"/>
  <c r="L58" i="1"/>
  <c r="M34" i="1"/>
  <c r="O35" i="1"/>
  <c r="O34" i="1" s="1"/>
  <c r="M19" i="1"/>
  <c r="O20" i="1"/>
  <c r="O19" i="1" s="1"/>
  <c r="O18" i="1" s="1"/>
  <c r="O17" i="1" s="1"/>
  <c r="O16" i="1" s="1"/>
  <c r="M102" i="1"/>
  <c r="M101" i="1" s="1"/>
  <c r="O103" i="1"/>
  <c r="O102" i="1" s="1"/>
  <c r="O101" i="1" s="1"/>
  <c r="U519" i="1"/>
  <c r="Y519" i="1"/>
  <c r="AA519" i="1" s="1"/>
  <c r="U422" i="1"/>
  <c r="Y422" i="1"/>
  <c r="AA422" i="1" s="1"/>
  <c r="Y134" i="1"/>
  <c r="AA134" i="1" s="1"/>
  <c r="U134" i="1"/>
  <c r="U430" i="1"/>
  <c r="Y430" i="1"/>
  <c r="AA430" i="1" s="1"/>
  <c r="Y341" i="1"/>
  <c r="AA341" i="1" s="1"/>
  <c r="U341" i="1"/>
  <c r="U531" i="1"/>
  <c r="Y531" i="1"/>
  <c r="AA531" i="1" s="1"/>
  <c r="Y469" i="1"/>
  <c r="AA469" i="1" s="1"/>
  <c r="U469" i="1"/>
  <c r="U407" i="1"/>
  <c r="Y407" i="1"/>
  <c r="AA407" i="1" s="1"/>
  <c r="U440" i="1"/>
  <c r="Y440" i="1"/>
  <c r="AA440" i="1" s="1"/>
  <c r="U386" i="1"/>
  <c r="Y386" i="1"/>
  <c r="AA386" i="1" s="1"/>
  <c r="AA535" i="1"/>
  <c r="Z534" i="1"/>
  <c r="U528" i="1"/>
  <c r="Y528" i="1"/>
  <c r="AA528" i="1" s="1"/>
  <c r="U504" i="1"/>
  <c r="Y504" i="1"/>
  <c r="AA504" i="1" s="1"/>
  <c r="Y550" i="1"/>
  <c r="AA550" i="1" s="1"/>
  <c r="U550" i="1"/>
  <c r="V494" i="1"/>
  <c r="S494" i="1"/>
  <c r="R494" i="1"/>
  <c r="X494" i="1" s="1"/>
  <c r="V482" i="1"/>
  <c r="S482" i="1"/>
  <c r="R482" i="1"/>
  <c r="X482" i="1" s="1"/>
  <c r="U389" i="1"/>
  <c r="Y389" i="1"/>
  <c r="AA389" i="1" s="1"/>
  <c r="AA536" i="1"/>
  <c r="Y534" i="1"/>
  <c r="U312" i="1"/>
  <c r="Y312" i="1"/>
  <c r="AA312" i="1" s="1"/>
  <c r="Y580" i="1"/>
  <c r="AA580" i="1" s="1"/>
  <c r="U580" i="1"/>
  <c r="U265" i="1"/>
  <c r="Y265" i="1"/>
  <c r="AA265" i="1" s="1"/>
  <c r="Y123" i="1"/>
  <c r="AA123" i="1" s="1"/>
  <c r="U123" i="1"/>
  <c r="U121" i="1"/>
  <c r="Y121" i="1"/>
  <c r="AA121" i="1" s="1"/>
  <c r="U158" i="1"/>
  <c r="Y158" i="1"/>
  <c r="AA158" i="1" s="1"/>
  <c r="R113" i="1"/>
  <c r="X113" i="1" s="1"/>
  <c r="V113" i="1"/>
  <c r="S113" i="1"/>
  <c r="U196" i="1"/>
  <c r="U193" i="1" s="1"/>
  <c r="Y196" i="1"/>
  <c r="AA196" i="1" s="1"/>
  <c r="M51" i="1"/>
  <c r="O52" i="1"/>
  <c r="O51" i="1" s="1"/>
  <c r="O75" i="1"/>
  <c r="O74" i="1" s="1"/>
  <c r="M74" i="1"/>
  <c r="S500" i="1"/>
  <c r="U501" i="1"/>
  <c r="Y501" i="1"/>
  <c r="U425" i="1"/>
  <c r="Y425" i="1"/>
  <c r="AA425" i="1" s="1"/>
  <c r="R69" i="1"/>
  <c r="X69" i="1" s="1"/>
  <c r="V69" i="1"/>
  <c r="S69" i="1"/>
  <c r="U392" i="1"/>
  <c r="Y392" i="1"/>
  <c r="AA392" i="1" s="1"/>
  <c r="U525" i="1"/>
  <c r="Y525" i="1"/>
  <c r="AA525" i="1" s="1"/>
  <c r="AA586" i="1"/>
  <c r="AA584" i="1" s="1"/>
  <c r="Z584" i="1"/>
  <c r="U337" i="1"/>
  <c r="Y337" i="1"/>
  <c r="AA337" i="1" s="1"/>
  <c r="U398" i="1"/>
  <c r="Y398" i="1"/>
  <c r="AA398" i="1" s="1"/>
  <c r="U275" i="1"/>
  <c r="Y275" i="1"/>
  <c r="AA275" i="1" s="1"/>
  <c r="Y333" i="1"/>
  <c r="AA333" i="1" s="1"/>
  <c r="U333" i="1"/>
  <c r="V217" i="1"/>
  <c r="S217" i="1"/>
  <c r="R217" i="1"/>
  <c r="X217" i="1" s="1"/>
  <c r="V58" i="1"/>
  <c r="S58" i="1"/>
  <c r="R58" i="1"/>
  <c r="X58" i="1" s="1"/>
  <c r="Y95" i="1"/>
  <c r="AA95" i="1" s="1"/>
  <c r="U95" i="1"/>
  <c r="Y86" i="1"/>
  <c r="AA86" i="1" s="1"/>
  <c r="U86" i="1"/>
  <c r="T9" i="1"/>
  <c r="T8" i="1" s="1"/>
  <c r="T587" i="1" s="1"/>
  <c r="S34" i="1"/>
  <c r="U35" i="1"/>
  <c r="U34" i="1" s="1"/>
  <c r="Y35" i="1"/>
  <c r="S110" i="2" l="1"/>
  <c r="S109" i="2" s="1"/>
  <c r="S108" i="2" s="1"/>
  <c r="S107" i="2" s="1"/>
  <c r="M288" i="2"/>
  <c r="AA293" i="2"/>
  <c r="AA289" i="2" s="1"/>
  <c r="AA288" i="2" s="1"/>
  <c r="Y289" i="2"/>
  <c r="AA20" i="2"/>
  <c r="AA19" i="2" s="1"/>
  <c r="AA18" i="2" s="1"/>
  <c r="AA17" i="2" s="1"/>
  <c r="AA16" i="2" s="1"/>
  <c r="Y19" i="2"/>
  <c r="Y18" i="2" s="1"/>
  <c r="Y17" i="2" s="1"/>
  <c r="Y16" i="2" s="1"/>
  <c r="U475" i="2"/>
  <c r="U289" i="2"/>
  <c r="U288" i="2" s="1"/>
  <c r="S15" i="2"/>
  <c r="S9" i="2" s="1"/>
  <c r="S8" i="2" s="1"/>
  <c r="S587" i="2" s="1"/>
  <c r="U587" i="2" s="1"/>
  <c r="U216" i="2"/>
  <c r="AA75" i="2"/>
  <c r="AA74" i="2" s="1"/>
  <c r="Y74" i="2"/>
  <c r="Y193" i="2"/>
  <c r="Y475" i="2"/>
  <c r="Y474" i="2" s="1"/>
  <c r="AA476" i="2"/>
  <c r="AA475" i="2" s="1"/>
  <c r="AA474" i="2" s="1"/>
  <c r="AA217" i="2"/>
  <c r="AA216" i="2" s="1"/>
  <c r="Y216" i="2"/>
  <c r="AA113" i="2"/>
  <c r="AA111" i="2" s="1"/>
  <c r="Y111" i="2"/>
  <c r="Y44" i="2"/>
  <c r="AA45" i="2"/>
  <c r="AA44" i="2" s="1"/>
  <c r="U111" i="2"/>
  <c r="Y534" i="2"/>
  <c r="M109" i="2"/>
  <c r="M108" i="2" s="1"/>
  <c r="M107" i="2" s="1"/>
  <c r="AA193" i="2"/>
  <c r="AA504" i="2"/>
  <c r="AA500" i="2" s="1"/>
  <c r="Y500" i="2"/>
  <c r="U500" i="2"/>
  <c r="Y373" i="2"/>
  <c r="M43" i="2"/>
  <c r="M33" i="2" s="1"/>
  <c r="M32" i="2" s="1"/>
  <c r="M15" i="2" s="1"/>
  <c r="M9" i="2" s="1"/>
  <c r="M8" i="2" s="1"/>
  <c r="M587" i="2" s="1"/>
  <c r="O587" i="2" s="1"/>
  <c r="AA373" i="2"/>
  <c r="O43" i="2"/>
  <c r="O33" i="2" s="1"/>
  <c r="O32" i="2" s="1"/>
  <c r="U57" i="2"/>
  <c r="U43" i="2" s="1"/>
  <c r="U33" i="2" s="1"/>
  <c r="U32" i="2" s="1"/>
  <c r="U15" i="2" s="1"/>
  <c r="Y25" i="2"/>
  <c r="AA26" i="2"/>
  <c r="AA25" i="2" s="1"/>
  <c r="O15" i="2"/>
  <c r="O9" i="2" s="1"/>
  <c r="O8" i="2" s="1"/>
  <c r="AA58" i="2"/>
  <c r="AA57" i="2" s="1"/>
  <c r="Y57" i="2"/>
  <c r="Y102" i="2"/>
  <c r="Y101" i="2" s="1"/>
  <c r="AA103" i="2"/>
  <c r="AA102" i="2" s="1"/>
  <c r="AA101" i="2" s="1"/>
  <c r="Y488" i="1"/>
  <c r="AA488" i="1" s="1"/>
  <c r="U488" i="1"/>
  <c r="U113" i="1"/>
  <c r="S111" i="1"/>
  <c r="Y113" i="1"/>
  <c r="Y479" i="1"/>
  <c r="AA479" i="1" s="1"/>
  <c r="U479" i="1"/>
  <c r="U349" i="1"/>
  <c r="Y349" i="1"/>
  <c r="AA349" i="1" s="1"/>
  <c r="S51" i="1"/>
  <c r="U52" i="1"/>
  <c r="U51" i="1" s="1"/>
  <c r="Y52" i="1"/>
  <c r="Y491" i="1"/>
  <c r="AA491" i="1" s="1"/>
  <c r="U491" i="1"/>
  <c r="S57" i="1"/>
  <c r="S43" i="1" s="1"/>
  <c r="S33" i="1" s="1"/>
  <c r="S32" i="1" s="1"/>
  <c r="U58" i="1"/>
  <c r="Y58" i="1"/>
  <c r="Y476" i="1"/>
  <c r="S475" i="1"/>
  <c r="S474" i="1" s="1"/>
  <c r="U476" i="1"/>
  <c r="U345" i="1"/>
  <c r="Y345" i="1"/>
  <c r="AA345" i="1" s="1"/>
  <c r="S216" i="1"/>
  <c r="U217" i="1"/>
  <c r="U216" i="1" s="1"/>
  <c r="Y217" i="1"/>
  <c r="AA290" i="1"/>
  <c r="Y485" i="1"/>
  <c r="AA485" i="1" s="1"/>
  <c r="U485" i="1"/>
  <c r="Y64" i="1"/>
  <c r="AA64" i="1" s="1"/>
  <c r="U64" i="1"/>
  <c r="Y369" i="1"/>
  <c r="AA369" i="1" s="1"/>
  <c r="U369" i="1"/>
  <c r="AA534" i="1"/>
  <c r="Y286" i="1"/>
  <c r="S285" i="1"/>
  <c r="U286" i="1"/>
  <c r="U285" i="1" s="1"/>
  <c r="Y357" i="1"/>
  <c r="AA357" i="1" s="1"/>
  <c r="U357" i="1"/>
  <c r="Y69" i="1"/>
  <c r="AA69" i="1" s="1"/>
  <c r="U69" i="1"/>
  <c r="U353" i="1"/>
  <c r="U289" i="1" s="1"/>
  <c r="U288" i="1" s="1"/>
  <c r="Y353" i="1"/>
  <c r="AA353" i="1" s="1"/>
  <c r="Y115" i="1"/>
  <c r="AA115" i="1" s="1"/>
  <c r="U115" i="1"/>
  <c r="U74" i="1"/>
  <c r="AA26" i="1"/>
  <c r="AA25" i="1" s="1"/>
  <c r="Y25" i="1"/>
  <c r="Y373" i="1"/>
  <c r="AA103" i="1"/>
  <c r="AA102" i="1" s="1"/>
  <c r="AA101" i="1" s="1"/>
  <c r="Y102" i="1"/>
  <c r="Y101" i="1" s="1"/>
  <c r="M18" i="1"/>
  <c r="M17" i="1" s="1"/>
  <c r="M16" i="1" s="1"/>
  <c r="Y482" i="1"/>
  <c r="AA482" i="1" s="1"/>
  <c r="U482" i="1"/>
  <c r="M57" i="1"/>
  <c r="M43" i="1" s="1"/>
  <c r="M33" i="1" s="1"/>
  <c r="M32" i="1" s="1"/>
  <c r="O58" i="1"/>
  <c r="O57" i="1" s="1"/>
  <c r="O43" i="1" s="1"/>
  <c r="O33" i="1" s="1"/>
  <c r="O32" i="1" s="1"/>
  <c r="O15" i="1" s="1"/>
  <c r="U365" i="1"/>
  <c r="Y365" i="1"/>
  <c r="AA365" i="1" s="1"/>
  <c r="Y361" i="1"/>
  <c r="AA361" i="1" s="1"/>
  <c r="U361" i="1"/>
  <c r="S289" i="1"/>
  <c r="S288" i="1" s="1"/>
  <c r="AA373" i="1"/>
  <c r="AA501" i="1"/>
  <c r="AA500" i="1" s="1"/>
  <c r="Y500" i="1"/>
  <c r="U500" i="1"/>
  <c r="Y494" i="1"/>
  <c r="AA494" i="1" s="1"/>
  <c r="U494" i="1"/>
  <c r="AA35" i="1"/>
  <c r="AA34" i="1" s="1"/>
  <c r="Y34" i="1"/>
  <c r="Y497" i="1"/>
  <c r="AA497" i="1" s="1"/>
  <c r="U497" i="1"/>
  <c r="S19" i="1"/>
  <c r="S18" i="1" s="1"/>
  <c r="S17" i="1" s="1"/>
  <c r="S16" i="1" s="1"/>
  <c r="U20" i="1"/>
  <c r="U19" i="1" s="1"/>
  <c r="U18" i="1" s="1"/>
  <c r="U17" i="1" s="1"/>
  <c r="U16" i="1" s="1"/>
  <c r="Y20" i="1"/>
  <c r="AA45" i="1"/>
  <c r="AA44" i="1" s="1"/>
  <c r="Y44" i="1"/>
  <c r="AA75" i="1"/>
  <c r="AA74" i="1" s="1"/>
  <c r="Y74" i="1"/>
  <c r="O288" i="1"/>
  <c r="O110" i="1"/>
  <c r="AA193" i="1"/>
  <c r="U110" i="2" l="1"/>
  <c r="Y43" i="2"/>
  <c r="Y33" i="2" s="1"/>
  <c r="Y32" i="2" s="1"/>
  <c r="Y15" i="2" s="1"/>
  <c r="Y110" i="2"/>
  <c r="U474" i="2"/>
  <c r="AA43" i="2"/>
  <c r="AA33" i="2" s="1"/>
  <c r="AA32" i="2" s="1"/>
  <c r="AA15" i="2"/>
  <c r="Y288" i="2"/>
  <c r="AA110" i="2"/>
  <c r="AA109" i="2" s="1"/>
  <c r="AA108" i="2" s="1"/>
  <c r="AA107" i="2" s="1"/>
  <c r="O9" i="1"/>
  <c r="O8" i="1" s="1"/>
  <c r="AA286" i="1"/>
  <c r="AA285" i="1" s="1"/>
  <c r="Y285" i="1"/>
  <c r="Y111" i="1"/>
  <c r="AA113" i="1"/>
  <c r="AA111" i="1" s="1"/>
  <c r="Y289" i="1"/>
  <c r="Y288" i="1" s="1"/>
  <c r="U475" i="1"/>
  <c r="U474" i="1" s="1"/>
  <c r="AA52" i="1"/>
  <c r="AA51" i="1" s="1"/>
  <c r="Y51" i="1"/>
  <c r="Y43" i="1" s="1"/>
  <c r="Y33" i="1" s="1"/>
  <c r="Y32" i="1" s="1"/>
  <c r="S110" i="1"/>
  <c r="S109" i="1" s="1"/>
  <c r="S108" i="1" s="1"/>
  <c r="S107" i="1" s="1"/>
  <c r="AA289" i="1"/>
  <c r="AA288" i="1" s="1"/>
  <c r="U111" i="1"/>
  <c r="U110" i="1" s="1"/>
  <c r="AA20" i="1"/>
  <c r="AA19" i="1" s="1"/>
  <c r="AA18" i="1" s="1"/>
  <c r="AA17" i="1" s="1"/>
  <c r="AA16" i="1" s="1"/>
  <c r="Y19" i="1"/>
  <c r="Y18" i="1" s="1"/>
  <c r="Y17" i="1" s="1"/>
  <c r="Y16" i="1" s="1"/>
  <c r="Y475" i="1"/>
  <c r="Y474" i="1" s="1"/>
  <c r="AA476" i="1"/>
  <c r="AA475" i="1" s="1"/>
  <c r="AA474" i="1" s="1"/>
  <c r="M15" i="1"/>
  <c r="M9" i="1" s="1"/>
  <c r="M8" i="1" s="1"/>
  <c r="M587" i="1" s="1"/>
  <c r="O587" i="1" s="1"/>
  <c r="Y216" i="1"/>
  <c r="AA217" i="1"/>
  <c r="AA216" i="1" s="1"/>
  <c r="AA58" i="1"/>
  <c r="AA57" i="1" s="1"/>
  <c r="AA43" i="1" s="1"/>
  <c r="AA33" i="1" s="1"/>
  <c r="AA32" i="1" s="1"/>
  <c r="Y57" i="1"/>
  <c r="O109" i="1"/>
  <c r="O108" i="1" s="1"/>
  <c r="O107" i="1" s="1"/>
  <c r="S15" i="1"/>
  <c r="S9" i="1" s="1"/>
  <c r="S8" i="1" s="1"/>
  <c r="S587" i="1" s="1"/>
  <c r="U587" i="1" s="1"/>
  <c r="U57" i="1"/>
  <c r="U43" i="1" s="1"/>
  <c r="U33" i="1" s="1"/>
  <c r="U32" i="1" s="1"/>
  <c r="U15" i="1" s="1"/>
  <c r="AA9" i="2" l="1"/>
  <c r="AA8" i="2" s="1"/>
  <c r="Y109" i="2"/>
  <c r="Y108" i="2" s="1"/>
  <c r="Y107" i="2" s="1"/>
  <c r="Y9" i="2" s="1"/>
  <c r="Y8" i="2" s="1"/>
  <c r="Y587" i="2" s="1"/>
  <c r="AA587" i="2" s="1"/>
  <c r="U109" i="2"/>
  <c r="U108" i="2" s="1"/>
  <c r="U107" i="2" s="1"/>
  <c r="U9" i="2" s="1"/>
  <c r="U8" i="2" s="1"/>
  <c r="U9" i="1"/>
  <c r="U8" i="1" s="1"/>
  <c r="U109" i="1"/>
  <c r="U108" i="1" s="1"/>
  <c r="U107" i="1" s="1"/>
  <c r="AA15" i="1"/>
  <c r="AA110" i="1"/>
  <c r="AA109" i="1" s="1"/>
  <c r="AA108" i="1" s="1"/>
  <c r="AA107" i="1" s="1"/>
  <c r="Y110" i="1"/>
  <c r="Y109" i="1" s="1"/>
  <c r="Y108" i="1" s="1"/>
  <c r="Y107" i="1" s="1"/>
  <c r="Y15" i="1"/>
  <c r="Y9" i="1" s="1"/>
  <c r="Y8" i="1" s="1"/>
  <c r="Y587" i="1" s="1"/>
  <c r="AA587" i="1" s="1"/>
  <c r="AA9" i="1" l="1"/>
  <c r="AA8" i="1" s="1"/>
</calcChain>
</file>

<file path=xl/sharedStrings.xml><?xml version="1.0" encoding="utf-8"?>
<sst xmlns="http://schemas.openxmlformats.org/spreadsheetml/2006/main" count="7734" uniqueCount="2233">
  <si>
    <t>Указать название организации (на бланке организации)</t>
  </si>
  <si>
    <t>{"estimateId":5150255,"estimateVersionId":7054632}</t>
  </si>
  <si>
    <t>7</t>
  </si>
  <si>
    <t>GgAM2FBpWmhyGMfZ9Tf1NMFQ/DyspR4qZ2otftkkqNv2yla3zlQjb/blsiN2pwjuAdlC7VVga3/2oaNB1nYRUHySUe+1/a6iIWG1885s5p9yZTDQhAlICQE6+uskosxBc78CWR1P9cdQfRKseE33QA1QOxblQVhztfLkGiv5gBM=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</si>
  <si>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</si>
  <si>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</si>
  <si>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</si>
  <si>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</si>
  <si>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</si>
  <si>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</si>
  <si>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</si>
  <si>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KUwoBRmFPX8FO8fK/mNl/7HJ/mO6/fAwT0pdwc5QmT9U5g9N5g9p5rvPWsa8FVjNT4zeB1tLylvGzEU0F/7aYjLXI3Wzx+K+2vuLu2+rC2bU19UNI0+q+0Y+qI52ejz7/FN1HW51Wcjjjo5Tpj51uC0V1nXqC2XqCyL1QZ2QEqTqQy4/hConhuoLofpC5KsP6iSVSM79glj9tVgmy0CoLwj1BaG+kKgvJOoLqfpCqn5AWv1R/dBM/dBM/bzMtFZJ9puLHBvKHCuddaicdaicdaicdaicdaicdaicdaicdaicdaicdaicdaicdaicdaicdaicdaicdaicdaicdaicdaicdaicdaicdaicdWhy1iHdWQLvLFQI7itf9ZWv+spXfeWrvvJVX/mqr3zVV77qK1/1la/6yld95au+8lVf+aqvfNVXvuorX/WVr/rKV33lq77yVV/5qq981Ve+6pt81af7Ch5+1lYNoVQN0meF8lmhfFYonxXKZ4XyWaF8ViifFcpnhfJZoXxWKJ8VymeF8lmhfFYonxXKZ4XyWaF8ViifFcpnhfJZoXxWmHxWkH3GLk9CKU+ko46Vo46Vo46Vo46Vo46Vo46Vo46Vo46Vo46Vo46Vo46Vo46Vo46Vo46Vo46Vo46Vo46Vo46Vo46Vo46Vo46Vo46Vo45NjjqmOwouHEg6KJQ6SPppqPw0VH4aKj8NlZ+Gyk9D5aeh8tNQ+Wmo/DRUfhoqPw2Vn4bKT0Plp6Hy01D5aaj8NFR+Gio/DZWfhspPQ+WnoclPQ5qfLkgW5S720zMXqsuou0IrBfhOgFbOz1yILtMh07tke1elyJoHaP5PKa+eSFF1oeFnJqlml8G9X3WQV/ewXRBjOqI9MtGqSGjlwEydia+QTRQoEwHmLfm9LoXfV5+Sf3xR35FX+/v+QvreOz/GdHqvU333i+pbHssvPVffWN+c96Q6ukT+4bPyF+U/VsdlPim/vib/7KU71cduUP03m32s/xTM/7P4s34D8T7ZjwnMj/BGeeOhH1QLgUd1wfvfLcdeUm0EntG1Zmc71bpVabbmsZdZlKT65sse2USWcy9XDTffn0c2G5hY8UdZhqn5JEuytcDMijzJMggXJ1lKJWU8yZJsNTC/oub50EfjgG42MIkSptnzY+SCcGvZ8eaTK8kUAkkBfm6UZ7cXhl2eh1INBiY08sYH8w16ZJOBGQ53GGWUiW6qVbq36ZYC8xziLMpF8LhtCR5HdIsxua/Nx6Egm8x89uQiaMwdbj57kkwAzIrIubp6VhZGXZ4zU4xVe2t23F46cT5t1oLIaXNkAwl9o9dhxlKnzcZ7J6j2AtM6dNqsu3ei2l7zZd1etnTZ+uzK87tq8jz9qN51XV+K/rjeoP20vuz82eIbHnSC+u+Y+qCpvgBqhVYm3EQTBcpEgHl1eUktcjzrqonxs6rHvJp6/778dfmP5Sflp/LXP5Qfy//+pvx/d8qfqf+Ufyx/pm7Y+Fn5O/mHX5e/68gJnY51n8wK1BBtTIqJFgIlQzuTYqKNQLGw7qSYaB1GGAD8J5Tc0lnYI1vIMie+lFZ1d0EEcX38emC/AYJMBkys+GlzlJtnzVRjgYkVO2s+v/8hsNz/QLYamF5Rs2aDqFQwWz0LxgEdA5gZ15lFn9//EDTc/0CmEEgK8HOkPLu9MOzyLJpqMDADgmfRgLBTAMPOgE4FzJq4ibawzLOphgJTJ2aefX7ng/k9PaJbjEmnpAdmfhpDQ6gpyAjc8+7zOx/sYeaYTgBMq+h5t7rzQR9ihjRjq/nf6TjKR9mZN4rTxItjP/SyyST2JvEoOU2SYBSFkxmPcT7++sh8QhdxTm4sZsc4TCifbuZuwcLM3nUgu6wgq5rDNj7Aaf0vNfPxH9fz8Z+Xv5n9LvJ9dRVjdUugfqa1x8ot4Nyo+THDjJjRC6uaweKFNmbOjCQsx64Z+mRusJK4O3aNk2JVXFgooPP1JI4Nh6X2WFGcnbomYsPllDd5+RA5oI2552IGOr9vILDcIMEKjgh/4GkTeFAHvGzYFxDCZh3QAWRACz5oVRnamQkahxUhrcSW2lNYKS+dLeesIqS1d5dsL3DJCiodW6oIfb2QYYuGyyfTn8ykaPWF+vBeeJGI6J4Y5p5WikREEwXKRIB5gRd3KmffV6cSLfVNhlVHZFR9jGcfu7PPpRc6KfPZR7322ieDAtfH2tC5RAuBa10Y/WquEBFtBC5zratMidZhlrQA/otyP9Mfx9Ijm7jBEtH8ht5A2EtEVDJgpsWXiGJLYyXVWGCmxZaIxHmJyHjNwS261cB824ZMVzBbPQvGAR0DmBfXKRGJreWBsJSIqBQCSQF+jpRntxeGrRjcpxsMTIHguQ4g7BTAsDOgUwHTJrJElHbrmcqKobfphgJzJ6ZEJM5LRMb39IhuMSafkh6YxdTRHmoKMgJ3iUhsLQ+ApUREJQCmVXSJSGwvjFoxdkgzdpahgrORPxl5J4EfebGcu3tZOD71ojg8OUlO/NPJeDLjMU7QLSsV1Em6sUSU4DChfLqpvAULM53XgeyygiCWB6Hz/KU6iWmCfn/6UX27Tuj76qT1p+VzHf0eK72A08PnyDqMfVYMxFJnGzNgRhLHlR5GEoeVHkYK7EIzYDTiMM+7kdCx9FhZnJV64rQrtPLyJi8fIpa3MYdczCTn97EElgt2WMER8Q88/QEP6oCXDfsGQtiaSj3NA1rwQc83AdXgjjcBaYdYaknrDQwh+CKDlks+hnX0XbK9wCUoqBT8tPzi/EqdS+eVPZSK8JEqCFWnPHyhyjvqfsbpvelPp38r//RcFW5mZ2vcr2o6z3Wwe2TYGAbbSgGHaKJAmQgwr/xMOvzJ7GL15YLbNTk28muPZ3uA1HctleMed1RL1/RedR/7xbNQXn3zrfGbnf3vv/XmyZvf7fjCr34v4+zrk7c6B6/9l051cXv1gztyaC/VAOUwXzza4/yei+opoRzNoRuCffIQANfV2hDWRAuBa2QYwWwuLRFtBC6PrSuFidZhlsIA/qtO5NBmkh7ZxA2WlrL5Gm9qLy1RyYAZHV9akiaZa0tUa4EpHVtbSs9rS6mltkS1GpjY25gXKJitngXjgI4BTNnr1JbSreWBsNSWqBQCSQF+jpRntxeGrRjcpxsMzIHgyRUg7hTAuDOgUwHzJq62FCSW4hLVUmD2xBSX0vPikvFFPaJbjMmopCdmMVm1x5qCjMBdXEq3lgfAUlyiEgATK7q4lG4vjFoxdkgzVlk7jk9FlJ/F3lkaRl7sJ743OhGZNx7H42gyzvLotH5hjUsBlrUR6nKAsbhkvRbrMiaUT7doYMHCLBzoQHZZQRALktAVhV82rBl8tbRmUE8eqwnn886gf+s7KqPoHLHH6ggBdwR8Kt808dZh7rNiItZhEdPlp+VDHcqrrCir2sCCAp9X+/oO7RusJA4LUYwU2GVwwGiEIvC7oXYtpsfK4qwQZTlgkxMPEfbbmG8uZp3ZvGyRWWaenOCI+AeeKq2OqTTCfOIhJxz2DYTANRWimke04IOW/9uxqc12C09CRyd1Zm6hizd2aLu58ES0F7g+BZWJjgpPRNgYBttK4YlookCZCDDPWniSw1U+lj7/evphXQcCnLRf1aGqa2ovFIn+ufxEVYG6Om/sk70BXP9CiFpjDYhoIXAtC65VbTUgoo3AVax1VSjROsyKFcB/UZgbugl6ZBM3VwMK/flabG6vAVHJgMm15RoQ1VpgdsXWgPLzGlBuqQFRrQbm2DY0uYLZ6lkwDugYwOy5Tg0o31oeCEsNiEohkBTg50h5dnth2IrBfbrBwBwIntgA4k4BjDsDOhUwb7ZYA6JaCsyemBpQfl4DMr6oR3SLMRmV9MQs5on2WFOQEbhrQPnW8gBYakBUAmBiRdeA8u2FUSvGDmnGVgpxPMpOssmZl56OUi/ORxNvFKW+nKjnQZ5m/kmY1dHfOCu3LEtQZ+amGlDo4zChfM5rQJwgiMVA6OT+s6qe83V9iZec2j+qDoWv5pBqTvjiYhfh6tzxcflVpz4a5P9T3RX2VH7h3U752/Ln2mHeY/WOgHsHPtXWYeyzYiAWPhFzZGPhhxPFbeGHk8Rd4YeTYlVEWCigU/M8S7uxoe7DieKs7hNkYTdMdIA3eQERwb6NWeZ8rhn6dZ1g9hsd+AEvOCIAgidI8FEd8MJhX0EIXEPlBzCiBR+028qPdkilugysdPkq3aYrP1R7gatSUHHopvJDhY1hsG1UfqgmCpSJAPOcVn7UyXOz32WGGhDVL8D1L4S+NdWAqBYC17LgstVSA6LaCFzFWleQEq3DrFgB/Bf7obEGRDVxgzWgsF6LDQNrDYhMBkyz7daAyNYC8yyyBhQGixrQzM06q2/RrQZm2zbUuYLZ6lkwDugYwDy6Rg1I2r48EOYaEJlCICnAz5Hy7PbCsBWD+3SDgTkQPMUBxJ0CGHcGdCpg3myvBkS2FJg9ETWgRby5bXlRj+gWYzIq6YlZzBjtsaYgIzDXgBZxZj4A5hoQmQCYWLE1IPnsLIxaMXZIM/bK1oAMt+3KWXqIw4Tyua8BMYIglgWh03zXNSBG7wi4d+CTbh3GPisGYgkUMUc214AYURzXgBhJHNaAGCmwC9CA0QhCPzEXgRhZrkYRiBMQEe3bmGYuJpvhvGQQWiacnOCICAieIcFHdcALh30HIXBNRaDmES34oN0WgbS76aW8jGx0lqtHYcZiZCOsCES0F7gsBVWHjopARNgYBttKEYhookCZCDCv3SJQreJfLJd/vLCu/nhhYir+EP0BXPhCCFtj8YdoIXARC65XbcUfoo3A5at1lSjROsxSFcB/YZ5rg2SPbOAGSz/zm+BD203wN+lkwOTacumHai0wu2JLP9F56cd4n/otutXAHNuGJlcwWz0LxgEdA5g91yn9RFvLA2Ep/VApBJIC/Bwpz24vDFsxuE83GJgBwRMbQNwpgHFnQKcCZs0WSz9US4G5E1P6ic5LP8YX9YhuMSafkp6YxTzRHmsKMgJ36SfaWh4AS+mHSgBMrOjST7S9MGrF2CHN2Ctb+kmNpZ8Yhwnlc1/6YQRZFR228QFO7l2Xfhi9I+DegU+1dRj7rBiIhU/EDNlc+mFEcVz6YSRxWPphpMAuOwNGI8tT/Xj0WEmuRuGHExAR69uYZC6mmvG8TBBbppuc4Ij4B54fwUd1wAuHfQMhcE2Fn+YRLfig5xcQzRellBZzeANRpsOValNYcKNQrOI6qgQFQVe7kL1LNhi4TAVVi3+4fONMVT6YflT+SUqMJ53y8/Lj8ue1JlT33jxXxaByfsXNC3VVpSoIPa7kpvwxHVVU6oSBurXyuVKfLztxdYXlc50j9siOiGGOaKVMRDRRoEwEmFd+Jj1cXUBUPut2yn+Ser0qGUnfSwXvVVcJ3Z3+qBqZ2bgsRlJOBH4bCH+nHsTu8piJ8hfl7wL5uc70I/n35TSg/kLg+9P35YeONx/FpSuHtBF3n+ww4CoaQiUb60hEC4ErYnDxa6sjEW0EroWtK2uJ1mHWvSD+C41qlWjgButIyY78kKoPmfqQz5d3bbfH36SDAjM1vqyUJVnX1y4YfJtuLTBVY8tK4rysZLyD/RbdamC+bkPxK5itngXjgI4BzLbrlJXE1vJAWMpKVAqBpAA/R8qz2wvDVgzu0w0GJkTwtAkQhgoVhgoVhgoVhgpgGBrQIYE5FVllCmPfEINu000FplZMmUmcl5mML+4R3WJMuiU9QYtZqT32FGQE7jKT2FoeAEuZiUoATLToMpPYXhi1YuyQZmwlH/PTMPHj0BOxmHjxWXji5anve4Ef5qP8TPihqHmMU37LIgh12m8sMyU4TCifbnHAgoVZINCB7LKCIJYeoQsHf5RzwKdyDnlfFZVUiWi2NiD/OL03fXf6Yaf8e1VdKr9UKwBySilnoNXtQjIHy4+xF2injnusbhBwN8Dn5DqMfVYMxHoqfKY8/WD6ng7lVVYUlnqSdonwBiuHw2oSIwV2LRswFnlmPOGDEcRZMSnsCi3eTV48RDxvY2K5mF4m88JDYplicoIjQh94TgQd0wEvGvblg6A1FZKax7Pgg67E5igI4kTEuZcEJ8KL4yz1xuIk9c7G6al/GmQiSWrHOBWb2lVjKTZTrC9gfO7FJiMIIjhBxebnqswxvTv9cWf6Q0DN4970ffXbSm9WVQ+dE/ZYnSDgTlhbajJiIOItXGpaWpcYUVikpqEefYOVxKHYZKTA5jvAaGSZ0B8X2mMlcaY2k26o3Qh7kxcPEdBbVZvpXJ0Yry8/4AVHRD+y2jSN6YAXDfv2QdCa1GbzeBZ80LNL1M+ycDKOY28cn4ReHOQn3ngUnXl+GIgsTAMxFptQm9oCtlSb9qs7Nb6A8blXm4wgiOAEV5uP69756U/KZ0pETu+WD2arl76/pX4JHegeK6iAg66tKBkxEDEVoSiNbT6MJEyCUlvnuMFK4lBQMlJgUxpkNKKuMHUXMZI4E5SBSLuJdnZ8kxcQEbVblZTzG7NDyx3orOCI8EeWlOZRHfDCYd9ACFyTqGwe0YIPuhKVcXCW+uk499Jgksrv9QMvS85CLx2dhflpIs7E2eSOe1EZ63whRWWO9QWMz72oZARBhCeoqPxNvWZ5v1M+rfrnn1dl8dmaZfmoWtX8evoDtR9z9slKb2ZKbVa98/IPoW/soWf0hYD7Ym3dyYiBCLwI3an20D7sdvTj8iorEI/81HHcYOVwKD4ZKbCpDzAWhipUj5XDnfT0u0K7dn6Tlw8R2ltVnvlcp1ju/GYFRwRAuvI0DeqAlw379kHYmoRn84AWfNBqE+bOTKc43HuZ6yivB5HtorkoTFYp3e291M7dd8kGr8aOK7r3Mr649zKx7b2kOiKGOaKNvZdUEwXKRIB5chrYmf6kOvT0T+UTwu7L0Lfsvpy+a9t9We25fFk+q85ffVF9yZsP89J+TPnU76j/hvV/DW3T+2S3rmYRvh2aVAuBu0kQmti8Q5NqI3AbyZp6l2rdajZdc4dmnmglQY9s3+Y2aEbBjvwQqg9RvSkq8q17M8mMwEyO35uZx4HxyE+ytcBUjtybGfmLvZmR8aLbW3Srgfm8jXmAgtnqWTAO6BjAbLzG3kxp+/JAmPdmkikEkgL8HCnPbi8MWzG4TzcYmArBkylABCpUBCpUBCqAEWhA5wMmUuS2zCiOu6F2InGbbiownyK2ZS5Cz23LO3tEtxiTY0kPz3ye2hB2CjIC87bMRciZD4B5WyaZAJhjsdsy5bOzMGrF2CHN2EozgrrqFY9xNcCyLEJdETBty4wCHCaUT7duYMHCrB3oQHZZQRBrkdA1Ba5tmZxuEHA3wKfrOox9VgzEAit8emzelsmJwlJbMnTKc3K4qy1xUmBXtwFjkaZxrAPpsYI4Ky6Zt2Wy4iHieRtzysXMMqhLEZHlLnFWcEToA0+HoGM64EXDvnwQtIbSEmA8Cz7oq9son5u2ZUYh1hcwPvdikxEEEZygYpPeKM8JKuCga8tJRgxETIXLSXO1hZGERU0aG+U5SRzqSUYKbEqDjIafxPqtsD1WFGeK0tYpzwqICNutasr55bKR5bpgVnBE/CNrSlunPCsc9hWEwDWpyuYRLfigK1XpnyZ5IsTYm2RJ5MWj2PdGI6lFJyfZKDsbJ/kkHt9xryq1XUJSVUZYX8D43KtKRhBEeIKryjUO+wj1pe09VicIuBPWVpyMGIiIi1CcxsM+OFGYJKdpCZORxKHkZKTA5jvAaKRBHBkPl+NkcaY5U/MqJiceIqS3qjijuT6xXIvLCo6If2TFaRrTAS8a9v2DoDXpzebxLPigleC06ch2G+MDreiQEjK24MVhsIq3+c54osGrMePPvzOe6IgY5ohWOuOJJgqUiQDzrl5nfHS5M95wT+0+2Y3A9j+EUjauzRItBDbwYQSwuROeaCOwc29daUu0DtOlB/BfEmWhUbESTdxgM7xQffDqyqIonbeixvZmeCojMHu33AxPtRaYvbHN8PF5M7zx3sdbdKuBKbwNya9gtnoWjAM6RozEIHSmxlvLA2FphqdSCCQF+DlSnt1eGLZicJ9uMDAbgudNgAhUqAhUqAhUACPQgM4HzKVtNsNTTQWmVEwzfHzeDG98Z4/oFmPSLOnhWcxJ7WGnICNwN8PHW8sDYGmGpxIAcyy6GT7eXhi1YuyQZuyVrSQFvrEbXuA4oYDuS0mMIIh1R+g6AlMpidEJAu4E+ARdh7HPioFYSkVMkM2lJEYUx6UkRhKHpSRGCuxSNmA04jzK87Sbave+9FhprkIxiRMPEdTbmFku5pdiXnywXIbLCo6IgOBJEXRMB7xo2DcQgtZUTGoez4IP+uq2xEvJqV00lpIzwToDBuhecjKCIKITXHKSe+IZQQUcdG1ZyYiBCKoIWWmsuzCSMKlKU088I4lDVclIgc1pgNFI/dDvJtoE3WNlcaYprU3xnICIuN2qqpzflxhZ7r9kBUcEQLKqtDbFc8Jh30EIXJOubB7Rgg/66p7rIXWltkNI6krbBU1aZ8AA3etKRhBEfILqSraDPRjdIOBuWFt1MmIggi5cdVoO9mBEYZGdpqVMRg6HopORApvwAGMhAl8Y9sn3WFmciU7L2R6ceIiQ3qrknF+aGFkuwWQFR0Q/suS0nO3BiYZ9/yBoTYKzeTwLPmjHXfGmarjtOqY4DFfxNt8VTzQY2FIHlYBXoCue6IgY5ohWuuKJJgqUiQDzrlxXvEgud8WH3bA6Jz5S58Wr38TGNnmiX4GNgXDhbF6uJVoIbO2D62FbmzzRRmBP37pal2gdpn8P4L84NO/rJFq4wS75fOcgiH31IZj3qGb2LnkqIzCbt9wlT7UWmM2xXfLZeZe88UbIW3SrgSm9jSmAgtnqWTAO6BjAhLxOl3y2tTwQli55KoVAUoCfI+XZ7YVhKwb36QYDkyF4HgWIQIWKQIWKQAUwAg3ofMBU2maXPNVUYEbFdMln513yxnf2iG4xJsuSHp7FHNUedgoyAneXfLa1PACWLnkqATDHorvks+2FUSvGDmnGXt3SkqFL4boMVDhOKKD70hIjCGIdErquwFZaYnSDgLsBPmXXYeyzYiAWV+EzZEtpiRHFaWmJkcNhaYmRAru0DRiLKA5TY2WJEeUqVJY48RARvY1p5WJyOb/ANrLcSMwKjgh+4BkRdEwHvGjY1w+C1lRZah7Pgg/6CrfIB6YW+dh2FZPWGTBA53qTEwQRnaB6k94izwkq4KDrKkpODERQhStKY82Fk4RFUBpb5DlJ3ElKTgpsTgOMRpzK4KzNzz1WFGeS0tYhzwqICNttisrYr0VIbLnolhUcEf/IotLWIc8Kh30FIXANshIwogUf9BU+7MPQLSRlZYB1BgzQvaxkBEHEJ7is5Djsg9MJAu6EtSUnIwYi5CIkp/GwD04UJs1pWMbkJHGoORkpsAkPMBpxFGRhNzUsZHLCOFOd5rM+WPEQMb1VzTm/LjG2XH/JCo4IgGTNaT7rgxUN+wJC0JoUZ/N4FnzQjlvkTUuToRUvWsXbeIs81WBgPx1UA26+RZ7qiBjmiDZa5KkmCpSJAPPKz6SHH1Wuf3YFGuTrcV1qkI+3dD7cJ/sQ2AGI0MnGpVmihcAePoz8NbbDU20ENu+tK2yJ1q3mzDXb4UUmuqnOwh7Zws21w8eR6oSP1QdRN6PGobUdnswIzNzttsOTrQVmbmQ7fBwu2uFj47WPt+hWA9N3G3JfwWz1LBgHdAxg8l2jHV7avjwQ5nZ4MoVAUoCfI+XZ7YVhKwb36QYDkyF4zgSIQIWKQIWKQAUwAg3ofMBU2mI7PNlUYEZFtMMvQs9tyzt7RLcYk2VJD89iPmoPOwUZgbkdfhFy5gNgbocnEwBzLLYdXj47C6NWjB3SjL26daTQ1A4fRzhOKKD7OhIjCGLNEbqGwFRHYnSCgDsBPjnXYeyzYiCWURHzY3MdiRHFcR2JkcRhHYmRAruMDRiNJAqF6Gq3vvRYWa5CGYkTDxHS25hXLmaX8/tqY8v9w6zgiPgHnhJBx3TAi4Z9/yBoTWWk5vEs+KCvcD98aOyHj7HOgAG6F5yMIIjoBBec5H54RlABB11bVDJiIIIqQlQaiy6MJEya0tQPz0jiUFMyUmBzGmA0ErW0Z6r1MKI4k5TWfnhOQETYblVUxnMRYrnrlhUcEf/IotLaD88Jh30FIXBNsrJ5RAs+6Ct8rEdo7IcXWGfAAN3LSkYQRHyCykquYz043SDgblhbdDJiIIIuXHSaj/XgRGFRnaZ1TEYOh5qTkQKb8ABjESeZeRmTEcWZ5jQf68GKh4jorSrO+U2JseXmS1ZwRPAjK07zsR6saNjXD4LWpDebx7Pgg3bcDW9SkIkVL17F23w3PNHg1Zjx598NT3REDHNEK93wRBMFykSAeVfuwHhdP7w6vXGn/o12DXSf7FBgNyBcMJtXaYkWAvv54DrY1hpPtBHYyLeuxiVah2naA/gv0rZB9sjmbbAvPlUt8Zn6kM+7UhN7XzyVEZjDW+6Lp1oLzOHYvvjkvC/eePPjLbrVwETehvBXMFs9C8YBHQOYhtfpi0+2lgfC0hdPpRBICvBzpDy7vTBsxeA+3WBgJgTPngARqFARqFARqABGoAGdD5hH2+yLp5oKTKeYvvjkvC/e+M4e0S3GpFjSw7OYmdrDTkFG4O6LT7aWB8DSF08lAOZYdF98sr0wasXYIc3Yq1tPiox98fbb8S5xQgHd15MYQRCrj9DVBLZ6EqMbBNwN8Im6DmOfFWNVEFgw4NNjSz2JEcVpPYmRw2E9iZECu6ANGItIf6ZJj5XjKhSTOPEQ4byNOeViZjm/rTa23D7MCo6IfODpEHRMB7xo2HcPgmYdzwFkPAs+6CvcEx8Ze+Ltdy9pnAEDdC82GUEQ0QkqNtfoiWcEFXDQteUkIwYiqMLlpLnawkjCoibNPfGMJA71JCMFNqcBRiMOu6YqDyOIM0Fp7YjnBEQE7VYlZTaXIJZ7bVnBEdGPLCmtHfGccNgXEALXJCqbR7Tgg77CJ3tExo74HOsMGKB7UckIgohPcFHJcrIHoxME3AlrC05GDETIRQhO88kejChMitO0gslI4lBxMlJgEx5gNOLQuITJCOJMcVqO9eDEQ8TzVvXm/FrE2HLNJSs4IviR9ablWA9ONOzLB0FrUpvN41nwQcv//fXOrD35r2xqsuW+eO3YXg+E7dqlKExXMd31xWsN3iUbDGyng+pArr74JDhvi89sbfFUP8QwP7TRFk81UaBMBJgXXLm2+ORyW3xY9cRH1cd49rE7+1xWfcxnH/ULi/tkZwMbBRGa2rSIS7UQ2OqHkcrGlnmqjcAevzVFMNW61Ry7Zst8mAa+absn1cTNtc2LYEd+CNWHqG5aFb61bZ7MCEzx+Lb5wA9iY9882Vxgjkf2zQt/0TcvjPdB3qJbDUz0bUwQFMxWz4JxQMcA5uk1+ual7csDYe6bJ1MIJAX4OVKe3V4YtmJwn24wMB2CZ1mAEFSoEFSoEFQAQ9CAzgdMpsi++TjOukJ76NRtuqnAnIrom1+EntuWd/aIbjEmz5IenvkMtiHsFGQE5r75RciZD4C5b55MAEyy2L55+ewsjFoxdkgzttKNoLYnxWNcJ7AsmJDXCkx98yLAcUIBdSsKFi7MqoIOZJcVBLFKCV1t4Oqb53SDgLsBPpPXYeyzYiCWXuFzZHPfPCcKS93JUHXi5HBXdeKkwC58A8YiDJIs1tcBe6wszgpP5t55VjxESG9jXrmYXc6vsRWWa4lZwRHRDzwlgo7pgBcN+/5B0BoKT4DxLPigr3CbU2zqnRch1hkwQPeCkxEEEZ2ggpOnzYnTCQLuhLXlJiMGIuDC5aa5zYkThUVuGtucOEkcCk5GCmzCA4xGFIZ+kHdDk+RkpHEmOc29Tqx4iKDequQM5xLFckkuKzgiApIlp7nXiRUN+wZC0JokZ/N4FnzQV3i7ZmzqrBcR1hkwQPeSkxEEEZ3gkpO6XZMTVMBB15aVjBiIoIqQlcZOH0YSJlWpLXjcYCVxqCoZKbA5DTAaYZ4F3cTUYMTI4kxT2nZssgIi4narqnJ+kaKwXIzJCo4IgGRVaduxyQqHfQchcE26snlECz5ox2fKCx2eVIqxBS8OxSre5nvniQavRo0/+955oh9imB9a6Z0nmihQJgLMCxad81ehbz673DevbTvbJzsQ2ADYhkomWghs4cOoX3M/PNFGYO/eurqWaB2mTw/ivyBPTQeMUE3cYD+8UK3wifqQzptRY3s/PJURmLbb7oenmgvM29h++Pi8H954H+QtutXA5N2G3FcwWz0LxgEdI0ZiEJpT463lgbD0w1MpBJIC/Bwpz24vDFsxuE83GJgOwXMmQAgqVAgqVAgqgCFoQOcDJtM2++GppgJzKqYfPj7vhze+s0d0izF5lvTwLGaj9rBTkBG4++HjreUBsPTDUwmASRbdDx9vL4xaMXZIM/bq1oqEsR9e4DihgO5rRYwgiDVH6ArCGrUiRlABB4XPv3UY+6wYiKXSNmbBjCSOa0WMJA5rRYwU2HVqyGhEQdpNTJNvRparUSviBETE7TYmj4sp5Py2WmG5fZgVHBEAwfMe+KgOeOGw7yAErqlW1DyiBR/0FW57F8a29wTrDBige13JCIKIT3BdydL2zugEAXfC2pqTEQMRchGa09z2zojCJDpNbe+MJA5FJyMFNuFBRiNOkjDs5qYWJUYaZ7LT0vbOiYcI6q2KzmQuUSx34LKCIyIgWXRa2t450bBvIAStSXI2j2fBB32Fj/YQxrZ3+5VNGmfAAN1LTkYQRHSCSk62oz0Y3SDgblhbdDJiIEIuXHRajvZgRGERnSbJycjhUHIyUmATHmAscpEZLpjrsaI405uWkz048RARvVW9Ob9FUVhuxWQFRwQ/st60nOzBiYZ9/SBoTXqzeTwLPmjH7fBaxSEVpP1+pmQVb/Pt8ESDgR11UAW4+XZ4oh9imB9aaYcnmihQJgLMKz+TDn5Uef7ZFWiIr8d1qSFebOl8uE/24WqmYOyIJ1oIbOKDK19bRzzRRmD33rqqlmgdplMP4L/QrFWJBm6wHz7fOQgSX30I5s2omb0fnsoIzNtt98NTzQUmbmw/fHbeD2+8DfIW3Wpg9m5D7SuYrZ4F44COAUy+6/TDZ1vLA2Hph6dSCCQF+DlSnt1eGLZicJ9uMDAZgqdMgBBUqBBUqBBUAEPQgM4HTKVt9sNTTQVmVEw/fHbeD298Z4/oFmOyLOnhWUxH7WGnICNw98NnW8sDYOmHpxIAkyy6Hz7bXhi1YuyQZuzVLSIlxn74HMcJBXRfRGIEQSw5QpcQ2IpIjG4QcDfAp+c6jH1WDMQ6KnyGbCkiMaI4LSIxcjgsIjFSYFexAWMRZMJ4bxsjyVWoIXHiIQJ6G7PKxdxyfo2tsFxLzAqOiH3gCRF0TAe8aNi3D4LWVENqHs+CD/oKt8knpjb5xHbtktYZMEDncpMTBBGdoHKTp02e0wkC7oR1xSYnBiLgwsWmuU2eE4VFbBrb5DlJ3MlNTgpswgOMRhTFvuk2Ik4UZ3rT3CPPioeI6G3qzcSv9Uliue+WFRwR/sh609wjz4qGff0gaA16EzCeBR/0FT7uIzH1yCcB1hkwQPd6kxEEEZ3gepN63AcnqICDrq0pGTEQQRWhKU0tPpwkTJJSW+u4wUriUFIyUmBzGmA0QtEV2ierx0riTFHaDvtgBURE7VY15fxGxMRywyUrOCL8kTWl7bAPVjjsGwiBa1KVzSNa8EHL//31ziw1/5VNNbbcEa9tbZF6MbRgRmG2iumuI17oDN4lGwzsqYPqPVRHPLAlXinG6YfTD8rHnSywNMNTXRDDXNBGMzzVRIEyEWDeVWuGF5eb4YOtHfWfaEvnyn2yK4FtgG0IZqKFwEY+jBA29sRTbQR28K0rcYnWrSbPNXvigzzWTyV6ZAs31xSfRKofPlYfRN2RmoTWpngyIzB1U5ris8TYFE82F5i7kU3xSbhoik+MFzneolsNTOBtSH8Fs9WzYBzQMYBJeI2meGn78kCYm+LJFAJJAX6OlGe3F4atGNynGwzMhuD5EyAEFSoEFSoEFcAQNKDzAXMpsileiKAba1eab9NNBaZURFP8IvTctryzR3SLMWmW9PAsZqb2sFOQEZib4hchZz4A5qZ4MgEwyWKb4uWzszBqxdghzdhKNoI6mhSPcf5vWQghrwGYmuKTCMcJBdStFFi4MKsFOpBdVhDE+iN0FYGrKZ7TDQLuBvg0XYexz4qBWFSFT5HNTfGcKCxFJVOXEiOHw5ISIwV2QRswFlKHhcYuJUYUZzUlc1c8Kx4iorcxrVxMLucX0yaWq4ZZwRHBDzwjgo7pgBcN+/pB0JrqSc3jWfBBX+Gu+NTYFR9jnQEDdK83GUEQ0QmqN5m64hmdIOBOWFttMmIgAi5cbVq64hlRWNSmuSuekcSh3mSkwCY8wGiEeZKn+g7THiuLM8FpaYvnxEOE9FYFZzwXKJZrb1nBEfGPLDgtbfGcaNj3D4LWJDibx7Pgg77CbfGGoCUFp8A6AwboXnAygiCiE1xwktviGUEFHHRtUcmIgQiqCFFp7PJhJGHSlKa2eEYSh5qSkQKb0wCjEQZRV5iaixhRnElKa188JyAibLcqKudXJiaWSzBZwRHxjywqrX3xnHDYVxAC1yQrm0e04IN2fEK8dr1BCsXEgheH6Sre5vvhiQavRo0/5354ogtimAta6YcnmihQJgLMC6QQlw6+X/7pCnTDB0GiaYevuuEDfelgn+xJYANgG0KZaCGwhQ8jgM3t8EQbgb1760pbonWYPj2A/1KhD7o9soEb7IZPVSN8pj7k81bUxN4NT2UEJu62u+Gp5gIzN7YbPjnvhjfe73iLbjUwfbch+BXMVs+CcUDHAKbgdbrhk63lgbB0w1MpBJIC/Bwpz24vDFsxuE83GJgMwbMmQAgqVAgqVAgqgCFoQOcDptI2u+GppgIzKqYbPjnvhje+s0d0izFZlvTwLOaj9rBTkBG4u+GTreUBsHTDUwmASRbdDZ9sL4xaMXZIM/bqFosyYze8/RK8S5xQQPfFIkYQxKojdA1hjWIRI6iAg8Kn4TqMfVaM1ZRvwWhjDsxI4rhYxEjisFjESIFdqQaMRhZ1fe2r3mMluRq1Ik5ARNRuY+q4mEDO755NLHcJs4Ijwh941gMf1QEvHPYNhMBZR3QAGdGCD/oK97xnxp53+wVLGmfAAN2rSkYQRHyCq0qWnndGJwi4E9ZWnIwYiJCLUJzmnndGFCbJaep5ZyRxKDkZKbAJDzIaIk1i/TXsPVYWZ6LT0vPOiYcI6a1KzmwuUCxX27KCI+IfWXJaet450bDvHwStSXA2j2fBB32FD/XIjD3vOdYZMED3gpMRBBGdoIKT7VAPRjcIuBvWlpyMGIiQC5eclkM9GFFYJKdJcDJyOBScjBTYhAcYC/kP6zh6rBzOxKblRA9OPEQ4b1Vszu9FTCz3XLKCIyIfWWxaTvTgRMO+exC0JrHZPJ4FH3R9QrwaUpcnxOc6zOtBarteKQrzVUx3HfFanbRLNhjYUgeVgaiO+PKFFITmpvhO+bX87JPyoRSM71VffaaWMeVnHpfPO/JL9+f/hPp9RwnLTuhbWuapPophPmqjZZ5qokCZCDBv/SPkO9U+Bjky8oeoQZM/avrT6d+q717pi7/f8eYDt9QUH2/pnLRPdhKwARAuko2dAFQLgS18cO1r6Yan2gjs3VtT11KtW82ba3bDJ4nhOKce2cLNtcOnwY78ENZtqKlv7YQn4wETNr4TPokzYyM82VpgwkY2wqf+ohE+NV7ieItuNTBrt6H2FcxWz4JxQMcAJtY1GuGl7csDYW6EJ1MIJAX4OVKe3V4YtmJwn24wMA+Cp0yA4FOo4FMAg8+AjgZMoLge+DwU3VTbKXebbikwjSJa4BdB57blbT2iW4xJraTHZj4RbQg4BRmBuQV+EWzmA2BugScTALMrtgVePjsLo1aMHdKMVdbC6kyKxzjdt6x7kKf8phb4+h0Hc0IBdQsDFi7M4oAOZJcVBLHYCF004GlW4nSCgDsBPuXWYeyzYiDWTxGTYmOzEicKS+XI2KzESeKudsRJgV2/BoxGGPsydptm44wszupH5mYlVjxESG9jRrmYV85vpE0tdwyzgiPiH3gyBB3TAS8a9v2DoDXUjwDjWfBBV4IzDs5SPx3nXhpMUi8O/MDLkrPQS0dnYX6aiDNxNrmzAcGpDVpScIZYZ8AA3QtORhBEdIIKzt/UCvN+p3xaFZ6eVz1JM4VZPqo06NfTH0jp+e7sk5XWzNRmzKq6JP8Q+sYqE6MvBNwXa+tORgxE3EXozq/lQD7sdvTj8iorEI/61HHcYOVwqD0ZKbC5DzAWUaSdCfRYOZzpzsDvCi3fTV4+RGhvVXiGc6FiueuWFRwRAMnC0zioA1427NsHYWtSns0DWvBBuz3DM9Qud0ktGVnw4stHlG6+Y4loMLD2CdWCV7tjieijGOajVjqWiCYKlIkA8wIvXhzzWT6ROvAXpvYj2DLzxXamQKye5WnqWZJPfHWUZzj7WP8pqj7Gs4/d2deS2cf6O9LZx/pP2exj/adg/p9ucOfOG7ph2CcPA7AWjJDhxp4oooXAki5CV1t6oog2Aou562pmonWYwi3Ef0EUpzoLe2QLN9gTFaueqPlF9Wlk74mi4gElQcs9UVRrgZIA2xMVnfdEGa+MvEW3GqgL2phIKJitngXjgI4BTN3r9ERFW8sDYemJolIIJAX4OVKe3V4YtmJwn24wMA+CZ2OA4FOo4FMAg8+AjgZMoC32RFEtBaZRTE9UdN4TZXxbj+gWY1Ir6bFZTHHtAacgI3D3REVbywNg6YmiEgCzK7onKtpeGLVi7JBm7JUtUYW+sScqxnFCAd2XqBhBVqWHbYCAyxK8JSpGXwi4L+Bzex3GPisGYoUWMTduKlExAjktUTFyOCxRMVJgF8kBY5GITDscPVaQK1Gj4uRDxPY2ppaLCeb8ttvUcnsxKzgiAoJnReBBHfCyYV8/CFtTjap5QAs+6Ep6joIgTkSce0lwIrw4zlJvLE5S72ycnvqnQSaSpHaMW+mpXTCW0lNgnQEDdC89GUEQ4QkqPddqxw+EqR2f0QkC7oS1NScjBiLiIjSnuR2fEYVHbRrb8RlJHOpNRgpswgOMRuxnca4N3T1WFGeKM+mG2jLXTV48RERvVXDO78FNLTcbs4Ijwh9ZcJrGdMCLhn39IGhNerN5PAs+aMc9UabFy8SKZ95lC7MWowyBPVFEg4G1T6gCvNo9UUQfxTAftdITRTRRoEwEmBc674kSl1uiwrrhKarbmWJ9rWGf7DZg7RahmY09TEQLgSVYjBQ29zARbQQWX9cVuUTrMIVWgP9kbjMde0+1cIM9TOqa4zSbtxHYbzgm4wFTeMs9TFRrgSkc28N0fsFxarngmGw1MI+3ofsVzFbPgnFAxwCm2nV6mM4vOE4bLjgmUwgkBfg5Up7dXhi2YnCfbjAwD4InT4DgU6jgUwCDz4COBkygLfYwUS0FplFMD9P51cbmt/WIbjEmtZIem8WU1B5wCjICdw/T+dXG9mBzTCcAZld0D5O62lgfaIY0Y69uISkw9jDZb+TT7PyCAbovJDGCIJYdocsITIUkRicIuBPgk3Adxj4rxqoQsGAgJsXmQhIjiuNCEiOJw0ISIwV2JRswGlEmhH5BtMeKchUKSZx4iIjexoRyMa2cX5KbWq49ZgVHhD/wXAg6pgNeNOzrB0GzjucAMp4FH/QV7pkPjI1L9gv5NM6AAbrXm4wgiOgE1Zu8PfOMvhBwX6wtOxkxEHEXITubeuYZgXjEp47jBiuHQ+nJSIHNfYCxCMNIx9Fj5XCmO20t85x8iNDeqvCcX5abWi4/ZgVHBECy8LS1zHOyYd8+CFuT8mwe0IIPur6QTnE7vJAuNGnK3IIZRf4qprtWplxn8C7ZYGAJFKoJN9nKJL+rEwZVQ8ysrym29jURHRbDHNZKXxPRRIEyEWBe4EXEvqbZSC4Wpvcmb03efu2dzt6hDCS6I56Sy/1Moqvzzj7ZO8CyLUIyG9uXiBYCq68IDWxpXyLaCKy7rqtvidatZs8125eSzHgOPtHAzXUvZf68dyC3Ny5RyYAJG9+4lPrC3LhEtRaYsLGNS/l545Lxdt9bdKuBWbsNua9gtnoWjAM6BjCXrtO4lG8tD4SlcYlKIZAU4OdIeXZ7YdiKwX26wcAMCJ4zAeJOAYw7AzoVMGviepYC30+76jm9bOptuqnA5IlpWsrPm5aMb+oR3WJMQiU9MotJqD3YFGQE7qalfGt5ACxNS1QCYGZFNy3l2wujVowd0oxV1sLuEVE8xqm+Zc2DPN03NS1l1kv3LnNCAXWLAhYuzMKADmSXFQSx0ghdMFiracl4GR2nEwTcCfAZ9tLEWMe0z8qEWElFzIuNHUycKDxFJFMHEyeJuzISJ8WqcrBQQKfjUZAHXX2XbY+VxVkpyXwzHSseIr63MbWcTzAzvy48ZJZbz1nBEfEPPCuCjumAFw37/kHQGgpJgPEs+KBVIeni0o5SlS4rStoStxSY1pv4onCV11VFyaCId8kGA9emoAJRV1FSerB8VlUeXkw/nL7fqbpWnqka0VKBqSobPZv+bXdWDwps9SAqbgzDbaMeRDVRoEwEmHfp7o/zag3wYg1N7ccyOvtkdOBSF0LUmoo9VAuBy1YYrWos9lBtBK5XratCidZh1qYA/suiJDVtVqeauMFyT7gjP0TqQ1wvwGaBtfBDZgTmVXzhR4jUWPghWwvMq8jCTxYsCj+Z8VreW3Srgcm1DXWuYLZ6FowDOgYwaa5R+JG2Lw+EufBDphBICvBzpDy7vTBsxeA+3WBgNgRPcQARqFARqFARqABGoAGdD5hLcSWgNDdvWydbCsyoiArQIvLctryyR3SLMVmW9OwsZo/2qFOQEZgrQIuIMx8AcwWITABMsdgKkHx2FkatGDukGVvNjECNn4rHODW3LFaQp+fGClCI44QC6ibxFi7MRF4HsssKglghhE7wWbcRcfpCwH0Bn1rrMPZZMRBrn4hpcsM2Ik4gngqQjuMGK4fD+g8jBXb9GTAWcSq0izA9VhBnxR/LPiJWPkRsb2N+uZhlzm8TzyzXw7OCIyIgeGoEHtQBLxv29YOwNZV/mge04IOupOd4fDIZnUW5J+L4xIvT7MwbJb6Qf2ucnQbj0Wkk6rfZrfTUhi0pPSOsM2CA7qUnIwgiPEGl5y+n707vVeJT7S5S5+yqP1Z1Jak2p3dVlWn6Y1VjKr/qSKH6s/Lz8vflP5S/lb8++U69iekP5Sflx+Wn8uPv1ff83/IPn3duDUTQKX+m89Ieq5cE3Etri1JGDERIRohSc0MSIwqLHPW7oRA6lhusLA4lKSMFNicCxiMMoqibZNozanqsMM5kaS6fOZMs5eRDxP1WZWk0VzGWa8dZwRExkCxLjYM64GXDvoIQtiZZ2jygBR90JUuDkzDM8smZl6RVB1MYe1l0mnunsUjSNPBP/aQedLeyNNI5Q8rSGOsMGKB7WcoIgghPUFn6yXl3k2p7qrubzvWmVKjTH8hfP1zeNj9TqV+r/qjPpED92KvU6s/kj/uV/Pi78vc65+yxOkfAnbO2GmXEQETiVtQoIwqLGjVcsHODlcShFmWkwCZCyGhEUZYa79vghHGnRQ0Ht9zkxUPE+lal6Pwu28xyOTErOCIA0qWoYUwHvGjYFxCC1qREm8ez4IN2fFecNgxJbSkseLFlEyzMWoxmBLbDEw1ejRl/Lu3wRNwYhttKOzzRRIEyEWCelNsvpUeVDH+21AwfbZn73A2nGlGhgK19CHlqbHQnWghszsOoTnOjO9FGYFveunqSaB2mBQ/gv0gYNSLRwA22uSeqw11dzJbN70bKhL3NncoIzJctt7lTrQXmS2ybuzhvczfed3uLbjUwabYhshXMVs+CcUDHACbDddrcxdbyQFja3KkUAkkBfo6UZ7cXhq0Y3KcbDMyF4JkKIAIVKgIVKgIVwAg0oPMBM2mLbe5US4H5FNPmLs7b3I2v7BHdYkyOJT07i0mgPeoUZATuNnextTwAljZ3KgEwxaLb3MX2wqgVY4c0Y69uUcdw67OceCc4Tiig+6IOIwhioQ86cXdc1GF0joA7Bz6H1mHss2Ig1jQRs2ZzUYcRxXFRh5HEYVGHkQK7pgwYDZEkxtk6I8lVqOhw4iECfRuTzcWUM5lXACz3gbOCI6IfeJ4EHdMBLxr27YOgWcdzABnPgg/6Cre8x8aWd+sNdjpnwADdy1BGEER0gsrQTbW8M3pJwL20th5lxEBE5Fb0KCMKix61tbwzsjhUpIwU2JwIGI+86+vvZO2xkrhTpJZ+d04+RNBvVZLO753NLPcIs4IjAiBdklr63TnZsO8fhK1JkzYPaMEHfYVPAImN/e7Wu+10zoAButekjCCI8ATVpLwngDD6QsB9sbbyZMRABF6E8mw6AYQRiEV/mk4AYeRwqD0ZKbC5DzAWoXYweqwYzoSn7fwPTj5EZG9VeM6vnc0s9wizgiPiH1l42s7/4GTDvnwQtibh2TygBR90fY+wCp0uT30XOkwpKXMLZhRFq5ju2ty1D+Mu2WBgxx5UErbT5j69Wz6Q3/lB+dh+FzAVOoZBt9LsTjRRoEwEmGdsdg91ze6J9VB3ItNqvGbsdSdaCOzQQ4hPS6870UZgb966wpJoHaYPD+C/KPZD/bS/RzZxc93uub8jPwTqQzjvNbXf5ktmBKZNfLd7lvnmbneqtcC0ie12P7/NN7Pc5ku2Gpg72xDdCmarZ8E4oGMAs+E63e7nt/lmDbf5kikEkgL8HCnPbi8MWzG4TzcYmA3BMxdABCpUBCpUBCqAEWhA5wPmUly3exAK872+ZFOBKRXT7n5+r6/5nT2iW4xJs6SHZzEptIedgozA3e5+fq+vPeQc0wmAORbd7q7u9dWHmyHNWGUtrP6jeIxTb8saBHn6bWp3z30cJxRQN0m3cGEm6jqQXVYQxMofdAK/oT4jTi8JuJfg02kdxj4rBmK1EzGDNvYZcaKw1HksfUacLO5qPZwUq3rCQgGdumdJ2hWmkzU5WZwVfCydRqx8iLDfxtxzPgPN59fD5pbrflnBESEQPG0CD+qAlw37BkLYGgo+gAEt+KArVTrJff/k7GzkjcbjkRfHp7E3zqOJl0wmJ8GpiESe1E+7W1Vq6H7P7XcqaZwBA3SvShlBEOEJqkrdbsLkdI6AOwcuRhPr0UScOIiI3IooZURhEaXGzZicJA4lKSMFNiECRiMKkyT09SX0HiuMO01q3I/JioeI+a1K0mCuYCy33bKCIwIgXZIa92OyomFfQAhakyJtHs+CD/oK974LU+97HmKdAQN0r0gZQRDRCapIWXvfOX0h4L6AC1Adxj4rBiLuIoRnQ+87JxCP/NRx3GDlcCg+GSmwuQ8yFlli6H7nBHEmPC3d76x8iNjeqvKcX5aYW26/ZAVHRECy8rR0v7OyYV8/CFuT9Gwe0IIPWnW//80FzWXUlm9PTt557c03NI4gSUvTOmdk5YxXOU3t72ZrMYLxvANea+4u2dzVx8ziXKAs/GX5pHxU6cEn5ZdVT/VH1aLkRzuqvf2xFBjPypee/NKD6b3yqfbb7i2+8XFVeH+sY5YaMbrWI4Nfippm8vWCZt33GquWV3XUc57tHIS+rz6E6kOsPiTqg/pCoL4QqC8EsSmkUoljPDG860hhHirMQ4V5qDAPFeahwjxUmIcK81BhHirMQ4V5aMI8pGMKPCa8NUlS9hVlX1H2FWVfUfYVZV9R9hVlX1H2FWVfUfZNlH06JfzFpaeHumEyVr2S6oxgSVso2kLRFoq2ULSFoi0UbaFoCxNtQaa91CnXQIt7bI8V4rFCPFaIxwrxWCEeK8RjhXisEI8V4rFCPDYhHtMR4WkO2U0nCYeKcKgIh4pwqAiHinCoCIeKcKgIh4pwqAiHJsIhjbB6ZmeEKkM6299muBRF5vfYSpEYxwlmLDG5WxI80d7VNMexu+1l+UX5vLyv8ni1AFTVJx/qdUD5pDO92ym/rr7ytErxT+pi5RO1ZNSZfqB+qNoYd19+z/PlcubsRz+rV56qP8if3qlMeVz9uJfV335W/XC1kWtWH33QCdWWOvnp6Uc6/+6R/buaVBk30lFNFCgTAeatbKT7rHL4EzlWi6U+8/C/rIax+hb5yFQD96Rqsvx3k3fefOO1dzrHk5NOFoadb56P2Lc6XkdU9d1/c3HbXry1o/4jtu7ceUPnsX2yx4AbExDLaqZtelQLgVsLEOtk5m16VBuBewrWXQMjWofZPwDwX+JHXVOnH9HCDe7SE/XOmDy27s0jkwFTPn5vXhTGxr15ZGuBOR+5Ny+PF3vzcuNterfoVgMz/3qz28ViYLzVs2Ac0DFiJAZc+883ykjblwfCvDePTCGQFODnSHl2e2HY5fkl1WBgCgSvqwLiTgGMOwM6FTBt4nbkxUnYzbRNTrfplgKTJ2JD3iLe3La8qEd0izEJlfTELNap7bGmICMwb8hbxJn5AJg35JEJgIkVuYSgnp2FUZcXBCjGKmvH4SQUfnbmjSenEy9Og9wbBXHsRX4WpuHk7GQSns54jGsFr4/abTRRM3DTioHAYUL5dKsKFizMyoIOZJcVBFGLhC45YKaX8kt7k7cmb8t5ZDXx37sltKO5x+oEAXcCfNK9Mj/WUe2zUiGqrYiJsbnRmRGFp9NEf8vJDVYSh70mjBTYYjdgNLJYdANTmzMjirNuExFm3Vy74nCTFxAR4tuYWy5mmGLenWC575QVHBEAwdMi+KgOeOGwryAErqnfpHlECz5o1etsU5btVqFMXSaJhS6OglW6jVehiPYC16KgkvBfbhWK6N8Y5t9WqlBEEwXKRIB5gRd3pj9RDejln8on3U756coD0DBRUA/Al/LbH1TFrJdy0KuhqkfxxfTe7M+RX28tXDoxshtWtadop1P9pxtUf4xnH+d/km+Szof7ZB8CF+UQ8ttYlyJaCFxgw6hqc12KaCNwaW1dvUy0DrOMBvGfL6JurjOxRzZxg4WpdL5AnNgLU1QyoApouTBFtRYoA7CFqeS8MGW8FPAW3WqgGGhj8qBgtnoWjAM6BjDnrlOYSraWB8JSmKJSCCQF+DlSnt1eGLZicJ9uMDAHgmdggLhTAOPOgE4FzJstFqaolgKzJ6YwlZwXpowv6hHdYkxGJT0xiwmtPdYUZATuwlSytTwAlsIUlQCYWNGFqWR7YdSKsUOasZUGm8RnaZaE3tlJHntBMMm9zJ+ceL4vfJFkWZCLOvUalw8s6yfUJQRjYcp+E9olTCif+8IUIwhi1RK6CvHbpf5F08aX847HHTldlZP/+i8tpqjBTtCpyiAywcj5WOebs9bK8+7HnXqhYraqUS19/FhNU394cZOM/EH+TtaRRn1W3pd/44H8G4/L52oKrC6SuKuunZitb1T/pPDCjvx599VxlrrB2GMdDAEfDPh6gA5jnxVjVYpYMBBTcnNFjBGFqSJm2n3NSOKwIsZIgV2Oh4xGIPJuaFoKYGRxVhILk7QbaQFv8gIikksbs9rF3HZ+T2puufiWFRwRAcETMvioDnjhsO8gBM46ogPIiBZ80G5LYpGOTqpZ+/Vq4SrdxktiRHuBq2BQMfovtyRG9G8M828rJTGiiQJlIsC8SyUx42b8RZlrfhXdeX9dNXgX92apT3z7jdH3zzrlH+VP+ImcSKgpxyP5c96fvnehLvbP5SeeKn2p/4b1f6P6v3H9X7XgeNmH+2QfApcDEfrbWBIjWghc2sPIanNJjGgjcFFvXcFMtA6zgAfxX+ALY0mMaOIGS2L5fGk6s5fEqGRAFdBySYxqLVAGYEti2XlJzHg17C261UAx0MbkQcFs9SwYB3QMYM5dpySWbS0PhKUkRqUQSArwc6Q8u70wbMXgPt1gYA4Ez8AAcacAxp0BnQqYN1ssiVEtBWZPTEksOy+JGV/UI7rFmIxKemIWE1p7rCnICNwlsWxreQAsJTEqATCxokti2fbCqBVjhzRjq+lUFIxDcXriJWISe7E4TbzxWXrmpZNRFJ8GozgRZzMe4/KBZf2EuoRgLInlOEwon/uSGCMIYtUSugqxVBKbX07xezmxfL+aWL6o55PPpj+efe3//4O/C00btBjJBZwcPvm2zJF1hPushIiFWcTU2FyaYkRhKU1p5/g3WDkcFqYYKbCL4pCxCIPAeCMFI4q7ulSWdzOhA7zJC4iI8G1MLRcTzHxexbBc1s0Kjgh/4FkRfFQHvHDYVxAC11SXah7Rgg+6Ohp4Z6G8lK50eIBgrKO9Hvr2W+GyVVpHdSpDl9gu2V7g0hRUIRrqVLOC02Nwlaras/OwfLm4pXdRciq/kJrrvem98nn1ox6qn6+KWvfLr+oSx3ntKahrT+VXOp/tkX0Ww3zWQu2JbKJAmQgw71Lt6e9XT3hWFcPpvelPp38rP/PVwvUd78IU4bxDrlP+rHwqv72eTnTKz+VP+1oNoPxKJHz512JPXN6aFdS7r4J6i1ZY/3mxZWuxO2v237T+bzb/e/P/LP6sr/zuk10PXK5D6HJDyYpsIXDpDS63zSUrso3ARbf1pDTZOswCG8B/aRakBolMNnFjJavQD2ZLx+oYYkvJik4GFAT4kpXIfFPJim4tUBHgSlbSnHnJqnazzupbdKuBuqCNeYWC2epZMA7oGMBUTS9ZKduXB8JYsqJTCCQF+DlSnt1eGLZicJ9uMDAHgidngLhTAOPOgE4FzJu4klUWZl2hPRLkNt1SYPaEl6zO481ty4t6RLcYk1FJT0w9122KNQUZgbdkdR5n5gNgLFnRCYCJFVmyUs/OwqgVY4c0Y6tZWJKepiOReIEfqFvYk9TLJidn3kmkbiIaT05PY/clq9hQspLBCYcJ5dOtOViwMOsOOpBdVhDEgiZ0QeL38zuJVlskL5Wv4HNTnWP2WB0j4I6BT+l1GPusGIh12zamx4wkLFUr04YqVhJndStWCuyiOWA0MpHnhssBe6wsDgtXaTfTvjw3eQERcb6NCeZimllfvl3/Rgd+wAuOCIDguRF8VAe8cNh3EAJnL1xBRrTgg54XruI7C3XpsHAldLRSaIY22thfpXVUuDII412yvcAFKqhO1BWuABdalk/mO2zU1qmZonwuP/1C7Zyqbk8HF6OIfohhfmilGEU0UaBMBJh38Yaqnc6l0tRvqwGoaoH1zjQ1FC+mH6qy1Pnto0+q36lmNX0P24WpwQ+qLWxS/n9WndTwg53O/+/uX3QCIS4c7fD/fdjxOpHuNMH5WYIXjhCcfS6dlaZ03t4nexu49taGwCZaCFxHwwhnc/2JaCNwBW1dSUy0DrNaBvBfHMdZN9GZ2CObuMH6UzRfBw7t9ScqGTCv4+tPcZSb609Ua4GJHVt/Cs/rT8b7xG/RrQam9zamBwpmq2fBOKBjALPzOvWncGt5ICz1JyqFQFKAnyPl2e2FYSsG9+kGA3MgeI4FiDsFMO4M6FTAvImrPyVh2lWP6WVLb9MtBWZPTP0pPK8/GV/UI7rFmIxKemIWU1Z7rCnICNz1p3BreQAs9ScqATCxoutP4fbCqBVjhzRjK4WY5NkoDMZenp5lXnzqn3mjE3UIi3+axmF4FoWnYsZjXBCwrJBQFwWM9acIhwnl0y0dWLAwywc6kF1WEMS6JHRd4bN6onn/wmqC6QTB+dLBpZmr+uJ5verX5T+Wn5Sfln8sfyM//q5Tfi4/+TP5qV/Jj78rfz/7xiD0/en7ifoQhKaSFaMvBdyXiIm/frOZbqb+ebUgoPZo3Z++O32vnrEHvmHGrnPQPquDEGvBmLl6pCN5lZWEqRjma1FusKI4rIYxUmBX4iHDEaXdONHm0B4ri7NqWBpGWTfSRsqbvISItNPGfHcx643mxZPIMvPlBEeEQPBU7VIZ1w+ybq4d1gEvHfYthNA11cOah7Tgg3Z7wKB2vVIK3dhCF0fRKt3G619Ee4ELZFCduvn6F9EPMcwPrdS/iCYKlIkA84JFvWuz1S6hqXblVU0r1z/u+2QfAlf0MEpZK2ZeJVsIXJ1DKWBjVYtoI3Bdbl1pS7QOswYH8F8sjDUtooEbrGmJ+dpybK9pUcmAubrlmhbVWmCyxta04vOaVmypaVGtBqbsNjS+gtnqWTAO6BgxEoOw1hxvLQ+EpaZFpRBICvBzpDy7vTBsxeA+3WBgBgRPlABxpwDGnQGdCpg1W6xpUS0F5k5MTSs+r2kZX9QjusWYfEp6YhbTTnusKcgI3DWteGt5ACw1LSoBMLGia1rx9sKoFWOHNGOvbE0rMda0BA4Tyue+psUIglhchK4VXO2aFqMvBdyX8Mk8Q01LWGtajA5CLOhiZuqmmhYjieuaFiOKw5oWIwV2NR0wHGE3ik37uxhJrkhFi5MQkXTamO0u5rxiXv4QlnkvJzgiAIInapeiiB+nfjfVLl8OePGwLyEEr6mk1TymBR/0fIuXuLMQuw63eGmPBZG6N7HQRnG4SuuoxGXoPdsl2wtcL4PK1j8s1Gp1pWr5+GLpSiqomUR9LnXsk+rcwec6mj0yTQyjaaVQRTRRoEwEmHdxo1a3U358yccPqjJV+bD69IPZwYE/mL7b7QS+F85UrKonhfLdL38bCn+nk/heUH+l883p3eoe3EflCznv+KhT/chn1QGE6g6yfPZt31qqT8VbOp/tk30GXJZrQ+4SLQQusaFkrLEwRbQRuLi2rj4lWodZSAP4T8jIHmgHuUc2cYOlqXS+RJzYS1NUMmCOxZemwkCk5toU1VxglsXWppLz2lRiqU1RrQbm2jbUuoLZ6lkwDugYwCS7Tm0q2VoeCEttikohkBTg50h5dnth2IrBfbrBwCQInvIAAk8BDDwDOhUwceJqU5GfBd1YG/1v000F5k9McSo5L04Z39QjusWYnEp6ZBYTSHuwKcgI3MWpZGt5ACzFKSoBMLWii1PJ9sKoFWOHNGNnOSpQNwYEXpjGuReH/sgbj6Izb5yPgnEQZGdZWude4/Tcsl5BnaIbi1O2a7w1mFA+3UTegoWZzOtAdllBEOuE0Fn+yhyzLjGpSeVsTqmD3GOFFHBI+Mxah7HPirGa4y0YbUx2GUm4ajvaFdkbrCgOazuMFNhlZcBwiKibJtr10x4rirPiTijysKs/i/QmLyEiaLcxXVxMGtN5ISC1TBw5wREREDzTQQzrgJcO+xJC6KxDOoAMacEH7Xa7krbQLGWi/cbWeJVu47Ucor3A9SWoymurlkOkiWE0rdRyiCYKlIkA86KLm47aqOSsVGuySHPbk/l2JqJbgCtVbShYooXAVSeUMjWWa4g2Apeb1pWcROswS0sg/wm9tO+RLdxgtSafL5pm9moNlQyYRduu1lDNBeZRbLUmO6/WZJZqDdVqYDZtQ34rmK2eBeOAjgFMo+tUa7Kt5YGwVGuoFAJJAX6OlGe3F4atGNynGwzMgeA5DCDwFMDAM6BTAfNmm9UaqqnA9Imp1mTn1Rrjm3pEtxiTUkmPzGJKaA82BRmBu1qTbS0PgKVaQyUAplZ0tSbbXhi1YuyQZuyVrdZkxmpNjsOE8rmv1jCCIBb+oPN4YrWGEVLAIeFzZx3GPisGYq2yjbkuI4nrag0jisNqDSMFdqEYNBwiMk2xGUmuSLGGkxARs9uYLS7mjPl8ZT+3zBs5wREBEDzRQQzrgJcO+w5C6JqKNc1DWvBBuy3W5Dq662HgW+nEKt2mizVUe4HLS1CR11KxhkoTw2jaKNZQTRQoEwHmhczFmsBQrTGc+kb1C3ClqgUFS7UQuOqEUqamag3VRuBy05qSk2odZmkJ5L881D6FPbKFm6vWBPMr7QPblfY36WTANNpytYZsLjCRIqs1gb+o1gTGi+Fv0a0GptM29LeC2epZMA7oGMA8uka1JvC3lgfCXK0hUwgkBfg5Up7dXhi2YnCfbjAwB4InMYDAUwADz4BOBcybLVZryKYC0yeiWrMIOLctb+oR3WJMSiU9MvM5YUOwKcgIzNWaRaCZD4C5WkMmAKZWbLVGPjsLo1aMHdKMvbLVGsMh0nIeHuAwoXzOqzWcIIiVP+hEnlat4YQUcEj45FmHsc+KgVisbGOuy0jiuFrDieKuWsNJgV0pBg1HLrQrpD1WkqtRrWElRMTsNmaLizljUC/tz36jAz/gBUcEQPBEBzGsA1467DsIoWuo1gCGtOCDdlut0athKRNDK16yirfxcg3RXuD6ElTltVWuIdLEMJpWyjVEEwXKRIB5AXO5Joy05RqdV/bJXgEuVLUhYIkWAhedUMLUWKwh2ghcbVpXcRKtw6wsAfwXduNQO8Y9soUbLNbM738PbPe/36STAbNo28UaqrnANIot1oTnxRrjLeq36FYDk2kb8lvBbPUsGAd0DGAWXadYE24tD4SlWEOlEEgK8HOkPLu9MGzF4D7dYGAOBM9hAIGnAAaeAZ0KmDfbLNZQTQWmT0yxJjwv1hjf1CO6xZiUSnpkFlNCe7ApyAjcxZpwa3kALMUaKgEwtaKLNeH2wqgVY4c0Y69ssSbwjdWaCMcJBXRfrWEEQaz8QefxxGoNI6SAQ8LnzjqMfVYMxGJlG5NdRhLX1RpGFIfVGkYK7EoxYDjkHDs1NUQyklyRag0nISJmtzFdXEwao/nSfmSZOHKCIwIgeKaDGNYBLx32HYTQNVVrmoe04IOeX3JTD6vSig4vudEvQ0vZGFtwo9i8TR5mLUYOXqzeGG6j3CXbC1xwgqq+z6TmU8WaJ+WD8qm6ovGH5WMpAR+XL9Sti9MPy+eqElCVc6Y/qm4bfK7j2SPzxDCeVuo3RBMFykSAeUv3y+ysnmC2+olgB1SGIcIBl6DaUKZEC4HLSSjFaSzDEG0EriOtKyWJ1mHWjAD+E1lXJDoLe2QLN1iGmV9ZHtiuLL9JJwOmQ3wZJg+EuQpDtRaYDrFVmPi8CmO89/sW3WpgUmxDViuYrZ4F44COESMxCIuj8dbyQFiqMFQKgaQAP0fKs9sLw1YM7tMNBqZA8NwEEHcKYNwZ0KmAaRNXhQkiP+3qB+A23VRg9sRUYeLzKozxTT2iW4zJqKRHZjHVswebgozAXYWJt5YHwFKFoRIAMyu6ChNvL4xaMXZIM7aa54z8PE/8wMtHp8KLT0LfyybJ2JucRaciHAVBMj6d8Rgn0paVBfJk2liFEThOKKBuym3hwky7dSC7rCCIFT3wfFzOs9+VU+9n5f3yRfno4nT8OypflL8Ves23x0oq4KTwabAOY58VA7ESiZjwPi0f6lBeZUVhqcWEodCR3GAlcViKYaTALgMDRiOIgtQ0z2YkcVaKSbuJdqnoJi8eImq3MWFcTBvnN9MHxpvpD3jBEdEPPNeBjumAFw379kHQmoowzeNZ8EFXRZgLGsQoGt+enLzz2ptvaBxB0ozawZVyMbFymre9g63FKMHzAozW3F2yuauPmcW5QL33h+nd6XtVDeYr9bvyQflytn/mqZSBH8pPPJl+dGFDjQ5HKr/kWo/MdCkemqHWC4f1emu6cxCGofqgfhcF6oNQHzL5IfbVB/VHoX4n1O8S9btE/S5Vv0vV7zL9cskB3Qsx3gvwWbFCP1Tohwr9UKEfKvRDhX6o0A8V+qFCP1Tohwr9UKEfKvRDhX6o0A9N6Id0dIFHh0+nJXlfkfcVeV+R9xV5X5H3FXlfkfcVeV+R9xV5X5H3FXlfkfcVed9E3qeTw99netaol/vSnUJ5oFAeKJQHCuWBQnmgUB4olAcK5YFCeaBQHiiUBwrlgUJ5oDB5oCB74NIqUIMHcI/8scI+VtjHCvtYYR8r7GOFfaywjxX2scI+VtjHCvtYYR8r7GOFfWzCPqZjw7MkcvVIUg8V9VBRDxX1UFEPFfVQUQ8V9VBRDxX1UFEPFfVQUQ8V9VBRD03UQxr1hWzrtGMjMq4w2S/qS41jBzOWqBfUopjO3l2yvcDaFIdguN8pn5Rfdqr2jhfVZx5P75XPy/s6wj0y4WrqbKWFo/xF+bR8Nv3p9EflfUX0pfzP36rG5Om9Tvkr+dXPdBCvkCEECgICMO/Z+I0X60zdJ5sKrFchVrCehzoLXyVbCKw9wRembC0bRBuBRad1l5yI1mEKTAD/iSzsZqnOxB7ZxA32bKipQpCrOYSaEYSL0wdTewsHFRSYH/EtHEIk5hYOqrXABIlt4UjPWziM1+/eolsNTJPrTUEXa3HpVs+CcUDHAOZCwhxyUVlNt5YHwtLCQaUQSArwc6Q8u70w7PJEjmowMCWClzUBYahQYahQYahQYagAhqEBHRKYVXEdHWked8NcZ+ltuqXA3Ipp6EjPGzqM7+0R3WJMviU9QItlY3voKcgI3A0d6dbyAFgaOqgEwDyLnJKrZ2dh1OXJNMXY6pEZRZNIzt49MR4lXpxPUm88Psm8MM0nwTgIs3xUj4hxnv36qN2Gjuq/Okw527ZdzKfBhPLpZuQWLMysXAeyywqCqAxCp+sfV+difdUpH8nJ7EfwqTgjpYBTIma7c9BX33xr/GZn//tvvXny5nc7Is+r3789Opt0iu9/b/JWx+uI+RFUT8uX059Mf9BV+46nd6fvS788Ku93/qLj78RCffnhTkfOXHayVP7+Qbd8vlV94S86QZiEO2FedV7ckU/KnTd0btxndSOimoqYiZt7SRhRWHpJfH3x7QYricNeEkYKbDUbMBpBGnezxLSxl5HFWTdJGEbdRNsuc5MXEJE12pi9Luaw2bz/wHLXOis4IgKCJ16ro5r4uXlbLycc9h2EwDV1lDSPaMEHXYnaJD5N05NJ5I2DLPPiRISe/Ntj+bdGp8E4GZ1m4uSOe1GrXZ6WojbH+gLG517UMoIgwhNU1P5y+q4Ury9mh41W24bnp8Xcq46AfaCOkpneLe9LzftjdaKoUr4PKnUnta8n//NEfvXr+rueyC+8mH2Xzjt7rN4RcO/AxbAOY58VAxGKWxGjjChMYrTuxLusRhlRHKpRRgpsJgQMR5Z248gkRhlRnInRRKqWWMd3k5cPEexb1aLzy34Dy/3NrOCIAEjXoqZBHfCyYV9ACFuTFG0e0IIPupKi2SgSiR9n3jg7k9+bTiZedhrG3kmajHyh/g1/fMe9FNUualwP6/PxEL6A8TmXopwgiOgElaKfS115X7VDTX9UHVfzVWf6gfzNvem75iXXzjfnX3pZfjH9H+Xj8ulMynbkj/u4/Pm3ajV7PHrrP03eeWf2B8C/VGna2fY9pYHVv/lQdWddNkAtWk5/WOnk96ovfaU+s/g5H1QH7Tybfjj7p/M4E5Fq5ZI/qPqDNgjtsQ6dgA/dujqZEwORJhA6WXXbPex29EcjvcoKxKKWtcrsBiuHO6nMSYHN1ICxCHPt4kePlcOZThZBNxM6vpu8fIhM1KZODv1aVoWWG5dZwREBkKyTjYM64GXDvn0QtgadDBjQgg+61snyM2kmvEiIVGlq4eXqw8lJdCLC2D9JRrVjnOpkrUaROjnA+wLC514nM4IgohNUJ/9mWYNCJXBcleo79eru3WrFVknf6s/919947e3vvfnWO293ru8d9/qHnaPY79w42v/3Gv3sLWT0kkaeXVW1opAvC2HdGOyxjoGAj8HagpcRAxHvEYLXtF+Ak4RH6er7pW6wkjjUuowU2GwLGI0kluMhDNsUOFmc6d0gSmR61D5zN3kJETmlVcU7v1g0tNwVywqOiIBkxWsZ1gEvHfYthNA1ad7mIS34oF3eFRuZGg/C0EIXR5foNr13lWrvatC4untXqYQxjNDN3lUqhEBBQADO964Knan7ZFOBG3Xa0KJEC4G7bDAa07h3lWojcH/NuuqRaN1qTlpz72qQiG4Y60zskU3c3N7VMFI7VmP1QR1kEyb1prHQfgssGRSYH9vdu0q2FpggkXtXw/NLYEPLJbBkq4Fpsg1drWC2ehaMAzoGMBeusXc1PL8ENmy4BJZMIZAU4OdIeXZ7YdiKwX26wcCUCJ6cAMJQocJQocJQocJQ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</si>
  <si>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</si>
  <si>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fm107T4UxVU4Lq42TRgHohiE0kqQlrpl9eF0ZH4twldFgWQEponjkSiHR3kpSEGd3pCxcPV7BFG8qcswnQbGieixLB+hgA8qL5vDamPH6cOi4IQayJaX1kGdy7JRb0CErU9f9g9oKQe9w0+Jxra3hcYpNRkYoH99KQhCKE+ovvTwlKhgQhSeEFyBOj1Ar732TRPmgSgmoToTFKp981MQRUSbOp4iFUTxKE8FKaizIzAcYRpNk9Q4IjNRFm/61PUYqSQfYQIYVJ+mjZxxnL0rCk6ogGx96nqMVJKNegcibH36tH9ASzlobfnfX8oyn07/xIRZKc/MiZl2Mf05/Y2LpQfsgLvF44/L6f/57fdGUbgy9A/i+GcOQ4INwyCOf2aIihQiEB7B8f8v9Yb2+x2vfbjfeZ2p0Vt7wCbuzi+CpntmhKBREBfNLtM9M0bQIbipGmZGR3EDAvmL8kRZW/zMELdous+1376oPpKgsbxmbtM9lxGc5umm+zBIM7vrnhsuOM9TXffZ2nVvPbzyCT9qcLIfYpWgYcYzB8YhHwOcLDdx3WfjuwPhcN1zKRSRAr6OdGb32sA6AR/zAwanQ3ipBZSgUpegUpegEixBcz4fOJkSXfcqSqarMxg6oT7lhwrOqRTXfbZ23Vvv2RN+xJR5lnXxtKtYd9kp2QjSrvtsfHcAHK57LgE4yZJd99leG1Qn2DNesLX6hnxTmse6V+DYNGHvF1hd965j/gycKKBpV8HBRdlZMIE8EAUhbFVutOOAuu4FURWOii+ZF/+w+Ltqsav9Xy/qzYh6m2Tx4vbN6k+/mEajySiO9u2nRB+IIhP2YwlrZntHShClqwUcKJTFtXFl+EiUxGNDSpCCuh0OjEYRJVk0jZQJZiYK460j5fDjS+IRqvwQS812wdmcxhs7jlcWBScUQHiVhI7pXBaNegMiaH39qP7xLOWgd9iPn1j9+AU1GRigfw0qCEKoTqgG3diPL4ircFxch5owDkQxCKWVoC37/PiCQDIK08TxSJTDo74UpKBOb8BYOFtBgije1KXLjy/JRyjgg8rL5rTd2HF8sig4oQay5aXLjy/JRr0BEbY+fdk/oKUcdK0v8zSPLrOrbHIRZ8EkSa9vJsVlcjGJizgoborz8/h6VV/96ktj2XqlEs7UZGCA3vWlJAihPKH68r4ff/Gzxd8v3lv8ZvH2ZPGW/k/1m59Wv3qvlpom6Iei0AqH3lRlSmIQKixBZVp3MCVRRPRlYNkveySK4k9iSlJQZzhgOLKwqtu2HUxJFn8aMwinqXHV/FgWkFDFhxSZSbDSJInjEGBRcEIJ5ItM66jOZeGo9yAC16MygREt5aC1zHSpx4Hd9MZSVOlG99lTYRdv6256bsCgwQ7VfX/sbnruMCTYMAzhpueGqEghAuER3PT6ffmfL9+U/2JU/fmL6qtfVJ8/vH2j47BPGmd981r7MG5+oZpfpKtfREHzi8aXHxmXkQfsnHWnJjk/PjdC0EKIC26HH58bY1dNy/jxudF1Z+gN/fhxHGbmIj9jh7g9P34SaSt+rD+SlRk2CZ1+fDYjKBQG9uOzwwWVAtGPn4StHz+xHq35hB81KBeGWGBomPHMgXHIxwCn2w38+FXsdwfC7sdnUygiBXwd6czutYF1Aj7mBwxOh/AqDShBpS5BpS5BJViC5nw+cDId0I/PDhWcUwl+/Lb0PHXcsyf8iCnzLOviade/7rJTshGE/fhtyWkGwO7HZxOAkyzVj19dO21QnWDPeMHW6ht6jl/zWHcbHNst7B0Hmx8/iWicKKD/XpUgCGGXE92zkH93lGRCFJ4QfGluwjgQxSBs4hJWy/Y+liCKUB/L9m4oSRSPfSxBCuoeOjAcSZFNVW5CmYmieGtjOV4NJcpHqO9DLDLbpWZzeHDiOA1aFJxQAOH1ETyoc1k26g2IsPU1sfoHtJSD3mErvrJZ8ZOYmgwM0L/8FAQhlCdUfm5qxZfEVTjuxuJSEINQWwnisseKLwkkIjEtVnxJDo/6UpCCOr0BY+HsAgmieNOXDiu+KB+hgA+qL+NGjjgO9RUFJ9RAtr50WPFF2ag3IMLWpy/7B7SUg97h141YniCq9GVCTQYG6F9fCoIQyhOqLzd53YgkqsJRcW25+etGJJEJNZigQ+2bnIIoMgrU9roRSRKPGlSQgjoFIqMRZHlg7DvPRFG8aVD7y0ZE8Qg1flAJ2hwWmTgO/xQFJ5Q/tgS1v2xEFI16+yFofQq0fzxLOWjPNn3j3lelKZUTL+ribd+mzwy4WzP+1aa/mU2fOQwJNgyD2PSZISpSiEB4i3eqPNYDuPjEadJ32fIj4w18wKbsTiWCxnpmhKAXkCKO7cZ6ZoygCXBT2cuMjmL4A/KXx+HUeBXO2BFu0Vefakt9pj/yxtSq3L56LiM4sw/tq+eGC07tVF+9WvvqrWdhPuFHDc7vQ6wHNMx45sA45GOA8+Mmvno1vjsQDl89l0IRKeDrSGd2rw2sE/AxP2BwNoQXVUAJKnUJKnUJKsESNOfzgXPpkL56bqjglErx1au1r956z57wI6ZMs6yLp12wustOyUaQ9tWr8d0BcPjquQTgJEv21au9NqhOsGe8YHe38ZRaffUpjRMF9N94EgQhbEputMmANp4EURWOSlglb954EkQm7LwSlsz2xpMgiufGkyCJx8aTIAV15xsYjSgLosxEMhMl2YW+kyQeocQPsc5sV5vNIb2J49RlUXBC9YOXSOiYzmXRqHcfgtbXd+ofz1IOeoed9anVWZ9Rk4EB+heggiCE6oQK0I2d9YK4CsfFRagJ40AUg1BaCcKyz1kvCCQjL00cj0Q5PIpLQQrq9AaMhasNJEjiTVy6jPWSfIT6Pai6zBo14ji3VxScUALZ6tJlrJdko95/CFufvOwf0FIOeoffG5JajfU5NRkYoH95KQhCKE+ovPTw3hDBhCg8IRsLUEEMQvUlCFD7zqYgioj0dLw3RBDFo/oUpKDOfsBwhFEyzRITykwUxZv8dL03RJKPUN8HlZ/NiY+J4wRPUXBCAWTLT9d7QyTZqDcgwtYnP/sHtJSD9uyqNzZZKkFZOPHiLt72XfXMgEHXHSoI/+hd9cxhSLBhGMRVzwxRkUIEwoNd9f9Sb1K/3/HTG+/cAzZedxIRtNMzI+yKY1E7PTNG0Pu3qeJlRtedTDe002d5MTVehTN2hNuz06tgv/oI9UfUeFkLt52eywhO6UPb6bnhgnM61U5frO301qMsn/CjBif2IVYCGmY8c2Ac8jHAiXETO30xvjsQDjs9l0IRKeDrSGd2rw2sE/AxP2BwNoSXU0AJKnUJKnUJKsESNOfzgXPpkHZ6bqjglEqx0xdrO731nj3hR0yZZlkXT7tSdZedko0gbacvxncHwGGn5xKAkyzZTl/stUF1gj3jBVvLRuhgPM1j3RdwbIyw9wZsdnrlOvnPwIkCem83SYIQtiPR3YVhjlSWhFY4NL5QNmEciGIQdlQJC2JrS0kSRailZDtSWRLFX0tJkqKrDhwU6EI8LLJpYjtSWZLFW0/JdaSyKCChig+xlGwWlKo5gFc5jlQWBSeUQHgVhI/qXBaOeg8icD1dJWBESznoHfbMW15yXKlM96FPhmRggP5VpiAIoT6hKnNTz7wkrsJxN9aXghiE4krQlz2eeUkgEZVp8cxLcniUmIIU1OkNGAtHr0eSxJ/AtHvmRfkI9XtQfRk2asRxtq4oOKEE8vWl3TMvyka9/xC2PnnZP6ClHPQOvxMks3nmVURNBgboX14KghDKEyovN3kniCSqwlFxabn5O0EkkQk1mCBD7ducgigyAtT2ThBJEo8SVJCCOgUCoxGpNFWWjeeZKIw3FWp/LYgoHqHKDypCmwMalePETVFwQgFki1D7a0FE0ag3IILWp0H7x7OUg67+78/3l9P4n7k05sAGeuNDEZW6jB2YcZZ1Mf0Z6I0X4wN2wN3a8a8GeqOBXn9jsh+svjUHrPTcAUmwAaFZ6Re/0kmtHemNlK0y8+bt31YMr9++WfNVZC9ncJV2PTyfLbM3NYH+KRtUkUARyF4L/mjxuxrnxfL6u/3B6Pb7Fdln9SX0vCKELPpc4O5sJWfR50YI2gopCtxq0efGCPoJN9XWzOgo3kEgf7lxgGfs8Lboz0+0NV/pj3RljlWx05/PZgQVA8OfH1YLGJs/nx0uKBmI/nwVt/58ZT3f8gk/alA3DLHe0DDjmQPjkI8BzrYb+POr2O8OhN2fz6ZQRAr4OtKZ3WsD6wR8zA8YnArhRRtQgkpdgkpdgkqwBM35fOBESvTnp6ndn88OFZxPCf78tvQ8ddyzJ/yIKXMs6+JpF8TuslOyEYT9+W3JaQbA7s9nE4CTLNWfX107bVCdYM94wdbKG9qC0DzWbQfH/gt768Hqz09onCigaYPCwUXZpDCBPBAF6QoQ1wBtsnmBtrYEURWOSlgtb97aEkQm7OwS1sv21pYgiufWliCJx9aWIAV1Zx0YjShNlQlkJgqyC20tSTxChR9imdkuNptTeZXjlGVRcELxg1dI6JjOZdGoNx+C1tfW6h/PUg56h537udW5r6jJwAD9609BEEJ1QvXnxs59QVyF4+Ia1IRxIIpBKK0EXdnn3BcEklGXJo5HohwetaUgBXV6A8bC2gISxPCmLF22fUk+QvEeVFqqRoo4ju4VBSfUP7a0dNn2JdmoNx/C1qct+we0lIPe4XeP5FbbfkpNBgboX1sKghDKE6otB3r3iCC0wqE3VpiCGIQKS1CY9p1LQRQRbel494ggikd5KUhBneGA4YgsjtKZKIg/gel68YgkIKGED6owm6MdleOoTlFwQv3jK0zXi0ck4ag3IALXJzH7R7SUg1658nX59OnKN5pcKvGYOTHzLqY/V77xMYIH7IC71eNfXfkmV371S/0HP1o8H+W1N7/flM8cjwQbjx0y5TNBFQkUgbSb8j+uro/vVr98cfvD2zdGi0+qa+t3euhG2mdRfXk5kBX939aX1q8Wb3X8+aFxCjhgw3enLkGDPjNC0FeIq3GXQZ8ZI2go3FRmM6OjmAeB/MXBNDEFOGMHuEWLfq7d+UX1kQaNPzZzW/S5jKB8YFj04zCyW/S54YL6gWrRz9YWfetJmU/4UYMiYojlh4YZzxwYh3wMcO7dxKKfje8OhMOiz6VQRAr4OtKZ3WsD6wR8zA8YnAzhNRxQgkpdgkpdgkqwBM35fOBUSrTo55nDos8NFZxRKRb9bG3Rt96zJ/yIKbMs6+JpV8fuslOyEaQt+tn47gA4LPpcAnCSJVv0s702qE6wZ7xga+0N2ak0j3UPwrEZw96HsFr0cxonCmjarXBwUXYsTCAPREEIe6Ab7WSgFn1BVIWjEtbOm1v0BZEJG72EFbO90SWIItLoslv0BUk89rkEKajb7MBoFLlxi3YmyuGtzeVw6EviEQr8EKvMdq3ZnPCrHEc2i4ITah+8QELHdC6LRr33ELS+Flf/eJZy0Ev5CZ3u7F9+2hz6BTkZEKB/+SkIQqhOqPy876LSv63U2QeVOvuubuYsmzXara87Fj9dvLt4b/HLxa+r/739H5ZNrCfziQpHi5+aEvJQNCEKTwguUk0YB6IYhOI7iPAURBERnsFU7zbeR3kkiuJReQpSUGc/YDiSqTL2KWeiIN6kZxFMI6O0fizLR6jug2rPotEqjuOCRcEJ5Y+tPa2DOpdlo95+CFuf+Owf0FIOeocfDy1sFv7UdcqVMRkYoHfxKQlCKE+o+Nz08VBJXIXjbiotJTEItZUgLXseD5UEEhGYlsdDJTn8qUtJCur0BoyF3YAkCeJNXToeEBXlI5TvIdVl2pwymTrODRUFJ1RAtrp0PCAqyka9/RC2HnUJDGgpB63d+zX5SlZp1ejRxh8ZfXiVgHSdYxXnQZfXl40/Mnf7H7ADBh14qAB02vgXH2pntHbH12rw08UL7Y//tLbtv7n6LdOfv3h38dbiZysLvjblR8O+Kp+b3gRLL82VbwrxT9khKlKIQHjhJBnd/pcq188W/7J4UYlKo7/+pWtBrxJWhvt3Fr9YvNPx0OevvfZNE/IBG7k7g8i56LkRgtY/giC2u+i5MYKev03FLjO67ky6qYs+t3S6ZuwIt2ejTyPtoI/1R7LysKah00bPZgSnb7qNPs9iq4ueHS04fRNd9GnYuuhT69mZT/hRg3P4EKsADTOeOTAO+RjgXLmBi76K/e5A2F30bApFpICvI53ZvTawTsDH/IDByRBeSgEVqNQVqNQVqAQr0JzPB06lRBd9lGRTfcXeD/UpP1RwRiW46NvS89Rxz57wI6bMsqyLp12lustOyUYQdtG3JacZALuLnk0AzrFUF3117bRBdYI94wWro70IVBEG+fUkTS+vJ8m5SidFlqrJZREl18llcJFf+LcxRYHNRZ9GNE4U0LRZ4OCibBiYQB6IghC2IjfZSOiuGVdupcU/1o7z71f/++v6ee36y9WffXZnYfnLxVuT2uv008Xbi7+rPv9h8d7+KA5stpqHoilTeMoIK+/AYbSXpCFsyRIW1Va/kySK13aUIIfHdpQgBXU/HBiLaiVvW8gLgnhrR2VTM95jWTzCFDDEOrRdjTYHAqeOA55FwQmlD15CoWM6l0Wj3nwIWl8zqn88Szno3fXZVwLVeAVUAjWmJgMD9C9QBUEI1QkVqPI+e8mEKDwhuPw0YRyIYhCK7yC6UxBFRHfaffaSKB6lpyAFdfYDhkPl09jyjKckiTft6TDai/IRyvug4jNuxIrj3F9RcEL9Y4tPh9FelI16/yFsfeqzf0BLOejdNdpX6jM2JaNSnwk1GRigf/UpCEIoT6j63NhoL4ircNyNtaUgBqG2ErRln9FeEEhEYdp2NgU5PMpLQQrq9AaMhcujJEjiTV66nPaSfIT6Pai8bE6FTB2nfIqCE0ogW166nPaSbNT7D2Hrk5f9A1rKQa/ek69VlU+Dva2vrpyYYRfTn8HeeDE+YAfcLR5/AAZ7xnvwOZZ7ZsITLOGDWO6ZISpSiEB4m1ju3198Uv3Jx7dvdGz36f7qFfbGO/iADQ/6DQma2mq+Z0bYFcqi5ntmjKBVcFMBzIyOYgsE8qfCuKrLNmnLjHGL9vtUO+8z/ZE35lfltt9zGcHJnW6/DwOX/54bLji7U/33au2/tx6C+YQfNTjFD7E20DDjmQPjkI8BTpyb+O/V+O5AOPz3XApFpICvI53ZvTawTsDH/IDB+RBeYAElqNQlqNQlqARL0JzPB86mRP+9qmaE3Li5+ZQfKjipUvz3au2/t96zJ/yIKRMt6+Jp167uslOyEaT992p8dwAc/nsuATjJkv33aq8NqhPsGS9YHS1mhdI81h0Cx1YJe5fA6r9PaZwooGkvwcFF2U8wgTwQBSFsUG6yz+Ddfy+YMoWnDF+Gb/42fElkwm4uYfFtN0sJonhtZQlyeGxlCVJQt9KRsYjyOFC2c58lYbx1sxxGfUk8wlwxxIK1XbY2ZwSnjlOfRcEJ5Q9ea6FjOpdFo96ACFpfL6t/PEs56B22SoVWo35GTgYE6F/JCoIQqhOqZDe2SgniKhwXV6EmjANRDEJpJSjLPquUIJBXfSnI4VFfClJQpzdgLNwdJUEWb/LSZZaS5CNU8EH1ZdboEccBv6LghCLI1pcus5QkG/UORNj6BGb/gJZy0Dv8JKjl0L5KYDqPnzIlAwP0LzAFQQjlCRWYHp4EFUyIwhOysQQVxCBUX4IEtW9uCqKIiE/Hk6CCKB71pyAFdfYDhsP1JKggiTf16XoSVJKPUN4HVZ/N8ZCp47hPUXBC/WOrT9eToJJs1PsPYetTn/0DWspBa/npUpUDW/RtG5aFAy9RSRdv+xZ9ZsCgfw/Vg39EFn1mwhMs4YNY9JkhKlKIQHibWPT/pd6ifr9j0Fcm4gM2cXcGEfTlMyPsCmNRXz4zRtBCuKnaZUZHsQsC+YvCIJ1meWIKcsYOcnvG/CzYrz5C/RE1rtjCbcznMoJT+tDGfG644JxONeYXa2O+9WjLJ/yowYl9iJWAhhnPHBiHfAxwutzEmF+M7w6Ew5jPpVBECvg60pndawPrBHzMDxicEOHlFFCCSl2CSl2CSrAEzfl84HQ6pDGfGyo4q1KM+cXamG+9Z0/4EVNmWtbF065U3WWnZCNIG/OL8d0BcBjzuQTgJEs25hd7bVCdYM94wdbKMc2jy+wqm1xURWCSpNc3k+IyuZjERRwUN8X5eXy9ug2s+wKOjRH23oDNmJ+5TgQ0cKKA3rtNkiCE7Uh0d+F+t2nxs8XfVwvD31RLwsVb+j+1x/6txXu1s8kE/VAUWuHQ+PLZhHEgikHYUSWsia0dJUkUoY5SpEwoj0RR/HWUJCm66sBBga7FVZRO08IovGaiLN56SmEQTlMj4GNZQEIVH2Ip2Swos+Zg3sxx0rIoOKEEwqsgfFTnsnDUexCB6+kqASNaykHvsGne0tKpVKbrmCljMjBA/ypTEIRQn1CVualpXhJX4bgb60tBDEJxJejLHtO8JJCIyrSY5iU5PEpMQQrq9AaMhbvdIwnjT2PaXfOifIQSPqjEDBtB4jjQVxScUAX5EtPumhdlo96CCFufwuwf0FIOeodfMBLZXPNZRE4GBOhfYQqCEMoTqjAR+4v0C0YkU6bwlOEqdfMXjEgiE2o5QdHad0wFUbxqWUEOj1pWkII6kQJjoaI0Laa27VJBFm9S1v5+EVE8wlQxqJJtDo7MHAeBioITqh9bydrfLyKKRr3/ELQ+Ids/nqUctH5X/n9+ScFZlepfXV9+5xvf+qYhESyhatsFjR2ccR51OW1OfHu0FPm5NuMbw33ADrd7mTmSC4rMf6qk0evLVvntjxfPR5VuerZ4Xzvdb3+80o1f1GpSP6j5A22vr7/9RevXNwFWujH+yoxNea9C2jE3K5ArT2ui7az6jdNZXn3k2uKax/pD/1leVB9FpD+U/qi+JQlC/ZHoj6z6CAP9EeuPVH9UfyOJIv1R/Y0k1l+N9a8S/atE/0rpXyn9q1T/KtU/Ki1sNZmbxoSeRtylpHN3pHN3pHN3pHN3pHN3pHN3pHN3pHN3pHN3pHN3pHN3pHN3pHN3pHN3pHN3pHN3pHN3pHN3pHN3pHN3pHN3pHN3pHN3pHN3pHN3pHN3pHN3pHN3ZMvdET93ip473B9Vpe5Yp+5Yp+5Yp+5Yp+5Yp+5Yp+5Yp+5Yp+5Yp+5Yp+5Yp+5Yp+5Yp+5Yp+5Yp+5Yp+5Yp+5Yp+5Yp+5Yp+5Yp+5Yp+5Yp+5Yp+5Yp+5Yp+5Yp+7YlrpjfurwIsWfCldW0ES7QPWLmqsUljqFpU5hqVNY6hSWOoWlTmGpU1jqFJY6haVOYalTWOoUljqFpU5hqVNY6hSWOoWlTmGpU1jqFJY6haVOYalTWOoUlrYUluwU3jMW9qSQdtee6ryd6ryd6ryd6ryd6ryd6ryd6ryd6ryd6ryd6ryd6ryd6ryd6ryd6ryd6ryd6ryd6ryd6ryd6ryd6ryd6ryd6ryd6ryd6ryd6ryd6ryd6ryd2vJ2ys8bLj6IjsYqbWc6bWc6bWc6bWc6bWc6bWc6bWc6bWc6bWc6bWc6bWc6bWc6bWc6bWc6bWc6bWc6bWc6bWc6bWc6bWc6bWc6bWc6bWc6bWc6bWc6bWc6bWc6bWe2tJ3x0vbSTowWQ94OPrLbJhMnxT3J6uWhykh/muJ9wI63K3I2fKby15VK+2z58FyrzZaq7vYHWsPpXbDni0+q/3202jN8Z/Hzxf9uYnrIZuoqDsHHFrkhKlKIQHjtE4fvLt6bhPqC0alt0v1C515r5+9Xyvm7d/dma8G9+F01Rm/UvoG6M63PGrr9m8Wz27+tPl/ob3h38dPFP9YbtvrNKP+bNrH+VJ9GtBTiy23htxe/GC3+W/1PaCfC974ySoPg9gf1RxgEru1OZh67i3m5hyG5EYJPbxB2J+0PQ3JjBB/b2HTnkRkd5RENIH9xFEwz40MBM3aIW3wUUq2ePsoS5wOQbDJw9uU8ABkG1gcg2eGC8y/xAcgsaR+AzKxnQj7hRw3OwpvtM7RbsMl45sA45GMkRAx8xdA8jVTFfncg7A9AsikUkQK+jnRm99rA7i91uQGDkyC8mw0UnhIsPHM+FThxEh97TBL7Y4/sUMH5k/DYY1twnjru1BN+xJQ5lXXJtP0Bd7Ep2QjCjz22haYZAPtjj2wCcGolbhLoa6cN6v7qnBOsjvY8TC4TdRlP4vNLNUmKMJjk6VU+idOr5Cq8ucgv4pslj3Xh/pfnw9qF6rcMmTCr5buiYaJ8piW+A4uyzDeBPBAFIbSA0fV/u+TUbvR6ab9c5kdZEPyvFcz/qkyYD0UxFY5JWG/v5OJ69KXbv663XOp3m1Z/rfqnn9W/1b8YVX/ywXTx6dRYyA5EB4HQdccX67c/uv2eCeWroihePUeCHB49R4IUVM8DMBbOHQJBFG+WoyRKpuZHUB/LAhJmnCHWuu2KVzUmFcd5vKLghPIHL9PumY6KzLahMpelo96DCJ1zSOfIkJZy0D5f/Gl3G6UOOt2u69BtvUXFjBfcHEMl6rAtKiZTgjEN0qJihqhIIQLhdVtUUbdF1SuT36++83d31fYz/aiB/suwhH6/fiT2C5eWdvSpmMkEt+hw6WvvUzEjBLfbCIrW0adixgjus22qVpnRUfbUgPwlscVEPGNHuMU2VdbsFqfuNhWXDJyBh25TccMF52Bqmypdt6msxz0+4UcNzsRDSHcNM545MA75GODku0mbKh3fHQhHm4pLoYgU8HWkM7vXBtYJ+JgfMDgHwusfoPCUYOGZ86nAeXPINhU3VHD6pLSp0nWbynqnnvAjpkyprEumXU66i03JRpBuU6XjuwPgaFNxCcCpldymSvfaoDrBnvGC3dk2ld1lmtEwUT7/bSpBEMKmIboHwG5TCWIqHJOw5t7dBfaGvSrBkegKFcdI4At2R69KEMVrr0qQw2OvSpCCuk8OjIVrl0CQZDdaVZKAhFlniPVuu+ptjtPNHOcji4ITqh+8VOuOahoX6TQ11pG5LB31FkTonEM6R4a0lIP226qKTXSVzs2ddGmXbuutKma84AYZKlOHbVUxmRKMaZBWFTNERQoRCK/bqop3s1WlnI9UMZMJbtPhytfeqmJGCG65EQSto1XFjBHca9tUrDKjo+yrIflTwTQwzuYzdohb7FUVzZZx7u5VccnAKXjoXhU3XHASpvaq8nWvynp27xN+1OBUPIR21zDjmQPjkI8Bzr6b9Kry8d2BcPSquBSKSAFfRzqze21gnYCP+QGDkyC8AAIKTwkWnjmfCpw4h+xVcUMF509Krypf96qsd+oJP2LKnMq6ZNr1pLvYlGwE6V5VPr47AI5eFZcAnFrJvap8rw2qE+wZL9id7VXF1l5VQcNE+fz3qgRBCLuG6CYAu1cliKlwTMKie3dX2Bv2qgRHgrBbi6/YHb0qQRSvvSpBDo+9KkEK6kY5MhaubQJBlN1oVkkCEqadIRa87bK3aDobjuPURcEJ5Q9eq9GaVZJ01HsQoetrVvUPaSkHXb/Peb8toVrtenwVYGKifSXOXQf96bcudmg9Na9ys1B/wI4X3DFDdeuvKoWk5dvHtTB7vdJXP1w9D3/37c7vLt5a/GzVvlp/t5ZoTctr9cUPRlH1R7UQfNNE/pBNnmDkQ7S4uCEqUohAeJXa/nzx2/o9BZ/sj8JJMrr9L8tW4+LFdLT4tVbCzfkuVe7rb/5s8fmk+s+LahSWsvv1Skx/vj7g5eXBq2Tz57VY1ycSvl599ZWj04NHr9QttcU/LH6z+GX137+vrpL/MaougE/037t9XS9wfvaV0dcOw/1R9Q2/W77pe/W2788XH+kLSv/69idfqS6G6nft31u+P/xFfWk1B6389/qF4ZWeP3nlyagIgrgW+z+r11I/XnxUfcedNp/5fjpgDxm4h4jLcmsjjRshuB9IUNv2Rho3RnAjcEMlzY2OsumH5C9Kk3waWTQyN8jttdLyUL+7Plpta+eBs5/GxgNVAb2flkS5tZ3GjhaUBcR2Wh607bTcemjxE37UoDgYYnWhYcYzB8YhHwOc6Tdop1Wx3x0IezuNTaGIFPB1pDO71wbWCfiYHzA4FcJLNKD4lLr4lGDxmfPRwDmU1lNLw3CaGL10T/mRgjMpoaXWFp2njrv1hB8xZXZlXTbNqren4JRsBOGWWltsmgGwt9TYBODsSm2pVddOG1Qn2DNesLVaLKKr4ia/mtzcnN9MksvrfJJnV9EkiqP0PL0skjxeTQHWPQXHJgt3X8HWUstDGibKZ9p9cGBRdiBMIA9EQQh7m+jWxFsvr1N1x+lD3f2pVqs/XK5ju0vX+be/9Z3ry++M/vT68lvfXh122q4pDQl5KJoQhScE3w4wL5FNcAeicIQNXcLC2Xo2qSSKSD8rMFvsH4mS+OtoSVJQd9OB0YizIpkmqXFIZqIw3npaURxME2UCfCwLSKj7Q6w627VnczJ7bj2Z/VAWnFAC4QUTPqpzWTjqTYjA9bS0gBEt5aBrWZre5EF6cxVMbqJAf29aTPKrophcXl8nQRrfnAfJarbwKkuN28mVLI2oucD4/MtSQRBCeUJl6S8qDfpG/cCX7rt8vDQbfbZ4sTr39HXdqrn9Sd1E+2hUO5t0L+WXi19X/3t7JUufzCcqHC1+akrIQ9GEKDwhuCw1YRyIYhCq7yACVBBFSIDq7cf7KI9EUTwqUEEK6uQHDEeYF9m0mnJMMDNRGG8KtAimkdF6/ViWj1DhBxWgzYnqufVE9UNZcEIJZAtQ66DOZdmotyDC1qc/+we0lIP2+/y/MtFVijJ20CUq69Jt3ULFjBfskqKCcBsWKiZ5gpEPYqFihqhIIQLh/TFZqI4elqNyFAZZMPl6Gpzc804ZBcgBe6zAhjFBgVu9U8wIwb4vLqxd3ilmjGDHd1PFzIyO0t0F8pcl0zgzRThjR7hF41SijVPNEYt57DZOcfFALTCwcYobLSgGqMapeG2cih3GKW7UoCQYYgWhYcYzB8YhHwOc3zcxTsXjuwPhME5xKRSRAr6OdGb32sA6AR/zAwbnQXgZBhSfUhefEiw+cz4aOIEOaJziRgpOoxTjVLw2Tlnv1hN+xJSplXXZtGtbd8Ep2QjSxql4fHcAHMYpLgE4u5KNU/FeG1Qn2DNesDvboVJW41RCw0T5/HeoBEG6ysM1PuCGhIcOlWBCFJ4QfBPAhHEgikHYniWsj+0dKkEU3x0qQRSPHSpBCur2ODAclSILVWpCmYmi7ER/SpKPUN+HWF22a8ykaWckjnWmJDihAMILI3hQ57Js1BsQYevrT/UPaCkHvbu2fcvboSv1qai5wPj8q09BEEJ1QtWnB9u+YEIUnhBcfXbaMiaqA1EqQi0eRIwKogiJUeOl9kiUxKMWFaSgToXAaETRNA5tT9cLonjTok63viQgodwPKkabY+Bz6zHwh7LghALIFqNOt74kHPUWROD61Gj/iJZy0H7dUsZVcaUvUydd3qXbuluKGW+3ZvweuqWY5AlGPohbihmiIoUIhPfH55YKlJbl96xSyjRQB+yBAlvEBPVttUoxIwQ7vbiodlmlmDGCPd5N5TIzOko/F8hfmk8j244sM8ItWqUybZXKG7eC65jvx3w8UAgMbJXiRgsqAapVKl1bpaxHZT/hRw3qgSHWDxpmPHNgHPIxwMl9E6tUOr47EA6rFJdCESng60hndq8NrBPwMT9gcB6EF2FA8Sl18SnB4jPno4ET6IBWKW6k4DRKsUqla6uU9W494UdMmVpZl027sHUXnJKNIG2VSsd3B8BhleISgLMr2SqV7rVBdYI94wW7s82q1GqVymiYKJ//ZpUgCGH3Et2N8NCsEkyIwhOC7wC8vCo2IR2IInX1gQOJsFa2d6oEUTx3qgRJPHaqBCmo2+TAaETBNDEfODYTRdmNTpUkIKHWD7HSbNebzSnwufUU+ENZcEIBhBdJ+KjOZeGotyAC5xzROTKipRz07rr2U6tvyn1QoiEXGJ9/KSoIQihPqBT14NoXTIjCE4JLURPGgSgGofoOIj8FUYTkp9W1L4jiUX8KUlAnP2A4wmAaxYUJZSaK4k1/ulz7knyE+j6o/MwbseI4pV4UnFAA2fLT5dqXZKPegAhbn/rsH9BSDtqvTyoz0VV6snDSFV26rfukmPGCfVFUDm7DJ8UkTzDyQXxSzBAVKUQgvD8+n1QcJMHkURzct0oZWzcH7LECW8QE/W21SjEjBDu9uKx2WaWYMYI93k31MjM6Sj8XyJ9+q5QyRThjR7g9q1QR7FcfYeNWKNxWKS4eqAUGtkpxowXFANUqVaytUtaDlJ/wowYlwRArCA0znjkwDvkY4Py+iVWqGN8dCIdVikuhiBTwdaQzu9cG1gn4mB8wOA/CyzCg+JS6+JRg8Znz0cAJdECrFDdScBqlWKWKtVXKeree8COmTK2sy6Zd27oLTslGkLZKFeO7A+CwSnEJwNmVbJUq9tqgOsGe8YLd2f5UZrNKFa5TBw2YKJ/3/pQkCGH/Et2QkO9PSSZE4QnBNwFMGAeiGITtWcL62NqfkkTx3J+SRPHXn5Kk6AoHBwW6Lq/fKmWUZDNRlF3oT4nyEer7EKvLZo1ZBKt2RuE49l0UnFAA4YURPKhzWTbqDYiw9fSngAEt5aB316if2dxRhesEQmMuMD7/6lMQhFCdUPUpb9SXTIjCE4Krz05bxkR1IEpFqMWDiFFBFCExarzUHomSeNSighTUqRAYDf1WqUCZUGaiKN60qMurLwpIKPeDitHmxODCcQa0KDihALLFqMurLwpHvQURuD412j+ipRy0X7eUcYFR6cvIRZcGXbptu6W48YKtUVQebsEtxSVPMPIh3FLcEBUpRCC8Pz63lAqiYHKSBQ/uuaWM3ZsD9liBXWKCALe5pbgRgs1eXFc73FLcGME276aKmRkdpaUL5C8KprlxjGfsCLfoloq1WypZGRaKyOmWYuOBWmBYtxQ7WlAMEN1SRdS6pQrrGclP+FGDkmCIJYSGGc8cGId8DHB+38AtVcV+dyDsbik2hSJSwNeRzuxeG1gn4GN+wOA8CK/DgOJT6uJTgsVnzkcDJ9Dh3FLsSMFplOCWaovOU8fdesKPmDK1si6bdm3rLjglG0HYLdUWm2YA7G4pNgE4u1LdUtW10wbVCfaMF+zO9qss6/NXqgpFw0T5/PerBEEIG5johoSHfpVgQhSeEHwToLMwNlEdiFIRtmsJy2V7v0oQxXO/SpDEY79KkIK6WQ6MRjqNktREMhMl2Y12lSQgodoPsdZsV5xx09xwnPwuCk6of/AyCR/VuSwc9Q5E4PraVf0jWspB7651P7eapxJqLjA+/2JUEIRQnlAx6sG6L5gQhScEF6MmjANRDEL1HUR9CqIIqU+rdV8QxaP8FKSgTn7AcFTlPDIuB2aiJN7kp8u5L8lHKO+Dqs/m+ODCcR60KDih/rHVp8u5L8lGvf8Qtj7x2T+gpRy0X6+U0TJRyUnlpAu7dFv3SjHj7ZaM30OvFJM8wcgH8UoxQ1SkEIHw/hi9UnEwOSkMXqnQuJA8YA8W2CQm6G+rWYoZIdjrxWW1yyzFjBHs8m6ql5nRUTq6SP6SaZaYIpyxI9yiWSrVZqms8Ssot1mKiweKgYHNUtxoQTVANUuptVnKekTyE37UoCYYYgmhYcYzB8YhHwOc4DcxS6nx3YFwmKW4FIpIAV9HOrN7bWCdgI/5AYPzILwOA4pPqYtPCRafOR8NnEAHNEtxIwWnUYpZSq3NUta79YQfMWVqZV027eLWXXBKNoK0WUqN7w6AwyzFJQBnV7JZSu21QXWCPeMFu7P9qcJqlkppmCif//6UIAhhAxPdkfDQnxJMiMITgu8CmDAORDEI+7OE9bG9PyWI4rs/JYjisT8lSEHdHweGoyrkobGMz0RJdqI/JclHKO9DLC7bJWbatDMch72LghPqH7wuggd1LstGvf8Qtr7+VP+AlnLQu+vUL6zmqIyaC4zPv/gUBCFUJ1R8enDqCyZE4QnBxWenLWOiOhClItTiQbSoIIqQFjVeao9ESTxKUUEK6lQIjEYyTSJjUZ+JkniTok6nviQgodoPqkWbI4MLxyHQouCE+sfWok6nviQc9Q5E4PrEaP+IlnLQfs1SobFBWulL5ymDadTF27pbihkv2BlF5eE23FJM8gQjH8QtxQxRkUIEwvvjc0sl9QO0RreUURQesAcL7BITFLjVLcWMEGz24sLa5ZZixgi2eTeVzMzoKC1dIH/61VLGq3DGjnCLbqli/zAJgsawkLvdUlw8UA0M7JbiRguqAapbKl+7pawHJT/hRw1qgiEWERpmPHNgHPIxwAl+E7dUPr47EA63FJdCESng60hndq8NrBPwMT9gcB6EV2JA8Sl18SnB4jPno4ET6IBuKW6k4DRKcUvla7eU9W494UdMmVpZl027unUXnJKNIO2Wysd3B8DhluISgLMr2S2V77VBdYI94wW7sw2rMLDapQoaJwrov2MlCELYw0S3JDx0rAQTovCE4NsAJowDUQzCFi1hgWxvUQmieG5RCZJ4bFEJUlA3yIHRSKdRUphIZqIku9GikgQklPchVpftGrNoGhqOA99FwQn1D14Y4aM6l4Wj3oEIXF+Lqn9ESzno3TXrV/LTbJhKAuexhKZkYIC+5acoCKE+ofJT3K0vmhCFJwSXn53OjInqQJSKUI0HUKOiKEJq1GLeF0XxJkdFKaiTITAc+uVSxvGYiZJ4k6N2874sH6HaD6hGK6aldln9wgR+KAtOqH9sNWo378uyUe8/hM0tRpEBLeWgPfulzLubSeA8ZzCNu3hb9kux4wV7o6g69O+XYpMnGPkAfil2iIoUIhDeH59fKrK/XSoxDdYBe7DAPjFBgFv8UuwIwXYvrqvtfil2jGCjd1PBzIyO0tQF8hdVM5F5X5Yd4db8UtXyV/ul4qVloYrf5Zfi44FqYFC/FD9aUA3Q/FJVOI1fapVmU9RP+FGDmmCINYSGGc8cGId8DHCC5/uldOx3B8Lql+JTKCIFfB3pzO61gXUCPuYHDM6D8EIMKD6lLj4lWHzmfDRwAh3ML8WPFJxGcb/Uuug8ddytJ/yIKVMr67JpV7fuglOyEWT9Uuti0wyA1S/FJwBnV6JfSl87bVCdYM94we5uwyq0+KWqEkXjRAH9N6wEQQhbmOiWhIeGlWBCFJ4QfBvAhHEgikHYoSUskO0dKkEU3x0qQRSPHSpBCuoOOTAc8TQKbAtzQZKd6FBJ8hHK+xCry3aNGTUNDfuR77LghPoHL4zgQZ3LslHvP4Str0PVP6ClHPQOu/VDq10qpiYDA/SvPgVBCOUJVZ/ibn3RhCg8Ibj67DRmTFQHolSEYjyIGBVEERKjxkvtkSiJRy0qSEGdC4HRSKeJ3ni8TzITJfGmRR3mfVlAQrUfVIzGjXaxnwQtC06of2wx6jDvy8JR70AErk+N9o9oKQft2S9l05eJEy/p4m3dL8WMt1s0fg/9UkzyBCMfxC/FDFGRQgTC+2PyS61WGeq+USo1jdIBe5TABjFBeluNUswIwT4vrqhdRilmjGCHd1OtzIyO0s0F8hclyTQ2VvIZO8QtOqWUdkqljVkhcTuluHigDhjYKcWNFtQBVKdUsnZKWQ9KfsKPGlQDQywfNMx45sA45GMkRAyGeSEZ3x0Ih1OKS6GIFPB1pDO71wbWCfiYHzA4EcJrMKD4lLr4lGDxmfPRwBl0QKcUN1JwHqU4pZK1U8p6t57wI6bMrazLpl3XugtOyUaQdkol47sD4HBKcQnA2ZXslEr22qA6wZ7xgt3dXlVkdUopGicK6L9XJQhC2L1ENyM89KoEE6LwhOAbAM2i2IRzIIpD2KQlrJTtTSpBFM9NKkESj00qQQrqFjkwGlk8jQrjgMxEUXajSyUJSKjzQywz28Wmanoa9oPfZcEJBRBeIeGjOpeFo96CCFxfl6p/REs56B127EdWz1RKTQYG6F+HCoIQ6hOqQz049gUTovCE4DrUhHEgikEov4PoT0EUIf1pdewLongUoIIU1NkPGI44naaJzSYliOJNgLos+5J8hPo+qP5MG7ViPxFaFpxQANn602XZl2Sj3oAIW5/87B/QUg7as0nKuBKuBGXmxFNdvK2bpJjxgm1RVA9uwyTFJE8w8kFMUswQFSlEILw/JpPU8tmFUAXR5Ov3jFKR0RRxwB4psD9MkN9WoxQzQrDNi6tql1GKGSPY4N1ULjOjozRzgfxlcTG17sMyQ9yiUSrXRqmi8SpkbqMUFw/UAgMbpbjRglqAapTK1kYp6yHJT/hRg4pgiBWEhhnPHBiHfAxwet/EKJWN7w6EwyjFpVBECvg60pndawPrBHzMDxicCOFlGFB8Sl18SrD4zPlo4Aw6oFGKGyk4j1KMUtnaKGW9W0/4EVPmVtZl065t3QWnZCNIG6Wy8d0BcBiluATg7Eo2SmV7bVCdYM94we5ugyq2GqXcRw3e40QB/TeoBEEIG5johoSHBpVgQhSeEHwTwIRxIIpB2J8lrJDtDSpBlK4IcKDgS2lHg0oQxWODSpCCuj8ODEcV1nR1gNf9lbkgyk40qCT5CPV9iOVlu8jMm36G/ax3WXBCAYRXRvCgzmXZqDcgwtbXoOof0FIOeod9+rHVH1VQk4EB+pefgiCE8oTKTw8+fcGEKDwhuPx8uS9jQjoQRSJU4kGkqCCKkBQ1XmePREk8KlFBCupECIxGFIXTIrNJUUEWb1LUadaXBCQU+0G1aNFIF/t50LLghArI1qJOs74kHPUeROD6xGj/iJZy0J7dUokJ75UkdJ8wmHbxtu2W4sYL9kZRdbgFtxSXPMHIh3BLcUNUpBCB8HbZLbV4e/GLfrtUiNul2lVGdSEtflZdU5/oLfGOccryHPgBe8zAdjFBitt8U9wIwa4vrrAdvilujGC/d0PtzI2O0tsF8qcSpaaxMsU4Y8e4PeNUGO5XH9HKuxAGTuMUGw+UBcMap9jRgrKAaJwKg9Y4FVpPS37CjxoUB0OsJjTMeObAOORjgDP9BsapKva7A2E3TrEpFJECvo50ZvfawDoBH/MDBmdCeEkGFJ9SF58SLD5zPho4hQ5nnGJHCk6kBONUW3SeOu7WE37ElMmVddk0y9yeglOyEYSNU22xaQbAbpxiE4CzK9U4VV07bVCdYM94we5u5yqxGadC95mD9zhRQO+dK0kQwmYmujch37mSTIjCE4LvB5iXyCa4A1E4wg4uYeFs7WFJovjtYUmS+OthSVJQ98+B0QhT/cC/+b1sM1GYnWhiiQIS6v4Qy8528RmuWh6h4zB4UXBCCYRXTPiozmXhqDchAtfTxAJGtJSD3mFDf2JzVK1OVyEkAwP0r0sFQQj1CdWl8oZ+yYQoPCG4LjVhHIhiEMrvIApUEEVIgdoM/ZIoHiWoIAV19gOGIw/zaWxehs5EWbwpUIejX5SPUOAHFaDNocKh45RoUXBCBWQLUIejX5SNegcibH36s39ASzlozyYqZcKrFGXsxMu6eFs3UTHjBfukqCDchomKSZ5g5IOYqJghKlKIQHh/VCaq5rzsNJh8PQ5O7runjFbuA/ZogU1jgga32qeYEYK9X1xau+xTzBjBru+mmpkZHaXDC+QvjafmQ2tm7Ai3aJ5KtHlKNf6F2G2e4uKBcmBg8xQ3WlAOUM1T8do8ZT06+Qk/alAUDLGI0DDjmQPjkI8BzvCbmKfi8d2BcJinuBSKSAFfRzqze21gnYCP+QGD8yC8EgOKT6mLTwkWnzkfDZxABzRPcSMFp1GKeSpem6esd+sJP2LK1Mq6bNrlrbvglGwEafNUPL47AA7zFJcAnF3J5ql4rw2qE+wZL9jdbVIpq3kqoXGigP6bVIIgXenhGiBwT8JDk0owIQpPCL4PYMI4EMUgbNESFsj2JpUgiu8mlSCKxyaVIAV1ixwYjmKaqNREMhMl2YkWlSQfobwPsbps15hJ09FwHAMvCk6of/DCCB7UuSwb9f5D2PpaVP0DWspB77B1X1ktUoqaDAzQv/oUBCGUJ1R9erDuCyZE4QnB1WenMWOiOhClIhTjQcSoIIqQGDVeao9ESTxqUUEK6lwIjEaYT4vQWNVnoijexKjTsS8JSCj3g6rR5kTh0HFGtCg4oQCy1ajTsS8JR70FEbg+Odo/oqUctGfHlHFdXAnM1ImXd/G27phixtstGr+HjikmeYKRD+KYYoaoSCEC4Uk4pj7QBqZ6HbA2ON2zUlGcU28tfj3scX3Q+6eMGvGAPXRg25ggyK32KWaEYPcX19ku+xQzRrDvu6mCZkZH6fEi+YvzaWws7zN2iFv0T2XaP5U3FobU7Z/i4oHiYGD/FDdaUBxQ/VPp2j9lPVX5CT9qUCIMsabQMOOZA+OQjwHO95v4p9Lx3YFw+Ke4FIpIAV9HOrN7bWCdgI/5AYMTIbwwA4pPqYtPCRafOR8NnEEH9E9xIwXnUYp/Kl37p6x36wk/Ysrcyrps2sWuu+CUbARp/1Q6vjsADv8UlwCcXcn+qXSvDaoT7Bkv2N3tYKVW/1RG40QB/XewBEEIW5roDoWHDpZgQhSeEHxXwIRxIIrRFQUODMIK2d6yEkTx3LISJPHYshKkoO6XA6ORVIqsMA7ITBRlN1pWkoCE+j7E8rJdZGZNg8NxPLwoOKEAwisjfFTnsnDUWxCBc47oHBnRUg56h/37qdVB5T7D0JAMDNC//hQEIdQnVH968O8LJkThCcH1J+nlp4JwhKI8iCoVRBFSpVZXvyCKR1kqSEGdE4HhiIJplmQmlJkoijdZ6rL1S/IRqv6gqrQ5ejh0nCUtCk4ogGxV6rL1S7JRb0CErU+U9g9oKQft2UdlLESVzCyceEUXb+s+Kma8YJMUVYnb8FExyROMfBAfFTNERQoRCK/HR6W/+kkl6z/9I/ZTKdMQHrCHEGwjE3S51U/FjLAruUX9VMwYwT7wpjqaGR2l54vkLwmmuc1PxQxxe36qKNivPsLG0lC4/VRcPFAkDOyn4kYLigSqn6pY+6ms5y4/4UcNSoUhlhYaZjxzYBzyMcB5fxM/VTG+OxAOPxWXQhEp4OtIZ3avDawT8DE/YHAihNdnQPEpdfEpweIz56OBM+iAfipupOA8SvFTFWs/lfVuPeFHTJlbWZdNu+h1F5ySjSDtpyrGdwfA4afiEoCzK9lPVey1QXWCPeMFu7v9rMzmp4rchxbe40QBvfezJEEIO5voToV8P0syIQpPCL47YMI4EMUgbNwSVsjWzpUkiufOlSSKv86VJEVXOTgo0JV5VJXzyLj9MhNF2YXOlSgfob4PsbxsFplRsGp0RI5T40XBCQUQXhnBgzqXZaPegAhbT+cKGNBSDnqH7fyZzU4VuQ8wNCQDA/QvPwVBCOUJlZ/ydn7JhCg8Ibj8pNipJOEINXkQUSqIIiRKjVfcI1ESj5pUkII6JQKjkVT13bxPOBNF8aZJXSZ/UUBC1R9UlDbnDkeOk6RFwQkFkC1KXSZ/UTjqLYjA9anS/hEt5aA9+6mMK41KZ0YuvCzo4m3bT8WNF2ySojJxC34qLnmCkQ/hp+KGqEghAuH9Xvmphj7ZD7NTjU1DeMAeQrCNTBDmNj8VN0KwG4zrbYefihsj2AfeVEkzo6P0fIH8xdVMaPH5ztgxbtFQFWtDVbLyNESR01DFxgNVwrCGKna0oEogGqqiqDVURdYzmJ/wowa1whCLCw0znjkwDvkY4MS/gaGqiv3uQNgNVWwKRaSAryOd2b02sE7Ax/yAwZkQXqEBxafUxacEi8+cjwZOocMZqtiRghMpwVDVFp2njrv1hB8xZXJlXTbtqtddcEo2grChqi02zQDYDVVsAnB2pRqqqmunDaoT7Bkv2N3taFlW7q9UJYrGiQL672gJghD2NtGtCg8dLcGEKDwh+PYAqaMlCEfY0CUsnO0dLUEUzx0tQRKPHS1BCup2OjAaYZgn00RZnoCShNmNnpYkIKHuD7HsbBefcdMBcZwwLwpOKIHwigkf1bksHPUmROD6elr9I1rKQe+w0T+3Oq0SajIwQP+6VBCEUJ9QXerB6C+YEIUnBNelJowDUQxC+R1EgQqiCClQq9FfEMWjBBWkoM5+wHCooqrlUWpimYmyeFOgLqe/JB+hwA8qQJuTiiPH0dOi4IQKyBagLqe/JBv1DkTY+vRn/4CWctDV//35S6VHy8o/c+nMgT1WxkdmK4WpHLhxbj8vAYuWohxf9lgVVo8VM95uDdnQY/WbxfuLTxYvbv+6FYiLL+pfann4g6VZRrtg1laqld1KO2R+V1t7tENG27Q+Gt3+qLb3fLCyW32sf0ilMD+tvuWH1a9fX37b/stf+XzxYWuw+Z7+57QO/aIO6Xurn7r47eLzUbAfabNK9XNvf3T7PVNKH7JTmmApHcS8xQxRkUIEwqvG8P7g1FvV6+Q/G33t4OSVw1dGh6+cvPLqq7N97av6vPryJ9WF8HF1yby4fbN+VdWz+k8+0gO1GuQvqu/9aXUFVVdH9Z1vLD75ykgFQfHaa99c/De9M750hX1lFAXB7Q/qj3S/0Nvkn1qcVaMv1Xvsz5dX4+LjUaS/ufpX/utL1+Cz0cPrb1//1Te+U12kB6O4WpwHyehhDfp88X71ubR0fT6poqzpb9/88vSuZcty9McBe+TATjVB+Fs9W8wIwYYzruddni1mjGCreVOhzoyO0lZG8hfkyTQzznMzdoxb9Gyl2rOlTxaMcv1RNAYK5XZvcUFB/UF3b0VxGk8L47h8jR8uKECo9i21tm9ZD4R+wo8alCFDLGM0zHjmwDjkY4BT/yb2LTW+OxAO+xaXQhEp4OtIZ3avDawT8DE/YHBShNeCQB0qdR0qdR0qdR0qwTo050OC8yrNyBXHWTYNjR3bp/xQwemV4uRSayeX9cY94UdMmXJZV1C71nbXnpKNIO3kUuO7A+BwcnEJwJmW7ORSe21QnWDPeMHqaC+jIo6i8GJyVcSXkySJkklerTwm1+FFUVxkYZpdryY1606GY2uHvZthdXKlNE4U0LTn4eCi7HuYQB6IghA2VNENkbvrycV/r1aOv6sXi9WaWC8r4/g/6GmjWliuFpGmlaXN6fRQNBsKzwa+UWDCOBDFIGwWE1bN9naZIIpQu8xcGx+JonhslwlSUDfrgeGIsqqYF8bOw0yUxVu7LAmmRWLieyzLR6juQ6wz29Vm2nRXHCfai4ITKiC8RIIHdS7LRr0DEba+dln/gJZy0Eu7VnKVZZfX8eQizPNJkqpoch5fX0yS4vwqvEjPr3J1+doWxKfNrpVRk4EB+hefgiCE8oSKz/t2rZUHy+zawp+oN2XnoWh2FJ6djcWoIAahFA8iRgVRhMSo1bsliOJRjApSUKdCYDjCNJpmZovETJTFmxhNi6myiVFJPkK1H1SMNmckR45Tr0XBCRWQLUatgzqXZaPegQhbnxjtH9BSDroWoxfFlTqvfswkOg+L6nvzm8mFOo8meZrkV1fh1VWkVgXWrxiNTcmoxKjrsEVjMjBA/2JUEIRQnlAx+s7KCNS8duuj5duRni8+WonS0eIfa9/W92v/mN4yrd/ypDXn8tu/WHyu37/0y8Vbk/q5gp8u3l78XfX5D4v3TBl6KJohhWdoY0EqiEEox4MIUkEUEUEamte0j0RJPOpRQQrqbAiMRqqCfJoZp/aZKIs3PRqm09j2LIEkH6HgD6pHm+ORI8d516LghALI1qPWQZ3LslHvQIStT4/2D2gpB13r0Sy4ia5UcjE5v1BqksQXSaVi42Byrm7ym1xdZ0GxFT1qLFuVHi2oycAA/etRQRBCeUL1qMmx/kLLzJeeIBh97frb5395PvrL82+f/6f/9I2VUH3JRl7/fmlF118weteX39RY0025eyiaO4XnbmOlKohBKNQEpWp1vwuSCAnVIDOhPBJF8ahUBSmo8yQyHGEaTDOzs2ImCuNNqhaa0Aj4WBaQMBkMqlWLRto4jlIWBSeUQLZWtY/qXBaOehMicH1itX9ESzlov4cJREbl8UoSO0/wysIu3rYfdOXG2y0a//qgays+uSlNsJQO8aArN0RFChEIbwsPukZ5CDzoqv9i9SM+qEN7pi3E1TXn7SlXo4o+YA9bd6KTe8qVGyH4NA5Jv9uecuXG2BXnMk+5cqPrzvcbPuVaJNPUYlTgRri9Z1zjcL/6iPSHPqEgbl4SHgfOZ1zZoKD0GPgZV3a4oPYgPuMaB+0zrrH1yNMn/KhBBTLEkkXDjGcOjEM+Bjjrb/CMaxX73YGwP+PKplBECvg60pndawPrBHzMDxicEuF1H1CHSl2HSl2HSl2HSrAOzfmQ4Kw64DOu7FDByZXwjGtbf546btwTfsSUCZd1BTXL6p7aU7IRhJ9xbetOMwD2Z1zZBOBMS33Gtbp22qA6wZ7xgtXRnqdRcB7EN5Ns+QbZMJyc39xcTxJ1Fd2cXweX6uZiyWPdxHDs4rA3MmzPuMbOYx/vc6KA3jtpkiCEzVN0L2SDTtq7eplaf/PSAlY+ClWSHa1+16xy6wWuKVUPRVOl8FThGwgmjANRDMKu8RALakESz40zSRR/jTNJCuqePTIcQVXszSffzkRZvPXNwiTIp0FiInwsS0io/UOsQtu1aHNmc+w4hVsUnFAC4QUUYVjnsnTUuxCh6+mcAUNaykHv7mMHlTg1zouVOI2oycAA/YtTQRBCgULF6RYeO5DMkMIztLEmFcQgFGSCJrU+diCJIiRKjWXkkSiJR00qSEGdDYHRUGk+DY0z+0wUxZ8ktT91IMpHqPeDCtKoUS+OM5xFwQn1jy9I7U8diLJRb0CErU+O9g9oKQe9u69kiSynMVZyNKYmAwP0L0cFQQjlCZWjnl/JIpkdhWdnYykqiEEoxYNIUUEUESlqfyWLJIpHLSpIQZ0KgeEIk6qq27SoIIo3Lep4I4soH6HYD6pFm8M/Y8dxrqLghALI1qKON7KIslFvQIStT4v2D2gpB72776autKjxCqi0aEJNBgboX4sKghDKE6pFhd9NLZkNhWdjY+0piEEovYNoT0EUIe1peze1JIpH7SlIQZ36gOGI4mmaxSaUmSiKN+3peDW1KB+huA+qPZuDP2PHSa6i4IQCyNaejldTi7JRb0CErU979g9oKQft+YFWmwtUOfGiLt7WH2hlxtutGf/6QOtaeTJTmmApHeSBVmaIihQiEN4WHmgN8wx7oPU3qyviX6of+oHfY1uNKueAPWzg0zsEkW/13zIjBB+9wbW764FWZozgMzebinJmdJTna4D8RXEwjVNTiDN2iFt8olWf2hrrU1tjfWpr3JyWGLtPbWWDgtpj6CdaueGC4oP6ROv61NbYcWorO2pQggyxZNEw45kD45CPAU77mzzRuj61Ne45tZVNoYgU8HWkM7vXBtYJ+JgfMDgnwus+oA6Vug6Vug6Vug6VYB2a8yHBaXXIJ1q5oYKzK+WJ1vWprfYb94QfMWXGZV1B7braXXtKNoL0E63rU1vddeeUTwDOtOQnWvWpreaac8YLdnc7Y6H1idaUxokC+u+MCYIQNk/RzRDpzphgNhSeDXyTwIRxIIpB2BgmLJrtnTFBFN+dMUEUj50xQQrqxjwwHCqbKuOacCZKshONMUk+Qm0fYpXZrjWbIz5jx5mtouCE+gcvkOBBncuyUe8/hK2vMdY/oKUc9A4/IGB50KySnq4zw4zJwAD9S09BEEJ5QqWn7wcEBLOj8OxsLEUFMQileBApKogiJEWtDwgIoniUooIU1KkQGI44mSqz13omiuJNi7oeEJDkIxT7QbVoc8Jn7DiyVRScUADZWtT1gIAkG/UGRNj6tGj/gJZy0Dv87pTQ+rBqTk0GBuhfiwqCEMoTqkW38e4UwQwpPEMb61FBDEI5HkSPCqKI6FH7u1MESTzKUUEK6myIjEacR9MwNbHMRFm86VHXy1Mk+QgFf1A92pzwGTuObBUFJxRAth51vTxFko16ByJsfXq0f0BLOehaj8bn5zfxzfn15DxJ0klynV9Ozi/im0l+Hl1epufBzU18/doW9GhiSkalRwtqMjBA/3pUEIRQnlA9usGLpv+h0qP/sn7R9NKDvtGRrZK5U3juNlaqghiEQk1QqlbnuyCJkFC1vnlaEMWjUhWkoM6TwHBESTpNcmVimYmy+FOqYRhNY+Ok9liWkDAZDKpVmwM+Y8eRraLghBLI16r2YZ3L0lHvQoSuT632D2kpB+35EVdLbz5xH+gSd/G2/YgrN95u1fjXR1xb9clNaYKldIhHXLkhKlKIQHjbeMQ1BM9s/a/VD9M/8DO/j7caJ4sD9pB1Zzm5x1u5EYLP4ZDEu+3xVm6MXWUu83grN7ruXL/p462hZXqbsSPc3tOtiT6vNdHntSb6vNakOScxcZ/XygYFZcfAT7eywwV1B/Hp1mR9XmviOK+VHTWoPoZYr2iY8cyBccjHAGf8DZ5uTdbntSY957WyKRSRAr6OdGb32sA6AR/zAwanRHjRB9ShUtehUtehUtehEqxDcz4kOKsO+HQrO1RwciU83Zqsz2u137gn/IgpEy7rCmqW1D21p2QjCD/dmqzPa3XXnVM+ATjTUp9uTfR5reaac8YLtl7cXcXBZRhfTW4usnCSBEkxKVR8PUmDPL+Mq99fhFdLHusGhmMHh72JYXu6NXGfD3aPEwX03kaTBCHsnKL7IBu00e4sV3sbaHoZjLTSJPOn8PzhOwomjANRDMI+8hCrbEESz600SRR/rTRJCuomPjAcVc3PAmVCmYmi+OukBXE6VUbCx7KEhPlgiJVpuz5tDvxMHGe4ioITKiC8qCIM61yWjnoTInQ9nTRgSEs56B1+DiGyPRObRNRkYID+BasgCKFAoYJ1C88hSGZI4RnaWJIKYhAKMkGSWp9DkEQR0qTGMvJIlMSjJBWkoM6GyGhE2TS2NZwEUfxJUvtjCKJ8hHo/qCBtjvxMHGe4ioIT6h9fkNofQxBlo96ACFufHO0f0FIOeodf0RLZHotNYmoyMED/clQQhFCeUDnq+RUtktlReHY2lqKCGIRSPIgUFUQRkaL2V7RIonjUooIU1KkQGI6quOfGmj4TJfEmRR1vaBHlI9T6QaVoc+Jn4jjCVRScUP/YUtTxhhZRNur9h7D1SdH+AS3loHf4RdWR7YnYJKEmAwP0L0UFQQjlCZWiwi+qlsyGwrOxsfQUxCCU3kGkpyCKkPS0vahaEsWj9BSkoE59wHCoaWxtzAuSeJOejhdVi/IRavug0rM58DNxnOAqCk6of2zp6XhRtSgb9f5D2PqkZ/+AlnLQnh9vjU14lZhUTryki7f1x1uZ8XZrxr8+3roWnsyUJlhKB3m8lRmiIoUIhLeNx1uDAnu89f9cXlCT+gjXT26/5/cpV2UauQP2yIGP9BBkvtV/y4wQfB4HV++up1yZMYIP4mwqy5nRUR66AfKnj/YyPk05Y0e4xadc9RmuiT7DNdFnuCbN2YmJ+wxXNiioPoZ+ypUbLig/qE+5rs9wTRxnuLKjBkXIEIsWDTOeOTAO+RjgxL/JU67rM1yTnjNc2RSKSAFfRzqze21gnYCP+QGDUyK88gPqUKnrUKnrUKnrUAnWoTkfEpxVh3zKlRsqOLlSnnJdn+Fqv3FP+BFTJlzWFdSurN21p2QjSD/luj7D1V13TvkE4ExLfspVn+FqrjlnvGB3tzUWW59yTWmcKKD/1pggCGH7FN0OkW6NCWZD4dnAtwlMGAeiGIStYcKa2d4aE0Tx3RoTRPHYGhOkoG7NA8OhplFh9FrPREl2ojUmyUeo7UOsMtu1ZnPkZ+I4w1UUnFD/4AUSPKhzWTbq/Yew9bXG+ge0lIPe4QcEYuvzqu5DxAzJwAD9S09BEEJ5QqWn7wcEBLOj8OxsLEUFMQileBApKogiJEWtDwgIoniUooIU1KkQGI6quGe2tpEgiTcp6npAQJKPUOsHlaLNiZ+J4whXUXBC/WNLUdcDApJs1PsPYeuTov0DWspB7/CrU2Lrs6o5NRkYoH8pKghCKE+oFN3Gq1MEM6TwDG0sRwUxCOV4EDkqiCIiR+2vThEk8ahGBSmosyEyGlE2DY0z+0wUxZscdb06RZKPUO8HlaPNgZ+J4wRXUXBC/WPLUderUyTZqDcgwtYnR/sHtJSD/s/LezWIoyKNJ2lwmUySKLmZ5EV2Ncnz6gvhZXp+UawG3a8cNZatSo4W1GRggP7lqCAIoTyhcnSDV0//ZvUd2kn+QS1NV++YDnL9C/5BrpIpVHgKcb06tJXf4tM3ZetANFuEaYEgi60me0ESIVVsfcm1IIpHWSxIQZ2VgeGIommaGbc7ZqIo/mRxqCrhb7zkHssSEmaeQYVxc7Zo4jguVhScUAH5wtg+rHNZOupNiND1SeP+IS3loD0/T2sRu8p9nozq4m37eVpuvN2q8a/P07Yal5vSBEvpEM/TckNUpBCB8LDnaR9++/o73zJr78NvffNbo8u/+NZ/vLqvt4NgUv1/NQnzyfKXURIH956ljevHaPVH+yTtz2phXu/If1j94s3FZ9U/16yEPD1Ra5wzDtgj153s5J6n5UYIPvlDkvC252m5MXb1uczztNzoulP+hs/TVjeGZRE0Y4e4vQdqlT42VuljY5U+NlY1xzUq97GxbFBQfgz8QC07XFB/EB+oVetjY5Xj2Fh21KAKGWLdomHGMwfGIR8DnPk3eKBWrY+NVT3HxrIpFJECvo50ZvfawDoBH/MDBudEePEH1KFS16FS16FS16ESrENzPiQ4rQ74QC07VHB2JTxQq9bHxtpv3BN+xJQZl3UFNUvrntpTshGEH6hV62Nj3XXnlE8AzrTUB2qVPjbWXHPOeMHqaLE+n+axbmQ4dnLYmxm2B2qV+0iye5wooPfenSQIYQcV3Q/ZgpVMMkMKzxC+d2DCOBDFIOwYExbSViuZJIpQ08xiJZMk8dczk6Sgbtcjo5FXC/jEOCIzURZ/TTO7l0yUj1Dwh1h6tgvQ5hBR5TgXVhScUADhVRM8qHNZNuodiLD1NMyAAS3loHf4KdvE9pStiqjJwAD961FBEEJ5QvWo56dsJbOj8OxsrEUFMQileBAtKogiokXtT9lKongUo4IU1KkQGI5ETYPQuMkwE0XxpkUdj9mK8hGK/aBatDlBVDmOhBUFJxRAthZ1PGYryka9ARG2Pi3aP6ClHPQOv2wwsT1mq2JqMjBA/1pUEIRQnlAtKvyyQclsKDwbG2tPQQxC6R1EewqiCGlP28sGJVE8ak9BCurUBwxHprWncUtpJoriTXs63jYoykco7oNqz+bIUOU4A1YUnFAA2drT8bZBUTbqDYiw9WnP/gEt5aBr7ZlcJeFNEEaT+FxdTZI4CSbnRX5Tfe/5ZVYUuTpvnDR+tafxCqi0Z0JNBgboX3sKghDKE6o9Ibv6/BvX3/n2uf7PN//TebNP+nq9R/q96ttelqCjxa9rNfv5y4/Zfq0IiiAMToIgCP/t6TyoH7nVu6WrZx9W+6v198ZBME6r/+XahW5K8UPRFCs8xbigxbK8Sw8FmBJ/IJp4wgxEkOBWT78giYgCtz++K4niUYELUlAFADAccaQHRJlYZqIs3iR4GBfZNE5NhI9lCQmz3KAivDk8VTlOwxUFJ5RAtgh3DOtclo56FyJ0fTK8f0hLOWjPz+8ai1ElrJUTL+3ibf35XWa83arxr8/vrvUyM6UJltJBnt9lhqhIIQLhYVIdeolOra+rP3+uLw395Vpf3xfwuX6q06jXuwfirn9iFVb7E309wGvccDxgDx34sNIQYp8ZIfikEUnEWx/gZcYIPmK0qTpnRkd5nAjJXxLl08goXmbsGLf4BK8+ElfpI3GVPhJXNUdRKveRuGxQUIAM/QQvN1xQgVCf4F0fiascR+KyowZ1yBArFw0znjkwDvkY4Ny/yRO86yNxVc+RuGwKRaSAryOd2b02sE7Ax/yAwUkRXv4BdajUdajUdajUdagE69CcDwnOq0M+wcsNFZxeKU/wro/Etd+4J/yIKVMu6wpqF9fu2lOyEaSf4F0fieuuO6d8AnCmJT/Bq4/ENdecM16wOlqsq6h5rFsZjr0c9naG9QnelMaJAvrvFAqCEPZQ0R0RaZeaYDYUng18p8CEcSCKQdgfJqya7S41QRSRHpnDpSaI4rFHJkhB3Z0HhiNW2TRIjSMyE2Xx1iNz2dQk+QjVfYh1ZrvabM5QVY5DcUXBCRUQXiLBgzqXZaPegQhbX3+sf0BLOegdflxXWR/XzajJwAD9i09BEEJ5QsWn78d1BbOj8OxsLEYFMQileBAxKogiJEatj+sKongUo4IU1KkQGI4oTKZRbGxRzERZvIlR1/O6knyEaj+oGG1OUVWOY3FFwQkVkC1GXc/rSrJR70CErU+M9g9oKQe9w+8yVNbndXNqMjBA/2JUEIRQnlAxuo13GQpmSOEZ2liQCmIQyvEgglQQRUSQ2t9lKEjiUY8KUlBnQ2A0cqWn9tTEMhNl8aZHXe8ylOQjFPxB9WhzjKpynIsrCk4ogGw96nqXoSQb9Q5E2Pr0aP+AlnLQtR7NgpvoSiUXk/MLpSZJfJFUKjYOJufqJr/J1XUWFFvRo4kpGZUeLajJwAD961FBEEJ5QvXoBufirp8BXZ6HGwTF8gvsA3Elc6fw3OFKtevlv++8H8Deb0jVgWiqCJMBQQ1bHfaCJEJi2Po4rSCKRzUsSEGdi5HhUNrYb1YWM1EYb3K4SIOp+YHhx7KAhAlnUD3cnJ2qHMfhioITSiBbD6dhtYozlve5LBz1JkTg+gRx/4iWctCen6Y1rsxfSVL3MTlZF2/bT9Ny4+0WjX99mrYVuNyUJlhKh3ialhuiIoUIhIc9TasH+YvaMPzb2pTx3dpavBwW6EnbX1c/+Ye337v98Wi5r65/xIvFv5jU+HFZje5rD+Mw0f8Nw0gVJ6O+V+V4esA2tKwTuMPZnQDlnrDlRgg+CUTS9bYnbLkxdkW7zBO23Oi6OmDDJ2yTSqSaApyxA9ze47WpPiA31QfkpvHqibbUfTYumxEUIwM/WcsOF1QjxCdr0/XZuKnjbFx21KAmGWIRo2HGMwfGIR8D1AEbPFmbrs/GTXvOxmVTKCIFfB3pzO61gXUCPuYHDE6G8EoQKEGlLkGlLkElWILmfD5wKh3woVp2qOCMSnioNl0fi2u/Z0/4EVNmWdbF06yxe8pOyUYQfqg2XR+L6y45p3wCcJKlPlSb6mNxzeXmjBesjhZr82ke646GY0uHvathe6g2dZ/Jdo8TBfTeupMEIeykohsjW7CSSWZI4RnCNxFMGAeiGISdY8Li2Wolk0QR6p5ZrGSSJP6aZ5IU1H17YDSixHK65EyUxFvnzGEkE+UjlPsh1pztyrM5QzV1HIorCk4of/ByCR7UuSwb9f5D2Hr6ZsCAlnLQO/yKl9T2lG0aUZOBAfpXo4IghPKEqlHhV7xIZkPh2dhYeQpiEErvIMpTEEVEedpf8SKJ4lF6ClJQpz5gOMJgGtpOQZBE8aY9HW94EeUjFPdBtWdzZmrqOARXFJxQANna0/GGF1E26g2IsPVpz/4BLeWgd/ggstT2UG0aU5OBAfrXnoIghPKEak/IKbRjB5FJpljhKcYFLZblHfdjmcbiQHQsCJMSQZVbzVSCJCKi3P4whSSKR1EuSEHVBMBwJPFUJUbL0EwUxZsodx5NJkpImPcGleXNcbKp43xgUXBCBWTLcufRZKJ01JsQoesT5v1DWspBe36Ywjg7VFI7ceLlXbytP0zBjLdbNf71YYq1gmamNMFSOsjDFMwQFSlEIDxMvA8t0CFJ7u8RCeOtecAeJNAVOoSqZ0YI+jpJat36iAQzRtDQuakMZ0ZHMW8i+QvSwtKFmLFj3OJTEko/IKFPIkv1SWRp3viUE/ejElxQUGoM/agEN1xQa1AflUjWj0pYj6Z9wo8aVBxDrFE0zHjmwDjkYyREDIZvORnfHQjHoxJcCkWkgK8jndm9NrBOwMf8gMFJEV7oAXWo1HWo1HWo1HWoBOvQnA8JzqtDPi/BDRWcXinPSyTr5yWsN+4JP2LK</t>
  </si>
  <si>
    <t>lMu6gtpltLv2lGwE6eclkvHdAXA8L8ElAGda8vMSyV4bVCfYM16wu9slzKzPSygaJwrov0soCELYLUX3PqAl8K51CQVTrPAU4xsNW9lCMOXuQDR3hD3tIdb/giS+u3qCKB67eoIU1IYCMhxhkkzrVyHdh5mJwuxIX0+SkDBTDbFmblfOqmkCOY7wFgUn1EB4uUcY1rksHfU2ROj6+nr9Q1rKQe/wwx6Z9WGPlJoMDNC/lBYEIRQoVEpLP+whmA2FZwNXvSaMA1EMQvElCFD7wx6CKCIK1PGwhyCKRwUqSEGd+oDhiNJqGjdvbs5EWbwJUNfTHpJ8hOo+qPxsjn9NHef5ioITKiBbfrqe9pBko96BCFuf+Owf0FIOeofP882sT3tk1GRggP7FpyAIoTyh4tPzeb6S2VF4djYWo4IYhFI8iBgVRBESo7bzfCVRPIpRQQrqVAgMR5gG0zi37YYKsngTo47zfEX5CNV+UDHaHP+aOs7zFQUnVEC2GHWc5yvKRr0DEbY+Mdo/oKUc9A6/hDGznZ+W5tRkYID+xaggCKE8oWJ0Gy9hFMyQwjO0sSAVxCCU40EEqSCKiCC1v4RRkMSjHhWkoM6GwGikSaimyoQyE0XxJkddb2GU5CPU+0HlaHP6a+o4zlcUnFD/2HLU9RZGSTbqDYiw9cnR/gEt5aCr//vz/aUK+zOX3Bz4wVvj2FZCs3BgxnnRxfT24K1xRnvAjrdbO/4IHrz9/PZ72IO3zJQmWEoHefCWGaIihQiEh7mOIdfsO3rtsDId14bZj29fv2+Y/dM/TYOo+n9dz2x677Hbl5zMa4dz/VtfD+QmpsE7YA9ed9YTfCCXGWFXzIs+kMuMsSvThR7IZUZHeToIyF82TZQpwBk7wO09jZsF+9WHPrgs0weXZe2pQYX7aVwuKKg/GE/jFnk8NV/WX+OHCwoQ6tO4xfppXOvRtk/4UYMyZIjli4YZzxwYh3wMcOrf5GncYnx3IBxP43IpFJECvo50ZvfawDoBH/MDBmdEeA0I1KFS16FS16FS16ESrENzPiQ4qdKexk2iNJwmsSnUp/xQwbmV8jRusX4a13rjnvAjpsy3rCuoXWO7a0/JRpB+GrcY3x0Ax9O4XAJwpiU/jVvstUF1gj3jBVsrNHV1mYY30SRRcfWRqGJykZxnk4vLi/g8vUhVUqymYutOhmNLh72bYXsaN3Od0mbgRAFNex4OLsq+hwnkgSgIYSMV3RAxrYtf6F2Il/YpRl+7/vb5X56P/vL82+f/6T99Y9VRq9aOLy9WX1rGLhtuegUcxEFwsj86qJMxevLVIBydffMb3/nGX1z/2yoJ3xr9P799/f8azR+Nln9lvTYOA/uzuJIJVniC/wD2Hkz5PRDNL2FDfIDtAUkSoX6gsTo+EiXx1w+UpOgKJAcFuilRzVWFMpHMREm8tQPzNJmGqQnwsSwgYRobYkHdLKuzYNU+yhxngouCE8ofvBa8t2sTxPk0MF63c1k66i2I0PV0BIEhLeWgd9igltse1c1ch9QZk4EB+tfZgiCEAoXq7C0Y1CQzpPAM4ULZhHEgikEoyAQ9ajWoSaIICVJjGXkkSuJRkApSUGdDYDSSZJqZQGaiIN70qMOeJspHqPaDytHmTNnMcUiwKDih+rHlqMOeJspGvf0Qtj4x2j+gpRz0Dr83Jrc9uptF1GRggP7FqCAIoTyhYlT4vTGS2VB4NjYWnoIYhNI7iPAURBERnvb3xkiieFSeghTUqQ8YjnCap8YaPhMl8SY9HW+NEeUj1PZBpWdzpGzmOCNYFJxQ/9jS0/HWGFE26v2HsPVJz/4BLeWgd/itMbntQd0spiYDA/QvPQVBCOUJlZ6e3xojmR2FZ2djKSqIQSjFg0hRQRQhKWp7a4wkikcpKkhBnQqB4ahKe2jcUJqJkniToo53xojyEWr9oFK0OUQ1c5yLKwpOqH9sKep4Z4woG/X+Q9j6pGj/gJZy0Poh3aUeXV3PVrH5V9eX3/nGt75pyARDa8YmzEpkJi7MIuhi2h7StcdK0Y/Nc7rGYB+wg+1eY47EghrxHf0IbO1+/HjxwhRspeuSr8zYEd+rdfaQNyt1qwfC1P6hCszPWxzyIRI6BG6r15Ef6ciPbJEf8SNX9MhxO30V+LEO/NgW+DE/cPxS51fT1cM7ar+0AZRsgHvPYPQA0K6XUx31qS3qU37UeOkmPnpRBX2mgz6zBX3GC7q+WF7zOf9YH6tQzvBDa87haFkzkO14dm64+I2JzkH/VPe9PludKvZ8VBv439cTkz4uq/ZimV8cof+4nb2qbzCBVvOX0vMXk9b3/KVPFs6K6iPXDzTn+rThPK8+Cv2Qc5Hoj8w2u3ERfcxu6f6R5jrSXEea60hzHWmuI811ZOM64nMpOhepnh1rrGONdayxjjXWscY61ljHGuvYhnXMx8JvwI1nRn2+bIVXarxS45Uar9R4pcYrbXglG0983kz3TzXTqWY61UynmulUM51qplMb0ymfCZ+QWLNqun+mkc400plGOtNIZxrpTCOd2ZDOeEiaaVU0NJmnVzTVnyaKaupNnRSxdWCwYJnz7jSxzr3MeLuT0YZvaKofcavnUr31r99+dPtG/bxc9d/GsPLyFPtMv6rpjWoKfqGfr9OGlU/rV+a8ufpt9d21geW32k29tLhUv1s2F5avW9KPOt7pSaxeymSa3Zetivrfvv2b6aj6qZ+P0n1lfZzuITut3QlQ8C1N3BAVKUQgPL3yXw7U4pP9UThJRrf/RV8Ii39ZvKiS/fPbH9cy7INVp6h+PFVrs7+uRvRT/bYu/U6tSq4ZLoR6pJbjVF8UL4/5p9Vvq/F8Q+u7evg/rOVdbcHX/8LHSx1Ynxv74vbNl16f9E+LtxfvTCJTWg/Yae1uSMq9P4kbIfiqB7zH4nh/EjdG8B0PmzZPmNF19dKG708Kw8xi1Z+xQ9ziG5QyveDIV+8ryVLne5PYeKAooL83KY0K62uT2NGCqoD42qQsbV+blFnPG3rCjxrUBputUttWUjqeOTAO+RjgXMxYiTavL6livzsQ9tcmsSkUkQK+jnRm99rA7i8quQGDEyHclQOKT6mLTwkWnzkfDZxBaS9Lyot8qoxPCD3lRwrOo4R3JbVF56njbj3hR0yZW1mXTdvqdBecko0g/K6kttg0A2B/VxKbAJxdiVsL+tppg7q/b8AJtlbccRLcFEU8yYPkapKo9HxyHlxcT+KLKCiSi6s4u1ldVNYthb88H9K7uPy0bSy4DlwxYKJ8ps0HBxZlA8IE8kAUhGBnQXcm/tmwFXF36enwIQqiKhwVX4qbMA5EMbqzvQODsPS1+xAFUUR8iBaXySNREo82REGKriJwUKAr7iwNo6nNhyiI4s2HmE9X2/D3V9ySeIS6PcSqsV07NiedZY6j60TBCeUPXvCgYzqXRaPefgiaczznyHiWctDLFwNdXF6f38TFRCXJ5aRaUt5MztNATZLwIr8KL86vYrW6l72KSuMuYSUqc2ouMD7/olIQhFCcUFF5/3kY84Mwy3cA/Wrx0/rdP79c/Lr639vNmzj/cfH24q3Fb6rP9/T3/B/Vb94dPZmrcLT4qSlLD0WzpPAsbaxHBTEIBXkQPSqIIqJHHc/FCKJ4FKSCFNQZERiOMFPT1CZIBVG8CdIisByG9ViWj1D0B1WkzWFnmeP0OlFwQgFkK1LroM5l2ag3IMLWJ0n7B7SUg9aa1CU1h7VE2URm4aDTbrEO3dYtUcx4wbYnqhH/4CxRzLQmWFoHsUQxQ1SkEIHwmJaoxYfaoVSN/NK/Dhii3q/f5f95fQno8f6s/lc+Xhqk7lmelCltB+y0gZ1egs62Wp6YEYINW1w+uyxPzBjBVu2mupgZHaUtC+QvC8LAanlihrg9y1OuD43Lw8Z14D4qjo0HTvoDW5640YKzPtXytD4pLnOcFMeOGpz7h1gqaJjxzIFxyMcA59pNLE/rk+KynpPi2BSKSAFfRzqze21gnYCP+QGDEyG83gKKT6mLTwkWnzkfDZxBB7Q8cSMF51GK5Wl9PJz9bj3hR0yZW1mXTbuIdRecko0gbXlaHw/nLjanfAJwdiVbnvTxcOZCc8YLttaKaR5dZlfZ5CLOgkmSXt9MisvkYhIXcVDcFOfn8fXqNrBuGTj2TLjbBjbLU+46wsOAifJ5705JghA2KtGdh/vdqcXPFn9frQV/s3h70rScFj+tfvVe/cZgE/RDUWiFQ+OLbhPGgSgGYa+VsAi2NpskUYSaTbb3AUui+Gs2SVJ0xYGDAl18h5mKpso4IjNRFm/dpjAIp6nRZ/xYFpBQxYdYQzYrybw5SSt3HI4mCk4ogfDyBx/VuSwc9R5E4Hr6TcCIlnLQSwtUoIowyK8naXp5PUnOVTopslRNLosouU4ug4v8YjVbeBWZlu5U7jqaw5gLjM+/yBQEIZQnVGSafPUv9y9012vtdLKckdYcqGs9I21/FAc2QfRQNGUKT9nGElUQg1CfB5GogigiEtW4dH0kyuFRnwpSUOdGYCxiFSjjeMxESbyp02xaGCexx7J4hOI/qDZtDtbKHSeliYITah9bm9rGdC6LRr37ELQ+Zdo/nqUcdP2K4P12Pkte8/qyqNhEW2nPyEEbF6pL68kZlZqPz3jAjhfsjqLScWmO+XDlffqgtUKZ3sv47uKtxc9WbqXXa8fTZytR+YvqK7/a18LxF4t3ln8W2d1LXPQEQx/CvcQNUZFCBMK751f652p0nq1OPv7AqPS1E+nZ4nftb2+/N41ql9I9D1K83/wqbX+VVcP3TVNSDthJAVuyBM1r8yZxIwQ7qwQpa/cmcWMEe6qbylRmdJT+KZC/PMpsJ/VyI9yiNSnW1qRk5Q7II6c1iY0HzroMa1JstyaxowWnXaI1KY9aa1JuPcfrCT9qcPIdQrprmPHMgXHIxwAn0g2sSVXsdwfCbk1iUygiBXwd6czutYF1Aj7mBwzOg/D6Byg+pS4+JVh85nw0cAKlWZMK/YIAY6/hKT9ScBolWJPaovPUcbee8COmTK2sy6ZdVboLTslGELYmtcWmGQC7NYlNAM6uVGtSde20QXWCPeMFq6O9VNdXRZAXk4trpSbJxXU+ya8u4klwE+XpeXR1cXGuljzWNbtjE4O7brdak2IaJspnWt07sCgrfBPIA1EQwsYhuvSvV5LVytK+kmx6Ru/rh5vqtaRwD0kwgQpPIL46N2EciGIQ9lEJ62l7D0kQRaaHNFUmkkeiJB67SIIU1H1sZDSiJLS7nARZvPWRKoka2UxOknyE+WCI1Wi7Jm3OJswdh02KghMKILyQggd1LstGvQMRtr5OUv+AlnLQy3eH3uRBenMVTG6i4GaSXKZF9b1FMbm8vk6CNL45DxL/HqfY6nFKqLnA+PyrVUEQQnVC1eoQr3l6Mp843ugkmRCFJ2Rj9SmIQSi+g6hPQRQR9Wl/o5Mkikf5KUhBnfyA4ajkZzUgxhGZibJ4k5+OVzqJ8hEK/KDyM2nUSuKQn5LghArIlp+OVzqJslHvQIStT372D2gpB+33lU6Jia4SlMpBpx896NBt3bjEjLdbMn4fjUtM9ARDH8S4xAxRkUIEwtuGccmQkQN2RsBuLUHnWl1LzAjBpisuX12uJWaMYLt1U13KjI7SWgXy53ItMSPcomtJH1qdZ41xQLldS1w8cMod2LXEjRacc6muJbV2LSmHa4kbNTjzDiHUNcx45sA45GOAs+gmriU1vjsQDtcSl0IRKeDrSGd2rw2sE/AxP2BwHoRXO0DxKXXxKcHiM+ejgRPogK4lbqTgNEpxLam1a8l6t57wI6ZMrazLpl1CugtOyUaQdi2p8d0BcLiWuATg7Ep2Lam9NqhOsGe8YHe2D2R5s3G1bE9pmCif/z6QIAhhmxBd93voAwkmROEJwZfaJowDUQzCLihhfWzvAwmi+O4DCaJ47AMJUlB3oYHhcPeBBFl2og8kyUco8EMsL9tFZtq0DRyHlYuCEyogvDKCB3Uuy0a9AxG2vj5Q/4CWctC7a5pPrDakjJoLjM+//BQEIVQnVH7uoGleMIEKT+DGclUQg1CsB5GrgigictVumhck8ahWBSmocyUyGk7TvCCLN7XqMs1L8hHmg0HVanOUbu44GlkUnFAA2WrVZZqXZKPegQhbn1rtH9BSDlq/fml/OTd7fO2SsR5VOjR3UMZF2qX05l4yxvuAHS/YQ0Vl5DDuJa0ZDYfZPe83MjGzkGBZGMTIxAxRkUIEwus5P+6+ranS98/1QXH1JvVnNGOTcbV3wE4G2LsliF6rh4kZIdiCpWhZu4eJGSPYfN1UpTKjozRakfyFmeX00Rk7xC2amIr9w6QIGh9B7jYxcfHAmZduYlJBbjcxcaMFp16qiSlfm5isx/M+4UcNTsBD6HYNM545MA75GOAMuomJKR/fHQiHiYlLoYgU8HWkM7vXBtYJ+JgfMDgRwosfoPiUuviUYPGZ89HAGZRmYsoiNc2Mzoen/EjBeZRiYsrXJibr3XrCj5gyt7Ium3ZF6S44JRtB2sSUj+8OgMPExCUAZ1eyiSnfa4PqBHvGC7ZefoTqJrtK4klcXFdrhThNJ+fFVTGJLq7jqyQMLqvfLXms63bHBgZ37W41MRU0TJTPtMJ3YFFW+SaQB6IghF1DdPl/v4t0f9FoAn0oCqpwUHz5bMI4EMUgbHYSFr72bo8giki3x7i4eyTK4bHXI0hB3WlGxiJOIvODljNRFG+tniiexoWJ77EsH6FoD7FkbBeORdMZcBwpLgpOqH7wagce1LksG/UGRNj6Wj39A1rKQe+uL17ZjEmF6zw8Yy4wPu+SUhKEUJ1QSSnvi5dMiMITsqn0lMQgFN8hpKckioj0tPviJVH8qU9JCurkBwxHmKlpatwBmYmieFOfDlu8KB+hvg+pPovmwNrCcQSxKDihALLVp8MWL8pGvQERth71CQxoKQft9/VIRu9YpSedp9jlYZdu2wYjbrxgfxOVg1s2GHGzkGBZGMJgxA1RkUIEwhvCYKSfK6ifL/hR8wdUixE3HWBnlSB3bRYjboRggxRXsQ6LETdGsDW6qTxlRkdpgyL5c1iMuCFuz2JURNpiFK+6/EXotBix8cC5d1iLETtacPIlWoyKsLUYFdZzb5/wowan4CEUu4YZzxwYh3wMcA7dwGJUxX53IOwWIzaFIlLA15HO7F4bWCfgY37A4EQIL3uA4lPq4lOCxWfORwNn0OEsRuxIwXmUYDFqi85Tx916wo+YMreyLpt2LekuOCUbQdhi1BabZgDsFiM2ATi7Ui1G1bXTBtUJ9owX7M72g1KbxaiIaJgon/9+kCAIYb8Q3QDw0A8STIjCE4IvtE0YB6IYhO1QwgLZ3g8SRPHdDxJE8dgPEqSgbkcDw+HsBwmi7EQ/SJKPUN+HWF22a8yoaR84ThEXBScUQHhhBA/qXJaNegMibH39oP4BLeWgd9fgnlrdSDE1Fxiff/UpCEKoTqj65BvcJUEVDrqxqhTEIBTVQVSlIIqIqjTWgkeiHB4lpSAFdUZDxsJhcJdE8SYpHQZ3UT5C0R5UUjbnxRaOA4BFwQnVjy0pHQZ3UTbqDYiw9UnK/gEt5aBX7zLSY+rxXUaZibISi4mDMi6yLqU3q5HRGvWAHW+3dGzHaqS/pf4bn9R/Y1PDETMXCZaLQQxHzBAVKUQgPLLhiH9QmzKl4oCdCrDHSlC9VrMRM0KwVYqLWZfZiBkj2CTdVKgyo6M0RIH8ZUEYWM1GzBC3aDZS2myUNv3+xG024uKBsy/DbJSkdrMRN1pw+qWajZK12ch6Nu0TftTgJDyEdtcw45kD45CPkRAxGP3/ZHx3IBxmIy6FIlLA15HO7F4bWCfgY37A4EQIL4CA4lPq4lOCxWfORwNnUKLZKA8shecpP1JwHqWYjZK12ch6t57wI6bMrazLpl1VugtOyUaQNhsl47sD4DAbcQnA2ZVsNkr22qA6wZ7xgq3XipFKLpKL68n5pYonyXlUTM6vonhSZNVKPlMXl1FyseSxrt0dmxjc9bvVbKRomCifaZXvwKKs9E0gD0RBCDuH6BbANk/FGH3pwezQeI8+FE2jwtOIL81NGAeiGITtVMKy2t5MEkQRaSaFU6O34JEoicd2kiAFdTcbGY0oDfNpbNwQnYnCeGsoOQ7HEOUjTAtDLErbpalq+g+OM8NFwQkVEF5PwYM6l2Wj3oIIW19DqX9ASznoWrReXFxen9/ExUQlyeUkyfKbyXkaqEkSXuRX4cX5VaxWd7NX0WrchaxEa0rNBcbnX7QKghCqEypah3DIV/r17cVbi99Un+/p7/k/qt+8O3oyd9nmBbOk8CxtrEkFMQgVeRBNKogiokkdtnlBFI+iVJCCOiMCwxEGKpyq2MQyE2XxpkldvnlJPkLVH1STNqfRFo7jhUXBCRWQrUldvnlJNuodiLD1adL+AS3loP2+R8k4pJXKzBx0SR516bZubmLGC/ZVUZG4G+YmZi4SLBeDmJuYISpSiEB4m5ubCO9SUqZkHLCTAXZ1CZrXam9iRgg2Z3Ep67I3MWME27KbalRmdJQWLJA/p72JGeIW7U25tjcVjcMgc9ubuHjg/DuwvYkbLTgBU+1N2dreZD3E9gk/anAaHkK1a5jxzIFxyMcAZ9BN7E3Z+O5AOOxNXApFpICvI53ZvTawTsDH/IDBiRBe+gDFp9TFpwSLz5yPBs6gA9qbuJGC8yjF3pSt7U3Wu/WEHzFlbmVdNu160l1wSjaCtL0pG98dAIe9iUsAzq5ke1O21wbVCfaMF+zOdopyq73JdSqdARPl898pEgQh7BmimwDb6hQJZknhWcLX3iaMA1EMwj4pYdVs7xQJovjuFAmieOwUCVJQ96mB4XB3igRZdqJTJMlHqPpDrDnblWfeNBYch4WLghMqILxcggd1LstGvQMRtr5OUf+AlnLQu2u5z63upYKaC4zPvyYVBCFUJ1ST7qzlXjCNCk/jxqJVEINQsgcRrYIoIqLVbrkXJPGoWQUpqDMmMhpuy70gjDfR6rLcS/IRpoVBRWtzpm3hOKRYFJxQAdmi1WW5l2Sj3oIIW59o7R/QUg5av8PpP78k16yq9K+uL7/zjW9905AIlig1C1K16oOYOeNK1nc4bUYne7QUrbn2OhnDfcAOt3uZOZILKsp/qtTg68s9ztsfL56PKmn4rBKPn99+7/bHK1loMT69bHaqvsEE+rAC/cqMTXuvVNpxN6uUtQ9BBeF+9ZHoj6z6CAP9EeuPVH8U1UcU6Q+lP/LqIw7NdZRPnNCJ8YaQxjzSmEca80hjHmnMI415pDGPNOaRxjzSmEca88iGecTHVHRMvGtUUR5rymNNeawpjzXlsaY81pTHmvJYUx5rymNNeWyjPOZT4ncrf06ou9iattS0paYtNW2paUtNW2raUtOWmrbUtKWNtmTT3mti9tDSLttTjXiqEU814qlGPNWIpxrxVCOeasRTjXiqEU9tiKd8RHxuIzY6K8IzTXimCc804ZkmPNOEZ5rwTBOeacIzTXimCc9shGc8wpf2LPS06O3VjJGl81klxEGRBIF1nLBgmTO6Y1ZnxgvaptAp/Ve11/Xzxcd6Ltc7Q7c/rLuU3cn9Zefy+rsbr/PLc/vqmz4YRaPqOz6pvmh+jzc7A91pT86zzA5RkUIEwmtdxe8s3puE09Hi1/XWXvu2xQ9qS3MluCbVfyqRVg3Ksu/8ovpCu3H3aTUYf3v7N/o3lTCr/uDlcXzl6PTg0SujekfvHxa/Wfyy+u/fV9fH/9gfVWOvtwdfv31dB/Czr4y+dhhWf/rLxe+WGm+l8z5ffKQvAf3r2598pRr/2kW9+ntL5fiivqr07qLxojhgZxz0gxF2yyzGaHaEoK2LsglmM0azYwQNXZttb7Gjo5i3gPwl2TQzbiPO2BFuzRetAr3YCFbHPGp14PBF8/HAmZ3ui07SxOaL5kcLTu00X3QVTuOLXqXZFPUTftTgBL/ZIna10VdFOZ45MA75GOAszViZrqyKOva7A2H1RfMpFJECvo50ZvfawO4vI7kBg/MgvGcKFJ9SF58SLD5zPho4gdJ80WkaTXPjJvBTfqTgNIr7otdF56njbj3hR0yZWlmXzWojuq/glGwEWV/0utg0A2D1RfMJwNmVuF2gr502qPuLf06wtVQsoqviJr+a3Nyc6xPBrvNJnl1FkyiO0vP0skjyeDUFWPcF/vJ8WA9KpP9rwnylqlA0TJTPtIPgwKLsIphAHoiCEJqN6PbCWy9vFHy2eF4/J/3dahH6Q/OKdP7tb33n+vI7oz+9vvzWt1f2lJNXnoyKIDB6Ih+KJkThCcGX8iaMA1EMQi+VsD62uUlEUUTcJMHUeG09EiXx5iYRpaC2soHRCJNprH/8fZSZKIo3L0kUB9NEmQAfywIS6vsQq8t2jbk6knT1CxP4oSw4oQDCCyN8VOeycNRbEIFzu0mQES3loGv5iR1I611+GveMK/kZU3OB8fmXn4IghPKEys8hHst7Mp/Yn8ATTYjCE7Kx/BTEIFTfQeSnIIqQ/LQ8gSeK4lF/ClJQJz9gOLJpmBofIp+JkniTn/bn72T5COV9UPUZN1rFfhytLDih/rHVp/35O1k26v2HsPWJz/4BLeWgfb6pMbLKycRFl8dduq17nZjxdkvG77HXiZmBBMvAIF4nZoiKFCIQXsfrFP0hu52YOQe7vAQ5bXU7MSMEm7W4Sna5nZgxgm3aTeUvMzpKSxbIXxZVwtbYHZuxQ9yi3Uk/VhGkjePAecotHw+c3Ae2O3GjBWd3qt0pWdud7Kfc8qMG5/ghlgQaZjxzYBzyMRIiBsOBkIzvDoTD7sSlUEQK+DrSmd1rA+sEfMwPGJwI4XUVUHxKXXxKsPjM+WjgDDqg3YkbKTiPUuxOydruZD/llh8xZW5lXTbtYtVdcEo2grTdKRnfHQCH3YlLAM6uZLtTstcG1Qn2jBfszvab7A9DKRomyue/3yQIQtiQRHcYPPSbBBOi8ITgq3kTxoEoBmG/lbBAtvebBFF895sEUTz2mwQpqPvdwHCEQTENrB0nQZad6DhJ8hEK/BDLy3aRqZoGhf28WllwQgWEV0bwoM5l2ah3IMLW13HqH9BSDnp33fb2/lRKzQXG519+CoIQqhMqPz247QUTovCEbCw/BTEIxXcQ+SmIIiQ/jdfWI1ESj+pTkII69wGjEYX5NIyNIzITZfGmPp12e0lAQoEfVH6mjVqxH00rC06ogGz56bTbS8JR70EErk9/9o9oKQft1/FkrESVosycdEmXbuuOJ2a8YDcUFYTbdDwxM5BgGRjE8cQMUZFCBMK743j6w/A7VT/gv9e73t/7Sr2kyKqU6kun+nE6dL3/ffuj+rXzH5sG54A9OGBHmCC9rdYoZoRgYxdX1C5rFDNGsKW7qVZmRkdp3wL5U0FV0RNTiDN2iFu0RumXzQZF405wnpDLxwNVwMDWKG60oAygWqOytTXKfkIuP2pQDAyxeNAw45kD45CPAc7om1ijsvHdgXBYo7gUikgBX0c6s3ttYJ2Aj/kBgxMhvAIDik+pi08JFp85Hw2cQQe0RnEjBedRijUqW1uj7Cfk8iOmzK2sy6Zd1boLTslGkLZGZeO7A+CwRnEJwNmVbI3K9tqgOsGe8YLd2d5UbLVGuU9mu4eJ8vnvTQmCELYu0a0ID70pwYQoPCH4st+EcSCKQdiZJSyQ7b0pQRTPvSlBEo+9KUEK6r44MBqhCqZFYtx9mYmy7EZvShKQUOCHWF62i8y86WTYD8OVBSdUQHhlhI/qXBaOeg8icH29qf4RLeWgd9eabz98rKDmAuPzrz8FQQjlCdWfHqz5gglReEI21p+CGITqO4j+FEQR0p9Wa74gikcBKkhBnfyA4cjUNMlsz8wLonjTny5nviQfob4PKj+LRqzYj7WVBScUQLb8dDnzJdmoNyDC1qc++we0lIP264xKTHSvqNB1el+Sqy7dtp1R3HjBZigqB7fojOJmIMEyMIQzihuiIoUIhNdxRm3/5LvF24tf9JujQtgcZcr/ATv/YM+XoK1t5iduhGDrFpfMDvMTN0awabuhFuZGR2nQAvmLkrCaYYx6YcaOcXvup1Cfyx1GKwNCGDjdT2w8cKYf1v3Ejhac6onupzBo3U/LNJuifsKPGpzwh1gfaJjxzIFxyMcAZ+0N3E9V7HcHwu5+YlMoIgV8HenM7rWBdQI+5gcMzoTwIgsoPqUuPiVYfOZ8NHAKHc79xI4UnEgJ7qe26Dx13K0n/IgpkyvrsmlWrj0Fp2QjCLuf2mLTDIDd/cQmAGdXqvupunbaoDrBnvGC3dnuU2JzP4XO4/7uY6J83rtPkiCE3Ul0u0G++ySZEIUnBF/amzAORDEIm6+EFbK1+ySJ4rn7JInir/skSUHd/AaGI07DaZoZ3bozUZZdaD+J8hEK/BDLy3aRGa66FaHjwHVRcEIFhFdG8KDOZdmodyDC1tN+Aga0lIPeXfN9YjM/hRE1Fxiff/kpCEKoTqj8lDffSyZE4QnZWH4KYhCK7yDyUxBFSH4ar61HoiQe1acgBXXuA0Yji+JprBITy0yUxZv6dJnvRQEJBX5Q+dmc2hs6zmEWBSdUQLb8dJnvReGo9yAC16c/+0e0lIP2a38yDmmlKGMnXdql27r9iRkv2A1FBeE27U/MDCRYBgaxPzFDVKQQgfA69qfiD87+NDp6WI7KkQqiYHKSBQ9M43HAHg+wCUxQ21Y7FDNCsJeLi2iXHYoZI9jF3VQeM6OjdGyR/OXT3LgMmbEj3KIZKtFmKNX4EWK3GYqLB877A5uhuNGCEz/VDBWvzVDWY4mf8KMGp/8hlgsaZjxzYBzyMcA5fBMzVDy+OxAOMxSXQhEp4OtIZ3avDawT8DE/YHAehNdcQPEpdfEpweIz56OBE+iAZihupOA0SjFDxWszlPVuPeFHTJlaWZdNu451F5ySjSBthorHdwfAYYbiEoCzK9kMFe+1QXWCPeMFu7PdKGU1QyU0TJTPfzdKEKSrPFzjA24+eOhGCSZE4QnBF/omjANRDMJeLGF9bO9GCaJ47kYJknjsRglSUHfCgdFQ0zQpTCQzUZLd6EVJAhLK+xCLy3aJmTSdC8dh7KLghPoHr4vwUZ3LwlHvQASurxfVP6KlHPTuWvGV1QulqLnA+PyrT0EQQnlC1acHK75gQhSekI3VpyAGofoOoj4FUYTUp9WKL4jiUX4KUlAnP2A4omkeGcdjJkriTX66jPiSfITyPqj6bA70DR0nNIuCE+ofW326jPiSbNT7D2HrE5/9A1rKQfs1Qhn7EpWcTJ10WZdu60YoZrzdkvF7bIRiZiDBMjCIEYoZoiKFCITXfQ/U9g/JE3NCxcHkpLA6oZgDAnaACVrb6oRiRgg2cnEJ7XJCMWMEW7ibamNmdJR2LZA/lU1j22uhmBFu0QmVaSdU3pgRUrcTiosHTvwDO6G40YIzP9UJla6dUNbjip/wowbn/yGWCxpmPHNgHPIxwEl8EydUOr47EA4nFJdCESng60hndq8NrBPwMT9gcB6E11xA8Sl18SnB4jPno4ET6IBOKG6k4DRKcUKlayeU9W494UdMmVpZl027kHUXnJKNIO2ESsd3B8DhhOISgLMr2QmV7rVBdYI94wW7s72o1OqEymiYKJ//XpQgCGGzEt198NCLEkyIwhOCr/RNGAeiGF1N4MAgrI/tvShBFN+9KEEUj70oQQrqXjgwHPk0NR/hOhMl2YlelCQfobwPsbhsl5hZ07pwnL0uCk6of/C6CB7UuSwb9f5D2JwDOkcGtJSD3l0bfmo1QrlPBzTkAuPzLz4FQQjVCRWfHmz4gglReEI2Fp+CGITiO4j4FEQREp/Ga+uRKIlH7SlIQZ37gNEIs2m08vDeF5+CKN7Ep9OHLwlIqO+Dqs/m+N7QcSCzKDihALLVp9OHLwlHvQURuD752T+ipRy0XyuUcRlcCcrCSZd36bZuhWLGC7ZCUT24TSsUMwMJloFBrFDMEBUpRCC8rhUq/kO1QkW1FSq3WqGYAwK2gAlq22qFYkbYFdKiVihmjGAPd1N5zIyO0q8F8qcq2WvbcmVGuD0rVBTsVx9h40Yo3FYoLh448Q9sheJGC878VCtUsbZCWc8nfsKPGpz/h1gvaJjxzIFxyMcAJ/FNrFDF+O5AOKxQXApFpICvI53ZvTawTsDH/IDBeRBedAHFp9TFpwSLz5yPBk6gA1qhuJGC0yjFClWsrVDWu/WEHzFlamVdNu1C1l1wSjaCtBWqGN8dAIcViksAzq5kK1Sx1wbVCfaMF+zOdqMymxUqch8EeA8T5fPejZIEIexWorsP8t0oyYQoPCH4St+EcSCKQdiMJayPrd0oSRS/3ShJEn/dKEmKrm5wUKDL8rAq4rmxjM9EUXaiGyUKSKjvQ6wumzVmFKx6F5HjJHZRcEIBhBdG+KjOZeGotyAC19ONAka0lIPeXSd+ZjNDRe7TAg25wPj8y09BEEJ5QuWnvBNfMiEKT8jG8lMQg1B9B5GfgihC8tPmxJdE8ag/BSmokx8wHPlUFTb5KUjiTX46nPiifITyPqj6bE7zjRzHM4uCE+ofW306nPiibNT7D2HrE5/9A1rKQfu1QhmHtJKTkZOu6NJt2wrFjRdshaJqcItWKG4GEiwDQ1ihuCEqUohAeF0rVPJHaoXiDgjYAiZobZsVihsh2MnFJbTDCsWNEezhbqqNmdFR+rVA/qJ8mlqsUNwIt2iFirUVKlm5EaLIaYVi44ET/7BWKHa04MxPtEJFUWuFiqxnFT/hRw3O/0MsFzTMeObAOORjgJP4BlaoKva7A2G3QrEpFJECvo50ZvfawDoBH/MDBudBeM0FFJ9SF58SLD5zPho4gQ5nhWJHCk6jBCtUW3SeOu7WE37ElKmVddm0C1l3wSnZCMJWqLbYNANgt0KxCcDZlWqFqq6dNqhOsGe8YHe2F5VbrVAxDRPl89+LEgQhbFaiuw8eelGCCVF4QvCVvgnjQBSDsBdLWB/be1GCKL57UYIoHntRghTUvXBgOJJpHNh6UYIkO9GLkuQjlPchFpftEjNuWheOY9hFwQn1D14XwYM6l2Wj3n8IW18vqn9ASzno3fXh51YjVELNBcbnX3wKghCqEyo+PfjwBROi8IRsLD4FMQjFdxDxKYgiJD6N19YjURKP2lOQgjr3AaOh30hq056CJN60p9OGLwlIKO+Dis/mKN/IcTizKDih/rHFp9OGLwlHvQMRuD712T+ipRy0XyeU8fHVSk8qF10RdOm27oRixtutGb/HTihmBhIsA4M4oZghKlKIQHhdJ5T6w3NC6UVFFpgP6jhgjwTY+iWobKsFihkh2MHFxbPLAsWMEezdbiqLmdFR+rRA/pKoiKeZ8TqcsWPcogkq1SaorPEhKLcJiosHzvkDm6C40YKTPtUEpdYmKOs5xU/4UYNT/xBLBQ0znjkwDvkY4Py9iQlKje8OhMMExaVQRAr4OtKZ3WsD6wR8zA8YnAnh9RZQfEpdfEqw+Mz5aOAUOqAJihspOJFSTFBqbYKy3q0n/IgpkyvrsmnXsO6CU7IRpE1Qanx3ABwmKC4BOLuSTVBqrw2qE+wZL9id7UMVVhNUSsNE+fz3oQRBCBuV6MaDhz6UYEIUnhB8kW/COBDFIOzDElbI9j6UIIrnPpQgicc+lCAFdRccGI0wyvNpaHaUzERhdqMVJQlIqPBDrC/bVWbaNC4ch7CLghNKILw0wkd1LgtHvQkRuL5WVP+IlnLQu+vCL6xGqIyaC4zPvwAVBCGUJ1SAenDhCyZE4QnZWIAKYhCq7yACVBBFSIBaXfiCKB4VqCAFdfIDhiNNkmmQJiaWmSiLNwHq8uFL8hEK/KD6sznMN3KcziwKTqiAbP3p8uFLslHvQIStT372D2gpB+3XCRUa26KVonSe/leEXbytW6GY8YL9UFQQbtMKxcxAgmVgECsUM0RFChEIr2uFSv9QrVBJoi+fKgIdu16E3P5o8VxfWqYBOmAPENgXJshvq0OKGSHY3sVVtcshxYwRbOxuKpeZ0VGauED+YqXM7bQZO8It+qOK/UMVB41FIXf7o7h4oBIY2B/FjRZUAlR/VL72R1kPL37CjxrUA0OsHzTMeObAOORjgJP6Jv6ofHx3IBz+KC6FIlLA15HO7F4bWCfgY37A4DwIL8KA4lPq4lOCxWfORwMn0AH9UdxIwWmU4o/K1/4o6916wo+YMrWyLpt2ZesuOCUbQdoflY/vDoDDH8UlAGdXsj8q32uD6gR7xgt2Z9tTYWA1SBU0ThTQf39KEISwfYluR3joTwkmROEJwZf+JowDUQzC7ixhgWzvTwmi+O5PCaJ47E8JUlB3x4HhUFUpT40DMhNF2Yn2lCQfob4PsbxsF5lF081wHMwuCk4ogPDKCB7UuSwb9QZE2PraU/0DWspB7649v5KfFntU7Dw80JQMDNC7/JQEIZQnVH7K+/MlE6LwhGwqPyUxCNV3CPkpiSIkP43X1iNREn/qU5KCOvkBoxEG6VQZB2QmiuJNfbrc+aKAhPo+pPyMm9N9Y8d5zaLghALIlp8ud74oHPUWROB69CcwoqUctGd7lGVDM3aeCFhEXbxt26O48YLtUFQQbtEexc1AgmVgCHsUN0RFChEI7449Sr8m6jeVcq/0+0uWpGdds9NuOZ/qFYN2Pv1M25309rYp5QfslIONXoKgthmeuBGC/VpcJzsMT9wYwU7tpgqYGR2lKwvkL86KzLJHNWPHuD3LUxxpy1O8ch3EodPyxMYDZ/dhLU/saMHZnWh5isPW8hRbDyl+wo8anOOHWBRomPHMgXHIxwAn6g0sT1XsdwfCbnliUygiBXwd6czutYF1Aj7mBwzOhPDKCig+pS4+JVh85nw0cAodzvLEjhScSAmWp7boPHXcrSf8iCmTK+uyaVer7oJTshGELU9tsWkGwG55YhOAsyvV8lRdO21QnWDPeMHubs8ptFme4ojGiQL67zkJghD2JNEtBg89J8GEKDwh+HLehHEgikHYciUske09J0EUzz0nQRKPPSdBCuqGNzAaYRgX0zBPTDAzUZjd6DpJAhIq/BALzHaZGTU9CscR7KLghBIIr43wUZ3LwlFvQgSur+vUP6KlHPQOm+5Dq+sppiYDA/SvQAVBCPUJVaDypnvJhCg8IRsrUEEMQvkdRIEKoggpUJvpXhLFowQVpKDOfsBwqLSYqsJYyGeiLN4UqMN1L8pHKPCDCtDmLN/YcTizKDihArIFqMN1L8pGvQMRtj792T+gpRx09X9/vhShyWtuhflX15ff+ca3vmnIBENgJibMSlkmLszA/owtHCtFNDYGKGOwD9jBdq8xR2JBYfhr/eagShY+W/zLyz6mlQnq9gej2tL0WW150RLy49u/rlSj0blSacDkKzM2272qaIfbrCiuvAJKewX0GVJxXn0kgf7Q/oEk0R/6C4n+gtJfUPoLSn9B6S8o/YVUv18l11/NrbWUm4qEngq8m6P5jzT/keY/0vxHmv9I8x9p/iPNf6T5jzT/keY/0vxHmv9I8x9p/iPNf2TjP+LzKzo/3guq8I81/rHGP9b4xxr/WOMfa/xjjX+s8Y81/rHGP9b4xxr/WOMfa/xjjX9swz/m4+O3OX8mWTWtlW5a68OMqjSUOg2lTkOp01DqNJQ6DaVOQ6nTUOo0lDoNpU5DqdNQ6jSUtjSU7DTca2b2pIF2B5xq9lPNfqrZTzX7qWY/1eynmv1Us59q9lPNfqrZTzX7qWY/1eynmv3Uxn7KZ8enUGIntEI/0+hnGv1Mo59p9DONfqbRzzT6mUY/0+hnGv1Mo59p9DONfqbRzzT6mQ39jIf+0oysM/BnLlUxnKs6sTZMlZMhtg4fFipLUej9NVO0D9jRdifeDQ3Vb1di4reL96vP5U7T4nf649OO0Ki+Re89va4NtrofetdFrU3Vt99dvBgtPqhUyOv1V56PtBm7+vLz6pfxflT9zP1R/W98sm6lLt+K+Hm9m/W75ZsT632u6i9/Uv9z2p+tf+4yhE9Xzt7nVknDzGl3Bpe0aDNDVKQQmeEdsMMDTVyEnTKrnZkZIejFwjfAXHZmZoygC2vTnS1mdBTHFZC/rApkqjJTjDN2jCJ25vtbn+aBf8wPG5wu6TblMArtNmVutOCMSbUpr0+ujR0n17KjBmdO0noVvTQO+WGDkxNjbdk6Bdcn1cY9J9WyKRSRAr5udGb32sDuL+u4AYMzGnvn03alzPkhg1MczW4cZg67MTdScKKj2I3XJ9Dai8cJP2LK5Dfk5VCyQ5a2F69PnHUXjVM+ATgrEhfV+lppg7q/EuYEqzfX99t1hNfFsM27kToxlDXnWKi8xbBl6f6AHS04paOL4e7+eu+y9+XHjF8sfjfSTyffvrF6tvSH9V/9uPrVD0aL31YL5OfNT1vu1X9R/ZQXt98zZeQhOyOgWhhkKcsMUZFCZIZ3wA4PnPiHWMoyIwTn+WGWsswYwRl+06UsMzrKbA7kL47CYloYRdKMHaPIUvbebGh8MjdrnotL3Q/lcsnA+ZCx2s2ieFoUpnC/xg8XnBOpy910vdy1nlL6hB81ODeSlrsWNahhxjMHxiEfA5zQNln+puO7A+FY/nIpFJECvo50ZvfawO4vf7kBg7MgvPwFCk8JFp45nwqcOWkr5CjRT+QmplCf8kMFJ1DKEjldL5Gtd+oJP2LKpMq6ZFonlbvYlGwE6SVzOr47AI4lM5cAnFrJS+Z0rw3q/pKZE6yO9iYuzlUR5ZPqW28mYXh9PSmKIJlchWkanl8GFxfFahazLqX/8nzI5yGs/dpqQZ3RIFE606LbAUVZeJtAHoiCELyy6Jr8neUqWa+276yh63Zx7X6rltifrV7oVHeV/27x88U7o7/6k0gtPl18Oiq/9R+/efXgW+ffvhqV//F/uf72V7/xzWtTZh6KZkbhmcEXvndesxUGU/2Lu5sWH1m2JPQXXjIQLj5e7V98Wv1Hv6fru80zJquNj1Xf/eP6m1/O+zP9j1bf/rn++6szD1/U3/uJfuvW4qfrf13/I8tHW75YfFH9tZ+P2nd1PdN9/g9uf9D89a+MHrwSRkEwmtz5CW389Th/UbsF6n9o9OD85uYvrkevXH7rP1ajdzkq/+frv/iL/Tq02zdr48AbmmPFpEPRP36cVv+Lgv3lu8c+r76vfvfY6Et1jFXitBrJb390+z39C7WfpdVa/sujeBRFaj+tshX9m1GYqjDOdaB/XxHon/LSxtFIBUF9Eb5yMvrS/MujxbvVN0ajuCLTP7X622GRBrH+2/+4jG85FrWdYpXzz9qX3H00CovbH0TJ6Etx9W9/efWUeRjUPzMq1HLP6sMqtZ/+m1GQRHGe6Z/83qT+eZ/ffr8C18mKktsfxHH1vwp/OXrP9cBX0J9q18bqfWf1T83i9P5PLSw/M0pvf1CP2p0fokZJFr30Q6amm+9A9ObrilnHzTfEto4gicijPMYZ75Eoh8fneAQpqE8RAGPh3koSZPH2HI/DPSGJR5AmQ2yJtBsjzVHgseNsd1FwQvGDV/P3KkgcRvZ+tiQd9RZE6JxDOkeGtJSD9vf64sT8jpFqKeQ+dG47Rlt7b5EZLbh/iq5jdqm3yMxIgmVkkN4iM0RFChEI7+Ul1uJnE8vbug7YAYP7rEPIUmaE4J4pQW46uo3MGMHN0k2lJDM6ysYokr8kmxbGy3DGDnGLzcai2fN3H3rOJgMnyKGbjdxwwUmS2mxcn3oeO049Z0cNTpZDKGsNM545MA75GOAMt0mzcX3qedxz6jmbQhEp4OtIZ3avDawT8DE/YHAShJcnQOEpwcIz51OBE+eQzUZuqOD8SWk2rk88t9+pJ/yIKXMq65JpV3vuYlOyEaSbjesTz92F5pRPAE6t5GajPvHcXGTOeMHuaLMxtjYbCxokSue/2SgIQtjRQxfpPpuNgplReGYIK+F/1g2iVX/rw/q1I/olyPpVyHU78f3qN9+//f6qISfWTnxr8Y+L/7b4zeJtvSTXRwPp99/9b/q379a/+c2o+tNn1V/+VP+7Xxn9aa4bUnps1gf8HD0sR+UoDpJg8igOvm4aoAPRASLsyQ6x8hck8dqQEuTw2JASpKDuhiNj4dptEETZhX6UJB5h9hpi1dyunZuzv2PHYe6i4ITaBy/47l20SgWOBywl8ai3IILX15DqH9NSDtpnQyoxsb2iEvdZoUmXbbsNKW604B4bqnV3qCHFzUiCZWSIhhQ3REUKEQjvXkPKKPoO2AGDe3EDyFJuhOC+GkFu2htS3BjBDbUNpSQ3OsrmGZK/JJmmlhe5cEPcXkMqCVf7wkngbEixycAJcuCGFDtccJIkNqSSoG1IJdZTwJ/wowYnyyGktYYZzxwYh3wMcIbboCFVxX53IOwNKTaFIlLA15HO7F4bWCfgY37A4CQIr0+AwlOChWfOpwInzgEbUuxQwfmT0JBqC85Tx516wo+YMqeyLplmtddTbEo2gnBDqi00zQDYG1JsAnBqpTakqmunDaoT7Bkv2B1tSFnfrZqENEiUzntDShKEsKWHLtI9NqQkM6PwzBBWwr8nDal9W0dq/15LKgyyYPL1NDgxDdGB6BARtmWHWPsLkvhsSUly+GtJSVJQ98ORsXDtNwii7EBLShSPMH8NsW5uV8/hqn2RWA9ZP5QFJ9Q+eMlHa0mJ4lFvQQSvpyUFjGkpB+2zJaVMbJVgjpxs9hd4YKFShDDSkmJGC+6yoWp3l1pSzIwkWEYGaUkxQ1SkEIHw7rWkYlPAB+yAwd24IWQpM0JwZ40gNx0tKWaM4JbaplKSGR1l+wzJXyURY4triRviFltScbMzHLlbUlwycIIcuiXFDRecJKktqWjdkrIeEf6EHzU4WQ4hrTXMeObAOORjgDPcJi2paHx3IBwtKS6FIlLA15HO7F4bWCfgY37A4CQIr0+AwlOChWfOpwInziFbUtxQwfmT0pKK1i0p6516wo+YMqeyLpl2tecuNiUbQbolFY3vDoCjJcUlAKdWcksq2muD6gR7xgt2R1tSytqSimmQKJ3/lpQgCGFLD12k+2xJCWZG4ZkhrIT/+FpSgkNE2JYdYu0vSOK1JSXI4bElJUhB3Q9HxsK13yCIsgstKUk8wvw1xLq5XT3HTfsidqygJcEJtQ9e8hFbUpJ41FsQwetrSfWPaSkH7bMllZrYKsGcONnSLtuWW1LMaLsV4w+oJcXMSIJlZJCWFDNERQoRCO9eSyoxBXzADhjcjRtCljIjBHfWCHLT0ZJixghuqW0qJZnRUbbPgPzlQTSNbK4lZohbbEmpZmc4cbekuGTgBDl0S4obLjhJUltSybollThaUtyowclyCGmtYcYzB8YhHyMhYjB2ipPx3YFwtKS4FIpIAV9HOrN7bWCdgI/5AYOTILw+AQpPCRaeOZ8KnDiHbElxQwXnT0pLKlm3pKx36gk/Ysqcyrpk2tWeu9iUbATpllQyvjsAjpYUlwCcWsktqWSvDaoT7Bkv2B1tSaXWlpSiQaJ0/ltSgiCELT10ke6zJSWYGYVnhrAS/sNrSUVBGky+HltbUoJDRNiWHWLtL0jitSUlyOGxJSVIQd0PB8bCud8giLILLSlJPML8NcS6uV09q6Z9oRwraElwQu2Dl3zElpQkHvUWRPD6WlL9Y1rKQftsSRnrUCWYUydb1mXbckuKGS24y4aq3V1qSTEzkmAZGaQlxQxRkUIEwuu0pCwHTR+wAwZ344aQpcwIwZ01gtx0tKSYMYJbaptKSWZ0lO0zJH9JPI2NnZAZO8QttqSyZmc4dbekuGTgBDl0S4obLjhJUltS6bollTpaUtyowclyCGmtYcYzB8YhHwOc4TZpSaXjuwPhaElxKRSRAr6OdGb32sA6AR/zAwYnQXh9AhSeEiw8cz4VOHEO2ZLihgrOn5SWVLpuSVnv1BN+xJQ5lXXJtKs9d7Ep2QjSLal0fHcAHC0pLgE4tZJbUuleG1Qn2DNesDvaksqsLSnnOdT3IVE6/y0pQRDClh66SPfZkhLMjMIzQ1gJ/+G1pHrOkpIcoq7kcQzREGt/QRKvLSlBDo8tKUEK6n44Mhau/QZBlF1oSUniEeavIdbN7eo5a9oXmWMFLQlOqH3wko/YkpLEo96CCJ5zTOfImJZy0D5bUsbzZSvB7D5fNu+ybbklxYwW3GVD1e4utaSYGUmwjAzSkmKGqEghAuHda0kZRd8BO2BwN24IWcqMENxZI8hNR0uKGSO4pbaplGRGR9k+Q/LnerczM8QttqSKZmc4d7ekuGTgBDl0S4obLjhJUltS+bollTtaUtyowclyCGmtYcYzB8YhHwOc4TZpSeXjuwPhaElxKRSRAr6OdGb32sA6AR/zAwYnQXh9AhSeEiw8cz4VOHEO2ZLihgrOn5SWVL5uSVnv1BN+xJQ5lXXJtKs9d7Ep2QjSLal8fHcAHC0pLgE4tZJbUvleG1Qn2DNesDvaksqtLamCBonS+W9JCYIQtvTQRbrPlpRgZhSeGcJK+Pe1JRVG7Df3CY4RYV92iMW/IInXnpQgh8eelCAFdUMcGQvXhoMgyi70pCTxCBPYEAvndvlcNP2LwrGElgQn1D54zdcd0ywIHS0pSTrqHYjQ9bWk+oe0lIP22ZIybre9opT7hNmiy7bdlhQ3WnCXDVW7O9SS4mYkwTIyREuKG6IihQiEd68lFZsCPmAHDO7GDaBKuRGCO2sEtWlvSXFjBLfUNlSS3Ogo22dI/hzvduaGuL2WlApXO8MqcLak2GTgBDlwS4odLjhJEltSKmhbUss8m6J+wo8anCyHUNYaZjxzYBzyMcAZboOWVBX73YGwt6TYFIpIAV9HOrN7bWCdgI/5AYOTILw8AQpPCRaeOZ8KnDgHbEmxQwXnT0JLqi04Tx136gk/YsqcyrpkmtVeT7Ep2QjCLam20DQDYG9JsQnAqZXakqqunTaoTrBnvGB3tCVV2FpSKqRBonTeW1KSIIQdPXSR7rElJZkZhWeGsBL+42tJSY4RYVt2iMW/IInPlpQkh7+WlCQFdUMcGQvXhoMgyg60pETxCBPYEAvndvkcrvoXy1+YwA9lwQm1D17zkVpSonTUOxCh62lJAUNaykH7bEmFxhGtFHPkgFNB0IXbck+KGS24zYbK3V3qSTEzkmAZGaQnxQxRkUIEwrvXk0pMAR+wAwa344aQpcwIwa01gtx09KSYMYJ7aptKSWZ0lP0zIH/65c6JTSIyQ9xiTyputoYjd0+KSwbOkEP3pLjhgpMktScVrXtSkaMnxY0anCyHkNYaZjxzYBzyMcAZbpOeVDS+OxCOnhSXQhEp4OtIZ3avDawT8DE/YHAShNcnQOEpwcIz51OBE+eQPSluqOD8SelJReuelPVOPeFHTJlTWZdMu9xzF5uSjSDdk4rGdwfA0ZPiEoBTK7knFe21QXWCPeMFu6M9qTCwNqViGiWK578pJQhC2NNDV+k+m1KCmVF4ZghL4T/AplTPcVKSY0TYmB1i9S9I4rUpJcjhsSklSEHdEgfGwrnjIIiyC00pSTzCBDbEyrldP8dNByN2rKElwQm1D1700ZpSknTUOxCh62tK9Q9pKQfttSllU8yJEy7swm25KcWMtlsx/oCaUsyMJFhGBmlKMUNUpBCB8DpNqcQU7gE7XHA3bghRyowQ3FkjiE1HS4oZI7iltqmQZEZH2T4D8hfF6VRvO98PccYOcYstKdXsDCfulhSXDJwfh25JccMFp0hqSypZt6QSR0uKGzU4VQ4hrDXMeObAOORjJEQMxk5xMr47EI6WFJdCESng60hndq8NrBPwMT9gcBKEVydA4SnBwjPnU4ET55AtKW6o4PxJaUkl65aU9U494UdMmVNZl0y72HMXm5KNIN2SSsZ3B8DRkuISgFMruSWV7LVBdYI94wW7qy2p0NqSUjRKFM9/S0oQhLCjh67RfbakBDOj8MwQFsI/NW0/LJ53NjNuf7z8o2e6F6XTye5Ojeof+V397+kNkeZvjRafVz+k+ofr3ZQXdf/qg/qfq//t4XtauqV1+4PY0Nc6eeXJqAiCWAuJxc/qf+PHi49M430gOt6ELd4hdhIESby2twQ5PLa3BCmom+vAWDh3LwRRdqG9JYlHmAyHWIW3a3HV9EKUYz0uCU6offAC8l4BCTPl6G9J4lFvQQSvr7/VP6alHLTX/pZxhqvkd+qEi7pwW+5vMaMFN+1Q7bxL/S1mRhIsI4P0t5ghKlKIQHid/pYyhXvADhfc2htClTIjBLfpCGrT0d9ixgjuz22qJJnRUfbigPxFeWopzDN2iFvsb2XNNnPq7m9xycD5cej+FjdccIqk9rfSdX8rdfS3uFGDU+UQylrDjGcOjEM+Bji/bdLfSsd3B8LR3+JSKCIFfB3pzO61gXUCPuYHDE6C8PIEKDwlWHjmfCpw4hyyv8UNFZw/Kf2tdN3fst6pJ/yIKXMq65JpF3vuYlOyEaT7W+n47gA4+ltcAnBqJfe30r02qE6wZ7xgd7W/FVn7W66DrQ2UKJ7//pYgCGFLD12j++xvCWZG4ZkhLIT/uPtb6ab9LcHx7goox3gPsZMgSOK1vyXI4bG/JUhB3VwHxsK5eyGIsgv9LUk8wmQ4xCq8XYtnTS8kc6zHJcEJtQ9eQHbHNFWBo70lSUe9AxE655DOkSEt5aCr//vz/aW2+zOXFh+0zRWbICsV7jwFN0i7kJ7aXMZoH7CjBffuUAm9eZvrF9Uf/KoSf6OoEof1o/1vVr+o/l4t+z7Vwq/+n5aAny7/+PPb71e//UQL8ncW75jy85CdnwTLzyBNL2aIihQiEF44uv0vyzGs5PR/rVY6P6rS+8FyvF4evkp5jyox/WzxUa3s36+l+W+rP/60HrHfVV/5bb0K0N/60aj6MR/Uf6f6hV4haNH/vP65+qvVUqEab/1zvrh9sxrf+k+rf79pwP3T4u3FOxPjvsABO3Xg3uMQspkZIbiPSJDDjgYcM0ZwA3FTqcuMjrJZCOQvzqbGi3DGDnCL7bdi/1Clgf4I9UekP2L9kegPpT9S/ZHpj7zZMs/dvTpuGsBJntGrq6AsAu5r/HDBeZ7aq8vXvbrc0avjRg3O90OsEjTMeObAOORjgNPyJr26fHx3IBy9Oi6FIlLA15HO7F4bWCfgY37A4HwJL7WAKlXqKlXqKlXqKlXqKlXqKlXqKlXqKlXqKlXqKlWCVWrOTwE4IRMbe1EcTXPjvPKUHyo4L1Mae/m6sWe9rU/4EVPmatb11S5z3ZWpZCNIN/by8d0BcDT2uATgPExu7OV7bVCdYM94wdb6+KJIVRBfT1SeF5PkIs8nF9lNWv02uDw/P0/T6Px6yWPdTHDsqjA3FKyNvYJGieKZth0cVJStBxPIA1EQwl4muivxz531pm7w1V2bl5eoL9oF6v6o+hu/Wfx88e7il4tfLd76D/X3vhcbt14eiiZD4cnA1/cmjANRDMI2LWGt/fHiQxPKV0VRRHpUwTRWJpRHoige21SCFNRNcmA4dAW3LfIFSbx1qZSaFsYp6rEsH6G0D7EAbZehRdPTKBxLUUlwQv2D107woM5l2aj3H8LW16TqH9BSDrrWnUl6eZmcXxQTFQfpJEkugslFEF1NsvjyPEquLhOVXrzmXXcaN59fqRbP1FRgeN51pyQIoTihuvMfK3H5Se18ak1IdzpW1R99tBSX67bK57c/rK1MH+k/T4NxlJlS8VA0FQpPxaaqUxKDUHVx1Xn7I/NzdV8VRZFSnSaSR6Ik/kSnJAV10gNGIwynkXF3ZCZK4k90TjOLNUoUj1DWh9ScabCSKMtfmMAPZcEJ1Y+vOS1jOpdFo959CFqP5ATGs5SDriXnVVykl3EST5Lg+nKSxMH15CJV4eTyJr/Oz8PgJsqS17xLTot7Kg2pqcDw/EtOQRBCbUIl57uViHyuXe9O0TmqnVmfVX/0xspBr01VH2jZydajgnlSeJ421qOCGISKPIgeFUQR0aOx2VnzSJTEox4VpKDOiMBohLGaxpZdUEkUb4I0TKehsZg9luUjVP1BFWlzWnxqPS3+UBacUP/YitQ6qHNZNuoNiLD1SdL+AS3loJe7oOfxhVJFMbkOw2iSXObh5Lyo/lacJTdFdnFzfXO+utp9StLElIpKkkbUVGB4/iWpIAihOKGS9J+1yLx9Y/FFLS3jfTU2NzsfioIpHGxjDSmIQaihg2hIQRQZDWnxtkuCeJSQghTUGQwYjOqftO1oCoJ4E5DBNLV00UXxCCV6UP0YNXLDcd69KDih9rH1o21M57Jo1JsPQeuTj/3jWcpB1/IxPC+uoss0nORRfDNJolhNLsIin1wXWRBeXVxlKrl+zbt8VKZUVPIxpqYCw/MvHwVBCLUJlY8vvZXlLf1ikEpNft/w2OF/WD5EGin9uo7lSzvCaKpGi09NWXgomgWFZ2FjrSmIQai3uNa0PiEpSSIiNaNpoEwoj0RRPIpNQQrqfAcMR5ZNA5vaFCTxqDZtrxYRxSNU9EHVZnOMcOo4GVoUnFD92GozTFVqfbWIKB31BkTo+gRn/5CWctDL/co4vwnii3wSRImaJFmSTs5v4otJkVwVSZylwUV88Zp3wWlsslSCM6GmAsPzLzgFQQjlCRWc7X6lfiGFfkXd8k109avpPm33MM2nfz8UhVU47Ma6UhCDUFlxXenYwxREERGW5hOAHomCeJSVghTUWQ0YjCbe+6JSkMOjqCyMs89jWTxC1R5UVCaNAnGcjywKTih9bFFpG9O5LBr13kPQ+hRl/3iWctC1ory+idP0Kr2YhGGYT5IwvZycX16qum9+Xf3ZdaVKX/OuKI0OiEpRKmoqMDz/ilIQhFCbUEX5q9Xrip+NFs8qIfmpfm9xJTL/9vZv6tdIf6n75rNnX65lpgr0K4dNGXgomgGFZ2BjmSmIQai1uMysX2r44dSyrfxVUSAZsTmNlAnlkSiKR7kpSEGd8oDhSIyleyaK4U1t2g4veSyLR6jog6rN5qTI1HH6pyg4oQKy1aZtTOeyaNRbD0HrU5v941nKQS8fAQqvwvBKFZMLdaOfUL8MJnmR3EySyyBMgyC6uElWk4RPtWnsulRqM6WmAsPzrzYFQQi1CVWbP601ZKUnJ/Urj14sPqvVZDpOjI2Gh6J8CufbWEsKYhAqKa4lHVuWgigiKjKYZsqE8kgUxaOKFKSgTmXAcES5+VUgM1GQXdCRkniEWj2ojkwb3eE49VIUnFD9JHSkJBr15kPQ+nRk/3iWctBLHXmdJHkYBJPzoO6Z31xMLoogntych1dBnqjrODl/zbuOLEypqHRkRk4FhOdfRwqCEGoTqiPfeelojZ/0PxY+DvYrgam749Y9S0F+hfNvrDMFMQiVFteZvXuWgkAiajMxNzgeiZJ4FJuCFNT5DhiNMEunmU1uCqJ4k5tpPg1t1ktJPkJNH1RvNkeApY5T3UTBCVWQrTetgzqXZaPegAhbn+DsH9BSDroWnMH1RXZxeRNNzi/1JufF1fUkv47TSXx5eZFcXqk8D1ZXu0/Bab4AKsVJfBs9yudfcQqCEKoTrDjXB8bdO9mt+u3tm4tP9alg/VrUlI2HotlQeDY21p+CGITKi+tPxz6nIIqQ8jQKnUeiJB6VpyAFdeIDRiNU2bSwKU9BFG/KU9mFpyQeobQPKjzzRqc4jgwTBSeUP7bwtI3pXBaNevshaH26s388SzloLTxdenLQM4QTE1wlJAsHnAriLtx2zxDmRtstF3+oZwhz85Ng+RniDGFuiIoUIhBelUU9bM8WnwBnCP9i8fPFrxY/Fzs12Hi9H7CT1Z0l5E4N5kbY1b6SpwZzY+yqWplTg7nRdafLDU8NTqPEdmwwN8LtHRuc6RODM31icKZPDM70icGZPjE40ycGZ/rE4EyfGJzl+qNYHciZ1me1WI8NZqcBnNcHPjaYHS44tROPDU6L9tjg1HomzhN+1OAUP8RqQMOMZw6MQz4GOBNvcGxwFfvdgbBRHPEpFJECvo50ZvfawDoBH/MDBidMeEkFVKlSV6lSV6lSV6lSV6lSV6lSV6lSV6lSV6lSV6kSrFJzfgrAGXnAY4PZoYITM+HY4LY6PXXc1if8iCmTNev6ale07spUshGEjw1uq1IzADaCUz4BOA9/h1SRdEb32qA6wZ7xgt3VflRiOzY4cx0rYqBE8by3oyRBCHuW6EaEcDtKMhsKzwa+pjdhHIhiEPZj8dW2vR0lieK3HSVJ4q8dJUnR1QwOCnSRH6VRPI0t/ShJlh3oR4niEWr7ECvQZh2aNWd+ZY4z3ETBCfUPXjyhYzqXRaPefwhaTz8KGM9SDnpnjfeWSaTSna6zQ4ypwPD8605BEEJtgnXn0MZ7SX6F82+sNAUxCJUWV5p9xntJICG9aTHeS5J41JuCFNT5DhiNqIjVNLXpTUEWb3rT4bwX5SMU9UEFZ3OiV+Y4ok0UnFAG2YLT4bwXZaPegQhbn+LsH9BSDnr1grrzqyg+v5ncXFxcTZI4qnRqeJFNgsu4yC+j5DqOV4PuU3HGplRUijOipgLD8684BUEIxQlVnL/Qdhn9tuP6DODno9vXb79XHwzcHiFca87n2rtTn8Zx++PVeRuLD6o/eKZtWfrv6O3QxcfVD/to+dUw0m9KjoJKpipzJ/2haKoUnqqNxakgBqEqE8SpzXQkSSKiSu0HcUiieJSlghTUSREYjjDKg2lirPAzURZvsjSMs2lmbEk+lgUklP5BdWlzVFjmOPpNFJxQAdm61D6qc1k46j2IwPUJ0/4RLeWgd/Zddont7OAspqYCw/MvTAVBCNUJFabkd9lJ8imcb2M1KYhBqKW4mnQ01QVRROSk/V12kige5aQgBXUqA4YjSfNpYhyQmSiKNzVpf5udKB6hWg+qJZtTwDLHwW6i4IT6x9aS9rfZiaJRbz8ErU9J9o9nKQe9s2dwJLZjhLOEmgoMz7+SFAQh1CZUSQqcwSGZAYVnYGOtKYhBqLW41uxtqwsCiShO+xkckigeFacgBXXKA4Yjy21LgJkoyi4oTkk8QlUfVHE2p4RljlPfRMEJVVBCcUqiUW8/BK1PcfaPZykHvbPnCFseMK8Up6KmAsPzrzgFQQi1CVWcm50jLAmrcNiNxaUgBqGs4uLSsZEpiCIjK5UJ5JEoiEdRKUhBndWAwShi80OsM1EQb5LSfpCwKB6hbA8qKZujwDLH0W6i4ITax5aU9oOERdGoNx+C1icp+8ezlINeSsrz+EKpophUWjOaJJd5ODkvri8ncZbcFNnFzfXN+RY2MY12/0pSpuRUQHj+JaUgCKE2kSVlKx9jZQJ7KAqmcLCN5aMgBqGEDiIfBVFE5GNseeGbJIhH+ShIQZ3BgMEI8yzOTSQzURKP+jE1LoQfy+IRavSg+rE5AixzHOkmCk4ofhvoR/OYzmXRqHcfgtanH/vHs5SDXtop4yK9jJN4kgTVd+hNy8lFqsLJ5U1+nZ+HwU2kt0R960djyar0Y0ZNBYbnXz8KghBqE6of3118vni++K32Ua4f7bnzbqPqjz4a1e89+qz6ozfqh4A+qF+XrJ8M4r/rSDBPCs/TxnJUEINQkQeRo4IoMnLU3N94JEriUY8KUlBnRGA0oijJp8o4IjNRFm+KNEynobGaPZblI5T9QSVpc0hY5jj1TRScUADZktQ6qHNZNuodiLD1adL+AS3loJd7munlZXJ+UUxUHKSTJLkIJhdBdDXJ4svzKLm6TFS6hTa5sQ1TaVLXQSRmeQ7h+dekgiCE4oRq0n+stOYnPYqULTsFU6HwVGwsOwUxCFV3ENkpiCIiOwPzuyoeiZJ4lJ2CFNRJDxiNMM+m1n1QQRRvqlNNM9sLjyTxCHV9UNHZnBCWOU58EwUnlD+26LSN6VwWjXr7IWh9mrN/PEs56FpzZhdFWv2Q64nKc/3gUJ5PLrKbtPptcHl+fp6m0fn1a941p+2k4dX7Bgi5wPj8i05BEEJxQkXnP3fOEns2Wvy21pgvHz/2oj18bH9U/Y3fLH6+eHfxy8WvFm8t9eh7sVEaPBRNhsKTsbHsFMQg1F1cdlZj9qEJ5auiKFKyU5lQHomieNSdghTUiQ8YjijMLc3MmSiKP92ppoWtAS/JR6jtgwrPohEqjmPGRMEJBZAvPG2DOpdlo96ACFuf8uwf0FIOuvq/P6/+clL9nT9zKctBzxxWJshXqsgckEmQdSE9nTmcmKJ9wI62Wze2eOZw9ccvtJwcLX6qHyxv35352eLDSjf+oj5z+JPbn9y+qf++KQsP2VlIsCwMcbIwN0RFCpEZ3gE7vG4ZljvLlxthV15KnuXLjbGrG2XO8uVG152ONj3LN86nythwmLFD3N5hvnm4Ovkyrw9FsZ7PyyYD50D6+bxFGk0LYzPva/xowVmQeDxvHrTH8+bWs2ee8KMGZ8MhFLSGGc8cGId8DHA62+B43ir2uwNhozjiUygiBXwd6czutYF1Aj7mBwzOgfAyBKg7JVh35nwqcN6knbgbxpltN/8pP1Rw+iScuNsWnKeOO/WEHzFlSmVdMs26rqfYlGwE4RN320LTDICN4JRPAM6s3yEVGZ3RvTaoTrBnvGBrGXuZhHEYhJMgKs4nicqTyfnldTZJi/OrILy5ujg/X92x1tWzYxuBuYK2nbibu47kMFCieKZ1toOKstY2gTwQBSFs3aHL8Hc6K++PXl53f774uFpOL/6hbsH8j8X/uXhv8ZvmFIr3a+PQj9tzJ4Lg9gf1R+J4f5tkchSeHHzpuzwZbvFi8bu6LfXbtWPqK6PFT6sUva8z929GVY6eVd/zqX7dyKj6K89vf1T973u6pfWVUarTki5zM7oIg+63v3n7Q225qvtfL+ex+r639Fkft6/r45DfWfys+jd/Ee6PFj/XH3+nP94Lq2/67/X4fa/66s/aQal+9rN6FOuHCEyjcSA6GoTN1iFW+oIkIs2m0FwHH4mS+Os1SVJQt7qB0ciCaJqYHY0zURZvzaZchVMz4GNZQMKUNcRauV0xN8eA5Y5z3UTBCQUQXubhozqXhaPegwhcT7sJGNFSDlo7nVxCedA2k/EZn0oiRw44FSRduC23mZjRghtrqL7ddpuJmYUEy8IgbSZmiIoUIhBetbqo0v0VrXTfm+RTLX5r6VsL6c8aVfu8HsxP6kPxfliP5PL0u7vLlunolb+4uP6r0f/1/zk9eHT25JWT/+sTE/0Bmx7cwRtC2zIjBHfjKJrV3sVixghuw22qRpnRUbbckPylsfnJhhk7wi02seJmMzlyN7G4ZOAMO3ATixstOMdSm1jRuollPTXsCT9qcK4dQphrmPHMgXHIxwAny02aWNH47kA4mlhcCkWkgK8jndm9NrBOwMf8gMEpEF7dAHWnBOvOnE8FTptDNrG4oYKzJ6WJFa2bWNY79YQfMWVGZV0y7WrRXWxKNoJ0Eysa3x0ARxOLSwDOrOQmVrTXBtUJ9owXbL3KyK+zyzy9mSRZdlF9XBSTIlc3k+BcRflFHN1k+eWSx7o2d2xOMNfn1iZWTKNE8fw3sQRBCDuC6CLfuVB0LRNN9A9F6RVOT1g5GxLQ6eJZ8rE/cnW4lmtovftRb4V8fPvG4pOvvLymvtvIWh9VX/e8/tfqf/of/rT6Rz5+KcBno1fm1ZdeSfVEXgSTarUfqup73tZh3b5x+zergVq/kOD2J6PTUagmcT6an8wO/83oyZ/Emf7hekPni/oV/8+b9xMY/2JUtH9RB1VxfNimZv7kSf0D93Wwd/aIdIfvndGXnvxJWH/ty6Pbv246bSevPBkVQRDXT6W1rdAatNOwe2vx66D+rrcXvzBdbgeilxthF3qIrQpBEpk2nInjkSiHxyacIAW1AYCMhWN7RJDEWwsumJp3zx7L4hGm2yHW+e1qvzmkMnccOioKTih98BL13kOKcaAswzqXpaPegAhdXweuf0hLOWj9wFe9IihW6Fa9/1fXl9/5xre+acgEQ+4rE2al9BMHZhLkXUxbL84eK0XEN+0487bmA3a03YvMkVlQqddis5JqLxbPtU3qWaWdPteC0RR3JcST</t>
  </si>
  <si>
    <t>r8zYwd+rfPboNyt8qw1xtV99pLZKx4VI6BD4roOO/EhHfmSL/IgfuaJHju82VIEf68CPbYEf8wPHr3p+ZV1tZqr90gZQsgHubVH1ANCul1Md9akt6lN+1HgZJ+5MVUGf6aDPbEGf8YJ+qZ7r2D09hmx3UCsXQxhYE4+FypuPppE53AfscLtVfUN/yLv1cl/vIPxLNRt9Vk9M1SL+8/pc6jduX9fujw9Gq02GF/qbVxsMeiegfm+Nfovim6N6t2X9GpulJ7o+4Xrx8e1f628xpeEhOw3deWEQg8jiLb0rMtEbQcsdo9dv36yCf15lQB+ouPhwubmhvTOjxYd6/q63WWrfzBd3t5G0Wab61bOXE7N6h+TtD16a+qemtPwpOy2KlBYgJabwDtjhgS0zylaMHiVTkF9lBwl2wAi7LA7jCDNGsPW16Q4KMzpKmwvIn+Xti9zoREwjhN0ObtjgnEp3hOSJKmK7J4QbLzixUj0hau0JsR6d94QfNTi/kpZM6MVxyA8bnA8Zi6S2NavGdxPv8IBwKRSRAr5udGb32sDur5W4AYMTGnuDzXalzPkhg9Mb0eARpXkRTAtjqX7KDxac5ygWD7W2eFjrxwk/YsrcN+QVUbJDlrZ0qPHdhDssHVwCcGokLpz1tdIGdX/NzAlWb+LutzrY67LZ2LOsls2pEyOy5hwLlblstlhMHrDDBad1dNmsF4qf6lVxtaCr1sjLFe5Iv8u1fkai+lx10vXC8bfV7394+8bq2QoT10M2Fzjv09bB6n+ql6064F8v/mFUrXdN69jOFnYNvPyT3y2/USP/5qVtgWeODPwpOwOKlAGA3hTeATs8UCEQlrwfr669T+q9FdvilxkuqA6GWfwyYwRFwaaLX2Z0FAGA5M8U3Ywd3bYXv9ywwZmRvvi1xfo1fqzg1Ehd+Kbrha/1zM8n/KjBGVJq4csNG5wAN1n4puO7iXcsfLkUikgBXzc6s3ttYPcXvtyAwWlNYuHLDRmc2ogL3yBPcpVF08y4ffaUHy44y1GWvul66WutICf8iCkz35DXRMkOWXrpm47vJtyx9OUSgBMjeemb7rVB3V/6coKt/UvL/6u+/j9/4+rq+psPq9XhvF4caob04jK6uDgPJtfJjZokeXAzyfPsZnKexMF5rJLw6up8+Z3tgjlSHfzrv7hur6a7GVj+i/DUdT8nZ4df+nphHL6vm8+X0djdVKCU9dh2iywEh1+mmuhVM9GrQkTdGgwR4ZdtBfTKK2aiV14RQHppgWe/JO1GjkEuyTDY/3qoqv8FmfniLBw3a5SGxpvVdPVBHMSrrwr+1Sr4V23Bv8oNvnuhQcETL7Qq+OpD6Q9L+NXFyIi/nky3fVWF5ospdL2NMUqj7V5N5qBfZQft5SoyB60vKkbUL23Nbu/aMYucr4eutxNF6b3DMPxeO+agX2UH7eXaMQetLypG1C/tJ2/v2okt107kBLI/7evl2jEH/So7aC/XjjlofVExon5p53N7105iuXZcz2REqdrutWMO+lV20F6uHXPQ+qJiRP2S3rnXEY3AzdQlC7xj3eUy0fxbvbfogLG/JhvcSn0pZvyiWW0ohMnKYzu1vuTh37HjT8jx45GfAJH/e3bkihI5u9yYqww35m6V6Y+ZerWcAjl/lR0/uK/KqTZVUveawO7XGk7AzS7U/g7I5HT/67FNKisnm/0pEi9TVrr/qiXwV9mBe5m20mqtbolcr+QZoe/EWt2y8bN6kaoNqNjuRWTZ8GEH7eUCsm3zsKLWYefbvnZyy7WTuYAyuxXPy7VjDvpVdtBerh1z0PqiYkS9E3Wn2P96pCzXj3m3vYHa8q5zsf+qJfBX2YF7uYaKagKzRK6vMEbou3AhRea3GH49dO6eZ9FWLyJL0K+yg/ZxAVmC1lcWI+qXVPS2Fu7NGw+joHeF828j54Z6Zt+O87CeB+L/d+z4E3L8eOQnQOT/nh25okTOr0KrN6wCKF9no3hY5gPxv8qOX3KZHwV7TWD3KhMrYB1xkKgbFV2Ek5viJpkk5xfZ5DzNw0mSnl8n5+fJtbq5eK0z8XWL1l+eW18rNEzhasrX8lCPavCcBczZ1bmfCjQHxlutF33z2y3svVy/LoZcXyJXYZ5E4fn1JE5UNkkursJJrtTNJM4iFarzNFDqcmcukQi6RJzNG1O+sBxs6xKJgEtECnnZEA3Sy+v0MpjEcagmSRGnk+Iyvp5kUX5xk53HV1dFvDOXSAxdIs4ejSlfWA62dYnEwCUihVxfItdJdnFRnGeTUKloEobX+SQPropJEKhApXkeFureXvPWLpEEukQSar6wHGzrEulvf3xdDLl9cd+2+w2R+e1PX9dxOMi32x63BP0qO2gvq2xz0HrrhhH1Szs0+hLa6io77b2R/q2+LByMW+2aA/H/O3b8CTl+PPITIPJ/z45cUSLnV6GmGvejfJ2N4mOV3R//q+z4RVfZ6V4T2P3KxAlYRxzfpEkYxzeT5CqrFllXV/GkiC8qyXQZX1zGxflllKyYdkD8ZJD4cfdjDIdoYjnYlvjJei/Xr4sh15fIxXl0dZFUy62gWmBNkji6muRZcjmJL6tvzYvLi/hqd5ZQOXSJuDsthnxhOdjWJZIDl4gU8nKVfRPFqojyyfXNRXVNFcXFJL+6VpOL7FIV2c1Nkd7ce/Rra5dIAV0i7oaKIV9YDrZ1iRTAJSKFvJTA10WqLvO4+mKYTJLg6mJSnAfFRN1ch1fh5U0Rnqe7conEAXKJxO6dbUO+sBxs6RKJ+7sPXxdDri+RTGV5eBOkk0sVXEySKIwmeTU1TS7Pr67C9OqyWqfvzI5/DO34x+7tb9OB3lAOtnWJADv+Ysi75P2MY/3ApuUZu9i9ob1d82cV+au2yF9lR+5jV6aKXD9UZ3vcjhV7rV22fS0l+19Pquspq/5bWB5Qj90b4Nu1glYAr1YAr1YAr1oAXv3/V/duPa4jWZbmX2nkUwE6BpC0C836LdBAzVPOg6vySLQ+/cBrVWAyIwoRUdMzDeR/HzO6XJ1DUWaLW2U0MRPJ9DiSn1jf4ib3JhcvZIBdKku4yhK+vGr/0xMGX4EEiH84/ZevxKQrsScXaXERgtJ5rxR1wu0T4ZYsfJeS8reVP1HuC44g/R/6Xu6rtbiMzgHfuQwyVk9Xzw7nkQH9F7J+sVk/rvwDUH4lK5dblNN3SV/DZBylIaMsd05xlK1F9C+AfkvWn/I8MpenL2GPeyaKYK8Yu2znTY7dFHTsprZZgXqQ69gtHns0yZAPd7UWh6IGHjzvvuYX5kGuEgGihmTIh7tai0NRAw+ed1/zC/MgV4kAUUMy5MNdrcWhqIEHz7uv+YV5kKtEgKghGfLfb0/ov2HnPlAS8XPq30XwnLrOelsLoP9C1i8268eVfwDKr2Tly40qPp2/UERnAKUho+xwoATot2T9KQ+URHH6EvZwoEQS7BVjV168R/8SUMglgonPoxWoB5n6lwBCrmTInyNOXWtVTZoJ0fJ7r2vfcsQRFVQiwXBmzS/Mg1wlAtzWkgz5bS5IF+JbI0v3vyfPLxHBuETnvTDdibdOvH0i3pLF75EuCB9TOfVu8eyJJiT975BViSdPpBAiCKTyVtOTp1GQRe9SRc8eREFS/Q+143dMWY+64mfmvwsZZHx+qcMeR11x/ReyfrFZP678A1B+JSuXW5TT90JfPT6O0pBR9jjqiuu3ZP1Jj7rk6UvY456JIvhwR11QPCXUNitQD3KN1EA8lQz5cLc5CCieEuGsZsUvzINcJQLEU8mQD3ebg4DiKRHOalb8wjzIVSJAPJUM+XC3OQgonhLhrGbFL8yDXCUCxFPJkA93m4OE7oSR4ZPhK35hHmQqERkPLJpkyG9zek8+Iw+f+857LfoT0ZYseo8TMU9E+1N8BNX/cCImd/wt4+fJv8vgeXLz/IGtO5yIAfRfyPrFZv248g9A+ZWsXG5RTt8Lfe2N4ygNGWWHEzGAfkvWn/JEjKxOX8Ie90wUwfPwMxitZNcyWQ+aCSU4070uWK3N0Ldd2elp+vEuww/0PDYZTFoerUA9yDX8AM9jS4b8eZ1wp0Q11SOr1KDe/Ao/CT2PTYqtfmEe5CoR4HlsyZA/S2QsBmn84ZZU/ryenlirxsrN0mNVFcL9Ve34NiUioRKRm/2CPMhVIvH0oUmGPJeI5sMkhXQHWbpV7nCrL93hlujYoLqun8qhEPVD1J2tRKAz/lJt9QvzIFeJAGf8kyHfj7LFsgaWRkAHfCQfPo+y9bdGCfe/J3d+y+AJbVMtHdj3aFt/s068fSLeksXvctStv/30k/JX0jyR76+uIej/h3M3vriyHn/HT4d/l8HT4Sbr5eeA/gtZv9isH1f+ASi/kpXLLcrp+6ev/XQcpSGj7HH8HddvyfqTHn/r05ewxz0TRbBXXPBKqNF1xWrwcafroazjqmAtV0qqQhremR/vMhZB+ZQMhjWPVqAe5BqLgHwqGfJn82pbUfmLJnrF3ZTNlZuy5dSxkVdaTXwqePc2F0IoKJ9SwbBmzS/Mg0wlooB8Khny5/F3W/Bx6CfWCXeELgqpmTE1Z9r9xlS0Re0O3N+mRKCbWFQwalnzC/MgV4kAN7EkQ/68iUUa2ephdB8W7rtlb1g7FiUzY123VT2KsRzepkQqqETC57zX7uiAPMhVIvFcokmGPJeIrGTXCi0ZF+XARKdq1taFqykh3c5GFmoa3+aBEArKAlT4xPiKX5gHuUoEyAKSIftTNO6X/at5sx5Eq/jZ7u9KBE14frfQDgfRgP4LWb/YrB9X/gEov5KVL7em+JHbC0V0BlAaMsoOB9GAfkvWn/IgWonTl7CHg2iS4KMdRCsoflJymxWoB7kaFxA/JUOeS6Rth6kbVcvarvRzUNWx1rU6poTsVDcZU9bibUoEip+U2uoX5kGuEgHip2TIc4lMfa+muuuZrvueCeMKqxNtzybVVlXbdVrX+m1KBLrhRIXzkhW/MA9ylQhww0ky5OMdIUE3nKjwiesVvzAPcpVIPFxokiH7Gsl5YBQ/U/1dhc5Ui5Iv2Xc9MIrrv5D1i836ceUfgPIrWflyI4pP4y8U0RlAacgoexwYxfVbsv6kB0bm9CXs8cCIItgr1nJShnPJ6k6X/i7bgXVuLmZTV6hx1JX7740pf7+qoeioDuUoK1agHmTqVzUQHSVDPtyBUQ1FR3UoR1n1C/MgV4kA0VEy5MMdGNVQdFSHcpRVvzAPcpUIEB0lQz7cGbgaio7qUI6y6hfmQa4SAaKjZMifV/d68ocLVZZOQFeWkoyYL++t5bem1t8aXbn/qW+NKdz/uPuf+3Pz5Ll5fkf41JbK5H3SmQOyDsg6IOuArAOyDsg6IPsEyJKB9rgMuPZv6qn9tcAOyS2UfwNU4Rf+hVDGf/qEy78uigDmyd7k/tw6fpr8ey2DjFkflAbov5D1i836ceUfgPIrWbncopy+g/va08dRGjLKDkfwgH5L1p/yCL6Wpy9hj3smimCvuK55IZTp2ehmdP+sG8G6vpxYP+iu1WXdazP8eJfBCsqt6nCIs/akDsiDXIMVkFslQ/6cqYp+7EbdM2Om1h3KtSUztZyYUoMo+3bgVVm8TYlAuVUdDnHWHiwHeZCrRIDcKhny329v4Lit8ewjTjyg+V6HAhpeFEsvdh1x4vovZP1pR5y48itZ+XKjivfVF4roDKA0ZJQ9Rpy4fkvWn3TE0acvYY8jDkWwV2zKqhhH5a9i125HNnLJtO5HVo69kaIbelXeNow36F/QLVB1KK9ZsQL1IFf/imdqTTLkzzPQhez7bprYoPz7GHrZMa3qktVtW+lRjO7z6l1KREM5lg6FOqt+YR5kKhEN5FjJkD/3IrVxf4ePu3Q9ue+6wtK86xgvxaR7Xui+f58SgXIsHQp11jcpyINcJQLkWMmQM1+ao+MBzXcdDmiy3vgP6L+Q9YvN+nHlH4DyK1n5ciOKj1ovFNEZQGnIKDtMvYB+S9afcurV1elL2MPUSxJ8uH4FJaY6HB+u3HmGeZCrXwGJaTLk40290IP3tNjqF+ZBrhKJ34XVJEM+3LGzhu580nKrX5gHuUoknmY1yZBzT73xaOS7DkUjosx6py6g/0LWLzbrx5V/AMqvZOXLjSg+ar1QRGcApSGj7DH1xvVbsv6kU686fQl7nHopgg/Xr6CsUoeCuxUrUA9y9Ssgq0yGfLypF7rHToeSkVW/MA9ylUg8vWqSIR/v2BlKjHQoPlnfpCAPcpUIkBglQ/664uE2Iea+4sHEo5HvJhyNVEsv9pyCAf0Xsn6xWT+u/ANQfiUrX25U8dHrhSI6AygNGWWHKRjQb8n6U07Bpjh9CXuYgkmCveK6Lcwwuh2Z1GPPRN1xZoZes37spClbKXXxNlfsGSirNOHg7sEK1INM/csAWWUy5M87dydTVN0kGK/Lzk3MnX+VoRhY2VZqKEUlTGnepkQqqERCScmqX5gHuUoknmY1yZC/Rpxb+8w+4sSjku8mFJXwImu8Dei/kPWnHXHiyq9k5cuNKt5XXyiiM4DSkFH2GHHi+i1Zf9IRh5++hD2OOBTBXvEghlq0Zc8q1bX+kTkjM22tWDWpoR54NQn5PiMOlF0asc0K1INc/QvILpMhZw6mTDyU+25kgF2Uz2+S3aNfxfVfyPrT9qu48itZ+XIjiu8kXyiiM4DSkFH26Fdx/ZasP2m/kqcvYY/9iiL4cP0Kus/SqG1WoB7k6lfxHLVJhpy7X8VDue8mHMrVTzfVPfpVXP+FrD9tv4orv5KVLzei+E7yhSI6AygNGWWPfhXXb8n6k/ar+vQl7LFfUQQfrl9BKbkJR8YPVqAe5OpXQEqeDPnvX69TNQ8niZdOQM/wIRkxP3CpLIon7CbAzgv8mi0IAN/bzE9VeqbaklUvdzCQangf8/nopGeq3W6GItvrzpyhr+4oyiKcu2UddZy46HZ/oRMkHXYQ7Ve6drlFO3m3s7qzoYveYbBBbLd0gpSjjVN1ukt72OvQNN+fFfjwTNFlAUH7UEoNfbWuJ227LMLRL/74LIgAL6hb73paQlTZ+zSvddn+E4ruN5l++LMSCkfDJnMJrcu2dNn7lNC67Lm4CLq98JvduQagrzNADi3aI9xgFEzryvLp2tllMIoTXOgEiQejuPYrXbvcop2+R7odmCIwDR1ml4EpTmDpBGkHJn66S1vZTVE0e9HlaJTstb9aqBRMFEPHjH/hq5zGcij7yZTtbcXkPx3kWJDzQe5r28xAXch0QsipjlZtkw56LpNK67FQvWDGaMXKcqyZLgbNikIWUmldmve5t6YsoPuF3de2Ooa5kK1M4rlskw768/pkWetyKhTrZdExUZUV02IYWN8OQ6mGXsqqe58ygdJQ97WtjmEuZCsTIA9NB307Sv/Hc4QZD7L0M/xQusLLaom/80HWumxLl73PQda6bP8JRfc8vWSvIPOsgoIPtdzwqjOIYHMFrcu2dNn7VNC67Lm2CLq9cJm7gsriW+Na7LdG1OJbI7lfaPGsqoJxzIandEFUW6vKoViPYj2K9Sj2GYqlo+xSaaV/cYhn+eknD/PTT57GLZ/gzLVJ4HmLfZjr5k3p32VTlcrXonxSfGXwpPyGh2VAQJuLr/xmPYX1FPYZhaVT7FN3pauycn5jjefwNbgOMtcogeQ9Kq5yFed2ym4h/aL2C+MWlS/Fyn9Q+Q944RfCL9wOshT+14Sr0VL6D6T/QPoPlP9A+Q9q/0Ht/4J6/kf/l2r/l2r/9+ln3boMBgUbLreFnNtc2pUrbWeX9XZZb5f1dllvl/V2WW+X9XZZb5f1dllvl/V2WW+X9XZZb5f1dllvl/V2WW+X9XZZb5f1dllvl31ml6Xbtc825F//5P3ySzkv63lp/LKat7Bq/rSaP+XFvBTz0u/xvXN+6bc/751fzp/K+VM1f6rmT+v503r+2+rPP5n/LXr+t+j5739i47y1E3ycjfz0MVe4sIbz3fkepMn6giknLnrUe6ETiM0EuPYPRPuVrl1u0U7e8z/Z71JFL/e7cdFbS+ZfENstnSBpWFBWp7u0ld0ORfPtxuGb8bn2PPdYs4wnOW6PFExFqoengu+7R4oTXOgEifdIce1Xuna5RTt5j3Q/IQrANHSYXfZUcQJLJ0i7p/KxZvks1iRpnk8tDx03rZ5YK2rFhCgqpsdRsFG0alCqbHk1/lgcBWULIkos1vRPuttiBupCriCiRGLNZNC+oX37zCDyNrJ4audWvQy6kPf6HIDgQidI3Mji2q907cuNKr7nfKGUzghMQ4fZpZHFCSydIG0jk6e7tJVGRtE8n6vj5dQWY8v6suBMuJ0b01U3MC6qvld9MYzd+ONtGhmWqJdqmxmoC9kaGZKoJ4P+OjIzP97kyCx+u6UrgWDiWz3PGXdpaHGCC50gcUOLa7/StS83rvge9IVSOiMwDR1ml4YWJ7B0grQNrT7dpa00NIpmL7oTg+RmEmyqK7dXK1TB2l5q1nWi42OnDR9uWO/Q0KAbkN3XtpmBupCtoQG3IKeDzvzMjLKMP4ParXIToBe5w444wYVOkLiBxbVf6dqXG1N8j/lCKZ0RmIYOs0sDixNYOkHaBmZOd2krDYyi2YvWXat7PU6sHtqaCdOOrOV14XZqpjS1LvpK37aQN2hgFfROYfe1bWagLuRqYFX8xugmHXTuBlbFH0LtVnno2gNRPr8hc48GBhBc6ARpGxig/UrXvtyY4nvMF0rpjMA0dJg9GhhAYOkESRtYVZ7u0h4bGEnz8RpYhTWw0CUNK2agLmRrYPFrT5p00NkbWDzPdqs8lA2LzBd3AAQXOkHiBhbXfqVrX25M8T3mC6V0RmAaOswuDSxOYOkEaRuYv7ijenZxB0nz8RoYdnGH36a3mIG6kK2BIRd3JIP+ysTK260Ofu1nDcWqeLDtakAG7OBV1lcaIwQXOkHijhbXfqVrX25d8V3oC6V0RmAaOswuHS1OYOkEaTuav8rjJm2lo1E0zx3NDJUqRMWkkCMTU9UzUxcFK4vKtGaSRSUfbtrK19Gwqzx8KW0xA3UhW0dDrvJIBj2XSVuWQklhmCp7yYTQNetkX7Opq4diKLVUyrxPmUBvwS6rcJC84hjmQrYyiSf+TTroz4h90tXYCcE60VdMlKZnXcsnVlSl1FVdyk6+UZlgEXsVTptXHMNcyFYmSMSeDHouE1FOdVF3htX+mT6iLEqm1VSxup0qMyg5yWl8nzKB3obtvrbVMcyFbGUSj1+bdNDvco08j8d5392Xgi5kfe8WQnChE4jNBLj2D0T7la59uVHFx/UXSumMwDR0mD2OngACSydIevTE/UO/+bOHfpM0H+7oiUOvxXZf22YG6kKuRsbjMWyTDvp4YzHHck8eigBXHcNcyFYmSO6ZDHouk2JQRknZsVErzkQrCta2rrjGXrd66pQZRfc+ZcKxMgnfR7viGOZCtjKJZ2JNOujc8TiPZytulYsAvch8yyhAcKETiM0EuPYPRPuVrn25McXnrxdK6YzANHSYXcbhOIGlE6Qdh8XpLm1lHKZoPl4Dw57VzeU2M1AXsjWweATWpIM+4DiMZU48FL+sOoa5kK1MkMwpGfQBD66xzImH4pdVxzAXspUJkjklg84+DsejFLfKg29Mraol/b7jcJzgQicQmwlw7R+I9itd+3Jjis9fL5TSGYFp6DC7jMNxAksnSDsO69Nd2so4TNF8vAaGxZzcbDMDdSFbA0NizmTQxxuHBXZbpwje4bjmGOZCrjIR8eirSQd9vINrgWVNIngn2ZpjmAvZygTJmpJB5x6HRTxCcas8FKGIzM9fAggudAKxmQDX/oFov9K1Lzem+Pz1QimdEZiGDrPHOAwQWDpB0nFY+Gd436Q9jsMkzcdrYFi8KcJ3kq08ighzIVsDQ+LNZNAHHIexe+yE2OoY5kK2MolHX0066OMdXAssaxJyq2OYC9nKBMmakkFnH4fjEYpb5eEI5fnL6HYZh+MEFzqB2EyAa/9AtF/p2pcbU3z+eqGUzghMQ4fZZRyOE1g6QdpxWJ3u0lbGYYrm4zUwLN4U4aTvwQzUhWwNDIk3k0EfcBzGbqkT4URlxTHMhWxlEo++mnTQBzy4xrImYbY6hrmQrUyQrCkZ9O2WOj91Zb2lTsajlO/uSwEXeFUvXdh1LAYILnQCsZkA1/6BaL/StS83qvgc9kIpnRGYhg6zx1gMEFg6QdKxWPpb6uSzW+pImg83Fkss5pThu8sezEBdyNXIJBJzJoM+3rwjK6xMQsnKqmOYC9nKJB6BNemgj3f0JLHMSYbvLltxDHMhW5kgmVMy6NxniWU8SnGrXAToRebn8wEEFzqB2EyAa/9AtF/p2pcbU3z+eqGUzghMQ4fZZRyOE1g6Qdpx2N9Sd5O2Mg5TNB+vgWExp5TbzEBdyNbAkJgzGfQBx2HsljoZTlZWHMNcyFYm8QisSQd9wINrLHOS4fiF/uDLXGWCZE7JoLOPw/Eoxa3ycJSS94FrAMGFTiA2E+DaPxDtV7r25cYUn79eKKUzAtPQYXYZh+MElk6Qdhz2t9TJZ7fUkTQfr4FhMaef4raYgbqQrYEhMWcy6OONwwq7pU6F7y6jP1QqU5moePTVpIM+3sG1wrImFb67jP6IulxlgmRNyaBvF0147qwXTah4lOJWfThKyftmaIDgQicQmwlw7R+I9itd+3Kjis9hL5TSGYFp6DB7jMUAgaUTJB2Llb+17ibtcSwmaT7cWKywmFOFE7+1lyRDLmRrZEjMmQz6gGMxdmudElsdw1zIVibxCKxJB33AsRjLnJTc6hjmQrYyQTKnZNC5zxKreJTiVnk4Ssl7DTFAcKETiM0EuPYPRPuVrn25McXnrxdK6YzANHSYXcbhOIGlE6Qdh/2tdTdpK+MwRfPxGhgWc6pw4ke/AG5tm4vC/ydsd0jMmQz6gOMwdmudCicr9Mtpc5VJPAJr0kEf8OAay5z8Kxu3OYa5kK1MkMwpGfTtLLFv9lnPEtfxSOW7+1LABV6ZpQu7jsUAwYVOIDYT4No/EO1XuvblRhWfw14opTMC09Bh9hiLAQJLJ0g6Ftf+1rr62a11JM2Hm3dqLO6sw3eZPZiBupCrkdVI3JkMei4T7BWt71ImFVYm4WRlxTHMhWxlEo/AmnTQuU//1fEoxa3y8FMK86bhAMGFTpB4zolrv9K1LzemeGN9oZTOCExDh9llzokTWDpB2jmHn+7SVuYciubjNTAs5qzFNjNQF7I1MCTmTAY9l0lblkJJYZgqe8mE0DXrZF+zqauHYii1VOp9zhLXWMxZy62OYS5kKxMk5kwGnX3OiSc7bpWHU5LM53PiBBc6QeI5J679Ste+3JjijfWFUjojMA0dZpc5J05g6QRp5xwfc96krcw5FM3Ha2BYzFmHE7+VY1bMhWwNDIk5k0EfcBzGYs46nPjRT23kKhMk5kwGfcuv/M4ib34VT/HcqjcBFzgvli7sO+/ECS50gsTzTlz7la59uVHFG+wLpXRGYBo6zC7zTpzA0gnSzjvmdJe2Mu9QNB8uv9LYXZ06GOY9moG6kKuR6Xjq2qSD9o3Mk5e31e6vy8na0XQ8znM1EIzzePV0I96jowEEFzpB2o4GaL/StS+3rvgu9IVSOiMwDR1mj44GEFg6QdKOpsvTXdpjRyNpPtyhma6wjhZMnR/NQF3I1tGQqD0Z9Of17F0/thM3TArRM1HribWqcMf9ZaeHsmsH7h+3/S5lgt3eqYN3Oq45hrmQrUziMWyTDnouk7KvKm3Gial6HpIqwTQfDBuEVHVdFkOh1PuUCZZ7arHVMcyFbGWC5J7JoHMHWjoe57lVLgP0IvMJHoDgQicQmwlw7R+I9itd+3Jjis9fL5TSGYFp6DC7jMNxAksnSDsOy9Nd2so4TNF8vAaGPcVWq21moC5ka2DxGLZJB33AcRjLPXUwAlxzDHMhW5kguWcy6AMeXGO5pw5GgGuOYS5kKxMk90wGfcs93V+f+SxxPOpxqz4cmzy8J3vfsThOcKETiM0EuPYPRPuVrn25UcXnsBdK6YzANHSYXcbiOIGlE6Qdi33ueZO2MhZTNB9u3jFY7mnCEeCDGagLuRqZQXLPZNBzmYymKPppalnbdS0TYhCsM3xkahz7cpBcGsXfp0yw2ztNOFlZcQxzIVuZxCOwJh308cZig2VOJhy/rDiGuZCtTJDMKRn0fBXFjL6sg6UVv4/9Hz//+ksCJ85/+fM/OUTxzS2UX+hvTVUUflH5hfAL5Rf+g9J/UPoPSvHMrXD08vBe7aczD8SMjz0e1HpQ60GtB7Ue1HpQ60GtB7Ue1HpQ60HtM1BLB12ORhAoPB15TjcEOVC/VPNSu6Vn9ctqXop5qebl/Gk5f1rOnz5B9n8ThXk+43gr7B+ZjwBNPBZyezkRpMz72huA4EInEJsJcO0fiPYrXbvcop2+x7z3jjhMQ4fZ4wgQILB0gqRHgMa/BfImbWU3RdE8HwFWYyULN/x34zC6w4DSsLYUgvFCV3U1Tv1YDT/eZmbDblU1cpsZqAvZZrZ4nNekg86d7Jt4LORWuQrQC14+3WZ3aWBxggudIHEDi2u/0rUvN6b4HvOFUjojMA0dZpcGFiewdIK0DczfqnqTttLAKJq9aDOKqdaqYlNvBCvL0TBdjD0rCllIpbXbMT4cbOZrYFhka8Lp5YMZqAvZGhgS2SaDzt7A4kmkW+XhJLJ6us3u0sDiBBc6QeIGFtd+pWtfbkzxPeYLpXRGYBo6zC4NLE5g6QRpG5h/8ah59uJRkub5rDkvu0oOPVNyFEzIQbFuqidWjy0XQ9kKJacfb9PAsIdAm1AguWIG6kK2BhZPjpt00F/3Ht7Weu5bD6sinkh+d18KuMF51ockIgQXOkHShoZov9K1Lzeu+B70hVI6IzANHWaHhoYQWDpByobmVJ3u0h4aGk3z3NBUPdStVKwsSn9lgaqZHvuJ9dyHg904DOJtGlpVQFcLuK9tMwN1IVNDczzRqm3SQX81tNuOMn9Di4firgSCobjIevMQQnChEyRuaHHtV7r25cYV34O+UEpnBKahw+zS0OIElk6QtqFVp7u0lYZG0exFa2V0W5UdM/WkmRiKibW9P+1UDLWoqolXw63K3qGhQTdJu69tMwN1IVtDA26STged+RRjVcRzbbfKRYBe5L3MHyG40AkSN7C49itd+3Jjiu8xXyilMwLT0GF2aWBxAksnSNvAxOkubaWBUTQfr4FBF3m4r20zA3UhWwMDLvJIB/11RHYDz39EFs+5XQmogBtcVE+34V0aWpzgQidI3NDi2q907cuNK74HfaGUzghMQ4fZpaHFCSydIG1DU6e7tJWGRtHsRZfcP6R6KllVC8NEVbSf7+LtTFt2ZaknXb/NRR9VAV304b62zQzUhWwNDbjoIx109iOyeM7tVnk4M35+Q8UuDSxOcKETJG5gce1XuvblxhTfY75QSmcEpqHD7NLA4gSWTpC2genTXdpKA6NoPl4Dgy76cF/bZgbqQrYGBlz0kQ46dwMr47n2d/elIL18us3u0cAAggudIG0DA7Rf6dqXG1N8j/lCKZ0RmIYOs0cDAwgsnSBpAyv9RR7ls4s8SJoP18BK7CKPMnS9w4oZqAu5GliJXOSRDDp7A4vn2G6VhzJhkffGZ4TgQidI3MDi2q907cuNKb7HfKGUzghMQ4fZpYHFCSydIG0D8xd13KStNDCK5uM1MOyijjL4Xuu1e4AxF7I1MOSijmTQX5nYbfvMnomV8VzblYAIuMFF3lOKAMGFTpC4ocW1X+nalxtXfA/6QimdEZiGDrNLQ4sTWDpB2obmL/K4SVtpaBTNXrRoC2NUUTLTDpKJviqYHlXHxokPsmrLUnXDj7dpaNhFHqXcZgbqQraGhlzkkQz6/vS1h4c1Lq2AHtBFcmJ++lpV1t+aqvJPVav8T7z0C+kX/plrwj9zTfh/lP4n6X9S/iflf6r9T7X/SRfPHFRBB/FzSZAP+M5rfiKbh7ce3np46+Gth7ce3np46+Gth7ce3np46+Gth7ce3j6Dt3T45U4Pgof3e59PafPwblnNT12r5p8dv1/KeTk/mU3MT2YT85/I+Wc5/6zmn9X8cz3/XM8/P7HC/9soXsxm/HiTmS8eoru9ZDhEr5+u8V1mvjjBhU4gNhPg2j8Q7Ve6drlFO32Pe+89cZiGDrPLzBcnsHSCtDNffbpLW9lNUTTPJzFaPnK3d2SyaxUTZqxZ1/XaHdia0R3KVtq0b/P87qqEXkThvrbNDNSFbDNf/OKHJh30XCZKDHXdj5x1pdZMKFkx99ud+612KDvVDlr271Mm2NUGpdnqGOZCtjJBrjZIBv15m0DLpSqEZp3214rX48j0UAnW16otpP93FN3blEkFvQ3AfW2rY5gLucqkiifRTTroW5m4P6m1ZFzK2peUZP4N6qzveS/d8N6r1rxPmWDRbxW81X3dMcSFbGWCRL/JoHNHv1U87XKrPJwc5T1qAggudAKxmQDX/oFov9K1Lzem+Jj+QimdEZiGDrPHURNAYOkESY+aKh/9Vs+iX5JmL3oQbd2aemRlqUq3F6sG1lZtz/g46Va3o+7H9xmHKyz6rcIp6Mq+HHMhWwNDot9k0HOZTC031VRL5ubkigkpS/ddM7BeuuanxaB1V79PmUAvPa/8rn+bY5gL2cokHgM26aCPd3BdYbmbX5XbHMNcyFYmSO6WDPp4p+oq6A3UVRWKV1Ydw1zIVibxG22bdNBf1xv5KwA8efbwqYqfb3c1ED53bZZ27HsYFSe40AnEZgJc+wei/UrXvty64nP7C6V0RmAaOswuh1FxAksnSHsY5cOn6ln4RNI8z8di7IxSLevc//vH73dMF1P3lm9eqCosfKrCOcyDGagL2ToaEj4lg57LRI7ueEtoyfpxcodcXaeYacXIZDEO0nXTqRvU+5QJFj5V4RxmxTHMhWxlgoRPyaCPdxjFsfCJh3OYFccwF3KVCUfCp2TQuVMFHs9U3CoP306X97H3AMGFTiA2E+DaPxDtV7r25cYUn79eKKUzAtPQYfYYhwECSydIOg7z8nSX9jgOkzQfr4FVWAMLRywrT4DHXMjWwOJZWJMO+njjMMfCJx7OYVYcw1zIViZI+JQM+ngH1xwLn7jY6hjmQrYyQcKnZND308W33UX208U8HrK4GpABO7jM+qJehOBCJxCbCXDtH4j2K137cuuKD2QvlNIZgWnoMLvMx3ECSydIOx/L013aynxM0exF635ouZKCVco1PqGm1u3W1Mh0X7SF1lUx1NOPt+loWADK1TYzUBeydTQkAE0G/XlvKq91X5f+0oveDUnFJJkeCtcHZWvKaixEb4b3KRPs0b48GLGsOYa5kK1M4llYkw7aDz7fPl8elnfeiWcrbtUHsxVZLV3Yd96JE1zoBInnnbj2K137cqOKN9gXSumMwDR0mF3mnTiBpROknXf8I375s0f8kjR70cNYVmqYJsarofCHcSNry6JiQ6lU2fZF15mH5zDka2RY7smDEeCjGagL2RoZknsmg74fwesf73EEL+L53nf3paAdeZ8wBRBc6ARpOxqg/UrXvty64rvQF0rpjMA0dJg9OhpAYOkESTua8M/8Fc+e+UvSPB/BF1KXXVuwduIVE6UomCmMZlM7SN2XRnZF++NdOprAbvwUwXsgH81AXcjV0UQ8l23SQc9l0pmBj6U7glOFcIdxQo/McG2Y6SWvx1qKTrzPle4CC0JFKBNcdQxzIVuZIEFoMujPRywNFS9kW7HClNPnd9upr1mpu5a7QUl0k36fMsGCUBHKBFcdw1zIViZIEJoM+nNv0vWj2+kYJoXwr5TXE2tVId0+qNOD2yUNXL7R3gQLQoXY6hjmQrYyQYLQZNC5rwsU8ajHrXIZoBc8720yAMGFTiA2E+DaPxDtV7r25cYUH9NfKKUzAtPQYXY5aooTWDpB2qMmn3vepK0cNVE0H6+BYbmnUNvMQF3I1sCQ3DMZ9AHHYSz3FKEIcNUxzIVsZYLknsmgD3hwjd10J8JvUVzbsCAXspVJPAtr0kF/7k26gXPlvtb1k9vftKJlbVsVrC9UNdVcF2P/RqfqsPBJhHKY9Q0LciFbmSDhUzLo3EdNMn56/Xslg6+nE8WSftejJoDgQicQmwlw7R+I9itd+3Jjio/pL5TSGYFp6DB7HDUBBJZOkPSoSfqsST7LmkiaD5c1SSxrksFbyx7NQF3I1cAkkjUlgz7eOCyxrEmGYpdVxzAXspUJkjUlgz7ewbXEsiYZvP9szTHMhWxlgmRNyaCPd6pOYlmTFFsdw1zIViZI1pQMOvtRU/z0ulvlMkif9x47gOBCJxCbCXDtH4j2K137cmOKj+kvlNIZgWnoMLscNcUJLJ0g7VGTz5pu0laOmiiaj9fAsKxJBmOXRzNQF7I1MCRrSgZ9wHEYy5pkMHZZcwxzIVuZIFlTMugDHlxjWZMMxi6rGxbkQrYyQbKmZNDHy5okljXJYOyyumFBLmQrEyRrSgZ9v9HJfJJnv9FJxc+3f3dfCtjB3fTybHLc4zAKILjQCcRmAlz7B6L9Ste+3Lric/sLpXRGYBo6zB6HUQCBpRMkPYxSPnxSz8InkuZ5PyUKKftaMv+uD7dbm2rWiqFlxs1HhRZKquJ9bt1VWPikwvf8PJiBupCroykkfEoG/Tkfj7Xq6qlgg67ckFSVnLVFJ9kgBtMVWpd6Kt+nTLDwSYXv+VlxDHMhW5kg4VMy6OMdbSssfFLhe35WHMNcyFYmSPiUDPrz+bGTLtQ0FGyqCvfdXhmmB2NYP46iUHxqC1G/T5lg4ZMSWx3DXMhWJkj4lAw6d/ik4ufb3SqXAXohqiX9vkdNcYILnUBsJsC1fyDar3Tty40pPqa/UEpnBKahw+xy1BQnsHSCtEdNPny6SVs5aqJoPl4Dw8InFc5hHsxAXcjWwJDwKRn05zgs5Vh1o2Sm7/xTsGXF3KFWxYThoqx02WvzRuMwFj6pcA6z4hjmQrYyQcKnZNAHPLjGwicVzmFWHMNcyFYmSPiUDPr2lL1e6rrVTE1i9OdrOtYNbmFaVRel7tu6ep+3bigsfFLhHGbFMcyFbGWChE/JoL/Cp+qWVWcPn+r4+fbv7ksBO7jM+x4pgOBCJxCbCXDtH4j2K137cuuKz+0vlNIZgWnoMHscRgEElk6Q9DCq9uFT/Sx8ImmeRZu2M0XBmewE968QqpnuWj8pKVXpQoqhHn+8S0ersfCpDucwKy9BwVzI1dFqJHxKBn28wafGwqc6nMOsOIa5kK1MkPApGfTxjrZrLHyqwznM2oYFuZCtTJDwKRn08c7d1Vj4VIutjmEuZCsTJHxKBv33z7du+JWe9+gpft7drXoZdCHv0/YAggudQGwmwLV/INqvdO3LjSo+rr9QSmcEpqHD7HL0FCewdIK0R08+hLpJWzl6omieTxubQbaCa1a1pWFC6Yl1/gIMrYQehnIY5ovh36WRYSFUHcpjVsxAXcjWyJAQKhn0XCa87Y0euWKyH/yF633NTFkqpk3dl31fdoN6n3sWaiyEqkN5zKpjmAvZygQJoZJBz2XSV4ZXVdmxwfCeCVEJpquiYGPZGdPVparH97kQuMZCqDr8QqMVxzAXspUJEkIlgz7g0RMWQtWhPGbVMcyFbGWChFDJoHNfuqfjp9m/uy8F6B3/kn7XoyaA4EInEJsJcO0fiPYrXftyY4qP6S+U0hmBaegwexw1AQSWTpD0qEn7zEk/y5xImg/XwDSWOenwg+cezEBdyNXANJI5JYM+3jisscxJh+KXVccwF7KVCZI5JYM+3sG1xjInHX7w3IpjmAvZygTJnJJBH+9UncYyJy22Ooa5kK1MkMwpGfR86Z5HF8s6WFrx+9j/8fOvvyRw4vyXP/+TQ1TP2GWAnatiyf500IUI8FnXy7bPZFu67OV0C8mGB1yv2s+x67L9JxTdXvjtWvHsF3/q+LlvtxcJnvtW1dO1s8uBeJzgQicQmwlw7R+I9itdu9yinb5Huu+b4zANHWaXA/E4gaUTpD0QV6e7tJXdFEWzFz3VU9fXxcBKNzu5xjiUbszWipVcDVPVqbrl44+3mYmwXEoHI5pHM1AXss1ESC6VDPpzJprZl4Ww9ALqzSQrbkOR+dbwmj9zIBi5KPwUIISB73xuk5H5Zp9pt3Tt+4xH5ttPPz0T7z+nqP+HISlfRZnim1twv6hdbRWFXwi/0G5RVn6h/MJXXsX9wv8j99/j/h+5/zVR+oX0C/896T+Q/gPlP1D+A2WeVW0wAVIPb6ndt2qdP9b7Y70/1vtjvT/W+2O9P9b7Y70/1vtjvT/W+2O9P9b7Y70/1vtjvT/W+2O9P9b7Y70/9pk/lu7PLluG88cv+bys/VZSFPNSzEvtl84lv1Tzct6SKj4v5z/h8/f5/Cd8/hucW34p5+X8fTl/KudP1fypmj99Ytq8xRJce6fDFhOPTL67LwUp8z4wESC40AnEZgJc+wei/UrXLrdop+/hv8YnAKahw+xx2AIQWDpB0sMW4/ND8yw/JGmeT+UW0pSFHplSvb8jRSpmaiVZbyoxir7odPc++aHB8kMTvH3r0QzUhVyHLQbJD5NBz2UytiMfOlMyZfwz6rkPkXjdMdl3VVsqLYo3urXRYPmhCUVpq45hLmQrEyQ/TAb9dbP+bSLIP/fEYzJXAsFbs1Tee/UBggudIPHcE9d+pWtfblzxRvtCKZ0RmIYOs8vcEyewdIK0cw8/3aWtzD0UzfPco7tBDuPI2m70r0kwLdOq71g71HqQshuGafjxNg0Ni7CN2GYG6kK2hoZE2MmgP4/iy6nuh0mxsq8qVpajYboYa1YUspBK69LIh5O5+cpEYmUitzqGuZCtTOK30jXpoD/3JrxrS10WjJfKjdJlqZkpxo71Y2UG2Wte1Op9ygS7d82orY5hLmQrk3hk2aSD/hqPb+D5x+N4FOZKIBiF1c+vNdllPI4TXOgEYjMBrv0D0X6la19uXPF57IVSOiMwDR1ml/E4TmDpBGnH4/p0l7YyHlM0e9HGlO1Y1Zy1SnMmxto1Pz0OjHel4aYbJ1G+zxWeBrt90gTD1UczUBeyNTTk9slk0J/Xi2sl9VRL1s/f5WPPWtEKNpbV1Jqi79zyfcoEu33SBBO/NccwF7KVCXL7ZDLozLdP8iKe+Hx3XwrQu/8s6feccxCCC50g6ZyDaL/StS83pnhjfaGUzghMQ4fZYc5BCCydIOWc41Sd7tIe5hyaZi9a9dUktXEtbuoNE2IqWDsWnfvH1lTVONaS3x4+nL+B8QKKP93XtpmBupCpgTmeaNU26aA/b5/s+Ti01cTcRzUTrVJMi6pjY9XqThaFafu3eaQ9L6D4031tq2OYC9nKBIg/00Ef7qiJF9Dtk7wI30m44hjmQrYyiUdhTTro7ONwPFJxq1wE6eWSft9xOE5woROIzQS49g9E+5WufbkxxeevF0rpjMA0dJhdxuE4gaUTpB2HxekubWUcpmg+XgOD4k73tW1moC5ka2BA3JkO+oDjMBR3uq9tdQxzIVuZAHFnOui5TIZiLOu2EIz3Q8GE9EdYatKsa2vV9lq4xdtcW8wL6JZI97WtjmEuZCuTePTVpIP+SsVvTcW1raypOC/ikYorgXCkUi3d2Hc8jhNc6ARiMwGu/QPRfqVrX25c8XnshVI6IzANHWaX8ThOYOkEacdjfbpLWxmPKZq9aFnKqR4EZ9z4Kwe5a36tGQyrupEPoix6908/3qahQXGn+9o2M1AXsjU0IO5MB/35zCNdTKYXigkt3Shdu19oe14wLoqhrsapEG8UKpQFVCZl8AazNccwF3KVSRmPwpp00Id7dKdDxsokeBfammOYC9nKBMmekkHnPltcxiMVt8rDkUrWe8cRggudQGwmwLV/INqvdO3LjSk+f71QSmcEpqHD7DEOAwSWTpB0HC6r013a4zhM0ny8BobFnWU4+Vu5PxZzIVsDQ+LOZNAHHIehW+3c17Y6hrmQrUziUViTDvozVJDjYAptWDdKyUQ3aldSHWfFVGnVVkPXtfJ9ygTLnkq51THMhWxlgmRPyaCzj8PxSMWt8nCkUi/p9x2H4wQXOoHYTIBr/0C0X+nalxtTfP56oZTOCExDh9llHI4TWDpB2nFYne7SVsZhiubjNTAs7izDyd+DGagL2RoYEncmgz7gURN0ax0vQ4nKqmOYC9nKJB59Nemg//75wm7PnTUNL+NRilv14Sgl66vnEIILnSDxvBPXfqVrX25U8Qb7QimdEZiGDrPLvBMnsHSCtPOOOd2lrcw7FM1edFfqVinTMyk7w0TLO2a6sWda8HEaDS8m3v94l0ZWYTFnFU781l6IA7mQq5FVSMyZDPpz3mlb3XH3tVpxwUQxGdbK3i2KquxHLqe6lO9TJljMWYUTv7WX9UEuZCsTJOZMBn28sbiqsDIJJSvrjkEuZCuTeATWpIPOffqvikcpbpWHo5SsTxRFCC50ArGZANf+gWi/0rUvN6b4/PVCKZ0RmIYOs8c4DBBYOkHScbjip7u0x3GYpPl4DQyLOf02vcUM1IVsDQyJOZNBH/CoCYs5/arc5hjmQrYyQWLOZNDZ55x4suNWeTglMUv6feecOMGFTpB4zolrv9K1LzemeGN9oZTOCExDh9llzokTWDpB2jnHx5w3aStzDkWzF43dCfEuDQyLOatw4vdgBupCtgaGxJzJoA942g+LOatw4rfiGOZCtjJBYs5k0Ac8asJuqatCicq6Y5AL2cokHn016aBzj8M8HqF85zz4AEJZLOl3HYcBggudQGwmwLV/INqvdO3LjSk+f71QSmcEpqHD7DEOAwSWTpB0HOb+CaL82RNESZoP18A4Fm/y4MM0H81AXcjVwDgSbyaDPt5RE8fiTR5K+lYdw1zIViZIvJkM+utZOOXtZqjcr4jhPB7xuBoIvoCtzvusSIDgQidIPPjEtV/p2pdbV7zTvlBKZwSmocPsMvjECSydIO3g4/NO/izvJGmeBx/uj+wNZ7oQAxNSte4AvxsZ76rCiG7g9WR+vE1Hw/JOLraZgbqQraMheWcy6M+8E3o/2ruUCZZ3crnVMcyFbGWC5J3JoA94GIU9UpSrrY5hLmQrk3gW1qSDvt0V41d63rE4nq24VR/KVnid96E4AMGFTiA2E+DaPxDtV7r25UYVn8NeKKUzAtPQYXYZi+MElk6QdiyuT3dpK2MxRfPxxmIs9+ThB2auPR8GciFbI0Nyz2TQBxyLsdyTm62OYS5kKxMk90wGPZeJVrrq66FmHa8LJtQ4MdOLjnHDCzOZtuXj+7yQQWD32Inw7WYrjmEu5CoTEc/EmnTQueNxEc9W3CoPZyvlkn7XcRgguNAJxGYCXPsHov1K177cmOLz1wuldEZgGjrMHuMwQGDpBEnHYVGe7tIex2GS5sOd1xFY7inCEeCDGagL2RoYknsmgz7eOCywR4mK4J1ka45hLmQrk3gE1qSDPt7BtcAyJyG2Ooa5kK1MkMwpGXT2cTgepbhVLoP01ZJ+33E4TnChE4jNBLj2D0T7la59uTHF568XSumMwDR0mF3G4TiBpROkHYfl6S5tZRymaD5eA8NiTqG2mYG6kK2BITFnMugDjsPYPXYilKisOoa5kK1M4tFXkw76gAfXWNYkgrebrW5YkAvZygTJmpJBZx+H4xGKW+WhCEXIvI8QBQgudAKxmQDX/oFov9K1Lzem+Pz1QimdEZiGDrPLOBwnsHSCtOOwf4ToTdrKOEzRfLh4U2LxpgzfSbby/DvMhVwNTCLxZjLo443DErvHToYTlbWHrkIuZCuTePTVpIM+3sG1xLImGY5d1p6mCbmQrUyQrCkZ9N/f5Mn6Mh6luFUfvjMn75uEAIILnUBsJsC1fyDar3Tty40qPoe9UEpnBKahw+wxFgMElk6QdCyW/tY6+ezWOpLm4zUyLOaUYpsZqAvZGhkScyaDPuBYjN1aJ+VWxzAXspVJPAJr0kEf8CAby5yk2uoY5kK2MkEyp2TQt7HYV0HesTgeqbhVH4pUeJ33CfsAwYVOIDYT4No/EO1XuvblRhWfw14opTMC09BhdhmL4wSWTpB2LPa31t2krYzFFM3HG4uxuFOG7zJbe9g85EK2RobEncmgj5eKS+zWOmk2Owa5kK1M4lFYkw76eEdPCsueVPgus7V3EkAu5CoThWRPyaDvT2S7rfbsT2RT8YzF1UDwNW26WNqx63wMEFzoBGIzAa79A9F+pWtfbl3xgeyFUjojMA0dZo/5GCCwdIKk87Hy99qpZ/fakTTPHa2Qpiz0yJTq3W6tlYqZWknWm0qMoi863b3P4KOw/FOFosAVM1AXsnU0JP9MBn28+Vhh99qpYNSy5hjmQrYyiWdiTTroA87HWAilxFbHMBeylQkSQiWDfpcnsql4xuJWvQy6kPcRFADBhU4gNhPg2j8Q7Ve69uVGFZ/DXiilMwLT0GF2GYvjBJZOkHYs9vfc3aStjMUUzccbi7H8U6ltZqAuZGtkSP6ZDPqA8w52z50KRi2rjkEuZCuTeCbWpIM+4NETFkKpYB6z5hjmQrYyQUKoZNC577lT8WzFrfJQtiKkWNLvOw7HCS50ArGZANf+gWi/0rUvN6b4/PVCKZ0RmIYOs8s4HCewdIK047C/5+4mbWUcpmj2orFrwt6kgdVY7lmHbz97MAN1IVcDq5HcMxn08cbhGrvnrg7ffrbiGOZCtjKJR2BNOujjHVzXWOZUh+KXdccgF7KVCZI5JYOer6KY0Zd1sLTi97H/4+dff0ngxPkvf/4nhyi+Nf5Ry42/KKTxZ77dgvuF/zNt3MJUfiH9wn1FFKVfCL+o3aIs/IL7hfIL9xuiqvzC/Ybg/lPufxL+J+F/kv4n6X9S/ifl/yplnq2CcJ5TLVfB00EKMhKfpbx71rtnvXvWu2e9e9a7Z7171rtnvXvWu2e9e9a7Z7171rtnvXvWu2e9e9a7Z7171rtnvXvWu2e9e9a7Z7171rtnvXvWu2efuWfp7i2HOMg9eI7z5rlxzbnnl2pear90Bvoln5fznzsP3dKZ6JdyXvpveh/9UszL2i/LYl7yeanmpf9db6df+t/1hvrl/LOYfxbzz3L+Wc4/q/lnNf/NT4z1einOemtvG3j2gKiOx2Rury+ClHmPiAGCC51AbCbAtX8g2q907XKLdnoHuffSOExDh9njiBggsHSCpEfEtTjdpa3spiiavei2FL2QPWe87SUTbqhhWg2acTWIoZzcHMOnH28zw2L3UdZymxmoC9lm2His2aSDzn1Kt47HY26VqwC9b/hZG1ic4EInSNzA4tqvdO3LjSm+x3yhlM4ITEOH2aWBxQksnSBtA1Onu7SVBkbRfLwGhkXXdSjFXTEDdSFbA0Oi62TQ2RtYPJF1qzz8FNS8L00FCC50gsQNLK79Ste+3Jjie8wXSumMwDR0mF0aWJzA0gnSNjB9uktbaWAUzcdrYNgtu3U4oF154x/mQrYGFk/Sm3TQX/di3qLp7Ldi6nhC+919KeCGP+mbs6EBBBc6QdqGBmi/0rUvN674HvSFUjojMA0dZo+GBhBYOkHShqaL013aY0MjaZ53U6YazKQHNk2tv1Rw1EzXQ8UqXqlW9UZofttC3qChaezqCR2+L3XtFbaQC7kamkaunkgGfbyLiTV29YQOXUiw6hjmQrYyQa6eSAad+8Bdx29Edas8/NLHvE8qBggudILEc05c+5WufbkxxRvrC6V0RmAaOswuc06cwNIJ0s45/knF+tmTikmaj9fAsJvEtdhmBupCtgYWD/ybdNAHHIexhF3LrY5hLmQrEyRhTwadfc6Jh4pulasgfd5HzwIEFzpB4jknrv1K177cmOKN9YVSOiMwDR1mlzknTmDpBGnnHJ+w36StzDkUzcdrYFjCrsNh88pzEzEXsjUwJGFPBn3AcRi7OVyHQz36U1hzlUk8fW3SQWefc+Ipnlvl4RTPLOn3nXPiBBc6QeI5J679Ste+3JjijfWFUjojMA0dZpc5J05g6QRp5xx/c/hN2sqcQ9F8uAZmsJvDTfg+6QczUBdyNTATT1ubdNDHG4cNFm+a8H3SK45hLmQrEyTeTAade84x8dTOrfJQaudvjsw55wAEFzpB2jkH0H6la19uTPHG+kIpnRGYhg6zx5wDEFg6QdI5x1Snu7THOYek+XgNDHsGtgmGeI9moC5ka2DxtLVJB33AcRiLN43Y6hjmQrYyQeLNZNDZ55x4audWuQzS5332NUBwoRMknnPi2q907cuNKd5YXyilMwLT0GF2mXPiBJZOkHbO8c++vklbmXMomo/XwLBnXxu1zQzUhWwNLJ62NumgDzgOY/GmCSZ9a45hLmQrEyTeTAadfc6Jp3ZulQdTO1Ut6fedc+IEFzpB4jknrv1K177cmOKN9YVSOiMwDR1mlzknTmDpBGnnHH8DsXl2AzFJ8/EaGHYDsQmGeI9moC5ka2DxtLVJB324cVgUULzpvrbVMcyFTGXieOJlkg4685wjinhq51Z5MLVTfEm/55yDEFzoBEnnHET7la59uTHFG+sLpXRGYBo6zA5zDkJg6QQp5xyn6nSX9jDn0DQfr4FVWAMLh3gPZqAuZGtg8bS1SQd9uHFYFFC86b621THMhWxlAsSb6aCzzznx1M6tchGkz/pIboTgQidIPOfEtV/p2pcbU7yxvlBKZwSmocPsMufECSydIO2cI053aStzDkXz8RoYdMOw+9o2M1AXsjWweNrapIM+4DgMxZvua1sdw1zIViZAvJkOOvucE0/t3CoPp3ZZn9yOEFzoBGIzAa79A9F+pWtfbkzxxvpCKZ0RmIYOs8ucEyewdIK0c059uktbmXMomo/XwKAbht3XtpmBupCtgcXT1iYd9AHHYSjedF/b6hjmQrYyAeLNdNC555wyntp9d18K0md9HjJCcKETpJ1zAO1XuvblxhRvrC+U0hmBaegwe8w5AIGlEySdc8ridJf2OOeQNB+ugZXQDcPua9vMQF3I1cDKeNrapIM+3jhcYvFmGU766I8GzlUmSLyZDDr7nBNP7dwqD6d2WZ+HjBBc6ASJ55y49itd+3JjijfWF0rpjMA0dJhd5pw4gaUTpJ1z+OkubWXOoWg+XgODbhh2X9tmBupCtgYWT1ubdNAHHIexeLOUWx3DXMhWJki8mQw6+5wTT+3cKldB+qzPQ0YILnSCxHNOXPuVrn25McUb6wuldEZgGjrMLnNOnMDSCdLOOep0l7Yy51A0H6+BQTcMu69tMwN1IVsDi6etTTroA47DWLxZhpM++qOBc5UJEm8mg84+58RTO7fKw6ld1uchIwQXOkHiOSeu/UrXvtyY4o31hVI6IzANHWaXOSdOYOkEaeccc7pLW5lzKJoP18Aq7IbhKhzi0R8NvLbNReFf3+6qeNrapIM+3jhcYfFmFU766I8GzlUmSLyZDDr3nFPFUzu3yoOpXV0s6XedcwCCC50g7ZwDaL/StS83pnhjfaGUzghMQ4fZY84BCCydIOmcU1Wnu7THOYek+XgNDLthuAqGeI9moC5ka2DxtLVJB33AcRiLN/2uf5tjmAvZygSJN5NBu//8D09uPsHdOPVf/3vWuSee4rkSkAE3/HvSss49cYILnSDx3BPXfqVrX25c8Ub7QimdEZiGDrPL3BMnsHSCtHOPPN2lrcw9FM1edF8ZXlVlxwbDeybcfpHpqijYWHbGdHWp6vG2jb9DQ8NuIPaltMUM1IVsDS2evjbpoD/nHjHUdT9y1pVaM6FkxVo+dkyYdig71Q5a9u9TJljcWYWSv1XHMBeylQkSdyaDnsukM4Ns3V/DqrY07rt6Yp1sK6aV0MNQDkMl9fuUCRZ3VqHkb9UxzIVsZYLEncmg5zKpi6kapOhY20nJBO+EKy5esFZOetJyrAvzRmWC3c1ZhRKWVccwF7KVSTwKa9JB5z5bzOORynf3pQC9qLO+VQYhuNAJxGYCXPsHov1K177cmOJj+guldEZgGjrMHkdNAIGlEyQ9auL+bk7+7G5OkmYvulVV0RZ8YvXnKcOyZO00jUzIoZrasejl1P14lwbGsbiTB5O/RzNQF3I1MI7EncmgjzcO8work3DCsuIY5kK2MolHYU066OMdXHMse+LhGGbtdU2QC9nKBMmekkEf71Qdx7Inn6xtcwxzIVuZINlTMujsR03x0+tulcsgfbWk3/eoKU5woROIzQS49g9E+5Wufbkxxcf0F0rpjMA0dJhdjpriBJZOkPaoyWdNN2krR00UzcdrYFjWxEOxy4oZqAvZGhiSNSWDPuA4jGVNPBS7rDqGuZCtTJCsKRn0AQ+usayJB+8yW3MMcyFbmSBZUzLouUx42058akfWCqGYGHXP2o5PTLdV36u2mCY+vk+ZYFkTD8Uuq45hLmQrEyRrSgad+6hJxE+vf3dfCtLnfeMdQHChE4jNBLj2D0T7la59uTHFx/QXSumMwDR0mD2OmgACSydIetQkfNYknmVNJM1etBh40Zd8YJObk5kohGFG8pGpQuueu3/uyuHHuzQwgWVNIhy7rLzVC3MhVwMTSNaUDPp447DAsiYRjl1WHMNcyFYmSNaUDPp4B9cCy5pEOHZZe5Uk5EK2MkGypmTQxztVJ7CsSYitjmEuZCsTJGtKBp39qCl+et2tchmkz/v+TIDgQicQmwlw7R+I9itd+3Jjio/pL5TSGYFp6DC7HDXFCSydIO1Rk8+abtJWjpoomo/XwLCsSYRjl5V3BGIuZGtgSNaUDPqA4zCWNYlw7LL2KknIhWxlgmRNyaAPeHCNZU0iHLusOIa5kK1MkKwpGfRcJmVR8MoozlTRC+Z2PBPTph6Y1u6DsldtZ9T7lAmWNYlw7LLiGOZCtjJBsqZk0LmPmmT89Pp396Ugfd638QIEFzqB2EyAa/9AtF/p2pcbU3xMf6GUzghMQ4fZ46gJILB0gqRHTdJnTfJZ1kTSfLg5R2JZkwzHLitvHMVcyNXAJJI1JYM+3lGTxLImGY5d1t5fDLmQrUyQrCkZ9PHOwUgsa5Lh2GXFMcyFbGWCZE3JoG8XOIhyKsqK8VYOTHBRsNa43c9Ytn1tjJZtWb9PmWBZkxRbHcNcyFYmSNaUDDr7UVP89Lpb5TJIn/fd3gDBhU4gNhPg2j8Q7Ve69uXGFB/TXyilMwLT0GF2OWqKE1g6QdqjJp813aStHDVRNB9vzsGyJqm2mYG6kK2BIVlTMugDHjVhWZMMxy5rr7mGXMhWJkjWlAz6gOdgsKxJhmOXFccwF7KVCZI1JYM+3jP0JJY1yXDssuIY5kK2MkGypmTQuY+aVPz0+nf3pSD985ej73HUBBBc6ARiMwGu/QPRfqVrX25M8TH9hVI6IzANHWaPoyaAwNIJkh41KZ81qWdZE0nz4eYchWVNKhy7rLwNHXMhVwNTSNaUDPp4B9cKy5pUOHZZcQxzIVuZIFlTMujjhQgKy5pUOHZZcQxzIVuZIFlTMujs43A8QnGrXATp876IByC40AnEZgJc+wei/UrXvtyY4vPXC6V0RmAaOswu43CcwNIJ0o7D4nSXtjIOUzQfr4FJrIHJbWagLmRrYPHoq0kHfcBxGMuaVDh2ob+6KFeZIFlTMujjZU0Ky5pUOHahv7ooV5kgWVMy6AOeg8GyJhWOXeivLspVJkjWlAza/ed/ePAfmV9jquJRilv1oSiF64eX1+979BQnuNAJxGYCXPsHov1K177cqOLj+guldEZgGjrMLkdPcQJLJ0h79GROd2krR08UzV60kUOvyqliQnK3ENKwTrQ16/qOt6pTUpjbDusNGlldQI2sDiUrK2agLuRqZHU8AmvSQR9v3qmxzKkOxS+rjmEuZCsTJHNKBn28g+way5zqUPyy6hjmQrYyQTKnZNDHO8iuscypDsUvq45hLmQrEyRzSgbtj54+a+Vhf7H04vex/+PnX39JYMX5L3/+p8bfftPIonjmgAg5YIqlA0/HXQgDn3i9duu122faLV37ctCFtMOzrpfuRlqn/aefnon3n1PUe/ll9opS39zCuIWu/EL6hXYLU/qF8Iv6Wb3JIDX+vlMIcnO9qW/Wk1lPZj2Z9WTWk1lPZp+RWTrZPtWovvml8UvH5pdyXmq/dOr8UszLdcC5ogmEc8T1SegLN+u5pDp+ft41wtD5eW7yPnAfILjQCcRmAlz7B6L9Stcut2in7wHv40UcpqHD7HEuCSCwdIKk55JqdbpLW9lNUTTPYz0XxWQMZ7oQAxNStawtupHxriqM6AZeT+bH24z1WHZWh2KkFTNQF7KN9Uh2lgz681xS14/txA2TQrgjxVpPrFWFZKLstDsGaAfuH8PzLmWCZWd1KEZadQxzIVuZINlZMujcVxzW8ZjArfLQKXc/KWadc+IEFzpB4jknrv1K177cmOKN9YVSOiMwDR1mlzknTmDpBGnnHJ+Z3aStzDkUzV60Vrrq66FmHa8LJtQ4MdOLjrldXmEm07Z8fJ8wRGOZmQ7fjbRyJg9zIVcD00hmlgz6c84ppCkLPTKl+pGJVipmaiVZbyoxir7odPc+F6ZqLDPT4VuW1uIjyIVsZYJkZsmg57Pc7rdvu3HfVrOe39HxaMiVQDAaMnkfcgsQXOgEaeceQPuVrn25ccUb7QuldEZgGjrMHnMPQGDpBEnnHl2d7tIe5x6SZi+6l+NgCm1YN/rHJ3SjZnroOCumSqu2GrquvVXZOzQ0LLbVwQTz0QzUhWwNDYltk0F/ngacdKGmoWBTVUxM9Mq47xrD+nEUheJTW4g3mnuwx1JqsdUxzIVsZRK/jaxJB537/I6O347kVrkM0PvDqme79l3mnDjBhU6QeM6Ja7/StS83pnhjfaGUzghMQ4fZZc6JE1g6Qdo5xz+W8iZtZc6haD5eA8NuFdRqmxmoC9kaWDx9bdJBH3AcxuJOHUr+Vh3DXMhWJkjcmQz6dg+Y5857Xiee5rlVH07z8j6GGyC40AkSzztx7Ve69uVGFW+wL5TSGYFp6DC7zDtxAksnSDvv6NNd2sq8Q9HsRctSTvUgOONmLJngSrHWDIZV3cgHURa9+6cfb9PIsCei6lC4t2IG6kK2RhZPYZt00Mcbiw0We5rgXXNrjmEu5CoTg8SeyaBzn9cx8TTPrfJgmqefX2e+x5wDEFzoBGnnHED7la59uTHFG+sLpXRGYBo6zB5zDkBg6QRJ5xxTnu7SHucckubjNbAKa2ChMG/FDNSFbA0snro26aCPNw4bLOY0wYeDrjmGuZCtTJCYMxn07byO34tnPa9j4imeW/Ui4AI3eV8UABBc6ASJ55249itd+3KjijfYF0rpjMA0dJhd5p04gaUTpJ13/JNRb9JW5h2KZi+aV1J0ohtZ20vORFsZ1g4VZ6Z2+7Nadn0luh9v08iwJ6Mauc0M1IVsjSyevjbpoI93P5bB4k6jtjqGuZCtTJC4Mxl09vM68RTPrfJwilct6fedc+IEFzpB4jknrv1K177cmOKN9YVSOiMwDR1mlzknTmDpBGnnnPp0l7Yy51A0H6+BYTcUm+BzaR/NQF3I1sDiqWuTDvqA4zAWc5pQ4rfqGOZCtjJBYs5k0J9PHfPoyzpYWgE9Y4jkxPyIKFmU/qFjwi9qtygLv+B+ofzCuEVV+YV/OFml3YKX627JIpz24a8zgZjxfjY/McqDWg9qPaj1oNaDWg9qPaj1oNaDWg9qn4FaOuiy50GgcNv7fICUB/VLMS9rv3SsfsnnpZqX/vFSntcv58efVf7xUs+Q58ejEZjnneGtsH/kPYXpbIlu8N/dl0IbfJH1UnyE4EInEJsJcO0fiPYrXbvcop2+x7z1DgSmocPsMNojBJZOkHK0d6pOd2kruymKZi9am2owkx7YNLU+t/MX2tZDxSpeqVb1Rmh+20Lyz2yygCJb97VtZqAuZJrZHE+0apt00IdL9mUBRbbua1sdw1zIViZAZJsOOvMpTDf4RendKhchep310ZkIwYVOkHjOiWu/0rUvN6Z4Y32hlM4ITEOH2WXOiRNYOkHaOUec7tJW5hyK5uM1MCiqdV/bZgbqQrYGBkS16aAPOA5DUa372lbHMBeylQkQ1aaDzj7nxNMpt8rDSY9Y0u8758QJLnQCsZkA1/6BaL/StS83pnhjfaGUzghMQ4fZZc6JE1g6Qdo5pz7dpa3MORTNx2tgUFTrvrbNDNSFbA0MiGrTQR9wHIaiWve1rY5hLmQrEyCqTQede84p4zdafndfCtJnfVQmQnChE6SdcwDtV7r25cYUb6wvlNIZgWnoMHvMOQCBpRMknXPK4nSX9jjnkDQfroGV0LOf3de2mYG6kKuBlfG0tUkHfbxxuMTizTKY9K05hrmQrUyQeDMZdPY5J57auVUevtEy66OjEIILnSDxnBPXfqVrX25M8cb6QimdEZiGDrPLnBMnsHSCtHMOP92lrcw5FM3Ha2DQs57d17aZgbqQrYHF09YmHfQBx2Es3izlVscwF7KVCRJvJoPOPufEUzu3ylWQPuujFBCCC50g8ZwT136la19uTPHG+kIpnRGYhg6zy5wTJ7B0grRzjjrdpa3MORTNx2tg0LOe3de2mYG6kK2BxdPWJh30AcdhLN4sw0nfimOYC9nKBIk3k0Fnn3PiqZ1b5eHU7vmddLvMOXGCC50g8ZwT136la19uTPHG+kIpnRGYhg6zy5wTJ7B0grRzjjndpa3MORTNh2tgFfSMZ/e1bWagLuRqYFU8bW3SQR9vHK6weLMKJ30rjmEuZCsTJN5MBp17zqniqZ1b5eHU7vlby/eYcwCCC50g7ZwDaL/StS83pnhjfaGUzghMQ4fZY84BCCydIOmcU1Wnu7THOYek+XgNDLthuAqHeCuvKcdcyNbA4mlrkw76gOMwFm/6Xf82xzAXspUJEm8mg84+58RTO7fKZYjePNxVv++cEye40AkSzzlx7Ve69uXGFG+sL5TSGYFp6DC7zDlxAksnSDvnyNNd2sqcQ9F8vAaG3TDsS2mLGagL2RpYPG1t0kEfcBzG4s0qmPStOYa5kK1MkHgzGXT2OSee2rlVHkztTNZXuyEEFzpB4jknrv1K177cmOKN9YVSOiMwDR1mlzknTmDpBGnnHH26S1uZcyiaj9fAsBuGq2CI92gG6kK2BhZPW5t00McbhzkWb/Jg0rfmGOZCrjLhSLyZDDr3nMPjqZ1b5cHUzlRL+l3nHIDgQidIO+cA2q907cuNKd5YXyilMwLT0GH2mHMAAksnSDrncP88ZP7secgkzcdrYBXWwIIh3qMZqAvZGlg8bW3SQR9vHOZYvMmDSd+aY5gL2coEiTeTQf99ftWJZ3/YXyy9gF6HQbLi810n3L/DhPv3mnD/IhPh33Ui/MtNhH//ifAfCP+B9B9I/4H0H0j/gfQfKP86FO0/1U99FCEfC/xwHjID73SfL0Hh/uUm3L/whPs3nAj/EhTh33oi/ItRhP9A+A+k/0D6D6T/QPoPpP9A+fekaP/pEwcs3YFlm4QcgDvl7e0ofH7bCZ/fgsLnd56I+e0oYn4XipjfmiLmT8X8qZw/lfOncv5Uzp/K+VM1v0dFz995Yoj/91AcmS35dMT18CzvTnmye5RBmrzPDufxYO5CJxCbCXDtH4j2K1273KKdvKd9slOkit5l9o/bbukEaWd/n+XepK3sdiiafbf+du/VufY8//ssRTyydHskFQTN+/Q7gOBCJ0i8R4prv9K1yy3ayXuk/z0Gx2EaOswue6o4gaUTpN1T+bulb9JW9lQUzV70xE0rTaWZ++rEynIcmTGFYEOpVNn2RdeZ2zb+Doef2OUEPJisP5qBupDt8BO5nCAZdPbT7PEE1a3ycBqZeaSOE1zoBIkbWFz7la59uTHF95gvlNIZgWnoMLs0sDiBpROkbWD+cgL+7HICkubjNTDscgIeTtZXXjmCuZCtgSGXEySDzt3ARDwl/+6+FKTP+54VgOBCJ0jbwADtV7r25cYU32O+UEpnBKahw+zRwAACSydI2sCEf/64ePb8cZLmwzUwgd2gL8Kh+cq7JDAXcjUwEb+6oUkHnb2BxVNy</t>
  </si>
  <si>
    <t>t8rDKXneU4gAwYVOkLiBxbVf6dqXG1N8j/lCKZ0RmIYOs0sDixNYOkHaBuZv0L9JW2lgFM3Ha2DYFSwifDEH/Wza2jYXhf9P2O6QK1iSQWdvYPH7zt0qF0H6vG9GAAgudILEDSyu/UrXvtyY4nvMF0rpjMA0dJhdGlicwNIJ0jYw/0bvm7SVBkbRfLwGhj3yXshtZqAuZGtg8WtMmnTQ2RtYPLd2q1wF6fM+8h4guNAJEjewuPYrXftyY4rvMV8opTMC09BhdmlgcQJLJ0jbwPxFHDdpKw2Movl4DQy7iEMEr2d4NAN1IVsDQy7iSAadvYHFc2u3ysMZcN5nmQMEFzpB4gYW136la19uTPE95guldEZgGjrMLg0sTmDpBGkbmL+IQzy7iIOk+XgNDLuIQ5htZqAuZGtgyEUcyaBzNzAZz62/uy8F6fM+pBoguNAJ0jYwQPuVrn25McX3mC+U0hmBaegwezQwgMDSCZI2MOkv4pDPLuIgaT5cA5PYRRwyfD3DyoN4MRdyNTCJXMSRDDp7A4vn1m6VhzJgWTw8k3DfBhYnuNAJEjewuPYrXftyY4rvMV8opTMC09BhdmlgcQJLJ0jbwPxFHPLZRRwkzcdrYNhFHDJ0PcOKGagL2RoYchFHMujsDSyeW7tVLoL0eR8rCxBc6ASJG1hc+5WufbkxxfeYL5TSGYFp6DC7NLA4gaUTpG1g/iKOm7SVBkbRfLwGhl3EIeU2M1AXsjUw5CKOZNDZG1g8t3arXAXpq6fb7C4NLE5woRMkbmBx7Ve69uXGFN9jvlBKZwSmocPs0sDiBJZOkLaB+Ys4btJWGhhF8/EaGHYRhwxdz7BiBupCtgaGXMSRDNo/Wsr9sq+CrI+UkvH82q36YBZc5L2cHiC40AkSN7K49itd+3Kjiu85XyilMwLT0GF2aWRxAksnSNvI/MUc8tnFHCTNXnTdGSULPjKptWGi05p19aTcPxZ927ZKVe34420aGXYxhzTbzEBdyNbIkIs5kkF/PsxY9b1oO8MkLxQToitYV1QDq3nfVmLohVTd25SJwl7woYL58ZpjmAu5ykTFg/4mHfRcJgM3queCM1GMPRO8GFmnZMn6SY+6LYupqsX7lAmWrKtgyLzmGOZCtjJBkvVk0J97k5Z3bodl2FiWFRO9Lllr3G/xWkym7qZxat/n6ElVWJmEwrz1DQtyIVuZxFPXJh30XCZla4aqVyXTFZ+YqLhkXWk0G01dlEM31FKM71MmWMypQonfqmOYC9nKBIk5k0F/7k24ngreaVZUQjJRC8XaiXfMiMEIXqui4280m2Avk1diq2OYC9nKJB6BNemg5zIZJ67UoDpWlqVmolQ9a/tezq3K7YzKUVdv1HSwzEnJrY5hLmQrEyRzSgb9OcKWQ1kO0rBOTv6oqC+YNsK/8aUoVVFU3fRGr/hR2Ju9Veg09/o0B7mQrUzieUSTDvqzTEYhdFkUrC3mBjV1rDMFZ1NbDoUWcuSifZ8ywQIAFbyhcdUxyIVsZYIEAMmg5zIpxq7u+qly+xu/5+mGkemRK8b7vhP9ILUu3qjpaKxMNp5rRF3IVibxk8JNOujcFzqo+MlFt8pDJxdl5pcgAQQXOoHYTIBr/0C0X+nalxtTPJB4oZTOCExDh9kjHwIILJ0gaT6kzOku7TEfImk+XAOrsRP/degc+IoZqAu5GliNnPhPBn28cbjGTvzXoXPgq45hLmQrE+TEfzLo2zmYdqh4O7Gp6wZ3+F254iq7mhU9N7qvxMi5ep8ywU7816Fz4KuOYS5kKxPkxH8y6OOdg6mxE/91+FaftQ0LciFbmSAn/pNBH++Mbo2d+Pch6TbHMBeylQly4j8Z9PHyoRo78V/LrY5hLmQrE+TEfzLo412UUGMn/uvQOfB1xyAXspUJcuI/GfTxLnGqsRP/dfgi+LU2DbmQrUyQE//JoI93wWSNnfivQ+fA1zcsyIVsZYKc+E8GfbzLr2vs8ut647lG1IVsZRI/Kdykg77dR+R7Stb7iHT8JON396WAC6LI+1RzgOBCJxCbCXDtH4j2K137cqOKBxMvlNIZgWnoMHvkRACBpRMkzYm0f6aefvZMPZLmuZH1ouRlUbojLdMyIbVwB+RjzZRph6Kchq5t3+eUncYCAB2+CH7lAd+YC7kamUYCgGTQuS900PHz2m6Vh89r532zL0BwoRMkbmBx7Ve69uXGFN9jvlBKZwSmocPs0sDiBJZOkLaB+Wfq3aStNDCKZi9a6rHutZqYqOvOLdzxm9FyYkUrK93xaqp1/+NtGhiWOelw/LLyklvMhWwNDMmckkH7I7G5VIxZFsLSi9/H/o+ff/0lgRXnv/z5nxyj/OYW6pkDIuCAKPD3KUAY+M7Ha7deu32m3dK1L/c5kHZ4t+Ol+72L/OaX6+L9JxT1s/xP9W72ynKU/2T3IUM0ZfF0XewyDMUTowudIPEwFNd+pWuXW7ST90RPdj1U0bsMPXHbLZ0g7dAjT3dpK7sdimbfzdwHN+PfbM+jgkDV05Wwy54nHkJe6ASJ9zxx7Ve6drlF+3/2nocqepc9T9x2SydIu+fxD9C7SVvZ81A0z3P07T9/+vYPf+uf/uuf/rl0f/L/++s+f+nbP/w9X3/y+x//71/H3x37n6Zff/nD/3//619//c3/0P72r53/2/65+mcpdO2OWP70S/s3/y/4l5//Nv7+X/7P8X/+l49f/9b+4v5tv//8v9wHTuuf/uOXYfztrz//4r/3y6/u/9yvtX/9+V9/8ZXp/9p/+/W3n/+X+3e1f3Xf+Os4/eF+/f8ef/vj537+k959bfzN/dn//K39938Z/x/3O3/89h+j+1s6hzj+Nmvtfv3jj1//9vmT/8Ozp/j6F35bQSjm/7jjj29/Gn5u//XXX/y/i/Lbs2DSb/7287/+G/FX//j13ym/6H5z+vmvM6j/f1+h7gu///pXt/p9LQz/7env+sJof/vj8QtfteCL4T/+1o2//fOvv7ky+ywg/9N/+3Xw/5b/Y/xl/M2Z7L7377/9+sfngYT/1l9/7f+v0ZXf1x+PXsvnZuX+8Odf/s3ty/7w4v8/BKtksA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</si>
  <si>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</si>
  <si>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</si>
  <si>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</si>
  <si>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</si>
  <si>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</si>
  <si>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</si>
  <si>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</si>
  <si>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</si>
  <si>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</si>
  <si>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</si>
  <si>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</si>
  <si>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</si>
  <si>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</si>
  <si>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</si>
  <si>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</si>
  <si>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</si>
  <si>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</si>
  <si>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</si>
  <si>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</si>
  <si>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</si>
  <si>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</si>
  <si>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</si>
  <si>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</si>
  <si>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</si>
  <si>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</si>
  <si>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</si>
  <si>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</si>
  <si>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</si>
  <si>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</si>
  <si>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</si>
  <si>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</si>
  <si>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</si>
  <si>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</si>
  <si>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</si>
  <si>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</si>
  <si>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</si>
  <si>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</si>
  <si>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</si>
  <si>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</si>
  <si>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</si>
  <si>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</si>
  <si>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</si>
  <si>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b834d9d5-d82e-4a35-aecd-d355084311b3</t>
  </si>
  <si>
    <t>eba7ef85-9ce3-49cb-925f-78ecd339c642</t>
  </si>
  <si>
    <t>5d66fcfd-8f62-4681-97b3-5e2f6219863f</t>
  </si>
  <si>
    <t>1.1.2</t>
  </si>
  <si>
    <t>6.2</t>
  </si>
  <si>
    <t>СМР корпуса без отделки</t>
  </si>
  <si>
    <t>1.1.2.1</t>
  </si>
  <si>
    <t>6.2.1</t>
  </si>
  <si>
    <t>СМР подземной части корпуса</t>
  </si>
  <si>
    <t>1.1.2.1.1</t>
  </si>
  <si>
    <t>6.2.1.8</t>
  </si>
  <si>
    <t>Прочие затраты по СМР подземной части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</si>
  <si>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</si>
  <si>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</si>
  <si>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</si>
  <si>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</si>
  <si>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</si>
  <si>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</si>
  <si>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</si>
  <si>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</si>
  <si>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</si>
  <si>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Выгружается из БО по объектам BIM-КЦ</t>
  </si>
  <si>
    <t>Подвал. Форкамеры - 3 шт. Толщина - 200 мм.</t>
  </si>
  <si>
    <t>м3</t>
  </si>
  <si>
    <t>42f73a3a-af27-49c0-a291-1976d4b4bf7d</t>
  </si>
  <si>
    <t>98bffc5c-f354-4083-86f8-ec23e76eecb6</t>
  </si>
  <si>
    <t>0e5f4c39-88b2-40cd-a119-fa1b22a8b635</t>
  </si>
  <si>
    <t>1.1.2.1.1.1.1.1.1</t>
  </si>
  <si>
    <t>Материалы для примыкания / уплотняющий жгут, клей на м3</t>
  </si>
  <si>
    <t>комплект</t>
  </si>
  <si>
    <t>311044274.1125473</t>
  </si>
  <si>
    <t>23307776.1125473</t>
  </si>
  <si>
    <t>045f52b1-f9f4-4ab7-a681-46ae4aa4e5fb</t>
  </si>
  <si>
    <t>1.1.2.1.1.1.1.1.2</t>
  </si>
  <si>
    <t>Прочие материалы для кладки / из газобетона / 200 мм</t>
  </si>
  <si>
    <t>311044274.1125469</t>
  </si>
  <si>
    <t>23307776.1125469</t>
  </si>
  <si>
    <t>d18421ae-3457-4bd1-855f-372515a6055c</t>
  </si>
  <si>
    <t>1.1.2.1.1.1.1.1.3</t>
  </si>
  <si>
    <t>Клей по газобетону, д/тонкошовной кладки_</t>
  </si>
  <si>
    <t>кг</t>
  </si>
  <si>
    <t>311044274.54603</t>
  </si>
  <si>
    <t>23307776.54603</t>
  </si>
  <si>
    <t>406ce6c0-3315-4936-9c3e-728bf7a3dd93</t>
  </si>
  <si>
    <t>1.1.2.1.1.1.1.1.4</t>
  </si>
  <si>
    <t>Блок газобетонный D600 625х250х200мм</t>
  </si>
  <si>
    <t>311044274.7409</t>
  </si>
  <si>
    <t>23307776.7409</t>
  </si>
  <si>
    <t>e47bb9a7-1552-11e8-80d9-005056881952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</si>
  <si>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</si>
  <si>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</si>
  <si>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</si>
  <si>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</si>
  <si>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</si>
  <si>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</si>
  <si>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</si>
  <si>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8f7d365e-38c4-48f1-99bd-115dc592647b</t>
  </si>
  <si>
    <t>fe3bd3c4-012e-4928-a2aa-ba96794d7cad</t>
  </si>
  <si>
    <t>1.1.2.1.1.1.2.1.1</t>
  </si>
  <si>
    <t xml:space="preserve">Смесь сухая цементно-песчаная </t>
  </si>
  <si>
    <t>311044277.1129228</t>
  </si>
  <si>
    <t>23307775.1129228</t>
  </si>
  <si>
    <t>3f64133f-4d71-4dd3-93b5-4c3bc39ac247</t>
  </si>
  <si>
    <t>1.1.2.1.1.1.2.1.2</t>
  </si>
  <si>
    <t>Материалы для примыкания / уплотняющий жгут, клей на м2</t>
  </si>
  <si>
    <t>311044277.1125465</t>
  </si>
  <si>
    <t>23307775.1125465</t>
  </si>
  <si>
    <t>ba2db4ae-0372-432d-874c-3cbc389cb3d3</t>
  </si>
  <si>
    <t>1.1.2.1.1.1.2.1.3</t>
  </si>
  <si>
    <t>Прочие материалы для кладки /  из кирпича / 65 -120мм</t>
  </si>
  <si>
    <t>311044277.1125487</t>
  </si>
  <si>
    <t>23307775.1125487</t>
  </si>
  <si>
    <t>4f235928-efbf-499b-8de5-b7c597ff96fa</t>
  </si>
  <si>
    <t>1.1.2.1.1.1.2.1.4</t>
  </si>
  <si>
    <t>Сетка эл/св_ / 50*50*4</t>
  </si>
  <si>
    <t>311044277.55158</t>
  </si>
  <si>
    <t>23307775.55158</t>
  </si>
  <si>
    <t>1e965c83-b714-40db-9a09-5fe1d1cf91a6</t>
  </si>
  <si>
    <t>1.1.2.1.1.1.2.1.5</t>
  </si>
  <si>
    <t>Кирпич полнотелый рядовой_ / м-150</t>
  </si>
  <si>
    <t>шт</t>
  </si>
  <si>
    <t>311044277.54588</t>
  </si>
  <si>
    <t>23307775.54588</t>
  </si>
  <si>
    <t>75781f06-c50b-4212-84dd-cadd16dc552b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</si>
  <si>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</si>
  <si>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</si>
  <si>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</si>
  <si>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</si>
  <si>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</si>
  <si>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</si>
  <si>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</si>
  <si>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</si>
  <si>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</si>
  <si>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</si>
  <si>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</si>
  <si>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</si>
  <si>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b0ff6616-19f1-455e-bf1a-5ea1bc9fd283</t>
  </si>
  <si>
    <t>0ed13e26-7903-4b3b-80e2-92ed86dbdc43</t>
  </si>
  <si>
    <t>1.1.2.2.1.1.1.1</t>
  </si>
  <si>
    <t>311044282.1125473</t>
  </si>
  <si>
    <t>22708549.1125473</t>
  </si>
  <si>
    <t>1.1.2.2.1.1.1.2</t>
  </si>
  <si>
    <t>311044282.1125469</t>
  </si>
  <si>
    <t>22708549.1125469</t>
  </si>
  <si>
    <t>1.1.2.2.1.1.1.3</t>
  </si>
  <si>
    <t>311044282.54603</t>
  </si>
  <si>
    <t>22708549.54603</t>
  </si>
  <si>
    <t>1.1.2.2.1.1.1.4</t>
  </si>
  <si>
    <t>311044282.7409</t>
  </si>
  <si>
    <t>22708549.7409</t>
  </si>
  <si>
    <t>1.1.2.2.1.1.2</t>
  </si>
  <si>
    <t>6.2.2.4.1.5.1</t>
  </si>
  <si>
    <t>Заделка мест прохождения инженерных коммуникаций кладочным материалом</t>
  </si>
  <si>
    <t>b1a74100-3935-4c81-b63a-41329604b870</t>
  </si>
  <si>
    <t>e9936b03-30e4-43dd-83a9-4df81779afa6</t>
  </si>
  <si>
    <t>1.1.2.2.1.1.2.1</t>
  </si>
  <si>
    <t>311044284.1129228</t>
  </si>
  <si>
    <t>22713682.1129228</t>
  </si>
  <si>
    <t>1.1.2.2.1.1.2.2</t>
  </si>
  <si>
    <t>Кирпич Рядовой, полнотелый 250х120х65мм 1НФ М150 F50 класс ср.пл.2 ГОСТ 530-2012</t>
  </si>
  <si>
    <t>311044284.10336</t>
  </si>
  <si>
    <t>22713682.10336</t>
  </si>
  <si>
    <t>e77862f8-44a3-11e8-80da-005056881952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</si>
  <si>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</si>
  <si>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</si>
  <si>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</si>
  <si>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</si>
  <si>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</si>
  <si>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</si>
  <si>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</si>
  <si>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</si>
  <si>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</si>
  <si>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6687ec1f-6ef6-434f-b995-cdd898f7c555</t>
  </si>
  <si>
    <t>1.1.2.2.1.2.1.1.1</t>
  </si>
  <si>
    <t>311044288.1129228</t>
  </si>
  <si>
    <t>22713692.1129228</t>
  </si>
  <si>
    <t>1.1.2.2.1.2.1.1.2</t>
  </si>
  <si>
    <t>311044288.1125465</t>
  </si>
  <si>
    <t>22713692.1125465</t>
  </si>
  <si>
    <t>1.1.2.2.1.2.1.1.3</t>
  </si>
  <si>
    <t>311044288.1125487</t>
  </si>
  <si>
    <t>22713692.1125487</t>
  </si>
  <si>
    <t>1.1.2.2.1.2.1.1.4</t>
  </si>
  <si>
    <t>311044288.55158</t>
  </si>
  <si>
    <t>22713692.55158</t>
  </si>
  <si>
    <t>1.1.2.2.1.2.1.1.5</t>
  </si>
  <si>
    <t>311044288.54588</t>
  </si>
  <si>
    <t>22713692.54588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</si>
  <si>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</si>
  <si>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</si>
  <si>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</si>
  <si>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</si>
  <si>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</si>
  <si>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</si>
  <si>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</si>
  <si>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b144491f-4d07-417b-8e40-cf60afb65dab</t>
  </si>
  <si>
    <t>78e74334-ad7c-483c-a5ca-4beaa46ba6dd</t>
  </si>
  <si>
    <t>1.1.2.2.1.2.2.1.1</t>
  </si>
  <si>
    <t>Прочий материал для кладки перегородок из ПГП (скоба, шуруп, дюбель, пена, подложка)</t>
  </si>
  <si>
    <t>311044291.1122425</t>
  </si>
  <si>
    <t>22713687.1122425</t>
  </si>
  <si>
    <t>7d9865ba-57d8-4643-8c80-789dcab1b8ff</t>
  </si>
  <si>
    <t>1.1.2.2.1.2.2.1.2</t>
  </si>
  <si>
    <t>Плита гипсовая пазогребневая Влагостойкая, полнотелая 667х500х100мм</t>
  </si>
  <si>
    <t>311044291.7652</t>
  </si>
  <si>
    <t>22713687.7652</t>
  </si>
  <si>
    <t>db642f7e-26d6-11e8-80d9-005056881952</t>
  </si>
  <si>
    <t>1.1.2.2.1.2.2.1.3</t>
  </si>
  <si>
    <t>Материалы для примыкания / мина вата, штукатурная смесь м2</t>
  </si>
  <si>
    <t>311044291.1731537</t>
  </si>
  <si>
    <t>22713687.1731537</t>
  </si>
  <si>
    <t>de0d5983-b561-4d8f-a6e2-cae2204db6ae</t>
  </si>
  <si>
    <t>1.1.2.2.1.2.2.1.4</t>
  </si>
  <si>
    <t>Клей для ПГП_/</t>
  </si>
  <si>
    <t>311044291.54582</t>
  </si>
  <si>
    <t>22713687.54582</t>
  </si>
  <si>
    <t>83df5452-88a6-42c1-844b-d6bbcf1d0471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</si>
  <si>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</si>
  <si>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</si>
  <si>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</si>
  <si>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</si>
  <si>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</si>
  <si>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</si>
  <si>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</si>
  <si>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b14f4e38-3585-4dc2-957c-30490faf4592</t>
  </si>
  <si>
    <t>efdd910f-d4d5-47d8-bf4c-279f25591fc4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</si>
  <si>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</si>
  <si>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</si>
  <si>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311044294.1571304</t>
  </si>
  <si>
    <t>22726888.1571304</t>
  </si>
  <si>
    <t>03246ec1-2d72-4291-b360-a366560593b9</t>
  </si>
  <si>
    <t>1.1.2.2.1.2.3.1.2</t>
  </si>
  <si>
    <t xml:space="preserve">Мин. плита Техноакустик </t>
  </si>
  <si>
    <t>311044294.707289</t>
  </si>
  <si>
    <t>22726888.707289</t>
  </si>
  <si>
    <t>2aa4233f-c631-436f-a5fb-e3286f3f03b3</t>
  </si>
  <si>
    <t>1.1.2.2.1.2.3.1.3</t>
  </si>
  <si>
    <t>Профиль_/направляющий/75*40*0,60/3м</t>
  </si>
  <si>
    <t>ПН 100х40</t>
  </si>
  <si>
    <t>пог. м</t>
  </si>
  <si>
    <t>311044294.54563</t>
  </si>
  <si>
    <t>22726888.54563</t>
  </si>
  <si>
    <t>da03edcf-b4d9-4058-9973-8a5ff0a070d9</t>
  </si>
  <si>
    <t>1.1.2.2.1.2.3.1.4</t>
  </si>
  <si>
    <t>Профиль_ / стоечный  / 75*50*0,6 / 2415</t>
  </si>
  <si>
    <t>ПС 100х50</t>
  </si>
  <si>
    <t>311044294.720773</t>
  </si>
  <si>
    <t>22726888.720773</t>
  </si>
  <si>
    <t>e595a8de-8a09-41c9-ae01-9e77a27e4e1d</t>
  </si>
  <si>
    <t>1.1.2.2.1.2.3.1.5</t>
  </si>
  <si>
    <t>Лист гипсокартонный_ / ГСП-DF ПЛУК / 12,5 мм</t>
  </si>
  <si>
    <t>311044294.1521733</t>
  </si>
  <si>
    <t>22726888.1521733</t>
  </si>
  <si>
    <t>525ba485-341d-4b67-a708-94503b506fec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</si>
  <si>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</si>
  <si>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</si>
  <si>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</si>
  <si>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</si>
  <si>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3caeaf31-240c-4800-9ddf-ce092caa9a99</t>
  </si>
  <si>
    <t>2b3256bf-fa66-403d-8607-d883a73d917c</t>
  </si>
  <si>
    <t>1.1.2.2.1.2.3.2.1</t>
  </si>
  <si>
    <t>311044295.1571304</t>
  </si>
  <si>
    <t>22728312.1571304</t>
  </si>
  <si>
    <t>1.1.2.2.1.2.3.2.2</t>
  </si>
  <si>
    <t>Профиль_/стоечный/50*50*0,60/3м</t>
  </si>
  <si>
    <t>311044295.54565</t>
  </si>
  <si>
    <t>22728312.54565</t>
  </si>
  <si>
    <t>aadfbe6a-ab19-412b-a4b6-645b6bf99174</t>
  </si>
  <si>
    <t>1.1.2.2.1.2.3.2.3</t>
  </si>
  <si>
    <t>Профиль_/направляющий/50*40*0,60/3м</t>
  </si>
  <si>
    <t>311044295.54570</t>
  </si>
  <si>
    <t>22728312.54570</t>
  </si>
  <si>
    <t>fcc6f7bc-87cc-49c1-b4ac-f6a22abb8878</t>
  </si>
  <si>
    <t>1.1.2.2.1.2.3.2.4</t>
  </si>
  <si>
    <t>311044295.1521733</t>
  </si>
  <si>
    <t>22728312.1521733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</si>
  <si>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</si>
  <si>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</si>
  <si>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</si>
  <si>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</si>
  <si>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311044413.1521716</t>
  </si>
  <si>
    <t>22728311.1521716</t>
  </si>
  <si>
    <t>85f69335-7b81-4c3d-b059-fb06ee828287</t>
  </si>
  <si>
    <t>1.1.2.2.1.2.3.3.2</t>
  </si>
  <si>
    <t>311044413.54565</t>
  </si>
  <si>
    <t>22728311.54565</t>
  </si>
  <si>
    <t>1.1.2.2.1.2.3.3.3</t>
  </si>
  <si>
    <t>311044413.54570</t>
  </si>
  <si>
    <t>22728311.54570</t>
  </si>
  <si>
    <t>1.1.2.2.1.2.3.3.4</t>
  </si>
  <si>
    <t>311044413.1571304</t>
  </si>
  <si>
    <t>22728311.1571304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</si>
  <si>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</si>
  <si>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</si>
  <si>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</si>
  <si>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</si>
  <si>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</si>
  <si>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</si>
  <si>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</si>
  <si>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</si>
  <si>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84c12651-3183-437e-9e1c-36498aa28605</t>
  </si>
  <si>
    <t>b9dd5343-4249-436a-86aa-2377de44a7b3</t>
  </si>
  <si>
    <t>1.1.2.2.1.3.1.1</t>
  </si>
  <si>
    <t>Прочий материал для перемычек (клей, грунт) / для арматуры</t>
  </si>
  <si>
    <t>311044298.1125497</t>
  </si>
  <si>
    <t>22708550.1125497</t>
  </si>
  <si>
    <t>7730469c-e412-4994-bc1f-cd8ba817c89d</t>
  </si>
  <si>
    <t>1.1.2.2.1.3.1.2</t>
  </si>
  <si>
    <t>Арматура</t>
  </si>
  <si>
    <t>311044298.50297</t>
  </si>
  <si>
    <t>22708550.50297</t>
  </si>
  <si>
    <t>30cebe8c-99fa-41a1-975f-66d41cad3210</t>
  </si>
  <si>
    <t>1.1.2.2.1.3.2</t>
  </si>
  <si>
    <t>6.2.2.4.3.2.1</t>
  </si>
  <si>
    <t>Устройство перемычек металлических с огрунтовкой и окраской</t>
  </si>
  <si>
    <t>Перемычки для наружных стен необходимо применять из раздела 6.2.2.5 "Наружные стены"
Выгружается из БО по объектам BIM-КЦ</t>
  </si>
  <si>
    <t>Подвал. Ф1 - Ф4</t>
  </si>
  <si>
    <t>96f3ac31-40e6-4822-821a-d3fdf3ec03db</t>
  </si>
  <si>
    <t>fa0903b4-76cb-4cff-8585-505068457eb5</t>
  </si>
  <si>
    <t>1.1.2.2.1.3.2.1</t>
  </si>
  <si>
    <t>Полоса стальная для перемычек</t>
  </si>
  <si>
    <t>Пластина 50х4</t>
  </si>
  <si>
    <t>311044300.1129238</t>
  </si>
  <si>
    <t>22703684.1129238</t>
  </si>
  <si>
    <t>9120ee6f-b48a-4e35-88ce-1ec954bdc614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</si>
  <si>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</si>
  <si>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</si>
  <si>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</si>
  <si>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311044300.1129237</t>
  </si>
  <si>
    <t>22703684.1129237</t>
  </si>
  <si>
    <t>f05ccbff-d6f8-4c5b-8671-7aa28e4ef052</t>
  </si>
  <si>
    <t>1.1.2.2.1.3.2.3</t>
  </si>
  <si>
    <t>Прочий материал для перемычек (клей, грунт) / для полосы или уголка</t>
  </si>
  <si>
    <t>311044300.1125500</t>
  </si>
  <si>
    <t>22703684.1125500</t>
  </si>
  <si>
    <t>97930081-487f-4c6f-83bb-314f8c308cc2</t>
  </si>
  <si>
    <t>1.1.2.2.1.3.3</t>
  </si>
  <si>
    <t>Подвал. ПР-1 - ПР-11</t>
  </si>
  <si>
    <t>1.1.2.2.1.3.3.1</t>
  </si>
  <si>
    <t>311044414.1125500</t>
  </si>
  <si>
    <t>22703683.1125500</t>
  </si>
  <si>
    <t>1.1.2.2.1.3.3.2</t>
  </si>
  <si>
    <t>311044414.1129237</t>
  </si>
  <si>
    <t>22703683.1129237</t>
  </si>
  <si>
    <t>1.1.2.2.1.3.3.3</t>
  </si>
  <si>
    <t>311044414.1129238</t>
  </si>
  <si>
    <t>22703683.1129238</t>
  </si>
  <si>
    <t>1.1.2.2.1.3.4</t>
  </si>
  <si>
    <t>1-4 этажи</t>
  </si>
  <si>
    <t>1.1.2.2.1.3.4.1</t>
  </si>
  <si>
    <t>311044415.1129238</t>
  </si>
  <si>
    <t>22713686.1129238</t>
  </si>
  <si>
    <t>1.1.2.2.1.3.4.2</t>
  </si>
  <si>
    <t>311044415.1129237</t>
  </si>
  <si>
    <t>22713686.1129237</t>
  </si>
  <si>
    <t>1.1.2.2.1.3.4.3</t>
  </si>
  <si>
    <t>311044415.1125500</t>
  </si>
  <si>
    <t>22713686.1125500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</si>
  <si>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</si>
  <si>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</si>
  <si>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</si>
  <si>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</si>
  <si>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Ф-1.п-18шт
Ф-1-64шт
Ф-1.1-1шт
Ф-1.2-1шт
Ф-1.3-2шт
Ф-2.п-4шт
Ф-2-21шт
Ф-3.п-5шт
Ф-3-28шт
Ф-3.1-6шт
Ф-3.2-1шт
Ф-4.п-1шт
Ф-4-16шт
Ф-4.1-4шт
Ф-5-2шт
Ф-5.1-2шт
Ф-6-36шт
Ф-7-96шт
Ф-7.1-8шт
Ф-7.2-2шт
Ф-8-69шт
Ф-9-284шт
Ф-10-23шт
Ф-11-5шт
Ф-12-36шт
Ф-13-85шт
Ф-14-16шт
Ф-15-1шт</t>
  </si>
  <si>
    <t>6b9b637d-d6be-418c-90d3-53b81dd155f6</t>
  </si>
  <si>
    <t>d48f862a-e059-4429-92cd-e6274b599c91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</si>
  <si>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</si>
  <si>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</si>
  <si>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311044302.46159</t>
  </si>
  <si>
    <t>22708559.46159</t>
  </si>
  <si>
    <t>7a09de81-58ec-47b3-9dc8-ceb591a55800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</si>
  <si>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</si>
  <si>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</si>
  <si>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</si>
  <si>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311044302.707481</t>
  </si>
  <si>
    <t>22708559.707481</t>
  </si>
  <si>
    <t>8f902bf4-371b-4eb3-b74d-1a26d1424919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</si>
  <si>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</si>
  <si>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</si>
  <si>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</si>
  <si>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</si>
  <si>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178f129d-e59f-4bc7-b790-b329baf4e5ff</t>
  </si>
  <si>
    <t>31bd5023-c7a0-4469-a745-2801e36e5126</t>
  </si>
  <si>
    <t>1.1.2.2.1.3.6.1</t>
  </si>
  <si>
    <t>Металлоконструкции (уголок, полоса, анкеры, швеллер и пр. с огрунтовкой и окраской)</t>
  </si>
  <si>
    <t>311044304.40654</t>
  </si>
  <si>
    <t>22708555.40654</t>
  </si>
  <si>
    <t>d4d74a1c-26ba-4b6e-9a76-2f6d7d32f450</t>
  </si>
  <si>
    <t>1.1.2.2.1.3.7</t>
  </si>
  <si>
    <t>Крепление перегородок из газобетона.</t>
  </si>
  <si>
    <t>1.1.2.2.1.3.7.1</t>
  </si>
  <si>
    <t>311044416.40654</t>
  </si>
  <si>
    <t>22708556.40654</t>
  </si>
  <si>
    <t>1.1.2.2.1.3.8</t>
  </si>
  <si>
    <t>Обрамление конструкций</t>
  </si>
  <si>
    <t>1.1.2.2.1.3.8.1</t>
  </si>
  <si>
    <t>311044417.40654</t>
  </si>
  <si>
    <t>22713690.40654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</si>
  <si>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</si>
  <si>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</si>
  <si>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</si>
  <si>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</si>
  <si>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</si>
  <si>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</si>
  <si>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</si>
  <si>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e869eb3d-2cdb-41be-8dc1-6990495cd320</t>
  </si>
  <si>
    <t>9a00b9ba-8c32-48c8-ba5a-51d9d6d77de8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</si>
  <si>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</si>
  <si>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</si>
  <si>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</si>
  <si>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</si>
  <si>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</si>
  <si>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</si>
  <si>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</si>
  <si>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</si>
  <si>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</si>
  <si>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253b3985-48a8-41d1-90c8-3bdfd5de94db</t>
  </si>
  <si>
    <t>9b3895f6-fdb6-499b-8ab4-8e689dbc0044</t>
  </si>
  <si>
    <t>aaba817f-d8d1-4a82-af0d-c69a9a6207c1</t>
  </si>
  <si>
    <t>1.1.2.2.2.1.1.1</t>
  </si>
  <si>
    <t>311044311.55158</t>
  </si>
  <si>
    <t>23307771.55158</t>
  </si>
  <si>
    <t>1.1.2.2.2.1.1.2</t>
  </si>
  <si>
    <t>Смесь цементно-песчаная М150</t>
  </si>
  <si>
    <t>311044311.7066</t>
  </si>
  <si>
    <t>23307771.7066</t>
  </si>
  <si>
    <t>288e06c4-9986-11e7-80d8-005056881952</t>
  </si>
  <si>
    <t>1.1.2.2.2.1.1.3</t>
  </si>
  <si>
    <t>311044311.54588</t>
  </si>
  <si>
    <t>23307771.54588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</si>
  <si>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</si>
  <si>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</si>
  <si>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</si>
  <si>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</si>
  <si>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</si>
  <si>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</si>
  <si>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</si>
  <si>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</si>
  <si>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</si>
  <si>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</si>
  <si>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</si>
  <si>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</si>
  <si>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</si>
  <si>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</si>
  <si>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</si>
  <si>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</si>
  <si>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6.3.1.5.1.1.2.1</t>
  </si>
  <si>
    <t>Шлифование поверхности полов</t>
  </si>
  <si>
    <t>Шлифовка наливного пола под укладку линолеума и плитки ПВХ. Тип: П-7, П-7.1, П-8, П-8.1, П-11, П-11.1, П-11.2</t>
  </si>
  <si>
    <t>e50b3957-f575-49e1-8cf0-0b7ee81680c4</t>
  </si>
  <si>
    <t>18978ed0-562d-48a1-b2d0-a8ed7d233c9b</t>
  </si>
  <si>
    <t>8a7cac49-151b-40fd-a08b-5e72f8ff4034</t>
  </si>
  <si>
    <t>1.1.3.1.1.1.1.2</t>
  </si>
  <si>
    <t>6.3.1.5.1.1.6.1</t>
  </si>
  <si>
    <t>Устройство разделительного слоя / из геотекстиля / в 1 слой</t>
  </si>
  <si>
    <t>Подвал. Пленка ТЕХНОНИКОЛЬ АЛЬФА БАРЬЕР 1.0</t>
  </si>
  <si>
    <t>277c92c5-c000-4674-9245-d2b5573238c5</t>
  </si>
  <si>
    <t>f7c6840a-212a-4a39-bb44-a629481a331a</t>
  </si>
  <si>
    <t>1.1.3.1.1.1.1.2.1</t>
  </si>
  <si>
    <t>Геотекстиль / БЛ / 300гр/м2</t>
  </si>
  <si>
    <t>Пленка ТЕХНОНИКОЛЬ АЛЬФА БАРЬЕР 1.0</t>
  </si>
  <si>
    <t>311044320.60254</t>
  </si>
  <si>
    <t>22761920.60254</t>
  </si>
  <si>
    <t>3db39a8f-a476-4402-8ee4-e4a6d661a32e</t>
  </si>
  <si>
    <t>1.1.3.1.1.1.1.3</t>
  </si>
  <si>
    <t>6.3.1.5.1.1.6.3</t>
  </si>
  <si>
    <t>Устройство разделительного слоя / из пленки полиэтиленовой / в 1 слой</t>
  </si>
  <si>
    <t>1-4 этажи. Тип: П-2, П-3, П-4, П-4.2, П-7, П-8, П-9, П-9.1</t>
  </si>
  <si>
    <t>672f52f6-b26d-4fee-8a2b-3f641d01bb01</t>
  </si>
  <si>
    <t>91058521-be9a-4628-9277-514b8aa56189</t>
  </si>
  <si>
    <t>1.1.3.1.1.1.1.3.1</t>
  </si>
  <si>
    <t>Пленка полиэтиленовая_ / 200 мкм</t>
  </si>
  <si>
    <t>311044321.36803</t>
  </si>
  <si>
    <t>22761919.36803</t>
  </si>
  <si>
    <t>131fa0ea-c103-43db-82bd-342cc6c0debe</t>
  </si>
  <si>
    <t>1.1.3.1.1.1.1.4</t>
  </si>
  <si>
    <t>6.3.1.5.1.1.9.1</t>
  </si>
  <si>
    <t>Обработка полов гидрофобизирующим составом</t>
  </si>
  <si>
    <t>Применительно: предварительное грунтование Forbo Eurocol 050 Europrimer Mix перед устройством наливных полов. Тип: П-7, П-7.1, П-8, П-8.1, П-11, П-11.1</t>
  </si>
  <si>
    <t>8110adda-1540-4bb8-b3b7-609310f23e25</t>
  </si>
  <si>
    <t>a1d4b7cf-4f07-494c-98d4-9910479c9aa6</t>
  </si>
  <si>
    <t>1.1.3.1.1.1.1.4.1</t>
  </si>
  <si>
    <t>Гидрофобизирующий состав Типром POL_/</t>
  </si>
  <si>
    <t>Forbo Eurocol 050 Europrimer Mix</t>
  </si>
  <si>
    <t>311044323.55058</t>
  </si>
  <si>
    <t>22757330.55058</t>
  </si>
  <si>
    <t>b4d539f4-f723-4060-ac58-bb4b3eb893d7</t>
  </si>
  <si>
    <t>1.1.3.1.1.1.1.5</t>
  </si>
  <si>
    <t>Применительно: Обеспыливание поверхности потолка. Тип: ЧНП-1.</t>
  </si>
  <si>
    <t>1.1.3.1.1.1.1.5.1</t>
  </si>
  <si>
    <t>Пропитка для бетонных поверхностей  / Элакор МБ1</t>
  </si>
  <si>
    <t>311044418.1196509</t>
  </si>
  <si>
    <t>22761921.1196509</t>
  </si>
  <si>
    <t>8ba8c8ef-7da7-49ae-a370-f7919780c284</t>
  </si>
  <si>
    <t>1.1.3.1.1.1.1.6</t>
  </si>
  <si>
    <t>Применительно: Обеспыливание поверхности потолка. Тип: ЧНП-4, ЧНП-8.</t>
  </si>
  <si>
    <t>1.1.3.1.1.1.1.6.1</t>
  </si>
  <si>
    <t>311044419.1196509</t>
  </si>
  <si>
    <t>22761922.1196509</t>
  </si>
  <si>
    <t>1.1.3.1.1.1.1.7</t>
  </si>
  <si>
    <t>Применительно: Обеспыливание поверхности стен. Тип: ЧН-24, ЧН-26.</t>
  </si>
  <si>
    <t>1.1.3.1.1.1.1.7.1</t>
  </si>
  <si>
    <t>311044420.1196509</t>
  </si>
  <si>
    <t>22761923.1196509</t>
  </si>
  <si>
    <t>1.1.3.1.1.1.1.8</t>
  </si>
  <si>
    <t>6.3.1.5.1.1.11.2</t>
  </si>
  <si>
    <t>Устройство стяжки СКБ / армированная сеткой от 21 мм до 40 мм</t>
  </si>
  <si>
    <t>Подвал. Цементно-песчаная стяжка М150, арм. сеткой 5ВР1 с ячейкой 100х100 - 40 мм. Тип: П-6</t>
  </si>
  <si>
    <t>bc0e5f03-2992-4502-aa0b-a36daa7dc9b3</t>
  </si>
  <si>
    <t>21d23a99-5bd4-4d65-bcd9-e1e922edb18b</t>
  </si>
  <si>
    <t>1.1.3.1.1.1.1.8.1</t>
  </si>
  <si>
    <t>Фиксатор арматуры Звездочка_/15/4-16</t>
  </si>
  <si>
    <t>311044325.55160</t>
  </si>
  <si>
    <t>22829011.55160</t>
  </si>
  <si>
    <t>89d26042-545e-4f2c-9700-1029a9f50251</t>
  </si>
  <si>
    <t>1.1.3.1.1.1.1.8.2</t>
  </si>
  <si>
    <t>Смесь цементно-песчаная сухая_/М150</t>
  </si>
  <si>
    <t>311044325.54611</t>
  </si>
  <si>
    <t>22829011.54611</t>
  </si>
  <si>
    <t>a1146549-61c5-4487-b5c7-fb7d0d185669</t>
  </si>
  <si>
    <t>1.1.3.1.1.1.1.8.3</t>
  </si>
  <si>
    <t>Сетка эл/св_/100*100*5</t>
  </si>
  <si>
    <t>311044325.55156</t>
  </si>
  <si>
    <t>22829011.55156</t>
  </si>
  <si>
    <t>bf82eb44-b4c2-419c-ba3f-021582715b59</t>
  </si>
  <si>
    <t>1.1.3.1.1.1.1.8.4</t>
  </si>
  <si>
    <t>Лента кромочная демпферная_/8*100мм/20м</t>
  </si>
  <si>
    <t>311044325.55045</t>
  </si>
  <si>
    <t>22829011.55045</t>
  </si>
  <si>
    <t>41f707b9-71e7-4101-86f2-7af29d65f5fe</t>
  </si>
  <si>
    <t>1.1.3.1.1.1.1.9</t>
  </si>
  <si>
    <t>6.3.1.5.1.1.11.3</t>
  </si>
  <si>
    <t>Устройство стяжки СКБ / армированная сеткой от 41 мм до 60 мм</t>
  </si>
  <si>
    <t>2-4 этажи. Цементно-песчаная стяжка М200, арм. сеткой 5Вр1 с ячейкой 100х100. Толщиной - 41 мм. Тип: П-1.1, П-2.1, П-8.1</t>
  </si>
  <si>
    <t>ab62b66c-87c5-4996-bbcc-d9044c8dc3c3</t>
  </si>
  <si>
    <t>52f6b76b-892a-4180-890e-fe6cef6a41a6</t>
  </si>
  <si>
    <t>1.1.3.1.1.1.1.9.1</t>
  </si>
  <si>
    <t>311044326.55160</t>
  </si>
  <si>
    <t>22765233.55160</t>
  </si>
  <si>
    <t>1.1.3.1.1.1.1.9.2</t>
  </si>
  <si>
    <t>311044326.55156</t>
  </si>
  <si>
    <t>22765233.55156</t>
  </si>
  <si>
    <t>1.1.3.1.1.1.1.9.3</t>
  </si>
  <si>
    <t>Смесь цементно-песчаная сухая_/М200</t>
  </si>
  <si>
    <t>311044326.54612</t>
  </si>
  <si>
    <t>22765233.54612</t>
  </si>
  <si>
    <t>0d69655b-e863-4a40-aa5e-ec8a8fb69e4b</t>
  </si>
  <si>
    <t>1.1.3.1.1.1.1.10</t>
  </si>
  <si>
    <t>2-4 этажи. Цементно-песчаная стяжка М200, арм. сеткой 5Вр1 с ячейкой 100х100. Толщиной - 43 мм. Тип: П-7.1</t>
  </si>
  <si>
    <t>1.1.3.1.1.1.1.10.1</t>
  </si>
  <si>
    <t>311044421.54612</t>
  </si>
  <si>
    <t>22767307.54612</t>
  </si>
  <si>
    <t>1.1.3.1.1.1.1.10.2</t>
  </si>
  <si>
    <t>311044421.55156</t>
  </si>
  <si>
    <t>22767307.55156</t>
  </si>
  <si>
    <t>1.1.3.1.1.1.1.10.3</t>
  </si>
  <si>
    <t>311044421.55160</t>
  </si>
  <si>
    <t>22767307.55160</t>
  </si>
  <si>
    <t>1.1.3.1.1.1.1.11</t>
  </si>
  <si>
    <t>2-4 этажи. Цементно-песчаная стяжка М200, арм. сеткой 5Вр1 с ячейкой 100х100. Толщиной - 56 мм. Тип: П-2.2, П-3.1,  П-4.1</t>
  </si>
  <si>
    <t>1.1.3.1.1.1.1.11.1</t>
  </si>
  <si>
    <t>311044422.55160</t>
  </si>
  <si>
    <t>22767308.55160</t>
  </si>
  <si>
    <t>1.1.3.1.1.1.1.11.2</t>
  </si>
  <si>
    <t>311044422.55156</t>
  </si>
  <si>
    <t>22767308.55156</t>
  </si>
  <si>
    <t>1.1.3.1.1.1.1.11.3</t>
  </si>
  <si>
    <t>311044422.54612</t>
  </si>
  <si>
    <t>22767308.54612</t>
  </si>
  <si>
    <t>1.1.3.1.1.1.1.12</t>
  </si>
  <si>
    <t>Подвал. Цементно-песчаная стяжка М200, арм. сеткой 5Вр1 с ячейкой 100х100. Толщиной - 60 мм. Тип: П-4*</t>
  </si>
  <si>
    <t>1.1.3.1.1.1.1.12.1</t>
  </si>
  <si>
    <t>311044423.54612</t>
  </si>
  <si>
    <t>22767310.54612</t>
  </si>
  <si>
    <t>1.1.3.1.1.1.1.12.2</t>
  </si>
  <si>
    <t>311044423.55156</t>
  </si>
  <si>
    <t>22767310.55156</t>
  </si>
  <si>
    <t>1.1.3.1.1.1.1.12.3</t>
  </si>
  <si>
    <t>311044423.55160</t>
  </si>
  <si>
    <t>22767310.55160</t>
  </si>
  <si>
    <t>1.1.3.1.1.1.1.13</t>
  </si>
  <si>
    <t>2-4 этажи. Цементно-песчаная стяжка М200, арм. сеткой 5Вр1 с ячейкой 100х100. Толщиной - 60 мм. Тип: П-11.1, П-11.2</t>
  </si>
  <si>
    <t>1.1.3.1.1.1.1.13.1</t>
  </si>
  <si>
    <t>311044424.55160</t>
  </si>
  <si>
    <t>22767309.55160</t>
  </si>
  <si>
    <t>1.1.3.1.1.1.1.13.2</t>
  </si>
  <si>
    <t>311044424.55156</t>
  </si>
  <si>
    <t>22767309.55156</t>
  </si>
  <si>
    <t>1.1.3.1.1.1.1.13.3</t>
  </si>
  <si>
    <t>311044424.54612</t>
  </si>
  <si>
    <t>22767309.54612</t>
  </si>
  <si>
    <t>1.1.3.1.1.1.1.14</t>
  </si>
  <si>
    <t>6.3.1.5.1.1.11.4</t>
  </si>
  <si>
    <t>Устройство стяжки СКБ / армированная сеткой от 61мм до 80 мм</t>
  </si>
  <si>
    <t>1-4 этажи. Цементно-песчаная стяжка М200, арм. сеткой 5Вр1 с ячейкой 100х100. Толщиной - 66 мм. Тип: П-2, П-3, П-4, П-4.2, П-8, П-9, П-9.1</t>
  </si>
  <si>
    <t>69309f48-e9fb-4ccc-8a31-9b4745ed871a</t>
  </si>
  <si>
    <t>23adf7dc-e836-4d8a-ab74-26a79242b402</t>
  </si>
  <si>
    <t>1.1.3.1.1.1.1.14.1</t>
  </si>
  <si>
    <t>311044327.55160</t>
  </si>
  <si>
    <t>22767306.55160</t>
  </si>
  <si>
    <t>1.1.3.1.1.1.1.14.2</t>
  </si>
  <si>
    <t>311044327.54612</t>
  </si>
  <si>
    <t>22767306.54612</t>
  </si>
  <si>
    <t>1.1.3.1.1.1.1.14.3</t>
  </si>
  <si>
    <t>311044327.55156</t>
  </si>
  <si>
    <t>22767306.55156</t>
  </si>
  <si>
    <t>1.1.3.1.1.1.1.15</t>
  </si>
  <si>
    <t>1 этаж. Цементно-песчаная стяжка М200, арм. сеткой 5Вр1 с ячейкой 100х100. Толщиной - 68 мм. Тип: П-7</t>
  </si>
  <si>
    <t>1.1.3.1.1.1.1.15.1</t>
  </si>
  <si>
    <t>311044425.55156</t>
  </si>
  <si>
    <t>22767305.55156</t>
  </si>
  <si>
    <t>1.1.3.1.1.1.1.15.2</t>
  </si>
  <si>
    <t>311044425.54612</t>
  </si>
  <si>
    <t>22767305.54612</t>
  </si>
  <si>
    <t>1.1.3.1.1.1.1.15.3</t>
  </si>
  <si>
    <t>311044425.55160</t>
  </si>
  <si>
    <t>22767305.55160</t>
  </si>
  <si>
    <t>1.1.3.1.1.1.1.16</t>
  </si>
  <si>
    <t>Подвал. Цементно-песчаная стяжка М200, арм. сеткой 5Вр1 с ячейкой 100х100. Толщиной - 80 мм. Тип: П-5*</t>
  </si>
  <si>
    <t>1.1.3.1.1.1.1.16.1</t>
  </si>
  <si>
    <t>311044426.55160</t>
  </si>
  <si>
    <t>22767311.55160</t>
  </si>
  <si>
    <t>1.1.3.1.1.1.1.16.2</t>
  </si>
  <si>
    <t>311044426.54612</t>
  </si>
  <si>
    <t>22767311.54612</t>
  </si>
  <si>
    <t>1.1.3.1.1.1.1.16.3</t>
  </si>
  <si>
    <t>311044426.55156</t>
  </si>
  <si>
    <t>22767311.55156</t>
  </si>
  <si>
    <t>1.1.3.1.1.1.1.17</t>
  </si>
  <si>
    <t>6.3.1.5.1.1.11.5</t>
  </si>
  <si>
    <t>Устройство стяжки СКБ /  армированная сеткой свыше 81 мм</t>
  </si>
  <si>
    <t>Подвал. Цементно-песчаная стяжка М200, арм. сеткой 5Вр1 с ячейкой 100х100. Толщиной - 85 мм. Тип: П-1*, П-3*</t>
  </si>
  <si>
    <t>0f365a30-a29c-44cb-8dda-87dec0dfeb67</t>
  </si>
  <si>
    <t>c9e4964d-a11c-403e-855b-19eba11666cb</t>
  </si>
  <si>
    <t>1.1.3.1.1.1.1.17.1</t>
  </si>
  <si>
    <t>311044328.55160</t>
  </si>
  <si>
    <t>22762392.55160</t>
  </si>
  <si>
    <t>1.1.3.1.1.1.1.17.2</t>
  </si>
  <si>
    <t>311044328.54612</t>
  </si>
  <si>
    <t>22762392.54612</t>
  </si>
  <si>
    <t>1.1.3.1.1.1.1.17.3</t>
  </si>
  <si>
    <t>311044328.55156</t>
  </si>
  <si>
    <t>22762392.55156</t>
  </si>
  <si>
    <t>1.1.3.1.1.1.1.18</t>
  </si>
  <si>
    <t>1 этаж. Цементно-песчаная стяжка М200, арм. сеткой 5Вр1 с ячейкой 100х100. Толщиной - 116 мм. Тип: П-1, П-1.2</t>
  </si>
  <si>
    <t>1.1.3.1.1.1.1.18.1</t>
  </si>
  <si>
    <t>311044427.55156</t>
  </si>
  <si>
    <t>22767312.55156</t>
  </si>
  <si>
    <t>1.1.3.1.1.1.1.18.2</t>
  </si>
  <si>
    <t>311044427.54612</t>
  </si>
  <si>
    <t>22767312.54612</t>
  </si>
  <si>
    <t>1.1.3.1.1.1.1.18.3</t>
  </si>
  <si>
    <t>311044427.55160</t>
  </si>
  <si>
    <t>22767312.55160</t>
  </si>
  <si>
    <t>1.1.3.1.1.1.1.19</t>
  </si>
  <si>
    <t>6.3.1.5.1.1.11.6</t>
  </si>
  <si>
    <t>Устройство стяжки СКБ / неармированная с приготовлением раствора до 20 мм</t>
  </si>
  <si>
    <t>Подвал. Цементно-песчаная стяжка М200 выравнивающая. Толщина - 20 мм. Тип: П-4*</t>
  </si>
  <si>
    <t>7f268808-b8e8-401c-abac-c5dc62318dd3</t>
  </si>
  <si>
    <t>ea2a5de3-e846-42a6-8067-5e1006c029e8</t>
  </si>
  <si>
    <t>1.1.3.1.1.1.1.19.1</t>
  </si>
  <si>
    <t>311044329.54612</t>
  </si>
  <si>
    <t>22764279.54612</t>
  </si>
  <si>
    <t>1.1.3.1.1.1.1.19.2</t>
  </si>
  <si>
    <t>311044329.55045</t>
  </si>
  <si>
    <t>22764279.55045</t>
  </si>
  <si>
    <t>1.1.3.1.1.1.1.20</t>
  </si>
  <si>
    <t xml:space="preserve">1-4 этажи. Выравнивающая цементно-песчаная стяжка М150. Толщина - 20 мм. Тип: П-1.1, П-2, П-2.1, П-3, П-4, П-4.2, П-6, П-6.1, П-7, П-7.1, П-8, П-8.1, П-11, П-11.1
</t>
  </si>
  <si>
    <t>1.1.3.1.1.1.1.20.1</t>
  </si>
  <si>
    <t>311044428.55045</t>
  </si>
  <si>
    <t>22764278.55045</t>
  </si>
  <si>
    <t>1.1.3.1.1.1.1.20.2</t>
  </si>
  <si>
    <t>311044428.54611</t>
  </si>
  <si>
    <t>22764278.54611</t>
  </si>
  <si>
    <t>1.1.3.1.1.1.1.21</t>
  </si>
  <si>
    <t>2-4 этажи. Выравнивающая цементно-песчаная стяжка М150. Толщина - 5 мм. Тип: П-2.2, П-3.1, П-4.1</t>
  </si>
  <si>
    <t>1.1.3.1.1.1.1.21.1</t>
  </si>
  <si>
    <t>311044429.54611</t>
  </si>
  <si>
    <t>22817294.54611</t>
  </si>
  <si>
    <t>1.1.3.1.1.1.1.21.2</t>
  </si>
  <si>
    <t>311044429.55045</t>
  </si>
  <si>
    <t>22817294.55045</t>
  </si>
  <si>
    <t>1.1.3.1.1.1.1.22</t>
  </si>
  <si>
    <t>6.3.1.5.1.1.11.9</t>
  </si>
  <si>
    <t>Устройство стяжки СКБ / неармированная с приготовлением раствора от 21 мм до 40 мм</t>
  </si>
  <si>
    <t>1-3 этажи. Выравнивающая цементная смесь Ceresit CN178. Толщина - 26 мм. Тип: П-5.</t>
  </si>
  <si>
    <t>da575ed1-c272-422d-983d-739497fc72b8</t>
  </si>
  <si>
    <t>f7755555-debb-45b8-8188-83a4c4b11754</t>
  </si>
  <si>
    <t>1.1.3.1.1.1.1.22.1</t>
  </si>
  <si>
    <t>Ceresit CN178</t>
  </si>
  <si>
    <t>311044330.54612</t>
  </si>
  <si>
    <t>22765232.54612</t>
  </si>
  <si>
    <t>1.1.3.1.1.1.1.23</t>
  </si>
  <si>
    <t>6.3.1.5.1.1.12.1</t>
  </si>
  <si>
    <t>Устройство наливных полов СКБ / толщ. до 10 мм</t>
  </si>
  <si>
    <t>1-4 этажи. Тип: П-7, П-7.1, П-8, П-8.1, П-11, П-11.1. Толщина - 10 мм</t>
  </si>
  <si>
    <t>b65fecf4-86b0-47e5-a873-50746e1e06fc</t>
  </si>
  <si>
    <t>1c1d8a34-6071-4900-a8e0-abeca2f16e8f</t>
  </si>
  <si>
    <t>1.1.3.1.1.1.1.23.1</t>
  </si>
  <si>
    <t>311044332.55045</t>
  </si>
  <si>
    <t>22757329.55045</t>
  </si>
  <si>
    <t>1.1.3.1.1.1.1.23.2</t>
  </si>
  <si>
    <t>Грунтовка универсальный ЛАСТИМИН_ / УНКОНТ ЛЮКС LP51 А</t>
  </si>
  <si>
    <t>311044332.1139608</t>
  </si>
  <si>
    <t>22757329.1139608</t>
  </si>
  <si>
    <t>bbceaf39-544c-478f-a605-41b8d1bad350</t>
  </si>
  <si>
    <t>1.1.3.1.1.1.1.23.3</t>
  </si>
  <si>
    <t>Наливной пол_ / Унифицированный по ПИК-СТАНДАРТ</t>
  </si>
  <si>
    <t>311044332.1352734</t>
  </si>
  <si>
    <t>22757329.1352734</t>
  </si>
  <si>
    <t>1c2289ef-6763-4a24-83d9-d4567710d066</t>
  </si>
  <si>
    <t>1.1.3.1.1.1.1.24</t>
  </si>
  <si>
    <t>Подвал. Тип: П-3*. Толщина - 10 мм.</t>
  </si>
  <si>
    <t>1.1.3.1.1.1.1.24.1</t>
  </si>
  <si>
    <t>311044430.1352734</t>
  </si>
  <si>
    <t>22829010.1352734</t>
  </si>
  <si>
    <t>1.1.3.1.1.1.1.24.2</t>
  </si>
  <si>
    <t>311044430.1139608</t>
  </si>
  <si>
    <t>22829010.1139608</t>
  </si>
  <si>
    <t>1.1.3.1.1.1.1.24.3</t>
  </si>
  <si>
    <t>311044430.55045</t>
  </si>
  <si>
    <t>22829010.55045</t>
  </si>
  <si>
    <t>1.1.3.1.1.1.1.25</t>
  </si>
  <si>
    <t>6.3.1.5.1.1.12.8</t>
  </si>
  <si>
    <t>Устройство наливных полов СКБ / толщ. свыше 40 мм</t>
  </si>
  <si>
    <t>Подвал. Тип: П-2*. Толщина - 60 мм</t>
  </si>
  <si>
    <t>3b58e471-d1ec-484f-8bc8-38f1facdf3aa</t>
  </si>
  <si>
    <t>f0429c19-1954-429c-a1cb-3a39238f54eb</t>
  </si>
  <si>
    <t>1.1.3.1.1.1.1.25.1</t>
  </si>
  <si>
    <t>311044333.1139608</t>
  </si>
  <si>
    <t>22829009.1139608</t>
  </si>
  <si>
    <t>1.1.3.1.1.1.1.25.2</t>
  </si>
  <si>
    <t>60 мм.</t>
  </si>
  <si>
    <t>311044333.54627</t>
  </si>
  <si>
    <t>22829009.54627</t>
  </si>
  <si>
    <t>e900cffa-abba-44d4-b93e-6eec1d535963</t>
  </si>
  <si>
    <t>1.1.3.1.1.1.1.25.3</t>
  </si>
  <si>
    <t>311044333.55045</t>
  </si>
  <si>
    <t>22829009.55045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</si>
  <si>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</si>
  <si>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</si>
  <si>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</si>
  <si>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</si>
  <si>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</si>
  <si>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</si>
  <si>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 xml:space="preserve">Подвал. Полимерная гидроизоляционная мастика Vetonit Tec 822 (2 слоя) - 5 мм; Тип: П-4*, П-5*
</t>
  </si>
  <si>
    <t>405b7847-8cb0-4821-ac01-f56e7770b070</t>
  </si>
  <si>
    <t>8a135a98-3599-429e-b287-6354f720abc7</t>
  </si>
  <si>
    <t>1.1.3.1.1.1.2.1.1</t>
  </si>
  <si>
    <t>Полимерная гидроизоляция Ceresit / CL51</t>
  </si>
  <si>
    <t>Vetonit Tec 822</t>
  </si>
  <si>
    <t>311044336.1193512</t>
  </si>
  <si>
    <t>22775411.1193512</t>
  </si>
  <si>
    <t>b2e2508f-bede-4719-a144-308272efce2d</t>
  </si>
  <si>
    <t>1.1.3.1.1.1.2.2</t>
  </si>
  <si>
    <t>1-4 этажи. Обмазочная гидроизоляция с заводом на стену на 300 мм. Тип: П-2.2, П-3,  П-3.1, П-4, П-4.1, П-4.2.</t>
  </si>
  <si>
    <t>1.1.3.1.1.1.2.2.1</t>
  </si>
  <si>
    <t>Мастика Гидроизоляционная, эластичная 1,1 кг/м2 (два слоя), прочность сцепления 0,8 МПа, время высыхания 1,5-2 часа</t>
  </si>
  <si>
    <t>311044431.773284</t>
  </si>
  <si>
    <t>22775410.773284</t>
  </si>
  <si>
    <t>9e4f7862-fc94-11e9-80ec-005056881952</t>
  </si>
  <si>
    <t>1.1.3.1.1.1.2.3</t>
  </si>
  <si>
    <t>1-4 этажи. Гидроизоляция стен полимерной мастикой Knauf Флэхендихт. Тип: ЧН-1, ЧН-2, ЧН-3, ЧН-4, ЧН-15</t>
  </si>
  <si>
    <t>1.1.3.1.1.1.2.3.1</t>
  </si>
  <si>
    <t>Мастика_ / Технониколь / №21</t>
  </si>
  <si>
    <t xml:space="preserve"> Knauf Флэхендихт</t>
  </si>
  <si>
    <t>311044432.57391</t>
  </si>
  <si>
    <t>23304448.57391</t>
  </si>
  <si>
    <t>431b25dc-65e4-45d6-bf7f-7ea34d1a465f</t>
  </si>
  <si>
    <t>1.1.3.1.1.1.2.4</t>
  </si>
  <si>
    <t>6.3.1.5.1.2.2.1</t>
  </si>
  <si>
    <t>Устройство оклеечной гидроизоляции с подготовкой из битумного праймера / в 1 слой</t>
  </si>
  <si>
    <t>1-4 этажи. Звукоизолирующий слой - Техноэласт Акустик Супер А350 - 4-5 мм. Тип: П-1.1, П-1.2, П-2.1, П-2.2, П-3.1, П-4.1, П-7.1, П-8.1, П-11, П-11.1, П-11.2</t>
  </si>
  <si>
    <t>b0e4a360-f0f4-4b32-848c-1316cdd739d6</t>
  </si>
  <si>
    <t>52b98750-a8fa-47b1-96e4-d689159ebbac</t>
  </si>
  <si>
    <t>1.1.3.1.1.1.2.4.1</t>
  </si>
  <si>
    <t>Теплоизоляция_ / Техноэласт Акустик Супер А350</t>
  </si>
  <si>
    <t>311044338.1122418</t>
  </si>
  <si>
    <t>22776848.1122418</t>
  </si>
  <si>
    <t>467d7a56-101c-4767-8ecf-c371e7bedd4f</t>
  </si>
  <si>
    <t>1.1.3.1.1.1.2.5</t>
  </si>
  <si>
    <t>6.3.1.5.1.2.4.1</t>
  </si>
  <si>
    <t>Устройство тепло-звукоизоляции полов / минвата / в 1 слой</t>
  </si>
  <si>
    <t>Подвал, 1-4 этажи. Минераловатный утеплитель ТехноникольТехнофлор Проф, ρ= 155 кг/м³ - 30 мм. Тип: П-2, П-3, П-4, П-4.2, П-7, П-8</t>
  </si>
  <si>
    <t>af86ab82-d73d-4a1e-bbf7-c759e5f4c78d</t>
  </si>
  <si>
    <t>712c77f6-f7c6-46fe-bc4a-fb39db44eb02</t>
  </si>
  <si>
    <t>1.1.3.1.1.1.2.5.1</t>
  </si>
  <si>
    <t>Плита теплоизоляционная минераловатная_ / ТЕХНОФЛОР СТАНДАРТ / 1200х600х120</t>
  </si>
  <si>
    <t>Технониколь Технофлор Стандарт, ρ= 110 кг/м³ - 30 мм</t>
  </si>
  <si>
    <t>311044340.763905</t>
  </si>
  <si>
    <t>22776849.763905</t>
  </si>
  <si>
    <t>8698a21b-97f8-4d0f-ac62-f0d7422f32d5</t>
  </si>
  <si>
    <t>1.1.3.1.1.1.2.6</t>
  </si>
  <si>
    <t>1 этаж. Минераловатный утеплитель ТехноникольТехнофлор Проф, ρ= 155 кг/м³ - 50 мм. Тип: П-9, П-9.1</t>
  </si>
  <si>
    <t>1.1.3.1.1.1.2.6.1</t>
  </si>
  <si>
    <t>Технониколь Технофлор Стандарт, ρ= 110 кг/м³ - 50 мм</t>
  </si>
  <si>
    <t>311044433.763905</t>
  </si>
  <si>
    <t>22776847.763905</t>
  </si>
  <si>
    <t>1.1.3.1.1.1.2.7</t>
  </si>
  <si>
    <t>6.3.1.5.1.2.5.1</t>
  </si>
  <si>
    <t>Утепление полов керамзитом</t>
  </si>
  <si>
    <t>Подвал. Керамзитовый гравий фр. 10-20 мм, П25, М250, 60-120 мм (средняя толщина 90 мм). Тип: П-4*</t>
  </si>
  <si>
    <t>d1874649-5209-4eb5-a757-57b5fb147650</t>
  </si>
  <si>
    <t>62097f98-2dd6-4f79-887b-f40e5ac30e13</t>
  </si>
  <si>
    <t>1.1.3.1.1.1.2.7.1</t>
  </si>
  <si>
    <t>Керамзит_ / фр 10-20</t>
  </si>
  <si>
    <t>311044342.54646</t>
  </si>
  <si>
    <t>22776850.54646</t>
  </si>
  <si>
    <t>131465f1-2749-420a-ba3f-b9a1b118f872</t>
  </si>
  <si>
    <t>1.1.3.1.1.1.2.8</t>
  </si>
  <si>
    <t>3 этаж. Керамзитовый гравий фр. 10-20 мм, П25, М250, толщина 83 мм. Тип: П-11.2</t>
  </si>
  <si>
    <t>1.1.3.1.1.1.2.8.1</t>
  </si>
  <si>
    <t>311044434.54646</t>
  </si>
  <si>
    <t>22779789.54646</t>
  </si>
  <si>
    <t>1.1.3.1.1.1.2.9</t>
  </si>
  <si>
    <t>2 этаж. Керамзитовый гравий фр. 10-20 мм, П25, М250, толщина 183 мм. Тип: П-11.1</t>
  </si>
  <si>
    <t>1.1.3.1.1.1.2.9.1</t>
  </si>
  <si>
    <t>311044435.54646</t>
  </si>
  <si>
    <t>22779788.54646</t>
  </si>
  <si>
    <t>1.1.3.1.1.1.2.10</t>
  </si>
  <si>
    <t>1 этаж. Керамзитовый гравий фр. 10-20 мм, П25, М250, толщина 233 мм. Тип: П-11</t>
  </si>
  <si>
    <t>1.1.3.1.1.1.2.10.1</t>
  </si>
  <si>
    <t>311044436.54646</t>
  </si>
  <si>
    <t>22779787.54646</t>
  </si>
  <si>
    <t>1.1.3.1.1.1.2.11</t>
  </si>
  <si>
    <t>6.3.1.5.1.2.6.1</t>
  </si>
  <si>
    <t>Проливка цементным молочком</t>
  </si>
  <si>
    <t>Тип: П-4*, Тип: П-11.2, Тип: П-11.1, Тип: П-11</t>
  </si>
  <si>
    <t>a1ccc2a2-0506-4d10-ba67-be520d007753</t>
  </si>
  <si>
    <t>ce6a2a40-0a2e-4d3e-b43f-ce57e8bb8ffe</t>
  </si>
  <si>
    <t>1.1.3.1.1.1.2.11.1</t>
  </si>
  <si>
    <t>Портландцемент_/М500</t>
  </si>
  <si>
    <t>311044344.54610</t>
  </si>
  <si>
    <t>22779863.54610</t>
  </si>
  <si>
    <t>4a099601-9ad5-4c20-8e6b-ef3d52a116bd</t>
  </si>
  <si>
    <t>1.1.3.1.1.1.3</t>
  </si>
  <si>
    <t>6.3.1.5.1.3</t>
  </si>
  <si>
    <t>Устройство покрытия полов</t>
  </si>
  <si>
    <t>1.1.3.1.1.1.3.1</t>
  </si>
  <si>
    <t>6.3.1.5.1.3.2.1</t>
  </si>
  <si>
    <t>Устройство покрытия пола из линолеума</t>
  </si>
  <si>
    <t>Включая защиту ДВП</t>
  </si>
  <si>
    <t>Тип: Л-4</t>
  </si>
  <si>
    <t>51b31787-2db2-4031-aade-329f900ef9b7</t>
  </si>
  <si>
    <t>b58ad002-5dea-4a06-b953-f640911ed5b2</t>
  </si>
  <si>
    <t>1.1.3.1.1.1.3.1.1</t>
  </si>
  <si>
    <t>Клей для линолеума</t>
  </si>
  <si>
    <t xml:space="preserve">Клей Forbo Eurocol 599 Eurosafe Super - 5 мм, коэф.расхода = 0,45 кг, 582,87кв.м*0,45 = 1262,29кг"
</t>
  </si>
  <si>
    <t>311044347.702694</t>
  </si>
  <si>
    <t>22895278.702694</t>
  </si>
  <si>
    <t>1a3e3255-5ba6-49e7-bbc8-279e1b1289a0</t>
  </si>
  <si>
    <t>1.1.3.1.1.1.3.1.2</t>
  </si>
  <si>
    <t>Грунтовка _ / универсальная водно-дисперсионная</t>
  </si>
  <si>
    <t>311044347.737422</t>
  </si>
  <si>
    <t>22895278.737422</t>
  </si>
  <si>
    <t>64d77ce3-b188-4652-a3eb-49ad1b6ad85c</t>
  </si>
  <si>
    <t>1.1.3.1.1.1.3.1.3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</si>
  <si>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</si>
  <si>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311044347.765921</t>
  </si>
  <si>
    <t>22895278.765921</t>
  </si>
  <si>
    <t>8a356048-b8f8-47ee-8d24-c76a0511040b</t>
  </si>
  <si>
    <t>1.1.3.1.1.1.3.1.4</t>
  </si>
  <si>
    <t>Линолеум (для объектов СКБ)_ / 4 мм  / серый / Omnisports ACTION R40 GREY / Tarkett / - / Спортивный линолеум для школы</t>
  </si>
  <si>
    <t>311044347.1757616</t>
  </si>
  <si>
    <t>22895278.1757616</t>
  </si>
  <si>
    <t>8a051785-3557-4655-9655-cc3c5240c6a9</t>
  </si>
  <si>
    <t>1.1.3.1.1.1.3.2</t>
  </si>
  <si>
    <t>Тип: Л-5</t>
  </si>
  <si>
    <t>1.1.3.1.1.1.3.2.1</t>
  </si>
  <si>
    <t>Линолеум (для объектов СКБ)_ / 4 мм  / Желтый / Omnisports ACTION R40 YELLOW / Tarkett / - / Спортивный линолеум для детского сада</t>
  </si>
  <si>
    <t>Tarkett Оmnisports Action R40 coral</t>
  </si>
  <si>
    <t>311044437.1757615</t>
  </si>
  <si>
    <t>22895279.1757615</t>
  </si>
  <si>
    <t>d4a7a97e-1161-462d-a2ac-3ef8a8ae8cec</t>
  </si>
  <si>
    <t>1.1.3.1.1.1.3.2.2</t>
  </si>
  <si>
    <t>Сварочный шнур для линолеума (для объектов СКБ)_ / Tarkett / Сварочный шнур для линолеума ПВХ светло - серого для школы / 91811</t>
  </si>
  <si>
    <t>311044437.765918</t>
  </si>
  <si>
    <t>22895279.765918</t>
  </si>
  <si>
    <t>fa392f75-1b62-4551-a29d-c555784d88b7</t>
  </si>
  <si>
    <t>1.1.3.1.1.1.3.2.3</t>
  </si>
  <si>
    <t>311044437.737422</t>
  </si>
  <si>
    <t>22895279.737422</t>
  </si>
  <si>
    <t>1.1.3.1.1.1.3.2.4</t>
  </si>
  <si>
    <t>Клей Forbo Eurocol 599 Eurosafe Super - 5 мм, коэф.расхода = 0,45 кг</t>
  </si>
  <si>
    <t>311044437.702694</t>
  </si>
  <si>
    <t>22895279.702694</t>
  </si>
  <si>
    <t>1.1.3.1.1.1.3.3</t>
  </si>
  <si>
    <t>6.3.1.5.1.3.14.1</t>
  </si>
  <si>
    <t>Устройство покрытия пола из кварцвинила / на клею</t>
  </si>
  <si>
    <t>Тип: Л-1.</t>
  </si>
  <si>
    <t>d2a8c4cc-9752-499d-bcd0-96d63d6d3e47</t>
  </si>
  <si>
    <t>0f62f3eb-5d66-4427-b2d6-a309be9c6e5c</t>
  </si>
  <si>
    <t>1.1.3.1.1.1.3.3.1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</si>
  <si>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</si>
  <si>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мм. коэф.расхода = 0,45 кг 8025,66кв.м*0,45= 3611,55кг</t>
  </si>
  <si>
    <t>311044349.1579985</t>
  </si>
  <si>
    <t>22895276.1579985</t>
  </si>
  <si>
    <t>f4eb966a-beb9-11eb-80fb-005056881952</t>
  </si>
  <si>
    <t>1.1.3.1.1.1.3.3.2</t>
  </si>
  <si>
    <t>Кварц-виниловая плитка / SPC VIVA Series с защитным слоем 0,3мм</t>
  </si>
  <si>
    <t>ПВХ дизайн плитка. Производитель: Forbo Артикул: Effekta Professional 8060 T Light
Concrete PRO 500х500. Защитный слой 0.8</t>
  </si>
  <si>
    <t>311044349.1745760</t>
  </si>
  <si>
    <t>22895276.1745760</t>
  </si>
  <si>
    <t>5e97e485-cef1-4bb6-9a4e-50ed5226fbd6</t>
  </si>
  <si>
    <t>1.1.3.1.1.1.3.3.3</t>
  </si>
  <si>
    <t>311044349.737422</t>
  </si>
  <si>
    <t>22895276.737422</t>
  </si>
  <si>
    <t>1.1.3.1.1.1.3.4</t>
  </si>
  <si>
    <t>Тип: Л-2</t>
  </si>
  <si>
    <t>1.1.3.1.1.1.3.4.1</t>
  </si>
  <si>
    <t>311044438.737422</t>
  </si>
  <si>
    <t>22895277.737422</t>
  </si>
  <si>
    <t>1.1.3.1.1.1.3.4.2</t>
  </si>
  <si>
    <t>311044438.1745760</t>
  </si>
  <si>
    <t>22895277.1745760</t>
  </si>
  <si>
    <t>1.1.3.1.1.1.3.4.3</t>
  </si>
  <si>
    <t>Клей Forbo-Erfurt 528 EUROSTAR RAPID - 5 мм. коэф.расхода = 0,45 кг 37,96кв.м*0,45=17,08кг</t>
  </si>
  <si>
    <t>311044438.1579985</t>
  </si>
  <si>
    <t>22895277.1579985</t>
  </si>
  <si>
    <t>1.1.3.1.1.1.3.5</t>
  </si>
  <si>
    <t>6.3.1.5.1.3.16.1</t>
  </si>
  <si>
    <t>Установка напольного плинтуса / гибкого композитного плинтуса</t>
  </si>
  <si>
    <t>Тип: ПЛ-4</t>
  </si>
  <si>
    <t>bf8b2f4e-7702-446a-b121-512b33209d2c</t>
  </si>
  <si>
    <t>0b5f67e3-f627-4baf-9c3d-db9b54eab6f0</t>
  </si>
  <si>
    <t>1.1.3.1.1.1.3.5.1</t>
  </si>
  <si>
    <t>Плинтус напольный Европласт_/6.53.106</t>
  </si>
  <si>
    <t>Плинтус канелюрный. Первый профильный завод. Комбинированный каннелюрный профиль жесткий 10883. RAL 7040</t>
  </si>
  <si>
    <t>311044351.55230</t>
  </si>
  <si>
    <t>22896632.55230</t>
  </si>
  <si>
    <t>8cda3654-26b6-46fa-806e-8c0a08820d7f</t>
  </si>
  <si>
    <t>1.1.3.1.1.1.3.5.2</t>
  </si>
  <si>
    <t>Жидкие гвозди универсальные_/</t>
  </si>
  <si>
    <t>311044351.54854</t>
  </si>
  <si>
    <t>22896632.54854</t>
  </si>
  <si>
    <t>3378c715-1bc1-40f5-8d09-15a912e04c9d</t>
  </si>
  <si>
    <t>1.1.3.1.1.1.3.6</t>
  </si>
  <si>
    <t>6.3.1.5.1.3.16.4</t>
  </si>
  <si>
    <t>Установка напольного плинтуса / полимерного на клею</t>
  </si>
  <si>
    <t>Тип: ПЛ-2.</t>
  </si>
  <si>
    <t>c9eb628d-6a9a-4823-a035-3a8c813e3e45</t>
  </si>
  <si>
    <t>1e8e5096-f9d4-45e8-8fba-752768fac6e1</t>
  </si>
  <si>
    <t>1.1.3.1.1.1.3.6.1</t>
  </si>
  <si>
    <t>Плинтус для линолеума (для объектов СКБ) 100 мм WL 100 Dark Gray 0146 Dollken Плинтус для линолеума для детского сада и школ</t>
  </si>
  <si>
    <t>Плинтус гибкий. Первый профильный завод, Плинтусная лента: JL100 светло-серая 7046</t>
  </si>
  <si>
    <t>311044352.1747273</t>
  </si>
  <si>
    <t>22896631.1747273</t>
  </si>
  <si>
    <t>de126dff-32d0-11ee-a102-d1661ac0bb93</t>
  </si>
  <si>
    <t>1.1.3.1.1.1.3.7</t>
  </si>
  <si>
    <t>6.3.1.5.1.3.18.1</t>
  </si>
  <si>
    <t>Облицовка ступеней СКБ керамогранитной плиткой с затиркой швов</t>
  </si>
  <si>
    <t>Тип: КР-2. Ступени с насечками из керамогранита KERAMA MARAZZI, Коллекция: Про Матрикс
Артикул: DD201820R/GR, Формат: 300х600х9 мм. Цвет: серый светлый. Затирка Ceresit CE33 04 Серебристо-серый</t>
  </si>
  <si>
    <t>ee9b7492-3859-48da-970d-b4cb943f92b7</t>
  </si>
  <si>
    <t>fb6337dc-060b-41bd-b9cb-28c1f9d164ee</t>
  </si>
  <si>
    <t>1.1.3.1.1.1.3.7.1</t>
  </si>
  <si>
    <t>Ступени с насечками из керамического гранита "Викинг"_/SG605600R/ серый/300х600х11мм</t>
  </si>
  <si>
    <t>KERAMA MARAZZI Про Матрикс DD201820R/GR 300х600х9 мм</t>
  </si>
  <si>
    <t>311044354.54659</t>
  </si>
  <si>
    <t>22896620.54659</t>
  </si>
  <si>
    <t>80581ba0-af32-4140-9098-fad58c195b0a</t>
  </si>
  <si>
    <t>1.1.3.1.1.1.3.7.2</t>
  </si>
  <si>
    <t>Клей плиточный/Унифицированный по ПИК-СТАНДАРТ</t>
  </si>
  <si>
    <t>311044354.54630</t>
  </si>
  <si>
    <t>22896620.54630</t>
  </si>
  <si>
    <t>b9d3e1c1-6041-448e-9389-9c537e754b40</t>
  </si>
  <si>
    <t>1.1.3.1.1.1.3.7.3</t>
  </si>
  <si>
    <t>Затирка Цезерит СE33_ /  10 манхетен.</t>
  </si>
  <si>
    <t>311044354.847323</t>
  </si>
  <si>
    <t>22896620.847323</t>
  </si>
  <si>
    <t>2d2305a2-091f-448e-afc7-18ba31664bf8</t>
  </si>
  <si>
    <t>1.1.3.1.1.1.3.7.4</t>
  </si>
  <si>
    <t>311044354.1139608</t>
  </si>
  <si>
    <t>22896620.1139608</t>
  </si>
  <si>
    <t>1.1.3.1.1.1.3.8</t>
  </si>
  <si>
    <t>Тип: КР-3. Подступенки из керамогранита KERAMA MARAZZI Коллеция: Про Матрикс
Артикул: DD602020R\4 серый светлый обрезной подступенок 600х145x9мм. Затирка Ceresit CE33 04 Серебристо-серый.</t>
  </si>
  <si>
    <t>1.1.3.1.1.1.3.8.1</t>
  </si>
  <si>
    <t>311044439.1139608</t>
  </si>
  <si>
    <t>22896621.1139608</t>
  </si>
  <si>
    <t>1.1.3.1.1.1.3.8.2</t>
  </si>
  <si>
    <t>311044439.847323</t>
  </si>
  <si>
    <t>22896621.847323</t>
  </si>
  <si>
    <t>1.1.3.1.1.1.3.8.3</t>
  </si>
  <si>
    <t>311044439.54630</t>
  </si>
  <si>
    <t>22896621.54630</t>
  </si>
  <si>
    <t>1.1.3.1.1.1.3.8.4</t>
  </si>
  <si>
    <t>Подступенки из керамического гранита "Викинг"_/ SG605600R/серый/150х600х11мм</t>
  </si>
  <si>
    <t>KERAMA MARAZZI Про Матрикс DD602020R\4 600х145x9 мм</t>
  </si>
  <si>
    <t>311044439.54660</t>
  </si>
  <si>
    <t>22896621.54660</t>
  </si>
  <si>
    <t>2bd33641-bcf5-4a4a-aa20-c062f7380eca</t>
  </si>
  <si>
    <t>1.1.3.1.1.1.3.9</t>
  </si>
  <si>
    <t>Тип: КР-5. Керамогранит Kerama Marazzi, Артикул: Фрегат медовый SG701700R, Формат: 800х200х11 мм (Затирка: Ceresit СЕ 33, 04 серебристо-серый, Крестик: 2 мм)</t>
  </si>
  <si>
    <t>1.1.3.1.1.1.3.9.1</t>
  </si>
  <si>
    <t>Kerama Marazzi Фрегат медовый SG701700R 800х200х11</t>
  </si>
  <si>
    <t>311044440.54659</t>
  </si>
  <si>
    <t>22896623.54659</t>
  </si>
  <si>
    <t>1.1.3.1.1.1.3.9.2</t>
  </si>
  <si>
    <t>311044440.54630</t>
  </si>
  <si>
    <t>22896623.54630</t>
  </si>
  <si>
    <t>1.1.3.1.1.1.3.9.3</t>
  </si>
  <si>
    <t>311044440.847323</t>
  </si>
  <si>
    <t>22896623.847323</t>
  </si>
  <si>
    <t>1.1.3.1.1.1.3.9.4</t>
  </si>
  <si>
    <t>311044440.1139608</t>
  </si>
  <si>
    <t>22896623.1139608</t>
  </si>
  <si>
    <t>1.1.3.1.1.1.3.10</t>
  </si>
  <si>
    <t>Тип: Л-1. Керамогранит Kerama Marazzi, Артикул: Фрегат медовый SG701700R, Формат: 800х200х11 мм (Затирка: Ceresit СЕ 33, 04 серебристо-серый, Крестик: 2 мм)</t>
  </si>
  <si>
    <t>1.1.3.1.1.1.3.10.1</t>
  </si>
  <si>
    <t>311044441.1139608</t>
  </si>
  <si>
    <t>22896626.1139608</t>
  </si>
  <si>
    <t>1.1.3.1.1.1.3.10.2</t>
  </si>
  <si>
    <t>311044441.847323</t>
  </si>
  <si>
    <t>22896626.847323</t>
  </si>
  <si>
    <t>1.1.3.1.1.1.3.10.3</t>
  </si>
  <si>
    <t>311044441.54630</t>
  </si>
  <si>
    <t>22896626.54630</t>
  </si>
  <si>
    <t>1.1.3.1.1.1.3.10.4</t>
  </si>
  <si>
    <t>311044441.54660</t>
  </si>
  <si>
    <t>22896626.54660</t>
  </si>
  <si>
    <t>1.1.3.1.1.1.3.11</t>
  </si>
  <si>
    <t>6.3.1.5.1.3.19.1</t>
  </si>
  <si>
    <t>Устройство плинтуса из керамогранитной плитки СКБ</t>
  </si>
  <si>
    <t>Тип: ПЛ-1. Плинтус из керамогранита KERAMA MARAZZI, Коллекция: Про Матрикс, Артикул: DD602200R/6BT, Формат: 600х95х9 мм, Цвет светло серый (Крестик 2мм, затирка Ceresit CE33 04 Серебристо-серый).</t>
  </si>
  <si>
    <t>6c81bc23-a5ef-49af-8f1d-c7658256e887</t>
  </si>
  <si>
    <t>934f3c07-302a-412c-a8b5-2116f1199093</t>
  </si>
  <si>
    <t>1.1.3.1.1.1.3.11.1</t>
  </si>
  <si>
    <t>Плинтус из керамического гранита "Викинг"_ / серый / SG612600R/6ВТ / 95х600х11мм</t>
  </si>
  <si>
    <t>311044356.54663</t>
  </si>
  <si>
    <t>22896630.54663</t>
  </si>
  <si>
    <t>14055c75-784d-4af7-a4da-966408465603</t>
  </si>
  <si>
    <t>1.1.3.1.1.1.3.11.2</t>
  </si>
  <si>
    <t>Плиточный клей_ / Унифицированный по ПИК-СТАНДАРТ</t>
  </si>
  <si>
    <t>311044356.1570753</t>
  </si>
  <si>
    <t>22896630.1570753</t>
  </si>
  <si>
    <t>be76b7f0-d821-4213-a0b5-d4d9b08818f1</t>
  </si>
  <si>
    <t>1.1.3.1.1.1.3.11.3</t>
  </si>
  <si>
    <t>311044356.847323</t>
  </si>
  <si>
    <t>22896630.847323</t>
  </si>
  <si>
    <t>1.1.3.1.1.1.3.11.4</t>
  </si>
  <si>
    <t>Грунтовка универсальный ЛАСТИМИН_ / LP-51 А</t>
  </si>
  <si>
    <t>311044356.54634</t>
  </si>
  <si>
    <t>22896630.54634</t>
  </si>
  <si>
    <t>6f806fd0-f20f-4c69-8d99-cee4063fa047</t>
  </si>
  <si>
    <t>1.1.3.1.1.1.3.12</t>
  </si>
  <si>
    <t>Тип: ПЛ-6. Плинтус из керамогранита KERAMA MARAZZI, Коллекция: Колиано, Артикул: SG913000N, Формат: 300х100х8 мм, Цвет светло серый (Крестик 2мм, затирка Ceresit CE33 13 антрацит).</t>
  </si>
  <si>
    <t>1.1.3.1.1.1.3.12.1</t>
  </si>
  <si>
    <t>311044442.54634</t>
  </si>
  <si>
    <t>22896633.54634</t>
  </si>
  <si>
    <t>1.1.3.1.1.1.3.12.2</t>
  </si>
  <si>
    <t>Затирка Цезерит СE33_/13 атрацит</t>
  </si>
  <si>
    <t>311044442.54635</t>
  </si>
  <si>
    <t>22896633.54635</t>
  </si>
  <si>
    <t>255e2be5-9cb1-4b52-84d2-49341281c898</t>
  </si>
  <si>
    <t>1.1.3.1.1.1.3.12.3</t>
  </si>
  <si>
    <t>311044442.1570753</t>
  </si>
  <si>
    <t>22896633.1570753</t>
  </si>
  <si>
    <t>1.1.3.1.1.1.3.12.4</t>
  </si>
  <si>
    <t>Керамическая плитка Коллиано_ / Серый / SG913000N / 300*300*8мм</t>
  </si>
  <si>
    <t>311044442.758696</t>
  </si>
  <si>
    <t>22896633.758696</t>
  </si>
  <si>
    <t>dec587a8-6f4e-4afb-bdfb-9a67018ca72c</t>
  </si>
  <si>
    <t>1.1.3.1.1.1.3.13</t>
  </si>
  <si>
    <t>6.3.1.5.1.3.20.1</t>
  </si>
  <si>
    <t>Устройство покрытия пола СКБ с затиркой и укрытием ДВП / из керамогранитной плитки до 0,2м2/шт</t>
  </si>
  <si>
    <t>Тип: КР-4. Керамогранит KERAMA MARAZZI, Коллекция: Колиано, Артикул: SG913000N, Формат: 300х300х8 мм (Крестик 2мм, затирка Ceresit Ceresit CE 33, 13 антрацит).</t>
  </si>
  <si>
    <t>081b575c-aa66-4b70-9cd0-d5d89da79337</t>
  </si>
  <si>
    <t>65901f49-c07c-422e-a40b-cfafb585dc26</t>
  </si>
  <si>
    <t>1.1.3.1.1.1.3.13.1</t>
  </si>
  <si>
    <t>Клей плиточный/ Унифицированный по ПИК-СТАНДАРТ</t>
  </si>
  <si>
    <t>311044358.54632</t>
  </si>
  <si>
    <t>22895274.54632</t>
  </si>
  <si>
    <t>29ab9003-5b43-49a7-8ba2-846628054d7e</t>
  </si>
  <si>
    <t>1.1.3.1.1.1.3.13.2</t>
  </si>
  <si>
    <t>311044358.758696</t>
  </si>
  <si>
    <t>22895274.758696</t>
  </si>
  <si>
    <t>1.1.3.1.1.1.3.13.3</t>
  </si>
  <si>
    <t>311044358.54635</t>
  </si>
  <si>
    <t>22895274.54635</t>
  </si>
  <si>
    <t>1.1.3.1.1.1.3.13.4</t>
  </si>
  <si>
    <t>311044358.54634</t>
  </si>
  <si>
    <t>22895274.54634</t>
  </si>
  <si>
    <t>1.1.3.1.1.1.3.14</t>
  </si>
  <si>
    <t>6.3.1.5.1.3.20.2</t>
  </si>
  <si>
    <t>Устройство покрытия пола СКБ с затиркой и укрытием ДВП / из керамогранитной плитки от 0,2м2/шт</t>
  </si>
  <si>
    <t>Тип: КР-1. Керамогранит KERAMA MARAZZI, Коллекция: Про Матрикс, Артикул: DD602020R
Формат: 600х600х9мм. Цвет: серый светлый (Крестик 2мм, затирка Ceresit CE33 04 Серебристо-серый).</t>
  </si>
  <si>
    <t>69ce9bf3-5e4c-42a6-9cb7-1bf6547475ea</t>
  </si>
  <si>
    <t>abd27be4-9992-44fb-b098-3b2370fa29b6</t>
  </si>
  <si>
    <t>1.1.3.1.1.1.3.14.1</t>
  </si>
  <si>
    <t>Плиточный клей_ /  Унифицированный по ПИК-СТАНДАРТ</t>
  </si>
  <si>
    <t>311044359.739258</t>
  </si>
  <si>
    <t>22895273.739258</t>
  </si>
  <si>
    <t>b9d5a438-2a19-468f-b5a2-8648dd1dd258</t>
  </si>
  <si>
    <t>1.1.3.1.1.1.3.14.2</t>
  </si>
  <si>
    <t>Керамический гранит Kerama marazzi_ / Серый светлый / SG614800R/Напольный/Королевская дорога / 600*600*11</t>
  </si>
  <si>
    <t>311044359.720769</t>
  </si>
  <si>
    <t>22895273.720769</t>
  </si>
  <si>
    <t>3ac98e36-5cd5-4ac7-9116-897c1cc1bd6a</t>
  </si>
  <si>
    <t>1.1.3.1.1.1.3.14.3</t>
  </si>
  <si>
    <t>Затирка Цезерит СE33_/04 серебристо-серый</t>
  </si>
  <si>
    <t>311044359.54637</t>
  </si>
  <si>
    <t>22895273.54637</t>
  </si>
  <si>
    <t>c293221b-d93c-4424-8200-e1b99b7167e3</t>
  </si>
  <si>
    <t>1.1.3.1.1.1.3.14.4</t>
  </si>
  <si>
    <t>311044359.54634</t>
  </si>
  <si>
    <t>22895273.54634</t>
  </si>
  <si>
    <t>1.1.3.1.1.1.3.15</t>
  </si>
  <si>
    <t>Тип: КР-6. Керамогранит KERAMA MARAZZI, Коллекция: Джиминьяно, Артикул: DD642220R
Формат: 600х600х9мм. Цвет: серый светлый, Класс сопротивления скольжению R11 (Крестик 2мм, затирка Ceresit CE33 04 Серебристо-серый).</t>
  </si>
  <si>
    <t>1.1.3.1.1.1.3.15.1</t>
  </si>
  <si>
    <t>311044443.54634</t>
  </si>
  <si>
    <t>22895275.54634</t>
  </si>
  <si>
    <t>1.1.3.1.1.1.3.15.2</t>
  </si>
  <si>
    <t>311044443.54637</t>
  </si>
  <si>
    <t>22895275.54637</t>
  </si>
  <si>
    <t>1.1.3.1.1.1.3.15.3</t>
  </si>
  <si>
    <t>311044443.720769</t>
  </si>
  <si>
    <t>22895275.720769</t>
  </si>
  <si>
    <t>1.1.3.1.1.1.3.15.4</t>
  </si>
  <si>
    <t>311044443.739258</t>
  </si>
  <si>
    <t>22895275.739258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</si>
  <si>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</si>
  <si>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</si>
  <si>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</si>
  <si>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</si>
  <si>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</si>
  <si>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</si>
  <si>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Тип: ГР-2</t>
  </si>
  <si>
    <t>24d94b44-d345-4644-8c8c-8701a2ebc89e</t>
  </si>
  <si>
    <t>010124f9-1c79-4884-b200-84a0e7f1c696</t>
  </si>
  <si>
    <t>1.1.3.1.1.1.4.1.1</t>
  </si>
  <si>
    <t>Грязезащитная  стальная решетка / Сталь / 80303 / Алсагор</t>
  </si>
  <si>
    <t>311044362.771974</t>
  </si>
  <si>
    <t>22895272.771974</t>
  </si>
  <si>
    <t>f7fbc70d-14ac-46d1-8286-136df2b67a3e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</si>
  <si>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</si>
  <si>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</si>
  <si>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</si>
  <si>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</si>
  <si>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</si>
  <si>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</si>
  <si>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</si>
  <si>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</si>
  <si>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</si>
  <si>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</si>
  <si>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376b0b05-e1f7-4eb4-858c-54cfc94012c5</t>
  </si>
  <si>
    <t>7942ddbf-4120-45ca-9456-f48a3ec42d9b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</si>
  <si>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</si>
  <si>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</si>
  <si>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</si>
  <si>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311044366.54616</t>
  </si>
  <si>
    <t>22781792.54616</t>
  </si>
  <si>
    <t>b059108e-66ce-4a56-9765-c924e4c0b8b7</t>
  </si>
  <si>
    <t>1.1.3.1.1.2.1.1.2</t>
  </si>
  <si>
    <t>Лента армирующая ( серпянка)_/150мм</t>
  </si>
  <si>
    <t>150+150=300 мм</t>
  </si>
  <si>
    <t>311044366.55040</t>
  </si>
  <si>
    <t>22781792.55040</t>
  </si>
  <si>
    <t>eae3db91-694c-4324-837b-5cb2a168407e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</si>
  <si>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</si>
  <si>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</si>
  <si>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</si>
  <si>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</si>
  <si>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6bc17dc5-cada-440f-90ee-407d79abee1b</t>
  </si>
  <si>
    <t>a52e4e4e-64fd-4e11-a9ba-5a48263efcca</t>
  </si>
  <si>
    <t>1.1.3.1.1.2.1.2.1</t>
  </si>
  <si>
    <t>Штукатурно-клеевая смесь_ / ОСНОВИТ КАВЕРПЛИКС TC117</t>
  </si>
  <si>
    <t>311044368.40154</t>
  </si>
  <si>
    <t>22781793.40154</t>
  </si>
  <si>
    <t>b8bd5dee-abe1-449a-86cb-ad78d55bddfd</t>
  </si>
  <si>
    <t>1.1.3.1.1.2.1.2.2</t>
  </si>
  <si>
    <t>Сетка стеклотканевая 130г/м2, ячейка 10х10мм</t>
  </si>
  <si>
    <t>311044368.43669</t>
  </si>
  <si>
    <t>22781793.43669</t>
  </si>
  <si>
    <t>11f7cdf6-1c22-11e9-80e7-005056881952</t>
  </si>
  <si>
    <t>1.1.3.1.1.2.1.2.3</t>
  </si>
  <si>
    <t>Профиль маячковый_/ПМ6</t>
  </si>
  <si>
    <t>311044368.55029</t>
  </si>
  <si>
    <t>22781793.55029</t>
  </si>
  <si>
    <t>b3ba1810-316e-4118-90eb-ce29d5c83076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</si>
  <si>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</si>
  <si>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</si>
  <si>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</si>
  <si>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</si>
  <si>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d905b69c-b571-4b66-bcba-d814715a7e4d</t>
  </si>
  <si>
    <t>7fe7d7a7-e0dc-4619-8320-6ce897ce3f8f</t>
  </si>
  <si>
    <t>1.1.3.1.1.2.1.3.1</t>
  </si>
  <si>
    <t>Плита теплоизоляционная минераловатная_ / Техновент Оптима</t>
  </si>
  <si>
    <t>311044370.758694</t>
  </si>
  <si>
    <t>22781796.758694</t>
  </si>
  <si>
    <t>991ae273-a683-4e79-88ed-3b1939bef418</t>
  </si>
  <si>
    <t>1.1.3.1.1.2.1.3.2</t>
  </si>
  <si>
    <t>Дюбель д/изоляции IZL-T с термоголовкой_/10/200</t>
  </si>
  <si>
    <t>311044370.54844</t>
  </si>
  <si>
    <t>22781796.54844</t>
  </si>
  <si>
    <t>38658f75-c683-43ec-a4a4-e12fa90cbfa9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</si>
  <si>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</si>
  <si>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</si>
  <si>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</si>
  <si>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</si>
  <si>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311044444.54841</t>
  </si>
  <si>
    <t>22782182.54841</t>
  </si>
  <si>
    <t>6c2f5899-8fc9-44f0-ae0b-8fa922ee7530</t>
  </si>
  <si>
    <t>1.1.3.1.1.2.1.4.2</t>
  </si>
  <si>
    <t>Клеевая смесь_ / ОСНОВИТ КАВЕРПЛИКС AC117</t>
  </si>
  <si>
    <t>311044444.40148</t>
  </si>
  <si>
    <t>22782182.40148</t>
  </si>
  <si>
    <t>cc3eda2f-a927-4a66-842b-e2a8b5009ac1</t>
  </si>
  <si>
    <t>1.1.3.1.1.2.1.4.3</t>
  </si>
  <si>
    <t>311044444.758694</t>
  </si>
  <si>
    <t>22782182.758694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</si>
  <si>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</si>
  <si>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</si>
  <si>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</si>
  <si>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311044445.758694</t>
  </si>
  <si>
    <t>22782181.758694</t>
  </si>
  <si>
    <t>1.1.3.1.1.2.1.5.2</t>
  </si>
  <si>
    <t>311044445.40148</t>
  </si>
  <si>
    <t>22782181.40148</t>
  </si>
  <si>
    <t>1.1.3.1.1.2.1.5.3</t>
  </si>
  <si>
    <t>Дюбель д/изоляции IZL-T с термоголовкой_/10/220</t>
  </si>
  <si>
    <t>311044445.54845</t>
  </si>
  <si>
    <t>22782181.54845</t>
  </si>
  <si>
    <t>d0e17a04-3cd0-45f0-a6f8-ba76ac846ac7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</si>
  <si>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</si>
  <si>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</si>
  <si>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</si>
  <si>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</si>
  <si>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fa1c67dc-3027-4791-83d8-da340ce63151</t>
  </si>
  <si>
    <t>207d32dd-c8b8-468d-95bb-104bba9e15df</t>
  </si>
  <si>
    <t>1.1.3.1.1.2.1.6.1</t>
  </si>
  <si>
    <t>Шпатлевка цементная</t>
  </si>
  <si>
    <t>Кнауф-Фуген Гидро</t>
  </si>
  <si>
    <t>311044372.1272014</t>
  </si>
  <si>
    <t>22788873.1272014</t>
  </si>
  <si>
    <t>515f7d43-39e1-4366-a9d9-2be3d410ca9d</t>
  </si>
  <si>
    <t>1.1.3.1.1.2.1.6.2</t>
  </si>
  <si>
    <t>Уголок малярный_/перфорированный/25*25*3000мм</t>
  </si>
  <si>
    <t>311044372.55026</t>
  </si>
  <si>
    <t>22788873.55026</t>
  </si>
  <si>
    <t>480f9c46-4853-47e1-ac30-340d72ef0430</t>
  </si>
  <si>
    <t>1.1.3.1.1.2.1.6.3</t>
  </si>
  <si>
    <t>311044372.54634</t>
  </si>
  <si>
    <t>22788873.54634</t>
  </si>
  <si>
    <t>1.1.3.1.1.2.1.7</t>
  </si>
  <si>
    <t xml:space="preserve">1-4 этаж. Шпаклевка гипсовая базовая. Тип: ЧН-14, ЧН-22
</t>
  </si>
  <si>
    <t>1.1.3.1.1.2.1.7.1</t>
  </si>
  <si>
    <t>311044446.54634</t>
  </si>
  <si>
    <t>22788868.54634</t>
  </si>
  <si>
    <t>1.1.3.1.1.2.1.7.2</t>
  </si>
  <si>
    <t>311044446.55026</t>
  </si>
  <si>
    <t>22788868.55026</t>
  </si>
  <si>
    <t>1.1.3.1.1.2.1.7.3</t>
  </si>
  <si>
    <t>Шпатлевка гипсовая_ / белая / Унифицированная по ПИК-СТАНДАРТ, 30кг</t>
  </si>
  <si>
    <t>311044446.54622</t>
  </si>
  <si>
    <t>22788868.54622</t>
  </si>
  <si>
    <t>c5ed9089-be55-4be8-8db3-0f286a2dbba5</t>
  </si>
  <si>
    <t>1.1.3.1.1.2.1.8</t>
  </si>
  <si>
    <t>1-4 этаж. Шпаклевка гипсовая финишная. Тип: ЧН-14, ЧН-22</t>
  </si>
  <si>
    <t>1.1.3.1.1.2.1.8.1</t>
  </si>
  <si>
    <t>311044447.54622</t>
  </si>
  <si>
    <t>22788870.54622</t>
  </si>
  <si>
    <t>1.1.3.1.1.2.1.8.2</t>
  </si>
  <si>
    <t>311044447.54634</t>
  </si>
  <si>
    <t>22788870.54634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</si>
  <si>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</si>
  <si>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</si>
  <si>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</si>
  <si>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</si>
  <si>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2d82ee91-3b80-41a0-9d47-bde670b317cb</t>
  </si>
  <si>
    <t>235f7698-b192-4ccd-97e9-3a61b0165ad1</t>
  </si>
  <si>
    <t>1.1.3.1.1.2.1.9.1</t>
  </si>
  <si>
    <t>311044373.54621</t>
  </si>
  <si>
    <t>22788869.54621</t>
  </si>
  <si>
    <t>b18a669c-55b9-4a3b-9bec-843efe930f3c</t>
  </si>
  <si>
    <t>1.1.3.1.1.2.1.9.2</t>
  </si>
  <si>
    <t>Уголок малярный_ / L=3м /25х25 мм</t>
  </si>
  <si>
    <t>311044373.18405</t>
  </si>
  <si>
    <t>22788869.18405</t>
  </si>
  <si>
    <t>6aa8b3b9-7634-40f9-a5c9-a021ce35f715</t>
  </si>
  <si>
    <t>1.1.3.1.1.2.1.9.3</t>
  </si>
  <si>
    <t>311044373.54634</t>
  </si>
  <si>
    <t>22788869.54634</t>
  </si>
  <si>
    <t>1.1.3.1.1.2.1.10</t>
  </si>
  <si>
    <t>1-4 этаж. Шпаклевка гипсовая финишная. Тип: ЧН-5, ЧН-6, ЧН-8, ЧН-11</t>
  </si>
  <si>
    <t>1.1.3.1.1.2.1.10.1</t>
  </si>
  <si>
    <t>311044448.54634</t>
  </si>
  <si>
    <t>22788871.54634</t>
  </si>
  <si>
    <t>1.1.3.1.1.2.1.10.2</t>
  </si>
  <si>
    <t>311044448.54621</t>
  </si>
  <si>
    <t>22788871.54621</t>
  </si>
  <si>
    <t>1.1.3.1.1.2.1.11</t>
  </si>
  <si>
    <t>1-4 этаж. Шпаклевка цементная базовая. Тип: ЧН-7, ЧН-16, ЧН-19</t>
  </si>
  <si>
    <t>1.1.3.1.1.2.1.11.1</t>
  </si>
  <si>
    <t>311044449.1272014</t>
  </si>
  <si>
    <t>22789138.1272014</t>
  </si>
  <si>
    <t>1.1.3.1.1.2.1.11.2</t>
  </si>
  <si>
    <t>311044449.18405</t>
  </si>
  <si>
    <t>22789138.18405</t>
  </si>
  <si>
    <t>1.1.3.1.1.2.1.11.3</t>
  </si>
  <si>
    <t>311044449.54634</t>
  </si>
  <si>
    <t>22789138.54634</t>
  </si>
  <si>
    <t>1.1.3.1.1.2.1.12</t>
  </si>
  <si>
    <t>1-4 этаж. Шпаклевка цементная финишная. Тип: ЧН-7, ЧН-16, ЧН-19</t>
  </si>
  <si>
    <t>1.1.3.1.1.2.1.12.1</t>
  </si>
  <si>
    <t>311044450.54634</t>
  </si>
  <si>
    <t>22789139.54634</t>
  </si>
  <si>
    <t>1.1.3.1.1.2.1.12.2</t>
  </si>
  <si>
    <t>311044450.1272014</t>
  </si>
  <si>
    <t>22789139.1272014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</si>
  <si>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</si>
  <si>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</si>
  <si>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</si>
  <si>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</si>
  <si>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e388f40d-4345-407c-81b7-1708677a4264</t>
  </si>
  <si>
    <t>717f7355-64c8-4161-814c-7a062cbe592c</t>
  </si>
  <si>
    <t>1.1.3.1.1.2.1.13.1</t>
  </si>
  <si>
    <t>Штукатурка цементная</t>
  </si>
  <si>
    <t>Knauff-флизен</t>
  </si>
  <si>
    <t>311044375.726518</t>
  </si>
  <si>
    <t>22789191.726518</t>
  </si>
  <si>
    <t>6340f993-804d-456a-a0be-3b2094bd37f9</t>
  </si>
  <si>
    <t>1.1.3.1.1.2.1.13.2</t>
  </si>
  <si>
    <t>311044375.55029</t>
  </si>
  <si>
    <t>22789191.55029</t>
  </si>
  <si>
    <t>1.1.3.1.1.2.1.13.3</t>
  </si>
  <si>
    <t xml:space="preserve">Knauff-тиффенгрунд
</t>
  </si>
  <si>
    <t>311044375.54634</t>
  </si>
  <si>
    <t>22789191.54634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</si>
  <si>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</si>
  <si>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</si>
  <si>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</si>
  <si>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</si>
  <si>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e4f57127-f115-40dc-b6d0-d9a56d151517</t>
  </si>
  <si>
    <t>acc164cf-7b33-4903-b102-0aeda99aeeb4</t>
  </si>
  <si>
    <t>1.1.3.1.1.2.1.14.1</t>
  </si>
  <si>
    <t>РД, Примечания, п.2 - 32,5 мм</t>
  </si>
  <si>
    <t>311044376.726518</t>
  </si>
  <si>
    <t>22789265.726518</t>
  </si>
  <si>
    <t>1.1.3.1.1.2.1.14.2</t>
  </si>
  <si>
    <t>311044376.55029</t>
  </si>
  <si>
    <t>22789265.55029</t>
  </si>
  <si>
    <t>1.1.3.1.1.2.1.14.3</t>
  </si>
  <si>
    <t>Грунтовка БЕТОН-КОНТАКТ_/</t>
  </si>
  <si>
    <t>311044376.54633</t>
  </si>
  <si>
    <t>22789265.54633</t>
  </si>
  <si>
    <t>8682c7d7-b370-46ef-9c4b-39309f9aa3e8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</si>
  <si>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</si>
  <si>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</si>
  <si>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</si>
  <si>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311044451.54634</t>
  </si>
  <si>
    <t>22789266.54634</t>
  </si>
  <si>
    <t>1.1.3.1.1.2.1.15.2</t>
  </si>
  <si>
    <t>311044451.55029</t>
  </si>
  <si>
    <t>22789266.55029</t>
  </si>
  <si>
    <t>1.1.3.1.1.2.1.15.3</t>
  </si>
  <si>
    <t>311044451.726518</t>
  </si>
  <si>
    <t>22789266.726518</t>
  </si>
  <si>
    <t>1.1.3.1.1.2.1.16</t>
  </si>
  <si>
    <t>Подвал. Штукатурка по кирпичу. Тип: ЧН-26</t>
  </si>
  <si>
    <t>1.1.3.1.1.2.1.16.1</t>
  </si>
  <si>
    <t>311044452.726518</t>
  </si>
  <si>
    <t>22846125.726518</t>
  </si>
  <si>
    <t>1.1.3.1.1.2.1.16.2</t>
  </si>
  <si>
    <t>311044452.55029</t>
  </si>
  <si>
    <t>22846125.55029</t>
  </si>
  <si>
    <t>1.1.3.1.1.2.1.16.3</t>
  </si>
  <si>
    <t>311044452.54634</t>
  </si>
  <si>
    <t>22846125.54634</t>
  </si>
  <si>
    <t>1.1.3.1.1.2.1.17</t>
  </si>
  <si>
    <t>Подвал. Штукатурка по ж/б. Тип: ЧН-7</t>
  </si>
  <si>
    <t>1.1.3.1.1.2.1.17.1</t>
  </si>
  <si>
    <t>311044453.54633</t>
  </si>
  <si>
    <t>22846124.54633</t>
  </si>
  <si>
    <t>1.1.3.1.1.2.1.17.2</t>
  </si>
  <si>
    <t>311044453.55029</t>
  </si>
  <si>
    <t>22846124.55029</t>
  </si>
  <si>
    <t>1.1.3.1.1.2.1.17.3</t>
  </si>
  <si>
    <t>311044453.726518</t>
  </si>
  <si>
    <t>22846124.726518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</si>
  <si>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</si>
  <si>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</si>
  <si>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</si>
  <si>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</si>
  <si>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</si>
  <si>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8bf6a8a2-6644-4f01-93be-2d8656ddd398</t>
  </si>
  <si>
    <t>021b202b-78b5-4d45-af3a-c2baaf384e72</t>
  </si>
  <si>
    <t>1.1.3.1.1.2.1.18.1</t>
  </si>
  <si>
    <t>311044377.726518</t>
  </si>
  <si>
    <t>22789960.726518</t>
  </si>
  <si>
    <t>1.1.3.1.1.2.1.18.2</t>
  </si>
  <si>
    <t>311044377.55029</t>
  </si>
  <si>
    <t>22789960.55029</t>
  </si>
  <si>
    <t>1.1.3.1.1.2.1.18.3</t>
  </si>
  <si>
    <t>311044377.54633</t>
  </si>
  <si>
    <t>22789960.54633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</si>
  <si>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</si>
  <si>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</si>
  <si>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</si>
  <si>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</si>
  <si>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7f02f3da-e197-4d81-9a33-eaa236a4461f</t>
  </si>
  <si>
    <t>f2eebc4a-92bd-4780-9269-77a72177cc8a</t>
  </si>
  <si>
    <t>1.1.3.1.1.2.1.19.1</t>
  </si>
  <si>
    <t>311044378.726518</t>
  </si>
  <si>
    <t>22789961.726518</t>
  </si>
  <si>
    <t>1.1.3.1.1.2.1.19.2</t>
  </si>
  <si>
    <t>311044378.54634</t>
  </si>
  <si>
    <t>22789961.54634</t>
  </si>
  <si>
    <t>1.1.3.1.1.2.1.19.3</t>
  </si>
  <si>
    <t>311044378.55029</t>
  </si>
  <si>
    <t>22789961.55029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</si>
  <si>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</si>
  <si>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</si>
  <si>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</si>
  <si>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</si>
  <si>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b330c807-270b-4c90-9e5c-256b5c880e81</t>
  </si>
  <si>
    <t>e8572a2f-0850-44e4-ada6-5da4f90f316c</t>
  </si>
  <si>
    <t>1.1.3.1.1.2.1.20.1</t>
  </si>
  <si>
    <t>10 мм</t>
  </si>
  <si>
    <t>311044380.54616</t>
  </si>
  <si>
    <t>22789959.54616</t>
  </si>
  <si>
    <t>1.1.3.1.1.2.1.20.2</t>
  </si>
  <si>
    <t>311044380.54634</t>
  </si>
  <si>
    <t>22789959.54634</t>
  </si>
  <si>
    <t>1.1.3.1.1.2.1.20.3</t>
  </si>
  <si>
    <t>311044380.55029</t>
  </si>
  <si>
    <t>22789959.55029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</si>
  <si>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</si>
  <si>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</si>
  <si>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</si>
  <si>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</si>
  <si>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e97400ea-ba91-4266-8e4d-399c9b83bcf7</t>
  </si>
  <si>
    <t>635cc207-b262-46f6-8a6a-9126054e7be7</t>
  </si>
  <si>
    <t>1.1.3.1.1.2.1.21.1</t>
  </si>
  <si>
    <t>311044381.54616</t>
  </si>
  <si>
    <t>22791072.54616</t>
  </si>
  <si>
    <t>1.1.3.1.1.2.1.21.2</t>
  </si>
  <si>
    <t>311044381.55029</t>
  </si>
  <si>
    <t>22791072.55029</t>
  </si>
  <si>
    <t>1.1.3.1.1.2.1.21.3</t>
  </si>
  <si>
    <t>311044381.54634</t>
  </si>
  <si>
    <t>22791072.54634</t>
  </si>
  <si>
    <t>1.1.3.1.1.2.1.22</t>
  </si>
  <si>
    <t>1-4 этажи. Штукатурка гипсовая по ж/б. Тип: ЧН-5</t>
  </si>
  <si>
    <t>1.1.3.1.1.2.1.22.1</t>
  </si>
  <si>
    <t>311044454.54633</t>
  </si>
  <si>
    <t>22791073.54633</t>
  </si>
  <si>
    <t>1.1.3.1.1.2.1.22.2</t>
  </si>
  <si>
    <t>311044454.55029</t>
  </si>
  <si>
    <t>22791073.55029</t>
  </si>
  <si>
    <t>1.1.3.1.1.2.1.22.3</t>
  </si>
  <si>
    <t>311044454.54616</t>
  </si>
  <si>
    <t>22791073.54616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</si>
  <si>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</si>
  <si>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</si>
  <si>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</si>
  <si>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</si>
  <si>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</si>
  <si>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</si>
  <si>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</si>
  <si>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ceaf9f3c-cc6f-438d-b04a-fee052df879a</t>
  </si>
  <si>
    <t>cc38b2b0-78ba-4425-95a0-d4c1d50bec1c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</si>
  <si>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</si>
  <si>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</si>
  <si>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</si>
  <si>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311044384.1504881</t>
  </si>
  <si>
    <t>22879050.1504881</t>
  </si>
  <si>
    <t>a14c45c3-3ac5-4910-86d8-36d4d1fb8b3f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</si>
  <si>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</si>
  <si>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</si>
  <si>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</si>
  <si>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</si>
  <si>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311044455.1504881</t>
  </si>
  <si>
    <t>22879051.1504881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</si>
  <si>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</si>
  <si>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</si>
  <si>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</si>
  <si>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</si>
  <si>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311044456.1504881</t>
  </si>
  <si>
    <t>22879052.1504881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</si>
  <si>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</si>
  <si>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</si>
  <si>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</si>
  <si>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</si>
  <si>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4c24ca93-b856-4913-a3fe-bc768660074c</t>
  </si>
  <si>
    <t>923030ab-0b8a-4717-9906-e76b6d6d03d6</t>
  </si>
  <si>
    <t>1.1.3.1.1.2.2.4.1</t>
  </si>
  <si>
    <t>Краска негорючая моющаяся Protect Decor_ / RAL 9003</t>
  </si>
  <si>
    <t>RAL 9003/Белый</t>
  </si>
  <si>
    <t>311044386.758336</t>
  </si>
  <si>
    <t>22875080.758336</t>
  </si>
  <si>
    <t>892d9f8d-ffaf-4ce8-87d2-2326a6c94834</t>
  </si>
  <si>
    <t>1.1.3.1.1.2.2.4.2</t>
  </si>
  <si>
    <t>311044386.54634</t>
  </si>
  <si>
    <t>22875080.54634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</si>
  <si>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</si>
  <si>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</si>
  <si>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</si>
  <si>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311044457.54634</t>
  </si>
  <si>
    <t>22875073.54634</t>
  </si>
  <si>
    <t>1.1.3.1.1.2.2.5.2</t>
  </si>
  <si>
    <t>NCS S 1070-Y60R</t>
  </si>
  <si>
    <t>311044457.758336</t>
  </si>
  <si>
    <t>22875073.758336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</si>
  <si>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</si>
  <si>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</si>
  <si>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</si>
  <si>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</si>
  <si>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311044458.758336</t>
  </si>
  <si>
    <t>22875072.758336</t>
  </si>
  <si>
    <t>1.1.3.1.1.2.2.6.2</t>
  </si>
  <si>
    <t>311044458.54634</t>
  </si>
  <si>
    <t>22875072.54634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</si>
  <si>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</si>
  <si>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</si>
  <si>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</si>
  <si>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311044459.54634</t>
  </si>
  <si>
    <t>22875076.54634</t>
  </si>
  <si>
    <t>1.1.3.1.1.2.2.7.2</t>
  </si>
  <si>
    <t>NCS S 3040-G30Y</t>
  </si>
  <si>
    <t>311044459.758336</t>
  </si>
  <si>
    <t>22875076.758336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</si>
  <si>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</si>
  <si>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</si>
  <si>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</si>
  <si>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</si>
  <si>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311044460.758336</t>
  </si>
  <si>
    <t>22875078.758336</t>
  </si>
  <si>
    <t>1.1.3.1.1.2.2.8.2</t>
  </si>
  <si>
    <t>311044460.54634</t>
  </si>
  <si>
    <t>22875078.54634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</si>
  <si>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</si>
  <si>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</si>
  <si>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</si>
  <si>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311044461.54634</t>
  </si>
  <si>
    <t>22875079.54634</t>
  </si>
  <si>
    <t>1.1.3.1.1.2.2.9.2</t>
  </si>
  <si>
    <t>NCS S 5030-R90B</t>
  </si>
  <si>
    <t>311044461.758336</t>
  </si>
  <si>
    <t>22875079.758336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</si>
  <si>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</si>
  <si>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</si>
  <si>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</si>
  <si>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311044462.758336</t>
  </si>
  <si>
    <t>22875077.758336</t>
  </si>
  <si>
    <t>1.1.3.1.1.2.2.10.2</t>
  </si>
  <si>
    <t>NCS S 4020-R90B</t>
  </si>
  <si>
    <t>311044462.54634</t>
  </si>
  <si>
    <t>22875077.54634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</si>
  <si>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</si>
  <si>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</si>
  <si>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</si>
  <si>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311044463.54634</t>
  </si>
  <si>
    <t>22875075.54634</t>
  </si>
  <si>
    <t>1.1.3.1.1.2.2.11.2</t>
  </si>
  <si>
    <t>NCS S 2030-R90B</t>
  </si>
  <si>
    <t>311044463.758336</t>
  </si>
  <si>
    <t>22875075.758336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</si>
  <si>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</si>
  <si>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</si>
  <si>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</si>
  <si>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</si>
  <si>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311044464.758336</t>
  </si>
  <si>
    <t>22875081.758336</t>
  </si>
  <si>
    <t>1.1.3.1.1.2.2.12.2</t>
  </si>
  <si>
    <t>311044464.54634</t>
  </si>
  <si>
    <t>22875081.54634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</si>
  <si>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</si>
  <si>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</si>
  <si>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</si>
  <si>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311044465.54634</t>
  </si>
  <si>
    <t>22875074.54634</t>
  </si>
  <si>
    <t>1.1.3.1.1.2.2.13.2</t>
  </si>
  <si>
    <t>NCS S 1502-Y</t>
  </si>
  <si>
    <t>311044465.758336</t>
  </si>
  <si>
    <t>22875074.758336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</si>
  <si>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</si>
  <si>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</si>
  <si>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</si>
  <si>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311044466.758336</t>
  </si>
  <si>
    <t>22875082.758336</t>
  </si>
  <si>
    <t>1.1.3.1.1.2.2.14.2</t>
  </si>
  <si>
    <t>311044466.54634</t>
  </si>
  <si>
    <t>22875082.54634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</si>
  <si>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</si>
  <si>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</si>
  <si>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</si>
  <si>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311044467.54634</t>
  </si>
  <si>
    <t>22875336.54634</t>
  </si>
  <si>
    <t>1.1.3.1.1.2.2.15.2</t>
  </si>
  <si>
    <t>NCS S 2060-Y30R</t>
  </si>
  <si>
    <t>311044467.758336</t>
  </si>
  <si>
    <t>22875336.758336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</si>
  <si>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</si>
  <si>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</si>
  <si>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</si>
  <si>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311044468.758336</t>
  </si>
  <si>
    <t>22875335.758336</t>
  </si>
  <si>
    <t>1.1.3.1.1.2.2.16.2</t>
  </si>
  <si>
    <t>311044468.54634</t>
  </si>
  <si>
    <t>22875335.54634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</si>
  <si>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</si>
  <si>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</si>
  <si>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</si>
  <si>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311044469.54634</t>
  </si>
  <si>
    <t>22875337.54634</t>
  </si>
  <si>
    <t>1.1.3.1.1.2.2.17.2</t>
  </si>
  <si>
    <t>311044469.758336</t>
  </si>
  <si>
    <t>22875337.758336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</si>
  <si>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</si>
  <si>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</si>
  <si>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</si>
  <si>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311044470.758336</t>
  </si>
  <si>
    <t>22876266.758336</t>
  </si>
  <si>
    <t>1.1.3.1.1.2.2.18.2</t>
  </si>
  <si>
    <t>311044470.54634</t>
  </si>
  <si>
    <t>22876266.54634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</si>
  <si>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</si>
  <si>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</si>
  <si>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</si>
  <si>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</si>
  <si>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8d513ad3-1fbc-4730-be59-389995ce51d8</t>
  </si>
  <si>
    <t>a0ecae9b-7c0c-412d-a794-953bf76fc42d</t>
  </si>
  <si>
    <t>1.1.3.1.1.2.2.19.1</t>
  </si>
  <si>
    <t>311044388.54637</t>
  </si>
  <si>
    <t>22876261.54637</t>
  </si>
  <si>
    <t>1.1.3.1.1.2.2.19.2</t>
  </si>
  <si>
    <t>311044388.737422</t>
  </si>
  <si>
    <t>22876261.737422</t>
  </si>
  <si>
    <t>1.1.3.1.1.2.2.19.3</t>
  </si>
  <si>
    <t>311044388.739258</t>
  </si>
  <si>
    <t>22876261.739258</t>
  </si>
  <si>
    <t>1.1.3.1.1.2.2.19.4</t>
  </si>
  <si>
    <t>Керамический гранит Kerama marazzi_ / Белый / 5009/ Калейдоскоп / 200х200</t>
  </si>
  <si>
    <t>311044388.758609</t>
  </si>
  <si>
    <t>22876261.758609</t>
  </si>
  <si>
    <t>70f2d54b-ab55-43b4-b130-a5f8f85e7098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</si>
  <si>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</si>
  <si>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</si>
  <si>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</si>
  <si>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</si>
  <si>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311044471.1570533</t>
  </si>
  <si>
    <t>22876265.1570533</t>
  </si>
  <si>
    <t>a620a03f-7faf-4c11-affe-45d2fae0c5fb</t>
  </si>
  <si>
    <t>1.1.3.1.1.2.2.20.2</t>
  </si>
  <si>
    <t>311044471.739258</t>
  </si>
  <si>
    <t>22876265.739258</t>
  </si>
  <si>
    <t>1.1.3.1.1.2.2.20.3</t>
  </si>
  <si>
    <t>311044471.737422</t>
  </si>
  <si>
    <t>22876265.737422</t>
  </si>
  <si>
    <t>1.1.3.1.1.2.2.20.4</t>
  </si>
  <si>
    <t>311044471.54637</t>
  </si>
  <si>
    <t>22876265.54637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</si>
  <si>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</si>
  <si>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</si>
  <si>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</si>
  <si>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311044472.54637</t>
  </si>
  <si>
    <t>22876264.54637</t>
  </si>
  <si>
    <t>1.1.3.1.1.2.2.21.2</t>
  </si>
  <si>
    <t>311044472.737422</t>
  </si>
  <si>
    <t>22876264.737422</t>
  </si>
  <si>
    <t>1.1.3.1.1.2.2.21.3</t>
  </si>
  <si>
    <t>311044472.739258</t>
  </si>
  <si>
    <t>22876264.739258</t>
  </si>
  <si>
    <t>1.1.3.1.1.2.2.21.4</t>
  </si>
  <si>
    <t>Керамический гранит Kerama marazzi_ / Рыжий / 5187/ Калейдоскоп / 200х200</t>
  </si>
  <si>
    <t>311044472.758611</t>
  </si>
  <si>
    <t>22876264.758611</t>
  </si>
  <si>
    <t>3aaf3fae-a446-4e8c-ab3f-8a2cc6a0ff3e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</si>
  <si>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</si>
  <si>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</si>
  <si>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</si>
  <si>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</si>
  <si>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311044473.758612</t>
  </si>
  <si>
    <t>22876263.758612</t>
  </si>
  <si>
    <t>4d30c13d-fb71-4049-953e-6088c3404b1d</t>
  </si>
  <si>
    <t>1.1.3.1.1.2.2.22.2</t>
  </si>
  <si>
    <t>311044473.739258</t>
  </si>
  <si>
    <t>22876263.739258</t>
  </si>
  <si>
    <t>1.1.3.1.1.2.2.22.3</t>
  </si>
  <si>
    <t>311044473.737422</t>
  </si>
  <si>
    <t>22876263.737422</t>
  </si>
  <si>
    <t>1.1.3.1.1.2.2.22.4</t>
  </si>
  <si>
    <t>311044473.54637</t>
  </si>
  <si>
    <t>22876263.54637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</si>
  <si>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</si>
  <si>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</si>
  <si>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</si>
  <si>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311044474.54637</t>
  </si>
  <si>
    <t>22876262.54637</t>
  </si>
  <si>
    <t>1.1.3.1.1.2.2.23.2</t>
  </si>
  <si>
    <t>311044474.737422</t>
  </si>
  <si>
    <t>22876262.737422</t>
  </si>
  <si>
    <t>1.1.3.1.1.2.2.23.3</t>
  </si>
  <si>
    <t>311044474.739258</t>
  </si>
  <si>
    <t>22876262.739258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</si>
  <si>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</si>
  <si>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</si>
  <si>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</si>
  <si>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311044474.1058901</t>
  </si>
  <si>
    <t>22876262.1058901</t>
  </si>
  <si>
    <t>10032963-60c4-424f-897d-880031c6ab96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</si>
  <si>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</si>
  <si>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</si>
  <si>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</si>
  <si>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311044475.739258</t>
  </si>
  <si>
    <t>22879024.739258</t>
  </si>
  <si>
    <t>1.1.3.1.1.2.2.24.2</t>
  </si>
  <si>
    <t>311044475.737422</t>
  </si>
  <si>
    <t>22879024.737422</t>
  </si>
  <si>
    <t>1.1.3.1.1.2.2.24.3</t>
  </si>
  <si>
    <t>311044475.54637</t>
  </si>
  <si>
    <t>22879024.54637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</si>
  <si>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</si>
  <si>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</si>
  <si>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</si>
  <si>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311044475.720742</t>
  </si>
  <si>
    <t>22879024.720742</t>
  </si>
  <si>
    <t>4d41f012-3a5d-4340-a98f-e1ac79985a17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</si>
  <si>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</si>
  <si>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</si>
  <si>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</si>
  <si>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311044476.54637</t>
  </si>
  <si>
    <t>22879025.54637</t>
  </si>
  <si>
    <t>1.1.3.1.1.2.2.25.2</t>
  </si>
  <si>
    <t>311044476.737422</t>
  </si>
  <si>
    <t>22879025.737422</t>
  </si>
  <si>
    <t>1.1.3.1.1.2.2.25.3</t>
  </si>
  <si>
    <t>311044476.739258</t>
  </si>
  <si>
    <t>22879025.739258</t>
  </si>
  <si>
    <t>1.1.3.1.1.2.2.25.4</t>
  </si>
  <si>
    <t>KERAMA MARAZZI, 300х200х6,9 мм Коллекция: Белое Солнце, Артикул: 8000</t>
  </si>
  <si>
    <t>311044476.758609</t>
  </si>
  <si>
    <t>22879025.758609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</si>
  <si>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</si>
  <si>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</si>
  <si>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</si>
  <si>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311044477.739258</t>
  </si>
  <si>
    <t>22879033.739258</t>
  </si>
  <si>
    <t>1.1.3.1.1.2.2.26.2</t>
  </si>
  <si>
    <t>311044477.54637</t>
  </si>
  <si>
    <t>22879033.54637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</si>
  <si>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</si>
  <si>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</si>
  <si>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311044477.720742</t>
  </si>
  <si>
    <t>22879033.720742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</si>
  <si>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</si>
  <si>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</si>
  <si>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</si>
  <si>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</si>
  <si>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311044478.720742</t>
  </si>
  <si>
    <t>22879031.720742</t>
  </si>
  <si>
    <t>1.1.3.1.1.2.2.27.2</t>
  </si>
  <si>
    <t>311044478.54637</t>
  </si>
  <si>
    <t>22879031.54637</t>
  </si>
  <si>
    <t>1.1.3.1.1.2.2.27.3</t>
  </si>
  <si>
    <t>311044478.737422</t>
  </si>
  <si>
    <t>22879031.737422</t>
  </si>
  <si>
    <t>1.1.3.1.1.2.2.27.4</t>
  </si>
  <si>
    <t>311044478.739258</t>
  </si>
  <si>
    <t>22879031.739258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</si>
  <si>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</si>
  <si>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</si>
  <si>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</si>
  <si>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</si>
  <si>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9000ff2e-4eba-41cc-a074-c46fe92c125a</t>
  </si>
  <si>
    <t>543139c7-05c6-47e9-8a5c-0d2e4272c803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</si>
  <si>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</si>
  <si>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</si>
  <si>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</si>
  <si>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311044389.1275875</t>
  </si>
  <si>
    <t>22879032.1275875</t>
  </si>
  <si>
    <t>95dc61f2-4532-4459-b4a7-bcb3a6b65492</t>
  </si>
  <si>
    <t>1.1.3.1.1.2.2.28.2</t>
  </si>
  <si>
    <t>311044389.739258</t>
  </si>
  <si>
    <t>22879032.739258</t>
  </si>
  <si>
    <t>1.1.3.1.1.2.2.28.3</t>
  </si>
  <si>
    <t>311044389.54637</t>
  </si>
  <si>
    <t>22879032.54637</t>
  </si>
  <si>
    <t>1.1.3.1.1.2.2.28.4</t>
  </si>
  <si>
    <t>311044389.737422</t>
  </si>
  <si>
    <t>22879032.737422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</si>
  <si>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</si>
  <si>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</si>
  <si>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</si>
  <si>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</si>
  <si>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</si>
  <si>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</si>
  <si>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</si>
  <si>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</si>
  <si>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</si>
  <si>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</si>
  <si>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4838bce8-f7ba-467c-a2d9-8cae5e7e3f03</t>
  </si>
  <si>
    <t>2082934c-8391-41d1-8ade-5b79f0755895</t>
  </si>
  <si>
    <t>1.1.3.1.1.3.1.1.1</t>
  </si>
  <si>
    <t>311044393.726518</t>
  </si>
  <si>
    <t>22791238.726518</t>
  </si>
  <si>
    <t>1.1.3.1.1.3.1.1.2</t>
  </si>
  <si>
    <t>311044393.1139608</t>
  </si>
  <si>
    <t>22791238.1139608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</si>
  <si>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</si>
  <si>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</si>
  <si>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</si>
  <si>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311044479.54633</t>
  </si>
  <si>
    <t>22791237.54633</t>
  </si>
  <si>
    <t>1.1.3.1.1.3.1.2.2</t>
  </si>
  <si>
    <t>311044479.54616</t>
  </si>
  <si>
    <t>22791237.54616</t>
  </si>
  <si>
    <t>1.1.3.1.1.3.1.3</t>
  </si>
  <si>
    <t>6.3.1.5.3.1.6.4</t>
  </si>
  <si>
    <t xml:space="preserve">1-4 этажи. Шпаклевка гипсовая базовая т.2 мм. Тип: ЧНП-3, ЧНП-6, ЧНП-7 
</t>
  </si>
  <si>
    <t>9715c536-701e-4362-beb4-5db4688b691c</t>
  </si>
  <si>
    <t>1.1.3.1.1.3.1.3.1</t>
  </si>
  <si>
    <t>311044395.54622</t>
  </si>
  <si>
    <t>22791297.54622</t>
  </si>
  <si>
    <t>1.1.3.1.1.3.1.3.2</t>
  </si>
  <si>
    <t>311044395.54634</t>
  </si>
  <si>
    <t>22791297.54634</t>
  </si>
  <si>
    <t>1.1.3.1.1.3.1.4</t>
  </si>
  <si>
    <t xml:space="preserve">1-4 этажи. Шпаклевка гипсовая базовая т.2 мм. Тип: ЧНП-3, ЧНП-6, ЧНП-7 </t>
  </si>
  <si>
    <t>1.1.3.1.1.3.1.4.1</t>
  </si>
  <si>
    <t>311044480.54634</t>
  </si>
  <si>
    <t>22791296.54634</t>
  </si>
  <si>
    <t>1.1.3.1.1.3.1.4.2</t>
  </si>
  <si>
    <t>311044480.54622</t>
  </si>
  <si>
    <t>22791296.54622</t>
  </si>
  <si>
    <t>1.1.3.1.1.3.1.5</t>
  </si>
  <si>
    <t>6.3.1.5.3.1.6.5</t>
  </si>
  <si>
    <t>Подвал, 1-4 этажи. Шпаклевка цементная базовая т.2 мм. Тип: ЧНП-2</t>
  </si>
  <si>
    <t>ffa8d5f2-d21d-4b08-8da6-570adff1ea27</t>
  </si>
  <si>
    <t>1.1.3.1.1.3.1.5.1</t>
  </si>
  <si>
    <t>311044396.1272014</t>
  </si>
  <si>
    <t>22791241.1272014</t>
  </si>
  <si>
    <t>1.1.3.1.1.3.1.5.2</t>
  </si>
  <si>
    <t>311044396.54634</t>
  </si>
  <si>
    <t>22791241.54634</t>
  </si>
  <si>
    <t>1.1.3.1.1.3.1.6</t>
  </si>
  <si>
    <t>Подвал, 1-4 этажи. Шпаклевка цементная финишная т.2 мм. Тип: ЧНП-2</t>
  </si>
  <si>
    <t>1.1.3.1.1.3.1.6.1</t>
  </si>
  <si>
    <t>311044481.54634</t>
  </si>
  <si>
    <t>22791242.54634</t>
  </si>
  <si>
    <t>1.1.3.1.1.3.1.6.2</t>
  </si>
  <si>
    <t>311044481.1272014</t>
  </si>
  <si>
    <t>22791242.1272014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</si>
  <si>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</si>
  <si>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</si>
  <si>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</si>
  <si>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</si>
  <si>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42d08cea-07ba-4dbe-a8b0-b5e7c8673109</t>
  </si>
  <si>
    <t>7a2a024b-7aa6-4bee-9d60-f94b39f3d674</t>
  </si>
  <si>
    <t>1.1.3.1.1.3.1.7.1</t>
  </si>
  <si>
    <t>Шпатлевка гипсовая_ / белая / Унифицированная по ПИК-СТАНДАРТ, 30кг (BIM)</t>
  </si>
  <si>
    <t>311044397.1570750</t>
  </si>
  <si>
    <t>22791239.1570750</t>
  </si>
  <si>
    <t>3254b4be-ac53-4a29-ad23-972be75bc24b</t>
  </si>
  <si>
    <t>1.1.3.1.1.3.1.7.2</t>
  </si>
  <si>
    <t>311044397.1139608</t>
  </si>
  <si>
    <t>22791239.1139608</t>
  </si>
  <si>
    <t>1.1.3.1.1.3.1.8</t>
  </si>
  <si>
    <t>Подвал, 1-4 этажи. Шпаклевка гипсовая финишная т.2 мм. Тип: ЧНП-5</t>
  </si>
  <si>
    <t>1.1.3.1.1.3.1.8.1</t>
  </si>
  <si>
    <t>311044482.1139608</t>
  </si>
  <si>
    <t>22791240.1139608</t>
  </si>
  <si>
    <t>1.1.3.1.1.3.1.8.2</t>
  </si>
  <si>
    <t>311044482.1570750</t>
  </si>
  <si>
    <t>22791240.1570750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</si>
  <si>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</si>
  <si>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</si>
  <si>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</si>
  <si>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</si>
  <si>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</si>
  <si>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</si>
  <si>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</si>
  <si>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55dcd11a-c570-4894-be4e-3c3874402761</t>
  </si>
  <si>
    <t>3997b616-bcf5-4c13-ae76-75afa96c846f</t>
  </si>
  <si>
    <t>1.1.3.1.1.3.2.1.1</t>
  </si>
  <si>
    <t>311044400.758336</t>
  </si>
  <si>
    <t>22883916.758336</t>
  </si>
  <si>
    <t>1.1.3.1.1.3.2.1.2</t>
  </si>
  <si>
    <t>311044400.54634</t>
  </si>
  <si>
    <t>22883916.54634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</si>
  <si>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</si>
  <si>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</si>
  <si>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</si>
  <si>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311044483.54634</t>
  </si>
  <si>
    <t>22885356.54634</t>
  </si>
  <si>
    <t>1.1.3.1.1.3.2.2.2</t>
  </si>
  <si>
    <t>311044483.758336</t>
  </si>
  <si>
    <t>22885356.758336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</si>
  <si>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</si>
  <si>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</si>
  <si>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</si>
  <si>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311044484.758336</t>
  </si>
  <si>
    <t>22885357.758336</t>
  </si>
  <si>
    <t>1.1.3.1.1.3.2.3.2</t>
  </si>
  <si>
    <t>311044484.54634</t>
  </si>
  <si>
    <t>22885357.54634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</si>
  <si>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</si>
  <si>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</si>
  <si>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</si>
  <si>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311044485.54634</t>
  </si>
  <si>
    <t>22885358.54634</t>
  </si>
  <si>
    <t>1.1.3.1.1.3.2.4.2</t>
  </si>
  <si>
    <t>311044485.758336</t>
  </si>
  <si>
    <t>22885358.758336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</si>
  <si>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</si>
  <si>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</si>
  <si>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</si>
  <si>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311044486.758336</t>
  </si>
  <si>
    <t>22885365.758336</t>
  </si>
  <si>
    <t>1.1.3.1.1.3.2.5.2</t>
  </si>
  <si>
    <t>311044486.54634</t>
  </si>
  <si>
    <t>22885365.54634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</si>
  <si>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</si>
  <si>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</si>
  <si>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</si>
  <si>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311044487.54634</t>
  </si>
  <si>
    <t>22885359.54634</t>
  </si>
  <si>
    <t>1.1.3.1.1.3.2.6.2</t>
  </si>
  <si>
    <t>311044487.758336</t>
  </si>
  <si>
    <t>22885359.758336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</si>
  <si>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</si>
  <si>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</si>
  <si>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</si>
  <si>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311044488.758336</t>
  </si>
  <si>
    <t>22885360.758336</t>
  </si>
  <si>
    <t>1.1.3.1.1.3.2.7.2</t>
  </si>
  <si>
    <t>311044488.54634</t>
  </si>
  <si>
    <t>22885360.54634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</si>
  <si>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</si>
  <si>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</si>
  <si>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</si>
  <si>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311044489.54634</t>
  </si>
  <si>
    <t>22885361.54634</t>
  </si>
  <si>
    <t>1.1.3.1.1.3.2.8.2</t>
  </si>
  <si>
    <t>311044489.758336</t>
  </si>
  <si>
    <t>22885361.758336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</si>
  <si>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</si>
  <si>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</si>
  <si>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</si>
  <si>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311044490.758336</t>
  </si>
  <si>
    <t>22885362.758336</t>
  </si>
  <si>
    <t>1.1.3.1.1.3.2.9.2</t>
  </si>
  <si>
    <t>311044490.54634</t>
  </si>
  <si>
    <t>22885362.54634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</si>
  <si>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</si>
  <si>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</si>
  <si>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</si>
  <si>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311044491.54634</t>
  </si>
  <si>
    <t>22885363.54634</t>
  </si>
  <si>
    <t>1.1.3.1.1.3.2.10.2</t>
  </si>
  <si>
    <t>311044491.758336</t>
  </si>
  <si>
    <t>22885363.758336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</si>
  <si>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</si>
  <si>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</si>
  <si>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</si>
  <si>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311044492.758336</t>
  </si>
  <si>
    <t>22885364.758336</t>
  </si>
  <si>
    <t>1.1.3.1.1.3.2.11.2</t>
  </si>
  <si>
    <t>311044492.54634</t>
  </si>
  <si>
    <t>22885364.54634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</si>
  <si>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</si>
  <si>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</si>
  <si>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</si>
  <si>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</si>
  <si>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</si>
  <si>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</si>
  <si>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</si>
  <si>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</si>
  <si>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1.1.3.1.1.4.2</t>
  </si>
  <si>
    <t>6.3.1.5.4.4.1</t>
  </si>
  <si>
    <t>Монтаж подвесного потолка СКБ / из акустических древесных плит</t>
  </si>
  <si>
    <t>c705c4a9-d32a-459e-a39e-ceba03e1c601</t>
  </si>
  <si>
    <t>4b59e369-024b-4661-bd71-e22473890c37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</si>
  <si>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</si>
  <si>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</si>
  <si>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</si>
  <si>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311044405.1747145</t>
  </si>
  <si>
    <t>22892007.1747145</t>
  </si>
  <si>
    <t>f39a5928-311f-11ee-9904-d1661ac0bb93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</si>
  <si>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</si>
  <si>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</si>
  <si>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</si>
  <si>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</si>
  <si>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311044493.1747145</t>
  </si>
  <si>
    <t>22892018.1747145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</si>
  <si>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</si>
  <si>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</si>
  <si>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</si>
  <si>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</si>
  <si>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311044494.1747145</t>
  </si>
  <si>
    <t>22892019.1747145</t>
  </si>
  <si>
    <t>1.1.3.1.1.4.5</t>
  </si>
  <si>
    <t>Тип: ПТБ-1.3</t>
  </si>
  <si>
    <t>1.1.3.1.1.4.5.1</t>
  </si>
  <si>
    <t>311044495.1747145</t>
  </si>
  <si>
    <t>22892020.1747145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</si>
  <si>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</si>
  <si>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</si>
  <si>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</si>
  <si>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</si>
  <si>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311044496.1747145</t>
  </si>
  <si>
    <t>22892021.1747145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</si>
  <si>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</si>
  <si>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</si>
  <si>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</si>
  <si>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</si>
  <si>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311044497.1747145</t>
  </si>
  <si>
    <t>22892022.1747145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</si>
  <si>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</si>
  <si>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</si>
  <si>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</si>
  <si>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</si>
  <si>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311044498.1747145</t>
  </si>
  <si>
    <t>22892023.1747145</t>
  </si>
  <si>
    <t>1.1.3.1.1.4.9</t>
  </si>
  <si>
    <t>Тип: ПТБ-2.3</t>
  </si>
  <si>
    <t>1.1.3.1.1.4.9.1</t>
  </si>
  <si>
    <t>311044499.1747145</t>
  </si>
  <si>
    <t>22892024.1747145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</si>
  <si>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</si>
  <si>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</si>
  <si>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</si>
  <si>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</si>
  <si>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311044500.1747145</t>
  </si>
  <si>
    <t>22892025.1747145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</si>
  <si>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</si>
  <si>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</si>
  <si>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</si>
  <si>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</si>
  <si>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311044501.1747145</t>
  </si>
  <si>
    <t>22892287.1747145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</si>
  <si>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</si>
  <si>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</si>
  <si>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</si>
  <si>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</si>
  <si>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311044502.1747145</t>
  </si>
  <si>
    <t>22892288.1747145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</si>
  <si>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</si>
  <si>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</si>
  <si>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</si>
  <si>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</si>
  <si>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146567ca-be1b-437d-9804-1227a85b1606</t>
  </si>
  <si>
    <t>39657fe2-8e77-41bd-8d32-3802599ee93b</t>
  </si>
  <si>
    <t>1.1.3.1.1.4.13.1</t>
  </si>
  <si>
    <t>Шпаклевка д/заделки швов, ШОВСИЛК_/Т33</t>
  </si>
  <si>
    <t>311044406.54624</t>
  </si>
  <si>
    <t>22791295.54624</t>
  </si>
  <si>
    <t>7b96503e-5889-4b88-b7f6-580caaa662ae</t>
  </si>
  <si>
    <t>1.1.3.1.1.4.13.2</t>
  </si>
  <si>
    <t>Удлинитель профилей_/потолочный/60*27</t>
  </si>
  <si>
    <t>311044406.54575</t>
  </si>
  <si>
    <t>22791295.54575</t>
  </si>
  <si>
    <t>46cc4ab9-5306-44b0-b02d-73ca24dc456b</t>
  </si>
  <si>
    <t>1.1.3.1.1.4.13.3</t>
  </si>
  <si>
    <t>Соединитель профилей одноуровневый_/потолочный/60*27</t>
  </si>
  <si>
    <t>311044406.54576</t>
  </si>
  <si>
    <t>22791295.54576</t>
  </si>
  <si>
    <t>d396c343-40ec-430e-b651-cf8e8a10f274</t>
  </si>
  <si>
    <t>1.1.3.1.1.4.13.4</t>
  </si>
  <si>
    <t>Шуруп_/3,5*35</t>
  </si>
  <si>
    <t>311044406.54823</t>
  </si>
  <si>
    <t>22791295.54823</t>
  </si>
  <si>
    <t>4a3b5599-e112-4c81-a9ec-374f97bfefa3</t>
  </si>
  <si>
    <t>1.1.3.1.1.4.13.5</t>
  </si>
  <si>
    <t>Плита Кнауф Файерборд_ / 2500х1200х12.5 м</t>
  </si>
  <si>
    <t>311044406.1523192</t>
  </si>
  <si>
    <t>22791295.1523192</t>
  </si>
  <si>
    <t>1a9d2c61-823f-4235-b198-e9701dbd754e</t>
  </si>
  <si>
    <t>1.1.3.1.1.4.13.6</t>
  </si>
  <si>
    <t>Шуруп со сверлом_/3,5*11</t>
  </si>
  <si>
    <t>311044406.54821</t>
  </si>
  <si>
    <t>22791295.54821</t>
  </si>
  <si>
    <t>438f03b8-0245-4746-af3b-94d943760b3b</t>
  </si>
  <si>
    <t>1.1.3.1.1.4.13.7</t>
  </si>
  <si>
    <t>Лента армирующая ( серпянка)_/50мм</t>
  </si>
  <si>
    <t>311044406.55038</t>
  </si>
  <si>
    <t>22791295.55038</t>
  </si>
  <si>
    <t>ef366d6b-1118-416c-acc5-430ee111e823</t>
  </si>
  <si>
    <t>1.1.3.1.1.4.13.8</t>
  </si>
  <si>
    <t>Анкер-клин_/6*40</t>
  </si>
  <si>
    <t>311044406.54828</t>
  </si>
  <si>
    <t>22791295.54828</t>
  </si>
  <si>
    <t>d1d11d59-b5f9-4bc0-894f-4c016002bf47</t>
  </si>
  <si>
    <t>1.1.3.1.1.4.13.9</t>
  </si>
  <si>
    <t>Профиль_/потолочный/60*27*0,40/3м</t>
  </si>
  <si>
    <t>311044406.54568</t>
  </si>
  <si>
    <t>22791295.54568</t>
  </si>
  <si>
    <t>de448100-a03f-42fb-b903-fa1d0845e34a</t>
  </si>
  <si>
    <t>1.1.3.1.1.4.13.10</t>
  </si>
  <si>
    <t>Подвес профиля прямой_/потолочный/60*27</t>
  </si>
  <si>
    <t>311044406.54573</t>
  </si>
  <si>
    <t>22791295.54573</t>
  </si>
  <si>
    <t>0eb7bcf2-ac18-4bde-8e36-3ccb4cd58803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</si>
  <si>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</si>
  <si>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</si>
  <si>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</si>
  <si>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311044503.54573</t>
  </si>
  <si>
    <t>22791298.54573</t>
  </si>
  <si>
    <t>1.1.3.1.1.4.14.2</t>
  </si>
  <si>
    <t>311044503.54568</t>
  </si>
  <si>
    <t>22791298.54568</t>
  </si>
  <si>
    <t>1.1.3.1.1.4.14.3</t>
  </si>
  <si>
    <t>Гипсовые строительные плиты_ / влагостойкий / 12,5*1200*2500</t>
  </si>
  <si>
    <t>311044503.54553</t>
  </si>
  <si>
    <t>22791298.54553</t>
  </si>
  <si>
    <t>efad23af-fbbd-4322-a1b7-0c398c24e336</t>
  </si>
  <si>
    <t>1.1.3.1.1.4.14.4</t>
  </si>
  <si>
    <t>311044503.54828</t>
  </si>
  <si>
    <t>22791298.54828</t>
  </si>
  <si>
    <t>1.1.3.1.1.4.14.5</t>
  </si>
  <si>
    <t>311044503.55038</t>
  </si>
  <si>
    <t>22791298.55038</t>
  </si>
  <si>
    <t>1.1.3.1.1.4.14.6</t>
  </si>
  <si>
    <t>311044503.54821</t>
  </si>
  <si>
    <t>22791298.54821</t>
  </si>
  <si>
    <t>1.1.3.1.1.4.14.7</t>
  </si>
  <si>
    <t>311044503.54823</t>
  </si>
  <si>
    <t>22791298.54823</t>
  </si>
  <si>
    <t>1.1.3.1.1.4.14.8</t>
  </si>
  <si>
    <t>311044503.54576</t>
  </si>
  <si>
    <t>22791298.54576</t>
  </si>
  <si>
    <t>1.1.3.1.1.4.14.9</t>
  </si>
  <si>
    <t>311044503.54575</t>
  </si>
  <si>
    <t>22791298.54575</t>
  </si>
  <si>
    <t>1.1.3.1.1.4.14.10</t>
  </si>
  <si>
    <t>311044503.54624</t>
  </si>
  <si>
    <t>22791298.54624</t>
  </si>
  <si>
    <t>1.1.3.1.1.4.15</t>
  </si>
  <si>
    <t>6.3.1.5.4.4.4</t>
  </si>
  <si>
    <t>Монтаж подвесного потолка СКБ / типа Армстронг, Грильято</t>
  </si>
  <si>
    <t>86b87f1a-32b5-4855-8388-b5bf81a42325</t>
  </si>
  <si>
    <t>42e8bac0-98f1-4b1f-8603-9612c710de3f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</si>
  <si>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</si>
  <si>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</si>
  <si>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</si>
  <si>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311044407.1196508</t>
  </si>
  <si>
    <t>22892005.1196508</t>
  </si>
  <si>
    <t>7c413101-029a-4584-ace7-69ad01fdbaa7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</si>
  <si>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</si>
  <si>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</si>
  <si>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</si>
  <si>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</si>
  <si>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</si>
  <si>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311044504.847703</t>
  </si>
  <si>
    <t>23306497.847703</t>
  </si>
  <si>
    <t>58e7c86f-477b-47b9-985f-0a528b32f78c</t>
  </si>
  <si>
    <t>1.1.3.1.1.5</t>
  </si>
  <si>
    <t>6.3.1.5.99</t>
  </si>
  <si>
    <t>1.1.3.1.1.5.1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</si>
  <si>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</si>
  <si>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</si>
  <si>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</si>
  <si>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мес</t>
  </si>
  <si>
    <t>1b2081c9-3df8-4bfd-8f1a-b1cd857c8003</t>
  </si>
  <si>
    <t>d7da9cf0-0a72-4830-93c7-e0a0f6b4e4bd</t>
  </si>
  <si>
    <t>1.1.3.1.1.5.2</t>
  </si>
  <si>
    <t>6.3.1.5.99.6.1</t>
  </si>
  <si>
    <t>Компенсация затрат под сдачу СКБ</t>
  </si>
  <si>
    <t>5% от СМР на отделочные работы по разделу Отделка СКБ</t>
  </si>
  <si>
    <t>комплекс</t>
  </si>
  <si>
    <t>39042dce-c227-4fa3-8291-0a0e3e2255fb</t>
  </si>
  <si>
    <t>92c3eaa6-7426-4429-a59a-5dd844bf021c</t>
  </si>
  <si>
    <t>Общая стоимость работ, руб.с НДС 22%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</si>
  <si>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</si>
  <si>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</si>
  <si>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</si>
  <si>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</si>
  <si>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</si>
  <si>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</si>
  <si>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</si>
  <si>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</si>
  <si>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</si>
  <si>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</si>
  <si>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</si>
  <si>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</si>
  <si>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</si>
  <si>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</si>
  <si>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</si>
  <si>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</si>
  <si>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</si>
  <si>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</si>
  <si>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</si>
  <si>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</si>
  <si>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</si>
  <si>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</si>
  <si>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</si>
  <si>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</si>
  <si>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</si>
  <si>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</si>
  <si>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</si>
  <si>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</si>
  <si>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</si>
  <si>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</si>
  <si>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</si>
  <si>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</si>
  <si>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</si>
  <si>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</si>
  <si>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</si>
  <si>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</si>
  <si>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</si>
  <si>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</si>
  <si>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</si>
  <si>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</si>
  <si>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</si>
  <si>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</si>
  <si>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</si>
  <si>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</si>
  <si>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</si>
  <si>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</si>
  <si>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</si>
  <si>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</si>
  <si>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</si>
  <si>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</si>
  <si>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</si>
  <si>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</si>
  <si>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r>
      <t>Ф-1.п-18шт
Ф-1-64шт
Ф-1.1-1шт
Ф-1.2-1шт
Ф-1.3-2шт
Ф-2.п-4шт
Ф-2-21шт
Ф-3.п-5шт
Ф-3-28шт
Ф-3.1-6шт</t>
    </r>
    <r>
      <rPr>
        <sz val="14"/>
        <color rgb="FFFF0000"/>
        <rFont val="Times New Roman"/>
        <family val="1"/>
        <charset val="204"/>
      </rPr>
      <t>(8шт)</t>
    </r>
    <r>
      <rPr>
        <sz val="14"/>
        <color rgb="FF000000"/>
        <rFont val="Times New Roman"/>
        <family val="1"/>
        <charset val="204"/>
      </rPr>
      <t xml:space="preserve">
Ф-3.2-1шт
Ф-4.п-1шт
Ф-4-16шт
Ф-4.1-4шт
Ф-5-2шт
Ф-5.1-2шт
Ф-6-36шт
Ф-7-96шт
Ф-7.1-8шт
Ф-7.2-2шт
Ф-8-69шт
Ф-9-284шт
Ф-10-23шт
Ф-11-5шт
Ф-12-36шт</t>
    </r>
    <r>
      <rPr>
        <sz val="14"/>
        <color rgb="FFFF0000"/>
        <rFont val="Times New Roman"/>
        <family val="1"/>
        <charset val="204"/>
      </rPr>
      <t>(48шт)</t>
    </r>
    <r>
      <rPr>
        <sz val="14"/>
        <color rgb="FF000000"/>
        <rFont val="Times New Roman"/>
        <family val="1"/>
        <charset val="204"/>
      </rPr>
      <t xml:space="preserve">
Ф-13-85шт
Ф-14-16шт
Ф-15-1шт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</si>
</sst>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sz val="14"/>
      <color rgb="FF00B05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4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zoomScale="62" zoomScaleNormal="62" workbookViewId="0">
      <pane xSplit="9" ySplit="7" topLeftCell="J89" activePane="bottomRight" state="frozen"/>
      <selection pane="topRight"/>
      <selection pane="bottomLeft"/>
      <selection pane="bottomRight" sqref="A1:XFD1048576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45" t="s">
        <v>4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</row>
    <row r="3" spans="1:35" ht="15" customHeight="1" x14ac:dyDescent="0.3">
      <c r="A3" s="46" t="s">
        <v>5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</row>
    <row r="4" spans="1:35" ht="15" customHeight="1" x14ac:dyDescent="0.3">
      <c r="A4" s="47" t="s">
        <v>6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</row>
    <row r="5" spans="1:35" ht="40.799999999999997" customHeight="1" x14ac:dyDescent="0.3">
      <c r="A5" s="43" t="s">
        <v>24</v>
      </c>
      <c r="B5" s="43" t="s">
        <v>25</v>
      </c>
      <c r="C5" s="43" t="s">
        <v>26</v>
      </c>
      <c r="D5" s="43" t="s">
        <v>27</v>
      </c>
      <c r="E5" s="43" t="s">
        <v>28</v>
      </c>
      <c r="F5" s="43" t="s">
        <v>29</v>
      </c>
      <c r="G5" s="43" t="s">
        <v>30</v>
      </c>
      <c r="H5" s="43" t="s">
        <v>31</v>
      </c>
      <c r="I5" s="43" t="s">
        <v>32</v>
      </c>
      <c r="J5" s="48" t="s">
        <v>7</v>
      </c>
      <c r="K5" s="49"/>
      <c r="L5" s="49"/>
      <c r="M5" s="49"/>
      <c r="N5" s="49"/>
      <c r="O5" s="50"/>
      <c r="P5" s="51" t="s">
        <v>8</v>
      </c>
      <c r="Q5" s="52"/>
      <c r="R5" s="53"/>
      <c r="S5" s="51" t="s">
        <v>9</v>
      </c>
      <c r="T5" s="52"/>
      <c r="U5" s="53"/>
    </row>
    <row r="6" spans="1:35" ht="15.75" customHeight="1" x14ac:dyDescent="0.3">
      <c r="A6" s="54"/>
      <c r="B6" s="54"/>
      <c r="C6" s="54"/>
      <c r="D6" s="54"/>
      <c r="E6" s="54"/>
      <c r="F6" s="54"/>
      <c r="G6" s="54"/>
      <c r="H6" s="54"/>
      <c r="I6" s="54"/>
      <c r="J6" s="34" t="s">
        <v>33</v>
      </c>
      <c r="K6" s="36"/>
      <c r="L6" s="43" t="s">
        <v>33</v>
      </c>
      <c r="M6" s="34" t="s">
        <v>36</v>
      </c>
      <c r="N6" s="36"/>
      <c r="O6" s="43" t="s">
        <v>37</v>
      </c>
      <c r="P6" s="34" t="s">
        <v>33</v>
      </c>
      <c r="Q6" s="36"/>
      <c r="R6" s="43" t="s">
        <v>33</v>
      </c>
      <c r="S6" s="34" t="s">
        <v>36</v>
      </c>
      <c r="T6" s="36"/>
      <c r="U6" s="43" t="s">
        <v>37</v>
      </c>
    </row>
    <row r="7" spans="1:35" ht="31.2" customHeight="1" x14ac:dyDescent="0.3">
      <c r="A7" s="44"/>
      <c r="B7" s="44"/>
      <c r="C7" s="44"/>
      <c r="D7" s="44"/>
      <c r="E7" s="44"/>
      <c r="F7" s="44"/>
      <c r="G7" s="44"/>
      <c r="H7" s="44"/>
      <c r="I7" s="44"/>
      <c r="J7" s="5" t="s">
        <v>34</v>
      </c>
      <c r="K7" s="5" t="s">
        <v>35</v>
      </c>
      <c r="L7" s="44"/>
      <c r="M7" s="5" t="s">
        <v>34</v>
      </c>
      <c r="N7" s="5" t="s">
        <v>35</v>
      </c>
      <c r="O7" s="44"/>
      <c r="P7" s="5" t="s">
        <v>34</v>
      </c>
      <c r="Q7" s="5" t="s">
        <v>35</v>
      </c>
      <c r="R7" s="44"/>
      <c r="S7" s="5" t="s">
        <v>34</v>
      </c>
      <c r="T7" s="5" t="s">
        <v>35</v>
      </c>
      <c r="U7" s="44"/>
    </row>
    <row r="8" spans="1:35" ht="30" customHeight="1" x14ac:dyDescent="0.3">
      <c r="A8" s="40" t="s">
        <v>38</v>
      </c>
      <c r="B8" s="41"/>
      <c r="C8" s="41"/>
      <c r="D8" s="41"/>
      <c r="E8" s="41"/>
      <c r="F8" s="41"/>
      <c r="G8" s="41"/>
      <c r="H8" s="41"/>
      <c r="I8" s="42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37" t="s">
        <v>42</v>
      </c>
      <c r="D9" s="38"/>
      <c r="E9" s="38"/>
      <c r="F9" s="38"/>
      <c r="G9" s="38"/>
      <c r="H9" s="38"/>
      <c r="I9" s="39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37" t="s">
        <v>45</v>
      </c>
      <c r="D10" s="38"/>
      <c r="E10" s="38"/>
      <c r="F10" s="38"/>
      <c r="G10" s="38"/>
      <c r="H10" s="38"/>
      <c r="I10" s="39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37" t="s">
        <v>48</v>
      </c>
      <c r="D11" s="38"/>
      <c r="E11" s="38"/>
      <c r="F11" s="38"/>
      <c r="G11" s="38"/>
      <c r="H11" s="38"/>
      <c r="I11" s="39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37" t="s">
        <v>51</v>
      </c>
      <c r="D12" s="38"/>
      <c r="E12" s="38"/>
      <c r="F12" s="38"/>
      <c r="G12" s="38"/>
      <c r="H12" s="38"/>
      <c r="I12" s="39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37" t="s">
        <v>54</v>
      </c>
      <c r="D13" s="38"/>
      <c r="E13" s="38"/>
      <c r="F13" s="38"/>
      <c r="G13" s="38"/>
      <c r="H13" s="38"/>
      <c r="I13" s="39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37" t="s">
        <v>64</v>
      </c>
      <c r="D15" s="38"/>
      <c r="E15" s="38"/>
      <c r="F15" s="38"/>
      <c r="G15" s="38"/>
      <c r="H15" s="38"/>
      <c r="I15" s="39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37" t="s">
        <v>67</v>
      </c>
      <c r="D16" s="38"/>
      <c r="E16" s="38"/>
      <c r="F16" s="38"/>
      <c r="G16" s="38"/>
      <c r="H16" s="38"/>
      <c r="I16" s="39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37" t="s">
        <v>70</v>
      </c>
      <c r="D17" s="38"/>
      <c r="E17" s="38"/>
      <c r="F17" s="38"/>
      <c r="G17" s="38"/>
      <c r="H17" s="38"/>
      <c r="I17" s="39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37" t="s">
        <v>73</v>
      </c>
      <c r="D18" s="38"/>
      <c r="E18" s="38"/>
      <c r="F18" s="38"/>
      <c r="G18" s="38"/>
      <c r="H18" s="38"/>
      <c r="I18" s="39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37" t="s">
        <v>76</v>
      </c>
      <c r="D19" s="38"/>
      <c r="E19" s="38"/>
      <c r="F19" s="38"/>
      <c r="G19" s="38"/>
      <c r="H19" s="38"/>
      <c r="I19" s="39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37" t="s">
        <v>110</v>
      </c>
      <c r="D25" s="38"/>
      <c r="E25" s="38"/>
      <c r="F25" s="38"/>
      <c r="G25" s="38"/>
      <c r="H25" s="38"/>
      <c r="I25" s="39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37" t="s">
        <v>145</v>
      </c>
      <c r="D32" s="38"/>
      <c r="E32" s="38"/>
      <c r="F32" s="38"/>
      <c r="G32" s="38"/>
      <c r="H32" s="38"/>
      <c r="I32" s="39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37" t="s">
        <v>148</v>
      </c>
      <c r="D33" s="38"/>
      <c r="E33" s="38"/>
      <c r="F33" s="38"/>
      <c r="G33" s="38"/>
      <c r="H33" s="38"/>
      <c r="I33" s="39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37" t="s">
        <v>151</v>
      </c>
      <c r="D34" s="38"/>
      <c r="E34" s="38"/>
      <c r="F34" s="38"/>
      <c r="G34" s="38"/>
      <c r="H34" s="38"/>
      <c r="I34" s="39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37" t="s">
        <v>184</v>
      </c>
      <c r="D43" s="38"/>
      <c r="E43" s="38"/>
      <c r="F43" s="38"/>
      <c r="G43" s="38"/>
      <c r="H43" s="38"/>
      <c r="I43" s="39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37" t="s">
        <v>187</v>
      </c>
      <c r="D44" s="38"/>
      <c r="E44" s="38"/>
      <c r="F44" s="38"/>
      <c r="G44" s="38"/>
      <c r="H44" s="38"/>
      <c r="I44" s="39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37" t="s">
        <v>209</v>
      </c>
      <c r="D51" s="38"/>
      <c r="E51" s="38"/>
      <c r="F51" s="38"/>
      <c r="G51" s="38"/>
      <c r="H51" s="38"/>
      <c r="I51" s="39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11" t="s">
        <v>212</v>
      </c>
      <c r="D52" s="12" t="s">
        <v>80</v>
      </c>
      <c r="E52" s="12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37" t="s">
        <v>238</v>
      </c>
      <c r="D57" s="38"/>
      <c r="E57" s="38"/>
      <c r="F57" s="38"/>
      <c r="G57" s="38"/>
      <c r="H57" s="38"/>
      <c r="I57" s="39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37" t="s">
        <v>313</v>
      </c>
      <c r="D74" s="38"/>
      <c r="E74" s="38"/>
      <c r="F74" s="38"/>
      <c r="G74" s="38"/>
      <c r="H74" s="38"/>
      <c r="I74" s="39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108" x14ac:dyDescent="0.3">
      <c r="A78" s="10" t="s">
        <v>331</v>
      </c>
      <c r="B78" s="10" t="s">
        <v>332</v>
      </c>
      <c r="C78" s="11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126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11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108" x14ac:dyDescent="0.3">
      <c r="A86" s="10" t="s">
        <v>366</v>
      </c>
      <c r="B86" s="10" t="s">
        <v>332</v>
      </c>
      <c r="C86" s="11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381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11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11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11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6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95" customHeight="1" x14ac:dyDescent="0.3">
      <c r="A99" s="10" t="s">
        <v>416</v>
      </c>
      <c r="B99" s="10" t="s">
        <v>417</v>
      </c>
      <c r="C99" s="37" t="s">
        <v>418</v>
      </c>
      <c r="D99" s="38"/>
      <c r="E99" s="38"/>
      <c r="F99" s="38"/>
      <c r="G99" s="38"/>
      <c r="H99" s="38"/>
      <c r="I99" s="39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37" t="s">
        <v>427</v>
      </c>
      <c r="D101" s="38"/>
      <c r="E101" s="38"/>
      <c r="F101" s="38"/>
      <c r="G101" s="38"/>
      <c r="H101" s="38"/>
      <c r="I101" s="39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37" t="s">
        <v>418</v>
      </c>
      <c r="D102" s="38"/>
      <c r="E102" s="38"/>
      <c r="F102" s="38"/>
      <c r="G102" s="38"/>
      <c r="H102" s="38"/>
      <c r="I102" s="39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37" t="s">
        <v>450</v>
      </c>
      <c r="D107" s="38"/>
      <c r="E107" s="38"/>
      <c r="F107" s="38"/>
      <c r="G107" s="38"/>
      <c r="H107" s="38"/>
      <c r="I107" s="39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37" t="s">
        <v>453</v>
      </c>
      <c r="D108" s="38"/>
      <c r="E108" s="38"/>
      <c r="F108" s="38"/>
      <c r="G108" s="38"/>
      <c r="H108" s="38"/>
      <c r="I108" s="39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37" t="s">
        <v>456</v>
      </c>
      <c r="D109" s="38"/>
      <c r="E109" s="38"/>
      <c r="F109" s="38"/>
      <c r="G109" s="38"/>
      <c r="H109" s="38"/>
      <c r="I109" s="39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37" t="s">
        <v>459</v>
      </c>
      <c r="D110" s="38"/>
      <c r="E110" s="38"/>
      <c r="F110" s="38"/>
      <c r="G110" s="38"/>
      <c r="H110" s="38"/>
      <c r="I110" s="39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37" t="s">
        <v>462</v>
      </c>
      <c r="D111" s="38"/>
      <c r="E111" s="38"/>
      <c r="F111" s="38"/>
      <c r="G111" s="38"/>
      <c r="H111" s="38"/>
      <c r="I111" s="39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44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ref="Y145:Y176" si="16">ROUND(S145 / 1.2, 2)</f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6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6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6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6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6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6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6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6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6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6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6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6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6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6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6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6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6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6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6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6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6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6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6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6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6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6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6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6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6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6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6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7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7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7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7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7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7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7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7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7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7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7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7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7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7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7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7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37" t="s">
        <v>759</v>
      </c>
      <c r="D193" s="38"/>
      <c r="E193" s="38"/>
      <c r="F193" s="38"/>
      <c r="G193" s="38"/>
      <c r="H193" s="38"/>
      <c r="I193" s="39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8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8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8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8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8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8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8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8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8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8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8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8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8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8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8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8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8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8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8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8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8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37" t="s">
        <v>855</v>
      </c>
      <c r="D216" s="38"/>
      <c r="E216" s="38"/>
      <c r="F216" s="38"/>
      <c r="G216" s="38"/>
      <c r="H216" s="38"/>
      <c r="I216" s="39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49" si="19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9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9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9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9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9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9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9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9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9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9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9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9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9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9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9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9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9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9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9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9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9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9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9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9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9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9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9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9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9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9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9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ref="Y250:Y284" si="20">ROUND(S250 / 1.2, 2)</f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20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20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20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20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20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20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20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20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20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20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20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20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20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20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20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20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20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20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20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20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20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20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20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20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20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20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20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20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20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20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20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si="20"/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20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20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37" t="s">
        <v>1139</v>
      </c>
      <c r="D285" s="38"/>
      <c r="E285" s="38"/>
      <c r="F285" s="38"/>
      <c r="G285" s="38"/>
      <c r="H285" s="38"/>
      <c r="I285" s="39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37" t="s">
        <v>1153</v>
      </c>
      <c r="D288" s="38"/>
      <c r="E288" s="38"/>
      <c r="F288" s="38"/>
      <c r="G288" s="38"/>
      <c r="H288" s="38"/>
      <c r="I288" s="39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37" t="s">
        <v>1156</v>
      </c>
      <c r="D289" s="38"/>
      <c r="E289" s="38"/>
      <c r="F289" s="38"/>
      <c r="G289" s="38"/>
      <c r="H289" s="38"/>
      <c r="I289" s="39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22" si="21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1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1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1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1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1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1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1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1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1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1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1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1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1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1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1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1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1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1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1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1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1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1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1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1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1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1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1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1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1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1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1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ref="Y323:Y354" si="22">ROUND(S323 / 1.2, 2)</f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2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2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2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2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2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2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2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2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2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2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2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2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2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2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2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2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2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2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2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2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2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2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2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2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2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2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2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2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2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2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2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3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3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3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3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3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3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3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3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3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3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3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3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3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3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3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3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3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3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37" t="s">
        <v>1471</v>
      </c>
      <c r="D373" s="38"/>
      <c r="E373" s="38"/>
      <c r="F373" s="38"/>
      <c r="G373" s="38"/>
      <c r="H373" s="38"/>
      <c r="I373" s="39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06" si="24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4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4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4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4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4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4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4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4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4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4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4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4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4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4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4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4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4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4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4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4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4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4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4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4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4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4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4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4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4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4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4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ref="Y407:Y438" si="25">ROUND(S407 / 1.2, 2)</f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5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5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5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5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5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5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5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5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5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5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5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5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5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5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5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5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5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5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5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5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5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5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5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5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5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5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5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5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5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5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5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6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6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6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6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6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6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6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6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6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6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6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6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6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6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6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6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6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6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6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6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6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6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6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6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6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6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6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6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6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6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6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6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6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6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6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37" t="s">
        <v>1800</v>
      </c>
      <c r="D474" s="38"/>
      <c r="E474" s="38"/>
      <c r="F474" s="38"/>
      <c r="G474" s="38"/>
      <c r="H474" s="38"/>
      <c r="I474" s="39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37" t="s">
        <v>1803</v>
      </c>
      <c r="D475" s="38"/>
      <c r="E475" s="38"/>
      <c r="F475" s="38"/>
      <c r="G475" s="38"/>
      <c r="H475" s="38"/>
      <c r="I475" s="39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7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7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7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7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7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7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7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7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1835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7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7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7"/>
        <v>12684.5</v>
      </c>
      <c r="AD487" s="4" t="s">
        <v>1840</v>
      </c>
      <c r="AE487" s="4" t="s">
        <v>1841</v>
      </c>
      <c r="AF487" s="4" t="s">
        <v>1272</v>
      </c>
    </row>
    <row r="488" spans="1:35" ht="54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58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7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7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7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7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7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7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7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7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7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7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7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7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37" t="s">
        <v>1884</v>
      </c>
      <c r="D500" s="38"/>
      <c r="E500" s="38"/>
      <c r="F500" s="38"/>
      <c r="G500" s="38"/>
      <c r="H500" s="38"/>
      <c r="I500" s="39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8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8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8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8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8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8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8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8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8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8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8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8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8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8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8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8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8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8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8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8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8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8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8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8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8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8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8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8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8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1" t="s">
        <v>1887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8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8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8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37" t="s">
        <v>1979</v>
      </c>
      <c r="D534" s="38"/>
      <c r="E534" s="38"/>
      <c r="F534" s="38"/>
      <c r="G534" s="38"/>
      <c r="H534" s="38"/>
      <c r="I534" s="39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9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9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9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9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9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9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9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9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9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9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9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9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9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9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9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9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9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9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9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9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9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9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9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30">ROUND(ROUND(J559, 2)*I559, 2)</f>
        <v>735.78</v>
      </c>
      <c r="P559" s="22">
        <v>55.91</v>
      </c>
      <c r="S559" s="21">
        <f t="shared" ref="S559:S568" si="31">ROUND(ROUND(P559, 2)*I559, 2)</f>
        <v>735.78</v>
      </c>
      <c r="V559" s="9">
        <f t="shared" ref="V559:V568" si="32">ROUND(ROUND(P559, 2)/1.2, 2)</f>
        <v>46.59</v>
      </c>
      <c r="Y559" s="9">
        <f t="shared" si="29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30"/>
        <v>64.3</v>
      </c>
      <c r="P560" s="22">
        <v>5.7</v>
      </c>
      <c r="S560" s="21">
        <f t="shared" si="31"/>
        <v>64.3</v>
      </c>
      <c r="V560" s="9">
        <f t="shared" si="32"/>
        <v>4.75</v>
      </c>
      <c r="Y560" s="9">
        <f t="shared" si="29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30"/>
        <v>2188.77</v>
      </c>
      <c r="P561" s="22">
        <v>16.170000000000002</v>
      </c>
      <c r="S561" s="21">
        <f t="shared" si="31"/>
        <v>2188.77</v>
      </c>
      <c r="V561" s="9">
        <f t="shared" si="32"/>
        <v>13.48</v>
      </c>
      <c r="Y561" s="9">
        <f t="shared" si="29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30"/>
        <v>688.08</v>
      </c>
      <c r="P562" s="22">
        <v>0.61</v>
      </c>
      <c r="S562" s="21">
        <f t="shared" si="31"/>
        <v>688.08</v>
      </c>
      <c r="V562" s="9">
        <f t="shared" si="32"/>
        <v>0.51</v>
      </c>
      <c r="Y562" s="9">
        <f t="shared" si="29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30"/>
        <v>0</v>
      </c>
      <c r="P563" s="22">
        <v>1656</v>
      </c>
      <c r="S563" s="21">
        <f t="shared" si="31"/>
        <v>127644.48</v>
      </c>
      <c r="V563" s="9">
        <f t="shared" si="32"/>
        <v>1380</v>
      </c>
      <c r="Y563" s="9">
        <f t="shared" si="29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30"/>
        <v>541.44000000000005</v>
      </c>
      <c r="P564" s="22">
        <v>0.96</v>
      </c>
      <c r="S564" s="21">
        <f t="shared" si="31"/>
        <v>541.44000000000005</v>
      </c>
      <c r="V564" s="9">
        <f t="shared" si="32"/>
        <v>0.8</v>
      </c>
      <c r="Y564" s="9">
        <f t="shared" si="29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30"/>
        <v>133.47999999999999</v>
      </c>
      <c r="P565" s="22">
        <v>2.84</v>
      </c>
      <c r="S565" s="21">
        <f t="shared" si="31"/>
        <v>133.47999999999999</v>
      </c>
      <c r="V565" s="9">
        <f t="shared" si="32"/>
        <v>2.37</v>
      </c>
      <c r="Y565" s="9">
        <f t="shared" si="29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30"/>
        <v>80.09</v>
      </c>
      <c r="P566" s="22">
        <v>2.84</v>
      </c>
      <c r="S566" s="21">
        <f t="shared" si="31"/>
        <v>80.09</v>
      </c>
      <c r="V566" s="9">
        <f t="shared" si="32"/>
        <v>2.37</v>
      </c>
      <c r="Y566" s="9">
        <f t="shared" si="29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30"/>
        <v>12034.63</v>
      </c>
      <c r="P567" s="22">
        <v>68.099999999999994</v>
      </c>
      <c r="S567" s="21">
        <f t="shared" si="31"/>
        <v>12034.63</v>
      </c>
      <c r="V567" s="9">
        <f t="shared" si="32"/>
        <v>56.75</v>
      </c>
      <c r="Y567" s="9">
        <f t="shared" si="29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30"/>
        <v>805.39</v>
      </c>
      <c r="P568" s="22">
        <v>5.0999999999999996</v>
      </c>
      <c r="S568" s="21">
        <f t="shared" si="31"/>
        <v>805.39</v>
      </c>
      <c r="V568" s="9">
        <f t="shared" si="32"/>
        <v>4.25</v>
      </c>
      <c r="Y568" s="9">
        <f t="shared" si="29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9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3">ROUND(ROUND(J570, 2)*I570, 2)</f>
        <v>13378.93</v>
      </c>
      <c r="P570" s="22">
        <v>5.0999999999999996</v>
      </c>
      <c r="S570" s="21">
        <f t="shared" ref="S570:S579" si="34">ROUND(ROUND(P570, 2)*I570, 2)</f>
        <v>13378.93</v>
      </c>
      <c r="V570" s="9">
        <f t="shared" ref="V570:V579" si="35">ROUND(ROUND(P570, 2)/1.2, 2)</f>
        <v>4.25</v>
      </c>
      <c r="Y570" s="9">
        <f t="shared" si="29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3"/>
        <v>199915.72</v>
      </c>
      <c r="P571" s="22">
        <v>68.099999999999994</v>
      </c>
      <c r="S571" s="21">
        <f t="shared" si="34"/>
        <v>199915.72</v>
      </c>
      <c r="V571" s="9">
        <f t="shared" si="35"/>
        <v>56.75</v>
      </c>
      <c r="Y571" s="9">
        <f t="shared" si="29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3"/>
        <v>176430.45</v>
      </c>
      <c r="P572" s="22">
        <v>137.79</v>
      </c>
      <c r="S572" s="21">
        <f t="shared" si="34"/>
        <v>176430.45</v>
      </c>
      <c r="V572" s="9">
        <f t="shared" si="35"/>
        <v>114.83</v>
      </c>
      <c r="Y572" s="9">
        <f t="shared" si="29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3"/>
        <v>1330.4</v>
      </c>
      <c r="P573" s="22">
        <v>2.84</v>
      </c>
      <c r="S573" s="21">
        <f t="shared" si="34"/>
        <v>1330.4</v>
      </c>
      <c r="V573" s="9">
        <f t="shared" si="35"/>
        <v>2.37</v>
      </c>
      <c r="Y573" s="9">
        <f t="shared" si="29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3"/>
        <v>2217.33</v>
      </c>
      <c r="P574" s="22">
        <v>2.84</v>
      </c>
      <c r="S574" s="21">
        <f t="shared" si="34"/>
        <v>2217.33</v>
      </c>
      <c r="V574" s="9">
        <f t="shared" si="35"/>
        <v>2.37</v>
      </c>
      <c r="Y574" s="9">
        <f t="shared" si="29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3"/>
        <v>8994.24</v>
      </c>
      <c r="P575" s="22">
        <v>0.96</v>
      </c>
      <c r="S575" s="21">
        <f t="shared" si="34"/>
        <v>8994.24</v>
      </c>
      <c r="V575" s="9">
        <f t="shared" si="35"/>
        <v>0.8</v>
      </c>
      <c r="Y575" s="9">
        <f t="shared" si="29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3"/>
        <v>11430.18</v>
      </c>
      <c r="P576" s="22">
        <v>0.61</v>
      </c>
      <c r="S576" s="21">
        <f t="shared" si="34"/>
        <v>11430.18</v>
      </c>
      <c r="V576" s="9">
        <f t="shared" si="35"/>
        <v>0.51</v>
      </c>
      <c r="Y576" s="9">
        <f t="shared" si="29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3"/>
        <v>36359.22</v>
      </c>
      <c r="P577" s="22">
        <v>16.170000000000002</v>
      </c>
      <c r="S577" s="21">
        <f t="shared" si="34"/>
        <v>36359.22</v>
      </c>
      <c r="V577" s="9">
        <f t="shared" si="35"/>
        <v>13.48</v>
      </c>
      <c r="Y577" s="9">
        <f t="shared" si="29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3"/>
        <v>1068.07</v>
      </c>
      <c r="P578" s="22">
        <v>5.7</v>
      </c>
      <c r="S578" s="21">
        <f t="shared" si="34"/>
        <v>1068.07</v>
      </c>
      <c r="V578" s="9">
        <f t="shared" si="35"/>
        <v>4.75</v>
      </c>
      <c r="Y578" s="9">
        <f t="shared" si="29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3"/>
        <v>12222.49</v>
      </c>
      <c r="P579" s="22">
        <v>55.91</v>
      </c>
      <c r="S579" s="21">
        <f t="shared" si="34"/>
        <v>12222.49</v>
      </c>
      <c r="V579" s="9">
        <f t="shared" si="35"/>
        <v>46.59</v>
      </c>
      <c r="Y579" s="9">
        <f t="shared" si="29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9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9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9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9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37" t="s">
        <v>418</v>
      </c>
      <c r="D584" s="38"/>
      <c r="E584" s="38"/>
      <c r="F584" s="38"/>
      <c r="G584" s="38"/>
      <c r="H584" s="38"/>
      <c r="I584" s="39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36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40" t="s">
        <v>2180</v>
      </c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2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34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6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34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6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34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6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34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6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34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6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34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6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34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6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34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6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34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6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34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6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34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6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34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6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34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6"/>
    </row>
    <row r="602" spans="1:21" ht="48" customHeight="1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34" t="s">
        <v>2222</v>
      </c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6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34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6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34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6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34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6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34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6"/>
    </row>
  </sheetData>
  <sheetProtection password="C644" sheet="1" formatColumns="0" autoFilter="0"/>
  <autoFilter ref="A7:U7"/>
  <mergeCells count="81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34:I34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C110:I110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C584:I584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H599:U599"/>
    <mergeCell ref="H600:U600"/>
    <mergeCell ref="H601:U601"/>
    <mergeCell ref="H602:U602"/>
    <mergeCell ref="H603:U603"/>
    <mergeCell ref="H604:U604"/>
    <mergeCell ref="H605:U605"/>
    <mergeCell ref="H606:U60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tabSelected="1" topLeftCell="A42" zoomScale="55" zoomScaleNormal="55" workbookViewId="0">
      <selection activeCell="C52" sqref="C5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45" t="s">
        <v>4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</row>
    <row r="3" spans="1:35" ht="15" customHeight="1" x14ac:dyDescent="0.3">
      <c r="A3" s="46" t="s">
        <v>5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</row>
    <row r="4" spans="1:35" ht="15" customHeight="1" x14ac:dyDescent="0.3">
      <c r="A4" s="47" t="s">
        <v>6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</row>
    <row r="5" spans="1:35" ht="40.799999999999997" customHeight="1" x14ac:dyDescent="0.3">
      <c r="A5" s="43" t="s">
        <v>24</v>
      </c>
      <c r="B5" s="43" t="s">
        <v>25</v>
      </c>
      <c r="C5" s="43" t="s">
        <v>26</v>
      </c>
      <c r="D5" s="43" t="s">
        <v>27</v>
      </c>
      <c r="E5" s="43" t="s">
        <v>28</v>
      </c>
      <c r="F5" s="43" t="s">
        <v>29</v>
      </c>
      <c r="G5" s="43" t="s">
        <v>30</v>
      </c>
      <c r="H5" s="43" t="s">
        <v>31</v>
      </c>
      <c r="I5" s="43" t="s">
        <v>32</v>
      </c>
      <c r="J5" s="48" t="s">
        <v>7</v>
      </c>
      <c r="K5" s="49"/>
      <c r="L5" s="49"/>
      <c r="M5" s="49"/>
      <c r="N5" s="49"/>
      <c r="O5" s="50"/>
      <c r="P5" s="51" t="s">
        <v>8</v>
      </c>
      <c r="Q5" s="52"/>
      <c r="R5" s="53"/>
      <c r="S5" s="51" t="s">
        <v>9</v>
      </c>
      <c r="T5" s="52"/>
      <c r="U5" s="53"/>
    </row>
    <row r="6" spans="1:35" ht="15.75" customHeight="1" x14ac:dyDescent="0.3">
      <c r="A6" s="54"/>
      <c r="B6" s="54"/>
      <c r="C6" s="54"/>
      <c r="D6" s="54"/>
      <c r="E6" s="54"/>
      <c r="F6" s="54"/>
      <c r="G6" s="54"/>
      <c r="H6" s="54"/>
      <c r="I6" s="54"/>
      <c r="J6" s="34" t="s">
        <v>33</v>
      </c>
      <c r="K6" s="36"/>
      <c r="L6" s="43" t="s">
        <v>33</v>
      </c>
      <c r="M6" s="34" t="s">
        <v>36</v>
      </c>
      <c r="N6" s="36"/>
      <c r="O6" s="43" t="s">
        <v>37</v>
      </c>
      <c r="P6" s="34" t="s">
        <v>33</v>
      </c>
      <c r="Q6" s="36"/>
      <c r="R6" s="43" t="s">
        <v>33</v>
      </c>
      <c r="S6" s="34" t="s">
        <v>36</v>
      </c>
      <c r="T6" s="36"/>
      <c r="U6" s="43" t="s">
        <v>37</v>
      </c>
    </row>
    <row r="7" spans="1:35" ht="31.2" customHeight="1" x14ac:dyDescent="0.3">
      <c r="A7" s="44"/>
      <c r="B7" s="44"/>
      <c r="C7" s="44"/>
      <c r="D7" s="44"/>
      <c r="E7" s="44"/>
      <c r="F7" s="44"/>
      <c r="G7" s="44"/>
      <c r="H7" s="44"/>
      <c r="I7" s="44"/>
      <c r="J7" s="5" t="s">
        <v>34</v>
      </c>
      <c r="K7" s="5" t="s">
        <v>35</v>
      </c>
      <c r="L7" s="44"/>
      <c r="M7" s="5" t="s">
        <v>34</v>
      </c>
      <c r="N7" s="5" t="s">
        <v>35</v>
      </c>
      <c r="O7" s="44"/>
      <c r="P7" s="5" t="s">
        <v>34</v>
      </c>
      <c r="Q7" s="5" t="s">
        <v>35</v>
      </c>
      <c r="R7" s="44"/>
      <c r="S7" s="5" t="s">
        <v>34</v>
      </c>
      <c r="T7" s="5" t="s">
        <v>35</v>
      </c>
      <c r="U7" s="44"/>
    </row>
    <row r="8" spans="1:35" ht="30" customHeight="1" x14ac:dyDescent="0.3">
      <c r="A8" s="40" t="s">
        <v>38</v>
      </c>
      <c r="B8" s="41"/>
      <c r="C8" s="41"/>
      <c r="D8" s="41"/>
      <c r="E8" s="41"/>
      <c r="F8" s="41"/>
      <c r="G8" s="41"/>
      <c r="H8" s="41"/>
      <c r="I8" s="42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37" t="s">
        <v>42</v>
      </c>
      <c r="D9" s="38"/>
      <c r="E9" s="38"/>
      <c r="F9" s="38"/>
      <c r="G9" s="38"/>
      <c r="H9" s="38"/>
      <c r="I9" s="39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37" t="s">
        <v>45</v>
      </c>
      <c r="D10" s="38"/>
      <c r="E10" s="38"/>
      <c r="F10" s="38"/>
      <c r="G10" s="38"/>
      <c r="H10" s="38"/>
      <c r="I10" s="39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37" t="s">
        <v>48</v>
      </c>
      <c r="D11" s="38"/>
      <c r="E11" s="38"/>
      <c r="F11" s="38"/>
      <c r="G11" s="38"/>
      <c r="H11" s="38"/>
      <c r="I11" s="39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37" t="s">
        <v>51</v>
      </c>
      <c r="D12" s="38"/>
      <c r="E12" s="38"/>
      <c r="F12" s="38"/>
      <c r="G12" s="38"/>
      <c r="H12" s="38"/>
      <c r="I12" s="39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37" t="s">
        <v>54</v>
      </c>
      <c r="D13" s="38"/>
      <c r="E13" s="38"/>
      <c r="F13" s="38"/>
      <c r="G13" s="38"/>
      <c r="H13" s="38"/>
      <c r="I13" s="39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36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37" t="s">
        <v>64</v>
      </c>
      <c r="D15" s="38"/>
      <c r="E15" s="38"/>
      <c r="F15" s="38"/>
      <c r="G15" s="38"/>
      <c r="H15" s="38"/>
      <c r="I15" s="39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37" t="s">
        <v>67</v>
      </c>
      <c r="D16" s="38"/>
      <c r="E16" s="38"/>
      <c r="F16" s="38"/>
      <c r="G16" s="38"/>
      <c r="H16" s="38"/>
      <c r="I16" s="39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37" t="s">
        <v>70</v>
      </c>
      <c r="D17" s="38"/>
      <c r="E17" s="38"/>
      <c r="F17" s="38"/>
      <c r="G17" s="38"/>
      <c r="H17" s="38"/>
      <c r="I17" s="39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37" t="s">
        <v>73</v>
      </c>
      <c r="D18" s="38"/>
      <c r="E18" s="38"/>
      <c r="F18" s="38"/>
      <c r="G18" s="38"/>
      <c r="H18" s="38"/>
      <c r="I18" s="39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37" t="s">
        <v>76</v>
      </c>
      <c r="D19" s="38"/>
      <c r="E19" s="38"/>
      <c r="F19" s="38"/>
      <c r="G19" s="38"/>
      <c r="H19" s="38"/>
      <c r="I19" s="39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37" t="s">
        <v>110</v>
      </c>
      <c r="D25" s="38"/>
      <c r="E25" s="38"/>
      <c r="F25" s="38"/>
      <c r="G25" s="38"/>
      <c r="H25" s="38"/>
      <c r="I25" s="39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37" t="s">
        <v>145</v>
      </c>
      <c r="D32" s="38"/>
      <c r="E32" s="38"/>
      <c r="F32" s="38"/>
      <c r="G32" s="38"/>
      <c r="H32" s="38"/>
      <c r="I32" s="39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37" t="s">
        <v>148</v>
      </c>
      <c r="D33" s="38"/>
      <c r="E33" s="38"/>
      <c r="F33" s="38"/>
      <c r="G33" s="38"/>
      <c r="H33" s="38"/>
      <c r="I33" s="39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37" t="s">
        <v>151</v>
      </c>
      <c r="D34" s="38"/>
      <c r="E34" s="38"/>
      <c r="F34" s="38"/>
      <c r="G34" s="38"/>
      <c r="H34" s="38"/>
      <c r="I34" s="39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37" t="s">
        <v>184</v>
      </c>
      <c r="D43" s="38"/>
      <c r="E43" s="38"/>
      <c r="F43" s="38"/>
      <c r="G43" s="38"/>
      <c r="H43" s="38"/>
      <c r="I43" s="39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37" t="s">
        <v>187</v>
      </c>
      <c r="D44" s="38"/>
      <c r="E44" s="38"/>
      <c r="F44" s="38"/>
      <c r="G44" s="38"/>
      <c r="H44" s="38"/>
      <c r="I44" s="39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37" t="s">
        <v>209</v>
      </c>
      <c r="D51" s="38"/>
      <c r="E51" s="38"/>
      <c r="F51" s="38"/>
      <c r="G51" s="38"/>
      <c r="H51" s="38"/>
      <c r="I51" s="39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11" t="s">
        <v>212</v>
      </c>
      <c r="D52" s="12" t="s">
        <v>80</v>
      </c>
      <c r="E52" s="12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37" t="s">
        <v>238</v>
      </c>
      <c r="D57" s="38"/>
      <c r="E57" s="38"/>
      <c r="F57" s="38"/>
      <c r="G57" s="38"/>
      <c r="H57" s="38"/>
      <c r="I57" s="39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37" t="s">
        <v>313</v>
      </c>
      <c r="D74" s="38"/>
      <c r="E74" s="38"/>
      <c r="F74" s="38"/>
      <c r="G74" s="38"/>
      <c r="H74" s="38"/>
      <c r="I74" s="39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70.2" customHeight="1" x14ac:dyDescent="0.3">
      <c r="A78" s="10" t="s">
        <v>331</v>
      </c>
      <c r="B78" s="10" t="s">
        <v>332</v>
      </c>
      <c r="C78" s="32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78" customHeight="1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32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89.4" customHeight="1" x14ac:dyDescent="0.3">
      <c r="A86" s="10" t="s">
        <v>366</v>
      </c>
      <c r="B86" s="10" t="s">
        <v>332</v>
      </c>
      <c r="C86" s="32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customHeight="1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2232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33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54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33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54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33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54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95" customHeight="1" x14ac:dyDescent="0.3">
      <c r="A99" s="10" t="s">
        <v>416</v>
      </c>
      <c r="B99" s="10" t="s">
        <v>417</v>
      </c>
      <c r="C99" s="37" t="s">
        <v>418</v>
      </c>
      <c r="D99" s="38"/>
      <c r="E99" s="38"/>
      <c r="F99" s="38"/>
      <c r="G99" s="38"/>
      <c r="H99" s="38"/>
      <c r="I99" s="39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37" t="s">
        <v>427</v>
      </c>
      <c r="D101" s="38"/>
      <c r="E101" s="38"/>
      <c r="F101" s="38"/>
      <c r="G101" s="38"/>
      <c r="H101" s="38"/>
      <c r="I101" s="39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37" t="s">
        <v>418</v>
      </c>
      <c r="D102" s="38"/>
      <c r="E102" s="38"/>
      <c r="F102" s="38"/>
      <c r="G102" s="38"/>
      <c r="H102" s="38"/>
      <c r="I102" s="39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37" t="s">
        <v>450</v>
      </c>
      <c r="D107" s="38"/>
      <c r="E107" s="38"/>
      <c r="F107" s="38"/>
      <c r="G107" s="38"/>
      <c r="H107" s="38"/>
      <c r="I107" s="39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37" t="s">
        <v>453</v>
      </c>
      <c r="D108" s="38"/>
      <c r="E108" s="38"/>
      <c r="F108" s="38"/>
      <c r="G108" s="38"/>
      <c r="H108" s="38"/>
      <c r="I108" s="39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37" t="s">
        <v>456</v>
      </c>
      <c r="D109" s="38"/>
      <c r="E109" s="38"/>
      <c r="F109" s="38"/>
      <c r="G109" s="38"/>
      <c r="H109" s="38"/>
      <c r="I109" s="39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37" t="s">
        <v>459</v>
      </c>
      <c r="D110" s="38"/>
      <c r="E110" s="38"/>
      <c r="F110" s="38"/>
      <c r="G110" s="38"/>
      <c r="H110" s="38"/>
      <c r="I110" s="39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37" t="s">
        <v>462</v>
      </c>
      <c r="D111" s="38"/>
      <c r="E111" s="38"/>
      <c r="F111" s="38"/>
      <c r="G111" s="38"/>
      <c r="H111" s="38"/>
      <c r="I111" s="39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76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si="15"/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5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5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5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5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5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5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5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5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5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5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5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5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5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5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5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5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5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5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5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5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5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5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5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5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5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5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5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5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5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5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5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6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6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6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6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6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6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6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6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6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6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6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6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6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6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6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6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37" t="s">
        <v>759</v>
      </c>
      <c r="D193" s="38"/>
      <c r="E193" s="38"/>
      <c r="F193" s="38"/>
      <c r="G193" s="38"/>
      <c r="H193" s="38"/>
      <c r="I193" s="39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7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7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7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7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7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7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7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7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7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7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7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7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7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7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7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7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7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7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7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7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7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37" t="s">
        <v>855</v>
      </c>
      <c r="D216" s="38"/>
      <c r="E216" s="38"/>
      <c r="F216" s="38"/>
      <c r="G216" s="38"/>
      <c r="H216" s="38"/>
      <c r="I216" s="39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81" si="18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8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8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8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8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8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8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8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8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8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8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8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8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8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8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8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8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8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8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8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8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8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8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8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8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8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8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8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8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8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8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8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si="18"/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18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18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18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18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18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18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18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18"/>
        <v>2333.33</v>
      </c>
      <c r="AD258" s="4" t="s">
        <v>1032</v>
      </c>
      <c r="AE258" s="4" t="s">
        <v>1033</v>
      </c>
      <c r="AF258" s="4" t="s">
        <v>982</v>
      </c>
    </row>
    <row r="259" spans="1:35" ht="54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18"/>
        <v>34382.68</v>
      </c>
      <c r="AD259" s="4" t="s">
        <v>1035</v>
      </c>
      <c r="AE259" s="4" t="s">
        <v>1036</v>
      </c>
      <c r="AF259" s="4" t="s">
        <v>1007</v>
      </c>
    </row>
    <row r="260" spans="1:35" ht="162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18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54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18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18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18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18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44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18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18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18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18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18"/>
        <v>59463.47</v>
      </c>
      <c r="AD269" s="4" t="s">
        <v>1076</v>
      </c>
      <c r="AE269" s="4" t="s">
        <v>1077</v>
      </c>
      <c r="AF269" s="4" t="s">
        <v>1078</v>
      </c>
    </row>
    <row r="270" spans="1:35" ht="126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18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18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18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18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18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18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18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18"/>
        <v>4884361.28</v>
      </c>
      <c r="AD277" s="4" t="s">
        <v>1112</v>
      </c>
      <c r="AE277" s="4" t="s">
        <v>1113</v>
      </c>
      <c r="AF277" s="4" t="s">
        <v>1114</v>
      </c>
    </row>
    <row r="278" spans="1:35" ht="36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18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18"/>
        <v>29967.77</v>
      </c>
      <c r="AD279" s="4" t="s">
        <v>1121</v>
      </c>
      <c r="AE279" s="4" t="s">
        <v>1122</v>
      </c>
      <c r="AF279" s="4" t="s">
        <v>1060</v>
      </c>
    </row>
    <row r="280" spans="1:35" ht="180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18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18"/>
        <v>432.89</v>
      </c>
      <c r="AD281" s="4" t="s">
        <v>1126</v>
      </c>
      <c r="AE281" s="4" t="s">
        <v>1127</v>
      </c>
      <c r="AF281" s="4" t="s">
        <v>1060</v>
      </c>
    </row>
    <row r="282" spans="1:35" ht="36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ref="Y282:Y284" si="19">ROUND(S282 / 1.2, 2)</f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19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19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37" t="s">
        <v>1139</v>
      </c>
      <c r="D285" s="38"/>
      <c r="E285" s="38"/>
      <c r="F285" s="38"/>
      <c r="G285" s="38"/>
      <c r="H285" s="38"/>
      <c r="I285" s="39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37" t="s">
        <v>1153</v>
      </c>
      <c r="D288" s="38"/>
      <c r="E288" s="38"/>
      <c r="F288" s="38"/>
      <c r="G288" s="38"/>
      <c r="H288" s="38"/>
      <c r="I288" s="39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37" t="s">
        <v>1156</v>
      </c>
      <c r="D289" s="38"/>
      <c r="E289" s="38"/>
      <c r="F289" s="38"/>
      <c r="G289" s="38"/>
      <c r="H289" s="38"/>
      <c r="I289" s="39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54" si="20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0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0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0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0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0"/>
        <v>806.01</v>
      </c>
      <c r="AD296" s="4" t="s">
        <v>1193</v>
      </c>
      <c r="AE296" s="4" t="s">
        <v>1194</v>
      </c>
      <c r="AF296" s="4" t="s">
        <v>1195</v>
      </c>
    </row>
    <row r="297" spans="1:35" ht="126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0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0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0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0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0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0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0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44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0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0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0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0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0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0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0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0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0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0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0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0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0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0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0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0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0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0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0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si="20"/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0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0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0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0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0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0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0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0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0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0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0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0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0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0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0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0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0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0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0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0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0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0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0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0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0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0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0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0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0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0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0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1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1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1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1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1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1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1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1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1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1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1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1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1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1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1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1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1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1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37" t="s">
        <v>1471</v>
      </c>
      <c r="D373" s="38"/>
      <c r="E373" s="38"/>
      <c r="F373" s="38"/>
      <c r="G373" s="38"/>
      <c r="H373" s="38"/>
      <c r="I373" s="39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38" si="22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2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2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2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2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2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2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2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2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2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2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2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2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2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2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2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2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2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2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2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2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2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2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2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2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2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2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2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2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2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2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2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si="22"/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2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2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2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2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2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2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2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2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2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2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2"/>
        <v>1560.87</v>
      </c>
      <c r="AD418" s="4" t="s">
        <v>1615</v>
      </c>
      <c r="AE418" s="4" t="s">
        <v>1616</v>
      </c>
      <c r="AF418" s="4" t="s">
        <v>1060</v>
      </c>
    </row>
    <row r="419" spans="1:35" ht="144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2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2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2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2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2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2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2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36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2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2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2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2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2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2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2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2"/>
        <v>823.13</v>
      </c>
      <c r="AD433" s="4" t="s">
        <v>1664</v>
      </c>
      <c r="AE433" s="4" t="s">
        <v>1665</v>
      </c>
      <c r="AF433" s="4" t="s">
        <v>873</v>
      </c>
    </row>
    <row r="434" spans="1:35" ht="36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2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2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36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2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2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2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3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3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3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3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3"/>
        <v>184.46</v>
      </c>
      <c r="AD443" s="4" t="s">
        <v>1696</v>
      </c>
      <c r="AE443" s="4" t="s">
        <v>1697</v>
      </c>
      <c r="AF443" s="4" t="s">
        <v>873</v>
      </c>
    </row>
    <row r="444" spans="1:35" ht="36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3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3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36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3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3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3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3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3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3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3"/>
        <v>2608.38</v>
      </c>
      <c r="AD452" s="4" t="s">
        <v>1724</v>
      </c>
      <c r="AE452" s="4" t="s">
        <v>1725</v>
      </c>
      <c r="AF452" s="4" t="s">
        <v>873</v>
      </c>
    </row>
    <row r="453" spans="1:35" ht="36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3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3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3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36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3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3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3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3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3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3"/>
        <v>3333.33</v>
      </c>
      <c r="AD461" s="4" t="s">
        <v>1753</v>
      </c>
      <c r="AE461" s="4" t="s">
        <v>1754</v>
      </c>
      <c r="AF461" s="4" t="s">
        <v>1109</v>
      </c>
    </row>
    <row r="462" spans="1:35" ht="36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3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3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26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3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72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3"/>
        <v>1332263.98</v>
      </c>
      <c r="AD465" s="4" t="s">
        <v>1766</v>
      </c>
      <c r="AE465" s="4" t="s">
        <v>1767</v>
      </c>
      <c r="AF465" s="4" t="s">
        <v>1734</v>
      </c>
    </row>
    <row r="466" spans="1:35" ht="36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3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3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3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3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3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3"/>
        <v>610.16</v>
      </c>
      <c r="AD471" s="4" t="s">
        <v>1790</v>
      </c>
      <c r="AE471" s="4" t="s">
        <v>1791</v>
      </c>
      <c r="AF471" s="4" t="s">
        <v>1109</v>
      </c>
    </row>
    <row r="472" spans="1:35" ht="36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3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3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37" t="s">
        <v>1800</v>
      </c>
      <c r="D474" s="38"/>
      <c r="E474" s="38"/>
      <c r="F474" s="38"/>
      <c r="G474" s="38"/>
      <c r="H474" s="38"/>
      <c r="I474" s="39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37" t="s">
        <v>1803</v>
      </c>
      <c r="D475" s="38"/>
      <c r="E475" s="38"/>
      <c r="F475" s="38"/>
      <c r="G475" s="38"/>
      <c r="H475" s="38"/>
      <c r="I475" s="39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4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4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4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4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4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4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4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4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1835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4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4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4"/>
        <v>12684.5</v>
      </c>
      <c r="AD487" s="4" t="s">
        <v>1840</v>
      </c>
      <c r="AE487" s="4" t="s">
        <v>1841</v>
      </c>
      <c r="AF487" s="4" t="s">
        <v>1272</v>
      </c>
    </row>
    <row r="488" spans="1:35" ht="54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58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4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4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4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4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4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4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4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4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4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4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4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4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37" t="s">
        <v>1884</v>
      </c>
      <c r="D500" s="38"/>
      <c r="E500" s="38"/>
      <c r="F500" s="38"/>
      <c r="G500" s="38"/>
      <c r="H500" s="38"/>
      <c r="I500" s="39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5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5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5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5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5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5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5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5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5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5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5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5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5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5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5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5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5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5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5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5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5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5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5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5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5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5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5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5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5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1" t="s">
        <v>1887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5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5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5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37" t="s">
        <v>1979</v>
      </c>
      <c r="D534" s="38"/>
      <c r="E534" s="38"/>
      <c r="F534" s="38"/>
      <c r="G534" s="38"/>
      <c r="H534" s="38"/>
      <c r="I534" s="39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6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6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6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108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6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6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108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6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6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108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6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6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108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6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6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108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6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6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6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6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6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6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6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6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44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6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6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44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6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6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27">ROUND(ROUND(J559, 2)*I559, 2)</f>
        <v>735.78</v>
      </c>
      <c r="P559" s="22">
        <v>55.91</v>
      </c>
      <c r="S559" s="21">
        <f t="shared" ref="S559:S568" si="28">ROUND(ROUND(P559, 2)*I559, 2)</f>
        <v>735.78</v>
      </c>
      <c r="V559" s="9">
        <f t="shared" ref="V559:V568" si="29">ROUND(ROUND(P559, 2)/1.2, 2)</f>
        <v>46.59</v>
      </c>
      <c r="Y559" s="9">
        <f t="shared" si="26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27"/>
        <v>64.3</v>
      </c>
      <c r="P560" s="22">
        <v>5.7</v>
      </c>
      <c r="S560" s="21">
        <f t="shared" si="28"/>
        <v>64.3</v>
      </c>
      <c r="V560" s="9">
        <f t="shared" si="29"/>
        <v>4.75</v>
      </c>
      <c r="Y560" s="9">
        <f t="shared" si="26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27"/>
        <v>2188.77</v>
      </c>
      <c r="P561" s="22">
        <v>16.170000000000002</v>
      </c>
      <c r="S561" s="21">
        <f t="shared" si="28"/>
        <v>2188.77</v>
      </c>
      <c r="V561" s="9">
        <f t="shared" si="29"/>
        <v>13.48</v>
      </c>
      <c r="Y561" s="9">
        <f t="shared" si="26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27"/>
        <v>688.08</v>
      </c>
      <c r="P562" s="22">
        <v>0.61</v>
      </c>
      <c r="S562" s="21">
        <f t="shared" si="28"/>
        <v>688.08</v>
      </c>
      <c r="V562" s="9">
        <f t="shared" si="29"/>
        <v>0.51</v>
      </c>
      <c r="Y562" s="9">
        <f t="shared" si="26"/>
        <v>573.4</v>
      </c>
      <c r="AD562" s="4" t="s">
        <v>2077</v>
      </c>
      <c r="AE562" s="4" t="s">
        <v>2078</v>
      </c>
      <c r="AF562" s="4" t="s">
        <v>2079</v>
      </c>
    </row>
    <row r="563" spans="1:35" ht="36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27"/>
        <v>0</v>
      </c>
      <c r="P563" s="22">
        <v>1656</v>
      </c>
      <c r="S563" s="21">
        <f t="shared" si="28"/>
        <v>127644.48</v>
      </c>
      <c r="V563" s="9">
        <f t="shared" si="29"/>
        <v>1380</v>
      </c>
      <c r="Y563" s="9">
        <f t="shared" si="26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27"/>
        <v>541.44000000000005</v>
      </c>
      <c r="P564" s="22">
        <v>0.96</v>
      </c>
      <c r="S564" s="21">
        <f t="shared" si="28"/>
        <v>541.44000000000005</v>
      </c>
      <c r="V564" s="9">
        <f t="shared" si="29"/>
        <v>0.8</v>
      </c>
      <c r="Y564" s="9">
        <f t="shared" si="26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27"/>
        <v>133.47999999999999</v>
      </c>
      <c r="P565" s="22">
        <v>2.84</v>
      </c>
      <c r="S565" s="21">
        <f t="shared" si="28"/>
        <v>133.47999999999999</v>
      </c>
      <c r="V565" s="9">
        <f t="shared" si="29"/>
        <v>2.37</v>
      </c>
      <c r="Y565" s="9">
        <f t="shared" si="26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27"/>
        <v>80.09</v>
      </c>
      <c r="P566" s="22">
        <v>2.84</v>
      </c>
      <c r="S566" s="21">
        <f t="shared" si="28"/>
        <v>80.09</v>
      </c>
      <c r="V566" s="9">
        <f t="shared" si="29"/>
        <v>2.37</v>
      </c>
      <c r="Y566" s="9">
        <f t="shared" si="26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27"/>
        <v>12034.63</v>
      </c>
      <c r="P567" s="22">
        <v>68.099999999999994</v>
      </c>
      <c r="S567" s="21">
        <f t="shared" si="28"/>
        <v>12034.63</v>
      </c>
      <c r="V567" s="9">
        <f t="shared" si="29"/>
        <v>56.75</v>
      </c>
      <c r="Y567" s="9">
        <f t="shared" si="26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27"/>
        <v>805.39</v>
      </c>
      <c r="P568" s="22">
        <v>5.0999999999999996</v>
      </c>
      <c r="S568" s="21">
        <f t="shared" si="28"/>
        <v>805.39</v>
      </c>
      <c r="V568" s="9">
        <f t="shared" si="29"/>
        <v>4.25</v>
      </c>
      <c r="Y568" s="9">
        <f t="shared" si="26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6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0">ROUND(ROUND(J570, 2)*I570, 2)</f>
        <v>13378.93</v>
      </c>
      <c r="P570" s="22">
        <v>5.0999999999999996</v>
      </c>
      <c r="S570" s="21">
        <f t="shared" ref="S570:S579" si="31">ROUND(ROUND(P570, 2)*I570, 2)</f>
        <v>13378.93</v>
      </c>
      <c r="V570" s="9">
        <f t="shared" ref="V570:V579" si="32">ROUND(ROUND(P570, 2)/1.2, 2)</f>
        <v>4.25</v>
      </c>
      <c r="Y570" s="9">
        <f t="shared" si="26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0"/>
        <v>199915.72</v>
      </c>
      <c r="P571" s="22">
        <v>68.099999999999994</v>
      </c>
      <c r="S571" s="21">
        <f t="shared" si="31"/>
        <v>199915.72</v>
      </c>
      <c r="V571" s="9">
        <f t="shared" si="32"/>
        <v>56.75</v>
      </c>
      <c r="Y571" s="9">
        <f t="shared" si="26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0"/>
        <v>176430.45</v>
      </c>
      <c r="P572" s="22">
        <v>137.79</v>
      </c>
      <c r="S572" s="21">
        <f t="shared" si="31"/>
        <v>176430.45</v>
      </c>
      <c r="V572" s="9">
        <f t="shared" si="32"/>
        <v>114.83</v>
      </c>
      <c r="Y572" s="9">
        <f t="shared" si="26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0"/>
        <v>1330.4</v>
      </c>
      <c r="P573" s="22">
        <v>2.84</v>
      </c>
      <c r="S573" s="21">
        <f t="shared" si="31"/>
        <v>1330.4</v>
      </c>
      <c r="V573" s="9">
        <f t="shared" si="32"/>
        <v>2.37</v>
      </c>
      <c r="Y573" s="9">
        <f t="shared" si="26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0"/>
        <v>2217.33</v>
      </c>
      <c r="P574" s="22">
        <v>2.84</v>
      </c>
      <c r="S574" s="21">
        <f t="shared" si="31"/>
        <v>2217.33</v>
      </c>
      <c r="V574" s="9">
        <f t="shared" si="32"/>
        <v>2.37</v>
      </c>
      <c r="Y574" s="9">
        <f t="shared" si="26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0"/>
        <v>8994.24</v>
      </c>
      <c r="P575" s="22">
        <v>0.96</v>
      </c>
      <c r="S575" s="21">
        <f t="shared" si="31"/>
        <v>8994.24</v>
      </c>
      <c r="V575" s="9">
        <f t="shared" si="32"/>
        <v>0.8</v>
      </c>
      <c r="Y575" s="9">
        <f t="shared" si="26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0"/>
        <v>11430.18</v>
      </c>
      <c r="P576" s="22">
        <v>0.61</v>
      </c>
      <c r="S576" s="21">
        <f t="shared" si="31"/>
        <v>11430.18</v>
      </c>
      <c r="V576" s="9">
        <f t="shared" si="32"/>
        <v>0.51</v>
      </c>
      <c r="Y576" s="9">
        <f t="shared" si="26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0"/>
        <v>36359.22</v>
      </c>
      <c r="P577" s="22">
        <v>16.170000000000002</v>
      </c>
      <c r="S577" s="21">
        <f t="shared" si="31"/>
        <v>36359.22</v>
      </c>
      <c r="V577" s="9">
        <f t="shared" si="32"/>
        <v>13.48</v>
      </c>
      <c r="Y577" s="9">
        <f t="shared" si="26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0"/>
        <v>1068.07</v>
      </c>
      <c r="P578" s="22">
        <v>5.7</v>
      </c>
      <c r="S578" s="21">
        <f t="shared" si="31"/>
        <v>1068.07</v>
      </c>
      <c r="V578" s="9">
        <f t="shared" si="32"/>
        <v>4.75</v>
      </c>
      <c r="Y578" s="9">
        <f t="shared" si="26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0"/>
        <v>12222.49</v>
      </c>
      <c r="P579" s="22">
        <v>55.91</v>
      </c>
      <c r="S579" s="21">
        <f t="shared" si="31"/>
        <v>12222.49</v>
      </c>
      <c r="V579" s="9">
        <f t="shared" si="32"/>
        <v>46.59</v>
      </c>
      <c r="Y579" s="9">
        <f t="shared" si="26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6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6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6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6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37" t="s">
        <v>418</v>
      </c>
      <c r="D584" s="38"/>
      <c r="E584" s="38"/>
      <c r="F584" s="38"/>
      <c r="G584" s="38"/>
      <c r="H584" s="38"/>
      <c r="I584" s="39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54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40" t="s">
        <v>2180</v>
      </c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2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34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6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34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6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34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6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34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6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34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6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34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6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34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6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34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6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34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6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34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6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34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6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34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6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34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6"/>
    </row>
    <row r="602" spans="1:21" ht="46.8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34" t="s">
        <v>2222</v>
      </c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6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34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6"/>
    </row>
    <row r="604" spans="1:21" ht="31.2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34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6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34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6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34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6"/>
    </row>
  </sheetData>
  <mergeCells count="81">
    <mergeCell ref="H606:U606"/>
    <mergeCell ref="H600:U600"/>
    <mergeCell ref="H601:U601"/>
    <mergeCell ref="H602:U602"/>
    <mergeCell ref="H603:U603"/>
    <mergeCell ref="H604:U604"/>
    <mergeCell ref="H605:U605"/>
    <mergeCell ref="H599:U599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C584:I584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C110:I110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S6:T6"/>
    <mergeCell ref="U6:U7"/>
    <mergeCell ref="A8:I8"/>
    <mergeCell ref="C9:I9"/>
    <mergeCell ref="C34:I34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10:I10"/>
    <mergeCell ref="H5:H7"/>
    <mergeCell ref="I5:I7"/>
    <mergeCell ref="J5:O5"/>
    <mergeCell ref="P5:R5"/>
    <mergeCell ref="R6:R7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2026-04-14T14:59:33Z</dcterms:modified>
  <cp:category/>
</cp:coreProperties>
</file>